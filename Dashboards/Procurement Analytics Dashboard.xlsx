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https://d.docs.live.net/cc932f87ab7224e0/Desktop/Excel/"/>
    </mc:Choice>
  </mc:AlternateContent>
  <xr:revisionPtr revIDLastSave="1" documentId="13_ncr:1_{E925F069-CA1B-4DE9-A7A2-1185B7C74F34}" xr6:coauthVersionLast="47" xr6:coauthVersionMax="47" xr10:uidLastSave="{92896782-A5F6-4C98-8D28-C4B7433A5FE0}"/>
  <bookViews>
    <workbookView xWindow="43080" yWindow="-120" windowWidth="29040" windowHeight="15720" xr2:uid="{00000000-000D-0000-FFFF-FFFF00000000}"/>
  </bookViews>
  <sheets>
    <sheet name="Dashboard" sheetId="7" r:id="rId1"/>
    <sheet name="Input Data" sheetId="1" r:id="rId2"/>
    <sheet name="Key KPIs" sheetId="2" r:id="rId3"/>
    <sheet name="Computation" sheetId="5" r:id="rId4"/>
    <sheet name="Pivot" sheetId="6" r:id="rId5"/>
  </sheets>
  <definedNames>
    <definedName name="Slicer_Category">#N/A</definedName>
    <definedName name="Slicer_Delivery_Location">#N/A</definedName>
    <definedName name="Slicer_Supplier_Nam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1" i="6" l="1"/>
  <c r="F52" i="6"/>
  <c r="F53" i="6"/>
  <c r="F54" i="6"/>
  <c r="F50" i="6"/>
  <c r="AA3" i="5"/>
  <c r="AA4" i="5"/>
  <c r="AA5" i="5"/>
  <c r="AA6" i="5"/>
  <c r="AA7" i="5"/>
  <c r="AA8" i="5"/>
  <c r="AA9" i="5"/>
  <c r="AA10" i="5"/>
  <c r="AA11" i="5"/>
  <c r="AA12" i="5"/>
  <c r="AA13" i="5"/>
  <c r="AA14" i="5"/>
  <c r="AA15" i="5"/>
  <c r="AA16" i="5"/>
  <c r="AA17" i="5"/>
  <c r="AA18" i="5"/>
  <c r="AA19" i="5"/>
  <c r="AA20" i="5"/>
  <c r="AA21" i="5"/>
  <c r="AA22" i="5"/>
  <c r="AA23" i="5"/>
  <c r="AA24" i="5"/>
  <c r="AA25" i="5"/>
  <c r="AA26" i="5"/>
  <c r="AA27" i="5"/>
  <c r="AA28" i="5"/>
  <c r="AA29" i="5"/>
  <c r="AA30" i="5"/>
  <c r="AA31" i="5"/>
  <c r="AA32" i="5"/>
  <c r="AA33" i="5"/>
  <c r="AA34" i="5"/>
  <c r="AA35" i="5"/>
  <c r="AA36" i="5"/>
  <c r="AA37" i="5"/>
  <c r="AA38" i="5"/>
  <c r="AA39" i="5"/>
  <c r="AA40" i="5"/>
  <c r="AA41" i="5"/>
  <c r="AA42" i="5"/>
  <c r="AA43" i="5"/>
  <c r="AA44" i="5"/>
  <c r="AA45" i="5"/>
  <c r="AA46" i="5"/>
  <c r="AA47" i="5"/>
  <c r="AA48" i="5"/>
  <c r="AA49" i="5"/>
  <c r="AA50" i="5"/>
  <c r="AA51" i="5"/>
  <c r="AA2" i="5"/>
  <c r="Z3" i="5"/>
  <c r="Z4" i="5"/>
  <c r="Z5" i="5"/>
  <c r="Z6" i="5"/>
  <c r="Z7" i="5"/>
  <c r="Z8" i="5"/>
  <c r="Z9" i="5"/>
  <c r="Z10" i="5"/>
  <c r="Z11" i="5"/>
  <c r="Z12" i="5"/>
  <c r="Z13" i="5"/>
  <c r="Z14" i="5"/>
  <c r="Z15" i="5"/>
  <c r="Z16" i="5"/>
  <c r="Z17" i="5"/>
  <c r="Z18" i="5"/>
  <c r="Z19" i="5"/>
  <c r="Z20" i="5"/>
  <c r="Z21" i="5"/>
  <c r="Z22" i="5"/>
  <c r="Z23" i="5"/>
  <c r="Z24" i="5"/>
  <c r="Z25" i="5"/>
  <c r="Z26" i="5"/>
  <c r="Z27" i="5"/>
  <c r="Z28" i="5"/>
  <c r="Z29" i="5"/>
  <c r="Z30" i="5"/>
  <c r="Z31" i="5"/>
  <c r="Z32" i="5"/>
  <c r="Z33" i="5"/>
  <c r="Z34" i="5"/>
  <c r="Z35" i="5"/>
  <c r="Z36" i="5"/>
  <c r="Z37" i="5"/>
  <c r="Z38" i="5"/>
  <c r="Z39" i="5"/>
  <c r="Z40" i="5"/>
  <c r="Z41" i="5"/>
  <c r="Z42" i="5"/>
  <c r="Z43" i="5"/>
  <c r="Z44" i="5"/>
  <c r="Z45" i="5"/>
  <c r="Z46" i="5"/>
  <c r="Z47" i="5"/>
  <c r="Z48" i="5"/>
  <c r="Z49" i="5"/>
  <c r="Z50" i="5"/>
  <c r="Z51" i="5"/>
  <c r="Z2" i="5"/>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Y3" i="5"/>
  <c r="Y4" i="5"/>
  <c r="Y5" i="5"/>
  <c r="Y6" i="5"/>
  <c r="Y7" i="5"/>
  <c r="Y8" i="5"/>
  <c r="Y9" i="5"/>
  <c r="Y10" i="5"/>
  <c r="Y11" i="5"/>
  <c r="Y12" i="5"/>
  <c r="Y13" i="5"/>
  <c r="Y14" i="5"/>
  <c r="Y15" i="5"/>
  <c r="Y16" i="5"/>
  <c r="Y17" i="5"/>
  <c r="Y18" i="5"/>
  <c r="Y19" i="5"/>
  <c r="Y20" i="5"/>
  <c r="Y21" i="5"/>
  <c r="Y22" i="5"/>
  <c r="Y23" i="5"/>
  <c r="Y24" i="5"/>
  <c r="Y25" i="5"/>
  <c r="Y26" i="5"/>
  <c r="Y27" i="5"/>
  <c r="Y28" i="5"/>
  <c r="Y29" i="5"/>
  <c r="Y30" i="5"/>
  <c r="Y31" i="5"/>
  <c r="Y32" i="5"/>
  <c r="Y33" i="5"/>
  <c r="Y34" i="5"/>
  <c r="Y35" i="5"/>
  <c r="Y36" i="5"/>
  <c r="Y37" i="5"/>
  <c r="Y38" i="5"/>
  <c r="Y39" i="5"/>
  <c r="Y40" i="5"/>
  <c r="Y41" i="5"/>
  <c r="Y42" i="5"/>
  <c r="Y43" i="5"/>
  <c r="Y44" i="5"/>
  <c r="Y45" i="5"/>
  <c r="Y46" i="5"/>
  <c r="Y47" i="5"/>
  <c r="Y48" i="5"/>
  <c r="Y49" i="5"/>
  <c r="Y50" i="5"/>
  <c r="Y51" i="5"/>
  <c r="Y2" i="5"/>
  <c r="X3" i="5"/>
  <c r="X4" i="5"/>
  <c r="X5" i="5"/>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2" i="5"/>
  <c r="V51" i="5"/>
  <c r="U51" i="5"/>
  <c r="W51" i="5" s="1"/>
  <c r="T51" i="5"/>
  <c r="V50" i="5"/>
  <c r="U50" i="5"/>
  <c r="W50" i="5" s="1"/>
  <c r="T50" i="5"/>
  <c r="V49" i="5"/>
  <c r="U49" i="5"/>
  <c r="T49" i="5"/>
  <c r="V48" i="5"/>
  <c r="U48" i="5"/>
  <c r="W48" i="5" s="1"/>
  <c r="T48" i="5"/>
  <c r="V47" i="5"/>
  <c r="U47" i="5"/>
  <c r="W47" i="5" s="1"/>
  <c r="T47" i="5"/>
  <c r="V46" i="5"/>
  <c r="U46" i="5"/>
  <c r="W46" i="5" s="1"/>
  <c r="T46" i="5"/>
  <c r="V45" i="5"/>
  <c r="U45" i="5"/>
  <c r="W45" i="5" s="1"/>
  <c r="T45" i="5"/>
  <c r="V44" i="5"/>
  <c r="U44" i="5"/>
  <c r="W44" i="5" s="1"/>
  <c r="T44" i="5"/>
  <c r="V43" i="5"/>
  <c r="U43" i="5"/>
  <c r="T43" i="5"/>
  <c r="V42" i="5"/>
  <c r="U42" i="5"/>
  <c r="T42" i="5"/>
  <c r="V41" i="5"/>
  <c r="U41" i="5"/>
  <c r="T41" i="5"/>
  <c r="V40" i="5"/>
  <c r="U40" i="5"/>
  <c r="T40" i="5"/>
  <c r="V39" i="5"/>
  <c r="U39" i="5"/>
  <c r="W39" i="5" s="1"/>
  <c r="T39" i="5"/>
  <c r="V38" i="5"/>
  <c r="U38" i="5"/>
  <c r="W38" i="5" s="1"/>
  <c r="T38" i="5"/>
  <c r="V37" i="5"/>
  <c r="U37" i="5"/>
  <c r="W37" i="5" s="1"/>
  <c r="T37" i="5"/>
  <c r="V36" i="5"/>
  <c r="U36" i="5"/>
  <c r="W36" i="5" s="1"/>
  <c r="T36" i="5"/>
  <c r="V35" i="5"/>
  <c r="U35" i="5"/>
  <c r="W35" i="5" s="1"/>
  <c r="T35" i="5"/>
  <c r="V34" i="5"/>
  <c r="U34" i="5"/>
  <c r="W34" i="5" s="1"/>
  <c r="T34" i="5"/>
  <c r="V33" i="5"/>
  <c r="U33" i="5"/>
  <c r="W33" i="5" s="1"/>
  <c r="T33" i="5"/>
  <c r="V32" i="5"/>
  <c r="U32" i="5"/>
  <c r="T32" i="5"/>
  <c r="V31" i="5"/>
  <c r="U31" i="5"/>
  <c r="W31" i="5" s="1"/>
  <c r="T31" i="5"/>
  <c r="V30" i="5"/>
  <c r="U30" i="5"/>
  <c r="W30" i="5" s="1"/>
  <c r="T30" i="5"/>
  <c r="V29" i="5"/>
  <c r="U29" i="5"/>
  <c r="W29" i="5" s="1"/>
  <c r="T29" i="5"/>
  <c r="V28" i="5"/>
  <c r="U28" i="5"/>
  <c r="W28" i="5" s="1"/>
  <c r="T28" i="5"/>
  <c r="V27" i="5"/>
  <c r="U27" i="5"/>
  <c r="T27" i="5"/>
  <c r="V26" i="5"/>
  <c r="U26" i="5"/>
  <c r="W26" i="5" s="1"/>
  <c r="T26" i="5"/>
  <c r="V25" i="5"/>
  <c r="U25" i="5"/>
  <c r="W25" i="5" s="1"/>
  <c r="T25" i="5"/>
  <c r="V24" i="5"/>
  <c r="U24" i="5"/>
  <c r="W24" i="5" s="1"/>
  <c r="T24" i="5"/>
  <c r="V23" i="5"/>
  <c r="U23" i="5"/>
  <c r="W23" i="5" s="1"/>
  <c r="T23" i="5"/>
  <c r="V22" i="5"/>
  <c r="U22" i="5"/>
  <c r="W22" i="5" s="1"/>
  <c r="T22" i="5"/>
  <c r="V21" i="5"/>
  <c r="U21" i="5"/>
  <c r="T21" i="5"/>
  <c r="V20" i="5"/>
  <c r="U20" i="5"/>
  <c r="T20" i="5"/>
  <c r="V19" i="5"/>
  <c r="U19" i="5"/>
  <c r="T19" i="5"/>
  <c r="V18" i="5"/>
  <c r="U18" i="5"/>
  <c r="T18" i="5"/>
  <c r="V17" i="5"/>
  <c r="U17" i="5"/>
  <c r="W17" i="5" s="1"/>
  <c r="T17" i="5"/>
  <c r="V16" i="5"/>
  <c r="U16" i="5"/>
  <c r="W16" i="5" s="1"/>
  <c r="T16" i="5"/>
  <c r="V15" i="5"/>
  <c r="U15" i="5"/>
  <c r="W15" i="5" s="1"/>
  <c r="T15" i="5"/>
  <c r="V14" i="5"/>
  <c r="U14" i="5"/>
  <c r="W14" i="5" s="1"/>
  <c r="T14" i="5"/>
  <c r="V13" i="5"/>
  <c r="U13" i="5"/>
  <c r="W13" i="5" s="1"/>
  <c r="T13" i="5"/>
  <c r="V12" i="5"/>
  <c r="U12" i="5"/>
  <c r="T12" i="5"/>
  <c r="V11" i="5"/>
  <c r="U11" i="5"/>
  <c r="W11" i="5" s="1"/>
  <c r="T11" i="5"/>
  <c r="V10" i="5"/>
  <c r="U10" i="5"/>
  <c r="T10" i="5"/>
  <c r="V9" i="5"/>
  <c r="U9" i="5"/>
  <c r="W9" i="5" s="1"/>
  <c r="T9" i="5"/>
  <c r="V8" i="5"/>
  <c r="U8" i="5"/>
  <c r="W8" i="5" s="1"/>
  <c r="T8" i="5"/>
  <c r="V7" i="5"/>
  <c r="U7" i="5"/>
  <c r="W7" i="5" s="1"/>
  <c r="T7" i="5"/>
  <c r="V6" i="5"/>
  <c r="U6" i="5"/>
  <c r="W6" i="5" s="1"/>
  <c r="T6" i="5"/>
  <c r="V5" i="5"/>
  <c r="U5" i="5"/>
  <c r="T5" i="5"/>
  <c r="V4" i="5"/>
  <c r="U4" i="5"/>
  <c r="W4" i="5" s="1"/>
  <c r="T4" i="5"/>
  <c r="V3" i="5"/>
  <c r="U3" i="5"/>
  <c r="W3" i="5" s="1"/>
  <c r="T3" i="5"/>
  <c r="V2" i="5"/>
  <c r="U2" i="5"/>
  <c r="W2" i="5" s="1"/>
  <c r="T2" i="5"/>
  <c r="O27" i="6"/>
  <c r="H4" i="6"/>
  <c r="E9" i="6"/>
  <c r="E43" i="6"/>
  <c r="G54" i="6"/>
  <c r="G53" i="6"/>
  <c r="G52" i="6"/>
  <c r="G51" i="6"/>
  <c r="G50" i="6"/>
  <c r="E21" i="6"/>
  <c r="K31" i="6"/>
  <c r="K30" i="6"/>
  <c r="K29" i="6"/>
  <c r="K28" i="6"/>
  <c r="K27" i="6"/>
  <c r="E42" i="6"/>
  <c r="E41" i="6"/>
  <c r="E40" i="6"/>
  <c r="E39" i="6"/>
  <c r="E38" i="6"/>
  <c r="E31" i="6"/>
  <c r="E30" i="6"/>
  <c r="E29" i="6"/>
  <c r="E28" i="6"/>
  <c r="E27" i="6"/>
  <c r="E19" i="6"/>
  <c r="E18" i="6"/>
  <c r="E17" i="6"/>
  <c r="E16" i="6"/>
  <c r="E15" i="6"/>
  <c r="E8" i="6"/>
  <c r="E7" i="6"/>
  <c r="E6" i="6"/>
  <c r="E5" i="6"/>
  <c r="E4" i="6"/>
  <c r="O28" i="6" l="1"/>
  <c r="H50" i="6"/>
  <c r="W41" i="5"/>
  <c r="W20" i="5"/>
  <c r="W42" i="5"/>
  <c r="H54" i="6"/>
  <c r="H53" i="6"/>
  <c r="H52" i="6"/>
  <c r="W18" i="5"/>
  <c r="H51" i="6"/>
  <c r="W27" i="5"/>
  <c r="W49" i="5"/>
  <c r="W40" i="5"/>
  <c r="W21" i="5"/>
  <c r="W43" i="5"/>
  <c r="W10" i="5"/>
  <c r="W32" i="5"/>
  <c r="W5" i="5"/>
  <c r="W12" i="5"/>
  <c r="W19" i="5"/>
  <c r="H55" i="6" l="1"/>
</calcChain>
</file>

<file path=xl/sharedStrings.xml><?xml version="1.0" encoding="utf-8"?>
<sst xmlns="http://schemas.openxmlformats.org/spreadsheetml/2006/main" count="1124" uniqueCount="118">
  <si>
    <t>PO Number</t>
  </si>
  <si>
    <t>Supplier Name</t>
  </si>
  <si>
    <t>Category</t>
  </si>
  <si>
    <t>Item Description</t>
  </si>
  <si>
    <t>Unit Price</t>
  </si>
  <si>
    <t>Quantity Ordered</t>
  </si>
  <si>
    <t>Currency</t>
  </si>
  <si>
    <t>Total Cost</t>
  </si>
  <si>
    <t>Order Date</t>
  </si>
  <si>
    <t>Expected Delivery Date</t>
  </si>
  <si>
    <t>Actual Delivery Date</t>
  </si>
  <si>
    <t>Lead Time Days</t>
  </si>
  <si>
    <t>Quality Status</t>
  </si>
  <si>
    <t>Beta Traders</t>
  </si>
  <si>
    <t>Alpha Supplies</t>
  </si>
  <si>
    <t>NextGen Materials</t>
  </si>
  <si>
    <t>Global Sourcing</t>
  </si>
  <si>
    <t>Prime Industries</t>
  </si>
  <si>
    <t>Raw Materials</t>
  </si>
  <si>
    <t>IT Equipment</t>
  </si>
  <si>
    <t>Machinery</t>
  </si>
  <si>
    <t>Packaging</t>
  </si>
  <si>
    <t>Logistics Services</t>
  </si>
  <si>
    <t>Plastic Sheets</t>
  </si>
  <si>
    <t>Cartons</t>
  </si>
  <si>
    <t>Pallets</t>
  </si>
  <si>
    <t>Forklift</t>
  </si>
  <si>
    <t>Laptops</t>
  </si>
  <si>
    <t>Steel Rods</t>
  </si>
  <si>
    <t>Labels</t>
  </si>
  <si>
    <t>Conveyor Belt</t>
  </si>
  <si>
    <t>USD</t>
  </si>
  <si>
    <t>INR</t>
  </si>
  <si>
    <t>EUR</t>
  </si>
  <si>
    <t>Pass</t>
  </si>
  <si>
    <t>Fail</t>
  </si>
  <si>
    <t>Via</t>
  </si>
  <si>
    <t>Rail</t>
  </si>
  <si>
    <t>Road</t>
  </si>
  <si>
    <t>Ship</t>
  </si>
  <si>
    <t>Delivery Location</t>
  </si>
  <si>
    <t>Belgium</t>
  </si>
  <si>
    <t>Paris</t>
  </si>
  <si>
    <t>London</t>
  </si>
  <si>
    <t>Delhi</t>
  </si>
  <si>
    <t>Mumbai</t>
  </si>
  <si>
    <t>Chennai</t>
  </si>
  <si>
    <t>NewYork</t>
  </si>
  <si>
    <t>Dallas</t>
  </si>
  <si>
    <t>Washington</t>
  </si>
  <si>
    <t>Order Status</t>
  </si>
  <si>
    <t>Closed</t>
  </si>
  <si>
    <t>Lead time</t>
  </si>
  <si>
    <t>On Time Delivery</t>
  </si>
  <si>
    <t>In Full Delivery</t>
  </si>
  <si>
    <t>Quantity Delivered</t>
  </si>
  <si>
    <t>OTIF</t>
  </si>
  <si>
    <t>Row Labels</t>
  </si>
  <si>
    <t>Grand Total</t>
  </si>
  <si>
    <t>Sum of Total Cost</t>
  </si>
  <si>
    <t>Supplier Spend</t>
  </si>
  <si>
    <t>Average of OTIF</t>
  </si>
  <si>
    <t>Defect Rate</t>
  </si>
  <si>
    <t>Total Orders</t>
  </si>
  <si>
    <t>Failed Orders</t>
  </si>
  <si>
    <t>Baseline Price</t>
  </si>
  <si>
    <t>Actual Price</t>
  </si>
  <si>
    <t>Cost Variance</t>
  </si>
  <si>
    <t>Cost Saving</t>
  </si>
  <si>
    <t>Average of Cost Variance</t>
  </si>
  <si>
    <t>Order Delay</t>
  </si>
  <si>
    <t>Count of Order Delay</t>
  </si>
  <si>
    <t>Average of Order Delay</t>
  </si>
  <si>
    <t>Average Order Delay</t>
  </si>
  <si>
    <t>Procurement Analytics</t>
  </si>
  <si>
    <t>Average Cost Saving</t>
  </si>
  <si>
    <t>For Graph</t>
  </si>
  <si>
    <t>Defect</t>
  </si>
  <si>
    <t>NO Defect</t>
  </si>
  <si>
    <t>Count of Defect</t>
  </si>
  <si>
    <t>Sum of Defect</t>
  </si>
  <si>
    <t>Sum of NO Defect</t>
  </si>
  <si>
    <t>Total</t>
  </si>
  <si>
    <t>Jan</t>
  </si>
  <si>
    <t>Feb</t>
  </si>
  <si>
    <t>Mar</t>
  </si>
  <si>
    <t>Apr</t>
  </si>
  <si>
    <t>May</t>
  </si>
  <si>
    <t>Jun</t>
  </si>
  <si>
    <t>Jul</t>
  </si>
  <si>
    <t>Aug</t>
  </si>
  <si>
    <t>Sep</t>
  </si>
  <si>
    <t>Oct</t>
  </si>
  <si>
    <t>Nov</t>
  </si>
  <si>
    <t>Dec</t>
  </si>
  <si>
    <t>Cost Trend</t>
  </si>
  <si>
    <t>Order Defect Trend</t>
  </si>
  <si>
    <t xml:space="preserve"> Spend By Category</t>
  </si>
  <si>
    <t>Delayed Order Pivot</t>
  </si>
  <si>
    <t xml:space="preserve">Total Cost </t>
  </si>
  <si>
    <t>Sum of Quantity Ordered</t>
  </si>
  <si>
    <t xml:space="preserve">Quantity Ordered </t>
  </si>
  <si>
    <t>Key KPI</t>
  </si>
  <si>
    <t>Formula</t>
  </si>
  <si>
    <t>Average Savings %</t>
  </si>
  <si>
    <t>Defect Rate %</t>
  </si>
  <si>
    <t>Average Order Delays</t>
  </si>
  <si>
    <t>Total amount of money spent on goods or services with a supplier during a specific period. It helps identify high-value suppliers and supports spend analysis for negotiation and sourcing strategies.</t>
  </si>
  <si>
    <t>Details</t>
  </si>
  <si>
    <t>Sum of Total Cost for each supplier</t>
  </si>
  <si>
    <t>Percentage of orders delivered by suppliers on or before the expected delivery date and in the correct quantity. It reflects supplier reliability and performance.</t>
  </si>
  <si>
    <t>(Number of orders delivered on time and in full ÷ Total number of orders) × 100</t>
  </si>
  <si>
    <t>The average percentage of cost savings achieved through procurement initiatives such as negotiations, supplier consolidation, or alternative sourcing. It shows the financial effectiveness of sourcing decisions.</t>
  </si>
  <si>
    <t>((Baseline Cost – Actual Cost) ÷ Baseline Cost) × 100</t>
  </si>
  <si>
    <t>Percentage of received goods or services that fail to meet quality standards. It highlights supplier quality issues and potential risks in the supply base.</t>
  </si>
  <si>
    <t>(Number of defective Orders ÷ Total Orders received) × 100</t>
  </si>
  <si>
    <t>The average number of days by which supplier deliveries are late compared to the expected delivery date. It measures supplier timeliness and impacts supply chain reliability.</t>
  </si>
  <si>
    <t>Average of (Actual Delivery Date – Expected Delivery Date) where deliveries are 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</si>
</sst>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yyyy\-mm\-dd"/>
    <numFmt numFmtId="165" formatCode="_-[$$-409]* #,##0_ ;_-[$$-409]* \-#,##0\ ;_-[$$-409]* &quot;-&quot;??_ ;_-@_ "/>
  </numFmts>
  <fonts count="10"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8"/>
      <color theme="0"/>
      <name val="Calibri"/>
      <family val="2"/>
      <scheme val="minor"/>
    </font>
    <font>
      <b/>
      <sz val="14"/>
      <color theme="0"/>
      <name val="Calibri"/>
      <family val="2"/>
      <scheme val="minor"/>
    </font>
    <font>
      <sz val="12"/>
      <color theme="1"/>
      <name val="Calibri"/>
      <family val="2"/>
      <scheme val="minor"/>
    </font>
    <font>
      <b/>
      <sz val="12"/>
      <color theme="1"/>
      <name val="Calibri"/>
      <family val="2"/>
      <scheme val="minor"/>
    </font>
    <font>
      <sz val="28"/>
      <color theme="0"/>
      <name val="Bahnschrift SemiBold Condensed"/>
      <family val="2"/>
    </font>
  </fonts>
  <fills count="5">
    <fill>
      <patternFill patternType="none"/>
    </fill>
    <fill>
      <patternFill patternType="gray125"/>
    </fill>
    <fill>
      <patternFill patternType="solid">
        <fgColor rgb="FFFFC000"/>
        <bgColor indexed="64"/>
      </patternFill>
    </fill>
    <fill>
      <patternFill patternType="solid">
        <fgColor rgb="FF002060"/>
        <bgColor indexed="64"/>
      </patternFill>
    </fill>
    <fill>
      <patternFill patternType="solid">
        <fgColor rgb="FF00B05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41">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0" fontId="1"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center"/>
    </xf>
    <xf numFmtId="1" fontId="0" fillId="0" borderId="0" xfId="0" applyNumberFormat="1"/>
    <xf numFmtId="9" fontId="0" fillId="0" borderId="0" xfId="2" applyFont="1"/>
    <xf numFmtId="9" fontId="0" fillId="0" borderId="0" xfId="2" applyFont="1" applyAlignment="1">
      <alignment horizontal="center"/>
    </xf>
    <xf numFmtId="1" fontId="0" fillId="0" borderId="0" xfId="2" applyNumberFormat="1" applyFont="1" applyAlignment="1">
      <alignment horizontal="center" vertical="center"/>
    </xf>
    <xf numFmtId="9" fontId="0" fillId="0" borderId="0" xfId="2"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xf>
    <xf numFmtId="1" fontId="0" fillId="0" borderId="0" xfId="0" applyNumberFormat="1" applyAlignment="1">
      <alignment horizontal="center" vertical="center"/>
    </xf>
    <xf numFmtId="0" fontId="3" fillId="3" borderId="2" xfId="0" applyFont="1" applyFill="1" applyBorder="1" applyAlignment="1">
      <alignment horizontal="center" vertical="center"/>
    </xf>
    <xf numFmtId="0" fontId="1" fillId="0" borderId="0" xfId="0" applyFont="1"/>
    <xf numFmtId="0" fontId="0" fillId="0" borderId="0" xfId="0" applyAlignment="1">
      <alignment horizontal="left" indent="1"/>
    </xf>
    <xf numFmtId="9" fontId="0" fillId="0" borderId="0" xfId="0" applyNumberFormat="1"/>
    <xf numFmtId="165" fontId="0" fillId="0" borderId="0" xfId="1" applyNumberFormat="1" applyFont="1"/>
    <xf numFmtId="2" fontId="0" fillId="0" borderId="0" xfId="0" applyNumberFormat="1"/>
    <xf numFmtId="165" fontId="0" fillId="0" borderId="0" xfId="0" applyNumberFormat="1"/>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0" fillId="0" borderId="0" xfId="0" applyAlignment="1">
      <alignment horizontal="left" indent="5"/>
    </xf>
    <xf numFmtId="0" fontId="0" fillId="0" borderId="0" xfId="0" pivotButton="1" applyAlignment="1">
      <alignment horizontal="center" vertical="center"/>
    </xf>
    <xf numFmtId="0" fontId="0" fillId="0" borderId="0" xfId="0" pivotButton="1" applyAlignment="1">
      <alignment horizontal="center" vertical="center" wrapText="1"/>
    </xf>
    <xf numFmtId="0" fontId="0" fillId="0" borderId="0" xfId="0" applyAlignment="1">
      <alignment horizontal="center" vertical="center" wrapText="1"/>
    </xf>
    <xf numFmtId="10" fontId="0" fillId="0" borderId="0" xfId="0" applyNumberFormat="1"/>
    <xf numFmtId="0" fontId="6" fillId="4"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4" borderId="0" xfId="0" applyFont="1" applyFill="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5" fillId="3" borderId="1" xfId="0" applyFont="1" applyFill="1" applyBorder="1" applyAlignment="1">
      <alignment horizontal="center" vertical="center" wrapText="1"/>
    </xf>
    <xf numFmtId="0" fontId="4" fillId="4" borderId="0" xfId="0" applyFont="1" applyFill="1" applyAlignment="1">
      <alignment horizontal="center"/>
    </xf>
    <xf numFmtId="0" fontId="0" fillId="0" borderId="0" xfId="0" applyAlignment="1">
      <alignment horizontal="center"/>
    </xf>
  </cellXfs>
  <cellStyles count="3">
    <cellStyle name="Comma" xfId="1" builtinId="3"/>
    <cellStyle name="Normal" xfId="0" builtinId="0"/>
    <cellStyle name="Percent" xfId="2" builtinId="5"/>
  </cellStyles>
  <dxfs count="139">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723554904474152E-2"/>
          <c:y val="2.5440499182885157E-2"/>
          <c:w val="0.88476697169610552"/>
          <c:h val="0.99201145311381533"/>
        </c:manualLayout>
      </c:layout>
      <c:doughnutChart>
        <c:varyColors val="1"/>
        <c:ser>
          <c:idx val="0"/>
          <c:order val="0"/>
          <c:dPt>
            <c:idx val="0"/>
            <c:bubble3D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39C-4B13-8F90-CD9E45A0B9DA}"/>
              </c:ext>
            </c:extLst>
          </c:dPt>
          <c:dPt>
            <c:idx val="1"/>
            <c:bubble3D val="0"/>
            <c:spPr>
              <a:solidFill>
                <a:srgbClr val="C00000"/>
              </a:solidFill>
              <a:ln>
                <a:solidFill>
                  <a:schemeClr val="accent5">
                    <a:lumMod val="20000"/>
                    <a:lumOff val="8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39C-4B13-8F90-CD9E45A0B9DA}"/>
              </c:ext>
            </c:extLst>
          </c:dPt>
          <c:dLbls>
            <c:delete val="1"/>
          </c:dLbls>
          <c:val>
            <c:numRef>
              <c:f>Pivot!$O$27:$O$28</c:f>
              <c:numCache>
                <c:formatCode>0.00%</c:formatCode>
                <c:ptCount val="2"/>
                <c:pt idx="0">
                  <c:v>7.3896409217668019E-2</c:v>
                </c:pt>
                <c:pt idx="1">
                  <c:v>0.92610359078233195</c:v>
                </c:pt>
              </c:numCache>
            </c:numRef>
          </c:val>
          <c:extLst>
            <c:ext xmlns:c16="http://schemas.microsoft.com/office/drawing/2014/chart" uri="{C3380CC4-5D6E-409C-BE32-E72D297353CC}">
              <c16:uniqueId val="{00000004-639C-4B13-8F90-CD9E45A0B9DA}"/>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50155417140021674"/>
          <c:y val="1.7607440979691861E-2"/>
          <c:w val="0.48653275483421715"/>
          <c:h val="0.83377541998231652"/>
        </c:manualLayout>
      </c:layout>
      <c:bar3DChart>
        <c:barDir val="bar"/>
        <c:grouping val="clustered"/>
        <c:varyColors val="0"/>
        <c:ser>
          <c:idx val="0"/>
          <c:order val="0"/>
          <c:spPr>
            <a:gradFill flip="none" rotWithShape="1">
              <a:gsLst>
                <a:gs pos="0">
                  <a:schemeClr val="accent3">
                    <a:lumMod val="40000"/>
                    <a:lumOff val="60000"/>
                  </a:schemeClr>
                </a:gs>
                <a:gs pos="46000">
                  <a:srgbClr val="00B050"/>
                </a:gs>
                <a:gs pos="100000">
                  <a:srgbClr val="00B050"/>
                </a:gs>
              </a:gsLst>
              <a:lin ang="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Pivot!$D$27:$D$31</c:f>
              <c:strCache>
                <c:ptCount val="5"/>
                <c:pt idx="0">
                  <c:v>Alpha Supplies</c:v>
                </c:pt>
                <c:pt idx="1">
                  <c:v>Beta Traders</c:v>
                </c:pt>
                <c:pt idx="2">
                  <c:v>Global Sourcing</c:v>
                </c:pt>
                <c:pt idx="3">
                  <c:v>NextGen Materials</c:v>
                </c:pt>
                <c:pt idx="4">
                  <c:v>Prime Industries</c:v>
                </c:pt>
              </c:strCache>
            </c:strRef>
          </c:cat>
          <c:val>
            <c:numRef>
              <c:f>Pivot!$E$27:$E$31</c:f>
              <c:numCache>
                <c:formatCode>0%</c:formatCode>
                <c:ptCount val="5"/>
                <c:pt idx="0">
                  <c:v>6.6174124541031026E-2</c:v>
                </c:pt>
                <c:pt idx="1">
                  <c:v>8.4651267084613915E-2</c:v>
                </c:pt>
                <c:pt idx="2">
                  <c:v>6.3940200400843791E-2</c:v>
                </c:pt>
                <c:pt idx="3">
                  <c:v>8.6866054664408485E-2</c:v>
                </c:pt>
                <c:pt idx="4">
                  <c:v>6.6039303994857967E-2</c:v>
                </c:pt>
              </c:numCache>
            </c:numRef>
          </c:val>
          <c:extLst>
            <c:ext xmlns:c16="http://schemas.microsoft.com/office/drawing/2014/chart" uri="{C3380CC4-5D6E-409C-BE32-E72D297353CC}">
              <c16:uniqueId val="{00000000-ACF2-449C-8B1B-CB50036FCE06}"/>
            </c:ext>
          </c:extLst>
        </c:ser>
        <c:dLbls>
          <c:showLegendKey val="0"/>
          <c:showVal val="1"/>
          <c:showCatName val="0"/>
          <c:showSerName val="0"/>
          <c:showPercent val="0"/>
          <c:showBubbleSize val="0"/>
        </c:dLbls>
        <c:gapWidth val="150"/>
        <c:gapDepth val="0"/>
        <c:shape val="box"/>
        <c:axId val="598828175"/>
        <c:axId val="628929935"/>
        <c:axId val="0"/>
      </c:bar3DChart>
      <c:catAx>
        <c:axId val="5988281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8929935"/>
        <c:crosses val="autoZero"/>
        <c:auto val="1"/>
        <c:lblAlgn val="ctr"/>
        <c:lblOffset val="100"/>
        <c:noMultiLvlLbl val="0"/>
      </c:catAx>
      <c:valAx>
        <c:axId val="628929935"/>
        <c:scaling>
          <c:orientation val="minMax"/>
        </c:scaling>
        <c:delete val="1"/>
        <c:axPos val="b"/>
        <c:numFmt formatCode="0%" sourceLinked="1"/>
        <c:majorTickMark val="out"/>
        <c:minorTickMark val="none"/>
        <c:tickLblPos val="nextTo"/>
        <c:crossAx val="59882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7.0118662351672065E-2"/>
          <c:y val="7.2316384180790963E-2"/>
          <c:w val="0.82092772384034518"/>
          <c:h val="0.85988700564971754"/>
        </c:manualLayout>
      </c:layout>
      <c:pieChart>
        <c:varyColors val="1"/>
        <c:dLbls>
          <c:dLblPos val="inEnd"/>
          <c:showLegendKey val="0"/>
          <c:showVal val="0"/>
          <c:showCatName val="1"/>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[Procurement Analytics Dashboard.xlsx]Pivot!PivotTable11</c:name>
    <c:fmtId val="13"/>
  </c:pivotSource>
  <c:chart>
    <c:autoTitleDeleted val="1"/>
    <c:pivotFmts>
      <c:pivotFmt>
        <c:idx val="0"/>
        <c:spPr>
          <a:gradFill flip="none" rotWithShape="1">
            <a:gsLst>
              <a:gs pos="100000">
                <a:schemeClr val="accent3">
                  <a:alpha val="0"/>
                </a:schemeClr>
              </a:gs>
              <a:gs pos="50000">
                <a:schemeClr val="accent3"/>
              </a:gs>
            </a:gsLst>
            <a:lin ang="5400000" scaled="0"/>
          </a:gradFill>
          <a:ln>
            <a:noFill/>
          </a:ln>
          <a:effectLst/>
          <a:sp3d/>
        </c:spPr>
        <c:marker>
          <c:symbol val="circle"/>
          <c:size val="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pivotFmt>
      <c:pivotFmt>
        <c:idx val="1"/>
        <c:spPr>
          <a:gradFill flip="none" rotWithShape="1">
            <a:gsLst>
              <a:gs pos="100000">
                <a:schemeClr val="accent3">
                  <a:alpha val="0"/>
                </a:schemeClr>
              </a:gs>
              <a:gs pos="50000">
                <a:schemeClr val="accent3"/>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3">
                  <a:alpha val="0"/>
                </a:schemeClr>
              </a:gs>
              <a:gs pos="50000">
                <a:schemeClr val="accent3"/>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6353249961401877E-2"/>
          <c:y val="5.2309711286089237E-2"/>
          <c:w val="0.89705709796656041"/>
          <c:h val="0.77437345331833518"/>
        </c:manualLayout>
      </c:layout>
      <c:bar3DChart>
        <c:barDir val="col"/>
        <c:grouping val="standard"/>
        <c:varyColors val="0"/>
        <c:ser>
          <c:idx val="0"/>
          <c:order val="0"/>
          <c:tx>
            <c:strRef>
              <c:f>Pivot!$B$59</c:f>
              <c:strCache>
                <c:ptCount val="1"/>
                <c:pt idx="0">
                  <c:v>Total</c:v>
                </c:pt>
              </c:strCache>
            </c:strRef>
          </c:tx>
          <c:spPr>
            <a:gradFill>
              <a:gsLst>
                <a:gs pos="100000">
                  <a:schemeClr val="accent3">
                    <a:alpha val="0"/>
                  </a:schemeClr>
                </a:gs>
                <a:gs pos="50000">
                  <a:schemeClr val="accent3"/>
                </a:gs>
              </a:gsLst>
              <a:lin ang="5400000" scaled="0"/>
            </a:gradFill>
            <a:ln>
              <a:noFill/>
            </a:ln>
            <a:effectLst/>
            <a:sp3d/>
          </c:spPr>
          <c:invertIfNegative val="0"/>
          <c:cat>
            <c:strRef>
              <c:f>Pivot!$A$60:$A$72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Pivot!$B$60:$B$72</c:f>
              <c:numCache>
                <c:formatCode>_-[$$-409]* #,##0_ ;_-[$$-409]* \-#,##0\ ;_-[$$-409]* "-"??_ ;_-@_ </c:formatCode>
                <c:ptCount val="12"/>
                <c:pt idx="0">
                  <c:v>180504.46</c:v>
                </c:pt>
                <c:pt idx="1">
                  <c:v>255985.22999999998</c:v>
                </c:pt>
                <c:pt idx="2">
                  <c:v>120535.49</c:v>
                </c:pt>
                <c:pt idx="3">
                  <c:v>317294.37</c:v>
                </c:pt>
                <c:pt idx="4">
                  <c:v>223041.94000000003</c:v>
                </c:pt>
                <c:pt idx="5">
                  <c:v>434029.27</c:v>
                </c:pt>
                <c:pt idx="6">
                  <c:v>277519.51</c:v>
                </c:pt>
                <c:pt idx="7">
                  <c:v>65160.959999999999</c:v>
                </c:pt>
                <c:pt idx="8">
                  <c:v>441133.26</c:v>
                </c:pt>
                <c:pt idx="9">
                  <c:v>922046.24</c:v>
                </c:pt>
                <c:pt idx="10">
                  <c:v>271512.20999999996</c:v>
                </c:pt>
                <c:pt idx="11">
                  <c:v>377649.70000000007</c:v>
                </c:pt>
              </c:numCache>
            </c:numRef>
          </c:val>
          <c:extLst>
            <c:ext xmlns:c16="http://schemas.microsoft.com/office/drawing/2014/chart" uri="{C3380CC4-5D6E-409C-BE32-E72D297353CC}">
              <c16:uniqueId val="{00000000-6A76-47AD-B840-461329D01D84}"/>
            </c:ext>
          </c:extLst>
        </c:ser>
        <c:dLbls>
          <c:showLegendKey val="0"/>
          <c:showVal val="0"/>
          <c:showCatName val="0"/>
          <c:showSerName val="0"/>
          <c:showPercent val="0"/>
          <c:showBubbleSize val="0"/>
        </c:dLbls>
        <c:gapWidth val="150"/>
        <c:gapDepth val="0"/>
        <c:shape val="box"/>
        <c:axId val="560454623"/>
        <c:axId val="560444063"/>
        <c:axId val="1956079135"/>
      </c:bar3DChart>
      <c:catAx>
        <c:axId val="56045462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444063"/>
        <c:crosses val="autoZero"/>
        <c:auto val="1"/>
        <c:lblAlgn val="ctr"/>
        <c:lblOffset val="100"/>
        <c:noMultiLvlLbl val="0"/>
      </c:catAx>
      <c:valAx>
        <c:axId val="560444063"/>
        <c:scaling>
          <c:orientation val="minMax"/>
        </c:scaling>
        <c:delete val="0"/>
        <c:axPos val="l"/>
        <c:majorGridlines>
          <c:spPr>
            <a:ln w="9525" cap="flat" cmpd="sng" algn="ctr">
              <a:solidFill>
                <a:schemeClr val="tx1">
                  <a:lumMod val="5000"/>
                  <a:lumOff val="9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454623"/>
        <c:crosses val="autoZero"/>
        <c:crossBetween val="between"/>
      </c:valAx>
      <c:serAx>
        <c:axId val="1956079135"/>
        <c:scaling>
          <c:orientation val="minMax"/>
        </c:scaling>
        <c:delete val="1"/>
        <c:axPos val="b"/>
        <c:majorTickMark val="out"/>
        <c:minorTickMark val="none"/>
        <c:tickLblPos val="nextTo"/>
        <c:crossAx val="560444063"/>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[Procurement Analytics Dashboard.xlsx]Pivot!PivotTable12</c:name>
    <c:fmtId val="18"/>
  </c:pivotSource>
  <c:chart>
    <c:autoTitleDeleted val="1"/>
    <c:pivotFmts>
      <c:pivotFmt>
        <c:idx val="0"/>
        <c:spPr>
          <a:gradFill flip="none" rotWithShape="1">
            <a:gsLst>
              <a:gs pos="100000">
                <a:schemeClr val="accent2">
                  <a:alpha val="0"/>
                </a:schemeClr>
              </a:gs>
              <a:gs pos="50000">
                <a:schemeClr val="accent2"/>
              </a:gs>
            </a:gsLst>
            <a:lin ang="5400000" scaled="0"/>
          </a:gradFill>
          <a:ln>
            <a:noFill/>
          </a:ln>
          <a:effectLst/>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404299313065739E-2"/>
          <c:y val="6.7146599649933802E-2"/>
          <c:w val="0.93440465103152426"/>
          <c:h val="0.75828963279462658"/>
        </c:manualLayout>
      </c:layout>
      <c:bar3DChart>
        <c:barDir val="col"/>
        <c:grouping val="standard"/>
        <c:varyColors val="0"/>
        <c:ser>
          <c:idx val="0"/>
          <c:order val="0"/>
          <c:tx>
            <c:strRef>
              <c:f>Pivot!$B$76</c:f>
              <c:strCache>
                <c:ptCount val="1"/>
                <c:pt idx="0">
                  <c:v>Total</c:v>
                </c:pt>
              </c:strCache>
            </c:strRef>
          </c:tx>
          <c:spPr>
            <a:gradFill>
              <a:gsLst>
                <a:gs pos="100000">
                  <a:schemeClr val="accent2">
                    <a:alpha val="0"/>
                  </a:schemeClr>
                </a:gs>
                <a:gs pos="50000">
                  <a:schemeClr val="accent2"/>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Pivot!$A$77:$A$89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Pivot!$B$77:$B$89</c:f>
              <c:numCache>
                <c:formatCode>General</c:formatCode>
                <c:ptCount val="12"/>
                <c:pt idx="0">
                  <c:v>4</c:v>
                </c:pt>
                <c:pt idx="1">
                  <c:v>3</c:v>
                </c:pt>
                <c:pt idx="2">
                  <c:v>2</c:v>
                </c:pt>
                <c:pt idx="3">
                  <c:v>5</c:v>
                </c:pt>
                <c:pt idx="4">
                  <c:v>5</c:v>
                </c:pt>
                <c:pt idx="5">
                  <c:v>5</c:v>
                </c:pt>
                <c:pt idx="6">
                  <c:v>3</c:v>
                </c:pt>
                <c:pt idx="7">
                  <c:v>1</c:v>
                </c:pt>
                <c:pt idx="8">
                  <c:v>4</c:v>
                </c:pt>
                <c:pt idx="9">
                  <c:v>7</c:v>
                </c:pt>
                <c:pt idx="10">
                  <c:v>5</c:v>
                </c:pt>
                <c:pt idx="11">
                  <c:v>6</c:v>
                </c:pt>
              </c:numCache>
            </c:numRef>
          </c:val>
          <c:extLst>
            <c:ext xmlns:c16="http://schemas.microsoft.com/office/drawing/2014/chart" uri="{C3380CC4-5D6E-409C-BE32-E72D297353CC}">
              <c16:uniqueId val="{00000000-FAC4-4290-BE98-394497B9F00F}"/>
            </c:ext>
          </c:extLst>
        </c:ser>
        <c:dLbls>
          <c:showLegendKey val="0"/>
          <c:showVal val="1"/>
          <c:showCatName val="0"/>
          <c:showSerName val="0"/>
          <c:showPercent val="0"/>
          <c:showBubbleSize val="0"/>
        </c:dLbls>
        <c:gapWidth val="150"/>
        <c:gapDepth val="0"/>
        <c:shape val="box"/>
        <c:axId val="600574335"/>
        <c:axId val="600574815"/>
        <c:axId val="628806655"/>
      </c:bar3DChart>
      <c:catAx>
        <c:axId val="600574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574815"/>
        <c:crosses val="autoZero"/>
        <c:auto val="1"/>
        <c:lblAlgn val="ctr"/>
        <c:lblOffset val="100"/>
        <c:noMultiLvlLbl val="0"/>
      </c:catAx>
      <c:valAx>
        <c:axId val="600574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574335"/>
        <c:crosses val="autoZero"/>
        <c:crossBetween val="between"/>
      </c:valAx>
      <c:serAx>
        <c:axId val="628806655"/>
        <c:scaling>
          <c:orientation val="minMax"/>
        </c:scaling>
        <c:delete val="1"/>
        <c:axPos val="b"/>
        <c:majorTickMark val="none"/>
        <c:minorTickMark val="none"/>
        <c:tickLblPos val="nextTo"/>
        <c:crossAx val="60057481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[Procurement Analytics Dashboard.xlsx]Pivot!PivotTable13</c:name>
    <c:fmtId val="23"/>
  </c:pivotSource>
  <c:chart>
    <c:autoTitleDeleted val="1"/>
    <c:pivotFmts>
      <c:pivotFmt>
        <c:idx val="0"/>
        <c:spPr>
          <a:gradFill flip="none" rotWithShape="1">
            <a:gsLst>
              <a:gs pos="100000">
                <a:schemeClr val="dk1">
                  <a:tint val="88500"/>
                  <a:alpha val="0"/>
                </a:schemeClr>
              </a:gs>
              <a:gs pos="50000">
                <a:schemeClr val="dk1">
                  <a:tint val="88500"/>
                </a:schemeClr>
              </a:gs>
            </a:gsLst>
            <a:lin ang="5400000" scaled="0"/>
          </a:gradFill>
          <a:ln>
            <a:noFill/>
          </a:ln>
          <a:effectLst/>
          <a:sp3d/>
        </c:spPr>
        <c:marker>
          <c:symbol val="circle"/>
          <c:size val="6"/>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w="9525" cap="flat" cmpd="sng" algn="ctr">
              <a:solidFill>
                <a:schemeClr val="dk1">
                  <a:tint val="885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dk1">
                  <a:tint val="88500"/>
                  <a:alpha val="0"/>
                </a:schemeClr>
              </a:gs>
              <a:gs pos="50000">
                <a:schemeClr val="dk1">
                  <a:tint val="885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dk1">
                  <a:tint val="88500"/>
                  <a:alpha val="0"/>
                </a:schemeClr>
              </a:gs>
              <a:gs pos="50000">
                <a:schemeClr val="dk1">
                  <a:tint val="885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506911636045502E-2"/>
          <c:y val="0.16906211723534556"/>
          <c:w val="0.92977264508603086"/>
          <c:h val="0.61682667444347228"/>
        </c:manualLayout>
      </c:layout>
      <c:bar3DChart>
        <c:barDir val="col"/>
        <c:grouping val="standard"/>
        <c:varyColors val="0"/>
        <c:ser>
          <c:idx val="0"/>
          <c:order val="0"/>
          <c:tx>
            <c:strRef>
              <c:f>Pivot!$B$93</c:f>
              <c:strCache>
                <c:ptCount val="1"/>
                <c:pt idx="0">
                  <c:v>Total</c:v>
                </c:pt>
              </c:strCache>
            </c:strRef>
          </c:tx>
          <c:spPr>
            <a:gradFill>
              <a:gsLst>
                <a:gs pos="100000">
                  <a:schemeClr val="dk1">
                    <a:tint val="88500"/>
                    <a:alpha val="0"/>
                  </a:schemeClr>
                </a:gs>
                <a:gs pos="50000">
                  <a:schemeClr val="dk1">
                    <a:tint val="885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Pivot!$A$94:$A$106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Pivot!$B$94:$B$106</c:f>
              <c:numCache>
                <c:formatCode>General</c:formatCode>
                <c:ptCount val="12"/>
                <c:pt idx="0">
                  <c:v>4</c:v>
                </c:pt>
                <c:pt idx="1">
                  <c:v>3</c:v>
                </c:pt>
                <c:pt idx="2">
                  <c:v>2</c:v>
                </c:pt>
                <c:pt idx="3">
                  <c:v>5</c:v>
                </c:pt>
                <c:pt idx="4">
                  <c:v>5</c:v>
                </c:pt>
                <c:pt idx="5">
                  <c:v>5</c:v>
                </c:pt>
                <c:pt idx="6">
                  <c:v>3</c:v>
                </c:pt>
                <c:pt idx="7">
                  <c:v>1</c:v>
                </c:pt>
                <c:pt idx="8">
                  <c:v>4</c:v>
                </c:pt>
                <c:pt idx="9">
                  <c:v>7</c:v>
                </c:pt>
                <c:pt idx="10">
                  <c:v>5</c:v>
                </c:pt>
                <c:pt idx="11">
                  <c:v>6</c:v>
                </c:pt>
              </c:numCache>
            </c:numRef>
          </c:val>
          <c:extLst>
            <c:ext xmlns:c16="http://schemas.microsoft.com/office/drawing/2014/chart" uri="{C3380CC4-5D6E-409C-BE32-E72D297353CC}">
              <c16:uniqueId val="{00000000-0045-4EBA-B1CD-7930734A64C5}"/>
            </c:ext>
          </c:extLst>
        </c:ser>
        <c:dLbls>
          <c:showLegendKey val="0"/>
          <c:showVal val="1"/>
          <c:showCatName val="0"/>
          <c:showSerName val="0"/>
          <c:showPercent val="0"/>
          <c:showBubbleSize val="0"/>
        </c:dLbls>
        <c:gapWidth val="150"/>
        <c:gapDepth val="0"/>
        <c:shape val="box"/>
        <c:axId val="1129490111"/>
        <c:axId val="1129490591"/>
        <c:axId val="1956080815"/>
      </c:bar3DChart>
      <c:catAx>
        <c:axId val="1129490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490591"/>
        <c:crosses val="autoZero"/>
        <c:auto val="1"/>
        <c:lblAlgn val="ctr"/>
        <c:lblOffset val="100"/>
        <c:noMultiLvlLbl val="0"/>
      </c:catAx>
      <c:valAx>
        <c:axId val="1129490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490111"/>
        <c:crosses val="autoZero"/>
        <c:crossBetween val="between"/>
      </c:valAx>
      <c:serAx>
        <c:axId val="1956080815"/>
        <c:scaling>
          <c:orientation val="minMax"/>
        </c:scaling>
        <c:delete val="1"/>
        <c:axPos val="b"/>
        <c:majorTickMark val="none"/>
        <c:minorTickMark val="none"/>
        <c:tickLblPos val="nextTo"/>
        <c:crossAx val="112949059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Analytics Dashboard.xlsx]Pivot!PivotTable14</c:name>
    <c:fmtId val="5"/>
  </c:pivotSource>
  <c:chart>
    <c:autoTitleDeleted val="1"/>
    <c:pivotFmts>
      <c:pivotFmt>
        <c:idx val="0"/>
        <c:spPr>
          <a:solidFill>
            <a:schemeClr val="accent6"/>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6">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5">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6"/>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6"/>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Pivot!$B$110</c:f>
              <c:strCache>
                <c:ptCount val="1"/>
                <c:pt idx="0">
                  <c:v>Total</c:v>
                </c:pt>
              </c:strCache>
            </c:strRef>
          </c:tx>
          <c:dPt>
            <c:idx val="0"/>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ABB4-48F6-8813-7DE86AD0667A}"/>
              </c:ext>
            </c:extLst>
          </c:dPt>
          <c:dPt>
            <c:idx val="1"/>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ABB4-48F6-8813-7DE86AD0667A}"/>
              </c:ext>
            </c:extLst>
          </c:dPt>
          <c:dPt>
            <c:idx val="2"/>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ABB4-48F6-8813-7DE86AD0667A}"/>
              </c:ext>
            </c:extLst>
          </c:dPt>
          <c:dPt>
            <c:idx val="3"/>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ABB4-48F6-8813-7DE86AD0667A}"/>
              </c:ext>
            </c:extLst>
          </c:dPt>
          <c:dPt>
            <c:idx val="4"/>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ABB4-48F6-8813-7DE86AD0667A}"/>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ABB4-48F6-8813-7DE86AD0667A}"/>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ABB4-48F6-8813-7DE86AD0667A}"/>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ABB4-48F6-8813-7DE86AD0667A}"/>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ABB4-48F6-8813-7DE86AD0667A}"/>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ABB4-48F6-8813-7DE86AD0667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Pivot!$A$111:$A$116</c:f>
              <c:strCache>
                <c:ptCount val="5"/>
                <c:pt idx="0">
                  <c:v>IT Equipment</c:v>
                </c:pt>
                <c:pt idx="1">
                  <c:v>Logistics Services</c:v>
                </c:pt>
                <c:pt idx="2">
                  <c:v>Machinery</c:v>
                </c:pt>
                <c:pt idx="3">
                  <c:v>Packaging</c:v>
                </c:pt>
                <c:pt idx="4">
                  <c:v>Raw Materials</c:v>
                </c:pt>
              </c:strCache>
            </c:strRef>
          </c:cat>
          <c:val>
            <c:numRef>
              <c:f>Pivot!$B$111:$B$116</c:f>
              <c:numCache>
                <c:formatCode>General</c:formatCode>
                <c:ptCount val="5"/>
                <c:pt idx="0">
                  <c:v>772817.36999999988</c:v>
                </c:pt>
                <c:pt idx="1">
                  <c:v>1281769.45</c:v>
                </c:pt>
                <c:pt idx="2">
                  <c:v>1272937.69</c:v>
                </c:pt>
                <c:pt idx="3">
                  <c:v>141444.04999999999</c:v>
                </c:pt>
                <c:pt idx="4">
                  <c:v>417444.08</c:v>
                </c:pt>
              </c:numCache>
            </c:numRef>
          </c:val>
          <c:extLst>
            <c:ext xmlns:c16="http://schemas.microsoft.com/office/drawing/2014/chart" uri="{C3380CC4-5D6E-409C-BE32-E72D297353CC}">
              <c16:uniqueId val="{0000000A-ABB4-48F6-8813-7DE86AD0667A}"/>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[Procurement Analytics Dashboard.xlsx]Pivot!PivotTable1</c:name>
    <c:fmtId val="7"/>
  </c:pivotSource>
  <c:chart>
    <c:autoTitleDeleted val="1"/>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3">
                  <a:shade val="53000"/>
                  <a:shade val="51000"/>
                  <a:satMod val="130000"/>
                </a:schemeClr>
              </a:gs>
              <a:gs pos="80000">
                <a:schemeClr val="accent3">
                  <a:shade val="53000"/>
                  <a:shade val="93000"/>
                  <a:satMod val="130000"/>
                </a:schemeClr>
              </a:gs>
              <a:gs pos="100000">
                <a:schemeClr val="accent3">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3">
                  <a:tint val="54000"/>
                  <a:shade val="51000"/>
                  <a:satMod val="130000"/>
                </a:schemeClr>
              </a:gs>
              <a:gs pos="80000">
                <a:schemeClr val="accent3">
                  <a:tint val="54000"/>
                  <a:shade val="93000"/>
                  <a:satMod val="130000"/>
                </a:schemeClr>
              </a:gs>
              <a:gs pos="100000">
                <a:schemeClr val="accent3">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3">
                  <a:shade val="53000"/>
                  <a:shade val="51000"/>
                  <a:satMod val="130000"/>
                </a:schemeClr>
              </a:gs>
              <a:gs pos="80000">
                <a:schemeClr val="accent3">
                  <a:shade val="53000"/>
                  <a:shade val="93000"/>
                  <a:satMod val="130000"/>
                </a:schemeClr>
              </a:gs>
              <a:gs pos="100000">
                <a:schemeClr val="accent3">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3">
                  <a:tint val="54000"/>
                  <a:shade val="51000"/>
                  <a:satMod val="130000"/>
                </a:schemeClr>
              </a:gs>
              <a:gs pos="80000">
                <a:schemeClr val="accent3">
                  <a:tint val="54000"/>
                  <a:shade val="93000"/>
                  <a:satMod val="130000"/>
                </a:schemeClr>
              </a:gs>
              <a:gs pos="100000">
                <a:schemeClr val="accent3">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Pivot!$B$3</c:f>
              <c:strCache>
                <c:ptCount val="1"/>
                <c:pt idx="0">
                  <c:v>Total</c:v>
                </c:pt>
              </c:strCache>
            </c:strRef>
          </c:tx>
          <c:dPt>
            <c:idx val="0"/>
            <c:bubble3D val="0"/>
            <c:spPr>
              <a:gradFill rotWithShape="1">
                <a:gsLst>
                  <a:gs pos="0">
                    <a:schemeClr val="accent3">
                      <a:shade val="53000"/>
                      <a:shade val="51000"/>
                      <a:satMod val="130000"/>
                    </a:schemeClr>
                  </a:gs>
                  <a:gs pos="80000">
                    <a:schemeClr val="accent3">
                      <a:shade val="53000"/>
                      <a:shade val="93000"/>
                      <a:satMod val="130000"/>
                    </a:schemeClr>
                  </a:gs>
                  <a:gs pos="100000">
                    <a:schemeClr val="accent3">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AB9-4A4E-9E99-4FE542CE4AC6}"/>
              </c:ext>
            </c:extLst>
          </c:dPt>
          <c:dPt>
            <c:idx val="1"/>
            <c:bubble3D val="0"/>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AB9-4A4E-9E99-4FE542CE4AC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AB9-4A4E-9E99-4FE542CE4AC6}"/>
              </c:ext>
            </c:extLst>
          </c:dPt>
          <c:dPt>
            <c:idx val="3"/>
            <c:bubble3D val="0"/>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AB9-4A4E-9E99-4FE542CE4AC6}"/>
              </c:ext>
            </c:extLst>
          </c:dPt>
          <c:dPt>
            <c:idx val="4"/>
            <c:bubble3D val="0"/>
            <c:spPr>
              <a:gradFill rotWithShape="1">
                <a:gsLst>
                  <a:gs pos="0">
                    <a:schemeClr val="accent3">
                      <a:tint val="54000"/>
                      <a:shade val="51000"/>
                      <a:satMod val="130000"/>
                    </a:schemeClr>
                  </a:gs>
                  <a:gs pos="80000">
                    <a:schemeClr val="accent3">
                      <a:tint val="54000"/>
                      <a:shade val="93000"/>
                      <a:satMod val="130000"/>
                    </a:schemeClr>
                  </a:gs>
                  <a:gs pos="100000">
                    <a:schemeClr val="accent3">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BAB9-4A4E-9E99-4FE542CE4AC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Pivot!$A$4:$A$9</c:f>
              <c:strCache>
                <c:ptCount val="5"/>
                <c:pt idx="0">
                  <c:v>Alpha Supplies</c:v>
                </c:pt>
                <c:pt idx="1">
                  <c:v>Beta Traders</c:v>
                </c:pt>
                <c:pt idx="2">
                  <c:v>Global Sourcing</c:v>
                </c:pt>
                <c:pt idx="3">
                  <c:v>NextGen Materials</c:v>
                </c:pt>
                <c:pt idx="4">
                  <c:v>Prime Industries</c:v>
                </c:pt>
              </c:strCache>
            </c:strRef>
          </c:cat>
          <c:val>
            <c:numRef>
              <c:f>Pivot!$B$4:$B$9</c:f>
              <c:numCache>
                <c:formatCode>General</c:formatCode>
                <c:ptCount val="5"/>
                <c:pt idx="0">
                  <c:v>903832.80999999982</c:v>
                </c:pt>
                <c:pt idx="1">
                  <c:v>866382.48999999987</c:v>
                </c:pt>
                <c:pt idx="2">
                  <c:v>678956.42</c:v>
                </c:pt>
                <c:pt idx="3">
                  <c:v>672942.32000000007</c:v>
                </c:pt>
                <c:pt idx="4">
                  <c:v>764298.6</c:v>
                </c:pt>
              </c:numCache>
            </c:numRef>
          </c:val>
          <c:extLst>
            <c:ext xmlns:c16="http://schemas.microsoft.com/office/drawing/2014/chart" uri="{C3380CC4-5D6E-409C-BE32-E72D297353CC}">
              <c16:uniqueId val="{0000000A-BAB9-4A4E-9E99-4FE542CE4AC6}"/>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4.png"/><Relationship Id="rId18" Type="http://schemas.openxmlformats.org/officeDocument/2006/relationships/image" Target="../media/image9.sv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hyperlink" Target="https://freepngimg.com/png/64023-green-symbol-dollar-sign-free-clipart-hq" TargetMode="External"/><Relationship Id="rId17" Type="http://schemas.openxmlformats.org/officeDocument/2006/relationships/image" Target="../media/image8.png"/><Relationship Id="rId2" Type="http://schemas.openxmlformats.org/officeDocument/2006/relationships/image" Target="../media/image2.svg"/><Relationship Id="rId16" Type="http://schemas.openxmlformats.org/officeDocument/2006/relationships/image" Target="../media/image7.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3.png"/><Relationship Id="rId5" Type="http://schemas.openxmlformats.org/officeDocument/2006/relationships/chart" Target="../charts/chart3.xml"/><Relationship Id="rId15" Type="http://schemas.openxmlformats.org/officeDocument/2006/relationships/image" Target="../media/image6.png"/><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editAs="oneCell">
    <xdr:from>
      <xdr:col>10</xdr:col>
      <xdr:colOff>381001</xdr:colOff>
      <xdr:row>0</xdr:row>
      <xdr:rowOff>1</xdr:rowOff>
    </xdr:from>
    <xdr:to>
      <xdr:col>11</xdr:col>
      <xdr:colOff>161925</xdr:colOff>
      <xdr:row>1</xdr:row>
      <xdr:rowOff>171450</xdr:rowOff>
    </xdr:to>
    <xdr:pic>
      <xdr:nvPicPr>
        <xdr:cNvPr id="3" name="Graphic 2" descr="Shopping cart with solid fill">
          <a:extLst>
            <a:ext uri="{FF2B5EF4-FFF2-40B4-BE49-F238E27FC236}">
              <a16:creationId xmlns:a16="http://schemas.microsoft.com/office/drawing/2014/main" id="{FB3D35A6-E2E7-0DF5-60B0-C94831AB087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1" y="1"/>
          <a:ext cx="352424" cy="352424"/>
        </a:xfrm>
        <a:prstGeom prst="rect">
          <a:avLst/>
        </a:prstGeom>
      </xdr:spPr>
    </xdr:pic>
    <xdr:clientData/>
  </xdr:twoCellAnchor>
  <xdr:twoCellAnchor>
    <xdr:from>
      <xdr:col>0</xdr:col>
      <xdr:colOff>38100</xdr:colOff>
      <xdr:row>2</xdr:row>
      <xdr:rowOff>123825</xdr:rowOff>
    </xdr:from>
    <xdr:to>
      <xdr:col>2</xdr:col>
      <xdr:colOff>742950</xdr:colOff>
      <xdr:row>13</xdr:row>
      <xdr:rowOff>47626</xdr:rowOff>
    </xdr:to>
    <xdr:graphicFrame macro="">
      <xdr:nvGraphicFramePr>
        <xdr:cNvPr id="6" name="Chart 5">
          <a:extLst>
            <a:ext uri="{FF2B5EF4-FFF2-40B4-BE49-F238E27FC236}">
              <a16:creationId xmlns:a16="http://schemas.microsoft.com/office/drawing/2014/main" id="{FC4E8AAD-A0EB-4FA7-91A6-9C3D29669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485775</xdr:colOff>
      <xdr:row>6</xdr:row>
      <xdr:rowOff>123825</xdr:rowOff>
    </xdr:from>
    <xdr:to>
      <xdr:col>2</xdr:col>
      <xdr:colOff>295274</xdr:colOff>
      <xdr:row>9</xdr:row>
      <xdr:rowOff>57150</xdr:rowOff>
    </xdr:to>
    <xdr:sp macro="" textlink="Pivot!O27">
      <xdr:nvSpPr>
        <xdr:cNvPr id="7" name="TextBox 6">
          <a:extLst>
            <a:ext uri="{FF2B5EF4-FFF2-40B4-BE49-F238E27FC236}">
              <a16:creationId xmlns:a16="http://schemas.microsoft.com/office/drawing/2014/main" id="{573E1E35-EC98-E4B8-0CAF-B08F6CD0D34F}"/>
            </a:ext>
          </a:extLst>
        </xdr:cNvPr>
        <xdr:cNvSpPr txBox="1"/>
      </xdr:nvSpPr>
      <xdr:spPr>
        <a:xfrm>
          <a:off x="485775" y="1209675"/>
          <a:ext cx="1104899"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AB4C70-2BFD-4AB3-93C3-9853F4DD1BA8}" type="TxLink">
            <a:rPr lang="en-US" sz="2800" b="1" i="0" u="none" strike="noStrike">
              <a:solidFill>
                <a:srgbClr val="00B050"/>
              </a:solidFill>
              <a:latin typeface="Calibri"/>
              <a:ea typeface="Calibri"/>
              <a:cs typeface="Calibri"/>
            </a:rPr>
            <a:pPr algn="ctr"/>
            <a:t>7.39%</a:t>
          </a:fld>
          <a:endParaRPr lang="en-IN" sz="2800" b="1">
            <a:solidFill>
              <a:srgbClr val="00B050"/>
            </a:solidFill>
          </a:endParaRPr>
        </a:p>
      </xdr:txBody>
    </xdr:sp>
    <xdr:clientData/>
  </xdr:twoCellAnchor>
  <xdr:twoCellAnchor>
    <xdr:from>
      <xdr:col>0</xdr:col>
      <xdr:colOff>0</xdr:colOff>
      <xdr:row>12</xdr:row>
      <xdr:rowOff>123824</xdr:rowOff>
    </xdr:from>
    <xdr:to>
      <xdr:col>2</xdr:col>
      <xdr:colOff>857249</xdr:colOff>
      <xdr:row>16</xdr:row>
      <xdr:rowOff>114299</xdr:rowOff>
    </xdr:to>
    <xdr:sp macro="" textlink="Pivot!O27">
      <xdr:nvSpPr>
        <xdr:cNvPr id="8" name="TextBox 7">
          <a:extLst>
            <a:ext uri="{FF2B5EF4-FFF2-40B4-BE49-F238E27FC236}">
              <a16:creationId xmlns:a16="http://schemas.microsoft.com/office/drawing/2014/main" id="{EE8B8E31-8BE7-48A3-88B4-F6B6919337B1}"/>
            </a:ext>
          </a:extLst>
        </xdr:cNvPr>
        <xdr:cNvSpPr txBox="1"/>
      </xdr:nvSpPr>
      <xdr:spPr>
        <a:xfrm>
          <a:off x="0" y="2295524"/>
          <a:ext cx="2152649"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ysClr val="windowText" lastClr="000000"/>
              </a:solidFill>
              <a:latin typeface="Bahnschrift SemiBold Condensed" panose="020B0502040204020203" pitchFamily="34" charset="0"/>
              <a:ea typeface="Calibri"/>
              <a:cs typeface="Calibri"/>
            </a:rPr>
            <a:t>Overall</a:t>
          </a:r>
          <a:r>
            <a:rPr lang="en-US" sz="1600" b="1" i="0" u="none" strike="noStrike" baseline="0">
              <a:solidFill>
                <a:sysClr val="windowText" lastClr="000000"/>
              </a:solidFill>
              <a:latin typeface="Bahnschrift SemiBold Condensed" panose="020B0502040204020203" pitchFamily="34" charset="0"/>
              <a:ea typeface="Calibri"/>
              <a:cs typeface="Calibri"/>
            </a:rPr>
            <a:t> </a:t>
          </a:r>
          <a:r>
            <a:rPr lang="en-US" sz="1600" b="1" i="0" u="none" strike="noStrike">
              <a:solidFill>
                <a:sysClr val="windowText" lastClr="000000"/>
              </a:solidFill>
              <a:latin typeface="Bahnschrift SemiBold Condensed" panose="020B0502040204020203" pitchFamily="34" charset="0"/>
              <a:ea typeface="Calibri"/>
              <a:cs typeface="Calibri"/>
            </a:rPr>
            <a:t>Cost Saving</a:t>
          </a:r>
          <a:endParaRPr lang="en-IN" sz="1600" b="1">
            <a:solidFill>
              <a:sysClr val="windowText" lastClr="000000"/>
            </a:solidFill>
            <a:latin typeface="Bahnschrift SemiBold Condensed" panose="020B0502040204020203" pitchFamily="34" charset="0"/>
          </a:endParaRPr>
        </a:p>
      </xdr:txBody>
    </xdr:sp>
    <xdr:clientData/>
  </xdr:twoCellAnchor>
  <xdr:twoCellAnchor>
    <xdr:from>
      <xdr:col>3</xdr:col>
      <xdr:colOff>266700</xdr:colOff>
      <xdr:row>2</xdr:row>
      <xdr:rowOff>142875</xdr:rowOff>
    </xdr:from>
    <xdr:to>
      <xdr:col>5</xdr:col>
      <xdr:colOff>533400</xdr:colOff>
      <xdr:row>7</xdr:row>
      <xdr:rowOff>38100</xdr:rowOff>
    </xdr:to>
    <xdr:sp macro="" textlink="">
      <xdr:nvSpPr>
        <xdr:cNvPr id="9" name="Rectangle: Rounded Corners 8">
          <a:extLst>
            <a:ext uri="{FF2B5EF4-FFF2-40B4-BE49-F238E27FC236}">
              <a16:creationId xmlns:a16="http://schemas.microsoft.com/office/drawing/2014/main" id="{17FFE63F-4511-984E-0F53-77A7044A490C}"/>
            </a:ext>
          </a:extLst>
        </xdr:cNvPr>
        <xdr:cNvSpPr/>
      </xdr:nvSpPr>
      <xdr:spPr>
        <a:xfrm>
          <a:off x="2209800" y="504825"/>
          <a:ext cx="1562100" cy="800100"/>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190500</xdr:colOff>
      <xdr:row>5</xdr:row>
      <xdr:rowOff>38100</xdr:rowOff>
    </xdr:from>
    <xdr:to>
      <xdr:col>6</xdr:col>
      <xdr:colOff>171450</xdr:colOff>
      <xdr:row>6</xdr:row>
      <xdr:rowOff>123825</xdr:rowOff>
    </xdr:to>
    <xdr:sp macro="" textlink="">
      <xdr:nvSpPr>
        <xdr:cNvPr id="10" name="TextBox 9">
          <a:extLst>
            <a:ext uri="{FF2B5EF4-FFF2-40B4-BE49-F238E27FC236}">
              <a16:creationId xmlns:a16="http://schemas.microsoft.com/office/drawing/2014/main" id="{D4547C8D-F32E-5D69-875C-8F9080875A6B}"/>
            </a:ext>
          </a:extLst>
        </xdr:cNvPr>
        <xdr:cNvSpPr txBox="1"/>
      </xdr:nvSpPr>
      <xdr:spPr>
        <a:xfrm>
          <a:off x="2400300" y="942975"/>
          <a:ext cx="1447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Total Spend</a:t>
          </a:r>
        </a:p>
      </xdr:txBody>
    </xdr:sp>
    <xdr:clientData/>
  </xdr:twoCellAnchor>
  <xdr:twoCellAnchor>
    <xdr:from>
      <xdr:col>3</xdr:col>
      <xdr:colOff>371474</xdr:colOff>
      <xdr:row>2</xdr:row>
      <xdr:rowOff>161925</xdr:rowOff>
    </xdr:from>
    <xdr:to>
      <xdr:col>6</xdr:col>
      <xdr:colOff>114300</xdr:colOff>
      <xdr:row>5</xdr:row>
      <xdr:rowOff>133350</xdr:rowOff>
    </xdr:to>
    <xdr:sp macro="" textlink="Pivot!H4">
      <xdr:nvSpPr>
        <xdr:cNvPr id="11" name="TextBox 10">
          <a:extLst>
            <a:ext uri="{FF2B5EF4-FFF2-40B4-BE49-F238E27FC236}">
              <a16:creationId xmlns:a16="http://schemas.microsoft.com/office/drawing/2014/main" id="{BAF32D49-3ED4-4631-A8B3-38D471F388B9}"/>
            </a:ext>
          </a:extLst>
        </xdr:cNvPr>
        <xdr:cNvSpPr txBox="1"/>
      </xdr:nvSpPr>
      <xdr:spPr>
        <a:xfrm>
          <a:off x="2314574" y="523875"/>
          <a:ext cx="1685926"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72F7F4-F88C-4A86-B066-177043C1CFD8}" type="TxLink">
            <a:rPr lang="en-US" sz="2400" b="0" i="0" u="none" strike="noStrike">
              <a:solidFill>
                <a:srgbClr val="00B050"/>
              </a:solidFill>
              <a:latin typeface="Bahnschrift SemiBold Condensed" panose="020B0502040204020203" pitchFamily="34" charset="0"/>
              <a:ea typeface="Calibri"/>
              <a:cs typeface="Calibri"/>
            </a:rPr>
            <a:pPr/>
            <a:t> $38,86,413 </a:t>
          </a:fld>
          <a:endParaRPr lang="en-IN" sz="2400">
            <a:solidFill>
              <a:srgbClr val="00B050"/>
            </a:solidFill>
            <a:latin typeface="Bahnschrift SemiBold Condensed" panose="020B0502040204020203" pitchFamily="34" charset="0"/>
          </a:endParaRPr>
        </a:p>
      </xdr:txBody>
    </xdr:sp>
    <xdr:clientData/>
  </xdr:twoCellAnchor>
  <xdr:twoCellAnchor>
    <xdr:from>
      <xdr:col>6</xdr:col>
      <xdr:colOff>142875</xdr:colOff>
      <xdr:row>2</xdr:row>
      <xdr:rowOff>152400</xdr:rowOff>
    </xdr:from>
    <xdr:to>
      <xdr:col>8</xdr:col>
      <xdr:colOff>409575</xdr:colOff>
      <xdr:row>7</xdr:row>
      <xdr:rowOff>47625</xdr:rowOff>
    </xdr:to>
    <xdr:sp macro="" textlink="">
      <xdr:nvSpPr>
        <xdr:cNvPr id="12" name="Rectangle: Rounded Corners 11">
          <a:extLst>
            <a:ext uri="{FF2B5EF4-FFF2-40B4-BE49-F238E27FC236}">
              <a16:creationId xmlns:a16="http://schemas.microsoft.com/office/drawing/2014/main" id="{7090F802-3A0B-461F-A48C-77997DB7BC70}"/>
            </a:ext>
          </a:extLst>
        </xdr:cNvPr>
        <xdr:cNvSpPr/>
      </xdr:nvSpPr>
      <xdr:spPr>
        <a:xfrm>
          <a:off x="4029075" y="514350"/>
          <a:ext cx="1562100" cy="800100"/>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333375</xdr:colOff>
      <xdr:row>5</xdr:row>
      <xdr:rowOff>47625</xdr:rowOff>
    </xdr:from>
    <xdr:to>
      <xdr:col>8</xdr:col>
      <xdr:colOff>342900</xdr:colOff>
      <xdr:row>6</xdr:row>
      <xdr:rowOff>133350</xdr:rowOff>
    </xdr:to>
    <xdr:sp macro="" textlink="">
      <xdr:nvSpPr>
        <xdr:cNvPr id="13" name="TextBox 12">
          <a:extLst>
            <a:ext uri="{FF2B5EF4-FFF2-40B4-BE49-F238E27FC236}">
              <a16:creationId xmlns:a16="http://schemas.microsoft.com/office/drawing/2014/main" id="{8103F188-AB1A-433E-8BF8-63C6ED736636}"/>
            </a:ext>
          </a:extLst>
        </xdr:cNvPr>
        <xdr:cNvSpPr txBox="1"/>
      </xdr:nvSpPr>
      <xdr:spPr>
        <a:xfrm>
          <a:off x="4219575" y="952500"/>
          <a:ext cx="13049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On</a:t>
          </a:r>
          <a:r>
            <a:rPr lang="en-IN" sz="1600" baseline="0">
              <a:latin typeface="Bahnschrift SemiBold Condensed" panose="020B0502040204020203" pitchFamily="34" charset="0"/>
            </a:rPr>
            <a:t> Time In Full</a:t>
          </a:r>
          <a:endParaRPr lang="en-IN" sz="1600">
            <a:latin typeface="Bahnschrift SemiBold Condensed" panose="020B0502040204020203" pitchFamily="34" charset="0"/>
          </a:endParaRPr>
        </a:p>
      </xdr:txBody>
    </xdr:sp>
    <xdr:clientData/>
  </xdr:twoCellAnchor>
  <xdr:twoCellAnchor>
    <xdr:from>
      <xdr:col>7</xdr:col>
      <xdr:colOff>57149</xdr:colOff>
      <xdr:row>3</xdr:row>
      <xdr:rowOff>19050</xdr:rowOff>
    </xdr:from>
    <xdr:to>
      <xdr:col>8</xdr:col>
      <xdr:colOff>28575</xdr:colOff>
      <xdr:row>5</xdr:row>
      <xdr:rowOff>66675</xdr:rowOff>
    </xdr:to>
    <xdr:sp macro="" textlink="Pivot!E21">
      <xdr:nvSpPr>
        <xdr:cNvPr id="14" name="TextBox 13">
          <a:extLst>
            <a:ext uri="{FF2B5EF4-FFF2-40B4-BE49-F238E27FC236}">
              <a16:creationId xmlns:a16="http://schemas.microsoft.com/office/drawing/2014/main" id="{056CDA61-F5D4-4E86-8428-DA40C144440E}"/>
            </a:ext>
          </a:extLst>
        </xdr:cNvPr>
        <xdr:cNvSpPr txBox="1"/>
      </xdr:nvSpPr>
      <xdr:spPr>
        <a:xfrm>
          <a:off x="4381499" y="561975"/>
          <a:ext cx="619126"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E5D88CA-2888-4AB0-A30B-155C5EC4102A}" type="TxLink">
            <a:rPr lang="en-US" sz="2400" b="0" i="0" u="none" strike="noStrike">
              <a:solidFill>
                <a:srgbClr val="C00000"/>
              </a:solidFill>
              <a:latin typeface="Bahnschrift SemiBold Condensed" panose="020B0502040204020203" pitchFamily="34" charset="0"/>
              <a:ea typeface="Calibri"/>
              <a:cs typeface="Calibri"/>
            </a:rPr>
            <a:pPr marL="0" indent="0"/>
            <a:t>16%</a:t>
          </a:fld>
          <a:endParaRPr lang="en-IN" sz="2400" b="0" i="0" u="none" strike="noStrike">
            <a:solidFill>
              <a:srgbClr val="C00000"/>
            </a:solidFill>
            <a:latin typeface="Bahnschrift SemiBold Condensed" panose="020B0502040204020203" pitchFamily="34" charset="0"/>
            <a:ea typeface="Calibri"/>
            <a:cs typeface="Calibri"/>
          </a:endParaRPr>
        </a:p>
      </xdr:txBody>
    </xdr:sp>
    <xdr:clientData/>
  </xdr:twoCellAnchor>
  <xdr:twoCellAnchor>
    <xdr:from>
      <xdr:col>9</xdr:col>
      <xdr:colOff>123825</xdr:colOff>
      <xdr:row>2</xdr:row>
      <xdr:rowOff>161925</xdr:rowOff>
    </xdr:from>
    <xdr:to>
      <xdr:col>11</xdr:col>
      <xdr:colOff>390525</xdr:colOff>
      <xdr:row>7</xdr:row>
      <xdr:rowOff>57150</xdr:rowOff>
    </xdr:to>
    <xdr:sp macro="" textlink="">
      <xdr:nvSpPr>
        <xdr:cNvPr id="15" name="Rectangle: Rounded Corners 14">
          <a:extLst>
            <a:ext uri="{FF2B5EF4-FFF2-40B4-BE49-F238E27FC236}">
              <a16:creationId xmlns:a16="http://schemas.microsoft.com/office/drawing/2014/main" id="{8088376E-6E33-4F0D-9B83-CFAB01C68612}"/>
            </a:ext>
          </a:extLst>
        </xdr:cNvPr>
        <xdr:cNvSpPr/>
      </xdr:nvSpPr>
      <xdr:spPr>
        <a:xfrm>
          <a:off x="5629275" y="523875"/>
          <a:ext cx="1343025" cy="800100"/>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333375</xdr:colOff>
      <xdr:row>5</xdr:row>
      <xdr:rowOff>38100</xdr:rowOff>
    </xdr:from>
    <xdr:to>
      <xdr:col>11</xdr:col>
      <xdr:colOff>323850</xdr:colOff>
      <xdr:row>6</xdr:row>
      <xdr:rowOff>123825</xdr:rowOff>
    </xdr:to>
    <xdr:sp macro="" textlink="">
      <xdr:nvSpPr>
        <xdr:cNvPr id="16" name="TextBox 15">
          <a:extLst>
            <a:ext uri="{FF2B5EF4-FFF2-40B4-BE49-F238E27FC236}">
              <a16:creationId xmlns:a16="http://schemas.microsoft.com/office/drawing/2014/main" id="{96C93C96-48C0-432C-8123-3D995DC82DF0}"/>
            </a:ext>
          </a:extLst>
        </xdr:cNvPr>
        <xdr:cNvSpPr txBox="1"/>
      </xdr:nvSpPr>
      <xdr:spPr>
        <a:xfrm>
          <a:off x="5838825" y="942975"/>
          <a:ext cx="1066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Defect Rate</a:t>
          </a:r>
        </a:p>
      </xdr:txBody>
    </xdr:sp>
    <xdr:clientData/>
  </xdr:twoCellAnchor>
  <xdr:twoCellAnchor>
    <xdr:from>
      <xdr:col>9</xdr:col>
      <xdr:colOff>523875</xdr:colOff>
      <xdr:row>3</xdr:row>
      <xdr:rowOff>19050</xdr:rowOff>
    </xdr:from>
    <xdr:to>
      <xdr:col>11</xdr:col>
      <xdr:colOff>504825</xdr:colOff>
      <xdr:row>5</xdr:row>
      <xdr:rowOff>171450</xdr:rowOff>
    </xdr:to>
    <xdr:sp macro="" textlink="Pivot!H55">
      <xdr:nvSpPr>
        <xdr:cNvPr id="17" name="TextBox 16">
          <a:extLst>
            <a:ext uri="{FF2B5EF4-FFF2-40B4-BE49-F238E27FC236}">
              <a16:creationId xmlns:a16="http://schemas.microsoft.com/office/drawing/2014/main" id="{3966F831-66FB-41D6-9C93-6D56EBB64D6A}"/>
            </a:ext>
          </a:extLst>
        </xdr:cNvPr>
        <xdr:cNvSpPr txBox="1"/>
      </xdr:nvSpPr>
      <xdr:spPr>
        <a:xfrm>
          <a:off x="6353175" y="561975"/>
          <a:ext cx="12763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E0A88E9-A8DB-4F57-B843-38F41B1ECBB2}" type="TxLink">
            <a:rPr lang="en-US" sz="2400" b="0" i="0" u="none" strike="noStrike">
              <a:solidFill>
                <a:srgbClr val="C00000"/>
              </a:solidFill>
              <a:latin typeface="Bahnschrift SemiBold Condensed" panose="020B0502040204020203" pitchFamily="34" charset="0"/>
              <a:ea typeface="Calibri"/>
              <a:cs typeface="Calibri"/>
            </a:rPr>
            <a:pPr marL="0" indent="0"/>
            <a:t>46%</a:t>
          </a:fld>
          <a:endParaRPr lang="en-IN" sz="2400" b="0" i="0" u="none" strike="noStrike">
            <a:solidFill>
              <a:srgbClr val="C00000"/>
            </a:solidFill>
            <a:latin typeface="Bahnschrift SemiBold Condensed" panose="020B0502040204020203" pitchFamily="34" charset="0"/>
            <a:ea typeface="Calibri"/>
            <a:cs typeface="Calibri"/>
          </a:endParaRPr>
        </a:p>
      </xdr:txBody>
    </xdr:sp>
    <xdr:clientData/>
  </xdr:twoCellAnchor>
  <xdr:twoCellAnchor>
    <xdr:from>
      <xdr:col>0</xdr:col>
      <xdr:colOff>28575</xdr:colOff>
      <xdr:row>2</xdr:row>
      <xdr:rowOff>66675</xdr:rowOff>
    </xdr:from>
    <xdr:to>
      <xdr:col>2</xdr:col>
      <xdr:colOff>723900</xdr:colOff>
      <xdr:row>36</xdr:row>
      <xdr:rowOff>1</xdr:rowOff>
    </xdr:to>
    <xdr:sp macro="" textlink="">
      <xdr:nvSpPr>
        <xdr:cNvPr id="18" name="Rectangle: Rounded Corners 17">
          <a:extLst>
            <a:ext uri="{FF2B5EF4-FFF2-40B4-BE49-F238E27FC236}">
              <a16:creationId xmlns:a16="http://schemas.microsoft.com/office/drawing/2014/main" id="{EFF1A727-1989-5398-0328-C4F054B06D3E}"/>
            </a:ext>
          </a:extLst>
        </xdr:cNvPr>
        <xdr:cNvSpPr/>
      </xdr:nvSpPr>
      <xdr:spPr>
        <a:xfrm>
          <a:off x="28575" y="428625"/>
          <a:ext cx="1990725" cy="6448426"/>
        </a:xfrm>
        <a:prstGeom prst="roundRect">
          <a:avLst>
            <a:gd name="adj" fmla="val 3931"/>
          </a:avLst>
        </a:prstGeom>
        <a:noFill/>
        <a:ln w="3175">
          <a:solidFill>
            <a:srgbClr val="00B05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85726</xdr:colOff>
      <xdr:row>15</xdr:row>
      <xdr:rowOff>142875</xdr:rowOff>
    </xdr:from>
    <xdr:to>
      <xdr:col>2</xdr:col>
      <xdr:colOff>657226</xdr:colOff>
      <xdr:row>35</xdr:row>
      <xdr:rowOff>114300</xdr:rowOff>
    </xdr:to>
    <xdr:graphicFrame macro="">
      <xdr:nvGraphicFramePr>
        <xdr:cNvPr id="19" name="Chart 18">
          <a:extLst>
            <a:ext uri="{FF2B5EF4-FFF2-40B4-BE49-F238E27FC236}">
              <a16:creationId xmlns:a16="http://schemas.microsoft.com/office/drawing/2014/main" id="{DE93DDCA-873A-4F1F-B367-249069F54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381000</xdr:colOff>
      <xdr:row>31</xdr:row>
      <xdr:rowOff>85724</xdr:rowOff>
    </xdr:from>
    <xdr:to>
      <xdr:col>2</xdr:col>
      <xdr:colOff>371475</xdr:colOff>
      <xdr:row>34</xdr:row>
      <xdr:rowOff>161924</xdr:rowOff>
    </xdr:to>
    <xdr:sp macro="" textlink="">
      <xdr:nvSpPr>
        <xdr:cNvPr id="20" name="TextBox 19">
          <a:extLst>
            <a:ext uri="{FF2B5EF4-FFF2-40B4-BE49-F238E27FC236}">
              <a16:creationId xmlns:a16="http://schemas.microsoft.com/office/drawing/2014/main" id="{1AE77490-2AA3-46F3-A6AD-277BE34E5FE6}"/>
            </a:ext>
          </a:extLst>
        </xdr:cNvPr>
        <xdr:cNvSpPr txBox="1"/>
      </xdr:nvSpPr>
      <xdr:spPr>
        <a:xfrm>
          <a:off x="381000" y="5695949"/>
          <a:ext cx="128587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Bahnschrift SemiBold Condensed" panose="020B0502040204020203" pitchFamily="34" charset="0"/>
            </a:rPr>
            <a:t>Top</a:t>
          </a:r>
          <a:r>
            <a:rPr lang="en-IN" sz="1600" baseline="0">
              <a:latin typeface="Bahnschrift SemiBold Condensed" panose="020B0502040204020203" pitchFamily="34" charset="0"/>
            </a:rPr>
            <a:t> 5 Suppliers</a:t>
          </a:r>
        </a:p>
        <a:p>
          <a:pPr algn="ctr"/>
          <a:r>
            <a:rPr lang="en-IN" sz="1600" baseline="0">
              <a:latin typeface="Bahnschrift SemiBold Condensed" panose="020B0502040204020203" pitchFamily="34" charset="0"/>
            </a:rPr>
            <a:t>by Cost Saving</a:t>
          </a:r>
          <a:endParaRPr lang="en-IN" sz="1600">
            <a:latin typeface="Bahnschrift SemiBold Condensed" panose="020B0502040204020203" pitchFamily="34" charset="0"/>
          </a:endParaRPr>
        </a:p>
      </xdr:txBody>
    </xdr:sp>
    <xdr:clientData/>
  </xdr:twoCellAnchor>
  <xdr:twoCellAnchor>
    <xdr:from>
      <xdr:col>11</xdr:col>
      <xdr:colOff>600075</xdr:colOff>
      <xdr:row>2</xdr:row>
      <xdr:rowOff>171450</xdr:rowOff>
    </xdr:from>
    <xdr:to>
      <xdr:col>13</xdr:col>
      <xdr:colOff>666750</xdr:colOff>
      <xdr:row>7</xdr:row>
      <xdr:rowOff>66675</xdr:rowOff>
    </xdr:to>
    <xdr:sp macro="" textlink="">
      <xdr:nvSpPr>
        <xdr:cNvPr id="21" name="Rectangle: Rounded Corners 20">
          <a:extLst>
            <a:ext uri="{FF2B5EF4-FFF2-40B4-BE49-F238E27FC236}">
              <a16:creationId xmlns:a16="http://schemas.microsoft.com/office/drawing/2014/main" id="{62AF2505-344A-464E-91AF-46D92D831856}"/>
            </a:ext>
          </a:extLst>
        </xdr:cNvPr>
        <xdr:cNvSpPr/>
      </xdr:nvSpPr>
      <xdr:spPr>
        <a:xfrm>
          <a:off x="7058025" y="533400"/>
          <a:ext cx="1552575" cy="800100"/>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638175</xdr:colOff>
      <xdr:row>5</xdr:row>
      <xdr:rowOff>38100</xdr:rowOff>
    </xdr:from>
    <xdr:to>
      <xdr:col>14</xdr:col>
      <xdr:colOff>180974</xdr:colOff>
      <xdr:row>6</xdr:row>
      <xdr:rowOff>123825</xdr:rowOff>
    </xdr:to>
    <xdr:sp macro="" textlink="">
      <xdr:nvSpPr>
        <xdr:cNvPr id="22" name="TextBox 21">
          <a:extLst>
            <a:ext uri="{FF2B5EF4-FFF2-40B4-BE49-F238E27FC236}">
              <a16:creationId xmlns:a16="http://schemas.microsoft.com/office/drawing/2014/main" id="{D2C0EBA3-5292-40B4-8606-2CD639F70D84}"/>
            </a:ext>
          </a:extLst>
        </xdr:cNvPr>
        <xdr:cNvSpPr txBox="1"/>
      </xdr:nvSpPr>
      <xdr:spPr>
        <a:xfrm>
          <a:off x="7762875" y="942975"/>
          <a:ext cx="148589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Order Delay (Days)</a:t>
          </a:r>
        </a:p>
      </xdr:txBody>
    </xdr:sp>
    <xdr:clientData/>
  </xdr:twoCellAnchor>
  <xdr:twoCellAnchor>
    <xdr:from>
      <xdr:col>12</xdr:col>
      <xdr:colOff>190499</xdr:colOff>
      <xdr:row>3</xdr:row>
      <xdr:rowOff>0</xdr:rowOff>
    </xdr:from>
    <xdr:to>
      <xdr:col>13</xdr:col>
      <xdr:colOff>457200</xdr:colOff>
      <xdr:row>5</xdr:row>
      <xdr:rowOff>152400</xdr:rowOff>
    </xdr:to>
    <xdr:sp macro="" textlink="Pivot!E43">
      <xdr:nvSpPr>
        <xdr:cNvPr id="23" name="TextBox 22">
          <a:extLst>
            <a:ext uri="{FF2B5EF4-FFF2-40B4-BE49-F238E27FC236}">
              <a16:creationId xmlns:a16="http://schemas.microsoft.com/office/drawing/2014/main" id="{490403E2-3F2B-4DC7-89F3-3F58B46FB31B}"/>
            </a:ext>
          </a:extLst>
        </xdr:cNvPr>
        <xdr:cNvSpPr txBox="1"/>
      </xdr:nvSpPr>
      <xdr:spPr>
        <a:xfrm>
          <a:off x="7553324" y="542925"/>
          <a:ext cx="847726"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9A9FD4-F765-4A1A-ADDA-3CFC27FBF3A1}" type="TxLink">
            <a:rPr lang="en-US" sz="2400" b="0" i="0" u="none" strike="noStrike">
              <a:solidFill>
                <a:srgbClr val="C00000"/>
              </a:solidFill>
              <a:latin typeface="Bahnschrift SemiBold Condensed" panose="020B0502040204020203" pitchFamily="34" charset="0"/>
              <a:ea typeface="Calibri"/>
              <a:cs typeface="Calibri"/>
            </a:rPr>
            <a:pPr marL="0" indent="0"/>
            <a:t>3.19</a:t>
          </a:fld>
          <a:endParaRPr lang="en-IN" sz="2400" b="0" i="0" u="none" strike="noStrike">
            <a:solidFill>
              <a:srgbClr val="C00000"/>
            </a:solidFill>
            <a:latin typeface="Bahnschrift SemiBold Condensed" panose="020B0502040204020203" pitchFamily="34" charset="0"/>
            <a:ea typeface="Calibri"/>
            <a:cs typeface="Calibri"/>
          </a:endParaRPr>
        </a:p>
      </xdr:txBody>
    </xdr:sp>
    <xdr:clientData/>
  </xdr:twoCellAnchor>
  <xdr:twoCellAnchor>
    <xdr:from>
      <xdr:col>3</xdr:col>
      <xdr:colOff>266700</xdr:colOff>
      <xdr:row>7</xdr:row>
      <xdr:rowOff>171450</xdr:rowOff>
    </xdr:from>
    <xdr:to>
      <xdr:col>7</xdr:col>
      <xdr:colOff>619125</xdr:colOff>
      <xdr:row>23</xdr:row>
      <xdr:rowOff>85725</xdr:rowOff>
    </xdr:to>
    <xdr:graphicFrame macro="">
      <xdr:nvGraphicFramePr>
        <xdr:cNvPr id="27" name="Chart 26">
          <a:extLst>
            <a:ext uri="{FF2B5EF4-FFF2-40B4-BE49-F238E27FC236}">
              <a16:creationId xmlns:a16="http://schemas.microsoft.com/office/drawing/2014/main" id="{88A3BE31-1EC7-4911-959C-8505EA3E5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123825</xdr:colOff>
      <xdr:row>2</xdr:row>
      <xdr:rowOff>38101</xdr:rowOff>
    </xdr:from>
    <xdr:to>
      <xdr:col>27</xdr:col>
      <xdr:colOff>9525</xdr:colOff>
      <xdr:row>12</xdr:row>
      <xdr:rowOff>152401</xdr:rowOff>
    </xdr:to>
    <mc:AlternateContent xmlns:mc="http://schemas.openxmlformats.org/markup-compatibility/2006" xmlns:a14="http://schemas.microsoft.com/office/drawing/2010/main">
      <mc:Choice Requires="a14">
        <xdr:graphicFrame macro="">
          <xdr:nvGraphicFramePr>
            <xdr:cNvPr id="36" name="Supplier Name">
              <a:extLst>
                <a:ext uri="{FF2B5EF4-FFF2-40B4-BE49-F238E27FC236}">
                  <a16:creationId xmlns:a16="http://schemas.microsoft.com/office/drawing/2014/main" id="{5DAE9C00-E1A7-4FE0-A0AD-754704D42A42}"/>
                </a:ext>
              </a:extLst>
            </xdr:cNvPr>
            <xdr:cNvGraphicFramePr/>
          </xdr:nvGraphicFramePr>
          <xdr:xfrm>
            <a:off x="0" y="0"/>
            <a:ext cx="0" cy="0"/>
          </xdr:xfrm>
          <a:graphic>
            <a:graphicData uri="http://schemas.microsoft.com/office/drawing/2010/slicer">
              <sle:slicer xmlns:sle="http://schemas.microsoft.com/office/drawing/2010/slicer" name="Supplier Name"/>
            </a:graphicData>
          </a:graphic>
        </xdr:graphicFrame>
      </mc:Choice>
      <mc:Fallback xmlns="">
        <xdr:sp macro="" textlink="">
          <xdr:nvSpPr>
            <xdr:cNvPr id="0" name=""/>
            <xdr:cNvSpPr>
              <a:spLocks noTextEdit="1"/>
            </xdr:cNvSpPr>
          </xdr:nvSpPr>
          <xdr:spPr>
            <a:xfrm>
              <a:off x="14906625" y="400051"/>
              <a:ext cx="1828800" cy="1924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123825</xdr:colOff>
      <xdr:row>12</xdr:row>
      <xdr:rowOff>152400</xdr:rowOff>
    </xdr:from>
    <xdr:to>
      <xdr:col>27</xdr:col>
      <xdr:colOff>9525</xdr:colOff>
      <xdr:row>24</xdr:row>
      <xdr:rowOff>9525</xdr:rowOff>
    </xdr:to>
    <mc:AlternateContent xmlns:mc="http://schemas.openxmlformats.org/markup-compatibility/2006" xmlns:a14="http://schemas.microsoft.com/office/drawing/2010/main">
      <mc:Choice Requires="a14">
        <xdr:graphicFrame macro="">
          <xdr:nvGraphicFramePr>
            <xdr:cNvPr id="37" name="Category">
              <a:extLst>
                <a:ext uri="{FF2B5EF4-FFF2-40B4-BE49-F238E27FC236}">
                  <a16:creationId xmlns:a16="http://schemas.microsoft.com/office/drawing/2014/main" id="{53ACB28C-05A2-4366-BF17-F9A80AB0853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906625" y="2324100"/>
              <a:ext cx="1828800" cy="2028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123825</xdr:colOff>
      <xdr:row>24</xdr:row>
      <xdr:rowOff>0</xdr:rowOff>
    </xdr:from>
    <xdr:to>
      <xdr:col>27</xdr:col>
      <xdr:colOff>9525</xdr:colOff>
      <xdr:row>35</xdr:row>
      <xdr:rowOff>171450</xdr:rowOff>
    </xdr:to>
    <mc:AlternateContent xmlns:mc="http://schemas.openxmlformats.org/markup-compatibility/2006" xmlns:a14="http://schemas.microsoft.com/office/drawing/2010/main">
      <mc:Choice Requires="a14">
        <xdr:graphicFrame macro="">
          <xdr:nvGraphicFramePr>
            <xdr:cNvPr id="38" name="Delivery Location">
              <a:extLst>
                <a:ext uri="{FF2B5EF4-FFF2-40B4-BE49-F238E27FC236}">
                  <a16:creationId xmlns:a16="http://schemas.microsoft.com/office/drawing/2014/main" id="{A87D463E-6442-4D42-823E-68E6590B8FDB}"/>
                </a:ext>
              </a:extLst>
            </xdr:cNvPr>
            <xdr:cNvGraphicFramePr/>
          </xdr:nvGraphicFramePr>
          <xdr:xfrm>
            <a:off x="0" y="0"/>
            <a:ext cx="0" cy="0"/>
          </xdr:xfrm>
          <a:graphic>
            <a:graphicData uri="http://schemas.microsoft.com/office/drawing/2010/slicer">
              <sle:slicer xmlns:sle="http://schemas.microsoft.com/office/drawing/2010/slicer" name="Delivery Location"/>
            </a:graphicData>
          </a:graphic>
        </xdr:graphicFrame>
      </mc:Choice>
      <mc:Fallback xmlns="">
        <xdr:sp macro="" textlink="">
          <xdr:nvSpPr>
            <xdr:cNvPr id="0" name=""/>
            <xdr:cNvSpPr>
              <a:spLocks noTextEdit="1"/>
            </xdr:cNvSpPr>
          </xdr:nvSpPr>
          <xdr:spPr>
            <a:xfrm>
              <a:off x="14906625" y="4343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733425</xdr:colOff>
      <xdr:row>23</xdr:row>
      <xdr:rowOff>66674</xdr:rowOff>
    </xdr:from>
    <xdr:to>
      <xdr:col>7</xdr:col>
      <xdr:colOff>409575</xdr:colOff>
      <xdr:row>25</xdr:row>
      <xdr:rowOff>38099</xdr:rowOff>
    </xdr:to>
    <xdr:sp macro="" textlink="">
      <xdr:nvSpPr>
        <xdr:cNvPr id="39" name="TextBox 38">
          <a:extLst>
            <a:ext uri="{FF2B5EF4-FFF2-40B4-BE49-F238E27FC236}">
              <a16:creationId xmlns:a16="http://schemas.microsoft.com/office/drawing/2014/main" id="{A5FF2C85-4257-4A67-A565-D7EEB686BF39}"/>
            </a:ext>
          </a:extLst>
        </xdr:cNvPr>
        <xdr:cNvSpPr txBox="1"/>
      </xdr:nvSpPr>
      <xdr:spPr>
        <a:xfrm>
          <a:off x="2943225" y="4229099"/>
          <a:ext cx="17907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Spend By Supplier</a:t>
          </a:r>
        </a:p>
      </xdr:txBody>
    </xdr:sp>
    <xdr:clientData/>
  </xdr:twoCellAnchor>
  <xdr:twoCellAnchor>
    <xdr:from>
      <xdr:col>14</xdr:col>
      <xdr:colOff>485775</xdr:colOff>
      <xdr:row>2</xdr:row>
      <xdr:rowOff>171450</xdr:rowOff>
    </xdr:from>
    <xdr:to>
      <xdr:col>24</xdr:col>
      <xdr:colOff>47625</xdr:colOff>
      <xdr:row>7</xdr:row>
      <xdr:rowOff>47625</xdr:rowOff>
    </xdr:to>
    <xdr:sp macro="" textlink="">
      <xdr:nvSpPr>
        <xdr:cNvPr id="40" name="Rectangle: Rounded Corners 39">
          <a:extLst>
            <a:ext uri="{FF2B5EF4-FFF2-40B4-BE49-F238E27FC236}">
              <a16:creationId xmlns:a16="http://schemas.microsoft.com/office/drawing/2014/main" id="{0D731564-8E4C-AC93-140F-AF13E4005E67}"/>
            </a:ext>
          </a:extLst>
        </xdr:cNvPr>
        <xdr:cNvSpPr/>
      </xdr:nvSpPr>
      <xdr:spPr>
        <a:xfrm>
          <a:off x="9553575" y="533400"/>
          <a:ext cx="6038850" cy="781050"/>
        </a:xfrm>
        <a:prstGeom prst="roundRect">
          <a:avLst/>
        </a:prstGeom>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IN" sz="3600" b="1">
              <a:solidFill>
                <a:schemeClr val="bg1"/>
              </a:solidFill>
              <a:latin typeface="Bahnschrift SemiBold Condensed" panose="020B0502040204020203" pitchFamily="34" charset="0"/>
            </a:rPr>
            <a:t>Procurment Trends</a:t>
          </a:r>
        </a:p>
      </xdr:txBody>
    </xdr:sp>
    <xdr:clientData/>
  </xdr:twoCellAnchor>
  <xdr:twoCellAnchor>
    <xdr:from>
      <xdr:col>14</xdr:col>
      <xdr:colOff>504826</xdr:colOff>
      <xdr:row>8</xdr:row>
      <xdr:rowOff>47625</xdr:rowOff>
    </xdr:from>
    <xdr:to>
      <xdr:col>24</xdr:col>
      <xdr:colOff>38100</xdr:colOff>
      <xdr:row>16</xdr:row>
      <xdr:rowOff>0</xdr:rowOff>
    </xdr:to>
    <xdr:sp macro="" textlink="">
      <xdr:nvSpPr>
        <xdr:cNvPr id="41" name="Rectangle 40">
          <a:extLst>
            <a:ext uri="{FF2B5EF4-FFF2-40B4-BE49-F238E27FC236}">
              <a16:creationId xmlns:a16="http://schemas.microsoft.com/office/drawing/2014/main" id="{75DB37C1-CE54-D251-C96B-D5E556FA2FFB}"/>
            </a:ext>
          </a:extLst>
        </xdr:cNvPr>
        <xdr:cNvSpPr/>
      </xdr:nvSpPr>
      <xdr:spPr>
        <a:xfrm>
          <a:off x="9572626" y="1495425"/>
          <a:ext cx="6010274" cy="1400175"/>
        </a:xfrm>
        <a:prstGeom prst="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523875</xdr:colOff>
      <xdr:row>8</xdr:row>
      <xdr:rowOff>95250</xdr:rowOff>
    </xdr:from>
    <xdr:to>
      <xdr:col>22</xdr:col>
      <xdr:colOff>257175</xdr:colOff>
      <xdr:row>15</xdr:row>
      <xdr:rowOff>161925</xdr:rowOff>
    </xdr:to>
    <xdr:graphicFrame macro="">
      <xdr:nvGraphicFramePr>
        <xdr:cNvPr id="42" name="Chart 41">
          <a:extLst>
            <a:ext uri="{FF2B5EF4-FFF2-40B4-BE49-F238E27FC236}">
              <a16:creationId xmlns:a16="http://schemas.microsoft.com/office/drawing/2014/main" id="{05AC0504-0CA7-4728-8CD0-E176720A0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9526</xdr:colOff>
      <xdr:row>17</xdr:row>
      <xdr:rowOff>0</xdr:rowOff>
    </xdr:from>
    <xdr:to>
      <xdr:col>24</xdr:col>
      <xdr:colOff>38100</xdr:colOff>
      <xdr:row>25</xdr:row>
      <xdr:rowOff>171450</xdr:rowOff>
    </xdr:to>
    <xdr:sp macro="" textlink="">
      <xdr:nvSpPr>
        <xdr:cNvPr id="43" name="Rectangle 42">
          <a:extLst>
            <a:ext uri="{FF2B5EF4-FFF2-40B4-BE49-F238E27FC236}">
              <a16:creationId xmlns:a16="http://schemas.microsoft.com/office/drawing/2014/main" id="{E2D49DFA-56FB-460A-B40C-FB3DFB3DC969}"/>
            </a:ext>
          </a:extLst>
        </xdr:cNvPr>
        <xdr:cNvSpPr/>
      </xdr:nvSpPr>
      <xdr:spPr>
        <a:xfrm>
          <a:off x="8963026" y="3076575"/>
          <a:ext cx="5857874" cy="1619250"/>
        </a:xfrm>
        <a:prstGeom prst="rect">
          <a:avLst/>
        </a:prstGeom>
        <a:solidFill>
          <a:schemeClr val="accent3">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190499</xdr:colOff>
      <xdr:row>17</xdr:row>
      <xdr:rowOff>0</xdr:rowOff>
    </xdr:from>
    <xdr:to>
      <xdr:col>22</xdr:col>
      <xdr:colOff>352425</xdr:colOff>
      <xdr:row>25</xdr:row>
      <xdr:rowOff>161925</xdr:rowOff>
    </xdr:to>
    <xdr:graphicFrame macro="">
      <xdr:nvGraphicFramePr>
        <xdr:cNvPr id="44" name="Chart 43">
          <a:extLst>
            <a:ext uri="{FF2B5EF4-FFF2-40B4-BE49-F238E27FC236}">
              <a16:creationId xmlns:a16="http://schemas.microsoft.com/office/drawing/2014/main" id="{3386EC70-30BF-49B2-A6AF-99A0D7CCA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314325</xdr:colOff>
      <xdr:row>9</xdr:row>
      <xdr:rowOff>28575</xdr:rowOff>
    </xdr:from>
    <xdr:to>
      <xdr:col>23</xdr:col>
      <xdr:colOff>381000</xdr:colOff>
      <xdr:row>10</xdr:row>
      <xdr:rowOff>114300</xdr:rowOff>
    </xdr:to>
    <xdr:sp macro="" textlink="">
      <xdr:nvSpPr>
        <xdr:cNvPr id="45" name="TextBox 44">
          <a:extLst>
            <a:ext uri="{FF2B5EF4-FFF2-40B4-BE49-F238E27FC236}">
              <a16:creationId xmlns:a16="http://schemas.microsoft.com/office/drawing/2014/main" id="{2ED242EB-633A-45E2-A54D-40BE29F7C824}"/>
            </a:ext>
          </a:extLst>
        </xdr:cNvPr>
        <xdr:cNvSpPr txBox="1"/>
      </xdr:nvSpPr>
      <xdr:spPr>
        <a:xfrm>
          <a:off x="14563725" y="1657350"/>
          <a:ext cx="7143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Spend</a:t>
          </a:r>
        </a:p>
      </xdr:txBody>
    </xdr:sp>
    <xdr:clientData/>
  </xdr:twoCellAnchor>
  <xdr:twoCellAnchor>
    <xdr:from>
      <xdr:col>22</xdr:col>
      <xdr:colOff>209551</xdr:colOff>
      <xdr:row>17</xdr:row>
      <xdr:rowOff>161925</xdr:rowOff>
    </xdr:from>
    <xdr:to>
      <xdr:col>23</xdr:col>
      <xdr:colOff>609601</xdr:colOff>
      <xdr:row>19</xdr:row>
      <xdr:rowOff>66675</xdr:rowOff>
    </xdr:to>
    <xdr:sp macro="" textlink="">
      <xdr:nvSpPr>
        <xdr:cNvPr id="46" name="TextBox 45">
          <a:extLst>
            <a:ext uri="{FF2B5EF4-FFF2-40B4-BE49-F238E27FC236}">
              <a16:creationId xmlns:a16="http://schemas.microsoft.com/office/drawing/2014/main" id="{664F3D0B-F4B4-4C1F-8AEE-D43FA2E39AE3}"/>
            </a:ext>
          </a:extLst>
        </xdr:cNvPr>
        <xdr:cNvSpPr txBox="1"/>
      </xdr:nvSpPr>
      <xdr:spPr>
        <a:xfrm>
          <a:off x="14458951" y="3238500"/>
          <a:ext cx="10477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Order</a:t>
          </a:r>
          <a:r>
            <a:rPr lang="en-IN" sz="1600" baseline="0">
              <a:latin typeface="Bahnschrift SemiBold Condensed" panose="020B0502040204020203" pitchFamily="34" charset="0"/>
            </a:rPr>
            <a:t> Delay</a:t>
          </a:r>
          <a:endParaRPr lang="en-IN" sz="1600">
            <a:latin typeface="Bahnschrift SemiBold Condensed" panose="020B0502040204020203" pitchFamily="34" charset="0"/>
          </a:endParaRPr>
        </a:p>
      </xdr:txBody>
    </xdr:sp>
    <xdr:clientData/>
  </xdr:twoCellAnchor>
  <xdr:twoCellAnchor>
    <xdr:from>
      <xdr:col>15</xdr:col>
      <xdr:colOff>9525</xdr:colOff>
      <xdr:row>26</xdr:row>
      <xdr:rowOff>171451</xdr:rowOff>
    </xdr:from>
    <xdr:to>
      <xdr:col>24</xdr:col>
      <xdr:colOff>38100</xdr:colOff>
      <xdr:row>36</xdr:row>
      <xdr:rowOff>1</xdr:rowOff>
    </xdr:to>
    <xdr:sp macro="" textlink="">
      <xdr:nvSpPr>
        <xdr:cNvPr id="48" name="Rectangle 47">
          <a:extLst>
            <a:ext uri="{FF2B5EF4-FFF2-40B4-BE49-F238E27FC236}">
              <a16:creationId xmlns:a16="http://schemas.microsoft.com/office/drawing/2014/main" id="{3962E10D-CB00-4304-BBB9-62ECABC268A2}"/>
            </a:ext>
          </a:extLst>
        </xdr:cNvPr>
        <xdr:cNvSpPr/>
      </xdr:nvSpPr>
      <xdr:spPr>
        <a:xfrm>
          <a:off x="8963025" y="4876801"/>
          <a:ext cx="5857875" cy="2000250"/>
        </a:xfrm>
        <a:prstGeom prst="rect">
          <a:avLst/>
        </a:prstGeom>
        <a:solidFill>
          <a:schemeClr val="accent3">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190501</xdr:colOff>
      <xdr:row>27</xdr:row>
      <xdr:rowOff>142875</xdr:rowOff>
    </xdr:from>
    <xdr:to>
      <xdr:col>23</xdr:col>
      <xdr:colOff>590551</xdr:colOff>
      <xdr:row>27</xdr:row>
      <xdr:rowOff>409575</xdr:rowOff>
    </xdr:to>
    <xdr:sp macro="" textlink="">
      <xdr:nvSpPr>
        <xdr:cNvPr id="49" name="TextBox 48">
          <a:extLst>
            <a:ext uri="{FF2B5EF4-FFF2-40B4-BE49-F238E27FC236}">
              <a16:creationId xmlns:a16="http://schemas.microsoft.com/office/drawing/2014/main" id="{5C96E7B4-7758-48E1-A92D-82ED808796A3}"/>
            </a:ext>
          </a:extLst>
        </xdr:cNvPr>
        <xdr:cNvSpPr txBox="1"/>
      </xdr:nvSpPr>
      <xdr:spPr>
        <a:xfrm>
          <a:off x="13677901" y="5029200"/>
          <a:ext cx="10477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Order Defect</a:t>
          </a:r>
        </a:p>
      </xdr:txBody>
    </xdr:sp>
    <xdr:clientData/>
  </xdr:twoCellAnchor>
  <xdr:twoCellAnchor>
    <xdr:from>
      <xdr:col>15</xdr:col>
      <xdr:colOff>76200</xdr:colOff>
      <xdr:row>27</xdr:row>
      <xdr:rowOff>114300</xdr:rowOff>
    </xdr:from>
    <xdr:to>
      <xdr:col>22</xdr:col>
      <xdr:colOff>495300</xdr:colOff>
      <xdr:row>35</xdr:row>
      <xdr:rowOff>142875</xdr:rowOff>
    </xdr:to>
    <xdr:graphicFrame macro="">
      <xdr:nvGraphicFramePr>
        <xdr:cNvPr id="50" name="Chart 49">
          <a:extLst>
            <a:ext uri="{FF2B5EF4-FFF2-40B4-BE49-F238E27FC236}">
              <a16:creationId xmlns:a16="http://schemas.microsoft.com/office/drawing/2014/main" id="{85BFCD9E-B745-43D8-9FC9-5488B4032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619125</xdr:colOff>
      <xdr:row>7</xdr:row>
      <xdr:rowOff>152399</xdr:rowOff>
    </xdr:from>
    <xdr:to>
      <xdr:col>14</xdr:col>
      <xdr:colOff>333375</xdr:colOff>
      <xdr:row>23</xdr:row>
      <xdr:rowOff>142874</xdr:rowOff>
    </xdr:to>
    <xdr:graphicFrame macro="">
      <xdr:nvGraphicFramePr>
        <xdr:cNvPr id="51" name="Chart 50">
          <a:extLst>
            <a:ext uri="{FF2B5EF4-FFF2-40B4-BE49-F238E27FC236}">
              <a16:creationId xmlns:a16="http://schemas.microsoft.com/office/drawing/2014/main" id="{DF67C590-8510-4245-B86A-2932B804C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142875</xdr:colOff>
      <xdr:row>23</xdr:row>
      <xdr:rowOff>47624</xdr:rowOff>
    </xdr:from>
    <xdr:to>
      <xdr:col>12</xdr:col>
      <xdr:colOff>447675</xdr:colOff>
      <xdr:row>25</xdr:row>
      <xdr:rowOff>19049</xdr:rowOff>
    </xdr:to>
    <xdr:sp macro="" textlink="">
      <xdr:nvSpPr>
        <xdr:cNvPr id="52" name="TextBox 51">
          <a:extLst>
            <a:ext uri="{FF2B5EF4-FFF2-40B4-BE49-F238E27FC236}">
              <a16:creationId xmlns:a16="http://schemas.microsoft.com/office/drawing/2014/main" id="{771C5F47-79A9-4538-AD89-5164FE99DC8D}"/>
            </a:ext>
          </a:extLst>
        </xdr:cNvPr>
        <xdr:cNvSpPr txBox="1"/>
      </xdr:nvSpPr>
      <xdr:spPr>
        <a:xfrm>
          <a:off x="6153150" y="4210049"/>
          <a:ext cx="17811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Spend By Category</a:t>
          </a:r>
        </a:p>
      </xdr:txBody>
    </xdr:sp>
    <xdr:clientData/>
  </xdr:twoCellAnchor>
  <xdr:twoCellAnchor>
    <xdr:from>
      <xdr:col>3</xdr:col>
      <xdr:colOff>219076</xdr:colOff>
      <xdr:row>8</xdr:row>
      <xdr:rowOff>66674</xdr:rowOff>
    </xdr:from>
    <xdr:to>
      <xdr:col>8</xdr:col>
      <xdr:colOff>9526</xdr:colOff>
      <xdr:row>23</xdr:row>
      <xdr:rowOff>85725</xdr:rowOff>
    </xdr:to>
    <xdr:graphicFrame macro="">
      <xdr:nvGraphicFramePr>
        <xdr:cNvPr id="53" name="Chart 52">
          <a:extLst>
            <a:ext uri="{FF2B5EF4-FFF2-40B4-BE49-F238E27FC236}">
              <a16:creationId xmlns:a16="http://schemas.microsoft.com/office/drawing/2014/main" id="{47AB6D49-F81A-47D3-AB3D-340B006E9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22</xdr:col>
      <xdr:colOff>380108</xdr:colOff>
      <xdr:row>10</xdr:row>
      <xdr:rowOff>161926</xdr:rowOff>
    </xdr:from>
    <xdr:to>
      <xdr:col>23</xdr:col>
      <xdr:colOff>247650</xdr:colOff>
      <xdr:row>14</xdr:row>
      <xdr:rowOff>115125</xdr:rowOff>
    </xdr:to>
    <xdr:pic>
      <xdr:nvPicPr>
        <xdr:cNvPr id="58" name="Picture 57">
          <a:extLst>
            <a:ext uri="{FF2B5EF4-FFF2-40B4-BE49-F238E27FC236}">
              <a16:creationId xmlns:a16="http://schemas.microsoft.com/office/drawing/2014/main" id="{B232AE83-F72D-8EE6-2A79-81164B35590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837473B0-CC2E-450A-ABE3-18F120FF3D39}">
              <a1611:picAttrSrcUrl xmlns:a1611="http://schemas.microsoft.com/office/drawing/2016/11/main" r:id="rId12"/>
            </a:ext>
          </a:extLst>
        </a:blip>
        <a:stretch>
          <a:fillRect/>
        </a:stretch>
      </xdr:blipFill>
      <xdr:spPr>
        <a:xfrm>
          <a:off x="14629508" y="1971676"/>
          <a:ext cx="515242" cy="677099"/>
        </a:xfrm>
        <a:prstGeom prst="rect">
          <a:avLst/>
        </a:prstGeom>
      </xdr:spPr>
    </xdr:pic>
    <xdr:clientData/>
  </xdr:twoCellAnchor>
  <xdr:twoCellAnchor editAs="oneCell">
    <xdr:from>
      <xdr:col>22</xdr:col>
      <xdr:colOff>390524</xdr:colOff>
      <xdr:row>20</xdr:row>
      <xdr:rowOff>9525</xdr:rowOff>
    </xdr:from>
    <xdr:to>
      <xdr:col>23</xdr:col>
      <xdr:colOff>476249</xdr:colOff>
      <xdr:row>24</xdr:row>
      <xdr:rowOff>19050</xdr:rowOff>
    </xdr:to>
    <xdr:pic>
      <xdr:nvPicPr>
        <xdr:cNvPr id="61" name="Graphic 60" descr="Stopwatch with solid fill">
          <a:extLst>
            <a:ext uri="{FF2B5EF4-FFF2-40B4-BE49-F238E27FC236}">
              <a16:creationId xmlns:a16="http://schemas.microsoft.com/office/drawing/2014/main" id="{D90EF53B-0DB4-E138-FD0C-EDD2A9FB2CD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4639924" y="3629025"/>
          <a:ext cx="733425" cy="733425"/>
        </a:xfrm>
        <a:prstGeom prst="rect">
          <a:avLst/>
        </a:prstGeom>
      </xdr:spPr>
    </xdr:pic>
    <xdr:clientData/>
  </xdr:twoCellAnchor>
  <xdr:twoCellAnchor editAs="oneCell">
    <xdr:from>
      <xdr:col>22</xdr:col>
      <xdr:colOff>333375</xdr:colOff>
      <xdr:row>28</xdr:row>
      <xdr:rowOff>76200</xdr:rowOff>
    </xdr:from>
    <xdr:to>
      <xdr:col>23</xdr:col>
      <xdr:colOff>409575</xdr:colOff>
      <xdr:row>32</xdr:row>
      <xdr:rowOff>76200</xdr:rowOff>
    </xdr:to>
    <xdr:pic>
      <xdr:nvPicPr>
        <xdr:cNvPr id="63" name="Graphic 62" descr="List with solid fill">
          <a:extLst>
            <a:ext uri="{FF2B5EF4-FFF2-40B4-BE49-F238E27FC236}">
              <a16:creationId xmlns:a16="http://schemas.microsoft.com/office/drawing/2014/main" id="{D187E021-431A-A304-EE84-FF0F51DB3D9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820775" y="5505450"/>
          <a:ext cx="723900" cy="723900"/>
        </a:xfrm>
        <a:prstGeom prst="rect">
          <a:avLst/>
        </a:prstGeom>
      </xdr:spPr>
    </xdr:pic>
    <xdr:clientData/>
  </xdr:twoCellAnchor>
  <xdr:twoCellAnchor editAs="oneCell">
    <xdr:from>
      <xdr:col>23</xdr:col>
      <xdr:colOff>104775</xdr:colOff>
      <xdr:row>31</xdr:row>
      <xdr:rowOff>19050</xdr:rowOff>
    </xdr:from>
    <xdr:to>
      <xdr:col>23</xdr:col>
      <xdr:colOff>590550</xdr:colOff>
      <xdr:row>33</xdr:row>
      <xdr:rowOff>142875</xdr:rowOff>
    </xdr:to>
    <xdr:pic>
      <xdr:nvPicPr>
        <xdr:cNvPr id="65" name="Graphic 64" descr="No sign with solid fill">
          <a:extLst>
            <a:ext uri="{FF2B5EF4-FFF2-40B4-BE49-F238E27FC236}">
              <a16:creationId xmlns:a16="http://schemas.microsoft.com/office/drawing/2014/main" id="{DA9C12E3-8593-4808-A4F2-1FF795492E9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4239875" y="5991225"/>
          <a:ext cx="485775" cy="4857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 gupta" refreshedDate="45913.676391898145" createdVersion="8" refreshedVersion="8" minRefreshableVersion="3" recordCount="50" xr:uid="{4F81F818-11DA-4431-B09A-F9E482EF20AD}">
  <cacheSource type="worksheet">
    <worksheetSource ref="A1:AA51" sheet="Computation"/>
  </cacheSource>
  <cacheFields count="33">
    <cacheField name="PO Number" numFmtId="0">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Supplier Name" numFmtId="0">
      <sharedItems count="5">
        <s v="Beta Traders"/>
        <s v="Alpha Supplies"/>
        <s v="NextGen Materials"/>
        <s v="Global Sourcing"/>
        <s v="Prime Industries"/>
      </sharedItems>
    </cacheField>
    <cacheField name="Category" numFmtId="0">
      <sharedItems count="5">
        <s v="Raw Materials"/>
        <s v="IT Equipment"/>
        <s v="Machinery"/>
        <s v="Packaging"/>
        <s v="Logistics Services"/>
      </sharedItems>
    </cacheField>
    <cacheField name="Item Description" numFmtId="0">
      <sharedItems count="8">
        <s v="Plastic Sheets"/>
        <s v="Cartons"/>
        <s v="Pallets"/>
        <s v="Forklift"/>
        <s v="Laptops"/>
        <s v="Steel Rods"/>
        <s v="Labels"/>
        <s v="Conveyor Belt"/>
      </sharedItems>
    </cacheField>
    <cacheField name="Via" numFmtId="0">
      <sharedItems count="3">
        <s v="Rail"/>
        <s v="Road"/>
        <s v="Ship"/>
      </sharedItems>
    </cacheField>
    <cacheField name="Delivery Location" numFmtId="0">
      <sharedItems count="9">
        <s v="NewYork"/>
        <s v="Delhi"/>
        <s v="Belgium"/>
        <s v="Washington"/>
        <s v="Mumbai"/>
        <s v="Paris"/>
        <s v="London"/>
        <s v="Chennai"/>
        <s v="Dallas"/>
      </sharedItems>
    </cacheField>
    <cacheField name="Unit Price" numFmtId="0">
      <sharedItems containsSemiMixedTypes="0" containsString="0" containsNumber="1" minValue="22.67" maxValue="497.02"/>
    </cacheField>
    <cacheField name="Quantity Ordered" numFmtId="0">
      <sharedItems containsSemiMixedTypes="0" containsString="0" containsNumber="1" containsInteger="1" minValue="77" maxValue="497" count="50">
        <n v="162"/>
        <n v="391"/>
        <n v="293"/>
        <n v="196"/>
        <n v="128"/>
        <n v="155"/>
        <n v="486"/>
        <n v="222"/>
        <n v="353"/>
        <n v="244"/>
        <n v="91"/>
        <n v="152"/>
        <n v="181"/>
        <n v="344"/>
        <n v="204"/>
        <n v="381"/>
        <n v="272"/>
        <n v="175"/>
        <n v="303"/>
        <n v="409"/>
        <n v="173"/>
        <n v="174"/>
        <n v="282"/>
        <n v="440"/>
        <n v="476"/>
        <n v="77"/>
        <n v="275"/>
        <n v="345"/>
        <n v="110"/>
        <n v="269"/>
        <n v="138"/>
        <n v="168"/>
        <n v="328"/>
        <n v="354"/>
        <n v="306"/>
        <n v="167"/>
        <n v="142"/>
        <n v="103"/>
        <n v="211"/>
        <n v="315"/>
        <n v="274"/>
        <n v="97"/>
        <n v="297"/>
        <n v="191"/>
        <n v="278"/>
        <n v="172"/>
        <n v="389"/>
        <n v="497"/>
        <n v="185"/>
        <n v="438"/>
      </sharedItems>
    </cacheField>
    <cacheField name="Quantity Delivered" numFmtId="0">
      <sharedItems containsSemiMixedTypes="0" containsString="0" containsNumber="1" containsInteger="1" minValue="71" maxValue="488"/>
    </cacheField>
    <cacheField name="Baseline Price" numFmtId="1">
      <sharedItems containsSemiMixedTypes="0" containsString="0" containsNumber="1" minValue="22.669999999999998" maxValue="497.02"/>
    </cacheField>
    <cacheField name="Actual Price" numFmtId="0">
      <sharedItems containsSemiMixedTypes="0" containsString="0" containsNumber="1" containsInteger="1" minValue="22" maxValue="476"/>
    </cacheField>
    <cacheField name="Currency" numFmtId="0">
      <sharedItems count="3">
        <s v="USD"/>
        <s v="INR"/>
        <s v="EUR"/>
      </sharedItems>
    </cacheField>
    <cacheField name="Total Cost" numFmtId="0">
      <sharedItems containsSemiMixedTypes="0" containsString="0" containsNumber="1" minValue="3785.89" maxValue="233454.2" count="50">
        <n v="63411.66"/>
        <n v="157451.79"/>
        <n v="109696.27"/>
        <n v="9402.119999999999"/>
        <n v="25304.32"/>
        <n v="33128.15"/>
        <n v="184291.20000000001"/>
        <n v="5376.84"/>
        <n v="160403.20000000001"/>
        <n v="8452.16"/>
        <n v="12158.51"/>
        <n v="72247.12"/>
        <n v="43054.47"/>
        <n v="160011.6"/>
        <n v="71730.48"/>
        <n v="16683.990000000002"/>
        <n v="96989.759999999995"/>
        <n v="29387.75"/>
        <n v="52973.490000000013"/>
        <n v="180516.24"/>
        <n v="48792.920000000013"/>
        <n v="36219.839999999997"/>
        <n v="51433.98"/>
        <n v="164564.4"/>
        <n v="233454.2"/>
        <n v="11119.57"/>
        <n v="66000"/>
        <n v="86581.2"/>
        <n v="54672.2"/>
        <n v="116068.12"/>
        <n v="12000.48"/>
        <n v="25656.959999999999"/>
        <n v="71608.959999999992"/>
        <n v="141030.06"/>
        <n v="144404.46"/>
        <n v="3785.89"/>
        <n v="65160.959999999999"/>
        <n v="17233.96"/>
        <n v="49133.460000000006"/>
        <n v="11516.4"/>
        <n v="127289.44"/>
        <n v="27218.2"/>
        <n v="63436.23"/>
        <n v="82773.67"/>
        <n v="120646.44"/>
        <n v="84379.76"/>
        <n v="77481.02"/>
        <n v="216766.55"/>
        <n v="44409.25"/>
        <n v="138902.94"/>
      </sharedItems>
    </cacheField>
    <cacheField name="Order Date" numFmtId="164">
      <sharedItems containsSemiMixedTypes="0" containsNonDate="0" containsDate="1" containsString="0" minDate="2024-01-08T00:00:00" maxDate="2025-01-28T00:00:00" count="46">
        <d v="2024-12-23T00:00:00"/>
        <d v="2024-10-14T00:00:00"/>
        <d v="2024-05-13T00:00:00"/>
        <d v="2024-05-20T00:00:00"/>
        <d v="2024-04-20T00:00:00"/>
        <d v="2024-07-19T00:00:00"/>
        <d v="2024-10-03T00:00:00"/>
        <d v="2024-12-14T00:00:00"/>
        <d v="2024-12-06T00:00:00"/>
        <d v="2024-04-19T00:00:00"/>
        <d v="2024-01-11T00:00:00"/>
        <d v="2024-11-15T00:00:00"/>
        <d v="2024-03-27T00:00:00"/>
        <d v="2024-07-12T00:00:00"/>
        <d v="2024-11-04T00:00:00"/>
        <d v="2024-01-08T00:00:00"/>
        <d v="2025-01-11T00:00:00"/>
        <d v="2024-05-23T00:00:00"/>
        <d v="2024-04-04T00:00:00"/>
        <d v="2024-10-12T00:00:00"/>
        <d v="2024-09-01T00:00:00"/>
        <d v="2024-06-06T00:00:00"/>
        <d v="2024-04-05T00:00:00"/>
        <d v="2024-06-01T00:00:00"/>
        <d v="2024-05-30T00:00:00"/>
        <d v="2024-12-18T00:00:00"/>
        <d v="2025-01-27T00:00:00"/>
        <d v="2024-10-19T00:00:00"/>
        <d v="2024-02-09T00:00:00"/>
        <d v="2024-12-28T00:00:00"/>
        <d v="2024-11-28T00:00:00"/>
        <d v="2024-09-10T00:00:00"/>
        <d v="2024-10-22T00:00:00"/>
        <d v="2024-08-12T00:00:00"/>
        <d v="2024-06-18T00:00:00"/>
        <d v="2024-06-15T00:00:00"/>
        <d v="2024-09-06T00:00:00"/>
        <d v="2024-02-29T00:00:00"/>
        <d v="2024-05-05T00:00:00"/>
        <d v="2024-06-24T00:00:00"/>
        <d v="2024-09-05T00:00:00"/>
        <d v="2024-07-16T00:00:00"/>
        <d v="2024-03-19T00:00:00"/>
        <d v="2024-02-22T00:00:00"/>
        <d v="2024-11-16T00:00:00"/>
        <d v="2024-10-05T00:00:00"/>
      </sharedItems>
      <fieldGroup par="32"/>
    </cacheField>
    <cacheField name="Expected Delivery Date" numFmtId="164">
      <sharedItems containsSemiMixedTypes="0" containsNonDate="0" containsDate="1" containsString="0" minDate="2024-01-17T00:00:00" maxDate="2025-02-15T00:00:00"/>
    </cacheField>
    <cacheField name="Actual Delivery Date" numFmtId="164">
      <sharedItems containsSemiMixedTypes="0" containsNonDate="0" containsDate="1" containsString="0" minDate="2024-01-20T00:00:00" maxDate="2025-02-16T00:00:00" count="49">
        <d v="2025-01-09T00:00:00"/>
        <d v="2024-11-03T00:00:00"/>
        <d v="2024-05-27T00:00:00"/>
        <d v="2024-06-07T00:00:00"/>
        <d v="2024-05-01T00:00:00"/>
        <d v="2024-07-28T00:00:00"/>
        <d v="2024-10-20T00:00:00"/>
        <d v="2024-12-31T00:00:00"/>
        <d v="2024-12-10T00:00:00"/>
        <d v="2024-05-11T00:00:00"/>
        <d v="2024-01-20T00:00:00"/>
        <d v="2024-11-25T00:00:00"/>
        <d v="2024-04-04T00:00:00"/>
        <d v="2024-07-30T00:00:00"/>
        <d v="2024-11-10T00:00:00"/>
        <d v="2024-01-31T00:00:00"/>
        <d v="2025-01-29T00:00:00"/>
        <d v="2024-06-12T00:00:00"/>
        <d v="2024-04-25T00:00:00"/>
        <d v="2024-10-18T00:00:00"/>
        <d v="2024-09-26T00:00:00"/>
        <d v="2024-12-27T00:00:00"/>
        <d v="2024-06-20T00:00:00"/>
        <d v="2024-04-17T00:00:00"/>
        <d v="2024-06-16T00:00:00"/>
        <d v="2024-06-13T00:00:00"/>
        <d v="2024-04-13T00:00:00"/>
        <d v="2024-12-24T00:00:00"/>
        <d v="2025-02-15T00:00:00"/>
        <d v="2024-10-24T00:00:00"/>
        <d v="2024-02-17T00:00:00"/>
        <d v="2025-01-16T00:00:00"/>
        <d v="2024-12-09T00:00:00"/>
        <d v="2024-11-07T00:00:00"/>
        <d v="2024-09-28T00:00:00"/>
        <d v="2024-10-29T00:00:00"/>
        <d v="2024-08-31T00:00:00"/>
        <d v="2024-07-11T00:00:00"/>
        <d v="2024-06-27T00:00:00"/>
        <d v="2024-09-12T00:00:00"/>
        <d v="2024-03-18T00:00:00"/>
        <d v="2024-05-24T00:00:00"/>
        <d v="2024-07-05T00:00:00"/>
        <d v="2024-09-24T00:00:00"/>
        <d v="2024-08-01T00:00:00"/>
        <d v="2024-04-06T00:00:00"/>
        <d v="2024-03-10T00:00:00"/>
        <d v="2024-12-02T00:00:00"/>
        <d v="2024-10-10T00:00:00"/>
      </sharedItems>
      <fieldGroup par="29"/>
    </cacheField>
    <cacheField name="Lead Time Days" numFmtId="0">
      <sharedItems containsSemiMixedTypes="0" containsString="0" containsNumber="1" containsInteger="1" minValue="5" maxValue="20"/>
    </cacheField>
    <cacheField name="Quality Status" numFmtId="0">
      <sharedItems/>
    </cacheField>
    <cacheField name="Order Status" numFmtId="0">
      <sharedItems count="1">
        <s v="Closed"/>
      </sharedItems>
    </cacheField>
    <cacheField name="Lead time" numFmtId="0">
      <sharedItems containsSemiMixedTypes="0" containsString="0" containsNumber="1" containsInteger="1" minValue="4" maxValue="25" count="20">
        <n v="17"/>
        <n v="20"/>
        <n v="14"/>
        <n v="18"/>
        <n v="11"/>
        <n v="9"/>
        <n v="4"/>
        <n v="22"/>
        <n v="10"/>
        <n v="8"/>
        <n v="6"/>
        <n v="23"/>
        <n v="21"/>
        <n v="25"/>
        <n v="12"/>
        <n v="15"/>
        <n v="19"/>
        <n v="5"/>
        <n v="7"/>
        <n v="16"/>
      </sharedItems>
    </cacheField>
    <cacheField name="On Time Delivery" numFmtId="0">
      <sharedItems containsSemiMixedTypes="0" containsString="0" containsNumber="1" containsInteger="1" minValue="0" maxValue="1"/>
    </cacheField>
    <cacheField name="In Full Delivery" numFmtId="0">
      <sharedItems containsSemiMixedTypes="0" containsString="0" containsNumber="1" containsInteger="1" minValue="0" maxValue="1"/>
    </cacheField>
    <cacheField name="OTIF" numFmtId="0">
      <sharedItems containsSemiMixedTypes="0" containsString="0" containsNumber="1" containsInteger="1" minValue="0" maxValue="1"/>
    </cacheField>
    <cacheField name="Cost Variance" numFmtId="9">
      <sharedItems containsSemiMixedTypes="0" containsString="0" containsNumber="1" minValue="-1.0392609699769037E-2" maxValue="0.14845471327338775"/>
    </cacheField>
    <cacheField name="Order Delay" numFmtId="0">
      <sharedItems containsMixedTypes="1" containsNumber="1" containsInteger="1" minValue="1" maxValue="5" count="6">
        <s v=""/>
        <n v="5"/>
        <n v="2"/>
        <n v="3"/>
        <n v="4"/>
        <n v="1"/>
      </sharedItems>
    </cacheField>
    <cacheField name="Defect" numFmtId="0">
      <sharedItems containsMixedTypes="1" containsNumber="1" containsInteger="1" minValue="1" maxValue="1" count="2">
        <s v=""/>
        <n v="1"/>
      </sharedItems>
    </cacheField>
    <cacheField name="NO Defect" numFmtId="0">
      <sharedItems containsMixedTypes="1" containsNumber="1" containsInteger="1" minValue="1" maxValue="1"/>
    </cacheField>
    <cacheField name="Months (Actual Delivery Date)" numFmtId="0" databaseField="0">
      <fieldGroup base="15">
        <rangePr groupBy="months" startDate="2024-01-20T00:00:00" endDate="2025-02-16T00:00:00"/>
        <groupItems count="14">
          <s v="&lt;20-01-2024"/>
          <s v="Jan"/>
          <s v="Feb"/>
          <s v="Mar"/>
          <s v="Apr"/>
          <s v="May"/>
          <s v="Jun"/>
          <s v="Jul"/>
          <s v="Aug"/>
          <s v="Sep"/>
          <s v="Oct"/>
          <s v="Nov"/>
          <s v="Dec"/>
          <s v="&gt;16-02-2025"/>
        </groupItems>
      </fieldGroup>
    </cacheField>
    <cacheField name="Quarters (Actual Delivery Date)" numFmtId="0" databaseField="0">
      <fieldGroup base="15">
        <rangePr groupBy="quarters" startDate="2024-01-20T00:00:00" endDate="2025-02-16T00:00:00"/>
        <groupItems count="6">
          <s v="&lt;20-01-2024"/>
          <s v="Qtr1"/>
          <s v="Qtr2"/>
          <s v="Qtr3"/>
          <s v="Qtr4"/>
          <s v="&gt;16-02-2025"/>
        </groupItems>
      </fieldGroup>
    </cacheField>
    <cacheField name="Years (Actual Delivery Date)" numFmtId="0" databaseField="0">
      <fieldGroup base="15">
        <rangePr groupBy="years" startDate="2024-01-20T00:00:00" endDate="2025-02-16T00:00:00"/>
        <groupItems count="4">
          <s v="&lt;20-01-2024"/>
          <s v="2024"/>
          <s v="2025"/>
          <s v="&gt;16-02-2025"/>
        </groupItems>
      </fieldGroup>
    </cacheField>
    <cacheField name="Months (Order Date)" numFmtId="0" databaseField="0">
      <fieldGroup base="13">
        <rangePr groupBy="months" startDate="2024-01-08T00:00:00" endDate="2025-01-28T00:00:00"/>
        <groupItems count="14">
          <s v="&lt;08-01-2024"/>
          <s v="Jan"/>
          <s v="Feb"/>
          <s v="Mar"/>
          <s v="Apr"/>
          <s v="May"/>
          <s v="Jun"/>
          <s v="Jul"/>
          <s v="Aug"/>
          <s v="Sep"/>
          <s v="Oct"/>
          <s v="Nov"/>
          <s v="Dec"/>
          <s v="&gt;28-01-2025"/>
        </groupItems>
      </fieldGroup>
    </cacheField>
    <cacheField name="Quarters (Order Date)" numFmtId="0" databaseField="0">
      <fieldGroup base="13">
        <rangePr groupBy="quarters" startDate="2024-01-08T00:00:00" endDate="2025-01-28T00:00:00"/>
        <groupItems count="6">
          <s v="&lt;08-01-2024"/>
          <s v="Qtr1"/>
          <s v="Qtr2"/>
          <s v="Qtr3"/>
          <s v="Qtr4"/>
          <s v="&gt;28-01-2025"/>
        </groupItems>
      </fieldGroup>
    </cacheField>
    <cacheField name="Years (Order Date)" numFmtId="0" databaseField="0">
      <fieldGroup base="13">
        <rangePr groupBy="years" startDate="2024-01-08T00:00:00" endDate="2025-01-28T00:00:00"/>
        <groupItems count="4">
          <s v="&lt;08-01-2024"/>
          <s v="2024"/>
          <s v="2025"/>
          <s v="&gt;28-01-2025"/>
        </groupItems>
      </fieldGroup>
    </cacheField>
  </cacheFields>
  <extLst>
    <ext xmlns:x14="http://schemas.microsoft.com/office/spreadsheetml/2009/9/main" uri="{725AE2AE-9491-48be-B2B4-4EB974FC3084}">
      <x14:pivotCacheDefinition pivotCacheId="19786148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x v="0"/>
    <x v="0"/>
    <n v="391.43"/>
    <x v="0"/>
    <n v="162"/>
    <n v="391.43"/>
    <n v="341"/>
    <x v="0"/>
    <x v="0"/>
    <x v="0"/>
    <d v="2025-01-11T00:00:00"/>
    <x v="0"/>
    <n v="19"/>
    <s v="Pass"/>
    <x v="0"/>
    <x v="0"/>
    <n v="1"/>
    <n v="1"/>
    <n v="1"/>
    <n v="0.12883529622154666"/>
    <x v="0"/>
    <x v="0"/>
    <n v="1"/>
  </r>
  <r>
    <x v="1"/>
    <x v="1"/>
    <x v="1"/>
    <x v="1"/>
    <x v="1"/>
    <x v="1"/>
    <n v="402.69"/>
    <x v="1"/>
    <n v="391"/>
    <n v="402.69"/>
    <n v="383"/>
    <x v="1"/>
    <x v="1"/>
    <x v="1"/>
    <d v="2024-10-29T00:00:00"/>
    <x v="1"/>
    <n v="15"/>
    <s v="Fail"/>
    <x v="0"/>
    <x v="1"/>
    <n v="0"/>
    <n v="1"/>
    <n v="0"/>
    <n v="4.8896173234994657E-2"/>
    <x v="1"/>
    <x v="1"/>
    <s v=""/>
  </r>
  <r>
    <x v="2"/>
    <x v="2"/>
    <x v="1"/>
    <x v="1"/>
    <x v="2"/>
    <x v="2"/>
    <n v="374.39"/>
    <x v="2"/>
    <n v="293"/>
    <n v="374.39"/>
    <n v="330"/>
    <x v="2"/>
    <x v="2"/>
    <x v="2"/>
    <d v="2024-05-25T00:00:00"/>
    <x v="2"/>
    <n v="12"/>
    <s v="Fail"/>
    <x v="0"/>
    <x v="2"/>
    <n v="0"/>
    <n v="1"/>
    <n v="0"/>
    <n v="0.11856620102032636"/>
    <x v="2"/>
    <x v="1"/>
    <s v=""/>
  </r>
  <r>
    <x v="3"/>
    <x v="0"/>
    <x v="2"/>
    <x v="2"/>
    <x v="0"/>
    <x v="3"/>
    <n v="47.97"/>
    <x v="3"/>
    <n v="191"/>
    <n v="47.969999999999992"/>
    <n v="44"/>
    <x v="0"/>
    <x v="3"/>
    <x v="3"/>
    <d v="2024-06-04T00:00:00"/>
    <x v="3"/>
    <n v="15"/>
    <s v="Pass"/>
    <x v="0"/>
    <x v="3"/>
    <n v="0"/>
    <n v="0"/>
    <n v="0"/>
    <n v="8.2760058369814316E-2"/>
    <x v="3"/>
    <x v="0"/>
    <n v="1"/>
  </r>
  <r>
    <x v="4"/>
    <x v="0"/>
    <x v="3"/>
    <x v="3"/>
    <x v="1"/>
    <x v="4"/>
    <n v="197.69"/>
    <x v="4"/>
    <n v="116"/>
    <n v="197.69"/>
    <n v="176"/>
    <x v="1"/>
    <x v="4"/>
    <x v="4"/>
    <d v="2024-04-27T00:00:00"/>
    <x v="4"/>
    <n v="7"/>
    <s v="Fail"/>
    <x v="0"/>
    <x v="4"/>
    <n v="0"/>
    <n v="0"/>
    <n v="0"/>
    <n v="0.10971723405331579"/>
    <x v="4"/>
    <x v="1"/>
    <s v=""/>
  </r>
  <r>
    <x v="5"/>
    <x v="3"/>
    <x v="4"/>
    <x v="2"/>
    <x v="2"/>
    <x v="5"/>
    <n v="213.73"/>
    <x v="5"/>
    <n v="155"/>
    <n v="213.73000000000002"/>
    <n v="186"/>
    <x v="2"/>
    <x v="5"/>
    <x v="5"/>
    <d v="2024-07-24T00:00:00"/>
    <x v="5"/>
    <n v="5"/>
    <s v="Fail"/>
    <x v="0"/>
    <x v="5"/>
    <n v="0"/>
    <n v="1"/>
    <n v="0"/>
    <n v="0.12974313386047825"/>
    <x v="4"/>
    <x v="1"/>
    <s v=""/>
  </r>
  <r>
    <x v="6"/>
    <x v="1"/>
    <x v="2"/>
    <x v="4"/>
    <x v="0"/>
    <x v="6"/>
    <n v="379.2"/>
    <x v="6"/>
    <n v="472"/>
    <n v="379.20000000000005"/>
    <n v="380"/>
    <x v="2"/>
    <x v="6"/>
    <x v="6"/>
    <d v="2024-10-15T00:00:00"/>
    <x v="6"/>
    <n v="12"/>
    <s v="Pass"/>
    <x v="0"/>
    <x v="0"/>
    <n v="0"/>
    <n v="0"/>
    <n v="0"/>
    <n v="-2.1097046413500907E-3"/>
    <x v="1"/>
    <x v="0"/>
    <n v="1"/>
  </r>
  <r>
    <x v="7"/>
    <x v="3"/>
    <x v="1"/>
    <x v="2"/>
    <x v="1"/>
    <x v="7"/>
    <n v="24.22"/>
    <x v="7"/>
    <n v="207"/>
    <n v="24.220000000000002"/>
    <n v="23"/>
    <x v="1"/>
    <x v="7"/>
    <x v="7"/>
    <d v="2024-12-31T00:00:00"/>
    <x v="7"/>
    <n v="17"/>
    <s v="Fail"/>
    <x v="0"/>
    <x v="0"/>
    <n v="1"/>
    <n v="0"/>
    <n v="0"/>
    <n v="5.0371593724194974E-2"/>
    <x v="0"/>
    <x v="1"/>
    <s v=""/>
  </r>
  <r>
    <x v="8"/>
    <x v="0"/>
    <x v="4"/>
    <x v="5"/>
    <x v="2"/>
    <x v="1"/>
    <n v="454.4"/>
    <x v="8"/>
    <n v="318"/>
    <n v="454.40000000000003"/>
    <n v="405"/>
    <x v="1"/>
    <x v="8"/>
    <x v="8"/>
    <d v="2024-12-11T00:00:00"/>
    <x v="8"/>
    <n v="5"/>
    <s v="Fail"/>
    <x v="0"/>
    <x v="6"/>
    <n v="1"/>
    <n v="0"/>
    <n v="0"/>
    <n v="0.10871478873239443"/>
    <x v="0"/>
    <x v="1"/>
    <s v=""/>
  </r>
  <r>
    <x v="9"/>
    <x v="0"/>
    <x v="1"/>
    <x v="1"/>
    <x v="0"/>
    <x v="2"/>
    <n v="34.64"/>
    <x v="9"/>
    <n v="242"/>
    <n v="34.64"/>
    <n v="35"/>
    <x v="2"/>
    <x v="9"/>
    <x v="9"/>
    <d v="2024-05-08T00:00:00"/>
    <x v="9"/>
    <n v="19"/>
    <s v="Fail"/>
    <x v="0"/>
    <x v="7"/>
    <n v="0"/>
    <n v="0"/>
    <n v="0"/>
    <n v="-1.0392609699769037E-2"/>
    <x v="3"/>
    <x v="1"/>
    <s v=""/>
  </r>
  <r>
    <x v="10"/>
    <x v="4"/>
    <x v="2"/>
    <x v="6"/>
    <x v="1"/>
    <x v="5"/>
    <n v="133.61000000000001"/>
    <x v="10"/>
    <n v="91"/>
    <n v="133.61000000000001"/>
    <n v="127"/>
    <x v="2"/>
    <x v="10"/>
    <x v="10"/>
    <d v="2024-01-17T00:00:00"/>
    <x v="10"/>
    <n v="6"/>
    <s v="Pass"/>
    <x v="0"/>
    <x v="5"/>
    <n v="0"/>
    <n v="1"/>
    <n v="0"/>
    <n v="4.9472344884365041E-2"/>
    <x v="3"/>
    <x v="0"/>
    <n v="1"/>
  </r>
  <r>
    <x v="11"/>
    <x v="1"/>
    <x v="0"/>
    <x v="5"/>
    <x v="2"/>
    <x v="8"/>
    <n v="475.31"/>
    <x v="11"/>
    <n v="152"/>
    <n v="475.30999999999995"/>
    <n v="466"/>
    <x v="0"/>
    <x v="11"/>
    <x v="11"/>
    <d v="2024-11-24T00:00:00"/>
    <x v="11"/>
    <n v="9"/>
    <s v="Pass"/>
    <x v="0"/>
    <x v="8"/>
    <n v="0"/>
    <n v="1"/>
    <n v="0"/>
    <n v="1.9587216763796145E-2"/>
    <x v="5"/>
    <x v="0"/>
    <n v="1"/>
  </r>
  <r>
    <x v="12"/>
    <x v="4"/>
    <x v="0"/>
    <x v="3"/>
    <x v="0"/>
    <x v="6"/>
    <n v="237.87"/>
    <x v="12"/>
    <n v="181"/>
    <n v="237.87"/>
    <n v="236"/>
    <x v="2"/>
    <x v="12"/>
    <x v="12"/>
    <d v="2024-04-04T00:00:00"/>
    <x v="12"/>
    <n v="8"/>
    <s v="Fail"/>
    <x v="0"/>
    <x v="9"/>
    <n v="1"/>
    <n v="1"/>
    <n v="1"/>
    <n v="7.8614369193257018E-3"/>
    <x v="0"/>
    <x v="1"/>
    <s v=""/>
  </r>
  <r>
    <x v="13"/>
    <x v="1"/>
    <x v="4"/>
    <x v="5"/>
    <x v="1"/>
    <x v="4"/>
    <n v="465.15"/>
    <x v="13"/>
    <n v="344"/>
    <n v="465.15000000000003"/>
    <n v="410"/>
    <x v="1"/>
    <x v="13"/>
    <x v="13"/>
    <d v="2024-07-29T00:00:00"/>
    <x v="13"/>
    <n v="17"/>
    <s v="Pass"/>
    <x v="0"/>
    <x v="3"/>
    <n v="0"/>
    <n v="1"/>
    <n v="0"/>
    <n v="0.11856390411695159"/>
    <x v="5"/>
    <x v="0"/>
    <n v="1"/>
  </r>
  <r>
    <x v="14"/>
    <x v="2"/>
    <x v="3"/>
    <x v="0"/>
    <x v="2"/>
    <x v="7"/>
    <n v="351.62"/>
    <x v="14"/>
    <n v="198"/>
    <n v="351.62"/>
    <n v="313"/>
    <x v="1"/>
    <x v="14"/>
    <x v="14"/>
    <d v="2024-11-12T00:00:00"/>
    <x v="14"/>
    <n v="8"/>
    <s v="Fail"/>
    <x v="0"/>
    <x v="10"/>
    <n v="1"/>
    <n v="0"/>
    <n v="0"/>
    <n v="0.10983448040498266"/>
    <x v="0"/>
    <x v="1"/>
    <s v=""/>
  </r>
  <r>
    <x v="15"/>
    <x v="2"/>
    <x v="1"/>
    <x v="7"/>
    <x v="0"/>
    <x v="2"/>
    <n v="43.79"/>
    <x v="15"/>
    <n v="366"/>
    <n v="43.790000000000006"/>
    <n v="39"/>
    <x v="2"/>
    <x v="15"/>
    <x v="15"/>
    <d v="2024-01-26T00:00:00"/>
    <x v="15"/>
    <n v="18"/>
    <s v="Pass"/>
    <x v="0"/>
    <x v="11"/>
    <n v="0"/>
    <n v="0"/>
    <n v="0"/>
    <n v="0.10938570449874413"/>
    <x v="1"/>
    <x v="0"/>
    <n v="1"/>
  </r>
  <r>
    <x v="16"/>
    <x v="4"/>
    <x v="2"/>
    <x v="2"/>
    <x v="1"/>
    <x v="0"/>
    <n v="356.58"/>
    <x v="16"/>
    <n v="262"/>
    <n v="356.58"/>
    <n v="314"/>
    <x v="0"/>
    <x v="16"/>
    <x v="16"/>
    <d v="2025-01-24T00:00:00"/>
    <x v="16"/>
    <n v="13"/>
    <s v="Fail"/>
    <x v="0"/>
    <x v="3"/>
    <n v="0"/>
    <n v="0"/>
    <n v="0"/>
    <n v="0.11941219361714057"/>
    <x v="1"/>
    <x v="1"/>
    <s v=""/>
  </r>
  <r>
    <x v="17"/>
    <x v="4"/>
    <x v="4"/>
    <x v="4"/>
    <x v="2"/>
    <x v="3"/>
    <n v="167.93"/>
    <x v="17"/>
    <n v="170"/>
    <n v="167.93"/>
    <n v="143"/>
    <x v="0"/>
    <x v="17"/>
    <x v="17"/>
    <d v="2024-06-11T00:00:00"/>
    <x v="17"/>
    <n v="19"/>
    <s v="Fail"/>
    <x v="0"/>
    <x v="1"/>
    <n v="0"/>
    <n v="0"/>
    <n v="0"/>
    <n v="0.14845471327338775"/>
    <x v="5"/>
    <x v="1"/>
    <s v=""/>
  </r>
  <r>
    <x v="18"/>
    <x v="2"/>
    <x v="4"/>
    <x v="6"/>
    <x v="0"/>
    <x v="5"/>
    <n v="174.83"/>
    <x v="18"/>
    <n v="297"/>
    <n v="174.83000000000004"/>
    <n v="165"/>
    <x v="2"/>
    <x v="18"/>
    <x v="18"/>
    <d v="2024-04-24T00:00:00"/>
    <x v="18"/>
    <n v="20"/>
    <s v="Fail"/>
    <x v="0"/>
    <x v="12"/>
    <n v="0"/>
    <n v="0"/>
    <n v="0"/>
    <n v="5.6226048161070977E-2"/>
    <x v="5"/>
    <x v="1"/>
    <s v=""/>
  </r>
  <r>
    <x v="19"/>
    <x v="3"/>
    <x v="2"/>
    <x v="4"/>
    <x v="1"/>
    <x v="6"/>
    <n v="441.36"/>
    <x v="19"/>
    <n v="377"/>
    <n v="441.35999999999996"/>
    <n v="424"/>
    <x v="2"/>
    <x v="19"/>
    <x v="19"/>
    <d v="2024-10-17T00:00:00"/>
    <x v="19"/>
    <n v="5"/>
    <s v="Pass"/>
    <x v="0"/>
    <x v="10"/>
    <n v="0"/>
    <n v="0"/>
    <n v="0"/>
    <n v="3.9332970817473167E-2"/>
    <x v="5"/>
    <x v="0"/>
    <n v="1"/>
  </r>
  <r>
    <x v="20"/>
    <x v="0"/>
    <x v="1"/>
    <x v="2"/>
    <x v="2"/>
    <x v="1"/>
    <n v="282.04000000000002"/>
    <x v="20"/>
    <n v="173"/>
    <n v="282.04000000000008"/>
    <n v="246"/>
    <x v="1"/>
    <x v="20"/>
    <x v="20"/>
    <d v="2024-09-21T00:00:00"/>
    <x v="20"/>
    <n v="20"/>
    <s v="Pass"/>
    <x v="0"/>
    <x v="13"/>
    <n v="0"/>
    <n v="1"/>
    <n v="0"/>
    <n v="0.12778329314990805"/>
    <x v="1"/>
    <x v="0"/>
    <n v="1"/>
  </r>
  <r>
    <x v="21"/>
    <x v="1"/>
    <x v="2"/>
    <x v="3"/>
    <x v="0"/>
    <x v="2"/>
    <n v="208.16"/>
    <x v="21"/>
    <n v="174"/>
    <n v="208.15999999999997"/>
    <n v="190"/>
    <x v="2"/>
    <x v="21"/>
    <x v="8"/>
    <d v="2024-12-22T00:00:00"/>
    <x v="21"/>
    <n v="16"/>
    <s v="Fail"/>
    <x v="0"/>
    <x v="12"/>
    <n v="0"/>
    <n v="1"/>
    <n v="0"/>
    <n v="8.7240584166025995E-2"/>
    <x v="1"/>
    <x v="1"/>
    <s v=""/>
  </r>
  <r>
    <x v="22"/>
    <x v="4"/>
    <x v="4"/>
    <x v="7"/>
    <x v="1"/>
    <x v="5"/>
    <n v="182.39"/>
    <x v="22"/>
    <n v="266"/>
    <n v="182.39000000000001"/>
    <n v="161"/>
    <x v="2"/>
    <x v="22"/>
    <x v="21"/>
    <d v="2024-06-19T00:00:00"/>
    <x v="22"/>
    <n v="13"/>
    <s v="Pass"/>
    <x v="0"/>
    <x v="2"/>
    <n v="0"/>
    <n v="0"/>
    <n v="0"/>
    <n v="0.1172761664564944"/>
    <x v="5"/>
    <x v="0"/>
    <n v="1"/>
  </r>
  <r>
    <x v="23"/>
    <x v="0"/>
    <x v="2"/>
    <x v="0"/>
    <x v="2"/>
    <x v="4"/>
    <n v="374.01"/>
    <x v="23"/>
    <n v="440"/>
    <n v="374.01"/>
    <n v="326"/>
    <x v="1"/>
    <x v="23"/>
    <x v="22"/>
    <d v="2024-04-16T00:00:00"/>
    <x v="23"/>
    <n v="11"/>
    <s v="Fail"/>
    <x v="0"/>
    <x v="14"/>
    <n v="0"/>
    <n v="1"/>
    <n v="0"/>
    <n v="0.12836555172321593"/>
    <x v="5"/>
    <x v="1"/>
    <s v=""/>
  </r>
  <r>
    <x v="24"/>
    <x v="3"/>
    <x v="4"/>
    <x v="4"/>
    <x v="0"/>
    <x v="8"/>
    <n v="490.45"/>
    <x v="24"/>
    <n v="434"/>
    <n v="490.45000000000005"/>
    <n v="476"/>
    <x v="0"/>
    <x v="24"/>
    <x v="23"/>
    <d v="2024-06-13T00:00:00"/>
    <x v="24"/>
    <n v="12"/>
    <s v="Pass"/>
    <x v="0"/>
    <x v="15"/>
    <n v="0"/>
    <n v="0"/>
    <n v="0"/>
    <n v="2.9462738301559883E-2"/>
    <x v="3"/>
    <x v="0"/>
    <n v="1"/>
  </r>
  <r>
    <x v="25"/>
    <x v="3"/>
    <x v="0"/>
    <x v="1"/>
    <x v="1"/>
    <x v="7"/>
    <n v="144.41"/>
    <x v="25"/>
    <n v="71"/>
    <n v="144.41"/>
    <n v="133"/>
    <x v="1"/>
    <x v="25"/>
    <x v="24"/>
    <d v="2024-06-08T00:00:00"/>
    <x v="25"/>
    <n v="9"/>
    <s v="Pass"/>
    <x v="0"/>
    <x v="2"/>
    <n v="0"/>
    <n v="0"/>
    <n v="0"/>
    <n v="7.9011148812409088E-2"/>
    <x v="1"/>
    <x v="0"/>
    <n v="1"/>
  </r>
  <r>
    <x v="26"/>
    <x v="1"/>
    <x v="4"/>
    <x v="4"/>
    <x v="2"/>
    <x v="6"/>
    <n v="240"/>
    <x v="26"/>
    <n v="275"/>
    <n v="240"/>
    <n v="209"/>
    <x v="2"/>
    <x v="26"/>
    <x v="22"/>
    <d v="2024-04-11T00:00:00"/>
    <x v="26"/>
    <n v="6"/>
    <s v="Fail"/>
    <x v="0"/>
    <x v="9"/>
    <n v="0"/>
    <n v="1"/>
    <n v="0"/>
    <n v="0.12916666666666668"/>
    <x v="2"/>
    <x v="1"/>
    <s v=""/>
  </r>
  <r>
    <x v="27"/>
    <x v="1"/>
    <x v="0"/>
    <x v="6"/>
    <x v="0"/>
    <x v="1"/>
    <n v="250.96"/>
    <x v="27"/>
    <n v="321"/>
    <n v="250.95999999999998"/>
    <n v="226"/>
    <x v="1"/>
    <x v="27"/>
    <x v="25"/>
    <d v="2024-12-24T00:00:00"/>
    <x v="27"/>
    <n v="6"/>
    <s v="Pass"/>
    <x v="0"/>
    <x v="10"/>
    <n v="1"/>
    <n v="0"/>
    <n v="0"/>
    <n v="9.9458080969078669E-2"/>
    <x v="0"/>
    <x v="0"/>
    <n v="1"/>
  </r>
  <r>
    <x v="28"/>
    <x v="2"/>
    <x v="2"/>
    <x v="0"/>
    <x v="1"/>
    <x v="4"/>
    <n v="497.02"/>
    <x v="28"/>
    <n v="106"/>
    <n v="497.02"/>
    <n v="433"/>
    <x v="1"/>
    <x v="28"/>
    <x v="26"/>
    <d v="2025-02-14T00:00:00"/>
    <x v="28"/>
    <n v="18"/>
    <s v="Fail"/>
    <x v="0"/>
    <x v="16"/>
    <n v="0"/>
    <n v="0"/>
    <n v="0"/>
    <n v="0.12880769385537802"/>
    <x v="5"/>
    <x v="1"/>
    <s v=""/>
  </r>
  <r>
    <x v="29"/>
    <x v="4"/>
    <x v="1"/>
    <x v="4"/>
    <x v="2"/>
    <x v="2"/>
    <n v="431.48"/>
    <x v="29"/>
    <n v="269"/>
    <n v="431.47999999999996"/>
    <n v="415"/>
    <x v="2"/>
    <x v="29"/>
    <x v="27"/>
    <d v="2024-10-25T00:00:00"/>
    <x v="29"/>
    <n v="6"/>
    <s v="Pass"/>
    <x v="0"/>
    <x v="17"/>
    <n v="1"/>
    <n v="1"/>
    <n v="1"/>
    <n v="3.8194122554927143E-2"/>
    <x v="0"/>
    <x v="0"/>
    <n v="1"/>
  </r>
  <r>
    <x v="30"/>
    <x v="0"/>
    <x v="2"/>
    <x v="0"/>
    <x v="0"/>
    <x v="7"/>
    <n v="86.96"/>
    <x v="30"/>
    <n v="138"/>
    <n v="86.96"/>
    <n v="84"/>
    <x v="1"/>
    <x v="30"/>
    <x v="28"/>
    <d v="2024-02-19T00:00:00"/>
    <x v="30"/>
    <n v="10"/>
    <s v="Fail"/>
    <x v="0"/>
    <x v="9"/>
    <n v="1"/>
    <n v="1"/>
    <n v="1"/>
    <n v="3.4038638454461749E-2"/>
    <x v="0"/>
    <x v="1"/>
    <s v=""/>
  </r>
  <r>
    <x v="31"/>
    <x v="4"/>
    <x v="4"/>
    <x v="2"/>
    <x v="1"/>
    <x v="5"/>
    <n v="152.72"/>
    <x v="31"/>
    <n v="168"/>
    <n v="152.72"/>
    <n v="147"/>
    <x v="2"/>
    <x v="31"/>
    <x v="29"/>
    <d v="2025-01-11T00:00:00"/>
    <x v="31"/>
    <n v="14"/>
    <s v="Pass"/>
    <x v="0"/>
    <x v="16"/>
    <n v="0"/>
    <n v="1"/>
    <n v="0"/>
    <n v="3.7454164484023042E-2"/>
    <x v="1"/>
    <x v="0"/>
    <n v="1"/>
  </r>
  <r>
    <x v="32"/>
    <x v="0"/>
    <x v="2"/>
    <x v="3"/>
    <x v="2"/>
    <x v="0"/>
    <n v="218.32"/>
    <x v="32"/>
    <n v="328"/>
    <n v="218.31999999999996"/>
    <n v="195"/>
    <x v="0"/>
    <x v="32"/>
    <x v="30"/>
    <d v="2024-12-07T00:00:00"/>
    <x v="32"/>
    <n v="9"/>
    <s v="Pass"/>
    <x v="0"/>
    <x v="4"/>
    <n v="0"/>
    <n v="1"/>
    <n v="0"/>
    <n v="0.10681568340051287"/>
    <x v="2"/>
    <x v="0"/>
    <n v="1"/>
  </r>
  <r>
    <x v="33"/>
    <x v="1"/>
    <x v="0"/>
    <x v="1"/>
    <x v="0"/>
    <x v="1"/>
    <n v="398.39"/>
    <x v="33"/>
    <n v="326"/>
    <n v="398.39"/>
    <n v="387"/>
    <x v="1"/>
    <x v="33"/>
    <x v="27"/>
    <d v="2024-11-02T00:00:00"/>
    <x v="33"/>
    <n v="14"/>
    <s v="Pass"/>
    <x v="0"/>
    <x v="16"/>
    <n v="0"/>
    <n v="0"/>
    <n v="0"/>
    <n v="2.8590075052084607E-2"/>
    <x v="1"/>
    <x v="0"/>
    <n v="1"/>
  </r>
  <r>
    <x v="34"/>
    <x v="4"/>
    <x v="2"/>
    <x v="6"/>
    <x v="1"/>
    <x v="4"/>
    <n v="471.91"/>
    <x v="34"/>
    <n v="288"/>
    <n v="471.90999999999997"/>
    <n v="468"/>
    <x v="1"/>
    <x v="34"/>
    <x v="31"/>
    <d v="2024-09-29T00:00:00"/>
    <x v="34"/>
    <n v="19"/>
    <s v="Pass"/>
    <x v="0"/>
    <x v="3"/>
    <n v="1"/>
    <n v="0"/>
    <n v="0"/>
    <n v="8.2854781632090199E-3"/>
    <x v="0"/>
    <x v="0"/>
    <n v="1"/>
  </r>
  <r>
    <x v="35"/>
    <x v="4"/>
    <x v="2"/>
    <x v="4"/>
    <x v="2"/>
    <x v="7"/>
    <n v="22.67"/>
    <x v="35"/>
    <n v="167"/>
    <n v="22.669999999999998"/>
    <n v="22"/>
    <x v="1"/>
    <x v="35"/>
    <x v="32"/>
    <d v="2024-10-27T00:00:00"/>
    <x v="35"/>
    <n v="5"/>
    <s v="Pass"/>
    <x v="0"/>
    <x v="18"/>
    <n v="0"/>
    <n v="1"/>
    <n v="0"/>
    <n v="2.9554477282752456E-2"/>
    <x v="2"/>
    <x v="0"/>
    <n v="1"/>
  </r>
  <r>
    <x v="36"/>
    <x v="0"/>
    <x v="1"/>
    <x v="2"/>
    <x v="0"/>
    <x v="1"/>
    <n v="458.88"/>
    <x v="36"/>
    <n v="131"/>
    <n v="458.88"/>
    <n v="432"/>
    <x v="1"/>
    <x v="36"/>
    <x v="33"/>
    <d v="2024-09-01T00:00:00"/>
    <x v="36"/>
    <n v="20"/>
    <s v="Fail"/>
    <x v="0"/>
    <x v="16"/>
    <n v="1"/>
    <n v="0"/>
    <n v="0"/>
    <n v="5.8577405857740579E-2"/>
    <x v="0"/>
    <x v="1"/>
    <s v=""/>
  </r>
  <r>
    <x v="37"/>
    <x v="3"/>
    <x v="1"/>
    <x v="7"/>
    <x v="1"/>
    <x v="3"/>
    <n v="167.32"/>
    <x v="37"/>
    <n v="103"/>
    <n v="167.32"/>
    <n v="144"/>
    <x v="0"/>
    <x v="37"/>
    <x v="34"/>
    <d v="2024-07-06T00:00:00"/>
    <x v="37"/>
    <n v="18"/>
    <s v="Fail"/>
    <x v="0"/>
    <x v="11"/>
    <n v="0"/>
    <n v="1"/>
    <n v="0"/>
    <n v="0.13937365527133633"/>
    <x v="1"/>
    <x v="1"/>
    <s v=""/>
  </r>
  <r>
    <x v="38"/>
    <x v="4"/>
    <x v="4"/>
    <x v="5"/>
    <x v="2"/>
    <x v="6"/>
    <n v="232.86"/>
    <x v="38"/>
    <n v="197"/>
    <n v="232.86000000000004"/>
    <n v="217"/>
    <x v="2"/>
    <x v="38"/>
    <x v="35"/>
    <d v="2024-06-23T00:00:00"/>
    <x v="38"/>
    <n v="8"/>
    <s v="Pass"/>
    <x v="0"/>
    <x v="14"/>
    <n v="0"/>
    <n v="0"/>
    <n v="0"/>
    <n v="6.8109593747316149E-2"/>
    <x v="4"/>
    <x v="0"/>
    <n v="1"/>
  </r>
  <r>
    <x v="39"/>
    <x v="2"/>
    <x v="1"/>
    <x v="6"/>
    <x v="0"/>
    <x v="2"/>
    <n v="36.56"/>
    <x v="39"/>
    <n v="315"/>
    <n v="36.56"/>
    <n v="35"/>
    <x v="2"/>
    <x v="39"/>
    <x v="11"/>
    <d v="2024-12-05T00:00:00"/>
    <x v="8"/>
    <n v="20"/>
    <s v="Pass"/>
    <x v="0"/>
    <x v="13"/>
    <n v="0"/>
    <n v="1"/>
    <n v="0"/>
    <n v="4.2669584245076643E-2"/>
    <x v="1"/>
    <x v="0"/>
    <n v="1"/>
  </r>
  <r>
    <x v="40"/>
    <x v="0"/>
    <x v="2"/>
    <x v="1"/>
    <x v="1"/>
    <x v="4"/>
    <n v="464.56"/>
    <x v="40"/>
    <n v="266"/>
    <n v="464.56"/>
    <n v="460"/>
    <x v="1"/>
    <x v="40"/>
    <x v="36"/>
    <d v="2024-09-14T00:00:00"/>
    <x v="39"/>
    <n v="8"/>
    <s v="Pass"/>
    <x v="0"/>
    <x v="10"/>
    <n v="1"/>
    <n v="0"/>
    <n v="0"/>
    <n v="9.8157396245910165E-3"/>
    <x v="0"/>
    <x v="0"/>
    <n v="1"/>
  </r>
  <r>
    <x v="41"/>
    <x v="0"/>
    <x v="2"/>
    <x v="5"/>
    <x v="2"/>
    <x v="8"/>
    <n v="280.60000000000002"/>
    <x v="41"/>
    <n v="97"/>
    <n v="280.60000000000002"/>
    <n v="256"/>
    <x v="0"/>
    <x v="41"/>
    <x v="37"/>
    <d v="2024-03-19T00:00:00"/>
    <x v="40"/>
    <n v="19"/>
    <s v="Pass"/>
    <x v="0"/>
    <x v="3"/>
    <n v="1"/>
    <n v="1"/>
    <n v="1"/>
    <n v="8.7669280114041417E-2"/>
    <x v="0"/>
    <x v="0"/>
    <n v="1"/>
  </r>
  <r>
    <x v="42"/>
    <x v="4"/>
    <x v="2"/>
    <x v="4"/>
    <x v="0"/>
    <x v="5"/>
    <n v="213.59"/>
    <x v="42"/>
    <n v="297"/>
    <n v="213.59"/>
    <n v="203"/>
    <x v="2"/>
    <x v="42"/>
    <x v="38"/>
    <d v="2024-05-24T00:00:00"/>
    <x v="41"/>
    <n v="19"/>
    <s v="Fail"/>
    <x v="0"/>
    <x v="16"/>
    <n v="1"/>
    <n v="1"/>
    <n v="1"/>
    <n v="4.9580972891989337E-2"/>
    <x v="0"/>
    <x v="1"/>
    <s v=""/>
  </r>
  <r>
    <x v="43"/>
    <x v="0"/>
    <x v="4"/>
    <x v="1"/>
    <x v="1"/>
    <x v="6"/>
    <n v="433.37"/>
    <x v="43"/>
    <n v="191"/>
    <n v="433.37"/>
    <n v="378"/>
    <x v="2"/>
    <x v="43"/>
    <x v="39"/>
    <d v="2024-07-07T00:00:00"/>
    <x v="42"/>
    <n v="13"/>
    <s v="Fail"/>
    <x v="0"/>
    <x v="4"/>
    <n v="1"/>
    <n v="1"/>
    <n v="1"/>
    <n v="0.1277661120982071"/>
    <x v="0"/>
    <x v="1"/>
    <s v=""/>
  </r>
  <r>
    <x v="44"/>
    <x v="3"/>
    <x v="4"/>
    <x v="2"/>
    <x v="2"/>
    <x v="7"/>
    <n v="433.98"/>
    <x v="44"/>
    <n v="265"/>
    <n v="433.98"/>
    <n v="413"/>
    <x v="1"/>
    <x v="44"/>
    <x v="40"/>
    <d v="2024-09-21T00:00:00"/>
    <x v="43"/>
    <n v="16"/>
    <s v="Fail"/>
    <x v="0"/>
    <x v="16"/>
    <n v="0"/>
    <n v="0"/>
    <n v="0"/>
    <n v="4.8343241624038011E-2"/>
    <x v="3"/>
    <x v="1"/>
    <s v=""/>
  </r>
  <r>
    <x v="45"/>
    <x v="4"/>
    <x v="2"/>
    <x v="3"/>
    <x v="0"/>
    <x v="1"/>
    <n v="490.58"/>
    <x v="45"/>
    <n v="172"/>
    <n v="490.58"/>
    <n v="447"/>
    <x v="1"/>
    <x v="45"/>
    <x v="41"/>
    <d v="2024-07-28T00:00:00"/>
    <x v="44"/>
    <n v="12"/>
    <s v="Pass"/>
    <x v="0"/>
    <x v="19"/>
    <n v="0"/>
    <n v="1"/>
    <n v="0"/>
    <n v="8.883362550450484E-2"/>
    <x v="4"/>
    <x v="0"/>
    <n v="1"/>
  </r>
  <r>
    <x v="46"/>
    <x v="3"/>
    <x v="1"/>
    <x v="6"/>
    <x v="1"/>
    <x v="4"/>
    <n v="199.18"/>
    <x v="46"/>
    <n v="389"/>
    <n v="199.18"/>
    <n v="200"/>
    <x v="1"/>
    <x v="46"/>
    <x v="42"/>
    <d v="2024-04-08T00:00:00"/>
    <x v="45"/>
    <n v="20"/>
    <s v="Pass"/>
    <x v="0"/>
    <x v="3"/>
    <n v="1"/>
    <n v="1"/>
    <n v="1"/>
    <n v="-4.1168792047393977E-3"/>
    <x v="0"/>
    <x v="0"/>
    <n v="1"/>
  </r>
  <r>
    <x v="47"/>
    <x v="2"/>
    <x v="4"/>
    <x v="7"/>
    <x v="2"/>
    <x v="2"/>
    <n v="436.15"/>
    <x v="47"/>
    <n v="488"/>
    <n v="436.15"/>
    <n v="384"/>
    <x v="2"/>
    <x v="47"/>
    <x v="43"/>
    <d v="2024-03-12T00:00:00"/>
    <x v="46"/>
    <n v="19"/>
    <s v="Pass"/>
    <x v="0"/>
    <x v="0"/>
    <n v="1"/>
    <n v="0"/>
    <n v="0"/>
    <n v="0.11956895563452936"/>
    <x v="0"/>
    <x v="0"/>
    <n v="1"/>
  </r>
  <r>
    <x v="48"/>
    <x v="4"/>
    <x v="3"/>
    <x v="0"/>
    <x v="0"/>
    <x v="5"/>
    <n v="240.05"/>
    <x v="48"/>
    <n v="178"/>
    <n v="240.05"/>
    <n v="217"/>
    <x v="2"/>
    <x v="48"/>
    <x v="44"/>
    <d v="2024-12-03T00:00:00"/>
    <x v="47"/>
    <n v="17"/>
    <s v="Fail"/>
    <x v="0"/>
    <x v="19"/>
    <n v="1"/>
    <n v="0"/>
    <n v="0"/>
    <n v="9.6021662153718018E-2"/>
    <x v="0"/>
    <x v="1"/>
    <s v=""/>
  </r>
  <r>
    <x v="49"/>
    <x v="2"/>
    <x v="1"/>
    <x v="7"/>
    <x v="1"/>
    <x v="6"/>
    <n v="317.13"/>
    <x v="49"/>
    <n v="430"/>
    <n v="317.13"/>
    <n v="314"/>
    <x v="2"/>
    <x v="49"/>
    <x v="45"/>
    <d v="2024-10-11T00:00:00"/>
    <x v="48"/>
    <n v="6"/>
    <s v="Pass"/>
    <x v="0"/>
    <x v="17"/>
    <n v="1"/>
    <n v="0"/>
    <n v="0"/>
    <n v="9.8697694951597002E-3"/>
    <x v="0"/>
    <x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AC0EE9-FC38-4ED4-9C13-F7CF2638C2D5}"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E28:N36" firstHeaderRow="0" firstDataRow="1" firstDataCol="8"/>
  <pivotFields count="33">
    <pivotField axis="axisRow" compact="0" outline="0" showAll="0" measureFilter="1" defaultSubtota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Row" compact="0" outline="0" showAll="0" defaultSubtotal="0">
      <items count="5">
        <item x="1"/>
        <item x="0"/>
        <item x="3"/>
        <item x="2"/>
        <item x="4"/>
      </items>
    </pivotField>
    <pivotField compact="0" outline="0" showAll="0" defaultSubtotal="0">
      <items count="5">
        <item x="1"/>
        <item x="4"/>
        <item x="2"/>
        <item x="3"/>
        <item x="0"/>
      </items>
    </pivotField>
    <pivotField axis="axisRow" compact="0" outline="0" showAll="0" defaultSubtotal="0">
      <items count="8">
        <item x="1"/>
        <item x="7"/>
        <item x="3"/>
        <item x="6"/>
        <item x="4"/>
        <item x="2"/>
        <item x="0"/>
        <item x="5"/>
      </items>
    </pivotField>
    <pivotField axis="axisRow" compact="0" outline="0" showAll="0" defaultSubtotal="0">
      <items count="3">
        <item x="0"/>
        <item x="1"/>
        <item x="2"/>
      </items>
    </pivotField>
    <pivotField axis="axisRow" compact="0" outline="0" showAll="0" defaultSubtotal="0">
      <items count="9">
        <item x="2"/>
        <item x="7"/>
        <item x="8"/>
        <item x="1"/>
        <item x="6"/>
        <item x="4"/>
        <item x="0"/>
        <item x="5"/>
        <item x="3"/>
      </items>
    </pivotField>
    <pivotField compact="0" outline="0" showAll="0" defaultSubtotal="0"/>
    <pivotField dataField="1" compact="0" outline="0" showAll="0" defaultSubtotal="0">
      <items count="50">
        <item x="25"/>
        <item x="10"/>
        <item x="41"/>
        <item x="37"/>
        <item x="28"/>
        <item x="4"/>
        <item x="30"/>
        <item x="36"/>
        <item x="11"/>
        <item x="5"/>
        <item x="0"/>
        <item x="35"/>
        <item x="31"/>
        <item x="45"/>
        <item x="20"/>
        <item x="21"/>
        <item x="17"/>
        <item x="12"/>
        <item x="48"/>
        <item x="43"/>
        <item x="3"/>
        <item x="14"/>
        <item x="38"/>
        <item x="7"/>
        <item x="9"/>
        <item x="29"/>
        <item x="16"/>
        <item x="40"/>
        <item x="26"/>
        <item x="44"/>
        <item x="22"/>
        <item x="2"/>
        <item x="42"/>
        <item x="18"/>
        <item x="34"/>
        <item x="39"/>
        <item x="32"/>
        <item x="13"/>
        <item x="27"/>
        <item x="8"/>
        <item x="33"/>
        <item x="15"/>
        <item x="46"/>
        <item x="1"/>
        <item x="19"/>
        <item x="49"/>
        <item x="23"/>
        <item x="24"/>
        <item x="6"/>
        <item x="47"/>
      </items>
    </pivotField>
    <pivotField compact="0" outline="0" showAll="0" defaultSubtotal="0"/>
    <pivotField compact="0" numFmtId="1" outline="0" showAll="0" defaultSubtotal="0"/>
    <pivotField compact="0" outline="0" showAll="0" defaultSubtotal="0"/>
    <pivotField axis="axisRow" compact="0" outline="0" showAll="0" defaultSubtotal="0">
      <items count="3">
        <item x="2"/>
        <item x="1"/>
        <item x="0"/>
      </items>
    </pivotField>
    <pivotField dataField="1" compact="0" outline="0" showAll="0" defaultSubtotal="0"/>
    <pivotField compact="0" numFmtId="164" outline="0" showAll="0" defaultSubtotal="0">
      <items count="46">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s>
    </pivotField>
    <pivotField compact="0" numFmtId="164" outline="0" showAll="0" defaultSubtotal="0"/>
    <pivotField compact="0" numFmtId="164" outline="0" showAll="0" defaultSubtotal="0">
      <items count="49">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s>
    </pivotField>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numFmtId="9" outline="0" showAll="0" defaultSubtotal="0"/>
    <pivotField axis="axisRow" compact="0" outline="0" showAll="0" defaultSubtotal="0">
      <items count="6">
        <item x="5"/>
        <item x="2"/>
        <item x="3"/>
        <item x="4"/>
        <item x="1"/>
        <item h="1"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0"/>
        <item x="1"/>
        <item x="2"/>
        <item x="3"/>
      </items>
    </pivotField>
    <pivotField compact="0" outline="0" showAll="0" defaultSubtotal="0"/>
    <pivotField compact="0" outline="0" showAll="0" defaultSubtotal="0"/>
    <pivotField compact="0" outline="0" showAll="0" defaultSubtotal="0">
      <items count="4">
        <item x="0"/>
        <item x="1"/>
        <item x="2"/>
        <item x="3"/>
      </items>
    </pivotField>
  </pivotFields>
  <rowFields count="8">
    <field x="0"/>
    <field x="1"/>
    <field x="3"/>
    <field x="5"/>
    <field x="18"/>
    <field x="24"/>
    <field x="4"/>
    <field x="11"/>
  </rowFields>
  <rowItems count="8">
    <i>
      <x v="1"/>
      <x/>
      <x/>
      <x v="3"/>
      <x/>
      <x v="4"/>
      <x v="1"/>
      <x v="1"/>
    </i>
    <i>
      <x v="6"/>
      <x/>
      <x v="4"/>
      <x v="4"/>
      <x/>
      <x v="4"/>
      <x/>
      <x/>
    </i>
    <i>
      <x v="13"/>
      <x/>
      <x v="7"/>
      <x v="5"/>
      <x/>
      <x/>
      <x v="1"/>
      <x v="1"/>
    </i>
    <i>
      <x v="19"/>
      <x v="2"/>
      <x v="4"/>
      <x v="4"/>
      <x/>
      <x/>
      <x v="1"/>
      <x/>
    </i>
    <i>
      <x v="23"/>
      <x v="1"/>
      <x v="6"/>
      <x v="5"/>
      <x/>
      <x/>
      <x v="2"/>
      <x v="1"/>
    </i>
    <i>
      <x v="24"/>
      <x v="2"/>
      <x v="4"/>
      <x v="2"/>
      <x/>
      <x v="2"/>
      <x/>
      <x v="2"/>
    </i>
    <i>
      <x v="33"/>
      <x/>
      <x/>
      <x v="3"/>
      <x/>
      <x v="4"/>
      <x/>
      <x v="1"/>
    </i>
    <i>
      <x v="44"/>
      <x v="2"/>
      <x v="5"/>
      <x v="1"/>
      <x/>
      <x v="2"/>
      <x v="2"/>
      <x v="1"/>
    </i>
  </rowItems>
  <colFields count="1">
    <field x="-2"/>
  </colFields>
  <colItems count="2">
    <i>
      <x/>
    </i>
    <i i="1">
      <x v="1"/>
    </i>
  </colItems>
  <dataFields count="2">
    <dataField name="Quantity Ordered " fld="7" baseField="24" baseItem="4"/>
    <dataField name="Total Cost " fld="12" baseField="24" baseItem="4"/>
  </dataFields>
  <formats count="67">
    <format dxfId="138">
      <pivotArea type="all" dataOnly="0" outline="0" fieldPosition="0"/>
    </format>
    <format dxfId="137">
      <pivotArea outline="0" collapsedLevelsAreSubtotals="1" fieldPosition="0"/>
    </format>
    <format dxfId="136">
      <pivotArea field="1" type="button" dataOnly="0" labelOnly="1" outline="0" axis="axisRow" fieldPosition="1"/>
    </format>
    <format dxfId="135">
      <pivotArea field="3" type="button" dataOnly="0" labelOnly="1" outline="0" axis="axisRow" fieldPosition="2"/>
    </format>
    <format dxfId="134">
      <pivotArea field="5" type="button" dataOnly="0" labelOnly="1" outline="0" axis="axisRow" fieldPosition="3"/>
    </format>
    <format dxfId="133">
      <pivotArea field="18" type="button" dataOnly="0" labelOnly="1" outline="0" axis="axisRow" fieldPosition="4"/>
    </format>
    <format dxfId="132">
      <pivotArea field="24" type="button" dataOnly="0" labelOnly="1" outline="0" axis="axisRow" fieldPosition="5"/>
    </format>
    <format dxfId="131">
      <pivotArea dataOnly="0" labelOnly="1" outline="0" fieldPosition="0">
        <references count="1">
          <reference field="0" count="5">
            <x v="6"/>
            <x v="13"/>
            <x v="19"/>
            <x v="23"/>
            <x v="24"/>
          </reference>
        </references>
      </pivotArea>
    </format>
    <format dxfId="130">
      <pivotArea dataOnly="0" labelOnly="1" outline="0" fieldPosition="0">
        <references count="2">
          <reference field="0" count="1" selected="0">
            <x v="6"/>
          </reference>
          <reference field="1" count="1">
            <x v="0"/>
          </reference>
        </references>
      </pivotArea>
    </format>
    <format dxfId="129">
      <pivotArea dataOnly="0" labelOnly="1" outline="0" fieldPosition="0">
        <references count="2">
          <reference field="0" count="1" selected="0">
            <x v="19"/>
          </reference>
          <reference field="1" count="1">
            <x v="2"/>
          </reference>
        </references>
      </pivotArea>
    </format>
    <format dxfId="128">
      <pivotArea dataOnly="0" labelOnly="1" outline="0" fieldPosition="0">
        <references count="2">
          <reference field="0" count="1" selected="0">
            <x v="23"/>
          </reference>
          <reference field="1" count="1">
            <x v="1"/>
          </reference>
        </references>
      </pivotArea>
    </format>
    <format dxfId="127">
      <pivotArea dataOnly="0" labelOnly="1" outline="0" fieldPosition="0">
        <references count="2">
          <reference field="0" count="1" selected="0">
            <x v="24"/>
          </reference>
          <reference field="1" count="1">
            <x v="2"/>
          </reference>
        </references>
      </pivotArea>
    </format>
    <format dxfId="126">
      <pivotArea dataOnly="0" labelOnly="1" outline="0" fieldPosition="0">
        <references count="3">
          <reference field="0" count="1" selected="0">
            <x v="6"/>
          </reference>
          <reference field="1" count="1" selected="0">
            <x v="0"/>
          </reference>
          <reference field="3" count="1">
            <x v="4"/>
          </reference>
        </references>
      </pivotArea>
    </format>
    <format dxfId="125">
      <pivotArea dataOnly="0" labelOnly="1" outline="0" fieldPosition="0">
        <references count="3">
          <reference field="0" count="1" selected="0">
            <x v="13"/>
          </reference>
          <reference field="1" count="1" selected="0">
            <x v="0"/>
          </reference>
          <reference field="3" count="1">
            <x v="7"/>
          </reference>
        </references>
      </pivotArea>
    </format>
    <format dxfId="124">
      <pivotArea dataOnly="0" labelOnly="1" outline="0" fieldPosition="0">
        <references count="3">
          <reference field="0" count="1" selected="0">
            <x v="19"/>
          </reference>
          <reference field="1" count="1" selected="0">
            <x v="2"/>
          </reference>
          <reference field="3" count="1">
            <x v="4"/>
          </reference>
        </references>
      </pivotArea>
    </format>
    <format dxfId="123">
      <pivotArea dataOnly="0" labelOnly="1" outline="0" fieldPosition="0">
        <references count="3">
          <reference field="0" count="1" selected="0">
            <x v="23"/>
          </reference>
          <reference field="1" count="1" selected="0">
            <x v="1"/>
          </reference>
          <reference field="3" count="1">
            <x v="6"/>
          </reference>
        </references>
      </pivotArea>
    </format>
    <format dxfId="122">
      <pivotArea dataOnly="0" labelOnly="1" outline="0" fieldPosition="0">
        <references count="3">
          <reference field="0" count="1" selected="0">
            <x v="24"/>
          </reference>
          <reference field="1" count="1" selected="0">
            <x v="2"/>
          </reference>
          <reference field="3" count="1">
            <x v="4"/>
          </reference>
        </references>
      </pivotArea>
    </format>
    <format dxfId="121">
      <pivotArea dataOnly="0" labelOnly="1" outline="0" fieldPosition="0">
        <references count="4">
          <reference field="0" count="1" selected="0">
            <x v="6"/>
          </reference>
          <reference field="1" count="1" selected="0">
            <x v="0"/>
          </reference>
          <reference field="3" count="1" selected="0">
            <x v="4"/>
          </reference>
          <reference field="5" count="1">
            <x v="4"/>
          </reference>
        </references>
      </pivotArea>
    </format>
    <format dxfId="120">
      <pivotArea dataOnly="0" labelOnly="1" outline="0" fieldPosition="0">
        <references count="4">
          <reference field="0" count="1" selected="0">
            <x v="13"/>
          </reference>
          <reference field="1" count="1" selected="0">
            <x v="0"/>
          </reference>
          <reference field="3" count="1" selected="0">
            <x v="7"/>
          </reference>
          <reference field="5" count="1">
            <x v="5"/>
          </reference>
        </references>
      </pivotArea>
    </format>
    <format dxfId="119">
      <pivotArea dataOnly="0" labelOnly="1" outline="0" fieldPosition="0">
        <references count="4">
          <reference field="0" count="1" selected="0">
            <x v="19"/>
          </reference>
          <reference field="1" count="1" selected="0">
            <x v="2"/>
          </reference>
          <reference field="3" count="1" selected="0">
            <x v="4"/>
          </reference>
          <reference field="5" count="1">
            <x v="4"/>
          </reference>
        </references>
      </pivotArea>
    </format>
    <format dxfId="118">
      <pivotArea dataOnly="0" labelOnly="1" outline="0" fieldPosition="0">
        <references count="4">
          <reference field="0" count="1" selected="0">
            <x v="23"/>
          </reference>
          <reference field="1" count="1" selected="0">
            <x v="1"/>
          </reference>
          <reference field="3" count="1" selected="0">
            <x v="6"/>
          </reference>
          <reference field="5" count="1">
            <x v="5"/>
          </reference>
        </references>
      </pivotArea>
    </format>
    <format dxfId="117">
      <pivotArea dataOnly="0" labelOnly="1" outline="0" fieldPosition="0">
        <references count="4">
          <reference field="0" count="1" selected="0">
            <x v="24"/>
          </reference>
          <reference field="1" count="1" selected="0">
            <x v="2"/>
          </reference>
          <reference field="3" count="1" selected="0">
            <x v="4"/>
          </reference>
          <reference field="5" count="1">
            <x v="2"/>
          </reference>
        </references>
      </pivotArea>
    </format>
    <format dxfId="116">
      <pivotArea dataOnly="0" labelOnly="1" outline="0" fieldPosition="0">
        <references count="5">
          <reference field="0" count="1" selected="0">
            <x v="6"/>
          </reference>
          <reference field="1" count="1" selected="0">
            <x v="0"/>
          </reference>
          <reference field="3" count="1" selected="0">
            <x v="4"/>
          </reference>
          <reference field="5" count="1" selected="0">
            <x v="4"/>
          </reference>
          <reference field="18" count="0"/>
        </references>
      </pivotArea>
    </format>
    <format dxfId="115">
      <pivotArea dataOnly="0" labelOnly="1" outline="0" fieldPosition="0">
        <references count="6">
          <reference field="0" count="1" selected="0">
            <x v="6"/>
          </reference>
          <reference field="1" count="1" selected="0">
            <x v="0"/>
          </reference>
          <reference field="3" count="1" selected="0">
            <x v="4"/>
          </reference>
          <reference field="5" count="1" selected="0">
            <x v="4"/>
          </reference>
          <reference field="18" count="0" selected="0"/>
          <reference field="24" count="1">
            <x v="4"/>
          </reference>
        </references>
      </pivotArea>
    </format>
    <format dxfId="114">
      <pivotArea dataOnly="0" labelOnly="1" outline="0" fieldPosition="0">
        <references count="6">
          <reference field="0" count="1" selected="0">
            <x v="13"/>
          </reference>
          <reference field="1" count="1" selected="0">
            <x v="0"/>
          </reference>
          <reference field="3" count="1" selected="0">
            <x v="7"/>
          </reference>
          <reference field="5" count="1" selected="0">
            <x v="5"/>
          </reference>
          <reference field="18" count="0" selected="0"/>
          <reference field="24" count="1">
            <x v="0"/>
          </reference>
        </references>
      </pivotArea>
    </format>
    <format dxfId="113">
      <pivotArea dataOnly="0" labelOnly="1" outline="0" fieldPosition="0">
        <references count="6">
          <reference field="0" count="1" selected="0">
            <x v="19"/>
          </reference>
          <reference field="1" count="1" selected="0">
            <x v="2"/>
          </reference>
          <reference field="3" count="1" selected="0">
            <x v="4"/>
          </reference>
          <reference field="5" count="1" selected="0">
            <x v="4"/>
          </reference>
          <reference field="18" count="0" selected="0"/>
          <reference field="24" count="1">
            <x v="0"/>
          </reference>
        </references>
      </pivotArea>
    </format>
    <format dxfId="112">
      <pivotArea dataOnly="0" labelOnly="1" outline="0" fieldPosition="0">
        <references count="6">
          <reference field="0" count="1" selected="0">
            <x v="23"/>
          </reference>
          <reference field="1" count="1" selected="0">
            <x v="1"/>
          </reference>
          <reference field="3" count="1" selected="0">
            <x v="6"/>
          </reference>
          <reference field="5" count="1" selected="0">
            <x v="5"/>
          </reference>
          <reference field="18" count="0" selected="0"/>
          <reference field="24" count="1">
            <x v="0"/>
          </reference>
        </references>
      </pivotArea>
    </format>
    <format dxfId="111">
      <pivotArea dataOnly="0" labelOnly="1" outline="0" fieldPosition="0">
        <references count="6">
          <reference field="0" count="1" selected="0">
            <x v="24"/>
          </reference>
          <reference field="1" count="1" selected="0">
            <x v="2"/>
          </reference>
          <reference field="3" count="1" selected="0">
            <x v="4"/>
          </reference>
          <reference field="5" count="1" selected="0">
            <x v="2"/>
          </reference>
          <reference field="18" count="0" selected="0"/>
          <reference field="24" count="1">
            <x v="2"/>
          </reference>
        </references>
      </pivotArea>
    </format>
    <format dxfId="110">
      <pivotArea dataOnly="0" labelOnly="1" outline="0" fieldPosition="0">
        <references count="1">
          <reference field="4294967294" count="2">
            <x v="0"/>
            <x v="1"/>
          </reference>
        </references>
      </pivotArea>
    </format>
    <format dxfId="109">
      <pivotArea type="all" dataOnly="0" outline="0" fieldPosition="0"/>
    </format>
    <format dxfId="108">
      <pivotArea outline="0" collapsedLevelsAreSubtotals="1" fieldPosition="0"/>
    </format>
    <format dxfId="107">
      <pivotArea field="0" type="button" dataOnly="0" labelOnly="1" outline="0" axis="axisRow" fieldPosition="0"/>
    </format>
    <format dxfId="106">
      <pivotArea field="1" type="button" dataOnly="0" labelOnly="1" outline="0" axis="axisRow" fieldPosition="1"/>
    </format>
    <format dxfId="105">
      <pivotArea field="3" type="button" dataOnly="0" labelOnly="1" outline="0" axis="axisRow" fieldPosition="2"/>
    </format>
    <format dxfId="104">
      <pivotArea field="5" type="button" dataOnly="0" labelOnly="1" outline="0" axis="axisRow" fieldPosition="3"/>
    </format>
    <format dxfId="103">
      <pivotArea field="18" type="button" dataOnly="0" labelOnly="1" outline="0" axis="axisRow" fieldPosition="4"/>
    </format>
    <format dxfId="102">
      <pivotArea field="24" type="button" dataOnly="0" labelOnly="1" outline="0" axis="axisRow" fieldPosition="5"/>
    </format>
    <format dxfId="101">
      <pivotArea dataOnly="0" labelOnly="1" outline="0" fieldPosition="0">
        <references count="1">
          <reference field="0" count="5">
            <x v="6"/>
            <x v="13"/>
            <x v="19"/>
            <x v="23"/>
            <x v="24"/>
          </reference>
        </references>
      </pivotArea>
    </format>
    <format dxfId="100">
      <pivotArea dataOnly="0" labelOnly="1" outline="0" fieldPosition="0">
        <references count="2">
          <reference field="0" count="1" selected="0">
            <x v="6"/>
          </reference>
          <reference field="1" count="1">
            <x v="0"/>
          </reference>
        </references>
      </pivotArea>
    </format>
    <format dxfId="99">
      <pivotArea dataOnly="0" labelOnly="1" outline="0" fieldPosition="0">
        <references count="2">
          <reference field="0" count="1" selected="0">
            <x v="19"/>
          </reference>
          <reference field="1" count="1">
            <x v="2"/>
          </reference>
        </references>
      </pivotArea>
    </format>
    <format dxfId="98">
      <pivotArea dataOnly="0" labelOnly="1" outline="0" fieldPosition="0">
        <references count="2">
          <reference field="0" count="1" selected="0">
            <x v="23"/>
          </reference>
          <reference field="1" count="1">
            <x v="1"/>
          </reference>
        </references>
      </pivotArea>
    </format>
    <format dxfId="97">
      <pivotArea dataOnly="0" labelOnly="1" outline="0" fieldPosition="0">
        <references count="2">
          <reference field="0" count="1" selected="0">
            <x v="24"/>
          </reference>
          <reference field="1" count="1">
            <x v="2"/>
          </reference>
        </references>
      </pivotArea>
    </format>
    <format dxfId="96">
      <pivotArea dataOnly="0" labelOnly="1" outline="0" fieldPosition="0">
        <references count="3">
          <reference field="0" count="1" selected="0">
            <x v="6"/>
          </reference>
          <reference field="1" count="1" selected="0">
            <x v="0"/>
          </reference>
          <reference field="3" count="1">
            <x v="4"/>
          </reference>
        </references>
      </pivotArea>
    </format>
    <format dxfId="95">
      <pivotArea dataOnly="0" labelOnly="1" outline="0" fieldPosition="0">
        <references count="3">
          <reference field="0" count="1" selected="0">
            <x v="13"/>
          </reference>
          <reference field="1" count="1" selected="0">
            <x v="0"/>
          </reference>
          <reference field="3" count="1">
            <x v="7"/>
          </reference>
        </references>
      </pivotArea>
    </format>
    <format dxfId="94">
      <pivotArea dataOnly="0" labelOnly="1" outline="0" fieldPosition="0">
        <references count="3">
          <reference field="0" count="1" selected="0">
            <x v="19"/>
          </reference>
          <reference field="1" count="1" selected="0">
            <x v="2"/>
          </reference>
          <reference field="3" count="1">
            <x v="4"/>
          </reference>
        </references>
      </pivotArea>
    </format>
    <format dxfId="93">
      <pivotArea dataOnly="0" labelOnly="1" outline="0" fieldPosition="0">
        <references count="3">
          <reference field="0" count="1" selected="0">
            <x v="23"/>
          </reference>
          <reference field="1" count="1" selected="0">
            <x v="1"/>
          </reference>
          <reference field="3" count="1">
            <x v="6"/>
          </reference>
        </references>
      </pivotArea>
    </format>
    <format dxfId="92">
      <pivotArea dataOnly="0" labelOnly="1" outline="0" fieldPosition="0">
        <references count="3">
          <reference field="0" count="1" selected="0">
            <x v="24"/>
          </reference>
          <reference field="1" count="1" selected="0">
            <x v="2"/>
          </reference>
          <reference field="3" count="1">
            <x v="4"/>
          </reference>
        </references>
      </pivotArea>
    </format>
    <format dxfId="91">
      <pivotArea dataOnly="0" labelOnly="1" outline="0" fieldPosition="0">
        <references count="4">
          <reference field="0" count="1" selected="0">
            <x v="6"/>
          </reference>
          <reference field="1" count="1" selected="0">
            <x v="0"/>
          </reference>
          <reference field="3" count="1" selected="0">
            <x v="4"/>
          </reference>
          <reference field="5" count="1">
            <x v="4"/>
          </reference>
        </references>
      </pivotArea>
    </format>
    <format dxfId="90">
      <pivotArea dataOnly="0" labelOnly="1" outline="0" fieldPosition="0">
        <references count="4">
          <reference field="0" count="1" selected="0">
            <x v="13"/>
          </reference>
          <reference field="1" count="1" selected="0">
            <x v="0"/>
          </reference>
          <reference field="3" count="1" selected="0">
            <x v="7"/>
          </reference>
          <reference field="5" count="1">
            <x v="5"/>
          </reference>
        </references>
      </pivotArea>
    </format>
    <format dxfId="89">
      <pivotArea dataOnly="0" labelOnly="1" outline="0" fieldPosition="0">
        <references count="4">
          <reference field="0" count="1" selected="0">
            <x v="19"/>
          </reference>
          <reference field="1" count="1" selected="0">
            <x v="2"/>
          </reference>
          <reference field="3" count="1" selected="0">
            <x v="4"/>
          </reference>
          <reference field="5" count="1">
            <x v="4"/>
          </reference>
        </references>
      </pivotArea>
    </format>
    <format dxfId="88">
      <pivotArea dataOnly="0" labelOnly="1" outline="0" fieldPosition="0">
        <references count="4">
          <reference field="0" count="1" selected="0">
            <x v="23"/>
          </reference>
          <reference field="1" count="1" selected="0">
            <x v="1"/>
          </reference>
          <reference field="3" count="1" selected="0">
            <x v="6"/>
          </reference>
          <reference field="5" count="1">
            <x v="5"/>
          </reference>
        </references>
      </pivotArea>
    </format>
    <format dxfId="87">
      <pivotArea dataOnly="0" labelOnly="1" outline="0" fieldPosition="0">
        <references count="4">
          <reference field="0" count="1" selected="0">
            <x v="24"/>
          </reference>
          <reference field="1" count="1" selected="0">
            <x v="2"/>
          </reference>
          <reference field="3" count="1" selected="0">
            <x v="4"/>
          </reference>
          <reference field="5" count="1">
            <x v="2"/>
          </reference>
        </references>
      </pivotArea>
    </format>
    <format dxfId="86">
      <pivotArea dataOnly="0" labelOnly="1" outline="0" fieldPosition="0">
        <references count="5">
          <reference field="0" count="1" selected="0">
            <x v="6"/>
          </reference>
          <reference field="1" count="1" selected="0">
            <x v="0"/>
          </reference>
          <reference field="3" count="1" selected="0">
            <x v="4"/>
          </reference>
          <reference field="5" count="1" selected="0">
            <x v="4"/>
          </reference>
          <reference field="18" count="0"/>
        </references>
      </pivotArea>
    </format>
    <format dxfId="85">
      <pivotArea dataOnly="0" labelOnly="1" outline="0" fieldPosition="0">
        <references count="6">
          <reference field="0" count="1" selected="0">
            <x v="6"/>
          </reference>
          <reference field="1" count="1" selected="0">
            <x v="0"/>
          </reference>
          <reference field="3" count="1" selected="0">
            <x v="4"/>
          </reference>
          <reference field="5" count="1" selected="0">
            <x v="4"/>
          </reference>
          <reference field="18" count="0" selected="0"/>
          <reference field="24" count="1">
            <x v="4"/>
          </reference>
        </references>
      </pivotArea>
    </format>
    <format dxfId="84">
      <pivotArea dataOnly="0" labelOnly="1" outline="0" fieldPosition="0">
        <references count="6">
          <reference field="0" count="1" selected="0">
            <x v="13"/>
          </reference>
          <reference field="1" count="1" selected="0">
            <x v="0"/>
          </reference>
          <reference field="3" count="1" selected="0">
            <x v="7"/>
          </reference>
          <reference field="5" count="1" selected="0">
            <x v="5"/>
          </reference>
          <reference field="18" count="0" selected="0"/>
          <reference field="24" count="1">
            <x v="0"/>
          </reference>
        </references>
      </pivotArea>
    </format>
    <format dxfId="83">
      <pivotArea dataOnly="0" labelOnly="1" outline="0" fieldPosition="0">
        <references count="6">
          <reference field="0" count="1" selected="0">
            <x v="19"/>
          </reference>
          <reference field="1" count="1" selected="0">
            <x v="2"/>
          </reference>
          <reference field="3" count="1" selected="0">
            <x v="4"/>
          </reference>
          <reference field="5" count="1" selected="0">
            <x v="4"/>
          </reference>
          <reference field="18" count="0" selected="0"/>
          <reference field="24" count="1">
            <x v="0"/>
          </reference>
        </references>
      </pivotArea>
    </format>
    <format dxfId="82">
      <pivotArea dataOnly="0" labelOnly="1" outline="0" fieldPosition="0">
        <references count="6">
          <reference field="0" count="1" selected="0">
            <x v="23"/>
          </reference>
          <reference field="1" count="1" selected="0">
            <x v="1"/>
          </reference>
          <reference field="3" count="1" selected="0">
            <x v="6"/>
          </reference>
          <reference field="5" count="1" selected="0">
            <x v="5"/>
          </reference>
          <reference field="18" count="0" selected="0"/>
          <reference field="24" count="1">
            <x v="0"/>
          </reference>
        </references>
      </pivotArea>
    </format>
    <format dxfId="81">
      <pivotArea dataOnly="0" labelOnly="1" outline="0" fieldPosition="0">
        <references count="6">
          <reference field="0" count="1" selected="0">
            <x v="24"/>
          </reference>
          <reference field="1" count="1" selected="0">
            <x v="2"/>
          </reference>
          <reference field="3" count="1" selected="0">
            <x v="4"/>
          </reference>
          <reference field="5" count="1" selected="0">
            <x v="2"/>
          </reference>
          <reference field="18" count="0" selected="0"/>
          <reference field="24" count="1">
            <x v="2"/>
          </reference>
        </references>
      </pivotArea>
    </format>
    <format dxfId="80">
      <pivotArea dataOnly="0" labelOnly="1" outline="0" fieldPosition="0">
        <references count="1">
          <reference field="4294967294" count="2">
            <x v="0"/>
            <x v="1"/>
          </reference>
        </references>
      </pivotArea>
    </format>
    <format dxfId="79">
      <pivotArea field="0" type="button" dataOnly="0" labelOnly="1" outline="0" axis="axisRow" fieldPosition="0"/>
    </format>
    <format dxfId="78">
      <pivotArea field="1" type="button" dataOnly="0" labelOnly="1" outline="0" axis="axisRow" fieldPosition="1"/>
    </format>
    <format dxfId="77">
      <pivotArea field="3" type="button" dataOnly="0" labelOnly="1" outline="0" axis="axisRow" fieldPosition="2"/>
    </format>
    <format dxfId="76">
      <pivotArea field="5" type="button" dataOnly="0" labelOnly="1" outline="0" axis="axisRow" fieldPosition="3"/>
    </format>
    <format dxfId="75">
      <pivotArea field="18" type="button" dataOnly="0" labelOnly="1" outline="0" axis="axisRow" fieldPosition="4"/>
    </format>
    <format dxfId="74">
      <pivotArea field="24" type="button" dataOnly="0" labelOnly="1" outline="0" axis="axisRow" fieldPosition="5"/>
    </format>
    <format dxfId="73">
      <pivotArea dataOnly="0" labelOnly="1" outline="0" fieldPosition="0">
        <references count="1">
          <reference field="4294967294" count="2">
            <x v="0"/>
            <x v="1"/>
          </reference>
        </references>
      </pivotArea>
    </format>
    <format dxfId="72">
      <pivotArea field="0" type="button" dataOnly="0" labelOnly="1" outline="0" axis="axisRow" fieldPosition="0"/>
    </format>
  </formats>
  <pivotTableStyleInfo name="PivotStyleDark18" showRowHeaders="1" showColHeaders="1" showRowStripes="0" showColStripes="0" showLastColumn="1"/>
  <filters count="1">
    <filter fld="0" type="count" evalOrder="-1" id="3" iMeasureFld="1">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B3FA0A-D2D3-470B-BA26-E58818FF4D0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0:C151" firstHeaderRow="0" firstDataRow="1" firstDataCol="1"/>
  <pivotFields count="33">
    <pivotField axis="axisRow" showAll="0" measureFilter="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6">
        <item x="1"/>
        <item x="0"/>
        <item x="3"/>
        <item x="2"/>
        <item x="4"/>
        <item t="default"/>
      </items>
    </pivotField>
    <pivotField showAll="0">
      <items count="6">
        <item x="1"/>
        <item x="4"/>
        <item x="2"/>
        <item x="3"/>
        <item x="0"/>
        <item t="default"/>
      </items>
    </pivotField>
    <pivotField axis="axisRow" showAll="0">
      <items count="9">
        <item x="1"/>
        <item x="7"/>
        <item x="3"/>
        <item x="6"/>
        <item x="4"/>
        <item x="2"/>
        <item x="0"/>
        <item x="5"/>
        <item t="default"/>
      </items>
    </pivotField>
    <pivotField showAll="0"/>
    <pivotField axis="axisRow" showAll="0">
      <items count="10">
        <item x="2"/>
        <item x="7"/>
        <item x="8"/>
        <item x="1"/>
        <item x="6"/>
        <item x="4"/>
        <item x="0"/>
        <item x="5"/>
        <item x="3"/>
        <item t="default"/>
      </items>
    </pivotField>
    <pivotField showAll="0"/>
    <pivotField dataField="1" showAll="0">
      <items count="51">
        <item x="25"/>
        <item x="10"/>
        <item x="41"/>
        <item x="37"/>
        <item x="28"/>
        <item x="4"/>
        <item x="30"/>
        <item x="36"/>
        <item x="11"/>
        <item x="5"/>
        <item x="0"/>
        <item x="35"/>
        <item x="31"/>
        <item x="45"/>
        <item x="20"/>
        <item x="21"/>
        <item x="17"/>
        <item x="12"/>
        <item x="48"/>
        <item x="43"/>
        <item x="3"/>
        <item x="14"/>
        <item x="38"/>
        <item x="7"/>
        <item x="9"/>
        <item x="29"/>
        <item x="16"/>
        <item x="40"/>
        <item x="26"/>
        <item x="44"/>
        <item x="22"/>
        <item x="2"/>
        <item x="42"/>
        <item x="18"/>
        <item x="34"/>
        <item x="39"/>
        <item x="32"/>
        <item x="13"/>
        <item x="27"/>
        <item x="8"/>
        <item x="33"/>
        <item x="15"/>
        <item x="46"/>
        <item x="1"/>
        <item x="19"/>
        <item x="49"/>
        <item x="23"/>
        <item x="24"/>
        <item x="6"/>
        <item x="47"/>
        <item t="default"/>
      </items>
    </pivotField>
    <pivotField showAll="0"/>
    <pivotField numFmtId="1" showAll="0"/>
    <pivotField showAll="0"/>
    <pivotField showAll="0"/>
    <pivotField dataField="1" showAll="0"/>
    <pivotField numFmtId="164"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numFmtId="164" showAll="0"/>
    <pivotField numFmtId="164"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axis="axisRow" showAll="0">
      <items count="2">
        <item x="0"/>
        <item t="default"/>
      </items>
    </pivotField>
    <pivotField showAll="0"/>
    <pivotField showAll="0"/>
    <pivotField showAll="0"/>
    <pivotField showAll="0"/>
    <pivotField numFmtId="9" showAll="0"/>
    <pivotField axis="axisRow" showAll="0">
      <items count="7">
        <item x="5"/>
        <item x="2"/>
        <item x="3"/>
        <item x="4"/>
        <item x="1"/>
        <item h="1" x="0"/>
        <item t="default"/>
      </items>
    </pivotField>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s>
  <rowFields count="6">
    <field x="0"/>
    <field x="1"/>
    <field x="3"/>
    <field x="5"/>
    <field x="18"/>
    <field x="24"/>
  </rowFields>
  <rowItems count="31">
    <i>
      <x v="6"/>
    </i>
    <i r="1">
      <x/>
    </i>
    <i r="2">
      <x v="4"/>
    </i>
    <i r="3">
      <x v="4"/>
    </i>
    <i r="4">
      <x/>
    </i>
    <i r="5">
      <x v="4"/>
    </i>
    <i>
      <x v="13"/>
    </i>
    <i r="1">
      <x/>
    </i>
    <i r="2">
      <x v="7"/>
    </i>
    <i r="3">
      <x v="5"/>
    </i>
    <i r="4">
      <x/>
    </i>
    <i r="5">
      <x/>
    </i>
    <i>
      <x v="19"/>
    </i>
    <i r="1">
      <x v="2"/>
    </i>
    <i r="2">
      <x v="4"/>
    </i>
    <i r="3">
      <x v="4"/>
    </i>
    <i r="4">
      <x/>
    </i>
    <i r="5">
      <x/>
    </i>
    <i>
      <x v="23"/>
    </i>
    <i r="1">
      <x v="1"/>
    </i>
    <i r="2">
      <x v="6"/>
    </i>
    <i r="3">
      <x v="5"/>
    </i>
    <i r="4">
      <x/>
    </i>
    <i r="5">
      <x/>
    </i>
    <i>
      <x v="24"/>
    </i>
    <i r="1">
      <x v="2"/>
    </i>
    <i r="2">
      <x v="4"/>
    </i>
    <i r="3">
      <x v="2"/>
    </i>
    <i r="4">
      <x/>
    </i>
    <i r="5">
      <x v="2"/>
    </i>
    <i t="grand">
      <x/>
    </i>
  </rowItems>
  <colFields count="1">
    <field x="-2"/>
  </colFields>
  <colItems count="2">
    <i>
      <x/>
    </i>
    <i i="1">
      <x v="1"/>
    </i>
  </colItems>
  <dataFields count="2">
    <dataField name="Sum of Quantity Ordered" fld="7" baseField="0" baseItem="0"/>
    <dataField name="Sum of Total Cost" fld="12" baseField="0" baseItem="0"/>
  </dataFields>
  <pivotTableStyleInfo name="PivotStyleLight16" showRowHeaders="1" showColHeaders="1" showRowStripes="0" showColStripes="0" showLastColumn="1"/>
  <filters count="1">
    <filter fld="0" type="count" evalOrder="-1" id="2"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810A14-C38E-407B-ADC7-8E65FBB209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33">
    <pivotField showAll="0"/>
    <pivotField axis="axisRow" showAll="0">
      <items count="6">
        <item x="1"/>
        <item x="0"/>
        <item x="3"/>
        <item x="2"/>
        <item x="4"/>
        <item t="default"/>
      </items>
    </pivotField>
    <pivotField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dataField="1" showAll="0"/>
    <pivotField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Items count="1">
    <i/>
  </colItems>
  <dataFields count="1">
    <dataField name="Sum of Total Cost" fld="12" baseField="0" baseItem="0"/>
  </dataFields>
  <chartFormats count="6">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 count="1" selected="0">
            <x v="0"/>
          </reference>
        </references>
      </pivotArea>
    </chartFormat>
    <chartFormat chart="7" format="9">
      <pivotArea type="data" outline="0" fieldPosition="0">
        <references count="2">
          <reference field="4294967294" count="1" selected="0">
            <x v="0"/>
          </reference>
          <reference field="1" count="1" selected="0">
            <x v="1"/>
          </reference>
        </references>
      </pivotArea>
    </chartFormat>
    <chartFormat chart="7" format="10">
      <pivotArea type="data" outline="0" fieldPosition="0">
        <references count="2">
          <reference field="4294967294" count="1" selected="0">
            <x v="0"/>
          </reference>
          <reference field="1" count="1" selected="0">
            <x v="2"/>
          </reference>
        </references>
      </pivotArea>
    </chartFormat>
    <chartFormat chart="7" format="11">
      <pivotArea type="data" outline="0" fieldPosition="0">
        <references count="2">
          <reference field="4294967294" count="1" selected="0">
            <x v="0"/>
          </reference>
          <reference field="1" count="1" selected="0">
            <x v="3"/>
          </reference>
        </references>
      </pivotArea>
    </chartFormat>
    <chartFormat chart="7"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8C835D-6B9D-499A-9309-A6928FA6A0E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C55" firstHeaderRow="0" firstDataRow="1" firstDataCol="1"/>
  <pivotFields count="33">
    <pivotField showAll="0"/>
    <pivotField axis="axisRow" showAll="0">
      <items count="6">
        <item x="1"/>
        <item x="0"/>
        <item x="3"/>
        <item x="2"/>
        <item x="4"/>
        <item t="default"/>
      </items>
    </pivotField>
    <pivotField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showAll="0"/>
    <pivotField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Fields count="1">
    <field x="-2"/>
  </colFields>
  <colItems count="2">
    <i>
      <x/>
    </i>
    <i i="1">
      <x v="1"/>
    </i>
  </colItems>
  <dataFields count="2">
    <dataField name="Sum of Defect" fld="25" baseField="1" baseItem="0"/>
    <dataField name="Sum of NO Defect" fld="26"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0A6571-1A0E-45DC-A05A-F9D81A06CB3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0:B116" firstHeaderRow="1" firstDataRow="1" firstDataCol="1"/>
  <pivotFields count="33">
    <pivotField showAll="0"/>
    <pivotField showAll="0">
      <items count="6">
        <item x="1"/>
        <item x="0"/>
        <item x="3"/>
        <item x="2"/>
        <item x="4"/>
        <item t="default"/>
      </items>
    </pivotField>
    <pivotField axis="axisRow"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dataField="1" showAll="0"/>
    <pivotField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Total Cost" fld="12" baseField="0" baseItem="0"/>
  </dataField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2" count="1" selected="0">
            <x v="0"/>
          </reference>
        </references>
      </pivotArea>
    </chartFormat>
    <chartFormat chart="5" format="14">
      <pivotArea type="data" outline="0" fieldPosition="0">
        <references count="2">
          <reference field="4294967294" count="1" selected="0">
            <x v="0"/>
          </reference>
          <reference field="2" count="1" selected="0">
            <x v="1"/>
          </reference>
        </references>
      </pivotArea>
    </chartFormat>
    <chartFormat chart="5" format="15">
      <pivotArea type="data" outline="0" fieldPosition="0">
        <references count="2">
          <reference field="4294967294" count="1" selected="0">
            <x v="0"/>
          </reference>
          <reference field="2" count="1" selected="0">
            <x v="2"/>
          </reference>
        </references>
      </pivotArea>
    </chartFormat>
    <chartFormat chart="5" format="16">
      <pivotArea type="data" outline="0" fieldPosition="0">
        <references count="2">
          <reference field="4294967294" count="1" selected="0">
            <x v="0"/>
          </reference>
          <reference field="2" count="1" selected="0">
            <x v="3"/>
          </reference>
        </references>
      </pivotArea>
    </chartFormat>
    <chartFormat chart="5"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F3D68F-D399-47BC-9CBD-AA7F2265DD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6:H32" firstHeaderRow="1" firstDataRow="1" firstDataCol="1"/>
  <pivotFields count="33">
    <pivotField showAll="0"/>
    <pivotField showAll="0">
      <items count="6">
        <item x="1"/>
        <item x="0"/>
        <item x="3"/>
        <item x="2"/>
        <item x="4"/>
        <item t="default"/>
      </items>
    </pivotField>
    <pivotField axis="axisRow"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showAll="0"/>
    <pivotField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Average of Cost Variance" fld="23"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09672D-3CC8-4627-B6CD-62F53DF0FB7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B43" firstHeaderRow="1" firstDataRow="1" firstDataCol="1"/>
  <pivotFields count="33">
    <pivotField showAll="0"/>
    <pivotField axis="axisRow" showAll="0">
      <items count="6">
        <item x="1"/>
        <item x="0"/>
        <item x="3"/>
        <item x="2"/>
        <item x="4"/>
        <item t="default"/>
      </items>
    </pivotField>
    <pivotField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showAll="0"/>
    <pivotField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Items count="1">
    <i/>
  </colItems>
  <dataFields count="1">
    <dataField name="Average of Order Delay" fld="2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CCBF30-C047-466E-AB75-C7BE0277158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93:B106" firstHeaderRow="1" firstDataRow="1" firstDataCol="1"/>
  <pivotFields count="33">
    <pivotField showAll="0"/>
    <pivotField showAll="0">
      <items count="6">
        <item x="1"/>
        <item x="0"/>
        <item x="3"/>
        <item x="2"/>
        <item x="4"/>
        <item t="default"/>
      </items>
    </pivotField>
    <pivotField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showAll="0"/>
    <pivotField axis="axisRow"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showAll="0"/>
    <pivotField showAll="0">
      <items count="7">
        <item x="5"/>
        <item x="2"/>
        <item x="3"/>
        <item x="4"/>
        <item x="1"/>
        <item x="0"/>
        <item t="default"/>
      </items>
    </pivotField>
    <pivotField dataField="1" showAll="0">
      <items count="3">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30"/>
    <field x="13"/>
  </rowFields>
  <rowItems count="13">
    <i>
      <x v="1"/>
    </i>
    <i>
      <x v="2"/>
    </i>
    <i>
      <x v="3"/>
    </i>
    <i>
      <x v="4"/>
    </i>
    <i>
      <x v="5"/>
    </i>
    <i>
      <x v="6"/>
    </i>
    <i>
      <x v="7"/>
    </i>
    <i>
      <x v="8"/>
    </i>
    <i>
      <x v="9"/>
    </i>
    <i>
      <x v="10"/>
    </i>
    <i>
      <x v="11"/>
    </i>
    <i>
      <x v="12"/>
    </i>
    <i t="grand">
      <x/>
    </i>
  </rowItems>
  <colItems count="1">
    <i/>
  </colItems>
  <dataFields count="1">
    <dataField name="Count of Defect" fld="25" subtotal="count" baseField="0" baseItem="0"/>
  </dataField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BB0E23-499A-473C-A692-231213245E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B32" firstHeaderRow="1" firstDataRow="1" firstDataCol="1"/>
  <pivotFields count="33">
    <pivotField showAll="0"/>
    <pivotField axis="axisRow" showAll="0">
      <items count="6">
        <item x="1"/>
        <item x="0"/>
        <item x="3"/>
        <item x="2"/>
        <item x="4"/>
        <item t="default"/>
      </items>
    </pivotField>
    <pivotField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showAll="0"/>
    <pivotField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Items count="1">
    <i/>
  </colItems>
  <dataFields count="1">
    <dataField name="Average of Cost Variance" fld="23"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7F0F78-67E2-4110-A2A6-D8EBBCD6651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76:B89" firstHeaderRow="1" firstDataRow="1" firstDataCol="1"/>
  <pivotFields count="33">
    <pivotField showAll="0"/>
    <pivotField showAll="0">
      <items count="6">
        <item x="1"/>
        <item x="0"/>
        <item x="3"/>
        <item x="2"/>
        <item x="4"/>
        <item t="default"/>
      </items>
    </pivotField>
    <pivotField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showAll="0"/>
    <pivotField axis="axisRow"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showAll="0"/>
    <pivotField dataField="1" showAll="0">
      <items count="7">
        <item x="5"/>
        <item x="2"/>
        <item x="3"/>
        <item x="4"/>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30"/>
    <field x="13"/>
  </rowFields>
  <rowItems count="13">
    <i>
      <x v="1"/>
    </i>
    <i>
      <x v="2"/>
    </i>
    <i>
      <x v="3"/>
    </i>
    <i>
      <x v="4"/>
    </i>
    <i>
      <x v="5"/>
    </i>
    <i>
      <x v="6"/>
    </i>
    <i>
      <x v="7"/>
    </i>
    <i>
      <x v="8"/>
    </i>
    <i>
      <x v="9"/>
    </i>
    <i>
      <x v="10"/>
    </i>
    <i>
      <x v="11"/>
    </i>
    <i>
      <x v="12"/>
    </i>
    <i t="grand">
      <x/>
    </i>
  </rowItems>
  <colItems count="1">
    <i/>
  </colItems>
  <dataFields count="1">
    <dataField name="Count of Order Delay" fld="24" subtotal="count"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7201518-0A04-4E04-80A8-8A5150355B3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20" firstHeaderRow="1" firstDataRow="1" firstDataCol="1"/>
  <pivotFields count="33">
    <pivotField showAll="0"/>
    <pivotField axis="axisRow" showAll="0">
      <items count="6">
        <item x="1"/>
        <item x="0"/>
        <item x="3"/>
        <item x="2"/>
        <item x="4"/>
        <item t="default"/>
      </items>
    </pivotField>
    <pivotField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showAll="0"/>
    <pivotField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dataField="1" showAll="0"/>
    <pivotField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Items count="1">
    <i/>
  </colItems>
  <dataFields count="1">
    <dataField name="Average of OTIF" fld="22" subtotal="average" baseField="1"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DDCA996-A1F0-4B6B-AD04-5D5AFAC5CF2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9:B72" firstHeaderRow="1" firstDataRow="1" firstDataCol="1"/>
  <pivotFields count="33">
    <pivotField showAll="0"/>
    <pivotField showAll="0">
      <items count="6">
        <item x="1"/>
        <item x="0"/>
        <item x="3"/>
        <item x="2"/>
        <item x="4"/>
        <item t="default"/>
      </items>
    </pivotField>
    <pivotField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dataField="1" showAll="0"/>
    <pivotField axis="axisRow"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30"/>
    <field x="13"/>
  </rowFields>
  <rowItems count="13">
    <i>
      <x v="1"/>
    </i>
    <i>
      <x v="2"/>
    </i>
    <i>
      <x v="3"/>
    </i>
    <i>
      <x v="4"/>
    </i>
    <i>
      <x v="5"/>
    </i>
    <i>
      <x v="6"/>
    </i>
    <i>
      <x v="7"/>
    </i>
    <i>
      <x v="8"/>
    </i>
    <i>
      <x v="9"/>
    </i>
    <i>
      <x v="10"/>
    </i>
    <i>
      <x v="11"/>
    </i>
    <i>
      <x v="12"/>
    </i>
    <i t="grand">
      <x/>
    </i>
  </rowItems>
  <colItems count="1">
    <i/>
  </colItems>
  <dataFields count="1">
    <dataField name="Sum of Total Cost" fld="12" baseField="0" baseItem="0"/>
  </dataFields>
  <formats count="12">
    <format dxfId="11">
      <pivotArea collapsedLevelsAreSubtotals="1" fieldPosition="0">
        <references count="1">
          <reference field="30" count="1">
            <x v="1"/>
          </reference>
        </references>
      </pivotArea>
    </format>
    <format dxfId="10">
      <pivotArea collapsedLevelsAreSubtotals="1" fieldPosition="0">
        <references count="1">
          <reference field="30" count="1">
            <x v="2"/>
          </reference>
        </references>
      </pivotArea>
    </format>
    <format dxfId="9">
      <pivotArea collapsedLevelsAreSubtotals="1" fieldPosition="0">
        <references count="1">
          <reference field="30" count="1">
            <x v="3"/>
          </reference>
        </references>
      </pivotArea>
    </format>
    <format dxfId="8">
      <pivotArea collapsedLevelsAreSubtotals="1" fieldPosition="0">
        <references count="1">
          <reference field="30" count="1">
            <x v="4"/>
          </reference>
        </references>
      </pivotArea>
    </format>
    <format dxfId="7">
      <pivotArea collapsedLevelsAreSubtotals="1" fieldPosition="0">
        <references count="1">
          <reference field="30" count="1">
            <x v="5"/>
          </reference>
        </references>
      </pivotArea>
    </format>
    <format dxfId="6">
      <pivotArea collapsedLevelsAreSubtotals="1" fieldPosition="0">
        <references count="1">
          <reference field="30" count="1">
            <x v="6"/>
          </reference>
        </references>
      </pivotArea>
    </format>
    <format dxfId="5">
      <pivotArea collapsedLevelsAreSubtotals="1" fieldPosition="0">
        <references count="1">
          <reference field="30" count="1">
            <x v="7"/>
          </reference>
        </references>
      </pivotArea>
    </format>
    <format dxfId="4">
      <pivotArea collapsedLevelsAreSubtotals="1" fieldPosition="0">
        <references count="1">
          <reference field="30" count="1">
            <x v="8"/>
          </reference>
        </references>
      </pivotArea>
    </format>
    <format dxfId="3">
      <pivotArea collapsedLevelsAreSubtotals="1" fieldPosition="0">
        <references count="1">
          <reference field="30" count="1">
            <x v="9"/>
          </reference>
        </references>
      </pivotArea>
    </format>
    <format dxfId="2">
      <pivotArea collapsedLevelsAreSubtotals="1" fieldPosition="0">
        <references count="1">
          <reference field="30" count="1">
            <x v="10"/>
          </reference>
        </references>
      </pivotArea>
    </format>
    <format dxfId="1">
      <pivotArea collapsedLevelsAreSubtotals="1" fieldPosition="0">
        <references count="1">
          <reference field="30" count="1">
            <x v="11"/>
          </reference>
        </references>
      </pivotArea>
    </format>
    <format dxfId="0">
      <pivotArea collapsedLevelsAreSubtotals="1" fieldPosition="0">
        <references count="1">
          <reference field="30" count="1">
            <x v="12"/>
          </reference>
        </references>
      </pivotArea>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1F61F13-33BF-4005-B1CB-4E0FBAC5A940}"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F120:M125" firstHeaderRow="0" firstDataRow="1" firstDataCol="6"/>
  <pivotFields count="33">
    <pivotField axis="axisRow" compact="0" outline="0" showAll="0" measureFilter="1" defaultSubtota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Row" compact="0" outline="0" showAll="0" defaultSubtotal="0">
      <items count="5">
        <item x="1"/>
        <item x="0"/>
        <item x="3"/>
        <item x="2"/>
        <item x="4"/>
      </items>
    </pivotField>
    <pivotField compact="0" outline="0" showAll="0" defaultSubtotal="0">
      <items count="5">
        <item x="1"/>
        <item x="4"/>
        <item x="2"/>
        <item x="3"/>
        <item x="0"/>
      </items>
    </pivotField>
    <pivotField axis="axisRow" compact="0" outline="0" showAll="0" defaultSubtotal="0">
      <items count="8">
        <item x="1"/>
        <item x="7"/>
        <item x="3"/>
        <item x="6"/>
        <item x="4"/>
        <item x="2"/>
        <item x="0"/>
        <item x="5"/>
      </items>
    </pivotField>
    <pivotField compact="0" outline="0" showAll="0" defaultSubtotal="0"/>
    <pivotField axis="axisRow" compact="0" outline="0" showAll="0" defaultSubtotal="0">
      <items count="9">
        <item x="2"/>
        <item x="7"/>
        <item x="8"/>
        <item x="1"/>
        <item x="6"/>
        <item x="4"/>
        <item x="0"/>
        <item x="5"/>
        <item x="3"/>
      </items>
    </pivotField>
    <pivotField compact="0" outline="0" showAll="0" defaultSubtotal="0"/>
    <pivotField dataField="1" compact="0" outline="0" showAll="0" defaultSubtotal="0">
      <items count="50">
        <item x="25"/>
        <item x="10"/>
        <item x="41"/>
        <item x="37"/>
        <item x="28"/>
        <item x="4"/>
        <item x="30"/>
        <item x="36"/>
        <item x="11"/>
        <item x="5"/>
        <item x="0"/>
        <item x="35"/>
        <item x="31"/>
        <item x="45"/>
        <item x="20"/>
        <item x="21"/>
        <item x="17"/>
        <item x="12"/>
        <item x="48"/>
        <item x="43"/>
        <item x="3"/>
        <item x="14"/>
        <item x="38"/>
        <item x="7"/>
        <item x="9"/>
        <item x="29"/>
        <item x="16"/>
        <item x="40"/>
        <item x="26"/>
        <item x="44"/>
        <item x="22"/>
        <item x="2"/>
        <item x="42"/>
        <item x="18"/>
        <item x="34"/>
        <item x="39"/>
        <item x="32"/>
        <item x="13"/>
        <item x="27"/>
        <item x="8"/>
        <item x="33"/>
        <item x="15"/>
        <item x="46"/>
        <item x="1"/>
        <item x="19"/>
        <item x="49"/>
        <item x="23"/>
        <item x="24"/>
        <item x="6"/>
        <item x="47"/>
      </items>
    </pivotField>
    <pivotField compact="0" outline="0" showAll="0" defaultSubtotal="0"/>
    <pivotField compact="0" numFmtId="1" outline="0" showAll="0" defaultSubtotal="0"/>
    <pivotField compact="0" outline="0" showAll="0" defaultSubtotal="0"/>
    <pivotField compact="0" outline="0" showAll="0" defaultSubtotal="0"/>
    <pivotField dataField="1" compact="0" outline="0" showAll="0" defaultSubtotal="0"/>
    <pivotField compact="0" numFmtId="164" outline="0" showAll="0" defaultSubtotal="0">
      <items count="46">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s>
    </pivotField>
    <pivotField compact="0" numFmtId="164" outline="0" showAll="0" defaultSubtotal="0"/>
    <pivotField compact="0" numFmtId="164" outline="0" showAll="0" defaultSubtotal="0">
      <items count="49">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s>
    </pivotField>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numFmtId="9" outline="0" showAll="0" defaultSubtotal="0"/>
    <pivotField axis="axisRow" compact="0" outline="0" showAll="0" defaultSubtotal="0">
      <items count="6">
        <item x="5"/>
        <item x="2"/>
        <item x="3"/>
        <item x="4"/>
        <item x="1"/>
        <item h="1"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0"/>
        <item x="1"/>
        <item x="2"/>
        <item x="3"/>
      </items>
    </pivotField>
    <pivotField compact="0" outline="0" showAll="0" defaultSubtotal="0"/>
    <pivotField compact="0" outline="0" showAll="0" defaultSubtotal="0"/>
    <pivotField compact="0" outline="0" showAll="0" defaultSubtotal="0">
      <items count="4">
        <item x="0"/>
        <item x="1"/>
        <item x="2"/>
        <item x="3"/>
      </items>
    </pivotField>
  </pivotFields>
  <rowFields count="6">
    <field x="0"/>
    <field x="1"/>
    <field x="3"/>
    <field x="5"/>
    <field x="18"/>
    <field x="24"/>
  </rowFields>
  <rowItems count="5">
    <i>
      <x v="6"/>
      <x/>
      <x v="4"/>
      <x v="4"/>
      <x/>
      <x v="4"/>
    </i>
    <i>
      <x v="13"/>
      <x/>
      <x v="7"/>
      <x v="5"/>
      <x/>
      <x/>
    </i>
    <i>
      <x v="19"/>
      <x v="2"/>
      <x v="4"/>
      <x v="4"/>
      <x/>
      <x/>
    </i>
    <i>
      <x v="23"/>
      <x v="1"/>
      <x v="6"/>
      <x v="5"/>
      <x/>
      <x/>
    </i>
    <i>
      <x v="24"/>
      <x v="2"/>
      <x v="4"/>
      <x v="2"/>
      <x/>
      <x v="2"/>
    </i>
  </rowItems>
  <colFields count="1">
    <field x="-2"/>
  </colFields>
  <colItems count="2">
    <i>
      <x/>
    </i>
    <i i="1">
      <x v="1"/>
    </i>
  </colItems>
  <dataFields count="2">
    <dataField name="Quantity Ordered " fld="7" baseField="24" baseItem="4"/>
    <dataField name="Total Cost " fld="12" baseField="24" baseItem="4"/>
  </dataFields>
  <formats count="60">
    <format dxfId="71">
      <pivotArea type="all" dataOnly="0" outline="0" fieldPosition="0"/>
    </format>
    <format dxfId="70">
      <pivotArea outline="0" collapsedLevelsAreSubtotals="1" fieldPosition="0"/>
    </format>
    <format dxfId="69">
      <pivotArea field="0" type="button" dataOnly="0" labelOnly="1" outline="0" axis="axisRow" fieldPosition="0"/>
    </format>
    <format dxfId="68">
      <pivotArea field="1" type="button" dataOnly="0" labelOnly="1" outline="0" axis="axisRow" fieldPosition="1"/>
    </format>
    <format dxfId="67">
      <pivotArea field="3" type="button" dataOnly="0" labelOnly="1" outline="0" axis="axisRow" fieldPosition="2"/>
    </format>
    <format dxfId="66">
      <pivotArea field="5" type="button" dataOnly="0" labelOnly="1" outline="0" axis="axisRow" fieldPosition="3"/>
    </format>
    <format dxfId="65">
      <pivotArea field="18" type="button" dataOnly="0" labelOnly="1" outline="0" axis="axisRow" fieldPosition="4"/>
    </format>
    <format dxfId="64">
      <pivotArea field="24" type="button" dataOnly="0" labelOnly="1" outline="0" axis="axisRow" fieldPosition="5"/>
    </format>
    <format dxfId="63">
      <pivotArea dataOnly="0" labelOnly="1" outline="0" fieldPosition="0">
        <references count="1">
          <reference field="0" count="5">
            <x v="6"/>
            <x v="13"/>
            <x v="19"/>
            <x v="23"/>
            <x v="24"/>
          </reference>
        </references>
      </pivotArea>
    </format>
    <format dxfId="62">
      <pivotArea dataOnly="0" labelOnly="1" outline="0" fieldPosition="0">
        <references count="2">
          <reference field="0" count="1" selected="0">
            <x v="6"/>
          </reference>
          <reference field="1" count="1">
            <x v="0"/>
          </reference>
        </references>
      </pivotArea>
    </format>
    <format dxfId="61">
      <pivotArea dataOnly="0" labelOnly="1" outline="0" fieldPosition="0">
        <references count="2">
          <reference field="0" count="1" selected="0">
            <x v="19"/>
          </reference>
          <reference field="1" count="1">
            <x v="2"/>
          </reference>
        </references>
      </pivotArea>
    </format>
    <format dxfId="60">
      <pivotArea dataOnly="0" labelOnly="1" outline="0" fieldPosition="0">
        <references count="2">
          <reference field="0" count="1" selected="0">
            <x v="23"/>
          </reference>
          <reference field="1" count="1">
            <x v="1"/>
          </reference>
        </references>
      </pivotArea>
    </format>
    <format dxfId="59">
      <pivotArea dataOnly="0" labelOnly="1" outline="0" fieldPosition="0">
        <references count="2">
          <reference field="0" count="1" selected="0">
            <x v="24"/>
          </reference>
          <reference field="1" count="1">
            <x v="2"/>
          </reference>
        </references>
      </pivotArea>
    </format>
    <format dxfId="58">
      <pivotArea dataOnly="0" labelOnly="1" outline="0" fieldPosition="0">
        <references count="3">
          <reference field="0" count="1" selected="0">
            <x v="6"/>
          </reference>
          <reference field="1" count="1" selected="0">
            <x v="0"/>
          </reference>
          <reference field="3" count="1">
            <x v="4"/>
          </reference>
        </references>
      </pivotArea>
    </format>
    <format dxfId="57">
      <pivotArea dataOnly="0" labelOnly="1" outline="0" fieldPosition="0">
        <references count="3">
          <reference field="0" count="1" selected="0">
            <x v="13"/>
          </reference>
          <reference field="1" count="1" selected="0">
            <x v="0"/>
          </reference>
          <reference field="3" count="1">
            <x v="7"/>
          </reference>
        </references>
      </pivotArea>
    </format>
    <format dxfId="56">
      <pivotArea dataOnly="0" labelOnly="1" outline="0" fieldPosition="0">
        <references count="3">
          <reference field="0" count="1" selected="0">
            <x v="19"/>
          </reference>
          <reference field="1" count="1" selected="0">
            <x v="2"/>
          </reference>
          <reference field="3" count="1">
            <x v="4"/>
          </reference>
        </references>
      </pivotArea>
    </format>
    <format dxfId="55">
      <pivotArea dataOnly="0" labelOnly="1" outline="0" fieldPosition="0">
        <references count="3">
          <reference field="0" count="1" selected="0">
            <x v="23"/>
          </reference>
          <reference field="1" count="1" selected="0">
            <x v="1"/>
          </reference>
          <reference field="3" count="1">
            <x v="6"/>
          </reference>
        </references>
      </pivotArea>
    </format>
    <format dxfId="54">
      <pivotArea dataOnly="0" labelOnly="1" outline="0" fieldPosition="0">
        <references count="3">
          <reference field="0" count="1" selected="0">
            <x v="24"/>
          </reference>
          <reference field="1" count="1" selected="0">
            <x v="2"/>
          </reference>
          <reference field="3" count="1">
            <x v="4"/>
          </reference>
        </references>
      </pivotArea>
    </format>
    <format dxfId="53">
      <pivotArea dataOnly="0" labelOnly="1" outline="0" fieldPosition="0">
        <references count="4">
          <reference field="0" count="1" selected="0">
            <x v="6"/>
          </reference>
          <reference field="1" count="1" selected="0">
            <x v="0"/>
          </reference>
          <reference field="3" count="1" selected="0">
            <x v="4"/>
          </reference>
          <reference field="5" count="1">
            <x v="4"/>
          </reference>
        </references>
      </pivotArea>
    </format>
    <format dxfId="52">
      <pivotArea dataOnly="0" labelOnly="1" outline="0" fieldPosition="0">
        <references count="4">
          <reference field="0" count="1" selected="0">
            <x v="13"/>
          </reference>
          <reference field="1" count="1" selected="0">
            <x v="0"/>
          </reference>
          <reference field="3" count="1" selected="0">
            <x v="7"/>
          </reference>
          <reference field="5" count="1">
            <x v="5"/>
          </reference>
        </references>
      </pivotArea>
    </format>
    <format dxfId="51">
      <pivotArea dataOnly="0" labelOnly="1" outline="0" fieldPosition="0">
        <references count="4">
          <reference field="0" count="1" selected="0">
            <x v="19"/>
          </reference>
          <reference field="1" count="1" selected="0">
            <x v="2"/>
          </reference>
          <reference field="3" count="1" selected="0">
            <x v="4"/>
          </reference>
          <reference field="5" count="1">
            <x v="4"/>
          </reference>
        </references>
      </pivotArea>
    </format>
    <format dxfId="50">
      <pivotArea dataOnly="0" labelOnly="1" outline="0" fieldPosition="0">
        <references count="4">
          <reference field="0" count="1" selected="0">
            <x v="23"/>
          </reference>
          <reference field="1" count="1" selected="0">
            <x v="1"/>
          </reference>
          <reference field="3" count="1" selected="0">
            <x v="6"/>
          </reference>
          <reference field="5" count="1">
            <x v="5"/>
          </reference>
        </references>
      </pivotArea>
    </format>
    <format dxfId="49">
      <pivotArea dataOnly="0" labelOnly="1" outline="0" fieldPosition="0">
        <references count="4">
          <reference field="0" count="1" selected="0">
            <x v="24"/>
          </reference>
          <reference field="1" count="1" selected="0">
            <x v="2"/>
          </reference>
          <reference field="3" count="1" selected="0">
            <x v="4"/>
          </reference>
          <reference field="5" count="1">
            <x v="2"/>
          </reference>
        </references>
      </pivotArea>
    </format>
    <format dxfId="48">
      <pivotArea dataOnly="0" labelOnly="1" outline="0" fieldPosition="0">
        <references count="5">
          <reference field="0" count="1" selected="0">
            <x v="6"/>
          </reference>
          <reference field="1" count="1" selected="0">
            <x v="0"/>
          </reference>
          <reference field="3" count="1" selected="0">
            <x v="4"/>
          </reference>
          <reference field="5" count="1" selected="0">
            <x v="4"/>
          </reference>
          <reference field="18" count="0"/>
        </references>
      </pivotArea>
    </format>
    <format dxfId="47">
      <pivotArea dataOnly="0" labelOnly="1" outline="0" fieldPosition="0">
        <references count="6">
          <reference field="0" count="1" selected="0">
            <x v="6"/>
          </reference>
          <reference field="1" count="1" selected="0">
            <x v="0"/>
          </reference>
          <reference field="3" count="1" selected="0">
            <x v="4"/>
          </reference>
          <reference field="5" count="1" selected="0">
            <x v="4"/>
          </reference>
          <reference field="18" count="0" selected="0"/>
          <reference field="24" count="1">
            <x v="4"/>
          </reference>
        </references>
      </pivotArea>
    </format>
    <format dxfId="46">
      <pivotArea dataOnly="0" labelOnly="1" outline="0" fieldPosition="0">
        <references count="6">
          <reference field="0" count="1" selected="0">
            <x v="13"/>
          </reference>
          <reference field="1" count="1" selected="0">
            <x v="0"/>
          </reference>
          <reference field="3" count="1" selected="0">
            <x v="7"/>
          </reference>
          <reference field="5" count="1" selected="0">
            <x v="5"/>
          </reference>
          <reference field="18" count="0" selected="0"/>
          <reference field="24" count="1">
            <x v="0"/>
          </reference>
        </references>
      </pivotArea>
    </format>
    <format dxfId="45">
      <pivotArea dataOnly="0" labelOnly="1" outline="0" fieldPosition="0">
        <references count="6">
          <reference field="0" count="1" selected="0">
            <x v="19"/>
          </reference>
          <reference field="1" count="1" selected="0">
            <x v="2"/>
          </reference>
          <reference field="3" count="1" selected="0">
            <x v="4"/>
          </reference>
          <reference field="5" count="1" selected="0">
            <x v="4"/>
          </reference>
          <reference field="18" count="0" selected="0"/>
          <reference field="24" count="1">
            <x v="0"/>
          </reference>
        </references>
      </pivotArea>
    </format>
    <format dxfId="44">
      <pivotArea dataOnly="0" labelOnly="1" outline="0" fieldPosition="0">
        <references count="6">
          <reference field="0" count="1" selected="0">
            <x v="23"/>
          </reference>
          <reference field="1" count="1" selected="0">
            <x v="1"/>
          </reference>
          <reference field="3" count="1" selected="0">
            <x v="6"/>
          </reference>
          <reference field="5" count="1" selected="0">
            <x v="5"/>
          </reference>
          <reference field="18" count="0" selected="0"/>
          <reference field="24" count="1">
            <x v="0"/>
          </reference>
        </references>
      </pivotArea>
    </format>
    <format dxfId="43">
      <pivotArea dataOnly="0" labelOnly="1" outline="0" fieldPosition="0">
        <references count="6">
          <reference field="0" count="1" selected="0">
            <x v="24"/>
          </reference>
          <reference field="1" count="1" selected="0">
            <x v="2"/>
          </reference>
          <reference field="3" count="1" selected="0">
            <x v="4"/>
          </reference>
          <reference field="5" count="1" selected="0">
            <x v="2"/>
          </reference>
          <reference field="18" count="0" selected="0"/>
          <reference field="24" count="1">
            <x v="2"/>
          </reference>
        </references>
      </pivotArea>
    </format>
    <format dxfId="42">
      <pivotArea dataOnly="0" labelOnly="1" outline="0" fieldPosition="0">
        <references count="1">
          <reference field="4294967294" count="2">
            <x v="0"/>
            <x v="1"/>
          </reference>
        </references>
      </pivotArea>
    </format>
    <format dxfId="41">
      <pivotArea type="all" dataOnly="0" outline="0" fieldPosition="0"/>
    </format>
    <format dxfId="40">
      <pivotArea outline="0" collapsedLevelsAreSubtotals="1" fieldPosition="0"/>
    </format>
    <format dxfId="39">
      <pivotArea field="0" type="button" dataOnly="0" labelOnly="1" outline="0" axis="axisRow" fieldPosition="0"/>
    </format>
    <format dxfId="38">
      <pivotArea field="1" type="button" dataOnly="0" labelOnly="1" outline="0" axis="axisRow" fieldPosition="1"/>
    </format>
    <format dxfId="37">
      <pivotArea field="3" type="button" dataOnly="0" labelOnly="1" outline="0" axis="axisRow" fieldPosition="2"/>
    </format>
    <format dxfId="36">
      <pivotArea field="5" type="button" dataOnly="0" labelOnly="1" outline="0" axis="axisRow" fieldPosition="3"/>
    </format>
    <format dxfId="35">
      <pivotArea field="18" type="button" dataOnly="0" labelOnly="1" outline="0" axis="axisRow" fieldPosition="4"/>
    </format>
    <format dxfId="34">
      <pivotArea field="24" type="button" dataOnly="0" labelOnly="1" outline="0" axis="axisRow" fieldPosition="5"/>
    </format>
    <format dxfId="33">
      <pivotArea dataOnly="0" labelOnly="1" outline="0" fieldPosition="0">
        <references count="1">
          <reference field="0" count="5">
            <x v="6"/>
            <x v="13"/>
            <x v="19"/>
            <x v="23"/>
            <x v="24"/>
          </reference>
        </references>
      </pivotArea>
    </format>
    <format dxfId="32">
      <pivotArea dataOnly="0" labelOnly="1" outline="0" fieldPosition="0">
        <references count="2">
          <reference field="0" count="1" selected="0">
            <x v="6"/>
          </reference>
          <reference field="1" count="1">
            <x v="0"/>
          </reference>
        </references>
      </pivotArea>
    </format>
    <format dxfId="31">
      <pivotArea dataOnly="0" labelOnly="1" outline="0" fieldPosition="0">
        <references count="2">
          <reference field="0" count="1" selected="0">
            <x v="19"/>
          </reference>
          <reference field="1" count="1">
            <x v="2"/>
          </reference>
        </references>
      </pivotArea>
    </format>
    <format dxfId="30">
      <pivotArea dataOnly="0" labelOnly="1" outline="0" fieldPosition="0">
        <references count="2">
          <reference field="0" count="1" selected="0">
            <x v="23"/>
          </reference>
          <reference field="1" count="1">
            <x v="1"/>
          </reference>
        </references>
      </pivotArea>
    </format>
    <format dxfId="29">
      <pivotArea dataOnly="0" labelOnly="1" outline="0" fieldPosition="0">
        <references count="2">
          <reference field="0" count="1" selected="0">
            <x v="24"/>
          </reference>
          <reference field="1" count="1">
            <x v="2"/>
          </reference>
        </references>
      </pivotArea>
    </format>
    <format dxfId="28">
      <pivotArea dataOnly="0" labelOnly="1" outline="0" fieldPosition="0">
        <references count="3">
          <reference field="0" count="1" selected="0">
            <x v="6"/>
          </reference>
          <reference field="1" count="1" selected="0">
            <x v="0"/>
          </reference>
          <reference field="3" count="1">
            <x v="4"/>
          </reference>
        </references>
      </pivotArea>
    </format>
    <format dxfId="27">
      <pivotArea dataOnly="0" labelOnly="1" outline="0" fieldPosition="0">
        <references count="3">
          <reference field="0" count="1" selected="0">
            <x v="13"/>
          </reference>
          <reference field="1" count="1" selected="0">
            <x v="0"/>
          </reference>
          <reference field="3" count="1">
            <x v="7"/>
          </reference>
        </references>
      </pivotArea>
    </format>
    <format dxfId="26">
      <pivotArea dataOnly="0" labelOnly="1" outline="0" fieldPosition="0">
        <references count="3">
          <reference field="0" count="1" selected="0">
            <x v="19"/>
          </reference>
          <reference field="1" count="1" selected="0">
            <x v="2"/>
          </reference>
          <reference field="3" count="1">
            <x v="4"/>
          </reference>
        </references>
      </pivotArea>
    </format>
    <format dxfId="25">
      <pivotArea dataOnly="0" labelOnly="1" outline="0" fieldPosition="0">
        <references count="3">
          <reference field="0" count="1" selected="0">
            <x v="23"/>
          </reference>
          <reference field="1" count="1" selected="0">
            <x v="1"/>
          </reference>
          <reference field="3" count="1">
            <x v="6"/>
          </reference>
        </references>
      </pivotArea>
    </format>
    <format dxfId="24">
      <pivotArea dataOnly="0" labelOnly="1" outline="0" fieldPosition="0">
        <references count="3">
          <reference field="0" count="1" selected="0">
            <x v="24"/>
          </reference>
          <reference field="1" count="1" selected="0">
            <x v="2"/>
          </reference>
          <reference field="3" count="1">
            <x v="4"/>
          </reference>
        </references>
      </pivotArea>
    </format>
    <format dxfId="23">
      <pivotArea dataOnly="0" labelOnly="1" outline="0" fieldPosition="0">
        <references count="4">
          <reference field="0" count="1" selected="0">
            <x v="6"/>
          </reference>
          <reference field="1" count="1" selected="0">
            <x v="0"/>
          </reference>
          <reference field="3" count="1" selected="0">
            <x v="4"/>
          </reference>
          <reference field="5" count="1">
            <x v="4"/>
          </reference>
        </references>
      </pivotArea>
    </format>
    <format dxfId="22">
      <pivotArea dataOnly="0" labelOnly="1" outline="0" fieldPosition="0">
        <references count="4">
          <reference field="0" count="1" selected="0">
            <x v="13"/>
          </reference>
          <reference field="1" count="1" selected="0">
            <x v="0"/>
          </reference>
          <reference field="3" count="1" selected="0">
            <x v="7"/>
          </reference>
          <reference field="5" count="1">
            <x v="5"/>
          </reference>
        </references>
      </pivotArea>
    </format>
    <format dxfId="21">
      <pivotArea dataOnly="0" labelOnly="1" outline="0" fieldPosition="0">
        <references count="4">
          <reference field="0" count="1" selected="0">
            <x v="19"/>
          </reference>
          <reference field="1" count="1" selected="0">
            <x v="2"/>
          </reference>
          <reference field="3" count="1" selected="0">
            <x v="4"/>
          </reference>
          <reference field="5" count="1">
            <x v="4"/>
          </reference>
        </references>
      </pivotArea>
    </format>
    <format dxfId="20">
      <pivotArea dataOnly="0" labelOnly="1" outline="0" fieldPosition="0">
        <references count="4">
          <reference field="0" count="1" selected="0">
            <x v="23"/>
          </reference>
          <reference field="1" count="1" selected="0">
            <x v="1"/>
          </reference>
          <reference field="3" count="1" selected="0">
            <x v="6"/>
          </reference>
          <reference field="5" count="1">
            <x v="5"/>
          </reference>
        </references>
      </pivotArea>
    </format>
    <format dxfId="19">
      <pivotArea dataOnly="0" labelOnly="1" outline="0" fieldPosition="0">
        <references count="4">
          <reference field="0" count="1" selected="0">
            <x v="24"/>
          </reference>
          <reference field="1" count="1" selected="0">
            <x v="2"/>
          </reference>
          <reference field="3" count="1" selected="0">
            <x v="4"/>
          </reference>
          <reference field="5" count="1">
            <x v="2"/>
          </reference>
        </references>
      </pivotArea>
    </format>
    <format dxfId="18">
      <pivotArea dataOnly="0" labelOnly="1" outline="0" fieldPosition="0">
        <references count="5">
          <reference field="0" count="1" selected="0">
            <x v="6"/>
          </reference>
          <reference field="1" count="1" selected="0">
            <x v="0"/>
          </reference>
          <reference field="3" count="1" selected="0">
            <x v="4"/>
          </reference>
          <reference field="5" count="1" selected="0">
            <x v="4"/>
          </reference>
          <reference field="18" count="0"/>
        </references>
      </pivotArea>
    </format>
    <format dxfId="17">
      <pivotArea dataOnly="0" labelOnly="1" outline="0" fieldPosition="0">
        <references count="6">
          <reference field="0" count="1" selected="0">
            <x v="6"/>
          </reference>
          <reference field="1" count="1" selected="0">
            <x v="0"/>
          </reference>
          <reference field="3" count="1" selected="0">
            <x v="4"/>
          </reference>
          <reference field="5" count="1" selected="0">
            <x v="4"/>
          </reference>
          <reference field="18" count="0" selected="0"/>
          <reference field="24" count="1">
            <x v="4"/>
          </reference>
        </references>
      </pivotArea>
    </format>
    <format dxfId="16">
      <pivotArea dataOnly="0" labelOnly="1" outline="0" fieldPosition="0">
        <references count="6">
          <reference field="0" count="1" selected="0">
            <x v="13"/>
          </reference>
          <reference field="1" count="1" selected="0">
            <x v="0"/>
          </reference>
          <reference field="3" count="1" selected="0">
            <x v="7"/>
          </reference>
          <reference field="5" count="1" selected="0">
            <x v="5"/>
          </reference>
          <reference field="18" count="0" selected="0"/>
          <reference field="24" count="1">
            <x v="0"/>
          </reference>
        </references>
      </pivotArea>
    </format>
    <format dxfId="15">
      <pivotArea dataOnly="0" labelOnly="1" outline="0" fieldPosition="0">
        <references count="6">
          <reference field="0" count="1" selected="0">
            <x v="19"/>
          </reference>
          <reference field="1" count="1" selected="0">
            <x v="2"/>
          </reference>
          <reference field="3" count="1" selected="0">
            <x v="4"/>
          </reference>
          <reference field="5" count="1" selected="0">
            <x v="4"/>
          </reference>
          <reference field="18" count="0" selected="0"/>
          <reference field="24" count="1">
            <x v="0"/>
          </reference>
        </references>
      </pivotArea>
    </format>
    <format dxfId="14">
      <pivotArea dataOnly="0" labelOnly="1" outline="0" fieldPosition="0">
        <references count="6">
          <reference field="0" count="1" selected="0">
            <x v="23"/>
          </reference>
          <reference field="1" count="1" selected="0">
            <x v="1"/>
          </reference>
          <reference field="3" count="1" selected="0">
            <x v="6"/>
          </reference>
          <reference field="5" count="1" selected="0">
            <x v="5"/>
          </reference>
          <reference field="18" count="0" selected="0"/>
          <reference field="24" count="1">
            <x v="0"/>
          </reference>
        </references>
      </pivotArea>
    </format>
    <format dxfId="13">
      <pivotArea dataOnly="0" labelOnly="1" outline="0" fieldPosition="0">
        <references count="6">
          <reference field="0" count="1" selected="0">
            <x v="24"/>
          </reference>
          <reference field="1" count="1" selected="0">
            <x v="2"/>
          </reference>
          <reference field="3" count="1" selected="0">
            <x v="4"/>
          </reference>
          <reference field="5" count="1" selected="0">
            <x v="2"/>
          </reference>
          <reference field="18" count="0" selected="0"/>
          <reference field="24" count="1">
            <x v="2"/>
          </reference>
        </references>
      </pivotArea>
    </format>
    <format dxfId="12">
      <pivotArea dataOnly="0" labelOnly="1" outline="0" fieldPosition="0">
        <references count="1">
          <reference field="4294967294" count="2">
            <x v="0"/>
            <x v="1"/>
          </reference>
        </references>
      </pivotArea>
    </format>
  </formats>
  <pivotTableStyleInfo name="PivotStyleDark18" showRowHeaders="1" showColHeaders="1" showRowStripes="0" showColStripes="0" showLastColumn="1"/>
  <filters count="1">
    <filter fld="0" type="count" evalOrder="-1" id="2"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11A7D7B4-D178-4217-931D-54E937668FED}" sourceName="Supplier Name">
  <pivotTables>
    <pivotTable tabId="6" name="PivotTable1"/>
    <pivotTable tabId="6" name="PivotTable10"/>
    <pivotTable tabId="6" name="PivotTable2"/>
    <pivotTable tabId="6" name="PivotTable4"/>
    <pivotTable tabId="6" name="PivotTable5"/>
    <pivotTable tabId="6" name="PivotTable6"/>
    <pivotTable tabId="6" name="PivotTable11"/>
    <pivotTable tabId="6" name="PivotTable12"/>
    <pivotTable tabId="6" name="PivotTable13"/>
    <pivotTable tabId="6" name="PivotTable14"/>
    <pivotTable tabId="7" name="PivotTable20"/>
    <pivotTable tabId="6" name="PivotTable17"/>
    <pivotTable tabId="6" name="PivotTable18"/>
  </pivotTables>
  <data>
    <tabular pivotCacheId="1978614816">
      <items count="5">
        <i x="1" s="1"/>
        <i x="0"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A5331AD-668B-4363-B379-D29F45F9A705}" sourceName="Category">
  <pivotTables>
    <pivotTable tabId="6" name="PivotTable1"/>
    <pivotTable tabId="6" name="PivotTable10"/>
    <pivotTable tabId="6" name="PivotTable2"/>
    <pivotTable tabId="6" name="PivotTable4"/>
    <pivotTable tabId="6" name="PivotTable5"/>
    <pivotTable tabId="6" name="PivotTable6"/>
    <pivotTable tabId="6" name="PivotTable11"/>
    <pivotTable tabId="6" name="PivotTable12"/>
    <pivotTable tabId="6" name="PivotTable13"/>
    <pivotTable tabId="6" name="PivotTable14"/>
    <pivotTable tabId="7" name="PivotTable20"/>
    <pivotTable tabId="6" name="PivotTable17"/>
    <pivotTable tabId="6" name="PivotTable18"/>
  </pivotTables>
  <data>
    <tabular pivotCacheId="1978614816">
      <items count="5">
        <i x="1" s="1"/>
        <i x="4"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Location" xr10:uid="{B8E0733B-1CAF-40E9-AEE6-4AADB3AB03D2}" sourceName="Delivery Location">
  <pivotTables>
    <pivotTable tabId="6" name="PivotTable1"/>
    <pivotTable tabId="6" name="PivotTable10"/>
    <pivotTable tabId="6" name="PivotTable2"/>
    <pivotTable tabId="6" name="PivotTable4"/>
    <pivotTable tabId="6" name="PivotTable5"/>
    <pivotTable tabId="6" name="PivotTable6"/>
    <pivotTable tabId="6" name="PivotTable11"/>
    <pivotTable tabId="6" name="PivotTable12"/>
    <pivotTable tabId="6" name="PivotTable13"/>
    <pivotTable tabId="6" name="PivotTable14"/>
    <pivotTable tabId="7" name="PivotTable20"/>
    <pivotTable tabId="6" name="PivotTable17"/>
    <pivotTable tabId="6" name="PivotTable18"/>
  </pivotTables>
  <data>
    <tabular pivotCacheId="1978614816">
      <items count="9">
        <i x="2" s="1"/>
        <i x="7" s="1"/>
        <i x="8" s="1"/>
        <i x="1" s="1"/>
        <i x="6" s="1"/>
        <i x="4" s="1"/>
        <i x="0"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Name" xr10:uid="{301BE0CF-B3AA-4F81-BD73-3E0C37AFA4C0}" cache="Slicer_Supplier_Name" caption="Supplier Name" style="SlicerStyleLight3" rowHeight="241300"/>
  <slicer name="Category" xr10:uid="{9BE0FB72-D08E-4748-B503-85CC78D3849B}" cache="Slicer_Category" caption="Category" style="SlicerStyleLight3" rowHeight="241300"/>
  <slicer name="Delivery Location" xr10:uid="{A345A950-1787-4F56-83B3-6940266D4F26}" cache="Slicer_Delivery_Location" caption="Delivery Location" style="SlicerStyleLight3"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5200A-ABA7-4335-93C4-3FBB346162D0}">
  <dimension ref="A1:AA36"/>
  <sheetViews>
    <sheetView showGridLines="0" tabSelected="1" zoomScaleNormal="100" workbookViewId="0">
      <selection activeCell="AC28" sqref="AC28"/>
    </sheetView>
  </sheetViews>
  <sheetFormatPr defaultRowHeight="14.25" x14ac:dyDescent="0.45"/>
  <cols>
    <col min="3" max="3" width="12.6640625" customWidth="1"/>
    <col min="4" max="4" width="6.640625E-2" customWidth="1"/>
    <col min="5" max="5" width="11.796875" customWidth="1"/>
    <col min="6" max="6" width="8.59765625" customWidth="1"/>
    <col min="9" max="9" width="7.46484375" customWidth="1"/>
    <col min="10" max="10" width="7.06640625" customWidth="1"/>
    <col min="11" max="11" width="7.9296875" bestFit="1" customWidth="1"/>
    <col min="12" max="12" width="12.59765625" bestFit="1" customWidth="1"/>
    <col min="13" max="13" width="8.06640625" bestFit="1" customWidth="1"/>
    <col min="14" max="14" width="9.73046875" customWidth="1"/>
    <col min="15" max="15" width="2.6640625" customWidth="1"/>
  </cols>
  <sheetData>
    <row r="1" spans="1:27" ht="14.25" customHeight="1" x14ac:dyDescent="0.45">
      <c r="A1" s="34" t="s">
        <v>74</v>
      </c>
      <c r="B1" s="34"/>
      <c r="C1" s="34"/>
      <c r="D1" s="34"/>
      <c r="E1" s="34"/>
      <c r="F1" s="34"/>
      <c r="G1" s="34"/>
      <c r="H1" s="34"/>
      <c r="I1" s="34"/>
      <c r="J1" s="34"/>
      <c r="K1" s="34"/>
      <c r="L1" s="34"/>
      <c r="M1" s="34"/>
      <c r="N1" s="34"/>
      <c r="O1" s="34"/>
      <c r="P1" s="34"/>
      <c r="Q1" s="34"/>
      <c r="R1" s="34"/>
      <c r="S1" s="34"/>
      <c r="T1" s="34"/>
      <c r="U1" s="34"/>
      <c r="V1" s="34"/>
      <c r="W1" s="34"/>
      <c r="X1" s="34"/>
      <c r="Y1" s="34"/>
      <c r="Z1" s="34"/>
      <c r="AA1" s="34"/>
    </row>
    <row r="2" spans="1:27" ht="14.25" customHeight="1" x14ac:dyDescent="0.45">
      <c r="A2" s="34"/>
      <c r="B2" s="34"/>
      <c r="C2" s="34"/>
      <c r="D2" s="34"/>
      <c r="E2" s="34"/>
      <c r="F2" s="34"/>
      <c r="G2" s="34"/>
      <c r="H2" s="34"/>
      <c r="I2" s="34"/>
      <c r="J2" s="34"/>
      <c r="K2" s="34"/>
      <c r="L2" s="34"/>
      <c r="M2" s="34"/>
      <c r="N2" s="34"/>
      <c r="O2" s="34"/>
      <c r="P2" s="34"/>
      <c r="Q2" s="34"/>
      <c r="R2" s="34"/>
      <c r="S2" s="34"/>
      <c r="T2" s="34"/>
      <c r="U2" s="34"/>
      <c r="V2" s="34"/>
      <c r="W2" s="34"/>
      <c r="X2" s="34"/>
      <c r="Y2" s="34"/>
      <c r="Z2" s="34"/>
      <c r="AA2" s="34"/>
    </row>
    <row r="28" spans="5:14" ht="42.75" x14ac:dyDescent="0.45">
      <c r="E28" s="28" t="s">
        <v>0</v>
      </c>
      <c r="F28" s="28" t="s">
        <v>1</v>
      </c>
      <c r="G28" s="28" t="s">
        <v>3</v>
      </c>
      <c r="H28" s="28" t="s">
        <v>40</v>
      </c>
      <c r="I28" s="28" t="s">
        <v>50</v>
      </c>
      <c r="J28" s="28" t="s">
        <v>70</v>
      </c>
      <c r="K28" s="27" t="s">
        <v>36</v>
      </c>
      <c r="L28" s="27" t="s">
        <v>6</v>
      </c>
      <c r="M28" s="29" t="s">
        <v>101</v>
      </c>
      <c r="N28" s="29" t="s">
        <v>99</v>
      </c>
    </row>
    <row r="29" spans="5:14" x14ac:dyDescent="0.45">
      <c r="E29" s="1">
        <v>2</v>
      </c>
      <c r="F29" s="1" t="s">
        <v>14</v>
      </c>
      <c r="G29" s="1" t="s">
        <v>24</v>
      </c>
      <c r="H29" s="1" t="s">
        <v>44</v>
      </c>
      <c r="I29" s="1" t="s">
        <v>51</v>
      </c>
      <c r="J29" s="1">
        <v>5</v>
      </c>
      <c r="K29" s="1" t="s">
        <v>38</v>
      </c>
      <c r="L29" s="1" t="s">
        <v>32</v>
      </c>
      <c r="M29" s="1">
        <v>391</v>
      </c>
      <c r="N29" s="1">
        <v>157451.79</v>
      </c>
    </row>
    <row r="30" spans="5:14" x14ac:dyDescent="0.45">
      <c r="E30" s="1">
        <v>7</v>
      </c>
      <c r="F30" s="1" t="s">
        <v>14</v>
      </c>
      <c r="G30" s="1" t="s">
        <v>27</v>
      </c>
      <c r="H30" s="1" t="s">
        <v>43</v>
      </c>
      <c r="I30" s="1" t="s">
        <v>51</v>
      </c>
      <c r="J30" s="1">
        <v>5</v>
      </c>
      <c r="K30" s="1" t="s">
        <v>37</v>
      </c>
      <c r="L30" s="1" t="s">
        <v>33</v>
      </c>
      <c r="M30" s="1">
        <v>486</v>
      </c>
      <c r="N30" s="1">
        <v>184291.20000000001</v>
      </c>
    </row>
    <row r="31" spans="5:14" x14ac:dyDescent="0.45">
      <c r="E31" s="1">
        <v>14</v>
      </c>
      <c r="F31" s="1" t="s">
        <v>14</v>
      </c>
      <c r="G31" s="1" t="s">
        <v>28</v>
      </c>
      <c r="H31" s="1" t="s">
        <v>45</v>
      </c>
      <c r="I31" s="1" t="s">
        <v>51</v>
      </c>
      <c r="J31" s="1">
        <v>1</v>
      </c>
      <c r="K31" s="1" t="s">
        <v>38</v>
      </c>
      <c r="L31" s="1" t="s">
        <v>32</v>
      </c>
      <c r="M31" s="1">
        <v>344</v>
      </c>
      <c r="N31" s="1">
        <v>160011.6</v>
      </c>
    </row>
    <row r="32" spans="5:14" x14ac:dyDescent="0.45">
      <c r="E32" s="1">
        <v>20</v>
      </c>
      <c r="F32" s="1" t="s">
        <v>16</v>
      </c>
      <c r="G32" s="1" t="s">
        <v>27</v>
      </c>
      <c r="H32" s="1" t="s">
        <v>43</v>
      </c>
      <c r="I32" s="1" t="s">
        <v>51</v>
      </c>
      <c r="J32" s="1">
        <v>1</v>
      </c>
      <c r="K32" s="1" t="s">
        <v>38</v>
      </c>
      <c r="L32" s="1" t="s">
        <v>33</v>
      </c>
      <c r="M32" s="1">
        <v>409</v>
      </c>
      <c r="N32" s="1">
        <v>180516.24</v>
      </c>
    </row>
    <row r="33" spans="5:14" x14ac:dyDescent="0.45">
      <c r="E33" s="1">
        <v>24</v>
      </c>
      <c r="F33" s="1" t="s">
        <v>13</v>
      </c>
      <c r="G33" s="1" t="s">
        <v>23</v>
      </c>
      <c r="H33" s="1" t="s">
        <v>45</v>
      </c>
      <c r="I33" s="1" t="s">
        <v>51</v>
      </c>
      <c r="J33" s="1">
        <v>1</v>
      </c>
      <c r="K33" s="1" t="s">
        <v>39</v>
      </c>
      <c r="L33" s="1" t="s">
        <v>32</v>
      </c>
      <c r="M33" s="1">
        <v>440</v>
      </c>
      <c r="N33" s="1">
        <v>164564.4</v>
      </c>
    </row>
    <row r="34" spans="5:14" x14ac:dyDescent="0.45">
      <c r="E34" s="1">
        <v>25</v>
      </c>
      <c r="F34" s="1" t="s">
        <v>16</v>
      </c>
      <c r="G34" s="1" t="s">
        <v>27</v>
      </c>
      <c r="H34" s="1" t="s">
        <v>48</v>
      </c>
      <c r="I34" s="1" t="s">
        <v>51</v>
      </c>
      <c r="J34" s="1">
        <v>3</v>
      </c>
      <c r="K34" s="1" t="s">
        <v>37</v>
      </c>
      <c r="L34" s="1" t="s">
        <v>31</v>
      </c>
      <c r="M34" s="1">
        <v>476</v>
      </c>
      <c r="N34" s="1">
        <v>233454.2</v>
      </c>
    </row>
    <row r="35" spans="5:14" x14ac:dyDescent="0.45">
      <c r="E35" s="1">
        <v>34</v>
      </c>
      <c r="F35" s="1" t="s">
        <v>14</v>
      </c>
      <c r="G35" s="1" t="s">
        <v>24</v>
      </c>
      <c r="H35" s="1" t="s">
        <v>44</v>
      </c>
      <c r="I35" s="1" t="s">
        <v>51</v>
      </c>
      <c r="J35" s="1">
        <v>5</v>
      </c>
      <c r="K35" s="1" t="s">
        <v>37</v>
      </c>
      <c r="L35" s="1" t="s">
        <v>32</v>
      </c>
      <c r="M35" s="1">
        <v>354</v>
      </c>
      <c r="N35" s="1">
        <v>141030.06</v>
      </c>
    </row>
    <row r="36" spans="5:14" x14ac:dyDescent="0.45">
      <c r="E36" s="1">
        <v>45</v>
      </c>
      <c r="F36" s="1" t="s">
        <v>16</v>
      </c>
      <c r="G36" s="1" t="s">
        <v>25</v>
      </c>
      <c r="H36" s="1" t="s">
        <v>46</v>
      </c>
      <c r="I36" s="1" t="s">
        <v>51</v>
      </c>
      <c r="J36" s="1">
        <v>3</v>
      </c>
      <c r="K36" s="1" t="s">
        <v>39</v>
      </c>
      <c r="L36" s="1" t="s">
        <v>32</v>
      </c>
      <c r="M36" s="1">
        <v>278</v>
      </c>
      <c r="N36" s="1">
        <v>120646.44</v>
      </c>
    </row>
  </sheetData>
  <mergeCells count="1">
    <mergeCell ref="A1:AA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1"/>
  <sheetViews>
    <sheetView workbookViewId="0">
      <selection activeCell="B1" sqref="B1"/>
    </sheetView>
  </sheetViews>
  <sheetFormatPr defaultRowHeight="14.25" x14ac:dyDescent="0.45"/>
  <cols>
    <col min="1" max="1" width="10.19921875" style="1" bestFit="1" customWidth="1"/>
    <col min="2" max="2" width="15.59765625" style="1" bestFit="1" customWidth="1"/>
    <col min="3" max="3" width="14.1328125" style="1" bestFit="1" customWidth="1"/>
    <col min="4" max="4" width="14.33203125" style="1" bestFit="1" customWidth="1"/>
    <col min="5" max="5" width="4.73046875" style="1" bestFit="1" customWidth="1"/>
    <col min="6" max="6" width="14.796875" style="1" bestFit="1" customWidth="1"/>
    <col min="7" max="7" width="8.59765625" style="1" bestFit="1" customWidth="1"/>
    <col min="8" max="8" width="15.19921875" style="1" bestFit="1" customWidth="1"/>
    <col min="9" max="9" width="16.19921875" style="1" bestFit="1" customWidth="1"/>
    <col min="10" max="10" width="12.59765625" style="1" bestFit="1" customWidth="1"/>
    <col min="11" max="11" width="10.59765625" style="1" bestFit="1" customWidth="1"/>
    <col min="12" max="12" width="7.9296875" style="1" bestFit="1" customWidth="1"/>
    <col min="13" max="13" width="9.73046875" style="1" bestFit="1" customWidth="1"/>
    <col min="14" max="14" width="9.9296875" style="1" bestFit="1" customWidth="1"/>
    <col min="15" max="15" width="19.6640625" style="1" bestFit="1" customWidth="1"/>
    <col min="16" max="16" width="17.3984375" style="1" bestFit="1" customWidth="1"/>
    <col min="17" max="17" width="13.3984375" style="1" bestFit="1" customWidth="1"/>
    <col min="18" max="18" width="12.1328125" style="1" bestFit="1" customWidth="1"/>
    <col min="19" max="19" width="11" style="1" bestFit="1" customWidth="1"/>
  </cols>
  <sheetData>
    <row r="1" spans="1:19" x14ac:dyDescent="0.45">
      <c r="A1" s="3" t="s">
        <v>0</v>
      </c>
      <c r="B1" s="3" t="s">
        <v>1</v>
      </c>
      <c r="C1" s="3" t="s">
        <v>2</v>
      </c>
      <c r="D1" s="3" t="s">
        <v>3</v>
      </c>
      <c r="E1" s="3" t="s">
        <v>36</v>
      </c>
      <c r="F1" s="3" t="s">
        <v>40</v>
      </c>
      <c r="G1" s="3" t="s">
        <v>4</v>
      </c>
      <c r="H1" s="3" t="s">
        <v>5</v>
      </c>
      <c r="I1" s="3" t="s">
        <v>55</v>
      </c>
      <c r="J1" s="3" t="s">
        <v>65</v>
      </c>
      <c r="K1" s="3" t="s">
        <v>66</v>
      </c>
      <c r="L1" s="3" t="s">
        <v>6</v>
      </c>
      <c r="M1" s="3" t="s">
        <v>7</v>
      </c>
      <c r="N1" s="3" t="s">
        <v>8</v>
      </c>
      <c r="O1" s="3" t="s">
        <v>9</v>
      </c>
      <c r="P1" s="3" t="s">
        <v>10</v>
      </c>
      <c r="Q1" s="3" t="s">
        <v>11</v>
      </c>
      <c r="R1" s="3" t="s">
        <v>12</v>
      </c>
      <c r="S1" s="3" t="s">
        <v>50</v>
      </c>
    </row>
    <row r="2" spans="1:19" x14ac:dyDescent="0.45">
      <c r="A2" s="1">
        <v>1</v>
      </c>
      <c r="B2" s="1" t="s">
        <v>13</v>
      </c>
      <c r="C2" s="1" t="s">
        <v>18</v>
      </c>
      <c r="D2" s="1" t="s">
        <v>23</v>
      </c>
      <c r="E2" s="1" t="s">
        <v>37</v>
      </c>
      <c r="F2" s="1" t="s">
        <v>47</v>
      </c>
      <c r="G2" s="1">
        <v>391.43</v>
      </c>
      <c r="H2" s="1">
        <v>162</v>
      </c>
      <c r="I2" s="1">
        <v>162</v>
      </c>
      <c r="J2" s="15">
        <f t="shared" ref="J2:J33" si="0">M2/H2</f>
        <v>391.43</v>
      </c>
      <c r="K2" s="1">
        <v>341</v>
      </c>
      <c r="L2" s="1" t="s">
        <v>31</v>
      </c>
      <c r="M2" s="1">
        <v>63411.66</v>
      </c>
      <c r="N2" s="2">
        <v>45649</v>
      </c>
      <c r="O2" s="2">
        <v>45668</v>
      </c>
      <c r="P2" s="2">
        <v>45666</v>
      </c>
      <c r="Q2" s="1">
        <v>19</v>
      </c>
      <c r="R2" s="1" t="s">
        <v>34</v>
      </c>
      <c r="S2" s="1" t="s">
        <v>51</v>
      </c>
    </row>
    <row r="3" spans="1:19" x14ac:dyDescent="0.45">
      <c r="A3" s="1">
        <v>2</v>
      </c>
      <c r="B3" s="1" t="s">
        <v>14</v>
      </c>
      <c r="C3" s="1" t="s">
        <v>19</v>
      </c>
      <c r="D3" s="1" t="s">
        <v>24</v>
      </c>
      <c r="E3" s="1" t="s">
        <v>38</v>
      </c>
      <c r="F3" s="1" t="s">
        <v>44</v>
      </c>
      <c r="G3" s="1">
        <v>402.69</v>
      </c>
      <c r="H3" s="1">
        <v>391</v>
      </c>
      <c r="I3" s="1">
        <v>391</v>
      </c>
      <c r="J3" s="15">
        <f t="shared" si="0"/>
        <v>402.69</v>
      </c>
      <c r="K3" s="1">
        <v>383</v>
      </c>
      <c r="L3" s="1" t="s">
        <v>32</v>
      </c>
      <c r="M3" s="1">
        <v>157451.79</v>
      </c>
      <c r="N3" s="2">
        <v>45579</v>
      </c>
      <c r="O3" s="2">
        <v>45594</v>
      </c>
      <c r="P3" s="2">
        <v>45599</v>
      </c>
      <c r="Q3" s="1">
        <v>15</v>
      </c>
      <c r="R3" s="1" t="s">
        <v>35</v>
      </c>
      <c r="S3" s="1" t="s">
        <v>51</v>
      </c>
    </row>
    <row r="4" spans="1:19" x14ac:dyDescent="0.45">
      <c r="A4" s="1">
        <v>3</v>
      </c>
      <c r="B4" s="1" t="s">
        <v>15</v>
      </c>
      <c r="C4" s="1" t="s">
        <v>19</v>
      </c>
      <c r="D4" s="1" t="s">
        <v>24</v>
      </c>
      <c r="E4" s="1" t="s">
        <v>39</v>
      </c>
      <c r="F4" s="1" t="s">
        <v>41</v>
      </c>
      <c r="G4" s="1">
        <v>374.39</v>
      </c>
      <c r="H4" s="1">
        <v>293</v>
      </c>
      <c r="I4" s="1">
        <v>293</v>
      </c>
      <c r="J4" s="15">
        <f t="shared" si="0"/>
        <v>374.39</v>
      </c>
      <c r="K4" s="1">
        <v>330</v>
      </c>
      <c r="L4" s="1" t="s">
        <v>33</v>
      </c>
      <c r="M4" s="1">
        <v>109696.27</v>
      </c>
      <c r="N4" s="2">
        <v>45425</v>
      </c>
      <c r="O4" s="2">
        <v>45437</v>
      </c>
      <c r="P4" s="2">
        <v>45439</v>
      </c>
      <c r="Q4" s="1">
        <v>12</v>
      </c>
      <c r="R4" s="1" t="s">
        <v>35</v>
      </c>
      <c r="S4" s="1" t="s">
        <v>51</v>
      </c>
    </row>
    <row r="5" spans="1:19" x14ac:dyDescent="0.45">
      <c r="A5" s="1">
        <v>4</v>
      </c>
      <c r="B5" s="1" t="s">
        <v>13</v>
      </c>
      <c r="C5" s="1" t="s">
        <v>20</v>
      </c>
      <c r="D5" s="1" t="s">
        <v>25</v>
      </c>
      <c r="E5" s="1" t="s">
        <v>37</v>
      </c>
      <c r="F5" s="1" t="s">
        <v>49</v>
      </c>
      <c r="G5" s="1">
        <v>47.97</v>
      </c>
      <c r="H5" s="1">
        <v>196</v>
      </c>
      <c r="I5" s="1">
        <v>191</v>
      </c>
      <c r="J5" s="15">
        <f t="shared" si="0"/>
        <v>47.969999999999992</v>
      </c>
      <c r="K5" s="1">
        <v>44</v>
      </c>
      <c r="L5" s="1" t="s">
        <v>31</v>
      </c>
      <c r="M5" s="1">
        <v>9402.119999999999</v>
      </c>
      <c r="N5" s="2">
        <v>45432</v>
      </c>
      <c r="O5" s="2">
        <v>45447</v>
      </c>
      <c r="P5" s="2">
        <v>45450</v>
      </c>
      <c r="Q5" s="1">
        <v>15</v>
      </c>
      <c r="R5" s="1" t="s">
        <v>34</v>
      </c>
      <c r="S5" s="1" t="s">
        <v>51</v>
      </c>
    </row>
    <row r="6" spans="1:19" x14ac:dyDescent="0.45">
      <c r="A6" s="1">
        <v>5</v>
      </c>
      <c r="B6" s="1" t="s">
        <v>13</v>
      </c>
      <c r="C6" s="1" t="s">
        <v>21</v>
      </c>
      <c r="D6" s="1" t="s">
        <v>26</v>
      </c>
      <c r="E6" s="1" t="s">
        <v>38</v>
      </c>
      <c r="F6" s="1" t="s">
        <v>45</v>
      </c>
      <c r="G6" s="1">
        <v>197.69</v>
      </c>
      <c r="H6" s="1">
        <v>128</v>
      </c>
      <c r="I6" s="1">
        <v>116</v>
      </c>
      <c r="J6" s="15">
        <f t="shared" si="0"/>
        <v>197.69</v>
      </c>
      <c r="K6" s="1">
        <v>176</v>
      </c>
      <c r="L6" s="1" t="s">
        <v>32</v>
      </c>
      <c r="M6" s="1">
        <v>25304.32</v>
      </c>
      <c r="N6" s="2">
        <v>45402</v>
      </c>
      <c r="O6" s="2">
        <v>45409</v>
      </c>
      <c r="P6" s="2">
        <v>45413</v>
      </c>
      <c r="Q6" s="1">
        <v>7</v>
      </c>
      <c r="R6" s="1" t="s">
        <v>35</v>
      </c>
      <c r="S6" s="1" t="s">
        <v>51</v>
      </c>
    </row>
    <row r="7" spans="1:19" x14ac:dyDescent="0.45">
      <c r="A7" s="1">
        <v>6</v>
      </c>
      <c r="B7" s="1" t="s">
        <v>16</v>
      </c>
      <c r="C7" s="1" t="s">
        <v>22</v>
      </c>
      <c r="D7" s="1" t="s">
        <v>25</v>
      </c>
      <c r="E7" s="1" t="s">
        <v>39</v>
      </c>
      <c r="F7" s="1" t="s">
        <v>42</v>
      </c>
      <c r="G7" s="1">
        <v>213.73</v>
      </c>
      <c r="H7" s="1">
        <v>155</v>
      </c>
      <c r="I7" s="1">
        <v>155</v>
      </c>
      <c r="J7" s="15">
        <f t="shared" si="0"/>
        <v>213.73000000000002</v>
      </c>
      <c r="K7" s="1">
        <v>186</v>
      </c>
      <c r="L7" s="1" t="s">
        <v>33</v>
      </c>
      <c r="M7" s="1">
        <v>33128.15</v>
      </c>
      <c r="N7" s="2">
        <v>45492</v>
      </c>
      <c r="O7" s="2">
        <v>45497</v>
      </c>
      <c r="P7" s="2">
        <v>45501</v>
      </c>
      <c r="Q7" s="1">
        <v>5</v>
      </c>
      <c r="R7" s="1" t="s">
        <v>35</v>
      </c>
      <c r="S7" s="1" t="s">
        <v>51</v>
      </c>
    </row>
    <row r="8" spans="1:19" x14ac:dyDescent="0.45">
      <c r="A8" s="1">
        <v>7</v>
      </c>
      <c r="B8" s="1" t="s">
        <v>14</v>
      </c>
      <c r="C8" s="1" t="s">
        <v>20</v>
      </c>
      <c r="D8" s="1" t="s">
        <v>27</v>
      </c>
      <c r="E8" s="1" t="s">
        <v>37</v>
      </c>
      <c r="F8" s="1" t="s">
        <v>43</v>
      </c>
      <c r="G8" s="1">
        <v>379.2</v>
      </c>
      <c r="H8" s="1">
        <v>486</v>
      </c>
      <c r="I8" s="1">
        <v>472</v>
      </c>
      <c r="J8" s="15">
        <f t="shared" si="0"/>
        <v>379.20000000000005</v>
      </c>
      <c r="K8" s="1">
        <v>380</v>
      </c>
      <c r="L8" s="1" t="s">
        <v>33</v>
      </c>
      <c r="M8" s="1">
        <v>184291.20000000001</v>
      </c>
      <c r="N8" s="2">
        <v>45568</v>
      </c>
      <c r="O8" s="2">
        <v>45580</v>
      </c>
      <c r="P8" s="2">
        <v>45585</v>
      </c>
      <c r="Q8" s="1">
        <v>12</v>
      </c>
      <c r="R8" s="1" t="s">
        <v>34</v>
      </c>
      <c r="S8" s="1" t="s">
        <v>51</v>
      </c>
    </row>
    <row r="9" spans="1:19" x14ac:dyDescent="0.45">
      <c r="A9" s="1">
        <v>8</v>
      </c>
      <c r="B9" s="1" t="s">
        <v>16</v>
      </c>
      <c r="C9" s="1" t="s">
        <v>19</v>
      </c>
      <c r="D9" s="1" t="s">
        <v>25</v>
      </c>
      <c r="E9" s="1" t="s">
        <v>38</v>
      </c>
      <c r="F9" s="1" t="s">
        <v>46</v>
      </c>
      <c r="G9" s="1">
        <v>24.22</v>
      </c>
      <c r="H9" s="1">
        <v>222</v>
      </c>
      <c r="I9" s="1">
        <v>207</v>
      </c>
      <c r="J9" s="15">
        <f t="shared" si="0"/>
        <v>24.220000000000002</v>
      </c>
      <c r="K9" s="1">
        <v>23</v>
      </c>
      <c r="L9" s="1" t="s">
        <v>32</v>
      </c>
      <c r="M9" s="1">
        <v>5376.84</v>
      </c>
      <c r="N9" s="2">
        <v>45640</v>
      </c>
      <c r="O9" s="2">
        <v>45657</v>
      </c>
      <c r="P9" s="2">
        <v>45657</v>
      </c>
      <c r="Q9" s="1">
        <v>17</v>
      </c>
      <c r="R9" s="1" t="s">
        <v>35</v>
      </c>
      <c r="S9" s="1" t="s">
        <v>51</v>
      </c>
    </row>
    <row r="10" spans="1:19" x14ac:dyDescent="0.45">
      <c r="A10" s="1">
        <v>9</v>
      </c>
      <c r="B10" s="1" t="s">
        <v>13</v>
      </c>
      <c r="C10" s="1" t="s">
        <v>22</v>
      </c>
      <c r="D10" s="1" t="s">
        <v>28</v>
      </c>
      <c r="E10" s="1" t="s">
        <v>39</v>
      </c>
      <c r="F10" s="1" t="s">
        <v>44</v>
      </c>
      <c r="G10" s="1">
        <v>454.4</v>
      </c>
      <c r="H10" s="1">
        <v>353</v>
      </c>
      <c r="I10" s="1">
        <v>318</v>
      </c>
      <c r="J10" s="15">
        <f t="shared" si="0"/>
        <v>454.40000000000003</v>
      </c>
      <c r="K10" s="1">
        <v>405</v>
      </c>
      <c r="L10" s="1" t="s">
        <v>32</v>
      </c>
      <c r="M10" s="1">
        <v>160403.20000000001</v>
      </c>
      <c r="N10" s="2">
        <v>45632</v>
      </c>
      <c r="O10" s="2">
        <v>45637</v>
      </c>
      <c r="P10" s="2">
        <v>45636</v>
      </c>
      <c r="Q10" s="1">
        <v>5</v>
      </c>
      <c r="R10" s="1" t="s">
        <v>35</v>
      </c>
      <c r="S10" s="1" t="s">
        <v>51</v>
      </c>
    </row>
    <row r="11" spans="1:19" x14ac:dyDescent="0.45">
      <c r="A11" s="1">
        <v>10</v>
      </c>
      <c r="B11" s="1" t="s">
        <v>13</v>
      </c>
      <c r="C11" s="1" t="s">
        <v>19</v>
      </c>
      <c r="D11" s="1" t="s">
        <v>24</v>
      </c>
      <c r="E11" s="1" t="s">
        <v>37</v>
      </c>
      <c r="F11" s="1" t="s">
        <v>41</v>
      </c>
      <c r="G11" s="1">
        <v>34.64</v>
      </c>
      <c r="H11" s="1">
        <v>244</v>
      </c>
      <c r="I11" s="1">
        <v>242</v>
      </c>
      <c r="J11" s="15">
        <f t="shared" si="0"/>
        <v>34.64</v>
      </c>
      <c r="K11" s="1">
        <v>35</v>
      </c>
      <c r="L11" s="1" t="s">
        <v>33</v>
      </c>
      <c r="M11" s="1">
        <v>8452.16</v>
      </c>
      <c r="N11" s="2">
        <v>45401</v>
      </c>
      <c r="O11" s="2">
        <v>45420</v>
      </c>
      <c r="P11" s="2">
        <v>45423</v>
      </c>
      <c r="Q11" s="1">
        <v>19</v>
      </c>
      <c r="R11" s="1" t="s">
        <v>35</v>
      </c>
      <c r="S11" s="1" t="s">
        <v>51</v>
      </c>
    </row>
    <row r="12" spans="1:19" x14ac:dyDescent="0.45">
      <c r="A12" s="1">
        <v>11</v>
      </c>
      <c r="B12" s="1" t="s">
        <v>17</v>
      </c>
      <c r="C12" s="1" t="s">
        <v>20</v>
      </c>
      <c r="D12" s="1" t="s">
        <v>29</v>
      </c>
      <c r="E12" s="1" t="s">
        <v>38</v>
      </c>
      <c r="F12" s="1" t="s">
        <v>42</v>
      </c>
      <c r="G12" s="1">
        <v>133.61000000000001</v>
      </c>
      <c r="H12" s="1">
        <v>91</v>
      </c>
      <c r="I12" s="1">
        <v>91</v>
      </c>
      <c r="J12" s="15">
        <f t="shared" si="0"/>
        <v>133.61000000000001</v>
      </c>
      <c r="K12" s="1">
        <v>127</v>
      </c>
      <c r="L12" s="1" t="s">
        <v>33</v>
      </c>
      <c r="M12" s="1">
        <v>12158.51</v>
      </c>
      <c r="N12" s="2">
        <v>45302</v>
      </c>
      <c r="O12" s="2">
        <v>45308</v>
      </c>
      <c r="P12" s="2">
        <v>45311</v>
      </c>
      <c r="Q12" s="1">
        <v>6</v>
      </c>
      <c r="R12" s="1" t="s">
        <v>34</v>
      </c>
      <c r="S12" s="1" t="s">
        <v>51</v>
      </c>
    </row>
    <row r="13" spans="1:19" x14ac:dyDescent="0.45">
      <c r="A13" s="1">
        <v>12</v>
      </c>
      <c r="B13" s="1" t="s">
        <v>14</v>
      </c>
      <c r="C13" s="1" t="s">
        <v>18</v>
      </c>
      <c r="D13" s="1" t="s">
        <v>28</v>
      </c>
      <c r="E13" s="1" t="s">
        <v>39</v>
      </c>
      <c r="F13" s="1" t="s">
        <v>48</v>
      </c>
      <c r="G13" s="1">
        <v>475.31</v>
      </c>
      <c r="H13" s="1">
        <v>152</v>
      </c>
      <c r="I13" s="1">
        <v>152</v>
      </c>
      <c r="J13" s="15">
        <f t="shared" si="0"/>
        <v>475.30999999999995</v>
      </c>
      <c r="K13" s="1">
        <v>466</v>
      </c>
      <c r="L13" s="1" t="s">
        <v>31</v>
      </c>
      <c r="M13" s="1">
        <v>72247.12</v>
      </c>
      <c r="N13" s="2">
        <v>45611</v>
      </c>
      <c r="O13" s="2">
        <v>45620</v>
      </c>
      <c r="P13" s="2">
        <v>45621</v>
      </c>
      <c r="Q13" s="1">
        <v>9</v>
      </c>
      <c r="R13" s="1" t="s">
        <v>34</v>
      </c>
      <c r="S13" s="1" t="s">
        <v>51</v>
      </c>
    </row>
    <row r="14" spans="1:19" x14ac:dyDescent="0.45">
      <c r="A14" s="1">
        <v>13</v>
      </c>
      <c r="B14" s="1" t="s">
        <v>17</v>
      </c>
      <c r="C14" s="1" t="s">
        <v>18</v>
      </c>
      <c r="D14" s="1" t="s">
        <v>26</v>
      </c>
      <c r="E14" s="1" t="s">
        <v>37</v>
      </c>
      <c r="F14" s="1" t="s">
        <v>43</v>
      </c>
      <c r="G14" s="1">
        <v>237.87</v>
      </c>
      <c r="H14" s="1">
        <v>181</v>
      </c>
      <c r="I14" s="1">
        <v>181</v>
      </c>
      <c r="J14" s="15">
        <f t="shared" si="0"/>
        <v>237.87</v>
      </c>
      <c r="K14" s="1">
        <v>236</v>
      </c>
      <c r="L14" s="1" t="s">
        <v>33</v>
      </c>
      <c r="M14" s="1">
        <v>43054.47</v>
      </c>
      <c r="N14" s="2">
        <v>45378</v>
      </c>
      <c r="O14" s="2">
        <v>45386</v>
      </c>
      <c r="P14" s="2">
        <v>45386</v>
      </c>
      <c r="Q14" s="1">
        <v>8</v>
      </c>
      <c r="R14" s="1" t="s">
        <v>35</v>
      </c>
      <c r="S14" s="1" t="s">
        <v>51</v>
      </c>
    </row>
    <row r="15" spans="1:19" x14ac:dyDescent="0.45">
      <c r="A15" s="1">
        <v>14</v>
      </c>
      <c r="B15" s="1" t="s">
        <v>14</v>
      </c>
      <c r="C15" s="1" t="s">
        <v>22</v>
      </c>
      <c r="D15" s="1" t="s">
        <v>28</v>
      </c>
      <c r="E15" s="1" t="s">
        <v>38</v>
      </c>
      <c r="F15" s="1" t="s">
        <v>45</v>
      </c>
      <c r="G15" s="1">
        <v>465.15</v>
      </c>
      <c r="H15" s="1">
        <v>344</v>
      </c>
      <c r="I15" s="1">
        <v>344</v>
      </c>
      <c r="J15" s="15">
        <f t="shared" si="0"/>
        <v>465.15000000000003</v>
      </c>
      <c r="K15" s="1">
        <v>410</v>
      </c>
      <c r="L15" s="1" t="s">
        <v>32</v>
      </c>
      <c r="M15" s="1">
        <v>160011.6</v>
      </c>
      <c r="N15" s="2">
        <v>45485</v>
      </c>
      <c r="O15" s="2">
        <v>45502</v>
      </c>
      <c r="P15" s="2">
        <v>45503</v>
      </c>
      <c r="Q15" s="1">
        <v>17</v>
      </c>
      <c r="R15" s="1" t="s">
        <v>34</v>
      </c>
      <c r="S15" s="1" t="s">
        <v>51</v>
      </c>
    </row>
    <row r="16" spans="1:19" x14ac:dyDescent="0.45">
      <c r="A16" s="1">
        <v>15</v>
      </c>
      <c r="B16" s="1" t="s">
        <v>15</v>
      </c>
      <c r="C16" s="1" t="s">
        <v>21</v>
      </c>
      <c r="D16" s="1" t="s">
        <v>23</v>
      </c>
      <c r="E16" s="1" t="s">
        <v>39</v>
      </c>
      <c r="F16" s="1" t="s">
        <v>46</v>
      </c>
      <c r="G16" s="1">
        <v>351.62</v>
      </c>
      <c r="H16" s="1">
        <v>204</v>
      </c>
      <c r="I16" s="1">
        <v>198</v>
      </c>
      <c r="J16" s="15">
        <f t="shared" si="0"/>
        <v>351.62</v>
      </c>
      <c r="K16" s="1">
        <v>313</v>
      </c>
      <c r="L16" s="1" t="s">
        <v>32</v>
      </c>
      <c r="M16" s="1">
        <v>71730.48</v>
      </c>
      <c r="N16" s="2">
        <v>45600</v>
      </c>
      <c r="O16" s="2">
        <v>45608</v>
      </c>
      <c r="P16" s="2">
        <v>45606</v>
      </c>
      <c r="Q16" s="1">
        <v>8</v>
      </c>
      <c r="R16" s="1" t="s">
        <v>35</v>
      </c>
      <c r="S16" s="1" t="s">
        <v>51</v>
      </c>
    </row>
    <row r="17" spans="1:19" x14ac:dyDescent="0.45">
      <c r="A17" s="1">
        <v>16</v>
      </c>
      <c r="B17" s="1" t="s">
        <v>15</v>
      </c>
      <c r="C17" s="1" t="s">
        <v>19</v>
      </c>
      <c r="D17" s="1" t="s">
        <v>30</v>
      </c>
      <c r="E17" s="1" t="s">
        <v>37</v>
      </c>
      <c r="F17" s="1" t="s">
        <v>41</v>
      </c>
      <c r="G17" s="1">
        <v>43.79</v>
      </c>
      <c r="H17" s="1">
        <v>381</v>
      </c>
      <c r="I17" s="1">
        <v>366</v>
      </c>
      <c r="J17" s="15">
        <f t="shared" si="0"/>
        <v>43.790000000000006</v>
      </c>
      <c r="K17" s="1">
        <v>39</v>
      </c>
      <c r="L17" s="1" t="s">
        <v>33</v>
      </c>
      <c r="M17" s="1">
        <v>16683.990000000002</v>
      </c>
      <c r="N17" s="2">
        <v>45299</v>
      </c>
      <c r="O17" s="2">
        <v>45317</v>
      </c>
      <c r="P17" s="2">
        <v>45322</v>
      </c>
      <c r="Q17" s="1">
        <v>18</v>
      </c>
      <c r="R17" s="1" t="s">
        <v>34</v>
      </c>
      <c r="S17" s="1" t="s">
        <v>51</v>
      </c>
    </row>
    <row r="18" spans="1:19" x14ac:dyDescent="0.45">
      <c r="A18" s="1">
        <v>17</v>
      </c>
      <c r="B18" s="1" t="s">
        <v>17</v>
      </c>
      <c r="C18" s="1" t="s">
        <v>20</v>
      </c>
      <c r="D18" s="1" t="s">
        <v>25</v>
      </c>
      <c r="E18" s="1" t="s">
        <v>38</v>
      </c>
      <c r="F18" s="1" t="s">
        <v>47</v>
      </c>
      <c r="G18" s="1">
        <v>356.58</v>
      </c>
      <c r="H18" s="1">
        <v>272</v>
      </c>
      <c r="I18" s="1">
        <v>262</v>
      </c>
      <c r="J18" s="15">
        <f t="shared" si="0"/>
        <v>356.58</v>
      </c>
      <c r="K18" s="1">
        <v>314</v>
      </c>
      <c r="L18" s="1" t="s">
        <v>31</v>
      </c>
      <c r="M18" s="1">
        <v>96989.759999999995</v>
      </c>
      <c r="N18" s="2">
        <v>45668</v>
      </c>
      <c r="O18" s="2">
        <v>45681</v>
      </c>
      <c r="P18" s="2">
        <v>45686</v>
      </c>
      <c r="Q18" s="1">
        <v>13</v>
      </c>
      <c r="R18" s="1" t="s">
        <v>35</v>
      </c>
      <c r="S18" s="1" t="s">
        <v>51</v>
      </c>
    </row>
    <row r="19" spans="1:19" x14ac:dyDescent="0.45">
      <c r="A19" s="1">
        <v>18</v>
      </c>
      <c r="B19" s="1" t="s">
        <v>17</v>
      </c>
      <c r="C19" s="1" t="s">
        <v>22</v>
      </c>
      <c r="D19" s="1" t="s">
        <v>27</v>
      </c>
      <c r="E19" s="1" t="s">
        <v>39</v>
      </c>
      <c r="F19" s="1" t="s">
        <v>49</v>
      </c>
      <c r="G19" s="1">
        <v>167.93</v>
      </c>
      <c r="H19" s="1">
        <v>175</v>
      </c>
      <c r="I19" s="1">
        <v>170</v>
      </c>
      <c r="J19" s="15">
        <f t="shared" si="0"/>
        <v>167.93</v>
      </c>
      <c r="K19" s="1">
        <v>143</v>
      </c>
      <c r="L19" s="1" t="s">
        <v>31</v>
      </c>
      <c r="M19" s="1">
        <v>29387.75</v>
      </c>
      <c r="N19" s="2">
        <v>45435</v>
      </c>
      <c r="O19" s="2">
        <v>45454</v>
      </c>
      <c r="P19" s="2">
        <v>45455</v>
      </c>
      <c r="Q19" s="1">
        <v>19</v>
      </c>
      <c r="R19" s="1" t="s">
        <v>35</v>
      </c>
      <c r="S19" s="1" t="s">
        <v>51</v>
      </c>
    </row>
    <row r="20" spans="1:19" x14ac:dyDescent="0.45">
      <c r="A20" s="1">
        <v>19</v>
      </c>
      <c r="B20" s="1" t="s">
        <v>15</v>
      </c>
      <c r="C20" s="1" t="s">
        <v>22</v>
      </c>
      <c r="D20" s="1" t="s">
        <v>29</v>
      </c>
      <c r="E20" s="1" t="s">
        <v>37</v>
      </c>
      <c r="F20" s="1" t="s">
        <v>42</v>
      </c>
      <c r="G20" s="1">
        <v>174.83</v>
      </c>
      <c r="H20" s="1">
        <v>303</v>
      </c>
      <c r="I20" s="1">
        <v>297</v>
      </c>
      <c r="J20" s="15">
        <f t="shared" si="0"/>
        <v>174.83000000000004</v>
      </c>
      <c r="K20" s="1">
        <v>165</v>
      </c>
      <c r="L20" s="1" t="s">
        <v>33</v>
      </c>
      <c r="M20" s="1">
        <v>52973.490000000013</v>
      </c>
      <c r="N20" s="2">
        <v>45386</v>
      </c>
      <c r="O20" s="2">
        <v>45406</v>
      </c>
      <c r="P20" s="2">
        <v>45407</v>
      </c>
      <c r="Q20" s="1">
        <v>20</v>
      </c>
      <c r="R20" s="1" t="s">
        <v>35</v>
      </c>
      <c r="S20" s="1" t="s">
        <v>51</v>
      </c>
    </row>
    <row r="21" spans="1:19" x14ac:dyDescent="0.45">
      <c r="A21" s="1">
        <v>20</v>
      </c>
      <c r="B21" s="1" t="s">
        <v>16</v>
      </c>
      <c r="C21" s="1" t="s">
        <v>20</v>
      </c>
      <c r="D21" s="1" t="s">
        <v>27</v>
      </c>
      <c r="E21" s="1" t="s">
        <v>38</v>
      </c>
      <c r="F21" s="1" t="s">
        <v>43</v>
      </c>
      <c r="G21" s="1">
        <v>441.36</v>
      </c>
      <c r="H21" s="1">
        <v>409</v>
      </c>
      <c r="I21" s="1">
        <v>377</v>
      </c>
      <c r="J21" s="15">
        <f t="shared" si="0"/>
        <v>441.35999999999996</v>
      </c>
      <c r="K21" s="1">
        <v>424</v>
      </c>
      <c r="L21" s="1" t="s">
        <v>33</v>
      </c>
      <c r="M21" s="1">
        <v>180516.24</v>
      </c>
      <c r="N21" s="2">
        <v>45577</v>
      </c>
      <c r="O21" s="2">
        <v>45582</v>
      </c>
      <c r="P21" s="2">
        <v>45583</v>
      </c>
      <c r="Q21" s="1">
        <v>5</v>
      </c>
      <c r="R21" s="1" t="s">
        <v>34</v>
      </c>
      <c r="S21" s="1" t="s">
        <v>51</v>
      </c>
    </row>
    <row r="22" spans="1:19" x14ac:dyDescent="0.45">
      <c r="A22" s="1">
        <v>21</v>
      </c>
      <c r="B22" s="1" t="s">
        <v>13</v>
      </c>
      <c r="C22" s="1" t="s">
        <v>19</v>
      </c>
      <c r="D22" s="1" t="s">
        <v>25</v>
      </c>
      <c r="E22" s="1" t="s">
        <v>39</v>
      </c>
      <c r="F22" s="1" t="s">
        <v>44</v>
      </c>
      <c r="G22" s="1">
        <v>282.04000000000002</v>
      </c>
      <c r="H22" s="1">
        <v>173</v>
      </c>
      <c r="I22" s="1">
        <v>173</v>
      </c>
      <c r="J22" s="15">
        <f t="shared" si="0"/>
        <v>282.04000000000008</v>
      </c>
      <c r="K22" s="1">
        <v>246</v>
      </c>
      <c r="L22" s="1" t="s">
        <v>32</v>
      </c>
      <c r="M22" s="1">
        <v>48792.920000000013</v>
      </c>
      <c r="N22" s="2">
        <v>45536</v>
      </c>
      <c r="O22" s="2">
        <v>45556</v>
      </c>
      <c r="P22" s="2">
        <v>45561</v>
      </c>
      <c r="Q22" s="1">
        <v>20</v>
      </c>
      <c r="R22" s="1" t="s">
        <v>34</v>
      </c>
      <c r="S22" s="1" t="s">
        <v>51</v>
      </c>
    </row>
    <row r="23" spans="1:19" x14ac:dyDescent="0.45">
      <c r="A23" s="1">
        <v>22</v>
      </c>
      <c r="B23" s="1" t="s">
        <v>14</v>
      </c>
      <c r="C23" s="1" t="s">
        <v>20</v>
      </c>
      <c r="D23" s="1" t="s">
        <v>26</v>
      </c>
      <c r="E23" s="1" t="s">
        <v>37</v>
      </c>
      <c r="F23" s="1" t="s">
        <v>41</v>
      </c>
      <c r="G23" s="1">
        <v>208.16</v>
      </c>
      <c r="H23" s="1">
        <v>174</v>
      </c>
      <c r="I23" s="1">
        <v>174</v>
      </c>
      <c r="J23" s="15">
        <f t="shared" si="0"/>
        <v>208.15999999999997</v>
      </c>
      <c r="K23" s="1">
        <v>190</v>
      </c>
      <c r="L23" s="1" t="s">
        <v>33</v>
      </c>
      <c r="M23" s="1">
        <v>36219.839999999997</v>
      </c>
      <c r="N23" s="2">
        <v>45632</v>
      </c>
      <c r="O23" s="2">
        <v>45648</v>
      </c>
      <c r="P23" s="2">
        <v>45653</v>
      </c>
      <c r="Q23" s="1">
        <v>16</v>
      </c>
      <c r="R23" s="1" t="s">
        <v>35</v>
      </c>
      <c r="S23" s="1" t="s">
        <v>51</v>
      </c>
    </row>
    <row r="24" spans="1:19" x14ac:dyDescent="0.45">
      <c r="A24" s="1">
        <v>23</v>
      </c>
      <c r="B24" s="1" t="s">
        <v>17</v>
      </c>
      <c r="C24" s="1" t="s">
        <v>22</v>
      </c>
      <c r="D24" s="1" t="s">
        <v>30</v>
      </c>
      <c r="E24" s="1" t="s">
        <v>38</v>
      </c>
      <c r="F24" s="1" t="s">
        <v>42</v>
      </c>
      <c r="G24" s="1">
        <v>182.39</v>
      </c>
      <c r="H24" s="1">
        <v>282</v>
      </c>
      <c r="I24" s="1">
        <v>266</v>
      </c>
      <c r="J24" s="15">
        <f t="shared" si="0"/>
        <v>182.39000000000001</v>
      </c>
      <c r="K24" s="1">
        <v>161</v>
      </c>
      <c r="L24" s="1" t="s">
        <v>33</v>
      </c>
      <c r="M24" s="1">
        <v>51433.98</v>
      </c>
      <c r="N24" s="2">
        <v>45449</v>
      </c>
      <c r="O24" s="2">
        <v>45462</v>
      </c>
      <c r="P24" s="2">
        <v>45463</v>
      </c>
      <c r="Q24" s="1">
        <v>13</v>
      </c>
      <c r="R24" s="1" t="s">
        <v>34</v>
      </c>
      <c r="S24" s="1" t="s">
        <v>51</v>
      </c>
    </row>
    <row r="25" spans="1:19" x14ac:dyDescent="0.45">
      <c r="A25" s="1">
        <v>24</v>
      </c>
      <c r="B25" s="1" t="s">
        <v>13</v>
      </c>
      <c r="C25" s="1" t="s">
        <v>20</v>
      </c>
      <c r="D25" s="1" t="s">
        <v>23</v>
      </c>
      <c r="E25" s="1" t="s">
        <v>39</v>
      </c>
      <c r="F25" s="1" t="s">
        <v>45</v>
      </c>
      <c r="G25" s="1">
        <v>374.01</v>
      </c>
      <c r="H25" s="1">
        <v>440</v>
      </c>
      <c r="I25" s="1">
        <v>440</v>
      </c>
      <c r="J25" s="15">
        <f t="shared" si="0"/>
        <v>374.01</v>
      </c>
      <c r="K25" s="1">
        <v>326</v>
      </c>
      <c r="L25" s="1" t="s">
        <v>32</v>
      </c>
      <c r="M25" s="1">
        <v>164564.4</v>
      </c>
      <c r="N25" s="2">
        <v>45387</v>
      </c>
      <c r="O25" s="2">
        <v>45398</v>
      </c>
      <c r="P25" s="2">
        <v>45399</v>
      </c>
      <c r="Q25" s="1">
        <v>11</v>
      </c>
      <c r="R25" s="1" t="s">
        <v>35</v>
      </c>
      <c r="S25" s="1" t="s">
        <v>51</v>
      </c>
    </row>
    <row r="26" spans="1:19" x14ac:dyDescent="0.45">
      <c r="A26" s="1">
        <v>25</v>
      </c>
      <c r="B26" s="1" t="s">
        <v>16</v>
      </c>
      <c r="C26" s="1" t="s">
        <v>22</v>
      </c>
      <c r="D26" s="1" t="s">
        <v>27</v>
      </c>
      <c r="E26" s="1" t="s">
        <v>37</v>
      </c>
      <c r="F26" s="1" t="s">
        <v>48</v>
      </c>
      <c r="G26" s="1">
        <v>490.45</v>
      </c>
      <c r="H26" s="1">
        <v>476</v>
      </c>
      <c r="I26" s="1">
        <v>434</v>
      </c>
      <c r="J26" s="15">
        <f t="shared" si="0"/>
        <v>490.45000000000005</v>
      </c>
      <c r="K26" s="1">
        <v>476</v>
      </c>
      <c r="L26" s="1" t="s">
        <v>31</v>
      </c>
      <c r="M26" s="1">
        <v>233454.2</v>
      </c>
      <c r="N26" s="2">
        <v>45444</v>
      </c>
      <c r="O26" s="2">
        <v>45456</v>
      </c>
      <c r="P26" s="2">
        <v>45459</v>
      </c>
      <c r="Q26" s="1">
        <v>12</v>
      </c>
      <c r="R26" s="1" t="s">
        <v>34</v>
      </c>
      <c r="S26" s="1" t="s">
        <v>51</v>
      </c>
    </row>
    <row r="27" spans="1:19" x14ac:dyDescent="0.45">
      <c r="A27" s="1">
        <v>26</v>
      </c>
      <c r="B27" s="1" t="s">
        <v>16</v>
      </c>
      <c r="C27" s="1" t="s">
        <v>18</v>
      </c>
      <c r="D27" s="1" t="s">
        <v>24</v>
      </c>
      <c r="E27" s="1" t="s">
        <v>38</v>
      </c>
      <c r="F27" s="1" t="s">
        <v>46</v>
      </c>
      <c r="G27" s="1">
        <v>144.41</v>
      </c>
      <c r="H27" s="1">
        <v>77</v>
      </c>
      <c r="I27" s="1">
        <v>71</v>
      </c>
      <c r="J27" s="15">
        <f t="shared" si="0"/>
        <v>144.41</v>
      </c>
      <c r="K27" s="1">
        <v>133</v>
      </c>
      <c r="L27" s="1" t="s">
        <v>32</v>
      </c>
      <c r="M27" s="1">
        <v>11119.57</v>
      </c>
      <c r="N27" s="2">
        <v>45442</v>
      </c>
      <c r="O27" s="2">
        <v>45451</v>
      </c>
      <c r="P27" s="2">
        <v>45456</v>
      </c>
      <c r="Q27" s="1">
        <v>9</v>
      </c>
      <c r="R27" s="1" t="s">
        <v>34</v>
      </c>
      <c r="S27" s="1" t="s">
        <v>51</v>
      </c>
    </row>
    <row r="28" spans="1:19" x14ac:dyDescent="0.45">
      <c r="A28" s="1">
        <v>27</v>
      </c>
      <c r="B28" s="1" t="s">
        <v>14</v>
      </c>
      <c r="C28" s="1" t="s">
        <v>22</v>
      </c>
      <c r="D28" s="1" t="s">
        <v>27</v>
      </c>
      <c r="E28" s="1" t="s">
        <v>39</v>
      </c>
      <c r="F28" s="1" t="s">
        <v>43</v>
      </c>
      <c r="G28" s="1">
        <v>240</v>
      </c>
      <c r="H28" s="1">
        <v>275</v>
      </c>
      <c r="I28" s="1">
        <v>275</v>
      </c>
      <c r="J28" s="15">
        <f t="shared" si="0"/>
        <v>240</v>
      </c>
      <c r="K28" s="1">
        <v>209</v>
      </c>
      <c r="L28" s="1" t="s">
        <v>33</v>
      </c>
      <c r="M28" s="1">
        <v>66000</v>
      </c>
      <c r="N28" s="2">
        <v>45387</v>
      </c>
      <c r="O28" s="2">
        <v>45393</v>
      </c>
      <c r="P28" s="2">
        <v>45395</v>
      </c>
      <c r="Q28" s="1">
        <v>6</v>
      </c>
      <c r="R28" s="1" t="s">
        <v>35</v>
      </c>
      <c r="S28" s="1" t="s">
        <v>51</v>
      </c>
    </row>
    <row r="29" spans="1:19" x14ac:dyDescent="0.45">
      <c r="A29" s="1">
        <v>28</v>
      </c>
      <c r="B29" s="1" t="s">
        <v>14</v>
      </c>
      <c r="C29" s="1" t="s">
        <v>18</v>
      </c>
      <c r="D29" s="1" t="s">
        <v>29</v>
      </c>
      <c r="E29" s="1" t="s">
        <v>37</v>
      </c>
      <c r="F29" s="1" t="s">
        <v>44</v>
      </c>
      <c r="G29" s="1">
        <v>250.96</v>
      </c>
      <c r="H29" s="1">
        <v>345</v>
      </c>
      <c r="I29" s="1">
        <v>321</v>
      </c>
      <c r="J29" s="15">
        <f t="shared" si="0"/>
        <v>250.95999999999998</v>
      </c>
      <c r="K29" s="1">
        <v>226</v>
      </c>
      <c r="L29" s="1" t="s">
        <v>32</v>
      </c>
      <c r="M29" s="1">
        <v>86581.2</v>
      </c>
      <c r="N29" s="2">
        <v>45644</v>
      </c>
      <c r="O29" s="2">
        <v>45650</v>
      </c>
      <c r="P29" s="2">
        <v>45650</v>
      </c>
      <c r="Q29" s="1">
        <v>6</v>
      </c>
      <c r="R29" s="1" t="s">
        <v>34</v>
      </c>
      <c r="S29" s="1" t="s">
        <v>51</v>
      </c>
    </row>
    <row r="30" spans="1:19" x14ac:dyDescent="0.45">
      <c r="A30" s="1">
        <v>29</v>
      </c>
      <c r="B30" s="1" t="s">
        <v>15</v>
      </c>
      <c r="C30" s="1" t="s">
        <v>20</v>
      </c>
      <c r="D30" s="1" t="s">
        <v>23</v>
      </c>
      <c r="E30" s="1" t="s">
        <v>38</v>
      </c>
      <c r="F30" s="1" t="s">
        <v>45</v>
      </c>
      <c r="G30" s="1">
        <v>497.02</v>
      </c>
      <c r="H30" s="1">
        <v>110</v>
      </c>
      <c r="I30" s="1">
        <v>106</v>
      </c>
      <c r="J30" s="15">
        <f t="shared" si="0"/>
        <v>497.02</v>
      </c>
      <c r="K30" s="1">
        <v>433</v>
      </c>
      <c r="L30" s="1" t="s">
        <v>32</v>
      </c>
      <c r="M30" s="1">
        <v>54672.2</v>
      </c>
      <c r="N30" s="2">
        <v>45684</v>
      </c>
      <c r="O30" s="2">
        <v>45702</v>
      </c>
      <c r="P30" s="2">
        <v>45703</v>
      </c>
      <c r="Q30" s="1">
        <v>18</v>
      </c>
      <c r="R30" s="1" t="s">
        <v>35</v>
      </c>
      <c r="S30" s="1" t="s">
        <v>51</v>
      </c>
    </row>
    <row r="31" spans="1:19" x14ac:dyDescent="0.45">
      <c r="A31" s="1">
        <v>30</v>
      </c>
      <c r="B31" s="1" t="s">
        <v>17</v>
      </c>
      <c r="C31" s="1" t="s">
        <v>19</v>
      </c>
      <c r="D31" s="1" t="s">
        <v>27</v>
      </c>
      <c r="E31" s="1" t="s">
        <v>39</v>
      </c>
      <c r="F31" s="1" t="s">
        <v>41</v>
      </c>
      <c r="G31" s="1">
        <v>431.48</v>
      </c>
      <c r="H31" s="1">
        <v>269</v>
      </c>
      <c r="I31" s="1">
        <v>269</v>
      </c>
      <c r="J31" s="15">
        <f t="shared" si="0"/>
        <v>431.47999999999996</v>
      </c>
      <c r="K31" s="1">
        <v>415</v>
      </c>
      <c r="L31" s="1" t="s">
        <v>33</v>
      </c>
      <c r="M31" s="1">
        <v>116068.12</v>
      </c>
      <c r="N31" s="2">
        <v>45584</v>
      </c>
      <c r="O31" s="2">
        <v>45590</v>
      </c>
      <c r="P31" s="2">
        <v>45589</v>
      </c>
      <c r="Q31" s="1">
        <v>6</v>
      </c>
      <c r="R31" s="1" t="s">
        <v>34</v>
      </c>
      <c r="S31" s="1" t="s">
        <v>51</v>
      </c>
    </row>
    <row r="32" spans="1:19" x14ac:dyDescent="0.45">
      <c r="A32" s="1">
        <v>31</v>
      </c>
      <c r="B32" s="1" t="s">
        <v>13</v>
      </c>
      <c r="C32" s="1" t="s">
        <v>20</v>
      </c>
      <c r="D32" s="1" t="s">
        <v>23</v>
      </c>
      <c r="E32" s="1" t="s">
        <v>37</v>
      </c>
      <c r="F32" s="1" t="s">
        <v>46</v>
      </c>
      <c r="G32" s="1">
        <v>86.96</v>
      </c>
      <c r="H32" s="1">
        <v>138</v>
      </c>
      <c r="I32" s="1">
        <v>138</v>
      </c>
      <c r="J32" s="15">
        <f t="shared" si="0"/>
        <v>86.96</v>
      </c>
      <c r="K32" s="1">
        <v>84</v>
      </c>
      <c r="L32" s="1" t="s">
        <v>32</v>
      </c>
      <c r="M32" s="1">
        <v>12000.48</v>
      </c>
      <c r="N32" s="2">
        <v>45331</v>
      </c>
      <c r="O32" s="2">
        <v>45341</v>
      </c>
      <c r="P32" s="2">
        <v>45339</v>
      </c>
      <c r="Q32" s="1">
        <v>10</v>
      </c>
      <c r="R32" s="1" t="s">
        <v>35</v>
      </c>
      <c r="S32" s="1" t="s">
        <v>51</v>
      </c>
    </row>
    <row r="33" spans="1:19" x14ac:dyDescent="0.45">
      <c r="A33" s="1">
        <v>32</v>
      </c>
      <c r="B33" s="1" t="s">
        <v>17</v>
      </c>
      <c r="C33" s="1" t="s">
        <v>22</v>
      </c>
      <c r="D33" s="1" t="s">
        <v>25</v>
      </c>
      <c r="E33" s="1" t="s">
        <v>38</v>
      </c>
      <c r="F33" s="1" t="s">
        <v>42</v>
      </c>
      <c r="G33" s="1">
        <v>152.72</v>
      </c>
      <c r="H33" s="1">
        <v>168</v>
      </c>
      <c r="I33" s="1">
        <v>168</v>
      </c>
      <c r="J33" s="15">
        <f t="shared" si="0"/>
        <v>152.72</v>
      </c>
      <c r="K33" s="1">
        <v>147</v>
      </c>
      <c r="L33" s="1" t="s">
        <v>33</v>
      </c>
      <c r="M33" s="1">
        <v>25656.959999999999</v>
      </c>
      <c r="N33" s="2">
        <v>45654</v>
      </c>
      <c r="O33" s="2">
        <v>45668</v>
      </c>
      <c r="P33" s="2">
        <v>45673</v>
      </c>
      <c r="Q33" s="1">
        <v>14</v>
      </c>
      <c r="R33" s="1" t="s">
        <v>34</v>
      </c>
      <c r="S33" s="1" t="s">
        <v>51</v>
      </c>
    </row>
    <row r="34" spans="1:19" x14ac:dyDescent="0.45">
      <c r="A34" s="1">
        <v>33</v>
      </c>
      <c r="B34" s="1" t="s">
        <v>13</v>
      </c>
      <c r="C34" s="1" t="s">
        <v>20</v>
      </c>
      <c r="D34" s="1" t="s">
        <v>26</v>
      </c>
      <c r="E34" s="1" t="s">
        <v>39</v>
      </c>
      <c r="F34" s="1" t="s">
        <v>47</v>
      </c>
      <c r="G34" s="1">
        <v>218.32</v>
      </c>
      <c r="H34" s="1">
        <v>328</v>
      </c>
      <c r="I34" s="1">
        <v>328</v>
      </c>
      <c r="J34" s="15">
        <f t="shared" ref="J34:J51" si="1">M34/H34</f>
        <v>218.31999999999996</v>
      </c>
      <c r="K34" s="1">
        <v>195</v>
      </c>
      <c r="L34" s="1" t="s">
        <v>31</v>
      </c>
      <c r="M34" s="1">
        <v>71608.959999999992</v>
      </c>
      <c r="N34" s="2">
        <v>45624</v>
      </c>
      <c r="O34" s="2">
        <v>45633</v>
      </c>
      <c r="P34" s="2">
        <v>45635</v>
      </c>
      <c r="Q34" s="1">
        <v>9</v>
      </c>
      <c r="R34" s="1" t="s">
        <v>34</v>
      </c>
      <c r="S34" s="1" t="s">
        <v>51</v>
      </c>
    </row>
    <row r="35" spans="1:19" x14ac:dyDescent="0.45">
      <c r="A35" s="1">
        <v>34</v>
      </c>
      <c r="B35" s="1" t="s">
        <v>14</v>
      </c>
      <c r="C35" s="1" t="s">
        <v>18</v>
      </c>
      <c r="D35" s="1" t="s">
        <v>24</v>
      </c>
      <c r="E35" s="1" t="s">
        <v>37</v>
      </c>
      <c r="F35" s="1" t="s">
        <v>44</v>
      </c>
      <c r="G35" s="1">
        <v>398.39</v>
      </c>
      <c r="H35" s="1">
        <v>354</v>
      </c>
      <c r="I35" s="1">
        <v>326</v>
      </c>
      <c r="J35" s="15">
        <f t="shared" si="1"/>
        <v>398.39</v>
      </c>
      <c r="K35" s="1">
        <v>387</v>
      </c>
      <c r="L35" s="1" t="s">
        <v>32</v>
      </c>
      <c r="M35" s="1">
        <v>141030.06</v>
      </c>
      <c r="N35" s="2">
        <v>45584</v>
      </c>
      <c r="O35" s="2">
        <v>45598</v>
      </c>
      <c r="P35" s="2">
        <v>45603</v>
      </c>
      <c r="Q35" s="1">
        <v>14</v>
      </c>
      <c r="R35" s="1" t="s">
        <v>34</v>
      </c>
      <c r="S35" s="1" t="s">
        <v>51</v>
      </c>
    </row>
    <row r="36" spans="1:19" x14ac:dyDescent="0.45">
      <c r="A36" s="1">
        <v>35</v>
      </c>
      <c r="B36" s="1" t="s">
        <v>17</v>
      </c>
      <c r="C36" s="1" t="s">
        <v>20</v>
      </c>
      <c r="D36" s="1" t="s">
        <v>29</v>
      </c>
      <c r="E36" s="1" t="s">
        <v>38</v>
      </c>
      <c r="F36" s="1" t="s">
        <v>45</v>
      </c>
      <c r="G36" s="1">
        <v>471.91</v>
      </c>
      <c r="H36" s="1">
        <v>306</v>
      </c>
      <c r="I36" s="1">
        <v>288</v>
      </c>
      <c r="J36" s="15">
        <f t="shared" si="1"/>
        <v>471.90999999999997</v>
      </c>
      <c r="K36" s="1">
        <v>468</v>
      </c>
      <c r="L36" s="1" t="s">
        <v>32</v>
      </c>
      <c r="M36" s="1">
        <v>144404.46</v>
      </c>
      <c r="N36" s="2">
        <v>45545</v>
      </c>
      <c r="O36" s="2">
        <v>45564</v>
      </c>
      <c r="P36" s="2">
        <v>45563</v>
      </c>
      <c r="Q36" s="1">
        <v>19</v>
      </c>
      <c r="R36" s="1" t="s">
        <v>34</v>
      </c>
      <c r="S36" s="1" t="s">
        <v>51</v>
      </c>
    </row>
    <row r="37" spans="1:19" x14ac:dyDescent="0.45">
      <c r="A37" s="1">
        <v>36</v>
      </c>
      <c r="B37" s="1" t="s">
        <v>17</v>
      </c>
      <c r="C37" s="1" t="s">
        <v>20</v>
      </c>
      <c r="D37" s="1" t="s">
        <v>27</v>
      </c>
      <c r="E37" s="1" t="s">
        <v>39</v>
      </c>
      <c r="F37" s="1" t="s">
        <v>46</v>
      </c>
      <c r="G37" s="1">
        <v>22.67</v>
      </c>
      <c r="H37" s="1">
        <v>167</v>
      </c>
      <c r="I37" s="1">
        <v>167</v>
      </c>
      <c r="J37" s="15">
        <f t="shared" si="1"/>
        <v>22.669999999999998</v>
      </c>
      <c r="K37" s="1">
        <v>22</v>
      </c>
      <c r="L37" s="1" t="s">
        <v>32</v>
      </c>
      <c r="M37" s="1">
        <v>3785.89</v>
      </c>
      <c r="N37" s="2">
        <v>45587</v>
      </c>
      <c r="O37" s="2">
        <v>45592</v>
      </c>
      <c r="P37" s="2">
        <v>45594</v>
      </c>
      <c r="Q37" s="1">
        <v>5</v>
      </c>
      <c r="R37" s="1" t="s">
        <v>34</v>
      </c>
      <c r="S37" s="1" t="s">
        <v>51</v>
      </c>
    </row>
    <row r="38" spans="1:19" x14ac:dyDescent="0.45">
      <c r="A38" s="1">
        <v>37</v>
      </c>
      <c r="B38" s="1" t="s">
        <v>13</v>
      </c>
      <c r="C38" s="1" t="s">
        <v>19</v>
      </c>
      <c r="D38" s="1" t="s">
        <v>25</v>
      </c>
      <c r="E38" s="1" t="s">
        <v>37</v>
      </c>
      <c r="F38" s="1" t="s">
        <v>44</v>
      </c>
      <c r="G38" s="1">
        <v>458.88</v>
      </c>
      <c r="H38" s="1">
        <v>142</v>
      </c>
      <c r="I38" s="1">
        <v>131</v>
      </c>
      <c r="J38" s="15">
        <f t="shared" si="1"/>
        <v>458.88</v>
      </c>
      <c r="K38" s="1">
        <v>432</v>
      </c>
      <c r="L38" s="1" t="s">
        <v>32</v>
      </c>
      <c r="M38" s="1">
        <v>65160.959999999999</v>
      </c>
      <c r="N38" s="2">
        <v>45516</v>
      </c>
      <c r="O38" s="2">
        <v>45536</v>
      </c>
      <c r="P38" s="2">
        <v>45535</v>
      </c>
      <c r="Q38" s="1">
        <v>20</v>
      </c>
      <c r="R38" s="1" t="s">
        <v>35</v>
      </c>
      <c r="S38" s="1" t="s">
        <v>51</v>
      </c>
    </row>
    <row r="39" spans="1:19" x14ac:dyDescent="0.45">
      <c r="A39" s="1">
        <v>38</v>
      </c>
      <c r="B39" s="1" t="s">
        <v>16</v>
      </c>
      <c r="C39" s="1" t="s">
        <v>19</v>
      </c>
      <c r="D39" s="1" t="s">
        <v>30</v>
      </c>
      <c r="E39" s="1" t="s">
        <v>38</v>
      </c>
      <c r="F39" s="1" t="s">
        <v>49</v>
      </c>
      <c r="G39" s="1">
        <v>167.32</v>
      </c>
      <c r="H39" s="1">
        <v>103</v>
      </c>
      <c r="I39" s="1">
        <v>103</v>
      </c>
      <c r="J39" s="15">
        <f t="shared" si="1"/>
        <v>167.32</v>
      </c>
      <c r="K39" s="1">
        <v>144</v>
      </c>
      <c r="L39" s="1" t="s">
        <v>31</v>
      </c>
      <c r="M39" s="1">
        <v>17233.96</v>
      </c>
      <c r="N39" s="2">
        <v>45461</v>
      </c>
      <c r="O39" s="2">
        <v>45479</v>
      </c>
      <c r="P39" s="2">
        <v>45484</v>
      </c>
      <c r="Q39" s="1">
        <v>18</v>
      </c>
      <c r="R39" s="1" t="s">
        <v>35</v>
      </c>
      <c r="S39" s="1" t="s">
        <v>51</v>
      </c>
    </row>
    <row r="40" spans="1:19" x14ac:dyDescent="0.45">
      <c r="A40" s="1">
        <v>39</v>
      </c>
      <c r="B40" s="1" t="s">
        <v>17</v>
      </c>
      <c r="C40" s="1" t="s">
        <v>22</v>
      </c>
      <c r="D40" s="1" t="s">
        <v>28</v>
      </c>
      <c r="E40" s="1" t="s">
        <v>39</v>
      </c>
      <c r="F40" s="1" t="s">
        <v>43</v>
      </c>
      <c r="G40" s="1">
        <v>232.86</v>
      </c>
      <c r="H40" s="1">
        <v>211</v>
      </c>
      <c r="I40" s="1">
        <v>197</v>
      </c>
      <c r="J40" s="15">
        <f t="shared" si="1"/>
        <v>232.86000000000004</v>
      </c>
      <c r="K40" s="1">
        <v>217</v>
      </c>
      <c r="L40" s="1" t="s">
        <v>33</v>
      </c>
      <c r="M40" s="1">
        <v>49133.460000000006</v>
      </c>
      <c r="N40" s="2">
        <v>45458</v>
      </c>
      <c r="O40" s="2">
        <v>45466</v>
      </c>
      <c r="P40" s="2">
        <v>45470</v>
      </c>
      <c r="Q40" s="1">
        <v>8</v>
      </c>
      <c r="R40" s="1" t="s">
        <v>34</v>
      </c>
      <c r="S40" s="1" t="s">
        <v>51</v>
      </c>
    </row>
    <row r="41" spans="1:19" x14ac:dyDescent="0.45">
      <c r="A41" s="1">
        <v>40</v>
      </c>
      <c r="B41" s="1" t="s">
        <v>15</v>
      </c>
      <c r="C41" s="1" t="s">
        <v>19</v>
      </c>
      <c r="D41" s="1" t="s">
        <v>29</v>
      </c>
      <c r="E41" s="1" t="s">
        <v>37</v>
      </c>
      <c r="F41" s="1" t="s">
        <v>41</v>
      </c>
      <c r="G41" s="1">
        <v>36.56</v>
      </c>
      <c r="H41" s="1">
        <v>315</v>
      </c>
      <c r="I41" s="1">
        <v>315</v>
      </c>
      <c r="J41" s="15">
        <f t="shared" si="1"/>
        <v>36.56</v>
      </c>
      <c r="K41" s="1">
        <v>35</v>
      </c>
      <c r="L41" s="1" t="s">
        <v>33</v>
      </c>
      <c r="M41" s="1">
        <v>11516.4</v>
      </c>
      <c r="N41" s="2">
        <v>45611</v>
      </c>
      <c r="O41" s="2">
        <v>45631</v>
      </c>
      <c r="P41" s="2">
        <v>45636</v>
      </c>
      <c r="Q41" s="1">
        <v>20</v>
      </c>
      <c r="R41" s="1" t="s">
        <v>34</v>
      </c>
      <c r="S41" s="1" t="s">
        <v>51</v>
      </c>
    </row>
    <row r="42" spans="1:19" x14ac:dyDescent="0.45">
      <c r="A42" s="1">
        <v>41</v>
      </c>
      <c r="B42" s="1" t="s">
        <v>13</v>
      </c>
      <c r="C42" s="1" t="s">
        <v>20</v>
      </c>
      <c r="D42" s="1" t="s">
        <v>24</v>
      </c>
      <c r="E42" s="1" t="s">
        <v>38</v>
      </c>
      <c r="F42" s="1" t="s">
        <v>45</v>
      </c>
      <c r="G42" s="1">
        <v>464.56</v>
      </c>
      <c r="H42" s="1">
        <v>274</v>
      </c>
      <c r="I42" s="1">
        <v>266</v>
      </c>
      <c r="J42" s="15">
        <f t="shared" si="1"/>
        <v>464.56</v>
      </c>
      <c r="K42" s="1">
        <v>460</v>
      </c>
      <c r="L42" s="1" t="s">
        <v>32</v>
      </c>
      <c r="M42" s="1">
        <v>127289.44</v>
      </c>
      <c r="N42" s="2">
        <v>45541</v>
      </c>
      <c r="O42" s="2">
        <v>45549</v>
      </c>
      <c r="P42" s="2">
        <v>45547</v>
      </c>
      <c r="Q42" s="1">
        <v>8</v>
      </c>
      <c r="R42" s="1" t="s">
        <v>34</v>
      </c>
      <c r="S42" s="1" t="s">
        <v>51</v>
      </c>
    </row>
    <row r="43" spans="1:19" x14ac:dyDescent="0.45">
      <c r="A43" s="1">
        <v>42</v>
      </c>
      <c r="B43" s="1" t="s">
        <v>13</v>
      </c>
      <c r="C43" s="1" t="s">
        <v>20</v>
      </c>
      <c r="D43" s="1" t="s">
        <v>28</v>
      </c>
      <c r="E43" s="1" t="s">
        <v>39</v>
      </c>
      <c r="F43" s="1" t="s">
        <v>48</v>
      </c>
      <c r="G43" s="1">
        <v>280.60000000000002</v>
      </c>
      <c r="H43" s="1">
        <v>97</v>
      </c>
      <c r="I43" s="1">
        <v>97</v>
      </c>
      <c r="J43" s="15">
        <f t="shared" si="1"/>
        <v>280.60000000000002</v>
      </c>
      <c r="K43" s="1">
        <v>256</v>
      </c>
      <c r="L43" s="1" t="s">
        <v>31</v>
      </c>
      <c r="M43" s="1">
        <v>27218.2</v>
      </c>
      <c r="N43" s="2">
        <v>45351</v>
      </c>
      <c r="O43" s="2">
        <v>45370</v>
      </c>
      <c r="P43" s="2">
        <v>45369</v>
      </c>
      <c r="Q43" s="1">
        <v>19</v>
      </c>
      <c r="R43" s="1" t="s">
        <v>34</v>
      </c>
      <c r="S43" s="1" t="s">
        <v>51</v>
      </c>
    </row>
    <row r="44" spans="1:19" x14ac:dyDescent="0.45">
      <c r="A44" s="1">
        <v>43</v>
      </c>
      <c r="B44" s="1" t="s">
        <v>17</v>
      </c>
      <c r="C44" s="1" t="s">
        <v>20</v>
      </c>
      <c r="D44" s="1" t="s">
        <v>27</v>
      </c>
      <c r="E44" s="1" t="s">
        <v>37</v>
      </c>
      <c r="F44" s="1" t="s">
        <v>42</v>
      </c>
      <c r="G44" s="1">
        <v>213.59</v>
      </c>
      <c r="H44" s="1">
        <v>297</v>
      </c>
      <c r="I44" s="1">
        <v>297</v>
      </c>
      <c r="J44" s="15">
        <f t="shared" si="1"/>
        <v>213.59</v>
      </c>
      <c r="K44" s="1">
        <v>203</v>
      </c>
      <c r="L44" s="1" t="s">
        <v>33</v>
      </c>
      <c r="M44" s="1">
        <v>63436.23</v>
      </c>
      <c r="N44" s="2">
        <v>45417</v>
      </c>
      <c r="O44" s="2">
        <v>45436</v>
      </c>
      <c r="P44" s="2">
        <v>45436</v>
      </c>
      <c r="Q44" s="1">
        <v>19</v>
      </c>
      <c r="R44" s="1" t="s">
        <v>35</v>
      </c>
      <c r="S44" s="1" t="s">
        <v>51</v>
      </c>
    </row>
    <row r="45" spans="1:19" x14ac:dyDescent="0.45">
      <c r="A45" s="1">
        <v>44</v>
      </c>
      <c r="B45" s="1" t="s">
        <v>13</v>
      </c>
      <c r="C45" s="1" t="s">
        <v>22</v>
      </c>
      <c r="D45" s="1" t="s">
        <v>24</v>
      </c>
      <c r="E45" s="1" t="s">
        <v>38</v>
      </c>
      <c r="F45" s="1" t="s">
        <v>43</v>
      </c>
      <c r="G45" s="1">
        <v>433.37</v>
      </c>
      <c r="H45" s="1">
        <v>191</v>
      </c>
      <c r="I45" s="1">
        <v>191</v>
      </c>
      <c r="J45" s="15">
        <f t="shared" si="1"/>
        <v>433.37</v>
      </c>
      <c r="K45" s="1">
        <v>378</v>
      </c>
      <c r="L45" s="1" t="s">
        <v>33</v>
      </c>
      <c r="M45" s="1">
        <v>82773.67</v>
      </c>
      <c r="N45" s="2">
        <v>45467</v>
      </c>
      <c r="O45" s="2">
        <v>45480</v>
      </c>
      <c r="P45" s="2">
        <v>45478</v>
      </c>
      <c r="Q45" s="1">
        <v>13</v>
      </c>
      <c r="R45" s="1" t="s">
        <v>35</v>
      </c>
      <c r="S45" s="1" t="s">
        <v>51</v>
      </c>
    </row>
    <row r="46" spans="1:19" x14ac:dyDescent="0.45">
      <c r="A46" s="1">
        <v>45</v>
      </c>
      <c r="B46" s="1" t="s">
        <v>16</v>
      </c>
      <c r="C46" s="1" t="s">
        <v>22</v>
      </c>
      <c r="D46" s="1" t="s">
        <v>25</v>
      </c>
      <c r="E46" s="1" t="s">
        <v>39</v>
      </c>
      <c r="F46" s="1" t="s">
        <v>46</v>
      </c>
      <c r="G46" s="1">
        <v>433.98</v>
      </c>
      <c r="H46" s="1">
        <v>278</v>
      </c>
      <c r="I46" s="1">
        <v>265</v>
      </c>
      <c r="J46" s="15">
        <f t="shared" si="1"/>
        <v>433.98</v>
      </c>
      <c r="K46" s="1">
        <v>413</v>
      </c>
      <c r="L46" s="1" t="s">
        <v>32</v>
      </c>
      <c r="M46" s="1">
        <v>120646.44</v>
      </c>
      <c r="N46" s="2">
        <v>45540</v>
      </c>
      <c r="O46" s="2">
        <v>45556</v>
      </c>
      <c r="P46" s="2">
        <v>45559</v>
      </c>
      <c r="Q46" s="1">
        <v>16</v>
      </c>
      <c r="R46" s="1" t="s">
        <v>35</v>
      </c>
      <c r="S46" s="1" t="s">
        <v>51</v>
      </c>
    </row>
    <row r="47" spans="1:19" x14ac:dyDescent="0.45">
      <c r="A47" s="1">
        <v>46</v>
      </c>
      <c r="B47" s="1" t="s">
        <v>17</v>
      </c>
      <c r="C47" s="1" t="s">
        <v>20</v>
      </c>
      <c r="D47" s="1" t="s">
        <v>26</v>
      </c>
      <c r="E47" s="1" t="s">
        <v>37</v>
      </c>
      <c r="F47" s="1" t="s">
        <v>44</v>
      </c>
      <c r="G47" s="1">
        <v>490.58</v>
      </c>
      <c r="H47" s="1">
        <v>172</v>
      </c>
      <c r="I47" s="1">
        <v>172</v>
      </c>
      <c r="J47" s="15">
        <f t="shared" si="1"/>
        <v>490.58</v>
      </c>
      <c r="K47" s="1">
        <v>447</v>
      </c>
      <c r="L47" s="1" t="s">
        <v>32</v>
      </c>
      <c r="M47" s="1">
        <v>84379.76</v>
      </c>
      <c r="N47" s="2">
        <v>45489</v>
      </c>
      <c r="O47" s="2">
        <v>45501</v>
      </c>
      <c r="P47" s="2">
        <v>45505</v>
      </c>
      <c r="Q47" s="1">
        <v>12</v>
      </c>
      <c r="R47" s="1" t="s">
        <v>34</v>
      </c>
      <c r="S47" s="1" t="s">
        <v>51</v>
      </c>
    </row>
    <row r="48" spans="1:19" x14ac:dyDescent="0.45">
      <c r="A48" s="1">
        <v>47</v>
      </c>
      <c r="B48" s="1" t="s">
        <v>16</v>
      </c>
      <c r="C48" s="1" t="s">
        <v>19</v>
      </c>
      <c r="D48" s="1" t="s">
        <v>29</v>
      </c>
      <c r="E48" s="1" t="s">
        <v>38</v>
      </c>
      <c r="F48" s="1" t="s">
        <v>45</v>
      </c>
      <c r="G48" s="1">
        <v>199.18</v>
      </c>
      <c r="H48" s="1">
        <v>389</v>
      </c>
      <c r="I48" s="1">
        <v>389</v>
      </c>
      <c r="J48" s="15">
        <f t="shared" si="1"/>
        <v>199.18</v>
      </c>
      <c r="K48" s="1">
        <v>200</v>
      </c>
      <c r="L48" s="1" t="s">
        <v>32</v>
      </c>
      <c r="M48" s="1">
        <v>77481.02</v>
      </c>
      <c r="N48" s="2">
        <v>45370</v>
      </c>
      <c r="O48" s="2">
        <v>45390</v>
      </c>
      <c r="P48" s="2">
        <v>45388</v>
      </c>
      <c r="Q48" s="1">
        <v>20</v>
      </c>
      <c r="R48" s="1" t="s">
        <v>34</v>
      </c>
      <c r="S48" s="1" t="s">
        <v>51</v>
      </c>
    </row>
    <row r="49" spans="1:19" x14ac:dyDescent="0.45">
      <c r="A49" s="1">
        <v>48</v>
      </c>
      <c r="B49" s="1" t="s">
        <v>15</v>
      </c>
      <c r="C49" s="1" t="s">
        <v>22</v>
      </c>
      <c r="D49" s="1" t="s">
        <v>30</v>
      </c>
      <c r="E49" s="1" t="s">
        <v>39</v>
      </c>
      <c r="F49" s="1" t="s">
        <v>41</v>
      </c>
      <c r="G49" s="1">
        <v>436.15</v>
      </c>
      <c r="H49" s="1">
        <v>497</v>
      </c>
      <c r="I49" s="1">
        <v>488</v>
      </c>
      <c r="J49" s="15">
        <f t="shared" si="1"/>
        <v>436.15</v>
      </c>
      <c r="K49" s="1">
        <v>384</v>
      </c>
      <c r="L49" s="1" t="s">
        <v>33</v>
      </c>
      <c r="M49" s="1">
        <v>216766.55</v>
      </c>
      <c r="N49" s="2">
        <v>45344</v>
      </c>
      <c r="O49" s="2">
        <v>45363</v>
      </c>
      <c r="P49" s="2">
        <v>45361</v>
      </c>
      <c r="Q49" s="1">
        <v>19</v>
      </c>
      <c r="R49" s="1" t="s">
        <v>34</v>
      </c>
      <c r="S49" s="1" t="s">
        <v>51</v>
      </c>
    </row>
    <row r="50" spans="1:19" x14ac:dyDescent="0.45">
      <c r="A50" s="1">
        <v>49</v>
      </c>
      <c r="B50" s="1" t="s">
        <v>17</v>
      </c>
      <c r="C50" s="1" t="s">
        <v>21</v>
      </c>
      <c r="D50" s="1" t="s">
        <v>23</v>
      </c>
      <c r="E50" s="1" t="s">
        <v>37</v>
      </c>
      <c r="F50" s="1" t="s">
        <v>42</v>
      </c>
      <c r="G50" s="1">
        <v>240.05</v>
      </c>
      <c r="H50" s="1">
        <v>185</v>
      </c>
      <c r="I50" s="1">
        <v>178</v>
      </c>
      <c r="J50" s="15">
        <f t="shared" si="1"/>
        <v>240.05</v>
      </c>
      <c r="K50" s="1">
        <v>217</v>
      </c>
      <c r="L50" s="1" t="s">
        <v>33</v>
      </c>
      <c r="M50" s="1">
        <v>44409.25</v>
      </c>
      <c r="N50" s="2">
        <v>45612</v>
      </c>
      <c r="O50" s="2">
        <v>45629</v>
      </c>
      <c r="P50" s="2">
        <v>45628</v>
      </c>
      <c r="Q50" s="1">
        <v>17</v>
      </c>
      <c r="R50" s="1" t="s">
        <v>35</v>
      </c>
      <c r="S50" s="1" t="s">
        <v>51</v>
      </c>
    </row>
    <row r="51" spans="1:19" x14ac:dyDescent="0.45">
      <c r="A51" s="1">
        <v>50</v>
      </c>
      <c r="B51" s="1" t="s">
        <v>15</v>
      </c>
      <c r="C51" s="1" t="s">
        <v>19</v>
      </c>
      <c r="D51" s="1" t="s">
        <v>30</v>
      </c>
      <c r="E51" s="1" t="s">
        <v>38</v>
      </c>
      <c r="F51" s="1" t="s">
        <v>43</v>
      </c>
      <c r="G51" s="1">
        <v>317.13</v>
      </c>
      <c r="H51" s="1">
        <v>438</v>
      </c>
      <c r="I51" s="1">
        <v>430</v>
      </c>
      <c r="J51" s="15">
        <f t="shared" si="1"/>
        <v>317.13</v>
      </c>
      <c r="K51" s="1">
        <v>314</v>
      </c>
      <c r="L51" s="1" t="s">
        <v>33</v>
      </c>
      <c r="M51" s="1">
        <v>138902.94</v>
      </c>
      <c r="N51" s="2">
        <v>45570</v>
      </c>
      <c r="O51" s="2">
        <v>45576</v>
      </c>
      <c r="P51" s="2">
        <v>45575</v>
      </c>
      <c r="Q51" s="1">
        <v>6</v>
      </c>
      <c r="R51" s="1" t="s">
        <v>34</v>
      </c>
      <c r="S51" s="1" t="s">
        <v>51</v>
      </c>
    </row>
  </sheetData>
  <sortState xmlns:xlrd2="http://schemas.microsoft.com/office/spreadsheetml/2017/richdata2" ref="A2:O51">
    <sortCondition ref="A1:A5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28C9-DB81-46FA-802A-C10ABC12B96D}">
  <dimension ref="A1:C11"/>
  <sheetViews>
    <sheetView topLeftCell="A4" zoomScale="125" zoomScaleNormal="125" workbookViewId="0">
      <selection activeCell="A6" sqref="A6:C6"/>
    </sheetView>
  </sheetViews>
  <sheetFormatPr defaultRowHeight="14.25" x14ac:dyDescent="0.45"/>
  <cols>
    <col min="1" max="1" width="35.33203125" style="29" customWidth="1"/>
    <col min="2" max="2" width="67.73046875" style="29" customWidth="1"/>
    <col min="3" max="3" width="67.9296875" style="29" bestFit="1" customWidth="1"/>
  </cols>
  <sheetData>
    <row r="1" spans="1:3" x14ac:dyDescent="0.45">
      <c r="A1" s="38" t="s">
        <v>102</v>
      </c>
      <c r="B1" s="38" t="s">
        <v>108</v>
      </c>
      <c r="C1" s="38" t="s">
        <v>103</v>
      </c>
    </row>
    <row r="2" spans="1:3" x14ac:dyDescent="0.45">
      <c r="A2" s="38"/>
      <c r="B2" s="38"/>
      <c r="C2" s="38"/>
    </row>
    <row r="3" spans="1:3" ht="47.25" x14ac:dyDescent="0.45">
      <c r="A3" s="31" t="s">
        <v>60</v>
      </c>
      <c r="B3" s="32" t="s">
        <v>107</v>
      </c>
      <c r="C3" s="33" t="s">
        <v>109</v>
      </c>
    </row>
    <row r="4" spans="1:3" x14ac:dyDescent="0.45">
      <c r="A4" s="35"/>
      <c r="B4" s="36"/>
      <c r="C4" s="37"/>
    </row>
    <row r="5" spans="1:3" ht="47.25" x14ac:dyDescent="0.45">
      <c r="A5" s="31" t="s">
        <v>56</v>
      </c>
      <c r="B5" s="32" t="s">
        <v>110</v>
      </c>
      <c r="C5" s="33" t="s">
        <v>111</v>
      </c>
    </row>
    <row r="6" spans="1:3" x14ac:dyDescent="0.45">
      <c r="A6" s="35"/>
      <c r="B6" s="36"/>
      <c r="C6" s="37"/>
    </row>
    <row r="7" spans="1:3" ht="47.25" x14ac:dyDescent="0.45">
      <c r="A7" s="31" t="s">
        <v>104</v>
      </c>
      <c r="B7" s="32" t="s">
        <v>112</v>
      </c>
      <c r="C7" s="33" t="s">
        <v>113</v>
      </c>
    </row>
    <row r="8" spans="1:3" x14ac:dyDescent="0.45">
      <c r="A8" s="35"/>
      <c r="B8" s="36"/>
      <c r="C8" s="37"/>
    </row>
    <row r="9" spans="1:3" ht="31.5" x14ac:dyDescent="0.45">
      <c r="A9" s="31" t="s">
        <v>105</v>
      </c>
      <c r="B9" s="32" t="s">
        <v>114</v>
      </c>
      <c r="C9" s="33" t="s">
        <v>115</v>
      </c>
    </row>
    <row r="10" spans="1:3" x14ac:dyDescent="0.45">
      <c r="A10" s="35"/>
      <c r="B10" s="36"/>
      <c r="C10" s="37"/>
    </row>
    <row r="11" spans="1:3" ht="47.25" x14ac:dyDescent="0.45">
      <c r="A11" s="31" t="s">
        <v>106</v>
      </c>
      <c r="B11" s="32" t="s">
        <v>116</v>
      </c>
      <c r="C11" s="33" t="s">
        <v>117</v>
      </c>
    </row>
  </sheetData>
  <mergeCells count="7">
    <mergeCell ref="A10:C10"/>
    <mergeCell ref="A1:A2"/>
    <mergeCell ref="B1:B2"/>
    <mergeCell ref="C1:C2"/>
    <mergeCell ref="A4:C4"/>
    <mergeCell ref="A6:C6"/>
    <mergeCell ref="A8:C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189B-08D8-4453-BB90-74BFFBE30E7F}">
  <dimension ref="A1:AB51"/>
  <sheetViews>
    <sheetView topLeftCell="G1" workbookViewId="0">
      <selection activeCell="X2" sqref="X2"/>
    </sheetView>
  </sheetViews>
  <sheetFormatPr defaultRowHeight="14.25" x14ac:dyDescent="0.45"/>
  <cols>
    <col min="1" max="1" width="10.19921875" style="1" bestFit="1" customWidth="1"/>
    <col min="2" max="2" width="15.59765625" style="1" bestFit="1" customWidth="1"/>
    <col min="3" max="3" width="14.1328125" style="1" bestFit="1" customWidth="1"/>
    <col min="4" max="4" width="14.33203125" style="1" bestFit="1" customWidth="1"/>
    <col min="5" max="5" width="4.73046875" style="1" bestFit="1" customWidth="1"/>
    <col min="6" max="6" width="14.796875" style="1" bestFit="1" customWidth="1"/>
    <col min="7" max="7" width="8.59765625" style="1" bestFit="1" customWidth="1"/>
    <col min="8" max="8" width="15.19921875" style="1" bestFit="1" customWidth="1"/>
    <col min="9" max="9" width="16.19921875" style="1" bestFit="1" customWidth="1"/>
    <col min="10" max="10" width="12.59765625" style="1" bestFit="1" customWidth="1"/>
    <col min="11" max="11" width="10.59765625" style="1" bestFit="1" customWidth="1"/>
    <col min="12" max="12" width="7.9296875" style="1" bestFit="1" customWidth="1"/>
    <col min="13" max="13" width="9.73046875" style="1" bestFit="1" customWidth="1"/>
    <col min="14" max="14" width="9.9296875" style="1" bestFit="1" customWidth="1"/>
    <col min="15" max="15" width="19.6640625" style="1" bestFit="1" customWidth="1"/>
    <col min="16" max="16" width="17.3984375" style="1" bestFit="1" customWidth="1"/>
    <col min="17" max="17" width="13.3984375" style="1" bestFit="1" customWidth="1"/>
    <col min="18" max="18" width="12.1328125" style="1" bestFit="1" customWidth="1"/>
    <col min="19" max="19" width="11" style="1" bestFit="1" customWidth="1"/>
    <col min="20" max="20" width="8.73046875" style="1" bestFit="1" customWidth="1"/>
    <col min="21" max="21" width="14.796875" style="1" bestFit="1" customWidth="1"/>
    <col min="22" max="22" width="12.86328125" style="1" bestFit="1" customWidth="1"/>
    <col min="23" max="23" width="4.3984375" style="1" bestFit="1" customWidth="1"/>
    <col min="24" max="24" width="12.19921875" style="7" bestFit="1" customWidth="1"/>
    <col min="25" max="25" width="10.9296875" style="1" customWidth="1"/>
    <col min="26" max="26" width="6.33203125" style="1" bestFit="1" customWidth="1"/>
    <col min="27" max="27" width="9.3984375" style="1" bestFit="1" customWidth="1"/>
    <col min="28" max="28" width="4.3984375" style="1" customWidth="1"/>
  </cols>
  <sheetData>
    <row r="1" spans="1:28" x14ac:dyDescent="0.45">
      <c r="A1" s="3" t="s">
        <v>0</v>
      </c>
      <c r="B1" s="3" t="s">
        <v>1</v>
      </c>
      <c r="C1" s="3" t="s">
        <v>2</v>
      </c>
      <c r="D1" s="3" t="s">
        <v>3</v>
      </c>
      <c r="E1" s="3" t="s">
        <v>36</v>
      </c>
      <c r="F1" s="3" t="s">
        <v>40</v>
      </c>
      <c r="G1" s="3" t="s">
        <v>4</v>
      </c>
      <c r="H1" s="3" t="s">
        <v>5</v>
      </c>
      <c r="I1" s="3" t="s">
        <v>55</v>
      </c>
      <c r="J1" s="3" t="s">
        <v>65</v>
      </c>
      <c r="K1" s="3" t="s">
        <v>66</v>
      </c>
      <c r="L1" s="3" t="s">
        <v>6</v>
      </c>
      <c r="M1" s="3" t="s">
        <v>7</v>
      </c>
      <c r="N1" s="3" t="s">
        <v>8</v>
      </c>
      <c r="O1" s="3" t="s">
        <v>9</v>
      </c>
      <c r="P1" s="3" t="s">
        <v>10</v>
      </c>
      <c r="Q1" s="3" t="s">
        <v>11</v>
      </c>
      <c r="R1" s="3" t="s">
        <v>12</v>
      </c>
      <c r="S1" s="3" t="s">
        <v>50</v>
      </c>
      <c r="T1" s="4" t="s">
        <v>52</v>
      </c>
      <c r="U1" s="4" t="s">
        <v>53</v>
      </c>
      <c r="V1" s="4" t="s">
        <v>54</v>
      </c>
      <c r="W1" s="4" t="s">
        <v>56</v>
      </c>
      <c r="X1" s="16" t="s">
        <v>67</v>
      </c>
      <c r="Y1" s="16" t="s">
        <v>70</v>
      </c>
      <c r="Z1" s="16" t="s">
        <v>77</v>
      </c>
      <c r="AA1" s="16" t="s">
        <v>78</v>
      </c>
      <c r="AB1" s="16"/>
    </row>
    <row r="2" spans="1:28" x14ac:dyDescent="0.45">
      <c r="A2" s="1">
        <v>1</v>
      </c>
      <c r="B2" s="1" t="s">
        <v>13</v>
      </c>
      <c r="C2" s="1" t="s">
        <v>18</v>
      </c>
      <c r="D2" s="1" t="s">
        <v>23</v>
      </c>
      <c r="E2" s="1" t="s">
        <v>37</v>
      </c>
      <c r="F2" s="1" t="s">
        <v>47</v>
      </c>
      <c r="G2" s="1">
        <v>391.43</v>
      </c>
      <c r="H2" s="1">
        <v>162</v>
      </c>
      <c r="I2" s="1">
        <v>162</v>
      </c>
      <c r="J2" s="15">
        <f t="shared" ref="J2:J33" si="0">M2/H2</f>
        <v>391.43</v>
      </c>
      <c r="K2" s="1">
        <v>341</v>
      </c>
      <c r="L2" s="1" t="s">
        <v>31</v>
      </c>
      <c r="M2" s="1">
        <v>63411.66</v>
      </c>
      <c r="N2" s="2">
        <v>45649</v>
      </c>
      <c r="O2" s="2">
        <v>45668</v>
      </c>
      <c r="P2" s="2">
        <v>45666</v>
      </c>
      <c r="Q2" s="1">
        <v>19</v>
      </c>
      <c r="R2" s="1" t="s">
        <v>34</v>
      </c>
      <c r="S2" s="1" t="s">
        <v>51</v>
      </c>
      <c r="T2" s="1">
        <f>P2-N2</f>
        <v>17</v>
      </c>
      <c r="U2" s="1">
        <f>IF(S2="Open", "", IF(AND(S2="Closed", P2&lt;=O2), 1, 0))</f>
        <v>1</v>
      </c>
      <c r="V2" s="1">
        <f t="shared" ref="V2:V33" si="1">IF(S2="Open", "", IF(AND(S2="Closed", I2&gt;=H2), 1, 0))</f>
        <v>1</v>
      </c>
      <c r="W2" s="1">
        <f>IF(AND(U2=1,V2=1),1,0)</f>
        <v>1</v>
      </c>
      <c r="X2" s="10">
        <f>(J2-K2)/J2</f>
        <v>0.12883529622154666</v>
      </c>
      <c r="Y2" s="1" t="str">
        <f>IF(P2-O2&gt;0,ABS(P2-O2),"")</f>
        <v/>
      </c>
      <c r="Z2" s="1" t="str">
        <f>IF(R2="Fail",1,"")</f>
        <v/>
      </c>
      <c r="AA2" s="1">
        <f>IF(R2="Pass",1,"")</f>
        <v>1</v>
      </c>
    </row>
    <row r="3" spans="1:28" x14ac:dyDescent="0.45">
      <c r="A3" s="1">
        <v>2</v>
      </c>
      <c r="B3" s="1" t="s">
        <v>14</v>
      </c>
      <c r="C3" s="1" t="s">
        <v>19</v>
      </c>
      <c r="D3" s="1" t="s">
        <v>24</v>
      </c>
      <c r="E3" s="1" t="s">
        <v>38</v>
      </c>
      <c r="F3" s="1" t="s">
        <v>44</v>
      </c>
      <c r="G3" s="1">
        <v>402.69</v>
      </c>
      <c r="H3" s="1">
        <v>391</v>
      </c>
      <c r="I3" s="1">
        <v>391</v>
      </c>
      <c r="J3" s="15">
        <f t="shared" si="0"/>
        <v>402.69</v>
      </c>
      <c r="K3" s="1">
        <v>383</v>
      </c>
      <c r="L3" s="1" t="s">
        <v>32</v>
      </c>
      <c r="M3" s="1">
        <v>157451.79</v>
      </c>
      <c r="N3" s="2">
        <v>45579</v>
      </c>
      <c r="O3" s="2">
        <v>45594</v>
      </c>
      <c r="P3" s="2">
        <v>45599</v>
      </c>
      <c r="Q3" s="1">
        <v>15</v>
      </c>
      <c r="R3" s="1" t="s">
        <v>35</v>
      </c>
      <c r="S3" s="1" t="s">
        <v>51</v>
      </c>
      <c r="T3" s="1">
        <f t="shared" ref="T3:T51" si="2">P3-N3</f>
        <v>20</v>
      </c>
      <c r="U3" s="1">
        <f>IF(S3="Open", "", IF(AND(S3="Closed", P3&lt;=O3), 1, 0))</f>
        <v>0</v>
      </c>
      <c r="V3" s="1">
        <f t="shared" si="1"/>
        <v>1</v>
      </c>
      <c r="W3" s="1">
        <f t="shared" ref="W3:W51" si="3">IF(AND(U3=1,V3=1),1,0)</f>
        <v>0</v>
      </c>
      <c r="X3" s="10">
        <f t="shared" ref="X3:X51" si="4">(J3-K3)/J3</f>
        <v>4.8896173234994657E-2</v>
      </c>
      <c r="Y3" s="1">
        <f t="shared" ref="Y3:Y51" si="5">IF(P3-O3&gt;0,ABS(P3-O3),"")</f>
        <v>5</v>
      </c>
      <c r="Z3" s="1">
        <f t="shared" ref="Z3:Z51" si="6">IF(R3="Fail",1,"")</f>
        <v>1</v>
      </c>
      <c r="AA3" s="1" t="str">
        <f t="shared" ref="AA3:AA51" si="7">IF(R3="Pass",1,"")</f>
        <v/>
      </c>
    </row>
    <row r="4" spans="1:28" x14ac:dyDescent="0.45">
      <c r="A4" s="1">
        <v>3</v>
      </c>
      <c r="B4" s="1" t="s">
        <v>15</v>
      </c>
      <c r="C4" s="1" t="s">
        <v>19</v>
      </c>
      <c r="D4" s="1" t="s">
        <v>24</v>
      </c>
      <c r="E4" s="1" t="s">
        <v>39</v>
      </c>
      <c r="F4" s="1" t="s">
        <v>41</v>
      </c>
      <c r="G4" s="1">
        <v>374.39</v>
      </c>
      <c r="H4" s="1">
        <v>293</v>
      </c>
      <c r="I4" s="1">
        <v>293</v>
      </c>
      <c r="J4" s="15">
        <f t="shared" si="0"/>
        <v>374.39</v>
      </c>
      <c r="K4" s="1">
        <v>330</v>
      </c>
      <c r="L4" s="1" t="s">
        <v>33</v>
      </c>
      <c r="M4" s="1">
        <v>109696.27</v>
      </c>
      <c r="N4" s="2">
        <v>45425</v>
      </c>
      <c r="O4" s="2">
        <v>45437</v>
      </c>
      <c r="P4" s="2">
        <v>45439</v>
      </c>
      <c r="Q4" s="1">
        <v>12</v>
      </c>
      <c r="R4" s="1" t="s">
        <v>35</v>
      </c>
      <c r="S4" s="1" t="s">
        <v>51</v>
      </c>
      <c r="T4" s="1">
        <f t="shared" si="2"/>
        <v>14</v>
      </c>
      <c r="U4" s="1">
        <f t="shared" ref="U4:U51" si="8">IF(S4="Open", "", IF(AND(S4="Closed", P4&lt;=O4), 1, 0))</f>
        <v>0</v>
      </c>
      <c r="V4" s="1">
        <f t="shared" si="1"/>
        <v>1</v>
      </c>
      <c r="W4" s="1">
        <f t="shared" si="3"/>
        <v>0</v>
      </c>
      <c r="X4" s="10">
        <f t="shared" si="4"/>
        <v>0.11856620102032636</v>
      </c>
      <c r="Y4" s="1">
        <f t="shared" si="5"/>
        <v>2</v>
      </c>
      <c r="Z4" s="1">
        <f t="shared" si="6"/>
        <v>1</v>
      </c>
      <c r="AA4" s="1" t="str">
        <f t="shared" si="7"/>
        <v/>
      </c>
    </row>
    <row r="5" spans="1:28" x14ac:dyDescent="0.45">
      <c r="A5" s="1">
        <v>4</v>
      </c>
      <c r="B5" s="1" t="s">
        <v>13</v>
      </c>
      <c r="C5" s="1" t="s">
        <v>20</v>
      </c>
      <c r="D5" s="1" t="s">
        <v>25</v>
      </c>
      <c r="E5" s="1" t="s">
        <v>37</v>
      </c>
      <c r="F5" s="1" t="s">
        <v>49</v>
      </c>
      <c r="G5" s="1">
        <v>47.97</v>
      </c>
      <c r="H5" s="1">
        <v>196</v>
      </c>
      <c r="I5" s="1">
        <v>191</v>
      </c>
      <c r="J5" s="15">
        <f t="shared" si="0"/>
        <v>47.969999999999992</v>
      </c>
      <c r="K5" s="1">
        <v>44</v>
      </c>
      <c r="L5" s="1" t="s">
        <v>31</v>
      </c>
      <c r="M5" s="1">
        <v>9402.119999999999</v>
      </c>
      <c r="N5" s="2">
        <v>45432</v>
      </c>
      <c r="O5" s="2">
        <v>45447</v>
      </c>
      <c r="P5" s="2">
        <v>45450</v>
      </c>
      <c r="Q5" s="1">
        <v>15</v>
      </c>
      <c r="R5" s="1" t="s">
        <v>34</v>
      </c>
      <c r="S5" s="1" t="s">
        <v>51</v>
      </c>
      <c r="T5" s="1">
        <f t="shared" si="2"/>
        <v>18</v>
      </c>
      <c r="U5" s="1">
        <f t="shared" si="8"/>
        <v>0</v>
      </c>
      <c r="V5" s="1">
        <f t="shared" si="1"/>
        <v>0</v>
      </c>
      <c r="W5" s="1">
        <f t="shared" si="3"/>
        <v>0</v>
      </c>
      <c r="X5" s="10">
        <f t="shared" si="4"/>
        <v>8.2760058369814316E-2</v>
      </c>
      <c r="Y5" s="1">
        <f t="shared" si="5"/>
        <v>3</v>
      </c>
      <c r="Z5" s="1" t="str">
        <f t="shared" si="6"/>
        <v/>
      </c>
      <c r="AA5" s="1">
        <f t="shared" si="7"/>
        <v>1</v>
      </c>
    </row>
    <row r="6" spans="1:28" x14ac:dyDescent="0.45">
      <c r="A6" s="1">
        <v>5</v>
      </c>
      <c r="B6" s="1" t="s">
        <v>13</v>
      </c>
      <c r="C6" s="1" t="s">
        <v>21</v>
      </c>
      <c r="D6" s="1" t="s">
        <v>26</v>
      </c>
      <c r="E6" s="1" t="s">
        <v>38</v>
      </c>
      <c r="F6" s="1" t="s">
        <v>45</v>
      </c>
      <c r="G6" s="1">
        <v>197.69</v>
      </c>
      <c r="H6" s="1">
        <v>128</v>
      </c>
      <c r="I6" s="1">
        <v>116</v>
      </c>
      <c r="J6" s="15">
        <f t="shared" si="0"/>
        <v>197.69</v>
      </c>
      <c r="K6" s="1">
        <v>176</v>
      </c>
      <c r="L6" s="1" t="s">
        <v>32</v>
      </c>
      <c r="M6" s="1">
        <v>25304.32</v>
      </c>
      <c r="N6" s="2">
        <v>45402</v>
      </c>
      <c r="O6" s="2">
        <v>45409</v>
      </c>
      <c r="P6" s="2">
        <v>45413</v>
      </c>
      <c r="Q6" s="1">
        <v>7</v>
      </c>
      <c r="R6" s="1" t="s">
        <v>35</v>
      </c>
      <c r="S6" s="1" t="s">
        <v>51</v>
      </c>
      <c r="T6" s="1">
        <f t="shared" si="2"/>
        <v>11</v>
      </c>
      <c r="U6" s="1">
        <f t="shared" si="8"/>
        <v>0</v>
      </c>
      <c r="V6" s="1">
        <f t="shared" si="1"/>
        <v>0</v>
      </c>
      <c r="W6" s="1">
        <f t="shared" si="3"/>
        <v>0</v>
      </c>
      <c r="X6" s="10">
        <f t="shared" si="4"/>
        <v>0.10971723405331579</v>
      </c>
      <c r="Y6" s="1">
        <f t="shared" si="5"/>
        <v>4</v>
      </c>
      <c r="Z6" s="1">
        <f t="shared" si="6"/>
        <v>1</v>
      </c>
      <c r="AA6" s="1" t="str">
        <f t="shared" si="7"/>
        <v/>
      </c>
    </row>
    <row r="7" spans="1:28" x14ac:dyDescent="0.45">
      <c r="A7" s="1">
        <v>6</v>
      </c>
      <c r="B7" s="1" t="s">
        <v>16</v>
      </c>
      <c r="C7" s="1" t="s">
        <v>22</v>
      </c>
      <c r="D7" s="1" t="s">
        <v>25</v>
      </c>
      <c r="E7" s="1" t="s">
        <v>39</v>
      </c>
      <c r="F7" s="1" t="s">
        <v>42</v>
      </c>
      <c r="G7" s="1">
        <v>213.73</v>
      </c>
      <c r="H7" s="1">
        <v>155</v>
      </c>
      <c r="I7" s="1">
        <v>155</v>
      </c>
      <c r="J7" s="15">
        <f t="shared" si="0"/>
        <v>213.73000000000002</v>
      </c>
      <c r="K7" s="1">
        <v>186</v>
      </c>
      <c r="L7" s="1" t="s">
        <v>33</v>
      </c>
      <c r="M7" s="1">
        <v>33128.15</v>
      </c>
      <c r="N7" s="2">
        <v>45492</v>
      </c>
      <c r="O7" s="2">
        <v>45497</v>
      </c>
      <c r="P7" s="2">
        <v>45501</v>
      </c>
      <c r="Q7" s="1">
        <v>5</v>
      </c>
      <c r="R7" s="1" t="s">
        <v>35</v>
      </c>
      <c r="S7" s="1" t="s">
        <v>51</v>
      </c>
      <c r="T7" s="1">
        <f t="shared" si="2"/>
        <v>9</v>
      </c>
      <c r="U7" s="1">
        <f t="shared" si="8"/>
        <v>0</v>
      </c>
      <c r="V7" s="1">
        <f t="shared" si="1"/>
        <v>1</v>
      </c>
      <c r="W7" s="1">
        <f t="shared" si="3"/>
        <v>0</v>
      </c>
      <c r="X7" s="10">
        <f t="shared" si="4"/>
        <v>0.12974313386047825</v>
      </c>
      <c r="Y7" s="1">
        <f t="shared" si="5"/>
        <v>4</v>
      </c>
      <c r="Z7" s="1">
        <f t="shared" si="6"/>
        <v>1</v>
      </c>
      <c r="AA7" s="1" t="str">
        <f t="shared" si="7"/>
        <v/>
      </c>
    </row>
    <row r="8" spans="1:28" x14ac:dyDescent="0.45">
      <c r="A8" s="1">
        <v>7</v>
      </c>
      <c r="B8" s="1" t="s">
        <v>14</v>
      </c>
      <c r="C8" s="1" t="s">
        <v>20</v>
      </c>
      <c r="D8" s="1" t="s">
        <v>27</v>
      </c>
      <c r="E8" s="1" t="s">
        <v>37</v>
      </c>
      <c r="F8" s="1" t="s">
        <v>43</v>
      </c>
      <c r="G8" s="1">
        <v>379.2</v>
      </c>
      <c r="H8" s="1">
        <v>486</v>
      </c>
      <c r="I8" s="1">
        <v>472</v>
      </c>
      <c r="J8" s="15">
        <f t="shared" si="0"/>
        <v>379.20000000000005</v>
      </c>
      <c r="K8" s="1">
        <v>380</v>
      </c>
      <c r="L8" s="1" t="s">
        <v>33</v>
      </c>
      <c r="M8" s="1">
        <v>184291.20000000001</v>
      </c>
      <c r="N8" s="2">
        <v>45568</v>
      </c>
      <c r="O8" s="2">
        <v>45580</v>
      </c>
      <c r="P8" s="2">
        <v>45585</v>
      </c>
      <c r="Q8" s="1">
        <v>12</v>
      </c>
      <c r="R8" s="1" t="s">
        <v>34</v>
      </c>
      <c r="S8" s="1" t="s">
        <v>51</v>
      </c>
      <c r="T8" s="1">
        <f t="shared" si="2"/>
        <v>17</v>
      </c>
      <c r="U8" s="1">
        <f t="shared" si="8"/>
        <v>0</v>
      </c>
      <c r="V8" s="1">
        <f t="shared" si="1"/>
        <v>0</v>
      </c>
      <c r="W8" s="1">
        <f t="shared" si="3"/>
        <v>0</v>
      </c>
      <c r="X8" s="10">
        <f t="shared" si="4"/>
        <v>-2.1097046413500907E-3</v>
      </c>
      <c r="Y8" s="1">
        <f t="shared" si="5"/>
        <v>5</v>
      </c>
      <c r="Z8" s="1" t="str">
        <f t="shared" si="6"/>
        <v/>
      </c>
      <c r="AA8" s="1">
        <f t="shared" si="7"/>
        <v>1</v>
      </c>
    </row>
    <row r="9" spans="1:28" x14ac:dyDescent="0.45">
      <c r="A9" s="1">
        <v>8</v>
      </c>
      <c r="B9" s="1" t="s">
        <v>16</v>
      </c>
      <c r="C9" s="1" t="s">
        <v>19</v>
      </c>
      <c r="D9" s="1" t="s">
        <v>25</v>
      </c>
      <c r="E9" s="1" t="s">
        <v>38</v>
      </c>
      <c r="F9" s="1" t="s">
        <v>46</v>
      </c>
      <c r="G9" s="1">
        <v>24.22</v>
      </c>
      <c r="H9" s="1">
        <v>222</v>
      </c>
      <c r="I9" s="1">
        <v>207</v>
      </c>
      <c r="J9" s="15">
        <f t="shared" si="0"/>
        <v>24.220000000000002</v>
      </c>
      <c r="K9" s="1">
        <v>23</v>
      </c>
      <c r="L9" s="1" t="s">
        <v>32</v>
      </c>
      <c r="M9" s="1">
        <v>5376.84</v>
      </c>
      <c r="N9" s="2">
        <v>45640</v>
      </c>
      <c r="O9" s="2">
        <v>45657</v>
      </c>
      <c r="P9" s="2">
        <v>45657</v>
      </c>
      <c r="Q9" s="1">
        <v>17</v>
      </c>
      <c r="R9" s="1" t="s">
        <v>35</v>
      </c>
      <c r="S9" s="1" t="s">
        <v>51</v>
      </c>
      <c r="T9" s="1">
        <f t="shared" si="2"/>
        <v>17</v>
      </c>
      <c r="U9" s="1">
        <f t="shared" si="8"/>
        <v>1</v>
      </c>
      <c r="V9" s="1">
        <f t="shared" si="1"/>
        <v>0</v>
      </c>
      <c r="W9" s="1">
        <f t="shared" si="3"/>
        <v>0</v>
      </c>
      <c r="X9" s="10">
        <f t="shared" si="4"/>
        <v>5.0371593724194974E-2</v>
      </c>
      <c r="Y9" s="1" t="str">
        <f t="shared" si="5"/>
        <v/>
      </c>
      <c r="Z9" s="1">
        <f t="shared" si="6"/>
        <v>1</v>
      </c>
      <c r="AA9" s="1" t="str">
        <f t="shared" si="7"/>
        <v/>
      </c>
    </row>
    <row r="10" spans="1:28" x14ac:dyDescent="0.45">
      <c r="A10" s="1">
        <v>9</v>
      </c>
      <c r="B10" s="1" t="s">
        <v>13</v>
      </c>
      <c r="C10" s="1" t="s">
        <v>22</v>
      </c>
      <c r="D10" s="1" t="s">
        <v>28</v>
      </c>
      <c r="E10" s="1" t="s">
        <v>39</v>
      </c>
      <c r="F10" s="1" t="s">
        <v>44</v>
      </c>
      <c r="G10" s="1">
        <v>454.4</v>
      </c>
      <c r="H10" s="1">
        <v>353</v>
      </c>
      <c r="I10" s="1">
        <v>318</v>
      </c>
      <c r="J10" s="15">
        <f t="shared" si="0"/>
        <v>454.40000000000003</v>
      </c>
      <c r="K10" s="1">
        <v>405</v>
      </c>
      <c r="L10" s="1" t="s">
        <v>32</v>
      </c>
      <c r="M10" s="1">
        <v>160403.20000000001</v>
      </c>
      <c r="N10" s="2">
        <v>45632</v>
      </c>
      <c r="O10" s="2">
        <v>45637</v>
      </c>
      <c r="P10" s="2">
        <v>45636</v>
      </c>
      <c r="Q10" s="1">
        <v>5</v>
      </c>
      <c r="R10" s="1" t="s">
        <v>35</v>
      </c>
      <c r="S10" s="1" t="s">
        <v>51</v>
      </c>
      <c r="T10" s="1">
        <f t="shared" si="2"/>
        <v>4</v>
      </c>
      <c r="U10" s="1">
        <f t="shared" si="8"/>
        <v>1</v>
      </c>
      <c r="V10" s="1">
        <f t="shared" si="1"/>
        <v>0</v>
      </c>
      <c r="W10" s="1">
        <f t="shared" si="3"/>
        <v>0</v>
      </c>
      <c r="X10" s="10">
        <f t="shared" si="4"/>
        <v>0.10871478873239443</v>
      </c>
      <c r="Y10" s="1" t="str">
        <f t="shared" si="5"/>
        <v/>
      </c>
      <c r="Z10" s="1">
        <f t="shared" si="6"/>
        <v>1</v>
      </c>
      <c r="AA10" s="1" t="str">
        <f t="shared" si="7"/>
        <v/>
      </c>
    </row>
    <row r="11" spans="1:28" x14ac:dyDescent="0.45">
      <c r="A11" s="1">
        <v>10</v>
      </c>
      <c r="B11" s="1" t="s">
        <v>13</v>
      </c>
      <c r="C11" s="1" t="s">
        <v>19</v>
      </c>
      <c r="D11" s="1" t="s">
        <v>24</v>
      </c>
      <c r="E11" s="1" t="s">
        <v>37</v>
      </c>
      <c r="F11" s="1" t="s">
        <v>41</v>
      </c>
      <c r="G11" s="1">
        <v>34.64</v>
      </c>
      <c r="H11" s="1">
        <v>244</v>
      </c>
      <c r="I11" s="1">
        <v>242</v>
      </c>
      <c r="J11" s="15">
        <f t="shared" si="0"/>
        <v>34.64</v>
      </c>
      <c r="K11" s="1">
        <v>35</v>
      </c>
      <c r="L11" s="1" t="s">
        <v>33</v>
      </c>
      <c r="M11" s="1">
        <v>8452.16</v>
      </c>
      <c r="N11" s="2">
        <v>45401</v>
      </c>
      <c r="O11" s="2">
        <v>45420</v>
      </c>
      <c r="P11" s="2">
        <v>45423</v>
      </c>
      <c r="Q11" s="1">
        <v>19</v>
      </c>
      <c r="R11" s="1" t="s">
        <v>35</v>
      </c>
      <c r="S11" s="1" t="s">
        <v>51</v>
      </c>
      <c r="T11" s="1">
        <f t="shared" si="2"/>
        <v>22</v>
      </c>
      <c r="U11" s="1">
        <f t="shared" si="8"/>
        <v>0</v>
      </c>
      <c r="V11" s="1">
        <f t="shared" si="1"/>
        <v>0</v>
      </c>
      <c r="W11" s="1">
        <f t="shared" si="3"/>
        <v>0</v>
      </c>
      <c r="X11" s="10">
        <f t="shared" si="4"/>
        <v>-1.0392609699769037E-2</v>
      </c>
      <c r="Y11" s="1">
        <f t="shared" si="5"/>
        <v>3</v>
      </c>
      <c r="Z11" s="1">
        <f t="shared" si="6"/>
        <v>1</v>
      </c>
      <c r="AA11" s="1" t="str">
        <f t="shared" si="7"/>
        <v/>
      </c>
    </row>
    <row r="12" spans="1:28" x14ac:dyDescent="0.45">
      <c r="A12" s="1">
        <v>11</v>
      </c>
      <c r="B12" s="1" t="s">
        <v>17</v>
      </c>
      <c r="C12" s="1" t="s">
        <v>20</v>
      </c>
      <c r="D12" s="1" t="s">
        <v>29</v>
      </c>
      <c r="E12" s="1" t="s">
        <v>38</v>
      </c>
      <c r="F12" s="1" t="s">
        <v>42</v>
      </c>
      <c r="G12" s="1">
        <v>133.61000000000001</v>
      </c>
      <c r="H12" s="1">
        <v>91</v>
      </c>
      <c r="I12" s="1">
        <v>91</v>
      </c>
      <c r="J12" s="15">
        <f t="shared" si="0"/>
        <v>133.61000000000001</v>
      </c>
      <c r="K12" s="1">
        <v>127</v>
      </c>
      <c r="L12" s="1" t="s">
        <v>33</v>
      </c>
      <c r="M12" s="1">
        <v>12158.51</v>
      </c>
      <c r="N12" s="2">
        <v>45302</v>
      </c>
      <c r="O12" s="2">
        <v>45308</v>
      </c>
      <c r="P12" s="2">
        <v>45311</v>
      </c>
      <c r="Q12" s="1">
        <v>6</v>
      </c>
      <c r="R12" s="1" t="s">
        <v>34</v>
      </c>
      <c r="S12" s="1" t="s">
        <v>51</v>
      </c>
      <c r="T12" s="1">
        <f t="shared" si="2"/>
        <v>9</v>
      </c>
      <c r="U12" s="1">
        <f t="shared" si="8"/>
        <v>0</v>
      </c>
      <c r="V12" s="1">
        <f t="shared" si="1"/>
        <v>1</v>
      </c>
      <c r="W12" s="1">
        <f t="shared" si="3"/>
        <v>0</v>
      </c>
      <c r="X12" s="10">
        <f t="shared" si="4"/>
        <v>4.9472344884365041E-2</v>
      </c>
      <c r="Y12" s="1">
        <f t="shared" si="5"/>
        <v>3</v>
      </c>
      <c r="Z12" s="1" t="str">
        <f t="shared" si="6"/>
        <v/>
      </c>
      <c r="AA12" s="1">
        <f t="shared" si="7"/>
        <v>1</v>
      </c>
    </row>
    <row r="13" spans="1:28" x14ac:dyDescent="0.45">
      <c r="A13" s="1">
        <v>12</v>
      </c>
      <c r="B13" s="1" t="s">
        <v>14</v>
      </c>
      <c r="C13" s="1" t="s">
        <v>18</v>
      </c>
      <c r="D13" s="1" t="s">
        <v>28</v>
      </c>
      <c r="E13" s="1" t="s">
        <v>39</v>
      </c>
      <c r="F13" s="1" t="s">
        <v>48</v>
      </c>
      <c r="G13" s="1">
        <v>475.31</v>
      </c>
      <c r="H13" s="1">
        <v>152</v>
      </c>
      <c r="I13" s="1">
        <v>152</v>
      </c>
      <c r="J13" s="15">
        <f t="shared" si="0"/>
        <v>475.30999999999995</v>
      </c>
      <c r="K13" s="1">
        <v>466</v>
      </c>
      <c r="L13" s="1" t="s">
        <v>31</v>
      </c>
      <c r="M13" s="1">
        <v>72247.12</v>
      </c>
      <c r="N13" s="2">
        <v>45611</v>
      </c>
      <c r="O13" s="2">
        <v>45620</v>
      </c>
      <c r="P13" s="2">
        <v>45621</v>
      </c>
      <c r="Q13" s="1">
        <v>9</v>
      </c>
      <c r="R13" s="1" t="s">
        <v>34</v>
      </c>
      <c r="S13" s="1" t="s">
        <v>51</v>
      </c>
      <c r="T13" s="1">
        <f t="shared" si="2"/>
        <v>10</v>
      </c>
      <c r="U13" s="1">
        <f t="shared" si="8"/>
        <v>0</v>
      </c>
      <c r="V13" s="1">
        <f t="shared" si="1"/>
        <v>1</v>
      </c>
      <c r="W13" s="1">
        <f t="shared" si="3"/>
        <v>0</v>
      </c>
      <c r="X13" s="10">
        <f t="shared" si="4"/>
        <v>1.9587216763796145E-2</v>
      </c>
      <c r="Y13" s="1">
        <f t="shared" si="5"/>
        <v>1</v>
      </c>
      <c r="Z13" s="1" t="str">
        <f t="shared" si="6"/>
        <v/>
      </c>
      <c r="AA13" s="1">
        <f t="shared" si="7"/>
        <v>1</v>
      </c>
    </row>
    <row r="14" spans="1:28" x14ac:dyDescent="0.45">
      <c r="A14" s="1">
        <v>13</v>
      </c>
      <c r="B14" s="1" t="s">
        <v>17</v>
      </c>
      <c r="C14" s="1" t="s">
        <v>18</v>
      </c>
      <c r="D14" s="1" t="s">
        <v>26</v>
      </c>
      <c r="E14" s="1" t="s">
        <v>37</v>
      </c>
      <c r="F14" s="1" t="s">
        <v>43</v>
      </c>
      <c r="G14" s="1">
        <v>237.87</v>
      </c>
      <c r="H14" s="1">
        <v>181</v>
      </c>
      <c r="I14" s="1">
        <v>181</v>
      </c>
      <c r="J14" s="15">
        <f t="shared" si="0"/>
        <v>237.87</v>
      </c>
      <c r="K14" s="1">
        <v>236</v>
      </c>
      <c r="L14" s="1" t="s">
        <v>33</v>
      </c>
      <c r="M14" s="1">
        <v>43054.47</v>
      </c>
      <c r="N14" s="2">
        <v>45378</v>
      </c>
      <c r="O14" s="2">
        <v>45386</v>
      </c>
      <c r="P14" s="2">
        <v>45386</v>
      </c>
      <c r="Q14" s="1">
        <v>8</v>
      </c>
      <c r="R14" s="1" t="s">
        <v>35</v>
      </c>
      <c r="S14" s="1" t="s">
        <v>51</v>
      </c>
      <c r="T14" s="1">
        <f t="shared" si="2"/>
        <v>8</v>
      </c>
      <c r="U14" s="1">
        <f t="shared" si="8"/>
        <v>1</v>
      </c>
      <c r="V14" s="1">
        <f t="shared" si="1"/>
        <v>1</v>
      </c>
      <c r="W14" s="1">
        <f t="shared" si="3"/>
        <v>1</v>
      </c>
      <c r="X14" s="10">
        <f t="shared" si="4"/>
        <v>7.8614369193257018E-3</v>
      </c>
      <c r="Y14" s="1" t="str">
        <f t="shared" si="5"/>
        <v/>
      </c>
      <c r="Z14" s="1">
        <f t="shared" si="6"/>
        <v>1</v>
      </c>
      <c r="AA14" s="1" t="str">
        <f t="shared" si="7"/>
        <v/>
      </c>
    </row>
    <row r="15" spans="1:28" x14ac:dyDescent="0.45">
      <c r="A15" s="1">
        <v>14</v>
      </c>
      <c r="B15" s="1" t="s">
        <v>14</v>
      </c>
      <c r="C15" s="1" t="s">
        <v>22</v>
      </c>
      <c r="D15" s="1" t="s">
        <v>28</v>
      </c>
      <c r="E15" s="1" t="s">
        <v>38</v>
      </c>
      <c r="F15" s="1" t="s">
        <v>45</v>
      </c>
      <c r="G15" s="1">
        <v>465.15</v>
      </c>
      <c r="H15" s="1">
        <v>344</v>
      </c>
      <c r="I15" s="1">
        <v>344</v>
      </c>
      <c r="J15" s="15">
        <f t="shared" si="0"/>
        <v>465.15000000000003</v>
      </c>
      <c r="K15" s="1">
        <v>410</v>
      </c>
      <c r="L15" s="1" t="s">
        <v>32</v>
      </c>
      <c r="M15" s="1">
        <v>160011.6</v>
      </c>
      <c r="N15" s="2">
        <v>45485</v>
      </c>
      <c r="O15" s="2">
        <v>45502</v>
      </c>
      <c r="P15" s="2">
        <v>45503</v>
      </c>
      <c r="Q15" s="1">
        <v>17</v>
      </c>
      <c r="R15" s="1" t="s">
        <v>34</v>
      </c>
      <c r="S15" s="1" t="s">
        <v>51</v>
      </c>
      <c r="T15" s="1">
        <f t="shared" si="2"/>
        <v>18</v>
      </c>
      <c r="U15" s="1">
        <f t="shared" si="8"/>
        <v>0</v>
      </c>
      <c r="V15" s="1">
        <f t="shared" si="1"/>
        <v>1</v>
      </c>
      <c r="W15" s="1">
        <f t="shared" si="3"/>
        <v>0</v>
      </c>
      <c r="X15" s="10">
        <f t="shared" si="4"/>
        <v>0.11856390411695159</v>
      </c>
      <c r="Y15" s="1">
        <f t="shared" si="5"/>
        <v>1</v>
      </c>
      <c r="Z15" s="1" t="str">
        <f t="shared" si="6"/>
        <v/>
      </c>
      <c r="AA15" s="1">
        <f t="shared" si="7"/>
        <v>1</v>
      </c>
    </row>
    <row r="16" spans="1:28" x14ac:dyDescent="0.45">
      <c r="A16" s="1">
        <v>15</v>
      </c>
      <c r="B16" s="1" t="s">
        <v>15</v>
      </c>
      <c r="C16" s="1" t="s">
        <v>21</v>
      </c>
      <c r="D16" s="1" t="s">
        <v>23</v>
      </c>
      <c r="E16" s="1" t="s">
        <v>39</v>
      </c>
      <c r="F16" s="1" t="s">
        <v>46</v>
      </c>
      <c r="G16" s="1">
        <v>351.62</v>
      </c>
      <c r="H16" s="1">
        <v>204</v>
      </c>
      <c r="I16" s="1">
        <v>198</v>
      </c>
      <c r="J16" s="15">
        <f t="shared" si="0"/>
        <v>351.62</v>
      </c>
      <c r="K16" s="1">
        <v>313</v>
      </c>
      <c r="L16" s="1" t="s">
        <v>32</v>
      </c>
      <c r="M16" s="1">
        <v>71730.48</v>
      </c>
      <c r="N16" s="2">
        <v>45600</v>
      </c>
      <c r="O16" s="2">
        <v>45608</v>
      </c>
      <c r="P16" s="2">
        <v>45606</v>
      </c>
      <c r="Q16" s="1">
        <v>8</v>
      </c>
      <c r="R16" s="1" t="s">
        <v>35</v>
      </c>
      <c r="S16" s="1" t="s">
        <v>51</v>
      </c>
      <c r="T16" s="1">
        <f t="shared" si="2"/>
        <v>6</v>
      </c>
      <c r="U16" s="1">
        <f t="shared" si="8"/>
        <v>1</v>
      </c>
      <c r="V16" s="1">
        <f t="shared" si="1"/>
        <v>0</v>
      </c>
      <c r="W16" s="1">
        <f t="shared" si="3"/>
        <v>0</v>
      </c>
      <c r="X16" s="10">
        <f t="shared" si="4"/>
        <v>0.10983448040498266</v>
      </c>
      <c r="Y16" s="1" t="str">
        <f t="shared" si="5"/>
        <v/>
      </c>
      <c r="Z16" s="1">
        <f t="shared" si="6"/>
        <v>1</v>
      </c>
      <c r="AA16" s="1" t="str">
        <f t="shared" si="7"/>
        <v/>
      </c>
    </row>
    <row r="17" spans="1:27" x14ac:dyDescent="0.45">
      <c r="A17" s="1">
        <v>16</v>
      </c>
      <c r="B17" s="1" t="s">
        <v>15</v>
      </c>
      <c r="C17" s="1" t="s">
        <v>19</v>
      </c>
      <c r="D17" s="1" t="s">
        <v>30</v>
      </c>
      <c r="E17" s="1" t="s">
        <v>37</v>
      </c>
      <c r="F17" s="1" t="s">
        <v>41</v>
      </c>
      <c r="G17" s="1">
        <v>43.79</v>
      </c>
      <c r="H17" s="1">
        <v>381</v>
      </c>
      <c r="I17" s="1">
        <v>366</v>
      </c>
      <c r="J17" s="15">
        <f t="shared" si="0"/>
        <v>43.790000000000006</v>
      </c>
      <c r="K17" s="1">
        <v>39</v>
      </c>
      <c r="L17" s="1" t="s">
        <v>33</v>
      </c>
      <c r="M17" s="1">
        <v>16683.990000000002</v>
      </c>
      <c r="N17" s="2">
        <v>45299</v>
      </c>
      <c r="O17" s="2">
        <v>45317</v>
      </c>
      <c r="P17" s="2">
        <v>45322</v>
      </c>
      <c r="Q17" s="1">
        <v>18</v>
      </c>
      <c r="R17" s="1" t="s">
        <v>34</v>
      </c>
      <c r="S17" s="1" t="s">
        <v>51</v>
      </c>
      <c r="T17" s="1">
        <f t="shared" si="2"/>
        <v>23</v>
      </c>
      <c r="U17" s="1">
        <f t="shared" si="8"/>
        <v>0</v>
      </c>
      <c r="V17" s="1">
        <f t="shared" si="1"/>
        <v>0</v>
      </c>
      <c r="W17" s="1">
        <f t="shared" si="3"/>
        <v>0</v>
      </c>
      <c r="X17" s="10">
        <f t="shared" si="4"/>
        <v>0.10938570449874413</v>
      </c>
      <c r="Y17" s="1">
        <f t="shared" si="5"/>
        <v>5</v>
      </c>
      <c r="Z17" s="1" t="str">
        <f t="shared" si="6"/>
        <v/>
      </c>
      <c r="AA17" s="1">
        <f t="shared" si="7"/>
        <v>1</v>
      </c>
    </row>
    <row r="18" spans="1:27" x14ac:dyDescent="0.45">
      <c r="A18" s="1">
        <v>17</v>
      </c>
      <c r="B18" s="1" t="s">
        <v>17</v>
      </c>
      <c r="C18" s="1" t="s">
        <v>20</v>
      </c>
      <c r="D18" s="1" t="s">
        <v>25</v>
      </c>
      <c r="E18" s="1" t="s">
        <v>38</v>
      </c>
      <c r="F18" s="1" t="s">
        <v>47</v>
      </c>
      <c r="G18" s="1">
        <v>356.58</v>
      </c>
      <c r="H18" s="1">
        <v>272</v>
      </c>
      <c r="I18" s="1">
        <v>262</v>
      </c>
      <c r="J18" s="15">
        <f t="shared" si="0"/>
        <v>356.58</v>
      </c>
      <c r="K18" s="1">
        <v>314</v>
      </c>
      <c r="L18" s="1" t="s">
        <v>31</v>
      </c>
      <c r="M18" s="1">
        <v>96989.759999999995</v>
      </c>
      <c r="N18" s="2">
        <v>45668</v>
      </c>
      <c r="O18" s="2">
        <v>45681</v>
      </c>
      <c r="P18" s="2">
        <v>45686</v>
      </c>
      <c r="Q18" s="1">
        <v>13</v>
      </c>
      <c r="R18" s="1" t="s">
        <v>35</v>
      </c>
      <c r="S18" s="1" t="s">
        <v>51</v>
      </c>
      <c r="T18" s="1">
        <f t="shared" si="2"/>
        <v>18</v>
      </c>
      <c r="U18" s="1">
        <f t="shared" si="8"/>
        <v>0</v>
      </c>
      <c r="V18" s="1">
        <f t="shared" si="1"/>
        <v>0</v>
      </c>
      <c r="W18" s="1">
        <f t="shared" si="3"/>
        <v>0</v>
      </c>
      <c r="X18" s="10">
        <f t="shared" si="4"/>
        <v>0.11941219361714057</v>
      </c>
      <c r="Y18" s="1">
        <f t="shared" si="5"/>
        <v>5</v>
      </c>
      <c r="Z18" s="1">
        <f t="shared" si="6"/>
        <v>1</v>
      </c>
      <c r="AA18" s="1" t="str">
        <f t="shared" si="7"/>
        <v/>
      </c>
    </row>
    <row r="19" spans="1:27" x14ac:dyDescent="0.45">
      <c r="A19" s="1">
        <v>18</v>
      </c>
      <c r="B19" s="1" t="s">
        <v>17</v>
      </c>
      <c r="C19" s="1" t="s">
        <v>22</v>
      </c>
      <c r="D19" s="1" t="s">
        <v>27</v>
      </c>
      <c r="E19" s="1" t="s">
        <v>39</v>
      </c>
      <c r="F19" s="1" t="s">
        <v>49</v>
      </c>
      <c r="G19" s="1">
        <v>167.93</v>
      </c>
      <c r="H19" s="1">
        <v>175</v>
      </c>
      <c r="I19" s="1">
        <v>170</v>
      </c>
      <c r="J19" s="15">
        <f t="shared" si="0"/>
        <v>167.93</v>
      </c>
      <c r="K19" s="1">
        <v>143</v>
      </c>
      <c r="L19" s="1" t="s">
        <v>31</v>
      </c>
      <c r="M19" s="1">
        <v>29387.75</v>
      </c>
      <c r="N19" s="2">
        <v>45435</v>
      </c>
      <c r="O19" s="2">
        <v>45454</v>
      </c>
      <c r="P19" s="2">
        <v>45455</v>
      </c>
      <c r="Q19" s="1">
        <v>19</v>
      </c>
      <c r="R19" s="1" t="s">
        <v>35</v>
      </c>
      <c r="S19" s="1" t="s">
        <v>51</v>
      </c>
      <c r="T19" s="1">
        <f t="shared" si="2"/>
        <v>20</v>
      </c>
      <c r="U19" s="1">
        <f t="shared" si="8"/>
        <v>0</v>
      </c>
      <c r="V19" s="1">
        <f t="shared" si="1"/>
        <v>0</v>
      </c>
      <c r="W19" s="1">
        <f t="shared" si="3"/>
        <v>0</v>
      </c>
      <c r="X19" s="10">
        <f t="shared" si="4"/>
        <v>0.14845471327338775</v>
      </c>
      <c r="Y19" s="1">
        <f t="shared" si="5"/>
        <v>1</v>
      </c>
      <c r="Z19" s="1">
        <f t="shared" si="6"/>
        <v>1</v>
      </c>
      <c r="AA19" s="1" t="str">
        <f t="shared" si="7"/>
        <v/>
      </c>
    </row>
    <row r="20" spans="1:27" x14ac:dyDescent="0.45">
      <c r="A20" s="1">
        <v>19</v>
      </c>
      <c r="B20" s="1" t="s">
        <v>15</v>
      </c>
      <c r="C20" s="1" t="s">
        <v>22</v>
      </c>
      <c r="D20" s="1" t="s">
        <v>29</v>
      </c>
      <c r="E20" s="1" t="s">
        <v>37</v>
      </c>
      <c r="F20" s="1" t="s">
        <v>42</v>
      </c>
      <c r="G20" s="1">
        <v>174.83</v>
      </c>
      <c r="H20" s="1">
        <v>303</v>
      </c>
      <c r="I20" s="1">
        <v>297</v>
      </c>
      <c r="J20" s="15">
        <f t="shared" si="0"/>
        <v>174.83000000000004</v>
      </c>
      <c r="K20" s="1">
        <v>165</v>
      </c>
      <c r="L20" s="1" t="s">
        <v>33</v>
      </c>
      <c r="M20" s="1">
        <v>52973.490000000013</v>
      </c>
      <c r="N20" s="2">
        <v>45386</v>
      </c>
      <c r="O20" s="2">
        <v>45406</v>
      </c>
      <c r="P20" s="2">
        <v>45407</v>
      </c>
      <c r="Q20" s="1">
        <v>20</v>
      </c>
      <c r="R20" s="1" t="s">
        <v>35</v>
      </c>
      <c r="S20" s="1" t="s">
        <v>51</v>
      </c>
      <c r="T20" s="1">
        <f t="shared" si="2"/>
        <v>21</v>
      </c>
      <c r="U20" s="1">
        <f t="shared" si="8"/>
        <v>0</v>
      </c>
      <c r="V20" s="1">
        <f t="shared" si="1"/>
        <v>0</v>
      </c>
      <c r="W20" s="1">
        <f t="shared" si="3"/>
        <v>0</v>
      </c>
      <c r="X20" s="10">
        <f t="shared" si="4"/>
        <v>5.6226048161070977E-2</v>
      </c>
      <c r="Y20" s="1">
        <f t="shared" si="5"/>
        <v>1</v>
      </c>
      <c r="Z20" s="1">
        <f t="shared" si="6"/>
        <v>1</v>
      </c>
      <c r="AA20" s="1" t="str">
        <f t="shared" si="7"/>
        <v/>
      </c>
    </row>
    <row r="21" spans="1:27" x14ac:dyDescent="0.45">
      <c r="A21" s="1">
        <v>20</v>
      </c>
      <c r="B21" s="1" t="s">
        <v>16</v>
      </c>
      <c r="C21" s="1" t="s">
        <v>20</v>
      </c>
      <c r="D21" s="1" t="s">
        <v>27</v>
      </c>
      <c r="E21" s="1" t="s">
        <v>38</v>
      </c>
      <c r="F21" s="1" t="s">
        <v>43</v>
      </c>
      <c r="G21" s="1">
        <v>441.36</v>
      </c>
      <c r="H21" s="1">
        <v>409</v>
      </c>
      <c r="I21" s="1">
        <v>377</v>
      </c>
      <c r="J21" s="15">
        <f t="shared" si="0"/>
        <v>441.35999999999996</v>
      </c>
      <c r="K21" s="1">
        <v>424</v>
      </c>
      <c r="L21" s="1" t="s">
        <v>33</v>
      </c>
      <c r="M21" s="1">
        <v>180516.24</v>
      </c>
      <c r="N21" s="2">
        <v>45577</v>
      </c>
      <c r="O21" s="2">
        <v>45582</v>
      </c>
      <c r="P21" s="2">
        <v>45583</v>
      </c>
      <c r="Q21" s="1">
        <v>5</v>
      </c>
      <c r="R21" s="1" t="s">
        <v>34</v>
      </c>
      <c r="S21" s="1" t="s">
        <v>51</v>
      </c>
      <c r="T21" s="1">
        <f t="shared" si="2"/>
        <v>6</v>
      </c>
      <c r="U21" s="1">
        <f t="shared" si="8"/>
        <v>0</v>
      </c>
      <c r="V21" s="1">
        <f t="shared" si="1"/>
        <v>0</v>
      </c>
      <c r="W21" s="1">
        <f t="shared" si="3"/>
        <v>0</v>
      </c>
      <c r="X21" s="10">
        <f t="shared" si="4"/>
        <v>3.9332970817473167E-2</v>
      </c>
      <c r="Y21" s="1">
        <f t="shared" si="5"/>
        <v>1</v>
      </c>
      <c r="Z21" s="1" t="str">
        <f t="shared" si="6"/>
        <v/>
      </c>
      <c r="AA21" s="1">
        <f t="shared" si="7"/>
        <v>1</v>
      </c>
    </row>
    <row r="22" spans="1:27" x14ac:dyDescent="0.45">
      <c r="A22" s="1">
        <v>21</v>
      </c>
      <c r="B22" s="1" t="s">
        <v>13</v>
      </c>
      <c r="C22" s="1" t="s">
        <v>19</v>
      </c>
      <c r="D22" s="1" t="s">
        <v>25</v>
      </c>
      <c r="E22" s="1" t="s">
        <v>39</v>
      </c>
      <c r="F22" s="1" t="s">
        <v>44</v>
      </c>
      <c r="G22" s="1">
        <v>282.04000000000002</v>
      </c>
      <c r="H22" s="1">
        <v>173</v>
      </c>
      <c r="I22" s="1">
        <v>173</v>
      </c>
      <c r="J22" s="15">
        <f t="shared" si="0"/>
        <v>282.04000000000008</v>
      </c>
      <c r="K22" s="1">
        <v>246</v>
      </c>
      <c r="L22" s="1" t="s">
        <v>32</v>
      </c>
      <c r="M22" s="1">
        <v>48792.920000000013</v>
      </c>
      <c r="N22" s="2">
        <v>45536</v>
      </c>
      <c r="O22" s="2">
        <v>45556</v>
      </c>
      <c r="P22" s="2">
        <v>45561</v>
      </c>
      <c r="Q22" s="1">
        <v>20</v>
      </c>
      <c r="R22" s="1" t="s">
        <v>34</v>
      </c>
      <c r="S22" s="1" t="s">
        <v>51</v>
      </c>
      <c r="T22" s="1">
        <f t="shared" si="2"/>
        <v>25</v>
      </c>
      <c r="U22" s="1">
        <f t="shared" si="8"/>
        <v>0</v>
      </c>
      <c r="V22" s="1">
        <f t="shared" si="1"/>
        <v>1</v>
      </c>
      <c r="W22" s="1">
        <f t="shared" si="3"/>
        <v>0</v>
      </c>
      <c r="X22" s="10">
        <f t="shared" si="4"/>
        <v>0.12778329314990805</v>
      </c>
      <c r="Y22" s="1">
        <f t="shared" si="5"/>
        <v>5</v>
      </c>
      <c r="Z22" s="1" t="str">
        <f t="shared" si="6"/>
        <v/>
      </c>
      <c r="AA22" s="1">
        <f t="shared" si="7"/>
        <v>1</v>
      </c>
    </row>
    <row r="23" spans="1:27" x14ac:dyDescent="0.45">
      <c r="A23" s="1">
        <v>22</v>
      </c>
      <c r="B23" s="1" t="s">
        <v>14</v>
      </c>
      <c r="C23" s="1" t="s">
        <v>20</v>
      </c>
      <c r="D23" s="1" t="s">
        <v>26</v>
      </c>
      <c r="E23" s="1" t="s">
        <v>37</v>
      </c>
      <c r="F23" s="1" t="s">
        <v>41</v>
      </c>
      <c r="G23" s="1">
        <v>208.16</v>
      </c>
      <c r="H23" s="1">
        <v>174</v>
      </c>
      <c r="I23" s="1">
        <v>174</v>
      </c>
      <c r="J23" s="15">
        <f t="shared" si="0"/>
        <v>208.15999999999997</v>
      </c>
      <c r="K23" s="1">
        <v>190</v>
      </c>
      <c r="L23" s="1" t="s">
        <v>33</v>
      </c>
      <c r="M23" s="1">
        <v>36219.839999999997</v>
      </c>
      <c r="N23" s="2">
        <v>45632</v>
      </c>
      <c r="O23" s="2">
        <v>45648</v>
      </c>
      <c r="P23" s="2">
        <v>45653</v>
      </c>
      <c r="Q23" s="1">
        <v>16</v>
      </c>
      <c r="R23" s="1" t="s">
        <v>35</v>
      </c>
      <c r="S23" s="1" t="s">
        <v>51</v>
      </c>
      <c r="T23" s="1">
        <f t="shared" si="2"/>
        <v>21</v>
      </c>
      <c r="U23" s="1">
        <f t="shared" si="8"/>
        <v>0</v>
      </c>
      <c r="V23" s="1">
        <f t="shared" si="1"/>
        <v>1</v>
      </c>
      <c r="W23" s="1">
        <f t="shared" si="3"/>
        <v>0</v>
      </c>
      <c r="X23" s="10">
        <f t="shared" si="4"/>
        <v>8.7240584166025995E-2</v>
      </c>
      <c r="Y23" s="1">
        <f t="shared" si="5"/>
        <v>5</v>
      </c>
      <c r="Z23" s="1">
        <f t="shared" si="6"/>
        <v>1</v>
      </c>
      <c r="AA23" s="1" t="str">
        <f t="shared" si="7"/>
        <v/>
      </c>
    </row>
    <row r="24" spans="1:27" x14ac:dyDescent="0.45">
      <c r="A24" s="1">
        <v>23</v>
      </c>
      <c r="B24" s="1" t="s">
        <v>17</v>
      </c>
      <c r="C24" s="1" t="s">
        <v>22</v>
      </c>
      <c r="D24" s="1" t="s">
        <v>30</v>
      </c>
      <c r="E24" s="1" t="s">
        <v>38</v>
      </c>
      <c r="F24" s="1" t="s">
        <v>42</v>
      </c>
      <c r="G24" s="1">
        <v>182.39</v>
      </c>
      <c r="H24" s="1">
        <v>282</v>
      </c>
      <c r="I24" s="1">
        <v>266</v>
      </c>
      <c r="J24" s="15">
        <f t="shared" si="0"/>
        <v>182.39000000000001</v>
      </c>
      <c r="K24" s="1">
        <v>161</v>
      </c>
      <c r="L24" s="1" t="s">
        <v>33</v>
      </c>
      <c r="M24" s="1">
        <v>51433.98</v>
      </c>
      <c r="N24" s="2">
        <v>45449</v>
      </c>
      <c r="O24" s="2">
        <v>45462</v>
      </c>
      <c r="P24" s="2">
        <v>45463</v>
      </c>
      <c r="Q24" s="1">
        <v>13</v>
      </c>
      <c r="R24" s="1" t="s">
        <v>34</v>
      </c>
      <c r="S24" s="1" t="s">
        <v>51</v>
      </c>
      <c r="T24" s="1">
        <f t="shared" si="2"/>
        <v>14</v>
      </c>
      <c r="U24" s="1">
        <f t="shared" si="8"/>
        <v>0</v>
      </c>
      <c r="V24" s="1">
        <f t="shared" si="1"/>
        <v>0</v>
      </c>
      <c r="W24" s="1">
        <f t="shared" si="3"/>
        <v>0</v>
      </c>
      <c r="X24" s="10">
        <f t="shared" si="4"/>
        <v>0.1172761664564944</v>
      </c>
      <c r="Y24" s="1">
        <f t="shared" si="5"/>
        <v>1</v>
      </c>
      <c r="Z24" s="1" t="str">
        <f t="shared" si="6"/>
        <v/>
      </c>
      <c r="AA24" s="1">
        <f t="shared" si="7"/>
        <v>1</v>
      </c>
    </row>
    <row r="25" spans="1:27" x14ac:dyDescent="0.45">
      <c r="A25" s="1">
        <v>24</v>
      </c>
      <c r="B25" s="1" t="s">
        <v>13</v>
      </c>
      <c r="C25" s="1" t="s">
        <v>20</v>
      </c>
      <c r="D25" s="1" t="s">
        <v>23</v>
      </c>
      <c r="E25" s="1" t="s">
        <v>39</v>
      </c>
      <c r="F25" s="1" t="s">
        <v>45</v>
      </c>
      <c r="G25" s="1">
        <v>374.01</v>
      </c>
      <c r="H25" s="1">
        <v>440</v>
      </c>
      <c r="I25" s="1">
        <v>440</v>
      </c>
      <c r="J25" s="15">
        <f t="shared" si="0"/>
        <v>374.01</v>
      </c>
      <c r="K25" s="1">
        <v>326</v>
      </c>
      <c r="L25" s="1" t="s">
        <v>32</v>
      </c>
      <c r="M25" s="1">
        <v>164564.4</v>
      </c>
      <c r="N25" s="2">
        <v>45387</v>
      </c>
      <c r="O25" s="2">
        <v>45398</v>
      </c>
      <c r="P25" s="2">
        <v>45399</v>
      </c>
      <c r="Q25" s="1">
        <v>11</v>
      </c>
      <c r="R25" s="1" t="s">
        <v>35</v>
      </c>
      <c r="S25" s="1" t="s">
        <v>51</v>
      </c>
      <c r="T25" s="1">
        <f t="shared" si="2"/>
        <v>12</v>
      </c>
      <c r="U25" s="1">
        <f t="shared" si="8"/>
        <v>0</v>
      </c>
      <c r="V25" s="1">
        <f t="shared" si="1"/>
        <v>1</v>
      </c>
      <c r="W25" s="1">
        <f t="shared" si="3"/>
        <v>0</v>
      </c>
      <c r="X25" s="10">
        <f t="shared" si="4"/>
        <v>0.12836555172321593</v>
      </c>
      <c r="Y25" s="1">
        <f t="shared" si="5"/>
        <v>1</v>
      </c>
      <c r="Z25" s="1">
        <f t="shared" si="6"/>
        <v>1</v>
      </c>
      <c r="AA25" s="1" t="str">
        <f t="shared" si="7"/>
        <v/>
      </c>
    </row>
    <row r="26" spans="1:27" x14ac:dyDescent="0.45">
      <c r="A26" s="1">
        <v>25</v>
      </c>
      <c r="B26" s="1" t="s">
        <v>16</v>
      </c>
      <c r="C26" s="1" t="s">
        <v>22</v>
      </c>
      <c r="D26" s="1" t="s">
        <v>27</v>
      </c>
      <c r="E26" s="1" t="s">
        <v>37</v>
      </c>
      <c r="F26" s="1" t="s">
        <v>48</v>
      </c>
      <c r="G26" s="1">
        <v>490.45</v>
      </c>
      <c r="H26" s="1">
        <v>476</v>
      </c>
      <c r="I26" s="1">
        <v>434</v>
      </c>
      <c r="J26" s="15">
        <f t="shared" si="0"/>
        <v>490.45000000000005</v>
      </c>
      <c r="K26" s="1">
        <v>476</v>
      </c>
      <c r="L26" s="1" t="s">
        <v>31</v>
      </c>
      <c r="M26" s="1">
        <v>233454.2</v>
      </c>
      <c r="N26" s="2">
        <v>45444</v>
      </c>
      <c r="O26" s="2">
        <v>45456</v>
      </c>
      <c r="P26" s="2">
        <v>45459</v>
      </c>
      <c r="Q26" s="1">
        <v>12</v>
      </c>
      <c r="R26" s="1" t="s">
        <v>34</v>
      </c>
      <c r="S26" s="1" t="s">
        <v>51</v>
      </c>
      <c r="T26" s="1">
        <f t="shared" si="2"/>
        <v>15</v>
      </c>
      <c r="U26" s="1">
        <f t="shared" si="8"/>
        <v>0</v>
      </c>
      <c r="V26" s="1">
        <f t="shared" si="1"/>
        <v>0</v>
      </c>
      <c r="W26" s="1">
        <f t="shared" si="3"/>
        <v>0</v>
      </c>
      <c r="X26" s="10">
        <f t="shared" si="4"/>
        <v>2.9462738301559883E-2</v>
      </c>
      <c r="Y26" s="1">
        <f t="shared" si="5"/>
        <v>3</v>
      </c>
      <c r="Z26" s="1" t="str">
        <f t="shared" si="6"/>
        <v/>
      </c>
      <c r="AA26" s="1">
        <f t="shared" si="7"/>
        <v>1</v>
      </c>
    </row>
    <row r="27" spans="1:27" x14ac:dyDescent="0.45">
      <c r="A27" s="1">
        <v>26</v>
      </c>
      <c r="B27" s="1" t="s">
        <v>16</v>
      </c>
      <c r="C27" s="1" t="s">
        <v>18</v>
      </c>
      <c r="D27" s="1" t="s">
        <v>24</v>
      </c>
      <c r="E27" s="1" t="s">
        <v>38</v>
      </c>
      <c r="F27" s="1" t="s">
        <v>46</v>
      </c>
      <c r="G27" s="1">
        <v>144.41</v>
      </c>
      <c r="H27" s="1">
        <v>77</v>
      </c>
      <c r="I27" s="1">
        <v>71</v>
      </c>
      <c r="J27" s="15">
        <f t="shared" si="0"/>
        <v>144.41</v>
      </c>
      <c r="K27" s="1">
        <v>133</v>
      </c>
      <c r="L27" s="1" t="s">
        <v>32</v>
      </c>
      <c r="M27" s="1">
        <v>11119.57</v>
      </c>
      <c r="N27" s="2">
        <v>45442</v>
      </c>
      <c r="O27" s="2">
        <v>45451</v>
      </c>
      <c r="P27" s="2">
        <v>45456</v>
      </c>
      <c r="Q27" s="1">
        <v>9</v>
      </c>
      <c r="R27" s="1" t="s">
        <v>34</v>
      </c>
      <c r="S27" s="1" t="s">
        <v>51</v>
      </c>
      <c r="T27" s="1">
        <f t="shared" si="2"/>
        <v>14</v>
      </c>
      <c r="U27" s="1">
        <f t="shared" si="8"/>
        <v>0</v>
      </c>
      <c r="V27" s="1">
        <f t="shared" si="1"/>
        <v>0</v>
      </c>
      <c r="W27" s="1">
        <f t="shared" si="3"/>
        <v>0</v>
      </c>
      <c r="X27" s="10">
        <f t="shared" si="4"/>
        <v>7.9011148812409088E-2</v>
      </c>
      <c r="Y27" s="1">
        <f t="shared" si="5"/>
        <v>5</v>
      </c>
      <c r="Z27" s="1" t="str">
        <f t="shared" si="6"/>
        <v/>
      </c>
      <c r="AA27" s="1">
        <f t="shared" si="7"/>
        <v>1</v>
      </c>
    </row>
    <row r="28" spans="1:27" x14ac:dyDescent="0.45">
      <c r="A28" s="1">
        <v>27</v>
      </c>
      <c r="B28" s="1" t="s">
        <v>14</v>
      </c>
      <c r="C28" s="1" t="s">
        <v>22</v>
      </c>
      <c r="D28" s="1" t="s">
        <v>27</v>
      </c>
      <c r="E28" s="1" t="s">
        <v>39</v>
      </c>
      <c r="F28" s="1" t="s">
        <v>43</v>
      </c>
      <c r="G28" s="1">
        <v>240</v>
      </c>
      <c r="H28" s="1">
        <v>275</v>
      </c>
      <c r="I28" s="1">
        <v>275</v>
      </c>
      <c r="J28" s="15">
        <f t="shared" si="0"/>
        <v>240</v>
      </c>
      <c r="K28" s="1">
        <v>209</v>
      </c>
      <c r="L28" s="1" t="s">
        <v>33</v>
      </c>
      <c r="M28" s="1">
        <v>66000</v>
      </c>
      <c r="N28" s="2">
        <v>45387</v>
      </c>
      <c r="O28" s="2">
        <v>45393</v>
      </c>
      <c r="P28" s="2">
        <v>45395</v>
      </c>
      <c r="Q28" s="1">
        <v>6</v>
      </c>
      <c r="R28" s="1" t="s">
        <v>35</v>
      </c>
      <c r="S28" s="1" t="s">
        <v>51</v>
      </c>
      <c r="T28" s="1">
        <f t="shared" si="2"/>
        <v>8</v>
      </c>
      <c r="U28" s="1">
        <f t="shared" si="8"/>
        <v>0</v>
      </c>
      <c r="V28" s="1">
        <f t="shared" si="1"/>
        <v>1</v>
      </c>
      <c r="W28" s="1">
        <f t="shared" si="3"/>
        <v>0</v>
      </c>
      <c r="X28" s="10">
        <f t="shared" si="4"/>
        <v>0.12916666666666668</v>
      </c>
      <c r="Y28" s="1">
        <f t="shared" si="5"/>
        <v>2</v>
      </c>
      <c r="Z28" s="1">
        <f t="shared" si="6"/>
        <v>1</v>
      </c>
      <c r="AA28" s="1" t="str">
        <f t="shared" si="7"/>
        <v/>
      </c>
    </row>
    <row r="29" spans="1:27" x14ac:dyDescent="0.45">
      <c r="A29" s="1">
        <v>28</v>
      </c>
      <c r="B29" s="1" t="s">
        <v>14</v>
      </c>
      <c r="C29" s="1" t="s">
        <v>18</v>
      </c>
      <c r="D29" s="1" t="s">
        <v>29</v>
      </c>
      <c r="E29" s="1" t="s">
        <v>37</v>
      </c>
      <c r="F29" s="1" t="s">
        <v>44</v>
      </c>
      <c r="G29" s="1">
        <v>250.96</v>
      </c>
      <c r="H29" s="1">
        <v>345</v>
      </c>
      <c r="I29" s="1">
        <v>321</v>
      </c>
      <c r="J29" s="15">
        <f t="shared" si="0"/>
        <v>250.95999999999998</v>
      </c>
      <c r="K29" s="1">
        <v>226</v>
      </c>
      <c r="L29" s="1" t="s">
        <v>32</v>
      </c>
      <c r="M29" s="1">
        <v>86581.2</v>
      </c>
      <c r="N29" s="2">
        <v>45644</v>
      </c>
      <c r="O29" s="2">
        <v>45650</v>
      </c>
      <c r="P29" s="2">
        <v>45650</v>
      </c>
      <c r="Q29" s="1">
        <v>6</v>
      </c>
      <c r="R29" s="1" t="s">
        <v>34</v>
      </c>
      <c r="S29" s="1" t="s">
        <v>51</v>
      </c>
      <c r="T29" s="1">
        <f t="shared" si="2"/>
        <v>6</v>
      </c>
      <c r="U29" s="1">
        <f t="shared" si="8"/>
        <v>1</v>
      </c>
      <c r="V29" s="1">
        <f t="shared" si="1"/>
        <v>0</v>
      </c>
      <c r="W29" s="1">
        <f t="shared" si="3"/>
        <v>0</v>
      </c>
      <c r="X29" s="10">
        <f t="shared" si="4"/>
        <v>9.9458080969078669E-2</v>
      </c>
      <c r="Y29" s="1" t="str">
        <f t="shared" si="5"/>
        <v/>
      </c>
      <c r="Z29" s="1" t="str">
        <f t="shared" si="6"/>
        <v/>
      </c>
      <c r="AA29" s="1">
        <f t="shared" si="7"/>
        <v>1</v>
      </c>
    </row>
    <row r="30" spans="1:27" x14ac:dyDescent="0.45">
      <c r="A30" s="1">
        <v>29</v>
      </c>
      <c r="B30" s="1" t="s">
        <v>15</v>
      </c>
      <c r="C30" s="1" t="s">
        <v>20</v>
      </c>
      <c r="D30" s="1" t="s">
        <v>23</v>
      </c>
      <c r="E30" s="1" t="s">
        <v>38</v>
      </c>
      <c r="F30" s="1" t="s">
        <v>45</v>
      </c>
      <c r="G30" s="1">
        <v>497.02</v>
      </c>
      <c r="H30" s="1">
        <v>110</v>
      </c>
      <c r="I30" s="1">
        <v>106</v>
      </c>
      <c r="J30" s="15">
        <f t="shared" si="0"/>
        <v>497.02</v>
      </c>
      <c r="K30" s="1">
        <v>433</v>
      </c>
      <c r="L30" s="1" t="s">
        <v>32</v>
      </c>
      <c r="M30" s="1">
        <v>54672.2</v>
      </c>
      <c r="N30" s="2">
        <v>45684</v>
      </c>
      <c r="O30" s="2">
        <v>45702</v>
      </c>
      <c r="P30" s="2">
        <v>45703</v>
      </c>
      <c r="Q30" s="1">
        <v>18</v>
      </c>
      <c r="R30" s="1" t="s">
        <v>35</v>
      </c>
      <c r="S30" s="1" t="s">
        <v>51</v>
      </c>
      <c r="T30" s="1">
        <f t="shared" si="2"/>
        <v>19</v>
      </c>
      <c r="U30" s="1">
        <f t="shared" si="8"/>
        <v>0</v>
      </c>
      <c r="V30" s="1">
        <f t="shared" si="1"/>
        <v>0</v>
      </c>
      <c r="W30" s="1">
        <f t="shared" si="3"/>
        <v>0</v>
      </c>
      <c r="X30" s="10">
        <f t="shared" si="4"/>
        <v>0.12880769385537802</v>
      </c>
      <c r="Y30" s="1">
        <f t="shared" si="5"/>
        <v>1</v>
      </c>
      <c r="Z30" s="1">
        <f t="shared" si="6"/>
        <v>1</v>
      </c>
      <c r="AA30" s="1" t="str">
        <f t="shared" si="7"/>
        <v/>
      </c>
    </row>
    <row r="31" spans="1:27" x14ac:dyDescent="0.45">
      <c r="A31" s="1">
        <v>30</v>
      </c>
      <c r="B31" s="1" t="s">
        <v>17</v>
      </c>
      <c r="C31" s="1" t="s">
        <v>19</v>
      </c>
      <c r="D31" s="1" t="s">
        <v>27</v>
      </c>
      <c r="E31" s="1" t="s">
        <v>39</v>
      </c>
      <c r="F31" s="1" t="s">
        <v>41</v>
      </c>
      <c r="G31" s="1">
        <v>431.48</v>
      </c>
      <c r="H31" s="1">
        <v>269</v>
      </c>
      <c r="I31" s="1">
        <v>269</v>
      </c>
      <c r="J31" s="15">
        <f t="shared" si="0"/>
        <v>431.47999999999996</v>
      </c>
      <c r="K31" s="1">
        <v>415</v>
      </c>
      <c r="L31" s="1" t="s">
        <v>33</v>
      </c>
      <c r="M31" s="1">
        <v>116068.12</v>
      </c>
      <c r="N31" s="2">
        <v>45584</v>
      </c>
      <c r="O31" s="2">
        <v>45590</v>
      </c>
      <c r="P31" s="2">
        <v>45589</v>
      </c>
      <c r="Q31" s="1">
        <v>6</v>
      </c>
      <c r="R31" s="1" t="s">
        <v>34</v>
      </c>
      <c r="S31" s="1" t="s">
        <v>51</v>
      </c>
      <c r="T31" s="1">
        <f t="shared" si="2"/>
        <v>5</v>
      </c>
      <c r="U31" s="1">
        <f t="shared" si="8"/>
        <v>1</v>
      </c>
      <c r="V31" s="1">
        <f t="shared" si="1"/>
        <v>1</v>
      </c>
      <c r="W31" s="1">
        <f t="shared" si="3"/>
        <v>1</v>
      </c>
      <c r="X31" s="10">
        <f t="shared" si="4"/>
        <v>3.8194122554927143E-2</v>
      </c>
      <c r="Y31" s="1" t="str">
        <f t="shared" si="5"/>
        <v/>
      </c>
      <c r="Z31" s="1" t="str">
        <f t="shared" si="6"/>
        <v/>
      </c>
      <c r="AA31" s="1">
        <f t="shared" si="7"/>
        <v>1</v>
      </c>
    </row>
    <row r="32" spans="1:27" x14ac:dyDescent="0.45">
      <c r="A32" s="1">
        <v>31</v>
      </c>
      <c r="B32" s="1" t="s">
        <v>13</v>
      </c>
      <c r="C32" s="1" t="s">
        <v>20</v>
      </c>
      <c r="D32" s="1" t="s">
        <v>23</v>
      </c>
      <c r="E32" s="1" t="s">
        <v>37</v>
      </c>
      <c r="F32" s="1" t="s">
        <v>46</v>
      </c>
      <c r="G32" s="1">
        <v>86.96</v>
      </c>
      <c r="H32" s="1">
        <v>138</v>
      </c>
      <c r="I32" s="1">
        <v>138</v>
      </c>
      <c r="J32" s="15">
        <f t="shared" si="0"/>
        <v>86.96</v>
      </c>
      <c r="K32" s="1">
        <v>84</v>
      </c>
      <c r="L32" s="1" t="s">
        <v>32</v>
      </c>
      <c r="M32" s="1">
        <v>12000.48</v>
      </c>
      <c r="N32" s="2">
        <v>45331</v>
      </c>
      <c r="O32" s="2">
        <v>45341</v>
      </c>
      <c r="P32" s="2">
        <v>45339</v>
      </c>
      <c r="Q32" s="1">
        <v>10</v>
      </c>
      <c r="R32" s="1" t="s">
        <v>35</v>
      </c>
      <c r="S32" s="1" t="s">
        <v>51</v>
      </c>
      <c r="T32" s="1">
        <f t="shared" si="2"/>
        <v>8</v>
      </c>
      <c r="U32" s="1">
        <f t="shared" si="8"/>
        <v>1</v>
      </c>
      <c r="V32" s="1">
        <f t="shared" si="1"/>
        <v>1</v>
      </c>
      <c r="W32" s="1">
        <f t="shared" si="3"/>
        <v>1</v>
      </c>
      <c r="X32" s="10">
        <f t="shared" si="4"/>
        <v>3.4038638454461749E-2</v>
      </c>
      <c r="Y32" s="1" t="str">
        <f t="shared" si="5"/>
        <v/>
      </c>
      <c r="Z32" s="1">
        <f t="shared" si="6"/>
        <v>1</v>
      </c>
      <c r="AA32" s="1" t="str">
        <f t="shared" si="7"/>
        <v/>
      </c>
    </row>
    <row r="33" spans="1:27" x14ac:dyDescent="0.45">
      <c r="A33" s="1">
        <v>32</v>
      </c>
      <c r="B33" s="1" t="s">
        <v>17</v>
      </c>
      <c r="C33" s="1" t="s">
        <v>22</v>
      </c>
      <c r="D33" s="1" t="s">
        <v>25</v>
      </c>
      <c r="E33" s="1" t="s">
        <v>38</v>
      </c>
      <c r="F33" s="1" t="s">
        <v>42</v>
      </c>
      <c r="G33" s="1">
        <v>152.72</v>
      </c>
      <c r="H33" s="1">
        <v>168</v>
      </c>
      <c r="I33" s="1">
        <v>168</v>
      </c>
      <c r="J33" s="15">
        <f t="shared" si="0"/>
        <v>152.72</v>
      </c>
      <c r="K33" s="1">
        <v>147</v>
      </c>
      <c r="L33" s="1" t="s">
        <v>33</v>
      </c>
      <c r="M33" s="1">
        <v>25656.959999999999</v>
      </c>
      <c r="N33" s="2">
        <v>45654</v>
      </c>
      <c r="O33" s="2">
        <v>45668</v>
      </c>
      <c r="P33" s="2">
        <v>45673</v>
      </c>
      <c r="Q33" s="1">
        <v>14</v>
      </c>
      <c r="R33" s="1" t="s">
        <v>34</v>
      </c>
      <c r="S33" s="1" t="s">
        <v>51</v>
      </c>
      <c r="T33" s="1">
        <f t="shared" si="2"/>
        <v>19</v>
      </c>
      <c r="U33" s="1">
        <f t="shared" si="8"/>
        <v>0</v>
      </c>
      <c r="V33" s="1">
        <f t="shared" si="1"/>
        <v>1</v>
      </c>
      <c r="W33" s="1">
        <f t="shared" si="3"/>
        <v>0</v>
      </c>
      <c r="X33" s="10">
        <f t="shared" si="4"/>
        <v>3.7454164484023042E-2</v>
      </c>
      <c r="Y33" s="1">
        <f t="shared" si="5"/>
        <v>5</v>
      </c>
      <c r="Z33" s="1" t="str">
        <f t="shared" si="6"/>
        <v/>
      </c>
      <c r="AA33" s="1">
        <f t="shared" si="7"/>
        <v>1</v>
      </c>
    </row>
    <row r="34" spans="1:27" x14ac:dyDescent="0.45">
      <c r="A34" s="1">
        <v>33</v>
      </c>
      <c r="B34" s="1" t="s">
        <v>13</v>
      </c>
      <c r="C34" s="1" t="s">
        <v>20</v>
      </c>
      <c r="D34" s="1" t="s">
        <v>26</v>
      </c>
      <c r="E34" s="1" t="s">
        <v>39</v>
      </c>
      <c r="F34" s="1" t="s">
        <v>47</v>
      </c>
      <c r="G34" s="1">
        <v>218.32</v>
      </c>
      <c r="H34" s="1">
        <v>328</v>
      </c>
      <c r="I34" s="1">
        <v>328</v>
      </c>
      <c r="J34" s="15">
        <f t="shared" ref="J34:J51" si="9">M34/H34</f>
        <v>218.31999999999996</v>
      </c>
      <c r="K34" s="1">
        <v>195</v>
      </c>
      <c r="L34" s="1" t="s">
        <v>31</v>
      </c>
      <c r="M34" s="1">
        <v>71608.959999999992</v>
      </c>
      <c r="N34" s="2">
        <v>45624</v>
      </c>
      <c r="O34" s="2">
        <v>45633</v>
      </c>
      <c r="P34" s="2">
        <v>45635</v>
      </c>
      <c r="Q34" s="1">
        <v>9</v>
      </c>
      <c r="R34" s="1" t="s">
        <v>34</v>
      </c>
      <c r="S34" s="1" t="s">
        <v>51</v>
      </c>
      <c r="T34" s="1">
        <f t="shared" si="2"/>
        <v>11</v>
      </c>
      <c r="U34" s="1">
        <f t="shared" si="8"/>
        <v>0</v>
      </c>
      <c r="V34" s="1">
        <f t="shared" ref="V34:V51" si="10">IF(S34="Open", "", IF(AND(S34="Closed", I34&gt;=H34), 1, 0))</f>
        <v>1</v>
      </c>
      <c r="W34" s="1">
        <f t="shared" si="3"/>
        <v>0</v>
      </c>
      <c r="X34" s="10">
        <f t="shared" si="4"/>
        <v>0.10681568340051287</v>
      </c>
      <c r="Y34" s="1">
        <f t="shared" si="5"/>
        <v>2</v>
      </c>
      <c r="Z34" s="1" t="str">
        <f t="shared" si="6"/>
        <v/>
      </c>
      <c r="AA34" s="1">
        <f t="shared" si="7"/>
        <v>1</v>
      </c>
    </row>
    <row r="35" spans="1:27" x14ac:dyDescent="0.45">
      <c r="A35" s="1">
        <v>34</v>
      </c>
      <c r="B35" s="1" t="s">
        <v>14</v>
      </c>
      <c r="C35" s="1" t="s">
        <v>18</v>
      </c>
      <c r="D35" s="1" t="s">
        <v>24</v>
      </c>
      <c r="E35" s="1" t="s">
        <v>37</v>
      </c>
      <c r="F35" s="1" t="s">
        <v>44</v>
      </c>
      <c r="G35" s="1">
        <v>398.39</v>
      </c>
      <c r="H35" s="1">
        <v>354</v>
      </c>
      <c r="I35" s="1">
        <v>326</v>
      </c>
      <c r="J35" s="15">
        <f t="shared" si="9"/>
        <v>398.39</v>
      </c>
      <c r="K35" s="1">
        <v>387</v>
      </c>
      <c r="L35" s="1" t="s">
        <v>32</v>
      </c>
      <c r="M35" s="1">
        <v>141030.06</v>
      </c>
      <c r="N35" s="2">
        <v>45584</v>
      </c>
      <c r="O35" s="2">
        <v>45598</v>
      </c>
      <c r="P35" s="2">
        <v>45603</v>
      </c>
      <c r="Q35" s="1">
        <v>14</v>
      </c>
      <c r="R35" s="1" t="s">
        <v>34</v>
      </c>
      <c r="S35" s="1" t="s">
        <v>51</v>
      </c>
      <c r="T35" s="1">
        <f t="shared" si="2"/>
        <v>19</v>
      </c>
      <c r="U35" s="1">
        <f t="shared" si="8"/>
        <v>0</v>
      </c>
      <c r="V35" s="1">
        <f t="shared" si="10"/>
        <v>0</v>
      </c>
      <c r="W35" s="1">
        <f t="shared" si="3"/>
        <v>0</v>
      </c>
      <c r="X35" s="10">
        <f t="shared" si="4"/>
        <v>2.8590075052084607E-2</v>
      </c>
      <c r="Y35" s="1">
        <f t="shared" si="5"/>
        <v>5</v>
      </c>
      <c r="Z35" s="1" t="str">
        <f t="shared" si="6"/>
        <v/>
      </c>
      <c r="AA35" s="1">
        <f t="shared" si="7"/>
        <v>1</v>
      </c>
    </row>
    <row r="36" spans="1:27" x14ac:dyDescent="0.45">
      <c r="A36" s="1">
        <v>35</v>
      </c>
      <c r="B36" s="1" t="s">
        <v>17</v>
      </c>
      <c r="C36" s="1" t="s">
        <v>20</v>
      </c>
      <c r="D36" s="1" t="s">
        <v>29</v>
      </c>
      <c r="E36" s="1" t="s">
        <v>38</v>
      </c>
      <c r="F36" s="1" t="s">
        <v>45</v>
      </c>
      <c r="G36" s="1">
        <v>471.91</v>
      </c>
      <c r="H36" s="1">
        <v>306</v>
      </c>
      <c r="I36" s="1">
        <v>288</v>
      </c>
      <c r="J36" s="15">
        <f t="shared" si="9"/>
        <v>471.90999999999997</v>
      </c>
      <c r="K36" s="1">
        <v>468</v>
      </c>
      <c r="L36" s="1" t="s">
        <v>32</v>
      </c>
      <c r="M36" s="1">
        <v>144404.46</v>
      </c>
      <c r="N36" s="2">
        <v>45545</v>
      </c>
      <c r="O36" s="2">
        <v>45564</v>
      </c>
      <c r="P36" s="2">
        <v>45563</v>
      </c>
      <c r="Q36" s="1">
        <v>19</v>
      </c>
      <c r="R36" s="1" t="s">
        <v>34</v>
      </c>
      <c r="S36" s="1" t="s">
        <v>51</v>
      </c>
      <c r="T36" s="1">
        <f t="shared" si="2"/>
        <v>18</v>
      </c>
      <c r="U36" s="1">
        <f t="shared" si="8"/>
        <v>1</v>
      </c>
      <c r="V36" s="1">
        <f t="shared" si="10"/>
        <v>0</v>
      </c>
      <c r="W36" s="1">
        <f t="shared" si="3"/>
        <v>0</v>
      </c>
      <c r="X36" s="10">
        <f t="shared" si="4"/>
        <v>8.2854781632090199E-3</v>
      </c>
      <c r="Y36" s="1" t="str">
        <f t="shared" si="5"/>
        <v/>
      </c>
      <c r="Z36" s="1" t="str">
        <f t="shared" si="6"/>
        <v/>
      </c>
      <c r="AA36" s="1">
        <f t="shared" si="7"/>
        <v>1</v>
      </c>
    </row>
    <row r="37" spans="1:27" x14ac:dyDescent="0.45">
      <c r="A37" s="1">
        <v>36</v>
      </c>
      <c r="B37" s="1" t="s">
        <v>17</v>
      </c>
      <c r="C37" s="1" t="s">
        <v>20</v>
      </c>
      <c r="D37" s="1" t="s">
        <v>27</v>
      </c>
      <c r="E37" s="1" t="s">
        <v>39</v>
      </c>
      <c r="F37" s="1" t="s">
        <v>46</v>
      </c>
      <c r="G37" s="1">
        <v>22.67</v>
      </c>
      <c r="H37" s="1">
        <v>167</v>
      </c>
      <c r="I37" s="1">
        <v>167</v>
      </c>
      <c r="J37" s="15">
        <f t="shared" si="9"/>
        <v>22.669999999999998</v>
      </c>
      <c r="K37" s="1">
        <v>22</v>
      </c>
      <c r="L37" s="1" t="s">
        <v>32</v>
      </c>
      <c r="M37" s="1">
        <v>3785.89</v>
      </c>
      <c r="N37" s="2">
        <v>45587</v>
      </c>
      <c r="O37" s="2">
        <v>45592</v>
      </c>
      <c r="P37" s="2">
        <v>45594</v>
      </c>
      <c r="Q37" s="1">
        <v>5</v>
      </c>
      <c r="R37" s="1" t="s">
        <v>34</v>
      </c>
      <c r="S37" s="1" t="s">
        <v>51</v>
      </c>
      <c r="T37" s="1">
        <f t="shared" si="2"/>
        <v>7</v>
      </c>
      <c r="U37" s="1">
        <f t="shared" si="8"/>
        <v>0</v>
      </c>
      <c r="V37" s="1">
        <f t="shared" si="10"/>
        <v>1</v>
      </c>
      <c r="W37" s="1">
        <f t="shared" si="3"/>
        <v>0</v>
      </c>
      <c r="X37" s="10">
        <f t="shared" si="4"/>
        <v>2.9554477282752456E-2</v>
      </c>
      <c r="Y37" s="1">
        <f t="shared" si="5"/>
        <v>2</v>
      </c>
      <c r="Z37" s="1" t="str">
        <f t="shared" si="6"/>
        <v/>
      </c>
      <c r="AA37" s="1">
        <f t="shared" si="7"/>
        <v>1</v>
      </c>
    </row>
    <row r="38" spans="1:27" x14ac:dyDescent="0.45">
      <c r="A38" s="1">
        <v>37</v>
      </c>
      <c r="B38" s="1" t="s">
        <v>13</v>
      </c>
      <c r="C38" s="1" t="s">
        <v>19</v>
      </c>
      <c r="D38" s="1" t="s">
        <v>25</v>
      </c>
      <c r="E38" s="1" t="s">
        <v>37</v>
      </c>
      <c r="F38" s="1" t="s">
        <v>44</v>
      </c>
      <c r="G38" s="1">
        <v>458.88</v>
      </c>
      <c r="H38" s="1">
        <v>142</v>
      </c>
      <c r="I38" s="1">
        <v>131</v>
      </c>
      <c r="J38" s="15">
        <f t="shared" si="9"/>
        <v>458.88</v>
      </c>
      <c r="K38" s="1">
        <v>432</v>
      </c>
      <c r="L38" s="1" t="s">
        <v>32</v>
      </c>
      <c r="M38" s="1">
        <v>65160.959999999999</v>
      </c>
      <c r="N38" s="2">
        <v>45516</v>
      </c>
      <c r="O38" s="2">
        <v>45536</v>
      </c>
      <c r="P38" s="2">
        <v>45535</v>
      </c>
      <c r="Q38" s="1">
        <v>20</v>
      </c>
      <c r="R38" s="1" t="s">
        <v>35</v>
      </c>
      <c r="S38" s="1" t="s">
        <v>51</v>
      </c>
      <c r="T38" s="1">
        <f t="shared" si="2"/>
        <v>19</v>
      </c>
      <c r="U38" s="1">
        <f t="shared" si="8"/>
        <v>1</v>
      </c>
      <c r="V38" s="1">
        <f t="shared" si="10"/>
        <v>0</v>
      </c>
      <c r="W38" s="1">
        <f t="shared" si="3"/>
        <v>0</v>
      </c>
      <c r="X38" s="10">
        <f t="shared" si="4"/>
        <v>5.8577405857740579E-2</v>
      </c>
      <c r="Y38" s="1" t="str">
        <f t="shared" si="5"/>
        <v/>
      </c>
      <c r="Z38" s="1">
        <f t="shared" si="6"/>
        <v>1</v>
      </c>
      <c r="AA38" s="1" t="str">
        <f t="shared" si="7"/>
        <v/>
      </c>
    </row>
    <row r="39" spans="1:27" x14ac:dyDescent="0.45">
      <c r="A39" s="1">
        <v>38</v>
      </c>
      <c r="B39" s="1" t="s">
        <v>16</v>
      </c>
      <c r="C39" s="1" t="s">
        <v>19</v>
      </c>
      <c r="D39" s="1" t="s">
        <v>30</v>
      </c>
      <c r="E39" s="1" t="s">
        <v>38</v>
      </c>
      <c r="F39" s="1" t="s">
        <v>49</v>
      </c>
      <c r="G39" s="1">
        <v>167.32</v>
      </c>
      <c r="H39" s="1">
        <v>103</v>
      </c>
      <c r="I39" s="1">
        <v>103</v>
      </c>
      <c r="J39" s="15">
        <f t="shared" si="9"/>
        <v>167.32</v>
      </c>
      <c r="K39" s="1">
        <v>144</v>
      </c>
      <c r="L39" s="1" t="s">
        <v>31</v>
      </c>
      <c r="M39" s="1">
        <v>17233.96</v>
      </c>
      <c r="N39" s="2">
        <v>45461</v>
      </c>
      <c r="O39" s="2">
        <v>45479</v>
      </c>
      <c r="P39" s="2">
        <v>45484</v>
      </c>
      <c r="Q39" s="1">
        <v>18</v>
      </c>
      <c r="R39" s="1" t="s">
        <v>35</v>
      </c>
      <c r="S39" s="1" t="s">
        <v>51</v>
      </c>
      <c r="T39" s="1">
        <f t="shared" si="2"/>
        <v>23</v>
      </c>
      <c r="U39" s="1">
        <f t="shared" si="8"/>
        <v>0</v>
      </c>
      <c r="V39" s="1">
        <f t="shared" si="10"/>
        <v>1</v>
      </c>
      <c r="W39" s="1">
        <f t="shared" si="3"/>
        <v>0</v>
      </c>
      <c r="X39" s="10">
        <f t="shared" si="4"/>
        <v>0.13937365527133633</v>
      </c>
      <c r="Y39" s="1">
        <f t="shared" si="5"/>
        <v>5</v>
      </c>
      <c r="Z39" s="1">
        <f t="shared" si="6"/>
        <v>1</v>
      </c>
      <c r="AA39" s="1" t="str">
        <f t="shared" si="7"/>
        <v/>
      </c>
    </row>
    <row r="40" spans="1:27" x14ac:dyDescent="0.45">
      <c r="A40" s="1">
        <v>39</v>
      </c>
      <c r="B40" s="1" t="s">
        <v>17</v>
      </c>
      <c r="C40" s="1" t="s">
        <v>22</v>
      </c>
      <c r="D40" s="1" t="s">
        <v>28</v>
      </c>
      <c r="E40" s="1" t="s">
        <v>39</v>
      </c>
      <c r="F40" s="1" t="s">
        <v>43</v>
      </c>
      <c r="G40" s="1">
        <v>232.86</v>
      </c>
      <c r="H40" s="1">
        <v>211</v>
      </c>
      <c r="I40" s="1">
        <v>197</v>
      </c>
      <c r="J40" s="15">
        <f t="shared" si="9"/>
        <v>232.86000000000004</v>
      </c>
      <c r="K40" s="1">
        <v>217</v>
      </c>
      <c r="L40" s="1" t="s">
        <v>33</v>
      </c>
      <c r="M40" s="1">
        <v>49133.460000000006</v>
      </c>
      <c r="N40" s="2">
        <v>45458</v>
      </c>
      <c r="O40" s="2">
        <v>45466</v>
      </c>
      <c r="P40" s="2">
        <v>45470</v>
      </c>
      <c r="Q40" s="1">
        <v>8</v>
      </c>
      <c r="R40" s="1" t="s">
        <v>34</v>
      </c>
      <c r="S40" s="1" t="s">
        <v>51</v>
      </c>
      <c r="T40" s="1">
        <f t="shared" si="2"/>
        <v>12</v>
      </c>
      <c r="U40" s="1">
        <f t="shared" si="8"/>
        <v>0</v>
      </c>
      <c r="V40" s="1">
        <f t="shared" si="10"/>
        <v>0</v>
      </c>
      <c r="W40" s="1">
        <f t="shared" si="3"/>
        <v>0</v>
      </c>
      <c r="X40" s="10">
        <f t="shared" si="4"/>
        <v>6.8109593747316149E-2</v>
      </c>
      <c r="Y40" s="1">
        <f t="shared" si="5"/>
        <v>4</v>
      </c>
      <c r="Z40" s="1" t="str">
        <f t="shared" si="6"/>
        <v/>
      </c>
      <c r="AA40" s="1">
        <f t="shared" si="7"/>
        <v>1</v>
      </c>
    </row>
    <row r="41" spans="1:27" x14ac:dyDescent="0.45">
      <c r="A41" s="1">
        <v>40</v>
      </c>
      <c r="B41" s="1" t="s">
        <v>15</v>
      </c>
      <c r="C41" s="1" t="s">
        <v>19</v>
      </c>
      <c r="D41" s="1" t="s">
        <v>29</v>
      </c>
      <c r="E41" s="1" t="s">
        <v>37</v>
      </c>
      <c r="F41" s="1" t="s">
        <v>41</v>
      </c>
      <c r="G41" s="1">
        <v>36.56</v>
      </c>
      <c r="H41" s="1">
        <v>315</v>
      </c>
      <c r="I41" s="1">
        <v>315</v>
      </c>
      <c r="J41" s="15">
        <f t="shared" si="9"/>
        <v>36.56</v>
      </c>
      <c r="K41" s="1">
        <v>35</v>
      </c>
      <c r="L41" s="1" t="s">
        <v>33</v>
      </c>
      <c r="M41" s="1">
        <v>11516.4</v>
      </c>
      <c r="N41" s="2">
        <v>45611</v>
      </c>
      <c r="O41" s="2">
        <v>45631</v>
      </c>
      <c r="P41" s="2">
        <v>45636</v>
      </c>
      <c r="Q41" s="1">
        <v>20</v>
      </c>
      <c r="R41" s="1" t="s">
        <v>34</v>
      </c>
      <c r="S41" s="1" t="s">
        <v>51</v>
      </c>
      <c r="T41" s="1">
        <f t="shared" si="2"/>
        <v>25</v>
      </c>
      <c r="U41" s="1">
        <f t="shared" si="8"/>
        <v>0</v>
      </c>
      <c r="V41" s="1">
        <f t="shared" si="10"/>
        <v>1</v>
      </c>
      <c r="W41" s="1">
        <f t="shared" si="3"/>
        <v>0</v>
      </c>
      <c r="X41" s="10">
        <f t="shared" si="4"/>
        <v>4.2669584245076643E-2</v>
      </c>
      <c r="Y41" s="1">
        <f t="shared" si="5"/>
        <v>5</v>
      </c>
      <c r="Z41" s="1" t="str">
        <f t="shared" si="6"/>
        <v/>
      </c>
      <c r="AA41" s="1">
        <f t="shared" si="7"/>
        <v>1</v>
      </c>
    </row>
    <row r="42" spans="1:27" x14ac:dyDescent="0.45">
      <c r="A42" s="1">
        <v>41</v>
      </c>
      <c r="B42" s="1" t="s">
        <v>13</v>
      </c>
      <c r="C42" s="1" t="s">
        <v>20</v>
      </c>
      <c r="D42" s="1" t="s">
        <v>24</v>
      </c>
      <c r="E42" s="1" t="s">
        <v>38</v>
      </c>
      <c r="F42" s="1" t="s">
        <v>45</v>
      </c>
      <c r="G42" s="1">
        <v>464.56</v>
      </c>
      <c r="H42" s="1">
        <v>274</v>
      </c>
      <c r="I42" s="1">
        <v>266</v>
      </c>
      <c r="J42" s="15">
        <f t="shared" si="9"/>
        <v>464.56</v>
      </c>
      <c r="K42" s="1">
        <v>460</v>
      </c>
      <c r="L42" s="1" t="s">
        <v>32</v>
      </c>
      <c r="M42" s="1">
        <v>127289.44</v>
      </c>
      <c r="N42" s="2">
        <v>45541</v>
      </c>
      <c r="O42" s="2">
        <v>45549</v>
      </c>
      <c r="P42" s="2">
        <v>45547</v>
      </c>
      <c r="Q42" s="1">
        <v>8</v>
      </c>
      <c r="R42" s="1" t="s">
        <v>34</v>
      </c>
      <c r="S42" s="1" t="s">
        <v>51</v>
      </c>
      <c r="T42" s="1">
        <f t="shared" si="2"/>
        <v>6</v>
      </c>
      <c r="U42" s="1">
        <f t="shared" si="8"/>
        <v>1</v>
      </c>
      <c r="V42" s="1">
        <f t="shared" si="10"/>
        <v>0</v>
      </c>
      <c r="W42" s="1">
        <f t="shared" si="3"/>
        <v>0</v>
      </c>
      <c r="X42" s="10">
        <f t="shared" si="4"/>
        <v>9.8157396245910165E-3</v>
      </c>
      <c r="Y42" s="1" t="str">
        <f t="shared" si="5"/>
        <v/>
      </c>
      <c r="Z42" s="1" t="str">
        <f t="shared" si="6"/>
        <v/>
      </c>
      <c r="AA42" s="1">
        <f t="shared" si="7"/>
        <v>1</v>
      </c>
    </row>
    <row r="43" spans="1:27" x14ac:dyDescent="0.45">
      <c r="A43" s="1">
        <v>42</v>
      </c>
      <c r="B43" s="1" t="s">
        <v>13</v>
      </c>
      <c r="C43" s="1" t="s">
        <v>20</v>
      </c>
      <c r="D43" s="1" t="s">
        <v>28</v>
      </c>
      <c r="E43" s="1" t="s">
        <v>39</v>
      </c>
      <c r="F43" s="1" t="s">
        <v>48</v>
      </c>
      <c r="G43" s="1">
        <v>280.60000000000002</v>
      </c>
      <c r="H43" s="1">
        <v>97</v>
      </c>
      <c r="I43" s="1">
        <v>97</v>
      </c>
      <c r="J43" s="15">
        <f t="shared" si="9"/>
        <v>280.60000000000002</v>
      </c>
      <c r="K43" s="1">
        <v>256</v>
      </c>
      <c r="L43" s="1" t="s">
        <v>31</v>
      </c>
      <c r="M43" s="1">
        <v>27218.2</v>
      </c>
      <c r="N43" s="2">
        <v>45351</v>
      </c>
      <c r="O43" s="2">
        <v>45370</v>
      </c>
      <c r="P43" s="2">
        <v>45369</v>
      </c>
      <c r="Q43" s="1">
        <v>19</v>
      </c>
      <c r="R43" s="1" t="s">
        <v>34</v>
      </c>
      <c r="S43" s="1" t="s">
        <v>51</v>
      </c>
      <c r="T43" s="1">
        <f t="shared" si="2"/>
        <v>18</v>
      </c>
      <c r="U43" s="1">
        <f t="shared" si="8"/>
        <v>1</v>
      </c>
      <c r="V43" s="1">
        <f t="shared" si="10"/>
        <v>1</v>
      </c>
      <c r="W43" s="1">
        <f t="shared" si="3"/>
        <v>1</v>
      </c>
      <c r="X43" s="10">
        <f t="shared" si="4"/>
        <v>8.7669280114041417E-2</v>
      </c>
      <c r="Y43" s="1" t="str">
        <f t="shared" si="5"/>
        <v/>
      </c>
      <c r="Z43" s="1" t="str">
        <f t="shared" si="6"/>
        <v/>
      </c>
      <c r="AA43" s="1">
        <f t="shared" si="7"/>
        <v>1</v>
      </c>
    </row>
    <row r="44" spans="1:27" x14ac:dyDescent="0.45">
      <c r="A44" s="1">
        <v>43</v>
      </c>
      <c r="B44" s="1" t="s">
        <v>17</v>
      </c>
      <c r="C44" s="1" t="s">
        <v>20</v>
      </c>
      <c r="D44" s="1" t="s">
        <v>27</v>
      </c>
      <c r="E44" s="1" t="s">
        <v>37</v>
      </c>
      <c r="F44" s="1" t="s">
        <v>42</v>
      </c>
      <c r="G44" s="1">
        <v>213.59</v>
      </c>
      <c r="H44" s="1">
        <v>297</v>
      </c>
      <c r="I44" s="1">
        <v>297</v>
      </c>
      <c r="J44" s="15">
        <f t="shared" si="9"/>
        <v>213.59</v>
      </c>
      <c r="K44" s="1">
        <v>203</v>
      </c>
      <c r="L44" s="1" t="s">
        <v>33</v>
      </c>
      <c r="M44" s="1">
        <v>63436.23</v>
      </c>
      <c r="N44" s="2">
        <v>45417</v>
      </c>
      <c r="O44" s="2">
        <v>45436</v>
      </c>
      <c r="P44" s="2">
        <v>45436</v>
      </c>
      <c r="Q44" s="1">
        <v>19</v>
      </c>
      <c r="R44" s="1" t="s">
        <v>35</v>
      </c>
      <c r="S44" s="1" t="s">
        <v>51</v>
      </c>
      <c r="T44" s="1">
        <f t="shared" si="2"/>
        <v>19</v>
      </c>
      <c r="U44" s="1">
        <f t="shared" si="8"/>
        <v>1</v>
      </c>
      <c r="V44" s="1">
        <f t="shared" si="10"/>
        <v>1</v>
      </c>
      <c r="W44" s="1">
        <f t="shared" si="3"/>
        <v>1</v>
      </c>
      <c r="X44" s="10">
        <f t="shared" si="4"/>
        <v>4.9580972891989337E-2</v>
      </c>
      <c r="Y44" s="1" t="str">
        <f t="shared" si="5"/>
        <v/>
      </c>
      <c r="Z44" s="1">
        <f t="shared" si="6"/>
        <v>1</v>
      </c>
      <c r="AA44" s="1" t="str">
        <f t="shared" si="7"/>
        <v/>
      </c>
    </row>
    <row r="45" spans="1:27" x14ac:dyDescent="0.45">
      <c r="A45" s="1">
        <v>44</v>
      </c>
      <c r="B45" s="1" t="s">
        <v>13</v>
      </c>
      <c r="C45" s="1" t="s">
        <v>22</v>
      </c>
      <c r="D45" s="1" t="s">
        <v>24</v>
      </c>
      <c r="E45" s="1" t="s">
        <v>38</v>
      </c>
      <c r="F45" s="1" t="s">
        <v>43</v>
      </c>
      <c r="G45" s="1">
        <v>433.37</v>
      </c>
      <c r="H45" s="1">
        <v>191</v>
      </c>
      <c r="I45" s="1">
        <v>191</v>
      </c>
      <c r="J45" s="15">
        <f t="shared" si="9"/>
        <v>433.37</v>
      </c>
      <c r="K45" s="1">
        <v>378</v>
      </c>
      <c r="L45" s="1" t="s">
        <v>33</v>
      </c>
      <c r="M45" s="1">
        <v>82773.67</v>
      </c>
      <c r="N45" s="2">
        <v>45467</v>
      </c>
      <c r="O45" s="2">
        <v>45480</v>
      </c>
      <c r="P45" s="2">
        <v>45478</v>
      </c>
      <c r="Q45" s="1">
        <v>13</v>
      </c>
      <c r="R45" s="1" t="s">
        <v>35</v>
      </c>
      <c r="S45" s="1" t="s">
        <v>51</v>
      </c>
      <c r="T45" s="1">
        <f t="shared" si="2"/>
        <v>11</v>
      </c>
      <c r="U45" s="1">
        <f t="shared" si="8"/>
        <v>1</v>
      </c>
      <c r="V45" s="1">
        <f t="shared" si="10"/>
        <v>1</v>
      </c>
      <c r="W45" s="1">
        <f t="shared" si="3"/>
        <v>1</v>
      </c>
      <c r="X45" s="10">
        <f t="shared" si="4"/>
        <v>0.1277661120982071</v>
      </c>
      <c r="Y45" s="1" t="str">
        <f t="shared" si="5"/>
        <v/>
      </c>
      <c r="Z45" s="1">
        <f t="shared" si="6"/>
        <v>1</v>
      </c>
      <c r="AA45" s="1" t="str">
        <f t="shared" si="7"/>
        <v/>
      </c>
    </row>
    <row r="46" spans="1:27" x14ac:dyDescent="0.45">
      <c r="A46" s="1">
        <v>45</v>
      </c>
      <c r="B46" s="1" t="s">
        <v>16</v>
      </c>
      <c r="C46" s="1" t="s">
        <v>22</v>
      </c>
      <c r="D46" s="1" t="s">
        <v>25</v>
      </c>
      <c r="E46" s="1" t="s">
        <v>39</v>
      </c>
      <c r="F46" s="1" t="s">
        <v>46</v>
      </c>
      <c r="G46" s="1">
        <v>433.98</v>
      </c>
      <c r="H46" s="1">
        <v>278</v>
      </c>
      <c r="I46" s="1">
        <v>265</v>
      </c>
      <c r="J46" s="15">
        <f t="shared" si="9"/>
        <v>433.98</v>
      </c>
      <c r="K46" s="1">
        <v>413</v>
      </c>
      <c r="L46" s="1" t="s">
        <v>32</v>
      </c>
      <c r="M46" s="1">
        <v>120646.44</v>
      </c>
      <c r="N46" s="2">
        <v>45540</v>
      </c>
      <c r="O46" s="2">
        <v>45556</v>
      </c>
      <c r="P46" s="2">
        <v>45559</v>
      </c>
      <c r="Q46" s="1">
        <v>16</v>
      </c>
      <c r="R46" s="1" t="s">
        <v>35</v>
      </c>
      <c r="S46" s="1" t="s">
        <v>51</v>
      </c>
      <c r="T46" s="1">
        <f t="shared" si="2"/>
        <v>19</v>
      </c>
      <c r="U46" s="1">
        <f t="shared" si="8"/>
        <v>0</v>
      </c>
      <c r="V46" s="1">
        <f t="shared" si="10"/>
        <v>0</v>
      </c>
      <c r="W46" s="1">
        <f t="shared" si="3"/>
        <v>0</v>
      </c>
      <c r="X46" s="10">
        <f t="shared" si="4"/>
        <v>4.8343241624038011E-2</v>
      </c>
      <c r="Y46" s="1">
        <f t="shared" si="5"/>
        <v>3</v>
      </c>
      <c r="Z46" s="1">
        <f t="shared" si="6"/>
        <v>1</v>
      </c>
      <c r="AA46" s="1" t="str">
        <f t="shared" si="7"/>
        <v/>
      </c>
    </row>
    <row r="47" spans="1:27" x14ac:dyDescent="0.45">
      <c r="A47" s="1">
        <v>46</v>
      </c>
      <c r="B47" s="1" t="s">
        <v>17</v>
      </c>
      <c r="C47" s="1" t="s">
        <v>20</v>
      </c>
      <c r="D47" s="1" t="s">
        <v>26</v>
      </c>
      <c r="E47" s="1" t="s">
        <v>37</v>
      </c>
      <c r="F47" s="1" t="s">
        <v>44</v>
      </c>
      <c r="G47" s="1">
        <v>490.58</v>
      </c>
      <c r="H47" s="1">
        <v>172</v>
      </c>
      <c r="I47" s="1">
        <v>172</v>
      </c>
      <c r="J47" s="15">
        <f t="shared" si="9"/>
        <v>490.58</v>
      </c>
      <c r="K47" s="1">
        <v>447</v>
      </c>
      <c r="L47" s="1" t="s">
        <v>32</v>
      </c>
      <c r="M47" s="1">
        <v>84379.76</v>
      </c>
      <c r="N47" s="2">
        <v>45489</v>
      </c>
      <c r="O47" s="2">
        <v>45501</v>
      </c>
      <c r="P47" s="2">
        <v>45505</v>
      </c>
      <c r="Q47" s="1">
        <v>12</v>
      </c>
      <c r="R47" s="1" t="s">
        <v>34</v>
      </c>
      <c r="S47" s="1" t="s">
        <v>51</v>
      </c>
      <c r="T47" s="1">
        <f t="shared" si="2"/>
        <v>16</v>
      </c>
      <c r="U47" s="1">
        <f t="shared" si="8"/>
        <v>0</v>
      </c>
      <c r="V47" s="1">
        <f t="shared" si="10"/>
        <v>1</v>
      </c>
      <c r="W47" s="1">
        <f t="shared" si="3"/>
        <v>0</v>
      </c>
      <c r="X47" s="10">
        <f t="shared" si="4"/>
        <v>8.883362550450484E-2</v>
      </c>
      <c r="Y47" s="1">
        <f t="shared" si="5"/>
        <v>4</v>
      </c>
      <c r="Z47" s="1" t="str">
        <f t="shared" si="6"/>
        <v/>
      </c>
      <c r="AA47" s="1">
        <f t="shared" si="7"/>
        <v>1</v>
      </c>
    </row>
    <row r="48" spans="1:27" x14ac:dyDescent="0.45">
      <c r="A48" s="1">
        <v>47</v>
      </c>
      <c r="B48" s="1" t="s">
        <v>16</v>
      </c>
      <c r="C48" s="1" t="s">
        <v>19</v>
      </c>
      <c r="D48" s="1" t="s">
        <v>29</v>
      </c>
      <c r="E48" s="1" t="s">
        <v>38</v>
      </c>
      <c r="F48" s="1" t="s">
        <v>45</v>
      </c>
      <c r="G48" s="1">
        <v>199.18</v>
      </c>
      <c r="H48" s="1">
        <v>389</v>
      </c>
      <c r="I48" s="1">
        <v>389</v>
      </c>
      <c r="J48" s="15">
        <f t="shared" si="9"/>
        <v>199.18</v>
      </c>
      <c r="K48" s="1">
        <v>200</v>
      </c>
      <c r="L48" s="1" t="s">
        <v>32</v>
      </c>
      <c r="M48" s="1">
        <v>77481.02</v>
      </c>
      <c r="N48" s="2">
        <v>45370</v>
      </c>
      <c r="O48" s="2">
        <v>45390</v>
      </c>
      <c r="P48" s="2">
        <v>45388</v>
      </c>
      <c r="Q48" s="1">
        <v>20</v>
      </c>
      <c r="R48" s="1" t="s">
        <v>34</v>
      </c>
      <c r="S48" s="1" t="s">
        <v>51</v>
      </c>
      <c r="T48" s="1">
        <f t="shared" si="2"/>
        <v>18</v>
      </c>
      <c r="U48" s="1">
        <f t="shared" si="8"/>
        <v>1</v>
      </c>
      <c r="V48" s="1">
        <f t="shared" si="10"/>
        <v>1</v>
      </c>
      <c r="W48" s="1">
        <f t="shared" si="3"/>
        <v>1</v>
      </c>
      <c r="X48" s="10">
        <f t="shared" si="4"/>
        <v>-4.1168792047393977E-3</v>
      </c>
      <c r="Y48" s="1" t="str">
        <f t="shared" si="5"/>
        <v/>
      </c>
      <c r="Z48" s="1" t="str">
        <f t="shared" si="6"/>
        <v/>
      </c>
      <c r="AA48" s="1">
        <f t="shared" si="7"/>
        <v>1</v>
      </c>
    </row>
    <row r="49" spans="1:27" x14ac:dyDescent="0.45">
      <c r="A49" s="1">
        <v>48</v>
      </c>
      <c r="B49" s="1" t="s">
        <v>15</v>
      </c>
      <c r="C49" s="1" t="s">
        <v>22</v>
      </c>
      <c r="D49" s="1" t="s">
        <v>30</v>
      </c>
      <c r="E49" s="1" t="s">
        <v>39</v>
      </c>
      <c r="F49" s="1" t="s">
        <v>41</v>
      </c>
      <c r="G49" s="1">
        <v>436.15</v>
      </c>
      <c r="H49" s="1">
        <v>497</v>
      </c>
      <c r="I49" s="1">
        <v>488</v>
      </c>
      <c r="J49" s="15">
        <f t="shared" si="9"/>
        <v>436.15</v>
      </c>
      <c r="K49" s="1">
        <v>384</v>
      </c>
      <c r="L49" s="1" t="s">
        <v>33</v>
      </c>
      <c r="M49" s="1">
        <v>216766.55</v>
      </c>
      <c r="N49" s="2">
        <v>45344</v>
      </c>
      <c r="O49" s="2">
        <v>45363</v>
      </c>
      <c r="P49" s="2">
        <v>45361</v>
      </c>
      <c r="Q49" s="1">
        <v>19</v>
      </c>
      <c r="R49" s="1" t="s">
        <v>34</v>
      </c>
      <c r="S49" s="1" t="s">
        <v>51</v>
      </c>
      <c r="T49" s="1">
        <f t="shared" si="2"/>
        <v>17</v>
      </c>
      <c r="U49" s="1">
        <f t="shared" si="8"/>
        <v>1</v>
      </c>
      <c r="V49" s="1">
        <f t="shared" si="10"/>
        <v>0</v>
      </c>
      <c r="W49" s="1">
        <f t="shared" si="3"/>
        <v>0</v>
      </c>
      <c r="X49" s="10">
        <f t="shared" si="4"/>
        <v>0.11956895563452936</v>
      </c>
      <c r="Y49" s="1" t="str">
        <f t="shared" si="5"/>
        <v/>
      </c>
      <c r="Z49" s="1" t="str">
        <f t="shared" si="6"/>
        <v/>
      </c>
      <c r="AA49" s="1">
        <f t="shared" si="7"/>
        <v>1</v>
      </c>
    </row>
    <row r="50" spans="1:27" x14ac:dyDescent="0.45">
      <c r="A50" s="1">
        <v>49</v>
      </c>
      <c r="B50" s="1" t="s">
        <v>17</v>
      </c>
      <c r="C50" s="1" t="s">
        <v>21</v>
      </c>
      <c r="D50" s="1" t="s">
        <v>23</v>
      </c>
      <c r="E50" s="1" t="s">
        <v>37</v>
      </c>
      <c r="F50" s="1" t="s">
        <v>42</v>
      </c>
      <c r="G50" s="1">
        <v>240.05</v>
      </c>
      <c r="H50" s="1">
        <v>185</v>
      </c>
      <c r="I50" s="1">
        <v>178</v>
      </c>
      <c r="J50" s="15">
        <f t="shared" si="9"/>
        <v>240.05</v>
      </c>
      <c r="K50" s="1">
        <v>217</v>
      </c>
      <c r="L50" s="1" t="s">
        <v>33</v>
      </c>
      <c r="M50" s="1">
        <v>44409.25</v>
      </c>
      <c r="N50" s="2">
        <v>45612</v>
      </c>
      <c r="O50" s="2">
        <v>45629</v>
      </c>
      <c r="P50" s="2">
        <v>45628</v>
      </c>
      <c r="Q50" s="1">
        <v>17</v>
      </c>
      <c r="R50" s="1" t="s">
        <v>35</v>
      </c>
      <c r="S50" s="1" t="s">
        <v>51</v>
      </c>
      <c r="T50" s="1">
        <f t="shared" si="2"/>
        <v>16</v>
      </c>
      <c r="U50" s="1">
        <f t="shared" si="8"/>
        <v>1</v>
      </c>
      <c r="V50" s="1">
        <f t="shared" si="10"/>
        <v>0</v>
      </c>
      <c r="W50" s="1">
        <f t="shared" si="3"/>
        <v>0</v>
      </c>
      <c r="X50" s="10">
        <f t="shared" si="4"/>
        <v>9.6021662153718018E-2</v>
      </c>
      <c r="Y50" s="1" t="str">
        <f t="shared" si="5"/>
        <v/>
      </c>
      <c r="Z50" s="1">
        <f t="shared" si="6"/>
        <v>1</v>
      </c>
      <c r="AA50" s="1" t="str">
        <f t="shared" si="7"/>
        <v/>
      </c>
    </row>
    <row r="51" spans="1:27" x14ac:dyDescent="0.45">
      <c r="A51" s="1">
        <v>50</v>
      </c>
      <c r="B51" s="1" t="s">
        <v>15</v>
      </c>
      <c r="C51" s="1" t="s">
        <v>19</v>
      </c>
      <c r="D51" s="1" t="s">
        <v>30</v>
      </c>
      <c r="E51" s="1" t="s">
        <v>38</v>
      </c>
      <c r="F51" s="1" t="s">
        <v>43</v>
      </c>
      <c r="G51" s="1">
        <v>317.13</v>
      </c>
      <c r="H51" s="1">
        <v>438</v>
      </c>
      <c r="I51" s="1">
        <v>430</v>
      </c>
      <c r="J51" s="15">
        <f t="shared" si="9"/>
        <v>317.13</v>
      </c>
      <c r="K51" s="1">
        <v>314</v>
      </c>
      <c r="L51" s="1" t="s">
        <v>33</v>
      </c>
      <c r="M51" s="1">
        <v>138902.94</v>
      </c>
      <c r="N51" s="2">
        <v>45570</v>
      </c>
      <c r="O51" s="2">
        <v>45576</v>
      </c>
      <c r="P51" s="2">
        <v>45575</v>
      </c>
      <c r="Q51" s="1">
        <v>6</v>
      </c>
      <c r="R51" s="1" t="s">
        <v>34</v>
      </c>
      <c r="S51" s="1" t="s">
        <v>51</v>
      </c>
      <c r="T51" s="1">
        <f t="shared" si="2"/>
        <v>5</v>
      </c>
      <c r="U51" s="1">
        <f t="shared" si="8"/>
        <v>1</v>
      </c>
      <c r="V51" s="1">
        <f t="shared" si="10"/>
        <v>0</v>
      </c>
      <c r="W51" s="1">
        <f t="shared" si="3"/>
        <v>0</v>
      </c>
      <c r="X51" s="10">
        <f t="shared" si="4"/>
        <v>9.8697694951597002E-3</v>
      </c>
      <c r="Y51" s="1" t="str">
        <f t="shared" si="5"/>
        <v/>
      </c>
      <c r="Z51" s="1" t="str">
        <f t="shared" si="6"/>
        <v/>
      </c>
      <c r="AA51" s="1">
        <f t="shared" si="7"/>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4DD99-634B-429B-8A84-51EDC6193F66}">
  <dimension ref="A1:O151"/>
  <sheetViews>
    <sheetView topLeftCell="A100" workbookViewId="0">
      <selection activeCell="K17" sqref="K17"/>
    </sheetView>
  </sheetViews>
  <sheetFormatPr defaultRowHeight="14.25" x14ac:dyDescent="0.45"/>
  <cols>
    <col min="1" max="1" width="21.86328125" bestFit="1" customWidth="1"/>
    <col min="2" max="2" width="21.9296875" bestFit="1" customWidth="1"/>
    <col min="3" max="3" width="15.265625" bestFit="1" customWidth="1"/>
    <col min="4" max="5" width="15.1328125" bestFit="1" customWidth="1"/>
    <col min="6" max="6" width="14.86328125" bestFit="1" customWidth="1"/>
    <col min="7" max="7" width="15.1328125" bestFit="1" customWidth="1"/>
    <col min="8" max="8" width="21.796875" bestFit="1" customWidth="1"/>
    <col min="9" max="9" width="19.6640625" bestFit="1" customWidth="1"/>
    <col min="10" max="10" width="15.53125" bestFit="1" customWidth="1"/>
    <col min="11" max="11" width="15.1328125" customWidth="1"/>
    <col min="12" max="12" width="16.06640625" customWidth="1"/>
    <col min="13" max="13" width="9.73046875" bestFit="1" customWidth="1"/>
  </cols>
  <sheetData>
    <row r="1" spans="1:8" x14ac:dyDescent="0.45">
      <c r="A1" s="39" t="s">
        <v>60</v>
      </c>
      <c r="B1" s="39"/>
      <c r="C1" s="39"/>
    </row>
    <row r="3" spans="1:8" x14ac:dyDescent="0.45">
      <c r="A3" s="5" t="s">
        <v>57</v>
      </c>
      <c r="B3" t="s">
        <v>59</v>
      </c>
    </row>
    <row r="4" spans="1:8" x14ac:dyDescent="0.45">
      <c r="A4" s="6" t="s">
        <v>14</v>
      </c>
      <c r="B4">
        <v>903832.80999999982</v>
      </c>
      <c r="D4" s="6" t="s">
        <v>14</v>
      </c>
      <c r="E4" s="8">
        <f>GETPIVOTDATA("Total Cost",$A$3,"Supplier Name","Alpha Supplies")</f>
        <v>903832.80999999982</v>
      </c>
      <c r="G4" s="17" t="s">
        <v>7</v>
      </c>
      <c r="H4" s="20">
        <f>GETPIVOTDATA("Total Cost",$A$3)</f>
        <v>3886412.64</v>
      </c>
    </row>
    <row r="5" spans="1:8" x14ac:dyDescent="0.45">
      <c r="A5" s="6" t="s">
        <v>13</v>
      </c>
      <c r="B5">
        <v>866382.48999999987</v>
      </c>
      <c r="D5" s="6" t="s">
        <v>13</v>
      </c>
      <c r="E5" s="8">
        <f>GETPIVOTDATA("Total Cost",$A$3,"Supplier Name","Beta Traders")</f>
        <v>866382.48999999987</v>
      </c>
    </row>
    <row r="6" spans="1:8" x14ac:dyDescent="0.45">
      <c r="A6" s="6" t="s">
        <v>16</v>
      </c>
      <c r="B6">
        <v>678956.42</v>
      </c>
      <c r="D6" s="6" t="s">
        <v>16</v>
      </c>
      <c r="E6" s="8">
        <f>GETPIVOTDATA("Total Cost",$A$3,"Supplier Name","Global Sourcing")</f>
        <v>678956.42</v>
      </c>
    </row>
    <row r="7" spans="1:8" x14ac:dyDescent="0.45">
      <c r="A7" s="6" t="s">
        <v>15</v>
      </c>
      <c r="B7">
        <v>672942.32000000007</v>
      </c>
      <c r="D7" s="6" t="s">
        <v>15</v>
      </c>
      <c r="E7" s="8">
        <f>GETPIVOTDATA("Total Cost",$A$3,"Supplier Name","NextGen Materials")</f>
        <v>672942.32000000007</v>
      </c>
    </row>
    <row r="8" spans="1:8" x14ac:dyDescent="0.45">
      <c r="A8" s="6" t="s">
        <v>17</v>
      </c>
      <c r="B8">
        <v>764298.6</v>
      </c>
      <c r="D8" s="6" t="s">
        <v>17</v>
      </c>
      <c r="E8" s="8">
        <f>GETPIVOTDATA("Total Cost",$A$3,"Supplier Name","Prime Industries")</f>
        <v>764298.6</v>
      </c>
    </row>
    <row r="9" spans="1:8" x14ac:dyDescent="0.45">
      <c r="A9" s="6" t="s">
        <v>58</v>
      </c>
      <c r="B9">
        <v>3886412.64</v>
      </c>
      <c r="D9" s="6" t="s">
        <v>82</v>
      </c>
      <c r="E9" s="8">
        <f>GETPIVOTDATA("Total Cost",$A$3)</f>
        <v>3886412.64</v>
      </c>
    </row>
    <row r="12" spans="1:8" x14ac:dyDescent="0.45">
      <c r="A12" s="39" t="s">
        <v>56</v>
      </c>
      <c r="B12" s="39"/>
      <c r="C12" s="39"/>
    </row>
    <row r="14" spans="1:8" x14ac:dyDescent="0.45">
      <c r="A14" s="5" t="s">
        <v>57</v>
      </c>
      <c r="B14" t="s">
        <v>61</v>
      </c>
    </row>
    <row r="15" spans="1:8" x14ac:dyDescent="0.45">
      <c r="A15" s="6" t="s">
        <v>14</v>
      </c>
      <c r="B15">
        <v>0</v>
      </c>
      <c r="D15" s="6" t="s">
        <v>14</v>
      </c>
      <c r="E15" s="9">
        <f>GETPIVOTDATA("OTIF",$A$14,"Supplier Name","Alpha Supplies")</f>
        <v>0</v>
      </c>
    </row>
    <row r="16" spans="1:8" x14ac:dyDescent="0.45">
      <c r="A16" s="6" t="s">
        <v>13</v>
      </c>
      <c r="B16">
        <v>0.30769230769230771</v>
      </c>
      <c r="D16" s="6" t="s">
        <v>13</v>
      </c>
      <c r="E16" s="9">
        <f>GETPIVOTDATA("OTIF",$A$14,"Supplier Name","Beta Traders")</f>
        <v>0.30769230769230771</v>
      </c>
    </row>
    <row r="17" spans="1:15" x14ac:dyDescent="0.45">
      <c r="A17" s="6" t="s">
        <v>16</v>
      </c>
      <c r="B17">
        <v>0.125</v>
      </c>
      <c r="D17" s="6" t="s">
        <v>16</v>
      </c>
      <c r="E17" s="9">
        <f>GETPIVOTDATA("OTIF",$A$14,"Supplier Name","Global Sourcing")</f>
        <v>0.125</v>
      </c>
    </row>
    <row r="18" spans="1:15" x14ac:dyDescent="0.45">
      <c r="A18" s="6" t="s">
        <v>15</v>
      </c>
      <c r="B18">
        <v>0</v>
      </c>
      <c r="D18" s="6" t="s">
        <v>15</v>
      </c>
      <c r="E18" s="9">
        <f>GETPIVOTDATA("OTIF",$A$14,"Supplier Name","NextGen Materials")</f>
        <v>0</v>
      </c>
    </row>
    <row r="19" spans="1:15" x14ac:dyDescent="0.45">
      <c r="A19" s="6" t="s">
        <v>17</v>
      </c>
      <c r="B19">
        <v>0.23076923076923078</v>
      </c>
      <c r="D19" s="6" t="s">
        <v>17</v>
      </c>
      <c r="E19" s="9">
        <f>GETPIVOTDATA("OTIF",$A$14,"Supplier Name","Prime Industries")</f>
        <v>0.23076923076923078</v>
      </c>
    </row>
    <row r="20" spans="1:15" x14ac:dyDescent="0.45">
      <c r="A20" s="6" t="s">
        <v>58</v>
      </c>
      <c r="B20">
        <v>0.16</v>
      </c>
    </row>
    <row r="21" spans="1:15" x14ac:dyDescent="0.45">
      <c r="E21" s="19">
        <f>GETPIVOTDATA("OTIF",$A$14)</f>
        <v>0.16</v>
      </c>
    </row>
    <row r="24" spans="1:15" x14ac:dyDescent="0.45">
      <c r="A24" s="39" t="s">
        <v>68</v>
      </c>
      <c r="B24" s="39"/>
      <c r="C24" s="39"/>
    </row>
    <row r="26" spans="1:15" x14ac:dyDescent="0.45">
      <c r="A26" s="5" t="s">
        <v>57</v>
      </c>
      <c r="B26" t="s">
        <v>69</v>
      </c>
      <c r="G26" s="5" t="s">
        <v>57</v>
      </c>
      <c r="H26" t="s">
        <v>69</v>
      </c>
    </row>
    <row r="27" spans="1:15" x14ac:dyDescent="0.45">
      <c r="A27" s="6" t="s">
        <v>14</v>
      </c>
      <c r="B27">
        <v>6.6174124541031026E-2</v>
      </c>
      <c r="D27" s="6" t="s">
        <v>14</v>
      </c>
      <c r="E27" s="9">
        <f>GETPIVOTDATA("Cost Variance",$A$26,"Supplier Name","Alpha Supplies")</f>
        <v>6.6174124541031026E-2</v>
      </c>
      <c r="G27" s="6" t="s">
        <v>19</v>
      </c>
      <c r="H27">
        <v>6.0764834512325012E-2</v>
      </c>
      <c r="J27" s="6" t="s">
        <v>19</v>
      </c>
      <c r="K27" s="9">
        <f>GETPIVOTDATA("Cost Variance",$G$26,"Category","IT Equipment")</f>
        <v>6.0764834512325012E-2</v>
      </c>
      <c r="M27" s="40" t="s">
        <v>75</v>
      </c>
      <c r="N27" s="40"/>
      <c r="O27" s="30">
        <f>GETPIVOTDATA("Cost Variance",$A$26)</f>
        <v>7.3896409217668019E-2</v>
      </c>
    </row>
    <row r="28" spans="1:15" x14ac:dyDescent="0.45">
      <c r="A28" s="6" t="s">
        <v>13</v>
      </c>
      <c r="B28">
        <v>8.4651267084613915E-2</v>
      </c>
      <c r="D28" s="6" t="s">
        <v>13</v>
      </c>
      <c r="E28" s="9">
        <f>GETPIVOTDATA("Cost Variance",$A$26,"Supplier Name","Beta Traders")</f>
        <v>8.4651267084613915E-2</v>
      </c>
      <c r="G28" s="6" t="s">
        <v>22</v>
      </c>
      <c r="H28">
        <v>9.5296171319778272E-2</v>
      </c>
      <c r="J28" s="6" t="s">
        <v>22</v>
      </c>
      <c r="K28" s="9">
        <f>GETPIVOTDATA("Cost Variance",$G$26,"Category","Logistics Services")</f>
        <v>9.5296171319778272E-2</v>
      </c>
      <c r="M28" s="40" t="s">
        <v>76</v>
      </c>
      <c r="N28" s="40"/>
      <c r="O28" s="30">
        <f>1-O27</f>
        <v>0.92610359078233195</v>
      </c>
    </row>
    <row r="29" spans="1:15" x14ac:dyDescent="0.45">
      <c r="A29" s="6" t="s">
        <v>16</v>
      </c>
      <c r="B29">
        <v>6.3940200400843791E-2</v>
      </c>
      <c r="D29" s="6" t="s">
        <v>16</v>
      </c>
      <c r="E29" s="9">
        <f>GETPIVOTDATA("Cost Variance",$A$26,"Supplier Name","Global Sourcing")</f>
        <v>6.3940200400843791E-2</v>
      </c>
      <c r="G29" s="6" t="s">
        <v>20</v>
      </c>
      <c r="H29">
        <v>6.5492224264257853E-2</v>
      </c>
      <c r="J29" s="6" t="s">
        <v>20</v>
      </c>
      <c r="K29" s="9">
        <f>GETPIVOTDATA("Cost Variance",$G$26,"Category","Machinery")</f>
        <v>6.5492224264257853E-2</v>
      </c>
    </row>
    <row r="30" spans="1:15" x14ac:dyDescent="0.45">
      <c r="A30" s="6" t="s">
        <v>15</v>
      </c>
      <c r="B30">
        <v>8.6866054664408485E-2</v>
      </c>
      <c r="D30" s="6" t="s">
        <v>15</v>
      </c>
      <c r="E30" s="9">
        <f>GETPIVOTDATA("Cost Variance",$A$26,"Supplier Name","NextGen Materials")</f>
        <v>8.6866054664408485E-2</v>
      </c>
      <c r="G30" s="6" t="s">
        <v>21</v>
      </c>
      <c r="H30">
        <v>0.10519112553733882</v>
      </c>
      <c r="J30" s="6" t="s">
        <v>21</v>
      </c>
      <c r="K30" s="9">
        <f>GETPIVOTDATA("Cost Variance",$G$26,"Category","Packaging")</f>
        <v>0.10519112553733882</v>
      </c>
    </row>
    <row r="31" spans="1:15" x14ac:dyDescent="0.45">
      <c r="A31" s="6" t="s">
        <v>17</v>
      </c>
      <c r="B31">
        <v>6.6039303994857967E-2</v>
      </c>
      <c r="D31" s="6" t="s">
        <v>17</v>
      </c>
      <c r="E31" s="9">
        <f>GETPIVOTDATA("Cost Variance",$A$26,"Supplier Name","Prime Industries")</f>
        <v>6.6039303994857967E-2</v>
      </c>
      <c r="G31" s="6" t="s">
        <v>18</v>
      </c>
      <c r="H31">
        <v>6.0557209123040141E-2</v>
      </c>
      <c r="J31" s="6" t="s">
        <v>18</v>
      </c>
      <c r="K31" s="9">
        <f>GETPIVOTDATA("Cost Variance",$G$26,"Category","Raw Materials")</f>
        <v>6.0557209123040141E-2</v>
      </c>
    </row>
    <row r="32" spans="1:15" x14ac:dyDescent="0.45">
      <c r="A32" s="6" t="s">
        <v>58</v>
      </c>
      <c r="B32">
        <v>7.3896409217668019E-2</v>
      </c>
      <c r="G32" s="6" t="s">
        <v>58</v>
      </c>
      <c r="H32">
        <v>7.3896409217668019E-2</v>
      </c>
    </row>
    <row r="35" spans="1:5" x14ac:dyDescent="0.45">
      <c r="A35" s="39" t="s">
        <v>73</v>
      </c>
      <c r="B35" s="39"/>
      <c r="C35" s="39"/>
    </row>
    <row r="37" spans="1:5" x14ac:dyDescent="0.45">
      <c r="A37" s="5" t="s">
        <v>57</v>
      </c>
      <c r="B37" t="s">
        <v>72</v>
      </c>
    </row>
    <row r="38" spans="1:5" x14ac:dyDescent="0.45">
      <c r="A38" s="6" t="s">
        <v>14</v>
      </c>
      <c r="B38">
        <v>3.4285714285714284</v>
      </c>
      <c r="D38" s="6" t="s">
        <v>14</v>
      </c>
      <c r="E38" s="21">
        <f>GETPIVOTDATA("Order Delay",$A$37,"Supplier Name","Alpha Supplies")</f>
        <v>3.4285714285714284</v>
      </c>
    </row>
    <row r="39" spans="1:5" x14ac:dyDescent="0.45">
      <c r="A39" s="6" t="s">
        <v>13</v>
      </c>
      <c r="B39">
        <v>3</v>
      </c>
      <c r="D39" s="6" t="s">
        <v>13</v>
      </c>
      <c r="E39" s="21">
        <f>GETPIVOTDATA("Order Delay",$A$37,"Supplier Name","Beta Traders")</f>
        <v>3</v>
      </c>
    </row>
    <row r="40" spans="1:5" x14ac:dyDescent="0.45">
      <c r="A40" s="6" t="s">
        <v>16</v>
      </c>
      <c r="B40">
        <v>3.5</v>
      </c>
      <c r="D40" s="6" t="s">
        <v>16</v>
      </c>
      <c r="E40" s="21">
        <f>GETPIVOTDATA("Order Delay",$A$37,"Supplier Name","Global Sourcing")</f>
        <v>3.5</v>
      </c>
    </row>
    <row r="41" spans="1:5" x14ac:dyDescent="0.45">
      <c r="A41" s="6" t="s">
        <v>15</v>
      </c>
      <c r="B41">
        <v>2.8</v>
      </c>
      <c r="D41" s="6" t="s">
        <v>15</v>
      </c>
      <c r="E41" s="21">
        <f>GETPIVOTDATA("Order Delay",$A$37,"Supplier Name","NextGen Materials")</f>
        <v>2.8</v>
      </c>
    </row>
    <row r="42" spans="1:5" x14ac:dyDescent="0.45">
      <c r="A42" s="6" t="s">
        <v>17</v>
      </c>
      <c r="B42">
        <v>3.125</v>
      </c>
      <c r="D42" s="6" t="s">
        <v>17</v>
      </c>
      <c r="E42" s="21">
        <f>GETPIVOTDATA("Order Delay",$A$37,"Supplier Name","Prime Industries")</f>
        <v>3.125</v>
      </c>
    </row>
    <row r="43" spans="1:5" x14ac:dyDescent="0.45">
      <c r="A43" s="6" t="s">
        <v>58</v>
      </c>
      <c r="B43">
        <v>3.1875</v>
      </c>
      <c r="E43" s="21">
        <f>GETPIVOTDATA("Order Delay",$A$37)</f>
        <v>3.1875</v>
      </c>
    </row>
    <row r="47" spans="1:5" x14ac:dyDescent="0.45">
      <c r="A47" s="39" t="s">
        <v>62</v>
      </c>
      <c r="B47" s="39"/>
      <c r="C47" s="39"/>
    </row>
    <row r="49" spans="1:8" x14ac:dyDescent="0.45">
      <c r="A49" s="5" t="s">
        <v>57</v>
      </c>
      <c r="B49" t="s">
        <v>80</v>
      </c>
      <c r="C49" t="s">
        <v>81</v>
      </c>
      <c r="F49" s="13" t="s">
        <v>63</v>
      </c>
      <c r="G49" s="13" t="s">
        <v>64</v>
      </c>
      <c r="H49" s="13" t="s">
        <v>62</v>
      </c>
    </row>
    <row r="50" spans="1:8" x14ac:dyDescent="0.45">
      <c r="A50" s="6" t="s">
        <v>14</v>
      </c>
      <c r="B50">
        <v>3</v>
      </c>
      <c r="C50">
        <v>5</v>
      </c>
      <c r="E50" s="14" t="s">
        <v>14</v>
      </c>
      <c r="F50" s="11">
        <f>SUM(B50:C50)</f>
        <v>8</v>
      </c>
      <c r="G50" s="1">
        <f>GETPIVOTDATA("Sum of Defect",$A$49,"Supplier Name","Alpha Supplies")</f>
        <v>3</v>
      </c>
      <c r="H50" s="12">
        <f>G50/F50</f>
        <v>0.375</v>
      </c>
    </row>
    <row r="51" spans="1:8" x14ac:dyDescent="0.45">
      <c r="A51" s="6" t="s">
        <v>13</v>
      </c>
      <c r="B51">
        <v>7</v>
      </c>
      <c r="C51">
        <v>6</v>
      </c>
      <c r="E51" s="14" t="s">
        <v>13</v>
      </c>
      <c r="F51" s="11">
        <f t="shared" ref="F51:F54" si="0">SUM(B51:C51)</f>
        <v>13</v>
      </c>
      <c r="G51" s="1">
        <f>GETPIVOTDATA("Sum of Defect",$A$49,"Supplier Name","Beta Traders")</f>
        <v>7</v>
      </c>
      <c r="H51" s="12">
        <f t="shared" ref="H51:H54" si="1">G51/F51</f>
        <v>0.53846153846153844</v>
      </c>
    </row>
    <row r="52" spans="1:8" x14ac:dyDescent="0.45">
      <c r="A52" s="6" t="s">
        <v>16</v>
      </c>
      <c r="B52">
        <v>4</v>
      </c>
      <c r="C52">
        <v>4</v>
      </c>
      <c r="E52" s="14" t="s">
        <v>16</v>
      </c>
      <c r="F52" s="11">
        <f t="shared" si="0"/>
        <v>8</v>
      </c>
      <c r="G52" s="1">
        <f>GETPIVOTDATA("Sum of Defect",$A$49,"Supplier Name","Global Sourcing")</f>
        <v>4</v>
      </c>
      <c r="H52" s="12">
        <f t="shared" si="1"/>
        <v>0.5</v>
      </c>
    </row>
    <row r="53" spans="1:8" x14ac:dyDescent="0.45">
      <c r="A53" s="6" t="s">
        <v>15</v>
      </c>
      <c r="B53">
        <v>4</v>
      </c>
      <c r="C53">
        <v>4</v>
      </c>
      <c r="E53" s="14" t="s">
        <v>15</v>
      </c>
      <c r="F53" s="11">
        <f t="shared" si="0"/>
        <v>8</v>
      </c>
      <c r="G53" s="1">
        <f>GETPIVOTDATA("Sum of Defect",$A$49,"Supplier Name","NextGen Materials")</f>
        <v>4</v>
      </c>
      <c r="H53" s="12">
        <f t="shared" si="1"/>
        <v>0.5</v>
      </c>
    </row>
    <row r="54" spans="1:8" x14ac:dyDescent="0.45">
      <c r="A54" s="6" t="s">
        <v>17</v>
      </c>
      <c r="B54">
        <v>5</v>
      </c>
      <c r="C54">
        <v>8</v>
      </c>
      <c r="E54" s="14" t="s">
        <v>17</v>
      </c>
      <c r="F54" s="11">
        <f t="shared" si="0"/>
        <v>13</v>
      </c>
      <c r="G54" s="1">
        <f>GETPIVOTDATA("Sum of Defect",$A$49,"Supplier Name","Prime Industries")</f>
        <v>5</v>
      </c>
      <c r="H54" s="12">
        <f t="shared" si="1"/>
        <v>0.38461538461538464</v>
      </c>
    </row>
    <row r="55" spans="1:8" x14ac:dyDescent="0.45">
      <c r="A55" s="6" t="s">
        <v>58</v>
      </c>
      <c r="B55">
        <v>23</v>
      </c>
      <c r="C55">
        <v>27</v>
      </c>
      <c r="D55" s="12"/>
      <c r="H55" s="12">
        <f>AVERAGE(H50:H54)</f>
        <v>0.45961538461538459</v>
      </c>
    </row>
    <row r="57" spans="1:8" x14ac:dyDescent="0.45">
      <c r="A57" s="39" t="s">
        <v>95</v>
      </c>
      <c r="B57" s="39"/>
      <c r="C57" s="39"/>
    </row>
    <row r="59" spans="1:8" x14ac:dyDescent="0.45">
      <c r="A59" s="5" t="s">
        <v>57</v>
      </c>
      <c r="B59" t="s">
        <v>59</v>
      </c>
    </row>
    <row r="60" spans="1:8" x14ac:dyDescent="0.45">
      <c r="A60" s="6" t="s">
        <v>83</v>
      </c>
      <c r="B60" s="22">
        <v>180504.46</v>
      </c>
    </row>
    <row r="61" spans="1:8" x14ac:dyDescent="0.45">
      <c r="A61" s="6" t="s">
        <v>84</v>
      </c>
      <c r="B61" s="22">
        <v>255985.22999999998</v>
      </c>
    </row>
    <row r="62" spans="1:8" x14ac:dyDescent="0.45">
      <c r="A62" s="6" t="s">
        <v>85</v>
      </c>
      <c r="B62" s="22">
        <v>120535.49</v>
      </c>
    </row>
    <row r="63" spans="1:8" x14ac:dyDescent="0.45">
      <c r="A63" s="6" t="s">
        <v>86</v>
      </c>
      <c r="B63" s="22">
        <v>317294.37</v>
      </c>
    </row>
    <row r="64" spans="1:8" x14ac:dyDescent="0.45">
      <c r="A64" s="6" t="s">
        <v>87</v>
      </c>
      <c r="B64" s="22">
        <v>223041.94000000003</v>
      </c>
    </row>
    <row r="65" spans="1:3" x14ac:dyDescent="0.45">
      <c r="A65" s="6" t="s">
        <v>88</v>
      </c>
      <c r="B65" s="22">
        <v>434029.27</v>
      </c>
    </row>
    <row r="66" spans="1:3" x14ac:dyDescent="0.45">
      <c r="A66" s="6" t="s">
        <v>89</v>
      </c>
      <c r="B66" s="22">
        <v>277519.51</v>
      </c>
    </row>
    <row r="67" spans="1:3" x14ac:dyDescent="0.45">
      <c r="A67" s="6" t="s">
        <v>90</v>
      </c>
      <c r="B67" s="22">
        <v>65160.959999999999</v>
      </c>
    </row>
    <row r="68" spans="1:3" x14ac:dyDescent="0.45">
      <c r="A68" s="6" t="s">
        <v>91</v>
      </c>
      <c r="B68" s="22">
        <v>441133.26</v>
      </c>
    </row>
    <row r="69" spans="1:3" x14ac:dyDescent="0.45">
      <c r="A69" s="6" t="s">
        <v>92</v>
      </c>
      <c r="B69" s="22">
        <v>922046.24</v>
      </c>
    </row>
    <row r="70" spans="1:3" x14ac:dyDescent="0.45">
      <c r="A70" s="6" t="s">
        <v>93</v>
      </c>
      <c r="B70" s="22">
        <v>271512.20999999996</v>
      </c>
    </row>
    <row r="71" spans="1:3" x14ac:dyDescent="0.45">
      <c r="A71" s="6" t="s">
        <v>94</v>
      </c>
      <c r="B71" s="22">
        <v>377649.70000000007</v>
      </c>
    </row>
    <row r="72" spans="1:3" x14ac:dyDescent="0.45">
      <c r="A72" s="6" t="s">
        <v>58</v>
      </c>
      <c r="B72">
        <v>3886412.6400000006</v>
      </c>
    </row>
    <row r="74" spans="1:3" x14ac:dyDescent="0.45">
      <c r="A74" s="39" t="s">
        <v>70</v>
      </c>
      <c r="B74" s="39"/>
      <c r="C74" s="39"/>
    </row>
    <row r="76" spans="1:3" x14ac:dyDescent="0.45">
      <c r="A76" s="5" t="s">
        <v>57</v>
      </c>
      <c r="B76" t="s">
        <v>71</v>
      </c>
    </row>
    <row r="77" spans="1:3" x14ac:dyDescent="0.45">
      <c r="A77" s="6" t="s">
        <v>83</v>
      </c>
      <c r="B77">
        <v>4</v>
      </c>
    </row>
    <row r="78" spans="1:3" x14ac:dyDescent="0.45">
      <c r="A78" s="6" t="s">
        <v>84</v>
      </c>
      <c r="B78">
        <v>3</v>
      </c>
    </row>
    <row r="79" spans="1:3" x14ac:dyDescent="0.45">
      <c r="A79" s="6" t="s">
        <v>85</v>
      </c>
      <c r="B79">
        <v>2</v>
      </c>
    </row>
    <row r="80" spans="1:3" x14ac:dyDescent="0.45">
      <c r="A80" s="6" t="s">
        <v>86</v>
      </c>
      <c r="B80">
        <v>5</v>
      </c>
    </row>
    <row r="81" spans="1:3" x14ac:dyDescent="0.45">
      <c r="A81" s="6" t="s">
        <v>87</v>
      </c>
      <c r="B81">
        <v>5</v>
      </c>
    </row>
    <row r="82" spans="1:3" x14ac:dyDescent="0.45">
      <c r="A82" s="6" t="s">
        <v>88</v>
      </c>
      <c r="B82">
        <v>5</v>
      </c>
    </row>
    <row r="83" spans="1:3" x14ac:dyDescent="0.45">
      <c r="A83" s="6" t="s">
        <v>89</v>
      </c>
      <c r="B83">
        <v>3</v>
      </c>
    </row>
    <row r="84" spans="1:3" x14ac:dyDescent="0.45">
      <c r="A84" s="6" t="s">
        <v>90</v>
      </c>
      <c r="B84">
        <v>1</v>
      </c>
    </row>
    <row r="85" spans="1:3" x14ac:dyDescent="0.45">
      <c r="A85" s="6" t="s">
        <v>91</v>
      </c>
      <c r="B85">
        <v>4</v>
      </c>
    </row>
    <row r="86" spans="1:3" x14ac:dyDescent="0.45">
      <c r="A86" s="6" t="s">
        <v>92</v>
      </c>
      <c r="B86">
        <v>7</v>
      </c>
    </row>
    <row r="87" spans="1:3" x14ac:dyDescent="0.45">
      <c r="A87" s="6" t="s">
        <v>93</v>
      </c>
      <c r="B87">
        <v>5</v>
      </c>
    </row>
    <row r="88" spans="1:3" x14ac:dyDescent="0.45">
      <c r="A88" s="6" t="s">
        <v>94</v>
      </c>
      <c r="B88">
        <v>6</v>
      </c>
    </row>
    <row r="89" spans="1:3" x14ac:dyDescent="0.45">
      <c r="A89" s="6" t="s">
        <v>58</v>
      </c>
      <c r="B89">
        <v>50</v>
      </c>
    </row>
    <row r="91" spans="1:3" x14ac:dyDescent="0.45">
      <c r="A91" s="39" t="s">
        <v>96</v>
      </c>
      <c r="B91" s="39"/>
      <c r="C91" s="39"/>
    </row>
    <row r="93" spans="1:3" x14ac:dyDescent="0.45">
      <c r="A93" s="5" t="s">
        <v>57</v>
      </c>
      <c r="B93" t="s">
        <v>79</v>
      </c>
    </row>
    <row r="94" spans="1:3" x14ac:dyDescent="0.45">
      <c r="A94" s="6" t="s">
        <v>83</v>
      </c>
      <c r="B94">
        <v>4</v>
      </c>
    </row>
    <row r="95" spans="1:3" x14ac:dyDescent="0.45">
      <c r="A95" s="6" t="s">
        <v>84</v>
      </c>
      <c r="B95">
        <v>3</v>
      </c>
    </row>
    <row r="96" spans="1:3" x14ac:dyDescent="0.45">
      <c r="A96" s="6" t="s">
        <v>85</v>
      </c>
      <c r="B96">
        <v>2</v>
      </c>
    </row>
    <row r="97" spans="1:3" x14ac:dyDescent="0.45">
      <c r="A97" s="6" t="s">
        <v>86</v>
      </c>
      <c r="B97">
        <v>5</v>
      </c>
    </row>
    <row r="98" spans="1:3" x14ac:dyDescent="0.45">
      <c r="A98" s="6" t="s">
        <v>87</v>
      </c>
      <c r="B98">
        <v>5</v>
      </c>
    </row>
    <row r="99" spans="1:3" x14ac:dyDescent="0.45">
      <c r="A99" s="6" t="s">
        <v>88</v>
      </c>
      <c r="B99">
        <v>5</v>
      </c>
    </row>
    <row r="100" spans="1:3" x14ac:dyDescent="0.45">
      <c r="A100" s="6" t="s">
        <v>89</v>
      </c>
      <c r="B100">
        <v>3</v>
      </c>
    </row>
    <row r="101" spans="1:3" x14ac:dyDescent="0.45">
      <c r="A101" s="6" t="s">
        <v>90</v>
      </c>
      <c r="B101">
        <v>1</v>
      </c>
    </row>
    <row r="102" spans="1:3" x14ac:dyDescent="0.45">
      <c r="A102" s="6" t="s">
        <v>91</v>
      </c>
      <c r="B102">
        <v>4</v>
      </c>
    </row>
    <row r="103" spans="1:3" x14ac:dyDescent="0.45">
      <c r="A103" s="6" t="s">
        <v>92</v>
      </c>
      <c r="B103">
        <v>7</v>
      </c>
    </row>
    <row r="104" spans="1:3" x14ac:dyDescent="0.45">
      <c r="A104" s="6" t="s">
        <v>93</v>
      </c>
      <c r="B104">
        <v>5</v>
      </c>
    </row>
    <row r="105" spans="1:3" x14ac:dyDescent="0.45">
      <c r="A105" s="6" t="s">
        <v>94</v>
      </c>
      <c r="B105">
        <v>6</v>
      </c>
    </row>
    <row r="106" spans="1:3" x14ac:dyDescent="0.45">
      <c r="A106" s="6" t="s">
        <v>58</v>
      </c>
      <c r="B106">
        <v>50</v>
      </c>
    </row>
    <row r="108" spans="1:3" x14ac:dyDescent="0.45">
      <c r="A108" s="39" t="s">
        <v>97</v>
      </c>
      <c r="B108" s="39"/>
      <c r="C108" s="39"/>
    </row>
    <row r="110" spans="1:3" x14ac:dyDescent="0.45">
      <c r="A110" s="5" t="s">
        <v>57</v>
      </c>
      <c r="B110" t="s">
        <v>59</v>
      </c>
    </row>
    <row r="111" spans="1:3" x14ac:dyDescent="0.45">
      <c r="A111" s="6" t="s">
        <v>19</v>
      </c>
      <c r="B111">
        <v>772817.36999999988</v>
      </c>
    </row>
    <row r="112" spans="1:3" x14ac:dyDescent="0.45">
      <c r="A112" s="6" t="s">
        <v>22</v>
      </c>
      <c r="B112">
        <v>1281769.45</v>
      </c>
    </row>
    <row r="113" spans="1:13" x14ac:dyDescent="0.45">
      <c r="A113" s="6" t="s">
        <v>20</v>
      </c>
      <c r="B113">
        <v>1272937.69</v>
      </c>
    </row>
    <row r="114" spans="1:13" x14ac:dyDescent="0.45">
      <c r="A114" s="6" t="s">
        <v>21</v>
      </c>
      <c r="B114">
        <v>141444.04999999999</v>
      </c>
    </row>
    <row r="115" spans="1:13" x14ac:dyDescent="0.45">
      <c r="A115" s="6" t="s">
        <v>18</v>
      </c>
      <c r="B115">
        <v>417444.08</v>
      </c>
    </row>
    <row r="116" spans="1:13" x14ac:dyDescent="0.45">
      <c r="A116" s="6" t="s">
        <v>58</v>
      </c>
      <c r="B116">
        <v>3886412.6399999997</v>
      </c>
    </row>
    <row r="118" spans="1:13" x14ac:dyDescent="0.45">
      <c r="A118" s="39" t="s">
        <v>98</v>
      </c>
      <c r="B118" s="39"/>
      <c r="C118" s="39"/>
    </row>
    <row r="120" spans="1:13" x14ac:dyDescent="0.45">
      <c r="A120" s="5" t="s">
        <v>57</v>
      </c>
      <c r="B120" t="s">
        <v>100</v>
      </c>
      <c r="C120" t="s">
        <v>59</v>
      </c>
      <c r="F120" s="27" t="s">
        <v>0</v>
      </c>
      <c r="G120" s="27" t="s">
        <v>1</v>
      </c>
      <c r="H120" s="27" t="s">
        <v>3</v>
      </c>
      <c r="I120" s="27" t="s">
        <v>40</v>
      </c>
      <c r="J120" s="27" t="s">
        <v>50</v>
      </c>
      <c r="K120" s="27" t="s">
        <v>70</v>
      </c>
      <c r="L120" s="1" t="s">
        <v>101</v>
      </c>
      <c r="M120" s="1" t="s">
        <v>99</v>
      </c>
    </row>
    <row r="121" spans="1:13" x14ac:dyDescent="0.45">
      <c r="A121" s="6">
        <v>7</v>
      </c>
      <c r="B121">
        <v>486</v>
      </c>
      <c r="C121">
        <v>184291.20000000001</v>
      </c>
      <c r="F121" s="1">
        <v>7</v>
      </c>
      <c r="G121" s="1" t="s">
        <v>14</v>
      </c>
      <c r="H121" s="1" t="s">
        <v>27</v>
      </c>
      <c r="I121" s="1" t="s">
        <v>43</v>
      </c>
      <c r="J121" s="1" t="s">
        <v>51</v>
      </c>
      <c r="K121" s="1">
        <v>5</v>
      </c>
      <c r="L121" s="1">
        <v>486</v>
      </c>
      <c r="M121" s="1">
        <v>184291.20000000001</v>
      </c>
    </row>
    <row r="122" spans="1:13" x14ac:dyDescent="0.45">
      <c r="A122" s="18" t="s">
        <v>14</v>
      </c>
      <c r="B122">
        <v>486</v>
      </c>
      <c r="C122">
        <v>184291.20000000001</v>
      </c>
      <c r="F122" s="1">
        <v>14</v>
      </c>
      <c r="G122" s="1" t="s">
        <v>14</v>
      </c>
      <c r="H122" s="1" t="s">
        <v>28</v>
      </c>
      <c r="I122" s="1" t="s">
        <v>45</v>
      </c>
      <c r="J122" s="1" t="s">
        <v>51</v>
      </c>
      <c r="K122" s="1">
        <v>1</v>
      </c>
      <c r="L122" s="1">
        <v>344</v>
      </c>
      <c r="M122" s="1">
        <v>160011.6</v>
      </c>
    </row>
    <row r="123" spans="1:13" x14ac:dyDescent="0.45">
      <c r="A123" s="23" t="s">
        <v>27</v>
      </c>
      <c r="B123">
        <v>486</v>
      </c>
      <c r="C123">
        <v>184291.20000000001</v>
      </c>
      <c r="F123" s="1">
        <v>20</v>
      </c>
      <c r="G123" s="1" t="s">
        <v>16</v>
      </c>
      <c r="H123" s="1" t="s">
        <v>27</v>
      </c>
      <c r="I123" s="1" t="s">
        <v>43</v>
      </c>
      <c r="J123" s="1" t="s">
        <v>51</v>
      </c>
      <c r="K123" s="1">
        <v>1</v>
      </c>
      <c r="L123" s="1">
        <v>409</v>
      </c>
      <c r="M123" s="1">
        <v>180516.24</v>
      </c>
    </row>
    <row r="124" spans="1:13" x14ac:dyDescent="0.45">
      <c r="A124" s="24" t="s">
        <v>43</v>
      </c>
      <c r="B124">
        <v>486</v>
      </c>
      <c r="C124">
        <v>184291.20000000001</v>
      </c>
      <c r="F124" s="1">
        <v>24</v>
      </c>
      <c r="G124" s="1" t="s">
        <v>13</v>
      </c>
      <c r="H124" s="1" t="s">
        <v>23</v>
      </c>
      <c r="I124" s="1" t="s">
        <v>45</v>
      </c>
      <c r="J124" s="1" t="s">
        <v>51</v>
      </c>
      <c r="K124" s="1">
        <v>1</v>
      </c>
      <c r="L124" s="1">
        <v>440</v>
      </c>
      <c r="M124" s="1">
        <v>164564.4</v>
      </c>
    </row>
    <row r="125" spans="1:13" x14ac:dyDescent="0.45">
      <c r="A125" s="25" t="s">
        <v>51</v>
      </c>
      <c r="B125">
        <v>486</v>
      </c>
      <c r="C125">
        <v>184291.20000000001</v>
      </c>
      <c r="F125" s="1">
        <v>25</v>
      </c>
      <c r="G125" s="1" t="s">
        <v>16</v>
      </c>
      <c r="H125" s="1" t="s">
        <v>27</v>
      </c>
      <c r="I125" s="1" t="s">
        <v>48</v>
      </c>
      <c r="J125" s="1" t="s">
        <v>51</v>
      </c>
      <c r="K125" s="1">
        <v>3</v>
      </c>
      <c r="L125" s="1">
        <v>476</v>
      </c>
      <c r="M125" s="1">
        <v>233454.2</v>
      </c>
    </row>
    <row r="126" spans="1:13" x14ac:dyDescent="0.45">
      <c r="A126" s="26">
        <v>5</v>
      </c>
      <c r="B126">
        <v>486</v>
      </c>
      <c r="C126">
        <v>184291.20000000001</v>
      </c>
    </row>
    <row r="127" spans="1:13" x14ac:dyDescent="0.45">
      <c r="A127" s="6">
        <v>14</v>
      </c>
      <c r="B127">
        <v>344</v>
      </c>
      <c r="C127">
        <v>160011.6</v>
      </c>
    </row>
    <row r="128" spans="1:13" x14ac:dyDescent="0.45">
      <c r="A128" s="18" t="s">
        <v>14</v>
      </c>
      <c r="B128">
        <v>344</v>
      </c>
      <c r="C128">
        <v>160011.6</v>
      </c>
    </row>
    <row r="129" spans="1:3" x14ac:dyDescent="0.45">
      <c r="A129" s="23" t="s">
        <v>28</v>
      </c>
      <c r="B129">
        <v>344</v>
      </c>
      <c r="C129">
        <v>160011.6</v>
      </c>
    </row>
    <row r="130" spans="1:3" x14ac:dyDescent="0.45">
      <c r="A130" s="24" t="s">
        <v>45</v>
      </c>
      <c r="B130">
        <v>344</v>
      </c>
      <c r="C130">
        <v>160011.6</v>
      </c>
    </row>
    <row r="131" spans="1:3" x14ac:dyDescent="0.45">
      <c r="A131" s="25" t="s">
        <v>51</v>
      </c>
      <c r="B131">
        <v>344</v>
      </c>
      <c r="C131">
        <v>160011.6</v>
      </c>
    </row>
    <row r="132" spans="1:3" x14ac:dyDescent="0.45">
      <c r="A132" s="26">
        <v>1</v>
      </c>
      <c r="B132">
        <v>344</v>
      </c>
      <c r="C132">
        <v>160011.6</v>
      </c>
    </row>
    <row r="133" spans="1:3" x14ac:dyDescent="0.45">
      <c r="A133" s="6">
        <v>20</v>
      </c>
      <c r="B133">
        <v>409</v>
      </c>
      <c r="C133">
        <v>180516.24</v>
      </c>
    </row>
    <row r="134" spans="1:3" x14ac:dyDescent="0.45">
      <c r="A134" s="18" t="s">
        <v>16</v>
      </c>
      <c r="B134">
        <v>409</v>
      </c>
      <c r="C134">
        <v>180516.24</v>
      </c>
    </row>
    <row r="135" spans="1:3" x14ac:dyDescent="0.45">
      <c r="A135" s="23" t="s">
        <v>27</v>
      </c>
      <c r="B135">
        <v>409</v>
      </c>
      <c r="C135">
        <v>180516.24</v>
      </c>
    </row>
    <row r="136" spans="1:3" x14ac:dyDescent="0.45">
      <c r="A136" s="24" t="s">
        <v>43</v>
      </c>
      <c r="B136">
        <v>409</v>
      </c>
      <c r="C136">
        <v>180516.24</v>
      </c>
    </row>
    <row r="137" spans="1:3" x14ac:dyDescent="0.45">
      <c r="A137" s="25" t="s">
        <v>51</v>
      </c>
      <c r="B137">
        <v>409</v>
      </c>
      <c r="C137">
        <v>180516.24</v>
      </c>
    </row>
    <row r="138" spans="1:3" x14ac:dyDescent="0.45">
      <c r="A138" s="26">
        <v>1</v>
      </c>
      <c r="B138">
        <v>409</v>
      </c>
      <c r="C138">
        <v>180516.24</v>
      </c>
    </row>
    <row r="139" spans="1:3" x14ac:dyDescent="0.45">
      <c r="A139" s="6">
        <v>24</v>
      </c>
      <c r="B139">
        <v>440</v>
      </c>
      <c r="C139">
        <v>164564.4</v>
      </c>
    </row>
    <row r="140" spans="1:3" x14ac:dyDescent="0.45">
      <c r="A140" s="18" t="s">
        <v>13</v>
      </c>
      <c r="B140">
        <v>440</v>
      </c>
      <c r="C140">
        <v>164564.4</v>
      </c>
    </row>
    <row r="141" spans="1:3" x14ac:dyDescent="0.45">
      <c r="A141" s="23" t="s">
        <v>23</v>
      </c>
      <c r="B141">
        <v>440</v>
      </c>
      <c r="C141">
        <v>164564.4</v>
      </c>
    </row>
    <row r="142" spans="1:3" x14ac:dyDescent="0.45">
      <c r="A142" s="24" t="s">
        <v>45</v>
      </c>
      <c r="B142">
        <v>440</v>
      </c>
      <c r="C142">
        <v>164564.4</v>
      </c>
    </row>
    <row r="143" spans="1:3" x14ac:dyDescent="0.45">
      <c r="A143" s="25" t="s">
        <v>51</v>
      </c>
      <c r="B143">
        <v>440</v>
      </c>
      <c r="C143">
        <v>164564.4</v>
      </c>
    </row>
    <row r="144" spans="1:3" x14ac:dyDescent="0.45">
      <c r="A144" s="26">
        <v>1</v>
      </c>
      <c r="B144">
        <v>440</v>
      </c>
      <c r="C144">
        <v>164564.4</v>
      </c>
    </row>
    <row r="145" spans="1:3" x14ac:dyDescent="0.45">
      <c r="A145" s="6">
        <v>25</v>
      </c>
      <c r="B145">
        <v>476</v>
      </c>
      <c r="C145">
        <v>233454.2</v>
      </c>
    </row>
    <row r="146" spans="1:3" x14ac:dyDescent="0.45">
      <c r="A146" s="18" t="s">
        <v>16</v>
      </c>
      <c r="B146">
        <v>476</v>
      </c>
      <c r="C146">
        <v>233454.2</v>
      </c>
    </row>
    <row r="147" spans="1:3" x14ac:dyDescent="0.45">
      <c r="A147" s="23" t="s">
        <v>27</v>
      </c>
      <c r="B147">
        <v>476</v>
      </c>
      <c r="C147">
        <v>233454.2</v>
      </c>
    </row>
    <row r="148" spans="1:3" x14ac:dyDescent="0.45">
      <c r="A148" s="24" t="s">
        <v>48</v>
      </c>
      <c r="B148">
        <v>476</v>
      </c>
      <c r="C148">
        <v>233454.2</v>
      </c>
    </row>
    <row r="149" spans="1:3" x14ac:dyDescent="0.45">
      <c r="A149" s="25" t="s">
        <v>51</v>
      </c>
      <c r="B149">
        <v>476</v>
      </c>
      <c r="C149">
        <v>233454.2</v>
      </c>
    </row>
    <row r="150" spans="1:3" x14ac:dyDescent="0.45">
      <c r="A150" s="26">
        <v>3</v>
      </c>
      <c r="B150">
        <v>476</v>
      </c>
      <c r="C150">
        <v>233454.2</v>
      </c>
    </row>
    <row r="151" spans="1:3" x14ac:dyDescent="0.45">
      <c r="A151" s="6" t="s">
        <v>58</v>
      </c>
      <c r="B151">
        <v>2155</v>
      </c>
      <c r="C151">
        <v>922837.64000000013</v>
      </c>
    </row>
  </sheetData>
  <mergeCells count="12">
    <mergeCell ref="A1:C1"/>
    <mergeCell ref="A12:C12"/>
    <mergeCell ref="A47:C47"/>
    <mergeCell ref="A24:C24"/>
    <mergeCell ref="A35:C35"/>
    <mergeCell ref="A118:C118"/>
    <mergeCell ref="M27:N27"/>
    <mergeCell ref="M28:N28"/>
    <mergeCell ref="A57:C57"/>
    <mergeCell ref="A74:C74"/>
    <mergeCell ref="A91:C91"/>
    <mergeCell ref="A108:C10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Input Data</vt:lpstr>
      <vt:lpstr>Key KPIs</vt:lpstr>
      <vt:lpstr>Computation</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manish gupta</cp:lastModifiedBy>
  <dcterms:created xsi:type="dcterms:W3CDTF">2025-09-12T15:06:47Z</dcterms:created>
  <dcterms:modified xsi:type="dcterms:W3CDTF">2025-09-13T17:57:40Z</dcterms:modified>
</cp:coreProperties>
</file>