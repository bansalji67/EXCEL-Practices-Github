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315" windowWidth="20115" windowHeight="7755"/>
  </bookViews>
  <sheets>
    <sheet name="Dashboard1" sheetId="1" r:id="rId1"/>
    <sheet name="Sheet2" sheetId="2" r:id="rId2"/>
    <sheet name="Dashboard2" sheetId="3" r:id="rId3"/>
    <sheet name="Calculation" sheetId="4" r:id="rId4"/>
    <sheet name="Dashboard3" sheetId="5" r:id="rId5"/>
    <sheet name="Data" sheetId="6" r:id="rId6"/>
    <sheet name="Dashboard4" sheetId="7" r:id="rId7"/>
    <sheet name="Data1" sheetId="8" r:id="rId8"/>
    <sheet name="Inputs" sheetId="9" r:id="rId9"/>
    <sheet name="Sheet8" sheetId="10" r:id="rId10"/>
    <sheet name="Sheet1" sheetId="11" r:id="rId11"/>
  </sheets>
  <externalReferences>
    <externalReference r:id="rId12"/>
  </externalReferences>
  <definedNames>
    <definedName name="_xlnm._FilterDatabase" localSheetId="4" hidden="1">Dashboard3!$A$1:$C$21</definedName>
    <definedName name="_xlnm._FilterDatabase" localSheetId="5" hidden="1">Data!$A$1:$E$100</definedName>
    <definedName name="Count">Data1!$G$1:$G$141</definedName>
    <definedName name="KPI_1">Data1!$H$1:$H$141</definedName>
    <definedName name="KPI_Name">Inputs!$I$2:$J$5</definedName>
    <definedName name="KPIDATA">Table1[]</definedName>
    <definedName name="Period">Data1!$A$1:$A$141</definedName>
    <definedName name="Period_List">Inputs!$G$2:$G$14</definedName>
    <definedName name="Position_Range">Inputs!$A$2:$A$9</definedName>
    <definedName name="Prod_List">Inputs!$C$2:$C$6</definedName>
    <definedName name="Product">Data1!$B$1:$B$141</definedName>
    <definedName name="Product_LUP">[1]Inputs!$M$9:$P$12</definedName>
    <definedName name="Sales_Per">Data1!$C$1:$C$141</definedName>
    <definedName name="SP_List">Inputs!$E$2:$E$7</definedName>
    <definedName name="Total_GP">Data1!$J$1:$J$141</definedName>
    <definedName name="Total_Sales">Data1!$I$1:$I$141</definedName>
  </definedNames>
  <calcPr calcId="144525" iterate="1"/>
</workbook>
</file>

<file path=xl/calcChain.xml><?xml version="1.0" encoding="utf-8"?>
<calcChain xmlns="http://schemas.openxmlformats.org/spreadsheetml/2006/main">
  <c r="C3" i="11" l="1"/>
  <c r="B2" i="10"/>
  <c r="E141" i="8" l="1"/>
  <c r="F141" i="8" s="1"/>
  <c r="J141" i="8" s="1"/>
  <c r="D141" i="8"/>
  <c r="E140" i="8"/>
  <c r="I140" i="8" s="1"/>
  <c r="D140" i="8"/>
  <c r="E139" i="8"/>
  <c r="F139" i="8" s="1"/>
  <c r="J139" i="8" s="1"/>
  <c r="D139" i="8"/>
  <c r="E138" i="8"/>
  <c r="I138" i="8" s="1"/>
  <c r="D138" i="8"/>
  <c r="E137" i="8"/>
  <c r="F137" i="8" s="1"/>
  <c r="J137" i="8" s="1"/>
  <c r="D137" i="8"/>
  <c r="E136" i="8"/>
  <c r="I136" i="8" s="1"/>
  <c r="D136" i="8"/>
  <c r="E135" i="8"/>
  <c r="F135" i="8" s="1"/>
  <c r="J135" i="8" s="1"/>
  <c r="D135" i="8"/>
  <c r="E134" i="8"/>
  <c r="I134" i="8" s="1"/>
  <c r="D134" i="8"/>
  <c r="E133" i="8"/>
  <c r="F133" i="8" s="1"/>
  <c r="J133" i="8" s="1"/>
  <c r="D133" i="8"/>
  <c r="E132" i="8"/>
  <c r="I132" i="8" s="1"/>
  <c r="D132" i="8"/>
  <c r="E131" i="8"/>
  <c r="F131" i="8" s="1"/>
  <c r="J131" i="8" s="1"/>
  <c r="D131" i="8"/>
  <c r="E130" i="8"/>
  <c r="I130" i="8" s="1"/>
  <c r="D130" i="8"/>
  <c r="E129" i="8"/>
  <c r="F129" i="8" s="1"/>
  <c r="J129" i="8" s="1"/>
  <c r="D129" i="8"/>
  <c r="E128" i="8"/>
  <c r="I128" i="8" s="1"/>
  <c r="D128" i="8"/>
  <c r="E127" i="8"/>
  <c r="F127" i="8" s="1"/>
  <c r="J127" i="8" s="1"/>
  <c r="D127" i="8"/>
  <c r="E126" i="8"/>
  <c r="I126" i="8" s="1"/>
  <c r="D126" i="8"/>
  <c r="E125" i="8"/>
  <c r="F125" i="8" s="1"/>
  <c r="J125" i="8" s="1"/>
  <c r="D125" i="8"/>
  <c r="E124" i="8"/>
  <c r="I124" i="8" s="1"/>
  <c r="D124" i="8"/>
  <c r="E123" i="8"/>
  <c r="F123" i="8" s="1"/>
  <c r="J123" i="8" s="1"/>
  <c r="D123" i="8"/>
  <c r="E122" i="8"/>
  <c r="I122" i="8" s="1"/>
  <c r="D122" i="8"/>
  <c r="E121" i="8"/>
  <c r="F121" i="8" s="1"/>
  <c r="J121" i="8" s="1"/>
  <c r="D121" i="8"/>
  <c r="E120" i="8"/>
  <c r="I120" i="8" s="1"/>
  <c r="D120" i="8"/>
  <c r="E119" i="8"/>
  <c r="F119" i="8" s="1"/>
  <c r="J119" i="8" s="1"/>
  <c r="D119" i="8"/>
  <c r="E118" i="8"/>
  <c r="I118" i="8" s="1"/>
  <c r="D118" i="8"/>
  <c r="E117" i="8"/>
  <c r="F117" i="8" s="1"/>
  <c r="J117" i="8" s="1"/>
  <c r="D117" i="8"/>
  <c r="E116" i="8"/>
  <c r="I116" i="8" s="1"/>
  <c r="D116" i="8"/>
  <c r="E115" i="8"/>
  <c r="F115" i="8" s="1"/>
  <c r="J115" i="8" s="1"/>
  <c r="D115" i="8"/>
  <c r="E114" i="8"/>
  <c r="I114" i="8" s="1"/>
  <c r="D114" i="8"/>
  <c r="E113" i="8"/>
  <c r="F113" i="8" s="1"/>
  <c r="J113" i="8" s="1"/>
  <c r="D113" i="8"/>
  <c r="E112" i="8"/>
  <c r="I112" i="8" s="1"/>
  <c r="D112" i="8"/>
  <c r="E111" i="8"/>
  <c r="F111" i="8" s="1"/>
  <c r="J111" i="8" s="1"/>
  <c r="D111" i="8"/>
  <c r="E110" i="8"/>
  <c r="I110" i="8" s="1"/>
  <c r="D110" i="8"/>
  <c r="E109" i="8"/>
  <c r="F109" i="8" s="1"/>
  <c r="J109" i="8" s="1"/>
  <c r="D109" i="8"/>
  <c r="E108" i="8"/>
  <c r="I108" i="8" s="1"/>
  <c r="D108" i="8"/>
  <c r="E107" i="8"/>
  <c r="F107" i="8" s="1"/>
  <c r="J107" i="8" s="1"/>
  <c r="D107" i="8"/>
  <c r="E106" i="8"/>
  <c r="I106" i="8" s="1"/>
  <c r="D106" i="8"/>
  <c r="E105" i="8"/>
  <c r="F105" i="8" s="1"/>
  <c r="J105" i="8" s="1"/>
  <c r="D105" i="8"/>
  <c r="E104" i="8"/>
  <c r="I104" i="8" s="1"/>
  <c r="D104" i="8"/>
  <c r="E103" i="8"/>
  <c r="F103" i="8" s="1"/>
  <c r="J103" i="8" s="1"/>
  <c r="D103" i="8"/>
  <c r="E102" i="8"/>
  <c r="I102" i="8" s="1"/>
  <c r="D102" i="8"/>
  <c r="E101" i="8"/>
  <c r="F101" i="8" s="1"/>
  <c r="J101" i="8" s="1"/>
  <c r="D101" i="8"/>
  <c r="E100" i="8"/>
  <c r="I100" i="8" s="1"/>
  <c r="D100" i="8"/>
  <c r="E99" i="8"/>
  <c r="F99" i="8" s="1"/>
  <c r="J99" i="8" s="1"/>
  <c r="D99" i="8"/>
  <c r="E98" i="8"/>
  <c r="I98" i="8" s="1"/>
  <c r="D98" i="8"/>
  <c r="E97" i="8"/>
  <c r="F97" i="8" s="1"/>
  <c r="J97" i="8" s="1"/>
  <c r="D97" i="8"/>
  <c r="E96" i="8"/>
  <c r="I96" i="8" s="1"/>
  <c r="D96" i="8"/>
  <c r="E95" i="8"/>
  <c r="F95" i="8" s="1"/>
  <c r="J95" i="8" s="1"/>
  <c r="D95" i="8"/>
  <c r="E94" i="8"/>
  <c r="I94" i="8" s="1"/>
  <c r="D94" i="8"/>
  <c r="E93" i="8"/>
  <c r="F93" i="8" s="1"/>
  <c r="J93" i="8" s="1"/>
  <c r="D93" i="8"/>
  <c r="E92" i="8"/>
  <c r="I92" i="8" s="1"/>
  <c r="D92" i="8"/>
  <c r="E91" i="8"/>
  <c r="F91" i="8" s="1"/>
  <c r="J91" i="8" s="1"/>
  <c r="D91" i="8"/>
  <c r="E90" i="8"/>
  <c r="I90" i="8" s="1"/>
  <c r="D90" i="8"/>
  <c r="E89" i="8"/>
  <c r="F89" i="8" s="1"/>
  <c r="J89" i="8" s="1"/>
  <c r="D89" i="8"/>
  <c r="E88" i="8"/>
  <c r="I88" i="8" s="1"/>
  <c r="D88" i="8"/>
  <c r="E87" i="8"/>
  <c r="F87" i="8" s="1"/>
  <c r="J87" i="8" s="1"/>
  <c r="D87" i="8"/>
  <c r="E86" i="8"/>
  <c r="I86" i="8" s="1"/>
  <c r="D86" i="8"/>
  <c r="E85" i="8"/>
  <c r="I85" i="8" s="1"/>
  <c r="D85" i="8"/>
  <c r="E84" i="8"/>
  <c r="I84" i="8" s="1"/>
  <c r="D84" i="8"/>
  <c r="E83" i="8"/>
  <c r="I83" i="8" s="1"/>
  <c r="D83" i="8"/>
  <c r="E82" i="8"/>
  <c r="I82" i="8" s="1"/>
  <c r="D82" i="8"/>
  <c r="E81" i="8"/>
  <c r="I81" i="8" s="1"/>
  <c r="D81" i="8"/>
  <c r="E80" i="8"/>
  <c r="I80" i="8" s="1"/>
  <c r="D80" i="8"/>
  <c r="E79" i="8"/>
  <c r="I79" i="8" s="1"/>
  <c r="D79" i="8"/>
  <c r="E78" i="8"/>
  <c r="I78" i="8" s="1"/>
  <c r="D78" i="8"/>
  <c r="E77" i="8"/>
  <c r="I77" i="8" s="1"/>
  <c r="D77" i="8"/>
  <c r="E76" i="8"/>
  <c r="I76" i="8" s="1"/>
  <c r="D76" i="8"/>
  <c r="E75" i="8"/>
  <c r="I75" i="8" s="1"/>
  <c r="D75" i="8"/>
  <c r="E74" i="8"/>
  <c r="I74" i="8" s="1"/>
  <c r="D74" i="8"/>
  <c r="E73" i="8"/>
  <c r="I73" i="8" s="1"/>
  <c r="D73" i="8"/>
  <c r="E72" i="8"/>
  <c r="I72" i="8" s="1"/>
  <c r="D72" i="8"/>
  <c r="E71" i="8"/>
  <c r="I71" i="8" s="1"/>
  <c r="D71" i="8"/>
  <c r="E70" i="8"/>
  <c r="I70" i="8" s="1"/>
  <c r="D70" i="8"/>
  <c r="E69" i="8"/>
  <c r="I69" i="8" s="1"/>
  <c r="D69" i="8"/>
  <c r="E68" i="8"/>
  <c r="I68" i="8" s="1"/>
  <c r="D68" i="8"/>
  <c r="E67" i="8"/>
  <c r="I67" i="8" s="1"/>
  <c r="D67" i="8"/>
  <c r="E66" i="8"/>
  <c r="I66" i="8" s="1"/>
  <c r="D66" i="8"/>
  <c r="E65" i="8"/>
  <c r="I65" i="8" s="1"/>
  <c r="D65" i="8"/>
  <c r="E64" i="8"/>
  <c r="I64" i="8" s="1"/>
  <c r="D64" i="8"/>
  <c r="E63" i="8"/>
  <c r="I63" i="8" s="1"/>
  <c r="D63" i="8"/>
  <c r="E62" i="8"/>
  <c r="I62" i="8" s="1"/>
  <c r="D62" i="8"/>
  <c r="E61" i="8"/>
  <c r="I61" i="8" s="1"/>
  <c r="D61" i="8"/>
  <c r="E60" i="8"/>
  <c r="I60" i="8" s="1"/>
  <c r="D60" i="8"/>
  <c r="E59" i="8"/>
  <c r="I59" i="8" s="1"/>
  <c r="D59" i="8"/>
  <c r="E58" i="8"/>
  <c r="I58" i="8" s="1"/>
  <c r="D58" i="8"/>
  <c r="E57" i="8"/>
  <c r="I57" i="8" s="1"/>
  <c r="D57" i="8"/>
  <c r="E56" i="8"/>
  <c r="I56" i="8" s="1"/>
  <c r="D56" i="8"/>
  <c r="E55" i="8"/>
  <c r="I55" i="8" s="1"/>
  <c r="D55" i="8"/>
  <c r="E54" i="8"/>
  <c r="I54" i="8" s="1"/>
  <c r="D54" i="8"/>
  <c r="E53" i="8"/>
  <c r="I53" i="8" s="1"/>
  <c r="D53" i="8"/>
  <c r="E52" i="8"/>
  <c r="I52" i="8" s="1"/>
  <c r="D52" i="8"/>
  <c r="E51" i="8"/>
  <c r="I51" i="8" s="1"/>
  <c r="D51" i="8"/>
  <c r="E50" i="8"/>
  <c r="I50" i="8" s="1"/>
  <c r="D50" i="8"/>
  <c r="E49" i="8"/>
  <c r="I49" i="8" s="1"/>
  <c r="D49" i="8"/>
  <c r="E48" i="8"/>
  <c r="I48" i="8" s="1"/>
  <c r="D48" i="8"/>
  <c r="E47" i="8"/>
  <c r="I47" i="8" s="1"/>
  <c r="D47" i="8"/>
  <c r="E46" i="8"/>
  <c r="I46" i="8" s="1"/>
  <c r="D46" i="8"/>
  <c r="E45" i="8"/>
  <c r="I45" i="8" s="1"/>
  <c r="D45" i="8"/>
  <c r="E44" i="8"/>
  <c r="I44" i="8" s="1"/>
  <c r="D44" i="8"/>
  <c r="E43" i="8"/>
  <c r="I43" i="8" s="1"/>
  <c r="D43" i="8"/>
  <c r="E42" i="8"/>
  <c r="I42" i="8" s="1"/>
  <c r="D42" i="8"/>
  <c r="E41" i="8"/>
  <c r="I41" i="8" s="1"/>
  <c r="D41" i="8"/>
  <c r="E40" i="8"/>
  <c r="I40" i="8" s="1"/>
  <c r="D40" i="8"/>
  <c r="E39" i="8"/>
  <c r="I39" i="8" s="1"/>
  <c r="D39" i="8"/>
  <c r="E38" i="8"/>
  <c r="I38" i="8" s="1"/>
  <c r="D38" i="8"/>
  <c r="E37" i="8"/>
  <c r="I37" i="8" s="1"/>
  <c r="D37" i="8"/>
  <c r="E36" i="8"/>
  <c r="I36" i="8" s="1"/>
  <c r="D36" i="8"/>
  <c r="E35" i="8"/>
  <c r="I35" i="8" s="1"/>
  <c r="D35" i="8"/>
  <c r="E34" i="8"/>
  <c r="I34" i="8" s="1"/>
  <c r="D34" i="8"/>
  <c r="E33" i="8"/>
  <c r="I33" i="8" s="1"/>
  <c r="D33" i="8"/>
  <c r="E32" i="8"/>
  <c r="I32" i="8" s="1"/>
  <c r="D32" i="8"/>
  <c r="E31" i="8"/>
  <c r="I31" i="8" s="1"/>
  <c r="D31" i="8"/>
  <c r="E30" i="8"/>
  <c r="I30" i="8" s="1"/>
  <c r="D30" i="8"/>
  <c r="E29" i="8"/>
  <c r="D29" i="8"/>
  <c r="E28" i="8"/>
  <c r="I28" i="8" s="1"/>
  <c r="D28" i="8"/>
  <c r="I27" i="8"/>
  <c r="E27" i="8"/>
  <c r="D27" i="8"/>
  <c r="E26" i="8"/>
  <c r="I26" i="8" s="1"/>
  <c r="D26" i="8"/>
  <c r="F26" i="8" s="1"/>
  <c r="J26" i="8" s="1"/>
  <c r="E25" i="8"/>
  <c r="D25" i="8"/>
  <c r="E24" i="8"/>
  <c r="I24" i="8" s="1"/>
  <c r="D24" i="8"/>
  <c r="F24" i="8" s="1"/>
  <c r="J24" i="8" s="1"/>
  <c r="E23" i="8"/>
  <c r="D23" i="8"/>
  <c r="E22" i="8"/>
  <c r="I22" i="8" s="1"/>
  <c r="D22" i="8"/>
  <c r="E21" i="8"/>
  <c r="D21" i="8"/>
  <c r="E20" i="8"/>
  <c r="I20" i="8" s="1"/>
  <c r="D20" i="8"/>
  <c r="E19" i="8"/>
  <c r="I19" i="8" s="1"/>
  <c r="D19" i="8"/>
  <c r="E18" i="8"/>
  <c r="I18" i="8" s="1"/>
  <c r="D18" i="8"/>
  <c r="E17" i="8"/>
  <c r="D17" i="8"/>
  <c r="E16" i="8"/>
  <c r="I16" i="8" s="1"/>
  <c r="D16" i="8"/>
  <c r="E15" i="8"/>
  <c r="D15" i="8"/>
  <c r="E14" i="8"/>
  <c r="I14" i="8" s="1"/>
  <c r="D14" i="8"/>
  <c r="E13" i="8"/>
  <c r="D13" i="8"/>
  <c r="E12" i="8"/>
  <c r="I12" i="8" s="1"/>
  <c r="D12" i="8"/>
  <c r="E11" i="8"/>
  <c r="I11" i="8" s="1"/>
  <c r="D11" i="8"/>
  <c r="E10" i="8"/>
  <c r="I10" i="8" s="1"/>
  <c r="D10" i="8"/>
  <c r="E9" i="8"/>
  <c r="D9" i="8"/>
  <c r="E8" i="8"/>
  <c r="I8" i="8" s="1"/>
  <c r="D8" i="8"/>
  <c r="E7" i="8"/>
  <c r="D7" i="8"/>
  <c r="E6" i="8"/>
  <c r="I6" i="8" s="1"/>
  <c r="D6" i="8"/>
  <c r="E5" i="8"/>
  <c r="D5" i="8"/>
  <c r="E4" i="8"/>
  <c r="I4" i="8" s="1"/>
  <c r="D4" i="8"/>
  <c r="E3" i="8"/>
  <c r="I3" i="8" s="1"/>
  <c r="D3" i="8"/>
  <c r="E2" i="8"/>
  <c r="I2" i="8" s="1"/>
  <c r="D2" i="8"/>
  <c r="D26" i="11"/>
  <c r="D24" i="11"/>
  <c r="E24" i="11"/>
  <c r="E26" i="11"/>
  <c r="C24" i="11" l="1"/>
  <c r="C26" i="11"/>
  <c r="F8" i="8"/>
  <c r="J8" i="8" s="1"/>
  <c r="F10" i="8"/>
  <c r="J10" i="8" s="1"/>
  <c r="F13" i="8"/>
  <c r="J13" i="8" s="1"/>
  <c r="F15" i="8"/>
  <c r="J15" i="8" s="1"/>
  <c r="F2" i="8"/>
  <c r="J2" i="8" s="1"/>
  <c r="F5" i="8"/>
  <c r="J5" i="8" s="1"/>
  <c r="F7" i="8"/>
  <c r="J7" i="8" s="1"/>
  <c r="F16" i="8"/>
  <c r="J16" i="8" s="1"/>
  <c r="F18" i="8"/>
  <c r="J18" i="8" s="1"/>
  <c r="F21" i="8"/>
  <c r="J21" i="8" s="1"/>
  <c r="F23" i="8"/>
  <c r="J23" i="8" s="1"/>
  <c r="F3" i="8"/>
  <c r="J3" i="8" s="1"/>
  <c r="F4" i="8"/>
  <c r="J4" i="8" s="1"/>
  <c r="F6" i="8"/>
  <c r="J6" i="8" s="1"/>
  <c r="I7" i="8"/>
  <c r="F9" i="8"/>
  <c r="J9" i="8" s="1"/>
  <c r="F11" i="8"/>
  <c r="J11" i="8" s="1"/>
  <c r="F12" i="8"/>
  <c r="J12" i="8" s="1"/>
  <c r="F14" i="8"/>
  <c r="J14" i="8" s="1"/>
  <c r="I15" i="8"/>
  <c r="F17" i="8"/>
  <c r="J17" i="8" s="1"/>
  <c r="F19" i="8"/>
  <c r="J19" i="8" s="1"/>
  <c r="F20" i="8"/>
  <c r="J20" i="8" s="1"/>
  <c r="F22" i="8"/>
  <c r="J22" i="8" s="1"/>
  <c r="I23" i="8"/>
  <c r="F25" i="8"/>
  <c r="J25" i="8" s="1"/>
  <c r="F27" i="8"/>
  <c r="J27" i="8" s="1"/>
  <c r="F28" i="8"/>
  <c r="J28" i="8" s="1"/>
  <c r="F30" i="8"/>
  <c r="J30" i="8" s="1"/>
  <c r="F32" i="8"/>
  <c r="J32" i="8" s="1"/>
  <c r="F34" i="8"/>
  <c r="J34" i="8" s="1"/>
  <c r="F36" i="8"/>
  <c r="J36" i="8" s="1"/>
  <c r="F38" i="8"/>
  <c r="J38" i="8" s="1"/>
  <c r="F40" i="8"/>
  <c r="J40" i="8" s="1"/>
  <c r="F42" i="8"/>
  <c r="J42" i="8" s="1"/>
  <c r="F44" i="8"/>
  <c r="J44" i="8" s="1"/>
  <c r="F46" i="8"/>
  <c r="J46" i="8" s="1"/>
  <c r="F48" i="8"/>
  <c r="J48" i="8" s="1"/>
  <c r="F50" i="8"/>
  <c r="J50" i="8" s="1"/>
  <c r="F52" i="8"/>
  <c r="J52" i="8" s="1"/>
  <c r="F54" i="8"/>
  <c r="J54" i="8" s="1"/>
  <c r="F56" i="8"/>
  <c r="J56" i="8" s="1"/>
  <c r="F58" i="8"/>
  <c r="J58" i="8" s="1"/>
  <c r="F60" i="8"/>
  <c r="J60" i="8" s="1"/>
  <c r="F62" i="8"/>
  <c r="J62" i="8" s="1"/>
  <c r="F64" i="8"/>
  <c r="J64" i="8" s="1"/>
  <c r="F66" i="8"/>
  <c r="J66" i="8" s="1"/>
  <c r="F68" i="8"/>
  <c r="J68" i="8" s="1"/>
  <c r="F70" i="8"/>
  <c r="J70" i="8" s="1"/>
  <c r="F72" i="8"/>
  <c r="J72" i="8" s="1"/>
  <c r="F74" i="8"/>
  <c r="J74" i="8" s="1"/>
  <c r="F76" i="8"/>
  <c r="J76" i="8" s="1"/>
  <c r="F78" i="8"/>
  <c r="J78" i="8" s="1"/>
  <c r="F80" i="8"/>
  <c r="J80" i="8" s="1"/>
  <c r="F82" i="8"/>
  <c r="J82" i="8" s="1"/>
  <c r="F84" i="8"/>
  <c r="J84" i="8" s="1"/>
  <c r="I5" i="8"/>
  <c r="I9" i="8"/>
  <c r="I13" i="8"/>
  <c r="I17" i="8"/>
  <c r="I21" i="8"/>
  <c r="I25" i="8"/>
  <c r="I29" i="8"/>
  <c r="F29" i="8"/>
  <c r="J29" i="8" s="1"/>
  <c r="F31" i="8"/>
  <c r="J31" i="8" s="1"/>
  <c r="F33" i="8"/>
  <c r="J33" i="8" s="1"/>
  <c r="F35" i="8"/>
  <c r="J35" i="8" s="1"/>
  <c r="F37" i="8"/>
  <c r="J37" i="8" s="1"/>
  <c r="F39" i="8"/>
  <c r="J39" i="8" s="1"/>
  <c r="F41" i="8"/>
  <c r="J41" i="8" s="1"/>
  <c r="F43" i="8"/>
  <c r="J43" i="8" s="1"/>
  <c r="F45" i="8"/>
  <c r="J45" i="8" s="1"/>
  <c r="F47" i="8"/>
  <c r="J47" i="8" s="1"/>
  <c r="F49" i="8"/>
  <c r="J49" i="8" s="1"/>
  <c r="F51" i="8"/>
  <c r="J51" i="8" s="1"/>
  <c r="F53" i="8"/>
  <c r="J53" i="8" s="1"/>
  <c r="F55" i="8"/>
  <c r="J55" i="8" s="1"/>
  <c r="F57" i="8"/>
  <c r="J57" i="8" s="1"/>
  <c r="F59" i="8"/>
  <c r="J59" i="8" s="1"/>
  <c r="F61" i="8"/>
  <c r="J61" i="8" s="1"/>
  <c r="F63" i="8"/>
  <c r="J63" i="8" s="1"/>
  <c r="F65" i="8"/>
  <c r="J65" i="8" s="1"/>
  <c r="F67" i="8"/>
  <c r="J67" i="8" s="1"/>
  <c r="F69" i="8"/>
  <c r="J69" i="8" s="1"/>
  <c r="F71" i="8"/>
  <c r="J71" i="8" s="1"/>
  <c r="F73" i="8"/>
  <c r="J73" i="8" s="1"/>
  <c r="F75" i="8"/>
  <c r="J75" i="8" s="1"/>
  <c r="F77" i="8"/>
  <c r="J77" i="8" s="1"/>
  <c r="F79" i="8"/>
  <c r="J79" i="8" s="1"/>
  <c r="F81" i="8"/>
  <c r="J81" i="8" s="1"/>
  <c r="F83" i="8"/>
  <c r="J83" i="8" s="1"/>
  <c r="F85" i="8"/>
  <c r="J85" i="8" s="1"/>
  <c r="F86" i="8"/>
  <c r="J86" i="8" s="1"/>
  <c r="I87" i="8"/>
  <c r="F88" i="8"/>
  <c r="J88" i="8" s="1"/>
  <c r="I89" i="8"/>
  <c r="F90" i="8"/>
  <c r="J90" i="8" s="1"/>
  <c r="I91" i="8"/>
  <c r="F92" i="8"/>
  <c r="J92" i="8" s="1"/>
  <c r="I93" i="8"/>
  <c r="F94" i="8"/>
  <c r="J94" i="8" s="1"/>
  <c r="I95" i="8"/>
  <c r="F96" i="8"/>
  <c r="J96" i="8" s="1"/>
  <c r="I97" i="8"/>
  <c r="F98" i="8"/>
  <c r="J98" i="8" s="1"/>
  <c r="I99" i="8"/>
  <c r="F100" i="8"/>
  <c r="J100" i="8" s="1"/>
  <c r="I101" i="8"/>
  <c r="F102" i="8"/>
  <c r="J102" i="8" s="1"/>
  <c r="I103" i="8"/>
  <c r="F104" i="8"/>
  <c r="J104" i="8" s="1"/>
  <c r="I105" i="8"/>
  <c r="F106" i="8"/>
  <c r="J106" i="8" s="1"/>
  <c r="I107" i="8"/>
  <c r="F108" i="8"/>
  <c r="J108" i="8" s="1"/>
  <c r="I109" i="8"/>
  <c r="F110" i="8"/>
  <c r="J110" i="8" s="1"/>
  <c r="I111" i="8"/>
  <c r="F112" i="8"/>
  <c r="J112" i="8" s="1"/>
  <c r="I113" i="8"/>
  <c r="F114" i="8"/>
  <c r="J114" i="8" s="1"/>
  <c r="I115" i="8"/>
  <c r="F116" i="8"/>
  <c r="J116" i="8" s="1"/>
  <c r="I117" i="8"/>
  <c r="F118" i="8"/>
  <c r="J118" i="8" s="1"/>
  <c r="I119" i="8"/>
  <c r="F120" i="8"/>
  <c r="J120" i="8" s="1"/>
  <c r="I121" i="8"/>
  <c r="F122" i="8"/>
  <c r="J122" i="8" s="1"/>
  <c r="I123" i="8"/>
  <c r="F124" i="8"/>
  <c r="J124" i="8" s="1"/>
  <c r="I125" i="8"/>
  <c r="F126" i="8"/>
  <c r="J126" i="8" s="1"/>
  <c r="I127" i="8"/>
  <c r="F128" i="8"/>
  <c r="J128" i="8" s="1"/>
  <c r="I129" i="8"/>
  <c r="F130" i="8"/>
  <c r="J130" i="8" s="1"/>
  <c r="I131" i="8"/>
  <c r="F132" i="8"/>
  <c r="J132" i="8" s="1"/>
  <c r="I133" i="8"/>
  <c r="F134" i="8"/>
  <c r="J134" i="8" s="1"/>
  <c r="I135" i="8"/>
  <c r="F136" i="8"/>
  <c r="J136" i="8" s="1"/>
  <c r="I137" i="8"/>
  <c r="F138" i="8"/>
  <c r="J138" i="8" s="1"/>
  <c r="I139" i="8"/>
  <c r="F140" i="8"/>
  <c r="J140" i="8" s="1"/>
  <c r="I141" i="8"/>
  <c r="D26" i="10"/>
  <c r="G24" i="10"/>
  <c r="G26" i="10"/>
  <c r="E25" i="11"/>
  <c r="G26" i="11"/>
  <c r="F28" i="10"/>
  <c r="D27" i="10"/>
  <c r="G27" i="10"/>
  <c r="G28" i="10"/>
  <c r="E27" i="11"/>
  <c r="F24" i="11"/>
  <c r="D25" i="11"/>
  <c r="D27" i="11"/>
  <c r="G24" i="11"/>
  <c r="F25" i="10"/>
  <c r="E24" i="10"/>
  <c r="G25" i="11"/>
  <c r="F24" i="10"/>
  <c r="E27" i="10"/>
  <c r="E26" i="10"/>
  <c r="F25" i="11"/>
  <c r="F27" i="11"/>
  <c r="D25" i="10"/>
  <c r="D24" i="10"/>
  <c r="D28" i="10"/>
  <c r="E25" i="10"/>
  <c r="E28" i="10"/>
  <c r="F27" i="10"/>
  <c r="G25" i="10"/>
  <c r="G27" i="11"/>
  <c r="F26" i="11"/>
  <c r="F26" i="10"/>
  <c r="C28" i="10" l="1"/>
  <c r="C24" i="10"/>
  <c r="C26" i="10"/>
  <c r="C25" i="10"/>
  <c r="D30" i="10"/>
  <c r="G29" i="11"/>
  <c r="C27" i="11"/>
  <c r="C25" i="11"/>
  <c r="D29" i="11"/>
  <c r="F29" i="11"/>
  <c r="C27" i="10"/>
  <c r="F30" i="10"/>
  <c r="E29" i="11"/>
  <c r="E30" i="10"/>
  <c r="G30" i="10"/>
  <c r="H24" i="10" s="1"/>
  <c r="U2" i="7"/>
  <c r="J3" i="6" s="1"/>
  <c r="T2" i="7"/>
  <c r="I3" i="6" s="1"/>
  <c r="S2" i="7"/>
  <c r="H3" i="6" s="1"/>
  <c r="C29" i="11" l="1"/>
  <c r="C30" i="10"/>
  <c r="H25" i="10"/>
  <c r="H26" i="10"/>
  <c r="H27" i="10"/>
  <c r="H28" i="10"/>
  <c r="H99" i="6"/>
  <c r="H95" i="6"/>
  <c r="H91" i="6"/>
  <c r="H87" i="6"/>
  <c r="H83" i="6"/>
  <c r="H79" i="6"/>
  <c r="H75" i="6"/>
  <c r="H71" i="6"/>
  <c r="H2" i="6"/>
  <c r="H97" i="6"/>
  <c r="H93" i="6"/>
  <c r="H89" i="6"/>
  <c r="H85" i="6"/>
  <c r="H81" i="6"/>
  <c r="H77" i="6"/>
  <c r="H73" i="6"/>
  <c r="H69" i="6"/>
  <c r="J100" i="6"/>
  <c r="J96" i="6"/>
  <c r="J90" i="6"/>
  <c r="J88" i="6"/>
  <c r="J84" i="6"/>
  <c r="J80" i="6"/>
  <c r="J74" i="6"/>
  <c r="J99" i="6"/>
  <c r="J97" i="6"/>
  <c r="J95" i="6"/>
  <c r="J93" i="6"/>
  <c r="J91" i="6"/>
  <c r="J89" i="6"/>
  <c r="J87" i="6"/>
  <c r="J85" i="6"/>
  <c r="J83" i="6"/>
  <c r="J81" i="6"/>
  <c r="J79" i="6"/>
  <c r="J77" i="6"/>
  <c r="J75" i="6"/>
  <c r="J73" i="6"/>
  <c r="J71" i="6"/>
  <c r="J69" i="6"/>
  <c r="J67" i="6"/>
  <c r="J65" i="6"/>
  <c r="J63" i="6"/>
  <c r="J61" i="6"/>
  <c r="J59" i="6"/>
  <c r="J57" i="6"/>
  <c r="J55" i="6"/>
  <c r="J53" i="6"/>
  <c r="J51" i="6"/>
  <c r="J49" i="6"/>
  <c r="J47" i="6"/>
  <c r="J98" i="6"/>
  <c r="J94" i="6"/>
  <c r="J92" i="6"/>
  <c r="J86" i="6"/>
  <c r="J82" i="6"/>
  <c r="J78" i="6"/>
  <c r="J76" i="6"/>
  <c r="J72" i="6"/>
  <c r="J70" i="6"/>
  <c r="J68" i="6"/>
  <c r="J66" i="6"/>
  <c r="J64" i="6"/>
  <c r="J62" i="6"/>
  <c r="J60" i="6"/>
  <c r="J58" i="6"/>
  <c r="J56" i="6"/>
  <c r="J54" i="6"/>
  <c r="J52" i="6"/>
  <c r="J50" i="6"/>
  <c r="J48" i="6"/>
  <c r="J46" i="6"/>
  <c r="H100" i="6"/>
  <c r="H98" i="6"/>
  <c r="H96" i="6"/>
  <c r="H94" i="6"/>
  <c r="H92" i="6"/>
  <c r="H90" i="6"/>
  <c r="H88" i="6"/>
  <c r="H86" i="6"/>
  <c r="H84" i="6"/>
  <c r="H82" i="6"/>
  <c r="H80" i="6"/>
  <c r="H78" i="6"/>
  <c r="H76" i="6"/>
  <c r="H74" i="6"/>
  <c r="H72" i="6"/>
  <c r="H70" i="6"/>
  <c r="H68" i="6"/>
  <c r="H66" i="6"/>
  <c r="H64" i="6"/>
  <c r="H62" i="6"/>
  <c r="H60" i="6"/>
  <c r="H58" i="6"/>
  <c r="H56" i="6"/>
  <c r="H54" i="6"/>
  <c r="H52" i="6"/>
  <c r="H50" i="6"/>
  <c r="H48" i="6"/>
  <c r="H46" i="6"/>
  <c r="H44" i="6"/>
  <c r="H42" i="6"/>
  <c r="H40" i="6"/>
  <c r="H38" i="6"/>
  <c r="H36" i="6"/>
  <c r="H34" i="6"/>
  <c r="H32" i="6"/>
  <c r="H30" i="6"/>
  <c r="H28" i="6"/>
  <c r="H26" i="6"/>
  <c r="H24" i="6"/>
  <c r="H22" i="6"/>
  <c r="H20" i="6"/>
  <c r="H18" i="6"/>
  <c r="H16" i="6"/>
  <c r="H14" i="6"/>
  <c r="H12" i="6"/>
  <c r="H10" i="6"/>
  <c r="H8" i="6"/>
  <c r="H6" i="6"/>
  <c r="H4" i="6"/>
  <c r="H67" i="6"/>
  <c r="H65" i="6"/>
  <c r="H63" i="6"/>
  <c r="H61" i="6"/>
  <c r="H59" i="6"/>
  <c r="H57" i="6"/>
  <c r="H55" i="6"/>
  <c r="H53" i="6"/>
  <c r="H51" i="6"/>
  <c r="H49" i="6"/>
  <c r="H47" i="6"/>
  <c r="H45" i="6"/>
  <c r="H43" i="6"/>
  <c r="H41" i="6"/>
  <c r="H39" i="6"/>
  <c r="H37" i="6"/>
  <c r="H35" i="6"/>
  <c r="H33" i="6"/>
  <c r="H31" i="6"/>
  <c r="H29" i="6"/>
  <c r="H27" i="6"/>
  <c r="H25" i="6"/>
  <c r="H23" i="6"/>
  <c r="H21" i="6"/>
  <c r="H19" i="6"/>
  <c r="H17" i="6"/>
  <c r="H15" i="6"/>
  <c r="H13" i="6"/>
  <c r="H11" i="6"/>
  <c r="H9" i="6"/>
  <c r="H7" i="6"/>
  <c r="H5" i="6"/>
  <c r="I100" i="6"/>
  <c r="I98" i="6"/>
  <c r="I96" i="6"/>
  <c r="I94" i="6"/>
  <c r="I92" i="6"/>
  <c r="I90" i="6"/>
  <c r="I88" i="6"/>
  <c r="I86" i="6"/>
  <c r="I84" i="6"/>
  <c r="I82" i="6"/>
  <c r="I80" i="6"/>
  <c r="I78" i="6"/>
  <c r="I76" i="6"/>
  <c r="I74" i="6"/>
  <c r="I72" i="6"/>
  <c r="I70" i="6"/>
  <c r="I68" i="6"/>
  <c r="I66" i="6"/>
  <c r="I64" i="6"/>
  <c r="I62" i="6"/>
  <c r="I60" i="6"/>
  <c r="I58" i="6"/>
  <c r="I56" i="6"/>
  <c r="I54" i="6"/>
  <c r="I52" i="6"/>
  <c r="I50" i="6"/>
  <c r="I48" i="6"/>
  <c r="I46" i="6"/>
  <c r="I44" i="6"/>
  <c r="I42" i="6"/>
  <c r="I40" i="6"/>
  <c r="I38" i="6"/>
  <c r="I36" i="6"/>
  <c r="I34" i="6"/>
  <c r="I32" i="6"/>
  <c r="I30" i="6"/>
  <c r="I28" i="6"/>
  <c r="I26" i="6"/>
  <c r="I24" i="6"/>
  <c r="I22" i="6"/>
  <c r="I20" i="6"/>
  <c r="I18" i="6"/>
  <c r="I16" i="6"/>
  <c r="I14" i="6"/>
  <c r="I12" i="6"/>
  <c r="I10" i="6"/>
  <c r="I8" i="6"/>
  <c r="I6" i="6"/>
  <c r="I4" i="6"/>
  <c r="I2" i="6"/>
  <c r="I99" i="6"/>
  <c r="I97" i="6"/>
  <c r="K97" i="6" s="1"/>
  <c r="L97" i="6" s="1"/>
  <c r="I95" i="6"/>
  <c r="I93" i="6"/>
  <c r="K93" i="6" s="1"/>
  <c r="L93" i="6" s="1"/>
  <c r="I91" i="6"/>
  <c r="I89" i="6"/>
  <c r="K89" i="6" s="1"/>
  <c r="L89" i="6" s="1"/>
  <c r="I87" i="6"/>
  <c r="I85" i="6"/>
  <c r="K85" i="6" s="1"/>
  <c r="L85" i="6" s="1"/>
  <c r="I83" i="6"/>
  <c r="I81" i="6"/>
  <c r="K81" i="6" s="1"/>
  <c r="L81" i="6" s="1"/>
  <c r="I79" i="6"/>
  <c r="I77" i="6"/>
  <c r="K77" i="6" s="1"/>
  <c r="L77" i="6" s="1"/>
  <c r="I75" i="6"/>
  <c r="I73" i="6"/>
  <c r="K73" i="6" s="1"/>
  <c r="L73" i="6" s="1"/>
  <c r="I71" i="6"/>
  <c r="I69" i="6"/>
  <c r="K69" i="6" s="1"/>
  <c r="L69" i="6" s="1"/>
  <c r="I67" i="6"/>
  <c r="I65" i="6"/>
  <c r="I63" i="6"/>
  <c r="I61" i="6"/>
  <c r="I59" i="6"/>
  <c r="I57" i="6"/>
  <c r="I55" i="6"/>
  <c r="I53" i="6"/>
  <c r="I51" i="6"/>
  <c r="I49" i="6"/>
  <c r="I47" i="6"/>
  <c r="I45" i="6"/>
  <c r="I43" i="6"/>
  <c r="I41" i="6"/>
  <c r="I39" i="6"/>
  <c r="I37" i="6"/>
  <c r="I35" i="6"/>
  <c r="I33" i="6"/>
  <c r="I31" i="6"/>
  <c r="I29" i="6"/>
  <c r="I27" i="6"/>
  <c r="I25" i="6"/>
  <c r="I23" i="6"/>
  <c r="I21" i="6"/>
  <c r="I19" i="6"/>
  <c r="I17" i="6"/>
  <c r="I15" i="6"/>
  <c r="I13" i="6"/>
  <c r="I11" i="6"/>
  <c r="I9" i="6"/>
  <c r="I7" i="6"/>
  <c r="I5" i="6"/>
  <c r="J45" i="6"/>
  <c r="J44" i="6"/>
  <c r="J43" i="6"/>
  <c r="J42" i="6"/>
  <c r="J41" i="6"/>
  <c r="J40" i="6"/>
  <c r="J39" i="6"/>
  <c r="J38" i="6"/>
  <c r="J37" i="6"/>
  <c r="J36" i="6"/>
  <c r="J35" i="6"/>
  <c r="J2" i="6"/>
  <c r="J31" i="6"/>
  <c r="J27" i="6"/>
  <c r="J23" i="6"/>
  <c r="J19" i="6"/>
  <c r="J17" i="6"/>
  <c r="J13" i="6"/>
  <c r="J9" i="6"/>
  <c r="J7" i="6"/>
  <c r="J34" i="6"/>
  <c r="J32" i="6"/>
  <c r="J30" i="6"/>
  <c r="J28" i="6"/>
  <c r="J26" i="6"/>
  <c r="J24" i="6"/>
  <c r="J22" i="6"/>
  <c r="J20" i="6"/>
  <c r="J18" i="6"/>
  <c r="J16" i="6"/>
  <c r="J14" i="6"/>
  <c r="J12" i="6"/>
  <c r="J10" i="6"/>
  <c r="J8" i="6"/>
  <c r="J6" i="6"/>
  <c r="J4" i="6"/>
  <c r="J33" i="6"/>
  <c r="J29" i="6"/>
  <c r="J25" i="6"/>
  <c r="J21" i="6"/>
  <c r="J15" i="6"/>
  <c r="J11" i="6"/>
  <c r="J5" i="6"/>
  <c r="G4" i="5"/>
  <c r="G3" i="5"/>
  <c r="K71" i="6" l="1"/>
  <c r="L71" i="6" s="1"/>
  <c r="K75" i="6"/>
  <c r="L75" i="6" s="1"/>
  <c r="K79" i="6"/>
  <c r="L79" i="6" s="1"/>
  <c r="K83" i="6"/>
  <c r="L83" i="6" s="1"/>
  <c r="K87" i="6"/>
  <c r="L87" i="6" s="1"/>
  <c r="K91" i="6"/>
  <c r="L91" i="6" s="1"/>
  <c r="K95" i="6"/>
  <c r="L95" i="6" s="1"/>
  <c r="K99" i="6"/>
  <c r="L99" i="6" s="1"/>
  <c r="K47" i="6"/>
  <c r="L47" i="6" s="1"/>
  <c r="K51" i="6"/>
  <c r="L51" i="6" s="1"/>
  <c r="K55" i="6"/>
  <c r="L55" i="6" s="1"/>
  <c r="K59" i="6"/>
  <c r="L59" i="6" s="1"/>
  <c r="K63" i="6"/>
  <c r="L63" i="6" s="1"/>
  <c r="K67" i="6"/>
  <c r="L67" i="6" s="1"/>
  <c r="K46" i="6"/>
  <c r="L46" i="6" s="1"/>
  <c r="K50" i="6"/>
  <c r="L50" i="6" s="1"/>
  <c r="K54" i="6"/>
  <c r="L54" i="6" s="1"/>
  <c r="K58" i="6"/>
  <c r="L58" i="6" s="1"/>
  <c r="K62" i="6"/>
  <c r="L62" i="6" s="1"/>
  <c r="K66" i="6"/>
  <c r="L66" i="6" s="1"/>
  <c r="K70" i="6"/>
  <c r="L70" i="6" s="1"/>
  <c r="K74" i="6"/>
  <c r="L74" i="6" s="1"/>
  <c r="K78" i="6"/>
  <c r="L78" i="6" s="1"/>
  <c r="K82" i="6"/>
  <c r="L82" i="6" s="1"/>
  <c r="K86" i="6"/>
  <c r="L86" i="6" s="1"/>
  <c r="K90" i="6"/>
  <c r="L90" i="6" s="1"/>
  <c r="K94" i="6"/>
  <c r="L94" i="6" s="1"/>
  <c r="K98" i="6"/>
  <c r="L98" i="6" s="1"/>
  <c r="K49" i="6"/>
  <c r="L49" i="6" s="1"/>
  <c r="K53" i="6"/>
  <c r="L53" i="6" s="1"/>
  <c r="K57" i="6"/>
  <c r="L57" i="6" s="1"/>
  <c r="K61" i="6"/>
  <c r="L61" i="6" s="1"/>
  <c r="K65" i="6"/>
  <c r="L65" i="6" s="1"/>
  <c r="K48" i="6"/>
  <c r="L48" i="6" s="1"/>
  <c r="K52" i="6"/>
  <c r="L52" i="6" s="1"/>
  <c r="K56" i="6"/>
  <c r="L56" i="6" s="1"/>
  <c r="K60" i="6"/>
  <c r="L60" i="6" s="1"/>
  <c r="K64" i="6"/>
  <c r="L64" i="6" s="1"/>
  <c r="K68" i="6"/>
  <c r="L68" i="6" s="1"/>
  <c r="K72" i="6"/>
  <c r="L72" i="6" s="1"/>
  <c r="K76" i="6"/>
  <c r="L76" i="6" s="1"/>
  <c r="K80" i="6"/>
  <c r="L80" i="6" s="1"/>
  <c r="K84" i="6"/>
  <c r="L84" i="6" s="1"/>
  <c r="K88" i="6"/>
  <c r="L88" i="6" s="1"/>
  <c r="K92" i="6"/>
  <c r="L92" i="6" s="1"/>
  <c r="K96" i="6"/>
  <c r="L96" i="6" s="1"/>
  <c r="K100" i="6"/>
  <c r="L100" i="6" s="1"/>
  <c r="K37" i="6"/>
  <c r="L37" i="6" s="1"/>
  <c r="K41" i="6"/>
  <c r="L41" i="6" s="1"/>
  <c r="K35" i="6"/>
  <c r="L35" i="6" s="1"/>
  <c r="K38" i="6"/>
  <c r="L38" i="6" s="1"/>
  <c r="K42" i="6"/>
  <c r="L42" i="6" s="1"/>
  <c r="K45" i="6"/>
  <c r="L45" i="6" s="1"/>
  <c r="K39" i="6"/>
  <c r="L39" i="6" s="1"/>
  <c r="K44" i="6"/>
  <c r="L44" i="6" s="1"/>
  <c r="K36" i="6"/>
  <c r="L36" i="6" s="1"/>
  <c r="K40" i="6"/>
  <c r="L40" i="6" s="1"/>
  <c r="K43" i="6"/>
  <c r="L43" i="6" s="1"/>
  <c r="K18" i="6"/>
  <c r="L18" i="6" s="1"/>
  <c r="K22" i="6"/>
  <c r="L22" i="6" s="1"/>
  <c r="K30" i="6"/>
  <c r="L30" i="6" s="1"/>
  <c r="K34" i="6"/>
  <c r="L34" i="6" s="1"/>
  <c r="K6" i="6"/>
  <c r="L6" i="6" s="1"/>
  <c r="K10" i="6"/>
  <c r="L10" i="6" s="1"/>
  <c r="K14" i="6"/>
  <c r="L14" i="6" s="1"/>
  <c r="K26" i="6"/>
  <c r="L26" i="6" s="1"/>
  <c r="K3" i="6"/>
  <c r="L3" i="6" s="1"/>
  <c r="K25" i="6"/>
  <c r="L25" i="6" s="1"/>
  <c r="K21" i="6"/>
  <c r="L21" i="6" s="1"/>
  <c r="K11" i="6"/>
  <c r="L11" i="6" s="1"/>
  <c r="K19" i="6"/>
  <c r="L19" i="6" s="1"/>
  <c r="K27" i="6"/>
  <c r="L27" i="6" s="1"/>
  <c r="K2" i="6"/>
  <c r="L2" i="6" s="1"/>
  <c r="K13" i="6"/>
  <c r="L13" i="6" s="1"/>
  <c r="K4" i="6"/>
  <c r="L4" i="6" s="1"/>
  <c r="K8" i="6"/>
  <c r="L8" i="6" s="1"/>
  <c r="K12" i="6"/>
  <c r="L12" i="6" s="1"/>
  <c r="K16" i="6"/>
  <c r="L16" i="6" s="1"/>
  <c r="K20" i="6"/>
  <c r="L20" i="6" s="1"/>
  <c r="K24" i="6"/>
  <c r="L24" i="6" s="1"/>
  <c r="K28" i="6"/>
  <c r="L28" i="6" s="1"/>
  <c r="K32" i="6"/>
  <c r="L32" i="6" s="1"/>
  <c r="K5" i="6"/>
  <c r="L5" i="6" s="1"/>
  <c r="K29" i="6"/>
  <c r="L29" i="6" s="1"/>
  <c r="K7" i="6"/>
  <c r="L7" i="6" s="1"/>
  <c r="K15" i="6"/>
  <c r="L15" i="6" s="1"/>
  <c r="K23" i="6"/>
  <c r="L23" i="6" s="1"/>
  <c r="K31" i="6"/>
  <c r="L31" i="6" s="1"/>
  <c r="K9" i="6"/>
  <c r="L9" i="6" s="1"/>
  <c r="K17" i="6"/>
  <c r="L17" i="6" s="1"/>
  <c r="K33" i="6"/>
  <c r="L33" i="6" s="1"/>
  <c r="AA23" i="4"/>
  <c r="Z23" i="4"/>
  <c r="Y23" i="4"/>
  <c r="X23" i="4"/>
  <c r="W22" i="4"/>
  <c r="AA22" i="4" s="1"/>
  <c r="L6" i="3"/>
  <c r="L7" i="3"/>
  <c r="L8" i="3"/>
  <c r="L9" i="3"/>
  <c r="L10" i="3"/>
  <c r="L11" i="3"/>
  <c r="L12" i="3"/>
  <c r="L13" i="3"/>
  <c r="L14" i="3"/>
  <c r="L5" i="3"/>
  <c r="E21" i="4"/>
  <c r="G21" i="4" s="1"/>
  <c r="E18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9" i="4"/>
  <c r="B20" i="4"/>
  <c r="M20" i="4" s="1"/>
  <c r="N20" i="4" s="1"/>
  <c r="O20" i="4" s="1"/>
  <c r="B21" i="4"/>
  <c r="M21" i="4" s="1"/>
  <c r="N21" i="4" s="1"/>
  <c r="O21" i="4" s="1"/>
  <c r="B22" i="4"/>
  <c r="M22" i="4" s="1"/>
  <c r="N22" i="4" s="1"/>
  <c r="O22" i="4" s="1"/>
  <c r="B23" i="4"/>
  <c r="M23" i="4" s="1"/>
  <c r="N23" i="4" s="1"/>
  <c r="O23" i="4" s="1"/>
  <c r="B24" i="4"/>
  <c r="M24" i="4" s="1"/>
  <c r="N24" i="4" s="1"/>
  <c r="O24" i="4" s="1"/>
  <c r="B25" i="4"/>
  <c r="M25" i="4" s="1"/>
  <c r="N25" i="4" s="1"/>
  <c r="O25" i="4" s="1"/>
  <c r="B26" i="4"/>
  <c r="M26" i="4" s="1"/>
  <c r="N26" i="4" s="1"/>
  <c r="O26" i="4" s="1"/>
  <c r="B27" i="4"/>
  <c r="M27" i="4" s="1"/>
  <c r="N27" i="4" s="1"/>
  <c r="O27" i="4" s="1"/>
  <c r="B28" i="4"/>
  <c r="M28" i="4" s="1"/>
  <c r="N28" i="4" s="1"/>
  <c r="O28" i="4" s="1"/>
  <c r="B29" i="4"/>
  <c r="M29" i="4" s="1"/>
  <c r="N29" i="4" s="1"/>
  <c r="O29" i="4" s="1"/>
  <c r="B30" i="4"/>
  <c r="M30" i="4" s="1"/>
  <c r="N30" i="4" s="1"/>
  <c r="O30" i="4" s="1"/>
  <c r="B31" i="4"/>
  <c r="M31" i="4" s="1"/>
  <c r="N31" i="4" s="1"/>
  <c r="O31" i="4" s="1"/>
  <c r="B32" i="4"/>
  <c r="M32" i="4" s="1"/>
  <c r="N32" i="4" s="1"/>
  <c r="O32" i="4" s="1"/>
  <c r="B33" i="4"/>
  <c r="M33" i="4" s="1"/>
  <c r="N33" i="4" s="1"/>
  <c r="O33" i="4" s="1"/>
  <c r="B34" i="4"/>
  <c r="M34" i="4" s="1"/>
  <c r="N34" i="4" s="1"/>
  <c r="O34" i="4" s="1"/>
  <c r="B35" i="4"/>
  <c r="M35" i="4" s="1"/>
  <c r="N35" i="4" s="1"/>
  <c r="O35" i="4" s="1"/>
  <c r="B36" i="4"/>
  <c r="M36" i="4" s="1"/>
  <c r="N36" i="4" s="1"/>
  <c r="O36" i="4" s="1"/>
  <c r="B37" i="4"/>
  <c r="M37" i="4" s="1"/>
  <c r="N37" i="4" s="1"/>
  <c r="O37" i="4" s="1"/>
  <c r="B38" i="4"/>
  <c r="M38" i="4" s="1"/>
  <c r="N38" i="4" s="1"/>
  <c r="O38" i="4" s="1"/>
  <c r="B39" i="4"/>
  <c r="M39" i="4" s="1"/>
  <c r="N39" i="4" s="1"/>
  <c r="O39" i="4" s="1"/>
  <c r="B40" i="4"/>
  <c r="M40" i="4" s="1"/>
  <c r="N40" i="4" s="1"/>
  <c r="O40" i="4" s="1"/>
  <c r="B41" i="4"/>
  <c r="M41" i="4" s="1"/>
  <c r="N41" i="4" s="1"/>
  <c r="O41" i="4" s="1"/>
  <c r="B42" i="4"/>
  <c r="M42" i="4" s="1"/>
  <c r="N42" i="4" s="1"/>
  <c r="O42" i="4" s="1"/>
  <c r="B43" i="4"/>
  <c r="M43" i="4" s="1"/>
  <c r="N43" i="4" s="1"/>
  <c r="O43" i="4" s="1"/>
  <c r="B44" i="4"/>
  <c r="M44" i="4" s="1"/>
  <c r="N44" i="4" s="1"/>
  <c r="O44" i="4" s="1"/>
  <c r="B45" i="4"/>
  <c r="M45" i="4" s="1"/>
  <c r="N45" i="4" s="1"/>
  <c r="O45" i="4" s="1"/>
  <c r="B46" i="4"/>
  <c r="M46" i="4" s="1"/>
  <c r="N46" i="4" s="1"/>
  <c r="O46" i="4" s="1"/>
  <c r="B47" i="4"/>
  <c r="M47" i="4" s="1"/>
  <c r="N47" i="4" s="1"/>
  <c r="O47" i="4" s="1"/>
  <c r="B48" i="4"/>
  <c r="M48" i="4" s="1"/>
  <c r="N48" i="4" s="1"/>
  <c r="O48" i="4" s="1"/>
  <c r="B49" i="4"/>
  <c r="M49" i="4" s="1"/>
  <c r="N49" i="4" s="1"/>
  <c r="O49" i="4" s="1"/>
  <c r="B50" i="4"/>
  <c r="M50" i="4" s="1"/>
  <c r="N50" i="4" s="1"/>
  <c r="O50" i="4" s="1"/>
  <c r="B51" i="4"/>
  <c r="M51" i="4" s="1"/>
  <c r="N51" i="4" s="1"/>
  <c r="O51" i="4" s="1"/>
  <c r="B52" i="4"/>
  <c r="M52" i="4" s="1"/>
  <c r="N52" i="4" s="1"/>
  <c r="O52" i="4" s="1"/>
  <c r="B53" i="4"/>
  <c r="M53" i="4" s="1"/>
  <c r="N53" i="4" s="1"/>
  <c r="O53" i="4" s="1"/>
  <c r="B54" i="4"/>
  <c r="M54" i="4" s="1"/>
  <c r="N54" i="4" s="1"/>
  <c r="O54" i="4" s="1"/>
  <c r="B55" i="4"/>
  <c r="M55" i="4" s="1"/>
  <c r="N55" i="4" s="1"/>
  <c r="O55" i="4" s="1"/>
  <c r="B56" i="4"/>
  <c r="M56" i="4" s="1"/>
  <c r="N56" i="4" s="1"/>
  <c r="O56" i="4" s="1"/>
  <c r="B57" i="4"/>
  <c r="M57" i="4" s="1"/>
  <c r="N57" i="4" s="1"/>
  <c r="O57" i="4" s="1"/>
  <c r="B58" i="4"/>
  <c r="M58" i="4" s="1"/>
  <c r="N58" i="4" s="1"/>
  <c r="O58" i="4" s="1"/>
  <c r="B59" i="4"/>
  <c r="M59" i="4" s="1"/>
  <c r="N59" i="4" s="1"/>
  <c r="O59" i="4" s="1"/>
  <c r="B60" i="4"/>
  <c r="M60" i="4" s="1"/>
  <c r="N60" i="4" s="1"/>
  <c r="O60" i="4" s="1"/>
  <c r="B61" i="4"/>
  <c r="M61" i="4" s="1"/>
  <c r="N61" i="4" s="1"/>
  <c r="O61" i="4" s="1"/>
  <c r="B62" i="4"/>
  <c r="M62" i="4" s="1"/>
  <c r="N62" i="4" s="1"/>
  <c r="O62" i="4" s="1"/>
  <c r="B63" i="4"/>
  <c r="M63" i="4" s="1"/>
  <c r="N63" i="4" s="1"/>
  <c r="O63" i="4" s="1"/>
  <c r="B64" i="4"/>
  <c r="M64" i="4" s="1"/>
  <c r="N64" i="4" s="1"/>
  <c r="O64" i="4" s="1"/>
  <c r="B65" i="4"/>
  <c r="M65" i="4" s="1"/>
  <c r="N65" i="4" s="1"/>
  <c r="O65" i="4" s="1"/>
  <c r="B66" i="4"/>
  <c r="M66" i="4" s="1"/>
  <c r="N66" i="4" s="1"/>
  <c r="O66" i="4" s="1"/>
  <c r="B67" i="4"/>
  <c r="M67" i="4" s="1"/>
  <c r="N67" i="4" s="1"/>
  <c r="O67" i="4" s="1"/>
  <c r="B68" i="4"/>
  <c r="M68" i="4" s="1"/>
  <c r="N68" i="4" s="1"/>
  <c r="O68" i="4" s="1"/>
  <c r="B69" i="4"/>
  <c r="M69" i="4" s="1"/>
  <c r="N69" i="4" s="1"/>
  <c r="O69" i="4" s="1"/>
  <c r="B70" i="4"/>
  <c r="M70" i="4" s="1"/>
  <c r="N70" i="4" s="1"/>
  <c r="O70" i="4" s="1"/>
  <c r="B71" i="4"/>
  <c r="M71" i="4" s="1"/>
  <c r="N71" i="4" s="1"/>
  <c r="O71" i="4" s="1"/>
  <c r="B72" i="4"/>
  <c r="M72" i="4" s="1"/>
  <c r="N72" i="4" s="1"/>
  <c r="O72" i="4" s="1"/>
  <c r="B73" i="4"/>
  <c r="M73" i="4" s="1"/>
  <c r="N73" i="4" s="1"/>
  <c r="O73" i="4" s="1"/>
  <c r="B74" i="4"/>
  <c r="M74" i="4" s="1"/>
  <c r="N74" i="4" s="1"/>
  <c r="O74" i="4" s="1"/>
  <c r="B75" i="4"/>
  <c r="M75" i="4" s="1"/>
  <c r="N75" i="4" s="1"/>
  <c r="O75" i="4" s="1"/>
  <c r="B76" i="4"/>
  <c r="M76" i="4" s="1"/>
  <c r="N76" i="4" s="1"/>
  <c r="O76" i="4" s="1"/>
  <c r="B77" i="4"/>
  <c r="M77" i="4" s="1"/>
  <c r="N77" i="4" s="1"/>
  <c r="O77" i="4" s="1"/>
  <c r="B78" i="4"/>
  <c r="M78" i="4" s="1"/>
  <c r="N78" i="4" s="1"/>
  <c r="O78" i="4" s="1"/>
  <c r="B79" i="4"/>
  <c r="M79" i="4" s="1"/>
  <c r="N79" i="4" s="1"/>
  <c r="O79" i="4" s="1"/>
  <c r="B80" i="4"/>
  <c r="M80" i="4" s="1"/>
  <c r="N80" i="4" s="1"/>
  <c r="O80" i="4" s="1"/>
  <c r="B81" i="4"/>
  <c r="M81" i="4" s="1"/>
  <c r="N81" i="4" s="1"/>
  <c r="O81" i="4" s="1"/>
  <c r="B82" i="4"/>
  <c r="M82" i="4" s="1"/>
  <c r="N82" i="4" s="1"/>
  <c r="O82" i="4" s="1"/>
  <c r="B83" i="4"/>
  <c r="M83" i="4" s="1"/>
  <c r="N83" i="4" s="1"/>
  <c r="O83" i="4" s="1"/>
  <c r="B84" i="4"/>
  <c r="M84" i="4" s="1"/>
  <c r="N84" i="4" s="1"/>
  <c r="O84" i="4" s="1"/>
  <c r="B85" i="4"/>
  <c r="M85" i="4" s="1"/>
  <c r="N85" i="4" s="1"/>
  <c r="O85" i="4" s="1"/>
  <c r="B86" i="4"/>
  <c r="M86" i="4" s="1"/>
  <c r="N86" i="4" s="1"/>
  <c r="O86" i="4" s="1"/>
  <c r="B87" i="4"/>
  <c r="M87" i="4" s="1"/>
  <c r="N87" i="4" s="1"/>
  <c r="O87" i="4" s="1"/>
  <c r="B88" i="4"/>
  <c r="M88" i="4" s="1"/>
  <c r="N88" i="4" s="1"/>
  <c r="O88" i="4" s="1"/>
  <c r="B89" i="4"/>
  <c r="M89" i="4" s="1"/>
  <c r="N89" i="4" s="1"/>
  <c r="O89" i="4" s="1"/>
  <c r="B90" i="4"/>
  <c r="M90" i="4" s="1"/>
  <c r="N90" i="4" s="1"/>
  <c r="O90" i="4" s="1"/>
  <c r="B91" i="4"/>
  <c r="M91" i="4" s="1"/>
  <c r="N91" i="4" s="1"/>
  <c r="O91" i="4" s="1"/>
  <c r="B92" i="4"/>
  <c r="M92" i="4" s="1"/>
  <c r="N92" i="4" s="1"/>
  <c r="O92" i="4" s="1"/>
  <c r="B93" i="4"/>
  <c r="M93" i="4" s="1"/>
  <c r="N93" i="4" s="1"/>
  <c r="O93" i="4" s="1"/>
  <c r="B94" i="4"/>
  <c r="M94" i="4" s="1"/>
  <c r="N94" i="4" s="1"/>
  <c r="O94" i="4" s="1"/>
  <c r="B95" i="4"/>
  <c r="M95" i="4" s="1"/>
  <c r="N95" i="4" s="1"/>
  <c r="O95" i="4" s="1"/>
  <c r="B96" i="4"/>
  <c r="M96" i="4" s="1"/>
  <c r="N96" i="4" s="1"/>
  <c r="O96" i="4" s="1"/>
  <c r="B97" i="4"/>
  <c r="M97" i="4" s="1"/>
  <c r="N97" i="4" s="1"/>
  <c r="O97" i="4" s="1"/>
  <c r="B98" i="4"/>
  <c r="M98" i="4" s="1"/>
  <c r="N98" i="4" s="1"/>
  <c r="O98" i="4" s="1"/>
  <c r="B99" i="4"/>
  <c r="M99" i="4" s="1"/>
  <c r="N99" i="4" s="1"/>
  <c r="O99" i="4" s="1"/>
  <c r="B100" i="4"/>
  <c r="M100" i="4" s="1"/>
  <c r="N100" i="4" s="1"/>
  <c r="O100" i="4" s="1"/>
  <c r="B101" i="4"/>
  <c r="M101" i="4" s="1"/>
  <c r="N101" i="4" s="1"/>
  <c r="O101" i="4" s="1"/>
  <c r="B102" i="4"/>
  <c r="M102" i="4" s="1"/>
  <c r="N102" i="4" s="1"/>
  <c r="O102" i="4" s="1"/>
  <c r="B103" i="4"/>
  <c r="M103" i="4" s="1"/>
  <c r="N103" i="4" s="1"/>
  <c r="O103" i="4" s="1"/>
  <c r="B104" i="4"/>
  <c r="M104" i="4" s="1"/>
  <c r="N104" i="4" s="1"/>
  <c r="O104" i="4" s="1"/>
  <c r="B105" i="4"/>
  <c r="M105" i="4" s="1"/>
  <c r="N105" i="4" s="1"/>
  <c r="O105" i="4" s="1"/>
  <c r="B106" i="4"/>
  <c r="M106" i="4" s="1"/>
  <c r="N106" i="4" s="1"/>
  <c r="O106" i="4" s="1"/>
  <c r="B107" i="4"/>
  <c r="M107" i="4" s="1"/>
  <c r="N107" i="4" s="1"/>
  <c r="O107" i="4" s="1"/>
  <c r="B108" i="4"/>
  <c r="M108" i="4" s="1"/>
  <c r="N108" i="4" s="1"/>
  <c r="O108" i="4" s="1"/>
  <c r="B109" i="4"/>
  <c r="M109" i="4" s="1"/>
  <c r="N109" i="4" s="1"/>
  <c r="O109" i="4" s="1"/>
  <c r="B110" i="4"/>
  <c r="M110" i="4" s="1"/>
  <c r="N110" i="4" s="1"/>
  <c r="O110" i="4" s="1"/>
  <c r="B111" i="4"/>
  <c r="M111" i="4" s="1"/>
  <c r="N111" i="4" s="1"/>
  <c r="O111" i="4" s="1"/>
  <c r="B112" i="4"/>
  <c r="M112" i="4" s="1"/>
  <c r="N112" i="4" s="1"/>
  <c r="O112" i="4" s="1"/>
  <c r="B113" i="4"/>
  <c r="M113" i="4" s="1"/>
  <c r="N113" i="4" s="1"/>
  <c r="O113" i="4" s="1"/>
  <c r="B114" i="4"/>
  <c r="M114" i="4" s="1"/>
  <c r="N114" i="4" s="1"/>
  <c r="O114" i="4" s="1"/>
  <c r="B115" i="4"/>
  <c r="M115" i="4" s="1"/>
  <c r="N115" i="4" s="1"/>
  <c r="O115" i="4" s="1"/>
  <c r="B116" i="4"/>
  <c r="M116" i="4" s="1"/>
  <c r="N116" i="4" s="1"/>
  <c r="O116" i="4" s="1"/>
  <c r="B117" i="4"/>
  <c r="M117" i="4" s="1"/>
  <c r="N117" i="4" s="1"/>
  <c r="O117" i="4" s="1"/>
  <c r="B118" i="4"/>
  <c r="M118" i="4" s="1"/>
  <c r="N118" i="4" s="1"/>
  <c r="O118" i="4" s="1"/>
  <c r="B19" i="4"/>
  <c r="M19" i="4" s="1"/>
  <c r="N19" i="4" s="1"/>
  <c r="O19" i="4" s="1"/>
  <c r="M3" i="6" l="1"/>
  <c r="M5" i="6"/>
  <c r="M7" i="6"/>
  <c r="M9" i="6"/>
  <c r="M11" i="6"/>
  <c r="M13" i="6"/>
  <c r="M15" i="6"/>
  <c r="M17" i="6"/>
  <c r="M19" i="6"/>
  <c r="M21" i="6"/>
  <c r="M23" i="6"/>
  <c r="M25" i="6"/>
  <c r="M27" i="6"/>
  <c r="M29" i="6"/>
  <c r="M31" i="6"/>
  <c r="M33" i="6"/>
  <c r="M35" i="6"/>
  <c r="M37" i="6"/>
  <c r="M39" i="6"/>
  <c r="M41" i="6"/>
  <c r="M43" i="6"/>
  <c r="M45" i="6"/>
  <c r="M47" i="6"/>
  <c r="M49" i="6"/>
  <c r="M51" i="6"/>
  <c r="M53" i="6"/>
  <c r="M55" i="6"/>
  <c r="M57" i="6"/>
  <c r="M59" i="6"/>
  <c r="M61" i="6"/>
  <c r="M63" i="6"/>
  <c r="M65" i="6"/>
  <c r="M67" i="6"/>
  <c r="M69" i="6"/>
  <c r="M71" i="6"/>
  <c r="M73" i="6"/>
  <c r="M75" i="6"/>
  <c r="M77" i="6"/>
  <c r="M79" i="6"/>
  <c r="M81" i="6"/>
  <c r="M83" i="6"/>
  <c r="M85" i="6"/>
  <c r="M87" i="6"/>
  <c r="M89" i="6"/>
  <c r="M91" i="6"/>
  <c r="M93" i="6"/>
  <c r="M95" i="6"/>
  <c r="M97" i="6"/>
  <c r="M99" i="6"/>
  <c r="M4" i="6"/>
  <c r="M6" i="6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44" i="6"/>
  <c r="M46" i="6"/>
  <c r="M48" i="6"/>
  <c r="M50" i="6"/>
  <c r="M52" i="6"/>
  <c r="M54" i="6"/>
  <c r="M56" i="6"/>
  <c r="M58" i="6"/>
  <c r="M60" i="6"/>
  <c r="M62" i="6"/>
  <c r="M64" i="6"/>
  <c r="M66" i="6"/>
  <c r="M68" i="6"/>
  <c r="M70" i="6"/>
  <c r="M72" i="6"/>
  <c r="M74" i="6"/>
  <c r="M76" i="6"/>
  <c r="M78" i="6"/>
  <c r="M80" i="6"/>
  <c r="M82" i="6"/>
  <c r="M84" i="6"/>
  <c r="M86" i="6"/>
  <c r="M88" i="6"/>
  <c r="M90" i="6"/>
  <c r="M92" i="6"/>
  <c r="M94" i="6"/>
  <c r="M96" i="6"/>
  <c r="M98" i="6"/>
  <c r="M100" i="6"/>
  <c r="M2" i="6"/>
  <c r="X22" i="4"/>
  <c r="Z22" i="4"/>
  <c r="Y22" i="4"/>
  <c r="P20" i="4"/>
  <c r="Q20" i="4" s="1"/>
  <c r="S20" i="4" s="1"/>
  <c r="P19" i="4"/>
  <c r="Q19" i="4" s="1"/>
  <c r="P117" i="4"/>
  <c r="Q117" i="4" s="1"/>
  <c r="P115" i="4"/>
  <c r="Q115" i="4" s="1"/>
  <c r="P113" i="4"/>
  <c r="Q113" i="4" s="1"/>
  <c r="P111" i="4"/>
  <c r="Q111" i="4" s="1"/>
  <c r="P109" i="4"/>
  <c r="Q109" i="4" s="1"/>
  <c r="P107" i="4"/>
  <c r="Q107" i="4" s="1"/>
  <c r="P105" i="4"/>
  <c r="Q105" i="4" s="1"/>
  <c r="P103" i="4"/>
  <c r="Q103" i="4" s="1"/>
  <c r="P101" i="4"/>
  <c r="Q101" i="4" s="1"/>
  <c r="P99" i="4"/>
  <c r="Q99" i="4" s="1"/>
  <c r="P97" i="4"/>
  <c r="Q97" i="4" s="1"/>
  <c r="P95" i="4"/>
  <c r="Q95" i="4" s="1"/>
  <c r="P93" i="4"/>
  <c r="Q93" i="4" s="1"/>
  <c r="P91" i="4"/>
  <c r="Q91" i="4" s="1"/>
  <c r="P89" i="4"/>
  <c r="Q89" i="4" s="1"/>
  <c r="P87" i="4"/>
  <c r="Q87" i="4" s="1"/>
  <c r="P85" i="4"/>
  <c r="Q85" i="4" s="1"/>
  <c r="P83" i="4"/>
  <c r="Q83" i="4" s="1"/>
  <c r="P81" i="4"/>
  <c r="Q81" i="4" s="1"/>
  <c r="P79" i="4"/>
  <c r="Q79" i="4" s="1"/>
  <c r="P77" i="4"/>
  <c r="Q77" i="4" s="1"/>
  <c r="P75" i="4"/>
  <c r="Q75" i="4" s="1"/>
  <c r="P73" i="4"/>
  <c r="Q73" i="4" s="1"/>
  <c r="P71" i="4"/>
  <c r="Q71" i="4" s="1"/>
  <c r="P69" i="4"/>
  <c r="Q69" i="4" s="1"/>
  <c r="P67" i="4"/>
  <c r="Q67" i="4" s="1"/>
  <c r="P65" i="4"/>
  <c r="Q65" i="4" s="1"/>
  <c r="P63" i="4"/>
  <c r="Q63" i="4" s="1"/>
  <c r="P61" i="4"/>
  <c r="Q61" i="4" s="1"/>
  <c r="P59" i="4"/>
  <c r="Q59" i="4" s="1"/>
  <c r="P57" i="4"/>
  <c r="Q57" i="4" s="1"/>
  <c r="P55" i="4"/>
  <c r="Q55" i="4" s="1"/>
  <c r="P53" i="4"/>
  <c r="Q53" i="4" s="1"/>
  <c r="P51" i="4"/>
  <c r="Q51" i="4" s="1"/>
  <c r="P49" i="4"/>
  <c r="Q49" i="4" s="1"/>
  <c r="P47" i="4"/>
  <c r="Q47" i="4" s="1"/>
  <c r="P45" i="4"/>
  <c r="Q45" i="4" s="1"/>
  <c r="P43" i="4"/>
  <c r="Q43" i="4" s="1"/>
  <c r="P41" i="4"/>
  <c r="Q41" i="4" s="1"/>
  <c r="P39" i="4"/>
  <c r="Q39" i="4" s="1"/>
  <c r="P37" i="4"/>
  <c r="Q37" i="4" s="1"/>
  <c r="P35" i="4"/>
  <c r="Q35" i="4" s="1"/>
  <c r="P33" i="4"/>
  <c r="Q33" i="4" s="1"/>
  <c r="P31" i="4"/>
  <c r="Q31" i="4" s="1"/>
  <c r="P29" i="4"/>
  <c r="Q29" i="4" s="1"/>
  <c r="P27" i="4"/>
  <c r="Q27" i="4" s="1"/>
  <c r="P25" i="4"/>
  <c r="Q25" i="4" s="1"/>
  <c r="P23" i="4"/>
  <c r="Q23" i="4" s="1"/>
  <c r="P21" i="4"/>
  <c r="Q21" i="4" s="1"/>
  <c r="P118" i="4"/>
  <c r="Q118" i="4" s="1"/>
  <c r="P116" i="4"/>
  <c r="Q116" i="4" s="1"/>
  <c r="P114" i="4"/>
  <c r="Q114" i="4" s="1"/>
  <c r="P112" i="4"/>
  <c r="Q112" i="4" s="1"/>
  <c r="P110" i="4"/>
  <c r="Q110" i="4" s="1"/>
  <c r="P108" i="4"/>
  <c r="Q108" i="4" s="1"/>
  <c r="P106" i="4"/>
  <c r="Q106" i="4" s="1"/>
  <c r="P104" i="4"/>
  <c r="Q104" i="4" s="1"/>
  <c r="P102" i="4"/>
  <c r="Q102" i="4" s="1"/>
  <c r="P100" i="4"/>
  <c r="Q100" i="4" s="1"/>
  <c r="P98" i="4"/>
  <c r="Q98" i="4" s="1"/>
  <c r="P96" i="4"/>
  <c r="Q96" i="4" s="1"/>
  <c r="P94" i="4"/>
  <c r="Q94" i="4" s="1"/>
  <c r="P92" i="4"/>
  <c r="Q92" i="4" s="1"/>
  <c r="P90" i="4"/>
  <c r="Q90" i="4" s="1"/>
  <c r="P88" i="4"/>
  <c r="Q88" i="4" s="1"/>
  <c r="P86" i="4"/>
  <c r="Q86" i="4" s="1"/>
  <c r="P84" i="4"/>
  <c r="Q84" i="4" s="1"/>
  <c r="P82" i="4"/>
  <c r="Q82" i="4" s="1"/>
  <c r="P80" i="4"/>
  <c r="Q80" i="4" s="1"/>
  <c r="P78" i="4"/>
  <c r="Q78" i="4" s="1"/>
  <c r="P76" i="4"/>
  <c r="Q76" i="4" s="1"/>
  <c r="P74" i="4"/>
  <c r="Q74" i="4" s="1"/>
  <c r="P72" i="4"/>
  <c r="Q72" i="4" s="1"/>
  <c r="P70" i="4"/>
  <c r="Q70" i="4" s="1"/>
  <c r="P68" i="4"/>
  <c r="Q68" i="4" s="1"/>
  <c r="P66" i="4"/>
  <c r="Q66" i="4" s="1"/>
  <c r="P64" i="4"/>
  <c r="Q64" i="4" s="1"/>
  <c r="P62" i="4"/>
  <c r="Q62" i="4" s="1"/>
  <c r="P60" i="4"/>
  <c r="Q60" i="4" s="1"/>
  <c r="P58" i="4"/>
  <c r="Q58" i="4" s="1"/>
  <c r="P56" i="4"/>
  <c r="Q56" i="4" s="1"/>
  <c r="P54" i="4"/>
  <c r="Q54" i="4" s="1"/>
  <c r="P52" i="4"/>
  <c r="Q52" i="4" s="1"/>
  <c r="P50" i="4"/>
  <c r="Q50" i="4" s="1"/>
  <c r="P48" i="4"/>
  <c r="Q48" i="4" s="1"/>
  <c r="P46" i="4"/>
  <c r="Q46" i="4" s="1"/>
  <c r="P44" i="4"/>
  <c r="Q44" i="4" s="1"/>
  <c r="P42" i="4"/>
  <c r="Q42" i="4" s="1"/>
  <c r="P40" i="4"/>
  <c r="Q40" i="4" s="1"/>
  <c r="P38" i="4"/>
  <c r="Q38" i="4" s="1"/>
  <c r="P36" i="4"/>
  <c r="Q36" i="4" s="1"/>
  <c r="P34" i="4"/>
  <c r="Q34" i="4" s="1"/>
  <c r="P32" i="4"/>
  <c r="Q32" i="4" s="1"/>
  <c r="P30" i="4"/>
  <c r="Q30" i="4" s="1"/>
  <c r="P28" i="4"/>
  <c r="Q28" i="4" s="1"/>
  <c r="P26" i="4"/>
  <c r="Q26" i="4" s="1"/>
  <c r="M12" i="3" s="1"/>
  <c r="P24" i="4"/>
  <c r="Q24" i="4" s="1"/>
  <c r="P22" i="4"/>
  <c r="Q22" i="4" s="1"/>
  <c r="M8" i="3" s="1"/>
  <c r="F24" i="4"/>
  <c r="E24" i="4"/>
  <c r="F21" i="4"/>
  <c r="F26" i="7" l="1"/>
  <c r="E26" i="7"/>
  <c r="D26" i="7"/>
  <c r="C26" i="7"/>
  <c r="B26" i="7"/>
  <c r="F14" i="7"/>
  <c r="E14" i="7"/>
  <c r="D14" i="7"/>
  <c r="C14" i="7"/>
  <c r="B14" i="7"/>
  <c r="F22" i="7"/>
  <c r="E22" i="7"/>
  <c r="D22" i="7"/>
  <c r="C22" i="7"/>
  <c r="B22" i="7"/>
  <c r="F30" i="7"/>
  <c r="E30" i="7"/>
  <c r="D30" i="7"/>
  <c r="C30" i="7"/>
  <c r="B30" i="7"/>
  <c r="F13" i="7"/>
  <c r="E13" i="7"/>
  <c r="D13" i="7"/>
  <c r="C13" i="7"/>
  <c r="B13" i="7"/>
  <c r="F21" i="7"/>
  <c r="E21" i="7"/>
  <c r="D21" i="7"/>
  <c r="C21" i="7"/>
  <c r="B21" i="7"/>
  <c r="F29" i="7"/>
  <c r="E29" i="7"/>
  <c r="D29" i="7"/>
  <c r="C29" i="7"/>
  <c r="B29" i="7"/>
  <c r="F16" i="7"/>
  <c r="E16" i="7"/>
  <c r="D16" i="7"/>
  <c r="C16" i="7"/>
  <c r="B16" i="7"/>
  <c r="F32" i="7"/>
  <c r="E32" i="7"/>
  <c r="D32" i="7"/>
  <c r="C32" i="7"/>
  <c r="B32" i="7"/>
  <c r="F31" i="7"/>
  <c r="E31" i="7"/>
  <c r="D31" i="7"/>
  <c r="C31" i="7"/>
  <c r="B31" i="7"/>
  <c r="F7" i="7"/>
  <c r="E7" i="7"/>
  <c r="D7" i="7"/>
  <c r="C7" i="7"/>
  <c r="B7" i="7"/>
  <c r="F28" i="7"/>
  <c r="E28" i="7"/>
  <c r="D28" i="7"/>
  <c r="C28" i="7"/>
  <c r="B28" i="7"/>
  <c r="F6" i="7"/>
  <c r="D6" i="7"/>
  <c r="B6" i="7"/>
  <c r="E6" i="7"/>
  <c r="C6" i="7"/>
  <c r="F27" i="7"/>
  <c r="E27" i="7"/>
  <c r="D27" i="7"/>
  <c r="C27" i="7"/>
  <c r="B27" i="7"/>
  <c r="F36" i="7"/>
  <c r="E36" i="7"/>
  <c r="D36" i="7"/>
  <c r="C36" i="7"/>
  <c r="B36" i="7"/>
  <c r="F19" i="7"/>
  <c r="E19" i="7"/>
  <c r="D19" i="7"/>
  <c r="C19" i="7"/>
  <c r="B19" i="7"/>
  <c r="F18" i="7"/>
  <c r="E18" i="7"/>
  <c r="D18" i="7"/>
  <c r="C18" i="7"/>
  <c r="B18" i="7"/>
  <c r="F34" i="7"/>
  <c r="E34" i="7"/>
  <c r="D34" i="7"/>
  <c r="C34" i="7"/>
  <c r="B34" i="7"/>
  <c r="F9" i="7"/>
  <c r="E9" i="7"/>
  <c r="D9" i="7"/>
  <c r="C9" i="7"/>
  <c r="B9" i="7"/>
  <c r="F17" i="7"/>
  <c r="E17" i="7"/>
  <c r="D17" i="7"/>
  <c r="C17" i="7"/>
  <c r="B17" i="7"/>
  <c r="F25" i="7"/>
  <c r="E25" i="7"/>
  <c r="D25" i="7"/>
  <c r="C25" i="7"/>
  <c r="B25" i="7"/>
  <c r="F33" i="7"/>
  <c r="E33" i="7"/>
  <c r="D33" i="7"/>
  <c r="C33" i="7"/>
  <c r="B33" i="7"/>
  <c r="F10" i="7"/>
  <c r="E10" i="7"/>
  <c r="D10" i="7"/>
  <c r="C10" i="7"/>
  <c r="B10" i="7"/>
  <c r="F24" i="7"/>
  <c r="E24" i="7"/>
  <c r="D24" i="7"/>
  <c r="C24" i="7"/>
  <c r="B24" i="7"/>
  <c r="F23" i="7"/>
  <c r="E23" i="7"/>
  <c r="D23" i="7"/>
  <c r="C23" i="7"/>
  <c r="B23" i="7"/>
  <c r="F8" i="7"/>
  <c r="E8" i="7"/>
  <c r="D8" i="7"/>
  <c r="C8" i="7"/>
  <c r="B8" i="7"/>
  <c r="F15" i="7"/>
  <c r="E15" i="7"/>
  <c r="D15" i="7"/>
  <c r="C15" i="7"/>
  <c r="B15" i="7"/>
  <c r="F11" i="7"/>
  <c r="E11" i="7"/>
  <c r="D11" i="7"/>
  <c r="C11" i="7"/>
  <c r="B11" i="7"/>
  <c r="F12" i="7"/>
  <c r="E12" i="7"/>
  <c r="D12" i="7"/>
  <c r="C12" i="7"/>
  <c r="B12" i="7"/>
  <c r="F35" i="7"/>
  <c r="E35" i="7"/>
  <c r="D35" i="7"/>
  <c r="C35" i="7"/>
  <c r="B35" i="7"/>
  <c r="F20" i="7"/>
  <c r="E20" i="7"/>
  <c r="D20" i="7"/>
  <c r="C20" i="7"/>
  <c r="B20" i="7"/>
  <c r="M10" i="3"/>
  <c r="M14" i="3"/>
  <c r="R20" i="4"/>
  <c r="U20" i="4"/>
  <c r="M9" i="3"/>
  <c r="M13" i="3"/>
  <c r="M5" i="3"/>
  <c r="T20" i="4"/>
  <c r="M7" i="3"/>
  <c r="M11" i="3"/>
  <c r="M6" i="3"/>
  <c r="S22" i="4"/>
  <c r="U22" i="4"/>
  <c r="T22" i="4"/>
  <c r="R22" i="4"/>
  <c r="S30" i="4"/>
  <c r="U30" i="4"/>
  <c r="T30" i="4"/>
  <c r="R30" i="4"/>
  <c r="S38" i="4"/>
  <c r="U38" i="4"/>
  <c r="T38" i="4"/>
  <c r="R38" i="4"/>
  <c r="S46" i="4"/>
  <c r="U46" i="4"/>
  <c r="T46" i="4"/>
  <c r="R46" i="4"/>
  <c r="S54" i="4"/>
  <c r="U54" i="4"/>
  <c r="T54" i="4"/>
  <c r="R54" i="4"/>
  <c r="S62" i="4"/>
  <c r="U62" i="4"/>
  <c r="T62" i="4"/>
  <c r="R62" i="4"/>
  <c r="S70" i="4"/>
  <c r="U70" i="4"/>
  <c r="T70" i="4"/>
  <c r="R70" i="4"/>
  <c r="S78" i="4"/>
  <c r="U78" i="4"/>
  <c r="T78" i="4"/>
  <c r="R78" i="4"/>
  <c r="S86" i="4"/>
  <c r="U86" i="4"/>
  <c r="T86" i="4"/>
  <c r="R86" i="4"/>
  <c r="S24" i="4"/>
  <c r="U24" i="4"/>
  <c r="T24" i="4"/>
  <c r="R24" i="4"/>
  <c r="S28" i="4"/>
  <c r="U28" i="4"/>
  <c r="T28" i="4"/>
  <c r="R28" i="4"/>
  <c r="S32" i="4"/>
  <c r="U32" i="4"/>
  <c r="T32" i="4"/>
  <c r="R32" i="4"/>
  <c r="S36" i="4"/>
  <c r="U36" i="4"/>
  <c r="T36" i="4"/>
  <c r="R36" i="4"/>
  <c r="S40" i="4"/>
  <c r="U40" i="4"/>
  <c r="T40" i="4"/>
  <c r="R40" i="4"/>
  <c r="S44" i="4"/>
  <c r="U44" i="4"/>
  <c r="T44" i="4"/>
  <c r="R44" i="4"/>
  <c r="S48" i="4"/>
  <c r="U48" i="4"/>
  <c r="T48" i="4"/>
  <c r="R48" i="4"/>
  <c r="S52" i="4"/>
  <c r="U52" i="4"/>
  <c r="T52" i="4"/>
  <c r="R52" i="4"/>
  <c r="S56" i="4"/>
  <c r="U56" i="4"/>
  <c r="T56" i="4"/>
  <c r="R56" i="4"/>
  <c r="S60" i="4"/>
  <c r="U60" i="4"/>
  <c r="T60" i="4"/>
  <c r="R60" i="4"/>
  <c r="S64" i="4"/>
  <c r="U64" i="4"/>
  <c r="T64" i="4"/>
  <c r="R64" i="4"/>
  <c r="S68" i="4"/>
  <c r="U68" i="4"/>
  <c r="T68" i="4"/>
  <c r="R68" i="4"/>
  <c r="S72" i="4"/>
  <c r="U72" i="4"/>
  <c r="T72" i="4"/>
  <c r="R72" i="4"/>
  <c r="S76" i="4"/>
  <c r="T76" i="4"/>
  <c r="U76" i="4"/>
  <c r="R76" i="4"/>
  <c r="S80" i="4"/>
  <c r="U80" i="4"/>
  <c r="T80" i="4"/>
  <c r="R80" i="4"/>
  <c r="S84" i="4"/>
  <c r="U84" i="4"/>
  <c r="T84" i="4"/>
  <c r="R84" i="4"/>
  <c r="S88" i="4"/>
  <c r="U88" i="4"/>
  <c r="T88" i="4"/>
  <c r="R88" i="4"/>
  <c r="S92" i="4"/>
  <c r="U92" i="4"/>
  <c r="T92" i="4"/>
  <c r="R92" i="4"/>
  <c r="S96" i="4"/>
  <c r="U96" i="4"/>
  <c r="T96" i="4"/>
  <c r="R96" i="4"/>
  <c r="S100" i="4"/>
  <c r="U100" i="4"/>
  <c r="T100" i="4"/>
  <c r="R100" i="4"/>
  <c r="S104" i="4"/>
  <c r="U104" i="4"/>
  <c r="T104" i="4"/>
  <c r="R104" i="4"/>
  <c r="S108" i="4"/>
  <c r="U108" i="4"/>
  <c r="T108" i="4"/>
  <c r="R108" i="4"/>
  <c r="S112" i="4"/>
  <c r="U112" i="4"/>
  <c r="T112" i="4"/>
  <c r="R112" i="4"/>
  <c r="S116" i="4"/>
  <c r="U116" i="4"/>
  <c r="T116" i="4"/>
  <c r="R116" i="4"/>
  <c r="T21" i="4"/>
  <c r="S21" i="4"/>
  <c r="U21" i="4"/>
  <c r="R21" i="4"/>
  <c r="T25" i="4"/>
  <c r="S25" i="4"/>
  <c r="U25" i="4"/>
  <c r="R25" i="4"/>
  <c r="T29" i="4"/>
  <c r="S29" i="4"/>
  <c r="U29" i="4"/>
  <c r="R29" i="4"/>
  <c r="N6" i="3" s="1"/>
  <c r="T33" i="4"/>
  <c r="S33" i="4"/>
  <c r="U33" i="4"/>
  <c r="R33" i="4"/>
  <c r="T37" i="4"/>
  <c r="S37" i="4"/>
  <c r="U37" i="4"/>
  <c r="R37" i="4"/>
  <c r="T41" i="4"/>
  <c r="S41" i="4"/>
  <c r="U41" i="4"/>
  <c r="R41" i="4"/>
  <c r="T45" i="4"/>
  <c r="S45" i="4"/>
  <c r="U45" i="4"/>
  <c r="R45" i="4"/>
  <c r="T49" i="4"/>
  <c r="S49" i="4"/>
  <c r="U49" i="4"/>
  <c r="R49" i="4"/>
  <c r="T53" i="4"/>
  <c r="S53" i="4"/>
  <c r="U53" i="4"/>
  <c r="R53" i="4"/>
  <c r="T57" i="4"/>
  <c r="S57" i="4"/>
  <c r="U57" i="4"/>
  <c r="R57" i="4"/>
  <c r="T61" i="4"/>
  <c r="S61" i="4"/>
  <c r="U61" i="4"/>
  <c r="R61" i="4"/>
  <c r="T65" i="4"/>
  <c r="S65" i="4"/>
  <c r="U65" i="4"/>
  <c r="R65" i="4"/>
  <c r="T69" i="4"/>
  <c r="S69" i="4"/>
  <c r="U69" i="4"/>
  <c r="R69" i="4"/>
  <c r="T73" i="4"/>
  <c r="S73" i="4"/>
  <c r="U73" i="4"/>
  <c r="R73" i="4"/>
  <c r="T77" i="4"/>
  <c r="S77" i="4"/>
  <c r="U77" i="4"/>
  <c r="R77" i="4"/>
  <c r="T81" i="4"/>
  <c r="S81" i="4"/>
  <c r="U81" i="4"/>
  <c r="R81" i="4"/>
  <c r="T85" i="4"/>
  <c r="S85" i="4"/>
  <c r="U85" i="4"/>
  <c r="R85" i="4"/>
  <c r="T89" i="4"/>
  <c r="S89" i="4"/>
  <c r="U89" i="4"/>
  <c r="R89" i="4"/>
  <c r="T93" i="4"/>
  <c r="S93" i="4"/>
  <c r="U93" i="4"/>
  <c r="R93" i="4"/>
  <c r="T97" i="4"/>
  <c r="S97" i="4"/>
  <c r="U97" i="4"/>
  <c r="R97" i="4"/>
  <c r="T101" i="4"/>
  <c r="S101" i="4"/>
  <c r="U101" i="4"/>
  <c r="R101" i="4"/>
  <c r="T105" i="4"/>
  <c r="S105" i="4"/>
  <c r="U105" i="4"/>
  <c r="R105" i="4"/>
  <c r="T109" i="4"/>
  <c r="S109" i="4"/>
  <c r="U109" i="4"/>
  <c r="R109" i="4"/>
  <c r="T113" i="4"/>
  <c r="S113" i="4"/>
  <c r="U113" i="4"/>
  <c r="R113" i="4"/>
  <c r="T117" i="4"/>
  <c r="S117" i="4"/>
  <c r="U117" i="4"/>
  <c r="R117" i="4"/>
  <c r="S26" i="4"/>
  <c r="O12" i="3" s="1"/>
  <c r="U26" i="4"/>
  <c r="Q12" i="3" s="1"/>
  <c r="T26" i="4"/>
  <c r="P12" i="3" s="1"/>
  <c r="R26" i="4"/>
  <c r="S34" i="4"/>
  <c r="U34" i="4"/>
  <c r="T34" i="4"/>
  <c r="R34" i="4"/>
  <c r="S42" i="4"/>
  <c r="U42" i="4"/>
  <c r="T42" i="4"/>
  <c r="R42" i="4"/>
  <c r="S50" i="4"/>
  <c r="U50" i="4"/>
  <c r="T50" i="4"/>
  <c r="R50" i="4"/>
  <c r="S58" i="4"/>
  <c r="U58" i="4"/>
  <c r="T58" i="4"/>
  <c r="R58" i="4"/>
  <c r="S66" i="4"/>
  <c r="U66" i="4"/>
  <c r="T66" i="4"/>
  <c r="R66" i="4"/>
  <c r="S74" i="4"/>
  <c r="U74" i="4"/>
  <c r="T74" i="4"/>
  <c r="R74" i="4"/>
  <c r="S82" i="4"/>
  <c r="U82" i="4"/>
  <c r="T82" i="4"/>
  <c r="R82" i="4"/>
  <c r="S90" i="4"/>
  <c r="U90" i="4"/>
  <c r="T90" i="4"/>
  <c r="R90" i="4"/>
  <c r="S94" i="4"/>
  <c r="U94" i="4"/>
  <c r="T94" i="4"/>
  <c r="R94" i="4"/>
  <c r="S98" i="4"/>
  <c r="U98" i="4"/>
  <c r="T98" i="4"/>
  <c r="R98" i="4"/>
  <c r="S102" i="4"/>
  <c r="U102" i="4"/>
  <c r="T102" i="4"/>
  <c r="R102" i="4"/>
  <c r="S106" i="4"/>
  <c r="U106" i="4"/>
  <c r="T106" i="4"/>
  <c r="R106" i="4"/>
  <c r="S110" i="4"/>
  <c r="U110" i="4"/>
  <c r="T110" i="4"/>
  <c r="R110" i="4"/>
  <c r="S114" i="4"/>
  <c r="U114" i="4"/>
  <c r="T114" i="4"/>
  <c r="R114" i="4"/>
  <c r="S118" i="4"/>
  <c r="U118" i="4"/>
  <c r="T118" i="4"/>
  <c r="R118" i="4"/>
  <c r="T23" i="4"/>
  <c r="S23" i="4"/>
  <c r="U23" i="4"/>
  <c r="R23" i="4"/>
  <c r="T27" i="4"/>
  <c r="S27" i="4"/>
  <c r="U27" i="4"/>
  <c r="R27" i="4"/>
  <c r="T31" i="4"/>
  <c r="S31" i="4"/>
  <c r="U31" i="4"/>
  <c r="R31" i="4"/>
  <c r="T35" i="4"/>
  <c r="S35" i="4"/>
  <c r="U35" i="4"/>
  <c r="R35" i="4"/>
  <c r="T39" i="4"/>
  <c r="S39" i="4"/>
  <c r="U39" i="4"/>
  <c r="R39" i="4"/>
  <c r="T43" i="4"/>
  <c r="S43" i="4"/>
  <c r="U43" i="4"/>
  <c r="R43" i="4"/>
  <c r="T47" i="4"/>
  <c r="S47" i="4"/>
  <c r="U47" i="4"/>
  <c r="R47" i="4"/>
  <c r="T51" i="4"/>
  <c r="S51" i="4"/>
  <c r="U51" i="4"/>
  <c r="R51" i="4"/>
  <c r="T55" i="4"/>
  <c r="S55" i="4"/>
  <c r="U55" i="4"/>
  <c r="R55" i="4"/>
  <c r="T59" i="4"/>
  <c r="S59" i="4"/>
  <c r="U59" i="4"/>
  <c r="R59" i="4"/>
  <c r="T63" i="4"/>
  <c r="S63" i="4"/>
  <c r="U63" i="4"/>
  <c r="R63" i="4"/>
  <c r="T67" i="4"/>
  <c r="S67" i="4"/>
  <c r="U67" i="4"/>
  <c r="R67" i="4"/>
  <c r="T71" i="4"/>
  <c r="S71" i="4"/>
  <c r="U71" i="4"/>
  <c r="R71" i="4"/>
  <c r="T75" i="4"/>
  <c r="S75" i="4"/>
  <c r="U75" i="4"/>
  <c r="R75" i="4"/>
  <c r="T79" i="4"/>
  <c r="S79" i="4"/>
  <c r="U79" i="4"/>
  <c r="R79" i="4"/>
  <c r="T83" i="4"/>
  <c r="S83" i="4"/>
  <c r="U83" i="4"/>
  <c r="R83" i="4"/>
  <c r="T87" i="4"/>
  <c r="S87" i="4"/>
  <c r="U87" i="4"/>
  <c r="R87" i="4"/>
  <c r="T91" i="4"/>
  <c r="S91" i="4"/>
  <c r="U91" i="4"/>
  <c r="R91" i="4"/>
  <c r="T95" i="4"/>
  <c r="S95" i="4"/>
  <c r="U95" i="4"/>
  <c r="R95" i="4"/>
  <c r="T99" i="4"/>
  <c r="S99" i="4"/>
  <c r="U99" i="4"/>
  <c r="R99" i="4"/>
  <c r="T103" i="4"/>
  <c r="S103" i="4"/>
  <c r="U103" i="4"/>
  <c r="R103" i="4"/>
  <c r="T107" i="4"/>
  <c r="S107" i="4"/>
  <c r="U107" i="4"/>
  <c r="R107" i="4"/>
  <c r="T111" i="4"/>
  <c r="S111" i="4"/>
  <c r="U111" i="4"/>
  <c r="R111" i="4"/>
  <c r="T115" i="4"/>
  <c r="S115" i="4"/>
  <c r="U115" i="4"/>
  <c r="R115" i="4"/>
  <c r="T19" i="4"/>
  <c r="P5" i="3" s="1"/>
  <c r="U19" i="4"/>
  <c r="Q5" i="3" s="1"/>
  <c r="S19" i="4"/>
  <c r="R19" i="4"/>
  <c r="N5" i="3" s="1"/>
  <c r="J24" i="4"/>
  <c r="N13" i="3" l="1"/>
  <c r="O13" i="3"/>
  <c r="N9" i="3"/>
  <c r="O9" i="3"/>
  <c r="Q14" i="3"/>
  <c r="Q13" i="3"/>
  <c r="P13" i="3"/>
  <c r="Q9" i="3"/>
  <c r="P9" i="3"/>
  <c r="P14" i="3"/>
  <c r="O14" i="3"/>
  <c r="O6" i="3"/>
  <c r="S7" i="7"/>
  <c r="S6" i="7"/>
  <c r="O11" i="3"/>
  <c r="N7" i="3"/>
  <c r="O7" i="3"/>
  <c r="Q10" i="3"/>
  <c r="Q8" i="3"/>
  <c r="O5" i="3"/>
  <c r="Q11" i="3"/>
  <c r="P11" i="3"/>
  <c r="Q7" i="3"/>
  <c r="P7" i="3"/>
  <c r="P10" i="3"/>
  <c r="O10" i="3"/>
  <c r="P8" i="3"/>
  <c r="O8" i="3"/>
  <c r="P6" i="3"/>
  <c r="Q6" i="3"/>
  <c r="N12" i="3"/>
  <c r="N11" i="3"/>
  <c r="N14" i="3"/>
  <c r="N10" i="3"/>
  <c r="N8" i="3"/>
</calcChain>
</file>

<file path=xl/sharedStrings.xml><?xml version="1.0" encoding="utf-8"?>
<sst xmlns="http://schemas.openxmlformats.org/spreadsheetml/2006/main" count="1024" uniqueCount="360">
  <si>
    <t>KPI In %</t>
  </si>
  <si>
    <t>Key Indicator</t>
  </si>
  <si>
    <t>Profit Margin</t>
  </si>
  <si>
    <t>Market Share</t>
  </si>
  <si>
    <t>Promotional Cost</t>
  </si>
  <si>
    <t>Product 1</t>
  </si>
  <si>
    <t>Product 2</t>
  </si>
  <si>
    <t>Product 3</t>
  </si>
  <si>
    <t>Product 4</t>
  </si>
  <si>
    <t>Product 5</t>
  </si>
  <si>
    <t>Measurement</t>
  </si>
  <si>
    <t>Red</t>
  </si>
  <si>
    <t>Orange</t>
  </si>
  <si>
    <t>Green</t>
  </si>
  <si>
    <t>10% and Below</t>
  </si>
  <si>
    <t>20% And Above</t>
  </si>
  <si>
    <t>20% and above</t>
  </si>
  <si>
    <t>10% - 19%</t>
  </si>
  <si>
    <t>10% and above</t>
  </si>
  <si>
    <t>Company</t>
  </si>
  <si>
    <t>KPI-1</t>
  </si>
  <si>
    <t>KPI-2</t>
  </si>
  <si>
    <t>KPI-3</t>
  </si>
  <si>
    <t>KPI-4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</si>
  <si>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</si>
  <si>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</si>
  <si>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</si>
  <si>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</si>
  <si>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</si>
  <si>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</si>
  <si>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</si>
  <si>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</si>
  <si>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</si>
  <si>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</si>
  <si>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Comp 11</t>
  </si>
  <si>
    <t>Comp 12</t>
  </si>
  <si>
    <t>Comp 13</t>
  </si>
  <si>
    <t>Comp 14</t>
  </si>
  <si>
    <t>Comp 15</t>
  </si>
  <si>
    <t>Comp 16</t>
  </si>
  <si>
    <t>Comp 17</t>
  </si>
  <si>
    <t>Comp 18</t>
  </si>
  <si>
    <t>Comp 19</t>
  </si>
  <si>
    <t>Comp 20</t>
  </si>
  <si>
    <t>Comp 21</t>
  </si>
  <si>
    <t>Comp 22</t>
  </si>
  <si>
    <t>Comp 23</t>
  </si>
  <si>
    <t>Comp 24</t>
  </si>
  <si>
    <t>Comp 25</t>
  </si>
  <si>
    <t>Comp 26</t>
  </si>
  <si>
    <t>Comp 27</t>
  </si>
  <si>
    <t>Comp 28</t>
  </si>
  <si>
    <t>Comp 29</t>
  </si>
  <si>
    <t>Comp 30</t>
  </si>
  <si>
    <t>Comp 31</t>
  </si>
  <si>
    <t>Comp 32</t>
  </si>
  <si>
    <t>Comp 33</t>
  </si>
  <si>
    <t>Comp 34</t>
  </si>
  <si>
    <t>Comp 35</t>
  </si>
  <si>
    <t>Comp 36</t>
  </si>
  <si>
    <t>Comp 37</t>
  </si>
  <si>
    <t>Comp 38</t>
  </si>
  <si>
    <t>Comp 39</t>
  </si>
  <si>
    <t>Comp 40</t>
  </si>
  <si>
    <t>Comp 41</t>
  </si>
  <si>
    <t>Comp 42</t>
  </si>
  <si>
    <t>Comp 43</t>
  </si>
  <si>
    <t>Comp 44</t>
  </si>
  <si>
    <t>Comp 45</t>
  </si>
  <si>
    <t>Comp 46</t>
  </si>
  <si>
    <t>Comp 47</t>
  </si>
  <si>
    <t>Comp 48</t>
  </si>
  <si>
    <t>Comp 49</t>
  </si>
  <si>
    <t>Comp 50</t>
  </si>
  <si>
    <t>Comp 51</t>
  </si>
  <si>
    <t>Comp 52</t>
  </si>
  <si>
    <t>Comp 53</t>
  </si>
  <si>
    <t>Comp 54</t>
  </si>
  <si>
    <t>Comp 55</t>
  </si>
  <si>
    <t>Comp 56</t>
  </si>
  <si>
    <t>Comp 57</t>
  </si>
  <si>
    <t>Comp 58</t>
  </si>
  <si>
    <t>Comp 59</t>
  </si>
  <si>
    <t>Comp 60</t>
  </si>
  <si>
    <t>Comp 61</t>
  </si>
  <si>
    <t>Comp 62</t>
  </si>
  <si>
    <t>Comp 63</t>
  </si>
  <si>
    <t>Comp 64</t>
  </si>
  <si>
    <t>Comp 65</t>
  </si>
  <si>
    <t>Comp 66</t>
  </si>
  <si>
    <t>Comp 67</t>
  </si>
  <si>
    <t>Comp 68</t>
  </si>
  <si>
    <t>Comp 69</t>
  </si>
  <si>
    <t>Comp 70</t>
  </si>
  <si>
    <t>Comp 71</t>
  </si>
  <si>
    <t>Comp 72</t>
  </si>
  <si>
    <t>Comp 73</t>
  </si>
  <si>
    <t>Comp 74</t>
  </si>
  <si>
    <t>Comp 75</t>
  </si>
  <si>
    <t>Comp 76</t>
  </si>
  <si>
    <t>Comp 77</t>
  </si>
  <si>
    <t>Comp 78</t>
  </si>
  <si>
    <t>Comp 79</t>
  </si>
  <si>
    <t>Comp 80</t>
  </si>
  <si>
    <t>Comp 81</t>
  </si>
  <si>
    <t>Comp 82</t>
  </si>
  <si>
    <t>Comp 83</t>
  </si>
  <si>
    <t>Comp 84</t>
  </si>
  <si>
    <t>Comp 85</t>
  </si>
  <si>
    <t>Comp 86</t>
  </si>
  <si>
    <t>Comp 87</t>
  </si>
  <si>
    <t>Comp 88</t>
  </si>
  <si>
    <t>Comp 89</t>
  </si>
  <si>
    <t>Comp 90</t>
  </si>
  <si>
    <t>Comp 91</t>
  </si>
  <si>
    <t>Comp 92</t>
  </si>
  <si>
    <t>Comp 93</t>
  </si>
  <si>
    <t>Comp 94</t>
  </si>
  <si>
    <t>Comp 95</t>
  </si>
  <si>
    <t>Comp 96</t>
  </si>
  <si>
    <t>Comp 97</t>
  </si>
  <si>
    <t>Comp 98</t>
  </si>
  <si>
    <t>Comp 99</t>
  </si>
  <si>
    <t>Comp 100</t>
  </si>
  <si>
    <t>Chart Dropdown</t>
  </si>
  <si>
    <t>Cells Links</t>
  </si>
  <si>
    <t>KPI Dropdown X axis</t>
  </si>
  <si>
    <t>KPI Dropdown Y axis</t>
  </si>
  <si>
    <t>Chart Data</t>
  </si>
  <si>
    <t>X-Axis</t>
  </si>
  <si>
    <t>Y-Axis</t>
  </si>
  <si>
    <t>Chart Title</t>
  </si>
  <si>
    <t>Spot the Company</t>
  </si>
  <si>
    <t>Quardant 1 (Bottom Left)</t>
  </si>
  <si>
    <t>Quardant 2 (Bottom Right)</t>
  </si>
  <si>
    <t>Quardant 3 (Top Right)</t>
  </si>
  <si>
    <t>Quardant 4 (Top Left)</t>
  </si>
  <si>
    <t>Dynemic Interpretation</t>
  </si>
  <si>
    <t>Scroll Bar</t>
  </si>
  <si>
    <t>Radio Button</t>
  </si>
  <si>
    <t>Quardrant</t>
  </si>
  <si>
    <t xml:space="preserve"> Check Quardrant</t>
  </si>
  <si>
    <t>Row Number</t>
  </si>
  <si>
    <t>Stracked Up</t>
  </si>
  <si>
    <t>Company Name</t>
  </si>
  <si>
    <t>KPI 1</t>
  </si>
  <si>
    <t>KPI 2</t>
  </si>
  <si>
    <t>KPI 3</t>
  </si>
  <si>
    <t>KPI 4</t>
  </si>
  <si>
    <t xml:space="preserve">    S.No</t>
  </si>
  <si>
    <t>Name</t>
  </si>
  <si>
    <t>Bullet Chart Data</t>
  </si>
  <si>
    <t>Low</t>
  </si>
  <si>
    <t>Medium</t>
  </si>
  <si>
    <t>High</t>
  </si>
  <si>
    <t>Peer Avg</t>
  </si>
  <si>
    <t>Item</t>
  </si>
  <si>
    <t>Sales</t>
  </si>
  <si>
    <t>Curd</t>
  </si>
  <si>
    <t>Milk</t>
  </si>
  <si>
    <t>Maggie</t>
  </si>
  <si>
    <t>Pulses</t>
  </si>
  <si>
    <t>Papaya</t>
  </si>
  <si>
    <t>Gauva</t>
  </si>
  <si>
    <t>Week</t>
  </si>
  <si>
    <t>Week1</t>
  </si>
  <si>
    <t>Week2</t>
  </si>
  <si>
    <t>Week3</t>
  </si>
  <si>
    <t>Client Name</t>
  </si>
  <si>
    <t>Industry</t>
  </si>
  <si>
    <t>Country</t>
  </si>
  <si>
    <t>Date of Win</t>
  </si>
  <si>
    <t>Win Value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</si>
  <si>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</si>
  <si>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</si>
  <si>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</si>
  <si>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</si>
  <si>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</si>
  <si>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</si>
  <si>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</si>
  <si>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</si>
  <si>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</si>
  <si>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</si>
  <si>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</si>
  <si>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</si>
  <si>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</si>
  <si>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</si>
  <si>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</si>
  <si>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</si>
  <si>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</si>
  <si>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</si>
  <si>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</si>
  <si>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</si>
  <si>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</si>
  <si>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</si>
  <si>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</si>
  <si>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</si>
  <si>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</si>
  <si>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</si>
  <si>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</si>
  <si>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</si>
  <si>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</si>
  <si>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</si>
  <si>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</si>
  <si>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</si>
  <si>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</si>
  <si>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Healthcare</t>
  </si>
  <si>
    <t>Banking</t>
  </si>
  <si>
    <t>Advertisment</t>
  </si>
  <si>
    <t>IT</t>
  </si>
  <si>
    <t>Retail</t>
  </si>
  <si>
    <t>Accounting</t>
  </si>
  <si>
    <t>China</t>
  </si>
  <si>
    <t>Franch</t>
  </si>
  <si>
    <t>US</t>
  </si>
  <si>
    <t>Spain</t>
  </si>
  <si>
    <t>Germany</t>
  </si>
  <si>
    <t>Canada</t>
  </si>
  <si>
    <t>All Industry</t>
  </si>
  <si>
    <t>All Country</t>
  </si>
  <si>
    <t>All 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</si>
  <si>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</si>
  <si>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</si>
  <si>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</si>
  <si>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</si>
  <si>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</si>
  <si>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</si>
  <si>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</si>
  <si>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</si>
  <si>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</si>
  <si>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</si>
  <si>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</si>
  <si>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</si>
  <si>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H1</t>
  </si>
  <si>
    <t>H2</t>
  </si>
  <si>
    <t>H3</t>
  </si>
  <si>
    <t>H4</t>
  </si>
  <si>
    <t>Cal-1</t>
  </si>
  <si>
    <t>Cal-2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</si>
  <si>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</si>
  <si>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</si>
  <si>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</si>
  <si>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</si>
  <si>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</si>
  <si>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</si>
  <si>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</si>
  <si>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</si>
  <si>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</si>
  <si>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</si>
  <si>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</si>
  <si>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</si>
  <si>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</si>
  <si>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</si>
  <si>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</si>
  <si>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</si>
  <si>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Client 50</t>
  </si>
  <si>
    <t>Client 51</t>
  </si>
  <si>
    <t>Client 52</t>
  </si>
  <si>
    <t>Client 53</t>
  </si>
  <si>
    <t>Client 54</t>
  </si>
  <si>
    <t>Client 55</t>
  </si>
  <si>
    <t>Client 56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</si>
  <si>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</si>
  <si>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</si>
  <si>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</si>
  <si>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</si>
  <si>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</si>
  <si>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</si>
  <si>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</si>
  <si>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64</t>
  </si>
  <si>
    <t>Client 65</t>
  </si>
  <si>
    <t>Client 66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</si>
  <si>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</si>
  <si>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</si>
  <si>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</si>
  <si>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</si>
  <si>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</si>
  <si>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</si>
  <si>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</si>
  <si>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</si>
  <si>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75</t>
  </si>
  <si>
    <t>Client 76</t>
  </si>
  <si>
    <t>Client 77</t>
  </si>
  <si>
    <t>Client 78</t>
  </si>
  <si>
    <t>Client 79</t>
  </si>
  <si>
    <t>Client 80</t>
  </si>
  <si>
    <t>Client 81</t>
  </si>
  <si>
    <t>Client 82</t>
  </si>
  <si>
    <t>Client 83</t>
  </si>
  <si>
    <t>Client 84</t>
  </si>
  <si>
    <t>Client 85</t>
  </si>
  <si>
    <t>Client 86</t>
  </si>
  <si>
    <t>Client 87</t>
  </si>
  <si>
    <t>Client 88</t>
  </si>
  <si>
    <t>Client 89</t>
  </si>
  <si>
    <t>Client 90</t>
  </si>
  <si>
    <t>Client 91</t>
  </si>
  <si>
    <t>Client 92</t>
  </si>
  <si>
    <t>Client 93</t>
  </si>
  <si>
    <t>Client 94</t>
  </si>
  <si>
    <t>Client 95</t>
  </si>
  <si>
    <t>Client 96</t>
  </si>
  <si>
    <t>Client 97</t>
  </si>
  <si>
    <t>Client 98</t>
  </si>
  <si>
    <t>Client 99</t>
  </si>
  <si>
    <t>Month</t>
  </si>
  <si>
    <t>Product</t>
  </si>
  <si>
    <t>Salesperson</t>
  </si>
  <si>
    <t>Unit Cost</t>
  </si>
  <si>
    <t>Unit SP</t>
  </si>
  <si>
    <t>Unit Profit</t>
  </si>
  <si>
    <t>Count</t>
  </si>
  <si>
    <t>KPI_1</t>
  </si>
  <si>
    <t>Total sales</t>
  </si>
  <si>
    <t>Total GP</t>
  </si>
  <si>
    <t>Product A</t>
  </si>
  <si>
    <t>Salesperson 1</t>
  </si>
  <si>
    <t>Salesperson 2</t>
  </si>
  <si>
    <t>Salesperson 3</t>
  </si>
  <si>
    <t>Salesperson 4</t>
  </si>
  <si>
    <t>Salesperson 5</t>
  </si>
  <si>
    <t>Product B</t>
  </si>
  <si>
    <t>Product C</t>
  </si>
  <si>
    <t>Product D</t>
  </si>
  <si>
    <t>Position_Range</t>
  </si>
  <si>
    <t>Top Left</t>
  </si>
  <si>
    <t>Middle Left</t>
  </si>
  <si>
    <t>Bottom Left</t>
  </si>
  <si>
    <t>Top Right</t>
  </si>
  <si>
    <t>Bottom Right</t>
  </si>
  <si>
    <t>Middle Right</t>
  </si>
  <si>
    <t>View</t>
  </si>
  <si>
    <t>Hide</t>
  </si>
  <si>
    <t>SP_List</t>
  </si>
  <si>
    <t>All Product</t>
  </si>
  <si>
    <t>Prod_List</t>
  </si>
  <si>
    <t>All Salespeople</t>
  </si>
  <si>
    <t>Period_List</t>
  </si>
  <si>
    <t>YTD</t>
  </si>
  <si>
    <t>KPI_Name</t>
  </si>
  <si>
    <t>Count of Sale</t>
  </si>
  <si>
    <t>Total_Sales</t>
  </si>
  <si>
    <t>Total-GP</t>
  </si>
  <si>
    <t>KPI</t>
  </si>
  <si>
    <t>Product Group</t>
  </si>
  <si>
    <t>Product &amp; Period</t>
  </si>
  <si>
    <t>Product &amp; YTD</t>
  </si>
  <si>
    <t>All Products &amp; Period</t>
  </si>
  <si>
    <t>All Products &amp; YTD</t>
  </si>
  <si>
    <t>Total_GP</t>
  </si>
  <si>
    <t>Total</t>
  </si>
  <si>
    <t>Salesperson Analysis</t>
  </si>
  <si>
    <t>Salesperson:</t>
  </si>
  <si>
    <t>Month:</t>
  </si>
  <si>
    <t>KPI:</t>
  </si>
  <si>
    <t>Salesperson &amp; Period</t>
  </si>
  <si>
    <t>Salesperson &amp; YTD</t>
  </si>
  <si>
    <t>All Salespersons &amp; Period</t>
  </si>
  <si>
    <t>All Salespersons &amp; YTD</t>
  </si>
  <si>
    <t>Product Range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</si>
</sst>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color rgb="FF000000"/>
      <name val="Tahoma"/>
      <family val="2"/>
    </font>
    <font>
      <b/>
      <sz val="16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4" xfId="0" applyBorder="1"/>
    <xf numFmtId="0" fontId="2" fillId="2" borderId="4" xfId="0" applyFont="1" applyFill="1" applyBorder="1"/>
    <xf numFmtId="0" fontId="4" fillId="2" borderId="4" xfId="0" applyFont="1" applyFill="1" applyBorder="1"/>
    <xf numFmtId="0" fontId="5" fillId="2" borderId="4" xfId="0" applyFont="1" applyFill="1" applyBorder="1"/>
    <xf numFmtId="0" fontId="3" fillId="2" borderId="4" xfId="0" applyFont="1" applyFill="1" applyBorder="1"/>
    <xf numFmtId="9" fontId="0" fillId="0" borderId="0" xfId="0" applyNumberFormat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5" borderId="4" xfId="0" applyFill="1" applyBorder="1"/>
    <xf numFmtId="0" fontId="0" fillId="0" borderId="4" xfId="0" applyBorder="1" applyAlignment="1">
      <alignment vertical="center"/>
    </xf>
    <xf numFmtId="0" fontId="6" fillId="0" borderId="0" xfId="0" applyFont="1"/>
    <xf numFmtId="0" fontId="0" fillId="0" borderId="4" xfId="0" applyBorder="1" applyAlignment="1">
      <alignment horizontal="center"/>
    </xf>
    <xf numFmtId="9" fontId="0" fillId="0" borderId="4" xfId="0" applyNumberFormat="1" applyBorder="1"/>
    <xf numFmtId="0" fontId="0" fillId="0" borderId="4" xfId="0" applyBorder="1" applyAlignment="1"/>
    <xf numFmtId="9" fontId="0" fillId="0" borderId="4" xfId="0" applyNumberFormat="1" applyBorder="1" applyAlignment="1">
      <alignment horizontal="center"/>
    </xf>
    <xf numFmtId="0" fontId="0" fillId="0" borderId="17" xfId="0" applyBorder="1"/>
    <xf numFmtId="14" fontId="0" fillId="0" borderId="0" xfId="0" applyNumberFormat="1"/>
    <xf numFmtId="0" fontId="3" fillId="0" borderId="0" xfId="0" applyFont="1"/>
    <xf numFmtId="0" fontId="8" fillId="6" borderId="0" xfId="0" applyFont="1" applyFill="1"/>
    <xf numFmtId="0" fontId="9" fillId="4" borderId="0" xfId="0" applyFont="1" applyFill="1"/>
    <xf numFmtId="0" fontId="10" fillId="7" borderId="0" xfId="0" applyFont="1" applyFill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3" fillId="8" borderId="0" xfId="0" applyFont="1" applyFill="1"/>
    <xf numFmtId="15" fontId="0" fillId="0" borderId="4" xfId="0" applyNumberFormat="1" applyBorder="1"/>
    <xf numFmtId="0" fontId="11" fillId="0" borderId="0" xfId="0" applyFont="1"/>
    <xf numFmtId="0" fontId="3" fillId="0" borderId="4" xfId="0" applyFont="1" applyBorder="1"/>
    <xf numFmtId="0" fontId="12" fillId="9" borderId="0" xfId="0" applyFont="1" applyFill="1"/>
    <xf numFmtId="17" fontId="0" fillId="10" borderId="0" xfId="0" applyNumberFormat="1" applyFill="1"/>
    <xf numFmtId="0" fontId="0" fillId="10" borderId="0" xfId="0" applyFill="1"/>
    <xf numFmtId="17" fontId="0" fillId="11" borderId="0" xfId="0" applyNumberFormat="1" applyFill="1"/>
    <xf numFmtId="0" fontId="0" fillId="11" borderId="0" xfId="0" applyFill="1"/>
    <xf numFmtId="17" fontId="0" fillId="0" borderId="0" xfId="0" applyNumberFormat="1"/>
    <xf numFmtId="0" fontId="14" fillId="12" borderId="4" xfId="0" applyFont="1" applyFill="1" applyBorder="1" applyAlignment="1">
      <alignment horizontal="left" vertical="top" wrapText="1"/>
    </xf>
    <xf numFmtId="0" fontId="0" fillId="12" borderId="4" xfId="0" applyFill="1" applyBorder="1" applyAlignment="1">
      <alignment horizontal="left" vertical="top" wrapText="1"/>
    </xf>
    <xf numFmtId="0" fontId="0" fillId="12" borderId="4" xfId="0" applyFill="1" applyBorder="1"/>
    <xf numFmtId="0" fontId="15" fillId="0" borderId="4" xfId="0" applyFont="1" applyFill="1" applyBorder="1"/>
    <xf numFmtId="0" fontId="13" fillId="0" borderId="0" xfId="0" applyFont="1"/>
    <xf numFmtId="0" fontId="0" fillId="0" borderId="0" xfId="0" quotePrefix="1"/>
    <xf numFmtId="0" fontId="13" fillId="0" borderId="4" xfId="0" applyFont="1" applyBorder="1" applyAlignment="1">
      <alignment horizontal="center"/>
    </xf>
    <xf numFmtId="0" fontId="13" fillId="0" borderId="4" xfId="0" applyFont="1" applyBorder="1"/>
    <xf numFmtId="15" fontId="0" fillId="0" borderId="4" xfId="0" applyNumberFormat="1" applyBorder="1" applyAlignment="1">
      <alignment horizontal="center"/>
    </xf>
    <xf numFmtId="0" fontId="14" fillId="12" borderId="4" xfId="0" applyFont="1" applyFill="1" applyBorder="1"/>
    <xf numFmtId="17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4"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Calculation!$E$18</c:f>
              <c:strCache>
                <c:ptCount val="1"/>
                <c:pt idx="0">
                  <c:v>KPI-2  Vs,   KPI-1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</c:marker>
          <c:xVal>
            <c:numRef>
              <c:f>Calculation!$B$19:$B$118</c:f>
              <c:numCache>
                <c:formatCode>0%</c:formatCode>
                <c:ptCount val="100"/>
                <c:pt idx="0">
                  <c:v>0.73</c:v>
                </c:pt>
                <c:pt idx="1">
                  <c:v>0.66</c:v>
                </c:pt>
                <c:pt idx="2">
                  <c:v>0.21</c:v>
                </c:pt>
                <c:pt idx="3">
                  <c:v>0.21</c:v>
                </c:pt>
                <c:pt idx="4">
                  <c:v>0.47</c:v>
                </c:pt>
                <c:pt idx="5">
                  <c:v>0.84</c:v>
                </c:pt>
                <c:pt idx="6">
                  <c:v>0.6</c:v>
                </c:pt>
                <c:pt idx="7">
                  <c:v>0.93</c:v>
                </c:pt>
                <c:pt idx="8">
                  <c:v>0.26</c:v>
                </c:pt>
                <c:pt idx="9">
                  <c:v>0.86</c:v>
                </c:pt>
                <c:pt idx="10">
                  <c:v>0.64</c:v>
                </c:pt>
                <c:pt idx="11">
                  <c:v>0.24</c:v>
                </c:pt>
                <c:pt idx="12">
                  <c:v>0.52</c:v>
                </c:pt>
                <c:pt idx="13">
                  <c:v>0.5</c:v>
                </c:pt>
                <c:pt idx="14">
                  <c:v>0.83</c:v>
                </c:pt>
                <c:pt idx="15">
                  <c:v>0.78</c:v>
                </c:pt>
                <c:pt idx="16">
                  <c:v>0.54</c:v>
                </c:pt>
                <c:pt idx="17">
                  <c:v>0.25</c:v>
                </c:pt>
                <c:pt idx="18">
                  <c:v>0.89</c:v>
                </c:pt>
                <c:pt idx="19">
                  <c:v>0.38</c:v>
                </c:pt>
                <c:pt idx="20">
                  <c:v>0.86</c:v>
                </c:pt>
                <c:pt idx="21">
                  <c:v>0.41</c:v>
                </c:pt>
                <c:pt idx="22">
                  <c:v>0.17</c:v>
                </c:pt>
                <c:pt idx="23">
                  <c:v>0.44</c:v>
                </c:pt>
                <c:pt idx="24">
                  <c:v>0.79</c:v>
                </c:pt>
                <c:pt idx="25">
                  <c:v>0.81</c:v>
                </c:pt>
                <c:pt idx="26">
                  <c:v>0.65</c:v>
                </c:pt>
                <c:pt idx="27">
                  <c:v>0.27</c:v>
                </c:pt>
                <c:pt idx="28">
                  <c:v>0.31</c:v>
                </c:pt>
                <c:pt idx="29">
                  <c:v>0.2</c:v>
                </c:pt>
                <c:pt idx="30">
                  <c:v>0.65</c:v>
                </c:pt>
                <c:pt idx="31">
                  <c:v>0.84</c:v>
                </c:pt>
                <c:pt idx="32">
                  <c:v>0.21</c:v>
                </c:pt>
                <c:pt idx="33">
                  <c:v>0.51</c:v>
                </c:pt>
                <c:pt idx="34">
                  <c:v>0.34</c:v>
                </c:pt>
                <c:pt idx="35">
                  <c:v>0.39</c:v>
                </c:pt>
                <c:pt idx="36">
                  <c:v>0.66</c:v>
                </c:pt>
                <c:pt idx="37">
                  <c:v>0.92</c:v>
                </c:pt>
                <c:pt idx="38">
                  <c:v>0.6</c:v>
                </c:pt>
                <c:pt idx="39">
                  <c:v>0.14000000000000001</c:v>
                </c:pt>
                <c:pt idx="40">
                  <c:v>0.19</c:v>
                </c:pt>
                <c:pt idx="41">
                  <c:v>0.2</c:v>
                </c:pt>
                <c:pt idx="42">
                  <c:v>0.91</c:v>
                </c:pt>
                <c:pt idx="43">
                  <c:v>0.11</c:v>
                </c:pt>
                <c:pt idx="44">
                  <c:v>0.8</c:v>
                </c:pt>
                <c:pt idx="45">
                  <c:v>0.21</c:v>
                </c:pt>
                <c:pt idx="46">
                  <c:v>0.44</c:v>
                </c:pt>
                <c:pt idx="47">
                  <c:v>0.37</c:v>
                </c:pt>
                <c:pt idx="48">
                  <c:v>0.18</c:v>
                </c:pt>
                <c:pt idx="49">
                  <c:v>0.53</c:v>
                </c:pt>
                <c:pt idx="50">
                  <c:v>0.76</c:v>
                </c:pt>
                <c:pt idx="51">
                  <c:v>0.61</c:v>
                </c:pt>
                <c:pt idx="52">
                  <c:v>0.63</c:v>
                </c:pt>
                <c:pt idx="53">
                  <c:v>0.4</c:v>
                </c:pt>
                <c:pt idx="54">
                  <c:v>0.76</c:v>
                </c:pt>
                <c:pt idx="55">
                  <c:v>0.46</c:v>
                </c:pt>
                <c:pt idx="56">
                  <c:v>0.19</c:v>
                </c:pt>
                <c:pt idx="57">
                  <c:v>0.93</c:v>
                </c:pt>
                <c:pt idx="58">
                  <c:v>0.86</c:v>
                </c:pt>
                <c:pt idx="59">
                  <c:v>0.81</c:v>
                </c:pt>
                <c:pt idx="60">
                  <c:v>0.11</c:v>
                </c:pt>
                <c:pt idx="61">
                  <c:v>0.57999999999999996</c:v>
                </c:pt>
                <c:pt idx="62">
                  <c:v>0.93</c:v>
                </c:pt>
                <c:pt idx="63">
                  <c:v>0.72</c:v>
                </c:pt>
                <c:pt idx="64">
                  <c:v>0.47</c:v>
                </c:pt>
                <c:pt idx="65">
                  <c:v>0.17</c:v>
                </c:pt>
                <c:pt idx="66">
                  <c:v>0.21</c:v>
                </c:pt>
                <c:pt idx="67">
                  <c:v>0.11</c:v>
                </c:pt>
                <c:pt idx="68">
                  <c:v>0.2</c:v>
                </c:pt>
                <c:pt idx="69">
                  <c:v>0.49</c:v>
                </c:pt>
                <c:pt idx="70">
                  <c:v>0.79</c:v>
                </c:pt>
                <c:pt idx="71">
                  <c:v>0.96</c:v>
                </c:pt>
                <c:pt idx="72">
                  <c:v>0.31</c:v>
                </c:pt>
                <c:pt idx="73">
                  <c:v>0.76</c:v>
                </c:pt>
                <c:pt idx="74">
                  <c:v>0.96</c:v>
                </c:pt>
                <c:pt idx="75">
                  <c:v>0.52</c:v>
                </c:pt>
                <c:pt idx="76">
                  <c:v>0.63</c:v>
                </c:pt>
                <c:pt idx="77">
                  <c:v>0.71</c:v>
                </c:pt>
                <c:pt idx="78">
                  <c:v>0.88</c:v>
                </c:pt>
                <c:pt idx="79">
                  <c:v>0.34</c:v>
                </c:pt>
                <c:pt idx="80">
                  <c:v>0.42</c:v>
                </c:pt>
                <c:pt idx="81">
                  <c:v>0.18</c:v>
                </c:pt>
                <c:pt idx="82">
                  <c:v>0.2</c:v>
                </c:pt>
                <c:pt idx="83">
                  <c:v>0.17</c:v>
                </c:pt>
                <c:pt idx="84">
                  <c:v>0.11</c:v>
                </c:pt>
                <c:pt idx="85">
                  <c:v>0.59</c:v>
                </c:pt>
                <c:pt idx="86">
                  <c:v>0.64</c:v>
                </c:pt>
                <c:pt idx="87">
                  <c:v>0.38</c:v>
                </c:pt>
                <c:pt idx="88">
                  <c:v>0.76</c:v>
                </c:pt>
                <c:pt idx="89">
                  <c:v>0.62</c:v>
                </c:pt>
                <c:pt idx="90">
                  <c:v>0.95</c:v>
                </c:pt>
                <c:pt idx="91">
                  <c:v>0.66</c:v>
                </c:pt>
                <c:pt idx="92">
                  <c:v>0.4</c:v>
                </c:pt>
                <c:pt idx="93">
                  <c:v>0.73</c:v>
                </c:pt>
                <c:pt idx="94">
                  <c:v>0.31</c:v>
                </c:pt>
                <c:pt idx="95">
                  <c:v>0.39</c:v>
                </c:pt>
                <c:pt idx="96">
                  <c:v>0.81</c:v>
                </c:pt>
                <c:pt idx="97">
                  <c:v>0.81</c:v>
                </c:pt>
                <c:pt idx="98">
                  <c:v>0.22</c:v>
                </c:pt>
                <c:pt idx="99">
                  <c:v>0.78</c:v>
                </c:pt>
              </c:numCache>
            </c:numRef>
          </c:xVal>
          <c:yVal>
            <c:numRef>
              <c:f>Calculation!$C$19:$C$118</c:f>
              <c:numCache>
                <c:formatCode>0%</c:formatCode>
                <c:ptCount val="100"/>
                <c:pt idx="0">
                  <c:v>0.38</c:v>
                </c:pt>
                <c:pt idx="1">
                  <c:v>0.46</c:v>
                </c:pt>
                <c:pt idx="2">
                  <c:v>0.61</c:v>
                </c:pt>
                <c:pt idx="3">
                  <c:v>0.61</c:v>
                </c:pt>
                <c:pt idx="4">
                  <c:v>0.78</c:v>
                </c:pt>
                <c:pt idx="5">
                  <c:v>0.13</c:v>
                </c:pt>
                <c:pt idx="6">
                  <c:v>0.37</c:v>
                </c:pt>
                <c:pt idx="7">
                  <c:v>0.95</c:v>
                </c:pt>
                <c:pt idx="8">
                  <c:v>0.49</c:v>
                </c:pt>
                <c:pt idx="9">
                  <c:v>0.82</c:v>
                </c:pt>
                <c:pt idx="10">
                  <c:v>0.62</c:v>
                </c:pt>
                <c:pt idx="11">
                  <c:v>0.76</c:v>
                </c:pt>
                <c:pt idx="12">
                  <c:v>0.35</c:v>
                </c:pt>
                <c:pt idx="13">
                  <c:v>0.85</c:v>
                </c:pt>
                <c:pt idx="14">
                  <c:v>0.92</c:v>
                </c:pt>
                <c:pt idx="15">
                  <c:v>0.95</c:v>
                </c:pt>
                <c:pt idx="16">
                  <c:v>0.23</c:v>
                </c:pt>
                <c:pt idx="17">
                  <c:v>0.22</c:v>
                </c:pt>
                <c:pt idx="18">
                  <c:v>0.46</c:v>
                </c:pt>
                <c:pt idx="19">
                  <c:v>0.45</c:v>
                </c:pt>
                <c:pt idx="20">
                  <c:v>0.7</c:v>
                </c:pt>
                <c:pt idx="21">
                  <c:v>0.5</c:v>
                </c:pt>
                <c:pt idx="22">
                  <c:v>0.41</c:v>
                </c:pt>
                <c:pt idx="23">
                  <c:v>0.88</c:v>
                </c:pt>
                <c:pt idx="24">
                  <c:v>0.79</c:v>
                </c:pt>
                <c:pt idx="25">
                  <c:v>0.21</c:v>
                </c:pt>
                <c:pt idx="26">
                  <c:v>0.33</c:v>
                </c:pt>
                <c:pt idx="27">
                  <c:v>0.56000000000000005</c:v>
                </c:pt>
                <c:pt idx="28">
                  <c:v>0.46</c:v>
                </c:pt>
                <c:pt idx="29">
                  <c:v>0.61</c:v>
                </c:pt>
                <c:pt idx="30">
                  <c:v>0.19</c:v>
                </c:pt>
                <c:pt idx="31">
                  <c:v>0.91</c:v>
                </c:pt>
                <c:pt idx="32">
                  <c:v>0.44</c:v>
                </c:pt>
                <c:pt idx="33">
                  <c:v>0.92</c:v>
                </c:pt>
                <c:pt idx="34">
                  <c:v>0.62</c:v>
                </c:pt>
                <c:pt idx="35">
                  <c:v>0.57999999999999996</c:v>
                </c:pt>
                <c:pt idx="36">
                  <c:v>0.24</c:v>
                </c:pt>
                <c:pt idx="37">
                  <c:v>0.71</c:v>
                </c:pt>
                <c:pt idx="38">
                  <c:v>0.12</c:v>
                </c:pt>
                <c:pt idx="39">
                  <c:v>0.21</c:v>
                </c:pt>
                <c:pt idx="40">
                  <c:v>0.15</c:v>
                </c:pt>
                <c:pt idx="41">
                  <c:v>0.94</c:v>
                </c:pt>
                <c:pt idx="42">
                  <c:v>0.65</c:v>
                </c:pt>
                <c:pt idx="43">
                  <c:v>0.12</c:v>
                </c:pt>
                <c:pt idx="44">
                  <c:v>0.35</c:v>
                </c:pt>
                <c:pt idx="45">
                  <c:v>0.84</c:v>
                </c:pt>
                <c:pt idx="46">
                  <c:v>0.82</c:v>
                </c:pt>
                <c:pt idx="47">
                  <c:v>0.74</c:v>
                </c:pt>
                <c:pt idx="48">
                  <c:v>0.82</c:v>
                </c:pt>
                <c:pt idx="49">
                  <c:v>0.74</c:v>
                </c:pt>
                <c:pt idx="50">
                  <c:v>0.75</c:v>
                </c:pt>
                <c:pt idx="51">
                  <c:v>0.89</c:v>
                </c:pt>
                <c:pt idx="52">
                  <c:v>0.42</c:v>
                </c:pt>
                <c:pt idx="53">
                  <c:v>0.75</c:v>
                </c:pt>
                <c:pt idx="54">
                  <c:v>0.45</c:v>
                </c:pt>
                <c:pt idx="55">
                  <c:v>0.12</c:v>
                </c:pt>
                <c:pt idx="56">
                  <c:v>0.28000000000000003</c:v>
                </c:pt>
                <c:pt idx="57">
                  <c:v>0.18</c:v>
                </c:pt>
                <c:pt idx="58">
                  <c:v>0.63</c:v>
                </c:pt>
                <c:pt idx="59">
                  <c:v>0.69</c:v>
                </c:pt>
                <c:pt idx="60">
                  <c:v>0.42</c:v>
                </c:pt>
                <c:pt idx="61">
                  <c:v>0.31</c:v>
                </c:pt>
                <c:pt idx="62">
                  <c:v>0.54</c:v>
                </c:pt>
                <c:pt idx="63">
                  <c:v>0.81</c:v>
                </c:pt>
                <c:pt idx="64">
                  <c:v>0.27</c:v>
                </c:pt>
                <c:pt idx="65">
                  <c:v>0.73</c:v>
                </c:pt>
                <c:pt idx="66">
                  <c:v>0.5</c:v>
                </c:pt>
                <c:pt idx="67">
                  <c:v>0.24</c:v>
                </c:pt>
                <c:pt idx="68">
                  <c:v>0.19</c:v>
                </c:pt>
                <c:pt idx="69">
                  <c:v>0.56999999999999995</c:v>
                </c:pt>
                <c:pt idx="70">
                  <c:v>0.9</c:v>
                </c:pt>
                <c:pt idx="71">
                  <c:v>0.42</c:v>
                </c:pt>
                <c:pt idx="72">
                  <c:v>0.5</c:v>
                </c:pt>
                <c:pt idx="73">
                  <c:v>0.84</c:v>
                </c:pt>
                <c:pt idx="74">
                  <c:v>0.72</c:v>
                </c:pt>
                <c:pt idx="75">
                  <c:v>0.62</c:v>
                </c:pt>
                <c:pt idx="76">
                  <c:v>0.78</c:v>
                </c:pt>
                <c:pt idx="77">
                  <c:v>0.69</c:v>
                </c:pt>
                <c:pt idx="78">
                  <c:v>0.71</c:v>
                </c:pt>
                <c:pt idx="79">
                  <c:v>0.48</c:v>
                </c:pt>
                <c:pt idx="80">
                  <c:v>0.83</c:v>
                </c:pt>
                <c:pt idx="81">
                  <c:v>0.75</c:v>
                </c:pt>
                <c:pt idx="82">
                  <c:v>0.27</c:v>
                </c:pt>
                <c:pt idx="83">
                  <c:v>0.87</c:v>
                </c:pt>
                <c:pt idx="84">
                  <c:v>0.85</c:v>
                </c:pt>
                <c:pt idx="85">
                  <c:v>0.57999999999999996</c:v>
                </c:pt>
                <c:pt idx="86">
                  <c:v>0.72</c:v>
                </c:pt>
                <c:pt idx="87">
                  <c:v>0.37</c:v>
                </c:pt>
                <c:pt idx="88">
                  <c:v>0.65</c:v>
                </c:pt>
                <c:pt idx="89">
                  <c:v>0.79</c:v>
                </c:pt>
                <c:pt idx="90">
                  <c:v>0.54</c:v>
                </c:pt>
                <c:pt idx="91">
                  <c:v>0.64</c:v>
                </c:pt>
                <c:pt idx="92">
                  <c:v>0.11</c:v>
                </c:pt>
                <c:pt idx="93">
                  <c:v>0.61</c:v>
                </c:pt>
                <c:pt idx="94">
                  <c:v>0.41</c:v>
                </c:pt>
                <c:pt idx="95">
                  <c:v>0.61</c:v>
                </c:pt>
                <c:pt idx="96">
                  <c:v>0.91</c:v>
                </c:pt>
                <c:pt idx="97">
                  <c:v>0.84</c:v>
                </c:pt>
                <c:pt idx="98">
                  <c:v>0.35</c:v>
                </c:pt>
                <c:pt idx="99">
                  <c:v>0.56999999999999995</c:v>
                </c:pt>
              </c:numCache>
            </c:numRef>
          </c:yVal>
          <c:smooth val="0"/>
        </c:ser>
        <c:ser>
          <c:idx val="1"/>
          <c:order val="1"/>
          <c:tx>
            <c:v>Spot the Company</c:v>
          </c:tx>
          <c:spPr>
            <a:ln w="28575">
              <a:noFill/>
            </a:ln>
          </c:spPr>
          <c:marker>
            <c:symbol val="circle"/>
            <c:size val="12"/>
            <c:spPr>
              <a:noFill/>
            </c:spPr>
          </c:marker>
          <c:dLbls>
            <c:dLbl>
              <c:idx val="0"/>
              <c:layout/>
              <c:tx>
                <c:strRef>
                  <c:f>Calculation!$E$21</c:f>
                  <c:strCache>
                    <c:ptCount val="1"/>
                    <c:pt idx="0">
                      <c:v>Comp 17</c:v>
                    </c:pt>
                  </c:strCache>
                </c:strRef>
              </c:tx>
              <c:showLegendKey val="0"/>
              <c:showVal val="1"/>
              <c:showCatName val="0"/>
              <c:showSerName val="1"/>
              <c:showPercent val="0"/>
              <c:showBubbleSize val="0"/>
            </c:dLbl>
            <c:txPr>
              <a:bodyPr/>
              <a:lstStyle/>
              <a:p>
                <a:pPr>
                  <a:defRPr b="1" i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</c:dLbls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Calculation!$F$21</c:f>
              <c:numCache>
                <c:formatCode>General</c:formatCode>
                <c:ptCount val="1"/>
                <c:pt idx="0">
                  <c:v>0.54</c:v>
                </c:pt>
              </c:numCache>
            </c:numRef>
          </c:xVal>
          <c:yVal>
            <c:numRef>
              <c:f>Calculation!$G$21</c:f>
              <c:numCache>
                <c:formatCode>General</c:formatCode>
                <c:ptCount val="1"/>
                <c:pt idx="0">
                  <c:v>0.23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7968"/>
        <c:axId val="32549504"/>
      </c:scatterChart>
      <c:valAx>
        <c:axId val="3254796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32549504"/>
        <c:crosses val="autoZero"/>
        <c:crossBetween val="midCat"/>
      </c:valAx>
      <c:valAx>
        <c:axId val="3254950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32547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Calculation!$W$19</c:f>
              <c:strCache>
                <c:ptCount val="1"/>
                <c:pt idx="0">
                  <c:v>Low</c:v>
                </c:pt>
              </c:strCache>
            </c:strRef>
          </c:tx>
          <c:invertIfNegative val="0"/>
          <c:val>
            <c:numRef>
              <c:f>Calculation!$X$19:$AA$19</c:f>
              <c:numCache>
                <c:formatCode>0%</c:formatCode>
                <c:ptCount val="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</c:numCache>
            </c:numRef>
          </c:val>
        </c:ser>
        <c:ser>
          <c:idx val="1"/>
          <c:order val="1"/>
          <c:tx>
            <c:strRef>
              <c:f>Calculation!$W$20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val>
            <c:numRef>
              <c:f>Calculation!$X$20:$AA$20</c:f>
              <c:numCache>
                <c:formatCode>0%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</c:numCache>
            </c:numRef>
          </c:val>
        </c:ser>
        <c:ser>
          <c:idx val="2"/>
          <c:order val="2"/>
          <c:tx>
            <c:strRef>
              <c:f>Calculation!$W$21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val>
            <c:numRef>
              <c:f>Calculation!$X$21:$AA$21</c:f>
              <c:numCache>
                <c:formatCode>0%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02368"/>
        <c:axId val="32604544"/>
      </c:barChart>
      <c:barChart>
        <c:barDir val="col"/>
        <c:grouping val="stacked"/>
        <c:varyColors val="0"/>
        <c:ser>
          <c:idx val="3"/>
          <c:order val="3"/>
          <c:tx>
            <c:strRef>
              <c:f>Calculation!$W$22</c:f>
              <c:strCache>
                <c:ptCount val="1"/>
                <c:pt idx="0">
                  <c:v>Comp 17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val>
            <c:numRef>
              <c:f>Calculation!$X$22:$AA$22</c:f>
              <c:numCache>
                <c:formatCode>0%</c:formatCode>
                <c:ptCount val="4"/>
                <c:pt idx="0">
                  <c:v>0.23</c:v>
                </c:pt>
                <c:pt idx="1">
                  <c:v>0.54</c:v>
                </c:pt>
                <c:pt idx="2">
                  <c:v>0.82</c:v>
                </c:pt>
                <c:pt idx="3">
                  <c:v>0.76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32607616"/>
        <c:axId val="32606080"/>
      </c:barChart>
      <c:lineChart>
        <c:grouping val="stacked"/>
        <c:varyColors val="0"/>
        <c:ser>
          <c:idx val="4"/>
          <c:order val="4"/>
          <c:tx>
            <c:strRef>
              <c:f>Calculation!$W$23</c:f>
              <c:strCache>
                <c:ptCount val="1"/>
                <c:pt idx="0">
                  <c:v>Peer Avg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val>
            <c:numRef>
              <c:f>Calculation!$X$23:$AA$23</c:f>
              <c:numCache>
                <c:formatCode>0%</c:formatCode>
                <c:ptCount val="4"/>
                <c:pt idx="0">
                  <c:v>0.56640000000000001</c:v>
                </c:pt>
                <c:pt idx="1">
                  <c:v>0.52840000000000042</c:v>
                </c:pt>
                <c:pt idx="2">
                  <c:v>0.53530000000000011</c:v>
                </c:pt>
                <c:pt idx="3">
                  <c:v>0.55940000000000001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02368"/>
        <c:axId val="32604544"/>
      </c:lineChart>
      <c:catAx>
        <c:axId val="3260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32604544"/>
        <c:crosses val="autoZero"/>
        <c:auto val="1"/>
        <c:lblAlgn val="ctr"/>
        <c:lblOffset val="100"/>
        <c:noMultiLvlLbl val="0"/>
      </c:catAx>
      <c:valAx>
        <c:axId val="3260454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602368"/>
        <c:crosses val="autoZero"/>
        <c:crossBetween val="between"/>
      </c:valAx>
      <c:valAx>
        <c:axId val="32606080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32607616"/>
        <c:crosses val="max"/>
        <c:crossBetween val="between"/>
      </c:valAx>
      <c:catAx>
        <c:axId val="32607616"/>
        <c:scaling>
          <c:orientation val="minMax"/>
        </c:scaling>
        <c:delete val="1"/>
        <c:axPos val="b"/>
        <c:majorTickMark val="out"/>
        <c:minorTickMark val="none"/>
        <c:tickLblPos val="nextTo"/>
        <c:crossAx val="3260608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01600" prst="riblet"/>
              <a:bevelB w="139700" h="139700" prst="divot"/>
            </a:sp3d>
          </c:spPr>
          <c:explosion val="25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Sheet8!$B$24:$B$28</c:f>
              <c:strCache>
                <c:ptCount val="5"/>
                <c:pt idx="0">
                  <c:v>Salesperson 1</c:v>
                </c:pt>
                <c:pt idx="1">
                  <c:v>Salesperson 2</c:v>
                </c:pt>
                <c:pt idx="2">
                  <c:v>Salesperson 3</c:v>
                </c:pt>
                <c:pt idx="3">
                  <c:v>Salesperson 4</c:v>
                </c:pt>
                <c:pt idx="4">
                  <c:v>Salesperson 5</c:v>
                </c:pt>
              </c:strCache>
            </c:strRef>
          </c:cat>
          <c:val>
            <c:numRef>
              <c:f>Sheet8!$C$24:$C$28</c:f>
              <c:numCache>
                <c:formatCode>General</c:formatCode>
                <c:ptCount val="5"/>
                <c:pt idx="0">
                  <c:v>300</c:v>
                </c:pt>
                <c:pt idx="1">
                  <c:v>900</c:v>
                </c:pt>
                <c:pt idx="2">
                  <c:v>1300</c:v>
                </c:pt>
                <c:pt idx="3">
                  <c:v>650</c:v>
                </c:pt>
                <c:pt idx="4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39700" h="139700" prst="divot"/>
              <a:bevelB w="101600" prst="riblet"/>
            </a:sp3d>
          </c:spPr>
          <c:explosion val="25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Sheet1!$B$24:$B$27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Sheet1!$C$24:$C$27</c:f>
              <c:numCache>
                <c:formatCode>General</c:formatCode>
                <c:ptCount val="4"/>
                <c:pt idx="0">
                  <c:v>52</c:v>
                </c:pt>
                <c:pt idx="1">
                  <c:v>56</c:v>
                </c:pt>
                <c:pt idx="2">
                  <c:v>12</c:v>
                </c:pt>
                <c:pt idx="3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4" dropStyle="combo" dx="16" fmlaLink="Calculation!$B$11" fmlaRange="Calculation!$A$2:$A$5" noThreeD="1" sel="2" val="0"/>
</file>

<file path=xl/ctrlProps/ctrlProp2.xml><?xml version="1.0" encoding="utf-8"?>
<formControlPr xmlns="http://schemas.microsoft.com/office/spreadsheetml/2009/9/main" objectType="Drop" dropLines="4" dropStyle="combo" dx="16" fmlaLink="Calculation!$B$12" fmlaRange="Calculation!$A$2:$A$5" noThreeD="1" val="0"/>
</file>

<file path=xl/ctrlProps/ctrlProp3.xml><?xml version="1.0" encoding="utf-8"?>
<formControlPr xmlns="http://schemas.microsoft.com/office/spreadsheetml/2009/9/main" objectType="Scroll" dx="16" fmlaLink="Calculation!$B$13" max="91" min="1" page="10"/>
</file>

<file path=xl/ctrlProps/ctrlProp4.xml><?xml version="1.0" encoding="utf-8"?>
<formControlPr xmlns="http://schemas.microsoft.com/office/spreadsheetml/2009/9/main" objectType="Radio" firstButton="1" fmlaLink="Calculation!$B$14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Drop" dropLines="7" dropStyle="combo" dx="16" fmlaLink="$S$1" fmlaRange="$O$1:$O$7" noThreeD="1" val="0"/>
</file>

<file path=xl/ctrlProps/ctrlProp10.xml><?xml version="1.0" encoding="utf-8"?>
<formControlPr xmlns="http://schemas.microsoft.com/office/spreadsheetml/2009/9/main" objectType="Drop" dropLines="7" dropStyle="combo" dx="16" fmlaLink="$T$1" fmlaRange="$P$1:$P$7" noThreeD="1" val="0"/>
</file>

<file path=xl/ctrlProps/ctrlProp11.xml><?xml version="1.0" encoding="utf-8"?>
<formControlPr xmlns="http://schemas.microsoft.com/office/spreadsheetml/2009/9/main" objectType="Drop" dropLines="5" dropStyle="combo" dx="16" fmlaLink="$U$1" fmlaRange="$Q$2:$Q$13" noThreeD="1" sel="12" val="7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16</xdr:row>
          <xdr:rowOff>152400</xdr:rowOff>
        </xdr:from>
        <xdr:to>
          <xdr:col>9</xdr:col>
          <xdr:colOff>466725</xdr:colOff>
          <xdr:row>17</xdr:row>
          <xdr:rowOff>180975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0</xdr:row>
          <xdr:rowOff>171450</xdr:rowOff>
        </xdr:from>
        <xdr:to>
          <xdr:col>1</xdr:col>
          <xdr:colOff>571500</xdr:colOff>
          <xdr:row>2</xdr:row>
          <xdr:rowOff>9525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76200</xdr:colOff>
      <xdr:row>2</xdr:row>
      <xdr:rowOff>66675</xdr:rowOff>
    </xdr:from>
    <xdr:to>
      <xdr:col>8</xdr:col>
      <xdr:colOff>381000</xdr:colOff>
      <xdr:row>16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447675</xdr:colOff>
      <xdr:row>22</xdr:row>
      <xdr:rowOff>95249</xdr:rowOff>
    </xdr:from>
    <xdr:ext cx="5086350" cy="523875"/>
    <xdr:sp macro="" textlink="Calculation!J24">
      <xdr:nvSpPr>
        <xdr:cNvPr id="2" name="TextBox 1"/>
        <xdr:cNvSpPr txBox="1"/>
      </xdr:nvSpPr>
      <xdr:spPr>
        <a:xfrm>
          <a:off x="447675" y="4295774"/>
          <a:ext cx="5086350" cy="5238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fld id="{43AAB77C-63A6-45B9-8754-EA5CAC89C485}" type="TxLink">
            <a:rPr lang="en-US" sz="1600">
              <a:solidFill>
                <a:schemeClr val="accent1">
                  <a:lumMod val="60000"/>
                  <a:lumOff val="40000"/>
                </a:schemeClr>
              </a:solidFill>
            </a:rPr>
            <a:pPr algn="ctr"/>
            <a:t>Comp 17 Lags its Peers in KPI-1 however it outperforms in KPI-2</a:t>
          </a:fld>
          <a:endParaRPr lang="en-US" sz="16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219075</xdr:colOff>
          <xdr:row>2</xdr:row>
          <xdr:rowOff>171450</xdr:rowOff>
        </xdr:from>
        <xdr:to>
          <xdr:col>10</xdr:col>
          <xdr:colOff>542925</xdr:colOff>
          <xdr:row>14</xdr:row>
          <xdr:rowOff>28575</xdr:rowOff>
        </xdr:to>
        <xdr:sp macro="" textlink="">
          <xdr:nvSpPr>
            <xdr:cNvPr id="3084" name="Scroll Bar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1</xdr:row>
          <xdr:rowOff>19050</xdr:rowOff>
        </xdr:from>
        <xdr:to>
          <xdr:col>12</xdr:col>
          <xdr:colOff>428625</xdr:colOff>
          <xdr:row>1</xdr:row>
          <xdr:rowOff>180975</xdr:rowOff>
        </xdr:to>
        <xdr:sp macro="" textlink="">
          <xdr:nvSpPr>
            <xdr:cNvPr id="3085" name="Option Button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</xdr:row>
          <xdr:rowOff>66675</xdr:rowOff>
        </xdr:from>
        <xdr:to>
          <xdr:col>13</xdr:col>
          <xdr:colOff>762000</xdr:colOff>
          <xdr:row>2</xdr:row>
          <xdr:rowOff>28575</xdr:rowOff>
        </xdr:to>
        <xdr:sp macro="" textlink="">
          <xdr:nvSpPr>
            <xdr:cNvPr id="3086" name="Option Button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Top Left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180975</xdr:colOff>
          <xdr:row>1</xdr:row>
          <xdr:rowOff>66675</xdr:rowOff>
        </xdr:from>
        <xdr:to>
          <xdr:col>15</xdr:col>
          <xdr:colOff>0</xdr:colOff>
          <xdr:row>2</xdr:row>
          <xdr:rowOff>9525</xdr:rowOff>
        </xdr:to>
        <xdr:sp macro="" textlink="">
          <xdr:nvSpPr>
            <xdr:cNvPr id="3087" name="Option Button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Top Right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133350</xdr:colOff>
          <xdr:row>1</xdr:row>
          <xdr:rowOff>66675</xdr:rowOff>
        </xdr:from>
        <xdr:to>
          <xdr:col>15</xdr:col>
          <xdr:colOff>942975</xdr:colOff>
          <xdr:row>2</xdr:row>
          <xdr:rowOff>38100</xdr:rowOff>
        </xdr:to>
        <xdr:sp macro="" textlink="">
          <xdr:nvSpPr>
            <xdr:cNvPr id="3088" name="Option Button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Bottom Left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114300</xdr:colOff>
          <xdr:row>1</xdr:row>
          <xdr:rowOff>76200</xdr:rowOff>
        </xdr:from>
        <xdr:to>
          <xdr:col>16</xdr:col>
          <xdr:colOff>923925</xdr:colOff>
          <xdr:row>2</xdr:row>
          <xdr:rowOff>47625</xdr:rowOff>
        </xdr:to>
        <xdr:sp macro="" textlink="">
          <xdr:nvSpPr>
            <xdr:cNvPr id="3090" name="Option Button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Bottom Right</a:t>
              </a:r>
            </a:p>
          </xdr:txBody>
        </xdr:sp>
        <xdr:clientData/>
      </xdr:twoCellAnchor>
    </mc:Choice>
    <mc:Fallback/>
  </mc:AlternateContent>
  <xdr:twoCellAnchor>
    <xdr:from>
      <xdr:col>11</xdr:col>
      <xdr:colOff>38099</xdr:colOff>
      <xdr:row>14</xdr:row>
      <xdr:rowOff>123825</xdr:rowOff>
    </xdr:from>
    <xdr:to>
      <xdr:col>16</xdr:col>
      <xdr:colOff>933450</xdr:colOff>
      <xdr:row>24</xdr:row>
      <xdr:rowOff>19050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28575</xdr:rowOff>
        </xdr:from>
        <xdr:to>
          <xdr:col>3</xdr:col>
          <xdr:colOff>95250</xdr:colOff>
          <xdr:row>2</xdr:row>
          <xdr:rowOff>114300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28575</xdr:rowOff>
        </xdr:from>
        <xdr:to>
          <xdr:col>5</xdr:col>
          <xdr:colOff>895350</xdr:colOff>
          <xdr:row>2</xdr:row>
          <xdr:rowOff>114300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38100</xdr:rowOff>
        </xdr:from>
        <xdr:to>
          <xdr:col>9</xdr:col>
          <xdr:colOff>533400</xdr:colOff>
          <xdr:row>2</xdr:row>
          <xdr:rowOff>123825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8</xdr:col>
      <xdr:colOff>352425</xdr:colOff>
      <xdr:row>7</xdr:row>
      <xdr:rowOff>47624</xdr:rowOff>
    </xdr:from>
    <xdr:ext cx="1057275" cy="561976"/>
    <xdr:sp macro="" textlink="$S$6">
      <xdr:nvSpPr>
        <xdr:cNvPr id="2" name="TextBox 1"/>
        <xdr:cNvSpPr txBox="1"/>
      </xdr:nvSpPr>
      <xdr:spPr>
        <a:xfrm>
          <a:off x="6762750" y="1381124"/>
          <a:ext cx="1057275" cy="561976"/>
        </a:xfrm>
        <a:prstGeom prst="rect">
          <a:avLst/>
        </a:prstGeom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53689CAD-8DCA-4894-901F-5BD5CEE27C8A}" type="TxLink">
            <a:rPr lang="en-US" sz="2400"/>
            <a:pPr algn="ctr"/>
            <a:t>5</a:t>
          </a:fld>
          <a:endParaRPr lang="en-US" sz="2400"/>
        </a:p>
      </xdr:txBody>
    </xdr:sp>
    <xdr:clientData/>
  </xdr:oneCellAnchor>
  <xdr:oneCellAnchor>
    <xdr:from>
      <xdr:col>8</xdr:col>
      <xdr:colOff>342899</xdr:colOff>
      <xdr:row>5</xdr:row>
      <xdr:rowOff>133349</xdr:rowOff>
    </xdr:from>
    <xdr:ext cx="1085851" cy="323851"/>
    <xdr:sp macro="" textlink="">
      <xdr:nvSpPr>
        <xdr:cNvPr id="3" name="TextBox 2"/>
        <xdr:cNvSpPr txBox="1"/>
      </xdr:nvSpPr>
      <xdr:spPr>
        <a:xfrm>
          <a:off x="6753224" y="1085849"/>
          <a:ext cx="1085851" cy="323851"/>
        </a:xfrm>
        <a:prstGeom prst="rect">
          <a:avLst/>
        </a:prstGeom>
        <a:ln>
          <a:noFill/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Deal Count</a:t>
          </a:r>
        </a:p>
      </xdr:txBody>
    </xdr:sp>
    <xdr:clientData/>
  </xdr:oneCellAnchor>
  <xdr:oneCellAnchor>
    <xdr:from>
      <xdr:col>8</xdr:col>
      <xdr:colOff>371474</xdr:colOff>
      <xdr:row>13</xdr:row>
      <xdr:rowOff>104775</xdr:rowOff>
    </xdr:from>
    <xdr:ext cx="847725" cy="342900"/>
    <xdr:sp macro="" textlink="$S$7">
      <xdr:nvSpPr>
        <xdr:cNvPr id="4" name="TextBox 3"/>
        <xdr:cNvSpPr txBox="1"/>
      </xdr:nvSpPr>
      <xdr:spPr>
        <a:xfrm>
          <a:off x="6781799" y="2581275"/>
          <a:ext cx="847725" cy="3429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fld id="{B5E0A4EB-1674-4C85-98DE-F1941BE1AA6E}" type="TxLink">
            <a:rPr lang="en-US" sz="1600"/>
            <a:pPr/>
            <a:t>2250</a:t>
          </a:fld>
          <a:endParaRPr lang="en-US" sz="1600"/>
        </a:p>
      </xdr:txBody>
    </xdr:sp>
    <xdr:clientData/>
  </xdr:oneCellAnchor>
  <xdr:oneCellAnchor>
    <xdr:from>
      <xdr:col>8</xdr:col>
      <xdr:colOff>371475</xdr:colOff>
      <xdr:row>11</xdr:row>
      <xdr:rowOff>95249</xdr:rowOff>
    </xdr:from>
    <xdr:ext cx="828675" cy="436786"/>
    <xdr:sp macro="" textlink="">
      <xdr:nvSpPr>
        <xdr:cNvPr id="5" name="TextBox 4"/>
        <xdr:cNvSpPr txBox="1"/>
      </xdr:nvSpPr>
      <xdr:spPr>
        <a:xfrm>
          <a:off x="6781800" y="2190749"/>
          <a:ext cx="828675" cy="436786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Win Value ($ M)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42862</xdr:rowOff>
    </xdr:from>
    <xdr:to>
      <xdr:col>6</xdr:col>
      <xdr:colOff>609600</xdr:colOff>
      <xdr:row>14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38100</xdr:rowOff>
    </xdr:from>
    <xdr:to>
      <xdr:col>6</xdr:col>
      <xdr:colOff>266700</xdr:colOff>
      <xdr:row>16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Dashboard%20Illustration%20V1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ynamic Dashboard"/>
      <sheetName val="CH1"/>
      <sheetName val="CH2"/>
      <sheetName val="CH3"/>
      <sheetName val="CH4"/>
      <sheetName val="CH5"/>
      <sheetName val="CH6"/>
      <sheetName val="CH7"/>
      <sheetName val="CH8"/>
      <sheetName val="Data"/>
      <sheetName val="CH6 Data"/>
      <sheetName val="Inputs"/>
      <sheetName val="Help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M9" t="str">
            <v>Product A</v>
          </cell>
          <cell r="N9">
            <v>20</v>
          </cell>
          <cell r="O9">
            <v>50</v>
          </cell>
          <cell r="P9">
            <v>30</v>
          </cell>
        </row>
        <row r="10">
          <cell r="M10" t="str">
            <v>Product B</v>
          </cell>
          <cell r="N10">
            <v>50</v>
          </cell>
          <cell r="O10">
            <v>80</v>
          </cell>
          <cell r="P10">
            <v>30</v>
          </cell>
        </row>
        <row r="11">
          <cell r="M11" t="str">
            <v>Product C</v>
          </cell>
          <cell r="N11">
            <v>60</v>
          </cell>
          <cell r="O11">
            <v>70</v>
          </cell>
          <cell r="P11">
            <v>10</v>
          </cell>
        </row>
        <row r="12">
          <cell r="M12" t="str">
            <v>Product D</v>
          </cell>
          <cell r="N12">
            <v>10</v>
          </cell>
          <cell r="O12">
            <v>30</v>
          </cell>
          <cell r="P12">
            <v>20</v>
          </cell>
        </row>
      </sheetData>
      <sheetData sheetId="13"/>
    </sheetDataSet>
  </externalBook>
</externalLink>
</file>

<file path=xl/tables/table1.xml><?xml version="1.0" encoding="utf-8"?>
<table xmlns="http://schemas.openxmlformats.org/spreadsheetml/2006/main" id="1" name="Table1" displayName="Table1" ref="A1:E101" totalsRowShown="0">
  <autoFilter ref="A1:E101"/>
  <tableColumns count="5">
    <tableColumn id="1" name="Company"/>
    <tableColumn id="2" name="KPI-1" dataDxfId="3"/>
    <tableColumn id="3" name="KPI-2" dataDxfId="2"/>
    <tableColumn id="4" name="KPI-3" dataDxfId="1"/>
    <tableColumn id="5" name="KPI-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4"/>
  <sheetViews>
    <sheetView tabSelected="1" workbookViewId="0">
      <selection activeCell="D4" sqref="D4"/>
    </sheetView>
  </sheetViews>
  <sheetFormatPr defaultRowHeight="15" x14ac:dyDescent="0.25"/>
  <cols>
    <col min="1" max="1" width="13.5703125" bestFit="1" customWidth="1"/>
    <col min="2" max="3" width="14.42578125" bestFit="1" customWidth="1"/>
    <col min="4" max="4" width="16.42578125" bestFit="1" customWidth="1"/>
  </cols>
  <sheetData>
    <row r="1" spans="1:8" ht="15.75" thickBot="1" x14ac:dyDescent="0.3">
      <c r="A1" s="55" t="s">
        <v>0</v>
      </c>
      <c r="B1" s="56"/>
      <c r="C1" s="56"/>
      <c r="D1" s="56"/>
      <c r="E1" s="56"/>
      <c r="F1" s="56"/>
      <c r="G1" s="56"/>
      <c r="H1" s="57"/>
    </row>
    <row r="2" spans="1:8" x14ac:dyDescent="0.25">
      <c r="A2" t="s">
        <v>1</v>
      </c>
      <c r="B2" t="s">
        <v>2</v>
      </c>
      <c r="C2" t="s">
        <v>3</v>
      </c>
      <c r="D2" t="s">
        <v>4</v>
      </c>
    </row>
    <row r="3" spans="1:8" x14ac:dyDescent="0.25">
      <c r="A3" t="s">
        <v>5</v>
      </c>
      <c r="B3">
        <v>9</v>
      </c>
      <c r="C3">
        <v>25</v>
      </c>
      <c r="D3">
        <v>20</v>
      </c>
    </row>
    <row r="4" spans="1:8" x14ac:dyDescent="0.25">
      <c r="A4" t="s">
        <v>6</v>
      </c>
      <c r="B4">
        <v>20</v>
      </c>
      <c r="C4">
        <v>10</v>
      </c>
      <c r="D4">
        <v>10</v>
      </c>
    </row>
    <row r="5" spans="1:8" x14ac:dyDescent="0.25">
      <c r="A5" t="s">
        <v>7</v>
      </c>
      <c r="B5">
        <v>25</v>
      </c>
      <c r="C5">
        <v>5</v>
      </c>
      <c r="D5">
        <v>5</v>
      </c>
    </row>
    <row r="6" spans="1:8" x14ac:dyDescent="0.25">
      <c r="A6" t="s">
        <v>8</v>
      </c>
      <c r="B6">
        <v>15</v>
      </c>
      <c r="C6">
        <v>12</v>
      </c>
      <c r="D6">
        <v>25</v>
      </c>
    </row>
    <row r="7" spans="1:8" x14ac:dyDescent="0.25">
      <c r="A7" t="s">
        <v>9</v>
      </c>
      <c r="B7">
        <v>22</v>
      </c>
      <c r="C7">
        <v>7</v>
      </c>
      <c r="D7">
        <v>15</v>
      </c>
    </row>
    <row r="11" spans="1:8" x14ac:dyDescent="0.25">
      <c r="A11" s="1" t="s">
        <v>10</v>
      </c>
      <c r="B11" s="1" t="s">
        <v>2</v>
      </c>
      <c r="C11" s="1" t="s">
        <v>3</v>
      </c>
      <c r="D11" s="1" t="s">
        <v>4</v>
      </c>
    </row>
    <row r="12" spans="1:8" x14ac:dyDescent="0.25">
      <c r="A12" s="2" t="s">
        <v>11</v>
      </c>
      <c r="B12" s="5" t="s">
        <v>14</v>
      </c>
      <c r="C12" s="5" t="s">
        <v>14</v>
      </c>
      <c r="D12" s="5" t="s">
        <v>15</v>
      </c>
    </row>
    <row r="13" spans="1:8" x14ac:dyDescent="0.25">
      <c r="A13" s="3" t="s">
        <v>12</v>
      </c>
      <c r="B13" s="5" t="s">
        <v>17</v>
      </c>
      <c r="C13" s="5" t="s">
        <v>17</v>
      </c>
      <c r="D13" s="5" t="s">
        <v>17</v>
      </c>
    </row>
    <row r="14" spans="1:8" x14ac:dyDescent="0.25">
      <c r="A14" s="4" t="s">
        <v>13</v>
      </c>
      <c r="B14" s="5" t="s">
        <v>16</v>
      </c>
      <c r="C14" s="5" t="s">
        <v>16</v>
      </c>
      <c r="D14" s="5" t="s">
        <v>18</v>
      </c>
    </row>
  </sheetData>
  <mergeCells count="1">
    <mergeCell ref="A1:H1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93925AA-A532-49F8-B865-372C0D56337B}">
            <x14:iconSet custom="1">
              <x14:cfvo type="percent">
                <xm:f>0</xm:f>
              </x14:cfvo>
              <x14:cfvo type="num">
                <xm:f>10</xm:f>
              </x14:cfvo>
              <x14:cfvo type="num">
                <xm:f>20</xm:f>
              </x14:cfvo>
              <x14:cfIcon iconSet="3TrafficLights2" iconId="0"/>
              <x14:cfIcon iconSet="3TrafficLights2" iconId="1"/>
              <x14:cfIcon iconSet="3TrafficLights2" iconId="2"/>
            </x14:iconSet>
          </x14:cfRule>
          <xm:sqref>B3:C7</xm:sqref>
        </x14:conditionalFormatting>
        <x14:conditionalFormatting xmlns:xm="http://schemas.microsoft.com/office/excel/2006/main">
          <x14:cfRule type="iconSet" priority="1" id="{87BCCCC5-7D94-429A-9369-7DBC0A0214BF}">
            <x14:iconSet iconSet="3TrafficLights2" custom="1">
              <x14:cfvo type="percent">
                <xm:f>0</xm:f>
              </x14:cfvo>
              <x14:cfvo type="num">
                <xm:f>10</xm:f>
              </x14:cfvo>
              <x14:cfvo type="num">
                <xm:f>20</xm:f>
              </x14:cfvo>
              <x14:cfIcon iconSet="3TrafficLights2" iconId="2"/>
              <x14:cfIcon iconSet="3TrafficLights2" iconId="1"/>
              <x14:cfIcon iconSet="3TrafficLights2" iconId="0"/>
            </x14:iconSet>
          </x14:cfRule>
          <xm:sqref>D3:D7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01"/>
  <sheetViews>
    <sheetView topLeftCell="A2" workbookViewId="0">
      <selection activeCell="A2" sqref="A2:E101"/>
    </sheetView>
  </sheetViews>
  <sheetFormatPr defaultRowHeight="15" x14ac:dyDescent="0.25"/>
  <cols>
    <col min="1" max="1" width="11.42578125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 t="s">
        <v>24</v>
      </c>
      <c r="B2" s="6">
        <v>0.38</v>
      </c>
      <c r="C2" s="6">
        <v>0.73</v>
      </c>
      <c r="D2" s="6">
        <v>0.6</v>
      </c>
      <c r="E2" s="6">
        <v>0.79</v>
      </c>
    </row>
    <row r="3" spans="1:5" x14ac:dyDescent="0.25">
      <c r="A3" t="s">
        <v>25</v>
      </c>
      <c r="B3" s="6">
        <v>0.46</v>
      </c>
      <c r="C3" s="6">
        <v>0.66</v>
      </c>
      <c r="D3" s="6">
        <v>0.9</v>
      </c>
      <c r="E3" s="6">
        <v>0.28999999999999998</v>
      </c>
    </row>
    <row r="4" spans="1:5" x14ac:dyDescent="0.25">
      <c r="A4" t="s">
        <v>26</v>
      </c>
      <c r="B4" s="6">
        <v>0.61</v>
      </c>
      <c r="C4" s="6">
        <v>0.21</v>
      </c>
      <c r="D4" s="6">
        <v>0.47</v>
      </c>
      <c r="E4" s="6">
        <v>0.12</v>
      </c>
    </row>
    <row r="5" spans="1:5" x14ac:dyDescent="0.25">
      <c r="A5" t="s">
        <v>27</v>
      </c>
      <c r="B5" s="6">
        <v>0.61</v>
      </c>
      <c r="C5" s="6">
        <v>0.21</v>
      </c>
      <c r="D5" s="6">
        <v>0.12</v>
      </c>
      <c r="E5" s="6">
        <v>0.68</v>
      </c>
    </row>
    <row r="6" spans="1:5" x14ac:dyDescent="0.25">
      <c r="A6" t="s">
        <v>28</v>
      </c>
      <c r="B6" s="6">
        <v>0.78</v>
      </c>
      <c r="C6" s="6">
        <v>0.47</v>
      </c>
      <c r="D6" s="6">
        <v>0.25</v>
      </c>
      <c r="E6" s="6">
        <v>0.43</v>
      </c>
    </row>
    <row r="7" spans="1:5" x14ac:dyDescent="0.25">
      <c r="A7" t="s">
        <v>29</v>
      </c>
      <c r="B7" s="6">
        <v>0.13</v>
      </c>
      <c r="C7" s="6">
        <v>0.84</v>
      </c>
      <c r="D7" s="6">
        <v>0.49</v>
      </c>
      <c r="E7" s="6">
        <v>0.53</v>
      </c>
    </row>
    <row r="8" spans="1:5" x14ac:dyDescent="0.25">
      <c r="A8" t="s">
        <v>30</v>
      </c>
      <c r="B8" s="6">
        <v>0.37</v>
      </c>
      <c r="C8" s="6">
        <v>0.6</v>
      </c>
      <c r="D8" s="6">
        <v>0.31</v>
      </c>
      <c r="E8" s="6">
        <v>0.7</v>
      </c>
    </row>
    <row r="9" spans="1:5" x14ac:dyDescent="0.25">
      <c r="A9" t="s">
        <v>31</v>
      </c>
      <c r="B9" s="6">
        <v>0.95</v>
      </c>
      <c r="C9" s="6">
        <v>0.93</v>
      </c>
      <c r="D9" s="6">
        <v>0.84</v>
      </c>
      <c r="E9" s="6">
        <v>0.2</v>
      </c>
    </row>
    <row r="10" spans="1:5" x14ac:dyDescent="0.25">
      <c r="A10" t="s">
        <v>32</v>
      </c>
      <c r="B10" s="6">
        <v>0.49</v>
      </c>
      <c r="C10" s="6">
        <v>0.26</v>
      </c>
      <c r="D10" s="6">
        <v>0.56999999999999995</v>
      </c>
      <c r="E10" s="6">
        <v>0.69</v>
      </c>
    </row>
    <row r="11" spans="1:5" x14ac:dyDescent="0.25">
      <c r="A11" t="s">
        <v>33</v>
      </c>
      <c r="B11" s="6">
        <v>0.82</v>
      </c>
      <c r="C11" s="6">
        <v>0.86</v>
      </c>
      <c r="D11" s="6">
        <v>0.34</v>
      </c>
      <c r="E11" s="6">
        <v>0.61</v>
      </c>
    </row>
    <row r="12" spans="1:5" x14ac:dyDescent="0.25">
      <c r="A12" t="s">
        <v>34</v>
      </c>
      <c r="B12" s="6">
        <v>0.62</v>
      </c>
      <c r="C12" s="6">
        <v>0.64</v>
      </c>
      <c r="D12" s="6">
        <v>0.87</v>
      </c>
      <c r="E12" s="6">
        <v>0.33</v>
      </c>
    </row>
    <row r="13" spans="1:5" x14ac:dyDescent="0.25">
      <c r="A13" t="s">
        <v>35</v>
      </c>
      <c r="B13" s="6">
        <v>0.76</v>
      </c>
      <c r="C13" s="6">
        <v>0.24</v>
      </c>
      <c r="D13" s="6">
        <v>0.22</v>
      </c>
      <c r="E13" s="6">
        <v>0.51</v>
      </c>
    </row>
    <row r="14" spans="1:5" x14ac:dyDescent="0.25">
      <c r="A14" t="s">
        <v>36</v>
      </c>
      <c r="B14" s="6">
        <v>0.35</v>
      </c>
      <c r="C14" s="6">
        <v>0.52</v>
      </c>
      <c r="D14" s="6">
        <v>0.51</v>
      </c>
      <c r="E14" s="6">
        <v>0.54</v>
      </c>
    </row>
    <row r="15" spans="1:5" x14ac:dyDescent="0.25">
      <c r="A15" t="s">
        <v>37</v>
      </c>
      <c r="B15" s="6">
        <v>0.85</v>
      </c>
      <c r="C15" s="6">
        <v>0.5</v>
      </c>
      <c r="D15" s="6">
        <v>0.84</v>
      </c>
      <c r="E15" s="6">
        <v>0.93</v>
      </c>
    </row>
    <row r="16" spans="1:5" x14ac:dyDescent="0.25">
      <c r="A16" t="s">
        <v>38</v>
      </c>
      <c r="B16" s="6">
        <v>0.92</v>
      </c>
      <c r="C16" s="6">
        <v>0.83</v>
      </c>
      <c r="D16" s="6">
        <v>0.34</v>
      </c>
      <c r="E16" s="6">
        <v>0.94</v>
      </c>
    </row>
    <row r="17" spans="1:5" x14ac:dyDescent="0.25">
      <c r="A17" t="s">
        <v>39</v>
      </c>
      <c r="B17" s="6">
        <v>0.95</v>
      </c>
      <c r="C17" s="6">
        <v>0.78</v>
      </c>
      <c r="D17" s="6">
        <v>0.7</v>
      </c>
      <c r="E17" s="6">
        <v>0.8</v>
      </c>
    </row>
    <row r="18" spans="1:5" x14ac:dyDescent="0.25">
      <c r="A18" t="s">
        <v>40</v>
      </c>
      <c r="B18" s="6">
        <v>0.23</v>
      </c>
      <c r="C18" s="6">
        <v>0.54</v>
      </c>
      <c r="D18" s="6">
        <v>0.82</v>
      </c>
      <c r="E18" s="6">
        <v>0.76</v>
      </c>
    </row>
    <row r="19" spans="1:5" x14ac:dyDescent="0.25">
      <c r="A19" t="s">
        <v>41</v>
      </c>
      <c r="B19" s="6">
        <v>0.22</v>
      </c>
      <c r="C19" s="6">
        <v>0.25</v>
      </c>
      <c r="D19" s="6">
        <v>0.88</v>
      </c>
      <c r="E19" s="6">
        <v>0.28000000000000003</v>
      </c>
    </row>
    <row r="20" spans="1:5" x14ac:dyDescent="0.25">
      <c r="A20" t="s">
        <v>42</v>
      </c>
      <c r="B20" s="6">
        <v>0.46</v>
      </c>
      <c r="C20" s="6">
        <v>0.89</v>
      </c>
      <c r="D20" s="6">
        <v>0.72</v>
      </c>
      <c r="E20" s="6">
        <v>0.79</v>
      </c>
    </row>
    <row r="21" spans="1:5" x14ac:dyDescent="0.25">
      <c r="A21" t="s">
        <v>43</v>
      </c>
      <c r="B21" s="6">
        <v>0.45</v>
      </c>
      <c r="C21" s="6">
        <v>0.38</v>
      </c>
      <c r="D21" s="6">
        <v>0.73</v>
      </c>
      <c r="E21" s="6">
        <v>0.56999999999999995</v>
      </c>
    </row>
    <row r="22" spans="1:5" x14ac:dyDescent="0.25">
      <c r="A22" t="s">
        <v>44</v>
      </c>
      <c r="B22" s="6">
        <v>0.7</v>
      </c>
      <c r="C22" s="6">
        <v>0.86</v>
      </c>
      <c r="D22" s="6">
        <v>0.96</v>
      </c>
      <c r="E22" s="6">
        <v>0.23</v>
      </c>
    </row>
    <row r="23" spans="1:5" x14ac:dyDescent="0.25">
      <c r="A23" t="s">
        <v>45</v>
      </c>
      <c r="B23" s="6">
        <v>0.5</v>
      </c>
      <c r="C23" s="6">
        <v>0.41</v>
      </c>
      <c r="D23" s="6">
        <v>0.35</v>
      </c>
      <c r="E23" s="6">
        <v>0.1</v>
      </c>
    </row>
    <row r="24" spans="1:5" x14ac:dyDescent="0.25">
      <c r="A24" t="s">
        <v>46</v>
      </c>
      <c r="B24" s="6">
        <v>0.41</v>
      </c>
      <c r="C24" s="6">
        <v>0.17</v>
      </c>
      <c r="D24" s="6">
        <v>0.54</v>
      </c>
      <c r="E24" s="6">
        <v>0.46</v>
      </c>
    </row>
    <row r="25" spans="1:5" x14ac:dyDescent="0.25">
      <c r="A25" t="s">
        <v>47</v>
      </c>
      <c r="B25" s="6">
        <v>0.88</v>
      </c>
      <c r="C25" s="6">
        <v>0.44</v>
      </c>
      <c r="D25" s="6">
        <v>0.89</v>
      </c>
      <c r="E25" s="6">
        <v>0.47</v>
      </c>
    </row>
    <row r="26" spans="1:5" x14ac:dyDescent="0.25">
      <c r="A26" t="s">
        <v>48</v>
      </c>
      <c r="B26" s="6">
        <v>0.79</v>
      </c>
      <c r="C26" s="6">
        <v>0.79</v>
      </c>
      <c r="D26" s="6">
        <v>0.55000000000000004</v>
      </c>
      <c r="E26" s="6">
        <v>0.85</v>
      </c>
    </row>
    <row r="27" spans="1:5" x14ac:dyDescent="0.25">
      <c r="A27" t="s">
        <v>49</v>
      </c>
      <c r="B27" s="6">
        <v>0.21</v>
      </c>
      <c r="C27" s="6">
        <v>0.81</v>
      </c>
      <c r="D27" s="6">
        <v>0.91</v>
      </c>
      <c r="E27" s="6">
        <v>0.32</v>
      </c>
    </row>
    <row r="28" spans="1:5" x14ac:dyDescent="0.25">
      <c r="A28" t="s">
        <v>50</v>
      </c>
      <c r="B28" s="6">
        <v>0.33</v>
      </c>
      <c r="C28" s="6">
        <v>0.65</v>
      </c>
      <c r="D28" s="6">
        <v>0.27</v>
      </c>
      <c r="E28" s="6">
        <v>0.94</v>
      </c>
    </row>
    <row r="29" spans="1:5" x14ac:dyDescent="0.25">
      <c r="A29" t="s">
        <v>51</v>
      </c>
      <c r="B29" s="6">
        <v>0.56000000000000005</v>
      </c>
      <c r="C29" s="6">
        <v>0.27</v>
      </c>
      <c r="D29" s="6">
        <v>0.52</v>
      </c>
      <c r="E29" s="6">
        <v>0.75</v>
      </c>
    </row>
    <row r="30" spans="1:5" x14ac:dyDescent="0.25">
      <c r="A30" t="s">
        <v>52</v>
      </c>
      <c r="B30" s="6">
        <v>0.46</v>
      </c>
      <c r="C30" s="6">
        <v>0.31</v>
      </c>
      <c r="D30" s="6">
        <v>0.42</v>
      </c>
      <c r="E30" s="6">
        <v>0.46</v>
      </c>
    </row>
    <row r="31" spans="1:5" x14ac:dyDescent="0.25">
      <c r="A31" t="s">
        <v>53</v>
      </c>
      <c r="B31" s="6">
        <v>0.61</v>
      </c>
      <c r="C31" s="6">
        <v>0.2</v>
      </c>
      <c r="D31" s="6">
        <v>0.7</v>
      </c>
      <c r="E31" s="6">
        <v>0.77</v>
      </c>
    </row>
    <row r="32" spans="1:5" x14ac:dyDescent="0.25">
      <c r="A32" t="s">
        <v>54</v>
      </c>
      <c r="B32" s="6">
        <v>0.19</v>
      </c>
      <c r="C32" s="6">
        <v>0.65</v>
      </c>
      <c r="D32" s="6">
        <v>0.86</v>
      </c>
      <c r="E32" s="6">
        <v>0.93</v>
      </c>
    </row>
    <row r="33" spans="1:5" x14ac:dyDescent="0.25">
      <c r="A33" t="s">
        <v>55</v>
      </c>
      <c r="B33" s="6">
        <v>0.91</v>
      </c>
      <c r="C33" s="6">
        <v>0.84</v>
      </c>
      <c r="D33" s="6">
        <v>0.16</v>
      </c>
      <c r="E33" s="6">
        <v>0.91</v>
      </c>
    </row>
    <row r="34" spans="1:5" x14ac:dyDescent="0.25">
      <c r="A34" t="s">
        <v>56</v>
      </c>
      <c r="B34" s="6">
        <v>0.44</v>
      </c>
      <c r="C34" s="6">
        <v>0.21</v>
      </c>
      <c r="D34" s="6">
        <v>0.4</v>
      </c>
      <c r="E34" s="6">
        <v>0.41</v>
      </c>
    </row>
    <row r="35" spans="1:5" x14ac:dyDescent="0.25">
      <c r="A35" t="s">
        <v>57</v>
      </c>
      <c r="B35" s="6">
        <v>0.92</v>
      </c>
      <c r="C35" s="6">
        <v>0.51</v>
      </c>
      <c r="D35" s="6">
        <v>0.51</v>
      </c>
      <c r="E35" s="6">
        <v>0.85</v>
      </c>
    </row>
    <row r="36" spans="1:5" x14ac:dyDescent="0.25">
      <c r="A36" t="s">
        <v>58</v>
      </c>
      <c r="B36" s="6">
        <v>0.62</v>
      </c>
      <c r="C36" s="6">
        <v>0.34</v>
      </c>
      <c r="D36" s="6">
        <v>0.44</v>
      </c>
      <c r="E36" s="6">
        <v>0.36</v>
      </c>
    </row>
    <row r="37" spans="1:5" x14ac:dyDescent="0.25">
      <c r="A37" t="s">
        <v>59</v>
      </c>
      <c r="B37" s="6">
        <v>0.57999999999999996</v>
      </c>
      <c r="C37" s="6">
        <v>0.39</v>
      </c>
      <c r="D37" s="6">
        <v>0.45</v>
      </c>
      <c r="E37" s="6">
        <v>0.71</v>
      </c>
    </row>
    <row r="38" spans="1:5" x14ac:dyDescent="0.25">
      <c r="A38" t="s">
        <v>60</v>
      </c>
      <c r="B38" s="6">
        <v>0.24</v>
      </c>
      <c r="C38" s="6">
        <v>0.66</v>
      </c>
      <c r="D38" s="6">
        <v>0.76</v>
      </c>
      <c r="E38" s="6">
        <v>0.22</v>
      </c>
    </row>
    <row r="39" spans="1:5" x14ac:dyDescent="0.25">
      <c r="A39" t="s">
        <v>61</v>
      </c>
      <c r="B39" s="6">
        <v>0.71</v>
      </c>
      <c r="C39" s="6">
        <v>0.92</v>
      </c>
      <c r="D39" s="6">
        <v>0.86</v>
      </c>
      <c r="E39" s="6">
        <v>0.28999999999999998</v>
      </c>
    </row>
    <row r="40" spans="1:5" x14ac:dyDescent="0.25">
      <c r="A40" t="s">
        <v>62</v>
      </c>
      <c r="B40" s="6">
        <v>0.12</v>
      </c>
      <c r="C40" s="6">
        <v>0.6</v>
      </c>
      <c r="D40" s="6">
        <v>0.23</v>
      </c>
      <c r="E40" s="6">
        <v>0.82</v>
      </c>
    </row>
    <row r="41" spans="1:5" x14ac:dyDescent="0.25">
      <c r="A41" t="s">
        <v>63</v>
      </c>
      <c r="B41" s="6">
        <v>0.21</v>
      </c>
      <c r="C41" s="6">
        <v>0.14000000000000001</v>
      </c>
      <c r="D41" s="6">
        <v>0.1</v>
      </c>
      <c r="E41" s="6">
        <v>0.39</v>
      </c>
    </row>
    <row r="42" spans="1:5" x14ac:dyDescent="0.25">
      <c r="A42" t="s">
        <v>64</v>
      </c>
      <c r="B42" s="6">
        <v>0.15</v>
      </c>
      <c r="C42" s="6">
        <v>0.19</v>
      </c>
      <c r="D42" s="6">
        <v>0.16</v>
      </c>
      <c r="E42" s="6">
        <v>0.27</v>
      </c>
    </row>
    <row r="43" spans="1:5" x14ac:dyDescent="0.25">
      <c r="A43" t="s">
        <v>65</v>
      </c>
      <c r="B43" s="6">
        <v>0.94</v>
      </c>
      <c r="C43" s="6">
        <v>0.2</v>
      </c>
      <c r="D43" s="6">
        <v>0.18</v>
      </c>
      <c r="E43" s="6">
        <v>0.94</v>
      </c>
    </row>
    <row r="44" spans="1:5" x14ac:dyDescent="0.25">
      <c r="A44" t="s">
        <v>66</v>
      </c>
      <c r="B44" s="6">
        <v>0.65</v>
      </c>
      <c r="C44" s="6">
        <v>0.91</v>
      </c>
      <c r="D44" s="6">
        <v>0.57999999999999996</v>
      </c>
      <c r="E44" s="6">
        <v>0.14000000000000001</v>
      </c>
    </row>
    <row r="45" spans="1:5" x14ac:dyDescent="0.25">
      <c r="A45" t="s">
        <v>67</v>
      </c>
      <c r="B45" s="6">
        <v>0.12</v>
      </c>
      <c r="C45" s="6">
        <v>0.11</v>
      </c>
      <c r="D45" s="6">
        <v>0.1</v>
      </c>
      <c r="E45" s="6">
        <v>0.49</v>
      </c>
    </row>
    <row r="46" spans="1:5" x14ac:dyDescent="0.25">
      <c r="A46" t="s">
        <v>68</v>
      </c>
      <c r="B46" s="6">
        <v>0.35</v>
      </c>
      <c r="C46" s="6">
        <v>0.8</v>
      </c>
      <c r="D46" s="6">
        <v>0.3</v>
      </c>
      <c r="E46" s="6">
        <v>0.46</v>
      </c>
    </row>
    <row r="47" spans="1:5" x14ac:dyDescent="0.25">
      <c r="A47" t="s">
        <v>69</v>
      </c>
      <c r="B47" s="6">
        <v>0.84</v>
      </c>
      <c r="C47" s="6">
        <v>0.21</v>
      </c>
      <c r="D47" s="6">
        <v>0.74</v>
      </c>
      <c r="E47" s="6">
        <v>0.69</v>
      </c>
    </row>
    <row r="48" spans="1:5" x14ac:dyDescent="0.25">
      <c r="A48" t="s">
        <v>70</v>
      </c>
      <c r="B48" s="6">
        <v>0.82</v>
      </c>
      <c r="C48" s="6">
        <v>0.44</v>
      </c>
      <c r="D48" s="6">
        <v>0.95</v>
      </c>
      <c r="E48" s="6">
        <v>0.79</v>
      </c>
    </row>
    <row r="49" spans="1:5" x14ac:dyDescent="0.25">
      <c r="A49" t="s">
        <v>71</v>
      </c>
      <c r="B49" s="6">
        <v>0.74</v>
      </c>
      <c r="C49" s="6">
        <v>0.37</v>
      </c>
      <c r="D49" s="6">
        <v>0.75</v>
      </c>
      <c r="E49" s="6">
        <v>0.12</v>
      </c>
    </row>
    <row r="50" spans="1:5" x14ac:dyDescent="0.25">
      <c r="A50" t="s">
        <v>72</v>
      </c>
      <c r="B50" s="6">
        <v>0.82</v>
      </c>
      <c r="C50" s="6">
        <v>0.18</v>
      </c>
      <c r="D50" s="6">
        <v>0.94</v>
      </c>
      <c r="E50" s="6">
        <v>0.68</v>
      </c>
    </row>
    <row r="51" spans="1:5" x14ac:dyDescent="0.25">
      <c r="A51" t="s">
        <v>73</v>
      </c>
      <c r="B51" s="6">
        <v>0.74</v>
      </c>
      <c r="C51" s="6">
        <v>0.53</v>
      </c>
      <c r="D51" s="6">
        <v>0.92</v>
      </c>
      <c r="E51" s="6">
        <v>0.59</v>
      </c>
    </row>
    <row r="52" spans="1:5" x14ac:dyDescent="0.25">
      <c r="A52" t="s">
        <v>74</v>
      </c>
      <c r="B52" s="6">
        <v>0.75</v>
      </c>
      <c r="C52" s="6">
        <v>0.76</v>
      </c>
      <c r="D52" s="6">
        <v>0.71</v>
      </c>
      <c r="E52" s="6">
        <v>0.23</v>
      </c>
    </row>
    <row r="53" spans="1:5" x14ac:dyDescent="0.25">
      <c r="A53" t="s">
        <v>75</v>
      </c>
      <c r="B53" s="6">
        <v>0.89</v>
      </c>
      <c r="C53" s="6">
        <v>0.61</v>
      </c>
      <c r="D53" s="6">
        <v>0.82</v>
      </c>
      <c r="E53" s="6">
        <v>0.91</v>
      </c>
    </row>
    <row r="54" spans="1:5" x14ac:dyDescent="0.25">
      <c r="A54" t="s">
        <v>76</v>
      </c>
      <c r="B54" s="6">
        <v>0.42</v>
      </c>
      <c r="C54" s="6">
        <v>0.63</v>
      </c>
      <c r="D54" s="6">
        <v>0.35</v>
      </c>
      <c r="E54" s="6">
        <v>0.62</v>
      </c>
    </row>
    <row r="55" spans="1:5" x14ac:dyDescent="0.25">
      <c r="A55" t="s">
        <v>77</v>
      </c>
      <c r="B55" s="6">
        <v>0.75</v>
      </c>
      <c r="C55" s="6">
        <v>0.4</v>
      </c>
      <c r="D55" s="6">
        <v>0.66</v>
      </c>
      <c r="E55" s="6">
        <v>0.2</v>
      </c>
    </row>
    <row r="56" spans="1:5" x14ac:dyDescent="0.25">
      <c r="A56" t="s">
        <v>78</v>
      </c>
      <c r="B56" s="6">
        <v>0.45</v>
      </c>
      <c r="C56" s="6">
        <v>0.76</v>
      </c>
      <c r="D56" s="6">
        <v>0.92</v>
      </c>
      <c r="E56" s="6">
        <v>0.1</v>
      </c>
    </row>
    <row r="57" spans="1:5" x14ac:dyDescent="0.25">
      <c r="A57" t="s">
        <v>79</v>
      </c>
      <c r="B57" s="6">
        <v>0.12</v>
      </c>
      <c r="C57" s="6">
        <v>0.46</v>
      </c>
      <c r="D57" s="6">
        <v>0.24</v>
      </c>
      <c r="E57" s="6">
        <v>0.77</v>
      </c>
    </row>
    <row r="58" spans="1:5" x14ac:dyDescent="0.25">
      <c r="A58" t="s">
        <v>80</v>
      </c>
      <c r="B58" s="6">
        <v>0.28000000000000003</v>
      </c>
      <c r="C58" s="6">
        <v>0.19</v>
      </c>
      <c r="D58" s="6">
        <v>0.69</v>
      </c>
      <c r="E58" s="6">
        <v>0.6</v>
      </c>
    </row>
    <row r="59" spans="1:5" x14ac:dyDescent="0.25">
      <c r="A59" t="s">
        <v>81</v>
      </c>
      <c r="B59" s="6">
        <v>0.18</v>
      </c>
      <c r="C59" s="6">
        <v>0.93</v>
      </c>
      <c r="D59" s="6">
        <v>0.6</v>
      </c>
      <c r="E59" s="6">
        <v>0.66</v>
      </c>
    </row>
    <row r="60" spans="1:5" x14ac:dyDescent="0.25">
      <c r="A60" t="s">
        <v>82</v>
      </c>
      <c r="B60" s="6">
        <v>0.63</v>
      </c>
      <c r="C60" s="6">
        <v>0.86</v>
      </c>
      <c r="D60" s="6">
        <v>0.53</v>
      </c>
      <c r="E60" s="6">
        <v>0.94</v>
      </c>
    </row>
    <row r="61" spans="1:5" x14ac:dyDescent="0.25">
      <c r="A61" t="s">
        <v>83</v>
      </c>
      <c r="B61" s="6">
        <v>0.69</v>
      </c>
      <c r="C61" s="6">
        <v>0.81</v>
      </c>
      <c r="D61" s="6">
        <v>0.77</v>
      </c>
      <c r="E61" s="6">
        <v>0.78</v>
      </c>
    </row>
    <row r="62" spans="1:5" x14ac:dyDescent="0.25">
      <c r="A62" t="s">
        <v>84</v>
      </c>
      <c r="B62" s="6">
        <v>0.42</v>
      </c>
      <c r="C62" s="6">
        <v>0.11</v>
      </c>
      <c r="D62" s="6">
        <v>0.27</v>
      </c>
      <c r="E62" s="6">
        <v>0.43</v>
      </c>
    </row>
    <row r="63" spans="1:5" x14ac:dyDescent="0.25">
      <c r="A63" t="s">
        <v>85</v>
      </c>
      <c r="B63" s="6">
        <v>0.31</v>
      </c>
      <c r="C63" s="6">
        <v>0.57999999999999996</v>
      </c>
      <c r="D63" s="6">
        <v>0.6</v>
      </c>
      <c r="E63" s="6">
        <v>0.73</v>
      </c>
    </row>
    <row r="64" spans="1:5" x14ac:dyDescent="0.25">
      <c r="A64" t="s">
        <v>86</v>
      </c>
      <c r="B64" s="6">
        <v>0.54</v>
      </c>
      <c r="C64" s="6">
        <v>0.93</v>
      </c>
      <c r="D64" s="6">
        <v>0.64</v>
      </c>
      <c r="E64" s="6">
        <v>0.54</v>
      </c>
    </row>
    <row r="65" spans="1:5" x14ac:dyDescent="0.25">
      <c r="A65" t="s">
        <v>87</v>
      </c>
      <c r="B65" s="6">
        <v>0.81</v>
      </c>
      <c r="C65" s="6">
        <v>0.72</v>
      </c>
      <c r="D65" s="6">
        <v>0.51</v>
      </c>
      <c r="E65" s="6">
        <v>0.27</v>
      </c>
    </row>
    <row r="66" spans="1:5" x14ac:dyDescent="0.25">
      <c r="A66" t="s">
        <v>88</v>
      </c>
      <c r="B66" s="6">
        <v>0.27</v>
      </c>
      <c r="C66" s="6">
        <v>0.47</v>
      </c>
      <c r="D66" s="6">
        <v>0.91</v>
      </c>
      <c r="E66" s="6">
        <v>0.14000000000000001</v>
      </c>
    </row>
    <row r="67" spans="1:5" x14ac:dyDescent="0.25">
      <c r="A67" t="s">
        <v>89</v>
      </c>
      <c r="B67" s="6">
        <v>0.73</v>
      </c>
      <c r="C67" s="6">
        <v>0.17</v>
      </c>
      <c r="D67" s="6">
        <v>0.96</v>
      </c>
      <c r="E67" s="6">
        <v>0.41</v>
      </c>
    </row>
    <row r="68" spans="1:5" x14ac:dyDescent="0.25">
      <c r="A68" t="s">
        <v>90</v>
      </c>
      <c r="B68" s="6">
        <v>0.5</v>
      </c>
      <c r="C68" s="6">
        <v>0.21</v>
      </c>
      <c r="D68" s="6">
        <v>0.76</v>
      </c>
      <c r="E68" s="6">
        <v>0.6</v>
      </c>
    </row>
    <row r="69" spans="1:5" x14ac:dyDescent="0.25">
      <c r="A69" t="s">
        <v>91</v>
      </c>
      <c r="B69" s="6">
        <v>0.24</v>
      </c>
      <c r="C69" s="6">
        <v>0.11</v>
      </c>
      <c r="D69" s="6">
        <v>0.26</v>
      </c>
      <c r="E69" s="6">
        <v>0.79</v>
      </c>
    </row>
    <row r="70" spans="1:5" x14ac:dyDescent="0.25">
      <c r="A70" t="s">
        <v>92</v>
      </c>
      <c r="B70" s="6">
        <v>0.19</v>
      </c>
      <c r="C70" s="6">
        <v>0.2</v>
      </c>
      <c r="D70" s="6">
        <v>0.55000000000000004</v>
      </c>
      <c r="E70" s="6">
        <v>0.4</v>
      </c>
    </row>
    <row r="71" spans="1:5" x14ac:dyDescent="0.25">
      <c r="A71" t="s">
        <v>93</v>
      </c>
      <c r="B71" s="6">
        <v>0.56999999999999995</v>
      </c>
      <c r="C71" s="6">
        <v>0.49</v>
      </c>
      <c r="D71" s="6">
        <v>0.25</v>
      </c>
      <c r="E71" s="6">
        <v>0.77</v>
      </c>
    </row>
    <row r="72" spans="1:5" x14ac:dyDescent="0.25">
      <c r="A72" t="s">
        <v>94</v>
      </c>
      <c r="B72" s="6">
        <v>0.9</v>
      </c>
      <c r="C72" s="6">
        <v>0.79</v>
      </c>
      <c r="D72" s="6">
        <v>0.84</v>
      </c>
      <c r="E72" s="6">
        <v>0.83</v>
      </c>
    </row>
    <row r="73" spans="1:5" x14ac:dyDescent="0.25">
      <c r="A73" t="s">
        <v>95</v>
      </c>
      <c r="B73" s="6">
        <v>0.42</v>
      </c>
      <c r="C73" s="6">
        <v>0.96</v>
      </c>
      <c r="D73" s="6">
        <v>0.6</v>
      </c>
      <c r="E73" s="6">
        <v>0.68</v>
      </c>
    </row>
    <row r="74" spans="1:5" x14ac:dyDescent="0.25">
      <c r="A74" t="s">
        <v>96</v>
      </c>
      <c r="B74" s="6">
        <v>0.5</v>
      </c>
      <c r="C74" s="6">
        <v>0.31</v>
      </c>
      <c r="D74" s="6">
        <v>0.25</v>
      </c>
      <c r="E74" s="6">
        <v>0.38</v>
      </c>
    </row>
    <row r="75" spans="1:5" x14ac:dyDescent="0.25">
      <c r="A75" t="s">
        <v>97</v>
      </c>
      <c r="B75" s="6">
        <v>0.84</v>
      </c>
      <c r="C75" s="6">
        <v>0.76</v>
      </c>
      <c r="D75" s="6">
        <v>0.3</v>
      </c>
      <c r="E75" s="6">
        <v>0.93</v>
      </c>
    </row>
    <row r="76" spans="1:5" x14ac:dyDescent="0.25">
      <c r="A76" t="s">
        <v>98</v>
      </c>
      <c r="B76" s="6">
        <v>0.72</v>
      </c>
      <c r="C76" s="6">
        <v>0.96</v>
      </c>
      <c r="D76" s="6">
        <v>0.2</v>
      </c>
      <c r="E76" s="6">
        <v>0.66</v>
      </c>
    </row>
    <row r="77" spans="1:5" x14ac:dyDescent="0.25">
      <c r="A77" t="s">
        <v>99</v>
      </c>
      <c r="B77" s="6">
        <v>0.62</v>
      </c>
      <c r="C77" s="6">
        <v>0.52</v>
      </c>
      <c r="D77" s="6">
        <v>0.69</v>
      </c>
      <c r="E77" s="6">
        <v>0.79</v>
      </c>
    </row>
    <row r="78" spans="1:5" x14ac:dyDescent="0.25">
      <c r="A78" t="s">
        <v>100</v>
      </c>
      <c r="B78" s="6">
        <v>0.78</v>
      </c>
      <c r="C78" s="6">
        <v>0.63</v>
      </c>
      <c r="D78" s="6">
        <v>0.62</v>
      </c>
      <c r="E78" s="6">
        <v>0.46</v>
      </c>
    </row>
    <row r="79" spans="1:5" x14ac:dyDescent="0.25">
      <c r="A79" t="s">
        <v>101</v>
      </c>
      <c r="B79" s="6">
        <v>0.69</v>
      </c>
      <c r="C79" s="6">
        <v>0.71</v>
      </c>
      <c r="D79" s="6">
        <v>0.13</v>
      </c>
      <c r="E79" s="6">
        <v>0.94</v>
      </c>
    </row>
    <row r="80" spans="1:5" x14ac:dyDescent="0.25">
      <c r="A80" t="s">
        <v>102</v>
      </c>
      <c r="B80" s="6">
        <v>0.71</v>
      </c>
      <c r="C80" s="6">
        <v>0.88</v>
      </c>
      <c r="D80" s="6">
        <v>0.6</v>
      </c>
      <c r="E80" s="6">
        <v>0.66</v>
      </c>
    </row>
    <row r="81" spans="1:5" x14ac:dyDescent="0.25">
      <c r="A81" t="s">
        <v>103</v>
      </c>
      <c r="B81" s="6">
        <v>0.48</v>
      </c>
      <c r="C81" s="6">
        <v>0.34</v>
      </c>
      <c r="D81" s="6">
        <v>0.25</v>
      </c>
      <c r="E81" s="6">
        <v>0.41</v>
      </c>
    </row>
    <row r="82" spans="1:5" x14ac:dyDescent="0.25">
      <c r="A82" t="s">
        <v>104</v>
      </c>
      <c r="B82" s="6">
        <v>0.83</v>
      </c>
      <c r="C82" s="6">
        <v>0.42</v>
      </c>
      <c r="D82" s="6">
        <v>0.78</v>
      </c>
      <c r="E82" s="6">
        <v>0.33</v>
      </c>
    </row>
    <row r="83" spans="1:5" x14ac:dyDescent="0.25">
      <c r="A83" t="s">
        <v>105</v>
      </c>
      <c r="B83" s="6">
        <v>0.75</v>
      </c>
      <c r="C83" s="6">
        <v>0.18</v>
      </c>
      <c r="D83" s="6">
        <v>0.91</v>
      </c>
      <c r="E83" s="6">
        <v>0.77</v>
      </c>
    </row>
    <row r="84" spans="1:5" x14ac:dyDescent="0.25">
      <c r="A84" t="s">
        <v>106</v>
      </c>
      <c r="B84" s="6">
        <v>0.27</v>
      </c>
      <c r="C84" s="6">
        <v>0.2</v>
      </c>
      <c r="D84" s="6">
        <v>0.47</v>
      </c>
      <c r="E84" s="6">
        <v>0.74</v>
      </c>
    </row>
    <row r="85" spans="1:5" x14ac:dyDescent="0.25">
      <c r="A85" t="s">
        <v>107</v>
      </c>
      <c r="B85" s="6">
        <v>0.87</v>
      </c>
      <c r="C85" s="6">
        <v>0.17</v>
      </c>
      <c r="D85" s="6">
        <v>0.8</v>
      </c>
      <c r="E85" s="6">
        <v>0.49</v>
      </c>
    </row>
    <row r="86" spans="1:5" x14ac:dyDescent="0.25">
      <c r="A86" t="s">
        <v>108</v>
      </c>
      <c r="B86" s="6">
        <v>0.85</v>
      </c>
      <c r="C86" s="6">
        <v>0.11</v>
      </c>
      <c r="D86" s="6">
        <v>0.14000000000000001</v>
      </c>
      <c r="E86" s="6">
        <v>0.4</v>
      </c>
    </row>
    <row r="87" spans="1:5" x14ac:dyDescent="0.25">
      <c r="A87" t="s">
        <v>109</v>
      </c>
      <c r="B87" s="6">
        <v>0.57999999999999996</v>
      </c>
      <c r="C87" s="6">
        <v>0.59</v>
      </c>
      <c r="D87" s="6">
        <v>0.35</v>
      </c>
      <c r="E87" s="6">
        <v>0.41</v>
      </c>
    </row>
    <row r="88" spans="1:5" x14ac:dyDescent="0.25">
      <c r="A88" t="s">
        <v>110</v>
      </c>
      <c r="B88" s="6">
        <v>0.72</v>
      </c>
      <c r="C88" s="6">
        <v>0.64</v>
      </c>
      <c r="D88" s="6">
        <v>0.34</v>
      </c>
      <c r="E88" s="6">
        <v>0.6</v>
      </c>
    </row>
    <row r="89" spans="1:5" x14ac:dyDescent="0.25">
      <c r="A89" t="s">
        <v>111</v>
      </c>
      <c r="B89" s="6">
        <v>0.37</v>
      </c>
      <c r="C89" s="6">
        <v>0.38</v>
      </c>
      <c r="D89" s="6">
        <v>0.67</v>
      </c>
      <c r="E89" s="6">
        <v>0.81</v>
      </c>
    </row>
    <row r="90" spans="1:5" x14ac:dyDescent="0.25">
      <c r="A90" t="s">
        <v>112</v>
      </c>
      <c r="B90" s="6">
        <v>0.65</v>
      </c>
      <c r="C90" s="6">
        <v>0.76</v>
      </c>
      <c r="D90" s="6">
        <v>0.33</v>
      </c>
      <c r="E90" s="6">
        <v>0.88</v>
      </c>
    </row>
    <row r="91" spans="1:5" x14ac:dyDescent="0.25">
      <c r="A91" t="s">
        <v>113</v>
      </c>
      <c r="B91" s="6">
        <v>0.79</v>
      </c>
      <c r="C91" s="6">
        <v>0.62</v>
      </c>
      <c r="D91" s="6">
        <v>0.89</v>
      </c>
      <c r="E91" s="6">
        <v>0.11</v>
      </c>
    </row>
    <row r="92" spans="1:5" x14ac:dyDescent="0.25">
      <c r="A92" t="s">
        <v>114</v>
      </c>
      <c r="B92" s="6">
        <v>0.54</v>
      </c>
      <c r="C92" s="6">
        <v>0.95</v>
      </c>
      <c r="D92" s="6">
        <v>0.85</v>
      </c>
      <c r="E92" s="6">
        <v>0.88</v>
      </c>
    </row>
    <row r="93" spans="1:5" x14ac:dyDescent="0.25">
      <c r="A93" t="s">
        <v>115</v>
      </c>
      <c r="B93" s="6">
        <v>0.64</v>
      </c>
      <c r="C93" s="6">
        <v>0.66</v>
      </c>
      <c r="D93" s="6">
        <v>0.25</v>
      </c>
      <c r="E93" s="6">
        <v>0.19</v>
      </c>
    </row>
    <row r="94" spans="1:5" x14ac:dyDescent="0.25">
      <c r="A94" t="s">
        <v>116</v>
      </c>
      <c r="B94" s="6">
        <v>0.11</v>
      </c>
      <c r="C94" s="6">
        <v>0.4</v>
      </c>
      <c r="D94" s="6">
        <v>0.16</v>
      </c>
      <c r="E94" s="6">
        <v>0.42</v>
      </c>
    </row>
    <row r="95" spans="1:5" x14ac:dyDescent="0.25">
      <c r="A95" t="s">
        <v>117</v>
      </c>
      <c r="B95" s="6">
        <v>0.61</v>
      </c>
      <c r="C95" s="6">
        <v>0.73</v>
      </c>
      <c r="D95" s="6">
        <v>0.31</v>
      </c>
      <c r="E95" s="6">
        <v>0.49</v>
      </c>
    </row>
    <row r="96" spans="1:5" x14ac:dyDescent="0.25">
      <c r="A96" t="s">
        <v>118</v>
      </c>
      <c r="B96" s="6">
        <v>0.41</v>
      </c>
      <c r="C96" s="6">
        <v>0.31</v>
      </c>
      <c r="D96" s="6">
        <v>0.18</v>
      </c>
      <c r="E96" s="6">
        <v>0.56999999999999995</v>
      </c>
    </row>
    <row r="97" spans="1:5" x14ac:dyDescent="0.25">
      <c r="A97" t="s">
        <v>119</v>
      </c>
      <c r="B97" s="6">
        <v>0.61</v>
      </c>
      <c r="C97" s="6">
        <v>0.39</v>
      </c>
      <c r="D97" s="6">
        <v>0.18</v>
      </c>
      <c r="E97" s="6">
        <v>0.64</v>
      </c>
    </row>
    <row r="98" spans="1:5" x14ac:dyDescent="0.25">
      <c r="A98" t="s">
        <v>120</v>
      </c>
      <c r="B98" s="6">
        <v>0.91</v>
      </c>
      <c r="C98" s="6">
        <v>0.81</v>
      </c>
      <c r="D98" s="6">
        <v>0.6</v>
      </c>
      <c r="E98" s="6">
        <v>0.81</v>
      </c>
    </row>
    <row r="99" spans="1:5" x14ac:dyDescent="0.25">
      <c r="A99" t="s">
        <v>121</v>
      </c>
      <c r="B99" s="6">
        <v>0.84</v>
      </c>
      <c r="C99" s="6">
        <v>0.81</v>
      </c>
      <c r="D99" s="6">
        <v>0.18</v>
      </c>
      <c r="E99" s="6">
        <v>0.13</v>
      </c>
    </row>
    <row r="100" spans="1:5" x14ac:dyDescent="0.25">
      <c r="A100" t="s">
        <v>122</v>
      </c>
      <c r="B100" s="6">
        <v>0.35</v>
      </c>
      <c r="C100" s="6">
        <v>0.22</v>
      </c>
      <c r="D100" s="6">
        <v>0.25</v>
      </c>
      <c r="E100" s="6">
        <v>0.62</v>
      </c>
    </row>
    <row r="101" spans="1:5" x14ac:dyDescent="0.25">
      <c r="A101" t="s">
        <v>123</v>
      </c>
      <c r="B101" s="6">
        <v>0.56999999999999995</v>
      </c>
      <c r="C101" s="6">
        <v>0.78</v>
      </c>
      <c r="D101" s="6">
        <v>0.39</v>
      </c>
      <c r="E101" s="6">
        <v>0.12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S21"/>
  <sheetViews>
    <sheetView showGridLines="0" workbookViewId="0">
      <selection activeCell="J23" sqref="J23"/>
    </sheetView>
  </sheetViews>
  <sheetFormatPr defaultRowHeight="15" x14ac:dyDescent="0.25"/>
  <cols>
    <col min="14" max="14" width="11.7109375" customWidth="1"/>
    <col min="15" max="15" width="14.5703125" customWidth="1"/>
    <col min="16" max="16" width="15" customWidth="1"/>
    <col min="17" max="17" width="15.42578125" customWidth="1"/>
  </cols>
  <sheetData>
    <row r="1" spans="1:19" x14ac:dyDescent="0.25">
      <c r="A1" s="10"/>
      <c r="B1" s="11"/>
      <c r="C1" s="11"/>
      <c r="D1" s="11"/>
      <c r="E1" s="11"/>
      <c r="F1" s="11"/>
      <c r="G1" s="11"/>
      <c r="H1" s="11"/>
      <c r="I1" s="11"/>
      <c r="J1" s="12"/>
    </row>
    <row r="2" spans="1:19" x14ac:dyDescent="0.25">
      <c r="A2" s="13"/>
      <c r="B2" s="14"/>
      <c r="C2" s="14"/>
      <c r="D2" s="14"/>
      <c r="E2" s="14"/>
      <c r="F2" s="14"/>
      <c r="G2" s="14"/>
      <c r="H2" s="14"/>
      <c r="I2" s="14"/>
      <c r="J2" s="15"/>
    </row>
    <row r="3" spans="1:19" x14ac:dyDescent="0.25">
      <c r="A3" s="13"/>
      <c r="B3" s="14"/>
      <c r="C3" s="14"/>
      <c r="D3" s="14"/>
      <c r="E3" s="14"/>
      <c r="F3" s="14"/>
      <c r="G3" s="14"/>
      <c r="H3" s="14"/>
      <c r="I3" s="14"/>
      <c r="J3" s="15"/>
    </row>
    <row r="4" spans="1:19" x14ac:dyDescent="0.25">
      <c r="A4" s="13"/>
      <c r="B4" s="14"/>
      <c r="C4" s="14"/>
      <c r="D4" s="14"/>
      <c r="E4" s="14"/>
      <c r="F4" s="14"/>
      <c r="G4" s="14"/>
      <c r="H4" s="14"/>
      <c r="I4" s="14"/>
      <c r="J4" s="15"/>
      <c r="L4" s="24" t="s">
        <v>149</v>
      </c>
      <c r="M4" s="24" t="s">
        <v>150</v>
      </c>
      <c r="N4" s="22" t="s">
        <v>145</v>
      </c>
      <c r="O4" s="22" t="s">
        <v>146</v>
      </c>
      <c r="P4" s="22" t="s">
        <v>147</v>
      </c>
      <c r="Q4" s="22" t="s">
        <v>148</v>
      </c>
    </row>
    <row r="5" spans="1:19" x14ac:dyDescent="0.25">
      <c r="A5" s="13"/>
      <c r="B5" s="14"/>
      <c r="C5" s="14"/>
      <c r="D5" s="14"/>
      <c r="E5" s="14"/>
      <c r="F5" s="14"/>
      <c r="G5" s="14"/>
      <c r="H5" s="14"/>
      <c r="I5" s="14"/>
      <c r="J5" s="15"/>
      <c r="L5" s="22">
        <f>ROWS($K$5:K5)-1+Calculation!$B$13</f>
        <v>1</v>
      </c>
      <c r="M5" s="1" t="str">
        <f>INDEX(Calculation!$Q$19:$U$118,ROWS(Dashboard2!$L$5:L5)-1+Calculation!$B$13,COLUMNS(Dashboard2!$L$5:L5))</f>
        <v>Comp 3</v>
      </c>
      <c r="N5" s="25">
        <f>INDEX(Calculation!$Q$19:$U$118,ROWS(Dashboard2!$L$5:M5)-1+Calculation!$B$13,COLUMNS(Dashboard2!$L$5:M5))</f>
        <v>0.61</v>
      </c>
      <c r="O5" s="25">
        <f>INDEX(Calculation!$Q$19:$U$118,ROWS(Dashboard2!$L$5:N5)-1+Calculation!$B$13,COLUMNS(Dashboard2!$L$5:N5))</f>
        <v>0.21</v>
      </c>
      <c r="P5" s="25">
        <f>INDEX(Calculation!$Q$19:$U$118,ROWS(Dashboard2!$L$5:O5)-1+Calculation!$B$13,COLUMNS(Dashboard2!$L$5:O5))</f>
        <v>0.47</v>
      </c>
      <c r="Q5" s="25">
        <f>INDEX(Calculation!$Q$19:$U$118,ROWS(Dashboard2!$L$5:P5)-1+Calculation!$B$13,COLUMNS(Dashboard2!$L$5:P5))</f>
        <v>0.12</v>
      </c>
      <c r="R5" s="9"/>
      <c r="S5" s="9"/>
    </row>
    <row r="6" spans="1:19" x14ac:dyDescent="0.25">
      <c r="A6" s="13"/>
      <c r="B6" s="14"/>
      <c r="C6" s="14"/>
      <c r="D6" s="14"/>
      <c r="E6" s="14"/>
      <c r="F6" s="14"/>
      <c r="G6" s="14"/>
      <c r="H6" s="14"/>
      <c r="I6" s="14"/>
      <c r="J6" s="15"/>
      <c r="L6" s="22">
        <f>ROWS($K$5:K6)-1+Calculation!$B$13</f>
        <v>2</v>
      </c>
      <c r="M6" s="1" t="str">
        <f>INDEX(Calculation!$Q$19:$U$118,ROWS(Dashboard2!$L$5:L6)-1+Calculation!$B$13,COLUMNS(Dashboard2!$L$5:L6))</f>
        <v>Comp 4</v>
      </c>
      <c r="N6" s="25">
        <f>INDEX(Calculation!$Q$19:$U$118,ROWS(Dashboard2!$L$5:M6)-1+Calculation!$B$13,COLUMNS(Dashboard2!$L$5:M6))</f>
        <v>0.61</v>
      </c>
      <c r="O6" s="25">
        <f>INDEX(Calculation!$Q$19:$U$118,ROWS(Dashboard2!$L$5:N6)-1+Calculation!$B$13,COLUMNS(Dashboard2!$L$5:N6))</f>
        <v>0.21</v>
      </c>
      <c r="P6" s="25">
        <f>INDEX(Calculation!$Q$19:$U$118,ROWS(Dashboard2!$L$5:O6)-1+Calculation!$B$13,COLUMNS(Dashboard2!$L$5:O6))</f>
        <v>0.12</v>
      </c>
      <c r="Q6" s="25">
        <f>INDEX(Calculation!$Q$19:$U$118,ROWS(Dashboard2!$L$5:P6)-1+Calculation!$B$13,COLUMNS(Dashboard2!$L$5:P6))</f>
        <v>0.68</v>
      </c>
      <c r="R6" s="9"/>
    </row>
    <row r="7" spans="1:19" x14ac:dyDescent="0.25">
      <c r="A7" s="13"/>
      <c r="B7" s="14"/>
      <c r="C7" s="14"/>
      <c r="D7" s="14"/>
      <c r="E7" s="14"/>
      <c r="F7" s="14"/>
      <c r="G7" s="14"/>
      <c r="H7" s="14"/>
      <c r="I7" s="14"/>
      <c r="J7" s="15"/>
      <c r="L7" s="22">
        <f>ROWS($K$5:K7)-1+Calculation!$B$13</f>
        <v>3</v>
      </c>
      <c r="M7" s="1" t="str">
        <f>INDEX(Calculation!$Q$19:$U$118,ROWS(Dashboard2!$L$5:L7)-1+Calculation!$B$13,COLUMNS(Dashboard2!$L$5:L7))</f>
        <v>Comp 5</v>
      </c>
      <c r="N7" s="25">
        <f>INDEX(Calculation!$Q$19:$U$118,ROWS(Dashboard2!$L$5:M7)-1+Calculation!$B$13,COLUMNS(Dashboard2!$L$5:M7))</f>
        <v>0.78</v>
      </c>
      <c r="O7" s="25">
        <f>INDEX(Calculation!$Q$19:$U$118,ROWS(Dashboard2!$L$5:N7)-1+Calculation!$B$13,COLUMNS(Dashboard2!$L$5:N7))</f>
        <v>0.47</v>
      </c>
      <c r="P7" s="25">
        <f>INDEX(Calculation!$Q$19:$U$118,ROWS(Dashboard2!$L$5:O7)-1+Calculation!$B$13,COLUMNS(Dashboard2!$L$5:O7))</f>
        <v>0.25</v>
      </c>
      <c r="Q7" s="25">
        <f>INDEX(Calculation!$Q$19:$U$118,ROWS(Dashboard2!$L$5:P7)-1+Calculation!$B$13,COLUMNS(Dashboard2!$L$5:P7))</f>
        <v>0.43</v>
      </c>
      <c r="R7" s="9"/>
    </row>
    <row r="8" spans="1:19" x14ac:dyDescent="0.25">
      <c r="A8" s="13"/>
      <c r="B8" s="14"/>
      <c r="C8" s="14"/>
      <c r="D8" s="14"/>
      <c r="E8" s="14"/>
      <c r="F8" s="14"/>
      <c r="G8" s="14"/>
      <c r="H8" s="14"/>
      <c r="I8" s="14"/>
      <c r="J8" s="15"/>
      <c r="L8" s="22">
        <f>ROWS($K$5:K8)-1+Calculation!$B$13</f>
        <v>4</v>
      </c>
      <c r="M8" s="1" t="str">
        <f>INDEX(Calculation!$Q$19:$U$118,ROWS(Dashboard2!$L$5:L8)-1+Calculation!$B$13,COLUMNS(Dashboard2!$L$5:L8))</f>
        <v>Comp 12</v>
      </c>
      <c r="N8" s="25">
        <f>INDEX(Calculation!$Q$19:$U$118,ROWS(Dashboard2!$L$5:M8)-1+Calculation!$B$13,COLUMNS(Dashboard2!$L$5:M8))</f>
        <v>0.76</v>
      </c>
      <c r="O8" s="25">
        <f>INDEX(Calculation!$Q$19:$U$118,ROWS(Dashboard2!$L$5:N8)-1+Calculation!$B$13,COLUMNS(Dashboard2!$L$5:N8))</f>
        <v>0.24</v>
      </c>
      <c r="P8" s="25">
        <f>INDEX(Calculation!$Q$19:$U$118,ROWS(Dashboard2!$L$5:O8)-1+Calculation!$B$13,COLUMNS(Dashboard2!$L$5:O8))</f>
        <v>0.22</v>
      </c>
      <c r="Q8" s="25">
        <f>INDEX(Calculation!$Q$19:$U$118,ROWS(Dashboard2!$L$5:P8)-1+Calculation!$B$13,COLUMNS(Dashboard2!$L$5:P8))</f>
        <v>0.51</v>
      </c>
      <c r="R8" s="9"/>
    </row>
    <row r="9" spans="1:19" x14ac:dyDescent="0.25">
      <c r="A9" s="13"/>
      <c r="B9" s="14"/>
      <c r="C9" s="14"/>
      <c r="D9" s="14"/>
      <c r="E9" s="14"/>
      <c r="F9" s="14"/>
      <c r="G9" s="14"/>
      <c r="H9" s="14"/>
      <c r="I9" s="14"/>
      <c r="J9" s="15"/>
      <c r="L9" s="22">
        <f>ROWS($K$5:K9)-1+Calculation!$B$13</f>
        <v>5</v>
      </c>
      <c r="M9" s="1" t="str">
        <f>INDEX(Calculation!$Q$19:$U$118,ROWS(Dashboard2!$L$5:L9)-1+Calculation!$B$13,COLUMNS(Dashboard2!$L$5:L9))</f>
        <v>Comp 14</v>
      </c>
      <c r="N9" s="25">
        <f>INDEX(Calculation!$Q$19:$U$118,ROWS(Dashboard2!$L$5:M9)-1+Calculation!$B$13,COLUMNS(Dashboard2!$L$5:M9))</f>
        <v>0.85</v>
      </c>
      <c r="O9" s="25">
        <f>INDEX(Calculation!$Q$19:$U$118,ROWS(Dashboard2!$L$5:N9)-1+Calculation!$B$13,COLUMNS(Dashboard2!$L$5:N9))</f>
        <v>0.5</v>
      </c>
      <c r="P9" s="25">
        <f>INDEX(Calculation!$Q$19:$U$118,ROWS(Dashboard2!$L$5:O9)-1+Calculation!$B$13,COLUMNS(Dashboard2!$L$5:O9))</f>
        <v>0.84</v>
      </c>
      <c r="Q9" s="25">
        <f>INDEX(Calculation!$Q$19:$U$118,ROWS(Dashboard2!$L$5:P9)-1+Calculation!$B$13,COLUMNS(Dashboard2!$L$5:P9))</f>
        <v>0.93</v>
      </c>
      <c r="R9" s="9"/>
    </row>
    <row r="10" spans="1:19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5"/>
      <c r="L10" s="22">
        <f>ROWS($K$5:K10)-1+Calculation!$B$13</f>
        <v>6</v>
      </c>
      <c r="M10" s="1" t="str">
        <f>INDEX(Calculation!$Q$19:$U$118,ROWS(Dashboard2!$L$5:L10)-1+Calculation!$B$13,COLUMNS(Dashboard2!$L$5:L10))</f>
        <v>Comp 24</v>
      </c>
      <c r="N10" s="25">
        <f>INDEX(Calculation!$Q$19:$U$118,ROWS(Dashboard2!$L$5:M10)-1+Calculation!$B$13,COLUMNS(Dashboard2!$L$5:M10))</f>
        <v>0.88</v>
      </c>
      <c r="O10" s="25">
        <f>INDEX(Calculation!$Q$19:$U$118,ROWS(Dashboard2!$L$5:N10)-1+Calculation!$B$13,COLUMNS(Dashboard2!$L$5:N10))</f>
        <v>0.44</v>
      </c>
      <c r="P10" s="25">
        <f>INDEX(Calculation!$Q$19:$U$118,ROWS(Dashboard2!$L$5:O10)-1+Calculation!$B$13,COLUMNS(Dashboard2!$L$5:O10))</f>
        <v>0.89</v>
      </c>
      <c r="Q10" s="25">
        <f>INDEX(Calculation!$Q$19:$U$118,ROWS(Dashboard2!$L$5:P10)-1+Calculation!$B$13,COLUMNS(Dashboard2!$L$5:P10))</f>
        <v>0.47</v>
      </c>
      <c r="R10" s="9"/>
    </row>
    <row r="11" spans="1:19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5"/>
      <c r="L11" s="22">
        <f>ROWS($K$5:K11)-1+Calculation!$B$13</f>
        <v>7</v>
      </c>
      <c r="M11" s="1" t="str">
        <f>INDEX(Calculation!$Q$19:$U$118,ROWS(Dashboard2!$L$5:L11)-1+Calculation!$B$13,COLUMNS(Dashboard2!$L$5:L11))</f>
        <v>Comp 28</v>
      </c>
      <c r="N11" s="25">
        <f>INDEX(Calculation!$Q$19:$U$118,ROWS(Dashboard2!$L$5:M11)-1+Calculation!$B$13,COLUMNS(Dashboard2!$L$5:M11))</f>
        <v>0.56000000000000005</v>
      </c>
      <c r="O11" s="25">
        <f>INDEX(Calculation!$Q$19:$U$118,ROWS(Dashboard2!$L$5:N11)-1+Calculation!$B$13,COLUMNS(Dashboard2!$L$5:N11))</f>
        <v>0.27</v>
      </c>
      <c r="P11" s="25">
        <f>INDEX(Calculation!$Q$19:$U$118,ROWS(Dashboard2!$L$5:O11)-1+Calculation!$B$13,COLUMNS(Dashboard2!$L$5:O11))</f>
        <v>0.52</v>
      </c>
      <c r="Q11" s="25">
        <f>INDEX(Calculation!$Q$19:$U$118,ROWS(Dashboard2!$L$5:P11)-1+Calculation!$B$13,COLUMNS(Dashboard2!$L$5:P11))</f>
        <v>0.75</v>
      </c>
      <c r="R11" s="9"/>
    </row>
    <row r="12" spans="1:19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5"/>
      <c r="L12" s="22">
        <f>ROWS($K$5:K12)-1+Calculation!$B$13</f>
        <v>8</v>
      </c>
      <c r="M12" s="1" t="str">
        <f>INDEX(Calculation!$Q$19:$U$118,ROWS(Dashboard2!$L$5:L12)-1+Calculation!$B$13,COLUMNS(Dashboard2!$L$5:L12))</f>
        <v>Comp 30</v>
      </c>
      <c r="N12" s="25">
        <f>INDEX(Calculation!$Q$19:$U$118,ROWS(Dashboard2!$L$5:M12)-1+Calculation!$B$13,COLUMNS(Dashboard2!$L$5:M12))</f>
        <v>0.61</v>
      </c>
      <c r="O12" s="25">
        <f>INDEX(Calculation!$Q$19:$U$118,ROWS(Dashboard2!$L$5:N12)-1+Calculation!$B$13,COLUMNS(Dashboard2!$L$5:N12))</f>
        <v>0.2</v>
      </c>
      <c r="P12" s="25">
        <f>INDEX(Calculation!$Q$19:$U$118,ROWS(Dashboard2!$L$5:O12)-1+Calculation!$B$13,COLUMNS(Dashboard2!$L$5:O12))</f>
        <v>0.7</v>
      </c>
      <c r="Q12" s="25">
        <f>INDEX(Calculation!$Q$19:$U$118,ROWS(Dashboard2!$L$5:P12)-1+Calculation!$B$13,COLUMNS(Dashboard2!$L$5:P12))</f>
        <v>0.77</v>
      </c>
      <c r="R12" s="9"/>
    </row>
    <row r="13" spans="1:19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5"/>
      <c r="L13" s="22">
        <f>ROWS($K$5:K13)-1+Calculation!$B$13</f>
        <v>9</v>
      </c>
      <c r="M13" s="1" t="str">
        <f>INDEX(Calculation!$Q$19:$U$118,ROWS(Dashboard2!$L$5:L13)-1+Calculation!$B$13,COLUMNS(Dashboard2!$L$5:L13))</f>
        <v>Comp 35</v>
      </c>
      <c r="N13" s="25">
        <f>INDEX(Calculation!$Q$19:$U$118,ROWS(Dashboard2!$L$5:M13)-1+Calculation!$B$13,COLUMNS(Dashboard2!$L$5:M13))</f>
        <v>0.62</v>
      </c>
      <c r="O13" s="25">
        <f>INDEX(Calculation!$Q$19:$U$118,ROWS(Dashboard2!$L$5:N13)-1+Calculation!$B$13,COLUMNS(Dashboard2!$L$5:N13))</f>
        <v>0.34</v>
      </c>
      <c r="P13" s="25">
        <f>INDEX(Calculation!$Q$19:$U$118,ROWS(Dashboard2!$L$5:O13)-1+Calculation!$B$13,COLUMNS(Dashboard2!$L$5:O13))</f>
        <v>0.44</v>
      </c>
      <c r="Q13" s="25">
        <f>INDEX(Calculation!$Q$19:$U$118,ROWS(Dashboard2!$L$5:P13)-1+Calculation!$B$13,COLUMNS(Dashboard2!$L$5:P13))</f>
        <v>0.36</v>
      </c>
      <c r="R13" s="9"/>
    </row>
    <row r="14" spans="1:19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5"/>
      <c r="L14" s="22">
        <f>ROWS($K$5:K14)-1+Calculation!$B$13</f>
        <v>10</v>
      </c>
      <c r="M14" s="1" t="str">
        <f>INDEX(Calculation!$Q$19:$U$118,ROWS(Dashboard2!$L$5:L14)-1+Calculation!$B$13,COLUMNS(Dashboard2!$L$5:L14))</f>
        <v>Comp 36</v>
      </c>
      <c r="N14" s="25">
        <f>INDEX(Calculation!$Q$19:$U$118,ROWS(Dashboard2!$L$5:M14)-1+Calculation!$B$13,COLUMNS(Dashboard2!$L$5:M14))</f>
        <v>0.57999999999999996</v>
      </c>
      <c r="O14" s="25">
        <f>INDEX(Calculation!$Q$19:$U$118,ROWS(Dashboard2!$L$5:N14)-1+Calculation!$B$13,COLUMNS(Dashboard2!$L$5:N14))</f>
        <v>0.39</v>
      </c>
      <c r="P14" s="25">
        <f>INDEX(Calculation!$Q$19:$U$118,ROWS(Dashboard2!$L$5:O14)-1+Calculation!$B$13,COLUMNS(Dashboard2!$L$5:O14))</f>
        <v>0.45</v>
      </c>
      <c r="Q14" s="25">
        <f>INDEX(Calculation!$Q$19:$U$118,ROWS(Dashboard2!$L$5:P14)-1+Calculation!$B$13,COLUMNS(Dashboard2!$L$5:P14))</f>
        <v>0.71</v>
      </c>
      <c r="R14" s="9"/>
    </row>
    <row r="15" spans="1:19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5"/>
    </row>
    <row r="16" spans="1:19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5"/>
    </row>
    <row r="17" spans="1:11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5"/>
    </row>
    <row r="18" spans="1:11" ht="15.75" thickBo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8"/>
    </row>
    <row r="20" spans="1:11" x14ac:dyDescent="0.25">
      <c r="K20" s="21"/>
    </row>
    <row r="21" spans="1:11" x14ac:dyDescent="0.25">
      <c r="H21" s="58" t="s">
        <v>40</v>
      </c>
      <c r="I21" s="58"/>
    </row>
  </sheetData>
  <mergeCells count="1">
    <mergeCell ref="H21:I21"/>
  </mergeCells>
  <conditionalFormatting sqref="N5: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8</xdr:col>
                    <xdr:colOff>66675</xdr:colOff>
                    <xdr:row>16</xdr:row>
                    <xdr:rowOff>152400</xdr:rowOff>
                  </from>
                  <to>
                    <xdr:col>9</xdr:col>
                    <xdr:colOff>466725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Drop Down 3">
              <controlPr defaultSize="0" autoLine="0" autoPict="0">
                <anchor moveWithCells="1">
                  <from>
                    <xdr:col>0</xdr:col>
                    <xdr:colOff>171450</xdr:colOff>
                    <xdr:row>0</xdr:row>
                    <xdr:rowOff>171450</xdr:rowOff>
                  </from>
                  <to>
                    <xdr:col>1</xdr:col>
                    <xdr:colOff>571500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6" name="Scroll Bar 12">
              <controlPr defaultSize="0" autoPict="0">
                <anchor moveWithCells="1">
                  <from>
                    <xdr:col>10</xdr:col>
                    <xdr:colOff>219075</xdr:colOff>
                    <xdr:row>2</xdr:row>
                    <xdr:rowOff>171450</xdr:rowOff>
                  </from>
                  <to>
                    <xdr:col>10</xdr:col>
                    <xdr:colOff>542925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7" name="Option Button 13">
              <controlPr defaultSize="0" autoFill="0" autoLine="0" autoPict="0">
                <anchor moveWithCells="1">
                  <from>
                    <xdr:col>11</xdr:col>
                    <xdr:colOff>400050</xdr:colOff>
                    <xdr:row>1</xdr:row>
                    <xdr:rowOff>19050</xdr:rowOff>
                  </from>
                  <to>
                    <xdr:col>12</xdr:col>
                    <xdr:colOff>428625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8" name="Option Button 14">
              <controlPr defaultSize="0" autoFill="0" autoLine="0" autoPict="0">
                <anchor moveWithCells="1">
                  <from>
                    <xdr:col>13</xdr:col>
                    <xdr:colOff>38100</xdr:colOff>
                    <xdr:row>1</xdr:row>
                    <xdr:rowOff>66675</xdr:rowOff>
                  </from>
                  <to>
                    <xdr:col>13</xdr:col>
                    <xdr:colOff>762000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9" name="Option Button 15">
              <controlPr defaultSize="0" autoFill="0" autoLine="0" autoPict="0">
                <anchor moveWithCells="1">
                  <from>
                    <xdr:col>14</xdr:col>
                    <xdr:colOff>180975</xdr:colOff>
                    <xdr:row>1</xdr:row>
                    <xdr:rowOff>66675</xdr:rowOff>
                  </from>
                  <to>
                    <xdr:col>15</xdr:col>
                    <xdr:colOff>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0" name="Option Button 16">
              <controlPr defaultSize="0" autoFill="0" autoLine="0" autoPict="0">
                <anchor moveWithCells="1">
                  <from>
                    <xdr:col>15</xdr:col>
                    <xdr:colOff>133350</xdr:colOff>
                    <xdr:row>1</xdr:row>
                    <xdr:rowOff>66675</xdr:rowOff>
                  </from>
                  <to>
                    <xdr:col>15</xdr:col>
                    <xdr:colOff>942975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1" name="Option Button 18">
              <controlPr defaultSize="0" autoFill="0" autoLine="0" autoPict="0">
                <anchor moveWithCells="1">
                  <from>
                    <xdr:col>16</xdr:col>
                    <xdr:colOff>114300</xdr:colOff>
                    <xdr:row>1</xdr:row>
                    <xdr:rowOff>76200</xdr:rowOff>
                  </from>
                  <to>
                    <xdr:col>16</xdr:col>
                    <xdr:colOff>923925</xdr:colOff>
                    <xdr:row>2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Sheet2!$A$2:$A$101</xm:f>
          </x14:formula1>
          <xm:sqref>H21:I21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A118"/>
  <sheetViews>
    <sheetView workbookViewId="0"/>
  </sheetViews>
  <sheetFormatPr defaultRowHeight="15" x14ac:dyDescent="0.25"/>
  <cols>
    <col min="1" max="1" width="19.28515625" bestFit="1" customWidth="1"/>
    <col min="5" max="5" width="28.42578125" customWidth="1"/>
    <col min="6" max="6" width="48.42578125" customWidth="1"/>
    <col min="7" max="7" width="21.140625" customWidth="1"/>
    <col min="8" max="8" width="20" customWidth="1"/>
    <col min="9" max="9" width="8" customWidth="1"/>
    <col min="10" max="10" width="13.28515625" customWidth="1"/>
    <col min="11" max="11" width="41.85546875" customWidth="1"/>
    <col min="12" max="12" width="9.140625" customWidth="1"/>
    <col min="13" max="13" width="10" bestFit="1" customWidth="1"/>
    <col min="14" max="14" width="16.28515625" bestFit="1" customWidth="1"/>
    <col min="15" max="15" width="12.5703125" bestFit="1" customWidth="1"/>
    <col min="16" max="16" width="11.42578125" bestFit="1" customWidth="1"/>
    <col min="17" max="17" width="15.140625" bestFit="1" customWidth="1"/>
    <col min="23" max="23" width="16" bestFit="1" customWidth="1"/>
  </cols>
  <sheetData>
    <row r="1" spans="1:2" x14ac:dyDescent="0.25">
      <c r="A1" t="s">
        <v>124</v>
      </c>
    </row>
    <row r="2" spans="1:2" x14ac:dyDescent="0.25">
      <c r="A2" s="7" t="s">
        <v>20</v>
      </c>
    </row>
    <row r="3" spans="1:2" x14ac:dyDescent="0.25">
      <c r="A3" s="7" t="s">
        <v>21</v>
      </c>
    </row>
    <row r="4" spans="1:2" x14ac:dyDescent="0.25">
      <c r="A4" s="7" t="s">
        <v>22</v>
      </c>
    </row>
    <row r="5" spans="1:2" x14ac:dyDescent="0.25">
      <c r="A5" s="8" t="s">
        <v>23</v>
      </c>
    </row>
    <row r="10" spans="1:2" x14ac:dyDescent="0.25">
      <c r="A10" s="60" t="s">
        <v>125</v>
      </c>
      <c r="B10" s="61"/>
    </row>
    <row r="11" spans="1:2" x14ac:dyDescent="0.25">
      <c r="A11" s="1" t="s">
        <v>126</v>
      </c>
      <c r="B11" s="1">
        <v>2</v>
      </c>
    </row>
    <row r="12" spans="1:2" x14ac:dyDescent="0.25">
      <c r="A12" s="1" t="s">
        <v>127</v>
      </c>
      <c r="B12" s="1">
        <v>1</v>
      </c>
    </row>
    <row r="13" spans="1:2" x14ac:dyDescent="0.25">
      <c r="A13" s="1" t="s">
        <v>138</v>
      </c>
      <c r="B13" s="1">
        <v>1</v>
      </c>
    </row>
    <row r="14" spans="1:2" x14ac:dyDescent="0.25">
      <c r="A14" s="1" t="s">
        <v>139</v>
      </c>
      <c r="B14" s="1">
        <v>2</v>
      </c>
    </row>
    <row r="17" spans="1:27" x14ac:dyDescent="0.25">
      <c r="E17" t="s">
        <v>131</v>
      </c>
      <c r="W17" t="s">
        <v>151</v>
      </c>
    </row>
    <row r="18" spans="1:27" x14ac:dyDescent="0.25">
      <c r="A18" t="s">
        <v>128</v>
      </c>
      <c r="B18" t="s">
        <v>129</v>
      </c>
      <c r="C18" t="s">
        <v>130</v>
      </c>
      <c r="E18" t="str">
        <f>INDEX($A$2:$A$5,$B$11) &amp;"  Vs,   " &amp;INDEX($A$2:$A$5,$B$12)</f>
        <v>KPI-2  Vs,   KPI-1</v>
      </c>
      <c r="M18" s="1" t="s">
        <v>140</v>
      </c>
      <c r="N18" s="1" t="s">
        <v>141</v>
      </c>
      <c r="O18" s="1" t="s">
        <v>142</v>
      </c>
      <c r="P18" s="1" t="s">
        <v>143</v>
      </c>
      <c r="Q18" s="1" t="s">
        <v>144</v>
      </c>
      <c r="R18" s="1" t="s">
        <v>145</v>
      </c>
      <c r="S18" s="1" t="s">
        <v>146</v>
      </c>
      <c r="T18" s="1" t="s">
        <v>147</v>
      </c>
      <c r="U18" s="1" t="s">
        <v>148</v>
      </c>
      <c r="W18" t="s">
        <v>144</v>
      </c>
      <c r="X18" s="26" t="s">
        <v>145</v>
      </c>
      <c r="Y18" s="26" t="s">
        <v>146</v>
      </c>
      <c r="Z18" s="26" t="s">
        <v>147</v>
      </c>
      <c r="AA18" s="26" t="s">
        <v>148</v>
      </c>
    </row>
    <row r="19" spans="1:27" x14ac:dyDescent="0.25">
      <c r="A19" t="s">
        <v>24</v>
      </c>
      <c r="B19" s="6">
        <f>INDEX(KPIDATA,ROWS($A$19:A19),$B$11+1)</f>
        <v>0.73</v>
      </c>
      <c r="C19" s="6">
        <f>INDEX(KPIDATA,ROWS($A$19:A19),$B$12+1)</f>
        <v>0.38</v>
      </c>
      <c r="M19" s="1">
        <f>IF(B19&gt;0.5,IF(C19&gt;0.5,3,5),IF(C19&gt;0.5,2,4))</f>
        <v>5</v>
      </c>
      <c r="N19" s="1" t="b">
        <f>IF($B$14=1,TRUE,IF($B$14=M19,TRUE,FALSE))</f>
        <v>0</v>
      </c>
      <c r="O19" s="1" t="str">
        <f>IF(N19,ROWS($N$19:N19),"")</f>
        <v/>
      </c>
      <c r="P19" s="1">
        <f>IFERROR(SMALL($O$19:$O$118,ROWS($O$19:O19)),"")</f>
        <v>3</v>
      </c>
      <c r="Q19" s="1" t="str">
        <f>IFERROR(INDEX($A$19:$A$118,P19),"")</f>
        <v>Comp 3</v>
      </c>
      <c r="R19" s="23">
        <f>IFERROR(INDEX(KPIDATA,MATCH(Q19,Table1[Company],0),2),"")</f>
        <v>0.61</v>
      </c>
      <c r="S19" s="23">
        <f>IFERROR(INDEX(KPIDATA,MATCH(Q19,Table1[Company],0),3),"")</f>
        <v>0.21</v>
      </c>
      <c r="T19" s="23">
        <f>IFERROR(INDEX(KPIDATA,MATCH(Q19,Table1[Company],0),4),"")</f>
        <v>0.47</v>
      </c>
      <c r="U19" s="23">
        <f>IFERROR(INDEX(KPIDATA,MATCH(Q19,Table1[Company],0),5),"")</f>
        <v>0.12</v>
      </c>
      <c r="W19" s="1" t="s">
        <v>152</v>
      </c>
      <c r="X19" s="23">
        <v>0.5</v>
      </c>
      <c r="Y19" s="23">
        <v>0.5</v>
      </c>
      <c r="Z19" s="23">
        <v>0.5</v>
      </c>
      <c r="AA19" s="23">
        <v>0.5</v>
      </c>
    </row>
    <row r="20" spans="1:27" x14ac:dyDescent="0.25">
      <c r="A20" t="s">
        <v>25</v>
      </c>
      <c r="B20" s="6">
        <f>INDEX(KPIDATA,ROWS($A$19:A20),$B$11+1)</f>
        <v>0.66</v>
      </c>
      <c r="C20" s="6">
        <f>INDEX(KPIDATA,ROWS($A$19:A20),$B$12+1)</f>
        <v>0.46</v>
      </c>
      <c r="E20" s="58" t="s">
        <v>132</v>
      </c>
      <c r="F20" s="58"/>
      <c r="G20" s="58"/>
      <c r="M20" s="1">
        <f t="shared" ref="M20:M83" si="0">IF(B20&gt;0.5,IF(C20&gt;0.5,3,5),IF(C20&gt;0.5,2,4))</f>
        <v>5</v>
      </c>
      <c r="N20" s="1" t="b">
        <f t="shared" ref="N20:N83" si="1">IF($B$14=1,TRUE,IF($B$14=M20,TRUE,FALSE))</f>
        <v>0</v>
      </c>
      <c r="O20" s="1" t="str">
        <f>IF(N20,ROWS($N$19:N20),"")</f>
        <v/>
      </c>
      <c r="P20" s="1">
        <f>IFERROR(SMALL($O$19:$O$118,ROWS($O$19:O20)),"")</f>
        <v>4</v>
      </c>
      <c r="Q20" s="1" t="str">
        <f t="shared" ref="Q20:Q83" si="2">IFERROR(INDEX($A$19:$A$118,P20),"")</f>
        <v>Comp 4</v>
      </c>
      <c r="R20" s="23">
        <f>IFERROR(INDEX(KPIDATA,MATCH(Q20,Table1[Company],0),2),"")</f>
        <v>0.61</v>
      </c>
      <c r="S20" s="23">
        <f>IFERROR(INDEX(KPIDATA,MATCH(Q20,Table1[Company],0),3),"")</f>
        <v>0.21</v>
      </c>
      <c r="T20" s="23">
        <f>IFERROR(INDEX(KPIDATA,MATCH(Q20,Table1[Company],0),4),"")</f>
        <v>0.12</v>
      </c>
      <c r="U20" s="23">
        <f>IFERROR(INDEX(KPIDATA,MATCH(Q20,Table1[Company],0),5),"")</f>
        <v>0.68</v>
      </c>
      <c r="W20" s="1" t="s">
        <v>153</v>
      </c>
      <c r="X20" s="23">
        <v>0.3</v>
      </c>
      <c r="Y20" s="23">
        <v>0.3</v>
      </c>
      <c r="Z20" s="23">
        <v>0.3</v>
      </c>
      <c r="AA20" s="23">
        <v>0.3</v>
      </c>
    </row>
    <row r="21" spans="1:27" x14ac:dyDescent="0.25">
      <c r="A21" t="s">
        <v>26</v>
      </c>
      <c r="B21" s="6">
        <f>INDEX(KPIDATA,ROWS($A$19:A21),$B$11+1)</f>
        <v>0.21</v>
      </c>
      <c r="C21" s="6">
        <f>INDEX(KPIDATA,ROWS($A$19:A21),$B$12+1)</f>
        <v>0.61</v>
      </c>
      <c r="E21" s="1" t="str">
        <f>Dashboard2!H21</f>
        <v>Comp 17</v>
      </c>
      <c r="F21" s="22">
        <f>VLOOKUP(E21,$A$19:$C$118,2,0)</f>
        <v>0.54</v>
      </c>
      <c r="G21" s="22">
        <f>VLOOKUP(E21,$A$19:$C$118,3,0)</f>
        <v>0.23</v>
      </c>
      <c r="M21" s="1">
        <f t="shared" si="0"/>
        <v>2</v>
      </c>
      <c r="N21" s="1" t="b">
        <f t="shared" si="1"/>
        <v>1</v>
      </c>
      <c r="O21" s="1">
        <f>IF(N21,ROWS($N$19:N21),"")</f>
        <v>3</v>
      </c>
      <c r="P21" s="1">
        <f>IFERROR(SMALL($O$19:$O$118,ROWS($O$19:O21)),"")</f>
        <v>5</v>
      </c>
      <c r="Q21" s="1" t="str">
        <f t="shared" si="2"/>
        <v>Comp 5</v>
      </c>
      <c r="R21" s="23">
        <f>IFERROR(INDEX(KPIDATA,MATCH(Q21,Table1[Company],0),2),"")</f>
        <v>0.78</v>
      </c>
      <c r="S21" s="23">
        <f>IFERROR(INDEX(KPIDATA,MATCH(Q21,Table1[Company],0),3),"")</f>
        <v>0.47</v>
      </c>
      <c r="T21" s="23">
        <f>IFERROR(INDEX(KPIDATA,MATCH(Q21,Table1[Company],0),4),"")</f>
        <v>0.25</v>
      </c>
      <c r="U21" s="23">
        <f>IFERROR(INDEX(KPIDATA,MATCH(Q21,Table1[Company],0),5),"")</f>
        <v>0.43</v>
      </c>
      <c r="W21" s="1" t="s">
        <v>154</v>
      </c>
      <c r="X21" s="23">
        <v>0.2</v>
      </c>
      <c r="Y21" s="23">
        <v>0.2</v>
      </c>
      <c r="Z21" s="23">
        <v>0.2</v>
      </c>
      <c r="AA21" s="23">
        <v>0.2</v>
      </c>
    </row>
    <row r="22" spans="1:27" x14ac:dyDescent="0.25">
      <c r="A22" t="s">
        <v>27</v>
      </c>
      <c r="B22" s="6">
        <f>INDEX(KPIDATA,ROWS($A$19:A22),$B$11+1)</f>
        <v>0.21</v>
      </c>
      <c r="C22" s="6">
        <f>INDEX(KPIDATA,ROWS($A$19:A22),$B$12+1)</f>
        <v>0.61</v>
      </c>
      <c r="M22" s="1">
        <f t="shared" si="0"/>
        <v>2</v>
      </c>
      <c r="N22" s="1" t="b">
        <f t="shared" si="1"/>
        <v>1</v>
      </c>
      <c r="O22" s="1">
        <f>IF(N22,ROWS($N$19:N22),"")</f>
        <v>4</v>
      </c>
      <c r="P22" s="1">
        <f>IFERROR(SMALL($O$19:$O$118,ROWS($O$19:O22)),"")</f>
        <v>12</v>
      </c>
      <c r="Q22" s="1" t="str">
        <f t="shared" si="2"/>
        <v>Comp 12</v>
      </c>
      <c r="R22" s="23">
        <f>IFERROR(INDEX(KPIDATA,MATCH(Q22,Table1[Company],0),2),"")</f>
        <v>0.76</v>
      </c>
      <c r="S22" s="23">
        <f>IFERROR(INDEX(KPIDATA,MATCH(Q22,Table1[Company],0),3),"")</f>
        <v>0.24</v>
      </c>
      <c r="T22" s="23">
        <f>IFERROR(INDEX(KPIDATA,MATCH(Q22,Table1[Company],0),4),"")</f>
        <v>0.22</v>
      </c>
      <c r="U22" s="23">
        <f>IFERROR(INDEX(KPIDATA,MATCH(Q22,Table1[Company],0),5),"")</f>
        <v>0.51</v>
      </c>
      <c r="W22" s="1" t="str">
        <f>Dashboard2!H21</f>
        <v>Comp 17</v>
      </c>
      <c r="X22" s="23">
        <f>VLOOKUP($W$22,KPIDATA,2,0)</f>
        <v>0.23</v>
      </c>
      <c r="Y22" s="23">
        <f>VLOOKUP($W$22,KPIDATA,3,0)</f>
        <v>0.54</v>
      </c>
      <c r="Z22" s="23">
        <f>VLOOKUP($W$22,KPIDATA,4,0)</f>
        <v>0.82</v>
      </c>
      <c r="AA22" s="23">
        <f>VLOOKUP($W$22,KPIDATA,5,0)</f>
        <v>0.76</v>
      </c>
    </row>
    <row r="23" spans="1:27" ht="15.75" thickBot="1" x14ac:dyDescent="0.3">
      <c r="A23" t="s">
        <v>28</v>
      </c>
      <c r="B23" s="6">
        <f>INDEX(KPIDATA,ROWS($A$19:A23),$B$11+1)</f>
        <v>0.47</v>
      </c>
      <c r="C23" s="6">
        <f>INDEX(KPIDATA,ROWS($A$19:A23),$B$12+1)</f>
        <v>0.78</v>
      </c>
      <c r="E23" s="19" t="s">
        <v>133</v>
      </c>
      <c r="F23" s="19" t="s">
        <v>134</v>
      </c>
      <c r="G23" s="19" t="s">
        <v>135</v>
      </c>
      <c r="H23" s="19" t="s">
        <v>136</v>
      </c>
      <c r="J23" s="59" t="s">
        <v>137</v>
      </c>
      <c r="K23" s="59"/>
      <c r="M23" s="1">
        <f t="shared" si="0"/>
        <v>2</v>
      </c>
      <c r="N23" s="1" t="b">
        <f t="shared" si="1"/>
        <v>1</v>
      </c>
      <c r="O23" s="1">
        <f>IF(N23,ROWS($N$19:N23),"")</f>
        <v>5</v>
      </c>
      <c r="P23" s="1">
        <f>IFERROR(SMALL($O$19:$O$118,ROWS($O$19:O23)),"")</f>
        <v>14</v>
      </c>
      <c r="Q23" s="1" t="str">
        <f t="shared" si="2"/>
        <v>Comp 14</v>
      </c>
      <c r="R23" s="23">
        <f>IFERROR(INDEX(KPIDATA,MATCH(Q23,Table1[Company],0),2),"")</f>
        <v>0.85</v>
      </c>
      <c r="S23" s="23">
        <f>IFERROR(INDEX(KPIDATA,MATCH(Q23,Table1[Company],0),3),"")</f>
        <v>0.5</v>
      </c>
      <c r="T23" s="23">
        <f>IFERROR(INDEX(KPIDATA,MATCH(Q23,Table1[Company],0),4),"")</f>
        <v>0.84</v>
      </c>
      <c r="U23" s="23">
        <f>IFERROR(INDEX(KPIDATA,MATCH(Q23,Table1[Company],0),5),"")</f>
        <v>0.93</v>
      </c>
      <c r="W23" s="1" t="s">
        <v>155</v>
      </c>
      <c r="X23" s="23">
        <f>AVERAGE(Table1[KPI-1])</f>
        <v>0.56640000000000001</v>
      </c>
      <c r="Y23" s="23">
        <f>AVERAGE(Table1[KPI-2])</f>
        <v>0.52840000000000042</v>
      </c>
      <c r="Z23" s="23">
        <f>AVERAGE(Table1[KPI-3])</f>
        <v>0.53530000000000011</v>
      </c>
      <c r="AA23" s="23">
        <f>AVERAGE(Table1[KPI-4])</f>
        <v>0.55940000000000001</v>
      </c>
    </row>
    <row r="24" spans="1:27" ht="45" customHeight="1" thickBot="1" x14ac:dyDescent="0.3">
      <c r="A24" t="s">
        <v>29</v>
      </c>
      <c r="B24" s="6">
        <f>INDEX(KPIDATA,ROWS($A$19:A24),$B$11+1)</f>
        <v>0.84</v>
      </c>
      <c r="C24" s="6">
        <f>INDEX(KPIDATA,ROWS($A$19:A24),$B$12+1)</f>
        <v>0.13</v>
      </c>
      <c r="E24" s="20" t="str">
        <f>E21&amp;"  Lags in both the KPI's"</f>
        <v>Comp 17  Lags in both the KPI's</v>
      </c>
      <c r="F24" s="20" t="str">
        <f>E21&amp;" Lags its Peers in "&amp;INDEX($A$2:$A$5,$B$12)&amp;" however it outperforms in "&amp;INDEX($A$2:$A$5,$B$11)</f>
        <v>Comp 17 Lags its Peers in KPI-1 however it outperforms in KPI-2</v>
      </c>
      <c r="G24" s="20"/>
      <c r="H24" s="20"/>
      <c r="J24" s="55" t="str">
        <f>IF(F21&gt;0.5,IF(G21&gt;0.5,G24,F24),IF(G21&gt;0.5,H24,E24))</f>
        <v>Comp 17 Lags its Peers in KPI-1 however it outperforms in KPI-2</v>
      </c>
      <c r="K24" s="57"/>
      <c r="M24" s="1">
        <f t="shared" si="0"/>
        <v>5</v>
      </c>
      <c r="N24" s="1" t="b">
        <f t="shared" si="1"/>
        <v>0</v>
      </c>
      <c r="O24" s="1" t="str">
        <f>IF(N24,ROWS($N$19:N24),"")</f>
        <v/>
      </c>
      <c r="P24" s="1">
        <f>IFERROR(SMALL($O$19:$O$118,ROWS($O$19:O24)),"")</f>
        <v>24</v>
      </c>
      <c r="Q24" s="1" t="str">
        <f t="shared" si="2"/>
        <v>Comp 24</v>
      </c>
      <c r="R24" s="23">
        <f>IFERROR(INDEX(KPIDATA,MATCH(Q24,Table1[Company],0),2),"")</f>
        <v>0.88</v>
      </c>
      <c r="S24" s="23">
        <f>IFERROR(INDEX(KPIDATA,MATCH(Q24,Table1[Company],0),3),"")</f>
        <v>0.44</v>
      </c>
      <c r="T24" s="23">
        <f>IFERROR(INDEX(KPIDATA,MATCH(Q24,Table1[Company],0),4),"")</f>
        <v>0.89</v>
      </c>
      <c r="U24" s="23">
        <f>IFERROR(INDEX(KPIDATA,MATCH(Q24,Table1[Company],0),5),"")</f>
        <v>0.47</v>
      </c>
    </row>
    <row r="25" spans="1:27" x14ac:dyDescent="0.25">
      <c r="A25" t="s">
        <v>30</v>
      </c>
      <c r="B25" s="6">
        <f>INDEX(KPIDATA,ROWS($A$19:A25),$B$11+1)</f>
        <v>0.6</v>
      </c>
      <c r="C25" s="6">
        <f>INDEX(KPIDATA,ROWS($A$19:A25),$B$12+1)</f>
        <v>0.37</v>
      </c>
      <c r="M25" s="1">
        <f t="shared" si="0"/>
        <v>5</v>
      </c>
      <c r="N25" s="1" t="b">
        <f t="shared" si="1"/>
        <v>0</v>
      </c>
      <c r="O25" s="1" t="str">
        <f>IF(N25,ROWS($N$19:N25),"")</f>
        <v/>
      </c>
      <c r="P25" s="1">
        <f>IFERROR(SMALL($O$19:$O$118,ROWS($O$19:O25)),"")</f>
        <v>28</v>
      </c>
      <c r="Q25" s="1" t="str">
        <f t="shared" si="2"/>
        <v>Comp 28</v>
      </c>
      <c r="R25" s="23">
        <f>IFERROR(INDEX(KPIDATA,MATCH(Q25,Table1[Company],0),2),"")</f>
        <v>0.56000000000000005</v>
      </c>
      <c r="S25" s="23">
        <f>IFERROR(INDEX(KPIDATA,MATCH(Q25,Table1[Company],0),3),"")</f>
        <v>0.27</v>
      </c>
      <c r="T25" s="23">
        <f>IFERROR(INDEX(KPIDATA,MATCH(Q25,Table1[Company],0),4),"")</f>
        <v>0.52</v>
      </c>
      <c r="U25" s="23">
        <f>IFERROR(INDEX(KPIDATA,MATCH(Q25,Table1[Company],0),5),"")</f>
        <v>0.75</v>
      </c>
    </row>
    <row r="26" spans="1:27" x14ac:dyDescent="0.25">
      <c r="A26" t="s">
        <v>31</v>
      </c>
      <c r="B26" s="6">
        <f>INDEX(KPIDATA,ROWS($A$19:A26),$B$11+1)</f>
        <v>0.93</v>
      </c>
      <c r="C26" s="6">
        <f>INDEX(KPIDATA,ROWS($A$19:A26),$B$12+1)</f>
        <v>0.95</v>
      </c>
      <c r="M26" s="1">
        <f t="shared" si="0"/>
        <v>3</v>
      </c>
      <c r="N26" s="1" t="b">
        <f t="shared" si="1"/>
        <v>0</v>
      </c>
      <c r="O26" s="1" t="str">
        <f>IF(N26,ROWS($N$19:N26),"")</f>
        <v/>
      </c>
      <c r="P26" s="1">
        <f>IFERROR(SMALL($O$19:$O$118,ROWS($O$19:O26)),"")</f>
        <v>30</v>
      </c>
      <c r="Q26" s="1" t="str">
        <f t="shared" si="2"/>
        <v>Comp 30</v>
      </c>
      <c r="R26" s="23">
        <f>IFERROR(INDEX(KPIDATA,MATCH(Q26,Table1[Company],0),2),"")</f>
        <v>0.61</v>
      </c>
      <c r="S26" s="23">
        <f>IFERROR(INDEX(KPIDATA,MATCH(Q26,Table1[Company],0),3),"")</f>
        <v>0.2</v>
      </c>
      <c r="T26" s="23">
        <f>IFERROR(INDEX(KPIDATA,MATCH(Q26,Table1[Company],0),4),"")</f>
        <v>0.7</v>
      </c>
      <c r="U26" s="23">
        <f>IFERROR(INDEX(KPIDATA,MATCH(Q26,Table1[Company],0),5),"")</f>
        <v>0.77</v>
      </c>
    </row>
    <row r="27" spans="1:27" x14ac:dyDescent="0.25">
      <c r="A27" t="s">
        <v>32</v>
      </c>
      <c r="B27" s="6">
        <f>INDEX(KPIDATA,ROWS($A$19:A27),$B$11+1)</f>
        <v>0.26</v>
      </c>
      <c r="C27" s="6">
        <f>INDEX(KPIDATA,ROWS($A$19:A27),$B$12+1)</f>
        <v>0.49</v>
      </c>
      <c r="M27" s="1">
        <f t="shared" si="0"/>
        <v>4</v>
      </c>
      <c r="N27" s="1" t="b">
        <f t="shared" si="1"/>
        <v>0</v>
      </c>
      <c r="O27" s="1" t="str">
        <f>IF(N27,ROWS($N$19:N27),"")</f>
        <v/>
      </c>
      <c r="P27" s="1">
        <f>IFERROR(SMALL($O$19:$O$118,ROWS($O$19:O27)),"")</f>
        <v>35</v>
      </c>
      <c r="Q27" s="1" t="str">
        <f t="shared" si="2"/>
        <v>Comp 35</v>
      </c>
      <c r="R27" s="23">
        <f>IFERROR(INDEX(KPIDATA,MATCH(Q27,Table1[Company],0),2),"")</f>
        <v>0.62</v>
      </c>
      <c r="S27" s="23">
        <f>IFERROR(INDEX(KPIDATA,MATCH(Q27,Table1[Company],0),3),"")</f>
        <v>0.34</v>
      </c>
      <c r="T27" s="23">
        <f>IFERROR(INDEX(KPIDATA,MATCH(Q27,Table1[Company],0),4),"")</f>
        <v>0.44</v>
      </c>
      <c r="U27" s="23">
        <f>IFERROR(INDEX(KPIDATA,MATCH(Q27,Table1[Company],0),5),"")</f>
        <v>0.36</v>
      </c>
    </row>
    <row r="28" spans="1:27" x14ac:dyDescent="0.25">
      <c r="A28" t="s">
        <v>33</v>
      </c>
      <c r="B28" s="6">
        <f>INDEX(KPIDATA,ROWS($A$19:A28),$B$11+1)</f>
        <v>0.86</v>
      </c>
      <c r="C28" s="6">
        <f>INDEX(KPIDATA,ROWS($A$19:A28),$B$12+1)</f>
        <v>0.82</v>
      </c>
      <c r="M28" s="1">
        <f t="shared" si="0"/>
        <v>3</v>
      </c>
      <c r="N28" s="1" t="b">
        <f t="shared" si="1"/>
        <v>0</v>
      </c>
      <c r="O28" s="1" t="str">
        <f>IF(N28,ROWS($N$19:N28),"")</f>
        <v/>
      </c>
      <c r="P28" s="1">
        <f>IFERROR(SMALL($O$19:$O$118,ROWS($O$19:O28)),"")</f>
        <v>36</v>
      </c>
      <c r="Q28" s="1" t="str">
        <f t="shared" si="2"/>
        <v>Comp 36</v>
      </c>
      <c r="R28" s="23">
        <f>IFERROR(INDEX(KPIDATA,MATCH(Q28,Table1[Company],0),2),"")</f>
        <v>0.57999999999999996</v>
      </c>
      <c r="S28" s="23">
        <f>IFERROR(INDEX(KPIDATA,MATCH(Q28,Table1[Company],0),3),"")</f>
        <v>0.39</v>
      </c>
      <c r="T28" s="23">
        <f>IFERROR(INDEX(KPIDATA,MATCH(Q28,Table1[Company],0),4),"")</f>
        <v>0.45</v>
      </c>
      <c r="U28" s="23">
        <f>IFERROR(INDEX(KPIDATA,MATCH(Q28,Table1[Company],0),5),"")</f>
        <v>0.71</v>
      </c>
    </row>
    <row r="29" spans="1:27" x14ac:dyDescent="0.25">
      <c r="A29" t="s">
        <v>34</v>
      </c>
      <c r="B29" s="6">
        <f>INDEX(KPIDATA,ROWS($A$19:A29),$B$11+1)</f>
        <v>0.64</v>
      </c>
      <c r="C29" s="6">
        <f>INDEX(KPIDATA,ROWS($A$19:A29),$B$12+1)</f>
        <v>0.62</v>
      </c>
      <c r="M29" s="1">
        <f t="shared" si="0"/>
        <v>3</v>
      </c>
      <c r="N29" s="1" t="b">
        <f t="shared" si="1"/>
        <v>0</v>
      </c>
      <c r="O29" s="1" t="str">
        <f>IF(N29,ROWS($N$19:N29),"")</f>
        <v/>
      </c>
      <c r="P29" s="1">
        <f>IFERROR(SMALL($O$19:$O$118,ROWS($O$19:O29)),"")</f>
        <v>42</v>
      </c>
      <c r="Q29" s="1" t="str">
        <f t="shared" si="2"/>
        <v>Comp 42</v>
      </c>
      <c r="R29" s="23">
        <f>IFERROR(INDEX(KPIDATA,MATCH(Q29,Table1[Company],0),2),"")</f>
        <v>0.94</v>
      </c>
      <c r="S29" s="23">
        <f>IFERROR(INDEX(KPIDATA,MATCH(Q29,Table1[Company],0),3),"")</f>
        <v>0.2</v>
      </c>
      <c r="T29" s="23">
        <f>IFERROR(INDEX(KPIDATA,MATCH(Q29,Table1[Company],0),4),"")</f>
        <v>0.18</v>
      </c>
      <c r="U29" s="23">
        <f>IFERROR(INDEX(KPIDATA,MATCH(Q29,Table1[Company],0),5),"")</f>
        <v>0.94</v>
      </c>
    </row>
    <row r="30" spans="1:27" x14ac:dyDescent="0.25">
      <c r="A30" t="s">
        <v>35</v>
      </c>
      <c r="B30" s="6">
        <f>INDEX(KPIDATA,ROWS($A$19:A30),$B$11+1)</f>
        <v>0.24</v>
      </c>
      <c r="C30" s="6">
        <f>INDEX(KPIDATA,ROWS($A$19:A30),$B$12+1)</f>
        <v>0.76</v>
      </c>
      <c r="M30" s="1">
        <f t="shared" si="0"/>
        <v>2</v>
      </c>
      <c r="N30" s="1" t="b">
        <f t="shared" si="1"/>
        <v>1</v>
      </c>
      <c r="O30" s="1">
        <f>IF(N30,ROWS($N$19:N30),"")</f>
        <v>12</v>
      </c>
      <c r="P30" s="1">
        <f>IFERROR(SMALL($O$19:$O$118,ROWS($O$19:O30)),"")</f>
        <v>46</v>
      </c>
      <c r="Q30" s="1" t="str">
        <f t="shared" si="2"/>
        <v>Comp 46</v>
      </c>
      <c r="R30" s="23">
        <f>IFERROR(INDEX(KPIDATA,MATCH(Q30,Table1[Company],0),2),"")</f>
        <v>0.84</v>
      </c>
      <c r="S30" s="23">
        <f>IFERROR(INDEX(KPIDATA,MATCH(Q30,Table1[Company],0),3),"")</f>
        <v>0.21</v>
      </c>
      <c r="T30" s="23">
        <f>IFERROR(INDEX(KPIDATA,MATCH(Q30,Table1[Company],0),4),"")</f>
        <v>0.74</v>
      </c>
      <c r="U30" s="23">
        <f>IFERROR(INDEX(KPIDATA,MATCH(Q30,Table1[Company],0),5),"")</f>
        <v>0.69</v>
      </c>
    </row>
    <row r="31" spans="1:27" x14ac:dyDescent="0.25">
      <c r="A31" t="s">
        <v>36</v>
      </c>
      <c r="B31" s="6">
        <f>INDEX(KPIDATA,ROWS($A$19:A31),$B$11+1)</f>
        <v>0.52</v>
      </c>
      <c r="C31" s="6">
        <f>INDEX(KPIDATA,ROWS($A$19:A31),$B$12+1)</f>
        <v>0.35</v>
      </c>
      <c r="M31" s="1">
        <f t="shared" si="0"/>
        <v>5</v>
      </c>
      <c r="N31" s="1" t="b">
        <f t="shared" si="1"/>
        <v>0</v>
      </c>
      <c r="O31" s="1" t="str">
        <f>IF(N31,ROWS($N$19:N31),"")</f>
        <v/>
      </c>
      <c r="P31" s="1">
        <f>IFERROR(SMALL($O$19:$O$118,ROWS($O$19:O31)),"")</f>
        <v>47</v>
      </c>
      <c r="Q31" s="1" t="str">
        <f t="shared" si="2"/>
        <v>Comp 47</v>
      </c>
      <c r="R31" s="23">
        <f>IFERROR(INDEX(KPIDATA,MATCH(Q31,Table1[Company],0),2),"")</f>
        <v>0.82</v>
      </c>
      <c r="S31" s="23">
        <f>IFERROR(INDEX(KPIDATA,MATCH(Q31,Table1[Company],0),3),"")</f>
        <v>0.44</v>
      </c>
      <c r="T31" s="23">
        <f>IFERROR(INDEX(KPIDATA,MATCH(Q31,Table1[Company],0),4),"")</f>
        <v>0.95</v>
      </c>
      <c r="U31" s="23">
        <f>IFERROR(INDEX(KPIDATA,MATCH(Q31,Table1[Company],0),5),"")</f>
        <v>0.79</v>
      </c>
    </row>
    <row r="32" spans="1:27" x14ac:dyDescent="0.25">
      <c r="A32" t="s">
        <v>37</v>
      </c>
      <c r="B32" s="6">
        <f>INDEX(KPIDATA,ROWS($A$19:A32),$B$11+1)</f>
        <v>0.5</v>
      </c>
      <c r="C32" s="6">
        <f>INDEX(KPIDATA,ROWS($A$19:A32),$B$12+1)</f>
        <v>0.85</v>
      </c>
      <c r="M32" s="1">
        <f t="shared" si="0"/>
        <v>2</v>
      </c>
      <c r="N32" s="1" t="b">
        <f t="shared" si="1"/>
        <v>1</v>
      </c>
      <c r="O32" s="1">
        <f>IF(N32,ROWS($N$19:N32),"")</f>
        <v>14</v>
      </c>
      <c r="P32" s="1">
        <f>IFERROR(SMALL($O$19:$O$118,ROWS($O$19:O32)),"")</f>
        <v>48</v>
      </c>
      <c r="Q32" s="1" t="str">
        <f t="shared" si="2"/>
        <v>Comp 48</v>
      </c>
      <c r="R32" s="23">
        <f>IFERROR(INDEX(KPIDATA,MATCH(Q32,Table1[Company],0),2),"")</f>
        <v>0.74</v>
      </c>
      <c r="S32" s="23">
        <f>IFERROR(INDEX(KPIDATA,MATCH(Q32,Table1[Company],0),3),"")</f>
        <v>0.37</v>
      </c>
      <c r="T32" s="23">
        <f>IFERROR(INDEX(KPIDATA,MATCH(Q32,Table1[Company],0),4),"")</f>
        <v>0.75</v>
      </c>
      <c r="U32" s="23">
        <f>IFERROR(INDEX(KPIDATA,MATCH(Q32,Table1[Company],0),5),"")</f>
        <v>0.12</v>
      </c>
    </row>
    <row r="33" spans="1:21" x14ac:dyDescent="0.25">
      <c r="A33" t="s">
        <v>38</v>
      </c>
      <c r="B33" s="6">
        <f>INDEX(KPIDATA,ROWS($A$19:A33),$B$11+1)</f>
        <v>0.83</v>
      </c>
      <c r="C33" s="6">
        <f>INDEX(KPIDATA,ROWS($A$19:A33),$B$12+1)</f>
        <v>0.92</v>
      </c>
      <c r="M33" s="1">
        <f t="shared" si="0"/>
        <v>3</v>
      </c>
      <c r="N33" s="1" t="b">
        <f t="shared" si="1"/>
        <v>0</v>
      </c>
      <c r="O33" s="1" t="str">
        <f>IF(N33,ROWS($N$19:N33),"")</f>
        <v/>
      </c>
      <c r="P33" s="1">
        <f>IFERROR(SMALL($O$19:$O$118,ROWS($O$19:O33)),"")</f>
        <v>49</v>
      </c>
      <c r="Q33" s="1" t="str">
        <f t="shared" si="2"/>
        <v>Comp 49</v>
      </c>
      <c r="R33" s="23">
        <f>IFERROR(INDEX(KPIDATA,MATCH(Q33,Table1[Company],0),2),"")</f>
        <v>0.82</v>
      </c>
      <c r="S33" s="23">
        <f>IFERROR(INDEX(KPIDATA,MATCH(Q33,Table1[Company],0),3),"")</f>
        <v>0.18</v>
      </c>
      <c r="T33" s="23">
        <f>IFERROR(INDEX(KPIDATA,MATCH(Q33,Table1[Company],0),4),"")</f>
        <v>0.94</v>
      </c>
      <c r="U33" s="23">
        <f>IFERROR(INDEX(KPIDATA,MATCH(Q33,Table1[Company],0),5),"")</f>
        <v>0.68</v>
      </c>
    </row>
    <row r="34" spans="1:21" x14ac:dyDescent="0.25">
      <c r="A34" t="s">
        <v>39</v>
      </c>
      <c r="B34" s="6">
        <f>INDEX(KPIDATA,ROWS($A$19:A34),$B$11+1)</f>
        <v>0.78</v>
      </c>
      <c r="C34" s="6">
        <f>INDEX(KPIDATA,ROWS($A$19:A34),$B$12+1)</f>
        <v>0.95</v>
      </c>
      <c r="M34" s="1">
        <f t="shared" si="0"/>
        <v>3</v>
      </c>
      <c r="N34" s="1" t="b">
        <f t="shared" si="1"/>
        <v>0</v>
      </c>
      <c r="O34" s="1" t="str">
        <f>IF(N34,ROWS($N$19:N34),"")</f>
        <v/>
      </c>
      <c r="P34" s="1">
        <f>IFERROR(SMALL($O$19:$O$118,ROWS($O$19:O34)),"")</f>
        <v>54</v>
      </c>
      <c r="Q34" s="1" t="str">
        <f t="shared" si="2"/>
        <v>Comp 54</v>
      </c>
      <c r="R34" s="23">
        <f>IFERROR(INDEX(KPIDATA,MATCH(Q34,Table1[Company],0),2),"")</f>
        <v>0.75</v>
      </c>
      <c r="S34" s="23">
        <f>IFERROR(INDEX(KPIDATA,MATCH(Q34,Table1[Company],0),3),"")</f>
        <v>0.4</v>
      </c>
      <c r="T34" s="23">
        <f>IFERROR(INDEX(KPIDATA,MATCH(Q34,Table1[Company],0),4),"")</f>
        <v>0.66</v>
      </c>
      <c r="U34" s="23">
        <f>IFERROR(INDEX(KPIDATA,MATCH(Q34,Table1[Company],0),5),"")</f>
        <v>0.2</v>
      </c>
    </row>
    <row r="35" spans="1:21" x14ac:dyDescent="0.25">
      <c r="A35" t="s">
        <v>40</v>
      </c>
      <c r="B35" s="6">
        <f>INDEX(KPIDATA,ROWS($A$19:A35),$B$11+1)</f>
        <v>0.54</v>
      </c>
      <c r="C35" s="6">
        <f>INDEX(KPIDATA,ROWS($A$19:A35),$B$12+1)</f>
        <v>0.23</v>
      </c>
      <c r="M35" s="1">
        <f t="shared" si="0"/>
        <v>5</v>
      </c>
      <c r="N35" s="1" t="b">
        <f t="shared" si="1"/>
        <v>0</v>
      </c>
      <c r="O35" s="1" t="str">
        <f>IF(N35,ROWS($N$19:N35),"")</f>
        <v/>
      </c>
      <c r="P35" s="1">
        <f>IFERROR(SMALL($O$19:$O$118,ROWS($O$19:O35)),"")</f>
        <v>66</v>
      </c>
      <c r="Q35" s="1" t="str">
        <f t="shared" si="2"/>
        <v>Comp 66</v>
      </c>
      <c r="R35" s="23">
        <f>IFERROR(INDEX(KPIDATA,MATCH(Q35,Table1[Company],0),2),"")</f>
        <v>0.73</v>
      </c>
      <c r="S35" s="23">
        <f>IFERROR(INDEX(KPIDATA,MATCH(Q35,Table1[Company],0),3),"")</f>
        <v>0.17</v>
      </c>
      <c r="T35" s="23">
        <f>IFERROR(INDEX(KPIDATA,MATCH(Q35,Table1[Company],0),4),"")</f>
        <v>0.96</v>
      </c>
      <c r="U35" s="23">
        <f>IFERROR(INDEX(KPIDATA,MATCH(Q35,Table1[Company],0),5),"")</f>
        <v>0.41</v>
      </c>
    </row>
    <row r="36" spans="1:21" x14ac:dyDescent="0.25">
      <c r="A36" t="s">
        <v>41</v>
      </c>
      <c r="B36" s="6">
        <f>INDEX(KPIDATA,ROWS($A$19:A36),$B$11+1)</f>
        <v>0.25</v>
      </c>
      <c r="C36" s="6">
        <f>INDEX(KPIDATA,ROWS($A$19:A36),$B$12+1)</f>
        <v>0.22</v>
      </c>
      <c r="M36" s="1">
        <f t="shared" si="0"/>
        <v>4</v>
      </c>
      <c r="N36" s="1" t="b">
        <f t="shared" si="1"/>
        <v>0</v>
      </c>
      <c r="O36" s="1" t="str">
        <f>IF(N36,ROWS($N$19:N36),"")</f>
        <v/>
      </c>
      <c r="P36" s="1">
        <f>IFERROR(SMALL($O$19:$O$118,ROWS($O$19:O36)),"")</f>
        <v>70</v>
      </c>
      <c r="Q36" s="1" t="str">
        <f t="shared" si="2"/>
        <v>Comp 70</v>
      </c>
      <c r="R36" s="23">
        <f>IFERROR(INDEX(KPIDATA,MATCH(Q36,Table1[Company],0),2),"")</f>
        <v>0.56999999999999995</v>
      </c>
      <c r="S36" s="23">
        <f>IFERROR(INDEX(KPIDATA,MATCH(Q36,Table1[Company],0),3),"")</f>
        <v>0.49</v>
      </c>
      <c r="T36" s="23">
        <f>IFERROR(INDEX(KPIDATA,MATCH(Q36,Table1[Company],0),4),"")</f>
        <v>0.25</v>
      </c>
      <c r="U36" s="23">
        <f>IFERROR(INDEX(KPIDATA,MATCH(Q36,Table1[Company],0),5),"")</f>
        <v>0.77</v>
      </c>
    </row>
    <row r="37" spans="1:21" x14ac:dyDescent="0.25">
      <c r="A37" t="s">
        <v>42</v>
      </c>
      <c r="B37" s="6">
        <f>INDEX(KPIDATA,ROWS($A$19:A37),$B$11+1)</f>
        <v>0.89</v>
      </c>
      <c r="C37" s="6">
        <f>INDEX(KPIDATA,ROWS($A$19:A37),$B$12+1)</f>
        <v>0.46</v>
      </c>
      <c r="M37" s="1">
        <f t="shared" si="0"/>
        <v>5</v>
      </c>
      <c r="N37" s="1" t="b">
        <f t="shared" si="1"/>
        <v>0</v>
      </c>
      <c r="O37" s="1" t="str">
        <f>IF(N37,ROWS($N$19:N37),"")</f>
        <v/>
      </c>
      <c r="P37" s="1">
        <f>IFERROR(SMALL($O$19:$O$118,ROWS($O$19:O37)),"")</f>
        <v>81</v>
      </c>
      <c r="Q37" s="1" t="str">
        <f t="shared" si="2"/>
        <v>Comp 81</v>
      </c>
      <c r="R37" s="23">
        <f>IFERROR(INDEX(KPIDATA,MATCH(Q37,Table1[Company],0),2),"")</f>
        <v>0.83</v>
      </c>
      <c r="S37" s="23">
        <f>IFERROR(INDEX(KPIDATA,MATCH(Q37,Table1[Company],0),3),"")</f>
        <v>0.42</v>
      </c>
      <c r="T37" s="23">
        <f>IFERROR(INDEX(KPIDATA,MATCH(Q37,Table1[Company],0),4),"")</f>
        <v>0.78</v>
      </c>
      <c r="U37" s="23">
        <f>IFERROR(INDEX(KPIDATA,MATCH(Q37,Table1[Company],0),5),"")</f>
        <v>0.33</v>
      </c>
    </row>
    <row r="38" spans="1:21" x14ac:dyDescent="0.25">
      <c r="A38" t="s">
        <v>43</v>
      </c>
      <c r="B38" s="6">
        <f>INDEX(KPIDATA,ROWS($A$19:A38),$B$11+1)</f>
        <v>0.38</v>
      </c>
      <c r="C38" s="6">
        <f>INDEX(KPIDATA,ROWS($A$19:A38),$B$12+1)</f>
        <v>0.45</v>
      </c>
      <c r="M38" s="1">
        <f t="shared" si="0"/>
        <v>4</v>
      </c>
      <c r="N38" s="1" t="b">
        <f t="shared" si="1"/>
        <v>0</v>
      </c>
      <c r="O38" s="1" t="str">
        <f>IF(N38,ROWS($N$19:N38),"")</f>
        <v/>
      </c>
      <c r="P38" s="1">
        <f>IFERROR(SMALL($O$19:$O$118,ROWS($O$19:O38)),"")</f>
        <v>82</v>
      </c>
      <c r="Q38" s="1" t="str">
        <f t="shared" si="2"/>
        <v>Comp 82</v>
      </c>
      <c r="R38" s="23">
        <f>IFERROR(INDEX(KPIDATA,MATCH(Q38,Table1[Company],0),2),"")</f>
        <v>0.75</v>
      </c>
      <c r="S38" s="23">
        <f>IFERROR(INDEX(KPIDATA,MATCH(Q38,Table1[Company],0),3),"")</f>
        <v>0.18</v>
      </c>
      <c r="T38" s="23">
        <f>IFERROR(INDEX(KPIDATA,MATCH(Q38,Table1[Company],0),4),"")</f>
        <v>0.91</v>
      </c>
      <c r="U38" s="23">
        <f>IFERROR(INDEX(KPIDATA,MATCH(Q38,Table1[Company],0),5),"")</f>
        <v>0.77</v>
      </c>
    </row>
    <row r="39" spans="1:21" x14ac:dyDescent="0.25">
      <c r="A39" t="s">
        <v>44</v>
      </c>
      <c r="B39" s="6">
        <f>INDEX(KPIDATA,ROWS($A$19:A39),$B$11+1)</f>
        <v>0.86</v>
      </c>
      <c r="C39" s="6">
        <f>INDEX(KPIDATA,ROWS($A$19:A39),$B$12+1)</f>
        <v>0.7</v>
      </c>
      <c r="M39" s="1">
        <f t="shared" si="0"/>
        <v>3</v>
      </c>
      <c r="N39" s="1" t="b">
        <f t="shared" si="1"/>
        <v>0</v>
      </c>
      <c r="O39" s="1" t="str">
        <f>IF(N39,ROWS($N$19:N39),"")</f>
        <v/>
      </c>
      <c r="P39" s="1">
        <f>IFERROR(SMALL($O$19:$O$118,ROWS($O$19:O39)),"")</f>
        <v>84</v>
      </c>
      <c r="Q39" s="1" t="str">
        <f t="shared" si="2"/>
        <v>Comp 84</v>
      </c>
      <c r="R39" s="23">
        <f>IFERROR(INDEX(KPIDATA,MATCH(Q39,Table1[Company],0),2),"")</f>
        <v>0.87</v>
      </c>
      <c r="S39" s="23">
        <f>IFERROR(INDEX(KPIDATA,MATCH(Q39,Table1[Company],0),3),"")</f>
        <v>0.17</v>
      </c>
      <c r="T39" s="23">
        <f>IFERROR(INDEX(KPIDATA,MATCH(Q39,Table1[Company],0),4),"")</f>
        <v>0.8</v>
      </c>
      <c r="U39" s="23">
        <f>IFERROR(INDEX(KPIDATA,MATCH(Q39,Table1[Company],0),5),"")</f>
        <v>0.49</v>
      </c>
    </row>
    <row r="40" spans="1:21" x14ac:dyDescent="0.25">
      <c r="A40" t="s">
        <v>45</v>
      </c>
      <c r="B40" s="6">
        <f>INDEX(KPIDATA,ROWS($A$19:A40),$B$11+1)</f>
        <v>0.41</v>
      </c>
      <c r="C40" s="6">
        <f>INDEX(KPIDATA,ROWS($A$19:A40),$B$12+1)</f>
        <v>0.5</v>
      </c>
      <c r="M40" s="1">
        <f t="shared" si="0"/>
        <v>4</v>
      </c>
      <c r="N40" s="1" t="b">
        <f t="shared" si="1"/>
        <v>0</v>
      </c>
      <c r="O40" s="1" t="str">
        <f>IF(N40,ROWS($N$19:N40),"")</f>
        <v/>
      </c>
      <c r="P40" s="1">
        <f>IFERROR(SMALL($O$19:$O$118,ROWS($O$19:O40)),"")</f>
        <v>85</v>
      </c>
      <c r="Q40" s="1" t="str">
        <f t="shared" si="2"/>
        <v>Comp 85</v>
      </c>
      <c r="R40" s="23">
        <f>IFERROR(INDEX(KPIDATA,MATCH(Q40,Table1[Company],0),2),"")</f>
        <v>0.85</v>
      </c>
      <c r="S40" s="23">
        <f>IFERROR(INDEX(KPIDATA,MATCH(Q40,Table1[Company],0),3),"")</f>
        <v>0.11</v>
      </c>
      <c r="T40" s="23">
        <f>IFERROR(INDEX(KPIDATA,MATCH(Q40,Table1[Company],0),4),"")</f>
        <v>0.14000000000000001</v>
      </c>
      <c r="U40" s="23">
        <f>IFERROR(INDEX(KPIDATA,MATCH(Q40,Table1[Company],0),5),"")</f>
        <v>0.4</v>
      </c>
    </row>
    <row r="41" spans="1:21" x14ac:dyDescent="0.25">
      <c r="A41" t="s">
        <v>46</v>
      </c>
      <c r="B41" s="6">
        <f>INDEX(KPIDATA,ROWS($A$19:A41),$B$11+1)</f>
        <v>0.17</v>
      </c>
      <c r="C41" s="6">
        <f>INDEX(KPIDATA,ROWS($A$19:A41),$B$12+1)</f>
        <v>0.41</v>
      </c>
      <c r="M41" s="1">
        <f t="shared" si="0"/>
        <v>4</v>
      </c>
      <c r="N41" s="1" t="b">
        <f t="shared" si="1"/>
        <v>0</v>
      </c>
      <c r="O41" s="1" t="str">
        <f>IF(N41,ROWS($N$19:N41),"")</f>
        <v/>
      </c>
      <c r="P41" s="1">
        <f>IFERROR(SMALL($O$19:$O$118,ROWS($O$19:O41)),"")</f>
        <v>96</v>
      </c>
      <c r="Q41" s="1" t="str">
        <f t="shared" si="2"/>
        <v>Comp 96</v>
      </c>
      <c r="R41" s="23">
        <f>IFERROR(INDEX(KPIDATA,MATCH(Q41,Table1[Company],0),2),"")</f>
        <v>0.61</v>
      </c>
      <c r="S41" s="23">
        <f>IFERROR(INDEX(KPIDATA,MATCH(Q41,Table1[Company],0),3),"")</f>
        <v>0.39</v>
      </c>
      <c r="T41" s="23">
        <f>IFERROR(INDEX(KPIDATA,MATCH(Q41,Table1[Company],0),4),"")</f>
        <v>0.18</v>
      </c>
      <c r="U41" s="23">
        <f>IFERROR(INDEX(KPIDATA,MATCH(Q41,Table1[Company],0),5),"")</f>
        <v>0.64</v>
      </c>
    </row>
    <row r="42" spans="1:21" x14ac:dyDescent="0.25">
      <c r="A42" t="s">
        <v>47</v>
      </c>
      <c r="B42" s="6">
        <f>INDEX(KPIDATA,ROWS($A$19:A42),$B$11+1)</f>
        <v>0.44</v>
      </c>
      <c r="C42" s="6">
        <f>INDEX(KPIDATA,ROWS($A$19:A42),$B$12+1)</f>
        <v>0.88</v>
      </c>
      <c r="M42" s="1">
        <f t="shared" si="0"/>
        <v>2</v>
      </c>
      <c r="N42" s="1" t="b">
        <f t="shared" si="1"/>
        <v>1</v>
      </c>
      <c r="O42" s="1">
        <f>IF(N42,ROWS($N$19:N42),"")</f>
        <v>24</v>
      </c>
      <c r="P42" s="1" t="str">
        <f>IFERROR(SMALL($O$19:$O$118,ROWS($O$19:O42)),"")</f>
        <v/>
      </c>
      <c r="Q42" s="1" t="str">
        <f t="shared" si="2"/>
        <v/>
      </c>
      <c r="R42" s="23" t="str">
        <f>IFERROR(INDEX(KPIDATA,MATCH(Q42,Table1[Company],0),2),"")</f>
        <v/>
      </c>
      <c r="S42" s="23" t="str">
        <f>IFERROR(INDEX(KPIDATA,MATCH(Q42,Table1[Company],0),3),"")</f>
        <v/>
      </c>
      <c r="T42" s="23" t="str">
        <f>IFERROR(INDEX(KPIDATA,MATCH(Q42,Table1[Company],0),4),"")</f>
        <v/>
      </c>
      <c r="U42" s="23" t="str">
        <f>IFERROR(INDEX(KPIDATA,MATCH(Q42,Table1[Company],0),5),"")</f>
        <v/>
      </c>
    </row>
    <row r="43" spans="1:21" x14ac:dyDescent="0.25">
      <c r="A43" t="s">
        <v>48</v>
      </c>
      <c r="B43" s="6">
        <f>INDEX(KPIDATA,ROWS($A$19:A43),$B$11+1)</f>
        <v>0.79</v>
      </c>
      <c r="C43" s="6">
        <f>INDEX(KPIDATA,ROWS($A$19:A43),$B$12+1)</f>
        <v>0.79</v>
      </c>
      <c r="M43" s="1">
        <f t="shared" si="0"/>
        <v>3</v>
      </c>
      <c r="N43" s="1" t="b">
        <f t="shared" si="1"/>
        <v>0</v>
      </c>
      <c r="O43" s="1" t="str">
        <f>IF(N43,ROWS($N$19:N43),"")</f>
        <v/>
      </c>
      <c r="P43" s="1" t="str">
        <f>IFERROR(SMALL($O$19:$O$118,ROWS($O$19:O43)),"")</f>
        <v/>
      </c>
      <c r="Q43" s="1" t="str">
        <f t="shared" si="2"/>
        <v/>
      </c>
      <c r="R43" s="23" t="str">
        <f>IFERROR(INDEX(KPIDATA,MATCH(Q43,Table1[Company],0),2),"")</f>
        <v/>
      </c>
      <c r="S43" s="23" t="str">
        <f>IFERROR(INDEX(KPIDATA,MATCH(Q43,Table1[Company],0),3),"")</f>
        <v/>
      </c>
      <c r="T43" s="23" t="str">
        <f>IFERROR(INDEX(KPIDATA,MATCH(Q43,Table1[Company],0),4),"")</f>
        <v/>
      </c>
      <c r="U43" s="23" t="str">
        <f>IFERROR(INDEX(KPIDATA,MATCH(Q43,Table1[Company],0),5),"")</f>
        <v/>
      </c>
    </row>
    <row r="44" spans="1:21" x14ac:dyDescent="0.25">
      <c r="A44" t="s">
        <v>49</v>
      </c>
      <c r="B44" s="6">
        <f>INDEX(KPIDATA,ROWS($A$19:A44),$B$11+1)</f>
        <v>0.81</v>
      </c>
      <c r="C44" s="6">
        <f>INDEX(KPIDATA,ROWS($A$19:A44),$B$12+1)</f>
        <v>0.21</v>
      </c>
      <c r="M44" s="1">
        <f t="shared" si="0"/>
        <v>5</v>
      </c>
      <c r="N44" s="1" t="b">
        <f t="shared" si="1"/>
        <v>0</v>
      </c>
      <c r="O44" s="1" t="str">
        <f>IF(N44,ROWS($N$19:N44),"")</f>
        <v/>
      </c>
      <c r="P44" s="1" t="str">
        <f>IFERROR(SMALL($O$19:$O$118,ROWS($O$19:O44)),"")</f>
        <v/>
      </c>
      <c r="Q44" s="1" t="str">
        <f t="shared" si="2"/>
        <v/>
      </c>
      <c r="R44" s="23" t="str">
        <f>IFERROR(INDEX(KPIDATA,MATCH(Q44,Table1[Company],0),2),"")</f>
        <v/>
      </c>
      <c r="S44" s="23" t="str">
        <f>IFERROR(INDEX(KPIDATA,MATCH(Q44,Table1[Company],0),3),"")</f>
        <v/>
      </c>
      <c r="T44" s="23" t="str">
        <f>IFERROR(INDEX(KPIDATA,MATCH(Q44,Table1[Company],0),4),"")</f>
        <v/>
      </c>
      <c r="U44" s="23" t="str">
        <f>IFERROR(INDEX(KPIDATA,MATCH(Q44,Table1[Company],0),5),"")</f>
        <v/>
      </c>
    </row>
    <row r="45" spans="1:21" x14ac:dyDescent="0.25">
      <c r="A45" t="s">
        <v>50</v>
      </c>
      <c r="B45" s="6">
        <f>INDEX(KPIDATA,ROWS($A$19:A45),$B$11+1)</f>
        <v>0.65</v>
      </c>
      <c r="C45" s="6">
        <f>INDEX(KPIDATA,ROWS($A$19:A45),$B$12+1)</f>
        <v>0.33</v>
      </c>
      <c r="M45" s="1">
        <f t="shared" si="0"/>
        <v>5</v>
      </c>
      <c r="N45" s="1" t="b">
        <f t="shared" si="1"/>
        <v>0</v>
      </c>
      <c r="O45" s="1" t="str">
        <f>IF(N45,ROWS($N$19:N45),"")</f>
        <v/>
      </c>
      <c r="P45" s="1" t="str">
        <f>IFERROR(SMALL($O$19:$O$118,ROWS($O$19:O45)),"")</f>
        <v/>
      </c>
      <c r="Q45" s="1" t="str">
        <f t="shared" si="2"/>
        <v/>
      </c>
      <c r="R45" s="23" t="str">
        <f>IFERROR(INDEX(KPIDATA,MATCH(Q45,Table1[Company],0),2),"")</f>
        <v/>
      </c>
      <c r="S45" s="23" t="str">
        <f>IFERROR(INDEX(KPIDATA,MATCH(Q45,Table1[Company],0),3),"")</f>
        <v/>
      </c>
      <c r="T45" s="23" t="str">
        <f>IFERROR(INDEX(KPIDATA,MATCH(Q45,Table1[Company],0),4),"")</f>
        <v/>
      </c>
      <c r="U45" s="23" t="str">
        <f>IFERROR(INDEX(KPIDATA,MATCH(Q45,Table1[Company],0),5),"")</f>
        <v/>
      </c>
    </row>
    <row r="46" spans="1:21" x14ac:dyDescent="0.25">
      <c r="A46" t="s">
        <v>51</v>
      </c>
      <c r="B46" s="6">
        <f>INDEX(KPIDATA,ROWS($A$19:A46),$B$11+1)</f>
        <v>0.27</v>
      </c>
      <c r="C46" s="6">
        <f>INDEX(KPIDATA,ROWS($A$19:A46),$B$12+1)</f>
        <v>0.56000000000000005</v>
      </c>
      <c r="M46" s="1">
        <f t="shared" si="0"/>
        <v>2</v>
      </c>
      <c r="N46" s="1" t="b">
        <f t="shared" si="1"/>
        <v>1</v>
      </c>
      <c r="O46" s="1">
        <f>IF(N46,ROWS($N$19:N46),"")</f>
        <v>28</v>
      </c>
      <c r="P46" s="1" t="str">
        <f>IFERROR(SMALL($O$19:$O$118,ROWS($O$19:O46)),"")</f>
        <v/>
      </c>
      <c r="Q46" s="1" t="str">
        <f t="shared" si="2"/>
        <v/>
      </c>
      <c r="R46" s="23" t="str">
        <f>IFERROR(INDEX(KPIDATA,MATCH(Q46,Table1[Company],0),2),"")</f>
        <v/>
      </c>
      <c r="S46" s="23" t="str">
        <f>IFERROR(INDEX(KPIDATA,MATCH(Q46,Table1[Company],0),3),"")</f>
        <v/>
      </c>
      <c r="T46" s="23" t="str">
        <f>IFERROR(INDEX(KPIDATA,MATCH(Q46,Table1[Company],0),4),"")</f>
        <v/>
      </c>
      <c r="U46" s="23" t="str">
        <f>IFERROR(INDEX(KPIDATA,MATCH(Q46,Table1[Company],0),5),"")</f>
        <v/>
      </c>
    </row>
    <row r="47" spans="1:21" x14ac:dyDescent="0.25">
      <c r="A47" t="s">
        <v>52</v>
      </c>
      <c r="B47" s="6">
        <f>INDEX(KPIDATA,ROWS($A$19:A47),$B$11+1)</f>
        <v>0.31</v>
      </c>
      <c r="C47" s="6">
        <f>INDEX(KPIDATA,ROWS($A$19:A47),$B$12+1)</f>
        <v>0.46</v>
      </c>
      <c r="M47" s="1">
        <f t="shared" si="0"/>
        <v>4</v>
      </c>
      <c r="N47" s="1" t="b">
        <f t="shared" si="1"/>
        <v>0</v>
      </c>
      <c r="O47" s="1" t="str">
        <f>IF(N47,ROWS($N$19:N47),"")</f>
        <v/>
      </c>
      <c r="P47" s="1" t="str">
        <f>IFERROR(SMALL($O$19:$O$118,ROWS($O$19:O47)),"")</f>
        <v/>
      </c>
      <c r="Q47" s="1" t="str">
        <f t="shared" si="2"/>
        <v/>
      </c>
      <c r="R47" s="23" t="str">
        <f>IFERROR(INDEX(KPIDATA,MATCH(Q47,Table1[Company],0),2),"")</f>
        <v/>
      </c>
      <c r="S47" s="23" t="str">
        <f>IFERROR(INDEX(KPIDATA,MATCH(Q47,Table1[Company],0),3),"")</f>
        <v/>
      </c>
      <c r="T47" s="23" t="str">
        <f>IFERROR(INDEX(KPIDATA,MATCH(Q47,Table1[Company],0),4),"")</f>
        <v/>
      </c>
      <c r="U47" s="23" t="str">
        <f>IFERROR(INDEX(KPIDATA,MATCH(Q47,Table1[Company],0),5),"")</f>
        <v/>
      </c>
    </row>
    <row r="48" spans="1:21" x14ac:dyDescent="0.25">
      <c r="A48" t="s">
        <v>53</v>
      </c>
      <c r="B48" s="6">
        <f>INDEX(KPIDATA,ROWS($A$19:A48),$B$11+1)</f>
        <v>0.2</v>
      </c>
      <c r="C48" s="6">
        <f>INDEX(KPIDATA,ROWS($A$19:A48),$B$12+1)</f>
        <v>0.61</v>
      </c>
      <c r="M48" s="1">
        <f t="shared" si="0"/>
        <v>2</v>
      </c>
      <c r="N48" s="1" t="b">
        <f t="shared" si="1"/>
        <v>1</v>
      </c>
      <c r="O48" s="1">
        <f>IF(N48,ROWS($N$19:N48),"")</f>
        <v>30</v>
      </c>
      <c r="P48" s="1" t="str">
        <f>IFERROR(SMALL($O$19:$O$118,ROWS($O$19:O48)),"")</f>
        <v/>
      </c>
      <c r="Q48" s="1" t="str">
        <f t="shared" si="2"/>
        <v/>
      </c>
      <c r="R48" s="23" t="str">
        <f>IFERROR(INDEX(KPIDATA,MATCH(Q48,Table1[Company],0),2),"")</f>
        <v/>
      </c>
      <c r="S48" s="23" t="str">
        <f>IFERROR(INDEX(KPIDATA,MATCH(Q48,Table1[Company],0),3),"")</f>
        <v/>
      </c>
      <c r="T48" s="23" t="str">
        <f>IFERROR(INDEX(KPIDATA,MATCH(Q48,Table1[Company],0),4),"")</f>
        <v/>
      </c>
      <c r="U48" s="23" t="str">
        <f>IFERROR(INDEX(KPIDATA,MATCH(Q48,Table1[Company],0),5),"")</f>
        <v/>
      </c>
    </row>
    <row r="49" spans="1:21" x14ac:dyDescent="0.25">
      <c r="A49" t="s">
        <v>54</v>
      </c>
      <c r="B49" s="6">
        <f>INDEX(KPIDATA,ROWS($A$19:A49),$B$11+1)</f>
        <v>0.65</v>
      </c>
      <c r="C49" s="6">
        <f>INDEX(KPIDATA,ROWS($A$19:A49),$B$12+1)</f>
        <v>0.19</v>
      </c>
      <c r="M49" s="1">
        <f t="shared" si="0"/>
        <v>5</v>
      </c>
      <c r="N49" s="1" t="b">
        <f t="shared" si="1"/>
        <v>0</v>
      </c>
      <c r="O49" s="1" t="str">
        <f>IF(N49,ROWS($N$19:N49),"")</f>
        <v/>
      </c>
      <c r="P49" s="1" t="str">
        <f>IFERROR(SMALL($O$19:$O$118,ROWS($O$19:O49)),"")</f>
        <v/>
      </c>
      <c r="Q49" s="1" t="str">
        <f t="shared" si="2"/>
        <v/>
      </c>
      <c r="R49" s="23" t="str">
        <f>IFERROR(INDEX(KPIDATA,MATCH(Q49,Table1[Company],0),2),"")</f>
        <v/>
      </c>
      <c r="S49" s="23" t="str">
        <f>IFERROR(INDEX(KPIDATA,MATCH(Q49,Table1[Company],0),3),"")</f>
        <v/>
      </c>
      <c r="T49" s="23" t="str">
        <f>IFERROR(INDEX(KPIDATA,MATCH(Q49,Table1[Company],0),4),"")</f>
        <v/>
      </c>
      <c r="U49" s="23" t="str">
        <f>IFERROR(INDEX(KPIDATA,MATCH(Q49,Table1[Company],0),5),"")</f>
        <v/>
      </c>
    </row>
    <row r="50" spans="1:21" x14ac:dyDescent="0.25">
      <c r="A50" t="s">
        <v>55</v>
      </c>
      <c r="B50" s="6">
        <f>INDEX(KPIDATA,ROWS($A$19:A50),$B$11+1)</f>
        <v>0.84</v>
      </c>
      <c r="C50" s="6">
        <f>INDEX(KPIDATA,ROWS($A$19:A50),$B$12+1)</f>
        <v>0.91</v>
      </c>
      <c r="M50" s="1">
        <f t="shared" si="0"/>
        <v>3</v>
      </c>
      <c r="N50" s="1" t="b">
        <f t="shared" si="1"/>
        <v>0</v>
      </c>
      <c r="O50" s="1" t="str">
        <f>IF(N50,ROWS($N$19:N50),"")</f>
        <v/>
      </c>
      <c r="P50" s="1" t="str">
        <f>IFERROR(SMALL($O$19:$O$118,ROWS($O$19:O50)),"")</f>
        <v/>
      </c>
      <c r="Q50" s="1" t="str">
        <f t="shared" si="2"/>
        <v/>
      </c>
      <c r="R50" s="23" t="str">
        <f>IFERROR(INDEX(KPIDATA,MATCH(Q50,Table1[Company],0),2),"")</f>
        <v/>
      </c>
      <c r="S50" s="23" t="str">
        <f>IFERROR(INDEX(KPIDATA,MATCH(Q50,Table1[Company],0),3),"")</f>
        <v/>
      </c>
      <c r="T50" s="23" t="str">
        <f>IFERROR(INDEX(KPIDATA,MATCH(Q50,Table1[Company],0),4),"")</f>
        <v/>
      </c>
      <c r="U50" s="23" t="str">
        <f>IFERROR(INDEX(KPIDATA,MATCH(Q50,Table1[Company],0),5),"")</f>
        <v/>
      </c>
    </row>
    <row r="51" spans="1:21" x14ac:dyDescent="0.25">
      <c r="A51" t="s">
        <v>56</v>
      </c>
      <c r="B51" s="6">
        <f>INDEX(KPIDATA,ROWS($A$19:A51),$B$11+1)</f>
        <v>0.21</v>
      </c>
      <c r="C51" s="6">
        <f>INDEX(KPIDATA,ROWS($A$19:A51),$B$12+1)</f>
        <v>0.44</v>
      </c>
      <c r="M51" s="1">
        <f t="shared" si="0"/>
        <v>4</v>
      </c>
      <c r="N51" s="1" t="b">
        <f t="shared" si="1"/>
        <v>0</v>
      </c>
      <c r="O51" s="1" t="str">
        <f>IF(N51,ROWS($N$19:N51),"")</f>
        <v/>
      </c>
      <c r="P51" s="1" t="str">
        <f>IFERROR(SMALL($O$19:$O$118,ROWS($O$19:O51)),"")</f>
        <v/>
      </c>
      <c r="Q51" s="1" t="str">
        <f t="shared" si="2"/>
        <v/>
      </c>
      <c r="R51" s="23" t="str">
        <f>IFERROR(INDEX(KPIDATA,MATCH(Q51,Table1[Company],0),2),"")</f>
        <v/>
      </c>
      <c r="S51" s="23" t="str">
        <f>IFERROR(INDEX(KPIDATA,MATCH(Q51,Table1[Company],0),3),"")</f>
        <v/>
      </c>
      <c r="T51" s="23" t="str">
        <f>IFERROR(INDEX(KPIDATA,MATCH(Q51,Table1[Company],0),4),"")</f>
        <v/>
      </c>
      <c r="U51" s="23" t="str">
        <f>IFERROR(INDEX(KPIDATA,MATCH(Q51,Table1[Company],0),5),"")</f>
        <v/>
      </c>
    </row>
    <row r="52" spans="1:21" x14ac:dyDescent="0.25">
      <c r="A52" t="s">
        <v>57</v>
      </c>
      <c r="B52" s="6">
        <f>INDEX(KPIDATA,ROWS($A$19:A52),$B$11+1)</f>
        <v>0.51</v>
      </c>
      <c r="C52" s="6">
        <f>INDEX(KPIDATA,ROWS($A$19:A52),$B$12+1)</f>
        <v>0.92</v>
      </c>
      <c r="M52" s="1">
        <f t="shared" si="0"/>
        <v>3</v>
      </c>
      <c r="N52" s="1" t="b">
        <f t="shared" si="1"/>
        <v>0</v>
      </c>
      <c r="O52" s="1" t="str">
        <f>IF(N52,ROWS($N$19:N52),"")</f>
        <v/>
      </c>
      <c r="P52" s="1" t="str">
        <f>IFERROR(SMALL($O$19:$O$118,ROWS($O$19:O52)),"")</f>
        <v/>
      </c>
      <c r="Q52" s="1" t="str">
        <f t="shared" si="2"/>
        <v/>
      </c>
      <c r="R52" s="23" t="str">
        <f>IFERROR(INDEX(KPIDATA,MATCH(Q52,Table1[Company],0),2),"")</f>
        <v/>
      </c>
      <c r="S52" s="23" t="str">
        <f>IFERROR(INDEX(KPIDATA,MATCH(Q52,Table1[Company],0),3),"")</f>
        <v/>
      </c>
      <c r="T52" s="23" t="str">
        <f>IFERROR(INDEX(KPIDATA,MATCH(Q52,Table1[Company],0),4),"")</f>
        <v/>
      </c>
      <c r="U52" s="23" t="str">
        <f>IFERROR(INDEX(KPIDATA,MATCH(Q52,Table1[Company],0),5),"")</f>
        <v/>
      </c>
    </row>
    <row r="53" spans="1:21" x14ac:dyDescent="0.25">
      <c r="A53" t="s">
        <v>58</v>
      </c>
      <c r="B53" s="6">
        <f>INDEX(KPIDATA,ROWS($A$19:A53),$B$11+1)</f>
        <v>0.34</v>
      </c>
      <c r="C53" s="6">
        <f>INDEX(KPIDATA,ROWS($A$19:A53),$B$12+1)</f>
        <v>0.62</v>
      </c>
      <c r="M53" s="1">
        <f t="shared" si="0"/>
        <v>2</v>
      </c>
      <c r="N53" s="1" t="b">
        <f t="shared" si="1"/>
        <v>1</v>
      </c>
      <c r="O53" s="1">
        <f>IF(N53,ROWS($N$19:N53),"")</f>
        <v>35</v>
      </c>
      <c r="P53" s="1" t="str">
        <f>IFERROR(SMALL($O$19:$O$118,ROWS($O$19:O53)),"")</f>
        <v/>
      </c>
      <c r="Q53" s="1" t="str">
        <f t="shared" si="2"/>
        <v/>
      </c>
      <c r="R53" s="23" t="str">
        <f>IFERROR(INDEX(KPIDATA,MATCH(Q53,Table1[Company],0),2),"")</f>
        <v/>
      </c>
      <c r="S53" s="23" t="str">
        <f>IFERROR(INDEX(KPIDATA,MATCH(Q53,Table1[Company],0),3),"")</f>
        <v/>
      </c>
      <c r="T53" s="23" t="str">
        <f>IFERROR(INDEX(KPIDATA,MATCH(Q53,Table1[Company],0),4),"")</f>
        <v/>
      </c>
      <c r="U53" s="23" t="str">
        <f>IFERROR(INDEX(KPIDATA,MATCH(Q53,Table1[Company],0),5),"")</f>
        <v/>
      </c>
    </row>
    <row r="54" spans="1:21" x14ac:dyDescent="0.25">
      <c r="A54" t="s">
        <v>59</v>
      </c>
      <c r="B54" s="6">
        <f>INDEX(KPIDATA,ROWS($A$19:A54),$B$11+1)</f>
        <v>0.39</v>
      </c>
      <c r="C54" s="6">
        <f>INDEX(KPIDATA,ROWS($A$19:A54),$B$12+1)</f>
        <v>0.57999999999999996</v>
      </c>
      <c r="M54" s="1">
        <f t="shared" si="0"/>
        <v>2</v>
      </c>
      <c r="N54" s="1" t="b">
        <f t="shared" si="1"/>
        <v>1</v>
      </c>
      <c r="O54" s="1">
        <f>IF(N54,ROWS($N$19:N54),"")</f>
        <v>36</v>
      </c>
      <c r="P54" s="1" t="str">
        <f>IFERROR(SMALL($O$19:$O$118,ROWS($O$19:O54)),"")</f>
        <v/>
      </c>
      <c r="Q54" s="1" t="str">
        <f t="shared" si="2"/>
        <v/>
      </c>
      <c r="R54" s="23" t="str">
        <f>IFERROR(INDEX(KPIDATA,MATCH(Q54,Table1[Company],0),2),"")</f>
        <v/>
      </c>
      <c r="S54" s="23" t="str">
        <f>IFERROR(INDEX(KPIDATA,MATCH(Q54,Table1[Company],0),3),"")</f>
        <v/>
      </c>
      <c r="T54" s="23" t="str">
        <f>IFERROR(INDEX(KPIDATA,MATCH(Q54,Table1[Company],0),4),"")</f>
        <v/>
      </c>
      <c r="U54" s="23" t="str">
        <f>IFERROR(INDEX(KPIDATA,MATCH(Q54,Table1[Company],0),5),"")</f>
        <v/>
      </c>
    </row>
    <row r="55" spans="1:21" x14ac:dyDescent="0.25">
      <c r="A55" t="s">
        <v>60</v>
      </c>
      <c r="B55" s="6">
        <f>INDEX(KPIDATA,ROWS($A$19:A55),$B$11+1)</f>
        <v>0.66</v>
      </c>
      <c r="C55" s="6">
        <f>INDEX(KPIDATA,ROWS($A$19:A55),$B$12+1)</f>
        <v>0.24</v>
      </c>
      <c r="M55" s="1">
        <f t="shared" si="0"/>
        <v>5</v>
      </c>
      <c r="N55" s="1" t="b">
        <f t="shared" si="1"/>
        <v>0</v>
      </c>
      <c r="O55" s="1" t="str">
        <f>IF(N55,ROWS($N$19:N55),"")</f>
        <v/>
      </c>
      <c r="P55" s="1" t="str">
        <f>IFERROR(SMALL($O$19:$O$118,ROWS($O$19:O55)),"")</f>
        <v/>
      </c>
      <c r="Q55" s="1" t="str">
        <f t="shared" si="2"/>
        <v/>
      </c>
      <c r="R55" s="23" t="str">
        <f>IFERROR(INDEX(KPIDATA,MATCH(Q55,Table1[Company],0),2),"")</f>
        <v/>
      </c>
      <c r="S55" s="23" t="str">
        <f>IFERROR(INDEX(KPIDATA,MATCH(Q55,Table1[Company],0),3),"")</f>
        <v/>
      </c>
      <c r="T55" s="23" t="str">
        <f>IFERROR(INDEX(KPIDATA,MATCH(Q55,Table1[Company],0),4),"")</f>
        <v/>
      </c>
      <c r="U55" s="23" t="str">
        <f>IFERROR(INDEX(KPIDATA,MATCH(Q55,Table1[Company],0),5),"")</f>
        <v/>
      </c>
    </row>
    <row r="56" spans="1:21" x14ac:dyDescent="0.25">
      <c r="A56" t="s">
        <v>61</v>
      </c>
      <c r="B56" s="6">
        <f>INDEX(KPIDATA,ROWS($A$19:A56),$B$11+1)</f>
        <v>0.92</v>
      </c>
      <c r="C56" s="6">
        <f>INDEX(KPIDATA,ROWS($A$19:A56),$B$12+1)</f>
        <v>0.71</v>
      </c>
      <c r="M56" s="1">
        <f t="shared" si="0"/>
        <v>3</v>
      </c>
      <c r="N56" s="1" t="b">
        <f t="shared" si="1"/>
        <v>0</v>
      </c>
      <c r="O56" s="1" t="str">
        <f>IF(N56,ROWS($N$19:N56),"")</f>
        <v/>
      </c>
      <c r="P56" s="1" t="str">
        <f>IFERROR(SMALL($O$19:$O$118,ROWS($O$19:O56)),"")</f>
        <v/>
      </c>
      <c r="Q56" s="1" t="str">
        <f t="shared" si="2"/>
        <v/>
      </c>
      <c r="R56" s="23" t="str">
        <f>IFERROR(INDEX(KPIDATA,MATCH(Q56,Table1[Company],0),2),"")</f>
        <v/>
      </c>
      <c r="S56" s="23" t="str">
        <f>IFERROR(INDEX(KPIDATA,MATCH(Q56,Table1[Company],0),3),"")</f>
        <v/>
      </c>
      <c r="T56" s="23" t="str">
        <f>IFERROR(INDEX(KPIDATA,MATCH(Q56,Table1[Company],0),4),"")</f>
        <v/>
      </c>
      <c r="U56" s="23" t="str">
        <f>IFERROR(INDEX(KPIDATA,MATCH(Q56,Table1[Company],0),5),"")</f>
        <v/>
      </c>
    </row>
    <row r="57" spans="1:21" x14ac:dyDescent="0.25">
      <c r="A57" t="s">
        <v>62</v>
      </c>
      <c r="B57" s="6">
        <f>INDEX(KPIDATA,ROWS($A$19:A57),$B$11+1)</f>
        <v>0.6</v>
      </c>
      <c r="C57" s="6">
        <f>INDEX(KPIDATA,ROWS($A$19:A57),$B$12+1)</f>
        <v>0.12</v>
      </c>
      <c r="M57" s="1">
        <f t="shared" si="0"/>
        <v>5</v>
      </c>
      <c r="N57" s="1" t="b">
        <f t="shared" si="1"/>
        <v>0</v>
      </c>
      <c r="O57" s="1" t="str">
        <f>IF(N57,ROWS($N$19:N57),"")</f>
        <v/>
      </c>
      <c r="P57" s="1" t="str">
        <f>IFERROR(SMALL($O$19:$O$118,ROWS($O$19:O57)),"")</f>
        <v/>
      </c>
      <c r="Q57" s="1" t="str">
        <f t="shared" si="2"/>
        <v/>
      </c>
      <c r="R57" s="23" t="str">
        <f>IFERROR(INDEX(KPIDATA,MATCH(Q57,Table1[Company],0),2),"")</f>
        <v/>
      </c>
      <c r="S57" s="23" t="str">
        <f>IFERROR(INDEX(KPIDATA,MATCH(Q57,Table1[Company],0),3),"")</f>
        <v/>
      </c>
      <c r="T57" s="23" t="str">
        <f>IFERROR(INDEX(KPIDATA,MATCH(Q57,Table1[Company],0),4),"")</f>
        <v/>
      </c>
      <c r="U57" s="23" t="str">
        <f>IFERROR(INDEX(KPIDATA,MATCH(Q57,Table1[Company],0),5),"")</f>
        <v/>
      </c>
    </row>
    <row r="58" spans="1:21" x14ac:dyDescent="0.25">
      <c r="A58" t="s">
        <v>63</v>
      </c>
      <c r="B58" s="6">
        <f>INDEX(KPIDATA,ROWS($A$19:A58),$B$11+1)</f>
        <v>0.14000000000000001</v>
      </c>
      <c r="C58" s="6">
        <f>INDEX(KPIDATA,ROWS($A$19:A58),$B$12+1)</f>
        <v>0.21</v>
      </c>
      <c r="M58" s="1">
        <f t="shared" si="0"/>
        <v>4</v>
      </c>
      <c r="N58" s="1" t="b">
        <f t="shared" si="1"/>
        <v>0</v>
      </c>
      <c r="O58" s="1" t="str">
        <f>IF(N58,ROWS($N$19:N58),"")</f>
        <v/>
      </c>
      <c r="P58" s="1" t="str">
        <f>IFERROR(SMALL($O$19:$O$118,ROWS($O$19:O58)),"")</f>
        <v/>
      </c>
      <c r="Q58" s="1" t="str">
        <f t="shared" si="2"/>
        <v/>
      </c>
      <c r="R58" s="23" t="str">
        <f>IFERROR(INDEX(KPIDATA,MATCH(Q58,Table1[Company],0),2),"")</f>
        <v/>
      </c>
      <c r="S58" s="23" t="str">
        <f>IFERROR(INDEX(KPIDATA,MATCH(Q58,Table1[Company],0),3),"")</f>
        <v/>
      </c>
      <c r="T58" s="23" t="str">
        <f>IFERROR(INDEX(KPIDATA,MATCH(Q58,Table1[Company],0),4),"")</f>
        <v/>
      </c>
      <c r="U58" s="23" t="str">
        <f>IFERROR(INDEX(KPIDATA,MATCH(Q58,Table1[Company],0),5),"")</f>
        <v/>
      </c>
    </row>
    <row r="59" spans="1:21" x14ac:dyDescent="0.25">
      <c r="A59" t="s">
        <v>64</v>
      </c>
      <c r="B59" s="6">
        <f>INDEX(KPIDATA,ROWS($A$19:A59),$B$11+1)</f>
        <v>0.19</v>
      </c>
      <c r="C59" s="6">
        <f>INDEX(KPIDATA,ROWS($A$19:A59),$B$12+1)</f>
        <v>0.15</v>
      </c>
      <c r="M59" s="1">
        <f t="shared" si="0"/>
        <v>4</v>
      </c>
      <c r="N59" s="1" t="b">
        <f t="shared" si="1"/>
        <v>0</v>
      </c>
      <c r="O59" s="1" t="str">
        <f>IF(N59,ROWS($N$19:N59),"")</f>
        <v/>
      </c>
      <c r="P59" s="1" t="str">
        <f>IFERROR(SMALL($O$19:$O$118,ROWS($O$19:O59)),"")</f>
        <v/>
      </c>
      <c r="Q59" s="1" t="str">
        <f t="shared" si="2"/>
        <v/>
      </c>
      <c r="R59" s="23" t="str">
        <f>IFERROR(INDEX(KPIDATA,MATCH(Q59,Table1[Company],0),2),"")</f>
        <v/>
      </c>
      <c r="S59" s="23" t="str">
        <f>IFERROR(INDEX(KPIDATA,MATCH(Q59,Table1[Company],0),3),"")</f>
        <v/>
      </c>
      <c r="T59" s="23" t="str">
        <f>IFERROR(INDEX(KPIDATA,MATCH(Q59,Table1[Company],0),4),"")</f>
        <v/>
      </c>
      <c r="U59" s="23" t="str">
        <f>IFERROR(INDEX(KPIDATA,MATCH(Q59,Table1[Company],0),5),"")</f>
        <v/>
      </c>
    </row>
    <row r="60" spans="1:21" x14ac:dyDescent="0.25">
      <c r="A60" t="s">
        <v>65</v>
      </c>
      <c r="B60" s="6">
        <f>INDEX(KPIDATA,ROWS($A$19:A60),$B$11+1)</f>
        <v>0.2</v>
      </c>
      <c r="C60" s="6">
        <f>INDEX(KPIDATA,ROWS($A$19:A60),$B$12+1)</f>
        <v>0.94</v>
      </c>
      <c r="M60" s="1">
        <f t="shared" si="0"/>
        <v>2</v>
      </c>
      <c r="N60" s="1" t="b">
        <f t="shared" si="1"/>
        <v>1</v>
      </c>
      <c r="O60" s="1">
        <f>IF(N60,ROWS($N$19:N60),"")</f>
        <v>42</v>
      </c>
      <c r="P60" s="1" t="str">
        <f>IFERROR(SMALL($O$19:$O$118,ROWS($O$19:O60)),"")</f>
        <v/>
      </c>
      <c r="Q60" s="1" t="str">
        <f t="shared" si="2"/>
        <v/>
      </c>
      <c r="R60" s="23" t="str">
        <f>IFERROR(INDEX(KPIDATA,MATCH(Q60,Table1[Company],0),2),"")</f>
        <v/>
      </c>
      <c r="S60" s="23" t="str">
        <f>IFERROR(INDEX(KPIDATA,MATCH(Q60,Table1[Company],0),3),"")</f>
        <v/>
      </c>
      <c r="T60" s="23" t="str">
        <f>IFERROR(INDEX(KPIDATA,MATCH(Q60,Table1[Company],0),4),"")</f>
        <v/>
      </c>
      <c r="U60" s="23" t="str">
        <f>IFERROR(INDEX(KPIDATA,MATCH(Q60,Table1[Company],0),5),"")</f>
        <v/>
      </c>
    </row>
    <row r="61" spans="1:21" x14ac:dyDescent="0.25">
      <c r="A61" t="s">
        <v>66</v>
      </c>
      <c r="B61" s="6">
        <f>INDEX(KPIDATA,ROWS($A$19:A61),$B$11+1)</f>
        <v>0.91</v>
      </c>
      <c r="C61" s="6">
        <f>INDEX(KPIDATA,ROWS($A$19:A61),$B$12+1)</f>
        <v>0.65</v>
      </c>
      <c r="M61" s="1">
        <f t="shared" si="0"/>
        <v>3</v>
      </c>
      <c r="N61" s="1" t="b">
        <f t="shared" si="1"/>
        <v>0</v>
      </c>
      <c r="O61" s="1" t="str">
        <f>IF(N61,ROWS($N$19:N61),"")</f>
        <v/>
      </c>
      <c r="P61" s="1" t="str">
        <f>IFERROR(SMALL($O$19:$O$118,ROWS($O$19:O61)),"")</f>
        <v/>
      </c>
      <c r="Q61" s="1" t="str">
        <f t="shared" si="2"/>
        <v/>
      </c>
      <c r="R61" s="23" t="str">
        <f>IFERROR(INDEX(KPIDATA,MATCH(Q61,Table1[Company],0),2),"")</f>
        <v/>
      </c>
      <c r="S61" s="23" t="str">
        <f>IFERROR(INDEX(KPIDATA,MATCH(Q61,Table1[Company],0),3),"")</f>
        <v/>
      </c>
      <c r="T61" s="23" t="str">
        <f>IFERROR(INDEX(KPIDATA,MATCH(Q61,Table1[Company],0),4),"")</f>
        <v/>
      </c>
      <c r="U61" s="23" t="str">
        <f>IFERROR(INDEX(KPIDATA,MATCH(Q61,Table1[Company],0),5),"")</f>
        <v/>
      </c>
    </row>
    <row r="62" spans="1:21" x14ac:dyDescent="0.25">
      <c r="A62" t="s">
        <v>67</v>
      </c>
      <c r="B62" s="6">
        <f>INDEX(KPIDATA,ROWS($A$19:A62),$B$11+1)</f>
        <v>0.11</v>
      </c>
      <c r="C62" s="6">
        <f>INDEX(KPIDATA,ROWS($A$19:A62),$B$12+1)</f>
        <v>0.12</v>
      </c>
      <c r="M62" s="1">
        <f t="shared" si="0"/>
        <v>4</v>
      </c>
      <c r="N62" s="1" t="b">
        <f t="shared" si="1"/>
        <v>0</v>
      </c>
      <c r="O62" s="1" t="str">
        <f>IF(N62,ROWS($N$19:N62),"")</f>
        <v/>
      </c>
      <c r="P62" s="1" t="str">
        <f>IFERROR(SMALL($O$19:$O$118,ROWS($O$19:O62)),"")</f>
        <v/>
      </c>
      <c r="Q62" s="1" t="str">
        <f t="shared" si="2"/>
        <v/>
      </c>
      <c r="R62" s="23" t="str">
        <f>IFERROR(INDEX(KPIDATA,MATCH(Q62,Table1[Company],0),2),"")</f>
        <v/>
      </c>
      <c r="S62" s="23" t="str">
        <f>IFERROR(INDEX(KPIDATA,MATCH(Q62,Table1[Company],0),3),"")</f>
        <v/>
      </c>
      <c r="T62" s="23" t="str">
        <f>IFERROR(INDEX(KPIDATA,MATCH(Q62,Table1[Company],0),4),"")</f>
        <v/>
      </c>
      <c r="U62" s="23" t="str">
        <f>IFERROR(INDEX(KPIDATA,MATCH(Q62,Table1[Company],0),5),"")</f>
        <v/>
      </c>
    </row>
    <row r="63" spans="1:21" x14ac:dyDescent="0.25">
      <c r="A63" t="s">
        <v>68</v>
      </c>
      <c r="B63" s="6">
        <f>INDEX(KPIDATA,ROWS($A$19:A63),$B$11+1)</f>
        <v>0.8</v>
      </c>
      <c r="C63" s="6">
        <f>INDEX(KPIDATA,ROWS($A$19:A63),$B$12+1)</f>
        <v>0.35</v>
      </c>
      <c r="M63" s="1">
        <f t="shared" si="0"/>
        <v>5</v>
      </c>
      <c r="N63" s="1" t="b">
        <f t="shared" si="1"/>
        <v>0</v>
      </c>
      <c r="O63" s="1" t="str">
        <f>IF(N63,ROWS($N$19:N63),"")</f>
        <v/>
      </c>
      <c r="P63" s="1" t="str">
        <f>IFERROR(SMALL($O$19:$O$118,ROWS($O$19:O63)),"")</f>
        <v/>
      </c>
      <c r="Q63" s="1" t="str">
        <f t="shared" si="2"/>
        <v/>
      </c>
      <c r="R63" s="23" t="str">
        <f>IFERROR(INDEX(KPIDATA,MATCH(Q63,Table1[Company],0),2),"")</f>
        <v/>
      </c>
      <c r="S63" s="23" t="str">
        <f>IFERROR(INDEX(KPIDATA,MATCH(Q63,Table1[Company],0),3),"")</f>
        <v/>
      </c>
      <c r="T63" s="23" t="str">
        <f>IFERROR(INDEX(KPIDATA,MATCH(Q63,Table1[Company],0),4),"")</f>
        <v/>
      </c>
      <c r="U63" s="23" t="str">
        <f>IFERROR(INDEX(KPIDATA,MATCH(Q63,Table1[Company],0),5),"")</f>
        <v/>
      </c>
    </row>
    <row r="64" spans="1:21" x14ac:dyDescent="0.25">
      <c r="A64" t="s">
        <v>69</v>
      </c>
      <c r="B64" s="6">
        <f>INDEX(KPIDATA,ROWS($A$19:A64),$B$11+1)</f>
        <v>0.21</v>
      </c>
      <c r="C64" s="6">
        <f>INDEX(KPIDATA,ROWS($A$19:A64),$B$12+1)</f>
        <v>0.84</v>
      </c>
      <c r="M64" s="1">
        <f t="shared" si="0"/>
        <v>2</v>
      </c>
      <c r="N64" s="1" t="b">
        <f t="shared" si="1"/>
        <v>1</v>
      </c>
      <c r="O64" s="1">
        <f>IF(N64,ROWS($N$19:N64),"")</f>
        <v>46</v>
      </c>
      <c r="P64" s="1" t="str">
        <f>IFERROR(SMALL($O$19:$O$118,ROWS($O$19:O64)),"")</f>
        <v/>
      </c>
      <c r="Q64" s="1" t="str">
        <f t="shared" si="2"/>
        <v/>
      </c>
      <c r="R64" s="23" t="str">
        <f>IFERROR(INDEX(KPIDATA,MATCH(Q64,Table1[Company],0),2),"")</f>
        <v/>
      </c>
      <c r="S64" s="23" t="str">
        <f>IFERROR(INDEX(KPIDATA,MATCH(Q64,Table1[Company],0),3),"")</f>
        <v/>
      </c>
      <c r="T64" s="23" t="str">
        <f>IFERROR(INDEX(KPIDATA,MATCH(Q64,Table1[Company],0),4),"")</f>
        <v/>
      </c>
      <c r="U64" s="23" t="str">
        <f>IFERROR(INDEX(KPIDATA,MATCH(Q64,Table1[Company],0),5),"")</f>
        <v/>
      </c>
    </row>
    <row r="65" spans="1:21" x14ac:dyDescent="0.25">
      <c r="A65" t="s">
        <v>70</v>
      </c>
      <c r="B65" s="6">
        <f>INDEX(KPIDATA,ROWS($A$19:A65),$B$11+1)</f>
        <v>0.44</v>
      </c>
      <c r="C65" s="6">
        <f>INDEX(KPIDATA,ROWS($A$19:A65),$B$12+1)</f>
        <v>0.82</v>
      </c>
      <c r="M65" s="1">
        <f t="shared" si="0"/>
        <v>2</v>
      </c>
      <c r="N65" s="1" t="b">
        <f t="shared" si="1"/>
        <v>1</v>
      </c>
      <c r="O65" s="1">
        <f>IF(N65,ROWS($N$19:N65),"")</f>
        <v>47</v>
      </c>
      <c r="P65" s="1" t="str">
        <f>IFERROR(SMALL($O$19:$O$118,ROWS($O$19:O65)),"")</f>
        <v/>
      </c>
      <c r="Q65" s="1" t="str">
        <f t="shared" si="2"/>
        <v/>
      </c>
      <c r="R65" s="23" t="str">
        <f>IFERROR(INDEX(KPIDATA,MATCH(Q65,Table1[Company],0),2),"")</f>
        <v/>
      </c>
      <c r="S65" s="23" t="str">
        <f>IFERROR(INDEX(KPIDATA,MATCH(Q65,Table1[Company],0),3),"")</f>
        <v/>
      </c>
      <c r="T65" s="23" t="str">
        <f>IFERROR(INDEX(KPIDATA,MATCH(Q65,Table1[Company],0),4),"")</f>
        <v/>
      </c>
      <c r="U65" s="23" t="str">
        <f>IFERROR(INDEX(KPIDATA,MATCH(Q65,Table1[Company],0),5),"")</f>
        <v/>
      </c>
    </row>
    <row r="66" spans="1:21" x14ac:dyDescent="0.25">
      <c r="A66" t="s">
        <v>71</v>
      </c>
      <c r="B66" s="6">
        <f>INDEX(KPIDATA,ROWS($A$19:A66),$B$11+1)</f>
        <v>0.37</v>
      </c>
      <c r="C66" s="6">
        <f>INDEX(KPIDATA,ROWS($A$19:A66),$B$12+1)</f>
        <v>0.74</v>
      </c>
      <c r="M66" s="1">
        <f t="shared" si="0"/>
        <v>2</v>
      </c>
      <c r="N66" s="1" t="b">
        <f t="shared" si="1"/>
        <v>1</v>
      </c>
      <c r="O66" s="1">
        <f>IF(N66,ROWS($N$19:N66),"")</f>
        <v>48</v>
      </c>
      <c r="P66" s="1" t="str">
        <f>IFERROR(SMALL($O$19:$O$118,ROWS($O$19:O66)),"")</f>
        <v/>
      </c>
      <c r="Q66" s="1" t="str">
        <f t="shared" si="2"/>
        <v/>
      </c>
      <c r="R66" s="23" t="str">
        <f>IFERROR(INDEX(KPIDATA,MATCH(Q66,Table1[Company],0),2),"")</f>
        <v/>
      </c>
      <c r="S66" s="23" t="str">
        <f>IFERROR(INDEX(KPIDATA,MATCH(Q66,Table1[Company],0),3),"")</f>
        <v/>
      </c>
      <c r="T66" s="23" t="str">
        <f>IFERROR(INDEX(KPIDATA,MATCH(Q66,Table1[Company],0),4),"")</f>
        <v/>
      </c>
      <c r="U66" s="23" t="str">
        <f>IFERROR(INDEX(KPIDATA,MATCH(Q66,Table1[Company],0),5),"")</f>
        <v/>
      </c>
    </row>
    <row r="67" spans="1:21" x14ac:dyDescent="0.25">
      <c r="A67" t="s">
        <v>72</v>
      </c>
      <c r="B67" s="6">
        <f>INDEX(KPIDATA,ROWS($A$19:A67),$B$11+1)</f>
        <v>0.18</v>
      </c>
      <c r="C67" s="6">
        <f>INDEX(KPIDATA,ROWS($A$19:A67),$B$12+1)</f>
        <v>0.82</v>
      </c>
      <c r="M67" s="1">
        <f t="shared" si="0"/>
        <v>2</v>
      </c>
      <c r="N67" s="1" t="b">
        <f t="shared" si="1"/>
        <v>1</v>
      </c>
      <c r="O67" s="1">
        <f>IF(N67,ROWS($N$19:N67),"")</f>
        <v>49</v>
      </c>
      <c r="P67" s="1" t="str">
        <f>IFERROR(SMALL($O$19:$O$118,ROWS($O$19:O67)),"")</f>
        <v/>
      </c>
      <c r="Q67" s="1" t="str">
        <f t="shared" si="2"/>
        <v/>
      </c>
      <c r="R67" s="23" t="str">
        <f>IFERROR(INDEX(KPIDATA,MATCH(Q67,Table1[Company],0),2),"")</f>
        <v/>
      </c>
      <c r="S67" s="23" t="str">
        <f>IFERROR(INDEX(KPIDATA,MATCH(Q67,Table1[Company],0),3),"")</f>
        <v/>
      </c>
      <c r="T67" s="23" t="str">
        <f>IFERROR(INDEX(KPIDATA,MATCH(Q67,Table1[Company],0),4),"")</f>
        <v/>
      </c>
      <c r="U67" s="23" t="str">
        <f>IFERROR(INDEX(KPIDATA,MATCH(Q67,Table1[Company],0),5),"")</f>
        <v/>
      </c>
    </row>
    <row r="68" spans="1:21" x14ac:dyDescent="0.25">
      <c r="A68" t="s">
        <v>73</v>
      </c>
      <c r="B68" s="6">
        <f>INDEX(KPIDATA,ROWS($A$19:A68),$B$11+1)</f>
        <v>0.53</v>
      </c>
      <c r="C68" s="6">
        <f>INDEX(KPIDATA,ROWS($A$19:A68),$B$12+1)</f>
        <v>0.74</v>
      </c>
      <c r="M68" s="1">
        <f t="shared" si="0"/>
        <v>3</v>
      </c>
      <c r="N68" s="1" t="b">
        <f t="shared" si="1"/>
        <v>0</v>
      </c>
      <c r="O68" s="1" t="str">
        <f>IF(N68,ROWS($N$19:N68),"")</f>
        <v/>
      </c>
      <c r="P68" s="1" t="str">
        <f>IFERROR(SMALL($O$19:$O$118,ROWS($O$19:O68)),"")</f>
        <v/>
      </c>
      <c r="Q68" s="1" t="str">
        <f t="shared" si="2"/>
        <v/>
      </c>
      <c r="R68" s="23" t="str">
        <f>IFERROR(INDEX(KPIDATA,MATCH(Q68,Table1[Company],0),2),"")</f>
        <v/>
      </c>
      <c r="S68" s="23" t="str">
        <f>IFERROR(INDEX(KPIDATA,MATCH(Q68,Table1[Company],0),3),"")</f>
        <v/>
      </c>
      <c r="T68" s="23" t="str">
        <f>IFERROR(INDEX(KPIDATA,MATCH(Q68,Table1[Company],0),4),"")</f>
        <v/>
      </c>
      <c r="U68" s="23" t="str">
        <f>IFERROR(INDEX(KPIDATA,MATCH(Q68,Table1[Company],0),5),"")</f>
        <v/>
      </c>
    </row>
    <row r="69" spans="1:21" x14ac:dyDescent="0.25">
      <c r="A69" t="s">
        <v>74</v>
      </c>
      <c r="B69" s="6">
        <f>INDEX(KPIDATA,ROWS($A$19:A69),$B$11+1)</f>
        <v>0.76</v>
      </c>
      <c r="C69" s="6">
        <f>INDEX(KPIDATA,ROWS($A$19:A69),$B$12+1)</f>
        <v>0.75</v>
      </c>
      <c r="M69" s="1">
        <f t="shared" si="0"/>
        <v>3</v>
      </c>
      <c r="N69" s="1" t="b">
        <f t="shared" si="1"/>
        <v>0</v>
      </c>
      <c r="O69" s="1" t="str">
        <f>IF(N69,ROWS($N$19:N69),"")</f>
        <v/>
      </c>
      <c r="P69" s="1" t="str">
        <f>IFERROR(SMALL($O$19:$O$118,ROWS($O$19:O69)),"")</f>
        <v/>
      </c>
      <c r="Q69" s="1" t="str">
        <f t="shared" si="2"/>
        <v/>
      </c>
      <c r="R69" s="23" t="str">
        <f>IFERROR(INDEX(KPIDATA,MATCH(Q69,Table1[Company],0),2),"")</f>
        <v/>
      </c>
      <c r="S69" s="23" t="str">
        <f>IFERROR(INDEX(KPIDATA,MATCH(Q69,Table1[Company],0),3),"")</f>
        <v/>
      </c>
      <c r="T69" s="23" t="str">
        <f>IFERROR(INDEX(KPIDATA,MATCH(Q69,Table1[Company],0),4),"")</f>
        <v/>
      </c>
      <c r="U69" s="23" t="str">
        <f>IFERROR(INDEX(KPIDATA,MATCH(Q69,Table1[Company],0),5),"")</f>
        <v/>
      </c>
    </row>
    <row r="70" spans="1:21" x14ac:dyDescent="0.25">
      <c r="A70" t="s">
        <v>75</v>
      </c>
      <c r="B70" s="6">
        <f>INDEX(KPIDATA,ROWS($A$19:A70),$B$11+1)</f>
        <v>0.61</v>
      </c>
      <c r="C70" s="6">
        <f>INDEX(KPIDATA,ROWS($A$19:A70),$B$12+1)</f>
        <v>0.89</v>
      </c>
      <c r="M70" s="1">
        <f t="shared" si="0"/>
        <v>3</v>
      </c>
      <c r="N70" s="1" t="b">
        <f t="shared" si="1"/>
        <v>0</v>
      </c>
      <c r="O70" s="1" t="str">
        <f>IF(N70,ROWS($N$19:N70),"")</f>
        <v/>
      </c>
      <c r="P70" s="1" t="str">
        <f>IFERROR(SMALL($O$19:$O$118,ROWS($O$19:O70)),"")</f>
        <v/>
      </c>
      <c r="Q70" s="1" t="str">
        <f t="shared" si="2"/>
        <v/>
      </c>
      <c r="R70" s="23" t="str">
        <f>IFERROR(INDEX(KPIDATA,MATCH(Q70,Table1[Company],0),2),"")</f>
        <v/>
      </c>
      <c r="S70" s="23" t="str">
        <f>IFERROR(INDEX(KPIDATA,MATCH(Q70,Table1[Company],0),3),"")</f>
        <v/>
      </c>
      <c r="T70" s="23" t="str">
        <f>IFERROR(INDEX(KPIDATA,MATCH(Q70,Table1[Company],0),4),"")</f>
        <v/>
      </c>
      <c r="U70" s="23" t="str">
        <f>IFERROR(INDEX(KPIDATA,MATCH(Q70,Table1[Company],0),5),"")</f>
        <v/>
      </c>
    </row>
    <row r="71" spans="1:21" x14ac:dyDescent="0.25">
      <c r="A71" t="s">
        <v>76</v>
      </c>
      <c r="B71" s="6">
        <f>INDEX(KPIDATA,ROWS($A$19:A71),$B$11+1)</f>
        <v>0.63</v>
      </c>
      <c r="C71" s="6">
        <f>INDEX(KPIDATA,ROWS($A$19:A71),$B$12+1)</f>
        <v>0.42</v>
      </c>
      <c r="M71" s="1">
        <f t="shared" si="0"/>
        <v>5</v>
      </c>
      <c r="N71" s="1" t="b">
        <f t="shared" si="1"/>
        <v>0</v>
      </c>
      <c r="O71" s="1" t="str">
        <f>IF(N71,ROWS($N$19:N71),"")</f>
        <v/>
      </c>
      <c r="P71" s="1" t="str">
        <f>IFERROR(SMALL($O$19:$O$118,ROWS($O$19:O71)),"")</f>
        <v/>
      </c>
      <c r="Q71" s="1" t="str">
        <f t="shared" si="2"/>
        <v/>
      </c>
      <c r="R71" s="23" t="str">
        <f>IFERROR(INDEX(KPIDATA,MATCH(Q71,Table1[Company],0),2),"")</f>
        <v/>
      </c>
      <c r="S71" s="23" t="str">
        <f>IFERROR(INDEX(KPIDATA,MATCH(Q71,Table1[Company],0),3),"")</f>
        <v/>
      </c>
      <c r="T71" s="23" t="str">
        <f>IFERROR(INDEX(KPIDATA,MATCH(Q71,Table1[Company],0),4),"")</f>
        <v/>
      </c>
      <c r="U71" s="23" t="str">
        <f>IFERROR(INDEX(KPIDATA,MATCH(Q71,Table1[Company],0),5),"")</f>
        <v/>
      </c>
    </row>
    <row r="72" spans="1:21" x14ac:dyDescent="0.25">
      <c r="A72" t="s">
        <v>77</v>
      </c>
      <c r="B72" s="6">
        <f>INDEX(KPIDATA,ROWS($A$19:A72),$B$11+1)</f>
        <v>0.4</v>
      </c>
      <c r="C72" s="6">
        <f>INDEX(KPIDATA,ROWS($A$19:A72),$B$12+1)</f>
        <v>0.75</v>
      </c>
      <c r="M72" s="1">
        <f t="shared" si="0"/>
        <v>2</v>
      </c>
      <c r="N72" s="1" t="b">
        <f t="shared" si="1"/>
        <v>1</v>
      </c>
      <c r="O72" s="1">
        <f>IF(N72,ROWS($N$19:N72),"")</f>
        <v>54</v>
      </c>
      <c r="P72" s="1" t="str">
        <f>IFERROR(SMALL($O$19:$O$118,ROWS($O$19:O72)),"")</f>
        <v/>
      </c>
      <c r="Q72" s="1" t="str">
        <f t="shared" si="2"/>
        <v/>
      </c>
      <c r="R72" s="23" t="str">
        <f>IFERROR(INDEX(KPIDATA,MATCH(Q72,Table1[Company],0),2),"")</f>
        <v/>
      </c>
      <c r="S72" s="23" t="str">
        <f>IFERROR(INDEX(KPIDATA,MATCH(Q72,Table1[Company],0),3),"")</f>
        <v/>
      </c>
      <c r="T72" s="23" t="str">
        <f>IFERROR(INDEX(KPIDATA,MATCH(Q72,Table1[Company],0),4),"")</f>
        <v/>
      </c>
      <c r="U72" s="23" t="str">
        <f>IFERROR(INDEX(KPIDATA,MATCH(Q72,Table1[Company],0),5),"")</f>
        <v/>
      </c>
    </row>
    <row r="73" spans="1:21" x14ac:dyDescent="0.25">
      <c r="A73" t="s">
        <v>78</v>
      </c>
      <c r="B73" s="6">
        <f>INDEX(KPIDATA,ROWS($A$19:A73),$B$11+1)</f>
        <v>0.76</v>
      </c>
      <c r="C73" s="6">
        <f>INDEX(KPIDATA,ROWS($A$19:A73),$B$12+1)</f>
        <v>0.45</v>
      </c>
      <c r="M73" s="1">
        <f t="shared" si="0"/>
        <v>5</v>
      </c>
      <c r="N73" s="1" t="b">
        <f t="shared" si="1"/>
        <v>0</v>
      </c>
      <c r="O73" s="1" t="str">
        <f>IF(N73,ROWS($N$19:N73),"")</f>
        <v/>
      </c>
      <c r="P73" s="1" t="str">
        <f>IFERROR(SMALL($O$19:$O$118,ROWS($O$19:O73)),"")</f>
        <v/>
      </c>
      <c r="Q73" s="1" t="str">
        <f t="shared" si="2"/>
        <v/>
      </c>
      <c r="R73" s="23" t="str">
        <f>IFERROR(INDEX(KPIDATA,MATCH(Q73,Table1[Company],0),2),"")</f>
        <v/>
      </c>
      <c r="S73" s="23" t="str">
        <f>IFERROR(INDEX(KPIDATA,MATCH(Q73,Table1[Company],0),3),"")</f>
        <v/>
      </c>
      <c r="T73" s="23" t="str">
        <f>IFERROR(INDEX(KPIDATA,MATCH(Q73,Table1[Company],0),4),"")</f>
        <v/>
      </c>
      <c r="U73" s="23" t="str">
        <f>IFERROR(INDEX(KPIDATA,MATCH(Q73,Table1[Company],0),5),"")</f>
        <v/>
      </c>
    </row>
    <row r="74" spans="1:21" x14ac:dyDescent="0.25">
      <c r="A74" t="s">
        <v>79</v>
      </c>
      <c r="B74" s="6">
        <f>INDEX(KPIDATA,ROWS($A$19:A74),$B$11+1)</f>
        <v>0.46</v>
      </c>
      <c r="C74" s="6">
        <f>INDEX(KPIDATA,ROWS($A$19:A74),$B$12+1)</f>
        <v>0.12</v>
      </c>
      <c r="M74" s="1">
        <f t="shared" si="0"/>
        <v>4</v>
      </c>
      <c r="N74" s="1" t="b">
        <f t="shared" si="1"/>
        <v>0</v>
      </c>
      <c r="O74" s="1" t="str">
        <f>IF(N74,ROWS($N$19:N74),"")</f>
        <v/>
      </c>
      <c r="P74" s="1" t="str">
        <f>IFERROR(SMALL($O$19:$O$118,ROWS($O$19:O74)),"")</f>
        <v/>
      </c>
      <c r="Q74" s="1" t="str">
        <f t="shared" si="2"/>
        <v/>
      </c>
      <c r="R74" s="23" t="str">
        <f>IFERROR(INDEX(KPIDATA,MATCH(Q74,Table1[Company],0),2),"")</f>
        <v/>
      </c>
      <c r="S74" s="23" t="str">
        <f>IFERROR(INDEX(KPIDATA,MATCH(Q74,Table1[Company],0),3),"")</f>
        <v/>
      </c>
      <c r="T74" s="23" t="str">
        <f>IFERROR(INDEX(KPIDATA,MATCH(Q74,Table1[Company],0),4),"")</f>
        <v/>
      </c>
      <c r="U74" s="23" t="str">
        <f>IFERROR(INDEX(KPIDATA,MATCH(Q74,Table1[Company],0),5),"")</f>
        <v/>
      </c>
    </row>
    <row r="75" spans="1:21" x14ac:dyDescent="0.25">
      <c r="A75" t="s">
        <v>80</v>
      </c>
      <c r="B75" s="6">
        <f>INDEX(KPIDATA,ROWS($A$19:A75),$B$11+1)</f>
        <v>0.19</v>
      </c>
      <c r="C75" s="6">
        <f>INDEX(KPIDATA,ROWS($A$19:A75),$B$12+1)</f>
        <v>0.28000000000000003</v>
      </c>
      <c r="M75" s="1">
        <f t="shared" si="0"/>
        <v>4</v>
      </c>
      <c r="N75" s="1" t="b">
        <f t="shared" si="1"/>
        <v>0</v>
      </c>
      <c r="O75" s="1" t="str">
        <f>IF(N75,ROWS($N$19:N75),"")</f>
        <v/>
      </c>
      <c r="P75" s="1" t="str">
        <f>IFERROR(SMALL($O$19:$O$118,ROWS($O$19:O75)),"")</f>
        <v/>
      </c>
      <c r="Q75" s="1" t="str">
        <f t="shared" si="2"/>
        <v/>
      </c>
      <c r="R75" s="23" t="str">
        <f>IFERROR(INDEX(KPIDATA,MATCH(Q75,Table1[Company],0),2),"")</f>
        <v/>
      </c>
      <c r="S75" s="23" t="str">
        <f>IFERROR(INDEX(KPIDATA,MATCH(Q75,Table1[Company],0),3),"")</f>
        <v/>
      </c>
      <c r="T75" s="23" t="str">
        <f>IFERROR(INDEX(KPIDATA,MATCH(Q75,Table1[Company],0),4),"")</f>
        <v/>
      </c>
      <c r="U75" s="23" t="str">
        <f>IFERROR(INDEX(KPIDATA,MATCH(Q75,Table1[Company],0),5),"")</f>
        <v/>
      </c>
    </row>
    <row r="76" spans="1:21" x14ac:dyDescent="0.25">
      <c r="A76" t="s">
        <v>81</v>
      </c>
      <c r="B76" s="6">
        <f>INDEX(KPIDATA,ROWS($A$19:A76),$B$11+1)</f>
        <v>0.93</v>
      </c>
      <c r="C76" s="6">
        <f>INDEX(KPIDATA,ROWS($A$19:A76),$B$12+1)</f>
        <v>0.18</v>
      </c>
      <c r="M76" s="1">
        <f t="shared" si="0"/>
        <v>5</v>
      </c>
      <c r="N76" s="1" t="b">
        <f t="shared" si="1"/>
        <v>0</v>
      </c>
      <c r="O76" s="1" t="str">
        <f>IF(N76,ROWS($N$19:N76),"")</f>
        <v/>
      </c>
      <c r="P76" s="1" t="str">
        <f>IFERROR(SMALL($O$19:$O$118,ROWS($O$19:O76)),"")</f>
        <v/>
      </c>
      <c r="Q76" s="1" t="str">
        <f t="shared" si="2"/>
        <v/>
      </c>
      <c r="R76" s="23" t="str">
        <f>IFERROR(INDEX(KPIDATA,MATCH(Q76,Table1[Company],0),2),"")</f>
        <v/>
      </c>
      <c r="S76" s="23" t="str">
        <f>IFERROR(INDEX(KPIDATA,MATCH(Q76,Table1[Company],0),3),"")</f>
        <v/>
      </c>
      <c r="T76" s="23" t="str">
        <f>IFERROR(INDEX(KPIDATA,MATCH(Q76,Table1[Company],0),4),"")</f>
        <v/>
      </c>
      <c r="U76" s="23" t="str">
        <f>IFERROR(INDEX(KPIDATA,MATCH(Q76,Table1[Company],0),5),"")</f>
        <v/>
      </c>
    </row>
    <row r="77" spans="1:21" x14ac:dyDescent="0.25">
      <c r="A77" t="s">
        <v>82</v>
      </c>
      <c r="B77" s="6">
        <f>INDEX(KPIDATA,ROWS($A$19:A77),$B$11+1)</f>
        <v>0.86</v>
      </c>
      <c r="C77" s="6">
        <f>INDEX(KPIDATA,ROWS($A$19:A77),$B$12+1)</f>
        <v>0.63</v>
      </c>
      <c r="M77" s="1">
        <f t="shared" si="0"/>
        <v>3</v>
      </c>
      <c r="N77" s="1" t="b">
        <f t="shared" si="1"/>
        <v>0</v>
      </c>
      <c r="O77" s="1" t="str">
        <f>IF(N77,ROWS($N$19:N77),"")</f>
        <v/>
      </c>
      <c r="P77" s="1" t="str">
        <f>IFERROR(SMALL($O$19:$O$118,ROWS($O$19:O77)),"")</f>
        <v/>
      </c>
      <c r="Q77" s="1" t="str">
        <f t="shared" si="2"/>
        <v/>
      </c>
      <c r="R77" s="23" t="str">
        <f>IFERROR(INDEX(KPIDATA,MATCH(Q77,Table1[Company],0),2),"")</f>
        <v/>
      </c>
      <c r="S77" s="23" t="str">
        <f>IFERROR(INDEX(KPIDATA,MATCH(Q77,Table1[Company],0),3),"")</f>
        <v/>
      </c>
      <c r="T77" s="23" t="str">
        <f>IFERROR(INDEX(KPIDATA,MATCH(Q77,Table1[Company],0),4),"")</f>
        <v/>
      </c>
      <c r="U77" s="23" t="str">
        <f>IFERROR(INDEX(KPIDATA,MATCH(Q77,Table1[Company],0),5),"")</f>
        <v/>
      </c>
    </row>
    <row r="78" spans="1:21" x14ac:dyDescent="0.25">
      <c r="A78" t="s">
        <v>83</v>
      </c>
      <c r="B78" s="6">
        <f>INDEX(KPIDATA,ROWS($A$19:A78),$B$11+1)</f>
        <v>0.81</v>
      </c>
      <c r="C78" s="6">
        <f>INDEX(KPIDATA,ROWS($A$19:A78),$B$12+1)</f>
        <v>0.69</v>
      </c>
      <c r="M78" s="1">
        <f t="shared" si="0"/>
        <v>3</v>
      </c>
      <c r="N78" s="1" t="b">
        <f t="shared" si="1"/>
        <v>0</v>
      </c>
      <c r="O78" s="1" t="str">
        <f>IF(N78,ROWS($N$19:N78),"")</f>
        <v/>
      </c>
      <c r="P78" s="1" t="str">
        <f>IFERROR(SMALL($O$19:$O$118,ROWS($O$19:O78)),"")</f>
        <v/>
      </c>
      <c r="Q78" s="1" t="str">
        <f t="shared" si="2"/>
        <v/>
      </c>
      <c r="R78" s="23" t="str">
        <f>IFERROR(INDEX(KPIDATA,MATCH(Q78,Table1[Company],0),2),"")</f>
        <v/>
      </c>
      <c r="S78" s="23" t="str">
        <f>IFERROR(INDEX(KPIDATA,MATCH(Q78,Table1[Company],0),3),"")</f>
        <v/>
      </c>
      <c r="T78" s="23" t="str">
        <f>IFERROR(INDEX(KPIDATA,MATCH(Q78,Table1[Company],0),4),"")</f>
        <v/>
      </c>
      <c r="U78" s="23" t="str">
        <f>IFERROR(INDEX(KPIDATA,MATCH(Q78,Table1[Company],0),5),"")</f>
        <v/>
      </c>
    </row>
    <row r="79" spans="1:21" x14ac:dyDescent="0.25">
      <c r="A79" t="s">
        <v>84</v>
      </c>
      <c r="B79" s="6">
        <f>INDEX(KPIDATA,ROWS($A$19:A79),$B$11+1)</f>
        <v>0.11</v>
      </c>
      <c r="C79" s="6">
        <f>INDEX(KPIDATA,ROWS($A$19:A79),$B$12+1)</f>
        <v>0.42</v>
      </c>
      <c r="M79" s="1">
        <f t="shared" si="0"/>
        <v>4</v>
      </c>
      <c r="N79" s="1" t="b">
        <f t="shared" si="1"/>
        <v>0</v>
      </c>
      <c r="O79" s="1" t="str">
        <f>IF(N79,ROWS($N$19:N79),"")</f>
        <v/>
      </c>
      <c r="P79" s="1" t="str">
        <f>IFERROR(SMALL($O$19:$O$118,ROWS($O$19:O79)),"")</f>
        <v/>
      </c>
      <c r="Q79" s="1" t="str">
        <f t="shared" si="2"/>
        <v/>
      </c>
      <c r="R79" s="23" t="str">
        <f>IFERROR(INDEX(KPIDATA,MATCH(Q79,Table1[Company],0),2),"")</f>
        <v/>
      </c>
      <c r="S79" s="23" t="str">
        <f>IFERROR(INDEX(KPIDATA,MATCH(Q79,Table1[Company],0),3),"")</f>
        <v/>
      </c>
      <c r="T79" s="23" t="str">
        <f>IFERROR(INDEX(KPIDATA,MATCH(Q79,Table1[Company],0),4),"")</f>
        <v/>
      </c>
      <c r="U79" s="23" t="str">
        <f>IFERROR(INDEX(KPIDATA,MATCH(Q79,Table1[Company],0),5),"")</f>
        <v/>
      </c>
    </row>
    <row r="80" spans="1:21" x14ac:dyDescent="0.25">
      <c r="A80" t="s">
        <v>85</v>
      </c>
      <c r="B80" s="6">
        <f>INDEX(KPIDATA,ROWS($A$19:A80),$B$11+1)</f>
        <v>0.57999999999999996</v>
      </c>
      <c r="C80" s="6">
        <f>INDEX(KPIDATA,ROWS($A$19:A80),$B$12+1)</f>
        <v>0.31</v>
      </c>
      <c r="M80" s="1">
        <f t="shared" si="0"/>
        <v>5</v>
      </c>
      <c r="N80" s="1" t="b">
        <f t="shared" si="1"/>
        <v>0</v>
      </c>
      <c r="O80" s="1" t="str">
        <f>IF(N80,ROWS($N$19:N80),"")</f>
        <v/>
      </c>
      <c r="P80" s="1" t="str">
        <f>IFERROR(SMALL($O$19:$O$118,ROWS($O$19:O80)),"")</f>
        <v/>
      </c>
      <c r="Q80" s="1" t="str">
        <f t="shared" si="2"/>
        <v/>
      </c>
      <c r="R80" s="23" t="str">
        <f>IFERROR(INDEX(KPIDATA,MATCH(Q80,Table1[Company],0),2),"")</f>
        <v/>
      </c>
      <c r="S80" s="23" t="str">
        <f>IFERROR(INDEX(KPIDATA,MATCH(Q80,Table1[Company],0),3),"")</f>
        <v/>
      </c>
      <c r="T80" s="23" t="str">
        <f>IFERROR(INDEX(KPIDATA,MATCH(Q80,Table1[Company],0),4),"")</f>
        <v/>
      </c>
      <c r="U80" s="23" t="str">
        <f>IFERROR(INDEX(KPIDATA,MATCH(Q80,Table1[Company],0),5),"")</f>
        <v/>
      </c>
    </row>
    <row r="81" spans="1:21" x14ac:dyDescent="0.25">
      <c r="A81" t="s">
        <v>86</v>
      </c>
      <c r="B81" s="6">
        <f>INDEX(KPIDATA,ROWS($A$19:A81),$B$11+1)</f>
        <v>0.93</v>
      </c>
      <c r="C81" s="6">
        <f>INDEX(KPIDATA,ROWS($A$19:A81),$B$12+1)</f>
        <v>0.54</v>
      </c>
      <c r="M81" s="1">
        <f t="shared" si="0"/>
        <v>3</v>
      </c>
      <c r="N81" s="1" t="b">
        <f t="shared" si="1"/>
        <v>0</v>
      </c>
      <c r="O81" s="1" t="str">
        <f>IF(N81,ROWS($N$19:N81),"")</f>
        <v/>
      </c>
      <c r="P81" s="1" t="str">
        <f>IFERROR(SMALL($O$19:$O$118,ROWS($O$19:O81)),"")</f>
        <v/>
      </c>
      <c r="Q81" s="1" t="str">
        <f t="shared" si="2"/>
        <v/>
      </c>
      <c r="R81" s="23" t="str">
        <f>IFERROR(INDEX(KPIDATA,MATCH(Q81,Table1[Company],0),2),"")</f>
        <v/>
      </c>
      <c r="S81" s="23" t="str">
        <f>IFERROR(INDEX(KPIDATA,MATCH(Q81,Table1[Company],0),3),"")</f>
        <v/>
      </c>
      <c r="T81" s="23" t="str">
        <f>IFERROR(INDEX(KPIDATA,MATCH(Q81,Table1[Company],0),4),"")</f>
        <v/>
      </c>
      <c r="U81" s="23" t="str">
        <f>IFERROR(INDEX(KPIDATA,MATCH(Q81,Table1[Company],0),5),"")</f>
        <v/>
      </c>
    </row>
    <row r="82" spans="1:21" x14ac:dyDescent="0.25">
      <c r="A82" t="s">
        <v>87</v>
      </c>
      <c r="B82" s="6">
        <f>INDEX(KPIDATA,ROWS($A$19:A82),$B$11+1)</f>
        <v>0.72</v>
      </c>
      <c r="C82" s="6">
        <f>INDEX(KPIDATA,ROWS($A$19:A82),$B$12+1)</f>
        <v>0.81</v>
      </c>
      <c r="M82" s="1">
        <f t="shared" si="0"/>
        <v>3</v>
      </c>
      <c r="N82" s="1" t="b">
        <f t="shared" si="1"/>
        <v>0</v>
      </c>
      <c r="O82" s="1" t="str">
        <f>IF(N82,ROWS($N$19:N82),"")</f>
        <v/>
      </c>
      <c r="P82" s="1" t="str">
        <f>IFERROR(SMALL($O$19:$O$118,ROWS($O$19:O82)),"")</f>
        <v/>
      </c>
      <c r="Q82" s="1" t="str">
        <f t="shared" si="2"/>
        <v/>
      </c>
      <c r="R82" s="23" t="str">
        <f>IFERROR(INDEX(KPIDATA,MATCH(Q82,Table1[Company],0),2),"")</f>
        <v/>
      </c>
      <c r="S82" s="23" t="str">
        <f>IFERROR(INDEX(KPIDATA,MATCH(Q82,Table1[Company],0),3),"")</f>
        <v/>
      </c>
      <c r="T82" s="23" t="str">
        <f>IFERROR(INDEX(KPIDATA,MATCH(Q82,Table1[Company],0),4),"")</f>
        <v/>
      </c>
      <c r="U82" s="23" t="str">
        <f>IFERROR(INDEX(KPIDATA,MATCH(Q82,Table1[Company],0),5),"")</f>
        <v/>
      </c>
    </row>
    <row r="83" spans="1:21" x14ac:dyDescent="0.25">
      <c r="A83" t="s">
        <v>88</v>
      </c>
      <c r="B83" s="6">
        <f>INDEX(KPIDATA,ROWS($A$19:A83),$B$11+1)</f>
        <v>0.47</v>
      </c>
      <c r="C83" s="6">
        <f>INDEX(KPIDATA,ROWS($A$19:A83),$B$12+1)</f>
        <v>0.27</v>
      </c>
      <c r="M83" s="1">
        <f t="shared" si="0"/>
        <v>4</v>
      </c>
      <c r="N83" s="1" t="b">
        <f t="shared" si="1"/>
        <v>0</v>
      </c>
      <c r="O83" s="1" t="str">
        <f>IF(N83,ROWS($N$19:N83),"")</f>
        <v/>
      </c>
      <c r="P83" s="1" t="str">
        <f>IFERROR(SMALL($O$19:$O$118,ROWS($O$19:O83)),"")</f>
        <v/>
      </c>
      <c r="Q83" s="1" t="str">
        <f t="shared" si="2"/>
        <v/>
      </c>
      <c r="R83" s="23" t="str">
        <f>IFERROR(INDEX(KPIDATA,MATCH(Q83,Table1[Company],0),2),"")</f>
        <v/>
      </c>
      <c r="S83" s="23" t="str">
        <f>IFERROR(INDEX(KPIDATA,MATCH(Q83,Table1[Company],0),3),"")</f>
        <v/>
      </c>
      <c r="T83" s="23" t="str">
        <f>IFERROR(INDEX(KPIDATA,MATCH(Q83,Table1[Company],0),4),"")</f>
        <v/>
      </c>
      <c r="U83" s="23" t="str">
        <f>IFERROR(INDEX(KPIDATA,MATCH(Q83,Table1[Company],0),5),"")</f>
        <v/>
      </c>
    </row>
    <row r="84" spans="1:21" x14ac:dyDescent="0.25">
      <c r="A84" t="s">
        <v>89</v>
      </c>
      <c r="B84" s="6">
        <f>INDEX(KPIDATA,ROWS($A$19:A84),$B$11+1)</f>
        <v>0.17</v>
      </c>
      <c r="C84" s="6">
        <f>INDEX(KPIDATA,ROWS($A$19:A84),$B$12+1)</f>
        <v>0.73</v>
      </c>
      <c r="M84" s="1">
        <f t="shared" ref="M84:M118" si="3">IF(B84&gt;0.5,IF(C84&gt;0.5,3,5),IF(C84&gt;0.5,2,4))</f>
        <v>2</v>
      </c>
      <c r="N84" s="1" t="b">
        <f t="shared" ref="N84:N118" si="4">IF($B$14=1,TRUE,IF($B$14=M84,TRUE,FALSE))</f>
        <v>1</v>
      </c>
      <c r="O84" s="1">
        <f>IF(N84,ROWS($N$19:N84),"")</f>
        <v>66</v>
      </c>
      <c r="P84" s="1" t="str">
        <f>IFERROR(SMALL($O$19:$O$118,ROWS($O$19:O84)),"")</f>
        <v/>
      </c>
      <c r="Q84" s="1" t="str">
        <f t="shared" ref="Q84:Q118" si="5">IFERROR(INDEX($A$19:$A$118,P84),"")</f>
        <v/>
      </c>
      <c r="R84" s="23" t="str">
        <f>IFERROR(INDEX(KPIDATA,MATCH(Q84,Table1[Company],0),2),"")</f>
        <v/>
      </c>
      <c r="S84" s="23" t="str">
        <f>IFERROR(INDEX(KPIDATA,MATCH(Q84,Table1[Company],0),3),"")</f>
        <v/>
      </c>
      <c r="T84" s="23" t="str">
        <f>IFERROR(INDEX(KPIDATA,MATCH(Q84,Table1[Company],0),4),"")</f>
        <v/>
      </c>
      <c r="U84" s="23" t="str">
        <f>IFERROR(INDEX(KPIDATA,MATCH(Q84,Table1[Company],0),5),"")</f>
        <v/>
      </c>
    </row>
    <row r="85" spans="1:21" x14ac:dyDescent="0.25">
      <c r="A85" t="s">
        <v>90</v>
      </c>
      <c r="B85" s="6">
        <f>INDEX(KPIDATA,ROWS($A$19:A85),$B$11+1)</f>
        <v>0.21</v>
      </c>
      <c r="C85" s="6">
        <f>INDEX(KPIDATA,ROWS($A$19:A85),$B$12+1)</f>
        <v>0.5</v>
      </c>
      <c r="M85" s="1">
        <f t="shared" si="3"/>
        <v>4</v>
      </c>
      <c r="N85" s="1" t="b">
        <f t="shared" si="4"/>
        <v>0</v>
      </c>
      <c r="O85" s="1" t="str">
        <f>IF(N85,ROWS($N$19:N85),"")</f>
        <v/>
      </c>
      <c r="P85" s="1" t="str">
        <f>IFERROR(SMALL($O$19:$O$118,ROWS($O$19:O85)),"")</f>
        <v/>
      </c>
      <c r="Q85" s="1" t="str">
        <f t="shared" si="5"/>
        <v/>
      </c>
      <c r="R85" s="23" t="str">
        <f>IFERROR(INDEX(KPIDATA,MATCH(Q85,Table1[Company],0),2),"")</f>
        <v/>
      </c>
      <c r="S85" s="23" t="str">
        <f>IFERROR(INDEX(KPIDATA,MATCH(Q85,Table1[Company],0),3),"")</f>
        <v/>
      </c>
      <c r="T85" s="23" t="str">
        <f>IFERROR(INDEX(KPIDATA,MATCH(Q85,Table1[Company],0),4),"")</f>
        <v/>
      </c>
      <c r="U85" s="23" t="str">
        <f>IFERROR(INDEX(KPIDATA,MATCH(Q85,Table1[Company],0),5),"")</f>
        <v/>
      </c>
    </row>
    <row r="86" spans="1:21" x14ac:dyDescent="0.25">
      <c r="A86" t="s">
        <v>91</v>
      </c>
      <c r="B86" s="6">
        <f>INDEX(KPIDATA,ROWS($A$19:A86),$B$11+1)</f>
        <v>0.11</v>
      </c>
      <c r="C86" s="6">
        <f>INDEX(KPIDATA,ROWS($A$19:A86),$B$12+1)</f>
        <v>0.24</v>
      </c>
      <c r="M86" s="1">
        <f t="shared" si="3"/>
        <v>4</v>
      </c>
      <c r="N86" s="1" t="b">
        <f t="shared" si="4"/>
        <v>0</v>
      </c>
      <c r="O86" s="1" t="str">
        <f>IF(N86,ROWS($N$19:N86),"")</f>
        <v/>
      </c>
      <c r="P86" s="1" t="str">
        <f>IFERROR(SMALL($O$19:$O$118,ROWS($O$19:O86)),"")</f>
        <v/>
      </c>
      <c r="Q86" s="1" t="str">
        <f t="shared" si="5"/>
        <v/>
      </c>
      <c r="R86" s="23" t="str">
        <f>IFERROR(INDEX(KPIDATA,MATCH(Q86,Table1[Company],0),2),"")</f>
        <v/>
      </c>
      <c r="S86" s="23" t="str">
        <f>IFERROR(INDEX(KPIDATA,MATCH(Q86,Table1[Company],0),3),"")</f>
        <v/>
      </c>
      <c r="T86" s="23" t="str">
        <f>IFERROR(INDEX(KPIDATA,MATCH(Q86,Table1[Company],0),4),"")</f>
        <v/>
      </c>
      <c r="U86" s="23" t="str">
        <f>IFERROR(INDEX(KPIDATA,MATCH(Q86,Table1[Company],0),5),"")</f>
        <v/>
      </c>
    </row>
    <row r="87" spans="1:21" x14ac:dyDescent="0.25">
      <c r="A87" t="s">
        <v>92</v>
      </c>
      <c r="B87" s="6">
        <f>INDEX(KPIDATA,ROWS($A$19:A87),$B$11+1)</f>
        <v>0.2</v>
      </c>
      <c r="C87" s="6">
        <f>INDEX(KPIDATA,ROWS($A$19:A87),$B$12+1)</f>
        <v>0.19</v>
      </c>
      <c r="M87" s="1">
        <f t="shared" si="3"/>
        <v>4</v>
      </c>
      <c r="N87" s="1" t="b">
        <f t="shared" si="4"/>
        <v>0</v>
      </c>
      <c r="O87" s="1" t="str">
        <f>IF(N87,ROWS($N$19:N87),"")</f>
        <v/>
      </c>
      <c r="P87" s="1" t="str">
        <f>IFERROR(SMALL($O$19:$O$118,ROWS($O$19:O87)),"")</f>
        <v/>
      </c>
      <c r="Q87" s="1" t="str">
        <f t="shared" si="5"/>
        <v/>
      </c>
      <c r="R87" s="23" t="str">
        <f>IFERROR(INDEX(KPIDATA,MATCH(Q87,Table1[Company],0),2),"")</f>
        <v/>
      </c>
      <c r="S87" s="23" t="str">
        <f>IFERROR(INDEX(KPIDATA,MATCH(Q87,Table1[Company],0),3),"")</f>
        <v/>
      </c>
      <c r="T87" s="23" t="str">
        <f>IFERROR(INDEX(KPIDATA,MATCH(Q87,Table1[Company],0),4),"")</f>
        <v/>
      </c>
      <c r="U87" s="23" t="str">
        <f>IFERROR(INDEX(KPIDATA,MATCH(Q87,Table1[Company],0),5),"")</f>
        <v/>
      </c>
    </row>
    <row r="88" spans="1:21" x14ac:dyDescent="0.25">
      <c r="A88" t="s">
        <v>93</v>
      </c>
      <c r="B88" s="6">
        <f>INDEX(KPIDATA,ROWS($A$19:A88),$B$11+1)</f>
        <v>0.49</v>
      </c>
      <c r="C88" s="6">
        <f>INDEX(KPIDATA,ROWS($A$19:A88),$B$12+1)</f>
        <v>0.56999999999999995</v>
      </c>
      <c r="M88" s="1">
        <f t="shared" si="3"/>
        <v>2</v>
      </c>
      <c r="N88" s="1" t="b">
        <f t="shared" si="4"/>
        <v>1</v>
      </c>
      <c r="O88" s="1">
        <f>IF(N88,ROWS($N$19:N88),"")</f>
        <v>70</v>
      </c>
      <c r="P88" s="1" t="str">
        <f>IFERROR(SMALL($O$19:$O$118,ROWS($O$19:O88)),"")</f>
        <v/>
      </c>
      <c r="Q88" s="1" t="str">
        <f t="shared" si="5"/>
        <v/>
      </c>
      <c r="R88" s="23" t="str">
        <f>IFERROR(INDEX(KPIDATA,MATCH(Q88,Table1[Company],0),2),"")</f>
        <v/>
      </c>
      <c r="S88" s="23" t="str">
        <f>IFERROR(INDEX(KPIDATA,MATCH(Q88,Table1[Company],0),3),"")</f>
        <v/>
      </c>
      <c r="T88" s="23" t="str">
        <f>IFERROR(INDEX(KPIDATA,MATCH(Q88,Table1[Company],0),4),"")</f>
        <v/>
      </c>
      <c r="U88" s="23" t="str">
        <f>IFERROR(INDEX(KPIDATA,MATCH(Q88,Table1[Company],0),5),"")</f>
        <v/>
      </c>
    </row>
    <row r="89" spans="1:21" x14ac:dyDescent="0.25">
      <c r="A89" t="s">
        <v>94</v>
      </c>
      <c r="B89" s="6">
        <f>INDEX(KPIDATA,ROWS($A$19:A89),$B$11+1)</f>
        <v>0.79</v>
      </c>
      <c r="C89" s="6">
        <f>INDEX(KPIDATA,ROWS($A$19:A89),$B$12+1)</f>
        <v>0.9</v>
      </c>
      <c r="M89" s="1">
        <f t="shared" si="3"/>
        <v>3</v>
      </c>
      <c r="N89" s="1" t="b">
        <f t="shared" si="4"/>
        <v>0</v>
      </c>
      <c r="O89" s="1" t="str">
        <f>IF(N89,ROWS($N$19:N89),"")</f>
        <v/>
      </c>
      <c r="P89" s="1" t="str">
        <f>IFERROR(SMALL($O$19:$O$118,ROWS($O$19:O89)),"")</f>
        <v/>
      </c>
      <c r="Q89" s="1" t="str">
        <f t="shared" si="5"/>
        <v/>
      </c>
      <c r="R89" s="23" t="str">
        <f>IFERROR(INDEX(KPIDATA,MATCH(Q89,Table1[Company],0),2),"")</f>
        <v/>
      </c>
      <c r="S89" s="23" t="str">
        <f>IFERROR(INDEX(KPIDATA,MATCH(Q89,Table1[Company],0),3),"")</f>
        <v/>
      </c>
      <c r="T89" s="23" t="str">
        <f>IFERROR(INDEX(KPIDATA,MATCH(Q89,Table1[Company],0),4),"")</f>
        <v/>
      </c>
      <c r="U89" s="23" t="str">
        <f>IFERROR(INDEX(KPIDATA,MATCH(Q89,Table1[Company],0),5),"")</f>
        <v/>
      </c>
    </row>
    <row r="90" spans="1:21" x14ac:dyDescent="0.25">
      <c r="A90" t="s">
        <v>95</v>
      </c>
      <c r="B90" s="6">
        <f>INDEX(KPIDATA,ROWS($A$19:A90),$B$11+1)</f>
        <v>0.96</v>
      </c>
      <c r="C90" s="6">
        <f>INDEX(KPIDATA,ROWS($A$19:A90),$B$12+1)</f>
        <v>0.42</v>
      </c>
      <c r="M90" s="1">
        <f t="shared" si="3"/>
        <v>5</v>
      </c>
      <c r="N90" s="1" t="b">
        <f t="shared" si="4"/>
        <v>0</v>
      </c>
      <c r="O90" s="1" t="str">
        <f>IF(N90,ROWS($N$19:N90),"")</f>
        <v/>
      </c>
      <c r="P90" s="1" t="str">
        <f>IFERROR(SMALL($O$19:$O$118,ROWS($O$19:O90)),"")</f>
        <v/>
      </c>
      <c r="Q90" s="1" t="str">
        <f t="shared" si="5"/>
        <v/>
      </c>
      <c r="R90" s="23" t="str">
        <f>IFERROR(INDEX(KPIDATA,MATCH(Q90,Table1[Company],0),2),"")</f>
        <v/>
      </c>
      <c r="S90" s="23" t="str">
        <f>IFERROR(INDEX(KPIDATA,MATCH(Q90,Table1[Company],0),3),"")</f>
        <v/>
      </c>
      <c r="T90" s="23" t="str">
        <f>IFERROR(INDEX(KPIDATA,MATCH(Q90,Table1[Company],0),4),"")</f>
        <v/>
      </c>
      <c r="U90" s="23" t="str">
        <f>IFERROR(INDEX(KPIDATA,MATCH(Q90,Table1[Company],0),5),"")</f>
        <v/>
      </c>
    </row>
    <row r="91" spans="1:21" x14ac:dyDescent="0.25">
      <c r="A91" t="s">
        <v>96</v>
      </c>
      <c r="B91" s="6">
        <f>INDEX(KPIDATA,ROWS($A$19:A91),$B$11+1)</f>
        <v>0.31</v>
      </c>
      <c r="C91" s="6">
        <f>INDEX(KPIDATA,ROWS($A$19:A91),$B$12+1)</f>
        <v>0.5</v>
      </c>
      <c r="M91" s="1">
        <f t="shared" si="3"/>
        <v>4</v>
      </c>
      <c r="N91" s="1" t="b">
        <f t="shared" si="4"/>
        <v>0</v>
      </c>
      <c r="O91" s="1" t="str">
        <f>IF(N91,ROWS($N$19:N91),"")</f>
        <v/>
      </c>
      <c r="P91" s="1" t="str">
        <f>IFERROR(SMALL($O$19:$O$118,ROWS($O$19:O91)),"")</f>
        <v/>
      </c>
      <c r="Q91" s="1" t="str">
        <f t="shared" si="5"/>
        <v/>
      </c>
      <c r="R91" s="23" t="str">
        <f>IFERROR(INDEX(KPIDATA,MATCH(Q91,Table1[Company],0),2),"")</f>
        <v/>
      </c>
      <c r="S91" s="23" t="str">
        <f>IFERROR(INDEX(KPIDATA,MATCH(Q91,Table1[Company],0),3),"")</f>
        <v/>
      </c>
      <c r="T91" s="23" t="str">
        <f>IFERROR(INDEX(KPIDATA,MATCH(Q91,Table1[Company],0),4),"")</f>
        <v/>
      </c>
      <c r="U91" s="23" t="str">
        <f>IFERROR(INDEX(KPIDATA,MATCH(Q91,Table1[Company],0),5),"")</f>
        <v/>
      </c>
    </row>
    <row r="92" spans="1:21" x14ac:dyDescent="0.25">
      <c r="A92" t="s">
        <v>97</v>
      </c>
      <c r="B92" s="6">
        <f>INDEX(KPIDATA,ROWS($A$19:A92),$B$11+1)</f>
        <v>0.76</v>
      </c>
      <c r="C92" s="6">
        <f>INDEX(KPIDATA,ROWS($A$19:A92),$B$12+1)</f>
        <v>0.84</v>
      </c>
      <c r="M92" s="1">
        <f t="shared" si="3"/>
        <v>3</v>
      </c>
      <c r="N92" s="1" t="b">
        <f t="shared" si="4"/>
        <v>0</v>
      </c>
      <c r="O92" s="1" t="str">
        <f>IF(N92,ROWS($N$19:N92),"")</f>
        <v/>
      </c>
      <c r="P92" s="1" t="str">
        <f>IFERROR(SMALL($O$19:$O$118,ROWS($O$19:O92)),"")</f>
        <v/>
      </c>
      <c r="Q92" s="1" t="str">
        <f t="shared" si="5"/>
        <v/>
      </c>
      <c r="R92" s="23" t="str">
        <f>IFERROR(INDEX(KPIDATA,MATCH(Q92,Table1[Company],0),2),"")</f>
        <v/>
      </c>
      <c r="S92" s="23" t="str">
        <f>IFERROR(INDEX(KPIDATA,MATCH(Q92,Table1[Company],0),3),"")</f>
        <v/>
      </c>
      <c r="T92" s="23" t="str">
        <f>IFERROR(INDEX(KPIDATA,MATCH(Q92,Table1[Company],0),4),"")</f>
        <v/>
      </c>
      <c r="U92" s="23" t="str">
        <f>IFERROR(INDEX(KPIDATA,MATCH(Q92,Table1[Company],0),5),"")</f>
        <v/>
      </c>
    </row>
    <row r="93" spans="1:21" x14ac:dyDescent="0.25">
      <c r="A93" t="s">
        <v>98</v>
      </c>
      <c r="B93" s="6">
        <f>INDEX(KPIDATA,ROWS($A$19:A93),$B$11+1)</f>
        <v>0.96</v>
      </c>
      <c r="C93" s="6">
        <f>INDEX(KPIDATA,ROWS($A$19:A93),$B$12+1)</f>
        <v>0.72</v>
      </c>
      <c r="M93" s="1">
        <f t="shared" si="3"/>
        <v>3</v>
      </c>
      <c r="N93" s="1" t="b">
        <f t="shared" si="4"/>
        <v>0</v>
      </c>
      <c r="O93" s="1" t="str">
        <f>IF(N93,ROWS($N$19:N93),"")</f>
        <v/>
      </c>
      <c r="P93" s="1" t="str">
        <f>IFERROR(SMALL($O$19:$O$118,ROWS($O$19:O93)),"")</f>
        <v/>
      </c>
      <c r="Q93" s="1" t="str">
        <f t="shared" si="5"/>
        <v/>
      </c>
      <c r="R93" s="23" t="str">
        <f>IFERROR(INDEX(KPIDATA,MATCH(Q93,Table1[Company],0),2),"")</f>
        <v/>
      </c>
      <c r="S93" s="23" t="str">
        <f>IFERROR(INDEX(KPIDATA,MATCH(Q93,Table1[Company],0),3),"")</f>
        <v/>
      </c>
      <c r="T93" s="23" t="str">
        <f>IFERROR(INDEX(KPIDATA,MATCH(Q93,Table1[Company],0),4),"")</f>
        <v/>
      </c>
      <c r="U93" s="23" t="str">
        <f>IFERROR(INDEX(KPIDATA,MATCH(Q93,Table1[Company],0),5),"")</f>
        <v/>
      </c>
    </row>
    <row r="94" spans="1:21" x14ac:dyDescent="0.25">
      <c r="A94" t="s">
        <v>99</v>
      </c>
      <c r="B94" s="6">
        <f>INDEX(KPIDATA,ROWS($A$19:A94),$B$11+1)</f>
        <v>0.52</v>
      </c>
      <c r="C94" s="6">
        <f>INDEX(KPIDATA,ROWS($A$19:A94),$B$12+1)</f>
        <v>0.62</v>
      </c>
      <c r="M94" s="1">
        <f t="shared" si="3"/>
        <v>3</v>
      </c>
      <c r="N94" s="1" t="b">
        <f t="shared" si="4"/>
        <v>0</v>
      </c>
      <c r="O94" s="1" t="str">
        <f>IF(N94,ROWS($N$19:N94),"")</f>
        <v/>
      </c>
      <c r="P94" s="1" t="str">
        <f>IFERROR(SMALL($O$19:$O$118,ROWS($O$19:O94)),"")</f>
        <v/>
      </c>
      <c r="Q94" s="1" t="str">
        <f t="shared" si="5"/>
        <v/>
      </c>
      <c r="R94" s="23" t="str">
        <f>IFERROR(INDEX(KPIDATA,MATCH(Q94,Table1[Company],0),2),"")</f>
        <v/>
      </c>
      <c r="S94" s="23" t="str">
        <f>IFERROR(INDEX(KPIDATA,MATCH(Q94,Table1[Company],0),3),"")</f>
        <v/>
      </c>
      <c r="T94" s="23" t="str">
        <f>IFERROR(INDEX(KPIDATA,MATCH(Q94,Table1[Company],0),4),"")</f>
        <v/>
      </c>
      <c r="U94" s="23" t="str">
        <f>IFERROR(INDEX(KPIDATA,MATCH(Q94,Table1[Company],0),5),"")</f>
        <v/>
      </c>
    </row>
    <row r="95" spans="1:21" x14ac:dyDescent="0.25">
      <c r="A95" t="s">
        <v>100</v>
      </c>
      <c r="B95" s="6">
        <f>INDEX(KPIDATA,ROWS($A$19:A95),$B$11+1)</f>
        <v>0.63</v>
      </c>
      <c r="C95" s="6">
        <f>INDEX(KPIDATA,ROWS($A$19:A95),$B$12+1)</f>
        <v>0.78</v>
      </c>
      <c r="M95" s="1">
        <f t="shared" si="3"/>
        <v>3</v>
      </c>
      <c r="N95" s="1" t="b">
        <f t="shared" si="4"/>
        <v>0</v>
      </c>
      <c r="O95" s="1" t="str">
        <f>IF(N95,ROWS($N$19:N95),"")</f>
        <v/>
      </c>
      <c r="P95" s="1" t="str">
        <f>IFERROR(SMALL($O$19:$O$118,ROWS($O$19:O95)),"")</f>
        <v/>
      </c>
      <c r="Q95" s="1" t="str">
        <f t="shared" si="5"/>
        <v/>
      </c>
      <c r="R95" s="23" t="str">
        <f>IFERROR(INDEX(KPIDATA,MATCH(Q95,Table1[Company],0),2),"")</f>
        <v/>
      </c>
      <c r="S95" s="23" t="str">
        <f>IFERROR(INDEX(KPIDATA,MATCH(Q95,Table1[Company],0),3),"")</f>
        <v/>
      </c>
      <c r="T95" s="23" t="str">
        <f>IFERROR(INDEX(KPIDATA,MATCH(Q95,Table1[Company],0),4),"")</f>
        <v/>
      </c>
      <c r="U95" s="23" t="str">
        <f>IFERROR(INDEX(KPIDATA,MATCH(Q95,Table1[Company],0),5),"")</f>
        <v/>
      </c>
    </row>
    <row r="96" spans="1:21" x14ac:dyDescent="0.25">
      <c r="A96" t="s">
        <v>101</v>
      </c>
      <c r="B96" s="6">
        <f>INDEX(KPIDATA,ROWS($A$19:A96),$B$11+1)</f>
        <v>0.71</v>
      </c>
      <c r="C96" s="6">
        <f>INDEX(KPIDATA,ROWS($A$19:A96),$B$12+1)</f>
        <v>0.69</v>
      </c>
      <c r="M96" s="1">
        <f t="shared" si="3"/>
        <v>3</v>
      </c>
      <c r="N96" s="1" t="b">
        <f t="shared" si="4"/>
        <v>0</v>
      </c>
      <c r="O96" s="1" t="str">
        <f>IF(N96,ROWS($N$19:N96),"")</f>
        <v/>
      </c>
      <c r="P96" s="1" t="str">
        <f>IFERROR(SMALL($O$19:$O$118,ROWS($O$19:O96)),"")</f>
        <v/>
      </c>
      <c r="Q96" s="1" t="str">
        <f t="shared" si="5"/>
        <v/>
      </c>
      <c r="R96" s="23" t="str">
        <f>IFERROR(INDEX(KPIDATA,MATCH(Q96,Table1[Company],0),2),"")</f>
        <v/>
      </c>
      <c r="S96" s="23" t="str">
        <f>IFERROR(INDEX(KPIDATA,MATCH(Q96,Table1[Company],0),3),"")</f>
        <v/>
      </c>
      <c r="T96" s="23" t="str">
        <f>IFERROR(INDEX(KPIDATA,MATCH(Q96,Table1[Company],0),4),"")</f>
        <v/>
      </c>
      <c r="U96" s="23" t="str">
        <f>IFERROR(INDEX(KPIDATA,MATCH(Q96,Table1[Company],0),5),"")</f>
        <v/>
      </c>
    </row>
    <row r="97" spans="1:21" x14ac:dyDescent="0.25">
      <c r="A97" t="s">
        <v>102</v>
      </c>
      <c r="B97" s="6">
        <f>INDEX(KPIDATA,ROWS($A$19:A97),$B$11+1)</f>
        <v>0.88</v>
      </c>
      <c r="C97" s="6">
        <f>INDEX(KPIDATA,ROWS($A$19:A97),$B$12+1)</f>
        <v>0.71</v>
      </c>
      <c r="M97" s="1">
        <f t="shared" si="3"/>
        <v>3</v>
      </c>
      <c r="N97" s="1" t="b">
        <f t="shared" si="4"/>
        <v>0</v>
      </c>
      <c r="O97" s="1" t="str">
        <f>IF(N97,ROWS($N$19:N97),"")</f>
        <v/>
      </c>
      <c r="P97" s="1" t="str">
        <f>IFERROR(SMALL($O$19:$O$118,ROWS($O$19:O97)),"")</f>
        <v/>
      </c>
      <c r="Q97" s="1" t="str">
        <f t="shared" si="5"/>
        <v/>
      </c>
      <c r="R97" s="23" t="str">
        <f>IFERROR(INDEX(KPIDATA,MATCH(Q97,Table1[Company],0),2),"")</f>
        <v/>
      </c>
      <c r="S97" s="23" t="str">
        <f>IFERROR(INDEX(KPIDATA,MATCH(Q97,Table1[Company],0),3),"")</f>
        <v/>
      </c>
      <c r="T97" s="23" t="str">
        <f>IFERROR(INDEX(KPIDATA,MATCH(Q97,Table1[Company],0),4),"")</f>
        <v/>
      </c>
      <c r="U97" s="23" t="str">
        <f>IFERROR(INDEX(KPIDATA,MATCH(Q97,Table1[Company],0),5),"")</f>
        <v/>
      </c>
    </row>
    <row r="98" spans="1:21" x14ac:dyDescent="0.25">
      <c r="A98" t="s">
        <v>103</v>
      </c>
      <c r="B98" s="6">
        <f>INDEX(KPIDATA,ROWS($A$19:A98),$B$11+1)</f>
        <v>0.34</v>
      </c>
      <c r="C98" s="6">
        <f>INDEX(KPIDATA,ROWS($A$19:A98),$B$12+1)</f>
        <v>0.48</v>
      </c>
      <c r="M98" s="1">
        <f t="shared" si="3"/>
        <v>4</v>
      </c>
      <c r="N98" s="1" t="b">
        <f t="shared" si="4"/>
        <v>0</v>
      </c>
      <c r="O98" s="1" t="str">
        <f>IF(N98,ROWS($N$19:N98),"")</f>
        <v/>
      </c>
      <c r="P98" s="1" t="str">
        <f>IFERROR(SMALL($O$19:$O$118,ROWS($O$19:O98)),"")</f>
        <v/>
      </c>
      <c r="Q98" s="1" t="str">
        <f t="shared" si="5"/>
        <v/>
      </c>
      <c r="R98" s="23" t="str">
        <f>IFERROR(INDEX(KPIDATA,MATCH(Q98,Table1[Company],0),2),"")</f>
        <v/>
      </c>
      <c r="S98" s="23" t="str">
        <f>IFERROR(INDEX(KPIDATA,MATCH(Q98,Table1[Company],0),3),"")</f>
        <v/>
      </c>
      <c r="T98" s="23" t="str">
        <f>IFERROR(INDEX(KPIDATA,MATCH(Q98,Table1[Company],0),4),"")</f>
        <v/>
      </c>
      <c r="U98" s="23" t="str">
        <f>IFERROR(INDEX(KPIDATA,MATCH(Q98,Table1[Company],0),5),"")</f>
        <v/>
      </c>
    </row>
    <row r="99" spans="1:21" x14ac:dyDescent="0.25">
      <c r="A99" t="s">
        <v>104</v>
      </c>
      <c r="B99" s="6">
        <f>INDEX(KPIDATA,ROWS($A$19:A99),$B$11+1)</f>
        <v>0.42</v>
      </c>
      <c r="C99" s="6">
        <f>INDEX(KPIDATA,ROWS($A$19:A99),$B$12+1)</f>
        <v>0.83</v>
      </c>
      <c r="M99" s="1">
        <f t="shared" si="3"/>
        <v>2</v>
      </c>
      <c r="N99" s="1" t="b">
        <f t="shared" si="4"/>
        <v>1</v>
      </c>
      <c r="O99" s="1">
        <f>IF(N99,ROWS($N$19:N99),"")</f>
        <v>81</v>
      </c>
      <c r="P99" s="1" t="str">
        <f>IFERROR(SMALL($O$19:$O$118,ROWS($O$19:O99)),"")</f>
        <v/>
      </c>
      <c r="Q99" s="1" t="str">
        <f t="shared" si="5"/>
        <v/>
      </c>
      <c r="R99" s="23" t="str">
        <f>IFERROR(INDEX(KPIDATA,MATCH(Q99,Table1[Company],0),2),"")</f>
        <v/>
      </c>
      <c r="S99" s="23" t="str">
        <f>IFERROR(INDEX(KPIDATA,MATCH(Q99,Table1[Company],0),3),"")</f>
        <v/>
      </c>
      <c r="T99" s="23" t="str">
        <f>IFERROR(INDEX(KPIDATA,MATCH(Q99,Table1[Company],0),4),"")</f>
        <v/>
      </c>
      <c r="U99" s="23" t="str">
        <f>IFERROR(INDEX(KPIDATA,MATCH(Q99,Table1[Company],0),5),"")</f>
        <v/>
      </c>
    </row>
    <row r="100" spans="1:21" x14ac:dyDescent="0.25">
      <c r="A100" t="s">
        <v>105</v>
      </c>
      <c r="B100" s="6">
        <f>INDEX(KPIDATA,ROWS($A$19:A100),$B$11+1)</f>
        <v>0.18</v>
      </c>
      <c r="C100" s="6">
        <f>INDEX(KPIDATA,ROWS($A$19:A100),$B$12+1)</f>
        <v>0.75</v>
      </c>
      <c r="M100" s="1">
        <f t="shared" si="3"/>
        <v>2</v>
      </c>
      <c r="N100" s="1" t="b">
        <f t="shared" si="4"/>
        <v>1</v>
      </c>
      <c r="O100" s="1">
        <f>IF(N100,ROWS($N$19:N100),"")</f>
        <v>82</v>
      </c>
      <c r="P100" s="1" t="str">
        <f>IFERROR(SMALL($O$19:$O$118,ROWS($O$19:O100)),"")</f>
        <v/>
      </c>
      <c r="Q100" s="1" t="str">
        <f t="shared" si="5"/>
        <v/>
      </c>
      <c r="R100" s="23" t="str">
        <f>IFERROR(INDEX(KPIDATA,MATCH(Q100,Table1[Company],0),2),"")</f>
        <v/>
      </c>
      <c r="S100" s="23" t="str">
        <f>IFERROR(INDEX(KPIDATA,MATCH(Q100,Table1[Company],0),3),"")</f>
        <v/>
      </c>
      <c r="T100" s="23" t="str">
        <f>IFERROR(INDEX(KPIDATA,MATCH(Q100,Table1[Company],0),4),"")</f>
        <v/>
      </c>
      <c r="U100" s="23" t="str">
        <f>IFERROR(INDEX(KPIDATA,MATCH(Q100,Table1[Company],0),5),"")</f>
        <v/>
      </c>
    </row>
    <row r="101" spans="1:21" x14ac:dyDescent="0.25">
      <c r="A101" t="s">
        <v>106</v>
      </c>
      <c r="B101" s="6">
        <f>INDEX(KPIDATA,ROWS($A$19:A101),$B$11+1)</f>
        <v>0.2</v>
      </c>
      <c r="C101" s="6">
        <f>INDEX(KPIDATA,ROWS($A$19:A101),$B$12+1)</f>
        <v>0.27</v>
      </c>
      <c r="M101" s="1">
        <f t="shared" si="3"/>
        <v>4</v>
      </c>
      <c r="N101" s="1" t="b">
        <f t="shared" si="4"/>
        <v>0</v>
      </c>
      <c r="O101" s="1" t="str">
        <f>IF(N101,ROWS($N$19:N101),"")</f>
        <v/>
      </c>
      <c r="P101" s="1" t="str">
        <f>IFERROR(SMALL($O$19:$O$118,ROWS($O$19:O101)),"")</f>
        <v/>
      </c>
      <c r="Q101" s="1" t="str">
        <f t="shared" si="5"/>
        <v/>
      </c>
      <c r="R101" s="23" t="str">
        <f>IFERROR(INDEX(KPIDATA,MATCH(Q101,Table1[Company],0),2),"")</f>
        <v/>
      </c>
      <c r="S101" s="23" t="str">
        <f>IFERROR(INDEX(KPIDATA,MATCH(Q101,Table1[Company],0),3),"")</f>
        <v/>
      </c>
      <c r="T101" s="23" t="str">
        <f>IFERROR(INDEX(KPIDATA,MATCH(Q101,Table1[Company],0),4),"")</f>
        <v/>
      </c>
      <c r="U101" s="23" t="str">
        <f>IFERROR(INDEX(KPIDATA,MATCH(Q101,Table1[Company],0),5),"")</f>
        <v/>
      </c>
    </row>
    <row r="102" spans="1:21" x14ac:dyDescent="0.25">
      <c r="A102" t="s">
        <v>107</v>
      </c>
      <c r="B102" s="6">
        <f>INDEX(KPIDATA,ROWS($A$19:A102),$B$11+1)</f>
        <v>0.17</v>
      </c>
      <c r="C102" s="6">
        <f>INDEX(KPIDATA,ROWS($A$19:A102),$B$12+1)</f>
        <v>0.87</v>
      </c>
      <c r="M102" s="1">
        <f t="shared" si="3"/>
        <v>2</v>
      </c>
      <c r="N102" s="1" t="b">
        <f t="shared" si="4"/>
        <v>1</v>
      </c>
      <c r="O102" s="1">
        <f>IF(N102,ROWS($N$19:N102),"")</f>
        <v>84</v>
      </c>
      <c r="P102" s="1" t="str">
        <f>IFERROR(SMALL($O$19:$O$118,ROWS($O$19:O102)),"")</f>
        <v/>
      </c>
      <c r="Q102" s="1" t="str">
        <f t="shared" si="5"/>
        <v/>
      </c>
      <c r="R102" s="23" t="str">
        <f>IFERROR(INDEX(KPIDATA,MATCH(Q102,Table1[Company],0),2),"")</f>
        <v/>
      </c>
      <c r="S102" s="23" t="str">
        <f>IFERROR(INDEX(KPIDATA,MATCH(Q102,Table1[Company],0),3),"")</f>
        <v/>
      </c>
      <c r="T102" s="23" t="str">
        <f>IFERROR(INDEX(KPIDATA,MATCH(Q102,Table1[Company],0),4),"")</f>
        <v/>
      </c>
      <c r="U102" s="23" t="str">
        <f>IFERROR(INDEX(KPIDATA,MATCH(Q102,Table1[Company],0),5),"")</f>
        <v/>
      </c>
    </row>
    <row r="103" spans="1:21" x14ac:dyDescent="0.25">
      <c r="A103" t="s">
        <v>108</v>
      </c>
      <c r="B103" s="6">
        <f>INDEX(KPIDATA,ROWS($A$19:A103),$B$11+1)</f>
        <v>0.11</v>
      </c>
      <c r="C103" s="6">
        <f>INDEX(KPIDATA,ROWS($A$19:A103),$B$12+1)</f>
        <v>0.85</v>
      </c>
      <c r="M103" s="1">
        <f t="shared" si="3"/>
        <v>2</v>
      </c>
      <c r="N103" s="1" t="b">
        <f t="shared" si="4"/>
        <v>1</v>
      </c>
      <c r="O103" s="1">
        <f>IF(N103,ROWS($N$19:N103),"")</f>
        <v>85</v>
      </c>
      <c r="P103" s="1" t="str">
        <f>IFERROR(SMALL($O$19:$O$118,ROWS($O$19:O103)),"")</f>
        <v/>
      </c>
      <c r="Q103" s="1" t="str">
        <f t="shared" si="5"/>
        <v/>
      </c>
      <c r="R103" s="23" t="str">
        <f>IFERROR(INDEX(KPIDATA,MATCH(Q103,Table1[Company],0),2),"")</f>
        <v/>
      </c>
      <c r="S103" s="23" t="str">
        <f>IFERROR(INDEX(KPIDATA,MATCH(Q103,Table1[Company],0),3),"")</f>
        <v/>
      </c>
      <c r="T103" s="23" t="str">
        <f>IFERROR(INDEX(KPIDATA,MATCH(Q103,Table1[Company],0),4),"")</f>
        <v/>
      </c>
      <c r="U103" s="23" t="str">
        <f>IFERROR(INDEX(KPIDATA,MATCH(Q103,Table1[Company],0),5),"")</f>
        <v/>
      </c>
    </row>
    <row r="104" spans="1:21" x14ac:dyDescent="0.25">
      <c r="A104" t="s">
        <v>109</v>
      </c>
      <c r="B104" s="6">
        <f>INDEX(KPIDATA,ROWS($A$19:A104),$B$11+1)</f>
        <v>0.59</v>
      </c>
      <c r="C104" s="6">
        <f>INDEX(KPIDATA,ROWS($A$19:A104),$B$12+1)</f>
        <v>0.57999999999999996</v>
      </c>
      <c r="M104" s="1">
        <f t="shared" si="3"/>
        <v>3</v>
      </c>
      <c r="N104" s="1" t="b">
        <f t="shared" si="4"/>
        <v>0</v>
      </c>
      <c r="O104" s="1" t="str">
        <f>IF(N104,ROWS($N$19:N104),"")</f>
        <v/>
      </c>
      <c r="P104" s="1" t="str">
        <f>IFERROR(SMALL($O$19:$O$118,ROWS($O$19:O104)),"")</f>
        <v/>
      </c>
      <c r="Q104" s="1" t="str">
        <f t="shared" si="5"/>
        <v/>
      </c>
      <c r="R104" s="23" t="str">
        <f>IFERROR(INDEX(KPIDATA,MATCH(Q104,Table1[Company],0),2),"")</f>
        <v/>
      </c>
      <c r="S104" s="23" t="str">
        <f>IFERROR(INDEX(KPIDATA,MATCH(Q104,Table1[Company],0),3),"")</f>
        <v/>
      </c>
      <c r="T104" s="23" t="str">
        <f>IFERROR(INDEX(KPIDATA,MATCH(Q104,Table1[Company],0),4),"")</f>
        <v/>
      </c>
      <c r="U104" s="23" t="str">
        <f>IFERROR(INDEX(KPIDATA,MATCH(Q104,Table1[Company],0),5),"")</f>
        <v/>
      </c>
    </row>
    <row r="105" spans="1:21" x14ac:dyDescent="0.25">
      <c r="A105" t="s">
        <v>110</v>
      </c>
      <c r="B105" s="6">
        <f>INDEX(KPIDATA,ROWS($A$19:A105),$B$11+1)</f>
        <v>0.64</v>
      </c>
      <c r="C105" s="6">
        <f>INDEX(KPIDATA,ROWS($A$19:A105),$B$12+1)</f>
        <v>0.72</v>
      </c>
      <c r="M105" s="1">
        <f t="shared" si="3"/>
        <v>3</v>
      </c>
      <c r="N105" s="1" t="b">
        <f t="shared" si="4"/>
        <v>0</v>
      </c>
      <c r="O105" s="1" t="str">
        <f>IF(N105,ROWS($N$19:N105),"")</f>
        <v/>
      </c>
      <c r="P105" s="1" t="str">
        <f>IFERROR(SMALL($O$19:$O$118,ROWS($O$19:O105)),"")</f>
        <v/>
      </c>
      <c r="Q105" s="1" t="str">
        <f t="shared" si="5"/>
        <v/>
      </c>
      <c r="R105" s="23" t="str">
        <f>IFERROR(INDEX(KPIDATA,MATCH(Q105,Table1[Company],0),2),"")</f>
        <v/>
      </c>
      <c r="S105" s="23" t="str">
        <f>IFERROR(INDEX(KPIDATA,MATCH(Q105,Table1[Company],0),3),"")</f>
        <v/>
      </c>
      <c r="T105" s="23" t="str">
        <f>IFERROR(INDEX(KPIDATA,MATCH(Q105,Table1[Company],0),4),"")</f>
        <v/>
      </c>
      <c r="U105" s="23" t="str">
        <f>IFERROR(INDEX(KPIDATA,MATCH(Q105,Table1[Company],0),5),"")</f>
        <v/>
      </c>
    </row>
    <row r="106" spans="1:21" x14ac:dyDescent="0.25">
      <c r="A106" t="s">
        <v>111</v>
      </c>
      <c r="B106" s="6">
        <f>INDEX(KPIDATA,ROWS($A$19:A106),$B$11+1)</f>
        <v>0.38</v>
      </c>
      <c r="C106" s="6">
        <f>INDEX(KPIDATA,ROWS($A$19:A106),$B$12+1)</f>
        <v>0.37</v>
      </c>
      <c r="M106" s="1">
        <f t="shared" si="3"/>
        <v>4</v>
      </c>
      <c r="N106" s="1" t="b">
        <f t="shared" si="4"/>
        <v>0</v>
      </c>
      <c r="O106" s="1" t="str">
        <f>IF(N106,ROWS($N$19:N106),"")</f>
        <v/>
      </c>
      <c r="P106" s="1" t="str">
        <f>IFERROR(SMALL($O$19:$O$118,ROWS($O$19:O106)),"")</f>
        <v/>
      </c>
      <c r="Q106" s="1" t="str">
        <f t="shared" si="5"/>
        <v/>
      </c>
      <c r="R106" s="23" t="str">
        <f>IFERROR(INDEX(KPIDATA,MATCH(Q106,Table1[Company],0),2),"")</f>
        <v/>
      </c>
      <c r="S106" s="23" t="str">
        <f>IFERROR(INDEX(KPIDATA,MATCH(Q106,Table1[Company],0),3),"")</f>
        <v/>
      </c>
      <c r="T106" s="23" t="str">
        <f>IFERROR(INDEX(KPIDATA,MATCH(Q106,Table1[Company],0),4),"")</f>
        <v/>
      </c>
      <c r="U106" s="23" t="str">
        <f>IFERROR(INDEX(KPIDATA,MATCH(Q106,Table1[Company],0),5),"")</f>
        <v/>
      </c>
    </row>
    <row r="107" spans="1:21" x14ac:dyDescent="0.25">
      <c r="A107" t="s">
        <v>112</v>
      </c>
      <c r="B107" s="6">
        <f>INDEX(KPIDATA,ROWS($A$19:A107),$B$11+1)</f>
        <v>0.76</v>
      </c>
      <c r="C107" s="6">
        <f>INDEX(KPIDATA,ROWS($A$19:A107),$B$12+1)</f>
        <v>0.65</v>
      </c>
      <c r="M107" s="1">
        <f t="shared" si="3"/>
        <v>3</v>
      </c>
      <c r="N107" s="1" t="b">
        <f t="shared" si="4"/>
        <v>0</v>
      </c>
      <c r="O107" s="1" t="str">
        <f>IF(N107,ROWS($N$19:N107),"")</f>
        <v/>
      </c>
      <c r="P107" s="1" t="str">
        <f>IFERROR(SMALL($O$19:$O$118,ROWS($O$19:O107)),"")</f>
        <v/>
      </c>
      <c r="Q107" s="1" t="str">
        <f t="shared" si="5"/>
        <v/>
      </c>
      <c r="R107" s="23" t="str">
        <f>IFERROR(INDEX(KPIDATA,MATCH(Q107,Table1[Company],0),2),"")</f>
        <v/>
      </c>
      <c r="S107" s="23" t="str">
        <f>IFERROR(INDEX(KPIDATA,MATCH(Q107,Table1[Company],0),3),"")</f>
        <v/>
      </c>
      <c r="T107" s="23" t="str">
        <f>IFERROR(INDEX(KPIDATA,MATCH(Q107,Table1[Company],0),4),"")</f>
        <v/>
      </c>
      <c r="U107" s="23" t="str">
        <f>IFERROR(INDEX(KPIDATA,MATCH(Q107,Table1[Company],0),5),"")</f>
        <v/>
      </c>
    </row>
    <row r="108" spans="1:21" x14ac:dyDescent="0.25">
      <c r="A108" t="s">
        <v>113</v>
      </c>
      <c r="B108" s="6">
        <f>INDEX(KPIDATA,ROWS($A$19:A108),$B$11+1)</f>
        <v>0.62</v>
      </c>
      <c r="C108" s="6">
        <f>INDEX(KPIDATA,ROWS($A$19:A108),$B$12+1)</f>
        <v>0.79</v>
      </c>
      <c r="M108" s="1">
        <f t="shared" si="3"/>
        <v>3</v>
      </c>
      <c r="N108" s="1" t="b">
        <f t="shared" si="4"/>
        <v>0</v>
      </c>
      <c r="O108" s="1" t="str">
        <f>IF(N108,ROWS($N$19:N108),"")</f>
        <v/>
      </c>
      <c r="P108" s="1" t="str">
        <f>IFERROR(SMALL($O$19:$O$118,ROWS($O$19:O108)),"")</f>
        <v/>
      </c>
      <c r="Q108" s="1" t="str">
        <f t="shared" si="5"/>
        <v/>
      </c>
      <c r="R108" s="23" t="str">
        <f>IFERROR(INDEX(KPIDATA,MATCH(Q108,Table1[Company],0),2),"")</f>
        <v/>
      </c>
      <c r="S108" s="23" t="str">
        <f>IFERROR(INDEX(KPIDATA,MATCH(Q108,Table1[Company],0),3),"")</f>
        <v/>
      </c>
      <c r="T108" s="23" t="str">
        <f>IFERROR(INDEX(KPIDATA,MATCH(Q108,Table1[Company],0),4),"")</f>
        <v/>
      </c>
      <c r="U108" s="23" t="str">
        <f>IFERROR(INDEX(KPIDATA,MATCH(Q108,Table1[Company],0),5),"")</f>
        <v/>
      </c>
    </row>
    <row r="109" spans="1:21" x14ac:dyDescent="0.25">
      <c r="A109" t="s">
        <v>114</v>
      </c>
      <c r="B109" s="6">
        <f>INDEX(KPIDATA,ROWS($A$19:A109),$B$11+1)</f>
        <v>0.95</v>
      </c>
      <c r="C109" s="6">
        <f>INDEX(KPIDATA,ROWS($A$19:A109),$B$12+1)</f>
        <v>0.54</v>
      </c>
      <c r="M109" s="1">
        <f t="shared" si="3"/>
        <v>3</v>
      </c>
      <c r="N109" s="1" t="b">
        <f t="shared" si="4"/>
        <v>0</v>
      </c>
      <c r="O109" s="1" t="str">
        <f>IF(N109,ROWS($N$19:N109),"")</f>
        <v/>
      </c>
      <c r="P109" s="1" t="str">
        <f>IFERROR(SMALL($O$19:$O$118,ROWS($O$19:O109)),"")</f>
        <v/>
      </c>
      <c r="Q109" s="1" t="str">
        <f t="shared" si="5"/>
        <v/>
      </c>
      <c r="R109" s="23" t="str">
        <f>IFERROR(INDEX(KPIDATA,MATCH(Q109,Table1[Company],0),2),"")</f>
        <v/>
      </c>
      <c r="S109" s="23" t="str">
        <f>IFERROR(INDEX(KPIDATA,MATCH(Q109,Table1[Company],0),3),"")</f>
        <v/>
      </c>
      <c r="T109" s="23" t="str">
        <f>IFERROR(INDEX(KPIDATA,MATCH(Q109,Table1[Company],0),4),"")</f>
        <v/>
      </c>
      <c r="U109" s="23" t="str">
        <f>IFERROR(INDEX(KPIDATA,MATCH(Q109,Table1[Company],0),5),"")</f>
        <v/>
      </c>
    </row>
    <row r="110" spans="1:21" x14ac:dyDescent="0.25">
      <c r="A110" t="s">
        <v>115</v>
      </c>
      <c r="B110" s="6">
        <f>INDEX(KPIDATA,ROWS($A$19:A110),$B$11+1)</f>
        <v>0.66</v>
      </c>
      <c r="C110" s="6">
        <f>INDEX(KPIDATA,ROWS($A$19:A110),$B$12+1)</f>
        <v>0.64</v>
      </c>
      <c r="M110" s="1">
        <f t="shared" si="3"/>
        <v>3</v>
      </c>
      <c r="N110" s="1" t="b">
        <f t="shared" si="4"/>
        <v>0</v>
      </c>
      <c r="O110" s="1" t="str">
        <f>IF(N110,ROWS($N$19:N110),"")</f>
        <v/>
      </c>
      <c r="P110" s="1" t="str">
        <f>IFERROR(SMALL($O$19:$O$118,ROWS($O$19:O110)),"")</f>
        <v/>
      </c>
      <c r="Q110" s="1" t="str">
        <f t="shared" si="5"/>
        <v/>
      </c>
      <c r="R110" s="23" t="str">
        <f>IFERROR(INDEX(KPIDATA,MATCH(Q110,Table1[Company],0),2),"")</f>
        <v/>
      </c>
      <c r="S110" s="23" t="str">
        <f>IFERROR(INDEX(KPIDATA,MATCH(Q110,Table1[Company],0),3),"")</f>
        <v/>
      </c>
      <c r="T110" s="23" t="str">
        <f>IFERROR(INDEX(KPIDATA,MATCH(Q110,Table1[Company],0),4),"")</f>
        <v/>
      </c>
      <c r="U110" s="23" t="str">
        <f>IFERROR(INDEX(KPIDATA,MATCH(Q110,Table1[Company],0),5),"")</f>
        <v/>
      </c>
    </row>
    <row r="111" spans="1:21" x14ac:dyDescent="0.25">
      <c r="A111" t="s">
        <v>116</v>
      </c>
      <c r="B111" s="6">
        <f>INDEX(KPIDATA,ROWS($A$19:A111),$B$11+1)</f>
        <v>0.4</v>
      </c>
      <c r="C111" s="6">
        <f>INDEX(KPIDATA,ROWS($A$19:A111),$B$12+1)</f>
        <v>0.11</v>
      </c>
      <c r="M111" s="1">
        <f t="shared" si="3"/>
        <v>4</v>
      </c>
      <c r="N111" s="1" t="b">
        <f t="shared" si="4"/>
        <v>0</v>
      </c>
      <c r="O111" s="1" t="str">
        <f>IF(N111,ROWS($N$19:N111),"")</f>
        <v/>
      </c>
      <c r="P111" s="1" t="str">
        <f>IFERROR(SMALL($O$19:$O$118,ROWS($O$19:O111)),"")</f>
        <v/>
      </c>
      <c r="Q111" s="1" t="str">
        <f t="shared" si="5"/>
        <v/>
      </c>
      <c r="R111" s="23" t="str">
        <f>IFERROR(INDEX(KPIDATA,MATCH(Q111,Table1[Company],0),2),"")</f>
        <v/>
      </c>
      <c r="S111" s="23" t="str">
        <f>IFERROR(INDEX(KPIDATA,MATCH(Q111,Table1[Company],0),3),"")</f>
        <v/>
      </c>
      <c r="T111" s="23" t="str">
        <f>IFERROR(INDEX(KPIDATA,MATCH(Q111,Table1[Company],0),4),"")</f>
        <v/>
      </c>
      <c r="U111" s="23" t="str">
        <f>IFERROR(INDEX(KPIDATA,MATCH(Q111,Table1[Company],0),5),"")</f>
        <v/>
      </c>
    </row>
    <row r="112" spans="1:21" x14ac:dyDescent="0.25">
      <c r="A112" t="s">
        <v>117</v>
      </c>
      <c r="B112" s="6">
        <f>INDEX(KPIDATA,ROWS($A$19:A112),$B$11+1)</f>
        <v>0.73</v>
      </c>
      <c r="C112" s="6">
        <f>INDEX(KPIDATA,ROWS($A$19:A112),$B$12+1)</f>
        <v>0.61</v>
      </c>
      <c r="M112" s="1">
        <f t="shared" si="3"/>
        <v>3</v>
      </c>
      <c r="N112" s="1" t="b">
        <f t="shared" si="4"/>
        <v>0</v>
      </c>
      <c r="O112" s="1" t="str">
        <f>IF(N112,ROWS($N$19:N112),"")</f>
        <v/>
      </c>
      <c r="P112" s="1" t="str">
        <f>IFERROR(SMALL($O$19:$O$118,ROWS($O$19:O112)),"")</f>
        <v/>
      </c>
      <c r="Q112" s="1" t="str">
        <f t="shared" si="5"/>
        <v/>
      </c>
      <c r="R112" s="23" t="str">
        <f>IFERROR(INDEX(KPIDATA,MATCH(Q112,Table1[Company],0),2),"")</f>
        <v/>
      </c>
      <c r="S112" s="23" t="str">
        <f>IFERROR(INDEX(KPIDATA,MATCH(Q112,Table1[Company],0),3),"")</f>
        <v/>
      </c>
      <c r="T112" s="23" t="str">
        <f>IFERROR(INDEX(KPIDATA,MATCH(Q112,Table1[Company],0),4),"")</f>
        <v/>
      </c>
      <c r="U112" s="23" t="str">
        <f>IFERROR(INDEX(KPIDATA,MATCH(Q112,Table1[Company],0),5),"")</f>
        <v/>
      </c>
    </row>
    <row r="113" spans="1:21" x14ac:dyDescent="0.25">
      <c r="A113" t="s">
        <v>118</v>
      </c>
      <c r="B113" s="6">
        <f>INDEX(KPIDATA,ROWS($A$19:A113),$B$11+1)</f>
        <v>0.31</v>
      </c>
      <c r="C113" s="6">
        <f>INDEX(KPIDATA,ROWS($A$19:A113),$B$12+1)</f>
        <v>0.41</v>
      </c>
      <c r="M113" s="1">
        <f t="shared" si="3"/>
        <v>4</v>
      </c>
      <c r="N113" s="1" t="b">
        <f t="shared" si="4"/>
        <v>0</v>
      </c>
      <c r="O113" s="1" t="str">
        <f>IF(N113,ROWS($N$19:N113),"")</f>
        <v/>
      </c>
      <c r="P113" s="1" t="str">
        <f>IFERROR(SMALL($O$19:$O$118,ROWS($O$19:O113)),"")</f>
        <v/>
      </c>
      <c r="Q113" s="1" t="str">
        <f t="shared" si="5"/>
        <v/>
      </c>
      <c r="R113" s="23" t="str">
        <f>IFERROR(INDEX(KPIDATA,MATCH(Q113,Table1[Company],0),2),"")</f>
        <v/>
      </c>
      <c r="S113" s="23" t="str">
        <f>IFERROR(INDEX(KPIDATA,MATCH(Q113,Table1[Company],0),3),"")</f>
        <v/>
      </c>
      <c r="T113" s="23" t="str">
        <f>IFERROR(INDEX(KPIDATA,MATCH(Q113,Table1[Company],0),4),"")</f>
        <v/>
      </c>
      <c r="U113" s="23" t="str">
        <f>IFERROR(INDEX(KPIDATA,MATCH(Q113,Table1[Company],0),5),"")</f>
        <v/>
      </c>
    </row>
    <row r="114" spans="1:21" x14ac:dyDescent="0.25">
      <c r="A114" t="s">
        <v>119</v>
      </c>
      <c r="B114" s="6">
        <f>INDEX(KPIDATA,ROWS($A$19:A114),$B$11+1)</f>
        <v>0.39</v>
      </c>
      <c r="C114" s="6">
        <f>INDEX(KPIDATA,ROWS($A$19:A114),$B$12+1)</f>
        <v>0.61</v>
      </c>
      <c r="M114" s="1">
        <f t="shared" si="3"/>
        <v>2</v>
      </c>
      <c r="N114" s="1" t="b">
        <f t="shared" si="4"/>
        <v>1</v>
      </c>
      <c r="O114" s="1">
        <f>IF(N114,ROWS($N$19:N114),"")</f>
        <v>96</v>
      </c>
      <c r="P114" s="1" t="str">
        <f>IFERROR(SMALL($O$19:$O$118,ROWS($O$19:O114)),"")</f>
        <v/>
      </c>
      <c r="Q114" s="1" t="str">
        <f t="shared" si="5"/>
        <v/>
      </c>
      <c r="R114" s="23" t="str">
        <f>IFERROR(INDEX(KPIDATA,MATCH(Q114,Table1[Company],0),2),"")</f>
        <v/>
      </c>
      <c r="S114" s="23" t="str">
        <f>IFERROR(INDEX(KPIDATA,MATCH(Q114,Table1[Company],0),3),"")</f>
        <v/>
      </c>
      <c r="T114" s="23" t="str">
        <f>IFERROR(INDEX(KPIDATA,MATCH(Q114,Table1[Company],0),4),"")</f>
        <v/>
      </c>
      <c r="U114" s="23" t="str">
        <f>IFERROR(INDEX(KPIDATA,MATCH(Q114,Table1[Company],0),5),"")</f>
        <v/>
      </c>
    </row>
    <row r="115" spans="1:21" x14ac:dyDescent="0.25">
      <c r="A115" t="s">
        <v>120</v>
      </c>
      <c r="B115" s="6">
        <f>INDEX(KPIDATA,ROWS($A$19:A115),$B$11+1)</f>
        <v>0.81</v>
      </c>
      <c r="C115" s="6">
        <f>INDEX(KPIDATA,ROWS($A$19:A115),$B$12+1)</f>
        <v>0.91</v>
      </c>
      <c r="M115" s="1">
        <f t="shared" si="3"/>
        <v>3</v>
      </c>
      <c r="N115" s="1" t="b">
        <f t="shared" si="4"/>
        <v>0</v>
      </c>
      <c r="O115" s="1" t="str">
        <f>IF(N115,ROWS($N$19:N115),"")</f>
        <v/>
      </c>
      <c r="P115" s="1" t="str">
        <f>IFERROR(SMALL($O$19:$O$118,ROWS($O$19:O115)),"")</f>
        <v/>
      </c>
      <c r="Q115" s="1" t="str">
        <f t="shared" si="5"/>
        <v/>
      </c>
      <c r="R115" s="23" t="str">
        <f>IFERROR(INDEX(KPIDATA,MATCH(Q115,Table1[Company],0),2),"")</f>
        <v/>
      </c>
      <c r="S115" s="23" t="str">
        <f>IFERROR(INDEX(KPIDATA,MATCH(Q115,Table1[Company],0),3),"")</f>
        <v/>
      </c>
      <c r="T115" s="23" t="str">
        <f>IFERROR(INDEX(KPIDATA,MATCH(Q115,Table1[Company],0),4),"")</f>
        <v/>
      </c>
      <c r="U115" s="23" t="str">
        <f>IFERROR(INDEX(KPIDATA,MATCH(Q115,Table1[Company],0),5),"")</f>
        <v/>
      </c>
    </row>
    <row r="116" spans="1:21" x14ac:dyDescent="0.25">
      <c r="A116" t="s">
        <v>121</v>
      </c>
      <c r="B116" s="6">
        <f>INDEX(KPIDATA,ROWS($A$19:A116),$B$11+1)</f>
        <v>0.81</v>
      </c>
      <c r="C116" s="6">
        <f>INDEX(KPIDATA,ROWS($A$19:A116),$B$12+1)</f>
        <v>0.84</v>
      </c>
      <c r="M116" s="1">
        <f t="shared" si="3"/>
        <v>3</v>
      </c>
      <c r="N116" s="1" t="b">
        <f t="shared" si="4"/>
        <v>0</v>
      </c>
      <c r="O116" s="1" t="str">
        <f>IF(N116,ROWS($N$19:N116),"")</f>
        <v/>
      </c>
      <c r="P116" s="1" t="str">
        <f>IFERROR(SMALL($O$19:$O$118,ROWS($O$19:O116)),"")</f>
        <v/>
      </c>
      <c r="Q116" s="1" t="str">
        <f t="shared" si="5"/>
        <v/>
      </c>
      <c r="R116" s="23" t="str">
        <f>IFERROR(INDEX(KPIDATA,MATCH(Q116,Table1[Company],0),2),"")</f>
        <v/>
      </c>
      <c r="S116" s="23" t="str">
        <f>IFERROR(INDEX(KPIDATA,MATCH(Q116,Table1[Company],0),3),"")</f>
        <v/>
      </c>
      <c r="T116" s="23" t="str">
        <f>IFERROR(INDEX(KPIDATA,MATCH(Q116,Table1[Company],0),4),"")</f>
        <v/>
      </c>
      <c r="U116" s="23" t="str">
        <f>IFERROR(INDEX(KPIDATA,MATCH(Q116,Table1[Company],0),5),"")</f>
        <v/>
      </c>
    </row>
    <row r="117" spans="1:21" x14ac:dyDescent="0.25">
      <c r="A117" t="s">
        <v>122</v>
      </c>
      <c r="B117" s="6">
        <f>INDEX(KPIDATA,ROWS($A$19:A117),$B$11+1)</f>
        <v>0.22</v>
      </c>
      <c r="C117" s="6">
        <f>INDEX(KPIDATA,ROWS($A$19:A117),$B$12+1)</f>
        <v>0.35</v>
      </c>
      <c r="M117" s="1">
        <f t="shared" si="3"/>
        <v>4</v>
      </c>
      <c r="N117" s="1" t="b">
        <f t="shared" si="4"/>
        <v>0</v>
      </c>
      <c r="O117" s="1" t="str">
        <f>IF(N117,ROWS($N$19:N117),"")</f>
        <v/>
      </c>
      <c r="P117" s="1" t="str">
        <f>IFERROR(SMALL($O$19:$O$118,ROWS($O$19:O117)),"")</f>
        <v/>
      </c>
      <c r="Q117" s="1" t="str">
        <f t="shared" si="5"/>
        <v/>
      </c>
      <c r="R117" s="23" t="str">
        <f>IFERROR(INDEX(KPIDATA,MATCH(Q117,Table1[Company],0),2),"")</f>
        <v/>
      </c>
      <c r="S117" s="23" t="str">
        <f>IFERROR(INDEX(KPIDATA,MATCH(Q117,Table1[Company],0),3),"")</f>
        <v/>
      </c>
      <c r="T117" s="23" t="str">
        <f>IFERROR(INDEX(KPIDATA,MATCH(Q117,Table1[Company],0),4),"")</f>
        <v/>
      </c>
      <c r="U117" s="23" t="str">
        <f>IFERROR(INDEX(KPIDATA,MATCH(Q117,Table1[Company],0),5),"")</f>
        <v/>
      </c>
    </row>
    <row r="118" spans="1:21" x14ac:dyDescent="0.25">
      <c r="A118" t="s">
        <v>123</v>
      </c>
      <c r="B118" s="6">
        <f>INDEX(KPIDATA,ROWS($A$19:A118),$B$11+1)</f>
        <v>0.78</v>
      </c>
      <c r="C118" s="6">
        <f>INDEX(KPIDATA,ROWS($A$19:A118),$B$12+1)</f>
        <v>0.56999999999999995</v>
      </c>
      <c r="M118" s="1">
        <f t="shared" si="3"/>
        <v>3</v>
      </c>
      <c r="N118" s="1" t="b">
        <f t="shared" si="4"/>
        <v>0</v>
      </c>
      <c r="O118" s="1" t="str">
        <f>IF(N118,ROWS($N$19:N118),"")</f>
        <v/>
      </c>
      <c r="P118" s="1" t="str">
        <f>IFERROR(SMALL($O$19:$O$118,ROWS($O$19:O118)),"")</f>
        <v/>
      </c>
      <c r="Q118" s="1" t="str">
        <f t="shared" si="5"/>
        <v/>
      </c>
      <c r="R118" s="23" t="str">
        <f>IFERROR(INDEX(KPIDATA,MATCH(Q118,Table1[Company],0),2),"")</f>
        <v/>
      </c>
      <c r="S118" s="23" t="str">
        <f>IFERROR(INDEX(KPIDATA,MATCH(Q118,Table1[Company],0),3),"")</f>
        <v/>
      </c>
      <c r="T118" s="23" t="str">
        <f>IFERROR(INDEX(KPIDATA,MATCH(Q118,Table1[Company],0),4),"")</f>
        <v/>
      </c>
      <c r="U118" s="23" t="str">
        <f>IFERROR(INDEX(KPIDATA,MATCH(Q118,Table1[Company],0),5),"")</f>
        <v/>
      </c>
    </row>
  </sheetData>
  <mergeCells count="4">
    <mergeCell ref="E20:G20"/>
    <mergeCell ref="J23:K23"/>
    <mergeCell ref="J24:K24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1"/>
  <sheetViews>
    <sheetView workbookViewId="0">
      <selection activeCell="G4" sqref="G4"/>
    </sheetView>
  </sheetViews>
  <sheetFormatPr defaultRowHeight="15" x14ac:dyDescent="0.25"/>
  <cols>
    <col min="2" max="2" width="5.5703125" bestFit="1" customWidth="1"/>
    <col min="3" max="3" width="9.7109375" bestFit="1" customWidth="1"/>
    <col min="6" max="6" width="13.85546875" customWidth="1"/>
    <col min="7" max="7" width="39" bestFit="1" customWidth="1"/>
  </cols>
  <sheetData>
    <row r="1" spans="1:15" x14ac:dyDescent="0.25">
      <c r="A1" t="s">
        <v>156</v>
      </c>
      <c r="B1" t="s">
        <v>157</v>
      </c>
      <c r="C1" t="s">
        <v>164</v>
      </c>
      <c r="O1" s="28" t="s">
        <v>158</v>
      </c>
    </row>
    <row r="2" spans="1:15" x14ac:dyDescent="0.25">
      <c r="A2" t="s">
        <v>158</v>
      </c>
      <c r="B2">
        <v>100</v>
      </c>
      <c r="C2" s="27" t="s">
        <v>165</v>
      </c>
      <c r="O2" s="28" t="s">
        <v>159</v>
      </c>
    </row>
    <row r="3" spans="1:15" ht="20.25" x14ac:dyDescent="0.3">
      <c r="A3" t="s">
        <v>159</v>
      </c>
      <c r="B3">
        <v>222</v>
      </c>
      <c r="C3" s="27" t="s">
        <v>165</v>
      </c>
      <c r="F3" s="29" t="s">
        <v>159</v>
      </c>
      <c r="G3" s="30" t="str">
        <f>"Count of Item"&amp;" "&amp;F3&amp;" is--&gt; "&amp;COUNTIF(A:A,F3)</f>
        <v>Count of Item Milk is--&gt; 1</v>
      </c>
      <c r="O3" s="28" t="s">
        <v>160</v>
      </c>
    </row>
    <row r="4" spans="1:15" ht="20.25" x14ac:dyDescent="0.3">
      <c r="A4" t="s">
        <v>160</v>
      </c>
      <c r="B4">
        <v>344</v>
      </c>
      <c r="C4" s="27" t="s">
        <v>166</v>
      </c>
      <c r="F4" s="29" t="s">
        <v>167</v>
      </c>
      <c r="G4" s="31" t="str">
        <f>"Total Item Sold for"&amp;" "&amp; F4 &amp;" is "&amp;SUMIFS(B:B,A:A,$F$3,C:C,F4)</f>
        <v>Total Item Sold for Week3 is 0</v>
      </c>
      <c r="O4" s="28" t="s">
        <v>161</v>
      </c>
    </row>
    <row r="5" spans="1:15" x14ac:dyDescent="0.25">
      <c r="A5" t="s">
        <v>161</v>
      </c>
      <c r="B5">
        <v>456</v>
      </c>
      <c r="C5" s="27" t="s">
        <v>166</v>
      </c>
      <c r="O5" s="28" t="s">
        <v>162</v>
      </c>
    </row>
    <row r="6" spans="1:15" x14ac:dyDescent="0.25">
      <c r="A6" t="s">
        <v>162</v>
      </c>
      <c r="B6">
        <v>588</v>
      </c>
      <c r="C6" s="27" t="s">
        <v>166</v>
      </c>
      <c r="O6" s="28" t="s">
        <v>163</v>
      </c>
    </row>
    <row r="7" spans="1:15" x14ac:dyDescent="0.25">
      <c r="A7" t="s">
        <v>163</v>
      </c>
      <c r="B7">
        <v>710</v>
      </c>
      <c r="C7" s="27" t="s">
        <v>166</v>
      </c>
    </row>
    <row r="8" spans="1:15" x14ac:dyDescent="0.25">
      <c r="A8" t="s">
        <v>158</v>
      </c>
      <c r="B8">
        <v>832</v>
      </c>
      <c r="C8" s="27" t="s">
        <v>166</v>
      </c>
    </row>
    <row r="9" spans="1:15" x14ac:dyDescent="0.25">
      <c r="A9" t="s">
        <v>158</v>
      </c>
      <c r="B9">
        <v>41</v>
      </c>
      <c r="C9" s="27" t="s">
        <v>166</v>
      </c>
    </row>
    <row r="10" spans="1:15" x14ac:dyDescent="0.25">
      <c r="A10" t="s">
        <v>161</v>
      </c>
      <c r="B10">
        <v>3</v>
      </c>
      <c r="C10" s="27" t="s">
        <v>166</v>
      </c>
    </row>
    <row r="11" spans="1:15" x14ac:dyDescent="0.25">
      <c r="A11" t="s">
        <v>161</v>
      </c>
      <c r="B11">
        <v>5</v>
      </c>
      <c r="C11" s="27" t="s">
        <v>165</v>
      </c>
    </row>
    <row r="12" spans="1:15" x14ac:dyDescent="0.25">
      <c r="A12" t="s">
        <v>161</v>
      </c>
      <c r="B12">
        <v>6</v>
      </c>
      <c r="C12" s="27" t="s">
        <v>165</v>
      </c>
    </row>
    <row r="13" spans="1:15" x14ac:dyDescent="0.25">
      <c r="A13" t="s">
        <v>163</v>
      </c>
      <c r="B13">
        <v>76</v>
      </c>
      <c r="C13" s="27" t="s">
        <v>165</v>
      </c>
    </row>
    <row r="14" spans="1:15" x14ac:dyDescent="0.25">
      <c r="A14" t="s">
        <v>160</v>
      </c>
      <c r="B14">
        <v>32</v>
      </c>
      <c r="C14" s="27" t="s">
        <v>165</v>
      </c>
    </row>
    <row r="15" spans="1:15" x14ac:dyDescent="0.25">
      <c r="A15" t="s">
        <v>161</v>
      </c>
      <c r="B15">
        <v>55</v>
      </c>
      <c r="C15" s="27" t="s">
        <v>167</v>
      </c>
    </row>
    <row r="16" spans="1:15" x14ac:dyDescent="0.25">
      <c r="A16" t="s">
        <v>162</v>
      </c>
      <c r="B16">
        <v>22</v>
      </c>
      <c r="C16" s="27" t="s">
        <v>167</v>
      </c>
    </row>
    <row r="17" spans="1:3" x14ac:dyDescent="0.25">
      <c r="A17" t="s">
        <v>160</v>
      </c>
      <c r="B17">
        <v>78</v>
      </c>
      <c r="C17" s="27" t="s">
        <v>167</v>
      </c>
    </row>
    <row r="18" spans="1:3" x14ac:dyDescent="0.25">
      <c r="A18" t="s">
        <v>161</v>
      </c>
      <c r="B18">
        <v>7</v>
      </c>
      <c r="C18" s="27" t="s">
        <v>167</v>
      </c>
    </row>
    <row r="19" spans="1:3" x14ac:dyDescent="0.25">
      <c r="A19" t="s">
        <v>162</v>
      </c>
      <c r="B19">
        <v>44</v>
      </c>
      <c r="C19" s="27" t="s">
        <v>167</v>
      </c>
    </row>
    <row r="20" spans="1:3" x14ac:dyDescent="0.25">
      <c r="A20" t="s">
        <v>160</v>
      </c>
      <c r="B20">
        <v>22</v>
      </c>
      <c r="C20" s="27" t="s">
        <v>167</v>
      </c>
    </row>
    <row r="21" spans="1:3" x14ac:dyDescent="0.25">
      <c r="A21" t="s">
        <v>162</v>
      </c>
      <c r="B21">
        <v>224</v>
      </c>
      <c r="C21" s="27" t="s">
        <v>165</v>
      </c>
    </row>
  </sheetData>
  <autoFilter ref="A1:C21"/>
  <dataValidations count="2">
    <dataValidation type="list" allowBlank="1" showInputMessage="1" showErrorMessage="1" sqref="F3">
      <formula1>$O$1:$O$6</formula1>
    </dataValidation>
    <dataValidation type="list" allowBlank="1" showInputMessage="1" showErrorMessage="1" sqref="F4">
      <formula1>"Week1,Week2,Week3"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100"/>
  <sheetViews>
    <sheetView workbookViewId="0">
      <selection activeCell="M3" sqref="M3"/>
    </sheetView>
  </sheetViews>
  <sheetFormatPr defaultRowHeight="15" x14ac:dyDescent="0.25"/>
  <cols>
    <col min="1" max="1" width="12" bestFit="1" customWidth="1"/>
    <col min="2" max="2" width="13.28515625" bestFit="1" customWidth="1"/>
    <col min="4" max="4" width="11.42578125" bestFit="1" customWidth="1"/>
    <col min="5" max="5" width="10.140625" bestFit="1" customWidth="1"/>
    <col min="8" max="13" width="9.140625" customWidth="1"/>
  </cols>
  <sheetData>
    <row r="1" spans="1:13" x14ac:dyDescent="0.25">
      <c r="A1" s="34" t="s">
        <v>168</v>
      </c>
      <c r="B1" s="34" t="s">
        <v>169</v>
      </c>
      <c r="C1" s="34" t="s">
        <v>170</v>
      </c>
      <c r="D1" s="34" t="s">
        <v>171</v>
      </c>
      <c r="E1" s="34" t="s">
        <v>172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</row>
    <row r="2" spans="1:13" x14ac:dyDescent="0.25">
      <c r="A2" t="s">
        <v>173</v>
      </c>
      <c r="B2" t="s">
        <v>206</v>
      </c>
      <c r="C2" t="s">
        <v>212</v>
      </c>
      <c r="D2" s="32">
        <v>41671</v>
      </c>
      <c r="E2">
        <v>239</v>
      </c>
      <c r="H2" t="b">
        <f>IF(Dashboard4!$S$2="All Industry",TRUE,Dashboard4!$S$2=Data!B2:B100)</f>
        <v>1</v>
      </c>
      <c r="I2" t="b">
        <f>IF(Dashboard4!$T$2="All Country",TRUE,Dashboard4!$T$2=Data!C2:C100)</f>
        <v>1</v>
      </c>
      <c r="J2" t="b">
        <f>IF(Dashboard4!$U$2="All Months",TRUE,Dashboard4!$U$1=MONTH(Data!D2))</f>
        <v>0</v>
      </c>
      <c r="K2" t="b">
        <f>AND(H2:J2)</f>
        <v>0</v>
      </c>
      <c r="L2" t="str">
        <f>IF(K2,ROWS($K$2:K2),"")</f>
        <v/>
      </c>
      <c r="M2">
        <f>IFERROR(SMALL($L$2:$L$45,ROWS($L$2:L2)),"")</f>
        <v>29</v>
      </c>
    </row>
    <row r="3" spans="1:13" x14ac:dyDescent="0.25">
      <c r="A3" t="s">
        <v>174</v>
      </c>
      <c r="B3" t="s">
        <v>207</v>
      </c>
      <c r="C3" t="s">
        <v>213</v>
      </c>
      <c r="D3" s="32">
        <v>41791</v>
      </c>
      <c r="E3">
        <v>530</v>
      </c>
      <c r="H3" t="b">
        <f>IF(Dashboard4!$S$2="All Industry",TRUE,Dashboard4!$S$2=Data!B3:B101)</f>
        <v>1</v>
      </c>
      <c r="I3" t="b">
        <f>IF(Dashboard4!$T$2="All Country",TRUE,Dashboard4!$T$2=Data!C3:C101)</f>
        <v>1</v>
      </c>
      <c r="J3" t="b">
        <f>IF(Dashboard4!$U$2="All Months",TRUE,Dashboard4!$U$1=MONTH(Data!D3))</f>
        <v>0</v>
      </c>
      <c r="K3" t="b">
        <f t="shared" ref="K3:K34" si="0">AND(H3:J3)</f>
        <v>0</v>
      </c>
      <c r="L3" t="str">
        <f>IF(K3,ROWS($K$2:K3),"")</f>
        <v/>
      </c>
      <c r="M3">
        <f>IFERROR(SMALL($L$2:$L$45,ROWS($L$2:L3)),"")</f>
        <v>30</v>
      </c>
    </row>
    <row r="4" spans="1:13" x14ac:dyDescent="0.25">
      <c r="A4" t="s">
        <v>175</v>
      </c>
      <c r="B4" t="s">
        <v>208</v>
      </c>
      <c r="C4" t="s">
        <v>214</v>
      </c>
      <c r="D4" s="32">
        <v>41852</v>
      </c>
      <c r="E4">
        <v>632</v>
      </c>
      <c r="H4" t="b">
        <f>IF(Dashboard4!$S$2="All Industry",TRUE,Dashboard4!$S$2=Data!B4:B102)</f>
        <v>1</v>
      </c>
      <c r="I4" t="b">
        <f>IF(Dashboard4!$T$2="All Country",TRUE,Dashboard4!$T$2=Data!C4:C102)</f>
        <v>1</v>
      </c>
      <c r="J4" t="b">
        <f>IF(Dashboard4!$U$2="All Months",TRUE,Dashboard4!$U$1=MONTH(Data!D4))</f>
        <v>0</v>
      </c>
      <c r="K4" t="b">
        <f t="shared" si="0"/>
        <v>0</v>
      </c>
      <c r="L4" t="str">
        <f>IF(K4,ROWS($K$2:K4),"")</f>
        <v/>
      </c>
      <c r="M4">
        <f>IFERROR(SMALL($L$2:$L$45,ROWS($L$2:L4)),"")</f>
        <v>31</v>
      </c>
    </row>
    <row r="5" spans="1:13" x14ac:dyDescent="0.25">
      <c r="A5" t="s">
        <v>176</v>
      </c>
      <c r="B5" t="s">
        <v>209</v>
      </c>
      <c r="C5" t="s">
        <v>215</v>
      </c>
      <c r="D5" s="32">
        <v>41673</v>
      </c>
      <c r="E5">
        <v>941</v>
      </c>
      <c r="H5" t="b">
        <f>IF(Dashboard4!$S$2="All Industry",TRUE,Dashboard4!$S$2=Data!B5:B103)</f>
        <v>1</v>
      </c>
      <c r="I5" t="b">
        <f>IF(Dashboard4!$T$2="All Country",TRUE,Dashboard4!$T$2=Data!C5:C103)</f>
        <v>1</v>
      </c>
      <c r="J5" t="b">
        <f>IF(Dashboard4!$U$2="All Months",TRUE,Dashboard4!$U$1=MONTH(Data!D5))</f>
        <v>0</v>
      </c>
      <c r="K5" t="b">
        <f t="shared" si="0"/>
        <v>0</v>
      </c>
      <c r="L5" t="str">
        <f>IF(K5,ROWS($K$2:K5),"")</f>
        <v/>
      </c>
      <c r="M5">
        <f>IFERROR(SMALL($L$2:$L$45,ROWS($L$2:L5)),"")</f>
        <v>32</v>
      </c>
    </row>
    <row r="6" spans="1:13" x14ac:dyDescent="0.25">
      <c r="A6" t="s">
        <v>177</v>
      </c>
      <c r="B6" t="s">
        <v>210</v>
      </c>
      <c r="C6" t="s">
        <v>216</v>
      </c>
      <c r="D6" s="32">
        <v>41673</v>
      </c>
      <c r="E6">
        <v>389</v>
      </c>
      <c r="H6" t="b">
        <f>IF(Dashboard4!$S$2="All Industry",TRUE,Dashboard4!$S$2=Data!B6:B104)</f>
        <v>1</v>
      </c>
      <c r="I6" t="b">
        <f>IF(Dashboard4!$T$2="All Country",TRUE,Dashboard4!$T$2=Data!C6:C104)</f>
        <v>1</v>
      </c>
      <c r="J6" t="b">
        <f>IF(Dashboard4!$U$2="All Months",TRUE,Dashboard4!$U$1=MONTH(Data!D6))</f>
        <v>0</v>
      </c>
      <c r="K6" t="b">
        <f t="shared" si="0"/>
        <v>0</v>
      </c>
      <c r="L6" t="str">
        <f>IF(K6,ROWS($K$2:K6),"")</f>
        <v/>
      </c>
      <c r="M6">
        <f>IFERROR(SMALL($L$2:$L$45,ROWS($L$2:L6)),"")</f>
        <v>33</v>
      </c>
    </row>
    <row r="7" spans="1:13" x14ac:dyDescent="0.25">
      <c r="A7" t="s">
        <v>178</v>
      </c>
      <c r="B7" t="s">
        <v>211</v>
      </c>
      <c r="C7" t="s">
        <v>217</v>
      </c>
      <c r="D7" s="32">
        <v>41673</v>
      </c>
      <c r="E7">
        <v>982</v>
      </c>
      <c r="H7" t="b">
        <f>IF(Dashboard4!$S$2="All Industry",TRUE,Dashboard4!$S$2=Data!B7:B105)</f>
        <v>1</v>
      </c>
      <c r="I7" t="b">
        <f>IF(Dashboard4!$T$2="All Country",TRUE,Dashboard4!$T$2=Data!C7:C105)</f>
        <v>1</v>
      </c>
      <c r="J7" t="b">
        <f>IF(Dashboard4!$U$2="All Months",TRUE,Dashboard4!$U$1=MONTH(Data!D7))</f>
        <v>0</v>
      </c>
      <c r="K7" t="b">
        <f t="shared" si="0"/>
        <v>0</v>
      </c>
      <c r="L7" t="str">
        <f>IF(K7,ROWS($K$2:K7),"")</f>
        <v/>
      </c>
      <c r="M7" t="str">
        <f>IFERROR(SMALL($L$2:$L$45,ROWS($L$2:L7)),"")</f>
        <v/>
      </c>
    </row>
    <row r="8" spans="1:13" x14ac:dyDescent="0.25">
      <c r="A8" t="s">
        <v>179</v>
      </c>
      <c r="B8" t="s">
        <v>210</v>
      </c>
      <c r="C8" t="s">
        <v>213</v>
      </c>
      <c r="D8" s="32">
        <v>41673</v>
      </c>
      <c r="E8">
        <v>680</v>
      </c>
      <c r="H8" t="b">
        <f>IF(Dashboard4!$S$2="All Industry",TRUE,Dashboard4!$S$2=Data!B8:B106)</f>
        <v>1</v>
      </c>
      <c r="I8" t="b">
        <f>IF(Dashboard4!$T$2="All Country",TRUE,Dashboard4!$T$2=Data!C8:C106)</f>
        <v>1</v>
      </c>
      <c r="J8" t="b">
        <f>IF(Dashboard4!$U$2="All Months",TRUE,Dashboard4!$U$1=MONTH(Data!D8))</f>
        <v>0</v>
      </c>
      <c r="K8" t="b">
        <f t="shared" si="0"/>
        <v>0</v>
      </c>
      <c r="L8" t="str">
        <f>IF(K8,ROWS($K$2:K8),"")</f>
        <v/>
      </c>
      <c r="M8" t="str">
        <f>IFERROR(SMALL($L$2:$L$45,ROWS($L$2:L8)),"")</f>
        <v/>
      </c>
    </row>
    <row r="9" spans="1:13" x14ac:dyDescent="0.25">
      <c r="A9" t="s">
        <v>180</v>
      </c>
      <c r="B9" s="36" t="s">
        <v>207</v>
      </c>
      <c r="C9" t="s">
        <v>214</v>
      </c>
      <c r="D9" s="32">
        <v>41673</v>
      </c>
      <c r="E9">
        <v>717</v>
      </c>
      <c r="H9" t="b">
        <f>IF(Dashboard4!$S$2="All Industry",TRUE,Dashboard4!$S$2=Data!B9:B107)</f>
        <v>1</v>
      </c>
      <c r="I9" t="b">
        <f>IF(Dashboard4!$T$2="All Country",TRUE,Dashboard4!$T$2=Data!C9:C107)</f>
        <v>1</v>
      </c>
      <c r="J9" t="b">
        <f>IF(Dashboard4!$U$2="All Months",TRUE,Dashboard4!$U$1=MONTH(Data!D9))</f>
        <v>0</v>
      </c>
      <c r="K9" t="b">
        <f t="shared" si="0"/>
        <v>0</v>
      </c>
      <c r="L9" t="str">
        <f>IF(K9,ROWS($K$2:K9),"")</f>
        <v/>
      </c>
      <c r="M9" t="str">
        <f>IFERROR(SMALL($L$2:$L$45,ROWS($L$2:L9)),"")</f>
        <v/>
      </c>
    </row>
    <row r="10" spans="1:13" x14ac:dyDescent="0.25">
      <c r="A10" t="s">
        <v>181</v>
      </c>
      <c r="B10" t="s">
        <v>210</v>
      </c>
      <c r="C10" t="s">
        <v>215</v>
      </c>
      <c r="D10" s="32">
        <v>41673</v>
      </c>
      <c r="E10">
        <v>226</v>
      </c>
      <c r="H10" t="b">
        <f>IF(Dashboard4!$S$2="All Industry",TRUE,Dashboard4!$S$2=Data!B10:B108)</f>
        <v>1</v>
      </c>
      <c r="I10" t="b">
        <f>IF(Dashboard4!$T$2="All Country",TRUE,Dashboard4!$T$2=Data!C10:C108)</f>
        <v>1</v>
      </c>
      <c r="J10" t="b">
        <f>IF(Dashboard4!$U$2="All Months",TRUE,Dashboard4!$U$1=MONTH(Data!D10))</f>
        <v>0</v>
      </c>
      <c r="K10" t="b">
        <f t="shared" si="0"/>
        <v>0</v>
      </c>
      <c r="L10" t="str">
        <f>IF(K10,ROWS($K$2:K10),"")</f>
        <v/>
      </c>
      <c r="M10" t="str">
        <f>IFERROR(SMALL($L$2:$L$45,ROWS($L$2:L10)),"")</f>
        <v/>
      </c>
    </row>
    <row r="11" spans="1:13" x14ac:dyDescent="0.25">
      <c r="A11" t="s">
        <v>182</v>
      </c>
      <c r="B11" t="s">
        <v>206</v>
      </c>
      <c r="C11" t="s">
        <v>212</v>
      </c>
      <c r="D11" s="32">
        <v>41654</v>
      </c>
      <c r="E11">
        <v>738</v>
      </c>
      <c r="H11" t="b">
        <f>IF(Dashboard4!$S$2="All Industry",TRUE,Dashboard4!$S$2=Data!B11:B109)</f>
        <v>1</v>
      </c>
      <c r="I11" t="b">
        <f>IF(Dashboard4!$T$2="All Country",TRUE,Dashboard4!$T$2=Data!C11:C109)</f>
        <v>1</v>
      </c>
      <c r="J11" t="b">
        <f>IF(Dashboard4!$U$2="All Months",TRUE,Dashboard4!$U$1=MONTH(Data!D11))</f>
        <v>0</v>
      </c>
      <c r="K11" t="b">
        <f t="shared" si="0"/>
        <v>0</v>
      </c>
      <c r="L11" t="str">
        <f>IF(K11,ROWS($K$2:K11),"")</f>
        <v/>
      </c>
      <c r="M11" t="str">
        <f>IFERROR(SMALL($L$2:$L$45,ROWS($L$2:L11)),"")</f>
        <v/>
      </c>
    </row>
    <row r="12" spans="1:13" x14ac:dyDescent="0.25">
      <c r="A12" t="s">
        <v>183</v>
      </c>
      <c r="B12" t="s">
        <v>209</v>
      </c>
      <c r="C12" t="s">
        <v>212</v>
      </c>
      <c r="D12" s="32">
        <v>41654</v>
      </c>
      <c r="E12">
        <v>107</v>
      </c>
      <c r="H12" t="b">
        <f>IF(Dashboard4!$S$2="All Industry",TRUE,Dashboard4!$S$2=Data!B12:B110)</f>
        <v>1</v>
      </c>
      <c r="I12" t="b">
        <f>IF(Dashboard4!$T$2="All Country",TRUE,Dashboard4!$T$2=Data!C12:C110)</f>
        <v>1</v>
      </c>
      <c r="J12" t="b">
        <f>IF(Dashboard4!$U$2="All Months",TRUE,Dashboard4!$U$1=MONTH(Data!D12))</f>
        <v>0</v>
      </c>
      <c r="K12" t="b">
        <f t="shared" si="0"/>
        <v>0</v>
      </c>
      <c r="L12" t="str">
        <f>IF(K12,ROWS($K$2:K12),"")</f>
        <v/>
      </c>
      <c r="M12" t="str">
        <f>IFERROR(SMALL($L$2:$L$45,ROWS($L$2:L12)),"")</f>
        <v/>
      </c>
    </row>
    <row r="13" spans="1:13" x14ac:dyDescent="0.25">
      <c r="A13" t="s">
        <v>184</v>
      </c>
      <c r="B13" t="s">
        <v>207</v>
      </c>
      <c r="C13" t="s">
        <v>213</v>
      </c>
      <c r="D13" s="32">
        <v>41654</v>
      </c>
      <c r="E13">
        <v>965</v>
      </c>
      <c r="H13" t="b">
        <f>IF(Dashboard4!$S$2="All Industry",TRUE,Dashboard4!$S$2=Data!B13:B111)</f>
        <v>1</v>
      </c>
      <c r="I13" t="b">
        <f>IF(Dashboard4!$T$2="All Country",TRUE,Dashboard4!$T$2=Data!C13:C111)</f>
        <v>1</v>
      </c>
      <c r="J13" t="b">
        <f>IF(Dashboard4!$U$2="All Months",TRUE,Dashboard4!$U$1=MONTH(Data!D13))</f>
        <v>0</v>
      </c>
      <c r="K13" t="b">
        <f t="shared" si="0"/>
        <v>0</v>
      </c>
      <c r="L13" t="str">
        <f>IF(K13,ROWS($K$2:K13),"")</f>
        <v/>
      </c>
      <c r="M13" t="str">
        <f>IFERROR(SMALL($L$2:$L$45,ROWS($L$2:L13)),"")</f>
        <v/>
      </c>
    </row>
    <row r="14" spans="1:13" x14ac:dyDescent="0.25">
      <c r="A14" t="s">
        <v>185</v>
      </c>
      <c r="B14" t="s">
        <v>207</v>
      </c>
      <c r="C14" t="s">
        <v>215</v>
      </c>
      <c r="D14" s="32">
        <v>41654</v>
      </c>
      <c r="E14">
        <v>441</v>
      </c>
      <c r="H14" t="b">
        <f>IF(Dashboard4!$S$2="All Industry",TRUE,Dashboard4!$S$2=Data!B14:B112)</f>
        <v>1</v>
      </c>
      <c r="I14" t="b">
        <f>IF(Dashboard4!$T$2="All Country",TRUE,Dashboard4!$T$2=Data!C14:C112)</f>
        <v>1</v>
      </c>
      <c r="J14" t="b">
        <f>IF(Dashboard4!$U$2="All Months",TRUE,Dashboard4!$U$1=MONTH(Data!D14))</f>
        <v>0</v>
      </c>
      <c r="K14" t="b">
        <f t="shared" si="0"/>
        <v>0</v>
      </c>
      <c r="L14" t="str">
        <f>IF(K14,ROWS($K$2:K14),"")</f>
        <v/>
      </c>
      <c r="M14" t="str">
        <f>IFERROR(SMALL($L$2:$L$45,ROWS($L$2:L14)),"")</f>
        <v/>
      </c>
    </row>
    <row r="15" spans="1:13" x14ac:dyDescent="0.25">
      <c r="A15" t="s">
        <v>186</v>
      </c>
      <c r="B15" t="s">
        <v>206</v>
      </c>
      <c r="C15" t="s">
        <v>217</v>
      </c>
      <c r="D15" s="32">
        <v>41852</v>
      </c>
      <c r="E15">
        <v>280</v>
      </c>
      <c r="H15" t="b">
        <f>IF(Dashboard4!$S$2="All Industry",TRUE,Dashboard4!$S$2=Data!B15:B113)</f>
        <v>1</v>
      </c>
      <c r="I15" t="b">
        <f>IF(Dashboard4!$T$2="All Country",TRUE,Dashboard4!$T$2=Data!C15:C113)</f>
        <v>1</v>
      </c>
      <c r="J15" t="b">
        <f>IF(Dashboard4!$U$2="All Months",TRUE,Dashboard4!$U$1=MONTH(Data!D15))</f>
        <v>0</v>
      </c>
      <c r="K15" t="b">
        <f t="shared" si="0"/>
        <v>0</v>
      </c>
      <c r="L15" t="str">
        <f>IF(K15,ROWS($K$2:K15),"")</f>
        <v/>
      </c>
      <c r="M15" t="str">
        <f>IFERROR(SMALL($L$2:$L$45,ROWS($L$2:L15)),"")</f>
        <v/>
      </c>
    </row>
    <row r="16" spans="1:13" x14ac:dyDescent="0.25">
      <c r="A16" t="s">
        <v>187</v>
      </c>
      <c r="B16" t="s">
        <v>206</v>
      </c>
      <c r="C16" t="s">
        <v>212</v>
      </c>
      <c r="D16" s="32">
        <v>41852</v>
      </c>
      <c r="E16">
        <v>208</v>
      </c>
      <c r="H16" t="b">
        <f>IF(Dashboard4!$S$2="All Industry",TRUE,Dashboard4!$S$2=Data!B16:B114)</f>
        <v>1</v>
      </c>
      <c r="I16" t="b">
        <f>IF(Dashboard4!$T$2="All Country",TRUE,Dashboard4!$T$2=Data!C16:C114)</f>
        <v>1</v>
      </c>
      <c r="J16" t="b">
        <f>IF(Dashboard4!$U$2="All Months",TRUE,Dashboard4!$U$1=MONTH(Data!D16))</f>
        <v>0</v>
      </c>
      <c r="K16" t="b">
        <f t="shared" si="0"/>
        <v>0</v>
      </c>
      <c r="L16" t="str">
        <f>IF(K16,ROWS($K$2:K16),"")</f>
        <v/>
      </c>
      <c r="M16" t="str">
        <f>IFERROR(SMALL($L$2:$L$45,ROWS($L$2:L16)),"")</f>
        <v/>
      </c>
    </row>
    <row r="17" spans="1:13" x14ac:dyDescent="0.25">
      <c r="A17" t="s">
        <v>188</v>
      </c>
      <c r="B17" t="s">
        <v>211</v>
      </c>
      <c r="C17" t="s">
        <v>217</v>
      </c>
      <c r="D17" s="32">
        <v>41852</v>
      </c>
      <c r="E17">
        <v>261</v>
      </c>
      <c r="H17" t="b">
        <f>IF(Dashboard4!$S$2="All Industry",TRUE,Dashboard4!$S$2=Data!B17:B115)</f>
        <v>1</v>
      </c>
      <c r="I17" t="b">
        <f>IF(Dashboard4!$T$2="All Country",TRUE,Dashboard4!$T$2=Data!C17:C115)</f>
        <v>1</v>
      </c>
      <c r="J17" t="b">
        <f>IF(Dashboard4!$U$2="All Months",TRUE,Dashboard4!$U$1=MONTH(Data!D17))</f>
        <v>0</v>
      </c>
      <c r="K17" t="b">
        <f t="shared" si="0"/>
        <v>0</v>
      </c>
      <c r="L17" t="str">
        <f>IF(K17,ROWS($K$2:K17),"")</f>
        <v/>
      </c>
      <c r="M17" t="str">
        <f>IFERROR(SMALL($L$2:$L$45,ROWS($L$2:L17)),"")</f>
        <v/>
      </c>
    </row>
    <row r="18" spans="1:13" x14ac:dyDescent="0.25">
      <c r="A18" t="s">
        <v>189</v>
      </c>
      <c r="B18" t="s">
        <v>209</v>
      </c>
      <c r="C18" t="s">
        <v>215</v>
      </c>
      <c r="D18" s="32">
        <v>41852</v>
      </c>
      <c r="E18">
        <v>980</v>
      </c>
      <c r="H18" t="b">
        <f>IF(Dashboard4!$S$2="All Industry",TRUE,Dashboard4!$S$2=Data!B18:B116)</f>
        <v>1</v>
      </c>
      <c r="I18" t="b">
        <f>IF(Dashboard4!$T$2="All Country",TRUE,Dashboard4!$T$2=Data!C18:C116)</f>
        <v>1</v>
      </c>
      <c r="J18" t="b">
        <f>IF(Dashboard4!$U$2="All Months",TRUE,Dashboard4!$U$1=MONTH(Data!D18))</f>
        <v>0</v>
      </c>
      <c r="K18" t="b">
        <f t="shared" si="0"/>
        <v>0</v>
      </c>
      <c r="L18" t="str">
        <f>IF(K18,ROWS($K$2:K18),"")</f>
        <v/>
      </c>
      <c r="M18" t="str">
        <f>IFERROR(SMALL($L$2:$L$45,ROWS($L$2:L18)),"")</f>
        <v/>
      </c>
    </row>
    <row r="19" spans="1:13" x14ac:dyDescent="0.25">
      <c r="A19" t="s">
        <v>190</v>
      </c>
      <c r="B19" t="s">
        <v>209</v>
      </c>
      <c r="C19" t="s">
        <v>216</v>
      </c>
      <c r="D19" s="32">
        <v>41676</v>
      </c>
      <c r="E19">
        <v>516</v>
      </c>
      <c r="H19" t="b">
        <f>IF(Dashboard4!$S$2="All Industry",TRUE,Dashboard4!$S$2=Data!B19:B117)</f>
        <v>1</v>
      </c>
      <c r="I19" t="b">
        <f>IF(Dashboard4!$T$2="All Country",TRUE,Dashboard4!$T$2=Data!C19:C117)</f>
        <v>1</v>
      </c>
      <c r="J19" t="b">
        <f>IF(Dashboard4!$U$2="All Months",TRUE,Dashboard4!$U$1=MONTH(Data!D19))</f>
        <v>0</v>
      </c>
      <c r="K19" t="b">
        <f t="shared" si="0"/>
        <v>0</v>
      </c>
      <c r="L19" t="str">
        <f>IF(K19,ROWS($K$2:K19),"")</f>
        <v/>
      </c>
      <c r="M19" t="str">
        <f>IFERROR(SMALL($L$2:$L$45,ROWS($L$2:L19)),"")</f>
        <v/>
      </c>
    </row>
    <row r="20" spans="1:13" x14ac:dyDescent="0.25">
      <c r="A20" t="s">
        <v>191</v>
      </c>
      <c r="B20" t="s">
        <v>208</v>
      </c>
      <c r="C20" t="s">
        <v>216</v>
      </c>
      <c r="D20" s="32">
        <v>41676</v>
      </c>
      <c r="E20">
        <v>505</v>
      </c>
      <c r="H20" t="b">
        <f>IF(Dashboard4!$S$2="All Industry",TRUE,Dashboard4!$S$2=Data!B20:B118)</f>
        <v>1</v>
      </c>
      <c r="I20" t="b">
        <f>IF(Dashboard4!$T$2="All Country",TRUE,Dashboard4!$T$2=Data!C20:C118)</f>
        <v>1</v>
      </c>
      <c r="J20" t="b">
        <f>IF(Dashboard4!$U$2="All Months",TRUE,Dashboard4!$U$1=MONTH(Data!D20))</f>
        <v>0</v>
      </c>
      <c r="K20" t="b">
        <f t="shared" si="0"/>
        <v>0</v>
      </c>
      <c r="L20" t="str">
        <f>IF(K20,ROWS($K$2:K20),"")</f>
        <v/>
      </c>
      <c r="M20" t="str">
        <f>IFERROR(SMALL($L$2:$L$45,ROWS($L$2:L20)),"")</f>
        <v/>
      </c>
    </row>
    <row r="21" spans="1:13" x14ac:dyDescent="0.25">
      <c r="A21" t="s">
        <v>192</v>
      </c>
      <c r="B21" t="s">
        <v>208</v>
      </c>
      <c r="C21" t="s">
        <v>214</v>
      </c>
      <c r="D21" s="32">
        <v>41676</v>
      </c>
      <c r="E21">
        <v>739</v>
      </c>
      <c r="H21" t="b">
        <f>IF(Dashboard4!$S$2="All Industry",TRUE,Dashboard4!$S$2=Data!B21:B119)</f>
        <v>1</v>
      </c>
      <c r="I21" t="b">
        <f>IF(Dashboard4!$T$2="All Country",TRUE,Dashboard4!$T$2=Data!C21:C119)</f>
        <v>1</v>
      </c>
      <c r="J21" t="b">
        <f>IF(Dashboard4!$U$2="All Months",TRUE,Dashboard4!$U$1=MONTH(Data!D21))</f>
        <v>0</v>
      </c>
      <c r="K21" t="b">
        <f t="shared" si="0"/>
        <v>0</v>
      </c>
      <c r="L21" t="str">
        <f>IF(K21,ROWS($K$2:K21),"")</f>
        <v/>
      </c>
      <c r="M21" t="str">
        <f>IFERROR(SMALL($L$2:$L$45,ROWS($L$2:L21)),"")</f>
        <v/>
      </c>
    </row>
    <row r="22" spans="1:13" x14ac:dyDescent="0.25">
      <c r="A22" t="s">
        <v>193</v>
      </c>
      <c r="B22" t="s">
        <v>206</v>
      </c>
      <c r="C22" t="s">
        <v>214</v>
      </c>
      <c r="D22" s="32">
        <v>41676</v>
      </c>
      <c r="E22">
        <v>972</v>
      </c>
      <c r="H22" t="b">
        <f>IF(Dashboard4!$S$2="All Industry",TRUE,Dashboard4!$S$2=Data!B22:B120)</f>
        <v>1</v>
      </c>
      <c r="I22" t="b">
        <f>IF(Dashboard4!$T$2="All Country",TRUE,Dashboard4!$T$2=Data!C22:C120)</f>
        <v>1</v>
      </c>
      <c r="J22" t="b">
        <f>IF(Dashboard4!$U$2="All Months",TRUE,Dashboard4!$U$1=MONTH(Data!D22))</f>
        <v>0</v>
      </c>
      <c r="K22" t="b">
        <f t="shared" si="0"/>
        <v>0</v>
      </c>
      <c r="L22" t="str">
        <f>IF(K22,ROWS($K$2:K22),"")</f>
        <v/>
      </c>
      <c r="M22" t="str">
        <f>IFERROR(SMALL($L$2:$L$45,ROWS($L$2:L22)),"")</f>
        <v/>
      </c>
    </row>
    <row r="23" spans="1:13" x14ac:dyDescent="0.25">
      <c r="A23" t="s">
        <v>194</v>
      </c>
      <c r="B23" t="s">
        <v>210</v>
      </c>
      <c r="C23" t="s">
        <v>212</v>
      </c>
      <c r="D23" s="32">
        <v>41676</v>
      </c>
      <c r="E23">
        <v>178</v>
      </c>
      <c r="H23" t="b">
        <f>IF(Dashboard4!$S$2="All Industry",TRUE,Dashboard4!$S$2=Data!B23:B121)</f>
        <v>1</v>
      </c>
      <c r="I23" t="b">
        <f>IF(Dashboard4!$T$2="All Country",TRUE,Dashboard4!$T$2=Data!C23:C121)</f>
        <v>1</v>
      </c>
      <c r="J23" t="b">
        <f>IF(Dashboard4!$U$2="All Months",TRUE,Dashboard4!$U$1=MONTH(Data!D23))</f>
        <v>0</v>
      </c>
      <c r="K23" t="b">
        <f t="shared" si="0"/>
        <v>0</v>
      </c>
      <c r="L23" t="str">
        <f>IF(K23,ROWS($K$2:K23),"")</f>
        <v/>
      </c>
      <c r="M23" t="str">
        <f>IFERROR(SMALL($L$2:$L$45,ROWS($L$2:L23)),"")</f>
        <v/>
      </c>
    </row>
    <row r="24" spans="1:13" x14ac:dyDescent="0.25">
      <c r="A24" t="s">
        <v>195</v>
      </c>
      <c r="B24" t="s">
        <v>210</v>
      </c>
      <c r="C24" t="s">
        <v>212</v>
      </c>
      <c r="D24" s="32">
        <v>41871</v>
      </c>
      <c r="E24">
        <v>855</v>
      </c>
      <c r="H24" t="b">
        <f>IF(Dashboard4!$S$2="All Industry",TRUE,Dashboard4!$S$2=Data!B24:B122)</f>
        <v>1</v>
      </c>
      <c r="I24" t="b">
        <f>IF(Dashboard4!$T$2="All Country",TRUE,Dashboard4!$T$2=Data!C24:C122)</f>
        <v>1</v>
      </c>
      <c r="J24" t="b">
        <f>IF(Dashboard4!$U$2="All Months",TRUE,Dashboard4!$U$1=MONTH(Data!D24))</f>
        <v>0</v>
      </c>
      <c r="K24" t="b">
        <f t="shared" si="0"/>
        <v>0</v>
      </c>
      <c r="L24" t="str">
        <f>IF(K24,ROWS($K$2:K24),"")</f>
        <v/>
      </c>
      <c r="M24" t="str">
        <f>IFERROR(SMALL($L$2:$L$45,ROWS($L$2:L24)),"")</f>
        <v/>
      </c>
    </row>
    <row r="25" spans="1:13" x14ac:dyDescent="0.25">
      <c r="A25" t="s">
        <v>196</v>
      </c>
      <c r="B25" t="s">
        <v>207</v>
      </c>
      <c r="C25" t="s">
        <v>215</v>
      </c>
      <c r="D25" s="32">
        <v>41871</v>
      </c>
      <c r="E25">
        <v>674</v>
      </c>
      <c r="H25" t="b">
        <f>IF(Dashboard4!$S$2="All Industry",TRUE,Dashboard4!$S$2=Data!B25:B123)</f>
        <v>1</v>
      </c>
      <c r="I25" t="b">
        <f>IF(Dashboard4!$T$2="All Country",TRUE,Dashboard4!$T$2=Data!C25:C123)</f>
        <v>1</v>
      </c>
      <c r="J25" t="b">
        <f>IF(Dashboard4!$U$2="All Months",TRUE,Dashboard4!$U$1=MONTH(Data!D25))</f>
        <v>0</v>
      </c>
      <c r="K25" t="b">
        <f t="shared" si="0"/>
        <v>0</v>
      </c>
      <c r="L25" t="str">
        <f>IF(K25,ROWS($K$2:K25),"")</f>
        <v/>
      </c>
      <c r="M25" t="str">
        <f>IFERROR(SMALL($L$2:$L$45,ROWS($L$2:L25)),"")</f>
        <v/>
      </c>
    </row>
    <row r="26" spans="1:13" x14ac:dyDescent="0.25">
      <c r="A26" t="s">
        <v>197</v>
      </c>
      <c r="B26" t="s">
        <v>207</v>
      </c>
      <c r="C26" t="s">
        <v>214</v>
      </c>
      <c r="D26" s="32">
        <v>41871</v>
      </c>
      <c r="E26">
        <v>833</v>
      </c>
      <c r="H26" t="b">
        <f>IF(Dashboard4!$S$2="All Industry",TRUE,Dashboard4!$S$2=Data!B26:B124)</f>
        <v>1</v>
      </c>
      <c r="I26" t="b">
        <f>IF(Dashboard4!$T$2="All Country",TRUE,Dashboard4!$T$2=Data!C26:C124)</f>
        <v>1</v>
      </c>
      <c r="J26" t="b">
        <f>IF(Dashboard4!$U$2="All Months",TRUE,Dashboard4!$U$1=MONTH(Data!D26))</f>
        <v>0</v>
      </c>
      <c r="K26" t="b">
        <f t="shared" si="0"/>
        <v>0</v>
      </c>
      <c r="L26" t="str">
        <f>IF(K26,ROWS($K$2:K26),"")</f>
        <v/>
      </c>
      <c r="M26" t="str">
        <f>IFERROR(SMALL($L$2:$L$45,ROWS($L$2:L26)),"")</f>
        <v/>
      </c>
    </row>
    <row r="27" spans="1:13" x14ac:dyDescent="0.25">
      <c r="A27" t="s">
        <v>198</v>
      </c>
      <c r="B27" t="s">
        <v>209</v>
      </c>
      <c r="C27" t="s">
        <v>214</v>
      </c>
      <c r="D27" s="32">
        <v>41871</v>
      </c>
      <c r="E27">
        <v>403</v>
      </c>
      <c r="H27" t="b">
        <f>IF(Dashboard4!$S$2="All Industry",TRUE,Dashboard4!$S$2=Data!B27:B125)</f>
        <v>1</v>
      </c>
      <c r="I27" t="b">
        <f>IF(Dashboard4!$T$2="All Country",TRUE,Dashboard4!$T$2=Data!C27:C125)</f>
        <v>1</v>
      </c>
      <c r="J27" t="b">
        <f>IF(Dashboard4!$U$2="All Months",TRUE,Dashboard4!$U$1=MONTH(Data!D27))</f>
        <v>0</v>
      </c>
      <c r="K27" t="b">
        <f t="shared" si="0"/>
        <v>0</v>
      </c>
      <c r="L27" t="str">
        <f>IF(K27,ROWS($K$2:K27),"")</f>
        <v/>
      </c>
      <c r="M27" t="str">
        <f>IFERROR(SMALL($L$2:$L$45,ROWS($L$2:L27)),"")</f>
        <v/>
      </c>
    </row>
    <row r="28" spans="1:13" x14ac:dyDescent="0.25">
      <c r="A28" t="s">
        <v>199</v>
      </c>
      <c r="B28" t="s">
        <v>210</v>
      </c>
      <c r="C28" t="s">
        <v>216</v>
      </c>
      <c r="D28" s="32">
        <v>41871</v>
      </c>
      <c r="E28">
        <v>690</v>
      </c>
      <c r="H28" t="b">
        <f>IF(Dashboard4!$S$2="All Industry",TRUE,Dashboard4!$S$2=Data!B28:B126)</f>
        <v>1</v>
      </c>
      <c r="I28" t="b">
        <f>IF(Dashboard4!$T$2="All Country",TRUE,Dashboard4!$T$2=Data!C28:C126)</f>
        <v>1</v>
      </c>
      <c r="J28" t="b">
        <f>IF(Dashboard4!$U$2="All Months",TRUE,Dashboard4!$U$1=MONTH(Data!D28))</f>
        <v>0</v>
      </c>
      <c r="K28" t="b">
        <f t="shared" si="0"/>
        <v>0</v>
      </c>
      <c r="L28" t="str">
        <f>IF(K28,ROWS($K$2:K28),"")</f>
        <v/>
      </c>
      <c r="M28" t="str">
        <f>IFERROR(SMALL($L$2:$L$45,ROWS($L$2:L28)),"")</f>
        <v/>
      </c>
    </row>
    <row r="29" spans="1:13" x14ac:dyDescent="0.25">
      <c r="A29" t="s">
        <v>200</v>
      </c>
      <c r="B29" t="s">
        <v>210</v>
      </c>
      <c r="C29" t="s">
        <v>212</v>
      </c>
      <c r="D29" s="32">
        <v>41871</v>
      </c>
      <c r="E29">
        <v>835</v>
      </c>
      <c r="H29" t="b">
        <f>IF(Dashboard4!$S$2="All Industry",TRUE,Dashboard4!$S$2=Data!B29:B127)</f>
        <v>1</v>
      </c>
      <c r="I29" t="b">
        <f>IF(Dashboard4!$T$2="All Country",TRUE,Dashboard4!$T$2=Data!C29:C127)</f>
        <v>1</v>
      </c>
      <c r="J29" t="b">
        <f>IF(Dashboard4!$U$2="All Months",TRUE,Dashboard4!$U$1=MONTH(Data!D29))</f>
        <v>0</v>
      </c>
      <c r="K29" t="b">
        <f t="shared" si="0"/>
        <v>0</v>
      </c>
      <c r="L29" t="str">
        <f>IF(K29,ROWS($K$2:K29),"")</f>
        <v/>
      </c>
      <c r="M29" t="str">
        <f>IFERROR(SMALL($L$2:$L$45,ROWS($L$2:L29)),"")</f>
        <v/>
      </c>
    </row>
    <row r="30" spans="1:13" x14ac:dyDescent="0.25">
      <c r="A30" t="s">
        <v>201</v>
      </c>
      <c r="B30" t="s">
        <v>207</v>
      </c>
      <c r="C30" t="s">
        <v>217</v>
      </c>
      <c r="D30" s="32">
        <v>41974</v>
      </c>
      <c r="E30">
        <v>581</v>
      </c>
      <c r="H30" t="b">
        <f>IF(Dashboard4!$S$2="All Industry",TRUE,Dashboard4!$S$2=Data!B30:B128)</f>
        <v>1</v>
      </c>
      <c r="I30" t="b">
        <f>IF(Dashboard4!$T$2="All Country",TRUE,Dashboard4!$T$2=Data!C30:C128)</f>
        <v>1</v>
      </c>
      <c r="J30" t="b">
        <f>IF(Dashboard4!$U$2="All Months",TRUE,Dashboard4!$U$1=MONTH(Data!D30))</f>
        <v>1</v>
      </c>
      <c r="K30" t="b">
        <f t="shared" si="0"/>
        <v>1</v>
      </c>
      <c r="L30">
        <f>IF(K30,ROWS($K$2:K30),"")</f>
        <v>29</v>
      </c>
      <c r="M30" t="str">
        <f>IFERROR(SMALL($L$2:$L$45,ROWS($L$2:L30)),"")</f>
        <v/>
      </c>
    </row>
    <row r="31" spans="1:13" x14ac:dyDescent="0.25">
      <c r="A31" t="s">
        <v>202</v>
      </c>
      <c r="B31" t="s">
        <v>206</v>
      </c>
      <c r="C31" t="s">
        <v>217</v>
      </c>
      <c r="D31" s="33">
        <v>41974</v>
      </c>
      <c r="E31">
        <v>415</v>
      </c>
      <c r="H31" t="b">
        <f>IF(Dashboard4!$S$2="All Industry",TRUE,Dashboard4!$S$2=Data!B31:B129)</f>
        <v>1</v>
      </c>
      <c r="I31" t="b">
        <f>IF(Dashboard4!$T$2="All Country",TRUE,Dashboard4!$T$2=Data!C31:C129)</f>
        <v>1</v>
      </c>
      <c r="J31" t="b">
        <f>IF(Dashboard4!$U$2="All Months",TRUE,Dashboard4!$U$1=MONTH(Data!D31))</f>
        <v>1</v>
      </c>
      <c r="K31" t="b">
        <f t="shared" si="0"/>
        <v>1</v>
      </c>
      <c r="L31">
        <f>IF(K31,ROWS($K$2:K31),"")</f>
        <v>30</v>
      </c>
      <c r="M31" t="str">
        <f>IFERROR(SMALL($L$2:$L$45,ROWS($L$2:L31)),"")</f>
        <v/>
      </c>
    </row>
    <row r="32" spans="1:13" x14ac:dyDescent="0.25">
      <c r="A32" t="s">
        <v>203</v>
      </c>
      <c r="B32" t="s">
        <v>206</v>
      </c>
      <c r="C32" t="s">
        <v>216</v>
      </c>
      <c r="D32" s="33">
        <v>41974</v>
      </c>
      <c r="E32">
        <v>815</v>
      </c>
      <c r="H32" t="b">
        <f>IF(Dashboard4!$S$2="All Industry",TRUE,Dashboard4!$S$2=Data!B32:B130)</f>
        <v>1</v>
      </c>
      <c r="I32" t="b">
        <f>IF(Dashboard4!$T$2="All Country",TRUE,Dashboard4!$T$2=Data!C32:C130)</f>
        <v>1</v>
      </c>
      <c r="J32" t="b">
        <f>IF(Dashboard4!$U$2="All Months",TRUE,Dashboard4!$U$1=MONTH(Data!D32))</f>
        <v>1</v>
      </c>
      <c r="K32" t="b">
        <f t="shared" si="0"/>
        <v>1</v>
      </c>
      <c r="L32">
        <f>IF(K32,ROWS($K$2:K32),"")</f>
        <v>31</v>
      </c>
      <c r="M32" t="str">
        <f>IFERROR(SMALL($L$2:$L$45,ROWS($L$2:L32)),"")</f>
        <v/>
      </c>
    </row>
    <row r="33" spans="1:13" x14ac:dyDescent="0.25">
      <c r="A33" t="s">
        <v>204</v>
      </c>
      <c r="B33" t="s">
        <v>208</v>
      </c>
      <c r="C33" t="s">
        <v>214</v>
      </c>
      <c r="D33" s="33">
        <v>41974</v>
      </c>
      <c r="E33">
        <v>213</v>
      </c>
      <c r="H33" t="b">
        <f>IF(Dashboard4!$S$2="All Industry",TRUE,Dashboard4!$S$2=Data!B33:B131)</f>
        <v>1</v>
      </c>
      <c r="I33" t="b">
        <f>IF(Dashboard4!$T$2="All Country",TRUE,Dashboard4!$T$2=Data!C33:C131)</f>
        <v>1</v>
      </c>
      <c r="J33" t="b">
        <f>IF(Dashboard4!$U$2="All Months",TRUE,Dashboard4!$U$1=MONTH(Data!D33))</f>
        <v>1</v>
      </c>
      <c r="K33" t="b">
        <f t="shared" si="0"/>
        <v>1</v>
      </c>
      <c r="L33">
        <f>IF(K33,ROWS($K$2:K33),"")</f>
        <v>32</v>
      </c>
      <c r="M33" t="str">
        <f>IFERROR(SMALL($L$2:$L$45,ROWS($L$2:L33)),"")</f>
        <v/>
      </c>
    </row>
    <row r="34" spans="1:13" x14ac:dyDescent="0.25">
      <c r="A34" t="s">
        <v>205</v>
      </c>
      <c r="B34" t="s">
        <v>211</v>
      </c>
      <c r="C34" t="s">
        <v>212</v>
      </c>
      <c r="D34" s="33">
        <v>41974</v>
      </c>
      <c r="E34">
        <v>226</v>
      </c>
      <c r="H34" t="b">
        <f>IF(Dashboard4!$S$2="All Industry",TRUE,Dashboard4!$S$2=Data!B34:B132)</f>
        <v>1</v>
      </c>
      <c r="I34" t="b">
        <f>IF(Dashboard4!$T$2="All Country",TRUE,Dashboard4!$T$2=Data!C34:C132)</f>
        <v>1</v>
      </c>
      <c r="J34" t="b">
        <f>IF(Dashboard4!$U$2="All Months",TRUE,Dashboard4!$U$1=MONTH(Data!D34))</f>
        <v>1</v>
      </c>
      <c r="K34" t="b">
        <f t="shared" si="0"/>
        <v>1</v>
      </c>
      <c r="L34">
        <f>IF(K34,ROWS($K$2:K34),"")</f>
        <v>33</v>
      </c>
      <c r="M34" t="str">
        <f>IFERROR(SMALL($L$2:$L$45,ROWS($L$2:L34)),"")</f>
        <v/>
      </c>
    </row>
    <row r="35" spans="1:13" x14ac:dyDescent="0.25">
      <c r="A35" t="s">
        <v>239</v>
      </c>
      <c r="B35" s="36" t="s">
        <v>206</v>
      </c>
      <c r="C35" s="36" t="s">
        <v>212</v>
      </c>
      <c r="D35" s="32">
        <v>41640</v>
      </c>
      <c r="E35">
        <v>852</v>
      </c>
      <c r="H35" t="b">
        <f>IF(Dashboard4!$S$2="All Industry",TRUE,Dashboard4!$S$2=Data!B35:B133)</f>
        <v>1</v>
      </c>
      <c r="I35" t="b">
        <f>IF(Dashboard4!$T$2="All Country",TRUE,Dashboard4!$T$2=Data!C35:C133)</f>
        <v>1</v>
      </c>
      <c r="J35" t="b">
        <f>IF(Dashboard4!$U$2="All Months",TRUE,Dashboard4!$U$1=MONTH(Data!D35))</f>
        <v>0</v>
      </c>
      <c r="K35" t="b">
        <f t="shared" ref="K35:K98" si="1">AND(H35:J35)</f>
        <v>0</v>
      </c>
      <c r="L35" t="str">
        <f>IF(K35,ROWS($K$2:K35),"")</f>
        <v/>
      </c>
      <c r="M35" t="str">
        <f>IFERROR(SMALL($L$2:$L$45,ROWS($L$2:L35)),"")</f>
        <v/>
      </c>
    </row>
    <row r="36" spans="1:13" x14ac:dyDescent="0.25">
      <c r="A36" t="s">
        <v>240</v>
      </c>
      <c r="B36" s="36" t="s">
        <v>207</v>
      </c>
      <c r="C36" s="36" t="s">
        <v>213</v>
      </c>
      <c r="D36" s="32">
        <v>41640</v>
      </c>
      <c r="E36">
        <v>364</v>
      </c>
      <c r="H36" t="b">
        <f>IF(Dashboard4!$S$2="All Industry",TRUE,Dashboard4!$S$2=Data!B36:B134)</f>
        <v>1</v>
      </c>
      <c r="I36" t="b">
        <f>IF(Dashboard4!$T$2="All Country",TRUE,Dashboard4!$T$2=Data!C36:C134)</f>
        <v>1</v>
      </c>
      <c r="J36" t="b">
        <f>IF(Dashboard4!$U$2="All Months",TRUE,Dashboard4!$U$1=MONTH(Data!D36))</f>
        <v>0</v>
      </c>
      <c r="K36" t="b">
        <f t="shared" si="1"/>
        <v>0</v>
      </c>
      <c r="L36" t="str">
        <f>IF(K36,ROWS($K$2:K36),"")</f>
        <v/>
      </c>
      <c r="M36" t="str">
        <f>IFERROR(SMALL($L$2:$L$45,ROWS($L$2:L36)),"")</f>
        <v/>
      </c>
    </row>
    <row r="37" spans="1:13" x14ac:dyDescent="0.25">
      <c r="A37" t="s">
        <v>241</v>
      </c>
      <c r="B37" s="36" t="s">
        <v>208</v>
      </c>
      <c r="C37" s="36" t="s">
        <v>214</v>
      </c>
      <c r="D37" s="32">
        <v>41640</v>
      </c>
      <c r="E37">
        <v>548</v>
      </c>
      <c r="H37" t="b">
        <f>IF(Dashboard4!$S$2="All Industry",TRUE,Dashboard4!$S$2=Data!B37:B135)</f>
        <v>1</v>
      </c>
      <c r="I37" t="b">
        <f>IF(Dashboard4!$T$2="All Country",TRUE,Dashboard4!$T$2=Data!C37:C135)</f>
        <v>1</v>
      </c>
      <c r="J37" t="b">
        <f>IF(Dashboard4!$U$2="All Months",TRUE,Dashboard4!$U$1=MONTH(Data!D37))</f>
        <v>0</v>
      </c>
      <c r="K37" t="b">
        <f t="shared" si="1"/>
        <v>0</v>
      </c>
      <c r="L37" t="str">
        <f>IF(K37,ROWS($K$2:K37),"")</f>
        <v/>
      </c>
      <c r="M37" t="str">
        <f>IFERROR(SMALL($L$2:$L$45,ROWS($L$2:L37)),"")</f>
        <v/>
      </c>
    </row>
    <row r="38" spans="1:13" x14ac:dyDescent="0.25">
      <c r="A38" t="s">
        <v>242</v>
      </c>
      <c r="B38" s="36" t="s">
        <v>209</v>
      </c>
      <c r="C38" s="36" t="s">
        <v>215</v>
      </c>
      <c r="D38" s="32">
        <v>41640</v>
      </c>
      <c r="E38">
        <v>286</v>
      </c>
      <c r="H38" t="b">
        <f>IF(Dashboard4!$S$2="All Industry",TRUE,Dashboard4!$S$2=Data!B38:B136)</f>
        <v>1</v>
      </c>
      <c r="I38" t="b">
        <f>IF(Dashboard4!$T$2="All Country",TRUE,Dashboard4!$T$2=Data!C38:C136)</f>
        <v>1</v>
      </c>
      <c r="J38" t="b">
        <f>IF(Dashboard4!$U$2="All Months",TRUE,Dashboard4!$U$1=MONTH(Data!D38))</f>
        <v>0</v>
      </c>
      <c r="K38" t="b">
        <f t="shared" si="1"/>
        <v>0</v>
      </c>
      <c r="L38" t="str">
        <f>IF(K38,ROWS($K$2:K38),"")</f>
        <v/>
      </c>
      <c r="M38" t="str">
        <f>IFERROR(SMALL($L$2:$L$45,ROWS($L$2:L38)),"")</f>
        <v/>
      </c>
    </row>
    <row r="39" spans="1:13" x14ac:dyDescent="0.25">
      <c r="A39" t="s">
        <v>243</v>
      </c>
      <c r="B39" s="36" t="s">
        <v>210</v>
      </c>
      <c r="C39" s="36" t="s">
        <v>216</v>
      </c>
      <c r="D39" s="32">
        <v>41640</v>
      </c>
      <c r="E39">
        <v>609</v>
      </c>
      <c r="H39" t="b">
        <f>IF(Dashboard4!$S$2="All Industry",TRUE,Dashboard4!$S$2=Data!B39:B137)</f>
        <v>1</v>
      </c>
      <c r="I39" t="b">
        <f>IF(Dashboard4!$T$2="All Country",TRUE,Dashboard4!$T$2=Data!C39:C137)</f>
        <v>1</v>
      </c>
      <c r="J39" t="b">
        <f>IF(Dashboard4!$U$2="All Months",TRUE,Dashboard4!$U$1=MONTH(Data!D39))</f>
        <v>0</v>
      </c>
      <c r="K39" t="b">
        <f t="shared" si="1"/>
        <v>0</v>
      </c>
      <c r="L39" t="str">
        <f>IF(K39,ROWS($K$2:K39),"")</f>
        <v/>
      </c>
      <c r="M39" t="str">
        <f>IFERROR(SMALL($L$2:$L$45,ROWS($L$2:L39)),"")</f>
        <v/>
      </c>
    </row>
    <row r="40" spans="1:13" x14ac:dyDescent="0.25">
      <c r="A40" t="s">
        <v>244</v>
      </c>
      <c r="B40" s="36" t="s">
        <v>211</v>
      </c>
      <c r="C40" s="36" t="s">
        <v>217</v>
      </c>
      <c r="D40" s="32">
        <v>41640</v>
      </c>
      <c r="E40">
        <v>858</v>
      </c>
      <c r="H40" t="b">
        <f>IF(Dashboard4!$S$2="All Industry",TRUE,Dashboard4!$S$2=Data!B40:B138)</f>
        <v>1</v>
      </c>
      <c r="I40" t="b">
        <f>IF(Dashboard4!$T$2="All Country",TRUE,Dashboard4!$T$2=Data!C40:C138)</f>
        <v>1</v>
      </c>
      <c r="J40" t="b">
        <f>IF(Dashboard4!$U$2="All Months",TRUE,Dashboard4!$U$1=MONTH(Data!D40))</f>
        <v>0</v>
      </c>
      <c r="K40" t="b">
        <f t="shared" si="1"/>
        <v>0</v>
      </c>
      <c r="L40" t="str">
        <f>IF(K40,ROWS($K$2:K40),"")</f>
        <v/>
      </c>
      <c r="M40" t="str">
        <f>IFERROR(SMALL($L$2:$L$45,ROWS($L$2:L40)),"")</f>
        <v/>
      </c>
    </row>
    <row r="41" spans="1:13" x14ac:dyDescent="0.25">
      <c r="A41" t="s">
        <v>245</v>
      </c>
      <c r="B41" t="s">
        <v>211</v>
      </c>
      <c r="C41" s="36" t="s">
        <v>212</v>
      </c>
      <c r="D41" s="32">
        <v>41673</v>
      </c>
      <c r="E41">
        <v>775</v>
      </c>
      <c r="H41" t="b">
        <f>IF(Dashboard4!$S$2="All Industry",TRUE,Dashboard4!$S$2=Data!B41:B139)</f>
        <v>1</v>
      </c>
      <c r="I41" t="b">
        <f>IF(Dashboard4!$T$2="All Country",TRUE,Dashboard4!$T$2=Data!C41:C139)</f>
        <v>1</v>
      </c>
      <c r="J41" t="b">
        <f>IF(Dashboard4!$U$2="All Months",TRUE,Dashboard4!$U$1=MONTH(Data!D41))</f>
        <v>0</v>
      </c>
      <c r="K41" t="b">
        <f t="shared" si="1"/>
        <v>0</v>
      </c>
      <c r="L41" t="str">
        <f>IF(K41,ROWS($K$2:K41),"")</f>
        <v/>
      </c>
      <c r="M41" t="str">
        <f>IFERROR(SMALL($L$2:$L$45,ROWS($L$2:L41)),"")</f>
        <v/>
      </c>
    </row>
    <row r="42" spans="1:13" x14ac:dyDescent="0.25">
      <c r="A42" t="s">
        <v>246</v>
      </c>
      <c r="B42" s="36" t="s">
        <v>206</v>
      </c>
      <c r="C42" s="36" t="s">
        <v>213</v>
      </c>
      <c r="D42" s="32">
        <v>41673</v>
      </c>
      <c r="E42">
        <v>879</v>
      </c>
      <c r="H42" t="b">
        <f>IF(Dashboard4!$S$2="All Industry",TRUE,Dashboard4!$S$2=Data!B42:B140)</f>
        <v>1</v>
      </c>
      <c r="I42" t="b">
        <f>IF(Dashboard4!$T$2="All Country",TRUE,Dashboard4!$T$2=Data!C42:C140)</f>
        <v>1</v>
      </c>
      <c r="J42" t="b">
        <f>IF(Dashboard4!$U$2="All Months",TRUE,Dashboard4!$U$1=MONTH(Data!D42))</f>
        <v>0</v>
      </c>
      <c r="K42" t="b">
        <f t="shared" si="1"/>
        <v>0</v>
      </c>
      <c r="L42" t="str">
        <f>IF(K42,ROWS($K$2:K42),"")</f>
        <v/>
      </c>
      <c r="M42" t="str">
        <f>IFERROR(SMALL($L$2:$L$45,ROWS($L$2:L42)),"")</f>
        <v/>
      </c>
    </row>
    <row r="43" spans="1:13" x14ac:dyDescent="0.25">
      <c r="A43" t="s">
        <v>247</v>
      </c>
      <c r="B43" s="36" t="s">
        <v>207</v>
      </c>
      <c r="C43" s="36" t="s">
        <v>214</v>
      </c>
      <c r="D43" s="32">
        <v>41673</v>
      </c>
      <c r="E43">
        <v>449</v>
      </c>
      <c r="H43" t="b">
        <f>IF(Dashboard4!$S$2="All Industry",TRUE,Dashboard4!$S$2=Data!B43:B141)</f>
        <v>1</v>
      </c>
      <c r="I43" t="b">
        <f>IF(Dashboard4!$T$2="All Country",TRUE,Dashboard4!$T$2=Data!C43:C141)</f>
        <v>1</v>
      </c>
      <c r="J43" t="b">
        <f>IF(Dashboard4!$U$2="All Months",TRUE,Dashboard4!$U$1=MONTH(Data!D43))</f>
        <v>0</v>
      </c>
      <c r="K43" t="b">
        <f t="shared" si="1"/>
        <v>0</v>
      </c>
      <c r="L43" t="str">
        <f>IF(K43,ROWS($K$2:K43),"")</f>
        <v/>
      </c>
      <c r="M43" t="str">
        <f>IFERROR(SMALL($L$2:$L$45,ROWS($L$2:L43)),"")</f>
        <v/>
      </c>
    </row>
    <row r="44" spans="1:13" x14ac:dyDescent="0.25">
      <c r="A44" t="s">
        <v>248</v>
      </c>
      <c r="B44" s="36" t="s">
        <v>208</v>
      </c>
      <c r="C44" s="36" t="s">
        <v>215</v>
      </c>
      <c r="D44" s="32">
        <v>41673</v>
      </c>
      <c r="E44">
        <v>862</v>
      </c>
      <c r="H44" t="b">
        <f>IF(Dashboard4!$S$2="All Industry",TRUE,Dashboard4!$S$2=Data!B44:B142)</f>
        <v>1</v>
      </c>
      <c r="I44" t="b">
        <f>IF(Dashboard4!$T$2="All Country",TRUE,Dashboard4!$T$2=Data!C44:C142)</f>
        <v>1</v>
      </c>
      <c r="J44" t="b">
        <f>IF(Dashboard4!$U$2="All Months",TRUE,Dashboard4!$U$1=MONTH(Data!D44))</f>
        <v>0</v>
      </c>
      <c r="K44" t="b">
        <f t="shared" si="1"/>
        <v>0</v>
      </c>
      <c r="L44" t="str">
        <f>IF(K44,ROWS($K$2:K44),"")</f>
        <v/>
      </c>
      <c r="M44" t="str">
        <f>IFERROR(SMALL($L$2:$L$45,ROWS($L$2:L44)),"")</f>
        <v/>
      </c>
    </row>
    <row r="45" spans="1:13" x14ac:dyDescent="0.25">
      <c r="A45" t="s">
        <v>249</v>
      </c>
      <c r="B45" s="36" t="s">
        <v>209</v>
      </c>
      <c r="C45" s="36" t="s">
        <v>216</v>
      </c>
      <c r="D45" s="32">
        <v>41673</v>
      </c>
      <c r="E45">
        <v>925</v>
      </c>
      <c r="H45" t="b">
        <f>IF(Dashboard4!$S$2="All Industry",TRUE,Dashboard4!$S$2=Data!B45:B143)</f>
        <v>1</v>
      </c>
      <c r="I45" t="b">
        <f>IF(Dashboard4!$T$2="All Country",TRUE,Dashboard4!$T$2=Data!C45:C143)</f>
        <v>1</v>
      </c>
      <c r="J45" t="b">
        <f>IF(Dashboard4!$U$2="All Months",TRUE,Dashboard4!$U$1=MONTH(Data!D45))</f>
        <v>0</v>
      </c>
      <c r="K45" t="b">
        <f t="shared" si="1"/>
        <v>0</v>
      </c>
      <c r="L45" t="str">
        <f>IF(K45,ROWS($K$2:K45),"")</f>
        <v/>
      </c>
      <c r="M45" t="str">
        <f>IFERROR(SMALL($L$2:$L$45,ROWS($L$2:L45)),"")</f>
        <v/>
      </c>
    </row>
    <row r="46" spans="1:13" x14ac:dyDescent="0.25">
      <c r="A46" t="s">
        <v>250</v>
      </c>
      <c r="B46" s="36" t="s">
        <v>206</v>
      </c>
      <c r="C46" s="36" t="s">
        <v>212</v>
      </c>
      <c r="D46" s="32">
        <v>41640</v>
      </c>
      <c r="E46">
        <v>421</v>
      </c>
      <c r="H46" t="b">
        <f>IF(Dashboard4!$S$2="All Industry",TRUE,Dashboard4!$S$2=Data!B46:B144)</f>
        <v>1</v>
      </c>
      <c r="I46" t="b">
        <f>IF(Dashboard4!$T$2="All Country",TRUE,Dashboard4!$T$2=Data!C46:C144)</f>
        <v>1</v>
      </c>
      <c r="J46" t="b">
        <f>IF(Dashboard4!$U$2="All Months",TRUE,Dashboard4!$U$1=MONTH(Data!D46))</f>
        <v>0</v>
      </c>
      <c r="K46" t="b">
        <f t="shared" si="1"/>
        <v>0</v>
      </c>
      <c r="L46" t="str">
        <f>IF(K46,ROWS($K$2:K46),"")</f>
        <v/>
      </c>
      <c r="M46" t="str">
        <f>IFERROR(SMALL($L$2:$L$45,ROWS($L$2:L46)),"")</f>
        <v/>
      </c>
    </row>
    <row r="47" spans="1:13" x14ac:dyDescent="0.25">
      <c r="A47" t="s">
        <v>251</v>
      </c>
      <c r="B47" s="36" t="s">
        <v>207</v>
      </c>
      <c r="C47" s="36" t="s">
        <v>213</v>
      </c>
      <c r="D47" s="32">
        <v>41640</v>
      </c>
      <c r="E47">
        <v>795</v>
      </c>
      <c r="H47" t="b">
        <f>IF(Dashboard4!$S$2="All Industry",TRUE,Dashboard4!$S$2=Data!B47:B145)</f>
        <v>1</v>
      </c>
      <c r="I47" t="b">
        <f>IF(Dashboard4!$T$2="All Country",TRUE,Dashboard4!$T$2=Data!C47:C145)</f>
        <v>1</v>
      </c>
      <c r="J47" t="b">
        <f>IF(Dashboard4!$U$2="All Months",TRUE,Dashboard4!$U$1=MONTH(Data!D47))</f>
        <v>0</v>
      </c>
      <c r="K47" t="b">
        <f t="shared" si="1"/>
        <v>0</v>
      </c>
      <c r="L47" t="str">
        <f>IF(K47,ROWS($K$2:K47),"")</f>
        <v/>
      </c>
      <c r="M47" t="str">
        <f>IFERROR(SMALL($L$2:$L$45,ROWS($L$2:L47)),"")</f>
        <v/>
      </c>
    </row>
    <row r="48" spans="1:13" x14ac:dyDescent="0.25">
      <c r="A48" t="s">
        <v>252</v>
      </c>
      <c r="B48" s="36" t="s">
        <v>208</v>
      </c>
      <c r="C48" s="36" t="s">
        <v>214</v>
      </c>
      <c r="D48" s="32">
        <v>41640</v>
      </c>
      <c r="E48">
        <v>258</v>
      </c>
      <c r="H48" t="b">
        <f>IF(Dashboard4!$S$2="All Industry",TRUE,Dashboard4!$S$2=Data!B48:B146)</f>
        <v>1</v>
      </c>
      <c r="I48" t="b">
        <f>IF(Dashboard4!$T$2="All Country",TRUE,Dashboard4!$T$2=Data!C48:C146)</f>
        <v>1</v>
      </c>
      <c r="J48" t="b">
        <f>IF(Dashboard4!$U$2="All Months",TRUE,Dashboard4!$U$1=MONTH(Data!D48))</f>
        <v>0</v>
      </c>
      <c r="K48" t="b">
        <f t="shared" si="1"/>
        <v>0</v>
      </c>
      <c r="L48" t="str">
        <f>IF(K48,ROWS($K$2:K48),"")</f>
        <v/>
      </c>
      <c r="M48" t="str">
        <f>IFERROR(SMALL($L$2:$L$45,ROWS($L$2:L48)),"")</f>
        <v/>
      </c>
    </row>
    <row r="49" spans="1:13" x14ac:dyDescent="0.25">
      <c r="A49" t="s">
        <v>253</v>
      </c>
      <c r="B49" s="36" t="s">
        <v>209</v>
      </c>
      <c r="C49" s="36" t="s">
        <v>215</v>
      </c>
      <c r="D49" s="32">
        <v>41640</v>
      </c>
      <c r="E49">
        <v>262</v>
      </c>
      <c r="H49" t="b">
        <f>IF(Dashboard4!$S$2="All Industry",TRUE,Dashboard4!$S$2=Data!B49:B147)</f>
        <v>1</v>
      </c>
      <c r="I49" t="b">
        <f>IF(Dashboard4!$T$2="All Country",TRUE,Dashboard4!$T$2=Data!C49:C147)</f>
        <v>1</v>
      </c>
      <c r="J49" t="b">
        <f>IF(Dashboard4!$U$2="All Months",TRUE,Dashboard4!$U$1=MONTH(Data!D49))</f>
        <v>0</v>
      </c>
      <c r="K49" t="b">
        <f t="shared" si="1"/>
        <v>0</v>
      </c>
      <c r="L49" t="str">
        <f>IF(K49,ROWS($K$2:K49),"")</f>
        <v/>
      </c>
      <c r="M49" t="str">
        <f>IFERROR(SMALL($L$2:$L$45,ROWS($L$2:L49)),"")</f>
        <v/>
      </c>
    </row>
    <row r="50" spans="1:13" x14ac:dyDescent="0.25">
      <c r="A50" t="s">
        <v>254</v>
      </c>
      <c r="B50" s="36" t="s">
        <v>210</v>
      </c>
      <c r="C50" s="36" t="s">
        <v>216</v>
      </c>
      <c r="D50" s="32">
        <v>41640</v>
      </c>
      <c r="E50">
        <v>926</v>
      </c>
      <c r="H50" t="b">
        <f>IF(Dashboard4!$S$2="All Industry",TRUE,Dashboard4!$S$2=Data!B50:B148)</f>
        <v>1</v>
      </c>
      <c r="I50" t="b">
        <f>IF(Dashboard4!$T$2="All Country",TRUE,Dashboard4!$T$2=Data!C50:C148)</f>
        <v>1</v>
      </c>
      <c r="J50" t="b">
        <f>IF(Dashboard4!$U$2="All Months",TRUE,Dashboard4!$U$1=MONTH(Data!D50))</f>
        <v>0</v>
      </c>
      <c r="K50" t="b">
        <f t="shared" si="1"/>
        <v>0</v>
      </c>
      <c r="L50" t="str">
        <f>IF(K50,ROWS($K$2:K50),"")</f>
        <v/>
      </c>
      <c r="M50" t="str">
        <f>IFERROR(SMALL($L$2:$L$45,ROWS($L$2:L50)),"")</f>
        <v/>
      </c>
    </row>
    <row r="51" spans="1:13" x14ac:dyDescent="0.25">
      <c r="A51" t="s">
        <v>255</v>
      </c>
      <c r="B51" s="36" t="s">
        <v>211</v>
      </c>
      <c r="C51" s="36" t="s">
        <v>217</v>
      </c>
      <c r="D51" s="32">
        <v>41640</v>
      </c>
      <c r="E51">
        <v>810</v>
      </c>
      <c r="H51" t="b">
        <f>IF(Dashboard4!$S$2="All Industry",TRUE,Dashboard4!$S$2=Data!B51:B149)</f>
        <v>1</v>
      </c>
      <c r="I51" t="b">
        <f>IF(Dashboard4!$T$2="All Country",TRUE,Dashboard4!$T$2=Data!C51:C149)</f>
        <v>1</v>
      </c>
      <c r="J51" t="b">
        <f>IF(Dashboard4!$U$2="All Months",TRUE,Dashboard4!$U$1=MONTH(Data!D51))</f>
        <v>0</v>
      </c>
      <c r="K51" t="b">
        <f t="shared" si="1"/>
        <v>0</v>
      </c>
      <c r="L51" t="str">
        <f>IF(K51,ROWS($K$2:K51),"")</f>
        <v/>
      </c>
      <c r="M51" t="str">
        <f>IFERROR(SMALL($L$2:$L$45,ROWS($L$2:L51)),"")</f>
        <v/>
      </c>
    </row>
    <row r="52" spans="1:13" x14ac:dyDescent="0.25">
      <c r="A52" t="s">
        <v>256</v>
      </c>
      <c r="B52" s="36" t="s">
        <v>206</v>
      </c>
      <c r="C52" s="36" t="s">
        <v>212</v>
      </c>
      <c r="D52" s="32">
        <v>41640</v>
      </c>
      <c r="E52">
        <v>697</v>
      </c>
      <c r="H52" t="b">
        <f>IF(Dashboard4!$S$2="All Industry",TRUE,Dashboard4!$S$2=Data!B52:B150)</f>
        <v>1</v>
      </c>
      <c r="I52" t="b">
        <f>IF(Dashboard4!$T$2="All Country",TRUE,Dashboard4!$T$2=Data!C52:C150)</f>
        <v>1</v>
      </c>
      <c r="J52" t="b">
        <f>IF(Dashboard4!$U$2="All Months",TRUE,Dashboard4!$U$1=MONTH(Data!D52))</f>
        <v>0</v>
      </c>
      <c r="K52" t="b">
        <f t="shared" si="1"/>
        <v>0</v>
      </c>
      <c r="L52" t="str">
        <f>IF(K52,ROWS($K$2:K52),"")</f>
        <v/>
      </c>
      <c r="M52" t="str">
        <f>IFERROR(SMALL($L$2:$L$45,ROWS($L$2:L52)),"")</f>
        <v/>
      </c>
    </row>
    <row r="53" spans="1:13" x14ac:dyDescent="0.25">
      <c r="A53" t="s">
        <v>257</v>
      </c>
      <c r="B53" s="36" t="s">
        <v>207</v>
      </c>
      <c r="C53" s="36" t="s">
        <v>213</v>
      </c>
      <c r="D53" s="32">
        <v>41640</v>
      </c>
      <c r="E53">
        <v>591</v>
      </c>
      <c r="H53" t="b">
        <f>IF(Dashboard4!$S$2="All Industry",TRUE,Dashboard4!$S$2=Data!B53:B151)</f>
        <v>1</v>
      </c>
      <c r="I53" t="b">
        <f>IF(Dashboard4!$T$2="All Country",TRUE,Dashboard4!$T$2=Data!C53:C151)</f>
        <v>1</v>
      </c>
      <c r="J53" t="b">
        <f>IF(Dashboard4!$U$2="All Months",TRUE,Dashboard4!$U$1=MONTH(Data!D53))</f>
        <v>0</v>
      </c>
      <c r="K53" t="b">
        <f t="shared" si="1"/>
        <v>0</v>
      </c>
      <c r="L53" t="str">
        <f>IF(K53,ROWS($K$2:K53),"")</f>
        <v/>
      </c>
      <c r="M53" t="str">
        <f>IFERROR(SMALL($L$2:$L$45,ROWS($L$2:L53)),"")</f>
        <v/>
      </c>
    </row>
    <row r="54" spans="1:13" x14ac:dyDescent="0.25">
      <c r="A54" t="s">
        <v>258</v>
      </c>
      <c r="B54" s="36" t="s">
        <v>208</v>
      </c>
      <c r="C54" s="36" t="s">
        <v>214</v>
      </c>
      <c r="D54" s="32">
        <v>41640</v>
      </c>
      <c r="E54">
        <v>241</v>
      </c>
      <c r="H54" t="b">
        <f>IF(Dashboard4!$S$2="All Industry",TRUE,Dashboard4!$S$2=Data!B54:B152)</f>
        <v>1</v>
      </c>
      <c r="I54" t="b">
        <f>IF(Dashboard4!$T$2="All Country",TRUE,Dashboard4!$T$2=Data!C54:C152)</f>
        <v>1</v>
      </c>
      <c r="J54" t="b">
        <f>IF(Dashboard4!$U$2="All Months",TRUE,Dashboard4!$U$1=MONTH(Data!D54))</f>
        <v>0</v>
      </c>
      <c r="K54" t="b">
        <f t="shared" si="1"/>
        <v>0</v>
      </c>
      <c r="L54" t="str">
        <f>IF(K54,ROWS($K$2:K54),"")</f>
        <v/>
      </c>
      <c r="M54" t="str">
        <f>IFERROR(SMALL($L$2:$L$45,ROWS($L$2:L54)),"")</f>
        <v/>
      </c>
    </row>
    <row r="55" spans="1:13" x14ac:dyDescent="0.25">
      <c r="A55" t="s">
        <v>259</v>
      </c>
      <c r="B55" s="36" t="s">
        <v>209</v>
      </c>
      <c r="C55" s="36" t="s">
        <v>215</v>
      </c>
      <c r="D55" s="32">
        <v>41640</v>
      </c>
      <c r="E55">
        <v>869</v>
      </c>
      <c r="H55" t="b">
        <f>IF(Dashboard4!$S$2="All Industry",TRUE,Dashboard4!$S$2=Data!B55:B153)</f>
        <v>1</v>
      </c>
      <c r="I55" t="b">
        <f>IF(Dashboard4!$T$2="All Country",TRUE,Dashboard4!$T$2=Data!C55:C153)</f>
        <v>1</v>
      </c>
      <c r="J55" t="b">
        <f>IF(Dashboard4!$U$2="All Months",TRUE,Dashboard4!$U$1=MONTH(Data!D55))</f>
        <v>0</v>
      </c>
      <c r="K55" t="b">
        <f t="shared" si="1"/>
        <v>0</v>
      </c>
      <c r="L55" t="str">
        <f>IF(K55,ROWS($K$2:K55),"")</f>
        <v/>
      </c>
      <c r="M55" t="str">
        <f>IFERROR(SMALL($L$2:$L$45,ROWS($L$2:L55)),"")</f>
        <v/>
      </c>
    </row>
    <row r="56" spans="1:13" x14ac:dyDescent="0.25">
      <c r="A56" t="s">
        <v>260</v>
      </c>
      <c r="B56" s="36" t="s">
        <v>210</v>
      </c>
      <c r="C56" s="36" t="s">
        <v>216</v>
      </c>
      <c r="D56" s="32">
        <v>41673</v>
      </c>
      <c r="E56">
        <v>272</v>
      </c>
      <c r="H56" t="b">
        <f>IF(Dashboard4!$S$2="All Industry",TRUE,Dashboard4!$S$2=Data!B56:B154)</f>
        <v>1</v>
      </c>
      <c r="I56" t="b">
        <f>IF(Dashboard4!$T$2="All Country",TRUE,Dashboard4!$T$2=Data!C56:C154)</f>
        <v>1</v>
      </c>
      <c r="J56" t="b">
        <f>IF(Dashboard4!$U$2="All Months",TRUE,Dashboard4!$U$1=MONTH(Data!D56))</f>
        <v>0</v>
      </c>
      <c r="K56" t="b">
        <f t="shared" si="1"/>
        <v>0</v>
      </c>
      <c r="L56" t="str">
        <f>IF(K56,ROWS($K$2:K56),"")</f>
        <v/>
      </c>
      <c r="M56" t="str">
        <f>IFERROR(SMALL($L$2:$L$45,ROWS($L$2:L56)),"")</f>
        <v/>
      </c>
    </row>
    <row r="57" spans="1:13" x14ac:dyDescent="0.25">
      <c r="A57" t="s">
        <v>261</v>
      </c>
      <c r="B57" s="36" t="s">
        <v>211</v>
      </c>
      <c r="C57" s="36" t="s">
        <v>217</v>
      </c>
      <c r="D57" s="32">
        <v>41673</v>
      </c>
      <c r="E57">
        <v>932</v>
      </c>
      <c r="H57" t="b">
        <f>IF(Dashboard4!$S$2="All Industry",TRUE,Dashboard4!$S$2=Data!B57:B155)</f>
        <v>1</v>
      </c>
      <c r="I57" t="b">
        <f>IF(Dashboard4!$T$2="All Country",TRUE,Dashboard4!$T$2=Data!C57:C155)</f>
        <v>1</v>
      </c>
      <c r="J57" t="b">
        <f>IF(Dashboard4!$U$2="All Months",TRUE,Dashboard4!$U$1=MONTH(Data!D57))</f>
        <v>0</v>
      </c>
      <c r="K57" t="b">
        <f t="shared" si="1"/>
        <v>0</v>
      </c>
      <c r="L57" t="str">
        <f>IF(K57,ROWS($K$2:K57),"")</f>
        <v/>
      </c>
      <c r="M57" t="str">
        <f>IFERROR(SMALL($L$2:$L$45,ROWS($L$2:L57)),"")</f>
        <v/>
      </c>
    </row>
    <row r="58" spans="1:13" x14ac:dyDescent="0.25">
      <c r="A58" t="s">
        <v>262</v>
      </c>
      <c r="B58" s="36" t="s">
        <v>206</v>
      </c>
      <c r="C58" s="36" t="s">
        <v>212</v>
      </c>
      <c r="D58" s="32">
        <v>41673</v>
      </c>
      <c r="E58">
        <v>422</v>
      </c>
      <c r="H58" t="b">
        <f>IF(Dashboard4!$S$2="All Industry",TRUE,Dashboard4!$S$2=Data!B58:B156)</f>
        <v>1</v>
      </c>
      <c r="I58" t="b">
        <f>IF(Dashboard4!$T$2="All Country",TRUE,Dashboard4!$T$2=Data!C58:C156)</f>
        <v>1</v>
      </c>
      <c r="J58" t="b">
        <f>IF(Dashboard4!$U$2="All Months",TRUE,Dashboard4!$U$1=MONTH(Data!D58))</f>
        <v>0</v>
      </c>
      <c r="K58" t="b">
        <f t="shared" si="1"/>
        <v>0</v>
      </c>
      <c r="L58" t="str">
        <f>IF(K58,ROWS($K$2:K58),"")</f>
        <v/>
      </c>
      <c r="M58" t="str">
        <f>IFERROR(SMALL($L$2:$L$45,ROWS($L$2:L58)),"")</f>
        <v/>
      </c>
    </row>
    <row r="59" spans="1:13" x14ac:dyDescent="0.25">
      <c r="A59" t="s">
        <v>263</v>
      </c>
      <c r="B59" s="36" t="s">
        <v>207</v>
      </c>
      <c r="C59" s="36" t="s">
        <v>213</v>
      </c>
      <c r="D59" s="32">
        <v>41673</v>
      </c>
      <c r="E59">
        <v>228</v>
      </c>
      <c r="H59" t="b">
        <f>IF(Dashboard4!$S$2="All Industry",TRUE,Dashboard4!$S$2=Data!B59:B157)</f>
        <v>1</v>
      </c>
      <c r="I59" t="b">
        <f>IF(Dashboard4!$T$2="All Country",TRUE,Dashboard4!$T$2=Data!C59:C157)</f>
        <v>1</v>
      </c>
      <c r="J59" t="b">
        <f>IF(Dashboard4!$U$2="All Months",TRUE,Dashboard4!$U$1=MONTH(Data!D59))</f>
        <v>0</v>
      </c>
      <c r="K59" t="b">
        <f t="shared" si="1"/>
        <v>0</v>
      </c>
      <c r="L59" t="str">
        <f>IF(K59,ROWS($K$2:K59),"")</f>
        <v/>
      </c>
      <c r="M59" t="str">
        <f>IFERROR(SMALL($L$2:$L$45,ROWS($L$2:L59)),"")</f>
        <v/>
      </c>
    </row>
    <row r="60" spans="1:13" x14ac:dyDescent="0.25">
      <c r="A60" t="s">
        <v>264</v>
      </c>
      <c r="B60" s="36" t="s">
        <v>208</v>
      </c>
      <c r="C60" s="36" t="s">
        <v>214</v>
      </c>
      <c r="D60" s="32">
        <v>41673</v>
      </c>
      <c r="E60">
        <v>935</v>
      </c>
      <c r="H60" t="b">
        <f>IF(Dashboard4!$S$2="All Industry",TRUE,Dashboard4!$S$2=Data!B60:B158)</f>
        <v>1</v>
      </c>
      <c r="I60" t="b">
        <f>IF(Dashboard4!$T$2="All Country",TRUE,Dashboard4!$T$2=Data!C60:C158)</f>
        <v>1</v>
      </c>
      <c r="J60" t="b">
        <f>IF(Dashboard4!$U$2="All Months",TRUE,Dashboard4!$U$1=MONTH(Data!D60))</f>
        <v>0</v>
      </c>
      <c r="K60" t="b">
        <f t="shared" si="1"/>
        <v>0</v>
      </c>
      <c r="L60" t="str">
        <f>IF(K60,ROWS($K$2:K60),"")</f>
        <v/>
      </c>
      <c r="M60" t="str">
        <f>IFERROR(SMALL($L$2:$L$45,ROWS($L$2:L60)),"")</f>
        <v/>
      </c>
    </row>
    <row r="61" spans="1:13" x14ac:dyDescent="0.25">
      <c r="A61" t="s">
        <v>265</v>
      </c>
      <c r="B61" s="36" t="s">
        <v>209</v>
      </c>
      <c r="C61" s="36" t="s">
        <v>215</v>
      </c>
      <c r="D61" s="32">
        <v>41673</v>
      </c>
      <c r="E61">
        <v>688</v>
      </c>
      <c r="H61" t="b">
        <f>IF(Dashboard4!$S$2="All Industry",TRUE,Dashboard4!$S$2=Data!B61:B159)</f>
        <v>1</v>
      </c>
      <c r="I61" t="b">
        <f>IF(Dashboard4!$T$2="All Country",TRUE,Dashboard4!$T$2=Data!C61:C159)</f>
        <v>1</v>
      </c>
      <c r="J61" t="b">
        <f>IF(Dashboard4!$U$2="All Months",TRUE,Dashboard4!$U$1=MONTH(Data!D61))</f>
        <v>0</v>
      </c>
      <c r="K61" t="b">
        <f t="shared" si="1"/>
        <v>0</v>
      </c>
      <c r="L61" t="str">
        <f>IF(K61,ROWS($K$2:K61),"")</f>
        <v/>
      </c>
      <c r="M61" t="str">
        <f>IFERROR(SMALL($L$2:$L$45,ROWS($L$2:L61)),"")</f>
        <v/>
      </c>
    </row>
    <row r="62" spans="1:13" x14ac:dyDescent="0.25">
      <c r="A62" t="s">
        <v>266</v>
      </c>
      <c r="B62" s="36" t="s">
        <v>210</v>
      </c>
      <c r="C62" s="36" t="s">
        <v>216</v>
      </c>
      <c r="D62" s="32">
        <v>41673</v>
      </c>
      <c r="E62">
        <v>181</v>
      </c>
      <c r="H62" t="b">
        <f>IF(Dashboard4!$S$2="All Industry",TRUE,Dashboard4!$S$2=Data!B62:B160)</f>
        <v>1</v>
      </c>
      <c r="I62" t="b">
        <f>IF(Dashboard4!$T$2="All Country",TRUE,Dashboard4!$T$2=Data!C62:C160)</f>
        <v>1</v>
      </c>
      <c r="J62" t="b">
        <f>IF(Dashboard4!$U$2="All Months",TRUE,Dashboard4!$U$1=MONTH(Data!D62))</f>
        <v>0</v>
      </c>
      <c r="K62" t="b">
        <f t="shared" si="1"/>
        <v>0</v>
      </c>
      <c r="L62" t="str">
        <f>IF(K62,ROWS($K$2:K62),"")</f>
        <v/>
      </c>
      <c r="M62" t="str">
        <f>IFERROR(SMALL($L$2:$L$45,ROWS($L$2:L62)),"")</f>
        <v/>
      </c>
    </row>
    <row r="63" spans="1:13" x14ac:dyDescent="0.25">
      <c r="A63" t="s">
        <v>267</v>
      </c>
      <c r="B63" s="36" t="s">
        <v>211</v>
      </c>
      <c r="C63" s="36" t="s">
        <v>217</v>
      </c>
      <c r="D63" s="32">
        <v>41673</v>
      </c>
      <c r="E63">
        <v>632</v>
      </c>
      <c r="H63" t="b">
        <f>IF(Dashboard4!$S$2="All Industry",TRUE,Dashboard4!$S$2=Data!B63:B161)</f>
        <v>1</v>
      </c>
      <c r="I63" t="b">
        <f>IF(Dashboard4!$T$2="All Country",TRUE,Dashboard4!$T$2=Data!C63:C161)</f>
        <v>1</v>
      </c>
      <c r="J63" t="b">
        <f>IF(Dashboard4!$U$2="All Months",TRUE,Dashboard4!$U$1=MONTH(Data!D63))</f>
        <v>0</v>
      </c>
      <c r="K63" t="b">
        <f t="shared" si="1"/>
        <v>0</v>
      </c>
      <c r="L63" t="str">
        <f>IF(K63,ROWS($K$2:K63),"")</f>
        <v/>
      </c>
      <c r="M63" t="str">
        <f>IFERROR(SMALL($L$2:$L$45,ROWS($L$2:L63)),"")</f>
        <v/>
      </c>
    </row>
    <row r="64" spans="1:13" x14ac:dyDescent="0.25">
      <c r="A64" t="s">
        <v>268</v>
      </c>
      <c r="B64" s="36" t="s">
        <v>206</v>
      </c>
      <c r="C64" s="36" t="s">
        <v>212</v>
      </c>
      <c r="D64" s="32">
        <v>41673</v>
      </c>
      <c r="E64">
        <v>174</v>
      </c>
      <c r="H64" t="b">
        <f>IF(Dashboard4!$S$2="All Industry",TRUE,Dashboard4!$S$2=Data!B64:B162)</f>
        <v>1</v>
      </c>
      <c r="I64" t="b">
        <f>IF(Dashboard4!$T$2="All Country",TRUE,Dashboard4!$T$2=Data!C64:C162)</f>
        <v>1</v>
      </c>
      <c r="J64" t="b">
        <f>IF(Dashboard4!$U$2="All Months",TRUE,Dashboard4!$U$1=MONTH(Data!D64))</f>
        <v>0</v>
      </c>
      <c r="K64" t="b">
        <f t="shared" si="1"/>
        <v>0</v>
      </c>
      <c r="L64" t="str">
        <f>IF(K64,ROWS($K$2:K64),"")</f>
        <v/>
      </c>
      <c r="M64" t="str">
        <f>IFERROR(SMALL($L$2:$L$45,ROWS($L$2:L64)),"")</f>
        <v/>
      </c>
    </row>
    <row r="65" spans="1:13" x14ac:dyDescent="0.25">
      <c r="A65" t="s">
        <v>269</v>
      </c>
      <c r="B65" s="36" t="s">
        <v>207</v>
      </c>
      <c r="C65" s="36" t="s">
        <v>213</v>
      </c>
      <c r="D65" s="33">
        <v>41719</v>
      </c>
      <c r="E65">
        <v>349</v>
      </c>
      <c r="H65" t="b">
        <f>IF(Dashboard4!$S$2="All Industry",TRUE,Dashboard4!$S$2=Data!B65:B163)</f>
        <v>1</v>
      </c>
      <c r="I65" t="b">
        <f>IF(Dashboard4!$T$2="All Country",TRUE,Dashboard4!$T$2=Data!C65:C163)</f>
        <v>1</v>
      </c>
      <c r="J65" t="b">
        <f>IF(Dashboard4!$U$2="All Months",TRUE,Dashboard4!$U$1=MONTH(Data!D65))</f>
        <v>0</v>
      </c>
      <c r="K65" t="b">
        <f t="shared" si="1"/>
        <v>0</v>
      </c>
      <c r="L65" t="str">
        <f>IF(K65,ROWS($K$2:K65),"")</f>
        <v/>
      </c>
      <c r="M65" t="str">
        <f>IFERROR(SMALL($L$2:$L$45,ROWS($L$2:L65)),"")</f>
        <v/>
      </c>
    </row>
    <row r="66" spans="1:13" x14ac:dyDescent="0.25">
      <c r="A66" t="s">
        <v>270</v>
      </c>
      <c r="B66" s="36" t="s">
        <v>208</v>
      </c>
      <c r="C66" s="36" t="s">
        <v>214</v>
      </c>
      <c r="D66" s="33">
        <v>41719</v>
      </c>
      <c r="E66">
        <v>110</v>
      </c>
      <c r="H66" t="b">
        <f>IF(Dashboard4!$S$2="All Industry",TRUE,Dashboard4!$S$2=Data!B66:B164)</f>
        <v>1</v>
      </c>
      <c r="I66" t="b">
        <f>IF(Dashboard4!$T$2="All Country",TRUE,Dashboard4!$T$2=Data!C66:C164)</f>
        <v>1</v>
      </c>
      <c r="J66" t="b">
        <f>IF(Dashboard4!$U$2="All Months",TRUE,Dashboard4!$U$1=MONTH(Data!D66))</f>
        <v>0</v>
      </c>
      <c r="K66" t="b">
        <f t="shared" si="1"/>
        <v>0</v>
      </c>
      <c r="L66" t="str">
        <f>IF(K66,ROWS($K$2:K66),"")</f>
        <v/>
      </c>
      <c r="M66" t="str">
        <f>IFERROR(SMALL($L$2:$L$45,ROWS($L$2:L66)),"")</f>
        <v/>
      </c>
    </row>
    <row r="67" spans="1:13" x14ac:dyDescent="0.25">
      <c r="A67" t="s">
        <v>271</v>
      </c>
      <c r="B67" s="36" t="s">
        <v>209</v>
      </c>
      <c r="C67" s="36" t="s">
        <v>215</v>
      </c>
      <c r="D67" s="33">
        <v>41719</v>
      </c>
      <c r="E67">
        <v>660</v>
      </c>
      <c r="H67" t="b">
        <f>IF(Dashboard4!$S$2="All Industry",TRUE,Dashboard4!$S$2=Data!B67:B165)</f>
        <v>1</v>
      </c>
      <c r="I67" t="b">
        <f>IF(Dashboard4!$T$2="All Country",TRUE,Dashboard4!$T$2=Data!C67:C165)</f>
        <v>1</v>
      </c>
      <c r="J67" t="b">
        <f>IF(Dashboard4!$U$2="All Months",TRUE,Dashboard4!$U$1=MONTH(Data!D67))</f>
        <v>0</v>
      </c>
      <c r="K67" t="b">
        <f t="shared" si="1"/>
        <v>0</v>
      </c>
      <c r="L67" t="str">
        <f>IF(K67,ROWS($K$2:K67),"")</f>
        <v/>
      </c>
      <c r="M67" t="str">
        <f>IFERROR(SMALL($L$2:$L$45,ROWS($L$2:L67)),"")</f>
        <v/>
      </c>
    </row>
    <row r="68" spans="1:13" x14ac:dyDescent="0.25">
      <c r="A68" t="s">
        <v>272</v>
      </c>
      <c r="B68" s="36" t="s">
        <v>210</v>
      </c>
      <c r="C68" s="36" t="s">
        <v>216</v>
      </c>
      <c r="D68" s="33">
        <v>41719</v>
      </c>
      <c r="E68">
        <v>804</v>
      </c>
      <c r="H68" t="b">
        <f>IF(Dashboard4!$S$2="All Industry",TRUE,Dashboard4!$S$2=Data!B68:B166)</f>
        <v>1</v>
      </c>
      <c r="I68" t="b">
        <f>IF(Dashboard4!$T$2="All Country",TRUE,Dashboard4!$T$2=Data!C68:C166)</f>
        <v>1</v>
      </c>
      <c r="J68" t="b">
        <f>IF(Dashboard4!$U$2="All Months",TRUE,Dashboard4!$U$1=MONTH(Data!D68))</f>
        <v>0</v>
      </c>
      <c r="K68" t="b">
        <f t="shared" si="1"/>
        <v>0</v>
      </c>
      <c r="L68" t="str">
        <f>IF(K68,ROWS($K$2:K68),"")</f>
        <v/>
      </c>
      <c r="M68" t="str">
        <f>IFERROR(SMALL($L$2:$L$45,ROWS($L$2:L68)),"")</f>
        <v/>
      </c>
    </row>
    <row r="69" spans="1:13" x14ac:dyDescent="0.25">
      <c r="A69" t="s">
        <v>273</v>
      </c>
      <c r="B69" s="36" t="s">
        <v>211</v>
      </c>
      <c r="C69" s="36" t="s">
        <v>217</v>
      </c>
      <c r="D69" s="33">
        <v>41719</v>
      </c>
      <c r="E69">
        <v>980</v>
      </c>
      <c r="H69" t="b">
        <f>IF(Dashboard4!$S$2="All Industry",TRUE,Dashboard4!$S$2=Data!B69:B167)</f>
        <v>1</v>
      </c>
      <c r="I69" t="b">
        <f>IF(Dashboard4!$T$2="All Country",TRUE,Dashboard4!$T$2=Data!C69:C167)</f>
        <v>1</v>
      </c>
      <c r="J69" t="b">
        <f>IF(Dashboard4!$U$2="All Months",TRUE,Dashboard4!$U$1=MONTH(Data!D69))</f>
        <v>0</v>
      </c>
      <c r="K69" t="b">
        <f t="shared" si="1"/>
        <v>0</v>
      </c>
      <c r="L69" t="str">
        <f>IF(K69,ROWS($K$2:K69),"")</f>
        <v/>
      </c>
      <c r="M69" t="str">
        <f>IFERROR(SMALL($L$2:$L$45,ROWS($L$2:L69)),"")</f>
        <v/>
      </c>
    </row>
    <row r="70" spans="1:13" x14ac:dyDescent="0.25">
      <c r="A70" t="s">
        <v>274</v>
      </c>
      <c r="B70" s="36" t="s">
        <v>206</v>
      </c>
      <c r="C70" s="36" t="s">
        <v>212</v>
      </c>
      <c r="D70" s="33">
        <v>41719</v>
      </c>
      <c r="E70">
        <v>215</v>
      </c>
      <c r="H70" t="b">
        <f>IF(Dashboard4!$S$2="All Industry",TRUE,Dashboard4!$S$2=Data!B70:B168)</f>
        <v>1</v>
      </c>
      <c r="I70" t="b">
        <f>IF(Dashboard4!$T$2="All Country",TRUE,Dashboard4!$T$2=Data!C70:C168)</f>
        <v>1</v>
      </c>
      <c r="J70" t="b">
        <f>IF(Dashboard4!$U$2="All Months",TRUE,Dashboard4!$U$1=MONTH(Data!D70))</f>
        <v>0</v>
      </c>
      <c r="K70" t="b">
        <f t="shared" si="1"/>
        <v>0</v>
      </c>
      <c r="L70" t="str">
        <f>IF(K70,ROWS($K$2:K70),"")</f>
        <v/>
      </c>
      <c r="M70" t="str">
        <f>IFERROR(SMALL($L$2:$L$45,ROWS($L$2:L70)),"")</f>
        <v/>
      </c>
    </row>
    <row r="71" spans="1:13" x14ac:dyDescent="0.25">
      <c r="A71" t="s">
        <v>275</v>
      </c>
      <c r="B71" s="36" t="s">
        <v>207</v>
      </c>
      <c r="C71" s="36" t="s">
        <v>213</v>
      </c>
      <c r="D71" s="33">
        <v>41719</v>
      </c>
      <c r="E71">
        <v>504</v>
      </c>
      <c r="H71" t="b">
        <f>IF(Dashboard4!$S$2="All Industry",TRUE,Dashboard4!$S$2=Data!B71:B169)</f>
        <v>1</v>
      </c>
      <c r="I71" t="b">
        <f>IF(Dashboard4!$T$2="All Country",TRUE,Dashboard4!$T$2=Data!C71:C169)</f>
        <v>1</v>
      </c>
      <c r="J71" t="b">
        <f>IF(Dashboard4!$U$2="All Months",TRUE,Dashboard4!$U$1=MONTH(Data!D71))</f>
        <v>0</v>
      </c>
      <c r="K71" t="b">
        <f t="shared" si="1"/>
        <v>0</v>
      </c>
      <c r="L71" t="str">
        <f>IF(K71,ROWS($K$2:K71),"")</f>
        <v/>
      </c>
      <c r="M71" t="str">
        <f>IFERROR(SMALL($L$2:$L$45,ROWS($L$2:L71)),"")</f>
        <v/>
      </c>
    </row>
    <row r="72" spans="1:13" x14ac:dyDescent="0.25">
      <c r="A72" t="s">
        <v>276</v>
      </c>
      <c r="B72" s="36" t="s">
        <v>208</v>
      </c>
      <c r="C72" s="36" t="s">
        <v>214</v>
      </c>
      <c r="D72" s="33">
        <v>41719</v>
      </c>
      <c r="E72">
        <v>184</v>
      </c>
      <c r="H72" t="b">
        <f>IF(Dashboard4!$S$2="All Industry",TRUE,Dashboard4!$S$2=Data!B72:B170)</f>
        <v>1</v>
      </c>
      <c r="I72" t="b">
        <f>IF(Dashboard4!$T$2="All Country",TRUE,Dashboard4!$T$2=Data!C72:C170)</f>
        <v>1</v>
      </c>
      <c r="J72" t="b">
        <f>IF(Dashboard4!$U$2="All Months",TRUE,Dashboard4!$U$1=MONTH(Data!D72))</f>
        <v>0</v>
      </c>
      <c r="K72" t="b">
        <f t="shared" si="1"/>
        <v>0</v>
      </c>
      <c r="L72" t="str">
        <f>IF(K72,ROWS($K$2:K72),"")</f>
        <v/>
      </c>
      <c r="M72" t="str">
        <f>IFERROR(SMALL($L$2:$L$45,ROWS($L$2:L72)),"")</f>
        <v/>
      </c>
    </row>
    <row r="73" spans="1:13" x14ac:dyDescent="0.25">
      <c r="A73" t="s">
        <v>277</v>
      </c>
      <c r="B73" s="36" t="s">
        <v>209</v>
      </c>
      <c r="C73" s="36" t="s">
        <v>215</v>
      </c>
      <c r="D73" s="33">
        <v>41719</v>
      </c>
      <c r="E73">
        <v>637</v>
      </c>
      <c r="H73" t="b">
        <f>IF(Dashboard4!$S$2="All Industry",TRUE,Dashboard4!$S$2=Data!B73:B171)</f>
        <v>1</v>
      </c>
      <c r="I73" t="b">
        <f>IF(Dashboard4!$T$2="All Country",TRUE,Dashboard4!$T$2=Data!C73:C171)</f>
        <v>1</v>
      </c>
      <c r="J73" t="b">
        <f>IF(Dashboard4!$U$2="All Months",TRUE,Dashboard4!$U$1=MONTH(Data!D73))</f>
        <v>0</v>
      </c>
      <c r="K73" t="b">
        <f t="shared" si="1"/>
        <v>0</v>
      </c>
      <c r="L73" t="str">
        <f>IF(K73,ROWS($K$2:K73),"")</f>
        <v/>
      </c>
      <c r="M73" t="str">
        <f>IFERROR(SMALL($L$2:$L$45,ROWS($L$2:L73)),"")</f>
        <v/>
      </c>
    </row>
    <row r="74" spans="1:13" x14ac:dyDescent="0.25">
      <c r="A74" t="s">
        <v>278</v>
      </c>
      <c r="B74" s="36" t="s">
        <v>210</v>
      </c>
      <c r="C74" s="36" t="s">
        <v>216</v>
      </c>
      <c r="D74" s="33">
        <v>41719</v>
      </c>
      <c r="E74">
        <v>283</v>
      </c>
      <c r="H74" t="b">
        <f>IF(Dashboard4!$S$2="All Industry",TRUE,Dashboard4!$S$2=Data!B74:B172)</f>
        <v>1</v>
      </c>
      <c r="I74" t="b">
        <f>IF(Dashboard4!$T$2="All Country",TRUE,Dashboard4!$T$2=Data!C74:C172)</f>
        <v>1</v>
      </c>
      <c r="J74" t="b">
        <f>IF(Dashboard4!$U$2="All Months",TRUE,Dashboard4!$U$1=MONTH(Data!D74))</f>
        <v>0</v>
      </c>
      <c r="K74" t="b">
        <f t="shared" si="1"/>
        <v>0</v>
      </c>
      <c r="L74" t="str">
        <f>IF(K74,ROWS($K$2:K74),"")</f>
        <v/>
      </c>
      <c r="M74" t="str">
        <f>IFERROR(SMALL($L$2:$L$45,ROWS($L$2:L74)),"")</f>
        <v/>
      </c>
    </row>
    <row r="75" spans="1:13" x14ac:dyDescent="0.25">
      <c r="A75" t="s">
        <v>279</v>
      </c>
      <c r="B75" s="36" t="s">
        <v>211</v>
      </c>
      <c r="C75" s="36" t="s">
        <v>217</v>
      </c>
      <c r="D75" s="33">
        <v>41719</v>
      </c>
      <c r="E75">
        <v>967</v>
      </c>
      <c r="H75" t="b">
        <f>IF(Dashboard4!$S$2="All Industry",TRUE,Dashboard4!$S$2=Data!B75:B173)</f>
        <v>1</v>
      </c>
      <c r="I75" t="b">
        <f>IF(Dashboard4!$T$2="All Country",TRUE,Dashboard4!$T$2=Data!C75:C173)</f>
        <v>1</v>
      </c>
      <c r="J75" t="b">
        <f>IF(Dashboard4!$U$2="All Months",TRUE,Dashboard4!$U$1=MONTH(Data!D75))</f>
        <v>0</v>
      </c>
      <c r="K75" t="b">
        <f t="shared" si="1"/>
        <v>0</v>
      </c>
      <c r="L75" t="str">
        <f>IF(K75,ROWS($K$2:K75),"")</f>
        <v/>
      </c>
      <c r="M75" t="str">
        <f>IFERROR(SMALL($L$2:$L$45,ROWS($L$2:L75)),"")</f>
        <v/>
      </c>
    </row>
    <row r="76" spans="1:13" x14ac:dyDescent="0.25">
      <c r="A76" t="s">
        <v>280</v>
      </c>
      <c r="B76" s="36" t="s">
        <v>206</v>
      </c>
      <c r="C76" s="36" t="s">
        <v>212</v>
      </c>
      <c r="D76" s="33">
        <v>41719</v>
      </c>
      <c r="E76">
        <v>208</v>
      </c>
      <c r="H76" t="b">
        <f>IF(Dashboard4!$S$2="All Industry",TRUE,Dashboard4!$S$2=Data!B76:B174)</f>
        <v>1</v>
      </c>
      <c r="I76" t="b">
        <f>IF(Dashboard4!$T$2="All Country",TRUE,Dashboard4!$T$2=Data!C76:C174)</f>
        <v>1</v>
      </c>
      <c r="J76" t="b">
        <f>IF(Dashboard4!$U$2="All Months",TRUE,Dashboard4!$U$1=MONTH(Data!D76))</f>
        <v>0</v>
      </c>
      <c r="K76" t="b">
        <f t="shared" si="1"/>
        <v>0</v>
      </c>
      <c r="L76" t="str">
        <f>IF(K76,ROWS($K$2:K76),"")</f>
        <v/>
      </c>
      <c r="M76" t="str">
        <f>IFERROR(SMALL($L$2:$L$45,ROWS($L$2:L76)),"")</f>
        <v/>
      </c>
    </row>
    <row r="77" spans="1:13" x14ac:dyDescent="0.25">
      <c r="A77" t="s">
        <v>281</v>
      </c>
      <c r="B77" s="36" t="s">
        <v>207</v>
      </c>
      <c r="C77" s="36" t="s">
        <v>213</v>
      </c>
      <c r="D77" s="33">
        <v>41719</v>
      </c>
      <c r="E77">
        <v>607</v>
      </c>
      <c r="H77" t="b">
        <f>IF(Dashboard4!$S$2="All Industry",TRUE,Dashboard4!$S$2=Data!B77:B175)</f>
        <v>1</v>
      </c>
      <c r="I77" t="b">
        <f>IF(Dashboard4!$T$2="All Country",TRUE,Dashboard4!$T$2=Data!C77:C175)</f>
        <v>1</v>
      </c>
      <c r="J77" t="b">
        <f>IF(Dashboard4!$U$2="All Months",TRUE,Dashboard4!$U$1=MONTH(Data!D77))</f>
        <v>0</v>
      </c>
      <c r="K77" t="b">
        <f t="shared" si="1"/>
        <v>0</v>
      </c>
      <c r="L77" t="str">
        <f>IF(K77,ROWS($K$2:K77),"")</f>
        <v/>
      </c>
      <c r="M77" t="str">
        <f>IFERROR(SMALL($L$2:$L$45,ROWS($L$2:L77)),"")</f>
        <v/>
      </c>
    </row>
    <row r="78" spans="1:13" x14ac:dyDescent="0.25">
      <c r="A78" t="s">
        <v>282</v>
      </c>
      <c r="B78" s="36" t="s">
        <v>208</v>
      </c>
      <c r="C78" s="36" t="s">
        <v>214</v>
      </c>
      <c r="D78" s="33">
        <v>41719</v>
      </c>
      <c r="E78">
        <v>338</v>
      </c>
      <c r="H78" t="b">
        <f>IF(Dashboard4!$S$2="All Industry",TRUE,Dashboard4!$S$2=Data!B78:B176)</f>
        <v>1</v>
      </c>
      <c r="I78" t="b">
        <f>IF(Dashboard4!$T$2="All Country",TRUE,Dashboard4!$T$2=Data!C78:C176)</f>
        <v>1</v>
      </c>
      <c r="J78" t="b">
        <f>IF(Dashboard4!$U$2="All Months",TRUE,Dashboard4!$U$1=MONTH(Data!D78))</f>
        <v>0</v>
      </c>
      <c r="K78" t="b">
        <f t="shared" si="1"/>
        <v>0</v>
      </c>
      <c r="L78" t="str">
        <f>IF(K78,ROWS($K$2:K78),"")</f>
        <v/>
      </c>
      <c r="M78" t="str">
        <f>IFERROR(SMALL($L$2:$L$45,ROWS($L$2:L78)),"")</f>
        <v/>
      </c>
    </row>
    <row r="79" spans="1:13" x14ac:dyDescent="0.25">
      <c r="A79" t="s">
        <v>283</v>
      </c>
      <c r="B79" s="36" t="s">
        <v>209</v>
      </c>
      <c r="C79" s="36" t="s">
        <v>215</v>
      </c>
      <c r="D79" s="33">
        <v>41719</v>
      </c>
      <c r="E79">
        <v>810</v>
      </c>
      <c r="H79" t="b">
        <f>IF(Dashboard4!$S$2="All Industry",TRUE,Dashboard4!$S$2=Data!B79:B177)</f>
        <v>1</v>
      </c>
      <c r="I79" t="b">
        <f>IF(Dashboard4!$T$2="All Country",TRUE,Dashboard4!$T$2=Data!C79:C177)</f>
        <v>1</v>
      </c>
      <c r="J79" t="b">
        <f>IF(Dashboard4!$U$2="All Months",TRUE,Dashboard4!$U$1=MONTH(Data!D79))</f>
        <v>0</v>
      </c>
      <c r="K79" t="b">
        <f t="shared" si="1"/>
        <v>0</v>
      </c>
      <c r="L79" t="str">
        <f>IF(K79,ROWS($K$2:K79),"")</f>
        <v/>
      </c>
      <c r="M79" t="str">
        <f>IFERROR(SMALL($L$2:$L$45,ROWS($L$2:L79)),"")</f>
        <v/>
      </c>
    </row>
    <row r="80" spans="1:13" x14ac:dyDescent="0.25">
      <c r="A80" t="s">
        <v>284</v>
      </c>
      <c r="B80" s="36" t="s">
        <v>210</v>
      </c>
      <c r="C80" s="36" t="s">
        <v>216</v>
      </c>
      <c r="D80" s="33">
        <v>41730</v>
      </c>
      <c r="E80">
        <v>409</v>
      </c>
      <c r="H80" t="b">
        <f>IF(Dashboard4!$S$2="All Industry",TRUE,Dashboard4!$S$2=Data!B80:B178)</f>
        <v>1</v>
      </c>
      <c r="I80" t="b">
        <f>IF(Dashboard4!$T$2="All Country",TRUE,Dashboard4!$T$2=Data!C80:C178)</f>
        <v>1</v>
      </c>
      <c r="J80" t="b">
        <f>IF(Dashboard4!$U$2="All Months",TRUE,Dashboard4!$U$1=MONTH(Data!D80))</f>
        <v>0</v>
      </c>
      <c r="K80" t="b">
        <f t="shared" si="1"/>
        <v>0</v>
      </c>
      <c r="L80" t="str">
        <f>IF(K80,ROWS($K$2:K80),"")</f>
        <v/>
      </c>
      <c r="M80" t="str">
        <f>IFERROR(SMALL($L$2:$L$45,ROWS($L$2:L80)),"")</f>
        <v/>
      </c>
    </row>
    <row r="81" spans="1:13" x14ac:dyDescent="0.25">
      <c r="A81" t="s">
        <v>285</v>
      </c>
      <c r="B81" s="36" t="s">
        <v>211</v>
      </c>
      <c r="C81" s="36" t="s">
        <v>217</v>
      </c>
      <c r="D81" s="33">
        <v>41730</v>
      </c>
      <c r="E81">
        <v>497</v>
      </c>
      <c r="H81" t="b">
        <f>IF(Dashboard4!$S$2="All Industry",TRUE,Dashboard4!$S$2=Data!B81:B179)</f>
        <v>1</v>
      </c>
      <c r="I81" t="b">
        <f>IF(Dashboard4!$T$2="All Country",TRUE,Dashboard4!$T$2=Data!C81:C179)</f>
        <v>1</v>
      </c>
      <c r="J81" t="b">
        <f>IF(Dashboard4!$U$2="All Months",TRUE,Dashboard4!$U$1=MONTH(Data!D81))</f>
        <v>0</v>
      </c>
      <c r="K81" t="b">
        <f t="shared" si="1"/>
        <v>0</v>
      </c>
      <c r="L81" t="str">
        <f>IF(K81,ROWS($K$2:K81),"")</f>
        <v/>
      </c>
      <c r="M81" t="str">
        <f>IFERROR(SMALL($L$2:$L$45,ROWS($L$2:L81)),"")</f>
        <v/>
      </c>
    </row>
    <row r="82" spans="1:13" x14ac:dyDescent="0.25">
      <c r="A82" t="s">
        <v>286</v>
      </c>
      <c r="B82" s="36" t="s">
        <v>206</v>
      </c>
      <c r="C82" s="36" t="s">
        <v>212</v>
      </c>
      <c r="D82" s="33">
        <v>41730</v>
      </c>
      <c r="E82">
        <v>593</v>
      </c>
      <c r="H82" t="b">
        <f>IF(Dashboard4!$S$2="All Industry",TRUE,Dashboard4!$S$2=Data!B82:B180)</f>
        <v>1</v>
      </c>
      <c r="I82" t="b">
        <f>IF(Dashboard4!$T$2="All Country",TRUE,Dashboard4!$T$2=Data!C82:C180)</f>
        <v>1</v>
      </c>
      <c r="J82" t="b">
        <f>IF(Dashboard4!$U$2="All Months",TRUE,Dashboard4!$U$1=MONTH(Data!D82))</f>
        <v>0</v>
      </c>
      <c r="K82" t="b">
        <f t="shared" si="1"/>
        <v>0</v>
      </c>
      <c r="L82" t="str">
        <f>IF(K82,ROWS($K$2:K82),"")</f>
        <v/>
      </c>
      <c r="M82" t="str">
        <f>IFERROR(SMALL($L$2:$L$45,ROWS($L$2:L82)),"")</f>
        <v/>
      </c>
    </row>
    <row r="83" spans="1:13" x14ac:dyDescent="0.25">
      <c r="A83" t="s">
        <v>287</v>
      </c>
      <c r="B83" s="36" t="s">
        <v>207</v>
      </c>
      <c r="C83" s="36" t="s">
        <v>213</v>
      </c>
      <c r="D83" s="33">
        <v>41730</v>
      </c>
      <c r="E83">
        <v>521</v>
      </c>
      <c r="H83" t="b">
        <f>IF(Dashboard4!$S$2="All Industry",TRUE,Dashboard4!$S$2=Data!B83:B181)</f>
        <v>1</v>
      </c>
      <c r="I83" t="b">
        <f>IF(Dashboard4!$T$2="All Country",TRUE,Dashboard4!$T$2=Data!C83:C181)</f>
        <v>1</v>
      </c>
      <c r="J83" t="b">
        <f>IF(Dashboard4!$U$2="All Months",TRUE,Dashboard4!$U$1=MONTH(Data!D83))</f>
        <v>0</v>
      </c>
      <c r="K83" t="b">
        <f t="shared" si="1"/>
        <v>0</v>
      </c>
      <c r="L83" t="str">
        <f>IF(K83,ROWS($K$2:K83),"")</f>
        <v/>
      </c>
      <c r="M83" t="str">
        <f>IFERROR(SMALL($L$2:$L$45,ROWS($L$2:L83)),"")</f>
        <v/>
      </c>
    </row>
    <row r="84" spans="1:13" x14ac:dyDescent="0.25">
      <c r="A84" t="s">
        <v>288</v>
      </c>
      <c r="B84" s="36" t="s">
        <v>208</v>
      </c>
      <c r="C84" s="36" t="s">
        <v>214</v>
      </c>
      <c r="D84" s="33">
        <v>41730</v>
      </c>
      <c r="E84">
        <v>240</v>
      </c>
      <c r="H84" t="b">
        <f>IF(Dashboard4!$S$2="All Industry",TRUE,Dashboard4!$S$2=Data!B84:B182)</f>
        <v>1</v>
      </c>
      <c r="I84" t="b">
        <f>IF(Dashboard4!$T$2="All Country",TRUE,Dashboard4!$T$2=Data!C84:C182)</f>
        <v>1</v>
      </c>
      <c r="J84" t="b">
        <f>IF(Dashboard4!$U$2="All Months",TRUE,Dashboard4!$U$1=MONTH(Data!D84))</f>
        <v>0</v>
      </c>
      <c r="K84" t="b">
        <f t="shared" si="1"/>
        <v>0</v>
      </c>
      <c r="L84" t="str">
        <f>IF(K84,ROWS($K$2:K84),"")</f>
        <v/>
      </c>
      <c r="M84" t="str">
        <f>IFERROR(SMALL($L$2:$L$45,ROWS($L$2:L84)),"")</f>
        <v/>
      </c>
    </row>
    <row r="85" spans="1:13" x14ac:dyDescent="0.25">
      <c r="A85" t="s">
        <v>289</v>
      </c>
      <c r="B85" s="36" t="s">
        <v>209</v>
      </c>
      <c r="C85" s="36" t="s">
        <v>215</v>
      </c>
      <c r="D85" s="33">
        <v>41730</v>
      </c>
      <c r="E85">
        <v>525</v>
      </c>
      <c r="H85" t="b">
        <f>IF(Dashboard4!$S$2="All Industry",TRUE,Dashboard4!$S$2=Data!B85:B183)</f>
        <v>1</v>
      </c>
      <c r="I85" t="b">
        <f>IF(Dashboard4!$T$2="All Country",TRUE,Dashboard4!$T$2=Data!C85:C183)</f>
        <v>1</v>
      </c>
      <c r="J85" t="b">
        <f>IF(Dashboard4!$U$2="All Months",TRUE,Dashboard4!$U$1=MONTH(Data!D85))</f>
        <v>0</v>
      </c>
      <c r="K85" t="b">
        <f t="shared" si="1"/>
        <v>0</v>
      </c>
      <c r="L85" t="str">
        <f>IF(K85,ROWS($K$2:K85),"")</f>
        <v/>
      </c>
      <c r="M85" t="str">
        <f>IFERROR(SMALL($L$2:$L$45,ROWS($L$2:L85)),"")</f>
        <v/>
      </c>
    </row>
    <row r="86" spans="1:13" x14ac:dyDescent="0.25">
      <c r="A86" t="s">
        <v>290</v>
      </c>
      <c r="B86" s="36" t="s">
        <v>210</v>
      </c>
      <c r="C86" s="36" t="s">
        <v>216</v>
      </c>
      <c r="D86" s="33">
        <v>41730</v>
      </c>
      <c r="E86">
        <v>160</v>
      </c>
      <c r="H86" t="b">
        <f>IF(Dashboard4!$S$2="All Industry",TRUE,Dashboard4!$S$2=Data!B86:B184)</f>
        <v>1</v>
      </c>
      <c r="I86" t="b">
        <f>IF(Dashboard4!$T$2="All Country",TRUE,Dashboard4!$T$2=Data!C86:C184)</f>
        <v>1</v>
      </c>
      <c r="J86" t="b">
        <f>IF(Dashboard4!$U$2="All Months",TRUE,Dashboard4!$U$1=MONTH(Data!D86))</f>
        <v>0</v>
      </c>
      <c r="K86" t="b">
        <f t="shared" si="1"/>
        <v>0</v>
      </c>
      <c r="L86" t="str">
        <f>IF(K86,ROWS($K$2:K86),"")</f>
        <v/>
      </c>
      <c r="M86" t="str">
        <f>IFERROR(SMALL($L$2:$L$45,ROWS($L$2:L86)),"")</f>
        <v/>
      </c>
    </row>
    <row r="87" spans="1:13" x14ac:dyDescent="0.25">
      <c r="A87" t="s">
        <v>291</v>
      </c>
      <c r="B87" s="36" t="s">
        <v>211</v>
      </c>
      <c r="C87" s="36" t="s">
        <v>217</v>
      </c>
      <c r="D87" s="33">
        <v>41730</v>
      </c>
      <c r="E87">
        <v>307</v>
      </c>
      <c r="H87" t="b">
        <f>IF(Dashboard4!$S$2="All Industry",TRUE,Dashboard4!$S$2=Data!B87:B185)</f>
        <v>1</v>
      </c>
      <c r="I87" t="b">
        <f>IF(Dashboard4!$T$2="All Country",TRUE,Dashboard4!$T$2=Data!C87:C185)</f>
        <v>1</v>
      </c>
      <c r="J87" t="b">
        <f>IF(Dashboard4!$U$2="All Months",TRUE,Dashboard4!$U$1=MONTH(Data!D87))</f>
        <v>0</v>
      </c>
      <c r="K87" t="b">
        <f t="shared" si="1"/>
        <v>0</v>
      </c>
      <c r="L87" t="str">
        <f>IF(K87,ROWS($K$2:K87),"")</f>
        <v/>
      </c>
      <c r="M87" t="str">
        <f>IFERROR(SMALL($L$2:$L$45,ROWS($L$2:L87)),"")</f>
        <v/>
      </c>
    </row>
    <row r="88" spans="1:13" x14ac:dyDescent="0.25">
      <c r="A88" t="s">
        <v>292</v>
      </c>
      <c r="B88" s="36" t="s">
        <v>206</v>
      </c>
      <c r="C88" s="36" t="s">
        <v>212</v>
      </c>
      <c r="D88" s="33">
        <v>41730</v>
      </c>
      <c r="E88">
        <v>966</v>
      </c>
      <c r="H88" t="b">
        <f>IF(Dashboard4!$S$2="All Industry",TRUE,Dashboard4!$S$2=Data!B88:B186)</f>
        <v>1</v>
      </c>
      <c r="I88" t="b">
        <f>IF(Dashboard4!$T$2="All Country",TRUE,Dashboard4!$T$2=Data!C88:C186)</f>
        <v>1</v>
      </c>
      <c r="J88" t="b">
        <f>IF(Dashboard4!$U$2="All Months",TRUE,Dashboard4!$U$1=MONTH(Data!D88))</f>
        <v>0</v>
      </c>
      <c r="K88" t="b">
        <f t="shared" si="1"/>
        <v>0</v>
      </c>
      <c r="L88" t="str">
        <f>IF(K88,ROWS($K$2:K88),"")</f>
        <v/>
      </c>
      <c r="M88" t="str">
        <f>IFERROR(SMALL($L$2:$L$45,ROWS($L$2:L88)),"")</f>
        <v/>
      </c>
    </row>
    <row r="89" spans="1:13" x14ac:dyDescent="0.25">
      <c r="A89" t="s">
        <v>293</v>
      </c>
      <c r="B89" s="36" t="s">
        <v>207</v>
      </c>
      <c r="C89" s="36" t="s">
        <v>213</v>
      </c>
      <c r="D89" s="33">
        <v>41730</v>
      </c>
      <c r="E89">
        <v>244</v>
      </c>
      <c r="H89" t="b">
        <f>IF(Dashboard4!$S$2="All Industry",TRUE,Dashboard4!$S$2=Data!B89:B187)</f>
        <v>1</v>
      </c>
      <c r="I89" t="b">
        <f>IF(Dashboard4!$T$2="All Country",TRUE,Dashboard4!$T$2=Data!C89:C187)</f>
        <v>1</v>
      </c>
      <c r="J89" t="b">
        <f>IF(Dashboard4!$U$2="All Months",TRUE,Dashboard4!$U$1=MONTH(Data!D89))</f>
        <v>0</v>
      </c>
      <c r="K89" t="b">
        <f t="shared" si="1"/>
        <v>0</v>
      </c>
      <c r="L89" t="str">
        <f>IF(K89,ROWS($K$2:K89),"")</f>
        <v/>
      </c>
      <c r="M89" t="str">
        <f>IFERROR(SMALL($L$2:$L$45,ROWS($L$2:L89)),"")</f>
        <v/>
      </c>
    </row>
    <row r="90" spans="1:13" x14ac:dyDescent="0.25">
      <c r="A90" t="s">
        <v>294</v>
      </c>
      <c r="B90" s="36" t="s">
        <v>208</v>
      </c>
      <c r="C90" s="36" t="s">
        <v>214</v>
      </c>
      <c r="D90" s="33">
        <v>41730</v>
      </c>
      <c r="E90">
        <v>750</v>
      </c>
      <c r="H90" t="b">
        <f>IF(Dashboard4!$S$2="All Industry",TRUE,Dashboard4!$S$2=Data!B90:B188)</f>
        <v>1</v>
      </c>
      <c r="I90" t="b">
        <f>IF(Dashboard4!$T$2="All Country",TRUE,Dashboard4!$T$2=Data!C90:C188)</f>
        <v>1</v>
      </c>
      <c r="J90" t="b">
        <f>IF(Dashboard4!$U$2="All Months",TRUE,Dashboard4!$U$1=MONTH(Data!D90))</f>
        <v>0</v>
      </c>
      <c r="K90" t="b">
        <f t="shared" si="1"/>
        <v>0</v>
      </c>
      <c r="L90" t="str">
        <f>IF(K90,ROWS($K$2:K90),"")</f>
        <v/>
      </c>
      <c r="M90" t="str">
        <f>IFERROR(SMALL($L$2:$L$45,ROWS($L$2:L90)),"")</f>
        <v/>
      </c>
    </row>
    <row r="91" spans="1:13" x14ac:dyDescent="0.25">
      <c r="A91" t="s">
        <v>295</v>
      </c>
      <c r="B91" s="36" t="s">
        <v>209</v>
      </c>
      <c r="C91" s="36" t="s">
        <v>215</v>
      </c>
      <c r="D91" s="33">
        <v>41730</v>
      </c>
      <c r="E91">
        <v>456</v>
      </c>
      <c r="H91" t="b">
        <f>IF(Dashboard4!$S$2="All Industry",TRUE,Dashboard4!$S$2=Data!B91:B189)</f>
        <v>1</v>
      </c>
      <c r="I91" t="b">
        <f>IF(Dashboard4!$T$2="All Country",TRUE,Dashboard4!$T$2=Data!C91:C189)</f>
        <v>1</v>
      </c>
      <c r="J91" t="b">
        <f>IF(Dashboard4!$U$2="All Months",TRUE,Dashboard4!$U$1=MONTH(Data!D91))</f>
        <v>0</v>
      </c>
      <c r="K91" t="b">
        <f t="shared" si="1"/>
        <v>0</v>
      </c>
      <c r="L91" t="str">
        <f>IF(K91,ROWS($K$2:K91),"")</f>
        <v/>
      </c>
      <c r="M91" t="str">
        <f>IFERROR(SMALL($L$2:$L$45,ROWS($L$2:L91)),"")</f>
        <v/>
      </c>
    </row>
    <row r="92" spans="1:13" x14ac:dyDescent="0.25">
      <c r="A92" t="s">
        <v>296</v>
      </c>
      <c r="B92" s="36" t="s">
        <v>210</v>
      </c>
      <c r="C92" s="36" t="s">
        <v>216</v>
      </c>
      <c r="D92" s="33">
        <v>41730</v>
      </c>
      <c r="E92">
        <v>938</v>
      </c>
      <c r="H92" t="b">
        <f>IF(Dashboard4!$S$2="All Industry",TRUE,Dashboard4!$S$2=Data!B92:B190)</f>
        <v>1</v>
      </c>
      <c r="I92" t="b">
        <f>IF(Dashboard4!$T$2="All Country",TRUE,Dashboard4!$T$2=Data!C92:C190)</f>
        <v>1</v>
      </c>
      <c r="J92" t="b">
        <f>IF(Dashboard4!$U$2="All Months",TRUE,Dashboard4!$U$1=MONTH(Data!D92))</f>
        <v>0</v>
      </c>
      <c r="K92" t="b">
        <f t="shared" si="1"/>
        <v>0</v>
      </c>
      <c r="L92" t="str">
        <f>IF(K92,ROWS($K$2:K92),"")</f>
        <v/>
      </c>
      <c r="M92" t="str">
        <f>IFERROR(SMALL($L$2:$L$45,ROWS($L$2:L92)),"")</f>
        <v/>
      </c>
    </row>
    <row r="93" spans="1:13" x14ac:dyDescent="0.25">
      <c r="A93" t="s">
        <v>297</v>
      </c>
      <c r="B93" s="36" t="s">
        <v>211</v>
      </c>
      <c r="C93" s="36" t="s">
        <v>217</v>
      </c>
      <c r="D93" s="33">
        <v>41730</v>
      </c>
      <c r="E93">
        <v>583</v>
      </c>
      <c r="H93" t="b">
        <f>IF(Dashboard4!$S$2="All Industry",TRUE,Dashboard4!$S$2=Data!B93:B191)</f>
        <v>1</v>
      </c>
      <c r="I93" t="b">
        <f>IF(Dashboard4!$T$2="All Country",TRUE,Dashboard4!$T$2=Data!C93:C191)</f>
        <v>1</v>
      </c>
      <c r="J93" t="b">
        <f>IF(Dashboard4!$U$2="All Months",TRUE,Dashboard4!$U$1=MONTH(Data!D93))</f>
        <v>0</v>
      </c>
      <c r="K93" t="b">
        <f t="shared" si="1"/>
        <v>0</v>
      </c>
      <c r="L93" t="str">
        <f>IF(K93,ROWS($K$2:K93),"")</f>
        <v/>
      </c>
      <c r="M93" t="str">
        <f>IFERROR(SMALL($L$2:$L$45,ROWS($L$2:L93)),"")</f>
        <v/>
      </c>
    </row>
    <row r="94" spans="1:13" x14ac:dyDescent="0.25">
      <c r="A94" t="s">
        <v>298</v>
      </c>
      <c r="B94" s="36" t="s">
        <v>206</v>
      </c>
      <c r="C94" s="36" t="s">
        <v>212</v>
      </c>
      <c r="D94" s="33">
        <v>41730</v>
      </c>
      <c r="E94">
        <v>108</v>
      </c>
      <c r="H94" t="b">
        <f>IF(Dashboard4!$S$2="All Industry",TRUE,Dashboard4!$S$2=Data!B94:B192)</f>
        <v>1</v>
      </c>
      <c r="I94" t="b">
        <f>IF(Dashboard4!$T$2="All Country",TRUE,Dashboard4!$T$2=Data!C94:C192)</f>
        <v>1</v>
      </c>
      <c r="J94" t="b">
        <f>IF(Dashboard4!$U$2="All Months",TRUE,Dashboard4!$U$1=MONTH(Data!D94))</f>
        <v>0</v>
      </c>
      <c r="K94" t="b">
        <f t="shared" si="1"/>
        <v>0</v>
      </c>
      <c r="L94" t="str">
        <f>IF(K94,ROWS($K$2:K94),"")</f>
        <v/>
      </c>
      <c r="M94" t="str">
        <f>IFERROR(SMALL($L$2:$L$45,ROWS($L$2:L94)),"")</f>
        <v/>
      </c>
    </row>
    <row r="95" spans="1:13" x14ac:dyDescent="0.25">
      <c r="A95" t="s">
        <v>299</v>
      </c>
      <c r="B95" s="36" t="s">
        <v>207</v>
      </c>
      <c r="C95" s="36" t="s">
        <v>213</v>
      </c>
      <c r="D95" s="33">
        <v>41730</v>
      </c>
      <c r="E95">
        <v>786</v>
      </c>
      <c r="H95" t="b">
        <f>IF(Dashboard4!$S$2="All Industry",TRUE,Dashboard4!$S$2=Data!B95:B193)</f>
        <v>1</v>
      </c>
      <c r="I95" t="b">
        <f>IF(Dashboard4!$T$2="All Country",TRUE,Dashboard4!$T$2=Data!C95:C193)</f>
        <v>1</v>
      </c>
      <c r="J95" t="b">
        <f>IF(Dashboard4!$U$2="All Months",TRUE,Dashboard4!$U$1=MONTH(Data!D95))</f>
        <v>0</v>
      </c>
      <c r="K95" t="b">
        <f t="shared" si="1"/>
        <v>0</v>
      </c>
      <c r="L95" t="str">
        <f>IF(K95,ROWS($K$2:K95),"")</f>
        <v/>
      </c>
      <c r="M95" t="str">
        <f>IFERROR(SMALL($L$2:$L$45,ROWS($L$2:L95)),"")</f>
        <v/>
      </c>
    </row>
    <row r="96" spans="1:13" x14ac:dyDescent="0.25">
      <c r="A96" t="s">
        <v>300</v>
      </c>
      <c r="B96" s="36" t="s">
        <v>208</v>
      </c>
      <c r="C96" s="36" t="s">
        <v>214</v>
      </c>
      <c r="D96" s="33">
        <v>41730</v>
      </c>
      <c r="E96">
        <v>847</v>
      </c>
      <c r="H96" t="b">
        <f>IF(Dashboard4!$S$2="All Industry",TRUE,Dashboard4!$S$2=Data!B96:B194)</f>
        <v>1</v>
      </c>
      <c r="I96" t="b">
        <f>IF(Dashboard4!$T$2="All Country",TRUE,Dashboard4!$T$2=Data!C96:C194)</f>
        <v>1</v>
      </c>
      <c r="J96" t="b">
        <f>IF(Dashboard4!$U$2="All Months",TRUE,Dashboard4!$U$1=MONTH(Data!D96))</f>
        <v>0</v>
      </c>
      <c r="K96" t="b">
        <f t="shared" si="1"/>
        <v>0</v>
      </c>
      <c r="L96" t="str">
        <f>IF(K96,ROWS($K$2:K96),"")</f>
        <v/>
      </c>
      <c r="M96" t="str">
        <f>IFERROR(SMALL($L$2:$L$45,ROWS($L$2:L96)),"")</f>
        <v/>
      </c>
    </row>
    <row r="97" spans="1:13" x14ac:dyDescent="0.25">
      <c r="A97" t="s">
        <v>301</v>
      </c>
      <c r="B97" s="36" t="s">
        <v>209</v>
      </c>
      <c r="C97" s="36" t="s">
        <v>215</v>
      </c>
      <c r="D97" s="33">
        <v>41730</v>
      </c>
      <c r="E97">
        <v>158</v>
      </c>
      <c r="H97" t="b">
        <f>IF(Dashboard4!$S$2="All Industry",TRUE,Dashboard4!$S$2=Data!B97:B195)</f>
        <v>1</v>
      </c>
      <c r="I97" t="b">
        <f>IF(Dashboard4!$T$2="All Country",TRUE,Dashboard4!$T$2=Data!C97:C195)</f>
        <v>1</v>
      </c>
      <c r="J97" t="b">
        <f>IF(Dashboard4!$U$2="All Months",TRUE,Dashboard4!$U$1=MONTH(Data!D97))</f>
        <v>0</v>
      </c>
      <c r="K97" t="b">
        <f t="shared" si="1"/>
        <v>0</v>
      </c>
      <c r="L97" t="str">
        <f>IF(K97,ROWS($K$2:K97),"")</f>
        <v/>
      </c>
      <c r="M97" t="str">
        <f>IFERROR(SMALL($L$2:$L$45,ROWS($L$2:L97)),"")</f>
        <v/>
      </c>
    </row>
    <row r="98" spans="1:13" x14ac:dyDescent="0.25">
      <c r="A98" t="s">
        <v>302</v>
      </c>
      <c r="B98" s="36" t="s">
        <v>210</v>
      </c>
      <c r="C98" s="36" t="s">
        <v>216</v>
      </c>
      <c r="D98" s="33">
        <v>41730</v>
      </c>
      <c r="E98">
        <v>879</v>
      </c>
      <c r="H98" t="b">
        <f>IF(Dashboard4!$S$2="All Industry",TRUE,Dashboard4!$S$2=Data!B98:B196)</f>
        <v>1</v>
      </c>
      <c r="I98" t="b">
        <f>IF(Dashboard4!$T$2="All Country",TRUE,Dashboard4!$T$2=Data!C98:C196)</f>
        <v>1</v>
      </c>
      <c r="J98" t="b">
        <f>IF(Dashboard4!$U$2="All Months",TRUE,Dashboard4!$U$1=MONTH(Data!D98))</f>
        <v>0</v>
      </c>
      <c r="K98" t="b">
        <f t="shared" si="1"/>
        <v>0</v>
      </c>
      <c r="L98" t="str">
        <f>IF(K98,ROWS($K$2:K98),"")</f>
        <v/>
      </c>
      <c r="M98" t="str">
        <f>IFERROR(SMALL($L$2:$L$45,ROWS($L$2:L98)),"")</f>
        <v/>
      </c>
    </row>
    <row r="99" spans="1:13" x14ac:dyDescent="0.25">
      <c r="A99" t="s">
        <v>303</v>
      </c>
      <c r="B99" s="36" t="s">
        <v>211</v>
      </c>
      <c r="C99" s="36" t="s">
        <v>217</v>
      </c>
      <c r="D99" s="33">
        <v>41730</v>
      </c>
      <c r="E99">
        <v>635</v>
      </c>
      <c r="H99" t="b">
        <f>IF(Dashboard4!$S$2="All Industry",TRUE,Dashboard4!$S$2=Data!B99:B197)</f>
        <v>1</v>
      </c>
      <c r="I99" t="b">
        <f>IF(Dashboard4!$T$2="All Country",TRUE,Dashboard4!$T$2=Data!C99:C197)</f>
        <v>1</v>
      </c>
      <c r="J99" t="b">
        <f>IF(Dashboard4!$U$2="All Months",TRUE,Dashboard4!$U$1=MONTH(Data!D99))</f>
        <v>0</v>
      </c>
      <c r="K99" t="b">
        <f t="shared" ref="K99:K100" si="2">AND(H99:J99)</f>
        <v>0</v>
      </c>
      <c r="L99" t="str">
        <f>IF(K99,ROWS($K$2:K99),"")</f>
        <v/>
      </c>
      <c r="M99" t="str">
        <f>IFERROR(SMALL($L$2:$L$45,ROWS($L$2:L99)),"")</f>
        <v/>
      </c>
    </row>
    <row r="100" spans="1:13" x14ac:dyDescent="0.25">
      <c r="A100" t="s">
        <v>304</v>
      </c>
      <c r="B100" s="36" t="s">
        <v>206</v>
      </c>
      <c r="C100" s="36" t="s">
        <v>212</v>
      </c>
      <c r="D100" s="33">
        <v>41730</v>
      </c>
      <c r="E100">
        <v>678</v>
      </c>
      <c r="H100" t="b">
        <f>IF(Dashboard4!$S$2="All Industry",TRUE,Dashboard4!$S$2=Data!B100:B198)</f>
        <v>1</v>
      </c>
      <c r="I100" t="b">
        <f>IF(Dashboard4!$T$2="All Country",TRUE,Dashboard4!$T$2=Data!C100:C198)</f>
        <v>1</v>
      </c>
      <c r="J100" t="b">
        <f>IF(Dashboard4!$U$2="All Months",TRUE,Dashboard4!$U$1=MONTH(Data!D100))</f>
        <v>0</v>
      </c>
      <c r="K100" t="b">
        <f t="shared" si="2"/>
        <v>0</v>
      </c>
      <c r="L100" t="str">
        <f>IF(K100,ROWS($K$2:K100),"")</f>
        <v/>
      </c>
      <c r="M100" t="str">
        <f>IFERROR(SMALL($L$2:$L$45,ROWS($L$2:L100)),"")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1:U36"/>
  <sheetViews>
    <sheetView showGridLines="0" topLeftCell="E1" workbookViewId="0">
      <selection activeCell="M18" sqref="M18"/>
    </sheetView>
  </sheetViews>
  <sheetFormatPr defaultRowHeight="15" x14ac:dyDescent="0.25"/>
  <cols>
    <col min="2" max="2" width="12" bestFit="1" customWidth="1"/>
    <col min="3" max="3" width="13.28515625" bestFit="1" customWidth="1"/>
    <col min="4" max="4" width="14.140625" customWidth="1"/>
    <col min="5" max="5" width="13.28515625" customWidth="1"/>
    <col min="6" max="6" width="16" customWidth="1"/>
    <col min="15" max="15" width="13.28515625" bestFit="1" customWidth="1"/>
    <col min="16" max="16" width="10.85546875" bestFit="1" customWidth="1"/>
    <col min="17" max="17" width="10.5703125" bestFit="1" customWidth="1"/>
    <col min="19" max="19" width="10.5703125" bestFit="1" customWidth="1"/>
    <col min="21" max="21" width="10.5703125" bestFit="1" customWidth="1"/>
  </cols>
  <sheetData>
    <row r="1" spans="2:21" x14ac:dyDescent="0.25">
      <c r="O1" s="37" t="s">
        <v>218</v>
      </c>
      <c r="P1" s="37" t="s">
        <v>219</v>
      </c>
      <c r="Q1" s="37" t="s">
        <v>220</v>
      </c>
      <c r="R1" s="37"/>
      <c r="S1" s="37">
        <v>1</v>
      </c>
      <c r="T1" s="37">
        <v>1</v>
      </c>
      <c r="U1" s="37">
        <v>12</v>
      </c>
    </row>
    <row r="2" spans="2:21" x14ac:dyDescent="0.25">
      <c r="O2" s="37" t="s">
        <v>206</v>
      </c>
      <c r="P2" s="37" t="s">
        <v>212</v>
      </c>
      <c r="Q2" s="37" t="s">
        <v>221</v>
      </c>
      <c r="R2" s="37"/>
      <c r="S2" s="37" t="str">
        <f>INDEX($O$1:$O$7,S1)</f>
        <v>All Industry</v>
      </c>
      <c r="T2" s="37" t="str">
        <f>INDEX($P$1:$P$7,T1)</f>
        <v>All Country</v>
      </c>
      <c r="U2" s="37" t="str">
        <f>INDEX($Q$2:$Q$13,U1)</f>
        <v>Dec</v>
      </c>
    </row>
    <row r="3" spans="2:21" x14ac:dyDescent="0.25">
      <c r="O3" s="37" t="s">
        <v>207</v>
      </c>
      <c r="P3" s="37" t="s">
        <v>213</v>
      </c>
      <c r="Q3" s="37" t="s">
        <v>222</v>
      </c>
      <c r="R3" s="37"/>
      <c r="S3" s="37"/>
      <c r="T3" s="37"/>
      <c r="U3" s="37"/>
    </row>
    <row r="4" spans="2:21" x14ac:dyDescent="0.25">
      <c r="O4" s="37" t="s">
        <v>208</v>
      </c>
      <c r="P4" s="37" t="s">
        <v>214</v>
      </c>
      <c r="Q4" s="37" t="s">
        <v>223</v>
      </c>
      <c r="R4" s="37"/>
      <c r="S4" s="37"/>
      <c r="T4" s="37"/>
      <c r="U4" s="37"/>
    </row>
    <row r="5" spans="2:21" x14ac:dyDescent="0.25">
      <c r="B5" s="34" t="s">
        <v>168</v>
      </c>
      <c r="C5" s="34" t="s">
        <v>169</v>
      </c>
      <c r="D5" s="34" t="s">
        <v>170</v>
      </c>
      <c r="E5" s="34" t="s">
        <v>171</v>
      </c>
      <c r="F5" s="34" t="s">
        <v>172</v>
      </c>
      <c r="O5" s="37" t="s">
        <v>209</v>
      </c>
      <c r="P5" s="37" t="s">
        <v>215</v>
      </c>
      <c r="Q5" s="37" t="s">
        <v>224</v>
      </c>
      <c r="R5" s="37"/>
      <c r="S5" s="37"/>
      <c r="T5" s="37"/>
      <c r="U5" s="37"/>
    </row>
    <row r="6" spans="2:21" x14ac:dyDescent="0.25">
      <c r="B6" s="1" t="str">
        <f>IFERROR(INDEX(Data!$A$2:$E$45,Data!$M2,COLUMNS(Data!$F$1:F1)),"")</f>
        <v>Client 29</v>
      </c>
      <c r="C6" s="1" t="str">
        <f>IFERROR(INDEX(Data!$A$2:$E$45,Data!$M2,COLUMNS(Data!$F$1:G1)),"")</f>
        <v>Banking</v>
      </c>
      <c r="D6" s="1" t="str">
        <f>IFERROR(INDEX(Data!$A$2:$E$45,Data!$M2,COLUMNS(Data!$F$1:H1)),"")</f>
        <v>Canada</v>
      </c>
      <c r="E6" s="35">
        <f>IFERROR(INDEX(Data!$A$2:$E$45,Data!$M2,COLUMNS(Data!$F$1:I1)),"")</f>
        <v>41974</v>
      </c>
      <c r="F6" s="1">
        <f>IFERROR(INDEX(Data!$A$2:$E$45,Data!$M2,COLUMNS(Data!$F$1:J1)),"")</f>
        <v>581</v>
      </c>
      <c r="O6" s="37" t="s">
        <v>210</v>
      </c>
      <c r="P6" s="37" t="s">
        <v>216</v>
      </c>
      <c r="Q6" s="37" t="s">
        <v>225</v>
      </c>
      <c r="R6" s="37"/>
      <c r="S6" s="37">
        <f>COUNTIF($B$6:$B$59,"?*")</f>
        <v>5</v>
      </c>
      <c r="T6" s="37"/>
      <c r="U6" s="37"/>
    </row>
    <row r="7" spans="2:21" x14ac:dyDescent="0.25">
      <c r="B7" s="1" t="str">
        <f>IFERROR(INDEX(Data!$A$2:$E$45,Data!$M3,COLUMNS(Data!$F$1:F2)),"")</f>
        <v>Client 30</v>
      </c>
      <c r="C7" s="1" t="str">
        <f>IFERROR(INDEX(Data!$A$2:$E$45,Data!$M3,COLUMNS(Data!$F$1:G2)),"")</f>
        <v>Healthcare</v>
      </c>
      <c r="D7" s="1" t="str">
        <f>IFERROR(INDEX(Data!$A$2:$E$45,Data!$M3,COLUMNS(Data!$F$1:H2)),"")</f>
        <v>Canada</v>
      </c>
      <c r="E7" s="35">
        <f>IFERROR(INDEX(Data!$A$2:$E$45,Data!$M3,COLUMNS(Data!$F$1:I2)),"")</f>
        <v>41974</v>
      </c>
      <c r="F7" s="1">
        <f>IFERROR(INDEX(Data!$A$2:$E$45,Data!$M3,COLUMNS(Data!$F$1:J2)),"")</f>
        <v>415</v>
      </c>
      <c r="O7" s="37" t="s">
        <v>211</v>
      </c>
      <c r="P7" s="37" t="s">
        <v>217</v>
      </c>
      <c r="Q7" s="37" t="s">
        <v>226</v>
      </c>
      <c r="R7" s="37"/>
      <c r="S7" s="37">
        <f>SUM(F6:F69)</f>
        <v>2250</v>
      </c>
      <c r="T7" s="37"/>
      <c r="U7" s="37"/>
    </row>
    <row r="8" spans="2:21" x14ac:dyDescent="0.25">
      <c r="B8" s="1" t="str">
        <f>IFERROR(INDEX(Data!$A$2:$E$45,Data!$M4,COLUMNS(Data!$F$1:F3)),"")</f>
        <v>Client 31</v>
      </c>
      <c r="C8" s="1" t="str">
        <f>IFERROR(INDEX(Data!$A$2:$E$45,Data!$M4,COLUMNS(Data!$F$1:G3)),"")</f>
        <v>Healthcare</v>
      </c>
      <c r="D8" s="1" t="str">
        <f>IFERROR(INDEX(Data!$A$2:$E$45,Data!$M4,COLUMNS(Data!$F$1:H3)),"")</f>
        <v>Germany</v>
      </c>
      <c r="E8" s="35">
        <f>IFERROR(INDEX(Data!$A$2:$E$45,Data!$M4,COLUMNS(Data!$F$1:I3)),"")</f>
        <v>41974</v>
      </c>
      <c r="F8" s="1">
        <f>IFERROR(INDEX(Data!$A$2:$E$45,Data!$M4,COLUMNS(Data!$F$1:J3)),"")</f>
        <v>815</v>
      </c>
      <c r="O8" s="37"/>
      <c r="P8" s="37"/>
      <c r="Q8" s="37" t="s">
        <v>227</v>
      </c>
      <c r="R8" s="37"/>
      <c r="S8" s="37"/>
      <c r="T8" s="37"/>
      <c r="U8" s="37"/>
    </row>
    <row r="9" spans="2:21" x14ac:dyDescent="0.25">
      <c r="B9" s="1" t="str">
        <f>IFERROR(INDEX(Data!$A$2:$E$45,Data!$M5,COLUMNS(Data!$F$1:F4)),"")</f>
        <v>Client 32</v>
      </c>
      <c r="C9" s="1" t="str">
        <f>IFERROR(INDEX(Data!$A$2:$E$45,Data!$M5,COLUMNS(Data!$F$1:G4)),"")</f>
        <v>Advertisment</v>
      </c>
      <c r="D9" s="1" t="str">
        <f>IFERROR(INDEX(Data!$A$2:$E$45,Data!$M5,COLUMNS(Data!$F$1:H4)),"")</f>
        <v>US</v>
      </c>
      <c r="E9" s="35">
        <f>IFERROR(INDEX(Data!$A$2:$E$45,Data!$M5,COLUMNS(Data!$F$1:I4)),"")</f>
        <v>41974</v>
      </c>
      <c r="F9" s="1">
        <f>IFERROR(INDEX(Data!$A$2:$E$45,Data!$M5,COLUMNS(Data!$F$1:J4)),"")</f>
        <v>213</v>
      </c>
      <c r="O9" s="37"/>
      <c r="P9" s="37"/>
      <c r="Q9" s="37" t="s">
        <v>228</v>
      </c>
      <c r="R9" s="37"/>
      <c r="S9" s="37"/>
      <c r="T9" s="37"/>
      <c r="U9" s="37"/>
    </row>
    <row r="10" spans="2:21" x14ac:dyDescent="0.25">
      <c r="B10" s="1" t="str">
        <f>IFERROR(INDEX(Data!$A$2:$E$45,Data!$M6,COLUMNS(Data!$F$1:F5)),"")</f>
        <v>Client 33</v>
      </c>
      <c r="C10" s="1" t="str">
        <f>IFERROR(INDEX(Data!$A$2:$E$45,Data!$M6,COLUMNS(Data!$F$1:G5)),"")</f>
        <v>Accounting</v>
      </c>
      <c r="D10" s="1" t="str">
        <f>IFERROR(INDEX(Data!$A$2:$E$45,Data!$M6,COLUMNS(Data!$F$1:H5)),"")</f>
        <v>China</v>
      </c>
      <c r="E10" s="35">
        <f>IFERROR(INDEX(Data!$A$2:$E$45,Data!$M6,COLUMNS(Data!$F$1:I5)),"")</f>
        <v>41974</v>
      </c>
      <c r="F10" s="1">
        <f>IFERROR(INDEX(Data!$A$2:$E$45,Data!$M6,COLUMNS(Data!$F$1:J5)),"")</f>
        <v>226</v>
      </c>
      <c r="O10" s="37"/>
      <c r="P10" s="37"/>
      <c r="Q10" s="37" t="s">
        <v>229</v>
      </c>
      <c r="R10" s="37"/>
      <c r="S10" s="37"/>
      <c r="T10" s="37"/>
      <c r="U10" s="37"/>
    </row>
    <row r="11" spans="2:21" x14ac:dyDescent="0.25">
      <c r="B11" s="1" t="str">
        <f>IFERROR(INDEX(Data!$A$2:$E$45,Data!$M7,COLUMNS(Data!$F$1:F6)),"")</f>
        <v/>
      </c>
      <c r="C11" s="1" t="str">
        <f>IFERROR(INDEX(Data!$A$2:$E$45,Data!$M7,COLUMNS(Data!$F$1:G6)),"")</f>
        <v/>
      </c>
      <c r="D11" s="1" t="str">
        <f>IFERROR(INDEX(Data!$A$2:$E$45,Data!$M7,COLUMNS(Data!$F$1:H6)),"")</f>
        <v/>
      </c>
      <c r="E11" s="35" t="str">
        <f>IFERROR(INDEX(Data!$A$2:$E$45,Data!$M7,COLUMNS(Data!$F$1:I6)),"")</f>
        <v/>
      </c>
      <c r="F11" s="1" t="str">
        <f>IFERROR(INDEX(Data!$A$2:$E$45,Data!$M7,COLUMNS(Data!$F$1:J6)),"")</f>
        <v/>
      </c>
      <c r="O11" s="37"/>
      <c r="P11" s="37"/>
      <c r="Q11" s="37" t="s">
        <v>230</v>
      </c>
      <c r="R11" s="37"/>
      <c r="S11" s="37"/>
      <c r="T11" s="37"/>
      <c r="U11" s="37"/>
    </row>
    <row r="12" spans="2:21" x14ac:dyDescent="0.25">
      <c r="B12" s="1" t="str">
        <f>IFERROR(INDEX(Data!$A$2:$E$45,Data!$M8,COLUMNS(Data!$F$1:F7)),"")</f>
        <v/>
      </c>
      <c r="C12" s="1" t="str">
        <f>IFERROR(INDEX(Data!$A$2:$E$45,Data!$M8,COLUMNS(Data!$F$1:G7)),"")</f>
        <v/>
      </c>
      <c r="D12" s="1" t="str">
        <f>IFERROR(INDEX(Data!$A$2:$E$45,Data!$M8,COLUMNS(Data!$F$1:H7)),"")</f>
        <v/>
      </c>
      <c r="E12" s="35" t="str">
        <f>IFERROR(INDEX(Data!$A$2:$E$45,Data!$M8,COLUMNS(Data!$F$1:I7)),"")</f>
        <v/>
      </c>
      <c r="F12" s="1" t="str">
        <f>IFERROR(INDEX(Data!$A$2:$E$45,Data!$M8,COLUMNS(Data!$F$1:J7)),"")</f>
        <v/>
      </c>
      <c r="O12" s="37"/>
      <c r="P12" s="37"/>
      <c r="Q12" s="37" t="s">
        <v>231</v>
      </c>
      <c r="R12" s="37"/>
      <c r="S12" s="37"/>
      <c r="T12" s="37"/>
      <c r="U12" s="37"/>
    </row>
    <row r="13" spans="2:21" x14ac:dyDescent="0.25">
      <c r="B13" s="1" t="str">
        <f>IFERROR(INDEX(Data!$A$2:$E$45,Data!$M9,COLUMNS(Data!$F$1:F8)),"")</f>
        <v/>
      </c>
      <c r="C13" s="1" t="str">
        <f>IFERROR(INDEX(Data!$A$2:$E$45,Data!$M9,COLUMNS(Data!$F$1:G8)),"")</f>
        <v/>
      </c>
      <c r="D13" s="1" t="str">
        <f>IFERROR(INDEX(Data!$A$2:$E$45,Data!$M9,COLUMNS(Data!$F$1:H8)),"")</f>
        <v/>
      </c>
      <c r="E13" s="35" t="str">
        <f>IFERROR(INDEX(Data!$A$2:$E$45,Data!$M9,COLUMNS(Data!$F$1:I8)),"")</f>
        <v/>
      </c>
      <c r="F13" s="1" t="str">
        <f>IFERROR(INDEX(Data!$A$2:$E$45,Data!$M9,COLUMNS(Data!$F$1:J8)),"")</f>
        <v/>
      </c>
      <c r="O13" s="37"/>
      <c r="P13" s="37"/>
      <c r="Q13" s="37" t="s">
        <v>232</v>
      </c>
      <c r="R13" s="37"/>
      <c r="S13" s="37"/>
      <c r="T13" s="37"/>
      <c r="U13" s="37"/>
    </row>
    <row r="14" spans="2:21" x14ac:dyDescent="0.25">
      <c r="B14" s="1" t="str">
        <f>IFERROR(INDEX(Data!$A$2:$E$45,Data!$M10,COLUMNS(Data!$F$1:F9)),"")</f>
        <v/>
      </c>
      <c r="C14" s="1" t="str">
        <f>IFERROR(INDEX(Data!$A$2:$E$45,Data!$M10,COLUMNS(Data!$F$1:G9)),"")</f>
        <v/>
      </c>
      <c r="D14" s="1" t="str">
        <f>IFERROR(INDEX(Data!$A$2:$E$45,Data!$M10,COLUMNS(Data!$F$1:H9)),"")</f>
        <v/>
      </c>
      <c r="E14" s="35" t="str">
        <f>IFERROR(INDEX(Data!$A$2:$E$45,Data!$M10,COLUMNS(Data!$F$1:I9)),"")</f>
        <v/>
      </c>
      <c r="F14" s="1" t="str">
        <f>IFERROR(INDEX(Data!$A$2:$E$45,Data!$M10,COLUMNS(Data!$F$1:J9)),"")</f>
        <v/>
      </c>
    </row>
    <row r="15" spans="2:21" x14ac:dyDescent="0.25">
      <c r="B15" s="1" t="str">
        <f>IFERROR(INDEX(Data!$A$2:$E$45,Data!$M11,COLUMNS(Data!$F$1:F10)),"")</f>
        <v/>
      </c>
      <c r="C15" s="1" t="str">
        <f>IFERROR(INDEX(Data!$A$2:$E$45,Data!$M11,COLUMNS(Data!$F$1:G10)),"")</f>
        <v/>
      </c>
      <c r="D15" s="1" t="str">
        <f>IFERROR(INDEX(Data!$A$2:$E$45,Data!$M11,COLUMNS(Data!$F$1:H10)),"")</f>
        <v/>
      </c>
      <c r="E15" s="35" t="str">
        <f>IFERROR(INDEX(Data!$A$2:$E$45,Data!$M11,COLUMNS(Data!$F$1:I10)),"")</f>
        <v/>
      </c>
      <c r="F15" s="1" t="str">
        <f>IFERROR(INDEX(Data!$A$2:$E$45,Data!$M11,COLUMNS(Data!$F$1:J10)),"")</f>
        <v/>
      </c>
    </row>
    <row r="16" spans="2:21" x14ac:dyDescent="0.25">
      <c r="B16" s="1" t="str">
        <f>IFERROR(INDEX(Data!$A$2:$E$45,Data!$M12,COLUMNS(Data!$F$1:F11)),"")</f>
        <v/>
      </c>
      <c r="C16" s="1" t="str">
        <f>IFERROR(INDEX(Data!$A$2:$E$45,Data!$M12,COLUMNS(Data!$F$1:G11)),"")</f>
        <v/>
      </c>
      <c r="D16" s="1" t="str">
        <f>IFERROR(INDEX(Data!$A$2:$E$45,Data!$M12,COLUMNS(Data!$F$1:H11)),"")</f>
        <v/>
      </c>
      <c r="E16" s="35" t="str">
        <f>IFERROR(INDEX(Data!$A$2:$E$45,Data!$M12,COLUMNS(Data!$F$1:I11)),"")</f>
        <v/>
      </c>
      <c r="F16" s="1" t="str">
        <f>IFERROR(INDEX(Data!$A$2:$E$45,Data!$M12,COLUMNS(Data!$F$1:J11)),"")</f>
        <v/>
      </c>
    </row>
    <row r="17" spans="2:6" x14ac:dyDescent="0.25">
      <c r="B17" s="1" t="str">
        <f>IFERROR(INDEX(Data!$A$2:$E$45,Data!$M13,COLUMNS(Data!$F$1:F12)),"")</f>
        <v/>
      </c>
      <c r="C17" s="1" t="str">
        <f>IFERROR(INDEX(Data!$A$2:$E$45,Data!$M13,COLUMNS(Data!$F$1:G12)),"")</f>
        <v/>
      </c>
      <c r="D17" s="1" t="str">
        <f>IFERROR(INDEX(Data!$A$2:$E$45,Data!$M13,COLUMNS(Data!$F$1:H12)),"")</f>
        <v/>
      </c>
      <c r="E17" s="35" t="str">
        <f>IFERROR(INDEX(Data!$A$2:$E$45,Data!$M13,COLUMNS(Data!$F$1:I12)),"")</f>
        <v/>
      </c>
      <c r="F17" s="1" t="str">
        <f>IFERROR(INDEX(Data!$A$2:$E$45,Data!$M13,COLUMNS(Data!$F$1:J12)),"")</f>
        <v/>
      </c>
    </row>
    <row r="18" spans="2:6" x14ac:dyDescent="0.25">
      <c r="B18" s="1" t="str">
        <f>IFERROR(INDEX(Data!$A$2:$E$45,Data!$M14,COLUMNS(Data!$F$1:F13)),"")</f>
        <v/>
      </c>
      <c r="C18" s="1" t="str">
        <f>IFERROR(INDEX(Data!$A$2:$E$45,Data!$M14,COLUMNS(Data!$F$1:G13)),"")</f>
        <v/>
      </c>
      <c r="D18" s="1" t="str">
        <f>IFERROR(INDEX(Data!$A$2:$E$45,Data!$M14,COLUMNS(Data!$F$1:H13)),"")</f>
        <v/>
      </c>
      <c r="E18" s="35" t="str">
        <f>IFERROR(INDEX(Data!$A$2:$E$45,Data!$M14,COLUMNS(Data!$F$1:I13)),"")</f>
        <v/>
      </c>
      <c r="F18" s="1" t="str">
        <f>IFERROR(INDEX(Data!$A$2:$E$45,Data!$M14,COLUMNS(Data!$F$1:J13)),"")</f>
        <v/>
      </c>
    </row>
    <row r="19" spans="2:6" x14ac:dyDescent="0.25">
      <c r="B19" s="1" t="str">
        <f>IFERROR(INDEX(Data!$A$2:$E$45,Data!$M15,COLUMNS(Data!$F$1:F14)),"")</f>
        <v/>
      </c>
      <c r="C19" s="1" t="str">
        <f>IFERROR(INDEX(Data!$A$2:$E$45,Data!$M15,COLUMNS(Data!$F$1:G14)),"")</f>
        <v/>
      </c>
      <c r="D19" s="1" t="str">
        <f>IFERROR(INDEX(Data!$A$2:$E$45,Data!$M15,COLUMNS(Data!$F$1:H14)),"")</f>
        <v/>
      </c>
      <c r="E19" s="35" t="str">
        <f>IFERROR(INDEX(Data!$A$2:$E$45,Data!$M15,COLUMNS(Data!$F$1:I14)),"")</f>
        <v/>
      </c>
      <c r="F19" s="1" t="str">
        <f>IFERROR(INDEX(Data!$A$2:$E$45,Data!$M15,COLUMNS(Data!$F$1:J14)),"")</f>
        <v/>
      </c>
    </row>
    <row r="20" spans="2:6" x14ac:dyDescent="0.25">
      <c r="B20" s="1" t="str">
        <f>IFERROR(INDEX(Data!$A$2:$E$45,Data!$M16,COLUMNS(Data!$F$1:F15)),"")</f>
        <v/>
      </c>
      <c r="C20" s="1" t="str">
        <f>IFERROR(INDEX(Data!$A$2:$E$45,Data!$M16,COLUMNS(Data!$F$1:G15)),"")</f>
        <v/>
      </c>
      <c r="D20" s="1" t="str">
        <f>IFERROR(INDEX(Data!$A$2:$E$45,Data!$M16,COLUMNS(Data!$F$1:H15)),"")</f>
        <v/>
      </c>
      <c r="E20" s="35" t="str">
        <f>IFERROR(INDEX(Data!$A$2:$E$45,Data!$M16,COLUMNS(Data!$F$1:I15)),"")</f>
        <v/>
      </c>
      <c r="F20" s="1" t="str">
        <f>IFERROR(INDEX(Data!$A$2:$E$45,Data!$M16,COLUMNS(Data!$F$1:J15)),"")</f>
        <v/>
      </c>
    </row>
    <row r="21" spans="2:6" x14ac:dyDescent="0.25">
      <c r="B21" s="1" t="str">
        <f>IFERROR(INDEX(Data!$A$2:$E$45,Data!$M17,COLUMNS(Data!$F$1:F16)),"")</f>
        <v/>
      </c>
      <c r="C21" s="1" t="str">
        <f>IFERROR(INDEX(Data!$A$2:$E$45,Data!$M17,COLUMNS(Data!$F$1:G16)),"")</f>
        <v/>
      </c>
      <c r="D21" s="1" t="str">
        <f>IFERROR(INDEX(Data!$A$2:$E$45,Data!$M17,COLUMNS(Data!$F$1:H16)),"")</f>
        <v/>
      </c>
      <c r="E21" s="35" t="str">
        <f>IFERROR(INDEX(Data!$A$2:$E$45,Data!$M17,COLUMNS(Data!$F$1:I16)),"")</f>
        <v/>
      </c>
      <c r="F21" s="1" t="str">
        <f>IFERROR(INDEX(Data!$A$2:$E$45,Data!$M17,COLUMNS(Data!$F$1:J16)),"")</f>
        <v/>
      </c>
    </row>
    <row r="22" spans="2:6" x14ac:dyDescent="0.25">
      <c r="B22" s="1" t="str">
        <f>IFERROR(INDEX(Data!$A$2:$E$45,Data!$M18,COLUMNS(Data!$F$1:F17)),"")</f>
        <v/>
      </c>
      <c r="C22" s="1" t="str">
        <f>IFERROR(INDEX(Data!$A$2:$E$45,Data!$M18,COLUMNS(Data!$F$1:G17)),"")</f>
        <v/>
      </c>
      <c r="D22" s="1" t="str">
        <f>IFERROR(INDEX(Data!$A$2:$E$45,Data!$M18,COLUMNS(Data!$F$1:H17)),"")</f>
        <v/>
      </c>
      <c r="E22" s="35" t="str">
        <f>IFERROR(INDEX(Data!$A$2:$E$45,Data!$M18,COLUMNS(Data!$F$1:I17)),"")</f>
        <v/>
      </c>
      <c r="F22" s="1" t="str">
        <f>IFERROR(INDEX(Data!$A$2:$E$45,Data!$M18,COLUMNS(Data!$F$1:J17)),"")</f>
        <v/>
      </c>
    </row>
    <row r="23" spans="2:6" x14ac:dyDescent="0.25">
      <c r="B23" s="1" t="str">
        <f>IFERROR(INDEX(Data!$A$2:$E$45,Data!$M19,COLUMNS(Data!$F$1:F18)),"")</f>
        <v/>
      </c>
      <c r="C23" s="1" t="str">
        <f>IFERROR(INDEX(Data!$A$2:$E$45,Data!$M19,COLUMNS(Data!$F$1:G18)),"")</f>
        <v/>
      </c>
      <c r="D23" s="1" t="str">
        <f>IFERROR(INDEX(Data!$A$2:$E$45,Data!$M19,COLUMNS(Data!$F$1:H18)),"")</f>
        <v/>
      </c>
      <c r="E23" s="35" t="str">
        <f>IFERROR(INDEX(Data!$A$2:$E$45,Data!$M19,COLUMNS(Data!$F$1:I18)),"")</f>
        <v/>
      </c>
      <c r="F23" s="1" t="str">
        <f>IFERROR(INDEX(Data!$A$2:$E$45,Data!$M19,COLUMNS(Data!$F$1:J18)),"")</f>
        <v/>
      </c>
    </row>
    <row r="24" spans="2:6" x14ac:dyDescent="0.25">
      <c r="B24" s="1" t="str">
        <f>IFERROR(INDEX(Data!$A$2:$E$45,Data!$M20,COLUMNS(Data!$F$1:F19)),"")</f>
        <v/>
      </c>
      <c r="C24" s="1" t="str">
        <f>IFERROR(INDEX(Data!$A$2:$E$45,Data!$M20,COLUMNS(Data!$F$1:G19)),"")</f>
        <v/>
      </c>
      <c r="D24" s="1" t="str">
        <f>IFERROR(INDEX(Data!$A$2:$E$45,Data!$M20,COLUMNS(Data!$F$1:H19)),"")</f>
        <v/>
      </c>
      <c r="E24" s="35" t="str">
        <f>IFERROR(INDEX(Data!$A$2:$E$45,Data!$M20,COLUMNS(Data!$F$1:I19)),"")</f>
        <v/>
      </c>
      <c r="F24" s="1" t="str">
        <f>IFERROR(INDEX(Data!$A$2:$E$45,Data!$M20,COLUMNS(Data!$F$1:J19)),"")</f>
        <v/>
      </c>
    </row>
    <row r="25" spans="2:6" x14ac:dyDescent="0.25">
      <c r="B25" s="1" t="str">
        <f>IFERROR(INDEX(Data!$A$2:$E$45,Data!$M21,COLUMNS(Data!$F$1:F20)),"")</f>
        <v/>
      </c>
      <c r="C25" s="1" t="str">
        <f>IFERROR(INDEX(Data!$A$2:$E$45,Data!$M21,COLUMNS(Data!$F$1:G20)),"")</f>
        <v/>
      </c>
      <c r="D25" s="1" t="str">
        <f>IFERROR(INDEX(Data!$A$2:$E$45,Data!$M21,COLUMNS(Data!$F$1:H20)),"")</f>
        <v/>
      </c>
      <c r="E25" s="35" t="str">
        <f>IFERROR(INDEX(Data!$A$2:$E$45,Data!$M21,COLUMNS(Data!$F$1:I20)),"")</f>
        <v/>
      </c>
      <c r="F25" s="1" t="str">
        <f>IFERROR(INDEX(Data!$A$2:$E$45,Data!$M21,COLUMNS(Data!$F$1:J20)),"")</f>
        <v/>
      </c>
    </row>
    <row r="26" spans="2:6" x14ac:dyDescent="0.25">
      <c r="B26" s="1" t="str">
        <f>IFERROR(INDEX(Data!$A$2:$E$45,Data!$M22,COLUMNS(Data!$F$1:F21)),"")</f>
        <v/>
      </c>
      <c r="C26" s="1" t="str">
        <f>IFERROR(INDEX(Data!$A$2:$E$45,Data!$M22,COLUMNS(Data!$F$1:G21)),"")</f>
        <v/>
      </c>
      <c r="D26" s="1" t="str">
        <f>IFERROR(INDEX(Data!$A$2:$E$45,Data!$M22,COLUMNS(Data!$F$1:H21)),"")</f>
        <v/>
      </c>
      <c r="E26" s="35" t="str">
        <f>IFERROR(INDEX(Data!$A$2:$E$45,Data!$M22,COLUMNS(Data!$F$1:I21)),"")</f>
        <v/>
      </c>
      <c r="F26" s="1" t="str">
        <f>IFERROR(INDEX(Data!$A$2:$E$45,Data!$M22,COLUMNS(Data!$F$1:J21)),"")</f>
        <v/>
      </c>
    </row>
    <row r="27" spans="2:6" x14ac:dyDescent="0.25">
      <c r="B27" s="1" t="str">
        <f>IFERROR(INDEX(Data!$A$2:$E$45,Data!$M23,COLUMNS(Data!$F$1:F22)),"")</f>
        <v/>
      </c>
      <c r="C27" s="1" t="str">
        <f>IFERROR(INDEX(Data!$A$2:$E$45,Data!$M23,COLUMNS(Data!$F$1:G22)),"")</f>
        <v/>
      </c>
      <c r="D27" s="1" t="str">
        <f>IFERROR(INDEX(Data!$A$2:$E$45,Data!$M23,COLUMNS(Data!$F$1:H22)),"")</f>
        <v/>
      </c>
      <c r="E27" s="35" t="str">
        <f>IFERROR(INDEX(Data!$A$2:$E$45,Data!$M23,COLUMNS(Data!$F$1:I22)),"")</f>
        <v/>
      </c>
      <c r="F27" s="1" t="str">
        <f>IFERROR(INDEX(Data!$A$2:$E$45,Data!$M23,COLUMNS(Data!$F$1:J22)),"")</f>
        <v/>
      </c>
    </row>
    <row r="28" spans="2:6" x14ac:dyDescent="0.25">
      <c r="B28" s="1" t="str">
        <f>IFERROR(INDEX(Data!$A$2:$E$45,Data!$M24,COLUMNS(Data!$F$1:F23)),"")</f>
        <v/>
      </c>
      <c r="C28" s="1" t="str">
        <f>IFERROR(INDEX(Data!$A$2:$E$45,Data!$M24,COLUMNS(Data!$F$1:G23)),"")</f>
        <v/>
      </c>
      <c r="D28" s="1" t="str">
        <f>IFERROR(INDEX(Data!$A$2:$E$45,Data!$M24,COLUMNS(Data!$F$1:H23)),"")</f>
        <v/>
      </c>
      <c r="E28" s="35" t="str">
        <f>IFERROR(INDEX(Data!$A$2:$E$45,Data!$M24,COLUMNS(Data!$F$1:I23)),"")</f>
        <v/>
      </c>
      <c r="F28" s="1" t="str">
        <f>IFERROR(INDEX(Data!$A$2:$E$45,Data!$M24,COLUMNS(Data!$F$1:J23)),"")</f>
        <v/>
      </c>
    </row>
    <row r="29" spans="2:6" x14ac:dyDescent="0.25">
      <c r="B29" s="1" t="str">
        <f>IFERROR(INDEX(Data!$A$2:$E$45,Data!$M25,COLUMNS(Data!$F$1:F24)),"")</f>
        <v/>
      </c>
      <c r="C29" s="1" t="str">
        <f>IFERROR(INDEX(Data!$A$2:$E$45,Data!$M25,COLUMNS(Data!$F$1:G24)),"")</f>
        <v/>
      </c>
      <c r="D29" s="1" t="str">
        <f>IFERROR(INDEX(Data!$A$2:$E$45,Data!$M25,COLUMNS(Data!$F$1:H24)),"")</f>
        <v/>
      </c>
      <c r="E29" s="35" t="str">
        <f>IFERROR(INDEX(Data!$A$2:$E$45,Data!$M25,COLUMNS(Data!$F$1:I24)),"")</f>
        <v/>
      </c>
      <c r="F29" s="1" t="str">
        <f>IFERROR(INDEX(Data!$A$2:$E$45,Data!$M25,COLUMNS(Data!$F$1:J24)),"")</f>
        <v/>
      </c>
    </row>
    <row r="30" spans="2:6" x14ac:dyDescent="0.25">
      <c r="B30" s="1" t="str">
        <f>IFERROR(INDEX(Data!$A$2:$E$45,Data!$M26,COLUMNS(Data!$F$1:F25)),"")</f>
        <v/>
      </c>
      <c r="C30" s="1" t="str">
        <f>IFERROR(INDEX(Data!$A$2:$E$45,Data!$M26,COLUMNS(Data!$F$1:G25)),"")</f>
        <v/>
      </c>
      <c r="D30" s="1" t="str">
        <f>IFERROR(INDEX(Data!$A$2:$E$45,Data!$M26,COLUMNS(Data!$F$1:H25)),"")</f>
        <v/>
      </c>
      <c r="E30" s="35" t="str">
        <f>IFERROR(INDEX(Data!$A$2:$E$45,Data!$M26,COLUMNS(Data!$F$1:I25)),"")</f>
        <v/>
      </c>
      <c r="F30" s="1" t="str">
        <f>IFERROR(INDEX(Data!$A$2:$E$45,Data!$M26,COLUMNS(Data!$F$1:J25)),"")</f>
        <v/>
      </c>
    </row>
    <row r="31" spans="2:6" x14ac:dyDescent="0.25">
      <c r="B31" s="1" t="str">
        <f>IFERROR(INDEX(Data!$A$2:$E$45,Data!$M27,COLUMNS(Data!$F$1:F26)),"")</f>
        <v/>
      </c>
      <c r="C31" s="1" t="str">
        <f>IFERROR(INDEX(Data!$A$2:$E$45,Data!$M27,COLUMNS(Data!$F$1:G26)),"")</f>
        <v/>
      </c>
      <c r="D31" s="1" t="str">
        <f>IFERROR(INDEX(Data!$A$2:$E$45,Data!$M27,COLUMNS(Data!$F$1:H26)),"")</f>
        <v/>
      </c>
      <c r="E31" s="35" t="str">
        <f>IFERROR(INDEX(Data!$A$2:$E$45,Data!$M27,COLUMNS(Data!$F$1:I26)),"")</f>
        <v/>
      </c>
      <c r="F31" s="1" t="str">
        <f>IFERROR(INDEX(Data!$A$2:$E$45,Data!$M27,COLUMNS(Data!$F$1:J26)),"")</f>
        <v/>
      </c>
    </row>
    <row r="32" spans="2:6" x14ac:dyDescent="0.25">
      <c r="B32" s="1" t="str">
        <f>IFERROR(INDEX(Data!$A$2:$E$45,Data!$M28,COLUMNS(Data!$F$1:F27)),"")</f>
        <v/>
      </c>
      <c r="C32" s="1" t="str">
        <f>IFERROR(INDEX(Data!$A$2:$E$45,Data!$M28,COLUMNS(Data!$F$1:G27)),"")</f>
        <v/>
      </c>
      <c r="D32" s="1" t="str">
        <f>IFERROR(INDEX(Data!$A$2:$E$45,Data!$M28,COLUMNS(Data!$F$1:H27)),"")</f>
        <v/>
      </c>
      <c r="E32" s="35" t="str">
        <f>IFERROR(INDEX(Data!$A$2:$E$45,Data!$M28,COLUMNS(Data!$F$1:I27)),"")</f>
        <v/>
      </c>
      <c r="F32" s="1" t="str">
        <f>IFERROR(INDEX(Data!$A$2:$E$45,Data!$M28,COLUMNS(Data!$F$1:J27)),"")</f>
        <v/>
      </c>
    </row>
    <row r="33" spans="2:6" x14ac:dyDescent="0.25">
      <c r="B33" s="1" t="str">
        <f>IFERROR(INDEX(Data!$A$2:$E$45,Data!$M29,COLUMNS(Data!$F$1:F28)),"")</f>
        <v/>
      </c>
      <c r="C33" s="1" t="str">
        <f>IFERROR(INDEX(Data!$A$2:$E$45,Data!$M29,COLUMNS(Data!$F$1:G28)),"")</f>
        <v/>
      </c>
      <c r="D33" s="1" t="str">
        <f>IFERROR(INDEX(Data!$A$2:$E$45,Data!$M29,COLUMNS(Data!$F$1:H28)),"")</f>
        <v/>
      </c>
      <c r="E33" s="35" t="str">
        <f>IFERROR(INDEX(Data!$A$2:$E$45,Data!$M29,COLUMNS(Data!$F$1:I28)),"")</f>
        <v/>
      </c>
      <c r="F33" s="1" t="str">
        <f>IFERROR(INDEX(Data!$A$2:$E$45,Data!$M29,COLUMNS(Data!$F$1:J28)),"")</f>
        <v/>
      </c>
    </row>
    <row r="34" spans="2:6" x14ac:dyDescent="0.25">
      <c r="B34" s="1" t="str">
        <f>IFERROR(INDEX(Data!$A$2:$E$45,Data!$M30,COLUMNS(Data!$F$1:F29)),"")</f>
        <v/>
      </c>
      <c r="C34" s="1" t="str">
        <f>IFERROR(INDEX(Data!$A$2:$E$45,Data!$M30,COLUMNS(Data!$F$1:G29)),"")</f>
        <v/>
      </c>
      <c r="D34" s="1" t="str">
        <f>IFERROR(INDEX(Data!$A$2:$E$45,Data!$M30,COLUMNS(Data!$F$1:H29)),"")</f>
        <v/>
      </c>
      <c r="E34" s="35" t="str">
        <f>IFERROR(INDEX(Data!$A$2:$E$45,Data!$M30,COLUMNS(Data!$F$1:I29)),"")</f>
        <v/>
      </c>
      <c r="F34" s="1" t="str">
        <f>IFERROR(INDEX(Data!$A$2:$E$45,Data!$M30,COLUMNS(Data!$F$1:J29)),"")</f>
        <v/>
      </c>
    </row>
    <row r="35" spans="2:6" x14ac:dyDescent="0.25">
      <c r="B35" s="1" t="str">
        <f>IFERROR(INDEX(Data!$A$2:$E$45,Data!$M31,COLUMNS(Data!$F$1:F30)),"")</f>
        <v/>
      </c>
      <c r="C35" s="1" t="str">
        <f>IFERROR(INDEX(Data!$A$2:$E$45,Data!$M31,COLUMNS(Data!$F$1:G30)),"")</f>
        <v/>
      </c>
      <c r="D35" s="1" t="str">
        <f>IFERROR(INDEX(Data!$A$2:$E$45,Data!$M31,COLUMNS(Data!$F$1:H30)),"")</f>
        <v/>
      </c>
      <c r="E35" s="35" t="str">
        <f>IFERROR(INDEX(Data!$A$2:$E$45,Data!$M31,COLUMNS(Data!$F$1:I30)),"")</f>
        <v/>
      </c>
      <c r="F35" s="1" t="str">
        <f>IFERROR(INDEX(Data!$A$2:$E$45,Data!$M31,COLUMNS(Data!$F$1:J30)),"")</f>
        <v/>
      </c>
    </row>
    <row r="36" spans="2:6" x14ac:dyDescent="0.25">
      <c r="B36" s="1" t="str">
        <f>IFERROR(INDEX(Data!$A$2:$E$45,Data!$M32,COLUMNS(Data!$F$1:F31)),"")</f>
        <v/>
      </c>
      <c r="C36" s="1" t="str">
        <f>IFERROR(INDEX(Data!$A$2:$E$45,Data!$M32,COLUMNS(Data!$F$1:G31)),"")</f>
        <v/>
      </c>
      <c r="D36" s="1" t="str">
        <f>IFERROR(INDEX(Data!$A$2:$E$45,Data!$M32,COLUMNS(Data!$F$1:H31)),"")</f>
        <v/>
      </c>
      <c r="E36" s="35" t="str">
        <f>IFERROR(INDEX(Data!$A$2:$E$45,Data!$M32,COLUMNS(Data!$F$1:I31)),"")</f>
        <v/>
      </c>
      <c r="F36" s="1" t="str">
        <f>IFERROR(INDEX(Data!$A$2:$E$45,Data!$M32,COLUMNS(Data!$F$1:J31)),"")</f>
        <v/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Drop Down 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28575</xdr:rowOff>
                  </from>
                  <to>
                    <xdr:col>3</xdr:col>
                    <xdr:colOff>95250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Drop Down 2">
              <controlPr defaultSize="0" autoLine="0" autoPict="0">
                <anchor moveWithCells="1">
                  <from>
                    <xdr:col>4</xdr:col>
                    <xdr:colOff>28575</xdr:colOff>
                    <xdr:row>1</xdr:row>
                    <xdr:rowOff>28575</xdr:rowOff>
                  </from>
                  <to>
                    <xdr:col>5</xdr:col>
                    <xdr:colOff>895350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Drop Down 3">
              <controlPr defaultSize="0" autoLine="0" autoPict="0">
                <anchor moveWithCells="1">
                  <from>
                    <xdr:col>7</xdr:col>
                    <xdr:colOff>0</xdr:colOff>
                    <xdr:row>1</xdr:row>
                    <xdr:rowOff>38100</xdr:rowOff>
                  </from>
                  <to>
                    <xdr:col>9</xdr:col>
                    <xdr:colOff>533400</xdr:colOff>
                    <xdr:row>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41"/>
  <sheetViews>
    <sheetView workbookViewId="0"/>
  </sheetViews>
  <sheetFormatPr defaultRowHeight="15" x14ac:dyDescent="0.25"/>
  <cols>
    <col min="2" max="2" width="9.5703125" bestFit="1" customWidth="1"/>
    <col min="3" max="3" width="13.28515625" bestFit="1" customWidth="1"/>
  </cols>
  <sheetData>
    <row r="1" spans="1:10" x14ac:dyDescent="0.25">
      <c r="A1" s="38" t="s">
        <v>305</v>
      </c>
      <c r="B1" s="38" t="s">
        <v>306</v>
      </c>
      <c r="C1" s="38" t="s">
        <v>307</v>
      </c>
      <c r="D1" s="38" t="s">
        <v>308</v>
      </c>
      <c r="E1" s="38" t="s">
        <v>309</v>
      </c>
      <c r="F1" s="38" t="s">
        <v>310</v>
      </c>
      <c r="G1" s="38" t="s">
        <v>311</v>
      </c>
      <c r="H1" s="38" t="s">
        <v>312</v>
      </c>
      <c r="I1" s="38" t="s">
        <v>313</v>
      </c>
      <c r="J1" s="38" t="s">
        <v>314</v>
      </c>
    </row>
    <row r="2" spans="1:10" x14ac:dyDescent="0.25">
      <c r="A2" s="39">
        <v>39814</v>
      </c>
      <c r="B2" s="40" t="s">
        <v>315</v>
      </c>
      <c r="C2" s="40" t="s">
        <v>316</v>
      </c>
      <c r="D2" s="40">
        <f t="shared" ref="D2:D33" si="0">VLOOKUP(B2,Product_LUP,2,FALSE)</f>
        <v>20</v>
      </c>
      <c r="E2" s="40">
        <f t="shared" ref="E2:E33" si="1">VLOOKUP(B2,Product_LUP,3,FALSE)</f>
        <v>50</v>
      </c>
      <c r="F2" s="40">
        <f>E2-D2</f>
        <v>30</v>
      </c>
      <c r="G2" s="40">
        <v>20</v>
      </c>
      <c r="H2" s="40">
        <v>50</v>
      </c>
      <c r="I2" s="40">
        <f>G2*E2</f>
        <v>1000</v>
      </c>
      <c r="J2" s="40">
        <f>G2*F2</f>
        <v>600</v>
      </c>
    </row>
    <row r="3" spans="1:10" x14ac:dyDescent="0.25">
      <c r="A3" s="41">
        <v>39814</v>
      </c>
      <c r="B3" s="42" t="s">
        <v>315</v>
      </c>
      <c r="C3" s="42" t="s">
        <v>317</v>
      </c>
      <c r="D3" s="42">
        <f t="shared" si="0"/>
        <v>20</v>
      </c>
      <c r="E3" s="42">
        <f t="shared" si="1"/>
        <v>50</v>
      </c>
      <c r="F3" s="42">
        <f t="shared" ref="F3:F66" si="2">E3-D3</f>
        <v>30</v>
      </c>
      <c r="G3" s="42">
        <v>60</v>
      </c>
      <c r="H3" s="42">
        <v>20</v>
      </c>
      <c r="I3" s="42">
        <f t="shared" ref="I3:I66" si="3">G3*E3</f>
        <v>3000</v>
      </c>
      <c r="J3" s="42">
        <f t="shared" ref="J3:J66" si="4">G3*F3</f>
        <v>1800</v>
      </c>
    </row>
    <row r="4" spans="1:10" x14ac:dyDescent="0.25">
      <c r="A4" s="39">
        <v>39814</v>
      </c>
      <c r="B4" s="40" t="s">
        <v>315</v>
      </c>
      <c r="C4" s="40" t="s">
        <v>318</v>
      </c>
      <c r="D4" s="40">
        <f t="shared" si="0"/>
        <v>20</v>
      </c>
      <c r="E4" s="40">
        <f t="shared" si="1"/>
        <v>50</v>
      </c>
      <c r="F4" s="40">
        <f t="shared" si="2"/>
        <v>30</v>
      </c>
      <c r="G4" s="40">
        <v>100</v>
      </c>
      <c r="H4" s="40">
        <v>60</v>
      </c>
      <c r="I4" s="40">
        <f t="shared" si="3"/>
        <v>5000</v>
      </c>
      <c r="J4" s="40">
        <f t="shared" si="4"/>
        <v>3000</v>
      </c>
    </row>
    <row r="5" spans="1:10" x14ac:dyDescent="0.25">
      <c r="A5" s="41">
        <v>39814</v>
      </c>
      <c r="B5" s="42" t="s">
        <v>315</v>
      </c>
      <c r="C5" s="42" t="s">
        <v>319</v>
      </c>
      <c r="D5" s="42">
        <f t="shared" si="0"/>
        <v>20</v>
      </c>
      <c r="E5" s="42">
        <f t="shared" si="1"/>
        <v>50</v>
      </c>
      <c r="F5" s="42">
        <f t="shared" si="2"/>
        <v>30</v>
      </c>
      <c r="G5" s="42">
        <v>80</v>
      </c>
      <c r="H5" s="42">
        <v>40</v>
      </c>
      <c r="I5" s="42">
        <f t="shared" si="3"/>
        <v>4000</v>
      </c>
      <c r="J5" s="42">
        <f t="shared" si="4"/>
        <v>2400</v>
      </c>
    </row>
    <row r="6" spans="1:10" x14ac:dyDescent="0.25">
      <c r="A6" s="39">
        <v>39814</v>
      </c>
      <c r="B6" s="40" t="s">
        <v>315</v>
      </c>
      <c r="C6" s="40" t="s">
        <v>320</v>
      </c>
      <c r="D6" s="40">
        <f t="shared" si="0"/>
        <v>20</v>
      </c>
      <c r="E6" s="40">
        <f t="shared" si="1"/>
        <v>50</v>
      </c>
      <c r="F6" s="40">
        <f t="shared" si="2"/>
        <v>30</v>
      </c>
      <c r="G6" s="40">
        <v>60</v>
      </c>
      <c r="H6" s="40">
        <v>50</v>
      </c>
      <c r="I6" s="40">
        <f t="shared" si="3"/>
        <v>3000</v>
      </c>
      <c r="J6" s="40">
        <f t="shared" si="4"/>
        <v>1800</v>
      </c>
    </row>
    <row r="7" spans="1:10" x14ac:dyDescent="0.25">
      <c r="A7" s="41">
        <v>39814</v>
      </c>
      <c r="B7" s="42" t="s">
        <v>321</v>
      </c>
      <c r="C7" s="42" t="s">
        <v>316</v>
      </c>
      <c r="D7" s="42">
        <f t="shared" si="0"/>
        <v>50</v>
      </c>
      <c r="E7" s="42">
        <f t="shared" si="1"/>
        <v>80</v>
      </c>
      <c r="F7" s="42">
        <f t="shared" si="2"/>
        <v>30</v>
      </c>
      <c r="G7" s="42">
        <v>30</v>
      </c>
      <c r="H7" s="42">
        <v>60</v>
      </c>
      <c r="I7" s="42">
        <f t="shared" si="3"/>
        <v>2400</v>
      </c>
      <c r="J7" s="42">
        <f t="shared" si="4"/>
        <v>900</v>
      </c>
    </row>
    <row r="8" spans="1:10" x14ac:dyDescent="0.25">
      <c r="A8" s="39">
        <v>39814</v>
      </c>
      <c r="B8" s="40" t="s">
        <v>321</v>
      </c>
      <c r="C8" s="40" t="s">
        <v>317</v>
      </c>
      <c r="D8" s="40">
        <f t="shared" si="0"/>
        <v>50</v>
      </c>
      <c r="E8" s="40">
        <f t="shared" si="1"/>
        <v>80</v>
      </c>
      <c r="F8" s="40">
        <f t="shared" si="2"/>
        <v>30</v>
      </c>
      <c r="G8" s="40">
        <v>70</v>
      </c>
      <c r="H8" s="40">
        <v>80</v>
      </c>
      <c r="I8" s="40">
        <f t="shared" si="3"/>
        <v>5600</v>
      </c>
      <c r="J8" s="40">
        <f t="shared" si="4"/>
        <v>2100</v>
      </c>
    </row>
    <row r="9" spans="1:10" x14ac:dyDescent="0.25">
      <c r="A9" s="41">
        <v>39814</v>
      </c>
      <c r="B9" s="42" t="s">
        <v>321</v>
      </c>
      <c r="C9" s="42" t="s">
        <v>318</v>
      </c>
      <c r="D9" s="42">
        <f t="shared" si="0"/>
        <v>50</v>
      </c>
      <c r="E9" s="42">
        <f t="shared" si="1"/>
        <v>80</v>
      </c>
      <c r="F9" s="42">
        <f t="shared" si="2"/>
        <v>30</v>
      </c>
      <c r="G9" s="42">
        <v>70</v>
      </c>
      <c r="H9" s="42">
        <v>23</v>
      </c>
      <c r="I9" s="42">
        <f t="shared" si="3"/>
        <v>5600</v>
      </c>
      <c r="J9" s="42">
        <f t="shared" si="4"/>
        <v>2100</v>
      </c>
    </row>
    <row r="10" spans="1:10" x14ac:dyDescent="0.25">
      <c r="A10" s="39">
        <v>39814</v>
      </c>
      <c r="B10" s="40" t="s">
        <v>321</v>
      </c>
      <c r="C10" s="40" t="s">
        <v>319</v>
      </c>
      <c r="D10" s="40">
        <f t="shared" si="0"/>
        <v>50</v>
      </c>
      <c r="E10" s="40">
        <f t="shared" si="1"/>
        <v>80</v>
      </c>
      <c r="F10" s="40">
        <f t="shared" si="2"/>
        <v>30</v>
      </c>
      <c r="G10" s="40">
        <v>60</v>
      </c>
      <c r="H10" s="40">
        <v>56</v>
      </c>
      <c r="I10" s="40">
        <f t="shared" si="3"/>
        <v>4800</v>
      </c>
      <c r="J10" s="40">
        <f t="shared" si="4"/>
        <v>1800</v>
      </c>
    </row>
    <row r="11" spans="1:10" x14ac:dyDescent="0.25">
      <c r="A11" s="41">
        <v>39814</v>
      </c>
      <c r="B11" s="42" t="s">
        <v>321</v>
      </c>
      <c r="C11" s="42" t="s">
        <v>320</v>
      </c>
      <c r="D11" s="42">
        <f t="shared" si="0"/>
        <v>50</v>
      </c>
      <c r="E11" s="42">
        <f t="shared" si="1"/>
        <v>80</v>
      </c>
      <c r="F11" s="42">
        <f t="shared" si="2"/>
        <v>30</v>
      </c>
      <c r="G11" s="42">
        <v>70</v>
      </c>
      <c r="H11" s="42">
        <v>98</v>
      </c>
      <c r="I11" s="42">
        <f t="shared" si="3"/>
        <v>5600</v>
      </c>
      <c r="J11" s="42">
        <f t="shared" si="4"/>
        <v>2100</v>
      </c>
    </row>
    <row r="12" spans="1:10" x14ac:dyDescent="0.25">
      <c r="A12" s="39">
        <v>39814</v>
      </c>
      <c r="B12" s="40" t="s">
        <v>322</v>
      </c>
      <c r="C12" s="40" t="s">
        <v>316</v>
      </c>
      <c r="D12" s="40">
        <f t="shared" si="0"/>
        <v>60</v>
      </c>
      <c r="E12" s="40">
        <f t="shared" si="1"/>
        <v>70</v>
      </c>
      <c r="F12" s="40">
        <f t="shared" si="2"/>
        <v>10</v>
      </c>
      <c r="G12" s="40">
        <v>50</v>
      </c>
      <c r="H12" s="40">
        <v>30</v>
      </c>
      <c r="I12" s="40">
        <f t="shared" si="3"/>
        <v>3500</v>
      </c>
      <c r="J12" s="40">
        <f t="shared" si="4"/>
        <v>500</v>
      </c>
    </row>
    <row r="13" spans="1:10" x14ac:dyDescent="0.25">
      <c r="A13" s="41">
        <v>39814</v>
      </c>
      <c r="B13" s="42" t="s">
        <v>322</v>
      </c>
      <c r="C13" s="42" t="s">
        <v>317</v>
      </c>
      <c r="D13" s="42">
        <f t="shared" si="0"/>
        <v>60</v>
      </c>
      <c r="E13" s="42">
        <f t="shared" si="1"/>
        <v>70</v>
      </c>
      <c r="F13" s="42">
        <f t="shared" si="2"/>
        <v>10</v>
      </c>
      <c r="G13" s="42">
        <v>80</v>
      </c>
      <c r="H13" s="42">
        <v>100</v>
      </c>
      <c r="I13" s="42">
        <f t="shared" si="3"/>
        <v>5600</v>
      </c>
      <c r="J13" s="42">
        <f t="shared" si="4"/>
        <v>800</v>
      </c>
    </row>
    <row r="14" spans="1:10" x14ac:dyDescent="0.25">
      <c r="A14" s="39">
        <v>39814</v>
      </c>
      <c r="B14" s="40" t="s">
        <v>322</v>
      </c>
      <c r="C14" s="40" t="s">
        <v>318</v>
      </c>
      <c r="D14" s="40">
        <f t="shared" si="0"/>
        <v>60</v>
      </c>
      <c r="E14" s="40">
        <f t="shared" si="1"/>
        <v>70</v>
      </c>
      <c r="F14" s="40">
        <f t="shared" si="2"/>
        <v>10</v>
      </c>
      <c r="G14" s="40">
        <v>110</v>
      </c>
      <c r="H14" s="40">
        <v>200</v>
      </c>
      <c r="I14" s="40">
        <f t="shared" si="3"/>
        <v>7700</v>
      </c>
      <c r="J14" s="40">
        <f t="shared" si="4"/>
        <v>1100</v>
      </c>
    </row>
    <row r="15" spans="1:10" x14ac:dyDescent="0.25">
      <c r="A15" s="41">
        <v>39814</v>
      </c>
      <c r="B15" s="42" t="s">
        <v>322</v>
      </c>
      <c r="C15" s="42" t="s">
        <v>319</v>
      </c>
      <c r="D15" s="42">
        <f t="shared" si="0"/>
        <v>60</v>
      </c>
      <c r="E15" s="42">
        <f t="shared" si="1"/>
        <v>70</v>
      </c>
      <c r="F15" s="42">
        <f t="shared" si="2"/>
        <v>10</v>
      </c>
      <c r="G15" s="42">
        <v>40</v>
      </c>
      <c r="H15" s="42">
        <v>150</v>
      </c>
      <c r="I15" s="42">
        <f t="shared" si="3"/>
        <v>2800</v>
      </c>
      <c r="J15" s="42">
        <f t="shared" si="4"/>
        <v>400</v>
      </c>
    </row>
    <row r="16" spans="1:10" x14ac:dyDescent="0.25">
      <c r="A16" s="39">
        <v>39814</v>
      </c>
      <c r="B16" s="40" t="s">
        <v>322</v>
      </c>
      <c r="C16" s="40" t="s">
        <v>320</v>
      </c>
      <c r="D16" s="40">
        <f t="shared" si="0"/>
        <v>60</v>
      </c>
      <c r="E16" s="40">
        <f t="shared" si="1"/>
        <v>70</v>
      </c>
      <c r="F16" s="40">
        <f t="shared" si="2"/>
        <v>10</v>
      </c>
      <c r="G16" s="40">
        <v>80</v>
      </c>
      <c r="H16" s="40">
        <v>90</v>
      </c>
      <c r="I16" s="40">
        <f t="shared" si="3"/>
        <v>5600</v>
      </c>
      <c r="J16" s="40">
        <f t="shared" si="4"/>
        <v>800</v>
      </c>
    </row>
    <row r="17" spans="1:10" x14ac:dyDescent="0.25">
      <c r="A17" s="41">
        <v>39814</v>
      </c>
      <c r="B17" s="42" t="s">
        <v>323</v>
      </c>
      <c r="C17" s="42" t="s">
        <v>316</v>
      </c>
      <c r="D17" s="42">
        <f t="shared" si="0"/>
        <v>10</v>
      </c>
      <c r="E17" s="42">
        <f t="shared" si="1"/>
        <v>30</v>
      </c>
      <c r="F17" s="42">
        <f t="shared" si="2"/>
        <v>20</v>
      </c>
      <c r="G17" s="42">
        <v>20</v>
      </c>
      <c r="H17" s="42">
        <v>100</v>
      </c>
      <c r="I17" s="42">
        <f t="shared" si="3"/>
        <v>600</v>
      </c>
      <c r="J17" s="42">
        <f t="shared" si="4"/>
        <v>400</v>
      </c>
    </row>
    <row r="18" spans="1:10" x14ac:dyDescent="0.25">
      <c r="A18" s="39">
        <v>39814</v>
      </c>
      <c r="B18" s="40" t="s">
        <v>323</v>
      </c>
      <c r="C18" s="40" t="s">
        <v>317</v>
      </c>
      <c r="D18" s="40">
        <f t="shared" si="0"/>
        <v>10</v>
      </c>
      <c r="E18" s="40">
        <f t="shared" si="1"/>
        <v>30</v>
      </c>
      <c r="F18" s="40">
        <f t="shared" si="2"/>
        <v>20</v>
      </c>
      <c r="G18" s="40">
        <v>50</v>
      </c>
      <c r="H18" s="40">
        <v>200</v>
      </c>
      <c r="I18" s="40">
        <f t="shared" si="3"/>
        <v>1500</v>
      </c>
      <c r="J18" s="40">
        <f t="shared" si="4"/>
        <v>1000</v>
      </c>
    </row>
    <row r="19" spans="1:10" x14ac:dyDescent="0.25">
      <c r="A19" s="41">
        <v>39814</v>
      </c>
      <c r="B19" s="42" t="s">
        <v>323</v>
      </c>
      <c r="C19" s="42" t="s">
        <v>318</v>
      </c>
      <c r="D19" s="42">
        <f t="shared" si="0"/>
        <v>10</v>
      </c>
      <c r="E19" s="42">
        <f t="shared" si="1"/>
        <v>30</v>
      </c>
      <c r="F19" s="42">
        <f t="shared" si="2"/>
        <v>20</v>
      </c>
      <c r="G19" s="42">
        <v>105</v>
      </c>
      <c r="H19" s="42">
        <v>100</v>
      </c>
      <c r="I19" s="42">
        <f t="shared" si="3"/>
        <v>3150</v>
      </c>
      <c r="J19" s="42">
        <f t="shared" si="4"/>
        <v>2100</v>
      </c>
    </row>
    <row r="20" spans="1:10" x14ac:dyDescent="0.25">
      <c r="A20" s="39">
        <v>39814</v>
      </c>
      <c r="B20" s="40" t="s">
        <v>323</v>
      </c>
      <c r="C20" s="40" t="s">
        <v>319</v>
      </c>
      <c r="D20" s="40">
        <f t="shared" si="0"/>
        <v>10</v>
      </c>
      <c r="E20" s="40">
        <f t="shared" si="1"/>
        <v>30</v>
      </c>
      <c r="F20" s="40">
        <f t="shared" si="2"/>
        <v>20</v>
      </c>
      <c r="G20" s="40">
        <v>80</v>
      </c>
      <c r="H20" s="40">
        <v>50</v>
      </c>
      <c r="I20" s="40">
        <f t="shared" si="3"/>
        <v>2400</v>
      </c>
      <c r="J20" s="40">
        <f t="shared" si="4"/>
        <v>1600</v>
      </c>
    </row>
    <row r="21" spans="1:10" x14ac:dyDescent="0.25">
      <c r="A21" s="41">
        <v>39814</v>
      </c>
      <c r="B21" s="42" t="s">
        <v>323</v>
      </c>
      <c r="C21" s="42" t="s">
        <v>320</v>
      </c>
      <c r="D21" s="42">
        <f t="shared" si="0"/>
        <v>10</v>
      </c>
      <c r="E21" s="42">
        <f t="shared" si="1"/>
        <v>30</v>
      </c>
      <c r="F21" s="42">
        <f t="shared" si="2"/>
        <v>20</v>
      </c>
      <c r="G21" s="42">
        <v>90</v>
      </c>
      <c r="H21" s="42">
        <v>90</v>
      </c>
      <c r="I21" s="42">
        <f t="shared" si="3"/>
        <v>2700</v>
      </c>
      <c r="J21" s="42">
        <f t="shared" si="4"/>
        <v>1800</v>
      </c>
    </row>
    <row r="22" spans="1:10" x14ac:dyDescent="0.25">
      <c r="A22" s="39">
        <v>39845</v>
      </c>
      <c r="B22" s="40" t="s">
        <v>315</v>
      </c>
      <c r="C22" s="40" t="s">
        <v>316</v>
      </c>
      <c r="D22" s="40">
        <f t="shared" si="0"/>
        <v>20</v>
      </c>
      <c r="E22" s="40">
        <f t="shared" si="1"/>
        <v>50</v>
      </c>
      <c r="F22" s="40">
        <f t="shared" si="2"/>
        <v>30</v>
      </c>
      <c r="G22" s="40">
        <v>30</v>
      </c>
      <c r="H22" s="40">
        <v>60</v>
      </c>
      <c r="I22" s="40">
        <f t="shared" si="3"/>
        <v>1500</v>
      </c>
      <c r="J22" s="40">
        <f t="shared" si="4"/>
        <v>900</v>
      </c>
    </row>
    <row r="23" spans="1:10" x14ac:dyDescent="0.25">
      <c r="A23" s="41">
        <v>39845</v>
      </c>
      <c r="B23" s="42" t="s">
        <v>315</v>
      </c>
      <c r="C23" s="42" t="s">
        <v>317</v>
      </c>
      <c r="D23" s="42">
        <f t="shared" si="0"/>
        <v>20</v>
      </c>
      <c r="E23" s="42">
        <f t="shared" si="1"/>
        <v>50</v>
      </c>
      <c r="F23" s="42">
        <f t="shared" si="2"/>
        <v>30</v>
      </c>
      <c r="G23" s="42">
        <v>60</v>
      </c>
      <c r="H23" s="42">
        <v>20</v>
      </c>
      <c r="I23" s="42">
        <f t="shared" si="3"/>
        <v>3000</v>
      </c>
      <c r="J23" s="42">
        <f t="shared" si="4"/>
        <v>1800</v>
      </c>
    </row>
    <row r="24" spans="1:10" x14ac:dyDescent="0.25">
      <c r="A24" s="39">
        <v>39845</v>
      </c>
      <c r="B24" s="40" t="s">
        <v>315</v>
      </c>
      <c r="C24" s="40" t="s">
        <v>318</v>
      </c>
      <c r="D24" s="40">
        <f t="shared" si="0"/>
        <v>20</v>
      </c>
      <c r="E24" s="40">
        <f t="shared" si="1"/>
        <v>50</v>
      </c>
      <c r="F24" s="40">
        <f t="shared" si="2"/>
        <v>30</v>
      </c>
      <c r="G24" s="40">
        <v>90</v>
      </c>
      <c r="H24" s="40">
        <v>50</v>
      </c>
      <c r="I24" s="40">
        <f t="shared" si="3"/>
        <v>4500</v>
      </c>
      <c r="J24" s="40">
        <f t="shared" si="4"/>
        <v>2700</v>
      </c>
    </row>
    <row r="25" spans="1:10" x14ac:dyDescent="0.25">
      <c r="A25" s="41">
        <v>39845</v>
      </c>
      <c r="B25" s="42" t="s">
        <v>315</v>
      </c>
      <c r="C25" s="42" t="s">
        <v>319</v>
      </c>
      <c r="D25" s="42">
        <f t="shared" si="0"/>
        <v>20</v>
      </c>
      <c r="E25" s="42">
        <f t="shared" si="1"/>
        <v>50</v>
      </c>
      <c r="F25" s="42">
        <f t="shared" si="2"/>
        <v>30</v>
      </c>
      <c r="G25" s="42">
        <v>60</v>
      </c>
      <c r="H25" s="42">
        <v>4</v>
      </c>
      <c r="I25" s="42">
        <f t="shared" si="3"/>
        <v>3000</v>
      </c>
      <c r="J25" s="42">
        <f t="shared" si="4"/>
        <v>1800</v>
      </c>
    </row>
    <row r="26" spans="1:10" x14ac:dyDescent="0.25">
      <c r="A26" s="39">
        <v>39845</v>
      </c>
      <c r="B26" s="40" t="s">
        <v>315</v>
      </c>
      <c r="C26" s="40" t="s">
        <v>320</v>
      </c>
      <c r="D26" s="40">
        <f t="shared" si="0"/>
        <v>20</v>
      </c>
      <c r="E26" s="40">
        <f t="shared" si="1"/>
        <v>50</v>
      </c>
      <c r="F26" s="40">
        <f t="shared" si="2"/>
        <v>30</v>
      </c>
      <c r="G26" s="40">
        <v>50</v>
      </c>
      <c r="H26" s="40">
        <v>50</v>
      </c>
      <c r="I26" s="40">
        <f t="shared" si="3"/>
        <v>2500</v>
      </c>
      <c r="J26" s="40">
        <f t="shared" si="4"/>
        <v>1500</v>
      </c>
    </row>
    <row r="27" spans="1:10" x14ac:dyDescent="0.25">
      <c r="A27" s="41">
        <v>39845</v>
      </c>
      <c r="B27" s="42" t="s">
        <v>321</v>
      </c>
      <c r="C27" s="42" t="s">
        <v>316</v>
      </c>
      <c r="D27" s="42">
        <f t="shared" si="0"/>
        <v>50</v>
      </c>
      <c r="E27" s="42">
        <f t="shared" si="1"/>
        <v>80</v>
      </c>
      <c r="F27" s="42">
        <f t="shared" si="2"/>
        <v>30</v>
      </c>
      <c r="G27" s="42">
        <v>20</v>
      </c>
      <c r="H27" s="42">
        <v>65</v>
      </c>
      <c r="I27" s="42">
        <f t="shared" si="3"/>
        <v>1600</v>
      </c>
      <c r="J27" s="42">
        <f t="shared" si="4"/>
        <v>600</v>
      </c>
    </row>
    <row r="28" spans="1:10" x14ac:dyDescent="0.25">
      <c r="A28" s="39">
        <v>39845</v>
      </c>
      <c r="B28" s="40" t="s">
        <v>321</v>
      </c>
      <c r="C28" s="40" t="s">
        <v>317</v>
      </c>
      <c r="D28" s="40">
        <f t="shared" si="0"/>
        <v>50</v>
      </c>
      <c r="E28" s="40">
        <f t="shared" si="1"/>
        <v>80</v>
      </c>
      <c r="F28" s="40">
        <f t="shared" si="2"/>
        <v>30</v>
      </c>
      <c r="G28" s="40">
        <v>80</v>
      </c>
      <c r="H28" s="40">
        <v>98</v>
      </c>
      <c r="I28" s="40">
        <f t="shared" si="3"/>
        <v>6400</v>
      </c>
      <c r="J28" s="40">
        <f t="shared" si="4"/>
        <v>2400</v>
      </c>
    </row>
    <row r="29" spans="1:10" x14ac:dyDescent="0.25">
      <c r="A29" s="41">
        <v>39845</v>
      </c>
      <c r="B29" s="42" t="s">
        <v>321</v>
      </c>
      <c r="C29" s="42" t="s">
        <v>318</v>
      </c>
      <c r="D29" s="42">
        <f t="shared" si="0"/>
        <v>50</v>
      </c>
      <c r="E29" s="42">
        <f t="shared" si="1"/>
        <v>80</v>
      </c>
      <c r="F29" s="42">
        <f t="shared" si="2"/>
        <v>30</v>
      </c>
      <c r="G29" s="42">
        <v>80</v>
      </c>
      <c r="H29" s="42">
        <v>32</v>
      </c>
      <c r="I29" s="42">
        <f t="shared" si="3"/>
        <v>6400</v>
      </c>
      <c r="J29" s="42">
        <f t="shared" si="4"/>
        <v>2400</v>
      </c>
    </row>
    <row r="30" spans="1:10" x14ac:dyDescent="0.25">
      <c r="A30" s="39">
        <v>39845</v>
      </c>
      <c r="B30" s="40" t="s">
        <v>321</v>
      </c>
      <c r="C30" s="40" t="s">
        <v>319</v>
      </c>
      <c r="D30" s="40">
        <f t="shared" si="0"/>
        <v>50</v>
      </c>
      <c r="E30" s="40">
        <f t="shared" si="1"/>
        <v>80</v>
      </c>
      <c r="F30" s="40">
        <f t="shared" si="2"/>
        <v>30</v>
      </c>
      <c r="G30" s="40">
        <v>50</v>
      </c>
      <c r="H30" s="40">
        <v>65</v>
      </c>
      <c r="I30" s="40">
        <f t="shared" si="3"/>
        <v>4000</v>
      </c>
      <c r="J30" s="40">
        <f t="shared" si="4"/>
        <v>1500</v>
      </c>
    </row>
    <row r="31" spans="1:10" x14ac:dyDescent="0.25">
      <c r="A31" s="41">
        <v>39845</v>
      </c>
      <c r="B31" s="42" t="s">
        <v>321</v>
      </c>
      <c r="C31" s="42" t="s">
        <v>320</v>
      </c>
      <c r="D31" s="42">
        <f t="shared" si="0"/>
        <v>50</v>
      </c>
      <c r="E31" s="42">
        <f t="shared" si="1"/>
        <v>80</v>
      </c>
      <c r="F31" s="42">
        <f t="shared" si="2"/>
        <v>30</v>
      </c>
      <c r="G31" s="42">
        <v>20</v>
      </c>
      <c r="H31" s="42">
        <v>45</v>
      </c>
      <c r="I31" s="42">
        <f t="shared" si="3"/>
        <v>1600</v>
      </c>
      <c r="J31" s="42">
        <f t="shared" si="4"/>
        <v>600</v>
      </c>
    </row>
    <row r="32" spans="1:10" x14ac:dyDescent="0.25">
      <c r="A32" s="39">
        <v>39845</v>
      </c>
      <c r="B32" s="40" t="s">
        <v>322</v>
      </c>
      <c r="C32" s="40" t="s">
        <v>316</v>
      </c>
      <c r="D32" s="40">
        <f t="shared" si="0"/>
        <v>60</v>
      </c>
      <c r="E32" s="40">
        <f t="shared" si="1"/>
        <v>70</v>
      </c>
      <c r="F32" s="40">
        <f t="shared" si="2"/>
        <v>10</v>
      </c>
      <c r="G32" s="40">
        <v>30</v>
      </c>
      <c r="H32" s="40">
        <v>100</v>
      </c>
      <c r="I32" s="40">
        <f t="shared" si="3"/>
        <v>2100</v>
      </c>
      <c r="J32" s="40">
        <f t="shared" si="4"/>
        <v>300</v>
      </c>
    </row>
    <row r="33" spans="1:10" x14ac:dyDescent="0.25">
      <c r="A33" s="41">
        <v>39845</v>
      </c>
      <c r="B33" s="42" t="s">
        <v>322</v>
      </c>
      <c r="C33" s="42" t="s">
        <v>317</v>
      </c>
      <c r="D33" s="42">
        <f t="shared" si="0"/>
        <v>60</v>
      </c>
      <c r="E33" s="42">
        <f t="shared" si="1"/>
        <v>70</v>
      </c>
      <c r="F33" s="42">
        <f t="shared" si="2"/>
        <v>10</v>
      </c>
      <c r="G33" s="42">
        <v>90</v>
      </c>
      <c r="H33" s="42">
        <v>20</v>
      </c>
      <c r="I33" s="42">
        <f t="shared" si="3"/>
        <v>6300</v>
      </c>
      <c r="J33" s="42">
        <f t="shared" si="4"/>
        <v>900</v>
      </c>
    </row>
    <row r="34" spans="1:10" x14ac:dyDescent="0.25">
      <c r="A34" s="39">
        <v>39845</v>
      </c>
      <c r="B34" s="40" t="s">
        <v>322</v>
      </c>
      <c r="C34" s="40" t="s">
        <v>318</v>
      </c>
      <c r="D34" s="40">
        <f t="shared" ref="D34:D65" si="5">VLOOKUP(B34,Product_LUP,2,FALSE)</f>
        <v>60</v>
      </c>
      <c r="E34" s="40">
        <f t="shared" ref="E34:E65" si="6">VLOOKUP(B34,Product_LUP,3,FALSE)</f>
        <v>70</v>
      </c>
      <c r="F34" s="40">
        <f t="shared" si="2"/>
        <v>10</v>
      </c>
      <c r="G34" s="40">
        <v>106</v>
      </c>
      <c r="H34" s="40">
        <v>30</v>
      </c>
      <c r="I34" s="40">
        <f t="shared" si="3"/>
        <v>7420</v>
      </c>
      <c r="J34" s="40">
        <f t="shared" si="4"/>
        <v>1060</v>
      </c>
    </row>
    <row r="35" spans="1:10" x14ac:dyDescent="0.25">
      <c r="A35" s="41">
        <v>39845</v>
      </c>
      <c r="B35" s="42" t="s">
        <v>322</v>
      </c>
      <c r="C35" s="42" t="s">
        <v>319</v>
      </c>
      <c r="D35" s="42">
        <f t="shared" si="5"/>
        <v>60</v>
      </c>
      <c r="E35" s="42">
        <f t="shared" si="6"/>
        <v>70</v>
      </c>
      <c r="F35" s="42">
        <f t="shared" si="2"/>
        <v>10</v>
      </c>
      <c r="G35" s="42">
        <v>40</v>
      </c>
      <c r="H35" s="42">
        <v>60</v>
      </c>
      <c r="I35" s="42">
        <f t="shared" si="3"/>
        <v>2800</v>
      </c>
      <c r="J35" s="42">
        <f t="shared" si="4"/>
        <v>400</v>
      </c>
    </row>
    <row r="36" spans="1:10" x14ac:dyDescent="0.25">
      <c r="A36" s="39">
        <v>39845</v>
      </c>
      <c r="B36" s="40" t="s">
        <v>322</v>
      </c>
      <c r="C36" s="40" t="s">
        <v>320</v>
      </c>
      <c r="D36" s="40">
        <f t="shared" si="5"/>
        <v>60</v>
      </c>
      <c r="E36" s="40">
        <f t="shared" si="6"/>
        <v>70</v>
      </c>
      <c r="F36" s="40">
        <f t="shared" si="2"/>
        <v>10</v>
      </c>
      <c r="G36" s="40">
        <v>50</v>
      </c>
      <c r="H36" s="40">
        <v>50</v>
      </c>
      <c r="I36" s="40">
        <f t="shared" si="3"/>
        <v>3500</v>
      </c>
      <c r="J36" s="40">
        <f t="shared" si="4"/>
        <v>500</v>
      </c>
    </row>
    <row r="37" spans="1:10" x14ac:dyDescent="0.25">
      <c r="A37" s="41">
        <v>39845</v>
      </c>
      <c r="B37" s="42" t="s">
        <v>323</v>
      </c>
      <c r="C37" s="42" t="s">
        <v>316</v>
      </c>
      <c r="D37" s="42">
        <f t="shared" si="5"/>
        <v>10</v>
      </c>
      <c r="E37" s="42">
        <f t="shared" si="6"/>
        <v>30</v>
      </c>
      <c r="F37" s="42">
        <f t="shared" si="2"/>
        <v>20</v>
      </c>
      <c r="G37" s="42">
        <v>50</v>
      </c>
      <c r="H37" s="42">
        <v>60</v>
      </c>
      <c r="I37" s="42">
        <f t="shared" si="3"/>
        <v>1500</v>
      </c>
      <c r="J37" s="42">
        <f t="shared" si="4"/>
        <v>1000</v>
      </c>
    </row>
    <row r="38" spans="1:10" x14ac:dyDescent="0.25">
      <c r="A38" s="39">
        <v>39845</v>
      </c>
      <c r="B38" s="40" t="s">
        <v>323</v>
      </c>
      <c r="C38" s="40" t="s">
        <v>317</v>
      </c>
      <c r="D38" s="40">
        <f t="shared" si="5"/>
        <v>10</v>
      </c>
      <c r="E38" s="40">
        <f t="shared" si="6"/>
        <v>30</v>
      </c>
      <c r="F38" s="40">
        <f t="shared" si="2"/>
        <v>20</v>
      </c>
      <c r="G38" s="40">
        <v>10</v>
      </c>
      <c r="H38" s="40">
        <v>80</v>
      </c>
      <c r="I38" s="40">
        <f t="shared" si="3"/>
        <v>300</v>
      </c>
      <c r="J38" s="40">
        <f t="shared" si="4"/>
        <v>200</v>
      </c>
    </row>
    <row r="39" spans="1:10" x14ac:dyDescent="0.25">
      <c r="A39" s="41">
        <v>39845</v>
      </c>
      <c r="B39" s="42" t="s">
        <v>323</v>
      </c>
      <c r="C39" s="42" t="s">
        <v>318</v>
      </c>
      <c r="D39" s="42">
        <f t="shared" si="5"/>
        <v>10</v>
      </c>
      <c r="E39" s="42">
        <f t="shared" si="6"/>
        <v>30</v>
      </c>
      <c r="F39" s="42">
        <f t="shared" si="2"/>
        <v>20</v>
      </c>
      <c r="G39" s="42">
        <v>100</v>
      </c>
      <c r="H39" s="42">
        <v>4</v>
      </c>
      <c r="I39" s="42">
        <f t="shared" si="3"/>
        <v>3000</v>
      </c>
      <c r="J39" s="42">
        <f t="shared" si="4"/>
        <v>2000</v>
      </c>
    </row>
    <row r="40" spans="1:10" x14ac:dyDescent="0.25">
      <c r="A40" s="39">
        <v>39845</v>
      </c>
      <c r="B40" s="40" t="s">
        <v>323</v>
      </c>
      <c r="C40" s="40" t="s">
        <v>319</v>
      </c>
      <c r="D40" s="40">
        <f t="shared" si="5"/>
        <v>10</v>
      </c>
      <c r="E40" s="40">
        <f t="shared" si="6"/>
        <v>30</v>
      </c>
      <c r="F40" s="40">
        <f t="shared" si="2"/>
        <v>20</v>
      </c>
      <c r="G40" s="40">
        <v>50</v>
      </c>
      <c r="H40" s="40">
        <v>5</v>
      </c>
      <c r="I40" s="40">
        <f t="shared" si="3"/>
        <v>1500</v>
      </c>
      <c r="J40" s="40">
        <f t="shared" si="4"/>
        <v>1000</v>
      </c>
    </row>
    <row r="41" spans="1:10" x14ac:dyDescent="0.25">
      <c r="A41" s="41">
        <v>39845</v>
      </c>
      <c r="B41" s="42" t="s">
        <v>323</v>
      </c>
      <c r="C41" s="42" t="s">
        <v>320</v>
      </c>
      <c r="D41" s="42">
        <f t="shared" si="5"/>
        <v>10</v>
      </c>
      <c r="E41" s="42">
        <f t="shared" si="6"/>
        <v>30</v>
      </c>
      <c r="F41" s="42">
        <f t="shared" si="2"/>
        <v>20</v>
      </c>
      <c r="G41" s="42">
        <v>60</v>
      </c>
      <c r="H41" s="42">
        <v>65</v>
      </c>
      <c r="I41" s="42">
        <f t="shared" si="3"/>
        <v>1800</v>
      </c>
      <c r="J41" s="42">
        <f t="shared" si="4"/>
        <v>1200</v>
      </c>
    </row>
    <row r="42" spans="1:10" x14ac:dyDescent="0.25">
      <c r="A42" s="39">
        <v>39873</v>
      </c>
      <c r="B42" s="40" t="s">
        <v>315</v>
      </c>
      <c r="C42" s="40" t="s">
        <v>316</v>
      </c>
      <c r="D42" s="40">
        <f t="shared" si="5"/>
        <v>20</v>
      </c>
      <c r="E42" s="40">
        <f t="shared" si="6"/>
        <v>50</v>
      </c>
      <c r="F42" s="40">
        <f t="shared" si="2"/>
        <v>30</v>
      </c>
      <c r="G42" s="40">
        <v>60</v>
      </c>
      <c r="H42" s="40">
        <v>60</v>
      </c>
      <c r="I42" s="40">
        <f t="shared" si="3"/>
        <v>3000</v>
      </c>
      <c r="J42" s="40">
        <f t="shared" si="4"/>
        <v>1800</v>
      </c>
    </row>
    <row r="43" spans="1:10" x14ac:dyDescent="0.25">
      <c r="A43" s="41">
        <v>39873</v>
      </c>
      <c r="B43" s="42" t="s">
        <v>315</v>
      </c>
      <c r="C43" s="42" t="s">
        <v>317</v>
      </c>
      <c r="D43" s="42">
        <f t="shared" si="5"/>
        <v>20</v>
      </c>
      <c r="E43" s="42">
        <f t="shared" si="6"/>
        <v>50</v>
      </c>
      <c r="F43" s="42">
        <f t="shared" si="2"/>
        <v>30</v>
      </c>
      <c r="G43" s="42">
        <v>40</v>
      </c>
      <c r="H43" s="42">
        <v>90</v>
      </c>
      <c r="I43" s="42">
        <f t="shared" si="3"/>
        <v>2000</v>
      </c>
      <c r="J43" s="42">
        <f t="shared" si="4"/>
        <v>1200</v>
      </c>
    </row>
    <row r="44" spans="1:10" x14ac:dyDescent="0.25">
      <c r="A44" s="39">
        <v>39873</v>
      </c>
      <c r="B44" s="40" t="s">
        <v>315</v>
      </c>
      <c r="C44" s="40" t="s">
        <v>318</v>
      </c>
      <c r="D44" s="40">
        <f t="shared" si="5"/>
        <v>20</v>
      </c>
      <c r="E44" s="40">
        <f t="shared" si="6"/>
        <v>50</v>
      </c>
      <c r="F44" s="40">
        <f t="shared" si="2"/>
        <v>30</v>
      </c>
      <c r="G44" s="40">
        <v>120</v>
      </c>
      <c r="H44" s="40">
        <v>50</v>
      </c>
      <c r="I44" s="40">
        <f t="shared" si="3"/>
        <v>6000</v>
      </c>
      <c r="J44" s="40">
        <f t="shared" si="4"/>
        <v>3600</v>
      </c>
    </row>
    <row r="45" spans="1:10" x14ac:dyDescent="0.25">
      <c r="A45" s="41">
        <v>39873</v>
      </c>
      <c r="B45" s="42" t="s">
        <v>315</v>
      </c>
      <c r="C45" s="42" t="s">
        <v>319</v>
      </c>
      <c r="D45" s="42">
        <f t="shared" si="5"/>
        <v>20</v>
      </c>
      <c r="E45" s="42">
        <f t="shared" si="6"/>
        <v>50</v>
      </c>
      <c r="F45" s="42">
        <f t="shared" si="2"/>
        <v>30</v>
      </c>
      <c r="G45" s="42">
        <v>80</v>
      </c>
      <c r="H45" s="42">
        <v>40</v>
      </c>
      <c r="I45" s="42">
        <f t="shared" si="3"/>
        <v>4000</v>
      </c>
      <c r="J45" s="42">
        <f t="shared" si="4"/>
        <v>2400</v>
      </c>
    </row>
    <row r="46" spans="1:10" x14ac:dyDescent="0.25">
      <c r="A46" s="39">
        <v>39873</v>
      </c>
      <c r="B46" s="40" t="s">
        <v>315</v>
      </c>
      <c r="C46" s="40" t="s">
        <v>320</v>
      </c>
      <c r="D46" s="40">
        <f t="shared" si="5"/>
        <v>20</v>
      </c>
      <c r="E46" s="40">
        <f t="shared" si="6"/>
        <v>50</v>
      </c>
      <c r="F46" s="40">
        <f t="shared" si="2"/>
        <v>30</v>
      </c>
      <c r="G46" s="40">
        <v>30</v>
      </c>
      <c r="H46" s="40">
        <v>60</v>
      </c>
      <c r="I46" s="40">
        <f t="shared" si="3"/>
        <v>1500</v>
      </c>
      <c r="J46" s="40">
        <f t="shared" si="4"/>
        <v>900</v>
      </c>
    </row>
    <row r="47" spans="1:10" x14ac:dyDescent="0.25">
      <c r="A47" s="41">
        <v>39873</v>
      </c>
      <c r="B47" s="42" t="s">
        <v>321</v>
      </c>
      <c r="C47" s="42" t="s">
        <v>316</v>
      </c>
      <c r="D47" s="42">
        <f t="shared" si="5"/>
        <v>50</v>
      </c>
      <c r="E47" s="42">
        <f t="shared" si="6"/>
        <v>80</v>
      </c>
      <c r="F47" s="42">
        <f t="shared" si="2"/>
        <v>30</v>
      </c>
      <c r="G47" s="42">
        <v>20</v>
      </c>
      <c r="H47" s="42">
        <v>78</v>
      </c>
      <c r="I47" s="42">
        <f t="shared" si="3"/>
        <v>1600</v>
      </c>
      <c r="J47" s="42">
        <f t="shared" si="4"/>
        <v>600</v>
      </c>
    </row>
    <row r="48" spans="1:10" x14ac:dyDescent="0.25">
      <c r="A48" s="39">
        <v>39873</v>
      </c>
      <c r="B48" s="40" t="s">
        <v>321</v>
      </c>
      <c r="C48" s="40" t="s">
        <v>317</v>
      </c>
      <c r="D48" s="40">
        <f t="shared" si="5"/>
        <v>50</v>
      </c>
      <c r="E48" s="40">
        <f t="shared" si="6"/>
        <v>80</v>
      </c>
      <c r="F48" s="40">
        <f t="shared" si="2"/>
        <v>30</v>
      </c>
      <c r="G48" s="40">
        <v>50</v>
      </c>
      <c r="H48" s="40">
        <v>98</v>
      </c>
      <c r="I48" s="40">
        <f t="shared" si="3"/>
        <v>4000</v>
      </c>
      <c r="J48" s="40">
        <f t="shared" si="4"/>
        <v>1500</v>
      </c>
    </row>
    <row r="49" spans="1:10" x14ac:dyDescent="0.25">
      <c r="A49" s="41">
        <v>39873</v>
      </c>
      <c r="B49" s="42" t="s">
        <v>321</v>
      </c>
      <c r="C49" s="42" t="s">
        <v>318</v>
      </c>
      <c r="D49" s="42">
        <f t="shared" si="5"/>
        <v>50</v>
      </c>
      <c r="E49" s="42">
        <f t="shared" si="6"/>
        <v>80</v>
      </c>
      <c r="F49" s="42">
        <f t="shared" si="2"/>
        <v>30</v>
      </c>
      <c r="G49" s="42">
        <v>80</v>
      </c>
      <c r="H49" s="42">
        <v>65</v>
      </c>
      <c r="I49" s="42">
        <f t="shared" si="3"/>
        <v>6400</v>
      </c>
      <c r="J49" s="42">
        <f t="shared" si="4"/>
        <v>2400</v>
      </c>
    </row>
    <row r="50" spans="1:10" x14ac:dyDescent="0.25">
      <c r="A50" s="39">
        <v>39873</v>
      </c>
      <c r="B50" s="40" t="s">
        <v>321</v>
      </c>
      <c r="C50" s="40" t="s">
        <v>319</v>
      </c>
      <c r="D50" s="40">
        <f t="shared" si="5"/>
        <v>50</v>
      </c>
      <c r="E50" s="40">
        <f t="shared" si="6"/>
        <v>80</v>
      </c>
      <c r="F50" s="40">
        <f t="shared" si="2"/>
        <v>30</v>
      </c>
      <c r="G50" s="40">
        <v>60</v>
      </c>
      <c r="H50" s="40">
        <v>32</v>
      </c>
      <c r="I50" s="40">
        <f t="shared" si="3"/>
        <v>4800</v>
      </c>
      <c r="J50" s="40">
        <f t="shared" si="4"/>
        <v>1800</v>
      </c>
    </row>
    <row r="51" spans="1:10" x14ac:dyDescent="0.25">
      <c r="A51" s="41">
        <v>39873</v>
      </c>
      <c r="B51" s="42" t="s">
        <v>321</v>
      </c>
      <c r="C51" s="42" t="s">
        <v>320</v>
      </c>
      <c r="D51" s="42">
        <f t="shared" si="5"/>
        <v>50</v>
      </c>
      <c r="E51" s="42">
        <f t="shared" si="6"/>
        <v>80</v>
      </c>
      <c r="F51" s="42">
        <f t="shared" si="2"/>
        <v>30</v>
      </c>
      <c r="G51" s="42">
        <v>40</v>
      </c>
      <c r="H51" s="42">
        <v>65</v>
      </c>
      <c r="I51" s="42">
        <f t="shared" si="3"/>
        <v>3200</v>
      </c>
      <c r="J51" s="42">
        <f t="shared" si="4"/>
        <v>1200</v>
      </c>
    </row>
    <row r="52" spans="1:10" x14ac:dyDescent="0.25">
      <c r="A52" s="39">
        <v>39873</v>
      </c>
      <c r="B52" s="40" t="s">
        <v>322</v>
      </c>
      <c r="C52" s="40" t="s">
        <v>316</v>
      </c>
      <c r="D52" s="40">
        <f t="shared" si="5"/>
        <v>60</v>
      </c>
      <c r="E52" s="40">
        <f t="shared" si="6"/>
        <v>70</v>
      </c>
      <c r="F52" s="40">
        <f t="shared" si="2"/>
        <v>10</v>
      </c>
      <c r="G52" s="40">
        <v>10</v>
      </c>
      <c r="H52" s="40">
        <v>4</v>
      </c>
      <c r="I52" s="40">
        <f t="shared" si="3"/>
        <v>700</v>
      </c>
      <c r="J52" s="40">
        <f t="shared" si="4"/>
        <v>100</v>
      </c>
    </row>
    <row r="53" spans="1:10" x14ac:dyDescent="0.25">
      <c r="A53" s="41">
        <v>39873</v>
      </c>
      <c r="B53" s="42" t="s">
        <v>322</v>
      </c>
      <c r="C53" s="42" t="s">
        <v>317</v>
      </c>
      <c r="D53" s="42">
        <f t="shared" si="5"/>
        <v>60</v>
      </c>
      <c r="E53" s="42">
        <f t="shared" si="6"/>
        <v>70</v>
      </c>
      <c r="F53" s="42">
        <f t="shared" si="2"/>
        <v>10</v>
      </c>
      <c r="G53" s="42">
        <v>60</v>
      </c>
      <c r="H53" s="42">
        <v>90</v>
      </c>
      <c r="I53" s="42">
        <f t="shared" si="3"/>
        <v>4200</v>
      </c>
      <c r="J53" s="42">
        <f t="shared" si="4"/>
        <v>600</v>
      </c>
    </row>
    <row r="54" spans="1:10" x14ac:dyDescent="0.25">
      <c r="A54" s="39">
        <v>39873</v>
      </c>
      <c r="B54" s="40" t="s">
        <v>322</v>
      </c>
      <c r="C54" s="40" t="s">
        <v>318</v>
      </c>
      <c r="D54" s="40">
        <f t="shared" si="5"/>
        <v>60</v>
      </c>
      <c r="E54" s="40">
        <f t="shared" si="6"/>
        <v>70</v>
      </c>
      <c r="F54" s="40">
        <f t="shared" si="2"/>
        <v>10</v>
      </c>
      <c r="G54" s="40">
        <v>110</v>
      </c>
      <c r="H54" s="40">
        <v>60</v>
      </c>
      <c r="I54" s="40">
        <f t="shared" si="3"/>
        <v>7700</v>
      </c>
      <c r="J54" s="40">
        <f t="shared" si="4"/>
        <v>1100</v>
      </c>
    </row>
    <row r="55" spans="1:10" x14ac:dyDescent="0.25">
      <c r="A55" s="41">
        <v>39873</v>
      </c>
      <c r="B55" s="42" t="s">
        <v>322</v>
      </c>
      <c r="C55" s="42" t="s">
        <v>319</v>
      </c>
      <c r="D55" s="42">
        <f t="shared" si="5"/>
        <v>60</v>
      </c>
      <c r="E55" s="42">
        <f t="shared" si="6"/>
        <v>70</v>
      </c>
      <c r="F55" s="42">
        <f t="shared" si="2"/>
        <v>10</v>
      </c>
      <c r="G55" s="42">
        <v>40</v>
      </c>
      <c r="H55" s="42">
        <v>65</v>
      </c>
      <c r="I55" s="42">
        <f t="shared" si="3"/>
        <v>2800</v>
      </c>
      <c r="J55" s="42">
        <f t="shared" si="4"/>
        <v>400</v>
      </c>
    </row>
    <row r="56" spans="1:10" x14ac:dyDescent="0.25">
      <c r="A56" s="39">
        <v>39873</v>
      </c>
      <c r="B56" s="40" t="s">
        <v>322</v>
      </c>
      <c r="C56" s="40" t="s">
        <v>320</v>
      </c>
      <c r="D56" s="40">
        <f t="shared" si="5"/>
        <v>60</v>
      </c>
      <c r="E56" s="40">
        <f t="shared" si="6"/>
        <v>70</v>
      </c>
      <c r="F56" s="40">
        <f t="shared" si="2"/>
        <v>10</v>
      </c>
      <c r="G56" s="40">
        <v>50</v>
      </c>
      <c r="H56" s="40">
        <v>32</v>
      </c>
      <c r="I56" s="40">
        <f t="shared" si="3"/>
        <v>3500</v>
      </c>
      <c r="J56" s="40">
        <f t="shared" si="4"/>
        <v>500</v>
      </c>
    </row>
    <row r="57" spans="1:10" x14ac:dyDescent="0.25">
      <c r="A57" s="41">
        <v>39873</v>
      </c>
      <c r="B57" s="42" t="s">
        <v>323</v>
      </c>
      <c r="C57" s="42" t="s">
        <v>316</v>
      </c>
      <c r="D57" s="42">
        <f t="shared" si="5"/>
        <v>10</v>
      </c>
      <c r="E57" s="42">
        <f t="shared" si="6"/>
        <v>30</v>
      </c>
      <c r="F57" s="42">
        <f t="shared" si="2"/>
        <v>20</v>
      </c>
      <c r="G57" s="42">
        <v>30</v>
      </c>
      <c r="H57" s="42">
        <v>32</v>
      </c>
      <c r="I57" s="42">
        <f t="shared" si="3"/>
        <v>900</v>
      </c>
      <c r="J57" s="42">
        <f t="shared" si="4"/>
        <v>600</v>
      </c>
    </row>
    <row r="58" spans="1:10" x14ac:dyDescent="0.25">
      <c r="A58" s="39">
        <v>39873</v>
      </c>
      <c r="B58" s="40" t="s">
        <v>323</v>
      </c>
      <c r="C58" s="40" t="s">
        <v>317</v>
      </c>
      <c r="D58" s="40">
        <f t="shared" si="5"/>
        <v>10</v>
      </c>
      <c r="E58" s="40">
        <f t="shared" si="6"/>
        <v>30</v>
      </c>
      <c r="F58" s="40">
        <f t="shared" si="2"/>
        <v>20</v>
      </c>
      <c r="G58" s="40">
        <v>90</v>
      </c>
      <c r="H58" s="40">
        <v>4</v>
      </c>
      <c r="I58" s="40">
        <f t="shared" si="3"/>
        <v>2700</v>
      </c>
      <c r="J58" s="40">
        <f t="shared" si="4"/>
        <v>1800</v>
      </c>
    </row>
    <row r="59" spans="1:10" x14ac:dyDescent="0.25">
      <c r="A59" s="41">
        <v>39873</v>
      </c>
      <c r="B59" s="42" t="s">
        <v>323</v>
      </c>
      <c r="C59" s="42" t="s">
        <v>318</v>
      </c>
      <c r="D59" s="42">
        <f t="shared" si="5"/>
        <v>10</v>
      </c>
      <c r="E59" s="42">
        <f t="shared" si="6"/>
        <v>30</v>
      </c>
      <c r="F59" s="42">
        <f t="shared" si="2"/>
        <v>20</v>
      </c>
      <c r="G59" s="42">
        <v>115</v>
      </c>
      <c r="H59" s="42">
        <v>5</v>
      </c>
      <c r="I59" s="42">
        <f t="shared" si="3"/>
        <v>3450</v>
      </c>
      <c r="J59" s="42">
        <f t="shared" si="4"/>
        <v>2300</v>
      </c>
    </row>
    <row r="60" spans="1:10" x14ac:dyDescent="0.25">
      <c r="A60" s="39">
        <v>39873</v>
      </c>
      <c r="B60" s="40" t="s">
        <v>323</v>
      </c>
      <c r="C60" s="40" t="s">
        <v>319</v>
      </c>
      <c r="D60" s="40">
        <f t="shared" si="5"/>
        <v>10</v>
      </c>
      <c r="E60" s="40">
        <f t="shared" si="6"/>
        <v>30</v>
      </c>
      <c r="F60" s="40">
        <f t="shared" si="2"/>
        <v>20</v>
      </c>
      <c r="G60" s="40">
        <v>50</v>
      </c>
      <c r="H60" s="40">
        <v>78</v>
      </c>
      <c r="I60" s="40">
        <f t="shared" si="3"/>
        <v>1500</v>
      </c>
      <c r="J60" s="40">
        <f t="shared" si="4"/>
        <v>1000</v>
      </c>
    </row>
    <row r="61" spans="1:10" x14ac:dyDescent="0.25">
      <c r="A61" s="41">
        <v>39873</v>
      </c>
      <c r="B61" s="42" t="s">
        <v>323</v>
      </c>
      <c r="C61" s="42" t="s">
        <v>320</v>
      </c>
      <c r="D61" s="42">
        <f t="shared" si="5"/>
        <v>10</v>
      </c>
      <c r="E61" s="42">
        <f t="shared" si="6"/>
        <v>30</v>
      </c>
      <c r="F61" s="42">
        <f t="shared" si="2"/>
        <v>20</v>
      </c>
      <c r="G61" s="42">
        <v>60</v>
      </c>
      <c r="H61" s="42">
        <v>98</v>
      </c>
      <c r="I61" s="42">
        <f t="shared" si="3"/>
        <v>1800</v>
      </c>
      <c r="J61" s="42">
        <f t="shared" si="4"/>
        <v>1200</v>
      </c>
    </row>
    <row r="62" spans="1:10" x14ac:dyDescent="0.25">
      <c r="A62" s="39">
        <v>39904</v>
      </c>
      <c r="B62" s="40" t="s">
        <v>315</v>
      </c>
      <c r="C62" s="40" t="s">
        <v>316</v>
      </c>
      <c r="D62" s="40">
        <f t="shared" si="5"/>
        <v>20</v>
      </c>
      <c r="E62" s="40">
        <f t="shared" si="6"/>
        <v>50</v>
      </c>
      <c r="F62" s="40">
        <f t="shared" si="2"/>
        <v>30</v>
      </c>
      <c r="G62" s="40">
        <v>55</v>
      </c>
      <c r="H62" s="40">
        <v>50</v>
      </c>
      <c r="I62" s="40">
        <f t="shared" si="3"/>
        <v>2750</v>
      </c>
      <c r="J62" s="40">
        <f t="shared" si="4"/>
        <v>1650</v>
      </c>
    </row>
    <row r="63" spans="1:10" x14ac:dyDescent="0.25">
      <c r="A63" s="41">
        <v>39904</v>
      </c>
      <c r="B63" s="42" t="s">
        <v>315</v>
      </c>
      <c r="C63" s="42" t="s">
        <v>317</v>
      </c>
      <c r="D63" s="42">
        <f t="shared" si="5"/>
        <v>20</v>
      </c>
      <c r="E63" s="42">
        <f t="shared" si="6"/>
        <v>50</v>
      </c>
      <c r="F63" s="42">
        <f t="shared" si="2"/>
        <v>30</v>
      </c>
      <c r="G63" s="42">
        <v>70</v>
      </c>
      <c r="H63" s="42">
        <v>40</v>
      </c>
      <c r="I63" s="42">
        <f t="shared" si="3"/>
        <v>3500</v>
      </c>
      <c r="J63" s="42">
        <f t="shared" si="4"/>
        <v>2100</v>
      </c>
    </row>
    <row r="64" spans="1:10" x14ac:dyDescent="0.25">
      <c r="A64" s="39">
        <v>39904</v>
      </c>
      <c r="B64" s="40" t="s">
        <v>315</v>
      </c>
      <c r="C64" s="40" t="s">
        <v>318</v>
      </c>
      <c r="D64" s="40">
        <f t="shared" si="5"/>
        <v>20</v>
      </c>
      <c r="E64" s="40">
        <f t="shared" si="6"/>
        <v>50</v>
      </c>
      <c r="F64" s="40">
        <f t="shared" si="2"/>
        <v>30</v>
      </c>
      <c r="G64" s="40">
        <v>120</v>
      </c>
      <c r="H64" s="40">
        <v>50</v>
      </c>
      <c r="I64" s="40">
        <f t="shared" si="3"/>
        <v>6000</v>
      </c>
      <c r="J64" s="40">
        <f t="shared" si="4"/>
        <v>3600</v>
      </c>
    </row>
    <row r="65" spans="1:10" x14ac:dyDescent="0.25">
      <c r="A65" s="41">
        <v>39904</v>
      </c>
      <c r="B65" s="42" t="s">
        <v>315</v>
      </c>
      <c r="C65" s="42" t="s">
        <v>319</v>
      </c>
      <c r="D65" s="42">
        <f t="shared" si="5"/>
        <v>20</v>
      </c>
      <c r="E65" s="42">
        <f t="shared" si="6"/>
        <v>50</v>
      </c>
      <c r="F65" s="42">
        <f t="shared" si="2"/>
        <v>30</v>
      </c>
      <c r="G65" s="42">
        <v>89</v>
      </c>
      <c r="H65" s="42">
        <v>60</v>
      </c>
      <c r="I65" s="42">
        <f t="shared" si="3"/>
        <v>4450</v>
      </c>
      <c r="J65" s="42">
        <f t="shared" si="4"/>
        <v>2670</v>
      </c>
    </row>
    <row r="66" spans="1:10" x14ac:dyDescent="0.25">
      <c r="A66" s="39">
        <v>39904</v>
      </c>
      <c r="B66" s="40" t="s">
        <v>315</v>
      </c>
      <c r="C66" s="40" t="s">
        <v>320</v>
      </c>
      <c r="D66" s="40">
        <f t="shared" ref="D66:D97" si="7">VLOOKUP(B66,Product_LUP,2,FALSE)</f>
        <v>20</v>
      </c>
      <c r="E66" s="40">
        <f t="shared" ref="E66:E97" si="8">VLOOKUP(B66,Product_LUP,3,FALSE)</f>
        <v>50</v>
      </c>
      <c r="F66" s="40">
        <f t="shared" si="2"/>
        <v>30</v>
      </c>
      <c r="G66" s="40">
        <v>20</v>
      </c>
      <c r="H66" s="40">
        <v>20</v>
      </c>
      <c r="I66" s="40">
        <f t="shared" si="3"/>
        <v>1000</v>
      </c>
      <c r="J66" s="40">
        <f t="shared" si="4"/>
        <v>600</v>
      </c>
    </row>
    <row r="67" spans="1:10" x14ac:dyDescent="0.25">
      <c r="A67" s="41">
        <v>39904</v>
      </c>
      <c r="B67" s="42" t="s">
        <v>321</v>
      </c>
      <c r="C67" s="42" t="s">
        <v>316</v>
      </c>
      <c r="D67" s="42">
        <f t="shared" si="7"/>
        <v>50</v>
      </c>
      <c r="E67" s="42">
        <f t="shared" si="8"/>
        <v>80</v>
      </c>
      <c r="F67" s="42">
        <f t="shared" ref="F67:F130" si="9">E67-D67</f>
        <v>30</v>
      </c>
      <c r="G67" s="42">
        <v>66</v>
      </c>
      <c r="H67" s="42">
        <v>45</v>
      </c>
      <c r="I67" s="42">
        <f t="shared" ref="I67:I130" si="10">G67*E67</f>
        <v>5280</v>
      </c>
      <c r="J67" s="42">
        <f t="shared" ref="J67:J130" si="11">G67*F67</f>
        <v>1980</v>
      </c>
    </row>
    <row r="68" spans="1:10" x14ac:dyDescent="0.25">
      <c r="A68" s="39">
        <v>39904</v>
      </c>
      <c r="B68" s="40" t="s">
        <v>321</v>
      </c>
      <c r="C68" s="40" t="s">
        <v>317</v>
      </c>
      <c r="D68" s="40">
        <f t="shared" si="7"/>
        <v>50</v>
      </c>
      <c r="E68" s="40">
        <f t="shared" si="8"/>
        <v>80</v>
      </c>
      <c r="F68" s="40">
        <f t="shared" si="9"/>
        <v>30</v>
      </c>
      <c r="G68" s="40">
        <v>50</v>
      </c>
      <c r="H68" s="40">
        <v>12</v>
      </c>
      <c r="I68" s="40">
        <f t="shared" si="10"/>
        <v>4000</v>
      </c>
      <c r="J68" s="40">
        <f t="shared" si="11"/>
        <v>1500</v>
      </c>
    </row>
    <row r="69" spans="1:10" x14ac:dyDescent="0.25">
      <c r="A69" s="41">
        <v>39904</v>
      </c>
      <c r="B69" s="42" t="s">
        <v>321</v>
      </c>
      <c r="C69" s="42" t="s">
        <v>318</v>
      </c>
      <c r="D69" s="42">
        <f t="shared" si="7"/>
        <v>50</v>
      </c>
      <c r="E69" s="42">
        <f t="shared" si="8"/>
        <v>80</v>
      </c>
      <c r="F69" s="42">
        <f t="shared" si="9"/>
        <v>30</v>
      </c>
      <c r="G69" s="42">
        <v>90</v>
      </c>
      <c r="H69" s="42">
        <v>90</v>
      </c>
      <c r="I69" s="42">
        <f t="shared" si="10"/>
        <v>7200</v>
      </c>
      <c r="J69" s="42">
        <f t="shared" si="11"/>
        <v>2700</v>
      </c>
    </row>
    <row r="70" spans="1:10" x14ac:dyDescent="0.25">
      <c r="A70" s="39">
        <v>39904</v>
      </c>
      <c r="B70" s="40" t="s">
        <v>321</v>
      </c>
      <c r="C70" s="40" t="s">
        <v>319</v>
      </c>
      <c r="D70" s="40">
        <f t="shared" si="7"/>
        <v>50</v>
      </c>
      <c r="E70" s="40">
        <f t="shared" si="8"/>
        <v>80</v>
      </c>
      <c r="F70" s="40">
        <f t="shared" si="9"/>
        <v>30</v>
      </c>
      <c r="G70" s="40">
        <v>74</v>
      </c>
      <c r="H70" s="40">
        <v>50</v>
      </c>
      <c r="I70" s="40">
        <f t="shared" si="10"/>
        <v>5920</v>
      </c>
      <c r="J70" s="40">
        <f t="shared" si="11"/>
        <v>2220</v>
      </c>
    </row>
    <row r="71" spans="1:10" x14ac:dyDescent="0.25">
      <c r="A71" s="41">
        <v>39904</v>
      </c>
      <c r="B71" s="42" t="s">
        <v>321</v>
      </c>
      <c r="C71" s="42" t="s">
        <v>320</v>
      </c>
      <c r="D71" s="42">
        <f t="shared" si="7"/>
        <v>50</v>
      </c>
      <c r="E71" s="42">
        <f t="shared" si="8"/>
        <v>80</v>
      </c>
      <c r="F71" s="42">
        <f t="shared" si="9"/>
        <v>30</v>
      </c>
      <c r="G71" s="42">
        <v>40</v>
      </c>
      <c r="H71" s="42">
        <v>60</v>
      </c>
      <c r="I71" s="42">
        <f t="shared" si="10"/>
        <v>3200</v>
      </c>
      <c r="J71" s="42">
        <f t="shared" si="11"/>
        <v>1200</v>
      </c>
    </row>
    <row r="72" spans="1:10" x14ac:dyDescent="0.25">
      <c r="A72" s="39">
        <v>39904</v>
      </c>
      <c r="B72" s="40" t="s">
        <v>322</v>
      </c>
      <c r="C72" s="40" t="s">
        <v>316</v>
      </c>
      <c r="D72" s="40">
        <f t="shared" si="7"/>
        <v>60</v>
      </c>
      <c r="E72" s="40">
        <f t="shared" si="8"/>
        <v>70</v>
      </c>
      <c r="F72" s="40">
        <f t="shared" si="9"/>
        <v>10</v>
      </c>
      <c r="G72" s="40">
        <v>88</v>
      </c>
      <c r="H72" s="40">
        <v>65</v>
      </c>
      <c r="I72" s="40">
        <f t="shared" si="10"/>
        <v>6160</v>
      </c>
      <c r="J72" s="40">
        <f t="shared" si="11"/>
        <v>880</v>
      </c>
    </row>
    <row r="73" spans="1:10" x14ac:dyDescent="0.25">
      <c r="A73" s="41">
        <v>39904</v>
      </c>
      <c r="B73" s="42" t="s">
        <v>322</v>
      </c>
      <c r="C73" s="42" t="s">
        <v>317</v>
      </c>
      <c r="D73" s="42">
        <f t="shared" si="7"/>
        <v>60</v>
      </c>
      <c r="E73" s="42">
        <f t="shared" si="8"/>
        <v>70</v>
      </c>
      <c r="F73" s="42">
        <f t="shared" si="9"/>
        <v>10</v>
      </c>
      <c r="G73" s="42">
        <v>60</v>
      </c>
      <c r="H73" s="42">
        <v>45</v>
      </c>
      <c r="I73" s="42">
        <f t="shared" si="10"/>
        <v>4200</v>
      </c>
      <c r="J73" s="42">
        <f>G73*F73</f>
        <v>600</v>
      </c>
    </row>
    <row r="74" spans="1:10" x14ac:dyDescent="0.25">
      <c r="A74" s="39">
        <v>39904</v>
      </c>
      <c r="B74" s="40" t="s">
        <v>322</v>
      </c>
      <c r="C74" s="40" t="s">
        <v>318</v>
      </c>
      <c r="D74" s="40">
        <f t="shared" si="7"/>
        <v>60</v>
      </c>
      <c r="E74" s="40">
        <f t="shared" si="8"/>
        <v>70</v>
      </c>
      <c r="F74" s="40">
        <f t="shared" si="9"/>
        <v>10</v>
      </c>
      <c r="G74" s="40">
        <v>160</v>
      </c>
      <c r="H74" s="40">
        <v>78</v>
      </c>
      <c r="I74" s="40">
        <f t="shared" si="10"/>
        <v>11200</v>
      </c>
      <c r="J74" s="40">
        <f t="shared" si="11"/>
        <v>1600</v>
      </c>
    </row>
    <row r="75" spans="1:10" x14ac:dyDescent="0.25">
      <c r="A75" s="41">
        <v>39904</v>
      </c>
      <c r="B75" s="42" t="s">
        <v>322</v>
      </c>
      <c r="C75" s="42" t="s">
        <v>319</v>
      </c>
      <c r="D75" s="42">
        <f t="shared" si="7"/>
        <v>60</v>
      </c>
      <c r="E75" s="42">
        <f t="shared" si="8"/>
        <v>70</v>
      </c>
      <c r="F75" s="42">
        <f t="shared" si="9"/>
        <v>10</v>
      </c>
      <c r="G75" s="42">
        <v>56</v>
      </c>
      <c r="H75" s="42">
        <v>98</v>
      </c>
      <c r="I75" s="42">
        <f t="shared" si="10"/>
        <v>3920</v>
      </c>
      <c r="J75" s="42">
        <f t="shared" si="11"/>
        <v>560</v>
      </c>
    </row>
    <row r="76" spans="1:10" x14ac:dyDescent="0.25">
      <c r="A76" s="39">
        <v>39904</v>
      </c>
      <c r="B76" s="40" t="s">
        <v>322</v>
      </c>
      <c r="C76" s="40" t="s">
        <v>320</v>
      </c>
      <c r="D76" s="40">
        <f t="shared" si="7"/>
        <v>60</v>
      </c>
      <c r="E76" s="40">
        <f t="shared" si="8"/>
        <v>70</v>
      </c>
      <c r="F76" s="40">
        <f t="shared" si="9"/>
        <v>10</v>
      </c>
      <c r="G76" s="40">
        <v>30</v>
      </c>
      <c r="H76" s="40">
        <v>65</v>
      </c>
      <c r="I76" s="40">
        <f t="shared" si="10"/>
        <v>2100</v>
      </c>
      <c r="J76" s="40">
        <f t="shared" si="11"/>
        <v>300</v>
      </c>
    </row>
    <row r="77" spans="1:10" x14ac:dyDescent="0.25">
      <c r="A77" s="41">
        <v>39904</v>
      </c>
      <c r="B77" s="42" t="s">
        <v>323</v>
      </c>
      <c r="C77" s="42" t="s">
        <v>316</v>
      </c>
      <c r="D77" s="42">
        <f t="shared" si="7"/>
        <v>10</v>
      </c>
      <c r="E77" s="42">
        <f t="shared" si="8"/>
        <v>30</v>
      </c>
      <c r="F77" s="42">
        <f t="shared" si="9"/>
        <v>20</v>
      </c>
      <c r="G77" s="42">
        <v>55</v>
      </c>
      <c r="H77" s="42">
        <v>65</v>
      </c>
      <c r="I77" s="42">
        <f t="shared" si="10"/>
        <v>1650</v>
      </c>
      <c r="J77" s="42">
        <f t="shared" si="11"/>
        <v>1100</v>
      </c>
    </row>
    <row r="78" spans="1:10" x14ac:dyDescent="0.25">
      <c r="A78" s="39">
        <v>39904</v>
      </c>
      <c r="B78" s="40" t="s">
        <v>323</v>
      </c>
      <c r="C78" s="40" t="s">
        <v>317</v>
      </c>
      <c r="D78" s="40">
        <f t="shared" si="7"/>
        <v>10</v>
      </c>
      <c r="E78" s="40">
        <f t="shared" si="8"/>
        <v>30</v>
      </c>
      <c r="F78" s="40">
        <f t="shared" si="9"/>
        <v>20</v>
      </c>
      <c r="G78" s="40">
        <v>44</v>
      </c>
      <c r="H78" s="40">
        <v>3</v>
      </c>
      <c r="I78" s="40">
        <f t="shared" si="10"/>
        <v>1320</v>
      </c>
      <c r="J78" s="40">
        <f t="shared" si="11"/>
        <v>880</v>
      </c>
    </row>
    <row r="79" spans="1:10" x14ac:dyDescent="0.25">
      <c r="A79" s="41">
        <v>39904</v>
      </c>
      <c r="B79" s="42" t="s">
        <v>323</v>
      </c>
      <c r="C79" s="42" t="s">
        <v>318</v>
      </c>
      <c r="D79" s="42">
        <f t="shared" si="7"/>
        <v>10</v>
      </c>
      <c r="E79" s="42">
        <f t="shared" si="8"/>
        <v>30</v>
      </c>
      <c r="F79" s="42">
        <f t="shared" si="9"/>
        <v>20</v>
      </c>
      <c r="G79" s="42">
        <v>150</v>
      </c>
      <c r="H79" s="42">
        <v>2</v>
      </c>
      <c r="I79" s="42">
        <f t="shared" si="10"/>
        <v>4500</v>
      </c>
      <c r="J79" s="42">
        <f t="shared" si="11"/>
        <v>3000</v>
      </c>
    </row>
    <row r="80" spans="1:10" x14ac:dyDescent="0.25">
      <c r="A80" s="39">
        <v>39904</v>
      </c>
      <c r="B80" s="40" t="s">
        <v>323</v>
      </c>
      <c r="C80" s="40" t="s">
        <v>319</v>
      </c>
      <c r="D80" s="40">
        <f t="shared" si="7"/>
        <v>10</v>
      </c>
      <c r="E80" s="40">
        <f t="shared" si="8"/>
        <v>30</v>
      </c>
      <c r="F80" s="40">
        <f t="shared" si="9"/>
        <v>20</v>
      </c>
      <c r="G80" s="40">
        <v>52</v>
      </c>
      <c r="H80" s="40">
        <v>32</v>
      </c>
      <c r="I80" s="40">
        <f t="shared" si="10"/>
        <v>1560</v>
      </c>
      <c r="J80" s="40">
        <f t="shared" si="11"/>
        <v>1040</v>
      </c>
    </row>
    <row r="81" spans="1:10" x14ac:dyDescent="0.25">
      <c r="A81" s="41">
        <v>39904</v>
      </c>
      <c r="B81" s="42" t="s">
        <v>323</v>
      </c>
      <c r="C81" s="42" t="s">
        <v>320</v>
      </c>
      <c r="D81" s="42">
        <f t="shared" si="7"/>
        <v>10</v>
      </c>
      <c r="E81" s="42">
        <f t="shared" si="8"/>
        <v>30</v>
      </c>
      <c r="F81" s="42">
        <f t="shared" si="9"/>
        <v>20</v>
      </c>
      <c r="G81" s="42">
        <v>20</v>
      </c>
      <c r="H81" s="42">
        <v>50</v>
      </c>
      <c r="I81" s="42">
        <f t="shared" si="10"/>
        <v>600</v>
      </c>
      <c r="J81" s="42">
        <f t="shared" si="11"/>
        <v>400</v>
      </c>
    </row>
    <row r="82" spans="1:10" x14ac:dyDescent="0.25">
      <c r="A82" s="39">
        <v>39934</v>
      </c>
      <c r="B82" s="40" t="s">
        <v>315</v>
      </c>
      <c r="C82" s="40" t="s">
        <v>316</v>
      </c>
      <c r="D82" s="40">
        <f t="shared" si="7"/>
        <v>20</v>
      </c>
      <c r="E82" s="40">
        <f t="shared" si="8"/>
        <v>50</v>
      </c>
      <c r="F82" s="40">
        <f t="shared" si="9"/>
        <v>30</v>
      </c>
      <c r="G82" s="40">
        <v>60</v>
      </c>
      <c r="H82" s="40">
        <v>32</v>
      </c>
      <c r="I82" s="40">
        <f t="shared" si="10"/>
        <v>3000</v>
      </c>
      <c r="J82" s="40">
        <f t="shared" si="11"/>
        <v>1800</v>
      </c>
    </row>
    <row r="83" spans="1:10" x14ac:dyDescent="0.25">
      <c r="A83" s="41">
        <v>39934</v>
      </c>
      <c r="B83" s="42" t="s">
        <v>315</v>
      </c>
      <c r="C83" s="42" t="s">
        <v>317</v>
      </c>
      <c r="D83" s="42">
        <f t="shared" si="7"/>
        <v>20</v>
      </c>
      <c r="E83" s="42">
        <f t="shared" si="8"/>
        <v>50</v>
      </c>
      <c r="F83" s="42">
        <f t="shared" si="9"/>
        <v>30</v>
      </c>
      <c r="G83" s="42">
        <v>70</v>
      </c>
      <c r="H83" s="42">
        <v>52</v>
      </c>
      <c r="I83" s="42">
        <f t="shared" si="10"/>
        <v>3500</v>
      </c>
      <c r="J83" s="42">
        <f t="shared" si="11"/>
        <v>2100</v>
      </c>
    </row>
    <row r="84" spans="1:10" x14ac:dyDescent="0.25">
      <c r="A84" s="39">
        <v>39934</v>
      </c>
      <c r="B84" s="40" t="s">
        <v>315</v>
      </c>
      <c r="C84" s="40" t="s">
        <v>318</v>
      </c>
      <c r="D84" s="40">
        <f t="shared" si="7"/>
        <v>20</v>
      </c>
      <c r="E84" s="40">
        <f t="shared" si="8"/>
        <v>50</v>
      </c>
      <c r="F84" s="40">
        <f t="shared" si="9"/>
        <v>30</v>
      </c>
      <c r="G84" s="40">
        <v>100</v>
      </c>
      <c r="H84" s="40">
        <v>54</v>
      </c>
      <c r="I84" s="40">
        <f t="shared" si="10"/>
        <v>5000</v>
      </c>
      <c r="J84" s="40">
        <f t="shared" si="11"/>
        <v>3000</v>
      </c>
    </row>
    <row r="85" spans="1:10" x14ac:dyDescent="0.25">
      <c r="A85" s="41">
        <v>39934</v>
      </c>
      <c r="B85" s="42" t="s">
        <v>315</v>
      </c>
      <c r="C85" s="42" t="s">
        <v>319</v>
      </c>
      <c r="D85" s="42">
        <f t="shared" si="7"/>
        <v>20</v>
      </c>
      <c r="E85" s="42">
        <f t="shared" si="8"/>
        <v>50</v>
      </c>
      <c r="F85" s="42">
        <f t="shared" si="9"/>
        <v>30</v>
      </c>
      <c r="G85" s="42">
        <v>35</v>
      </c>
      <c r="H85" s="42">
        <v>58</v>
      </c>
      <c r="I85" s="42">
        <f t="shared" si="10"/>
        <v>1750</v>
      </c>
      <c r="J85" s="42">
        <f t="shared" si="11"/>
        <v>1050</v>
      </c>
    </row>
    <row r="86" spans="1:10" x14ac:dyDescent="0.25">
      <c r="A86" s="39">
        <v>39934</v>
      </c>
      <c r="B86" s="40" t="s">
        <v>315</v>
      </c>
      <c r="C86" s="40" t="s">
        <v>320</v>
      </c>
      <c r="D86" s="40">
        <f t="shared" si="7"/>
        <v>20</v>
      </c>
      <c r="E86" s="40">
        <f t="shared" si="8"/>
        <v>50</v>
      </c>
      <c r="F86" s="40">
        <f t="shared" si="9"/>
        <v>30</v>
      </c>
      <c r="G86" s="40">
        <v>10</v>
      </c>
      <c r="H86" s="40">
        <v>65</v>
      </c>
      <c r="I86" s="40">
        <f t="shared" si="10"/>
        <v>500</v>
      </c>
      <c r="J86" s="40">
        <f t="shared" si="11"/>
        <v>300</v>
      </c>
    </row>
    <row r="87" spans="1:10" x14ac:dyDescent="0.25">
      <c r="A87" s="41">
        <v>39934</v>
      </c>
      <c r="B87" s="42" t="s">
        <v>321</v>
      </c>
      <c r="C87" s="42" t="s">
        <v>316</v>
      </c>
      <c r="D87" s="42">
        <f t="shared" si="7"/>
        <v>50</v>
      </c>
      <c r="E87" s="42">
        <f t="shared" si="8"/>
        <v>80</v>
      </c>
      <c r="F87" s="42">
        <f t="shared" si="9"/>
        <v>30</v>
      </c>
      <c r="G87" s="42">
        <v>20</v>
      </c>
      <c r="H87" s="42">
        <v>60</v>
      </c>
      <c r="I87" s="42">
        <f t="shared" si="10"/>
        <v>1600</v>
      </c>
      <c r="J87" s="42">
        <f t="shared" si="11"/>
        <v>600</v>
      </c>
    </row>
    <row r="88" spans="1:10" x14ac:dyDescent="0.25">
      <c r="A88" s="39">
        <v>39934</v>
      </c>
      <c r="B88" s="40" t="s">
        <v>321</v>
      </c>
      <c r="C88" s="40" t="s">
        <v>317</v>
      </c>
      <c r="D88" s="40">
        <f t="shared" si="7"/>
        <v>50</v>
      </c>
      <c r="E88" s="40">
        <f t="shared" si="8"/>
        <v>80</v>
      </c>
      <c r="F88" s="40">
        <f t="shared" si="9"/>
        <v>30</v>
      </c>
      <c r="G88" s="40">
        <v>80</v>
      </c>
      <c r="H88" s="40">
        <v>56</v>
      </c>
      <c r="I88" s="40">
        <f t="shared" si="10"/>
        <v>6400</v>
      </c>
      <c r="J88" s="40">
        <f t="shared" si="11"/>
        <v>2400</v>
      </c>
    </row>
    <row r="89" spans="1:10" x14ac:dyDescent="0.25">
      <c r="A89" s="41">
        <v>39934</v>
      </c>
      <c r="B89" s="42" t="s">
        <v>321</v>
      </c>
      <c r="C89" s="42" t="s">
        <v>318</v>
      </c>
      <c r="D89" s="42">
        <f t="shared" si="7"/>
        <v>50</v>
      </c>
      <c r="E89" s="42">
        <f t="shared" si="8"/>
        <v>80</v>
      </c>
      <c r="F89" s="42">
        <f t="shared" si="9"/>
        <v>30</v>
      </c>
      <c r="G89" s="42">
        <v>90</v>
      </c>
      <c r="H89" s="42">
        <v>65</v>
      </c>
      <c r="I89" s="42">
        <f t="shared" si="10"/>
        <v>7200</v>
      </c>
      <c r="J89" s="42">
        <f t="shared" si="11"/>
        <v>2700</v>
      </c>
    </row>
    <row r="90" spans="1:10" x14ac:dyDescent="0.25">
      <c r="A90" s="39">
        <v>39934</v>
      </c>
      <c r="B90" s="40" t="s">
        <v>321</v>
      </c>
      <c r="C90" s="40" t="s">
        <v>319</v>
      </c>
      <c r="D90" s="40">
        <f t="shared" si="7"/>
        <v>50</v>
      </c>
      <c r="E90" s="40">
        <f t="shared" si="8"/>
        <v>80</v>
      </c>
      <c r="F90" s="40">
        <f t="shared" si="9"/>
        <v>30</v>
      </c>
      <c r="G90" s="40">
        <v>98</v>
      </c>
      <c r="H90" s="40">
        <v>89</v>
      </c>
      <c r="I90" s="40">
        <f t="shared" si="10"/>
        <v>7840</v>
      </c>
      <c r="J90" s="40">
        <f t="shared" si="11"/>
        <v>2940</v>
      </c>
    </row>
    <row r="91" spans="1:10" x14ac:dyDescent="0.25">
      <c r="A91" s="41">
        <v>39934</v>
      </c>
      <c r="B91" s="42" t="s">
        <v>321</v>
      </c>
      <c r="C91" s="42" t="s">
        <v>320</v>
      </c>
      <c r="D91" s="42">
        <f t="shared" si="7"/>
        <v>50</v>
      </c>
      <c r="E91" s="42">
        <f t="shared" si="8"/>
        <v>80</v>
      </c>
      <c r="F91" s="42">
        <f t="shared" si="9"/>
        <v>30</v>
      </c>
      <c r="G91" s="42">
        <v>20</v>
      </c>
      <c r="H91" s="42">
        <v>8</v>
      </c>
      <c r="I91" s="42">
        <f t="shared" si="10"/>
        <v>1600</v>
      </c>
      <c r="J91" s="42">
        <f t="shared" si="11"/>
        <v>600</v>
      </c>
    </row>
    <row r="92" spans="1:10" x14ac:dyDescent="0.25">
      <c r="A92" s="39">
        <v>39934</v>
      </c>
      <c r="B92" s="40" t="s">
        <v>322</v>
      </c>
      <c r="C92" s="40" t="s">
        <v>316</v>
      </c>
      <c r="D92" s="40">
        <f t="shared" si="7"/>
        <v>60</v>
      </c>
      <c r="E92" s="40">
        <f t="shared" si="8"/>
        <v>70</v>
      </c>
      <c r="F92" s="40">
        <f t="shared" si="9"/>
        <v>10</v>
      </c>
      <c r="G92" s="40">
        <v>30</v>
      </c>
      <c r="H92" s="40">
        <v>45</v>
      </c>
      <c r="I92" s="40">
        <f t="shared" si="10"/>
        <v>2100</v>
      </c>
      <c r="J92" s="40">
        <f t="shared" si="11"/>
        <v>300</v>
      </c>
    </row>
    <row r="93" spans="1:10" x14ac:dyDescent="0.25">
      <c r="A93" s="41">
        <v>39934</v>
      </c>
      <c r="B93" s="42" t="s">
        <v>322</v>
      </c>
      <c r="C93" s="42" t="s">
        <v>317</v>
      </c>
      <c r="D93" s="42">
        <f t="shared" si="7"/>
        <v>60</v>
      </c>
      <c r="E93" s="42">
        <f t="shared" si="8"/>
        <v>70</v>
      </c>
      <c r="F93" s="42">
        <f t="shared" si="9"/>
        <v>10</v>
      </c>
      <c r="G93" s="42">
        <v>90</v>
      </c>
      <c r="H93" s="42">
        <v>12</v>
      </c>
      <c r="I93" s="42">
        <f t="shared" si="10"/>
        <v>6300</v>
      </c>
      <c r="J93" s="42">
        <f t="shared" si="11"/>
        <v>900</v>
      </c>
    </row>
    <row r="94" spans="1:10" x14ac:dyDescent="0.25">
      <c r="A94" s="39">
        <v>39934</v>
      </c>
      <c r="B94" s="40" t="s">
        <v>322</v>
      </c>
      <c r="C94" s="40" t="s">
        <v>318</v>
      </c>
      <c r="D94" s="40">
        <f t="shared" si="7"/>
        <v>60</v>
      </c>
      <c r="E94" s="40">
        <f t="shared" si="8"/>
        <v>70</v>
      </c>
      <c r="F94" s="40">
        <f t="shared" si="9"/>
        <v>10</v>
      </c>
      <c r="G94" s="40">
        <v>130</v>
      </c>
      <c r="H94" s="40">
        <v>32</v>
      </c>
      <c r="I94" s="40">
        <f t="shared" si="10"/>
        <v>9100</v>
      </c>
      <c r="J94" s="40">
        <f t="shared" si="11"/>
        <v>1300</v>
      </c>
    </row>
    <row r="95" spans="1:10" x14ac:dyDescent="0.25">
      <c r="A95" s="41">
        <v>39934</v>
      </c>
      <c r="B95" s="42" t="s">
        <v>322</v>
      </c>
      <c r="C95" s="42" t="s">
        <v>319</v>
      </c>
      <c r="D95" s="42">
        <f t="shared" si="7"/>
        <v>60</v>
      </c>
      <c r="E95" s="42">
        <f t="shared" si="8"/>
        <v>70</v>
      </c>
      <c r="F95" s="42">
        <f t="shared" si="9"/>
        <v>10</v>
      </c>
      <c r="G95" s="42">
        <v>65</v>
      </c>
      <c r="H95" s="42">
        <v>45</v>
      </c>
      <c r="I95" s="42">
        <f t="shared" si="10"/>
        <v>4550</v>
      </c>
      <c r="J95" s="42">
        <f t="shared" si="11"/>
        <v>650</v>
      </c>
    </row>
    <row r="96" spans="1:10" x14ac:dyDescent="0.25">
      <c r="A96" s="39">
        <v>39934</v>
      </c>
      <c r="B96" s="40" t="s">
        <v>322</v>
      </c>
      <c r="C96" s="40" t="s">
        <v>320</v>
      </c>
      <c r="D96" s="40">
        <f t="shared" si="7"/>
        <v>60</v>
      </c>
      <c r="E96" s="40">
        <f t="shared" si="8"/>
        <v>70</v>
      </c>
      <c r="F96" s="40">
        <f t="shared" si="9"/>
        <v>10</v>
      </c>
      <c r="G96" s="40">
        <v>50</v>
      </c>
      <c r="H96" s="40">
        <v>65</v>
      </c>
      <c r="I96" s="40">
        <f t="shared" si="10"/>
        <v>3500</v>
      </c>
      <c r="J96" s="40">
        <f t="shared" si="11"/>
        <v>500</v>
      </c>
    </row>
    <row r="97" spans="1:10" x14ac:dyDescent="0.25">
      <c r="A97" s="41">
        <v>39934</v>
      </c>
      <c r="B97" s="42" t="s">
        <v>323</v>
      </c>
      <c r="C97" s="42" t="s">
        <v>316</v>
      </c>
      <c r="D97" s="42">
        <f t="shared" si="7"/>
        <v>10</v>
      </c>
      <c r="E97" s="42">
        <f t="shared" si="8"/>
        <v>30</v>
      </c>
      <c r="F97" s="42">
        <f t="shared" si="9"/>
        <v>20</v>
      </c>
      <c r="G97" s="42">
        <v>10</v>
      </c>
      <c r="H97" s="42">
        <v>2</v>
      </c>
      <c r="I97" s="42">
        <f t="shared" si="10"/>
        <v>300</v>
      </c>
      <c r="J97" s="42">
        <f t="shared" si="11"/>
        <v>200</v>
      </c>
    </row>
    <row r="98" spans="1:10" x14ac:dyDescent="0.25">
      <c r="A98" s="39">
        <v>39934</v>
      </c>
      <c r="B98" s="40" t="s">
        <v>323</v>
      </c>
      <c r="C98" s="40" t="s">
        <v>317</v>
      </c>
      <c r="D98" s="40">
        <f t="shared" ref="D98:D129" si="12">VLOOKUP(B98,Product_LUP,2,FALSE)</f>
        <v>10</v>
      </c>
      <c r="E98" s="40">
        <f t="shared" ref="E98:E129" si="13">VLOOKUP(B98,Product_LUP,3,FALSE)</f>
        <v>30</v>
      </c>
      <c r="F98" s="40">
        <f t="shared" si="9"/>
        <v>20</v>
      </c>
      <c r="G98" s="40">
        <v>60</v>
      </c>
      <c r="H98" s="40">
        <v>20</v>
      </c>
      <c r="I98" s="40">
        <f t="shared" si="10"/>
        <v>1800</v>
      </c>
      <c r="J98" s="40">
        <f t="shared" si="11"/>
        <v>1200</v>
      </c>
    </row>
    <row r="99" spans="1:10" x14ac:dyDescent="0.25">
      <c r="A99" s="41">
        <v>39934</v>
      </c>
      <c r="B99" s="42" t="s">
        <v>323</v>
      </c>
      <c r="C99" s="42" t="s">
        <v>318</v>
      </c>
      <c r="D99" s="42">
        <f t="shared" si="12"/>
        <v>10</v>
      </c>
      <c r="E99" s="42">
        <f t="shared" si="13"/>
        <v>30</v>
      </c>
      <c r="F99" s="42">
        <f t="shared" si="9"/>
        <v>20</v>
      </c>
      <c r="G99" s="42">
        <v>140</v>
      </c>
      <c r="H99" s="42">
        <v>4</v>
      </c>
      <c r="I99" s="42">
        <f t="shared" si="10"/>
        <v>4200</v>
      </c>
      <c r="J99" s="42">
        <f t="shared" si="11"/>
        <v>2800</v>
      </c>
    </row>
    <row r="100" spans="1:10" x14ac:dyDescent="0.25">
      <c r="A100" s="39">
        <v>39934</v>
      </c>
      <c r="B100" s="40" t="s">
        <v>323</v>
      </c>
      <c r="C100" s="40" t="s">
        <v>319</v>
      </c>
      <c r="D100" s="40">
        <f t="shared" si="12"/>
        <v>10</v>
      </c>
      <c r="E100" s="40">
        <f t="shared" si="13"/>
        <v>30</v>
      </c>
      <c r="F100" s="40">
        <f t="shared" si="9"/>
        <v>20</v>
      </c>
      <c r="G100" s="40">
        <v>45</v>
      </c>
      <c r="H100" s="40">
        <v>60</v>
      </c>
      <c r="I100" s="40">
        <f t="shared" si="10"/>
        <v>1350</v>
      </c>
      <c r="J100" s="40">
        <f t="shared" si="11"/>
        <v>900</v>
      </c>
    </row>
    <row r="101" spans="1:10" x14ac:dyDescent="0.25">
      <c r="A101" s="41">
        <v>39934</v>
      </c>
      <c r="B101" s="42" t="s">
        <v>323</v>
      </c>
      <c r="C101" s="42" t="s">
        <v>320</v>
      </c>
      <c r="D101" s="42">
        <f t="shared" si="12"/>
        <v>10</v>
      </c>
      <c r="E101" s="42">
        <f t="shared" si="13"/>
        <v>30</v>
      </c>
      <c r="F101" s="42">
        <f t="shared" si="9"/>
        <v>20</v>
      </c>
      <c r="G101" s="42">
        <v>30</v>
      </c>
      <c r="H101" s="42">
        <v>30</v>
      </c>
      <c r="I101" s="42">
        <f t="shared" si="10"/>
        <v>900</v>
      </c>
      <c r="J101" s="42">
        <f t="shared" si="11"/>
        <v>600</v>
      </c>
    </row>
    <row r="102" spans="1:10" x14ac:dyDescent="0.25">
      <c r="A102" s="39">
        <v>39965</v>
      </c>
      <c r="B102" s="40" t="s">
        <v>315</v>
      </c>
      <c r="C102" s="40" t="s">
        <v>316</v>
      </c>
      <c r="D102" s="40">
        <f t="shared" si="12"/>
        <v>20</v>
      </c>
      <c r="E102" s="40">
        <f t="shared" si="13"/>
        <v>50</v>
      </c>
      <c r="F102" s="40">
        <f t="shared" si="9"/>
        <v>30</v>
      </c>
      <c r="G102" s="40">
        <v>40</v>
      </c>
      <c r="H102" s="40">
        <v>95</v>
      </c>
      <c r="I102" s="40">
        <f t="shared" si="10"/>
        <v>2000</v>
      </c>
      <c r="J102" s="40">
        <f t="shared" si="11"/>
        <v>1200</v>
      </c>
    </row>
    <row r="103" spans="1:10" x14ac:dyDescent="0.25">
      <c r="A103" s="41">
        <v>39965</v>
      </c>
      <c r="B103" s="42" t="s">
        <v>315</v>
      </c>
      <c r="C103" s="42" t="s">
        <v>317</v>
      </c>
      <c r="D103" s="42">
        <f t="shared" si="12"/>
        <v>20</v>
      </c>
      <c r="E103" s="42">
        <f t="shared" si="13"/>
        <v>50</v>
      </c>
      <c r="F103" s="42">
        <f t="shared" si="9"/>
        <v>30</v>
      </c>
      <c r="G103" s="42">
        <v>65</v>
      </c>
      <c r="H103" s="42">
        <v>25</v>
      </c>
      <c r="I103" s="42">
        <f t="shared" si="10"/>
        <v>3250</v>
      </c>
      <c r="J103" s="42">
        <f t="shared" si="11"/>
        <v>1950</v>
      </c>
    </row>
    <row r="104" spans="1:10" x14ac:dyDescent="0.25">
      <c r="A104" s="39">
        <v>39965</v>
      </c>
      <c r="B104" s="40" t="s">
        <v>315</v>
      </c>
      <c r="C104" s="40" t="s">
        <v>318</v>
      </c>
      <c r="D104" s="40">
        <f t="shared" si="12"/>
        <v>20</v>
      </c>
      <c r="E104" s="40">
        <f t="shared" si="13"/>
        <v>50</v>
      </c>
      <c r="F104" s="40">
        <f t="shared" si="9"/>
        <v>30</v>
      </c>
      <c r="G104" s="40">
        <v>100</v>
      </c>
      <c r="H104" s="40">
        <v>63</v>
      </c>
      <c r="I104" s="40">
        <f t="shared" si="10"/>
        <v>5000</v>
      </c>
      <c r="J104" s="40">
        <f t="shared" si="11"/>
        <v>3000</v>
      </c>
    </row>
    <row r="105" spans="1:10" x14ac:dyDescent="0.25">
      <c r="A105" s="41">
        <v>39965</v>
      </c>
      <c r="B105" s="42" t="s">
        <v>315</v>
      </c>
      <c r="C105" s="42" t="s">
        <v>319</v>
      </c>
      <c r="D105" s="42">
        <f t="shared" si="12"/>
        <v>20</v>
      </c>
      <c r="E105" s="42">
        <f t="shared" si="13"/>
        <v>50</v>
      </c>
      <c r="F105" s="42">
        <f t="shared" si="9"/>
        <v>30</v>
      </c>
      <c r="G105" s="42">
        <v>75</v>
      </c>
      <c r="H105" s="42">
        <v>44</v>
      </c>
      <c r="I105" s="42">
        <f t="shared" si="10"/>
        <v>3750</v>
      </c>
      <c r="J105" s="42">
        <f t="shared" si="11"/>
        <v>2250</v>
      </c>
    </row>
    <row r="106" spans="1:10" x14ac:dyDescent="0.25">
      <c r="A106" s="39">
        <v>39965</v>
      </c>
      <c r="B106" s="40" t="s">
        <v>315</v>
      </c>
      <c r="C106" s="40" t="s">
        <v>320</v>
      </c>
      <c r="D106" s="40">
        <f t="shared" si="12"/>
        <v>20</v>
      </c>
      <c r="E106" s="40">
        <f t="shared" si="13"/>
        <v>50</v>
      </c>
      <c r="F106" s="40">
        <f t="shared" si="9"/>
        <v>30</v>
      </c>
      <c r="G106" s="40">
        <v>40</v>
      </c>
      <c r="H106" s="40">
        <v>55</v>
      </c>
      <c r="I106" s="40">
        <f t="shared" si="10"/>
        <v>2000</v>
      </c>
      <c r="J106" s="40">
        <f t="shared" si="11"/>
        <v>1200</v>
      </c>
    </row>
    <row r="107" spans="1:10" x14ac:dyDescent="0.25">
      <c r="A107" s="41">
        <v>39965</v>
      </c>
      <c r="B107" s="42" t="s">
        <v>321</v>
      </c>
      <c r="C107" s="42" t="s">
        <v>316</v>
      </c>
      <c r="D107" s="42">
        <f t="shared" si="12"/>
        <v>50</v>
      </c>
      <c r="E107" s="42">
        <f t="shared" si="13"/>
        <v>80</v>
      </c>
      <c r="F107" s="42">
        <f t="shared" si="9"/>
        <v>30</v>
      </c>
      <c r="G107" s="42">
        <v>50</v>
      </c>
      <c r="H107" s="42">
        <v>75</v>
      </c>
      <c r="I107" s="42">
        <f t="shared" si="10"/>
        <v>4000</v>
      </c>
      <c r="J107" s="42">
        <f t="shared" si="11"/>
        <v>1500</v>
      </c>
    </row>
    <row r="108" spans="1:10" x14ac:dyDescent="0.25">
      <c r="A108" s="39">
        <v>39965</v>
      </c>
      <c r="B108" s="40" t="s">
        <v>321</v>
      </c>
      <c r="C108" s="40" t="s">
        <v>317</v>
      </c>
      <c r="D108" s="40">
        <f t="shared" si="12"/>
        <v>50</v>
      </c>
      <c r="E108" s="40">
        <f t="shared" si="13"/>
        <v>80</v>
      </c>
      <c r="F108" s="40">
        <f t="shared" si="9"/>
        <v>30</v>
      </c>
      <c r="G108" s="40">
        <v>78</v>
      </c>
      <c r="H108" s="40">
        <v>50</v>
      </c>
      <c r="I108" s="40">
        <f t="shared" si="10"/>
        <v>6240</v>
      </c>
      <c r="J108" s="40">
        <f t="shared" si="11"/>
        <v>2340</v>
      </c>
    </row>
    <row r="109" spans="1:10" x14ac:dyDescent="0.25">
      <c r="A109" s="41">
        <v>39965</v>
      </c>
      <c r="B109" s="42" t="s">
        <v>321</v>
      </c>
      <c r="C109" s="42" t="s">
        <v>318</v>
      </c>
      <c r="D109" s="42">
        <f t="shared" si="12"/>
        <v>50</v>
      </c>
      <c r="E109" s="42">
        <f t="shared" si="13"/>
        <v>80</v>
      </c>
      <c r="F109" s="42">
        <f t="shared" si="9"/>
        <v>30</v>
      </c>
      <c r="G109" s="42">
        <v>98</v>
      </c>
      <c r="H109" s="42">
        <v>60</v>
      </c>
      <c r="I109" s="42">
        <f t="shared" si="10"/>
        <v>7840</v>
      </c>
      <c r="J109" s="42">
        <f t="shared" si="11"/>
        <v>2940</v>
      </c>
    </row>
    <row r="110" spans="1:10" x14ac:dyDescent="0.25">
      <c r="A110" s="39">
        <v>39965</v>
      </c>
      <c r="B110" s="40" t="s">
        <v>321</v>
      </c>
      <c r="C110" s="40" t="s">
        <v>319</v>
      </c>
      <c r="D110" s="40">
        <f t="shared" si="12"/>
        <v>50</v>
      </c>
      <c r="E110" s="40">
        <f t="shared" si="13"/>
        <v>80</v>
      </c>
      <c r="F110" s="40">
        <f t="shared" si="9"/>
        <v>30</v>
      </c>
      <c r="G110" s="40">
        <v>85</v>
      </c>
      <c r="H110" s="40">
        <v>70</v>
      </c>
      <c r="I110" s="40">
        <f t="shared" si="10"/>
        <v>6800</v>
      </c>
      <c r="J110" s="40">
        <f t="shared" si="11"/>
        <v>2550</v>
      </c>
    </row>
    <row r="111" spans="1:10" x14ac:dyDescent="0.25">
      <c r="A111" s="41">
        <v>39965</v>
      </c>
      <c r="B111" s="42" t="s">
        <v>321</v>
      </c>
      <c r="C111" s="42" t="s">
        <v>320</v>
      </c>
      <c r="D111" s="42">
        <f t="shared" si="12"/>
        <v>50</v>
      </c>
      <c r="E111" s="42">
        <f t="shared" si="13"/>
        <v>80</v>
      </c>
      <c r="F111" s="42">
        <f t="shared" si="9"/>
        <v>30</v>
      </c>
      <c r="G111" s="42">
        <v>20</v>
      </c>
      <c r="H111" s="42">
        <v>60</v>
      </c>
      <c r="I111" s="42">
        <f t="shared" si="10"/>
        <v>1600</v>
      </c>
      <c r="J111" s="42">
        <f t="shared" si="11"/>
        <v>600</v>
      </c>
    </row>
    <row r="112" spans="1:10" x14ac:dyDescent="0.25">
      <c r="A112" s="39">
        <v>39965</v>
      </c>
      <c r="B112" s="40" t="s">
        <v>322</v>
      </c>
      <c r="C112" s="40" t="s">
        <v>316</v>
      </c>
      <c r="D112" s="40">
        <f t="shared" si="12"/>
        <v>60</v>
      </c>
      <c r="E112" s="40">
        <f t="shared" si="13"/>
        <v>70</v>
      </c>
      <c r="F112" s="40">
        <f t="shared" si="9"/>
        <v>10</v>
      </c>
      <c r="G112" s="40">
        <v>60</v>
      </c>
      <c r="H112" s="40">
        <v>32</v>
      </c>
      <c r="I112" s="40">
        <f t="shared" si="10"/>
        <v>4200</v>
      </c>
      <c r="J112" s="40">
        <f t="shared" si="11"/>
        <v>600</v>
      </c>
    </row>
    <row r="113" spans="1:10" x14ac:dyDescent="0.25">
      <c r="A113" s="41">
        <v>39965</v>
      </c>
      <c r="B113" s="42" t="s">
        <v>322</v>
      </c>
      <c r="C113" s="42" t="s">
        <v>317</v>
      </c>
      <c r="D113" s="42">
        <f t="shared" si="12"/>
        <v>60</v>
      </c>
      <c r="E113" s="42">
        <f t="shared" si="13"/>
        <v>70</v>
      </c>
      <c r="F113" s="42">
        <f t="shared" si="9"/>
        <v>10</v>
      </c>
      <c r="G113" s="42">
        <v>40</v>
      </c>
      <c r="H113" s="42">
        <v>89</v>
      </c>
      <c r="I113" s="42">
        <f t="shared" si="10"/>
        <v>2800</v>
      </c>
      <c r="J113" s="42">
        <f t="shared" si="11"/>
        <v>400</v>
      </c>
    </row>
    <row r="114" spans="1:10" x14ac:dyDescent="0.25">
      <c r="A114" s="39">
        <v>39965</v>
      </c>
      <c r="B114" s="40" t="s">
        <v>322</v>
      </c>
      <c r="C114" s="40" t="s">
        <v>318</v>
      </c>
      <c r="D114" s="40">
        <f t="shared" si="12"/>
        <v>60</v>
      </c>
      <c r="E114" s="40">
        <f t="shared" si="13"/>
        <v>70</v>
      </c>
      <c r="F114" s="40">
        <f t="shared" si="9"/>
        <v>10</v>
      </c>
      <c r="G114" s="40">
        <v>65</v>
      </c>
      <c r="H114" s="40">
        <v>54</v>
      </c>
      <c r="I114" s="40">
        <f t="shared" si="10"/>
        <v>4550</v>
      </c>
      <c r="J114" s="40">
        <f t="shared" si="11"/>
        <v>650</v>
      </c>
    </row>
    <row r="115" spans="1:10" x14ac:dyDescent="0.25">
      <c r="A115" s="41">
        <v>39965</v>
      </c>
      <c r="B115" s="42" t="s">
        <v>322</v>
      </c>
      <c r="C115" s="42" t="s">
        <v>319</v>
      </c>
      <c r="D115" s="42">
        <f t="shared" si="12"/>
        <v>60</v>
      </c>
      <c r="E115" s="42">
        <f t="shared" si="13"/>
        <v>70</v>
      </c>
      <c r="F115" s="42">
        <f t="shared" si="9"/>
        <v>10</v>
      </c>
      <c r="G115" s="42">
        <v>95</v>
      </c>
      <c r="H115" s="42">
        <v>87</v>
      </c>
      <c r="I115" s="42">
        <f t="shared" si="10"/>
        <v>6650</v>
      </c>
      <c r="J115" s="42">
        <f t="shared" si="11"/>
        <v>950</v>
      </c>
    </row>
    <row r="116" spans="1:10" x14ac:dyDescent="0.25">
      <c r="A116" s="39">
        <v>39965</v>
      </c>
      <c r="B116" s="40" t="s">
        <v>322</v>
      </c>
      <c r="C116" s="40" t="s">
        <v>320</v>
      </c>
      <c r="D116" s="40">
        <f t="shared" si="12"/>
        <v>60</v>
      </c>
      <c r="E116" s="40">
        <f t="shared" si="13"/>
        <v>70</v>
      </c>
      <c r="F116" s="40">
        <f t="shared" si="9"/>
        <v>10</v>
      </c>
      <c r="G116" s="40">
        <v>30</v>
      </c>
      <c r="H116" s="40">
        <v>65</v>
      </c>
      <c r="I116" s="40">
        <f t="shared" si="10"/>
        <v>2100</v>
      </c>
      <c r="J116" s="40">
        <f t="shared" si="11"/>
        <v>300</v>
      </c>
    </row>
    <row r="117" spans="1:10" x14ac:dyDescent="0.25">
      <c r="A117" s="41">
        <v>39965</v>
      </c>
      <c r="B117" s="42" t="s">
        <v>323</v>
      </c>
      <c r="C117" s="42" t="s">
        <v>316</v>
      </c>
      <c r="D117" s="42">
        <f t="shared" si="12"/>
        <v>10</v>
      </c>
      <c r="E117" s="42">
        <f t="shared" si="13"/>
        <v>30</v>
      </c>
      <c r="F117" s="42">
        <f t="shared" si="9"/>
        <v>20</v>
      </c>
      <c r="G117" s="42">
        <v>20</v>
      </c>
      <c r="H117" s="42">
        <v>40</v>
      </c>
      <c r="I117" s="42">
        <f t="shared" si="10"/>
        <v>600</v>
      </c>
      <c r="J117" s="42">
        <f t="shared" si="11"/>
        <v>400</v>
      </c>
    </row>
    <row r="118" spans="1:10" x14ac:dyDescent="0.25">
      <c r="A118" s="39">
        <v>39965</v>
      </c>
      <c r="B118" s="40" t="s">
        <v>323</v>
      </c>
      <c r="C118" s="40" t="s">
        <v>317</v>
      </c>
      <c r="D118" s="40">
        <f t="shared" si="12"/>
        <v>10</v>
      </c>
      <c r="E118" s="40">
        <f t="shared" si="13"/>
        <v>30</v>
      </c>
      <c r="F118" s="40">
        <f t="shared" si="9"/>
        <v>20</v>
      </c>
      <c r="G118" s="40">
        <v>50</v>
      </c>
      <c r="H118" s="40">
        <v>50</v>
      </c>
      <c r="I118" s="40">
        <f t="shared" si="10"/>
        <v>1500</v>
      </c>
      <c r="J118" s="40">
        <f t="shared" si="11"/>
        <v>1000</v>
      </c>
    </row>
    <row r="119" spans="1:10" x14ac:dyDescent="0.25">
      <c r="A119" s="41">
        <v>39965</v>
      </c>
      <c r="B119" s="42" t="s">
        <v>323</v>
      </c>
      <c r="C119" s="42" t="s">
        <v>318</v>
      </c>
      <c r="D119" s="42">
        <f t="shared" si="12"/>
        <v>10</v>
      </c>
      <c r="E119" s="42">
        <f t="shared" si="13"/>
        <v>30</v>
      </c>
      <c r="F119" s="42">
        <f t="shared" si="9"/>
        <v>20</v>
      </c>
      <c r="G119" s="42">
        <v>50</v>
      </c>
      <c r="H119" s="42">
        <v>60</v>
      </c>
      <c r="I119" s="42">
        <f t="shared" si="10"/>
        <v>1500</v>
      </c>
      <c r="J119" s="42">
        <f t="shared" si="11"/>
        <v>1000</v>
      </c>
    </row>
    <row r="120" spans="1:10" x14ac:dyDescent="0.25">
      <c r="A120" s="39">
        <v>39965</v>
      </c>
      <c r="B120" s="40" t="s">
        <v>323</v>
      </c>
      <c r="C120" s="40" t="s">
        <v>319</v>
      </c>
      <c r="D120" s="40">
        <f t="shared" si="12"/>
        <v>10</v>
      </c>
      <c r="E120" s="40">
        <f t="shared" si="13"/>
        <v>30</v>
      </c>
      <c r="F120" s="40">
        <f t="shared" si="9"/>
        <v>20</v>
      </c>
      <c r="G120" s="40">
        <v>54</v>
      </c>
      <c r="H120" s="40">
        <v>90</v>
      </c>
      <c r="I120" s="40">
        <f t="shared" si="10"/>
        <v>1620</v>
      </c>
      <c r="J120" s="40">
        <f t="shared" si="11"/>
        <v>1080</v>
      </c>
    </row>
    <row r="121" spans="1:10" x14ac:dyDescent="0.25">
      <c r="A121" s="41">
        <v>39965</v>
      </c>
      <c r="B121" s="42" t="s">
        <v>323</v>
      </c>
      <c r="C121" s="42" t="s">
        <v>320</v>
      </c>
      <c r="D121" s="42">
        <f t="shared" si="12"/>
        <v>10</v>
      </c>
      <c r="E121" s="42">
        <f t="shared" si="13"/>
        <v>30</v>
      </c>
      <c r="F121" s="42">
        <f t="shared" si="9"/>
        <v>20</v>
      </c>
      <c r="G121" s="42">
        <v>20</v>
      </c>
      <c r="H121" s="42">
        <v>80</v>
      </c>
      <c r="I121" s="42">
        <f t="shared" si="10"/>
        <v>600</v>
      </c>
      <c r="J121" s="42">
        <f t="shared" si="11"/>
        <v>400</v>
      </c>
    </row>
    <row r="122" spans="1:10" x14ac:dyDescent="0.25">
      <c r="A122" s="39">
        <v>39995</v>
      </c>
      <c r="B122" s="40" t="s">
        <v>315</v>
      </c>
      <c r="C122" s="40" t="s">
        <v>316</v>
      </c>
      <c r="D122" s="40">
        <f t="shared" si="12"/>
        <v>20</v>
      </c>
      <c r="E122" s="40">
        <f t="shared" si="13"/>
        <v>50</v>
      </c>
      <c r="F122" s="40">
        <f t="shared" si="9"/>
        <v>30</v>
      </c>
      <c r="G122" s="40">
        <v>90</v>
      </c>
      <c r="H122" s="40">
        <v>21</v>
      </c>
      <c r="I122" s="40">
        <f t="shared" si="10"/>
        <v>4500</v>
      </c>
      <c r="J122" s="40">
        <f t="shared" si="11"/>
        <v>2700</v>
      </c>
    </row>
    <row r="123" spans="1:10" x14ac:dyDescent="0.25">
      <c r="A123" s="41">
        <v>39995</v>
      </c>
      <c r="B123" s="42" t="s">
        <v>315</v>
      </c>
      <c r="C123" s="42" t="s">
        <v>317</v>
      </c>
      <c r="D123" s="42">
        <f t="shared" si="12"/>
        <v>20</v>
      </c>
      <c r="E123" s="42">
        <f t="shared" si="13"/>
        <v>50</v>
      </c>
      <c r="F123" s="42">
        <f t="shared" si="9"/>
        <v>30</v>
      </c>
      <c r="G123" s="42">
        <v>80</v>
      </c>
      <c r="H123" s="42">
        <v>20</v>
      </c>
      <c r="I123" s="42">
        <f t="shared" si="10"/>
        <v>4000</v>
      </c>
      <c r="J123" s="42">
        <f t="shared" si="11"/>
        <v>2400</v>
      </c>
    </row>
    <row r="124" spans="1:10" x14ac:dyDescent="0.25">
      <c r="A124" s="39">
        <v>39995</v>
      </c>
      <c r="B124" s="40" t="s">
        <v>315</v>
      </c>
      <c r="C124" s="40" t="s">
        <v>318</v>
      </c>
      <c r="D124" s="40">
        <f t="shared" si="12"/>
        <v>20</v>
      </c>
      <c r="E124" s="40">
        <f t="shared" si="13"/>
        <v>50</v>
      </c>
      <c r="F124" s="40">
        <f t="shared" si="9"/>
        <v>30</v>
      </c>
      <c r="G124" s="40">
        <v>80</v>
      </c>
      <c r="H124" s="40">
        <v>80</v>
      </c>
      <c r="I124" s="40">
        <f t="shared" si="10"/>
        <v>4000</v>
      </c>
      <c r="J124" s="40">
        <f t="shared" si="11"/>
        <v>2400</v>
      </c>
    </row>
    <row r="125" spans="1:10" x14ac:dyDescent="0.25">
      <c r="A125" s="41">
        <v>39995</v>
      </c>
      <c r="B125" s="42" t="s">
        <v>315</v>
      </c>
      <c r="C125" s="42" t="s">
        <v>319</v>
      </c>
      <c r="D125" s="42">
        <f t="shared" si="12"/>
        <v>20</v>
      </c>
      <c r="E125" s="42">
        <f t="shared" si="13"/>
        <v>50</v>
      </c>
      <c r="F125" s="42">
        <f t="shared" si="9"/>
        <v>30</v>
      </c>
      <c r="G125" s="42">
        <v>89</v>
      </c>
      <c r="H125" s="42">
        <v>90</v>
      </c>
      <c r="I125" s="42">
        <f t="shared" si="10"/>
        <v>4450</v>
      </c>
      <c r="J125" s="42">
        <f t="shared" si="11"/>
        <v>2670</v>
      </c>
    </row>
    <row r="126" spans="1:10" x14ac:dyDescent="0.25">
      <c r="A126" s="39">
        <v>39995</v>
      </c>
      <c r="B126" s="40" t="s">
        <v>315</v>
      </c>
      <c r="C126" s="40" t="s">
        <v>320</v>
      </c>
      <c r="D126" s="40">
        <f t="shared" si="12"/>
        <v>20</v>
      </c>
      <c r="E126" s="40">
        <f t="shared" si="13"/>
        <v>50</v>
      </c>
      <c r="F126" s="40">
        <f t="shared" si="9"/>
        <v>30</v>
      </c>
      <c r="G126" s="40">
        <v>10</v>
      </c>
      <c r="H126" s="40">
        <v>20</v>
      </c>
      <c r="I126" s="40">
        <f t="shared" si="10"/>
        <v>500</v>
      </c>
      <c r="J126" s="40">
        <f t="shared" si="11"/>
        <v>300</v>
      </c>
    </row>
    <row r="127" spans="1:10" x14ac:dyDescent="0.25">
      <c r="A127" s="41">
        <v>39995</v>
      </c>
      <c r="B127" s="42" t="s">
        <v>321</v>
      </c>
      <c r="C127" s="42" t="s">
        <v>316</v>
      </c>
      <c r="D127" s="42">
        <f t="shared" si="12"/>
        <v>50</v>
      </c>
      <c r="E127" s="42">
        <f t="shared" si="13"/>
        <v>80</v>
      </c>
      <c r="F127" s="42">
        <f t="shared" si="9"/>
        <v>30</v>
      </c>
      <c r="G127" s="42">
        <v>20</v>
      </c>
      <c r="H127" s="42">
        <v>50</v>
      </c>
      <c r="I127" s="42">
        <f t="shared" si="10"/>
        <v>1600</v>
      </c>
      <c r="J127" s="42">
        <f t="shared" si="11"/>
        <v>600</v>
      </c>
    </row>
    <row r="128" spans="1:10" x14ac:dyDescent="0.25">
      <c r="A128" s="39">
        <v>39995</v>
      </c>
      <c r="B128" s="40" t="s">
        <v>321</v>
      </c>
      <c r="C128" s="40" t="s">
        <v>317</v>
      </c>
      <c r="D128" s="40">
        <f t="shared" si="12"/>
        <v>50</v>
      </c>
      <c r="E128" s="40">
        <f t="shared" si="13"/>
        <v>80</v>
      </c>
      <c r="F128" s="40">
        <f t="shared" si="9"/>
        <v>30</v>
      </c>
      <c r="G128" s="40">
        <v>90</v>
      </c>
      <c r="H128" s="40">
        <v>20</v>
      </c>
      <c r="I128" s="40">
        <f t="shared" si="10"/>
        <v>7200</v>
      </c>
      <c r="J128" s="40">
        <f t="shared" si="11"/>
        <v>2700</v>
      </c>
    </row>
    <row r="129" spans="1:10" x14ac:dyDescent="0.25">
      <c r="A129" s="41">
        <v>39995</v>
      </c>
      <c r="B129" s="42" t="s">
        <v>321</v>
      </c>
      <c r="C129" s="42" t="s">
        <v>318</v>
      </c>
      <c r="D129" s="42">
        <f t="shared" si="12"/>
        <v>50</v>
      </c>
      <c r="E129" s="42">
        <f t="shared" si="13"/>
        <v>80</v>
      </c>
      <c r="F129" s="42">
        <f t="shared" si="9"/>
        <v>30</v>
      </c>
      <c r="G129" s="42">
        <v>90</v>
      </c>
      <c r="H129" s="42">
        <v>30</v>
      </c>
      <c r="I129" s="42">
        <f t="shared" si="10"/>
        <v>7200</v>
      </c>
      <c r="J129" s="42">
        <f t="shared" si="11"/>
        <v>2700</v>
      </c>
    </row>
    <row r="130" spans="1:10" x14ac:dyDescent="0.25">
      <c r="A130" s="39">
        <v>39995</v>
      </c>
      <c r="B130" s="40" t="s">
        <v>321</v>
      </c>
      <c r="C130" s="40" t="s">
        <v>319</v>
      </c>
      <c r="D130" s="40">
        <f t="shared" ref="D130:D141" si="14">VLOOKUP(B130,Product_LUP,2,FALSE)</f>
        <v>50</v>
      </c>
      <c r="E130" s="40">
        <f t="shared" ref="E130:E141" si="15">VLOOKUP(B130,Product_LUP,3,FALSE)</f>
        <v>80</v>
      </c>
      <c r="F130" s="40">
        <f t="shared" si="9"/>
        <v>30</v>
      </c>
      <c r="G130" s="40">
        <v>62</v>
      </c>
      <c r="H130" s="40">
        <v>40</v>
      </c>
      <c r="I130" s="40">
        <f t="shared" si="10"/>
        <v>4960</v>
      </c>
      <c r="J130" s="40">
        <f t="shared" si="11"/>
        <v>1860</v>
      </c>
    </row>
    <row r="131" spans="1:10" x14ac:dyDescent="0.25">
      <c r="A131" s="41">
        <v>39995</v>
      </c>
      <c r="B131" s="42" t="s">
        <v>321</v>
      </c>
      <c r="C131" s="42" t="s">
        <v>320</v>
      </c>
      <c r="D131" s="42">
        <f t="shared" si="14"/>
        <v>50</v>
      </c>
      <c r="E131" s="42">
        <f t="shared" si="15"/>
        <v>80</v>
      </c>
      <c r="F131" s="42">
        <f t="shared" ref="F131:F141" si="16">E131-D131</f>
        <v>30</v>
      </c>
      <c r="G131" s="42">
        <v>10</v>
      </c>
      <c r="H131" s="42">
        <v>50</v>
      </c>
      <c r="I131" s="42">
        <f t="shared" ref="I131:I141" si="17">G131*E131</f>
        <v>800</v>
      </c>
      <c r="J131" s="42">
        <f t="shared" ref="J131:J141" si="18">G131*F131</f>
        <v>300</v>
      </c>
    </row>
    <row r="132" spans="1:10" x14ac:dyDescent="0.25">
      <c r="A132" s="39">
        <v>39995</v>
      </c>
      <c r="B132" s="40" t="s">
        <v>322</v>
      </c>
      <c r="C132" s="40" t="s">
        <v>316</v>
      </c>
      <c r="D132" s="40">
        <f t="shared" si="14"/>
        <v>60</v>
      </c>
      <c r="E132" s="40">
        <f t="shared" si="15"/>
        <v>70</v>
      </c>
      <c r="F132" s="40">
        <f t="shared" si="16"/>
        <v>10</v>
      </c>
      <c r="G132" s="40">
        <v>30</v>
      </c>
      <c r="H132" s="40">
        <v>97</v>
      </c>
      <c r="I132" s="40">
        <f t="shared" si="17"/>
        <v>2100</v>
      </c>
      <c r="J132" s="40">
        <f t="shared" si="18"/>
        <v>300</v>
      </c>
    </row>
    <row r="133" spans="1:10" x14ac:dyDescent="0.25">
      <c r="A133" s="41">
        <v>39995</v>
      </c>
      <c r="B133" s="42" t="s">
        <v>322</v>
      </c>
      <c r="C133" s="42" t="s">
        <v>317</v>
      </c>
      <c r="D133" s="42">
        <f t="shared" si="14"/>
        <v>60</v>
      </c>
      <c r="E133" s="42">
        <f t="shared" si="15"/>
        <v>70</v>
      </c>
      <c r="F133" s="42">
        <f t="shared" si="16"/>
        <v>10</v>
      </c>
      <c r="G133" s="42">
        <v>74</v>
      </c>
      <c r="H133" s="42">
        <v>6</v>
      </c>
      <c r="I133" s="42">
        <f t="shared" si="17"/>
        <v>5180</v>
      </c>
      <c r="J133" s="42">
        <f t="shared" si="18"/>
        <v>740</v>
      </c>
    </row>
    <row r="134" spans="1:10" x14ac:dyDescent="0.25">
      <c r="A134" s="39">
        <v>39995</v>
      </c>
      <c r="B134" s="40" t="s">
        <v>322</v>
      </c>
      <c r="C134" s="40" t="s">
        <v>318</v>
      </c>
      <c r="D134" s="40">
        <f t="shared" si="14"/>
        <v>60</v>
      </c>
      <c r="E134" s="40">
        <f t="shared" si="15"/>
        <v>70</v>
      </c>
      <c r="F134" s="40">
        <f t="shared" si="16"/>
        <v>10</v>
      </c>
      <c r="G134" s="40">
        <v>80</v>
      </c>
      <c r="H134" s="40">
        <v>50</v>
      </c>
      <c r="I134" s="40">
        <f t="shared" si="17"/>
        <v>5600</v>
      </c>
      <c r="J134" s="40">
        <f t="shared" si="18"/>
        <v>800</v>
      </c>
    </row>
    <row r="135" spans="1:10" x14ac:dyDescent="0.25">
      <c r="A135" s="41">
        <v>39995</v>
      </c>
      <c r="B135" s="42" t="s">
        <v>322</v>
      </c>
      <c r="C135" s="42" t="s">
        <v>319</v>
      </c>
      <c r="D135" s="42">
        <f t="shared" si="14"/>
        <v>60</v>
      </c>
      <c r="E135" s="42">
        <f t="shared" si="15"/>
        <v>70</v>
      </c>
      <c r="F135" s="42">
        <f t="shared" si="16"/>
        <v>10</v>
      </c>
      <c r="G135" s="42">
        <v>45</v>
      </c>
      <c r="H135" s="42">
        <v>40</v>
      </c>
      <c r="I135" s="42">
        <f t="shared" si="17"/>
        <v>3150</v>
      </c>
      <c r="J135" s="42">
        <f t="shared" si="18"/>
        <v>450</v>
      </c>
    </row>
    <row r="136" spans="1:10" x14ac:dyDescent="0.25">
      <c r="A136" s="39">
        <v>39995</v>
      </c>
      <c r="B136" s="40" t="s">
        <v>322</v>
      </c>
      <c r="C136" s="40" t="s">
        <v>320</v>
      </c>
      <c r="D136" s="40">
        <f t="shared" si="14"/>
        <v>60</v>
      </c>
      <c r="E136" s="40">
        <f t="shared" si="15"/>
        <v>70</v>
      </c>
      <c r="F136" s="40">
        <f t="shared" si="16"/>
        <v>10</v>
      </c>
      <c r="G136" s="40">
        <v>20</v>
      </c>
      <c r="H136" s="40">
        <v>21</v>
      </c>
      <c r="I136" s="40">
        <f t="shared" si="17"/>
        <v>1400</v>
      </c>
      <c r="J136" s="40">
        <f t="shared" si="18"/>
        <v>200</v>
      </c>
    </row>
    <row r="137" spans="1:10" x14ac:dyDescent="0.25">
      <c r="A137" s="41">
        <v>39995</v>
      </c>
      <c r="B137" s="42" t="s">
        <v>323</v>
      </c>
      <c r="C137" s="42" t="s">
        <v>316</v>
      </c>
      <c r="D137" s="42">
        <f t="shared" si="14"/>
        <v>10</v>
      </c>
      <c r="E137" s="42">
        <f t="shared" si="15"/>
        <v>30</v>
      </c>
      <c r="F137" s="42">
        <f t="shared" si="16"/>
        <v>20</v>
      </c>
      <c r="G137" s="42">
        <v>40</v>
      </c>
      <c r="H137" s="42">
        <v>50</v>
      </c>
      <c r="I137" s="42">
        <f t="shared" si="17"/>
        <v>1200</v>
      </c>
      <c r="J137" s="42">
        <f t="shared" si="18"/>
        <v>800</v>
      </c>
    </row>
    <row r="138" spans="1:10" x14ac:dyDescent="0.25">
      <c r="A138" s="39">
        <v>39995</v>
      </c>
      <c r="B138" s="40" t="s">
        <v>323</v>
      </c>
      <c r="C138" s="40" t="s">
        <v>317</v>
      </c>
      <c r="D138" s="40">
        <f t="shared" si="14"/>
        <v>10</v>
      </c>
      <c r="E138" s="40">
        <f t="shared" si="15"/>
        <v>30</v>
      </c>
      <c r="F138" s="40">
        <f t="shared" si="16"/>
        <v>20</v>
      </c>
      <c r="G138" s="40">
        <v>60</v>
      </c>
      <c r="H138" s="40">
        <v>45</v>
      </c>
      <c r="I138" s="40">
        <f t="shared" si="17"/>
        <v>1800</v>
      </c>
      <c r="J138" s="40">
        <f t="shared" si="18"/>
        <v>1200</v>
      </c>
    </row>
    <row r="139" spans="1:10" x14ac:dyDescent="0.25">
      <c r="A139" s="41">
        <v>39995</v>
      </c>
      <c r="B139" s="42" t="s">
        <v>323</v>
      </c>
      <c r="C139" s="42" t="s">
        <v>318</v>
      </c>
      <c r="D139" s="42">
        <f t="shared" si="14"/>
        <v>10</v>
      </c>
      <c r="E139" s="42">
        <f t="shared" si="15"/>
        <v>30</v>
      </c>
      <c r="F139" s="42">
        <f t="shared" si="16"/>
        <v>20</v>
      </c>
      <c r="G139" s="42">
        <v>40</v>
      </c>
      <c r="H139" s="42">
        <v>32</v>
      </c>
      <c r="I139" s="42">
        <f t="shared" si="17"/>
        <v>1200</v>
      </c>
      <c r="J139" s="42">
        <f t="shared" si="18"/>
        <v>800</v>
      </c>
    </row>
    <row r="140" spans="1:10" x14ac:dyDescent="0.25">
      <c r="A140" s="39">
        <v>39995</v>
      </c>
      <c r="B140" s="40" t="s">
        <v>323</v>
      </c>
      <c r="C140" s="40" t="s">
        <v>319</v>
      </c>
      <c r="D140" s="40">
        <f t="shared" si="14"/>
        <v>10</v>
      </c>
      <c r="E140" s="40">
        <f t="shared" si="15"/>
        <v>30</v>
      </c>
      <c r="F140" s="40">
        <f t="shared" si="16"/>
        <v>20</v>
      </c>
      <c r="G140" s="40">
        <v>75</v>
      </c>
      <c r="H140" s="40">
        <v>12</v>
      </c>
      <c r="I140" s="40">
        <f t="shared" si="17"/>
        <v>2250</v>
      </c>
      <c r="J140" s="40">
        <f t="shared" si="18"/>
        <v>1500</v>
      </c>
    </row>
    <row r="141" spans="1:10" x14ac:dyDescent="0.25">
      <c r="A141" s="41">
        <v>39995</v>
      </c>
      <c r="B141" s="42" t="s">
        <v>323</v>
      </c>
      <c r="C141" s="42" t="s">
        <v>320</v>
      </c>
      <c r="D141" s="42">
        <f t="shared" si="14"/>
        <v>10</v>
      </c>
      <c r="E141" s="42">
        <f t="shared" si="15"/>
        <v>30</v>
      </c>
      <c r="F141" s="42">
        <f t="shared" si="16"/>
        <v>20</v>
      </c>
      <c r="G141" s="42">
        <v>10</v>
      </c>
      <c r="H141" s="42">
        <v>1</v>
      </c>
      <c r="I141" s="42">
        <f t="shared" si="17"/>
        <v>300</v>
      </c>
      <c r="J141" s="42">
        <f t="shared" si="18"/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4"/>
  <sheetViews>
    <sheetView workbookViewId="0">
      <selection activeCell="J2" sqref="J2"/>
    </sheetView>
  </sheetViews>
  <sheetFormatPr defaultRowHeight="15" x14ac:dyDescent="0.25"/>
  <cols>
    <col min="1" max="1" width="14.85546875" bestFit="1" customWidth="1"/>
    <col min="3" max="3" width="10.7109375" bestFit="1" customWidth="1"/>
    <col min="5" max="5" width="14.7109375" bestFit="1" customWidth="1"/>
    <col min="7" max="7" width="10.85546875" bestFit="1" customWidth="1"/>
    <col min="9" max="9" width="11" bestFit="1" customWidth="1"/>
    <col min="10" max="10" width="12.7109375" bestFit="1" customWidth="1"/>
  </cols>
  <sheetData>
    <row r="1" spans="1:10" x14ac:dyDescent="0.25">
      <c r="A1" t="s">
        <v>324</v>
      </c>
      <c r="C1" t="s">
        <v>335</v>
      </c>
      <c r="E1" t="s">
        <v>333</v>
      </c>
      <c r="G1" t="s">
        <v>337</v>
      </c>
      <c r="I1" t="s">
        <v>339</v>
      </c>
    </row>
    <row r="2" spans="1:10" x14ac:dyDescent="0.25">
      <c r="A2" t="s">
        <v>325</v>
      </c>
      <c r="C2" t="s">
        <v>334</v>
      </c>
      <c r="E2" t="s">
        <v>336</v>
      </c>
      <c r="G2" t="s">
        <v>338</v>
      </c>
      <c r="I2" s="1" t="s">
        <v>311</v>
      </c>
      <c r="J2" s="1" t="s">
        <v>340</v>
      </c>
    </row>
    <row r="3" spans="1:10" x14ac:dyDescent="0.25">
      <c r="A3" t="s">
        <v>326</v>
      </c>
      <c r="C3" t="s">
        <v>315</v>
      </c>
      <c r="E3" t="s">
        <v>316</v>
      </c>
      <c r="G3" s="43">
        <v>39814</v>
      </c>
      <c r="I3" s="1" t="s">
        <v>341</v>
      </c>
      <c r="J3" s="1" t="s">
        <v>341</v>
      </c>
    </row>
    <row r="4" spans="1:10" x14ac:dyDescent="0.25">
      <c r="A4" t="s">
        <v>327</v>
      </c>
      <c r="C4" t="s">
        <v>321</v>
      </c>
      <c r="E4" t="s">
        <v>317</v>
      </c>
      <c r="G4" s="43">
        <v>39845</v>
      </c>
      <c r="I4" s="1" t="s">
        <v>349</v>
      </c>
      <c r="J4" s="1" t="s">
        <v>342</v>
      </c>
    </row>
    <row r="5" spans="1:10" x14ac:dyDescent="0.25">
      <c r="A5" t="s">
        <v>328</v>
      </c>
      <c r="C5" t="s">
        <v>322</v>
      </c>
      <c r="E5" t="s">
        <v>318</v>
      </c>
      <c r="G5" s="43">
        <v>39873</v>
      </c>
      <c r="I5" s="47" t="s">
        <v>312</v>
      </c>
      <c r="J5" s="1" t="s">
        <v>343</v>
      </c>
    </row>
    <row r="6" spans="1:10" x14ac:dyDescent="0.25">
      <c r="A6" t="s">
        <v>329</v>
      </c>
      <c r="C6" t="s">
        <v>323</v>
      </c>
      <c r="E6" t="s">
        <v>319</v>
      </c>
      <c r="G6" s="43">
        <v>39904</v>
      </c>
    </row>
    <row r="7" spans="1:10" x14ac:dyDescent="0.25">
      <c r="A7" t="s">
        <v>330</v>
      </c>
      <c r="E7" t="s">
        <v>320</v>
      </c>
      <c r="G7" s="43">
        <v>39934</v>
      </c>
    </row>
    <row r="8" spans="1:10" x14ac:dyDescent="0.25">
      <c r="A8" t="s">
        <v>331</v>
      </c>
      <c r="G8" s="43">
        <v>39965</v>
      </c>
    </row>
    <row r="9" spans="1:10" x14ac:dyDescent="0.25">
      <c r="A9" t="s">
        <v>332</v>
      </c>
      <c r="G9" s="43">
        <v>39995</v>
      </c>
    </row>
    <row r="10" spans="1:10" x14ac:dyDescent="0.25">
      <c r="G10" s="43">
        <v>40026</v>
      </c>
    </row>
    <row r="11" spans="1:10" x14ac:dyDescent="0.25">
      <c r="G11" s="43">
        <v>40057</v>
      </c>
    </row>
    <row r="12" spans="1:10" x14ac:dyDescent="0.25">
      <c r="G12" s="43">
        <v>40087</v>
      </c>
    </row>
    <row r="13" spans="1:10" x14ac:dyDescent="0.25">
      <c r="G13" s="43">
        <v>40118</v>
      </c>
    </row>
    <row r="14" spans="1:10" x14ac:dyDescent="0.25">
      <c r="G14" s="43">
        <v>40148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H30"/>
  <sheetViews>
    <sheetView showGridLines="0" workbookViewId="0">
      <selection activeCell="B2" sqref="B2"/>
    </sheetView>
  </sheetViews>
  <sheetFormatPr defaultRowHeight="15" x14ac:dyDescent="0.25"/>
  <cols>
    <col min="2" max="2" width="13.85546875" bestFit="1" customWidth="1"/>
    <col min="3" max="3" width="10.7109375" bestFit="1" customWidth="1"/>
    <col min="6" max="6" width="12.7109375" customWidth="1"/>
    <col min="7" max="7" width="12.42578125" customWidth="1"/>
  </cols>
  <sheetData>
    <row r="1" spans="2:6" x14ac:dyDescent="0.25">
      <c r="B1" s="48" t="s">
        <v>351</v>
      </c>
    </row>
    <row r="2" spans="2:6" x14ac:dyDescent="0.25">
      <c r="B2" t="str">
        <f>VLOOKUP($C$21,KPI_Name,2,FALSE)&amp;" "&amp;"For"&amp;" "&amp;C19&amp;"-"&amp;TEXT(C20,"mmm-yy")</f>
        <v>Total-GP For Product C-May-09</v>
      </c>
    </row>
    <row r="15" spans="2:6" x14ac:dyDescent="0.25">
      <c r="F15" s="49"/>
    </row>
    <row r="19" spans="2:8" x14ac:dyDescent="0.25">
      <c r="B19" s="51" t="s">
        <v>344</v>
      </c>
      <c r="C19" s="22" t="s">
        <v>322</v>
      </c>
    </row>
    <row r="20" spans="2:8" x14ac:dyDescent="0.25">
      <c r="B20" s="51" t="s">
        <v>305</v>
      </c>
      <c r="C20" s="52">
        <v>39934</v>
      </c>
    </row>
    <row r="21" spans="2:8" x14ac:dyDescent="0.25">
      <c r="B21" s="51" t="s">
        <v>343</v>
      </c>
      <c r="C21" s="22" t="s">
        <v>349</v>
      </c>
    </row>
    <row r="23" spans="2:8" ht="25.5" x14ac:dyDescent="0.25">
      <c r="B23" s="44" t="s">
        <v>307</v>
      </c>
      <c r="C23" s="45"/>
      <c r="D23" s="44" t="s">
        <v>345</v>
      </c>
      <c r="E23" s="44" t="s">
        <v>346</v>
      </c>
      <c r="F23" s="44" t="s">
        <v>347</v>
      </c>
      <c r="G23" s="44" t="s">
        <v>348</v>
      </c>
      <c r="H23" s="45"/>
    </row>
    <row r="24" spans="2:8" x14ac:dyDescent="0.25">
      <c r="B24" s="46" t="s">
        <v>316</v>
      </c>
      <c r="C24" s="22">
        <f ca="1">IF(AND($C$19="All Product",$C$20="YTD"),G24,IF(AND($C$19="All Product",$C$20&lt;&gt;"YTD"),F24,IF(AND($C$19&lt;&gt;"All Produt",$C$20="YTD"),E24,D24)))</f>
        <v>300</v>
      </c>
      <c r="D24" s="22">
        <f ca="1">SUMIFS(INDIRECT($C$21),Sales_Per,B24,Product,$C$19,Period,$C$20)</f>
        <v>300</v>
      </c>
      <c r="E24" s="22">
        <f ca="1">SUMIFS(INDIRECT($C$21),Sales_Per,B24,Product,$C$19)</f>
        <v>2980</v>
      </c>
      <c r="F24" s="22">
        <f ca="1">SUMIFS(INDIRECT($C$21),Sales_Per,B24,Period,$C$20)</f>
        <v>2900</v>
      </c>
      <c r="G24" s="22">
        <f ca="1">SUMIFS(INDIRECT($C$21),Sales_Per,B24)</f>
        <v>24910</v>
      </c>
      <c r="H24" s="25">
        <f ca="1">G24/$G$30</f>
        <v>0.13096051732295882</v>
      </c>
    </row>
    <row r="25" spans="2:8" x14ac:dyDescent="0.25">
      <c r="B25" s="46" t="s">
        <v>317</v>
      </c>
      <c r="C25" s="22">
        <f t="shared" ref="C25:C28" ca="1" si="0">IF(AND($C$19="All Product",$C$20="YTD"),G25,IF(AND($C$19="All Product",$C$20&lt;&gt;"YTD"),F25,IF(AND($C$19&lt;&gt;"All Produt",$C$20="YTD"),E25,D25)))</f>
        <v>900</v>
      </c>
      <c r="D25" s="22">
        <f ca="1">SUMIFS(INDIRECT($C$21),Sales_Per,B25,Product,$C$19,Period,$C$20)</f>
        <v>900</v>
      </c>
      <c r="E25" s="22">
        <f ca="1">SUMIFS(INDIRECT($C$21),Sales_Per,B25,Product,$C$19)</f>
        <v>4940</v>
      </c>
      <c r="F25" s="22">
        <f ca="1">SUMIFS(INDIRECT($C$21),Sales_Per,B25,Period,$C$20)</f>
        <v>6600</v>
      </c>
      <c r="G25" s="22">
        <f ca="1">SUMIFS(INDIRECT($C$21),Sales_Per,B25)</f>
        <v>40510</v>
      </c>
      <c r="H25" s="25">
        <f t="shared" ref="H25:H28" ca="1" si="1">G25/$G$30</f>
        <v>0.21297513274801536</v>
      </c>
    </row>
    <row r="26" spans="2:8" x14ac:dyDescent="0.25">
      <c r="B26" s="46" t="s">
        <v>318</v>
      </c>
      <c r="C26" s="22">
        <f t="shared" ca="1" si="0"/>
        <v>1300</v>
      </c>
      <c r="D26" s="22">
        <f ca="1">SUMIFS(INDIRECT($C$21),Sales_Per,B26,Product,$C$19,Period,$C$20)</f>
        <v>1300</v>
      </c>
      <c r="E26" s="22">
        <f ca="1">SUMIFS(INDIRECT($C$21),Sales_Per,B26,Product,$C$19)</f>
        <v>7610</v>
      </c>
      <c r="F26" s="22">
        <f ca="1">SUMIFS(INDIRECT($C$21),Sales_Per,B26,Period,$C$20)</f>
        <v>9800</v>
      </c>
      <c r="G26" s="22">
        <f ca="1">SUMIFS(INDIRECT($C$21),Sales_Per,B26)</f>
        <v>60850</v>
      </c>
      <c r="H26" s="25">
        <f t="shared" ca="1" si="1"/>
        <v>0.31990957362914674</v>
      </c>
    </row>
    <row r="27" spans="2:8" x14ac:dyDescent="0.25">
      <c r="B27" s="46" t="s">
        <v>319</v>
      </c>
      <c r="C27" s="22">
        <f t="shared" ca="1" si="0"/>
        <v>650</v>
      </c>
      <c r="D27" s="22">
        <f ca="1">SUMIFS(INDIRECT($C$21),Sales_Per,B27,Product,$C$19,Period,$C$20)</f>
        <v>650</v>
      </c>
      <c r="E27" s="22">
        <f ca="1">SUMIFS(INDIRECT($C$21),Sales_Per,B27,Product,$C$19)</f>
        <v>3810</v>
      </c>
      <c r="F27" s="22">
        <f ca="1">SUMIFS(INDIRECT($C$21),Sales_Per,B27,Period,$C$20)</f>
        <v>5540</v>
      </c>
      <c r="G27" s="22">
        <f ca="1">SUMIFS(INDIRECT($C$21),Sales_Per,B27)</f>
        <v>41840</v>
      </c>
      <c r="H27" s="25">
        <f t="shared" ca="1" si="1"/>
        <v>0.21996740444771568</v>
      </c>
    </row>
    <row r="28" spans="2:8" x14ac:dyDescent="0.25">
      <c r="B28" s="46" t="s">
        <v>320</v>
      </c>
      <c r="C28" s="22">
        <f t="shared" ca="1" si="0"/>
        <v>500</v>
      </c>
      <c r="D28" s="22">
        <f ca="1">SUMIFS(INDIRECT($C$21),Sales_Per,B28,Product,$C$19,Period,$C$20)</f>
        <v>500</v>
      </c>
      <c r="E28" s="22">
        <f ca="1">SUMIFS(INDIRECT($C$21),Sales_Per,B28,Product,$C$19)</f>
        <v>3100</v>
      </c>
      <c r="F28" s="22">
        <f ca="1">SUMIFS(INDIRECT($C$21),Sales_Per,B28,Period,$C$20)</f>
        <v>2000</v>
      </c>
      <c r="G28" s="22">
        <f ca="1">SUMIFS(INDIRECT($C$21),Sales_Per,B28)</f>
        <v>22100</v>
      </c>
      <c r="H28" s="25">
        <f t="shared" ca="1" si="1"/>
        <v>0.11618737185216339</v>
      </c>
    </row>
    <row r="30" spans="2:8" x14ac:dyDescent="0.25">
      <c r="B30" s="46" t="s">
        <v>350</v>
      </c>
      <c r="C30" s="50">
        <f ca="1">SUM(C24:C28)</f>
        <v>3650</v>
      </c>
      <c r="D30" s="50">
        <f ca="1">SUM(D24:D28)</f>
        <v>3650</v>
      </c>
      <c r="E30" s="50">
        <f ca="1">SUM(E24:E28)</f>
        <v>22440</v>
      </c>
      <c r="F30" s="50">
        <f ca="1">SUM(F24:F28)</f>
        <v>26840</v>
      </c>
      <c r="G30" s="50">
        <f ca="1">SUM(G24:G28)</f>
        <v>190210</v>
      </c>
    </row>
  </sheetData>
  <dataValidations count="2">
    <dataValidation type="list" allowBlank="1" showInputMessage="1" showErrorMessage="1" sqref="C19">
      <formula1>Prod_List</formula1>
    </dataValidation>
    <dataValidation type="list" allowBlank="1" showInputMessage="1" showErrorMessage="1" sqref="C20">
      <formula1>Period_List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Inputs!$I$3:$I$5</xm:f>
          </x14:formula1>
          <xm:sqref>C21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H29"/>
  <sheetViews>
    <sheetView showGridLines="0" workbookViewId="0">
      <selection activeCell="C1" sqref="C1"/>
    </sheetView>
  </sheetViews>
  <sheetFormatPr defaultRowHeight="15" x14ac:dyDescent="0.25"/>
  <cols>
    <col min="2" max="2" width="12.7109375" bestFit="1" customWidth="1"/>
    <col min="3" max="3" width="14.85546875" bestFit="1" customWidth="1"/>
    <col min="4" max="4" width="12.7109375" customWidth="1"/>
    <col min="5" max="6" width="12.140625" customWidth="1"/>
    <col min="7" max="7" width="14.85546875" customWidth="1"/>
  </cols>
  <sheetData>
    <row r="2" spans="3:3" x14ac:dyDescent="0.25">
      <c r="C2" s="48" t="s">
        <v>359</v>
      </c>
    </row>
    <row r="3" spans="3:3" x14ac:dyDescent="0.25">
      <c r="C3" t="str">
        <f>VLOOKUP($C$21,KPI_Name,2,FALSE)&amp;" "&amp;"For"&amp;" "&amp;C19 &amp;"-"&amp;" "&amp;  TEXT(C20,"mmm-yy")</f>
        <v>KPI For Salesperson 2- May-09</v>
      </c>
    </row>
    <row r="19" spans="2:8" x14ac:dyDescent="0.25">
      <c r="B19" s="53" t="s">
        <v>352</v>
      </c>
      <c r="C19" s="22" t="s">
        <v>317</v>
      </c>
    </row>
    <row r="20" spans="2:8" x14ac:dyDescent="0.25">
      <c r="B20" s="53" t="s">
        <v>353</v>
      </c>
      <c r="C20" s="54">
        <v>39934</v>
      </c>
    </row>
    <row r="21" spans="2:8" x14ac:dyDescent="0.25">
      <c r="B21" s="53" t="s">
        <v>354</v>
      </c>
      <c r="C21" s="22" t="s">
        <v>312</v>
      </c>
    </row>
    <row r="23" spans="2:8" ht="42" customHeight="1" x14ac:dyDescent="0.25">
      <c r="B23" s="44" t="s">
        <v>306</v>
      </c>
      <c r="C23" s="45"/>
      <c r="D23" s="44" t="s">
        <v>355</v>
      </c>
      <c r="E23" s="44" t="s">
        <v>356</v>
      </c>
      <c r="F23" s="44" t="s">
        <v>357</v>
      </c>
      <c r="G23" s="44" t="s">
        <v>358</v>
      </c>
      <c r="H23" s="46"/>
    </row>
    <row r="24" spans="2:8" x14ac:dyDescent="0.25">
      <c r="B24" s="53" t="s">
        <v>315</v>
      </c>
      <c r="C24" s="1">
        <f ca="1">IF(AND($C$19="All Salespeople",$C$20="YTD"),G24,IF(AND($C$19="All Salespeople",$C$20&lt;&gt;"YTD"),F24,IF(AND($C$19&lt;&gt;"All Salespeople",$C$20="YTD"),E24,D24)))</f>
        <v>52</v>
      </c>
      <c r="D24" s="22">
        <f ca="1">SUMIFS(INDIRECT($C$21),Sales_Per,$C$19,Product,B24,Period,$C$20)</f>
        <v>52</v>
      </c>
      <c r="E24" s="22">
        <f ca="1">SUMIFS(INDIRECT($C$21),Sales_Per,$C$19,Product,B24)</f>
        <v>267</v>
      </c>
      <c r="F24" s="22">
        <f ca="1">SUMIFS(INDIRECT($C$21),Product,B24,Period,$C$20)</f>
        <v>261</v>
      </c>
      <c r="G24" s="22">
        <f ca="1">SUMIFS(INDIRECT($C$21),Product,B24)</f>
        <v>1698</v>
      </c>
      <c r="H24" s="22"/>
    </row>
    <row r="25" spans="2:8" x14ac:dyDescent="0.25">
      <c r="B25" s="53" t="s">
        <v>321</v>
      </c>
      <c r="C25" s="1">
        <f t="shared" ref="C25:C27" ca="1" si="0">IF(AND($C$19="All Salespeople",$C$20="YTD"),G25,IF(AND($C$19="All Salespeople",$C$20&lt;&gt;"YTD"),F25,IF(AND($C$19&lt;&gt;"All Salespeople",$C$20="YTD"),E25,D25)))</f>
        <v>56</v>
      </c>
      <c r="D25" s="22">
        <f ca="1">SUMIFS(INDIRECT($C$21),Sales_Per,$C$19,Product,B25,Period,$C$20)</f>
        <v>56</v>
      </c>
      <c r="E25" s="22">
        <f ca="1">SUMIFS(INDIRECT($C$21),Sales_Per,$C$19,Product,B25)</f>
        <v>414</v>
      </c>
      <c r="F25" s="22">
        <f ca="1">SUMIFS(INDIRECT($C$21),Product,B25,Period,$C$20)</f>
        <v>278</v>
      </c>
      <c r="G25" s="22">
        <f ca="1">SUMIFS(INDIRECT($C$21),Product,B25)</f>
        <v>2000</v>
      </c>
      <c r="H25" s="22"/>
    </row>
    <row r="26" spans="2:8" x14ac:dyDescent="0.25">
      <c r="B26" s="53" t="s">
        <v>322</v>
      </c>
      <c r="C26" s="1">
        <f t="shared" ca="1" si="0"/>
        <v>12</v>
      </c>
      <c r="D26" s="22">
        <f ca="1">SUMIFS(INDIRECT($C$21),Sales_Per,$C$19,Product,B26,Period,$C$20)</f>
        <v>12</v>
      </c>
      <c r="E26" s="22">
        <f ca="1">SUMIFS(INDIRECT($C$21),Sales_Per,$C$19,Product,B26)</f>
        <v>362</v>
      </c>
      <c r="F26" s="22">
        <f ca="1">SUMIFS(INDIRECT($C$21),Product,B26,Period,$C$20)</f>
        <v>199</v>
      </c>
      <c r="G26" s="22">
        <f ca="1">SUMIFS(INDIRECT($C$21),Product,B26)</f>
        <v>2172</v>
      </c>
      <c r="H26" s="22"/>
    </row>
    <row r="27" spans="2:8" x14ac:dyDescent="0.25">
      <c r="B27" s="53" t="s">
        <v>323</v>
      </c>
      <c r="C27" s="1">
        <f t="shared" ca="1" si="0"/>
        <v>20</v>
      </c>
      <c r="D27" s="22">
        <f ca="1">SUMIFS(INDIRECT($C$21),Sales_Per,$C$19,Product,B27,Period,$C$20)</f>
        <v>20</v>
      </c>
      <c r="E27" s="22">
        <f ca="1">SUMIFS(INDIRECT($C$21),Sales_Per,$C$19,Product,B27)</f>
        <v>402</v>
      </c>
      <c r="F27" s="22">
        <f ca="1">SUMIFS(INDIRECT($C$21),Product,B27,Period,$C$20)</f>
        <v>116</v>
      </c>
      <c r="G27" s="22">
        <f ca="1">SUMIFS(INDIRECT($C$21),Product,B27)</f>
        <v>1699</v>
      </c>
      <c r="H27" s="22"/>
    </row>
    <row r="29" spans="2:8" x14ac:dyDescent="0.25">
      <c r="B29" s="53" t="s">
        <v>350</v>
      </c>
      <c r="C29" s="50">
        <f ca="1">SUM(C24:C27)</f>
        <v>140</v>
      </c>
      <c r="D29" s="50">
        <f t="shared" ref="D29:G29" ca="1" si="1">SUM(D24:D27)</f>
        <v>140</v>
      </c>
      <c r="E29" s="50">
        <f t="shared" ca="1" si="1"/>
        <v>1445</v>
      </c>
      <c r="F29" s="50">
        <f t="shared" ca="1" si="1"/>
        <v>854</v>
      </c>
      <c r="G29" s="50">
        <f t="shared" ca="1" si="1"/>
        <v>7569</v>
      </c>
    </row>
  </sheetData>
  <dataValidations count="2">
    <dataValidation type="list" allowBlank="1" showInputMessage="1" showErrorMessage="1" sqref="C19">
      <formula1>SP_List</formula1>
    </dataValidation>
    <dataValidation type="list" allowBlank="1" showInputMessage="1" showErrorMessage="1" sqref="C20">
      <formula1>Period_List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Inputs!$I$2:$I$5</xm:f>
          </x14:formula1>
          <xm:sqref>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Dashboard1</vt:lpstr>
      <vt:lpstr>Sheet2</vt:lpstr>
      <vt:lpstr>Dashboard2</vt:lpstr>
      <vt:lpstr>Calculation</vt:lpstr>
      <vt:lpstr>Dashboard3</vt:lpstr>
      <vt:lpstr>Data</vt:lpstr>
      <vt:lpstr>Dashboard4</vt:lpstr>
      <vt:lpstr>Data1</vt:lpstr>
      <vt:lpstr>Inputs</vt:lpstr>
      <vt:lpstr>Sheet8</vt:lpstr>
      <vt:lpstr>Sheet1</vt:lpstr>
      <vt:lpstr>Count</vt:lpstr>
      <vt:lpstr>KPI_1</vt:lpstr>
      <vt:lpstr>KPI_Name</vt:lpstr>
      <vt:lpstr>KPIDATA</vt:lpstr>
      <vt:lpstr>Period</vt:lpstr>
      <vt:lpstr>Period_List</vt:lpstr>
      <vt:lpstr>Position_Range</vt:lpstr>
      <vt:lpstr>Prod_List</vt:lpstr>
      <vt:lpstr>Product</vt:lpstr>
      <vt:lpstr>Sales_Per</vt:lpstr>
      <vt:lpstr>SP_List</vt:lpstr>
      <vt:lpstr>Total_GP</vt:lpstr>
      <vt:lpstr>Total_Sales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2016-06-11T07:09:42Z</dcterms:created>
  <dcterms:modified xsi:type="dcterms:W3CDTF">2016-07-25T07:10:39Z</dcterms:modified>
</cp:coreProperties>
</file>