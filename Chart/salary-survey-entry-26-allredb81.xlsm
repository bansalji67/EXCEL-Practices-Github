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80" yWindow="1260" windowWidth="21840" windowHeight="11445" firstSheet="1" activeTab="4"/>
  </bookViews>
  <sheets>
    <sheet name="mapping" sheetId="2" state="hidden" r:id="rId1"/>
    <sheet name="Data" sheetId="1" r:id="rId2"/>
    <sheet name="Role" sheetId="11" r:id="rId3"/>
    <sheet name="Experience" sheetId="16" r:id="rId4"/>
    <sheet name="DB" sheetId="8" r:id="rId5"/>
    <sheet name="Control" sheetId="12" r:id="rId6"/>
  </sheets>
  <definedNames>
    <definedName name="Accountant_List">OFFSET(Role!$B$22,,,COUNTA(Role!$B$22:$B$1000),1)</definedName>
    <definedName name="Analyst_List">OFFSET(Role!$D$22,,,COUNTA(Role!$D$22:$D$1000),1)</definedName>
    <definedName name="Consultant_List">OFFSET(Role!$F$22,,,COUNTA(Role!$F$22:$F$1000),1)</definedName>
    <definedName name="Controller_List">OFFSET(Role!$H$22,,,COUNTA(Role!$H$22:$H$1000),1)</definedName>
    <definedName name="CXO_List">OFFSET(Role!$J$22,,,COUNTA(Role!$J$22:$J$1000),1)</definedName>
    <definedName name="Engineer_List">OFFSET(Role!$L$22,,,COUNTA(Role!$L$22:$L$1000,0)-1,1)</definedName>
    <definedName name="Experience">Control!$P$1:$P$7</definedName>
    <definedName name="Hours">Control!$O$1:$O$6</definedName>
    <definedName name="JobType">Control!$D$1:$D$10</definedName>
    <definedName name="Location">Control!$N$1:$N$108</definedName>
    <definedName name="Manager_List">OFFSET(Role!$N$22,,,COUNTA(Role!$N$22:$N$1000),1)</definedName>
    <definedName name="Misc_List">OFFSET(Role!$P$22,,,COUNTA(Role!$P$22:$P$1000),1)</definedName>
    <definedName name="Reporting_List">OFFSET(Role!$R$22,,,COUNTA(Role!$R$22:$R$1000),1)</definedName>
    <definedName name="SortOrder">Control!$Q$1:$Q$3</definedName>
    <definedName name="Specialist_List">OFFSET(Role!$T$22,,,COUNTA(Role!$T$22:$T$1000),1)</definedName>
  </definedNames>
  <calcPr calcId="145621"/>
  <pivotCaches>
    <pivotCache cacheId="145" r:id="rId7"/>
  </pivotCaches>
</workbook>
</file>

<file path=xl/calcChain.xml><?xml version="1.0" encoding="utf-8"?>
<calcChain xmlns="http://schemas.openxmlformats.org/spreadsheetml/2006/main">
  <c r="I7" i="16" l="1"/>
  <c r="P7" i="16" s="1"/>
  <c r="I8" i="16"/>
  <c r="P8" i="16" s="1"/>
  <c r="I9" i="16"/>
  <c r="P9" i="16" s="1"/>
  <c r="I10" i="16"/>
  <c r="P10" i="16" s="1"/>
  <c r="I11" i="16"/>
  <c r="P11" i="16" s="1"/>
  <c r="I12" i="16"/>
  <c r="P12" i="16" s="1"/>
  <c r="I13" i="16"/>
  <c r="P13" i="16" s="1"/>
  <c r="I14" i="16"/>
  <c r="P14" i="16" s="1"/>
  <c r="I15" i="16"/>
  <c r="P15" i="16" s="1"/>
  <c r="I6" i="16"/>
  <c r="P6" i="16" s="1"/>
  <c r="H7" i="16"/>
  <c r="H8" i="16"/>
  <c r="H9" i="16"/>
  <c r="H10" i="16"/>
  <c r="H11" i="16"/>
  <c r="H12" i="16"/>
  <c r="H13" i="16"/>
  <c r="H14" i="16"/>
  <c r="H15" i="16"/>
  <c r="H6" i="16"/>
  <c r="K17" i="16"/>
  <c r="X8" i="12"/>
  <c r="K586" i="1"/>
  <c r="K973" i="1"/>
  <c r="K421" i="1"/>
  <c r="K926" i="1"/>
  <c r="K1032" i="1"/>
  <c r="K768" i="1"/>
  <c r="K1178" i="1"/>
  <c r="K1295" i="1"/>
  <c r="K1456" i="1"/>
  <c r="K1479" i="1"/>
  <c r="K1789" i="1"/>
  <c r="D2" i="11"/>
  <c r="D9" i="11" s="1"/>
  <c r="F2" i="11"/>
  <c r="F9" i="11" s="1"/>
  <c r="H2" i="11"/>
  <c r="H9" i="11" s="1"/>
  <c r="J2" i="11"/>
  <c r="J9" i="11" s="1"/>
  <c r="L2" i="11"/>
  <c r="L9" i="11" s="1"/>
  <c r="N2" i="11"/>
  <c r="N9" i="11" s="1"/>
  <c r="P2" i="11"/>
  <c r="P9" i="11" s="1"/>
  <c r="R2" i="11"/>
  <c r="R9" i="11" s="1"/>
  <c r="T2" i="11"/>
  <c r="T9" i="11" s="1"/>
  <c r="D3" i="11"/>
  <c r="F3" i="11"/>
  <c r="H3" i="11"/>
  <c r="J3" i="11"/>
  <c r="L3" i="11"/>
  <c r="N3" i="11"/>
  <c r="P3" i="11"/>
  <c r="R3" i="11"/>
  <c r="T3" i="11"/>
  <c r="D4" i="11"/>
  <c r="F4" i="11"/>
  <c r="H4" i="11"/>
  <c r="J4" i="11"/>
  <c r="L4" i="11"/>
  <c r="N4" i="11"/>
  <c r="P4" i="11"/>
  <c r="R4" i="11"/>
  <c r="T4" i="11"/>
  <c r="D5" i="11"/>
  <c r="F5" i="11"/>
  <c r="H5" i="11"/>
  <c r="J5" i="11"/>
  <c r="L5" i="11"/>
  <c r="N5" i="11"/>
  <c r="P5" i="11"/>
  <c r="R5" i="11"/>
  <c r="T5" i="11"/>
  <c r="D6" i="11"/>
  <c r="F6" i="11"/>
  <c r="H6" i="11"/>
  <c r="J6" i="11"/>
  <c r="L6" i="11"/>
  <c r="N6" i="11"/>
  <c r="P6" i="11"/>
  <c r="R6" i="11"/>
  <c r="T6" i="11"/>
  <c r="B6" i="11"/>
  <c r="B5" i="11"/>
  <c r="B4" i="11"/>
  <c r="B3" i="11"/>
  <c r="B2" i="11"/>
  <c r="R13" i="16" l="1"/>
  <c r="O13" i="16"/>
  <c r="N10" i="16"/>
  <c r="O15" i="16"/>
  <c r="N13" i="16"/>
  <c r="O9" i="16"/>
  <c r="O14" i="16"/>
  <c r="O11" i="16"/>
  <c r="N9" i="16"/>
  <c r="N14" i="16"/>
  <c r="O10" i="16"/>
  <c r="O7" i="16"/>
  <c r="R10" i="16"/>
  <c r="S10" i="16" s="1"/>
  <c r="O12" i="16"/>
  <c r="O8" i="16"/>
  <c r="N12" i="16"/>
  <c r="N7" i="16"/>
  <c r="S13" i="16"/>
  <c r="R6" i="16"/>
  <c r="S6" i="16" s="1"/>
  <c r="R12" i="16"/>
  <c r="S12" i="16" s="1"/>
  <c r="R8" i="16"/>
  <c r="S8" i="16" s="1"/>
  <c r="M14" i="16"/>
  <c r="M10" i="16"/>
  <c r="Q15" i="16"/>
  <c r="Q14" i="16"/>
  <c r="Q13" i="16"/>
  <c r="Q12" i="16"/>
  <c r="Q11" i="16"/>
  <c r="Q10" i="16"/>
  <c r="Q9" i="16"/>
  <c r="Q8" i="16"/>
  <c r="Q7" i="16"/>
  <c r="Q6" i="16"/>
  <c r="R14" i="16"/>
  <c r="S14" i="16" s="1"/>
  <c r="M6" i="16"/>
  <c r="M12" i="16"/>
  <c r="M8" i="16"/>
  <c r="O6" i="16"/>
  <c r="R9" i="16"/>
  <c r="S9" i="16" s="1"/>
  <c r="M15" i="16"/>
  <c r="M11" i="16"/>
  <c r="M7" i="16"/>
  <c r="N15" i="16"/>
  <c r="N11" i="16"/>
  <c r="N8" i="16"/>
  <c r="N6" i="16"/>
  <c r="R15" i="16"/>
  <c r="S15" i="16" s="1"/>
  <c r="R11" i="16"/>
  <c r="S11" i="16" s="1"/>
  <c r="R7" i="16"/>
  <c r="S7" i="16" s="1"/>
  <c r="M13" i="16"/>
  <c r="M9" i="16"/>
  <c r="Q17" i="16"/>
  <c r="M17" i="16"/>
  <c r="N10" i="11"/>
  <c r="P10" i="11"/>
  <c r="J12" i="11"/>
  <c r="F10" i="11"/>
  <c r="T10" i="11"/>
  <c r="R11" i="11"/>
  <c r="L12" i="11"/>
  <c r="L10" i="11"/>
  <c r="H10" i="11"/>
  <c r="H12" i="11"/>
  <c r="D10" i="11"/>
  <c r="R12" i="11"/>
  <c r="R10" i="11"/>
  <c r="P13" i="11"/>
  <c r="P11" i="11"/>
  <c r="N11" i="11"/>
  <c r="N12" i="11"/>
  <c r="J10" i="11"/>
  <c r="H13" i="11"/>
  <c r="H11" i="11"/>
  <c r="F12" i="11"/>
  <c r="B11" i="11"/>
  <c r="B13" i="11"/>
  <c r="T12" i="11"/>
  <c r="T13" i="11"/>
  <c r="T11" i="11"/>
  <c r="R13" i="11"/>
  <c r="P12" i="11"/>
  <c r="N13" i="11"/>
  <c r="L11" i="11"/>
  <c r="L13" i="11"/>
  <c r="J11" i="11"/>
  <c r="J13" i="11"/>
  <c r="F11" i="11"/>
  <c r="F13" i="11"/>
  <c r="D12" i="11"/>
  <c r="D13" i="11"/>
  <c r="D11" i="11"/>
  <c r="B10" i="11"/>
  <c r="B12" i="11"/>
  <c r="Z13" i="11"/>
  <c r="Z14" i="11" s="1"/>
  <c r="Z15" i="11" s="1"/>
  <c r="Z16" i="11" s="1"/>
  <c r="Z17" i="11" s="1"/>
  <c r="Z18" i="11" s="1"/>
  <c r="Z19" i="11" s="1"/>
  <c r="Z20" i="11" s="1"/>
  <c r="Z21" i="11" s="1"/>
  <c r="AK13" i="11"/>
  <c r="AK14" i="11"/>
  <c r="AK15" i="11"/>
  <c r="AK16" i="11"/>
  <c r="AK17" i="11"/>
  <c r="AK18" i="11"/>
  <c r="AK19" i="11"/>
  <c r="AK20" i="11"/>
  <c r="AK21" i="11"/>
  <c r="AK12" i="1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T558" i="1" s="1"/>
  <c r="N559" i="1"/>
  <c r="N560" i="1"/>
  <c r="N561" i="1"/>
  <c r="T561" i="1" s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T617" i="1" s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T630" i="1" s="1"/>
  <c r="N631" i="1"/>
  <c r="T631" i="1" s="1"/>
  <c r="N632" i="1"/>
  <c r="N633" i="1"/>
  <c r="N634" i="1"/>
  <c r="N635" i="1"/>
  <c r="T635" i="1" s="1"/>
  <c r="N636" i="1"/>
  <c r="N637" i="1"/>
  <c r="N638" i="1"/>
  <c r="N639" i="1"/>
  <c r="T639" i="1" s="1"/>
  <c r="N640" i="1"/>
  <c r="N641" i="1"/>
  <c r="N642" i="1"/>
  <c r="N643" i="1"/>
  <c r="N644" i="1"/>
  <c r="N645" i="1"/>
  <c r="N646" i="1"/>
  <c r="N647" i="1"/>
  <c r="N648" i="1"/>
  <c r="T648" i="1" s="1"/>
  <c r="N649" i="1"/>
  <c r="T649" i="1" s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T663" i="1" s="1"/>
  <c r="N664" i="1"/>
  <c r="N665" i="1"/>
  <c r="N666" i="1"/>
  <c r="N667" i="1"/>
  <c r="N668" i="1"/>
  <c r="N669" i="1"/>
  <c r="N670" i="1"/>
  <c r="N671" i="1"/>
  <c r="N672" i="1"/>
  <c r="N673" i="1"/>
  <c r="N674" i="1"/>
  <c r="T674" i="1" s="1"/>
  <c r="N675" i="1"/>
  <c r="N676" i="1"/>
  <c r="N677" i="1"/>
  <c r="N678" i="1"/>
  <c r="N679" i="1"/>
  <c r="N680" i="1"/>
  <c r="N681" i="1"/>
  <c r="N682" i="1"/>
  <c r="T682" i="1" s="1"/>
  <c r="N683" i="1"/>
  <c r="N684" i="1"/>
  <c r="N685" i="1"/>
  <c r="T685" i="1" s="1"/>
  <c r="N686" i="1"/>
  <c r="N687" i="1"/>
  <c r="N688" i="1"/>
  <c r="N689" i="1"/>
  <c r="N690" i="1"/>
  <c r="N691" i="1"/>
  <c r="N692" i="1"/>
  <c r="T692" i="1" s="1"/>
  <c r="N693" i="1"/>
  <c r="T693" i="1" s="1"/>
  <c r="N694" i="1"/>
  <c r="N695" i="1"/>
  <c r="N696" i="1"/>
  <c r="T696" i="1" s="1"/>
  <c r="N697" i="1"/>
  <c r="T697" i="1" s="1"/>
  <c r="N698" i="1"/>
  <c r="T698" i="1" s="1"/>
  <c r="N699" i="1"/>
  <c r="N700" i="1"/>
  <c r="N701" i="1"/>
  <c r="T701" i="1" s="1"/>
  <c r="N702" i="1"/>
  <c r="N703" i="1"/>
  <c r="T703" i="1" s="1"/>
  <c r="N704" i="1"/>
  <c r="T704" i="1" s="1"/>
  <c r="N705" i="1"/>
  <c r="N706" i="1"/>
  <c r="T706" i="1" s="1"/>
  <c r="N707" i="1"/>
  <c r="T707" i="1" s="1"/>
  <c r="N708" i="1"/>
  <c r="N709" i="1"/>
  <c r="N710" i="1"/>
  <c r="N711" i="1"/>
  <c r="N712" i="1"/>
  <c r="N713" i="1"/>
  <c r="T713" i="1" s="1"/>
  <c r="N714" i="1"/>
  <c r="N715" i="1"/>
  <c r="N716" i="1"/>
  <c r="N717" i="1"/>
  <c r="T717" i="1" s="1"/>
  <c r="N718" i="1"/>
  <c r="T718" i="1" s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T732" i="1" s="1"/>
  <c r="N733" i="1"/>
  <c r="N734" i="1"/>
  <c r="T734" i="1" s="1"/>
  <c r="N735" i="1"/>
  <c r="N736" i="1"/>
  <c r="N737" i="1"/>
  <c r="T737" i="1" s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T752" i="1" s="1"/>
  <c r="N753" i="1"/>
  <c r="N754" i="1"/>
  <c r="N755" i="1"/>
  <c r="T755" i="1" s="1"/>
  <c r="N756" i="1"/>
  <c r="T756" i="1" s="1"/>
  <c r="N757" i="1"/>
  <c r="N758" i="1"/>
  <c r="N759" i="1"/>
  <c r="N760" i="1"/>
  <c r="N761" i="1"/>
  <c r="N762" i="1"/>
  <c r="N763" i="1"/>
  <c r="N764" i="1"/>
  <c r="N765" i="1"/>
  <c r="T765" i="1" s="1"/>
  <c r="N766" i="1"/>
  <c r="N767" i="1"/>
  <c r="N768" i="1"/>
  <c r="N769" i="1"/>
  <c r="N770" i="1"/>
  <c r="N771" i="1"/>
  <c r="N772" i="1"/>
  <c r="N773" i="1"/>
  <c r="N774" i="1"/>
  <c r="N775" i="1"/>
  <c r="N776" i="1"/>
  <c r="T776" i="1" s="1"/>
  <c r="N777" i="1"/>
  <c r="N778" i="1"/>
  <c r="N779" i="1"/>
  <c r="N780" i="1"/>
  <c r="N781" i="1"/>
  <c r="N782" i="1"/>
  <c r="T782" i="1" s="1"/>
  <c r="N783" i="1"/>
  <c r="N784" i="1"/>
  <c r="T784" i="1" s="1"/>
  <c r="N785" i="1"/>
  <c r="N786" i="1"/>
  <c r="N787" i="1"/>
  <c r="N788" i="1"/>
  <c r="N789" i="1"/>
  <c r="N790" i="1"/>
  <c r="N791" i="1"/>
  <c r="N792" i="1"/>
  <c r="N793" i="1"/>
  <c r="N794" i="1"/>
  <c r="N795" i="1"/>
  <c r="T795" i="1" s="1"/>
  <c r="N796" i="1"/>
  <c r="N797" i="1"/>
  <c r="N798" i="1"/>
  <c r="N799" i="1"/>
  <c r="T799" i="1" s="1"/>
  <c r="N800" i="1"/>
  <c r="N801" i="1"/>
  <c r="N802" i="1"/>
  <c r="N803" i="1"/>
  <c r="N804" i="1"/>
  <c r="N805" i="1"/>
  <c r="N806" i="1"/>
  <c r="T806" i="1" s="1"/>
  <c r="N807" i="1"/>
  <c r="N808" i="1"/>
  <c r="T808" i="1" s="1"/>
  <c r="N809" i="1"/>
  <c r="N810" i="1"/>
  <c r="N811" i="1"/>
  <c r="N812" i="1"/>
  <c r="N813" i="1"/>
  <c r="N814" i="1"/>
  <c r="N815" i="1"/>
  <c r="T815" i="1" s="1"/>
  <c r="N816" i="1"/>
  <c r="N817" i="1"/>
  <c r="N818" i="1"/>
  <c r="N819" i="1"/>
  <c r="T819" i="1" s="1"/>
  <c r="N820" i="1"/>
  <c r="N821" i="1"/>
  <c r="T821" i="1" s="1"/>
  <c r="N822" i="1"/>
  <c r="N823" i="1"/>
  <c r="N824" i="1"/>
  <c r="N825" i="1"/>
  <c r="N826" i="1"/>
  <c r="N827" i="1"/>
  <c r="N828" i="1"/>
  <c r="N829" i="1"/>
  <c r="T829" i="1" s="1"/>
  <c r="N830" i="1"/>
  <c r="N831" i="1"/>
  <c r="T831" i="1" s="1"/>
  <c r="N832" i="1"/>
  <c r="N833" i="1"/>
  <c r="N834" i="1"/>
  <c r="T834" i="1" s="1"/>
  <c r="N835" i="1"/>
  <c r="T835" i="1" s="1"/>
  <c r="N836" i="1"/>
  <c r="T836" i="1" s="1"/>
  <c r="N837" i="1"/>
  <c r="N838" i="1"/>
  <c r="N839" i="1"/>
  <c r="N840" i="1"/>
  <c r="N841" i="1"/>
  <c r="N842" i="1"/>
  <c r="T842" i="1" s="1"/>
  <c r="N843" i="1"/>
  <c r="T843" i="1" s="1"/>
  <c r="N844" i="1"/>
  <c r="N845" i="1"/>
  <c r="N846" i="1"/>
  <c r="T846" i="1" s="1"/>
  <c r="N847" i="1"/>
  <c r="N848" i="1"/>
  <c r="N849" i="1"/>
  <c r="N850" i="1"/>
  <c r="N851" i="1"/>
  <c r="N852" i="1"/>
  <c r="T852" i="1" s="1"/>
  <c r="N853" i="1"/>
  <c r="N854" i="1"/>
  <c r="T854" i="1" s="1"/>
  <c r="N855" i="1"/>
  <c r="N856" i="1"/>
  <c r="N857" i="1"/>
  <c r="N858" i="1"/>
  <c r="N859" i="1"/>
  <c r="N860" i="1"/>
  <c r="N861" i="1"/>
  <c r="N862" i="1"/>
  <c r="N863" i="1"/>
  <c r="N864" i="1"/>
  <c r="N865" i="1"/>
  <c r="N866" i="1"/>
  <c r="T866" i="1" s="1"/>
  <c r="N867" i="1"/>
  <c r="N868" i="1"/>
  <c r="N869" i="1"/>
  <c r="N870" i="1"/>
  <c r="N871" i="1"/>
  <c r="N872" i="1"/>
  <c r="N873" i="1"/>
  <c r="N874" i="1"/>
  <c r="N875" i="1"/>
  <c r="T875" i="1" s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T898" i="1" s="1"/>
  <c r="N899" i="1"/>
  <c r="N900" i="1"/>
  <c r="N901" i="1"/>
  <c r="N902" i="1"/>
  <c r="N903" i="1"/>
  <c r="N904" i="1"/>
  <c r="N905" i="1"/>
  <c r="T905" i="1" s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T922" i="1" s="1"/>
  <c r="N923" i="1"/>
  <c r="N924" i="1"/>
  <c r="N925" i="1"/>
  <c r="N926" i="1"/>
  <c r="N927" i="1"/>
  <c r="N928" i="1"/>
  <c r="N929" i="1"/>
  <c r="N930" i="1"/>
  <c r="T930" i="1" s="1"/>
  <c r="N931" i="1"/>
  <c r="N932" i="1"/>
  <c r="N933" i="1"/>
  <c r="T933" i="1" s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T949" i="1" s="1"/>
  <c r="N950" i="1"/>
  <c r="N951" i="1"/>
  <c r="N952" i="1"/>
  <c r="N953" i="1"/>
  <c r="T953" i="1" s="1"/>
  <c r="N954" i="1"/>
  <c r="T954" i="1" s="1"/>
  <c r="N955" i="1"/>
  <c r="N956" i="1"/>
  <c r="T956" i="1" s="1"/>
  <c r="N957" i="1"/>
  <c r="T957" i="1" s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T970" i="1" s="1"/>
  <c r="N971" i="1"/>
  <c r="N972" i="1"/>
  <c r="N973" i="1"/>
  <c r="N974" i="1"/>
  <c r="N975" i="1"/>
  <c r="N976" i="1"/>
  <c r="N977" i="1"/>
  <c r="N978" i="1"/>
  <c r="N979" i="1"/>
  <c r="T979" i="1" s="1"/>
  <c r="N980" i="1"/>
  <c r="N981" i="1"/>
  <c r="N982" i="1"/>
  <c r="T982" i="1" s="1"/>
  <c r="N983" i="1"/>
  <c r="N984" i="1"/>
  <c r="N985" i="1"/>
  <c r="N986" i="1"/>
  <c r="N987" i="1"/>
  <c r="N988" i="1"/>
  <c r="N989" i="1"/>
  <c r="N990" i="1"/>
  <c r="N991" i="1"/>
  <c r="T991" i="1" s="1"/>
  <c r="N992" i="1"/>
  <c r="N993" i="1"/>
  <c r="T993" i="1" s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T1014" i="1" s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T1034" i="1" s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T1049" i="1" s="1"/>
  <c r="N1050" i="1"/>
  <c r="N1051" i="1"/>
  <c r="N1052" i="1"/>
  <c r="T1052" i="1" s="1"/>
  <c r="N1053" i="1"/>
  <c r="N1054" i="1"/>
  <c r="N1055" i="1"/>
  <c r="N1056" i="1"/>
  <c r="N1057" i="1"/>
  <c r="N1058" i="1"/>
  <c r="N1059" i="1"/>
  <c r="N1060" i="1"/>
  <c r="N1061" i="1"/>
  <c r="N1062" i="1"/>
  <c r="T1062" i="1" s="1"/>
  <c r="N1063" i="1"/>
  <c r="N1064" i="1"/>
  <c r="N1065" i="1"/>
  <c r="T1065" i="1" s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T1103" i="1" s="1"/>
  <c r="N1104" i="1"/>
  <c r="N1105" i="1"/>
  <c r="N1106" i="1"/>
  <c r="N1107" i="1"/>
  <c r="N1108" i="1"/>
  <c r="N1109" i="1"/>
  <c r="N1110" i="1"/>
  <c r="N1111" i="1"/>
  <c r="T1111" i="1" s="1"/>
  <c r="N1112" i="1"/>
  <c r="N1113" i="1"/>
  <c r="N1114" i="1"/>
  <c r="T1114" i="1" s="1"/>
  <c r="N1115" i="1"/>
  <c r="N1116" i="1"/>
  <c r="N1117" i="1"/>
  <c r="T1117" i="1" s="1"/>
  <c r="N1118" i="1"/>
  <c r="N1119" i="1"/>
  <c r="N1120" i="1"/>
  <c r="N1121" i="1"/>
  <c r="N1122" i="1"/>
  <c r="N1123" i="1"/>
  <c r="T1123" i="1" s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T1141" i="1" s="1"/>
  <c r="N1142" i="1"/>
  <c r="N1143" i="1"/>
  <c r="N1144" i="1"/>
  <c r="N1145" i="1"/>
  <c r="N1146" i="1"/>
  <c r="N1147" i="1"/>
  <c r="N1148" i="1"/>
  <c r="N1149" i="1"/>
  <c r="N1150" i="1"/>
  <c r="T1150" i="1" s="1"/>
  <c r="N1151" i="1"/>
  <c r="N1152" i="1"/>
  <c r="N1153" i="1"/>
  <c r="N1154" i="1"/>
  <c r="N1155" i="1"/>
  <c r="N1156" i="1"/>
  <c r="N1157" i="1"/>
  <c r="N1158" i="1"/>
  <c r="T1158" i="1" s="1"/>
  <c r="N1159" i="1"/>
  <c r="N1160" i="1"/>
  <c r="T1160" i="1" s="1"/>
  <c r="N1161" i="1"/>
  <c r="T1161" i="1" s="1"/>
  <c r="N1162" i="1"/>
  <c r="N1163" i="1"/>
  <c r="N1164" i="1"/>
  <c r="N1165" i="1"/>
  <c r="N1166" i="1"/>
  <c r="T1166" i="1" s="1"/>
  <c r="N1167" i="1"/>
  <c r="N1168" i="1"/>
  <c r="N1169" i="1"/>
  <c r="N1170" i="1"/>
  <c r="N1171" i="1"/>
  <c r="T1171" i="1" s="1"/>
  <c r="N1172" i="1"/>
  <c r="N1173" i="1"/>
  <c r="N1174" i="1"/>
  <c r="N1175" i="1"/>
  <c r="T1175" i="1" s="1"/>
  <c r="N1176" i="1"/>
  <c r="N1177" i="1"/>
  <c r="N1178" i="1"/>
  <c r="N1179" i="1"/>
  <c r="N1180" i="1"/>
  <c r="N1181" i="1"/>
  <c r="T1181" i="1" s="1"/>
  <c r="N1182" i="1"/>
  <c r="N1183" i="1"/>
  <c r="N1184" i="1"/>
  <c r="T1184" i="1" s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T1200" i="1" s="1"/>
  <c r="N1201" i="1"/>
  <c r="N1202" i="1"/>
  <c r="N1203" i="1"/>
  <c r="N1204" i="1"/>
  <c r="N1205" i="1"/>
  <c r="N1206" i="1"/>
  <c r="T1206" i="1" s="1"/>
  <c r="N1207" i="1"/>
  <c r="N1208" i="1"/>
  <c r="N1209" i="1"/>
  <c r="T1209" i="1" s="1"/>
  <c r="N1210" i="1"/>
  <c r="N1211" i="1"/>
  <c r="T1211" i="1" s="1"/>
  <c r="N1212" i="1"/>
  <c r="N1213" i="1"/>
  <c r="N1214" i="1"/>
  <c r="N1215" i="1"/>
  <c r="N1216" i="1"/>
  <c r="N1217" i="1"/>
  <c r="N1218" i="1"/>
  <c r="N1219" i="1"/>
  <c r="N1220" i="1"/>
  <c r="N1221" i="1"/>
  <c r="T1221" i="1" s="1"/>
  <c r="N1222" i="1"/>
  <c r="T1222" i="1" s="1"/>
  <c r="N1223" i="1"/>
  <c r="N1224" i="1"/>
  <c r="N1225" i="1"/>
  <c r="N1226" i="1"/>
  <c r="N1227" i="1"/>
  <c r="N1228" i="1"/>
  <c r="N1229" i="1"/>
  <c r="T1229" i="1" s="1"/>
  <c r="N1230" i="1"/>
  <c r="N1231" i="1"/>
  <c r="N1232" i="1"/>
  <c r="N1233" i="1"/>
  <c r="N1234" i="1"/>
  <c r="T1234" i="1" s="1"/>
  <c r="N1235" i="1"/>
  <c r="N1236" i="1"/>
  <c r="N1237" i="1"/>
  <c r="T1237" i="1" s="1"/>
  <c r="N1238" i="1"/>
  <c r="T1238" i="1" s="1"/>
  <c r="N1239" i="1"/>
  <c r="N1240" i="1"/>
  <c r="N1241" i="1"/>
  <c r="N1242" i="1"/>
  <c r="N1243" i="1"/>
  <c r="N1244" i="1"/>
  <c r="N1245" i="1"/>
  <c r="N1246" i="1"/>
  <c r="N1247" i="1"/>
  <c r="N1248" i="1"/>
  <c r="N1249" i="1"/>
  <c r="T1249" i="1" s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T1271" i="1" s="1"/>
  <c r="N1272" i="1"/>
  <c r="N1273" i="1"/>
  <c r="T1273" i="1" s="1"/>
  <c r="N1274" i="1"/>
  <c r="T1274" i="1" s="1"/>
  <c r="N1275" i="1"/>
  <c r="N1276" i="1"/>
  <c r="N1277" i="1"/>
  <c r="N1278" i="1"/>
  <c r="N1279" i="1"/>
  <c r="N1280" i="1"/>
  <c r="N1281" i="1"/>
  <c r="N1282" i="1"/>
  <c r="T1282" i="1" s="1"/>
  <c r="N1283" i="1"/>
  <c r="N1284" i="1"/>
  <c r="N1285" i="1"/>
  <c r="N1286" i="1"/>
  <c r="N1287" i="1"/>
  <c r="N1288" i="1"/>
  <c r="N1289" i="1"/>
  <c r="N1290" i="1"/>
  <c r="T1290" i="1" s="1"/>
  <c r="N1291" i="1"/>
  <c r="N1292" i="1"/>
  <c r="N1293" i="1"/>
  <c r="N1294" i="1"/>
  <c r="N1295" i="1"/>
  <c r="N1296" i="1"/>
  <c r="T1296" i="1" s="1"/>
  <c r="N1297" i="1"/>
  <c r="N1298" i="1"/>
  <c r="T1298" i="1" s="1"/>
  <c r="N1299" i="1"/>
  <c r="T1299" i="1" s="1"/>
  <c r="N1300" i="1"/>
  <c r="T1300" i="1" s="1"/>
  <c r="N1301" i="1"/>
  <c r="N1302" i="1"/>
  <c r="T1302" i="1" s="1"/>
  <c r="N1303" i="1"/>
  <c r="N1304" i="1"/>
  <c r="N1305" i="1"/>
  <c r="N1306" i="1"/>
  <c r="N1307" i="1"/>
  <c r="N1308" i="1"/>
  <c r="N1309" i="1"/>
  <c r="N1310" i="1"/>
  <c r="N1311" i="1"/>
  <c r="N1312" i="1"/>
  <c r="T1312" i="1" s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T1327" i="1" s="1"/>
  <c r="N1328" i="1"/>
  <c r="N1329" i="1"/>
  <c r="N1330" i="1"/>
  <c r="N1331" i="1"/>
  <c r="N1332" i="1"/>
  <c r="N1333" i="1"/>
  <c r="N1334" i="1"/>
  <c r="T1334" i="1" s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T1346" i="1" s="1"/>
  <c r="N1347" i="1"/>
  <c r="N1348" i="1"/>
  <c r="N1349" i="1"/>
  <c r="N1350" i="1"/>
  <c r="T1350" i="1" s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T1380" i="1" s="1"/>
  <c r="N1381" i="1"/>
  <c r="T1381" i="1" s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T1395" i="1" s="1"/>
  <c r="N1396" i="1"/>
  <c r="N1397" i="1"/>
  <c r="N1398" i="1"/>
  <c r="T1398" i="1" s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T1410" i="1" s="1"/>
  <c r="N1411" i="1"/>
  <c r="N1412" i="1"/>
  <c r="N1413" i="1"/>
  <c r="N1414" i="1"/>
  <c r="N1415" i="1"/>
  <c r="T1415" i="1" s="1"/>
  <c r="N1416" i="1"/>
  <c r="N1417" i="1"/>
  <c r="N1418" i="1"/>
  <c r="N1419" i="1"/>
  <c r="N1420" i="1"/>
  <c r="N1421" i="1"/>
  <c r="N1422" i="1"/>
  <c r="N1423" i="1"/>
  <c r="N1424" i="1"/>
  <c r="N1425" i="1"/>
  <c r="T1425" i="1" s="1"/>
  <c r="N1426" i="1"/>
  <c r="N1427" i="1"/>
  <c r="N1428" i="1"/>
  <c r="N1429" i="1"/>
  <c r="T1429" i="1" s="1"/>
  <c r="N1430" i="1"/>
  <c r="N1431" i="1"/>
  <c r="T1431" i="1" s="1"/>
  <c r="N1432" i="1"/>
  <c r="N1433" i="1"/>
  <c r="T1433" i="1" s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T1445" i="1" s="1"/>
  <c r="N1446" i="1"/>
  <c r="N1447" i="1"/>
  <c r="N1448" i="1"/>
  <c r="T1448" i="1" s="1"/>
  <c r="N1449" i="1"/>
  <c r="N1450" i="1"/>
  <c r="N1451" i="1"/>
  <c r="T1451" i="1" s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T1473" i="1" s="1"/>
  <c r="N1474" i="1"/>
  <c r="N1475" i="1"/>
  <c r="N1476" i="1"/>
  <c r="N1477" i="1"/>
  <c r="N1478" i="1"/>
  <c r="N1479" i="1"/>
  <c r="N1480" i="1"/>
  <c r="N1481" i="1"/>
  <c r="T1481" i="1" s="1"/>
  <c r="N1482" i="1"/>
  <c r="N1483" i="1"/>
  <c r="N1484" i="1"/>
  <c r="N1485" i="1"/>
  <c r="N1486" i="1"/>
  <c r="N1487" i="1"/>
  <c r="N1488" i="1"/>
  <c r="N1489" i="1"/>
  <c r="T1489" i="1" s="1"/>
  <c r="N1490" i="1"/>
  <c r="N1491" i="1"/>
  <c r="N1492" i="1"/>
  <c r="N1493" i="1"/>
  <c r="T1493" i="1" s="1"/>
  <c r="N1494" i="1"/>
  <c r="N1495" i="1"/>
  <c r="N1496" i="1"/>
  <c r="N1497" i="1"/>
  <c r="N1498" i="1"/>
  <c r="N1499" i="1"/>
  <c r="N1500" i="1"/>
  <c r="N1501" i="1"/>
  <c r="N1502" i="1"/>
  <c r="N1503" i="1"/>
  <c r="N1504" i="1"/>
  <c r="T1504" i="1" s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T1530" i="1" s="1"/>
  <c r="N1531" i="1"/>
  <c r="N1532" i="1"/>
  <c r="N1533" i="1"/>
  <c r="N1534" i="1"/>
  <c r="N1535" i="1"/>
  <c r="N1536" i="1"/>
  <c r="T1536" i="1" s="1"/>
  <c r="N1537" i="1"/>
  <c r="N1538" i="1"/>
  <c r="N1539" i="1"/>
  <c r="N1540" i="1"/>
  <c r="N1541" i="1"/>
  <c r="N1542" i="1"/>
  <c r="N1543" i="1"/>
  <c r="T1543" i="1" s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T1567" i="1" s="1"/>
  <c r="N1568" i="1"/>
  <c r="N1569" i="1"/>
  <c r="T1569" i="1" s="1"/>
  <c r="N1570" i="1"/>
  <c r="N1571" i="1"/>
  <c r="N1572" i="1"/>
  <c r="T1572" i="1" s="1"/>
  <c r="N1573" i="1"/>
  <c r="N1574" i="1"/>
  <c r="N1575" i="1"/>
  <c r="N1576" i="1"/>
  <c r="T1576" i="1" s="1"/>
  <c r="N1577" i="1"/>
  <c r="T1577" i="1" s="1"/>
  <c r="N1578" i="1"/>
  <c r="T1578" i="1" s="1"/>
  <c r="N1579" i="1"/>
  <c r="N1580" i="1"/>
  <c r="N1581" i="1"/>
  <c r="T1581" i="1" s="1"/>
  <c r="N1582" i="1"/>
  <c r="T1582" i="1" s="1"/>
  <c r="N1583" i="1"/>
  <c r="N1584" i="1"/>
  <c r="T1584" i="1" s="1"/>
  <c r="N1585" i="1"/>
  <c r="N1586" i="1"/>
  <c r="N1587" i="1"/>
  <c r="N1588" i="1"/>
  <c r="N1589" i="1"/>
  <c r="N1590" i="1"/>
  <c r="T1590" i="1" s="1"/>
  <c r="N1591" i="1"/>
  <c r="N1592" i="1"/>
  <c r="N1593" i="1"/>
  <c r="N1594" i="1"/>
  <c r="T1594" i="1" s="1"/>
  <c r="N1595" i="1"/>
  <c r="T1595" i="1" s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T1618" i="1" s="1"/>
  <c r="N1619" i="1"/>
  <c r="N1620" i="1"/>
  <c r="N1621" i="1"/>
  <c r="N1622" i="1"/>
  <c r="T1622" i="1" s="1"/>
  <c r="N1623" i="1"/>
  <c r="N1624" i="1"/>
  <c r="N1625" i="1"/>
  <c r="N1626" i="1"/>
  <c r="N1627" i="1"/>
  <c r="N1628" i="1"/>
  <c r="N1629" i="1"/>
  <c r="N1630" i="1"/>
  <c r="N1631" i="1"/>
  <c r="T1631" i="1" s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T1643" i="1" s="1"/>
  <c r="N1644" i="1"/>
  <c r="T1644" i="1" s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T1667" i="1" s="1"/>
  <c r="N1668" i="1"/>
  <c r="N1669" i="1"/>
  <c r="T1669" i="1" s="1"/>
  <c r="N1670" i="1"/>
  <c r="N1671" i="1"/>
  <c r="N1672" i="1"/>
  <c r="N1673" i="1"/>
  <c r="N1674" i="1"/>
  <c r="T1674" i="1" s="1"/>
  <c r="N1675" i="1"/>
  <c r="T1675" i="1" s="1"/>
  <c r="N1676" i="1"/>
  <c r="N1677" i="1"/>
  <c r="T1677" i="1" s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T1689" i="1" s="1"/>
  <c r="N1690" i="1"/>
  <c r="T1690" i="1" s="1"/>
  <c r="N1691" i="1"/>
  <c r="N1692" i="1"/>
  <c r="T1692" i="1" s="1"/>
  <c r="N1693" i="1"/>
  <c r="N1694" i="1"/>
  <c r="T1694" i="1" s="1"/>
  <c r="N1695" i="1"/>
  <c r="N1696" i="1"/>
  <c r="N1697" i="1"/>
  <c r="T1697" i="1" s="1"/>
  <c r="N1698" i="1"/>
  <c r="N1699" i="1"/>
  <c r="N1700" i="1"/>
  <c r="N1701" i="1"/>
  <c r="T1701" i="1" s="1"/>
  <c r="N1702" i="1"/>
  <c r="N1703" i="1"/>
  <c r="N1704" i="1"/>
  <c r="N1705" i="1"/>
  <c r="N1706" i="1"/>
  <c r="N1707" i="1"/>
  <c r="N1708" i="1"/>
  <c r="T1708" i="1" s="1"/>
  <c r="N1709" i="1"/>
  <c r="N1710" i="1"/>
  <c r="T1710" i="1" s="1"/>
  <c r="N1711" i="1"/>
  <c r="N1712" i="1"/>
  <c r="N1713" i="1"/>
  <c r="N1714" i="1"/>
  <c r="T1714" i="1" s="1"/>
  <c r="N1715" i="1"/>
  <c r="T1715" i="1" s="1"/>
  <c r="N1716" i="1"/>
  <c r="T1716" i="1" s="1"/>
  <c r="N1717" i="1"/>
  <c r="T1717" i="1" s="1"/>
  <c r="N1718" i="1"/>
  <c r="T1718" i="1" s="1"/>
  <c r="N1719" i="1"/>
  <c r="N1720" i="1"/>
  <c r="N1721" i="1"/>
  <c r="N1722" i="1"/>
  <c r="N1723" i="1"/>
  <c r="N1724" i="1"/>
  <c r="N1725" i="1"/>
  <c r="N1726" i="1"/>
  <c r="N1727" i="1"/>
  <c r="N1728" i="1"/>
  <c r="N1729" i="1"/>
  <c r="T1729" i="1" s="1"/>
  <c r="N1730" i="1"/>
  <c r="N1731" i="1"/>
  <c r="N1732" i="1"/>
  <c r="N1733" i="1"/>
  <c r="N1734" i="1"/>
  <c r="N1735" i="1"/>
  <c r="N1736" i="1"/>
  <c r="N1737" i="1"/>
  <c r="N1738" i="1"/>
  <c r="T1738" i="1" s="1"/>
  <c r="N1739" i="1"/>
  <c r="N1740" i="1"/>
  <c r="N1741" i="1"/>
  <c r="N1742" i="1"/>
  <c r="N1743" i="1"/>
  <c r="N1744" i="1"/>
  <c r="N1745" i="1"/>
  <c r="N1746" i="1"/>
  <c r="T1746" i="1" s="1"/>
  <c r="N1747" i="1"/>
  <c r="N1748" i="1"/>
  <c r="N1749" i="1"/>
  <c r="N1750" i="1"/>
  <c r="N1751" i="1"/>
  <c r="T1751" i="1" s="1"/>
  <c r="N1752" i="1"/>
  <c r="N1753" i="1"/>
  <c r="N1754" i="1"/>
  <c r="T1754" i="1" s="1"/>
  <c r="N1755" i="1"/>
  <c r="T1755" i="1" s="1"/>
  <c r="N1756" i="1"/>
  <c r="T1756" i="1" s="1"/>
  <c r="N1757" i="1"/>
  <c r="N1758" i="1"/>
  <c r="T1758" i="1" s="1"/>
  <c r="N1759" i="1"/>
  <c r="T1759" i="1" s="1"/>
  <c r="N1760" i="1"/>
  <c r="N1761" i="1"/>
  <c r="T1761" i="1" s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T1775" i="1" s="1"/>
  <c r="N1776" i="1"/>
  <c r="N1777" i="1"/>
  <c r="N1778" i="1"/>
  <c r="N1779" i="1"/>
  <c r="N1780" i="1"/>
  <c r="N1781" i="1"/>
  <c r="T1781" i="1" s="1"/>
  <c r="N1782" i="1"/>
  <c r="N1783" i="1"/>
  <c r="T1783" i="1" s="1"/>
  <c r="N1784" i="1"/>
  <c r="N1785" i="1"/>
  <c r="N1786" i="1"/>
  <c r="N1787" i="1"/>
  <c r="N1788" i="1"/>
  <c r="N1789" i="1"/>
  <c r="N1790" i="1"/>
  <c r="N1791" i="1"/>
  <c r="T1791" i="1" s="1"/>
  <c r="N1792" i="1"/>
  <c r="T1792" i="1" s="1"/>
  <c r="N1793" i="1"/>
  <c r="N1794" i="1"/>
  <c r="N1795" i="1"/>
  <c r="N1796" i="1"/>
  <c r="N1797" i="1"/>
  <c r="N1798" i="1"/>
  <c r="N1799" i="1"/>
  <c r="N1800" i="1"/>
  <c r="N1801" i="1"/>
  <c r="T1801" i="1" s="1"/>
  <c r="N1802" i="1"/>
  <c r="N1803" i="1"/>
  <c r="N1804" i="1"/>
  <c r="N1805" i="1"/>
  <c r="N1806" i="1"/>
  <c r="N1807" i="1"/>
  <c r="N1808" i="1"/>
  <c r="N1809" i="1"/>
  <c r="N1810" i="1"/>
  <c r="T1810" i="1" s="1"/>
  <c r="N1811" i="1"/>
  <c r="T1811" i="1" s="1"/>
  <c r="N1812" i="1"/>
  <c r="N1813" i="1"/>
  <c r="T1813" i="1" s="1"/>
  <c r="N1814" i="1"/>
  <c r="N1815" i="1"/>
  <c r="T1815" i="1" s="1"/>
  <c r="N1816" i="1"/>
  <c r="T1816" i="1" s="1"/>
  <c r="N1817" i="1"/>
  <c r="T1817" i="1" s="1"/>
  <c r="N1818" i="1"/>
  <c r="T1818" i="1" s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T1834" i="1" s="1"/>
  <c r="N1835" i="1"/>
  <c r="T1835" i="1" s="1"/>
  <c r="N1836" i="1"/>
  <c r="N1837" i="1"/>
  <c r="N1838" i="1"/>
  <c r="N1839" i="1"/>
  <c r="N1840" i="1"/>
  <c r="N1841" i="1"/>
  <c r="N1842" i="1"/>
  <c r="T1842" i="1" s="1"/>
  <c r="N1843" i="1"/>
  <c r="N1844" i="1"/>
  <c r="N1845" i="1"/>
  <c r="T1845" i="1" s="1"/>
  <c r="N1846" i="1"/>
  <c r="N1847" i="1"/>
  <c r="N1848" i="1"/>
  <c r="N1849" i="1"/>
  <c r="N1850" i="1"/>
  <c r="T1850" i="1" s="1"/>
  <c r="N1851" i="1"/>
  <c r="T1851" i="1" s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T1868" i="1" s="1"/>
  <c r="N1869" i="1"/>
  <c r="N1870" i="1"/>
  <c r="T1870" i="1" s="1"/>
  <c r="N1871" i="1"/>
  <c r="N1872" i="1"/>
  <c r="N1873" i="1"/>
  <c r="N1874" i="1"/>
  <c r="T1874" i="1" s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T16" i="11"/>
  <c r="T15" i="11"/>
  <c r="R16" i="11"/>
  <c r="R15" i="11"/>
  <c r="P16" i="11"/>
  <c r="P15" i="11"/>
  <c r="N16" i="11"/>
  <c r="N15" i="11"/>
  <c r="L16" i="11"/>
  <c r="L15" i="11"/>
  <c r="J16" i="11"/>
  <c r="J15" i="11"/>
  <c r="H16" i="11"/>
  <c r="H15" i="11"/>
  <c r="AA10" i="8"/>
  <c r="F16" i="11"/>
  <c r="F15" i="11"/>
  <c r="D16" i="11"/>
  <c r="D15" i="11"/>
  <c r="B16" i="11"/>
  <c r="B15" i="11"/>
  <c r="P17" i="16" l="1"/>
  <c r="N17" i="16"/>
  <c r="O17" i="16"/>
  <c r="S17" i="16"/>
  <c r="T1887" i="1"/>
  <c r="T1879" i="1"/>
  <c r="T1875" i="1"/>
  <c r="T1871" i="1"/>
  <c r="T1867" i="1"/>
  <c r="T1863" i="1"/>
  <c r="T1855" i="1"/>
  <c r="T1847" i="1"/>
  <c r="T1819" i="1"/>
  <c r="T1803" i="1"/>
  <c r="T1779" i="1"/>
  <c r="T1747" i="1"/>
  <c r="T1743" i="1"/>
  <c r="T1739" i="1"/>
  <c r="T1731" i="1"/>
  <c r="T1711" i="1"/>
  <c r="T1703" i="1"/>
  <c r="T1699" i="1"/>
  <c r="T1695" i="1"/>
  <c r="T1683" i="1"/>
  <c r="T1679" i="1"/>
  <c r="T1663" i="1"/>
  <c r="T1659" i="1"/>
  <c r="T1647" i="1"/>
  <c r="T1635" i="1"/>
  <c r="T1619" i="1"/>
  <c r="T1615" i="1"/>
  <c r="T1611" i="1"/>
  <c r="T1599" i="1"/>
  <c r="T1587" i="1"/>
  <c r="T1563" i="1"/>
  <c r="T1555" i="1"/>
  <c r="T1547" i="1"/>
  <c r="T1539" i="1"/>
  <c r="T1535" i="1"/>
  <c r="T1531" i="1"/>
  <c r="T1523" i="1"/>
  <c r="T1515" i="1"/>
  <c r="T1495" i="1"/>
  <c r="T1483" i="1"/>
  <c r="T1467" i="1"/>
  <c r="T1427" i="1"/>
  <c r="T1419" i="1"/>
  <c r="T1403" i="1"/>
  <c r="T1383" i="1"/>
  <c r="T1311" i="1"/>
  <c r="T1295" i="1"/>
  <c r="T1283" i="1"/>
  <c r="T1239" i="1"/>
  <c r="T1219" i="1"/>
  <c r="T1191" i="1"/>
  <c r="T1167" i="1"/>
  <c r="T1155" i="1"/>
  <c r="T1147" i="1"/>
  <c r="T1143" i="1"/>
  <c r="T1135" i="1"/>
  <c r="T1127" i="1"/>
  <c r="T1091" i="1"/>
  <c r="T1083" i="1"/>
  <c r="T1075" i="1"/>
  <c r="T1027" i="1"/>
  <c r="T1023" i="1"/>
  <c r="T1019" i="1"/>
  <c r="T1011" i="1"/>
  <c r="T999" i="1"/>
  <c r="T995" i="1"/>
  <c r="T987" i="1"/>
  <c r="T971" i="1"/>
  <c r="T967" i="1"/>
  <c r="T963" i="1"/>
  <c r="T959" i="1"/>
  <c r="T943" i="1"/>
  <c r="T935" i="1"/>
  <c r="T911" i="1"/>
  <c r="T899" i="1"/>
  <c r="T887" i="1"/>
  <c r="T871" i="1"/>
  <c r="T859" i="1"/>
  <c r="T847" i="1"/>
  <c r="T839" i="1"/>
  <c r="T823" i="1"/>
  <c r="T811" i="1"/>
  <c r="T807" i="1"/>
  <c r="T803" i="1"/>
  <c r="T783" i="1"/>
  <c r="T775" i="1"/>
  <c r="T771" i="1"/>
  <c r="T763" i="1"/>
  <c r="T751" i="1"/>
  <c r="T739" i="1"/>
  <c r="T731" i="1"/>
  <c r="T723" i="1"/>
  <c r="T715" i="1"/>
  <c r="T699" i="1"/>
  <c r="T695" i="1"/>
  <c r="T687" i="1"/>
  <c r="T675" i="1"/>
  <c r="T659" i="1"/>
  <c r="T655" i="1"/>
  <c r="T643" i="1"/>
  <c r="T627" i="1"/>
  <c r="T619" i="1"/>
  <c r="T591" i="1"/>
  <c r="T575" i="1"/>
  <c r="T1883" i="1"/>
  <c r="T1859" i="1"/>
  <c r="T1843" i="1"/>
  <c r="T1839" i="1"/>
  <c r="T1787" i="1"/>
  <c r="T1771" i="1"/>
  <c r="T1723" i="1"/>
  <c r="T1707" i="1"/>
  <c r="T1691" i="1"/>
  <c r="T1651" i="1"/>
  <c r="T1627" i="1"/>
  <c r="T1603" i="1"/>
  <c r="T1579" i="1"/>
  <c r="T1571" i="1"/>
  <c r="T1507" i="1"/>
  <c r="T1499" i="1"/>
  <c r="T1491" i="1"/>
  <c r="T1475" i="1"/>
  <c r="T1459" i="1"/>
  <c r="T1443" i="1"/>
  <c r="T1435" i="1"/>
  <c r="T1411" i="1"/>
  <c r="T1387" i="1"/>
  <c r="T1339" i="1"/>
  <c r="T1039" i="1"/>
  <c r="T175" i="1"/>
  <c r="T1882" i="1"/>
  <c r="T1866" i="1"/>
  <c r="T1858" i="1"/>
  <c r="T1854" i="1"/>
  <c r="T1826" i="1"/>
  <c r="T1802" i="1"/>
  <c r="T1794" i="1"/>
  <c r="T1786" i="1"/>
  <c r="T1778" i="1"/>
  <c r="T1770" i="1"/>
  <c r="T1766" i="1"/>
  <c r="T1750" i="1"/>
  <c r="T1742" i="1"/>
  <c r="T1734" i="1"/>
  <c r="T1730" i="1"/>
  <c r="T1726" i="1"/>
  <c r="T1722" i="1"/>
  <c r="T1706" i="1"/>
  <c r="T1702" i="1"/>
  <c r="T1698" i="1"/>
  <c r="T1686" i="1"/>
  <c r="T1682" i="1"/>
  <c r="T1678" i="1"/>
  <c r="T1670" i="1"/>
  <c r="T1666" i="1"/>
  <c r="T1662" i="1"/>
  <c r="T1658" i="1"/>
  <c r="T1654" i="1"/>
  <c r="T1650" i="1"/>
  <c r="T1646" i="1"/>
  <c r="T1642" i="1"/>
  <c r="T1638" i="1"/>
  <c r="T1634" i="1"/>
  <c r="T1630" i="1"/>
  <c r="T1626" i="1"/>
  <c r="T1614" i="1"/>
  <c r="T1610" i="1"/>
  <c r="T1606" i="1"/>
  <c r="T1602" i="1"/>
  <c r="T1598" i="1"/>
  <c r="T1886" i="1"/>
  <c r="T1878" i="1"/>
  <c r="T1862" i="1"/>
  <c r="T1846" i="1"/>
  <c r="T1838" i="1"/>
  <c r="T1830" i="1"/>
  <c r="T1822" i="1"/>
  <c r="T1814" i="1"/>
  <c r="T1806" i="1"/>
  <c r="T1798" i="1"/>
  <c r="T1790" i="1"/>
  <c r="T1782" i="1"/>
  <c r="T1774" i="1"/>
  <c r="T1762" i="1"/>
  <c r="T1586" i="1"/>
  <c r="T1574" i="1"/>
  <c r="T1566" i="1"/>
  <c r="T1558" i="1"/>
  <c r="T1550" i="1"/>
  <c r="T1542" i="1"/>
  <c r="T1534" i="1"/>
  <c r="T1526" i="1"/>
  <c r="T1518" i="1"/>
  <c r="T1510" i="1"/>
  <c r="T1502" i="1"/>
  <c r="T1494" i="1"/>
  <c r="T1486" i="1"/>
  <c r="T1474" i="1"/>
  <c r="T1470" i="1"/>
  <c r="T1462" i="1"/>
  <c r="T1454" i="1"/>
  <c r="T1446" i="1"/>
  <c r="T1438" i="1"/>
  <c r="T1430" i="1"/>
  <c r="T1422" i="1"/>
  <c r="T1414" i="1"/>
  <c r="T1406" i="1"/>
  <c r="T1402" i="1"/>
  <c r="T1394" i="1"/>
  <c r="T1386" i="1"/>
  <c r="T1378" i="1"/>
  <c r="T1370" i="1"/>
  <c r="T1362" i="1"/>
  <c r="T1354" i="1"/>
  <c r="T1338" i="1"/>
  <c r="T1330" i="1"/>
  <c r="T1322" i="1"/>
  <c r="T1318" i="1"/>
  <c r="T1314" i="1"/>
  <c r="T1310" i="1"/>
  <c r="T1306" i="1"/>
  <c r="T1294" i="1"/>
  <c r="T1286" i="1"/>
  <c r="T1278" i="1"/>
  <c r="T1270" i="1"/>
  <c r="T1266" i="1"/>
  <c r="T1262" i="1"/>
  <c r="T1258" i="1"/>
  <c r="T1254" i="1"/>
  <c r="T1250" i="1"/>
  <c r="T1246" i="1"/>
  <c r="T1242" i="1"/>
  <c r="T1230" i="1"/>
  <c r="T1226" i="1"/>
  <c r="T1218" i="1"/>
  <c r="T1214" i="1"/>
  <c r="T1210" i="1"/>
  <c r="T1202" i="1"/>
  <c r="T1198" i="1"/>
  <c r="T1194" i="1"/>
  <c r="T1190" i="1"/>
  <c r="T1186" i="1"/>
  <c r="T1182" i="1"/>
  <c r="T1178" i="1"/>
  <c r="T1174" i="1"/>
  <c r="T1170" i="1"/>
  <c r="T1162" i="1"/>
  <c r="T1154" i="1"/>
  <c r="T1146" i="1"/>
  <c r="T1142" i="1"/>
  <c r="T1138" i="1"/>
  <c r="T1134" i="1"/>
  <c r="T1130" i="1"/>
  <c r="T1126" i="1"/>
  <c r="T1122" i="1"/>
  <c r="T1118" i="1"/>
  <c r="T1110" i="1"/>
  <c r="T1106" i="1"/>
  <c r="T1102" i="1"/>
  <c r="T1098" i="1"/>
  <c r="T1094" i="1"/>
  <c r="T1090" i="1"/>
  <c r="T1086" i="1"/>
  <c r="T1082" i="1"/>
  <c r="T1078" i="1"/>
  <c r="T1074" i="1"/>
  <c r="T1070" i="1"/>
  <c r="T1066" i="1"/>
  <c r="T1058" i="1"/>
  <c r="T1054" i="1"/>
  <c r="T1050" i="1"/>
  <c r="T1046" i="1"/>
  <c r="T1042" i="1"/>
  <c r="T1038" i="1"/>
  <c r="T1030" i="1"/>
  <c r="T1026" i="1"/>
  <c r="T1022" i="1"/>
  <c r="T1018" i="1"/>
  <c r="T1010" i="1"/>
  <c r="T1006" i="1"/>
  <c r="T1002" i="1"/>
  <c r="T998" i="1"/>
  <c r="T994" i="1"/>
  <c r="T990" i="1"/>
  <c r="T986" i="1"/>
  <c r="T978" i="1"/>
  <c r="T974" i="1"/>
  <c r="T966" i="1"/>
  <c r="T962" i="1"/>
  <c r="T958" i="1"/>
  <c r="T950" i="1"/>
  <c r="T946" i="1"/>
  <c r="T942" i="1"/>
  <c r="T938" i="1"/>
  <c r="T934" i="1"/>
  <c r="T926" i="1"/>
  <c r="T918" i="1"/>
  <c r="T914" i="1"/>
  <c r="T910" i="1"/>
  <c r="T906" i="1"/>
  <c r="T902" i="1"/>
  <c r="T894" i="1"/>
  <c r="T890" i="1"/>
  <c r="T886" i="1"/>
  <c r="T882" i="1"/>
  <c r="T878" i="1"/>
  <c r="T874" i="1"/>
  <c r="T870" i="1"/>
  <c r="T862" i="1"/>
  <c r="T858" i="1"/>
  <c r="T850" i="1"/>
  <c r="T838" i="1"/>
  <c r="T830" i="1"/>
  <c r="T826" i="1"/>
  <c r="T822" i="1"/>
  <c r="T818" i="1"/>
  <c r="T814" i="1"/>
  <c r="T810" i="1"/>
  <c r="T802" i="1"/>
  <c r="T798" i="1"/>
  <c r="T794" i="1"/>
  <c r="T790" i="1"/>
  <c r="T786" i="1"/>
  <c r="T778" i="1"/>
  <c r="T774" i="1"/>
  <c r="T770" i="1"/>
  <c r="T766" i="1"/>
  <c r="T762" i="1"/>
  <c r="T758" i="1"/>
  <c r="T754" i="1"/>
  <c r="T750" i="1"/>
  <c r="T746" i="1"/>
  <c r="T742" i="1"/>
  <c r="T738" i="1"/>
  <c r="T730" i="1"/>
  <c r="T726" i="1"/>
  <c r="T722" i="1"/>
  <c r="T714" i="1"/>
  <c r="T710" i="1"/>
  <c r="T702" i="1"/>
  <c r="T694" i="1"/>
  <c r="T690" i="1"/>
  <c r="T686" i="1"/>
  <c r="T678" i="1"/>
  <c r="T670" i="1"/>
  <c r="T666" i="1"/>
  <c r="T662" i="1"/>
  <c r="T658" i="1"/>
  <c r="T654" i="1"/>
  <c r="T650" i="1"/>
  <c r="T646" i="1"/>
  <c r="T642" i="1"/>
  <c r="T638" i="1"/>
  <c r="T634" i="1"/>
  <c r="T626" i="1"/>
  <c r="T1570" i="1"/>
  <c r="T1562" i="1"/>
  <c r="T1554" i="1"/>
  <c r="T1546" i="1"/>
  <c r="T1538" i="1"/>
  <c r="T1522" i="1"/>
  <c r="T1514" i="1"/>
  <c r="T1506" i="1"/>
  <c r="T1498" i="1"/>
  <c r="T1490" i="1"/>
  <c r="T1482" i="1"/>
  <c r="T1478" i="1"/>
  <c r="T1466" i="1"/>
  <c r="T1458" i="1"/>
  <c r="T1450" i="1"/>
  <c r="T1442" i="1"/>
  <c r="T1434" i="1"/>
  <c r="T1426" i="1"/>
  <c r="T1418" i="1"/>
  <c r="T1390" i="1"/>
  <c r="T1382" i="1"/>
  <c r="T1374" i="1"/>
  <c r="T1366" i="1"/>
  <c r="T1358" i="1"/>
  <c r="T1342" i="1"/>
  <c r="T1326" i="1"/>
  <c r="T1827" i="1"/>
  <c r="T1795" i="1"/>
  <c r="T1231" i="1"/>
  <c r="T975" i="1"/>
  <c r="T791" i="1"/>
  <c r="T719" i="1"/>
  <c r="T691" i="1"/>
  <c r="T647" i="1"/>
  <c r="T307" i="1"/>
  <c r="T135" i="1"/>
  <c r="T47" i="1"/>
  <c r="T622" i="1"/>
  <c r="T618" i="1"/>
  <c r="T614" i="1"/>
  <c r="T610" i="1"/>
  <c r="T606" i="1"/>
  <c r="T602" i="1"/>
  <c r="T598" i="1"/>
  <c r="T594" i="1"/>
  <c r="T590" i="1"/>
  <c r="T586" i="1"/>
  <c r="T582" i="1"/>
  <c r="T578" i="1"/>
  <c r="T574" i="1"/>
  <c r="T570" i="1"/>
  <c r="T566" i="1"/>
  <c r="T562" i="1"/>
  <c r="T554" i="1"/>
  <c r="T550" i="1"/>
  <c r="T546" i="1"/>
  <c r="T542" i="1"/>
  <c r="T538" i="1"/>
  <c r="T534" i="1"/>
  <c r="T530" i="1"/>
  <c r="T526" i="1"/>
  <c r="T522" i="1"/>
  <c r="T518" i="1"/>
  <c r="T514" i="1"/>
  <c r="T510" i="1"/>
  <c r="T506" i="1"/>
  <c r="T502" i="1"/>
  <c r="T498" i="1"/>
  <c r="T494" i="1"/>
  <c r="T490" i="1"/>
  <c r="T486" i="1"/>
  <c r="T482" i="1"/>
  <c r="T478" i="1"/>
  <c r="T474" i="1"/>
  <c r="T470" i="1"/>
  <c r="T466" i="1"/>
  <c r="T462" i="1"/>
  <c r="T458" i="1"/>
  <c r="T454" i="1"/>
  <c r="T450" i="1"/>
  <c r="T446" i="1"/>
  <c r="T442" i="1"/>
  <c r="T438" i="1"/>
  <c r="T434" i="1"/>
  <c r="T430" i="1"/>
  <c r="T426" i="1"/>
  <c r="T422" i="1"/>
  <c r="T418" i="1"/>
  <c r="T414" i="1"/>
  <c r="T410" i="1"/>
  <c r="T406" i="1"/>
  <c r="T402" i="1"/>
  <c r="T398" i="1"/>
  <c r="T394" i="1"/>
  <c r="T390" i="1"/>
  <c r="T386" i="1"/>
  <c r="T382" i="1"/>
  <c r="T378" i="1"/>
  <c r="T374" i="1"/>
  <c r="T370" i="1"/>
  <c r="T366" i="1"/>
  <c r="T362" i="1"/>
  <c r="T358" i="1"/>
  <c r="T354" i="1"/>
  <c r="T350" i="1"/>
  <c r="T346" i="1"/>
  <c r="T342" i="1"/>
  <c r="T338" i="1"/>
  <c r="T595" i="1"/>
  <c r="T531" i="1"/>
  <c r="T511" i="1"/>
  <c r="T467" i="1"/>
  <c r="T447" i="1"/>
  <c r="T403" i="1"/>
  <c r="T383" i="1"/>
  <c r="T303" i="1"/>
  <c r="T263" i="1"/>
  <c r="T219" i="1"/>
  <c r="T179" i="1"/>
  <c r="T91" i="1"/>
  <c r="T51" i="1"/>
  <c r="T7" i="1"/>
  <c r="T334" i="1"/>
  <c r="T330" i="1"/>
  <c r="T326" i="1"/>
  <c r="T322" i="1"/>
  <c r="T318" i="1"/>
  <c r="T314" i="1"/>
  <c r="T310" i="1"/>
  <c r="T306" i="1"/>
  <c r="T302" i="1"/>
  <c r="T298" i="1"/>
  <c r="T294" i="1"/>
  <c r="T290" i="1"/>
  <c r="T286" i="1"/>
  <c r="T282" i="1"/>
  <c r="T278" i="1"/>
  <c r="T274" i="1"/>
  <c r="T270" i="1"/>
  <c r="T266" i="1"/>
  <c r="T262" i="1"/>
  <c r="T258" i="1"/>
  <c r="T254" i="1"/>
  <c r="T250" i="1"/>
  <c r="T246" i="1"/>
  <c r="T242" i="1"/>
  <c r="T238" i="1"/>
  <c r="T234" i="1"/>
  <c r="T230" i="1"/>
  <c r="T226" i="1"/>
  <c r="T222" i="1"/>
  <c r="T218" i="1"/>
  <c r="T214" i="1"/>
  <c r="T210" i="1"/>
  <c r="T206" i="1"/>
  <c r="T202" i="1"/>
  <c r="T198" i="1"/>
  <c r="T194" i="1"/>
  <c r="T190" i="1"/>
  <c r="T186" i="1"/>
  <c r="T182" i="1"/>
  <c r="T178" i="1"/>
  <c r="T174" i="1"/>
  <c r="T170" i="1"/>
  <c r="T166" i="1"/>
  <c r="T162" i="1"/>
  <c r="T158" i="1"/>
  <c r="T154" i="1"/>
  <c r="T150" i="1"/>
  <c r="T146" i="1"/>
  <c r="T142" i="1"/>
  <c r="T138" i="1"/>
  <c r="T134" i="1"/>
  <c r="T130" i="1"/>
  <c r="T126" i="1"/>
  <c r="T122" i="1"/>
  <c r="T118" i="1"/>
  <c r="T114" i="1"/>
  <c r="T110" i="1"/>
  <c r="T106" i="1"/>
  <c r="T102" i="1"/>
  <c r="T98" i="1"/>
  <c r="T94" i="1"/>
  <c r="T90" i="1"/>
  <c r="T86" i="1"/>
  <c r="T82" i="1"/>
  <c r="T78" i="1"/>
  <c r="T74" i="1"/>
  <c r="T70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4" i="1"/>
  <c r="T10" i="1"/>
  <c r="T6" i="1"/>
  <c r="T1877" i="1"/>
  <c r="T1869" i="1"/>
  <c r="T1857" i="1"/>
  <c r="T1837" i="1"/>
  <c r="T1825" i="1"/>
  <c r="T1793" i="1"/>
  <c r="T1773" i="1"/>
  <c r="T1749" i="1"/>
  <c r="T1741" i="1"/>
  <c r="T1733" i="1"/>
  <c r="T1721" i="1"/>
  <c r="T1713" i="1"/>
  <c r="T1693" i="1"/>
  <c r="T1685" i="1"/>
  <c r="T1673" i="1"/>
  <c r="T1665" i="1"/>
  <c r="T1653" i="1"/>
  <c r="T1641" i="1"/>
  <c r="T1633" i="1"/>
  <c r="T1621" i="1"/>
  <c r="T1613" i="1"/>
  <c r="T1601" i="1"/>
  <c r="T1593" i="1"/>
  <c r="T1573" i="1"/>
  <c r="T1561" i="1"/>
  <c r="T1553" i="1"/>
  <c r="T1541" i="1"/>
  <c r="T1533" i="1"/>
  <c r="T1525" i="1"/>
  <c r="T1513" i="1"/>
  <c r="T1501" i="1"/>
  <c r="T1469" i="1"/>
  <c r="T1461" i="1"/>
  <c r="T1449" i="1"/>
  <c r="T1441" i="1"/>
  <c r="T1421" i="1"/>
  <c r="T1413" i="1"/>
  <c r="T1401" i="1"/>
  <c r="T1393" i="1"/>
  <c r="T1373" i="1"/>
  <c r="T1361" i="1"/>
  <c r="T1353" i="1"/>
  <c r="T1341" i="1"/>
  <c r="T1333" i="1"/>
  <c r="T1325" i="1"/>
  <c r="T1313" i="1"/>
  <c r="T1305" i="1"/>
  <c r="T1293" i="1"/>
  <c r="T1285" i="1"/>
  <c r="T1265" i="1"/>
  <c r="T1253" i="1"/>
  <c r="T1245" i="1"/>
  <c r="T1233" i="1"/>
  <c r="T1225" i="1"/>
  <c r="T1217" i="1"/>
  <c r="T1205" i="1"/>
  <c r="T1197" i="1"/>
  <c r="T1185" i="1"/>
  <c r="T1177" i="1"/>
  <c r="T1165" i="1"/>
  <c r="T1157" i="1"/>
  <c r="T1145" i="1"/>
  <c r="T1137" i="1"/>
  <c r="T1129" i="1"/>
  <c r="T1105" i="1"/>
  <c r="T1097" i="1"/>
  <c r="T1085" i="1"/>
  <c r="T1077" i="1"/>
  <c r="T1053" i="1"/>
  <c r="T1045" i="1"/>
  <c r="T1033" i="1"/>
  <c r="T1025" i="1"/>
  <c r="T1013" i="1"/>
  <c r="T1001" i="1"/>
  <c r="T981" i="1"/>
  <c r="T973" i="1"/>
  <c r="T961" i="1"/>
  <c r="T941" i="1"/>
  <c r="T921" i="1"/>
  <c r="T913" i="1"/>
  <c r="T901" i="1"/>
  <c r="T893" i="1"/>
  <c r="T881" i="1"/>
  <c r="T869" i="1"/>
  <c r="T861" i="1"/>
  <c r="T849" i="1"/>
  <c r="T837" i="1"/>
  <c r="T817" i="1"/>
  <c r="T809" i="1"/>
  <c r="T797" i="1"/>
  <c r="T789" i="1"/>
  <c r="T777" i="1"/>
  <c r="T769" i="1"/>
  <c r="T757" i="1"/>
  <c r="T749" i="1"/>
  <c r="T729" i="1"/>
  <c r="T709" i="1"/>
  <c r="T689" i="1"/>
  <c r="T681" i="1"/>
  <c r="T669" i="1"/>
  <c r="T657" i="1"/>
  <c r="T637" i="1"/>
  <c r="T629" i="1"/>
  <c r="T605" i="1"/>
  <c r="T593" i="1"/>
  <c r="T585" i="1"/>
  <c r="T573" i="1"/>
  <c r="T553" i="1"/>
  <c r="T545" i="1"/>
  <c r="T533" i="1"/>
  <c r="T525" i="1"/>
  <c r="T513" i="1"/>
  <c r="T501" i="1"/>
  <c r="T493" i="1"/>
  <c r="T481" i="1"/>
  <c r="T473" i="1"/>
  <c r="T461" i="1"/>
  <c r="T453" i="1"/>
  <c r="T441" i="1"/>
  <c r="T429" i="1"/>
  <c r="T421" i="1"/>
  <c r="T409" i="1"/>
  <c r="T401" i="1"/>
  <c r="T389" i="1"/>
  <c r="T381" i="1"/>
  <c r="T369" i="1"/>
  <c r="T361" i="1"/>
  <c r="T353" i="1"/>
  <c r="T341" i="1"/>
  <c r="T329" i="1"/>
  <c r="T321" i="1"/>
  <c r="T313" i="1"/>
  <c r="T301" i="1"/>
  <c r="T293" i="1"/>
  <c r="T281" i="1"/>
  <c r="T273" i="1"/>
  <c r="T261" i="1"/>
  <c r="T253" i="1"/>
  <c r="T241" i="1"/>
  <c r="T233" i="1"/>
  <c r="T221" i="1"/>
  <c r="T213" i="1"/>
  <c r="T201" i="1"/>
  <c r="T193" i="1"/>
  <c r="T185" i="1"/>
  <c r="T173" i="1"/>
  <c r="T165" i="1"/>
  <c r="T153" i="1"/>
  <c r="T145" i="1"/>
  <c r="T133" i="1"/>
  <c r="T125" i="1"/>
  <c r="T113" i="1"/>
  <c r="T101" i="1"/>
  <c r="T93" i="1"/>
  <c r="T81" i="1"/>
  <c r="T73" i="1"/>
  <c r="T61" i="1"/>
  <c r="T53" i="1"/>
  <c r="T45" i="1"/>
  <c r="T33" i="1"/>
  <c r="T21" i="1"/>
  <c r="T13" i="1"/>
  <c r="T1885" i="1"/>
  <c r="T1881" i="1"/>
  <c r="T1873" i="1"/>
  <c r="T1865" i="1"/>
  <c r="T1861" i="1"/>
  <c r="T1853" i="1"/>
  <c r="T1849" i="1"/>
  <c r="T1841" i="1"/>
  <c r="T1833" i="1"/>
  <c r="T1829" i="1"/>
  <c r="T1821" i="1"/>
  <c r="T1809" i="1"/>
  <c r="T1805" i="1"/>
  <c r="T1797" i="1"/>
  <c r="T1789" i="1"/>
  <c r="T1785" i="1"/>
  <c r="T1777" i="1"/>
  <c r="T1769" i="1"/>
  <c r="T1765" i="1"/>
  <c r="T1757" i="1"/>
  <c r="T1753" i="1"/>
  <c r="T1745" i="1"/>
  <c r="T1737" i="1"/>
  <c r="T1725" i="1"/>
  <c r="T1709" i="1"/>
  <c r="T1705" i="1"/>
  <c r="T1681" i="1"/>
  <c r="T1661" i="1"/>
  <c r="T1657" i="1"/>
  <c r="T1649" i="1"/>
  <c r="T1645" i="1"/>
  <c r="T1637" i="1"/>
  <c r="T1629" i="1"/>
  <c r="T1625" i="1"/>
  <c r="T1617" i="1"/>
  <c r="T1609" i="1"/>
  <c r="T1605" i="1"/>
  <c r="T1597" i="1"/>
  <c r="T1589" i="1"/>
  <c r="T1585" i="1"/>
  <c r="T1565" i="1"/>
  <c r="T1557" i="1"/>
  <c r="T1549" i="1"/>
  <c r="T1545" i="1"/>
  <c r="T1537" i="1"/>
  <c r="T1529" i="1"/>
  <c r="T1521" i="1"/>
  <c r="T1517" i="1"/>
  <c r="T1509" i="1"/>
  <c r="T1505" i="1"/>
  <c r="T1497" i="1"/>
  <c r="T1485" i="1"/>
  <c r="T1477" i="1"/>
  <c r="T1465" i="1"/>
  <c r="T1457" i="1"/>
  <c r="T1453" i="1"/>
  <c r="T1437" i="1"/>
  <c r="T1417" i="1"/>
  <c r="T1409" i="1"/>
  <c r="T1405" i="1"/>
  <c r="T1397" i="1"/>
  <c r="T1389" i="1"/>
  <c r="T1385" i="1"/>
  <c r="T1377" i="1"/>
  <c r="T1369" i="1"/>
  <c r="T1365" i="1"/>
  <c r="T1357" i="1"/>
  <c r="T1349" i="1"/>
  <c r="T1345" i="1"/>
  <c r="T1337" i="1"/>
  <c r="T1329" i="1"/>
  <c r="T1321" i="1"/>
  <c r="T1317" i="1"/>
  <c r="T1309" i="1"/>
  <c r="T1301" i="1"/>
  <c r="T1297" i="1"/>
  <c r="T1289" i="1"/>
  <c r="T1281" i="1"/>
  <c r="T1277" i="1"/>
  <c r="T1269" i="1"/>
  <c r="T1261" i="1"/>
  <c r="T1257" i="1"/>
  <c r="T1241" i="1"/>
  <c r="T1213" i="1"/>
  <c r="T1201" i="1"/>
  <c r="T1193" i="1"/>
  <c r="T1189" i="1"/>
  <c r="T1173" i="1"/>
  <c r="T1169" i="1"/>
  <c r="T1153" i="1"/>
  <c r="T1149" i="1"/>
  <c r="T1133" i="1"/>
  <c r="T1125" i="1"/>
  <c r="T1121" i="1"/>
  <c r="T1113" i="1"/>
  <c r="T1109" i="1"/>
  <c r="T1101" i="1"/>
  <c r="T1093" i="1"/>
  <c r="T1089" i="1"/>
  <c r="T1081" i="1"/>
  <c r="T1073" i="1"/>
  <c r="T1069" i="1"/>
  <c r="T1061" i="1"/>
  <c r="T1057" i="1"/>
  <c r="T1041" i="1"/>
  <c r="T1037" i="1"/>
  <c r="T1029" i="1"/>
  <c r="T1021" i="1"/>
  <c r="T1017" i="1"/>
  <c r="T1009" i="1"/>
  <c r="T1005" i="1"/>
  <c r="T997" i="1"/>
  <c r="T989" i="1"/>
  <c r="T985" i="1"/>
  <c r="T977" i="1"/>
  <c r="T969" i="1"/>
  <c r="T965" i="1"/>
  <c r="T945" i="1"/>
  <c r="T937" i="1"/>
  <c r="T929" i="1"/>
  <c r="T925" i="1"/>
  <c r="T917" i="1"/>
  <c r="T909" i="1"/>
  <c r="T897" i="1"/>
  <c r="T889" i="1"/>
  <c r="T885" i="1"/>
  <c r="T877" i="1"/>
  <c r="T873" i="1"/>
  <c r="T865" i="1"/>
  <c r="T857" i="1"/>
  <c r="T853" i="1"/>
  <c r="T845" i="1"/>
  <c r="T841" i="1"/>
  <c r="T833" i="1"/>
  <c r="T825" i="1"/>
  <c r="T813" i="1"/>
  <c r="T805" i="1"/>
  <c r="T801" i="1"/>
  <c r="T793" i="1"/>
  <c r="T785" i="1"/>
  <c r="T781" i="1"/>
  <c r="T773" i="1"/>
  <c r="T761" i="1"/>
  <c r="T753" i="1"/>
  <c r="T745" i="1"/>
  <c r="T741" i="1"/>
  <c r="T733" i="1"/>
  <c r="T725" i="1"/>
  <c r="T721" i="1"/>
  <c r="T705" i="1"/>
  <c r="T677" i="1"/>
  <c r="T673" i="1"/>
  <c r="T665" i="1"/>
  <c r="T661" i="1"/>
  <c r="T653" i="1"/>
  <c r="T645" i="1"/>
  <c r="T641" i="1"/>
  <c r="T633" i="1"/>
  <c r="T625" i="1"/>
  <c r="T621" i="1"/>
  <c r="T613" i="1"/>
  <c r="T609" i="1"/>
  <c r="T601" i="1"/>
  <c r="T597" i="1"/>
  <c r="T589" i="1"/>
  <c r="T581" i="1"/>
  <c r="T577" i="1"/>
  <c r="T569" i="1"/>
  <c r="T565" i="1"/>
  <c r="T557" i="1"/>
  <c r="T549" i="1"/>
  <c r="T541" i="1"/>
  <c r="T537" i="1"/>
  <c r="T529" i="1"/>
  <c r="T521" i="1"/>
  <c r="T517" i="1"/>
  <c r="T509" i="1"/>
  <c r="T505" i="1"/>
  <c r="T497" i="1"/>
  <c r="T489" i="1"/>
  <c r="T485" i="1"/>
  <c r="T477" i="1"/>
  <c r="T469" i="1"/>
  <c r="T465" i="1"/>
  <c r="T457" i="1"/>
  <c r="T449" i="1"/>
  <c r="T445" i="1"/>
  <c r="T437" i="1"/>
  <c r="T433" i="1"/>
  <c r="T425" i="1"/>
  <c r="T417" i="1"/>
  <c r="T413" i="1"/>
  <c r="T405" i="1"/>
  <c r="T397" i="1"/>
  <c r="T393" i="1"/>
  <c r="T385" i="1"/>
  <c r="T377" i="1"/>
  <c r="T373" i="1"/>
  <c r="T365" i="1"/>
  <c r="T357" i="1"/>
  <c r="T349" i="1"/>
  <c r="T345" i="1"/>
  <c r="T337" i="1"/>
  <c r="T333" i="1"/>
  <c r="T325" i="1"/>
  <c r="T317" i="1"/>
  <c r="T309" i="1"/>
  <c r="T305" i="1"/>
  <c r="T297" i="1"/>
  <c r="T289" i="1"/>
  <c r="T285" i="1"/>
  <c r="T277" i="1"/>
  <c r="T269" i="1"/>
  <c r="T265" i="1"/>
  <c r="T257" i="1"/>
  <c r="T249" i="1"/>
  <c r="T245" i="1"/>
  <c r="T237" i="1"/>
  <c r="T229" i="1"/>
  <c r="T225" i="1"/>
  <c r="T217" i="1"/>
  <c r="T209" i="1"/>
  <c r="T205" i="1"/>
  <c r="T197" i="1"/>
  <c r="T189" i="1"/>
  <c r="T181" i="1"/>
  <c r="T177" i="1"/>
  <c r="T169" i="1"/>
  <c r="T161" i="1"/>
  <c r="T157" i="1"/>
  <c r="T149" i="1"/>
  <c r="T141" i="1"/>
  <c r="T137" i="1"/>
  <c r="T129" i="1"/>
  <c r="T121" i="1"/>
  <c r="T117" i="1"/>
  <c r="T109" i="1"/>
  <c r="T105" i="1"/>
  <c r="T97" i="1"/>
  <c r="T89" i="1"/>
  <c r="T85" i="1"/>
  <c r="T77" i="1"/>
  <c r="T69" i="1"/>
  <c r="T65" i="1"/>
  <c r="T57" i="1"/>
  <c r="T49" i="1"/>
  <c r="T41" i="1"/>
  <c r="T37" i="1"/>
  <c r="T29" i="1"/>
  <c r="T25" i="1"/>
  <c r="T17" i="1"/>
  <c r="T9" i="1"/>
  <c r="T1888" i="1"/>
  <c r="T1884" i="1"/>
  <c r="T1880" i="1"/>
  <c r="T1876" i="1"/>
  <c r="T1872" i="1"/>
  <c r="T1864" i="1"/>
  <c r="T1860" i="1"/>
  <c r="T1856" i="1"/>
  <c r="T1852" i="1"/>
  <c r="T1848" i="1"/>
  <c r="T1844" i="1"/>
  <c r="T1840" i="1"/>
  <c r="T1836" i="1"/>
  <c r="T1832" i="1"/>
  <c r="T1828" i="1"/>
  <c r="T1824" i="1"/>
  <c r="T1820" i="1"/>
  <c r="T1812" i="1"/>
  <c r="T1808" i="1"/>
  <c r="T1804" i="1"/>
  <c r="T1800" i="1"/>
  <c r="T1796" i="1"/>
  <c r="T1788" i="1"/>
  <c r="T1784" i="1"/>
  <c r="T1780" i="1"/>
  <c r="T1776" i="1"/>
  <c r="T1772" i="1"/>
  <c r="T1768" i="1"/>
  <c r="T1764" i="1"/>
  <c r="T1760" i="1"/>
  <c r="T1752" i="1"/>
  <c r="T1748" i="1"/>
  <c r="T1744" i="1"/>
  <c r="T1740" i="1"/>
  <c r="T1736" i="1"/>
  <c r="T1732" i="1"/>
  <c r="T1728" i="1"/>
  <c r="T1724" i="1"/>
  <c r="T1720" i="1"/>
  <c r="T1712" i="1"/>
  <c r="T1704" i="1"/>
  <c r="T1700" i="1"/>
  <c r="T1696" i="1"/>
  <c r="T1688" i="1"/>
  <c r="T1684" i="1"/>
  <c r="T1680" i="1"/>
  <c r="T1676" i="1"/>
  <c r="T1672" i="1"/>
  <c r="T1668" i="1"/>
  <c r="T1664" i="1"/>
  <c r="T1660" i="1"/>
  <c r="T1656" i="1"/>
  <c r="T1652" i="1"/>
  <c r="T1648" i="1"/>
  <c r="T1640" i="1"/>
  <c r="T1636" i="1"/>
  <c r="T1632" i="1"/>
  <c r="T1628" i="1"/>
  <c r="T1624" i="1"/>
  <c r="T1620" i="1"/>
  <c r="T1616" i="1"/>
  <c r="T1612" i="1"/>
  <c r="T1608" i="1"/>
  <c r="T1604" i="1"/>
  <c r="T1600" i="1"/>
  <c r="T1596" i="1"/>
  <c r="T488" i="1"/>
  <c r="T468" i="1"/>
  <c r="T424" i="1"/>
  <c r="T404" i="1"/>
  <c r="T360" i="1"/>
  <c r="T1763" i="1"/>
  <c r="T1592" i="1"/>
  <c r="T1588" i="1"/>
  <c r="T1580" i="1"/>
  <c r="T1568" i="1"/>
  <c r="T1564" i="1"/>
  <c r="T1560" i="1"/>
  <c r="T1556" i="1"/>
  <c r="T1552" i="1"/>
  <c r="T1548" i="1"/>
  <c r="T1544" i="1"/>
  <c r="T1540" i="1"/>
  <c r="T1532" i="1"/>
  <c r="T1528" i="1"/>
  <c r="T1524" i="1"/>
  <c r="T1520" i="1"/>
  <c r="T1516" i="1"/>
  <c r="T1512" i="1"/>
  <c r="T1508" i="1"/>
  <c r="T1500" i="1"/>
  <c r="T1496" i="1"/>
  <c r="T1492" i="1"/>
  <c r="T1488" i="1"/>
  <c r="T1484" i="1"/>
  <c r="T1480" i="1"/>
  <c r="T1476" i="1"/>
  <c r="T1472" i="1"/>
  <c r="T1468" i="1"/>
  <c r="T1464" i="1"/>
  <c r="T1460" i="1"/>
  <c r="T1456" i="1"/>
  <c r="T1452" i="1"/>
  <c r="T1444" i="1"/>
  <c r="T1440" i="1"/>
  <c r="T1436" i="1"/>
  <c r="T1432" i="1"/>
  <c r="T1428" i="1"/>
  <c r="T1424" i="1"/>
  <c r="T1420" i="1"/>
  <c r="T1416" i="1"/>
  <c r="T1412" i="1"/>
  <c r="T1408" i="1"/>
  <c r="T1404" i="1"/>
  <c r="T1400" i="1"/>
  <c r="T1396" i="1"/>
  <c r="T1392" i="1"/>
  <c r="T1388" i="1"/>
  <c r="T1384" i="1"/>
  <c r="T1376" i="1"/>
  <c r="T1372" i="1"/>
  <c r="T1368" i="1"/>
  <c r="T1364" i="1"/>
  <c r="T1360" i="1"/>
  <c r="T1356" i="1"/>
  <c r="T1352" i="1"/>
  <c r="T1348" i="1"/>
  <c r="T1344" i="1"/>
  <c r="T1340" i="1"/>
  <c r="T1336" i="1"/>
  <c r="T1332" i="1"/>
  <c r="T1328" i="1"/>
  <c r="T1324" i="1"/>
  <c r="T1320" i="1"/>
  <c r="T1316" i="1"/>
  <c r="T1308" i="1"/>
  <c r="T1304" i="1"/>
  <c r="T1292" i="1"/>
  <c r="T1288" i="1"/>
  <c r="T1284" i="1"/>
  <c r="T1280" i="1"/>
  <c r="T1276" i="1"/>
  <c r="T1272" i="1"/>
  <c r="T1268" i="1"/>
  <c r="T1264" i="1"/>
  <c r="T1260" i="1"/>
  <c r="T1256" i="1"/>
  <c r="T1252" i="1"/>
  <c r="T1248" i="1"/>
  <c r="T1244" i="1"/>
  <c r="T1240" i="1"/>
  <c r="T1236" i="1"/>
  <c r="T1232" i="1"/>
  <c r="T1228" i="1"/>
  <c r="T1224" i="1"/>
  <c r="T1220" i="1"/>
  <c r="T1216" i="1"/>
  <c r="T1212" i="1"/>
  <c r="T1208" i="1"/>
  <c r="T1204" i="1"/>
  <c r="T1196" i="1"/>
  <c r="T1192" i="1"/>
  <c r="T1188" i="1"/>
  <c r="T1180" i="1"/>
  <c r="T1176" i="1"/>
  <c r="T1172" i="1"/>
  <c r="T1168" i="1"/>
  <c r="T1164" i="1"/>
  <c r="T1156" i="1"/>
  <c r="T1152" i="1"/>
  <c r="T1148" i="1"/>
  <c r="T1144" i="1"/>
  <c r="T1140" i="1"/>
  <c r="T1136" i="1"/>
  <c r="T1132" i="1"/>
  <c r="T1128" i="1"/>
  <c r="T1124" i="1"/>
  <c r="T1120" i="1"/>
  <c r="T1116" i="1"/>
  <c r="T1112" i="1"/>
  <c r="T1108" i="1"/>
  <c r="T1104" i="1"/>
  <c r="T1100" i="1"/>
  <c r="T1096" i="1"/>
  <c r="T1092" i="1"/>
  <c r="T1088" i="1"/>
  <c r="T1084" i="1"/>
  <c r="T1080" i="1"/>
  <c r="T1076" i="1"/>
  <c r="T1072" i="1"/>
  <c r="T1068" i="1"/>
  <c r="T1064" i="1"/>
  <c r="T1060" i="1"/>
  <c r="T1056" i="1"/>
  <c r="T1048" i="1"/>
  <c r="T1044" i="1"/>
  <c r="T1040" i="1"/>
  <c r="T1036" i="1"/>
  <c r="T1032" i="1"/>
  <c r="T1028" i="1"/>
  <c r="T1024" i="1"/>
  <c r="T1020" i="1"/>
  <c r="T1016" i="1"/>
  <c r="T1012" i="1"/>
  <c r="T1008" i="1"/>
  <c r="T1004" i="1"/>
  <c r="T1000" i="1"/>
  <c r="T996" i="1"/>
  <c r="T992" i="1"/>
  <c r="T988" i="1"/>
  <c r="T984" i="1"/>
  <c r="T980" i="1"/>
  <c r="T976" i="1"/>
  <c r="T972" i="1"/>
  <c r="T968" i="1"/>
  <c r="T964" i="1"/>
  <c r="T960" i="1"/>
  <c r="T952" i="1"/>
  <c r="T948" i="1"/>
  <c r="T944" i="1"/>
  <c r="T940" i="1"/>
  <c r="T936" i="1"/>
  <c r="T932" i="1"/>
  <c r="T928" i="1"/>
  <c r="T924" i="1"/>
  <c r="T920" i="1"/>
  <c r="T916" i="1"/>
  <c r="T912" i="1"/>
  <c r="T908" i="1"/>
  <c r="T904" i="1"/>
  <c r="T900" i="1"/>
  <c r="T896" i="1"/>
  <c r="T892" i="1"/>
  <c r="T888" i="1"/>
  <c r="T884" i="1"/>
  <c r="T880" i="1"/>
  <c r="T876" i="1"/>
  <c r="T676" i="1"/>
  <c r="T660" i="1"/>
  <c r="T632" i="1"/>
  <c r="T552" i="1"/>
  <c r="T532" i="1"/>
  <c r="T872" i="1"/>
  <c r="T868" i="1"/>
  <c r="T864" i="1"/>
  <c r="T860" i="1"/>
  <c r="T856" i="1"/>
  <c r="T848" i="1"/>
  <c r="T844" i="1"/>
  <c r="T840" i="1"/>
  <c r="T832" i="1"/>
  <c r="T828" i="1"/>
  <c r="T824" i="1"/>
  <c r="T820" i="1"/>
  <c r="T816" i="1"/>
  <c r="T812" i="1"/>
  <c r="T804" i="1"/>
  <c r="T800" i="1"/>
  <c r="T796" i="1"/>
  <c r="T792" i="1"/>
  <c r="T788" i="1"/>
  <c r="T780" i="1"/>
  <c r="T772" i="1"/>
  <c r="T768" i="1"/>
  <c r="T764" i="1"/>
  <c r="T760" i="1"/>
  <c r="T748" i="1"/>
  <c r="T744" i="1"/>
  <c r="T740" i="1"/>
  <c r="T736" i="1"/>
  <c r="T728" i="1"/>
  <c r="T724" i="1"/>
  <c r="T720" i="1"/>
  <c r="T716" i="1"/>
  <c r="T712" i="1"/>
  <c r="T708" i="1"/>
  <c r="T700" i="1"/>
  <c r="T688" i="1"/>
  <c r="T684" i="1"/>
  <c r="T680" i="1"/>
  <c r="T672" i="1"/>
  <c r="T668" i="1"/>
  <c r="T664" i="1"/>
  <c r="T656" i="1"/>
  <c r="T652" i="1"/>
  <c r="T644" i="1"/>
  <c r="T640" i="1"/>
  <c r="T636" i="1"/>
  <c r="T628" i="1"/>
  <c r="T624" i="1"/>
  <c r="T620" i="1"/>
  <c r="T616" i="1"/>
  <c r="T612" i="1"/>
  <c r="T608" i="1"/>
  <c r="T604" i="1"/>
  <c r="T600" i="1"/>
  <c r="T596" i="1"/>
  <c r="T592" i="1"/>
  <c r="T588" i="1"/>
  <c r="T584" i="1"/>
  <c r="T580" i="1"/>
  <c r="T576" i="1"/>
  <c r="T572" i="1"/>
  <c r="T568" i="1"/>
  <c r="T564" i="1"/>
  <c r="T560" i="1"/>
  <c r="T556" i="1"/>
  <c r="T548" i="1"/>
  <c r="T544" i="1"/>
  <c r="T540" i="1"/>
  <c r="T536" i="1"/>
  <c r="T528" i="1"/>
  <c r="T524" i="1"/>
  <c r="T520" i="1"/>
  <c r="T516" i="1"/>
  <c r="T500" i="1"/>
  <c r="T456" i="1"/>
  <c r="T436" i="1"/>
  <c r="T392" i="1"/>
  <c r="T372" i="1"/>
  <c r="T1831" i="1"/>
  <c r="T1823" i="1"/>
  <c r="T1807" i="1"/>
  <c r="T1799" i="1"/>
  <c r="T1767" i="1"/>
  <c r="T1735" i="1"/>
  <c r="T1727" i="1"/>
  <c r="T1719" i="1"/>
  <c r="T1687" i="1"/>
  <c r="T1671" i="1"/>
  <c r="T1655" i="1"/>
  <c r="T1639" i="1"/>
  <c r="T1623" i="1"/>
  <c r="T1607" i="1"/>
  <c r="T1591" i="1"/>
  <c r="T1583" i="1"/>
  <c r="T1575" i="1"/>
  <c r="T1559" i="1"/>
  <c r="T1551" i="1"/>
  <c r="T1527" i="1"/>
  <c r="T1519" i="1"/>
  <c r="T1511" i="1"/>
  <c r="T1503" i="1"/>
  <c r="T1487" i="1"/>
  <c r="T1479" i="1"/>
  <c r="T1471" i="1"/>
  <c r="T1463" i="1"/>
  <c r="T1455" i="1"/>
  <c r="T1447" i="1"/>
  <c r="T1439" i="1"/>
  <c r="T1423" i="1"/>
  <c r="T1407" i="1"/>
  <c r="T1399" i="1"/>
  <c r="T1391" i="1"/>
  <c r="T1379" i="1"/>
  <c r="T1375" i="1"/>
  <c r="T1371" i="1"/>
  <c r="T1367" i="1"/>
  <c r="T1363" i="1"/>
  <c r="T1359" i="1"/>
  <c r="T1355" i="1"/>
  <c r="T1351" i="1"/>
  <c r="T1347" i="1"/>
  <c r="T1343" i="1"/>
  <c r="T1335" i="1"/>
  <c r="T1331" i="1"/>
  <c r="T1323" i="1"/>
  <c r="T1319" i="1"/>
  <c r="T1315" i="1"/>
  <c r="T1307" i="1"/>
  <c r="T1303" i="1"/>
  <c r="T1291" i="1"/>
  <c r="T1287" i="1"/>
  <c r="T1279" i="1"/>
  <c r="T1275" i="1"/>
  <c r="T1267" i="1"/>
  <c r="T1263" i="1"/>
  <c r="T1259" i="1"/>
  <c r="T1255" i="1"/>
  <c r="T1251" i="1"/>
  <c r="T1247" i="1"/>
  <c r="T1243" i="1"/>
  <c r="T1235" i="1"/>
  <c r="T1227" i="1"/>
  <c r="T1223" i="1"/>
  <c r="T1215" i="1"/>
  <c r="T1207" i="1"/>
  <c r="T1203" i="1"/>
  <c r="T1199" i="1"/>
  <c r="T1195" i="1"/>
  <c r="T1187" i="1"/>
  <c r="T1183" i="1"/>
  <c r="T1179" i="1"/>
  <c r="T1163" i="1"/>
  <c r="T1159" i="1"/>
  <c r="T1151" i="1"/>
  <c r="T1139" i="1"/>
  <c r="T1131" i="1"/>
  <c r="T1119" i="1"/>
  <c r="T1115" i="1"/>
  <c r="T1107" i="1"/>
  <c r="T1099" i="1"/>
  <c r="T1095" i="1"/>
  <c r="T1087" i="1"/>
  <c r="T1079" i="1"/>
  <c r="T1071" i="1"/>
  <c r="T1067" i="1"/>
  <c r="T1063" i="1"/>
  <c r="T1059" i="1"/>
  <c r="T1055" i="1"/>
  <c r="T1051" i="1"/>
  <c r="T1047" i="1"/>
  <c r="T1043" i="1"/>
  <c r="T1035" i="1"/>
  <c r="T1031" i="1"/>
  <c r="T1015" i="1"/>
  <c r="T1007" i="1"/>
  <c r="T1003" i="1"/>
  <c r="T983" i="1"/>
  <c r="T955" i="1"/>
  <c r="T951" i="1"/>
  <c r="T947" i="1"/>
  <c r="T939" i="1"/>
  <c r="T931" i="1"/>
  <c r="T927" i="1"/>
  <c r="T923" i="1"/>
  <c r="T919" i="1"/>
  <c r="T915" i="1"/>
  <c r="T907" i="1"/>
  <c r="T903" i="1"/>
  <c r="T895" i="1"/>
  <c r="T891" i="1"/>
  <c r="T883" i="1"/>
  <c r="T879" i="1"/>
  <c r="T867" i="1"/>
  <c r="T863" i="1"/>
  <c r="T855" i="1"/>
  <c r="T851" i="1"/>
  <c r="T827" i="1"/>
  <c r="T787" i="1"/>
  <c r="T779" i="1"/>
  <c r="T767" i="1"/>
  <c r="T727" i="1"/>
  <c r="T711" i="1"/>
  <c r="T607" i="1"/>
  <c r="T563" i="1"/>
  <c r="T543" i="1"/>
  <c r="T499" i="1"/>
  <c r="T479" i="1"/>
  <c r="T435" i="1"/>
  <c r="T415" i="1"/>
  <c r="T371" i="1"/>
  <c r="T351" i="1"/>
  <c r="T323" i="1"/>
  <c r="T283" i="1"/>
  <c r="T243" i="1"/>
  <c r="T239" i="1"/>
  <c r="T199" i="1"/>
  <c r="T155" i="1"/>
  <c r="T115" i="1"/>
  <c r="T111" i="1"/>
  <c r="T71" i="1"/>
  <c r="T27" i="1"/>
  <c r="T512" i="1"/>
  <c r="T508" i="1"/>
  <c r="T504" i="1"/>
  <c r="T496" i="1"/>
  <c r="T492" i="1"/>
  <c r="T484" i="1"/>
  <c r="T480" i="1"/>
  <c r="T476" i="1"/>
  <c r="T472" i="1"/>
  <c r="T464" i="1"/>
  <c r="T460" i="1"/>
  <c r="T452" i="1"/>
  <c r="T448" i="1"/>
  <c r="T444" i="1"/>
  <c r="T440" i="1"/>
  <c r="T432" i="1"/>
  <c r="T428" i="1"/>
  <c r="T420" i="1"/>
  <c r="T416" i="1"/>
  <c r="T412" i="1"/>
  <c r="T408" i="1"/>
  <c r="T400" i="1"/>
  <c r="T396" i="1"/>
  <c r="T388" i="1"/>
  <c r="T384" i="1"/>
  <c r="T380" i="1"/>
  <c r="T376" i="1"/>
  <c r="T368" i="1"/>
  <c r="T364" i="1"/>
  <c r="T356" i="1"/>
  <c r="T352" i="1"/>
  <c r="T348" i="1"/>
  <c r="T344" i="1"/>
  <c r="T340" i="1"/>
  <c r="T336" i="1"/>
  <c r="T332" i="1"/>
  <c r="T328" i="1"/>
  <c r="T324" i="1"/>
  <c r="T320" i="1"/>
  <c r="T316" i="1"/>
  <c r="T312" i="1"/>
  <c r="T308" i="1"/>
  <c r="T304" i="1"/>
  <c r="T300" i="1"/>
  <c r="T296" i="1"/>
  <c r="T292" i="1"/>
  <c r="T288" i="1"/>
  <c r="T284" i="1"/>
  <c r="T280" i="1"/>
  <c r="T276" i="1"/>
  <c r="T272" i="1"/>
  <c r="T268" i="1"/>
  <c r="T264" i="1"/>
  <c r="T260" i="1"/>
  <c r="T256" i="1"/>
  <c r="T252" i="1"/>
  <c r="T248" i="1"/>
  <c r="T244" i="1"/>
  <c r="T240" i="1"/>
  <c r="T236" i="1"/>
  <c r="T232" i="1"/>
  <c r="T228" i="1"/>
  <c r="T224" i="1"/>
  <c r="T220" i="1"/>
  <c r="T216" i="1"/>
  <c r="T212" i="1"/>
  <c r="T208" i="1"/>
  <c r="T204" i="1"/>
  <c r="T200" i="1"/>
  <c r="T196" i="1"/>
  <c r="T192" i="1"/>
  <c r="T188" i="1"/>
  <c r="T184" i="1"/>
  <c r="T180" i="1"/>
  <c r="T176" i="1"/>
  <c r="T172" i="1"/>
  <c r="T168" i="1"/>
  <c r="T164" i="1"/>
  <c r="T160" i="1"/>
  <c r="T156" i="1"/>
  <c r="T152" i="1"/>
  <c r="T148" i="1"/>
  <c r="T144" i="1"/>
  <c r="T140" i="1"/>
  <c r="T136" i="1"/>
  <c r="T132" i="1"/>
  <c r="T128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T16" i="1"/>
  <c r="T12" i="1"/>
  <c r="T8" i="1"/>
  <c r="T759" i="1"/>
  <c r="T747" i="1"/>
  <c r="T743" i="1"/>
  <c r="T735" i="1"/>
  <c r="T683" i="1"/>
  <c r="T679" i="1"/>
  <c r="T671" i="1"/>
  <c r="T667" i="1"/>
  <c r="T651" i="1"/>
  <c r="T623" i="1"/>
  <c r="T615" i="1"/>
  <c r="T611" i="1"/>
  <c r="T603" i="1"/>
  <c r="T599" i="1"/>
  <c r="T587" i="1"/>
  <c r="T583" i="1"/>
  <c r="T579" i="1"/>
  <c r="T571" i="1"/>
  <c r="T567" i="1"/>
  <c r="T559" i="1"/>
  <c r="T555" i="1"/>
  <c r="T551" i="1"/>
  <c r="T547" i="1"/>
  <c r="T539" i="1"/>
  <c r="T535" i="1"/>
  <c r="T527" i="1"/>
  <c r="T523" i="1"/>
  <c r="T519" i="1"/>
  <c r="T515" i="1"/>
  <c r="T507" i="1"/>
  <c r="T503" i="1"/>
  <c r="T495" i="1"/>
  <c r="T491" i="1"/>
  <c r="T487" i="1"/>
  <c r="T483" i="1"/>
  <c r="T475" i="1"/>
  <c r="T471" i="1"/>
  <c r="T463" i="1"/>
  <c r="T459" i="1"/>
  <c r="T455" i="1"/>
  <c r="T451" i="1"/>
  <c r="T443" i="1"/>
  <c r="T439" i="1"/>
  <c r="T431" i="1"/>
  <c r="T427" i="1"/>
  <c r="T423" i="1"/>
  <c r="T419" i="1"/>
  <c r="T411" i="1"/>
  <c r="T407" i="1"/>
  <c r="T399" i="1"/>
  <c r="T395" i="1"/>
  <c r="T391" i="1"/>
  <c r="T387" i="1"/>
  <c r="T379" i="1"/>
  <c r="T375" i="1"/>
  <c r="T367" i="1"/>
  <c r="T363" i="1"/>
  <c r="T359" i="1"/>
  <c r="T355" i="1"/>
  <c r="T347" i="1"/>
  <c r="T343" i="1"/>
  <c r="T339" i="1"/>
  <c r="T335" i="1"/>
  <c r="T331" i="1"/>
  <c r="T327" i="1"/>
  <c r="T319" i="1"/>
  <c r="T315" i="1"/>
  <c r="T311" i="1"/>
  <c r="T299" i="1"/>
  <c r="T295" i="1"/>
  <c r="T291" i="1"/>
  <c r="T287" i="1"/>
  <c r="T279" i="1"/>
  <c r="T275" i="1"/>
  <c r="T271" i="1"/>
  <c r="T267" i="1"/>
  <c r="T259" i="1"/>
  <c r="T255" i="1"/>
  <c r="T251" i="1"/>
  <c r="T247" i="1"/>
  <c r="T235" i="1"/>
  <c r="T231" i="1"/>
  <c r="T227" i="1"/>
  <c r="T223" i="1"/>
  <c r="T215" i="1"/>
  <c r="T211" i="1"/>
  <c r="T207" i="1"/>
  <c r="T203" i="1"/>
  <c r="T195" i="1"/>
  <c r="T191" i="1"/>
  <c r="T187" i="1"/>
  <c r="T183" i="1"/>
  <c r="T171" i="1"/>
  <c r="T167" i="1"/>
  <c r="T163" i="1"/>
  <c r="T159" i="1"/>
  <c r="T151" i="1"/>
  <c r="T147" i="1"/>
  <c r="T143" i="1"/>
  <c r="T139" i="1"/>
  <c r="T131" i="1"/>
  <c r="T127" i="1"/>
  <c r="T123" i="1"/>
  <c r="T119" i="1"/>
  <c r="T107" i="1"/>
  <c r="T103" i="1"/>
  <c r="T99" i="1"/>
  <c r="T95" i="1"/>
  <c r="T87" i="1"/>
  <c r="T83" i="1"/>
  <c r="T79" i="1"/>
  <c r="T75" i="1"/>
  <c r="T67" i="1"/>
  <c r="T63" i="1"/>
  <c r="T59" i="1"/>
  <c r="T55" i="1"/>
  <c r="T43" i="1"/>
  <c r="T39" i="1"/>
  <c r="T35" i="1"/>
  <c r="T31" i="1"/>
  <c r="T23" i="1"/>
  <c r="T19" i="1"/>
  <c r="T15" i="1"/>
  <c r="T11" i="1"/>
  <c r="AA11" i="8"/>
  <c r="AA12" i="8"/>
  <c r="AJ15" i="11"/>
  <c r="AJ19" i="11"/>
  <c r="AJ18" i="11"/>
  <c r="AJ16" i="11"/>
  <c r="AJ12" i="11"/>
  <c r="AJ13" i="11"/>
  <c r="AJ14" i="11"/>
  <c r="AJ20" i="11"/>
  <c r="AJ17" i="11"/>
  <c r="AJ21" i="11"/>
  <c r="AI15" i="11"/>
  <c r="AI19" i="11"/>
  <c r="AI18" i="11"/>
  <c r="AI16" i="11"/>
  <c r="AI12" i="11"/>
  <c r="AI13" i="11"/>
  <c r="AI14" i="11"/>
  <c r="AI20" i="11"/>
  <c r="AI17" i="11"/>
  <c r="AI21" i="11"/>
  <c r="S5" i="8" l="1"/>
  <c r="AK3" i="11"/>
  <c r="AJ3" i="11"/>
  <c r="AI3" i="11"/>
  <c r="AH3" i="11"/>
  <c r="AG3" i="11"/>
  <c r="AF3" i="11"/>
  <c r="AE3" i="11"/>
  <c r="AD3" i="11"/>
  <c r="AC3" i="11"/>
  <c r="AB3" i="11"/>
  <c r="AG15" i="11"/>
  <c r="AH15" i="11" s="1"/>
  <c r="AG19" i="11"/>
  <c r="AH19" i="11" s="1"/>
  <c r="AG18" i="11"/>
  <c r="AH18" i="11" s="1"/>
  <c r="AG16" i="11"/>
  <c r="AH16" i="11" s="1"/>
  <c r="AG12" i="11"/>
  <c r="AH12" i="11" s="1"/>
  <c r="AG13" i="11"/>
  <c r="AH13" i="11" s="1"/>
  <c r="AG14" i="11"/>
  <c r="AH14" i="11" s="1"/>
  <c r="AG20" i="11"/>
  <c r="AH20" i="11" s="1"/>
  <c r="AG17" i="11"/>
  <c r="AH17" i="11" s="1"/>
  <c r="AG21" i="11"/>
  <c r="AH21" i="11" s="1"/>
  <c r="AM11" i="11" l="1"/>
  <c r="G2" i="12"/>
  <c r="G3" i="12"/>
  <c r="G1" i="12"/>
  <c r="AD4" i="11" l="1"/>
  <c r="AE4" i="11"/>
  <c r="AF4" i="11"/>
  <c r="AH4" i="11"/>
  <c r="AJ4" i="11"/>
  <c r="B9" i="11"/>
  <c r="AB4" i="11" s="1"/>
  <c r="AD6" i="1"/>
  <c r="AD7" i="1"/>
  <c r="AD8" i="1"/>
  <c r="AD9" i="1"/>
  <c r="AD10" i="1"/>
  <c r="AD11" i="1"/>
  <c r="AD12" i="1"/>
  <c r="AD13" i="1"/>
  <c r="AD14" i="1"/>
  <c r="AD15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6" i="1"/>
  <c r="AD107" i="1"/>
  <c r="AD108" i="1"/>
  <c r="AD109" i="1"/>
  <c r="AD110" i="1"/>
  <c r="AD111" i="1"/>
  <c r="AD112" i="1"/>
  <c r="AD113" i="1"/>
  <c r="AD115" i="1"/>
  <c r="AD116" i="1"/>
  <c r="AD117" i="1"/>
  <c r="AD118" i="1"/>
  <c r="AD119" i="1"/>
  <c r="AD120" i="1"/>
  <c r="AD121" i="1"/>
  <c r="AD122" i="1"/>
  <c r="AD123" i="1"/>
  <c r="AD124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8" i="1"/>
  <c r="AD229" i="1"/>
  <c r="AD231" i="1"/>
  <c r="AD232" i="1"/>
  <c r="AD233" i="1"/>
  <c r="AD234" i="1"/>
  <c r="AD235" i="1"/>
  <c r="AD236" i="1"/>
  <c r="AD237" i="1"/>
  <c r="AD238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3" i="1"/>
  <c r="AD264" i="1"/>
  <c r="AD265" i="1"/>
  <c r="AD266" i="1"/>
  <c r="AD267" i="1"/>
  <c r="AD268" i="1"/>
  <c r="AD269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8" i="1"/>
  <c r="AD319" i="1"/>
  <c r="AD320" i="1"/>
  <c r="AD321" i="1"/>
  <c r="AD322" i="1"/>
  <c r="AD323" i="1"/>
  <c r="AD324" i="1"/>
  <c r="AD326" i="1"/>
  <c r="AD327" i="1"/>
  <c r="AD328" i="1"/>
  <c r="AD329" i="1"/>
  <c r="AD330" i="1"/>
  <c r="AD331" i="1"/>
  <c r="AD332" i="1"/>
  <c r="AD333" i="1"/>
  <c r="AD334" i="1"/>
  <c r="AD335" i="1"/>
  <c r="AD336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5" i="1"/>
  <c r="AD466" i="1"/>
  <c r="AD467" i="1"/>
  <c r="AD468" i="1"/>
  <c r="AD469" i="1"/>
  <c r="AD470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2" i="1"/>
  <c r="AD553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7" i="1"/>
  <c r="AD578" i="1"/>
  <c r="AD579" i="1"/>
  <c r="AD580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3" i="1"/>
  <c r="AD1354" i="1"/>
  <c r="AD1355" i="1"/>
  <c r="AD1356" i="1"/>
  <c r="AD1357" i="1"/>
  <c r="AD1358" i="1"/>
  <c r="AD1359" i="1"/>
  <c r="AD1360" i="1"/>
  <c r="AD1361" i="1"/>
  <c r="AD1362" i="1"/>
  <c r="AD1364" i="1"/>
  <c r="AD1365" i="1"/>
  <c r="AD1366" i="1"/>
  <c r="AD1367" i="1"/>
  <c r="AD1368" i="1"/>
  <c r="AD1369" i="1"/>
  <c r="AD1370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4" i="1"/>
  <c r="AD1645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3" i="1"/>
  <c r="AC384" i="1"/>
  <c r="AC385" i="1"/>
  <c r="AC386" i="1"/>
  <c r="AC387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3" i="1"/>
  <c r="AC614" i="1"/>
  <c r="AC615" i="1"/>
  <c r="AC617" i="1"/>
  <c r="AC618" i="1"/>
  <c r="AC619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6" i="1"/>
  <c r="AC637" i="1"/>
  <c r="AC639" i="1"/>
  <c r="AC640" i="1"/>
  <c r="AC641" i="1"/>
  <c r="AC643" i="1"/>
  <c r="AC644" i="1"/>
  <c r="AC645" i="1"/>
  <c r="AC646" i="1"/>
  <c r="AC647" i="1"/>
  <c r="AC649" i="1"/>
  <c r="AC650" i="1"/>
  <c r="AC651" i="1"/>
  <c r="AC652" i="1"/>
  <c r="AC653" i="1"/>
  <c r="AC654" i="1"/>
  <c r="AC656" i="1"/>
  <c r="AC657" i="1"/>
  <c r="AC659" i="1"/>
  <c r="AC660" i="1"/>
  <c r="AC661" i="1"/>
  <c r="AC662" i="1"/>
  <c r="AC663" i="1"/>
  <c r="AC664" i="1"/>
  <c r="AC665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5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7" i="1"/>
  <c r="AC708" i="1"/>
  <c r="AC709" i="1"/>
  <c r="AC710" i="1"/>
  <c r="AC711" i="1"/>
  <c r="AC712" i="1"/>
  <c r="AC713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7" i="1"/>
  <c r="AC768" i="1"/>
  <c r="AC769" i="1"/>
  <c r="AC770" i="1"/>
  <c r="AC771" i="1"/>
  <c r="AC772" i="1"/>
  <c r="AC774" i="1"/>
  <c r="AC775" i="1"/>
  <c r="AC777" i="1"/>
  <c r="AC778" i="1"/>
  <c r="AC779" i="1"/>
  <c r="AC780" i="1"/>
  <c r="AC781" i="1"/>
  <c r="AC782" i="1"/>
  <c r="AC783" i="1"/>
  <c r="AC784" i="1"/>
  <c r="AC786" i="1"/>
  <c r="AC787" i="1"/>
  <c r="AC788" i="1"/>
  <c r="AC789" i="1"/>
  <c r="AC791" i="1"/>
  <c r="AC792" i="1"/>
  <c r="AC793" i="1"/>
  <c r="AC794" i="1"/>
  <c r="AC795" i="1"/>
  <c r="AC796" i="1"/>
  <c r="AC797" i="1"/>
  <c r="AC798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2" i="1"/>
  <c r="AC833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7" i="1"/>
  <c r="AC1019" i="1"/>
  <c r="AC1020" i="1"/>
  <c r="AC1021" i="1"/>
  <c r="AC1022" i="1"/>
  <c r="AC1023" i="1"/>
  <c r="AC1025" i="1"/>
  <c r="AC1026" i="1"/>
  <c r="AC1028" i="1"/>
  <c r="AC1029" i="1"/>
  <c r="AC1030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8" i="1"/>
  <c r="AC1049" i="1"/>
  <c r="AC1050" i="1"/>
  <c r="AC1051" i="1"/>
  <c r="AC1052" i="1"/>
  <c r="AC1054" i="1"/>
  <c r="AC1055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7" i="1"/>
  <c r="AC1108" i="1"/>
  <c r="AC1110" i="1"/>
  <c r="AC1112" i="1"/>
  <c r="AC1113" i="1"/>
  <c r="AC1114" i="1"/>
  <c r="AC1115" i="1"/>
  <c r="AC1116" i="1"/>
  <c r="AC1117" i="1"/>
  <c r="AC1118" i="1"/>
  <c r="AC1119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5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9" i="1"/>
  <c r="AC1300" i="1"/>
  <c r="AC1301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5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1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4" i="1"/>
  <c r="AC1615" i="1"/>
  <c r="AC1616" i="1"/>
  <c r="AC1617" i="1"/>
  <c r="AC1618" i="1"/>
  <c r="AC1619" i="1"/>
  <c r="AC1620" i="1"/>
  <c r="AC1621" i="1"/>
  <c r="AC1623" i="1"/>
  <c r="AC1624" i="1"/>
  <c r="AC1625" i="1"/>
  <c r="AC1626" i="1"/>
  <c r="AC1627" i="1"/>
  <c r="AC1628" i="1"/>
  <c r="AC1629" i="1"/>
  <c r="AC1631" i="1"/>
  <c r="AC1632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4" i="1"/>
  <c r="AC1685" i="1"/>
  <c r="AC1686" i="1"/>
  <c r="AC1687" i="1"/>
  <c r="AC1688" i="1"/>
  <c r="AC1689" i="1"/>
  <c r="AC1690" i="1"/>
  <c r="AC1691" i="1"/>
  <c r="AC1692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4" i="1"/>
  <c r="AC1865" i="1"/>
  <c r="AC1866" i="1"/>
  <c r="AC1867" i="1"/>
  <c r="AC1868" i="1"/>
  <c r="AC1869" i="1"/>
  <c r="AC1870" i="1"/>
  <c r="AC1871" i="1"/>
  <c r="AC1873" i="1"/>
  <c r="AC1874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6" i="1"/>
  <c r="AB1887" i="1"/>
  <c r="AB1888" i="1"/>
  <c r="AA6" i="1"/>
  <c r="AA7" i="1"/>
  <c r="AA8" i="1"/>
  <c r="AA9" i="1"/>
  <c r="AA10" i="1"/>
  <c r="AA11" i="1"/>
  <c r="AA13" i="1"/>
  <c r="AA14" i="1"/>
  <c r="AA15" i="1"/>
  <c r="AA16" i="1"/>
  <c r="AA17" i="1"/>
  <c r="AA18" i="1"/>
  <c r="AA19" i="1"/>
  <c r="AA20" i="1"/>
  <c r="AA21" i="1"/>
  <c r="AA23" i="1"/>
  <c r="AA27" i="1"/>
  <c r="AA29" i="1"/>
  <c r="AA31" i="1"/>
  <c r="AA33" i="1"/>
  <c r="AA36" i="1"/>
  <c r="AA37" i="1"/>
  <c r="AA38" i="1"/>
  <c r="AA39" i="1"/>
  <c r="AA41" i="1"/>
  <c r="AA42" i="1"/>
  <c r="AA44" i="1"/>
  <c r="AA45" i="1"/>
  <c r="AA46" i="1"/>
  <c r="AA47" i="1"/>
  <c r="AA48" i="1"/>
  <c r="AA50" i="1"/>
  <c r="AA51" i="1"/>
  <c r="AA53" i="1"/>
  <c r="AA54" i="1"/>
  <c r="AA55" i="1"/>
  <c r="AA57" i="1"/>
  <c r="AA58" i="1"/>
  <c r="AA59" i="1"/>
  <c r="AA62" i="1"/>
  <c r="AA63" i="1"/>
  <c r="AA64" i="1"/>
  <c r="AA65" i="1"/>
  <c r="AA67" i="1"/>
  <c r="AA69" i="1"/>
  <c r="AA70" i="1"/>
  <c r="AA71" i="1"/>
  <c r="AA72" i="1"/>
  <c r="AA74" i="1"/>
  <c r="AA78" i="1"/>
  <c r="AA79" i="1"/>
  <c r="AA80" i="1"/>
  <c r="AA81" i="1"/>
  <c r="AA82" i="1"/>
  <c r="AA84" i="1"/>
  <c r="AA86" i="1"/>
  <c r="AA88" i="1"/>
  <c r="AA89" i="1"/>
  <c r="AA90" i="1"/>
  <c r="AA91" i="1"/>
  <c r="AA92" i="1"/>
  <c r="AA93" i="1"/>
  <c r="AA94" i="1"/>
  <c r="AA96" i="1"/>
  <c r="AA97" i="1"/>
  <c r="AA98" i="1"/>
  <c r="AA101" i="1"/>
  <c r="AA103" i="1"/>
  <c r="AA104" i="1"/>
  <c r="AA105" i="1"/>
  <c r="AA106" i="1"/>
  <c r="AA108" i="1"/>
  <c r="AA109" i="1"/>
  <c r="AA110" i="1"/>
  <c r="AA111" i="1"/>
  <c r="AA113" i="1"/>
  <c r="AA114" i="1"/>
  <c r="AA116" i="1"/>
  <c r="AA118" i="1"/>
  <c r="AA119" i="1"/>
  <c r="AA120" i="1"/>
  <c r="AA122" i="1"/>
  <c r="AA123" i="1"/>
  <c r="AA124" i="1"/>
  <c r="AA125" i="1"/>
  <c r="AA126" i="1"/>
  <c r="AA127" i="1"/>
  <c r="AA130" i="1"/>
  <c r="AA131" i="1"/>
  <c r="AA132" i="1"/>
  <c r="AA133" i="1"/>
  <c r="AA134" i="1"/>
  <c r="AA135" i="1"/>
  <c r="AA137" i="1"/>
  <c r="AA141" i="1"/>
  <c r="AA142" i="1"/>
  <c r="AA143" i="1"/>
  <c r="AA144" i="1"/>
  <c r="AA145" i="1"/>
  <c r="AA146" i="1"/>
  <c r="AA147" i="1"/>
  <c r="AA148" i="1"/>
  <c r="AA150" i="1"/>
  <c r="AA151" i="1"/>
  <c r="AA152" i="1"/>
  <c r="AA154" i="1"/>
  <c r="AA155" i="1"/>
  <c r="AA156" i="1"/>
  <c r="AA157" i="1"/>
  <c r="AA158" i="1"/>
  <c r="AA159" i="1"/>
  <c r="AA160" i="1"/>
  <c r="AA163" i="1"/>
  <c r="AA166" i="1"/>
  <c r="AA169" i="1"/>
  <c r="AA170" i="1"/>
  <c r="AA171" i="1"/>
  <c r="AA172" i="1"/>
  <c r="AA173" i="1"/>
  <c r="AA174" i="1"/>
  <c r="AA175" i="1"/>
  <c r="AA176" i="1"/>
  <c r="AA178" i="1"/>
  <c r="AA179" i="1"/>
  <c r="AA180" i="1"/>
  <c r="AA182" i="1"/>
  <c r="AA183" i="1"/>
  <c r="AA184" i="1"/>
  <c r="AA186" i="1"/>
  <c r="AA187" i="1"/>
  <c r="AA188" i="1"/>
  <c r="AA189" i="1"/>
  <c r="AA192" i="1"/>
  <c r="AA193" i="1"/>
  <c r="AA194" i="1"/>
  <c r="AA195" i="1"/>
  <c r="AA196" i="1"/>
  <c r="AA197" i="1"/>
  <c r="AA199" i="1"/>
  <c r="AA201" i="1"/>
  <c r="AA202" i="1"/>
  <c r="AA206" i="1"/>
  <c r="AA207" i="1"/>
  <c r="AA208" i="1"/>
  <c r="AA211" i="1"/>
  <c r="AA212" i="1"/>
  <c r="AA214" i="1"/>
  <c r="AA215" i="1"/>
  <c r="AA216" i="1"/>
  <c r="AA218" i="1"/>
  <c r="AA219" i="1"/>
  <c r="AA221" i="1"/>
  <c r="AA222" i="1"/>
  <c r="AA223" i="1"/>
  <c r="AA225" i="1"/>
  <c r="AA227" i="1"/>
  <c r="AA229" i="1"/>
  <c r="AA230" i="1"/>
  <c r="AA231" i="1"/>
  <c r="AA232" i="1"/>
  <c r="AA233" i="1"/>
  <c r="AA235" i="1"/>
  <c r="AA236" i="1"/>
  <c r="AA239" i="1"/>
  <c r="AA240" i="1"/>
  <c r="AA241" i="1"/>
  <c r="AA242" i="1"/>
  <c r="AA246" i="1"/>
  <c r="AA248" i="1"/>
  <c r="AA250" i="1"/>
  <c r="AA252" i="1"/>
  <c r="AA253" i="1"/>
  <c r="AA254" i="1"/>
  <c r="AA255" i="1"/>
  <c r="AA257" i="1"/>
  <c r="AA258" i="1"/>
  <c r="AA259" i="1"/>
  <c r="AA261" i="1"/>
  <c r="AA262" i="1"/>
  <c r="AA263" i="1"/>
  <c r="AA264" i="1"/>
  <c r="AA266" i="1"/>
  <c r="AA267" i="1"/>
  <c r="AA269" i="1"/>
  <c r="AA270" i="1"/>
  <c r="AA271" i="1"/>
  <c r="AA272" i="1"/>
  <c r="AA273" i="1"/>
  <c r="AA274" i="1"/>
  <c r="AA276" i="1"/>
  <c r="AA278" i="1"/>
  <c r="AA279" i="1"/>
  <c r="AA280" i="1"/>
  <c r="AA281" i="1"/>
  <c r="AA282" i="1"/>
  <c r="AA283" i="1"/>
  <c r="AA285" i="1"/>
  <c r="AA286" i="1"/>
  <c r="AA287" i="1"/>
  <c r="AA289" i="1"/>
  <c r="AA290" i="1"/>
  <c r="AA291" i="1"/>
  <c r="AA293" i="1"/>
  <c r="AA294" i="1"/>
  <c r="AA295" i="1"/>
  <c r="AA298" i="1"/>
  <c r="AA299" i="1"/>
  <c r="AA300" i="1"/>
  <c r="AA301" i="1"/>
  <c r="AA302" i="1"/>
  <c r="AA303" i="1"/>
  <c r="AA304" i="1"/>
  <c r="AA305" i="1"/>
  <c r="AA306" i="1"/>
  <c r="AA307" i="1"/>
  <c r="AA308" i="1"/>
  <c r="AA310" i="1"/>
  <c r="AA311" i="1"/>
  <c r="AA314" i="1"/>
  <c r="AA315" i="1"/>
  <c r="AA316" i="1"/>
  <c r="AA317" i="1"/>
  <c r="AA318" i="1"/>
  <c r="AA319" i="1"/>
  <c r="AA322" i="1"/>
  <c r="AA323" i="1"/>
  <c r="AA324" i="1"/>
  <c r="AA325" i="1"/>
  <c r="AA326" i="1"/>
  <c r="AA327" i="1"/>
  <c r="AA331" i="1"/>
  <c r="AA333" i="1"/>
  <c r="AA334" i="1"/>
  <c r="AA335" i="1"/>
  <c r="AA337" i="1"/>
  <c r="AA339" i="1"/>
  <c r="AA342" i="1"/>
  <c r="AA343" i="1"/>
  <c r="AA344" i="1"/>
  <c r="AA345" i="1"/>
  <c r="AA346" i="1"/>
  <c r="AA347" i="1"/>
  <c r="AA349" i="1"/>
  <c r="AA350" i="1"/>
  <c r="AA351" i="1"/>
  <c r="AA352" i="1"/>
  <c r="AA354" i="1"/>
  <c r="AA355" i="1"/>
  <c r="AA356" i="1"/>
  <c r="AA358" i="1"/>
  <c r="AA359" i="1"/>
  <c r="AA361" i="1"/>
  <c r="AA362" i="1"/>
  <c r="AA365" i="1"/>
  <c r="AA368" i="1"/>
  <c r="AA371" i="1"/>
  <c r="AA372" i="1"/>
  <c r="AA373" i="1"/>
  <c r="AA375" i="1"/>
  <c r="AA377" i="1"/>
  <c r="AA378" i="1"/>
  <c r="AA379" i="1"/>
  <c r="AA380" i="1"/>
  <c r="AA381" i="1"/>
  <c r="AA382" i="1"/>
  <c r="AA386" i="1"/>
  <c r="AA387" i="1"/>
  <c r="AA388" i="1"/>
  <c r="AA390" i="1"/>
  <c r="AA391" i="1"/>
  <c r="AA394" i="1"/>
  <c r="AA395" i="1"/>
  <c r="AA396" i="1"/>
  <c r="AA399" i="1"/>
  <c r="AA400" i="1"/>
  <c r="AA401" i="1"/>
  <c r="AA402" i="1"/>
  <c r="AA403" i="1"/>
  <c r="AA404" i="1"/>
  <c r="AA406" i="1"/>
  <c r="AA407" i="1"/>
  <c r="AA409" i="1"/>
  <c r="AA410" i="1"/>
  <c r="AA411" i="1"/>
  <c r="AA412" i="1"/>
  <c r="AA413" i="1"/>
  <c r="AA415" i="1"/>
  <c r="AA417" i="1"/>
  <c r="AA418" i="1"/>
  <c r="AA419" i="1"/>
  <c r="AA420" i="1"/>
  <c r="AA421" i="1"/>
  <c r="AA422" i="1"/>
  <c r="AA423" i="1"/>
  <c r="AA426" i="1"/>
  <c r="AA427" i="1"/>
  <c r="AA429" i="1"/>
  <c r="AA430" i="1"/>
  <c r="AA431" i="1"/>
  <c r="AA432" i="1"/>
  <c r="AA433" i="1"/>
  <c r="AA434" i="1"/>
  <c r="AA435" i="1"/>
  <c r="AA436" i="1"/>
  <c r="AA437" i="1"/>
  <c r="AA438" i="1"/>
  <c r="AA441" i="1"/>
  <c r="AA443" i="1"/>
  <c r="AA445" i="1"/>
  <c r="AA446" i="1"/>
  <c r="AA447" i="1"/>
  <c r="AA448" i="1"/>
  <c r="AA449" i="1"/>
  <c r="AA452" i="1"/>
  <c r="AA453" i="1"/>
  <c r="AA454" i="1"/>
  <c r="AA456" i="1"/>
  <c r="AA459" i="1"/>
  <c r="AA460" i="1"/>
  <c r="AA461" i="1"/>
  <c r="AA464" i="1"/>
  <c r="AA466" i="1"/>
  <c r="AA467" i="1"/>
  <c r="AA468" i="1"/>
  <c r="AA469" i="1"/>
  <c r="AA471" i="1"/>
  <c r="AA472" i="1"/>
  <c r="AA473" i="1"/>
  <c r="AA474" i="1"/>
  <c r="AA475" i="1"/>
  <c r="AA476" i="1"/>
  <c r="AA477" i="1"/>
  <c r="AA478" i="1"/>
  <c r="AA479" i="1"/>
  <c r="AA481" i="1"/>
  <c r="AA482" i="1"/>
  <c r="AA483" i="1"/>
  <c r="AA484" i="1"/>
  <c r="AA485" i="1"/>
  <c r="AA486" i="1"/>
  <c r="AA487" i="1"/>
  <c r="AA488" i="1"/>
  <c r="AA490" i="1"/>
  <c r="AA492" i="1"/>
  <c r="AA493" i="1"/>
  <c r="AA496" i="1"/>
  <c r="AA499" i="1"/>
  <c r="AA500" i="1"/>
  <c r="AA501" i="1"/>
  <c r="AA502" i="1"/>
  <c r="AA506" i="1"/>
  <c r="AA508" i="1"/>
  <c r="AA509" i="1"/>
  <c r="AA511" i="1"/>
  <c r="AA512" i="1"/>
  <c r="AA514" i="1"/>
  <c r="AA515" i="1"/>
  <c r="AA519" i="1"/>
  <c r="AA520" i="1"/>
  <c r="AA522" i="1"/>
  <c r="AA523" i="1"/>
  <c r="AA526" i="1"/>
  <c r="AA527" i="1"/>
  <c r="AA528" i="1"/>
  <c r="AA529" i="1"/>
  <c r="AA531" i="1"/>
  <c r="AA532" i="1"/>
  <c r="AA534" i="1"/>
  <c r="AA535" i="1"/>
  <c r="AA536" i="1"/>
  <c r="AA537" i="1"/>
  <c r="AA539" i="1"/>
  <c r="AA540" i="1"/>
  <c r="AA541" i="1"/>
  <c r="AA542" i="1"/>
  <c r="AA543" i="1"/>
  <c r="AA545" i="1"/>
  <c r="AA546" i="1"/>
  <c r="AA547" i="1"/>
  <c r="AA548" i="1"/>
  <c r="AA549" i="1"/>
  <c r="AA550" i="1"/>
  <c r="AA551" i="1"/>
  <c r="AA552" i="1"/>
  <c r="AA554" i="1"/>
  <c r="AA555" i="1"/>
  <c r="AA556" i="1"/>
  <c r="AA557" i="1"/>
  <c r="AA558" i="1"/>
  <c r="AA559" i="1"/>
  <c r="AA560" i="1"/>
  <c r="AA561" i="1"/>
  <c r="AA562" i="1"/>
  <c r="AA564" i="1"/>
  <c r="AA565" i="1"/>
  <c r="AA568" i="1"/>
  <c r="AA569" i="1"/>
  <c r="AA571" i="1"/>
  <c r="AA573" i="1"/>
  <c r="AA574" i="1"/>
  <c r="AA575" i="1"/>
  <c r="AA576" i="1"/>
  <c r="AA577" i="1"/>
  <c r="AA580" i="1"/>
  <c r="AA581" i="1"/>
  <c r="AA582" i="1"/>
  <c r="AA583" i="1"/>
  <c r="AA584" i="1"/>
  <c r="AA585" i="1"/>
  <c r="AA586" i="1"/>
  <c r="AA587" i="1"/>
  <c r="AA588" i="1"/>
  <c r="AA589" i="1"/>
  <c r="AA590" i="1"/>
  <c r="AA593" i="1"/>
  <c r="AA594" i="1"/>
  <c r="AA596" i="1"/>
  <c r="AA598" i="1"/>
  <c r="AA599" i="1"/>
  <c r="AA600" i="1"/>
  <c r="AA603" i="1"/>
  <c r="AA604" i="1"/>
  <c r="AA606" i="1"/>
  <c r="AA607" i="1"/>
  <c r="AA609" i="1"/>
  <c r="AA611" i="1"/>
  <c r="AA612" i="1"/>
  <c r="AA614" i="1"/>
  <c r="AA616" i="1"/>
  <c r="AA617" i="1"/>
  <c r="AA620" i="1"/>
  <c r="AA622" i="1"/>
  <c r="AA623" i="1"/>
  <c r="AA624" i="1"/>
  <c r="AA625" i="1"/>
  <c r="AA626" i="1"/>
  <c r="AA627" i="1"/>
  <c r="AA629" i="1"/>
  <c r="AA630" i="1"/>
  <c r="AA632" i="1"/>
  <c r="AA634" i="1"/>
  <c r="AA635" i="1"/>
  <c r="AA638" i="1"/>
  <c r="AA641" i="1"/>
  <c r="AA642" i="1"/>
  <c r="AA647" i="1"/>
  <c r="AA648" i="1"/>
  <c r="AA649" i="1"/>
  <c r="AA652" i="1"/>
  <c r="AA653" i="1"/>
  <c r="AA654" i="1"/>
  <c r="AA655" i="1"/>
  <c r="AA658" i="1"/>
  <c r="AA661" i="1"/>
  <c r="AA663" i="1"/>
  <c r="AA665" i="1"/>
  <c r="AA666" i="1"/>
  <c r="AA667" i="1"/>
  <c r="AA669" i="1"/>
  <c r="AA672" i="1"/>
  <c r="AA673" i="1"/>
  <c r="AA674" i="1"/>
  <c r="AA675" i="1"/>
  <c r="AA676" i="1"/>
  <c r="AA679" i="1"/>
  <c r="AA682" i="1"/>
  <c r="AA684" i="1"/>
  <c r="AA685" i="1"/>
  <c r="AA686" i="1"/>
  <c r="AA687" i="1"/>
  <c r="AA689" i="1"/>
  <c r="AA691" i="1"/>
  <c r="AA692" i="1"/>
  <c r="AA693" i="1"/>
  <c r="AA694" i="1"/>
  <c r="AA695" i="1"/>
  <c r="AA698" i="1"/>
  <c r="AA699" i="1"/>
  <c r="AA700" i="1"/>
  <c r="AA701" i="1"/>
  <c r="AA702" i="1"/>
  <c r="AA704" i="1"/>
  <c r="AA705" i="1"/>
  <c r="AA706" i="1"/>
  <c r="AA707" i="1"/>
  <c r="AA714" i="1"/>
  <c r="AA717" i="1"/>
  <c r="AA718" i="1"/>
  <c r="AA719" i="1"/>
  <c r="AA720" i="1"/>
  <c r="AA721" i="1"/>
  <c r="AA722" i="1"/>
  <c r="AA723" i="1"/>
  <c r="AA728" i="1"/>
  <c r="AA729" i="1"/>
  <c r="AA730" i="1"/>
  <c r="AA732" i="1"/>
  <c r="AA733" i="1"/>
  <c r="AA734" i="1"/>
  <c r="AA735" i="1"/>
  <c r="AA737" i="1"/>
  <c r="AA739" i="1"/>
  <c r="AA742" i="1"/>
  <c r="AA743" i="1"/>
  <c r="AA744" i="1"/>
  <c r="AA745" i="1"/>
  <c r="AA747" i="1"/>
  <c r="AA748" i="1"/>
  <c r="AA750" i="1"/>
  <c r="AA751" i="1"/>
  <c r="AA752" i="1"/>
  <c r="AA753" i="1"/>
  <c r="AA754" i="1"/>
  <c r="AA755" i="1"/>
  <c r="AA756" i="1"/>
  <c r="AA757" i="1"/>
  <c r="AA758" i="1"/>
  <c r="AA759" i="1"/>
  <c r="AA761" i="1"/>
  <c r="AA762" i="1"/>
  <c r="AA763" i="1"/>
  <c r="AA764" i="1"/>
  <c r="AA765" i="1"/>
  <c r="AA766" i="1"/>
  <c r="AA768" i="1"/>
  <c r="AA770" i="1"/>
  <c r="AA771" i="1"/>
  <c r="AA773" i="1"/>
  <c r="AA775" i="1"/>
  <c r="AA776" i="1"/>
  <c r="AA777" i="1"/>
  <c r="AA780" i="1"/>
  <c r="AA781" i="1"/>
  <c r="AA783" i="1"/>
  <c r="AA784" i="1"/>
  <c r="AA785" i="1"/>
  <c r="AA786" i="1"/>
  <c r="AA787" i="1"/>
  <c r="AA788" i="1"/>
  <c r="AA789" i="1"/>
  <c r="AA790" i="1"/>
  <c r="AA792" i="1"/>
  <c r="AA793" i="1"/>
  <c r="AA794" i="1"/>
  <c r="AA795" i="1"/>
  <c r="AA796" i="1"/>
  <c r="AA799" i="1"/>
  <c r="AA800" i="1"/>
  <c r="AA805" i="1"/>
  <c r="AA808" i="1"/>
  <c r="AA809" i="1"/>
  <c r="AA810" i="1"/>
  <c r="AA811" i="1"/>
  <c r="AA812" i="1"/>
  <c r="AA813" i="1"/>
  <c r="AA816" i="1"/>
  <c r="AA817" i="1"/>
  <c r="AA818" i="1"/>
  <c r="AA819" i="1"/>
  <c r="AA821" i="1"/>
  <c r="AA822" i="1"/>
  <c r="AA823" i="1"/>
  <c r="AA826" i="1"/>
  <c r="AA827" i="1"/>
  <c r="AA829" i="1"/>
  <c r="AA830" i="1"/>
  <c r="AA831" i="1"/>
  <c r="AA832" i="1"/>
  <c r="AA834" i="1"/>
  <c r="AA836" i="1"/>
  <c r="AA837" i="1"/>
  <c r="AA838" i="1"/>
  <c r="AA839" i="1"/>
  <c r="AA841" i="1"/>
  <c r="AA842" i="1"/>
  <c r="AA844" i="1"/>
  <c r="AA845" i="1"/>
  <c r="AA846" i="1"/>
  <c r="AA847" i="1"/>
  <c r="AA848" i="1"/>
  <c r="AA850" i="1"/>
  <c r="AA851" i="1"/>
  <c r="AA852" i="1"/>
  <c r="AA853" i="1"/>
  <c r="AA854" i="1"/>
  <c r="AA856" i="1"/>
  <c r="AA857" i="1"/>
  <c r="AA859" i="1"/>
  <c r="AA860" i="1"/>
  <c r="AA861" i="1"/>
  <c r="AA862" i="1"/>
  <c r="AA864" i="1"/>
  <c r="AA866" i="1"/>
  <c r="AA868" i="1"/>
  <c r="AA869" i="1"/>
  <c r="AA871" i="1"/>
  <c r="AA874" i="1"/>
  <c r="AA875" i="1"/>
  <c r="AA876" i="1"/>
  <c r="AA877" i="1"/>
  <c r="AA879" i="1"/>
  <c r="AA880" i="1"/>
  <c r="AA881" i="1"/>
  <c r="AA883" i="1"/>
  <c r="AA885" i="1"/>
  <c r="AA888" i="1"/>
  <c r="AA889" i="1"/>
  <c r="AA890" i="1"/>
  <c r="AA892" i="1"/>
  <c r="AA895" i="1"/>
  <c r="AA896" i="1"/>
  <c r="AA898" i="1"/>
  <c r="AA900" i="1"/>
  <c r="AA903" i="1"/>
  <c r="AA904" i="1"/>
  <c r="AA905" i="1"/>
  <c r="AA906" i="1"/>
  <c r="AA908" i="1"/>
  <c r="AA909" i="1"/>
  <c r="AA910" i="1"/>
  <c r="AA911" i="1"/>
  <c r="AA912" i="1"/>
  <c r="AA914" i="1"/>
  <c r="AA915" i="1"/>
  <c r="AA916" i="1"/>
  <c r="AA917" i="1"/>
  <c r="AA918" i="1"/>
  <c r="AA919" i="1"/>
  <c r="AA920" i="1"/>
  <c r="AA922" i="1"/>
  <c r="AA923" i="1"/>
  <c r="AA925" i="1"/>
  <c r="AA926" i="1"/>
  <c r="AA928" i="1"/>
  <c r="AA931" i="1"/>
  <c r="AA932" i="1"/>
  <c r="AA933" i="1"/>
  <c r="AA934" i="1"/>
  <c r="AA935" i="1"/>
  <c r="AA936" i="1"/>
  <c r="AA938" i="1"/>
  <c r="AA939" i="1"/>
  <c r="AA941" i="1"/>
  <c r="AA943" i="1"/>
  <c r="AA944" i="1"/>
  <c r="AA945" i="1"/>
  <c r="AA947" i="1"/>
  <c r="AA948" i="1"/>
  <c r="AA949" i="1"/>
  <c r="AA951" i="1"/>
  <c r="AA954" i="1"/>
  <c r="AA955" i="1"/>
  <c r="AA957" i="1"/>
  <c r="AA959" i="1"/>
  <c r="AA960" i="1"/>
  <c r="AA961" i="1"/>
  <c r="AA962" i="1"/>
  <c r="AA963" i="1"/>
  <c r="AA966" i="1"/>
  <c r="AA967" i="1"/>
  <c r="AA970" i="1"/>
  <c r="AA971" i="1"/>
  <c r="AA972" i="1"/>
  <c r="AA973" i="1"/>
  <c r="AA974" i="1"/>
  <c r="AA975" i="1"/>
  <c r="AA976" i="1"/>
  <c r="AA977" i="1"/>
  <c r="AA980" i="1"/>
  <c r="AA981" i="1"/>
  <c r="AA986" i="1"/>
  <c r="AA987" i="1"/>
  <c r="AA989" i="1"/>
  <c r="AA990" i="1"/>
  <c r="AA992" i="1"/>
  <c r="AA993" i="1"/>
  <c r="AA994" i="1"/>
  <c r="AA996" i="1"/>
  <c r="AA999" i="1"/>
  <c r="AA1000" i="1"/>
  <c r="AA1001" i="1"/>
  <c r="AA1004" i="1"/>
  <c r="AA1005" i="1"/>
  <c r="AA1009" i="1"/>
  <c r="AA1010" i="1"/>
  <c r="AA1012" i="1"/>
  <c r="AA1015" i="1"/>
  <c r="AA1016" i="1"/>
  <c r="AA1018" i="1"/>
  <c r="AA1020" i="1"/>
  <c r="AA1021" i="1"/>
  <c r="AA1022" i="1"/>
  <c r="AA1023" i="1"/>
  <c r="AA1024" i="1"/>
  <c r="AA1025" i="1"/>
  <c r="AA1027" i="1"/>
  <c r="AA1028" i="1"/>
  <c r="AA1029" i="1"/>
  <c r="AA1030" i="1"/>
  <c r="AA1031" i="1"/>
  <c r="AA1032" i="1"/>
  <c r="AA1035" i="1"/>
  <c r="AA1036" i="1"/>
  <c r="AA1038" i="1"/>
  <c r="AA1039" i="1"/>
  <c r="AA1040" i="1"/>
  <c r="AA1041" i="1"/>
  <c r="AA1042" i="1"/>
  <c r="AA1043" i="1"/>
  <c r="AA1044" i="1"/>
  <c r="AA1046" i="1"/>
  <c r="AA1047" i="1"/>
  <c r="AA1048" i="1"/>
  <c r="AA1049" i="1"/>
  <c r="AA1050" i="1"/>
  <c r="AA1052" i="1"/>
  <c r="AA1053" i="1"/>
  <c r="AA1054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8" i="1"/>
  <c r="AA1069" i="1"/>
  <c r="AA1070" i="1"/>
  <c r="AA1072" i="1"/>
  <c r="AA1074" i="1"/>
  <c r="AA1075" i="1"/>
  <c r="AA1076" i="1"/>
  <c r="AA1078" i="1"/>
  <c r="AA1079" i="1"/>
  <c r="AA1080" i="1"/>
  <c r="AA1081" i="1"/>
  <c r="AA1082" i="1"/>
  <c r="AA1083" i="1"/>
  <c r="AA1087" i="1"/>
  <c r="AA1089" i="1"/>
  <c r="AA1090" i="1"/>
  <c r="AA1091" i="1"/>
  <c r="AA1092" i="1"/>
  <c r="AA1095" i="1"/>
  <c r="AA1096" i="1"/>
  <c r="AA1097" i="1"/>
  <c r="AA1102" i="1"/>
  <c r="AA1103" i="1"/>
  <c r="AA1106" i="1"/>
  <c r="AA1107" i="1"/>
  <c r="AA1109" i="1"/>
  <c r="AA1111" i="1"/>
  <c r="AA1115" i="1"/>
  <c r="AA1117" i="1"/>
  <c r="AA1118" i="1"/>
  <c r="AA1119" i="1"/>
  <c r="AA1120" i="1"/>
  <c r="AA1121" i="1"/>
  <c r="AA1122" i="1"/>
  <c r="AA1123" i="1"/>
  <c r="AA1124" i="1"/>
  <c r="AA1127" i="1"/>
  <c r="AA1128" i="1"/>
  <c r="AA1129" i="1"/>
  <c r="AA1130" i="1"/>
  <c r="AA1131" i="1"/>
  <c r="AA1132" i="1"/>
  <c r="AA1134" i="1"/>
  <c r="AA1136" i="1"/>
  <c r="AA1137" i="1"/>
  <c r="AA1141" i="1"/>
  <c r="AA1142" i="1"/>
  <c r="AA1143" i="1"/>
  <c r="AA1144" i="1"/>
  <c r="AA1145" i="1"/>
  <c r="AA1146" i="1"/>
  <c r="AA1148" i="1"/>
  <c r="AA1150" i="1"/>
  <c r="AA1152" i="1"/>
  <c r="AA1153" i="1"/>
  <c r="AA1154" i="1"/>
  <c r="AA1155" i="1"/>
  <c r="AA1158" i="1"/>
  <c r="AA1159" i="1"/>
  <c r="AA1160" i="1"/>
  <c r="AA1161" i="1"/>
  <c r="AA1162" i="1"/>
  <c r="AA1163" i="1"/>
  <c r="AA1165" i="1"/>
  <c r="AA1166" i="1"/>
  <c r="AA1167" i="1"/>
  <c r="AA1169" i="1"/>
  <c r="AA1170" i="1"/>
  <c r="AA1171" i="1"/>
  <c r="AA1172" i="1"/>
  <c r="AA1176" i="1"/>
  <c r="AA1177" i="1"/>
  <c r="AA1178" i="1"/>
  <c r="AA1179" i="1"/>
  <c r="AA1180" i="1"/>
  <c r="AA1181" i="1"/>
  <c r="AA1182" i="1"/>
  <c r="AA1183" i="1"/>
  <c r="AA1186" i="1"/>
  <c r="AA1188" i="1"/>
  <c r="AA1189" i="1"/>
  <c r="AA1191" i="1"/>
  <c r="AA1195" i="1"/>
  <c r="AA1196" i="1"/>
  <c r="AA1197" i="1"/>
  <c r="AA1199" i="1"/>
  <c r="AA1202" i="1"/>
  <c r="AA1203" i="1"/>
  <c r="AA1205" i="1"/>
  <c r="AA1207" i="1"/>
  <c r="AA1209" i="1"/>
  <c r="AA1210" i="1"/>
  <c r="AA1212" i="1"/>
  <c r="AA1213" i="1"/>
  <c r="AA1214" i="1"/>
  <c r="AA1215" i="1"/>
  <c r="AA1216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7" i="1"/>
  <c r="AA1238" i="1"/>
  <c r="AA1239" i="1"/>
  <c r="AA1240" i="1"/>
  <c r="AA1241" i="1"/>
  <c r="AA1243" i="1"/>
  <c r="AA1245" i="1"/>
  <c r="AA1247" i="1"/>
  <c r="AA1249" i="1"/>
  <c r="AA1251" i="1"/>
  <c r="AA1252" i="1"/>
  <c r="AA1255" i="1"/>
  <c r="AA1257" i="1"/>
  <c r="AA1260" i="1"/>
  <c r="AA1261" i="1"/>
  <c r="AA1262" i="1"/>
  <c r="AA1264" i="1"/>
  <c r="AA1267" i="1"/>
  <c r="AA1268" i="1"/>
  <c r="AA1269" i="1"/>
  <c r="AA1270" i="1"/>
  <c r="AA1271" i="1"/>
  <c r="AA1272" i="1"/>
  <c r="AA1274" i="1"/>
  <c r="AA1275" i="1"/>
  <c r="AA1277" i="1"/>
  <c r="AA1278" i="1"/>
  <c r="AA1280" i="1"/>
  <c r="AA1282" i="1"/>
  <c r="AA1283" i="1"/>
  <c r="AA1284" i="1"/>
  <c r="AA1285" i="1"/>
  <c r="AA1286" i="1"/>
  <c r="AA1287" i="1"/>
  <c r="AA1288" i="1"/>
  <c r="AA1290" i="1"/>
  <c r="AA1295" i="1"/>
  <c r="AA1297" i="1"/>
  <c r="AA1298" i="1"/>
  <c r="AA1299" i="1"/>
  <c r="AA1300" i="1"/>
  <c r="AA1302" i="1"/>
  <c r="AA1303" i="1"/>
  <c r="AA1304" i="1"/>
  <c r="AA1305" i="1"/>
  <c r="AA1307" i="1"/>
  <c r="AA1310" i="1"/>
  <c r="AA1312" i="1"/>
  <c r="AA1314" i="1"/>
  <c r="AA1317" i="1"/>
  <c r="AA1318" i="1"/>
  <c r="AA1319" i="1"/>
  <c r="AA1320" i="1"/>
  <c r="AA1321" i="1"/>
  <c r="AA1323" i="1"/>
  <c r="AA1324" i="1"/>
  <c r="AA1325" i="1"/>
  <c r="AA1326" i="1"/>
  <c r="AA1328" i="1"/>
  <c r="AA1329" i="1"/>
  <c r="AA1331" i="1"/>
  <c r="AA1332" i="1"/>
  <c r="AA1333" i="1"/>
  <c r="AA1334" i="1"/>
  <c r="AA1335" i="1"/>
  <c r="AA1337" i="1"/>
  <c r="AA1338" i="1"/>
  <c r="AA1339" i="1"/>
  <c r="AA1340" i="1"/>
  <c r="AA1342" i="1"/>
  <c r="AA1345" i="1"/>
  <c r="AA1346" i="1"/>
  <c r="AA1348" i="1"/>
  <c r="AA1349" i="1"/>
  <c r="AA1350" i="1"/>
  <c r="AA1351" i="1"/>
  <c r="AA1352" i="1"/>
  <c r="AA1353" i="1"/>
  <c r="AA1354" i="1"/>
  <c r="AA1355" i="1"/>
  <c r="AA1356" i="1"/>
  <c r="AA1358" i="1"/>
  <c r="AA1360" i="1"/>
  <c r="AA1363" i="1"/>
  <c r="AA1364" i="1"/>
  <c r="AA1366" i="1"/>
  <c r="AA1367" i="1"/>
  <c r="AA1368" i="1"/>
  <c r="AA1369" i="1"/>
  <c r="AA1371" i="1"/>
  <c r="AA1372" i="1"/>
  <c r="AA1374" i="1"/>
  <c r="AA1375" i="1"/>
  <c r="AA1376" i="1"/>
  <c r="AA1378" i="1"/>
  <c r="AA1379" i="1"/>
  <c r="AA1380" i="1"/>
  <c r="AA1382" i="1"/>
  <c r="AA1383" i="1"/>
  <c r="AA1384" i="1"/>
  <c r="AA1386" i="1"/>
  <c r="AA1387" i="1"/>
  <c r="AA1388" i="1"/>
  <c r="AA1391" i="1"/>
  <c r="AA1393" i="1"/>
  <c r="AA1394" i="1"/>
  <c r="AA1395" i="1"/>
  <c r="AA1397" i="1"/>
  <c r="AA1398" i="1"/>
  <c r="AA1399" i="1"/>
  <c r="AA1401" i="1"/>
  <c r="AA1402" i="1"/>
  <c r="AA1403" i="1"/>
  <c r="AA1404" i="1"/>
  <c r="AA1405" i="1"/>
  <c r="AA1407" i="1"/>
  <c r="AA1408" i="1"/>
  <c r="AA1409" i="1"/>
  <c r="AA1410" i="1"/>
  <c r="AA1412" i="1"/>
  <c r="AA1413" i="1"/>
  <c r="AA1415" i="1"/>
  <c r="AA1416" i="1"/>
  <c r="AA1418" i="1"/>
  <c r="AA1419" i="1"/>
  <c r="AA1421" i="1"/>
  <c r="AA1422" i="1"/>
  <c r="AA1423" i="1"/>
  <c r="AA1424" i="1"/>
  <c r="AA1427" i="1"/>
  <c r="AA1429" i="1"/>
  <c r="AA1431" i="1"/>
  <c r="AA1432" i="1"/>
  <c r="AA1433" i="1"/>
  <c r="AA1436" i="1"/>
  <c r="AA1438" i="1"/>
  <c r="AA1439" i="1"/>
  <c r="AA1440" i="1"/>
  <c r="AA1441" i="1"/>
  <c r="AA1443" i="1"/>
  <c r="AA1444" i="1"/>
  <c r="AA1445" i="1"/>
  <c r="AA1446" i="1"/>
  <c r="AA1448" i="1"/>
  <c r="AA1449" i="1"/>
  <c r="AA1450" i="1"/>
  <c r="AA1451" i="1"/>
  <c r="AA1453" i="1"/>
  <c r="AA1454" i="1"/>
  <c r="AA1456" i="1"/>
  <c r="AA1457" i="1"/>
  <c r="AA1458" i="1"/>
  <c r="AA1460" i="1"/>
  <c r="AA1461" i="1"/>
  <c r="AA1462" i="1"/>
  <c r="AA1463" i="1"/>
  <c r="AA1464" i="1"/>
  <c r="AA1465" i="1"/>
  <c r="AA1466" i="1"/>
  <c r="AA1467" i="1"/>
  <c r="AA1469" i="1"/>
  <c r="AA1471" i="1"/>
  <c r="AA1472" i="1"/>
  <c r="AA1473" i="1"/>
  <c r="AA1474" i="1"/>
  <c r="AA1476" i="1"/>
  <c r="AA1477" i="1"/>
  <c r="AA1478" i="1"/>
  <c r="AA1479" i="1"/>
  <c r="AA1480" i="1"/>
  <c r="AA1481" i="1"/>
  <c r="AA1482" i="1"/>
  <c r="AA1483" i="1"/>
  <c r="AA1485" i="1"/>
  <c r="AA1486" i="1"/>
  <c r="AA1487" i="1"/>
  <c r="AA1489" i="1"/>
  <c r="AA1490" i="1"/>
  <c r="AA1491" i="1"/>
  <c r="AA1492" i="1"/>
  <c r="AA1493" i="1"/>
  <c r="AA1494" i="1"/>
  <c r="AA1496" i="1"/>
  <c r="AA1497" i="1"/>
  <c r="AA1498" i="1"/>
  <c r="AA1499" i="1"/>
  <c r="AA1500" i="1"/>
  <c r="AA1501" i="1"/>
  <c r="AA1504" i="1"/>
  <c r="AA1505" i="1"/>
  <c r="AA1506" i="1"/>
  <c r="AA1507" i="1"/>
  <c r="AA1508" i="1"/>
  <c r="AA1509" i="1"/>
  <c r="AA1514" i="1"/>
  <c r="AA1518" i="1"/>
  <c r="AA1519" i="1"/>
  <c r="AA1520" i="1"/>
  <c r="AA1522" i="1"/>
  <c r="AA1523" i="1"/>
  <c r="AA1524" i="1"/>
  <c r="AA1525" i="1"/>
  <c r="AA1526" i="1"/>
  <c r="AA1527" i="1"/>
  <c r="AA1529" i="1"/>
  <c r="AA1530" i="1"/>
  <c r="AA1531" i="1"/>
  <c r="AA1534" i="1"/>
  <c r="AA1535" i="1"/>
  <c r="AA1536" i="1"/>
  <c r="AA1537" i="1"/>
  <c r="AA1538" i="1"/>
  <c r="AA1539" i="1"/>
  <c r="AA1540" i="1"/>
  <c r="AA1541" i="1"/>
  <c r="AA1542" i="1"/>
  <c r="AA1544" i="1"/>
  <c r="AA1546" i="1"/>
  <c r="AA1547" i="1"/>
  <c r="AA1548" i="1"/>
  <c r="AA1549" i="1"/>
  <c r="AA1550" i="1"/>
  <c r="AA1552" i="1"/>
  <c r="AA1553" i="1"/>
  <c r="AA1554" i="1"/>
  <c r="AA1556" i="1"/>
  <c r="AA1557" i="1"/>
  <c r="AA1558" i="1"/>
  <c r="AA1559" i="1"/>
  <c r="AA1560" i="1"/>
  <c r="AA1561" i="1"/>
  <c r="AA1562" i="1"/>
  <c r="AA1563" i="1"/>
  <c r="AA1564" i="1"/>
  <c r="AA1566" i="1"/>
  <c r="AA1567" i="1"/>
  <c r="AA1568" i="1"/>
  <c r="AA1569" i="1"/>
  <c r="AA1571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2" i="1"/>
  <c r="AA1593" i="1"/>
  <c r="AA1595" i="1"/>
  <c r="AA1598" i="1"/>
  <c r="AA1599" i="1"/>
  <c r="AA1600" i="1"/>
  <c r="AA1602" i="1"/>
  <c r="AA1603" i="1"/>
  <c r="AA1604" i="1"/>
  <c r="AA1607" i="1"/>
  <c r="AA1608" i="1"/>
  <c r="AA1609" i="1"/>
  <c r="AA1610" i="1"/>
  <c r="AA1611" i="1"/>
  <c r="AA1612" i="1"/>
  <c r="AA1613" i="1"/>
  <c r="AA1614" i="1"/>
  <c r="AA1615" i="1"/>
  <c r="AA1617" i="1"/>
  <c r="AA1618" i="1"/>
  <c r="AA1619" i="1"/>
  <c r="AA1621" i="1"/>
  <c r="AA1622" i="1"/>
  <c r="AA1623" i="1"/>
  <c r="AA1624" i="1"/>
  <c r="AA1625" i="1"/>
  <c r="AA1628" i="1"/>
  <c r="AA1630" i="1"/>
  <c r="AA1631" i="1"/>
  <c r="AA1632" i="1"/>
  <c r="AA1633" i="1"/>
  <c r="AA1635" i="1"/>
  <c r="AA1636" i="1"/>
  <c r="AA1637" i="1"/>
  <c r="AA1639" i="1"/>
  <c r="AA1640" i="1"/>
  <c r="AA1642" i="1"/>
  <c r="AA1643" i="1"/>
  <c r="AA1644" i="1"/>
  <c r="AA1645" i="1"/>
  <c r="AA1646" i="1"/>
  <c r="AA1647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2" i="1"/>
  <c r="AA1673" i="1"/>
  <c r="AA1674" i="1"/>
  <c r="AA1675" i="1"/>
  <c r="AA1676" i="1"/>
  <c r="AA1677" i="1"/>
  <c r="AA1678" i="1"/>
  <c r="AA1679" i="1"/>
  <c r="AA1680" i="1"/>
  <c r="AA1682" i="1"/>
  <c r="AA1683" i="1"/>
  <c r="AA1685" i="1"/>
  <c r="AA1688" i="1"/>
  <c r="AA1689" i="1"/>
  <c r="AA1690" i="1"/>
  <c r="AA1691" i="1"/>
  <c r="AA1692" i="1"/>
  <c r="AA1693" i="1"/>
  <c r="AA1694" i="1"/>
  <c r="AA1695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10" i="1"/>
  <c r="AA1711" i="1"/>
  <c r="AA1712" i="1"/>
  <c r="AA1714" i="1"/>
  <c r="AA1720" i="1"/>
  <c r="AA1721" i="1"/>
  <c r="AA1722" i="1"/>
  <c r="AA1724" i="1"/>
  <c r="AA1728" i="1"/>
  <c r="AA1730" i="1"/>
  <c r="AA1733" i="1"/>
  <c r="AA1734" i="1"/>
  <c r="AA1735" i="1"/>
  <c r="AA1737" i="1"/>
  <c r="AA1738" i="1"/>
  <c r="AA1741" i="1"/>
  <c r="AA1742" i="1"/>
  <c r="AA1744" i="1"/>
  <c r="AA1746" i="1"/>
  <c r="AA1749" i="1"/>
  <c r="AA1751" i="1"/>
  <c r="AA1752" i="1"/>
  <c r="AA1753" i="1"/>
  <c r="AA1754" i="1"/>
  <c r="AA1755" i="1"/>
  <c r="AA1756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4" i="1"/>
  <c r="AA1775" i="1"/>
  <c r="AA1777" i="1"/>
  <c r="AA1778" i="1"/>
  <c r="AA1780" i="1"/>
  <c r="AA1782" i="1"/>
  <c r="AA1783" i="1"/>
  <c r="AA1784" i="1"/>
  <c r="AA1785" i="1"/>
  <c r="AA1786" i="1"/>
  <c r="AA1787" i="1"/>
  <c r="AA1789" i="1"/>
  <c r="AA1790" i="1"/>
  <c r="AA1791" i="1"/>
  <c r="AA1792" i="1"/>
  <c r="AA1797" i="1"/>
  <c r="AA1798" i="1"/>
  <c r="AA1799" i="1"/>
  <c r="AA1800" i="1"/>
  <c r="AA1801" i="1"/>
  <c r="AA1802" i="1"/>
  <c r="AA1803" i="1"/>
  <c r="AA1804" i="1"/>
  <c r="AA1805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21" i="1"/>
  <c r="AA1822" i="1"/>
  <c r="AA1826" i="1"/>
  <c r="AA1827" i="1"/>
  <c r="AA1829" i="1"/>
  <c r="AA1830" i="1"/>
  <c r="AA1831" i="1"/>
  <c r="AA1832" i="1"/>
  <c r="AA1833" i="1"/>
  <c r="AA1834" i="1"/>
  <c r="AA1835" i="1"/>
  <c r="AA1838" i="1"/>
  <c r="AA1839" i="1"/>
  <c r="AA1841" i="1"/>
  <c r="AA1842" i="1"/>
  <c r="AA1844" i="1"/>
  <c r="AA1845" i="1"/>
  <c r="AA1846" i="1"/>
  <c r="AA1847" i="1"/>
  <c r="AA1849" i="1"/>
  <c r="AA1850" i="1"/>
  <c r="AA1851" i="1"/>
  <c r="AA1852" i="1"/>
  <c r="AA1854" i="1"/>
  <c r="AA1855" i="1"/>
  <c r="AA1857" i="1"/>
  <c r="AA1858" i="1"/>
  <c r="AA1859" i="1"/>
  <c r="AA1861" i="1"/>
  <c r="AA1862" i="1"/>
  <c r="AA1863" i="1"/>
  <c r="AA1864" i="1"/>
  <c r="AA1865" i="1"/>
  <c r="AA1866" i="1"/>
  <c r="AA1868" i="1"/>
  <c r="AA1869" i="1"/>
  <c r="AA1870" i="1"/>
  <c r="AA1871" i="1"/>
  <c r="AA1872" i="1"/>
  <c r="AA1873" i="1"/>
  <c r="AA1874" i="1"/>
  <c r="AA1875" i="1"/>
  <c r="AA1877" i="1"/>
  <c r="AA1878" i="1"/>
  <c r="AA1879" i="1"/>
  <c r="AA1880" i="1"/>
  <c r="AA1881" i="1"/>
  <c r="AA1883" i="1"/>
  <c r="AA1884" i="1"/>
  <c r="AA1885" i="1"/>
  <c r="AA1886" i="1"/>
  <c r="AA1887" i="1"/>
  <c r="AA1888" i="1"/>
  <c r="Z6" i="1"/>
  <c r="Z7" i="1"/>
  <c r="Z8" i="1"/>
  <c r="Z9" i="1"/>
  <c r="Z11" i="1"/>
  <c r="Z12" i="1"/>
  <c r="Z13" i="1"/>
  <c r="Z14" i="1"/>
  <c r="Z15" i="1"/>
  <c r="Z16" i="1"/>
  <c r="Z18" i="1"/>
  <c r="Z19" i="1"/>
  <c r="Z22" i="1"/>
  <c r="Z23" i="1"/>
  <c r="Z24" i="1"/>
  <c r="Z25" i="1"/>
  <c r="Z26" i="1"/>
  <c r="Z27" i="1"/>
  <c r="Z28" i="1"/>
  <c r="Z29" i="1"/>
  <c r="Z30" i="1"/>
  <c r="Z31" i="1"/>
  <c r="Z32" i="1"/>
  <c r="Z34" i="1"/>
  <c r="Z35" i="1"/>
  <c r="Z36" i="1"/>
  <c r="Z37" i="1"/>
  <c r="Z38" i="1"/>
  <c r="Z39" i="1"/>
  <c r="Z40" i="1"/>
  <c r="Z42" i="1"/>
  <c r="Z43" i="1"/>
  <c r="Z44" i="1"/>
  <c r="Z45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3" i="1"/>
  <c r="Z284" i="1"/>
  <c r="Z285" i="1"/>
  <c r="Z286" i="1"/>
  <c r="Z287" i="1"/>
  <c r="Z288" i="1"/>
  <c r="Z289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50" i="1"/>
  <c r="Z351" i="1"/>
  <c r="Z352" i="1"/>
  <c r="Z353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7" i="1"/>
  <c r="Z398" i="1"/>
  <c r="Z399" i="1"/>
  <c r="Z400" i="1"/>
  <c r="Z401" i="1"/>
  <c r="Z402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8" i="1"/>
  <c r="Z429" i="1"/>
  <c r="Z430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1" i="1"/>
  <c r="Z632" i="1"/>
  <c r="Z633" i="1"/>
  <c r="Z634" i="1"/>
  <c r="Z635" i="1"/>
  <c r="Z636" i="1"/>
  <c r="Z637" i="1"/>
  <c r="Z638" i="1"/>
  <c r="Z639" i="1"/>
  <c r="Z640" i="1"/>
  <c r="Z642" i="1"/>
  <c r="Z643" i="1"/>
  <c r="Z644" i="1"/>
  <c r="Z645" i="1"/>
  <c r="Z646" i="1"/>
  <c r="Z647" i="1"/>
  <c r="Z648" i="1"/>
  <c r="Z649" i="1"/>
  <c r="Z650" i="1"/>
  <c r="Z651" i="1"/>
  <c r="Z652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40" i="1"/>
  <c r="Z741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1" i="1"/>
  <c r="Z812" i="1"/>
  <c r="Z813" i="1"/>
  <c r="Z814" i="1"/>
  <c r="Z815" i="1"/>
  <c r="Z816" i="1"/>
  <c r="Z817" i="1"/>
  <c r="Z818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7" i="1"/>
  <c r="Z878" i="1"/>
  <c r="Z879" i="1"/>
  <c r="Z880" i="1"/>
  <c r="Z881" i="1"/>
  <c r="Z882" i="1"/>
  <c r="Z883" i="1"/>
  <c r="Z884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2" i="1"/>
  <c r="Z1003" i="1"/>
  <c r="Z1004" i="1"/>
  <c r="Z1005" i="1"/>
  <c r="Z1006" i="1"/>
  <c r="Z1007" i="1"/>
  <c r="Z1008" i="1"/>
  <c r="Z1009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8" i="1"/>
  <c r="Z1109" i="1"/>
  <c r="Z1110" i="1"/>
  <c r="Z1111" i="1"/>
  <c r="Z1112" i="1"/>
  <c r="Z1113" i="1"/>
  <c r="Z1114" i="1"/>
  <c r="Z1115" i="1"/>
  <c r="Z1116" i="1"/>
  <c r="Z1118" i="1"/>
  <c r="Z1119" i="1"/>
  <c r="Z1120" i="1"/>
  <c r="Z1121" i="1"/>
  <c r="Z1122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1" i="1"/>
  <c r="Z1352" i="1"/>
  <c r="Z1353" i="1"/>
  <c r="Z1354" i="1"/>
  <c r="Z1355" i="1"/>
  <c r="Z1357" i="1"/>
  <c r="Z1359" i="1"/>
  <c r="Z1360" i="1"/>
  <c r="Z1361" i="1"/>
  <c r="Z1362" i="1"/>
  <c r="Z1363" i="1"/>
  <c r="Z1365" i="1"/>
  <c r="Z1366" i="1"/>
  <c r="Z1367" i="1"/>
  <c r="Z1368" i="1"/>
  <c r="Z1369" i="1"/>
  <c r="Z1370" i="1"/>
  <c r="Z1371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8" i="1"/>
  <c r="Z1459" i="1"/>
  <c r="Z1461" i="1"/>
  <c r="Z1462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8" i="1"/>
  <c r="Z1739" i="1"/>
  <c r="Z1740" i="1"/>
  <c r="Z1742" i="1"/>
  <c r="Z1743" i="1"/>
  <c r="Z1744" i="1"/>
  <c r="Z1745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X6" i="1"/>
  <c r="X8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5" i="1"/>
  <c r="X306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6" i="1"/>
  <c r="X557" i="1"/>
  <c r="X558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7" i="1"/>
  <c r="X608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6" i="1"/>
  <c r="X757" i="1"/>
  <c r="X758" i="1"/>
  <c r="X759" i="1"/>
  <c r="X760" i="1"/>
  <c r="X761" i="1"/>
  <c r="X762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10" i="1"/>
  <c r="X811" i="1"/>
  <c r="X812" i="1"/>
  <c r="X813" i="1"/>
  <c r="X814" i="1"/>
  <c r="X815" i="1"/>
  <c r="X817" i="1"/>
  <c r="X818" i="1"/>
  <c r="X819" i="1"/>
  <c r="X820" i="1"/>
  <c r="X821" i="1"/>
  <c r="X822" i="1"/>
  <c r="X824" i="1"/>
  <c r="X825" i="1"/>
  <c r="X826" i="1"/>
  <c r="X827" i="1"/>
  <c r="X828" i="1"/>
  <c r="X829" i="1"/>
  <c r="X830" i="1"/>
  <c r="X831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90" i="1"/>
  <c r="X891" i="1"/>
  <c r="X892" i="1"/>
  <c r="X893" i="1"/>
  <c r="X894" i="1"/>
  <c r="X895" i="1"/>
  <c r="X896" i="1"/>
  <c r="X897" i="1"/>
  <c r="X898" i="1"/>
  <c r="X899" i="1"/>
  <c r="X901" i="1"/>
  <c r="X902" i="1"/>
  <c r="X903" i="1"/>
  <c r="X904" i="1"/>
  <c r="X905" i="1"/>
  <c r="X906" i="1"/>
  <c r="X907" i="1"/>
  <c r="X908" i="1"/>
  <c r="X910" i="1"/>
  <c r="X911" i="1"/>
  <c r="X913" i="1"/>
  <c r="X914" i="1"/>
  <c r="X915" i="1"/>
  <c r="X916" i="1"/>
  <c r="X917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6" i="1"/>
  <c r="X1027" i="1"/>
  <c r="X1028" i="1"/>
  <c r="X1029" i="1"/>
  <c r="X1030" i="1"/>
  <c r="X1031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6" i="1"/>
  <c r="X1147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40" i="1"/>
  <c r="X1341" i="1"/>
  <c r="X1343" i="1"/>
  <c r="X1344" i="1"/>
  <c r="X1346" i="1"/>
  <c r="X1347" i="1"/>
  <c r="X1348" i="1"/>
  <c r="X1349" i="1"/>
  <c r="X1350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4" i="1"/>
  <c r="X1405" i="1"/>
  <c r="X1406" i="1"/>
  <c r="X1407" i="1"/>
  <c r="X1408" i="1"/>
  <c r="X1409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6" i="1"/>
  <c r="X1467" i="1"/>
  <c r="X1468" i="1"/>
  <c r="X1469" i="1"/>
  <c r="X1470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5" i="1"/>
  <c r="X1526" i="1"/>
  <c r="X1527" i="1"/>
  <c r="X1528" i="1"/>
  <c r="X1529" i="1"/>
  <c r="X1530" i="1"/>
  <c r="X1531" i="1"/>
  <c r="X1532" i="1"/>
  <c r="X1533" i="1"/>
  <c r="X1534" i="1"/>
  <c r="X1535" i="1"/>
  <c r="X1537" i="1"/>
  <c r="X1538" i="1"/>
  <c r="X1539" i="1"/>
  <c r="X1540" i="1"/>
  <c r="X1541" i="1"/>
  <c r="X1542" i="1"/>
  <c r="X1543" i="1"/>
  <c r="X1544" i="1"/>
  <c r="X1545" i="1"/>
  <c r="X1546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6" i="1"/>
  <c r="X1767" i="1"/>
  <c r="X1768" i="1"/>
  <c r="X1769" i="1"/>
  <c r="X1770" i="1"/>
  <c r="X1771" i="1"/>
  <c r="X1772" i="1"/>
  <c r="X1773" i="1"/>
  <c r="X1774" i="1"/>
  <c r="X1775" i="1"/>
  <c r="X1776" i="1"/>
  <c r="X1778" i="1"/>
  <c r="X1779" i="1"/>
  <c r="X1780" i="1"/>
  <c r="X1781" i="1"/>
  <c r="X1782" i="1"/>
  <c r="X1783" i="1"/>
  <c r="X1784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3" i="1"/>
  <c r="X1804" i="1"/>
  <c r="X1805" i="1"/>
  <c r="X1806" i="1"/>
  <c r="X1807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40" i="1"/>
  <c r="W41" i="1"/>
  <c r="W43" i="1"/>
  <c r="W45" i="1"/>
  <c r="W46" i="1"/>
  <c r="W47" i="1"/>
  <c r="W48" i="1"/>
  <c r="W49" i="1"/>
  <c r="W50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8" i="1"/>
  <c r="W69" i="1"/>
  <c r="W70" i="1"/>
  <c r="W71" i="1"/>
  <c r="W72" i="1"/>
  <c r="W73" i="1"/>
  <c r="W74" i="1"/>
  <c r="W75" i="1"/>
  <c r="W76" i="1"/>
  <c r="W77" i="1"/>
  <c r="W78" i="1"/>
  <c r="W80" i="1"/>
  <c r="W81" i="1"/>
  <c r="W82" i="1"/>
  <c r="W83" i="1"/>
  <c r="W84" i="1"/>
  <c r="W85" i="1"/>
  <c r="W86" i="1"/>
  <c r="W87" i="1"/>
  <c r="W89" i="1"/>
  <c r="W90" i="1"/>
  <c r="W92" i="1"/>
  <c r="W93" i="1"/>
  <c r="W94" i="1"/>
  <c r="W95" i="1"/>
  <c r="W97" i="1"/>
  <c r="W98" i="1"/>
  <c r="W99" i="1"/>
  <c r="W100" i="1"/>
  <c r="W101" i="1"/>
  <c r="W102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9" i="1"/>
  <c r="W250" i="1"/>
  <c r="W251" i="1"/>
  <c r="W252" i="1"/>
  <c r="W253" i="1"/>
  <c r="W254" i="1"/>
  <c r="W256" i="1"/>
  <c r="W257" i="1"/>
  <c r="W258" i="1"/>
  <c r="W259" i="1"/>
  <c r="W260" i="1"/>
  <c r="W261" i="1"/>
  <c r="W262" i="1"/>
  <c r="W263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7" i="1"/>
  <c r="W348" i="1"/>
  <c r="W349" i="1"/>
  <c r="W350" i="1"/>
  <c r="W352" i="1"/>
  <c r="W353" i="1"/>
  <c r="W354" i="1"/>
  <c r="W355" i="1"/>
  <c r="W356" i="1"/>
  <c r="W357" i="1"/>
  <c r="W358" i="1"/>
  <c r="W359" i="1"/>
  <c r="W360" i="1"/>
  <c r="W362" i="1"/>
  <c r="W363" i="1"/>
  <c r="W364" i="1"/>
  <c r="W365" i="1"/>
  <c r="W366" i="1"/>
  <c r="W367" i="1"/>
  <c r="W368" i="1"/>
  <c r="W369" i="1"/>
  <c r="W370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6" i="1"/>
  <c r="W418" i="1"/>
  <c r="W419" i="1"/>
  <c r="W420" i="1"/>
  <c r="W421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2" i="1"/>
  <c r="W483" i="1"/>
  <c r="W484" i="1"/>
  <c r="W485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7" i="1"/>
  <c r="W528" i="1"/>
  <c r="W529" i="1"/>
  <c r="W530" i="1"/>
  <c r="W531" i="1"/>
  <c r="W532" i="1"/>
  <c r="W533" i="1"/>
  <c r="W534" i="1"/>
  <c r="W535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8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8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4" i="1"/>
  <c r="W755" i="1"/>
  <c r="W756" i="1"/>
  <c r="W757" i="1"/>
  <c r="W758" i="1"/>
  <c r="W759" i="1"/>
  <c r="W760" i="1"/>
  <c r="W761" i="1"/>
  <c r="W762" i="1"/>
  <c r="W763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1" i="1"/>
  <c r="W922" i="1"/>
  <c r="W923" i="1"/>
  <c r="W924" i="1"/>
  <c r="W925" i="1"/>
  <c r="W926" i="1"/>
  <c r="W927" i="1"/>
  <c r="W929" i="1"/>
  <c r="W930" i="1"/>
  <c r="W931" i="1"/>
  <c r="W932" i="1"/>
  <c r="W933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1" i="1"/>
  <c r="W982" i="1"/>
  <c r="W983" i="1"/>
  <c r="W984" i="1"/>
  <c r="W985" i="1"/>
  <c r="W986" i="1"/>
  <c r="W987" i="1"/>
  <c r="W988" i="1"/>
  <c r="W989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4" i="1"/>
  <c r="W1025" i="1"/>
  <c r="W1026" i="1"/>
  <c r="W1027" i="1"/>
  <c r="W1028" i="1"/>
  <c r="W1029" i="1"/>
  <c r="W1030" i="1"/>
  <c r="W1031" i="1"/>
  <c r="W1032" i="1"/>
  <c r="W1033" i="1"/>
  <c r="W1034" i="1"/>
  <c r="W1036" i="1"/>
  <c r="W1037" i="1"/>
  <c r="W1039" i="1"/>
  <c r="W1040" i="1"/>
  <c r="W1041" i="1"/>
  <c r="W1042" i="1"/>
  <c r="W1043" i="1"/>
  <c r="W1044" i="1"/>
  <c r="W1045" i="1"/>
  <c r="W1046" i="1"/>
  <c r="W1047" i="1"/>
  <c r="W1048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8" i="1"/>
  <c r="W1169" i="1"/>
  <c r="W1170" i="1"/>
  <c r="W1171" i="1"/>
  <c r="W1172" i="1"/>
  <c r="W1173" i="1"/>
  <c r="W1174" i="1"/>
  <c r="W1175" i="1"/>
  <c r="W1176" i="1"/>
  <c r="W1177" i="1"/>
  <c r="W1181" i="1"/>
  <c r="W1182" i="1"/>
  <c r="W1183" i="1"/>
  <c r="W1184" i="1"/>
  <c r="W1185" i="1"/>
  <c r="W1186" i="1"/>
  <c r="W1187" i="1"/>
  <c r="W1188" i="1"/>
  <c r="W1189" i="1"/>
  <c r="W1190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7" i="1"/>
  <c r="W1218" i="1"/>
  <c r="W1220" i="1"/>
  <c r="W1221" i="1"/>
  <c r="W1222" i="1"/>
  <c r="W1223" i="1"/>
  <c r="W1224" i="1"/>
  <c r="W1225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40" i="1"/>
  <c r="W1241" i="1"/>
  <c r="W1242" i="1"/>
  <c r="W1243" i="1"/>
  <c r="W1244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8" i="1"/>
  <c r="W1299" i="1"/>
  <c r="W1300" i="1"/>
  <c r="W1301" i="1"/>
  <c r="W1302" i="1"/>
  <c r="W1303" i="1"/>
  <c r="W1305" i="1"/>
  <c r="W1306" i="1"/>
  <c r="W1307" i="1"/>
  <c r="W1308" i="1"/>
  <c r="W1309" i="1"/>
  <c r="W1310" i="1"/>
  <c r="W1311" i="1"/>
  <c r="W1312" i="1"/>
  <c r="W1313" i="1"/>
  <c r="W1315" i="1"/>
  <c r="W1316" i="1"/>
  <c r="W1317" i="1"/>
  <c r="W1318" i="1"/>
  <c r="W1319" i="1"/>
  <c r="W1321" i="1"/>
  <c r="W1322" i="1"/>
  <c r="W1323" i="1"/>
  <c r="W1324" i="1"/>
  <c r="W1325" i="1"/>
  <c r="W1326" i="1"/>
  <c r="W1327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4" i="1"/>
  <c r="W1485" i="1"/>
  <c r="W1486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2" i="1"/>
  <c r="W1563" i="1"/>
  <c r="W1564" i="1"/>
  <c r="W1565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1" i="1"/>
  <c r="W1602" i="1"/>
  <c r="W1603" i="1"/>
  <c r="W1604" i="1"/>
  <c r="W1605" i="1"/>
  <c r="W1606" i="1"/>
  <c r="W1607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5" i="1"/>
  <c r="W1626" i="1"/>
  <c r="W1627" i="1"/>
  <c r="W1628" i="1"/>
  <c r="W1629" i="1"/>
  <c r="W1630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V7" i="1"/>
  <c r="V9" i="1"/>
  <c r="V10" i="1"/>
  <c r="V12" i="1"/>
  <c r="V14" i="1"/>
  <c r="V15" i="1"/>
  <c r="V16" i="1"/>
  <c r="V17" i="1"/>
  <c r="V20" i="1"/>
  <c r="V21" i="1"/>
  <c r="V22" i="1"/>
  <c r="V23" i="1"/>
  <c r="V24" i="1"/>
  <c r="V25" i="1"/>
  <c r="V26" i="1"/>
  <c r="V28" i="1"/>
  <c r="V29" i="1"/>
  <c r="V30" i="1"/>
  <c r="V32" i="1"/>
  <c r="V33" i="1"/>
  <c r="V34" i="1"/>
  <c r="V35" i="1"/>
  <c r="V36" i="1"/>
  <c r="V39" i="1"/>
  <c r="V40" i="1"/>
  <c r="V41" i="1"/>
  <c r="V42" i="1"/>
  <c r="V43" i="1"/>
  <c r="V44" i="1"/>
  <c r="V46" i="1"/>
  <c r="V47" i="1"/>
  <c r="V48" i="1"/>
  <c r="V49" i="1"/>
  <c r="V51" i="1"/>
  <c r="V52" i="1"/>
  <c r="V54" i="1"/>
  <c r="V55" i="1"/>
  <c r="V56" i="1"/>
  <c r="V57" i="1"/>
  <c r="V60" i="1"/>
  <c r="V61" i="1"/>
  <c r="V63" i="1"/>
  <c r="V66" i="1"/>
  <c r="V67" i="1"/>
  <c r="V68" i="1"/>
  <c r="V70" i="1"/>
  <c r="V73" i="1"/>
  <c r="V75" i="1"/>
  <c r="V76" i="1"/>
  <c r="V77" i="1"/>
  <c r="V78" i="1"/>
  <c r="V79" i="1"/>
  <c r="V83" i="1"/>
  <c r="V85" i="1"/>
  <c r="V86" i="1"/>
  <c r="V87" i="1"/>
  <c r="V88" i="1"/>
  <c r="V90" i="1"/>
  <c r="V91" i="1"/>
  <c r="V94" i="1"/>
  <c r="V95" i="1"/>
  <c r="V96" i="1"/>
  <c r="V98" i="1"/>
  <c r="V99" i="1"/>
  <c r="V100" i="1"/>
  <c r="V102" i="1"/>
  <c r="V103" i="1"/>
  <c r="V105" i="1"/>
  <c r="V107" i="1"/>
  <c r="V112" i="1"/>
  <c r="V114" i="1"/>
  <c r="V115" i="1"/>
  <c r="V116" i="1"/>
  <c r="V117" i="1"/>
  <c r="V119" i="1"/>
  <c r="V121" i="1"/>
  <c r="V124" i="1"/>
  <c r="V125" i="1"/>
  <c r="V128" i="1"/>
  <c r="V129" i="1"/>
  <c r="V130" i="1"/>
  <c r="V131" i="1"/>
  <c r="V132" i="1"/>
  <c r="V136" i="1"/>
  <c r="V138" i="1"/>
  <c r="V139" i="1"/>
  <c r="V140" i="1"/>
  <c r="V143" i="1"/>
  <c r="V145" i="1"/>
  <c r="V146" i="1"/>
  <c r="V149" i="1"/>
  <c r="V151" i="1"/>
  <c r="V153" i="1"/>
  <c r="V155" i="1"/>
  <c r="V157" i="1"/>
  <c r="V160" i="1"/>
  <c r="V161" i="1"/>
  <c r="V162" i="1"/>
  <c r="V164" i="1"/>
  <c r="V165" i="1"/>
  <c r="V167" i="1"/>
  <c r="V168" i="1"/>
  <c r="V169" i="1"/>
  <c r="V170" i="1"/>
  <c r="V171" i="1"/>
  <c r="V177" i="1"/>
  <c r="V178" i="1"/>
  <c r="V179" i="1"/>
  <c r="V181" i="1"/>
  <c r="V185" i="1"/>
  <c r="V188" i="1"/>
  <c r="V189" i="1"/>
  <c r="V190" i="1"/>
  <c r="V191" i="1"/>
  <c r="V195" i="1"/>
  <c r="V198" i="1"/>
  <c r="V199" i="1"/>
  <c r="V200" i="1"/>
  <c r="V203" i="1"/>
  <c r="V204" i="1"/>
  <c r="V205" i="1"/>
  <c r="V209" i="1"/>
  <c r="V210" i="1"/>
  <c r="V213" i="1"/>
  <c r="V214" i="1"/>
  <c r="V217" i="1"/>
  <c r="V218" i="1"/>
  <c r="V219" i="1"/>
  <c r="V220" i="1"/>
  <c r="V221" i="1"/>
  <c r="V222" i="1"/>
  <c r="V223" i="1"/>
  <c r="V224" i="1"/>
  <c r="V226" i="1"/>
  <c r="V227" i="1"/>
  <c r="V228" i="1"/>
  <c r="V230" i="1"/>
  <c r="V231" i="1"/>
  <c r="V232" i="1"/>
  <c r="V234" i="1"/>
  <c r="V236" i="1"/>
  <c r="V237" i="1"/>
  <c r="V238" i="1"/>
  <c r="V239" i="1"/>
  <c r="V242" i="1"/>
  <c r="V243" i="1"/>
  <c r="V244" i="1"/>
  <c r="V245" i="1"/>
  <c r="V247" i="1"/>
  <c r="V248" i="1"/>
  <c r="V249" i="1"/>
  <c r="V251" i="1"/>
  <c r="V255" i="1"/>
  <c r="V256" i="1"/>
  <c r="V260" i="1"/>
  <c r="V262" i="1"/>
  <c r="V263" i="1"/>
  <c r="V264" i="1"/>
  <c r="V265" i="1"/>
  <c r="V267" i="1"/>
  <c r="V268" i="1"/>
  <c r="V269" i="1"/>
  <c r="V270" i="1"/>
  <c r="V272" i="1"/>
  <c r="V275" i="1"/>
  <c r="V277" i="1"/>
  <c r="V282" i="1"/>
  <c r="V283" i="1"/>
  <c r="V284" i="1"/>
  <c r="V285" i="1"/>
  <c r="V286" i="1"/>
  <c r="V287" i="1"/>
  <c r="V288" i="1"/>
  <c r="V290" i="1"/>
  <c r="V292" i="1"/>
  <c r="V296" i="1"/>
  <c r="V297" i="1"/>
  <c r="V298" i="1"/>
  <c r="V300" i="1"/>
  <c r="V304" i="1"/>
  <c r="V307" i="1"/>
  <c r="V308" i="1"/>
  <c r="V309" i="1"/>
  <c r="V310" i="1"/>
  <c r="V312" i="1"/>
  <c r="V313" i="1"/>
  <c r="V317" i="1"/>
  <c r="V320" i="1"/>
  <c r="V321" i="1"/>
  <c r="V325" i="1"/>
  <c r="V327" i="1"/>
  <c r="V328" i="1"/>
  <c r="V329" i="1"/>
  <c r="V330" i="1"/>
  <c r="V332" i="1"/>
  <c r="V334" i="1"/>
  <c r="V336" i="1"/>
  <c r="V337" i="1"/>
  <c r="V338" i="1"/>
  <c r="V340" i="1"/>
  <c r="V341" i="1"/>
  <c r="V345" i="1"/>
  <c r="V346" i="1"/>
  <c r="V348" i="1"/>
  <c r="V349" i="1"/>
  <c r="V351" i="1"/>
  <c r="V353" i="1"/>
  <c r="V354" i="1"/>
  <c r="V357" i="1"/>
  <c r="V359" i="1"/>
  <c r="V360" i="1"/>
  <c r="V361" i="1"/>
  <c r="V363" i="1"/>
  <c r="V364" i="1"/>
  <c r="V366" i="1"/>
  <c r="V367" i="1"/>
  <c r="V368" i="1"/>
  <c r="V369" i="1"/>
  <c r="V370" i="1"/>
  <c r="V371" i="1"/>
  <c r="V372" i="1"/>
  <c r="V374" i="1"/>
  <c r="V376" i="1"/>
  <c r="V377" i="1"/>
  <c r="V379" i="1"/>
  <c r="V382" i="1"/>
  <c r="V383" i="1"/>
  <c r="V384" i="1"/>
  <c r="V385" i="1"/>
  <c r="V387" i="1"/>
  <c r="V388" i="1"/>
  <c r="V389" i="1"/>
  <c r="V391" i="1"/>
  <c r="V392" i="1"/>
  <c r="V393" i="1"/>
  <c r="V396" i="1"/>
  <c r="V397" i="1"/>
  <c r="V398" i="1"/>
  <c r="V399" i="1"/>
  <c r="V400" i="1"/>
  <c r="V403" i="1"/>
  <c r="V405" i="1"/>
  <c r="V406" i="1"/>
  <c r="V408" i="1"/>
  <c r="V411" i="1"/>
  <c r="V414" i="1"/>
  <c r="V415" i="1"/>
  <c r="V416" i="1"/>
  <c r="V417" i="1"/>
  <c r="V418" i="1"/>
  <c r="V420" i="1"/>
  <c r="V422" i="1"/>
  <c r="V424" i="1"/>
  <c r="V425" i="1"/>
  <c r="V426" i="1"/>
  <c r="V427" i="1"/>
  <c r="V428" i="1"/>
  <c r="V430" i="1"/>
  <c r="V431" i="1"/>
  <c r="V437" i="1"/>
  <c r="V438" i="1"/>
  <c r="V439" i="1"/>
  <c r="V440" i="1"/>
  <c r="V442" i="1"/>
  <c r="V443" i="1"/>
  <c r="V444" i="1"/>
  <c r="V445" i="1"/>
  <c r="V446" i="1"/>
  <c r="V447" i="1"/>
  <c r="V450" i="1"/>
  <c r="V451" i="1"/>
  <c r="V454" i="1"/>
  <c r="V455" i="1"/>
  <c r="V456" i="1"/>
  <c r="V457" i="1"/>
  <c r="V458" i="1"/>
  <c r="V462" i="1"/>
  <c r="V463" i="1"/>
  <c r="V464" i="1"/>
  <c r="V465" i="1"/>
  <c r="V467" i="1"/>
  <c r="V470" i="1"/>
  <c r="V471" i="1"/>
  <c r="V473" i="1"/>
  <c r="V475" i="1"/>
  <c r="V476" i="1"/>
  <c r="V478" i="1"/>
  <c r="V479" i="1"/>
  <c r="V480" i="1"/>
  <c r="V481" i="1"/>
  <c r="V486" i="1"/>
  <c r="V487" i="1"/>
  <c r="V488" i="1"/>
  <c r="V489" i="1"/>
  <c r="V491" i="1"/>
  <c r="V494" i="1"/>
  <c r="V495" i="1"/>
  <c r="V497" i="1"/>
  <c r="V498" i="1"/>
  <c r="V501" i="1"/>
  <c r="V503" i="1"/>
  <c r="V504" i="1"/>
  <c r="V505" i="1"/>
  <c r="V507" i="1"/>
  <c r="V510" i="1"/>
  <c r="V511" i="1"/>
  <c r="V513" i="1"/>
  <c r="V514" i="1"/>
  <c r="V516" i="1"/>
  <c r="V517" i="1"/>
  <c r="V518" i="1"/>
  <c r="V519" i="1"/>
  <c r="V521" i="1"/>
  <c r="V522" i="1"/>
  <c r="V523" i="1"/>
  <c r="V524" i="1"/>
  <c r="V525" i="1"/>
  <c r="V526" i="1"/>
  <c r="V527" i="1"/>
  <c r="V530" i="1"/>
  <c r="V531" i="1"/>
  <c r="V533" i="1"/>
  <c r="V536" i="1"/>
  <c r="V538" i="1"/>
  <c r="V539" i="1"/>
  <c r="V540" i="1"/>
  <c r="V543" i="1"/>
  <c r="V544" i="1"/>
  <c r="V548" i="1"/>
  <c r="V549" i="1"/>
  <c r="V551" i="1"/>
  <c r="V553" i="1"/>
  <c r="V554" i="1"/>
  <c r="V555" i="1"/>
  <c r="V557" i="1"/>
  <c r="V559" i="1"/>
  <c r="V563" i="1"/>
  <c r="V566" i="1"/>
  <c r="V567" i="1"/>
  <c r="V570" i="1"/>
  <c r="V572" i="1"/>
  <c r="V573" i="1"/>
  <c r="V574" i="1"/>
  <c r="V576" i="1"/>
  <c r="V577" i="1"/>
  <c r="V578" i="1"/>
  <c r="V579" i="1"/>
  <c r="V581" i="1"/>
  <c r="V586" i="1"/>
  <c r="V587" i="1"/>
  <c r="V589" i="1"/>
  <c r="V591" i="1"/>
  <c r="V592" i="1"/>
  <c r="V594" i="1"/>
  <c r="V595" i="1"/>
  <c r="V597" i="1"/>
  <c r="V601" i="1"/>
  <c r="V602" i="1"/>
  <c r="V605" i="1"/>
  <c r="V606" i="1"/>
  <c r="V608" i="1"/>
  <c r="V609" i="1"/>
  <c r="V610" i="1"/>
  <c r="V612" i="1"/>
  <c r="V613" i="1"/>
  <c r="V614" i="1"/>
  <c r="V615" i="1"/>
  <c r="V616" i="1"/>
  <c r="V618" i="1"/>
  <c r="V619" i="1"/>
  <c r="V620" i="1"/>
  <c r="V621" i="1"/>
  <c r="V626" i="1"/>
  <c r="V627" i="1"/>
  <c r="V628" i="1"/>
  <c r="V630" i="1"/>
  <c r="V631" i="1"/>
  <c r="V632" i="1"/>
  <c r="V633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8" i="1"/>
  <c r="V649" i="1"/>
  <c r="V650" i="1"/>
  <c r="V651" i="1"/>
  <c r="V653" i="1"/>
  <c r="V655" i="1"/>
  <c r="V656" i="1"/>
  <c r="V657" i="1"/>
  <c r="V658" i="1"/>
  <c r="V659" i="1"/>
  <c r="V660" i="1"/>
  <c r="V661" i="1"/>
  <c r="V662" i="1"/>
  <c r="V664" i="1"/>
  <c r="V666" i="1"/>
  <c r="V667" i="1"/>
  <c r="V668" i="1"/>
  <c r="V669" i="1"/>
  <c r="V670" i="1"/>
  <c r="V671" i="1"/>
  <c r="V673" i="1"/>
  <c r="V677" i="1"/>
  <c r="V678" i="1"/>
  <c r="V679" i="1"/>
  <c r="V680" i="1"/>
  <c r="V681" i="1"/>
  <c r="V683" i="1"/>
  <c r="V684" i="1"/>
  <c r="V685" i="1"/>
  <c r="V686" i="1"/>
  <c r="V687" i="1"/>
  <c r="V688" i="1"/>
  <c r="V689" i="1"/>
  <c r="V690" i="1"/>
  <c r="V694" i="1"/>
  <c r="V695" i="1"/>
  <c r="V696" i="1"/>
  <c r="V697" i="1"/>
  <c r="V701" i="1"/>
  <c r="V703" i="1"/>
  <c r="V704" i="1"/>
  <c r="V706" i="1"/>
  <c r="V707" i="1"/>
  <c r="V708" i="1"/>
  <c r="V709" i="1"/>
  <c r="V710" i="1"/>
  <c r="V711" i="1"/>
  <c r="V712" i="1"/>
  <c r="V713" i="1"/>
  <c r="V714" i="1"/>
  <c r="V715" i="1"/>
  <c r="V716" i="1"/>
  <c r="V719" i="1"/>
  <c r="V723" i="1"/>
  <c r="V724" i="1"/>
  <c r="V725" i="1"/>
  <c r="V726" i="1"/>
  <c r="V727" i="1"/>
  <c r="V731" i="1"/>
  <c r="V734" i="1"/>
  <c r="V736" i="1"/>
  <c r="V738" i="1"/>
  <c r="V739" i="1"/>
  <c r="V740" i="1"/>
  <c r="V741" i="1"/>
  <c r="V742" i="1"/>
  <c r="V743" i="1"/>
  <c r="V744" i="1"/>
  <c r="V745" i="1"/>
  <c r="V746" i="1"/>
  <c r="V748" i="1"/>
  <c r="V749" i="1"/>
  <c r="V753" i="1"/>
  <c r="V755" i="1"/>
  <c r="V756" i="1"/>
  <c r="V757" i="1"/>
  <c r="V760" i="1"/>
  <c r="V761" i="1"/>
  <c r="V762" i="1"/>
  <c r="V763" i="1"/>
  <c r="V764" i="1"/>
  <c r="V765" i="1"/>
  <c r="V766" i="1"/>
  <c r="V767" i="1"/>
  <c r="V768" i="1"/>
  <c r="V769" i="1"/>
  <c r="V770" i="1"/>
  <c r="V772" i="1"/>
  <c r="V773" i="1"/>
  <c r="V774" i="1"/>
  <c r="V775" i="1"/>
  <c r="V776" i="1"/>
  <c r="V778" i="1"/>
  <c r="V779" i="1"/>
  <c r="V782" i="1"/>
  <c r="V783" i="1"/>
  <c r="V785" i="1"/>
  <c r="V786" i="1"/>
  <c r="V790" i="1"/>
  <c r="V791" i="1"/>
  <c r="V796" i="1"/>
  <c r="V797" i="1"/>
  <c r="V798" i="1"/>
  <c r="V799" i="1"/>
  <c r="V800" i="1"/>
  <c r="V801" i="1"/>
  <c r="V802" i="1"/>
  <c r="V803" i="1"/>
  <c r="V804" i="1"/>
  <c r="V806" i="1"/>
  <c r="V807" i="1"/>
  <c r="V809" i="1"/>
  <c r="V810" i="1"/>
  <c r="V814" i="1"/>
  <c r="V815" i="1"/>
  <c r="V816" i="1"/>
  <c r="V818" i="1"/>
  <c r="V819" i="1"/>
  <c r="V820" i="1"/>
  <c r="V822" i="1"/>
  <c r="V823" i="1"/>
  <c r="V824" i="1"/>
  <c r="V825" i="1"/>
  <c r="V828" i="1"/>
  <c r="V829" i="1"/>
  <c r="V831" i="1"/>
  <c r="V832" i="1"/>
  <c r="V833" i="1"/>
  <c r="V834" i="1"/>
  <c r="V835" i="1"/>
  <c r="V837" i="1"/>
  <c r="V840" i="1"/>
  <c r="V843" i="1"/>
  <c r="V849" i="1"/>
  <c r="V850" i="1"/>
  <c r="V851" i="1"/>
  <c r="V855" i="1"/>
  <c r="V856" i="1"/>
  <c r="V857" i="1"/>
  <c r="V858" i="1"/>
  <c r="V863" i="1"/>
  <c r="V865" i="1"/>
  <c r="V867" i="1"/>
  <c r="V870" i="1"/>
  <c r="V871" i="1"/>
  <c r="V872" i="1"/>
  <c r="V873" i="1"/>
  <c r="V874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9" i="1"/>
  <c r="V891" i="1"/>
  <c r="V893" i="1"/>
  <c r="V894" i="1"/>
  <c r="V895" i="1"/>
  <c r="V896" i="1"/>
  <c r="V897" i="1"/>
  <c r="V899" i="1"/>
  <c r="V900" i="1"/>
  <c r="V901" i="1"/>
  <c r="V902" i="1"/>
  <c r="V904" i="1"/>
  <c r="V907" i="1"/>
  <c r="V909" i="1"/>
  <c r="V910" i="1"/>
  <c r="V912" i="1"/>
  <c r="V913" i="1"/>
  <c r="V918" i="1"/>
  <c r="V920" i="1"/>
  <c r="V921" i="1"/>
  <c r="V923" i="1"/>
  <c r="V924" i="1"/>
  <c r="V925" i="1"/>
  <c r="V926" i="1"/>
  <c r="V927" i="1"/>
  <c r="V928" i="1"/>
  <c r="V929" i="1"/>
  <c r="V930" i="1"/>
  <c r="V933" i="1"/>
  <c r="V934" i="1"/>
  <c r="V935" i="1"/>
  <c r="V936" i="1"/>
  <c r="V937" i="1"/>
  <c r="V940" i="1"/>
  <c r="V942" i="1"/>
  <c r="V946" i="1"/>
  <c r="V950" i="1"/>
  <c r="V951" i="1"/>
  <c r="V952" i="1"/>
  <c r="V953" i="1"/>
  <c r="V955" i="1"/>
  <c r="V956" i="1"/>
  <c r="V958" i="1"/>
  <c r="V959" i="1"/>
  <c r="V960" i="1"/>
  <c r="V963" i="1"/>
  <c r="V964" i="1"/>
  <c r="V965" i="1"/>
  <c r="V966" i="1"/>
  <c r="V968" i="1"/>
  <c r="V969" i="1"/>
  <c r="V972" i="1"/>
  <c r="V978" i="1"/>
  <c r="V979" i="1"/>
  <c r="V980" i="1"/>
  <c r="V982" i="1"/>
  <c r="V983" i="1"/>
  <c r="V984" i="1"/>
  <c r="V985" i="1"/>
  <c r="V987" i="1"/>
  <c r="V988" i="1"/>
  <c r="V990" i="1"/>
  <c r="V991" i="1"/>
  <c r="V992" i="1"/>
  <c r="V993" i="1"/>
  <c r="V995" i="1"/>
  <c r="V997" i="1"/>
  <c r="V998" i="1"/>
  <c r="V1000" i="1"/>
  <c r="V1001" i="1"/>
  <c r="V1002" i="1"/>
  <c r="V1003" i="1"/>
  <c r="V1005" i="1"/>
  <c r="V1006" i="1"/>
  <c r="V1007" i="1"/>
  <c r="V1008" i="1"/>
  <c r="V1010" i="1"/>
  <c r="V1011" i="1"/>
  <c r="V1012" i="1"/>
  <c r="V1013" i="1"/>
  <c r="V1014" i="1"/>
  <c r="V1016" i="1"/>
  <c r="V1017" i="1"/>
  <c r="V1018" i="1"/>
  <c r="V1019" i="1"/>
  <c r="V1023" i="1"/>
  <c r="V1024" i="1"/>
  <c r="V1025" i="1"/>
  <c r="V1026" i="1"/>
  <c r="V1027" i="1"/>
  <c r="V1028" i="1"/>
  <c r="V1030" i="1"/>
  <c r="V1031" i="1"/>
  <c r="V1032" i="1"/>
  <c r="V1033" i="1"/>
  <c r="V1034" i="1"/>
  <c r="V1035" i="1"/>
  <c r="V1037" i="1"/>
  <c r="V1038" i="1"/>
  <c r="V1039" i="1"/>
  <c r="V1040" i="1"/>
  <c r="V1041" i="1"/>
  <c r="V1045" i="1"/>
  <c r="V1046" i="1"/>
  <c r="V1047" i="1"/>
  <c r="V1049" i="1"/>
  <c r="V1050" i="1"/>
  <c r="V1051" i="1"/>
  <c r="V1053" i="1"/>
  <c r="V1055" i="1"/>
  <c r="V1056" i="1"/>
  <c r="V1057" i="1"/>
  <c r="V1060" i="1"/>
  <c r="V1061" i="1"/>
  <c r="V1063" i="1"/>
  <c r="V1064" i="1"/>
  <c r="V1065" i="1"/>
  <c r="V1066" i="1"/>
  <c r="V1067" i="1"/>
  <c r="V1069" i="1"/>
  <c r="V1071" i="1"/>
  <c r="V1073" i="1"/>
  <c r="V1077" i="1"/>
  <c r="V1078" i="1"/>
  <c r="V1084" i="1"/>
  <c r="V1085" i="1"/>
  <c r="V1086" i="1"/>
  <c r="V1087" i="1"/>
  <c r="V1088" i="1"/>
  <c r="V1091" i="1"/>
  <c r="V1093" i="1"/>
  <c r="V1094" i="1"/>
  <c r="V1095" i="1"/>
  <c r="V1098" i="1"/>
  <c r="V1099" i="1"/>
  <c r="V1100" i="1"/>
  <c r="V1101" i="1"/>
  <c r="V1102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20" i="1"/>
  <c r="V1123" i="1"/>
  <c r="V1125" i="1"/>
  <c r="V1126" i="1"/>
  <c r="V1127" i="1"/>
  <c r="V1128" i="1"/>
  <c r="V1129" i="1"/>
  <c r="V1132" i="1"/>
  <c r="V1133" i="1"/>
  <c r="V1134" i="1"/>
  <c r="V1135" i="1"/>
  <c r="V1136" i="1"/>
  <c r="V1138" i="1"/>
  <c r="V1139" i="1"/>
  <c r="V1140" i="1"/>
  <c r="V1145" i="1"/>
  <c r="V1147" i="1"/>
  <c r="V1148" i="1"/>
  <c r="V1149" i="1"/>
  <c r="V1151" i="1"/>
  <c r="V1153" i="1"/>
  <c r="V1156" i="1"/>
  <c r="V1157" i="1"/>
  <c r="V1161" i="1"/>
  <c r="V1162" i="1"/>
  <c r="V1163" i="1"/>
  <c r="V1164" i="1"/>
  <c r="V1167" i="1"/>
  <c r="V1168" i="1"/>
  <c r="V1170" i="1"/>
  <c r="V1173" i="1"/>
  <c r="V1174" i="1"/>
  <c r="V1175" i="1"/>
  <c r="V1177" i="1"/>
  <c r="V1178" i="1"/>
  <c r="V1179" i="1"/>
  <c r="V1180" i="1"/>
  <c r="V1182" i="1"/>
  <c r="V1183" i="1"/>
  <c r="V1184" i="1"/>
  <c r="V1185" i="1"/>
  <c r="V1186" i="1"/>
  <c r="V1187" i="1"/>
  <c r="V1188" i="1"/>
  <c r="V1190" i="1"/>
  <c r="V1191" i="1"/>
  <c r="V1192" i="1"/>
  <c r="V1193" i="1"/>
  <c r="V1194" i="1"/>
  <c r="V1195" i="1"/>
  <c r="V1197" i="1"/>
  <c r="V1198" i="1"/>
  <c r="V1200" i="1"/>
  <c r="V1201" i="1"/>
  <c r="V1202" i="1"/>
  <c r="V1204" i="1"/>
  <c r="V1205" i="1"/>
  <c r="V1206" i="1"/>
  <c r="V1208" i="1"/>
  <c r="V1210" i="1"/>
  <c r="V1211" i="1"/>
  <c r="V1212" i="1"/>
  <c r="V1216" i="1"/>
  <c r="V1217" i="1"/>
  <c r="V1218" i="1"/>
  <c r="V1219" i="1"/>
  <c r="V1220" i="1"/>
  <c r="V1221" i="1"/>
  <c r="V1223" i="1"/>
  <c r="V1224" i="1"/>
  <c r="V1226" i="1"/>
  <c r="V1228" i="1"/>
  <c r="V1231" i="1"/>
  <c r="V1232" i="1"/>
  <c r="V1236" i="1"/>
  <c r="V1238" i="1"/>
  <c r="V1239" i="1"/>
  <c r="V1242" i="1"/>
  <c r="V1243" i="1"/>
  <c r="V1244" i="1"/>
  <c r="V1245" i="1"/>
  <c r="V1246" i="1"/>
  <c r="V1247" i="1"/>
  <c r="V1248" i="1"/>
  <c r="V1250" i="1"/>
  <c r="V1252" i="1"/>
  <c r="V1253" i="1"/>
  <c r="V1254" i="1"/>
  <c r="V1256" i="1"/>
  <c r="V1258" i="1"/>
  <c r="V1259" i="1"/>
  <c r="V1260" i="1"/>
  <c r="V1261" i="1"/>
  <c r="V1263" i="1"/>
  <c r="V1264" i="1"/>
  <c r="V1265" i="1"/>
  <c r="V1266" i="1"/>
  <c r="V1269" i="1"/>
  <c r="V1270" i="1"/>
  <c r="V1271" i="1"/>
  <c r="V1273" i="1"/>
  <c r="V1276" i="1"/>
  <c r="V1279" i="1"/>
  <c r="V1280" i="1"/>
  <c r="V1281" i="1"/>
  <c r="V1282" i="1"/>
  <c r="V1284" i="1"/>
  <c r="V1286" i="1"/>
  <c r="V1289" i="1"/>
  <c r="V1290" i="1"/>
  <c r="V1291" i="1"/>
  <c r="V1292" i="1"/>
  <c r="V1293" i="1"/>
  <c r="V1294" i="1"/>
  <c r="V1295" i="1"/>
  <c r="V1296" i="1"/>
  <c r="V1297" i="1"/>
  <c r="V1298" i="1"/>
  <c r="V1301" i="1"/>
  <c r="V1302" i="1"/>
  <c r="V1304" i="1"/>
  <c r="V1305" i="1"/>
  <c r="V1306" i="1"/>
  <c r="V1307" i="1"/>
  <c r="V1308" i="1"/>
  <c r="V1309" i="1"/>
  <c r="V1311" i="1"/>
  <c r="V1313" i="1"/>
  <c r="V1314" i="1"/>
  <c r="V1315" i="1"/>
  <c r="V1316" i="1"/>
  <c r="V1319" i="1"/>
  <c r="V1320" i="1"/>
  <c r="V1322" i="1"/>
  <c r="V1327" i="1"/>
  <c r="V1328" i="1"/>
  <c r="V1329" i="1"/>
  <c r="V1330" i="1"/>
  <c r="V1334" i="1"/>
  <c r="V1335" i="1"/>
  <c r="V1336" i="1"/>
  <c r="V1339" i="1"/>
  <c r="V1341" i="1"/>
  <c r="V1342" i="1"/>
  <c r="V1343" i="1"/>
  <c r="V1344" i="1"/>
  <c r="V1345" i="1"/>
  <c r="V1347" i="1"/>
  <c r="V1350" i="1"/>
  <c r="V1351" i="1"/>
  <c r="V1352" i="1"/>
  <c r="V1354" i="1"/>
  <c r="V1356" i="1"/>
  <c r="V1357" i="1"/>
  <c r="V1358" i="1"/>
  <c r="V1359" i="1"/>
  <c r="V1361" i="1"/>
  <c r="V1362" i="1"/>
  <c r="V1363" i="1"/>
  <c r="V1364" i="1"/>
  <c r="V1365" i="1"/>
  <c r="V1366" i="1"/>
  <c r="V1370" i="1"/>
  <c r="V1371" i="1"/>
  <c r="V1372" i="1"/>
  <c r="V1373" i="1"/>
  <c r="V1375" i="1"/>
  <c r="V1376" i="1"/>
  <c r="V1377" i="1"/>
  <c r="V1381" i="1"/>
  <c r="V1385" i="1"/>
  <c r="V1387" i="1"/>
  <c r="V1388" i="1"/>
  <c r="V1389" i="1"/>
  <c r="V1390" i="1"/>
  <c r="V1392" i="1"/>
  <c r="V1393" i="1"/>
  <c r="V1394" i="1"/>
  <c r="V1395" i="1"/>
  <c r="V1396" i="1"/>
  <c r="V1400" i="1"/>
  <c r="V1402" i="1"/>
  <c r="V1403" i="1"/>
  <c r="V1405" i="1"/>
  <c r="V1406" i="1"/>
  <c r="V1409" i="1"/>
  <c r="V1410" i="1"/>
  <c r="V1411" i="1"/>
  <c r="V1413" i="1"/>
  <c r="V1414" i="1"/>
  <c r="V1417" i="1"/>
  <c r="V1419" i="1"/>
  <c r="V1420" i="1"/>
  <c r="V1423" i="1"/>
  <c r="V1424" i="1"/>
  <c r="V1425" i="1"/>
  <c r="V1426" i="1"/>
  <c r="V1428" i="1"/>
  <c r="V1430" i="1"/>
  <c r="V1432" i="1"/>
  <c r="V1434" i="1"/>
  <c r="V1435" i="1"/>
  <c r="V1437" i="1"/>
  <c r="V1439" i="1"/>
  <c r="V1442" i="1"/>
  <c r="V1443" i="1"/>
  <c r="V1446" i="1"/>
  <c r="V1447" i="1"/>
  <c r="V1448" i="1"/>
  <c r="V1452" i="1"/>
  <c r="V1455" i="1"/>
  <c r="V1457" i="1"/>
  <c r="V1459" i="1"/>
  <c r="V1460" i="1"/>
  <c r="V1463" i="1"/>
  <c r="V1465" i="1"/>
  <c r="V1466" i="1"/>
  <c r="V1467" i="1"/>
  <c r="V1468" i="1"/>
  <c r="V1470" i="1"/>
  <c r="V1471" i="1"/>
  <c r="V1474" i="1"/>
  <c r="V1475" i="1"/>
  <c r="V1476" i="1"/>
  <c r="V1479" i="1"/>
  <c r="V1480" i="1"/>
  <c r="V1483" i="1"/>
  <c r="V1484" i="1"/>
  <c r="V1486" i="1"/>
  <c r="V1487" i="1"/>
  <c r="V1488" i="1"/>
  <c r="V1491" i="1"/>
  <c r="V1492" i="1"/>
  <c r="V1495" i="1"/>
  <c r="V1499" i="1"/>
  <c r="V1502" i="1"/>
  <c r="V1503" i="1"/>
  <c r="V1505" i="1"/>
  <c r="V1507" i="1"/>
  <c r="V1509" i="1"/>
  <c r="V1510" i="1"/>
  <c r="V1511" i="1"/>
  <c r="V1512" i="1"/>
  <c r="V1513" i="1"/>
  <c r="V1515" i="1"/>
  <c r="V1516" i="1"/>
  <c r="V1517" i="1"/>
  <c r="V1521" i="1"/>
  <c r="V1523" i="1"/>
  <c r="V1524" i="1"/>
  <c r="V1526" i="1"/>
  <c r="V1528" i="1"/>
  <c r="V1530" i="1"/>
  <c r="V1531" i="1"/>
  <c r="V1532" i="1"/>
  <c r="V1533" i="1"/>
  <c r="V1536" i="1"/>
  <c r="V1542" i="1"/>
  <c r="V1543" i="1"/>
  <c r="V1544" i="1"/>
  <c r="V1545" i="1"/>
  <c r="V1547" i="1"/>
  <c r="V1548" i="1"/>
  <c r="V1550" i="1"/>
  <c r="V1551" i="1"/>
  <c r="V1552" i="1"/>
  <c r="V1555" i="1"/>
  <c r="V1557" i="1"/>
  <c r="V1559" i="1"/>
  <c r="V1561" i="1"/>
  <c r="V1563" i="1"/>
  <c r="V1565" i="1"/>
  <c r="V1566" i="1"/>
  <c r="V1568" i="1"/>
  <c r="V1570" i="1"/>
  <c r="V1572" i="1"/>
  <c r="V1574" i="1"/>
  <c r="V1575" i="1"/>
  <c r="V1586" i="1"/>
  <c r="V1589" i="1"/>
  <c r="V1590" i="1"/>
  <c r="V1591" i="1"/>
  <c r="V1594" i="1"/>
  <c r="V1596" i="1"/>
  <c r="V1597" i="1"/>
  <c r="V1598" i="1"/>
  <c r="V1600" i="1"/>
  <c r="V1601" i="1"/>
  <c r="V1603" i="1"/>
  <c r="V1605" i="1"/>
  <c r="V1606" i="1"/>
  <c r="V1607" i="1"/>
  <c r="V1608" i="1"/>
  <c r="V1610" i="1"/>
  <c r="V1613" i="1"/>
  <c r="V1616" i="1"/>
  <c r="V1618" i="1"/>
  <c r="V1620" i="1"/>
  <c r="V1621" i="1"/>
  <c r="V1622" i="1"/>
  <c r="V1624" i="1"/>
  <c r="V1625" i="1"/>
  <c r="V1626" i="1"/>
  <c r="V1627" i="1"/>
  <c r="V1629" i="1"/>
  <c r="V1630" i="1"/>
  <c r="V1631" i="1"/>
  <c r="V1633" i="1"/>
  <c r="V1634" i="1"/>
  <c r="V1638" i="1"/>
  <c r="V1640" i="1"/>
  <c r="V1641" i="1"/>
  <c r="V1643" i="1"/>
  <c r="V1646" i="1"/>
  <c r="V1648" i="1"/>
  <c r="V1650" i="1"/>
  <c r="V1652" i="1"/>
  <c r="V1659" i="1"/>
  <c r="V1661" i="1"/>
  <c r="V1664" i="1"/>
  <c r="V1668" i="1"/>
  <c r="V1671" i="1"/>
  <c r="V1675" i="1"/>
  <c r="V1676" i="1"/>
  <c r="V1681" i="1"/>
  <c r="V1682" i="1"/>
  <c r="V1683" i="1"/>
  <c r="V1684" i="1"/>
  <c r="V1686" i="1"/>
  <c r="V1687" i="1"/>
  <c r="V1691" i="1"/>
  <c r="V1693" i="1"/>
  <c r="V1696" i="1"/>
  <c r="V1697" i="1"/>
  <c r="V1700" i="1"/>
  <c r="V1708" i="1"/>
  <c r="V1709" i="1"/>
  <c r="V1710" i="1"/>
  <c r="V1712" i="1"/>
  <c r="V1713" i="1"/>
  <c r="V1714" i="1"/>
  <c r="V1715" i="1"/>
  <c r="V1716" i="1"/>
  <c r="V1717" i="1"/>
  <c r="V1718" i="1"/>
  <c r="V1719" i="1"/>
  <c r="V1723" i="1"/>
  <c r="V1725" i="1"/>
  <c r="V1726" i="1"/>
  <c r="V1727" i="1"/>
  <c r="V1729" i="1"/>
  <c r="V1730" i="1"/>
  <c r="V1731" i="1"/>
  <c r="V1732" i="1"/>
  <c r="V1733" i="1"/>
  <c r="V1734" i="1"/>
  <c r="V1735" i="1"/>
  <c r="V1736" i="1"/>
  <c r="V1737" i="1"/>
  <c r="V1739" i="1"/>
  <c r="V1740" i="1"/>
  <c r="V1741" i="1"/>
  <c r="V1743" i="1"/>
  <c r="V1745" i="1"/>
  <c r="V1746" i="1"/>
  <c r="V1747" i="1"/>
  <c r="V1748" i="1"/>
  <c r="V1749" i="1"/>
  <c r="V1750" i="1"/>
  <c r="V1757" i="1"/>
  <c r="V1765" i="1"/>
  <c r="V1768" i="1"/>
  <c r="V1771" i="1"/>
  <c r="V1772" i="1"/>
  <c r="V1773" i="1"/>
  <c r="V1776" i="1"/>
  <c r="V1777" i="1"/>
  <c r="V1779" i="1"/>
  <c r="V1780" i="1"/>
  <c r="V1781" i="1"/>
  <c r="V1785" i="1"/>
  <c r="V1786" i="1"/>
  <c r="V1788" i="1"/>
  <c r="V1790" i="1"/>
  <c r="V1793" i="1"/>
  <c r="V1794" i="1"/>
  <c r="V1795" i="1"/>
  <c r="V1796" i="1"/>
  <c r="V1797" i="1"/>
  <c r="V1798" i="1"/>
  <c r="V1800" i="1"/>
  <c r="V1802" i="1"/>
  <c r="V1803" i="1"/>
  <c r="V1805" i="1"/>
  <c r="V1806" i="1"/>
  <c r="V1808" i="1"/>
  <c r="V1810" i="1"/>
  <c r="V1811" i="1"/>
  <c r="V1812" i="1"/>
  <c r="V1814" i="1"/>
  <c r="V1815" i="1"/>
  <c r="V1816" i="1"/>
  <c r="V1817" i="1"/>
  <c r="V1819" i="1"/>
  <c r="V1820" i="1"/>
  <c r="V1822" i="1"/>
  <c r="V1823" i="1"/>
  <c r="V1824" i="1"/>
  <c r="V1825" i="1"/>
  <c r="V1826" i="1"/>
  <c r="V1828" i="1"/>
  <c r="V1832" i="1"/>
  <c r="V1836" i="1"/>
  <c r="V1837" i="1"/>
  <c r="V1839" i="1"/>
  <c r="V1840" i="1"/>
  <c r="V1843" i="1"/>
  <c r="V1844" i="1"/>
  <c r="V1847" i="1"/>
  <c r="V1848" i="1"/>
  <c r="V1849" i="1"/>
  <c r="V1853" i="1"/>
  <c r="V1855" i="1"/>
  <c r="V1856" i="1"/>
  <c r="V1858" i="1"/>
  <c r="V1860" i="1"/>
  <c r="V1862" i="1"/>
  <c r="V1863" i="1"/>
  <c r="V1867" i="1"/>
  <c r="V1871" i="1"/>
  <c r="V1872" i="1"/>
  <c r="V1875" i="1"/>
  <c r="V1876" i="1"/>
  <c r="V1877" i="1"/>
  <c r="V1882" i="1"/>
  <c r="V1884" i="1"/>
  <c r="V1885" i="1"/>
  <c r="U6" i="1"/>
  <c r="U7" i="1"/>
  <c r="U8" i="1"/>
  <c r="U9" i="1"/>
  <c r="U10" i="1"/>
  <c r="U11" i="1"/>
  <c r="U12" i="1"/>
  <c r="U13" i="1"/>
  <c r="U14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8" i="1"/>
  <c r="U49" i="1"/>
  <c r="U50" i="1"/>
  <c r="U51" i="1"/>
  <c r="U52" i="1"/>
  <c r="U53" i="1"/>
  <c r="U56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7" i="1"/>
  <c r="U118" i="1"/>
  <c r="U119" i="1"/>
  <c r="U120" i="1"/>
  <c r="U121" i="1"/>
  <c r="U122" i="1"/>
  <c r="U123" i="1"/>
  <c r="U125" i="1"/>
  <c r="U126" i="1"/>
  <c r="U127" i="1"/>
  <c r="U128" i="1"/>
  <c r="U129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6" i="1"/>
  <c r="U158" i="1"/>
  <c r="U159" i="1"/>
  <c r="U161" i="1"/>
  <c r="U162" i="1"/>
  <c r="U163" i="1"/>
  <c r="U164" i="1"/>
  <c r="U165" i="1"/>
  <c r="U166" i="1"/>
  <c r="U167" i="1"/>
  <c r="U168" i="1"/>
  <c r="U169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20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7" i="1"/>
  <c r="U238" i="1"/>
  <c r="U239" i="1"/>
  <c r="U240" i="1"/>
  <c r="U241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4" i="1"/>
  <c r="U265" i="1"/>
  <c r="U266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7" i="1"/>
  <c r="U408" i="1"/>
  <c r="U409" i="1"/>
  <c r="U410" i="1"/>
  <c r="U412" i="1"/>
  <c r="U413" i="1"/>
  <c r="U414" i="1"/>
  <c r="U415" i="1"/>
  <c r="U416" i="1"/>
  <c r="U417" i="1"/>
  <c r="U418" i="1"/>
  <c r="U419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4" i="1"/>
  <c r="U475" i="1"/>
  <c r="U476" i="1"/>
  <c r="U477" i="1"/>
  <c r="U478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5" i="1"/>
  <c r="U516" i="1"/>
  <c r="U517" i="1"/>
  <c r="U518" i="1"/>
  <c r="U519" i="1"/>
  <c r="U520" i="1"/>
  <c r="U521" i="1"/>
  <c r="U522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5" i="1"/>
  <c r="U576" i="1"/>
  <c r="U577" i="1"/>
  <c r="U578" i="1"/>
  <c r="U579" i="1"/>
  <c r="U580" i="1"/>
  <c r="U581" i="1"/>
  <c r="U582" i="1"/>
  <c r="U583" i="1"/>
  <c r="U584" i="1"/>
  <c r="U585" i="1"/>
  <c r="U587" i="1"/>
  <c r="U588" i="1"/>
  <c r="U589" i="1"/>
  <c r="U590" i="1"/>
  <c r="U591" i="1"/>
  <c r="U592" i="1"/>
  <c r="U593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50" i="1"/>
  <c r="U651" i="1"/>
  <c r="U652" i="1"/>
  <c r="U653" i="1"/>
  <c r="U654" i="1"/>
  <c r="U655" i="1"/>
  <c r="U656" i="1"/>
  <c r="U657" i="1"/>
  <c r="U658" i="1"/>
  <c r="U659" i="1"/>
  <c r="U660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80" i="1"/>
  <c r="U681" i="1"/>
  <c r="U682" i="1"/>
  <c r="U683" i="1"/>
  <c r="U684" i="1"/>
  <c r="U685" i="1"/>
  <c r="U686" i="1"/>
  <c r="U687" i="1"/>
  <c r="U688" i="1"/>
  <c r="U690" i="1"/>
  <c r="U691" i="1"/>
  <c r="U692" i="1"/>
  <c r="U693" i="1"/>
  <c r="U694" i="1"/>
  <c r="U696" i="1"/>
  <c r="U697" i="1"/>
  <c r="U698" i="1"/>
  <c r="U699" i="1"/>
  <c r="U700" i="1"/>
  <c r="U701" i="1"/>
  <c r="U702" i="1"/>
  <c r="U703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20" i="1"/>
  <c r="U721" i="1"/>
  <c r="U722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5" i="1"/>
  <c r="U746" i="1"/>
  <c r="U747" i="1"/>
  <c r="U748" i="1"/>
  <c r="U749" i="1"/>
  <c r="U750" i="1"/>
  <c r="U751" i="1"/>
  <c r="U752" i="1"/>
  <c r="U753" i="1"/>
  <c r="U754" i="1"/>
  <c r="U755" i="1"/>
  <c r="U758" i="1"/>
  <c r="U759" i="1"/>
  <c r="U760" i="1"/>
  <c r="U763" i="1"/>
  <c r="U764" i="1"/>
  <c r="U765" i="1"/>
  <c r="U766" i="1"/>
  <c r="U767" i="1"/>
  <c r="U768" i="1"/>
  <c r="U769" i="1"/>
  <c r="U771" i="1"/>
  <c r="U772" i="1"/>
  <c r="U773" i="1"/>
  <c r="U774" i="1"/>
  <c r="U776" i="1"/>
  <c r="U777" i="1"/>
  <c r="U778" i="1"/>
  <c r="U779" i="1"/>
  <c r="U780" i="1"/>
  <c r="U781" i="1"/>
  <c r="U782" i="1"/>
  <c r="U783" i="1"/>
  <c r="U784" i="1"/>
  <c r="U785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30" i="1"/>
  <c r="U831" i="1"/>
  <c r="U832" i="1"/>
  <c r="U833" i="1"/>
  <c r="U834" i="1"/>
  <c r="U835" i="1"/>
  <c r="U836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2" i="1"/>
  <c r="U873" i="1"/>
  <c r="U874" i="1"/>
  <c r="U875" i="1"/>
  <c r="U876" i="1"/>
  <c r="U878" i="1"/>
  <c r="U880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7" i="1"/>
  <c r="U928" i="1"/>
  <c r="U929" i="1"/>
  <c r="U930" i="1"/>
  <c r="U931" i="1"/>
  <c r="U932" i="1"/>
  <c r="U934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9" i="1"/>
  <c r="U1031" i="1"/>
  <c r="U1032" i="1"/>
  <c r="U1033" i="1"/>
  <c r="U1034" i="1"/>
  <c r="U1035" i="1"/>
  <c r="U1036" i="1"/>
  <c r="U1037" i="1"/>
  <c r="U1038" i="1"/>
  <c r="U1040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9" i="1"/>
  <c r="U1080" i="1"/>
  <c r="U1081" i="1"/>
  <c r="U1082" i="1"/>
  <c r="U1083" i="1"/>
  <c r="U1084" i="1"/>
  <c r="U1085" i="1"/>
  <c r="U1086" i="1"/>
  <c r="U1088" i="1"/>
  <c r="U1089" i="1"/>
  <c r="U1090" i="1"/>
  <c r="U1092" i="1"/>
  <c r="U1093" i="1"/>
  <c r="U1094" i="1"/>
  <c r="U1095" i="1"/>
  <c r="U1096" i="1"/>
  <c r="U1097" i="1"/>
  <c r="U1098" i="1"/>
  <c r="U1099" i="1"/>
  <c r="U1100" i="1"/>
  <c r="U1101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8" i="1"/>
  <c r="U1130" i="1"/>
  <c r="U1131" i="1"/>
  <c r="U1133" i="1"/>
  <c r="U1135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4" i="1"/>
  <c r="U1155" i="1"/>
  <c r="U1156" i="1"/>
  <c r="U1157" i="1"/>
  <c r="U1158" i="1"/>
  <c r="U1159" i="1"/>
  <c r="U1160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8" i="1"/>
  <c r="U1179" i="1"/>
  <c r="U1180" i="1"/>
  <c r="U1181" i="1"/>
  <c r="U1184" i="1"/>
  <c r="U1185" i="1"/>
  <c r="U1187" i="1"/>
  <c r="U1188" i="1"/>
  <c r="U1189" i="1"/>
  <c r="U1190" i="1"/>
  <c r="U1191" i="1"/>
  <c r="U1192" i="1"/>
  <c r="U1193" i="1"/>
  <c r="U1194" i="1"/>
  <c r="U1195" i="1"/>
  <c r="U1196" i="1"/>
  <c r="U1198" i="1"/>
  <c r="U1199" i="1"/>
  <c r="U1200" i="1"/>
  <c r="U1201" i="1"/>
  <c r="U1202" i="1"/>
  <c r="U1203" i="1"/>
  <c r="U1204" i="1"/>
  <c r="U1206" i="1"/>
  <c r="U1207" i="1"/>
  <c r="U1208" i="1"/>
  <c r="U1209" i="1"/>
  <c r="U1211" i="1"/>
  <c r="U1212" i="1"/>
  <c r="U1213" i="1"/>
  <c r="U1214" i="1"/>
  <c r="U1215" i="1"/>
  <c r="U1216" i="1"/>
  <c r="U1217" i="1"/>
  <c r="U1219" i="1"/>
  <c r="U1220" i="1"/>
  <c r="U1222" i="1"/>
  <c r="U1224" i="1"/>
  <c r="U1225" i="1"/>
  <c r="U1226" i="1"/>
  <c r="U1227" i="1"/>
  <c r="U1228" i="1"/>
  <c r="U1229" i="1"/>
  <c r="U1230" i="1"/>
  <c r="U1233" i="1"/>
  <c r="U1234" i="1"/>
  <c r="U1235" i="1"/>
  <c r="U1236" i="1"/>
  <c r="U1237" i="1"/>
  <c r="U1238" i="1"/>
  <c r="U1239" i="1"/>
  <c r="U1240" i="1"/>
  <c r="U1241" i="1"/>
  <c r="U1242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10" i="1"/>
  <c r="U1411" i="1"/>
  <c r="U1412" i="1"/>
  <c r="U1414" i="1"/>
  <c r="U1415" i="1"/>
  <c r="U1416" i="1"/>
  <c r="U1417" i="1"/>
  <c r="U1418" i="1"/>
  <c r="U1420" i="1"/>
  <c r="U1421" i="1"/>
  <c r="U1422" i="1"/>
  <c r="U1423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4" i="1"/>
  <c r="U1445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80" i="1"/>
  <c r="U1481" i="1"/>
  <c r="U1482" i="1"/>
  <c r="U1483" i="1"/>
  <c r="U1484" i="1"/>
  <c r="U1485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500" i="1"/>
  <c r="U1501" i="1"/>
  <c r="U1502" i="1"/>
  <c r="U1503" i="1"/>
  <c r="U1504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5" i="1"/>
  <c r="U1666" i="1"/>
  <c r="U1667" i="1"/>
  <c r="U1668" i="1"/>
  <c r="U1669" i="1"/>
  <c r="U1670" i="1"/>
  <c r="U1671" i="1"/>
  <c r="U1672" i="1"/>
  <c r="U1673" i="1"/>
  <c r="U1674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1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4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1" i="1"/>
  <c r="U1792" i="1"/>
  <c r="U1793" i="1"/>
  <c r="U1794" i="1"/>
  <c r="U1795" i="1"/>
  <c r="U1796" i="1"/>
  <c r="U1799" i="1"/>
  <c r="U1801" i="1"/>
  <c r="U1802" i="1"/>
  <c r="U1803" i="1"/>
  <c r="U1804" i="1"/>
  <c r="U1806" i="1"/>
  <c r="U1807" i="1"/>
  <c r="U1808" i="1"/>
  <c r="U1809" i="1"/>
  <c r="U1810" i="1"/>
  <c r="U1811" i="1"/>
  <c r="U1812" i="1"/>
  <c r="U1813" i="1"/>
  <c r="U1814" i="1"/>
  <c r="U1815" i="1"/>
  <c r="U1818" i="1"/>
  <c r="U1819" i="1"/>
  <c r="U1820" i="1"/>
  <c r="U1821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5" i="1"/>
  <c r="U1846" i="1"/>
  <c r="U1848" i="1"/>
  <c r="U1849" i="1"/>
  <c r="U1850" i="1"/>
  <c r="U1851" i="1"/>
  <c r="U1852" i="1"/>
  <c r="U1853" i="1"/>
  <c r="U1854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AK5" i="11" l="1"/>
  <c r="AK8" i="11"/>
  <c r="AJ7" i="11"/>
  <c r="AG5" i="11"/>
  <c r="AC5" i="11"/>
  <c r="AC6" i="11"/>
  <c r="AK6" i="11"/>
  <c r="AJ6" i="11"/>
  <c r="AI7" i="11"/>
  <c r="AG6" i="11"/>
  <c r="AF6" i="11"/>
  <c r="AE8" i="11"/>
  <c r="AE7" i="11"/>
  <c r="AD8" i="11"/>
  <c r="AJ8" i="11"/>
  <c r="AB7" i="11"/>
  <c r="AI5" i="11"/>
  <c r="AB8" i="11"/>
  <c r="AH8" i="11"/>
  <c r="AC8" i="11"/>
  <c r="AH6" i="11"/>
  <c r="AD6" i="11"/>
  <c r="AE5" i="11"/>
  <c r="AI4" i="11"/>
  <c r="AB5" i="11"/>
  <c r="AC7" i="11"/>
  <c r="AB6" i="11"/>
  <c r="AI8" i="11"/>
  <c r="AF8" i="11"/>
  <c r="AG7" i="11"/>
  <c r="AK7" i="11"/>
  <c r="AF7" i="11"/>
  <c r="AH5" i="11"/>
  <c r="AG8" i="11"/>
  <c r="AD5" i="11"/>
  <c r="AH7" i="11"/>
  <c r="AD7" i="11"/>
  <c r="AI6" i="11"/>
  <c r="AE6" i="11"/>
  <c r="AJ5" i="11"/>
  <c r="AF5" i="11"/>
  <c r="AK4" i="11"/>
  <c r="AG4" i="11"/>
  <c r="AC4" i="11"/>
  <c r="K6" i="1" l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C6" i="2" l="1"/>
  <c r="G649" i="1" s="1"/>
  <c r="U649" i="1" s="1"/>
  <c r="C7" i="2"/>
  <c r="G162" i="1" s="1"/>
  <c r="AA162" i="1" s="1"/>
  <c r="C8" i="2"/>
  <c r="G37" i="1" s="1"/>
  <c r="V37" i="1" s="1"/>
  <c r="C9" i="2"/>
  <c r="G946" i="1" s="1"/>
  <c r="AA946" i="1" s="1"/>
  <c r="C10" i="2"/>
  <c r="G238" i="1" s="1"/>
  <c r="AA238" i="1" s="1"/>
  <c r="C11" i="2"/>
  <c r="G327" i="1" s="1"/>
  <c r="AC327" i="1" s="1"/>
  <c r="C12" i="2"/>
  <c r="G286" i="1" s="1"/>
  <c r="U286" i="1" s="1"/>
  <c r="C13" i="2"/>
  <c r="G315" i="1" s="1"/>
  <c r="V315" i="1" s="1"/>
  <c r="C14" i="2"/>
  <c r="C15" i="2"/>
  <c r="G395" i="1" s="1"/>
  <c r="V395" i="1" s="1"/>
  <c r="C16" i="2"/>
  <c r="G409" i="1" s="1"/>
  <c r="V409" i="1" s="1"/>
  <c r="C17" i="2"/>
  <c r="G794" i="1" s="1"/>
  <c r="V794" i="1" s="1"/>
  <c r="C18" i="2"/>
  <c r="G564" i="1" s="1"/>
  <c r="V564" i="1" s="1"/>
  <c r="C19" i="2"/>
  <c r="G586" i="1" s="1"/>
  <c r="U586" i="1" s="1"/>
  <c r="C20" i="2"/>
  <c r="G730" i="1" s="1"/>
  <c r="V730" i="1" s="1"/>
  <c r="C21" i="2"/>
  <c r="G749" i="1" s="1"/>
  <c r="AA749" i="1" s="1"/>
  <c r="C22" i="2"/>
  <c r="C23" i="2"/>
  <c r="G811" i="1" s="1"/>
  <c r="V811" i="1" s="1"/>
  <c r="C24" i="2"/>
  <c r="G822" i="1" s="1"/>
  <c r="AD822" i="1" s="1"/>
  <c r="C26" i="2"/>
  <c r="G1417" i="1" s="1"/>
  <c r="AA1417" i="1" s="1"/>
  <c r="C27" i="2"/>
  <c r="G995" i="1" s="1"/>
  <c r="AA995" i="1" s="1"/>
  <c r="C28" i="2"/>
  <c r="G1002" i="1" s="1"/>
  <c r="AA1002" i="1" s="1"/>
  <c r="C29" i="2"/>
  <c r="C30" i="2"/>
  <c r="G1143" i="1" s="1"/>
  <c r="V1143" i="1" s="1"/>
  <c r="C31" i="2"/>
  <c r="G1169" i="1" s="1"/>
  <c r="V1169" i="1" s="1"/>
  <c r="C32" i="2"/>
  <c r="G1173" i="1" s="1"/>
  <c r="AA1173" i="1" s="1"/>
  <c r="C33" i="2"/>
  <c r="G1224" i="1" s="1"/>
  <c r="C34" i="2"/>
  <c r="G1222" i="1" s="1"/>
  <c r="V1222" i="1" s="1"/>
  <c r="C35" i="2"/>
  <c r="G1237" i="1" s="1"/>
  <c r="V1237" i="1" s="1"/>
  <c r="C36" i="2"/>
  <c r="G1340" i="1" s="1"/>
  <c r="V1340" i="1" s="1"/>
  <c r="C37" i="2"/>
  <c r="G1387" i="1" s="1"/>
  <c r="Z1387" i="1" s="1"/>
  <c r="C38" i="2"/>
  <c r="G1547" i="1" s="1"/>
  <c r="X1547" i="1" s="1"/>
  <c r="C39" i="2"/>
  <c r="C40" i="2"/>
  <c r="G1657" i="1" s="1"/>
  <c r="V1657" i="1" s="1"/>
  <c r="C41" i="2"/>
  <c r="G1725" i="1" s="1"/>
  <c r="AA1725" i="1" s="1"/>
  <c r="C42" i="2"/>
  <c r="G1863" i="1" s="1"/>
  <c r="AC1863" i="1" s="1"/>
  <c r="C5" i="2"/>
  <c r="G12" i="1" s="1"/>
  <c r="AA12" i="1" s="1"/>
  <c r="G6" i="1"/>
  <c r="V6" i="1" s="1"/>
  <c r="G7" i="1"/>
  <c r="X7" i="1" s="1"/>
  <c r="G8" i="1"/>
  <c r="V8" i="1" s="1"/>
  <c r="G9" i="1"/>
  <c r="X9" i="1" s="1"/>
  <c r="G10" i="1"/>
  <c r="Z10" i="1" s="1"/>
  <c r="G11" i="1"/>
  <c r="V11" i="1" s="1"/>
  <c r="G13" i="1"/>
  <c r="V13" i="1" s="1"/>
  <c r="G14" i="1"/>
  <c r="G15" i="1"/>
  <c r="U15" i="1" s="1"/>
  <c r="G17" i="1"/>
  <c r="Z17" i="1" s="1"/>
  <c r="G19" i="1"/>
  <c r="V19" i="1" s="1"/>
  <c r="G20" i="1"/>
  <c r="Z20" i="1" s="1"/>
  <c r="G21" i="1"/>
  <c r="Z21" i="1" s="1"/>
  <c r="G22" i="1"/>
  <c r="AA22" i="1" s="1"/>
  <c r="G23" i="1"/>
  <c r="AC23" i="1" s="1"/>
  <c r="G25" i="1"/>
  <c r="AA25" i="1" s="1"/>
  <c r="G26" i="1"/>
  <c r="AA26" i="1" s="1"/>
  <c r="G27" i="1"/>
  <c r="V27" i="1" s="1"/>
  <c r="G29" i="1"/>
  <c r="G30" i="1"/>
  <c r="AA30" i="1" s="1"/>
  <c r="G31" i="1"/>
  <c r="V31" i="1" s="1"/>
  <c r="G35" i="1"/>
  <c r="AA35" i="1" s="1"/>
  <c r="G38" i="1"/>
  <c r="V38" i="1" s="1"/>
  <c r="G40" i="1"/>
  <c r="AA40" i="1" s="1"/>
  <c r="G41" i="1"/>
  <c r="Z41" i="1" s="1"/>
  <c r="G42" i="1"/>
  <c r="W42" i="1" s="1"/>
  <c r="G45" i="1"/>
  <c r="V45" i="1" s="1"/>
  <c r="G46" i="1"/>
  <c r="Z46" i="1" s="1"/>
  <c r="G47" i="1"/>
  <c r="U47" i="1" s="1"/>
  <c r="G48" i="1"/>
  <c r="AB48" i="1" s="1"/>
  <c r="G51" i="1"/>
  <c r="W51" i="1" s="1"/>
  <c r="G52" i="1"/>
  <c r="AA52" i="1" s="1"/>
  <c r="G53" i="1"/>
  <c r="V53" i="1" s="1"/>
  <c r="G54" i="1"/>
  <c r="U54" i="1" s="1"/>
  <c r="G56" i="1"/>
  <c r="AA56" i="1" s="1"/>
  <c r="G57" i="1"/>
  <c r="U57" i="1" s="1"/>
  <c r="G58" i="1"/>
  <c r="V58" i="1" s="1"/>
  <c r="G59" i="1"/>
  <c r="V59" i="1" s="1"/>
  <c r="G61" i="1"/>
  <c r="AA61" i="1" s="1"/>
  <c r="G62" i="1"/>
  <c r="V62" i="1" s="1"/>
  <c r="G63" i="1"/>
  <c r="AD63" i="1" s="1"/>
  <c r="G64" i="1"/>
  <c r="V64" i="1" s="1"/>
  <c r="G65" i="1"/>
  <c r="V65" i="1" s="1"/>
  <c r="G66" i="1"/>
  <c r="AA66" i="1" s="1"/>
  <c r="G68" i="1"/>
  <c r="AA68" i="1" s="1"/>
  <c r="G69" i="1"/>
  <c r="V69" i="1" s="1"/>
  <c r="G71" i="1"/>
  <c r="V71" i="1" s="1"/>
  <c r="G72" i="1"/>
  <c r="V72" i="1" s="1"/>
  <c r="G73" i="1"/>
  <c r="AA73" i="1" s="1"/>
  <c r="G74" i="1"/>
  <c r="V74" i="1" s="1"/>
  <c r="G75" i="1"/>
  <c r="AA75" i="1" s="1"/>
  <c r="G77" i="1"/>
  <c r="AA77" i="1" s="1"/>
  <c r="G79" i="1"/>
  <c r="W79" i="1" s="1"/>
  <c r="G80" i="1"/>
  <c r="V80" i="1" s="1"/>
  <c r="G82" i="1"/>
  <c r="V82" i="1" s="1"/>
  <c r="G83" i="1"/>
  <c r="AA83" i="1" s="1"/>
  <c r="G84" i="1"/>
  <c r="V84" i="1" s="1"/>
  <c r="G86" i="1"/>
  <c r="G87" i="1"/>
  <c r="AA87" i="1" s="1"/>
  <c r="G89" i="1"/>
  <c r="V89" i="1" s="1"/>
  <c r="G90" i="1"/>
  <c r="Z90" i="1" s="1"/>
  <c r="G91" i="1"/>
  <c r="W91" i="1" s="1"/>
  <c r="G92" i="1"/>
  <c r="V92" i="1" s="1"/>
  <c r="G94" i="1"/>
  <c r="G95" i="1"/>
  <c r="AA95" i="1" s="1"/>
  <c r="G97" i="1"/>
  <c r="V97" i="1" s="1"/>
  <c r="G98" i="1"/>
  <c r="G99" i="1"/>
  <c r="AA99" i="1" s="1"/>
  <c r="G100" i="1"/>
  <c r="AA100" i="1" s="1"/>
  <c r="G101" i="1"/>
  <c r="V101" i="1" s="1"/>
  <c r="G102" i="1"/>
  <c r="AA102" i="1" s="1"/>
  <c r="G103" i="1"/>
  <c r="W103" i="1" s="1"/>
  <c r="G104" i="1"/>
  <c r="V104" i="1" s="1"/>
  <c r="G105" i="1"/>
  <c r="AD105" i="1" s="1"/>
  <c r="G106" i="1"/>
  <c r="V106" i="1" s="1"/>
  <c r="G107" i="1"/>
  <c r="AA107" i="1" s="1"/>
  <c r="G108" i="1"/>
  <c r="V108" i="1" s="1"/>
  <c r="G109" i="1"/>
  <c r="V109" i="1" s="1"/>
  <c r="G110" i="1"/>
  <c r="V110" i="1" s="1"/>
  <c r="G111" i="1"/>
  <c r="V111" i="1" s="1"/>
  <c r="G112" i="1"/>
  <c r="AA112" i="1" s="1"/>
  <c r="G113" i="1"/>
  <c r="V113" i="1" s="1"/>
  <c r="G114" i="1"/>
  <c r="AD114" i="1" s="1"/>
  <c r="G115" i="1"/>
  <c r="AA115" i="1" s="1"/>
  <c r="G116" i="1"/>
  <c r="U116" i="1" s="1"/>
  <c r="G117" i="1"/>
  <c r="AA117" i="1" s="1"/>
  <c r="G118" i="1"/>
  <c r="V118" i="1" s="1"/>
  <c r="G119" i="1"/>
  <c r="X119" i="1" s="1"/>
  <c r="G120" i="1"/>
  <c r="V120" i="1" s="1"/>
  <c r="G121" i="1"/>
  <c r="AA121" i="1" s="1"/>
  <c r="G122" i="1"/>
  <c r="V122" i="1" s="1"/>
  <c r="G123" i="1"/>
  <c r="V123" i="1" s="1"/>
  <c r="G124" i="1"/>
  <c r="U124" i="1" s="1"/>
  <c r="G125" i="1"/>
  <c r="AD125" i="1" s="1"/>
  <c r="G127" i="1"/>
  <c r="V127" i="1" s="1"/>
  <c r="G128" i="1"/>
  <c r="AA128" i="1" s="1"/>
  <c r="G129" i="1"/>
  <c r="AA129" i="1" s="1"/>
  <c r="G130" i="1"/>
  <c r="U130" i="1" s="1"/>
  <c r="G131" i="1"/>
  <c r="U131" i="1" s="1"/>
  <c r="G132" i="1"/>
  <c r="W132" i="1" s="1"/>
  <c r="G134" i="1"/>
  <c r="V134" i="1" s="1"/>
  <c r="G135" i="1"/>
  <c r="V135" i="1" s="1"/>
  <c r="G137" i="1"/>
  <c r="V137" i="1" s="1"/>
  <c r="G139" i="1"/>
  <c r="AA139" i="1" s="1"/>
  <c r="G140" i="1"/>
  <c r="AA140" i="1" s="1"/>
  <c r="G141" i="1"/>
  <c r="V141" i="1" s="1"/>
  <c r="G144" i="1"/>
  <c r="V144" i="1" s="1"/>
  <c r="G145" i="1"/>
  <c r="G146" i="1"/>
  <c r="Z146" i="1" s="1"/>
  <c r="G147" i="1"/>
  <c r="V147" i="1" s="1"/>
  <c r="G148" i="1"/>
  <c r="V148" i="1" s="1"/>
  <c r="G149" i="1"/>
  <c r="AA149" i="1" s="1"/>
  <c r="G150" i="1"/>
  <c r="V150" i="1" s="1"/>
  <c r="G151" i="1"/>
  <c r="W151" i="1" s="1"/>
  <c r="G152" i="1"/>
  <c r="V152" i="1" s="1"/>
  <c r="G153" i="1"/>
  <c r="AA153" i="1" s="1"/>
  <c r="G154" i="1"/>
  <c r="V154" i="1" s="1"/>
  <c r="G155" i="1"/>
  <c r="U155" i="1" s="1"/>
  <c r="G156" i="1"/>
  <c r="V156" i="1" s="1"/>
  <c r="G157" i="1"/>
  <c r="U157" i="1" s="1"/>
  <c r="G158" i="1"/>
  <c r="V158" i="1" s="1"/>
  <c r="G159" i="1"/>
  <c r="V159" i="1" s="1"/>
  <c r="G160" i="1"/>
  <c r="U160" i="1" s="1"/>
  <c r="G163" i="1"/>
  <c r="V163" i="1" s="1"/>
  <c r="G164" i="1"/>
  <c r="AA164" i="1" s="1"/>
  <c r="G165" i="1"/>
  <c r="AA165" i="1" s="1"/>
  <c r="G166" i="1"/>
  <c r="V166" i="1" s="1"/>
  <c r="G168" i="1"/>
  <c r="AA168" i="1" s="1"/>
  <c r="G169" i="1"/>
  <c r="X169" i="1" s="1"/>
  <c r="G170" i="1"/>
  <c r="U170" i="1" s="1"/>
  <c r="G171" i="1"/>
  <c r="W171" i="1" s="1"/>
  <c r="G173" i="1"/>
  <c r="V173" i="1" s="1"/>
  <c r="G175" i="1"/>
  <c r="V175" i="1" s="1"/>
  <c r="G176" i="1"/>
  <c r="V176" i="1" s="1"/>
  <c r="G178" i="1"/>
  <c r="Z178" i="1" s="1"/>
  <c r="G179" i="1"/>
  <c r="AD179" i="1" s="1"/>
  <c r="G182" i="1"/>
  <c r="V182" i="1" s="1"/>
  <c r="G183" i="1"/>
  <c r="V183" i="1" s="1"/>
  <c r="G184" i="1"/>
  <c r="V184" i="1" s="1"/>
  <c r="G185" i="1"/>
  <c r="AA185" i="1" s="1"/>
  <c r="G186" i="1"/>
  <c r="V186" i="1" s="1"/>
  <c r="G187" i="1"/>
  <c r="V187" i="1" s="1"/>
  <c r="G188" i="1"/>
  <c r="U188" i="1" s="1"/>
  <c r="G189" i="1"/>
  <c r="W189" i="1" s="1"/>
  <c r="G190" i="1"/>
  <c r="AA190" i="1" s="1"/>
  <c r="G191" i="1"/>
  <c r="AA191" i="1" s="1"/>
  <c r="G192" i="1"/>
  <c r="V192" i="1" s="1"/>
  <c r="G193" i="1"/>
  <c r="V193" i="1" s="1"/>
  <c r="G194" i="1"/>
  <c r="V194" i="1" s="1"/>
  <c r="G195" i="1"/>
  <c r="AD195" i="1" s="1"/>
  <c r="G196" i="1"/>
  <c r="V196" i="1" s="1"/>
  <c r="G197" i="1"/>
  <c r="V197" i="1" s="1"/>
  <c r="G199" i="1"/>
  <c r="X199" i="1" s="1"/>
  <c r="G200" i="1"/>
  <c r="AA200" i="1" s="1"/>
  <c r="G203" i="1"/>
  <c r="AA203" i="1" s="1"/>
  <c r="G204" i="1"/>
  <c r="AA204" i="1" s="1"/>
  <c r="G208" i="1"/>
  <c r="V208" i="1" s="1"/>
  <c r="G209" i="1"/>
  <c r="AA209" i="1" s="1"/>
  <c r="G210" i="1"/>
  <c r="AA210" i="1" s="1"/>
  <c r="G211" i="1"/>
  <c r="V211" i="1" s="1"/>
  <c r="G212" i="1"/>
  <c r="V212" i="1" s="1"/>
  <c r="G213" i="1"/>
  <c r="AA213" i="1" s="1"/>
  <c r="G214" i="1"/>
  <c r="G215" i="1"/>
  <c r="V215" i="1" s="1"/>
  <c r="G216" i="1"/>
  <c r="V216" i="1" s="1"/>
  <c r="G217" i="1"/>
  <c r="AA217" i="1" s="1"/>
  <c r="G218" i="1"/>
  <c r="U218" i="1" s="1"/>
  <c r="G219" i="1"/>
  <c r="U219" i="1" s="1"/>
  <c r="G222" i="1"/>
  <c r="X222" i="1" s="1"/>
  <c r="G223" i="1"/>
  <c r="Z223" i="1" s="1"/>
  <c r="G225" i="1"/>
  <c r="V225" i="1" s="1"/>
  <c r="G226" i="1"/>
  <c r="AA226" i="1" s="1"/>
  <c r="G230" i="1"/>
  <c r="AD230" i="1" s="1"/>
  <c r="G231" i="1"/>
  <c r="G232" i="1"/>
  <c r="G233" i="1"/>
  <c r="V233" i="1" s="1"/>
  <c r="G235" i="1"/>
  <c r="V235" i="1" s="1"/>
  <c r="G236" i="1"/>
  <c r="U236" i="1" s="1"/>
  <c r="G240" i="1"/>
  <c r="V240" i="1" s="1"/>
  <c r="G241" i="1"/>
  <c r="V241" i="1" s="1"/>
  <c r="G242" i="1"/>
  <c r="U242" i="1" s="1"/>
  <c r="G243" i="1"/>
  <c r="AA243" i="1" s="1"/>
  <c r="G244" i="1"/>
  <c r="AA244" i="1" s="1"/>
  <c r="G245" i="1"/>
  <c r="AA245" i="1" s="1"/>
  <c r="G246" i="1"/>
  <c r="V246" i="1" s="1"/>
  <c r="G247" i="1"/>
  <c r="AA247" i="1" s="1"/>
  <c r="G248" i="1"/>
  <c r="W248" i="1" s="1"/>
  <c r="G249" i="1"/>
  <c r="AA249" i="1" s="1"/>
  <c r="G250" i="1"/>
  <c r="V250" i="1" s="1"/>
  <c r="G251" i="1"/>
  <c r="AA251" i="1" s="1"/>
  <c r="G252" i="1"/>
  <c r="V252" i="1" s="1"/>
  <c r="G253" i="1"/>
  <c r="V253" i="1" s="1"/>
  <c r="G254" i="1"/>
  <c r="V254" i="1" s="1"/>
  <c r="G256" i="1"/>
  <c r="AA256" i="1" s="1"/>
  <c r="G258" i="1"/>
  <c r="V258" i="1" s="1"/>
  <c r="G262" i="1"/>
  <c r="AD262" i="1" s="1"/>
  <c r="G263" i="1"/>
  <c r="U263" i="1" s="1"/>
  <c r="G264" i="1"/>
  <c r="W264" i="1" s="1"/>
  <c r="G265" i="1"/>
  <c r="AA265" i="1" s="1"/>
  <c r="G267" i="1"/>
  <c r="U267" i="1" s="1"/>
  <c r="G268" i="1"/>
  <c r="AA268" i="1" s="1"/>
  <c r="G269" i="1"/>
  <c r="G270" i="1"/>
  <c r="AD270" i="1" s="1"/>
  <c r="G271" i="1"/>
  <c r="V271" i="1" s="1"/>
  <c r="G272" i="1"/>
  <c r="G273" i="1"/>
  <c r="V273" i="1" s="1"/>
  <c r="G274" i="1"/>
  <c r="V274" i="1" s="1"/>
  <c r="G276" i="1"/>
  <c r="V276" i="1" s="1"/>
  <c r="G277" i="1"/>
  <c r="AA277" i="1" s="1"/>
  <c r="G278" i="1"/>
  <c r="V278" i="1" s="1"/>
  <c r="G279" i="1"/>
  <c r="V279" i="1" s="1"/>
  <c r="G280" i="1"/>
  <c r="V280" i="1" s="1"/>
  <c r="G281" i="1"/>
  <c r="V281" i="1" s="1"/>
  <c r="G282" i="1"/>
  <c r="Z282" i="1" s="1"/>
  <c r="G283" i="1"/>
  <c r="AD283" i="1" s="1"/>
  <c r="G284" i="1"/>
  <c r="AA284" i="1" s="1"/>
  <c r="G287" i="1"/>
  <c r="AC287" i="1" s="1"/>
  <c r="G288" i="1"/>
  <c r="AA288" i="1" s="1"/>
  <c r="G289" i="1"/>
  <c r="V289" i="1" s="1"/>
  <c r="G291" i="1"/>
  <c r="V291" i="1" s="1"/>
  <c r="G292" i="1"/>
  <c r="AA292" i="1" s="1"/>
  <c r="G294" i="1"/>
  <c r="V294" i="1" s="1"/>
  <c r="G295" i="1"/>
  <c r="V295" i="1" s="1"/>
  <c r="G297" i="1"/>
  <c r="AA297" i="1" s="1"/>
  <c r="G298" i="1"/>
  <c r="AD298" i="1" s="1"/>
  <c r="G299" i="1"/>
  <c r="V299" i="1" s="1"/>
  <c r="G300" i="1"/>
  <c r="G301" i="1"/>
  <c r="V301" i="1" s="1"/>
  <c r="G303" i="1"/>
  <c r="V303" i="1" s="1"/>
  <c r="G304" i="1"/>
  <c r="X304" i="1" s="1"/>
  <c r="G305" i="1"/>
  <c r="V305" i="1" s="1"/>
  <c r="G306" i="1"/>
  <c r="V306" i="1" s="1"/>
  <c r="G307" i="1"/>
  <c r="X307" i="1" s="1"/>
  <c r="G308" i="1"/>
  <c r="AC308" i="1" s="1"/>
  <c r="G309" i="1"/>
  <c r="AA309" i="1" s="1"/>
  <c r="G311" i="1"/>
  <c r="V311" i="1" s="1"/>
  <c r="G313" i="1"/>
  <c r="AA313" i="1" s="1"/>
  <c r="G314" i="1"/>
  <c r="V314" i="1" s="1"/>
  <c r="G316" i="1"/>
  <c r="V316" i="1" s="1"/>
  <c r="G317" i="1"/>
  <c r="AD317" i="1" s="1"/>
  <c r="G318" i="1"/>
  <c r="V318" i="1" s="1"/>
  <c r="G319" i="1"/>
  <c r="V319" i="1" s="1"/>
  <c r="G321" i="1"/>
  <c r="AA321" i="1" s="1"/>
  <c r="G322" i="1"/>
  <c r="V322" i="1" s="1"/>
  <c r="G323" i="1"/>
  <c r="V323" i="1" s="1"/>
  <c r="G325" i="1"/>
  <c r="AD325" i="1" s="1"/>
  <c r="G326" i="1"/>
  <c r="V326" i="1" s="1"/>
  <c r="G328" i="1"/>
  <c r="AA328" i="1" s="1"/>
  <c r="G329" i="1"/>
  <c r="AA329" i="1" s="1"/>
  <c r="G330" i="1"/>
  <c r="AA330" i="1" s="1"/>
  <c r="G331" i="1"/>
  <c r="V331" i="1" s="1"/>
  <c r="G333" i="1"/>
  <c r="V333" i="1" s="1"/>
  <c r="G334" i="1"/>
  <c r="U334" i="1" s="1"/>
  <c r="G336" i="1"/>
  <c r="AA336" i="1" s="1"/>
  <c r="G337" i="1"/>
  <c r="AD337" i="1" s="1"/>
  <c r="G338" i="1"/>
  <c r="AA338" i="1" s="1"/>
  <c r="G340" i="1"/>
  <c r="AA340" i="1" s="1"/>
  <c r="G341" i="1"/>
  <c r="AA341" i="1" s="1"/>
  <c r="G342" i="1"/>
  <c r="V342" i="1" s="1"/>
  <c r="G343" i="1"/>
  <c r="V343" i="1" s="1"/>
  <c r="G344" i="1"/>
  <c r="V344" i="1" s="1"/>
  <c r="G345" i="1"/>
  <c r="AC345" i="1" s="1"/>
  <c r="G346" i="1"/>
  <c r="W346" i="1" s="1"/>
  <c r="G348" i="1"/>
  <c r="AA348" i="1" s="1"/>
  <c r="G349" i="1"/>
  <c r="Z349" i="1" s="1"/>
  <c r="G352" i="1"/>
  <c r="V352" i="1" s="1"/>
  <c r="G353" i="1"/>
  <c r="AA353" i="1" s="1"/>
  <c r="G354" i="1"/>
  <c r="Z354" i="1" s="1"/>
  <c r="G356" i="1"/>
  <c r="V356" i="1" s="1"/>
  <c r="G357" i="1"/>
  <c r="AA357" i="1" s="1"/>
  <c r="G358" i="1"/>
  <c r="V358" i="1" s="1"/>
  <c r="G359" i="1"/>
  <c r="G360" i="1"/>
  <c r="AA360" i="1" s="1"/>
  <c r="G361" i="1"/>
  <c r="W361" i="1" s="1"/>
  <c r="G362" i="1"/>
  <c r="V362" i="1" s="1"/>
  <c r="G364" i="1"/>
  <c r="AA364" i="1" s="1"/>
  <c r="G365" i="1"/>
  <c r="V365" i="1" s="1"/>
  <c r="G366" i="1"/>
  <c r="AA366" i="1" s="1"/>
  <c r="G367" i="1"/>
  <c r="AA367" i="1" s="1"/>
  <c r="G368" i="1"/>
  <c r="G370" i="1"/>
  <c r="AA370" i="1" s="1"/>
  <c r="G371" i="1"/>
  <c r="W371" i="1" s="1"/>
  <c r="G372" i="1"/>
  <c r="G378" i="1"/>
  <c r="V378" i="1" s="1"/>
  <c r="G380" i="1"/>
  <c r="V380" i="1" s="1"/>
  <c r="G381" i="1"/>
  <c r="V381" i="1" s="1"/>
  <c r="G382" i="1"/>
  <c r="AC382" i="1" s="1"/>
  <c r="G385" i="1"/>
  <c r="AA385" i="1" s="1"/>
  <c r="G386" i="1"/>
  <c r="V386" i="1" s="1"/>
  <c r="G387" i="1"/>
  <c r="U387" i="1" s="1"/>
  <c r="G388" i="1"/>
  <c r="AC388" i="1" s="1"/>
  <c r="G389" i="1"/>
  <c r="AA389" i="1" s="1"/>
  <c r="G391" i="1"/>
  <c r="AD391" i="1" s="1"/>
  <c r="G392" i="1"/>
  <c r="AA392" i="1" s="1"/>
  <c r="G393" i="1"/>
  <c r="AA393" i="1" s="1"/>
  <c r="G394" i="1"/>
  <c r="V394" i="1" s="1"/>
  <c r="G396" i="1"/>
  <c r="Z396" i="1" s="1"/>
  <c r="G397" i="1"/>
  <c r="AA397" i="1" s="1"/>
  <c r="G398" i="1"/>
  <c r="AA398" i="1" s="1"/>
  <c r="G399" i="1"/>
  <c r="G400" i="1"/>
  <c r="X400" i="1" s="1"/>
  <c r="G401" i="1"/>
  <c r="V401" i="1" s="1"/>
  <c r="G402" i="1"/>
  <c r="V402" i="1" s="1"/>
  <c r="G405" i="1"/>
  <c r="AA405" i="1" s="1"/>
  <c r="G407" i="1"/>
  <c r="V407" i="1" s="1"/>
  <c r="G408" i="1"/>
  <c r="AA408" i="1" s="1"/>
  <c r="G410" i="1"/>
  <c r="V410" i="1" s="1"/>
  <c r="G411" i="1"/>
  <c r="U411" i="1" s="1"/>
  <c r="G412" i="1"/>
  <c r="V412" i="1" s="1"/>
  <c r="G413" i="1"/>
  <c r="V413" i="1" s="1"/>
  <c r="G414" i="1"/>
  <c r="AA414" i="1" s="1"/>
  <c r="G415" i="1"/>
  <c r="W415" i="1" s="1"/>
  <c r="G418" i="1"/>
  <c r="G419" i="1"/>
  <c r="V419" i="1" s="1"/>
  <c r="G420" i="1"/>
  <c r="U420" i="1" s="1"/>
  <c r="G421" i="1"/>
  <c r="V421" i="1" s="1"/>
  <c r="G422" i="1"/>
  <c r="W422" i="1" s="1"/>
  <c r="G425" i="1"/>
  <c r="AA425" i="1" s="1"/>
  <c r="G426" i="1"/>
  <c r="AC426" i="1" s="1"/>
  <c r="G427" i="1"/>
  <c r="Z427" i="1" s="1"/>
  <c r="G428" i="1"/>
  <c r="AA428" i="1" s="1"/>
  <c r="G429" i="1"/>
  <c r="V429" i="1" s="1"/>
  <c r="G431" i="1"/>
  <c r="Z431" i="1" s="1"/>
  <c r="G432" i="1"/>
  <c r="V432" i="1" s="1"/>
  <c r="G433" i="1"/>
  <c r="V433" i="1" s="1"/>
  <c r="G434" i="1"/>
  <c r="V434" i="1" s="1"/>
  <c r="G435" i="1"/>
  <c r="V435" i="1" s="1"/>
  <c r="G436" i="1"/>
  <c r="V436" i="1" s="1"/>
  <c r="G437" i="1"/>
  <c r="G441" i="1"/>
  <c r="V441" i="1" s="1"/>
  <c r="G443" i="1"/>
  <c r="X443" i="1" s="1"/>
  <c r="G444" i="1"/>
  <c r="AA444" i="1" s="1"/>
  <c r="G445" i="1"/>
  <c r="AC445" i="1" s="1"/>
  <c r="G446" i="1"/>
  <c r="Z446" i="1" s="1"/>
  <c r="G448" i="1"/>
  <c r="V448" i="1" s="1"/>
  <c r="G450" i="1"/>
  <c r="AA450" i="1" s="1"/>
  <c r="G452" i="1"/>
  <c r="V452" i="1" s="1"/>
  <c r="G453" i="1"/>
  <c r="V453" i="1" s="1"/>
  <c r="G455" i="1"/>
  <c r="AA455" i="1" s="1"/>
  <c r="G457" i="1"/>
  <c r="AA457" i="1" s="1"/>
  <c r="G458" i="1"/>
  <c r="AA458" i="1" s="1"/>
  <c r="G459" i="1"/>
  <c r="V459" i="1" s="1"/>
  <c r="G460" i="1"/>
  <c r="V460" i="1" s="1"/>
  <c r="G462" i="1"/>
  <c r="AA462" i="1" s="1"/>
  <c r="G464" i="1"/>
  <c r="AD464" i="1" s="1"/>
  <c r="G465" i="1"/>
  <c r="AA465" i="1" s="1"/>
  <c r="G467" i="1"/>
  <c r="G468" i="1"/>
  <c r="V468" i="1" s="1"/>
  <c r="G469" i="1"/>
  <c r="V469" i="1" s="1"/>
  <c r="G471" i="1"/>
  <c r="AD471" i="1" s="1"/>
  <c r="G472" i="1"/>
  <c r="V472" i="1" s="1"/>
  <c r="G474" i="1"/>
  <c r="V474" i="1" s="1"/>
  <c r="G475" i="1"/>
  <c r="Z475" i="1" s="1"/>
  <c r="G476" i="1"/>
  <c r="Z476" i="1" s="1"/>
  <c r="G477" i="1"/>
  <c r="V477" i="1" s="1"/>
  <c r="G478" i="1"/>
  <c r="G479" i="1"/>
  <c r="U479" i="1" s="1"/>
  <c r="G482" i="1"/>
  <c r="V482" i="1" s="1"/>
  <c r="G483" i="1"/>
  <c r="V483" i="1" s="1"/>
  <c r="G485" i="1"/>
  <c r="V485" i="1" s="1"/>
  <c r="G486" i="1"/>
  <c r="W486" i="1" s="1"/>
  <c r="G487" i="1"/>
  <c r="AC487" i="1" s="1"/>
  <c r="G490" i="1"/>
  <c r="V490" i="1" s="1"/>
  <c r="G491" i="1"/>
  <c r="AA491" i="1" s="1"/>
  <c r="G493" i="1"/>
  <c r="V493" i="1" s="1"/>
  <c r="G497" i="1"/>
  <c r="AA497" i="1" s="1"/>
  <c r="G499" i="1"/>
  <c r="V499" i="1" s="1"/>
  <c r="G500" i="1"/>
  <c r="V500" i="1" s="1"/>
  <c r="G501" i="1"/>
  <c r="X501" i="1" s="1"/>
  <c r="G504" i="1"/>
  <c r="AA504" i="1" s="1"/>
  <c r="G506" i="1"/>
  <c r="V506" i="1" s="1"/>
  <c r="G507" i="1"/>
  <c r="AA507" i="1" s="1"/>
  <c r="G510" i="1"/>
  <c r="AA510" i="1" s="1"/>
  <c r="G511" i="1"/>
  <c r="W511" i="1" s="1"/>
  <c r="G512" i="1"/>
  <c r="V512" i="1" s="1"/>
  <c r="G513" i="1"/>
  <c r="AA513" i="1" s="1"/>
  <c r="G514" i="1"/>
  <c r="U514" i="1" s="1"/>
  <c r="G515" i="1"/>
  <c r="V515" i="1" s="1"/>
  <c r="G516" i="1"/>
  <c r="AA516" i="1" s="1"/>
  <c r="G518" i="1"/>
  <c r="AA518" i="1" s="1"/>
  <c r="G519" i="1"/>
  <c r="G520" i="1"/>
  <c r="V520" i="1" s="1"/>
  <c r="G522" i="1"/>
  <c r="G525" i="1"/>
  <c r="AA525" i="1" s="1"/>
  <c r="G526" i="1"/>
  <c r="W526" i="1" s="1"/>
  <c r="G528" i="1"/>
  <c r="V528" i="1" s="1"/>
  <c r="G530" i="1"/>
  <c r="AA530" i="1" s="1"/>
  <c r="G531" i="1"/>
  <c r="G532" i="1"/>
  <c r="V532" i="1" s="1"/>
  <c r="G534" i="1"/>
  <c r="V534" i="1" s="1"/>
  <c r="G535" i="1"/>
  <c r="V535" i="1" s="1"/>
  <c r="G536" i="1"/>
  <c r="W536" i="1" s="1"/>
  <c r="G539" i="1"/>
  <c r="U539" i="1" s="1"/>
  <c r="G540" i="1"/>
  <c r="Z540" i="1" s="1"/>
  <c r="G541" i="1"/>
  <c r="V541" i="1" s="1"/>
  <c r="G543" i="1"/>
  <c r="AC543" i="1" s="1"/>
  <c r="G544" i="1"/>
  <c r="AA544" i="1" s="1"/>
  <c r="G545" i="1"/>
  <c r="V545" i="1" s="1"/>
  <c r="G546" i="1"/>
  <c r="V546" i="1" s="1"/>
  <c r="G547" i="1"/>
  <c r="V547" i="1" s="1"/>
  <c r="G548" i="1"/>
  <c r="G551" i="1"/>
  <c r="AD551" i="1" s="1"/>
  <c r="G552" i="1"/>
  <c r="V552" i="1" s="1"/>
  <c r="G553" i="1"/>
  <c r="AA553" i="1" s="1"/>
  <c r="G554" i="1"/>
  <c r="AD554" i="1" s="1"/>
  <c r="G555" i="1"/>
  <c r="X555" i="1" s="1"/>
  <c r="G556" i="1"/>
  <c r="V556" i="1" s="1"/>
  <c r="G557" i="1"/>
  <c r="G558" i="1"/>
  <c r="V558" i="1" s="1"/>
  <c r="G559" i="1"/>
  <c r="X559" i="1" s="1"/>
  <c r="G561" i="1"/>
  <c r="V561" i="1" s="1"/>
  <c r="G562" i="1"/>
  <c r="V562" i="1" s="1"/>
  <c r="G565" i="1"/>
  <c r="V565" i="1" s="1"/>
  <c r="G566" i="1"/>
  <c r="AA566" i="1" s="1"/>
  <c r="G569" i="1"/>
  <c r="V569" i="1" s="1"/>
  <c r="G570" i="1"/>
  <c r="AA570" i="1" s="1"/>
  <c r="G572" i="1"/>
  <c r="AA572" i="1" s="1"/>
  <c r="G573" i="1"/>
  <c r="G575" i="1"/>
  <c r="V575" i="1" s="1"/>
  <c r="G576" i="1"/>
  <c r="AD576" i="1" s="1"/>
  <c r="G577" i="1"/>
  <c r="G579" i="1"/>
  <c r="AA579" i="1" s="1"/>
  <c r="G580" i="1"/>
  <c r="V580" i="1" s="1"/>
  <c r="G582" i="1"/>
  <c r="V582" i="1" s="1"/>
  <c r="G583" i="1"/>
  <c r="V583" i="1" s="1"/>
  <c r="G584" i="1"/>
  <c r="V584" i="1" s="1"/>
  <c r="G585" i="1"/>
  <c r="V585" i="1" s="1"/>
  <c r="G587" i="1"/>
  <c r="W587" i="1" s="1"/>
  <c r="G589" i="1"/>
  <c r="W589" i="1" s="1"/>
  <c r="G590" i="1"/>
  <c r="V590" i="1" s="1"/>
  <c r="G592" i="1"/>
  <c r="AA592" i="1" s="1"/>
  <c r="G593" i="1"/>
  <c r="V593" i="1" s="1"/>
  <c r="G594" i="1"/>
  <c r="U594" i="1" s="1"/>
  <c r="G595" i="1"/>
  <c r="AA595" i="1" s="1"/>
  <c r="G597" i="1"/>
  <c r="AA597" i="1" s="1"/>
  <c r="G598" i="1"/>
  <c r="V598" i="1" s="1"/>
  <c r="G599" i="1"/>
  <c r="V599" i="1" s="1"/>
  <c r="G600" i="1"/>
  <c r="V600" i="1" s="1"/>
  <c r="G603" i="1"/>
  <c r="V603" i="1" s="1"/>
  <c r="G605" i="1"/>
  <c r="AA605" i="1" s="1"/>
  <c r="G606" i="1"/>
  <c r="X606" i="1" s="1"/>
  <c r="G609" i="1"/>
  <c r="X609" i="1" s="1"/>
  <c r="G610" i="1"/>
  <c r="AA610" i="1" s="1"/>
  <c r="G613" i="1"/>
  <c r="AA613" i="1" s="1"/>
  <c r="G615" i="1"/>
  <c r="AA615" i="1" s="1"/>
  <c r="G616" i="1"/>
  <c r="AC616" i="1" s="1"/>
  <c r="G618" i="1"/>
  <c r="AA618" i="1" s="1"/>
  <c r="G619" i="1"/>
  <c r="AA619" i="1" s="1"/>
  <c r="G620" i="1"/>
  <c r="AC620" i="1" s="1"/>
  <c r="G622" i="1"/>
  <c r="V622" i="1" s="1"/>
  <c r="G623" i="1"/>
  <c r="V623" i="1" s="1"/>
  <c r="G625" i="1"/>
  <c r="V625" i="1" s="1"/>
  <c r="G628" i="1"/>
  <c r="AA628" i="1" s="1"/>
  <c r="G634" i="1"/>
  <c r="V634" i="1" s="1"/>
  <c r="G638" i="1"/>
  <c r="AC638" i="1" s="1"/>
  <c r="G639" i="1"/>
  <c r="AA639" i="1" s="1"/>
  <c r="G644" i="1"/>
  <c r="AA644" i="1" s="1"/>
  <c r="G645" i="1"/>
  <c r="AA645" i="1" s="1"/>
  <c r="G647" i="1"/>
  <c r="V647" i="1" s="1"/>
  <c r="G648" i="1"/>
  <c r="AC648" i="1" s="1"/>
  <c r="G652" i="1"/>
  <c r="V652" i="1" s="1"/>
  <c r="G653" i="1"/>
  <c r="Z653" i="1" s="1"/>
  <c r="G657" i="1"/>
  <c r="AA657" i="1" s="1"/>
  <c r="G660" i="1"/>
  <c r="AA660" i="1" s="1"/>
  <c r="G661" i="1"/>
  <c r="U661" i="1" s="1"/>
  <c r="G662" i="1"/>
  <c r="AA662" i="1" s="1"/>
  <c r="G663" i="1"/>
  <c r="V663" i="1" s="1"/>
  <c r="G664" i="1"/>
  <c r="AA664" i="1" s="1"/>
  <c r="G665" i="1"/>
  <c r="V665" i="1" s="1"/>
  <c r="G667" i="1"/>
  <c r="W667" i="1" s="1"/>
  <c r="G673" i="1"/>
  <c r="AD673" i="1" s="1"/>
  <c r="G676" i="1"/>
  <c r="V676" i="1" s="1"/>
  <c r="G679" i="1"/>
  <c r="U679" i="1" s="1"/>
  <c r="G680" i="1"/>
  <c r="AA680" i="1" s="1"/>
  <c r="G683" i="1"/>
  <c r="AA683" i="1" s="1"/>
  <c r="G685" i="1"/>
  <c r="W685" i="1" s="1"/>
  <c r="G694" i="1"/>
  <c r="AD694" i="1" s="1"/>
  <c r="G697" i="1"/>
  <c r="AA697" i="1" s="1"/>
  <c r="G704" i="1"/>
  <c r="U704" i="1" s="1"/>
  <c r="G705" i="1"/>
  <c r="V705" i="1" s="1"/>
  <c r="G712" i="1"/>
  <c r="AA712" i="1" s="1"/>
  <c r="G713" i="1"/>
  <c r="AA713" i="1" s="1"/>
  <c r="G715" i="1"/>
  <c r="AA715" i="1" s="1"/>
  <c r="G717" i="1"/>
  <c r="V717" i="1" s="1"/>
  <c r="G721" i="1"/>
  <c r="V721" i="1" s="1"/>
  <c r="G724" i="1"/>
  <c r="AA724" i="1" s="1"/>
  <c r="G727" i="1"/>
  <c r="AA727" i="1" s="1"/>
  <c r="G728" i="1"/>
  <c r="V728" i="1" s="1"/>
  <c r="G732" i="1"/>
  <c r="V732" i="1" s="1"/>
  <c r="G733" i="1"/>
  <c r="V733" i="1" s="1"/>
  <c r="G734" i="1"/>
  <c r="X734" i="1" s="1"/>
  <c r="G735" i="1"/>
  <c r="V735" i="1" s="1"/>
  <c r="G739" i="1"/>
  <c r="Z739" i="1" s="1"/>
  <c r="G740" i="1"/>
  <c r="AA740" i="1" s="1"/>
  <c r="G742" i="1"/>
  <c r="Z742" i="1" s="1"/>
  <c r="G743" i="1"/>
  <c r="Z743" i="1" s="1"/>
  <c r="G746" i="1"/>
  <c r="AA746" i="1" s="1"/>
  <c r="G747" i="1"/>
  <c r="V747" i="1" s="1"/>
  <c r="G752" i="1"/>
  <c r="V752" i="1" s="1"/>
  <c r="G753" i="1"/>
  <c r="W753" i="1" s="1"/>
  <c r="G754" i="1"/>
  <c r="V754" i="1" s="1"/>
  <c r="G755" i="1"/>
  <c r="X755" i="1" s="1"/>
  <c r="G757" i="1"/>
  <c r="U757" i="1" s="1"/>
  <c r="G758" i="1"/>
  <c r="V758" i="1" s="1"/>
  <c r="G762" i="1"/>
  <c r="U762" i="1" s="1"/>
  <c r="G764" i="1"/>
  <c r="W764" i="1" s="1"/>
  <c r="G766" i="1"/>
  <c r="AC766" i="1" s="1"/>
  <c r="G767" i="1"/>
  <c r="AA767" i="1" s="1"/>
  <c r="G768" i="1"/>
  <c r="G773" i="1"/>
  <c r="AC773" i="1" s="1"/>
  <c r="G774" i="1"/>
  <c r="AA774" i="1" s="1"/>
  <c r="G776" i="1"/>
  <c r="AC776" i="1" s="1"/>
  <c r="G779" i="1"/>
  <c r="AA779" i="1" s="1"/>
  <c r="G780" i="1"/>
  <c r="V780" i="1" s="1"/>
  <c r="G781" i="1"/>
  <c r="V781" i="1" s="1"/>
  <c r="G785" i="1"/>
  <c r="AC785" i="1" s="1"/>
  <c r="G787" i="1"/>
  <c r="V787" i="1" s="1"/>
  <c r="G791" i="1"/>
  <c r="AA791" i="1" s="1"/>
  <c r="G793" i="1"/>
  <c r="V793" i="1" s="1"/>
  <c r="G796" i="1"/>
  <c r="G798" i="1"/>
  <c r="AA798" i="1" s="1"/>
  <c r="G800" i="1"/>
  <c r="U800" i="1" s="1"/>
  <c r="G801" i="1"/>
  <c r="AA801" i="1" s="1"/>
  <c r="G802" i="1"/>
  <c r="AA802" i="1" s="1"/>
  <c r="G805" i="1"/>
  <c r="V805" i="1" s="1"/>
  <c r="G810" i="1"/>
  <c r="Z810" i="1" s="1"/>
  <c r="G813" i="1"/>
  <c r="V813" i="1" s="1"/>
  <c r="G814" i="1"/>
  <c r="AA814" i="1" s="1"/>
  <c r="G816" i="1"/>
  <c r="X816" i="1" s="1"/>
  <c r="G818" i="1"/>
  <c r="G820" i="1"/>
  <c r="AA820" i="1" s="1"/>
  <c r="G823" i="1"/>
  <c r="X823" i="1" s="1"/>
  <c r="G827" i="1"/>
  <c r="V827" i="1" s="1"/>
  <c r="G829" i="1"/>
  <c r="U829" i="1" s="1"/>
  <c r="G830" i="1"/>
  <c r="V830" i="1" s="1"/>
  <c r="G831" i="1"/>
  <c r="AC831" i="1" s="1"/>
  <c r="G835" i="1"/>
  <c r="AA835" i="1" s="1"/>
  <c r="G840" i="1"/>
  <c r="AA840" i="1" s="1"/>
  <c r="G841" i="1"/>
  <c r="V841" i="1" s="1"/>
  <c r="G843" i="1"/>
  <c r="AA843" i="1" s="1"/>
  <c r="G844" i="1"/>
  <c r="V844" i="1" s="1"/>
  <c r="G845" i="1"/>
  <c r="V845" i="1" s="1"/>
  <c r="G846" i="1"/>
  <c r="V846" i="1" s="1"/>
  <c r="G847" i="1"/>
  <c r="V847" i="1" s="1"/>
  <c r="G849" i="1"/>
  <c r="AA849" i="1" s="1"/>
  <c r="G850" i="1"/>
  <c r="W850" i="1" s="1"/>
  <c r="G851" i="1"/>
  <c r="W851" i="1" s="1"/>
  <c r="G853" i="1"/>
  <c r="V853" i="1" s="1"/>
  <c r="G854" i="1"/>
  <c r="V854" i="1" s="1"/>
  <c r="G855" i="1"/>
  <c r="AA855" i="1" s="1"/>
  <c r="G856" i="1"/>
  <c r="G857" i="1"/>
  <c r="G858" i="1"/>
  <c r="AA858" i="1" s="1"/>
  <c r="G859" i="1"/>
  <c r="V859" i="1" s="1"/>
  <c r="G860" i="1"/>
  <c r="V860" i="1" s="1"/>
  <c r="G861" i="1"/>
  <c r="V861" i="1" s="1"/>
  <c r="G862" i="1"/>
  <c r="V862" i="1" s="1"/>
  <c r="G863" i="1"/>
  <c r="AA863" i="1" s="1"/>
  <c r="G864" i="1"/>
  <c r="V864" i="1" s="1"/>
  <c r="G865" i="1"/>
  <c r="AA865" i="1" s="1"/>
  <c r="G867" i="1"/>
  <c r="AA867" i="1" s="1"/>
  <c r="G869" i="1"/>
  <c r="V869" i="1" s="1"/>
  <c r="G870" i="1"/>
  <c r="AA870" i="1" s="1"/>
  <c r="G874" i="1"/>
  <c r="G875" i="1"/>
  <c r="V875" i="1" s="1"/>
  <c r="G877" i="1"/>
  <c r="U877" i="1" s="1"/>
  <c r="G879" i="1"/>
  <c r="U879" i="1" s="1"/>
  <c r="G880" i="1"/>
  <c r="G889" i="1"/>
  <c r="X889" i="1" s="1"/>
  <c r="G891" i="1"/>
  <c r="AA891" i="1" s="1"/>
  <c r="G892" i="1"/>
  <c r="V892" i="1" s="1"/>
  <c r="G894" i="1"/>
  <c r="AA894" i="1" s="1"/>
  <c r="G896" i="1"/>
  <c r="U896" i="1" s="1"/>
  <c r="G900" i="1"/>
  <c r="X900" i="1" s="1"/>
  <c r="G903" i="1"/>
  <c r="V903" i="1" s="1"/>
  <c r="G912" i="1"/>
  <c r="X912" i="1" s="1"/>
  <c r="G914" i="1"/>
  <c r="V914" i="1" s="1"/>
  <c r="G915" i="1"/>
  <c r="V915" i="1" s="1"/>
  <c r="G916" i="1"/>
  <c r="V916" i="1" s="1"/>
  <c r="G918" i="1"/>
  <c r="X918" i="1" s="1"/>
  <c r="G920" i="1"/>
  <c r="W920" i="1" s="1"/>
  <c r="G923" i="1"/>
  <c r="G924" i="1"/>
  <c r="AA924" i="1" s="1"/>
  <c r="G925" i="1"/>
  <c r="AC925" i="1" s="1"/>
  <c r="G926" i="1"/>
  <c r="U926" i="1" s="1"/>
  <c r="G927" i="1"/>
  <c r="AA927" i="1" s="1"/>
  <c r="G929" i="1"/>
  <c r="AA929" i="1" s="1"/>
  <c r="G933" i="1"/>
  <c r="U933" i="1" s="1"/>
  <c r="G935" i="1"/>
  <c r="U935" i="1" s="1"/>
  <c r="G936" i="1"/>
  <c r="Z936" i="1" s="1"/>
  <c r="G937" i="1"/>
  <c r="AA937" i="1" s="1"/>
  <c r="G941" i="1"/>
  <c r="V941" i="1" s="1"/>
  <c r="G942" i="1"/>
  <c r="AA942" i="1" s="1"/>
  <c r="G943" i="1"/>
  <c r="V943" i="1" s="1"/>
  <c r="G945" i="1"/>
  <c r="V945" i="1" s="1"/>
  <c r="G949" i="1"/>
  <c r="V949" i="1" s="1"/>
  <c r="G952" i="1"/>
  <c r="AA952" i="1" s="1"/>
  <c r="G954" i="1"/>
  <c r="V954" i="1" s="1"/>
  <c r="G955" i="1"/>
  <c r="U955" i="1" s="1"/>
  <c r="G957" i="1"/>
  <c r="V957" i="1" s="1"/>
  <c r="G963" i="1"/>
  <c r="G966" i="1"/>
  <c r="AC966" i="1" s="1"/>
  <c r="G969" i="1"/>
  <c r="AA969" i="1" s="1"/>
  <c r="G972" i="1"/>
  <c r="G973" i="1"/>
  <c r="V973" i="1" s="1"/>
  <c r="G978" i="1"/>
  <c r="AA978" i="1" s="1"/>
  <c r="G983" i="1"/>
  <c r="AA983" i="1" s="1"/>
  <c r="G987" i="1"/>
  <c r="U987" i="1" s="1"/>
  <c r="G992" i="1"/>
  <c r="AD992" i="1" s="1"/>
  <c r="G997" i="1"/>
  <c r="AA997" i="1" s="1"/>
  <c r="G1000" i="1"/>
  <c r="AC1000" i="1" s="1"/>
  <c r="G1001" i="1"/>
  <c r="Z1001" i="1" s="1"/>
  <c r="G1005" i="1"/>
  <c r="X1005" i="1" s="1"/>
  <c r="G1006" i="1"/>
  <c r="AA1006" i="1" s="1"/>
  <c r="G1008" i="1"/>
  <c r="AA1008" i="1" s="1"/>
  <c r="G1010" i="1"/>
  <c r="Z1010" i="1" s="1"/>
  <c r="G1013" i="1"/>
  <c r="AA1013" i="1" s="1"/>
  <c r="G1014" i="1"/>
  <c r="AA1014" i="1" s="1"/>
  <c r="G1017" i="1"/>
  <c r="AA1017" i="1" s="1"/>
  <c r="G1018" i="1"/>
  <c r="AC1018" i="1" s="1"/>
  <c r="G1019" i="1"/>
  <c r="AA1019" i="1" s="1"/>
  <c r="G1020" i="1"/>
  <c r="V1020" i="1" s="1"/>
  <c r="G1023" i="1"/>
  <c r="W1023" i="1" s="1"/>
  <c r="G1025" i="1"/>
  <c r="X1025" i="1" s="1"/>
  <c r="G1030" i="1"/>
  <c r="U1030" i="1" s="1"/>
  <c r="G1031" i="1"/>
  <c r="AC1031" i="1" s="1"/>
  <c r="G1032" i="1"/>
  <c r="X1032" i="1" s="1"/>
  <c r="G1038" i="1"/>
  <c r="W1038" i="1" s="1"/>
  <c r="G1041" i="1"/>
  <c r="U1041" i="1" s="1"/>
  <c r="G1044" i="1"/>
  <c r="V1044" i="1" s="1"/>
  <c r="G1047" i="1"/>
  <c r="AC1047" i="1" s="1"/>
  <c r="G1050" i="1"/>
  <c r="G1053" i="1"/>
  <c r="AC1053" i="1" s="1"/>
  <c r="G1056" i="1"/>
  <c r="AC1056" i="1" s="1"/>
  <c r="G1059" i="1"/>
  <c r="V1059" i="1" s="1"/>
  <c r="G1067" i="1"/>
  <c r="AA1067" i="1" s="1"/>
  <c r="G1073" i="1"/>
  <c r="AA1073" i="1" s="1"/>
  <c r="G1084" i="1"/>
  <c r="AA1084" i="1" s="1"/>
  <c r="G1086" i="1"/>
  <c r="AA1086" i="1" s="1"/>
  <c r="G1097" i="1"/>
  <c r="V1097" i="1" s="1"/>
  <c r="G1099" i="1"/>
  <c r="AA1099" i="1" s="1"/>
  <c r="G1104" i="1"/>
  <c r="AA1104" i="1" s="1"/>
  <c r="G1106" i="1"/>
  <c r="AC1106" i="1" s="1"/>
  <c r="G1112" i="1"/>
  <c r="AA1112" i="1" s="1"/>
  <c r="G1115" i="1"/>
  <c r="G1116" i="1"/>
  <c r="AA1116" i="1" s="1"/>
  <c r="G1118" i="1"/>
  <c r="V1118" i="1" s="1"/>
  <c r="G1121" i="1"/>
  <c r="V1121" i="1" s="1"/>
  <c r="G1122" i="1"/>
  <c r="V1122" i="1" s="1"/>
  <c r="G1123" i="1"/>
  <c r="Z1123" i="1" s="1"/>
  <c r="G1128" i="1"/>
  <c r="W1128" i="1" s="1"/>
  <c r="G1129" i="1"/>
  <c r="U1129" i="1" s="1"/>
  <c r="G1130" i="1"/>
  <c r="V1130" i="1" s="1"/>
  <c r="G1133" i="1"/>
  <c r="AA1133" i="1" s="1"/>
  <c r="G1137" i="1"/>
  <c r="V1137" i="1" s="1"/>
  <c r="G1138" i="1"/>
  <c r="AA1138" i="1" s="1"/>
  <c r="G1140" i="1"/>
  <c r="AA1140" i="1" s="1"/>
  <c r="G1141" i="1"/>
  <c r="V1141" i="1" s="1"/>
  <c r="G1142" i="1"/>
  <c r="V1142" i="1" s="1"/>
  <c r="G1145" i="1"/>
  <c r="X1145" i="1" s="1"/>
  <c r="G1146" i="1"/>
  <c r="V1146" i="1" s="1"/>
  <c r="G1147" i="1"/>
  <c r="AA1147" i="1" s="1"/>
  <c r="G1151" i="1"/>
  <c r="AA1151" i="1" s="1"/>
  <c r="G1157" i="1"/>
  <c r="AA1157" i="1" s="1"/>
  <c r="G1160" i="1"/>
  <c r="V1160" i="1" s="1"/>
  <c r="G1162" i="1"/>
  <c r="Z1162" i="1" s="1"/>
  <c r="G1163" i="1"/>
  <c r="X1163" i="1" s="1"/>
  <c r="G1164" i="1"/>
  <c r="AA1164" i="1" s="1"/>
  <c r="G1165" i="1"/>
  <c r="V1165" i="1" s="1"/>
  <c r="G1168" i="1"/>
  <c r="AA1168" i="1" s="1"/>
  <c r="G1170" i="1"/>
  <c r="AC1170" i="1" s="1"/>
  <c r="G1171" i="1"/>
  <c r="V1171" i="1" s="1"/>
  <c r="G1175" i="1"/>
  <c r="AA1175" i="1" s="1"/>
  <c r="G1176" i="1"/>
  <c r="V1176" i="1" s="1"/>
  <c r="G1177" i="1"/>
  <c r="U1177" i="1" s="1"/>
  <c r="G1181" i="1"/>
  <c r="V1181" i="1" s="1"/>
  <c r="G1185" i="1"/>
  <c r="AA1185" i="1" s="1"/>
  <c r="G1186" i="1"/>
  <c r="U1186" i="1" s="1"/>
  <c r="G1188" i="1"/>
  <c r="Z1188" i="1" s="1"/>
  <c r="G1189" i="1"/>
  <c r="V1189" i="1" s="1"/>
  <c r="G1192" i="1"/>
  <c r="AA1192" i="1" s="1"/>
  <c r="G1195" i="1"/>
  <c r="AD1195" i="1" s="1"/>
  <c r="G1196" i="1"/>
  <c r="V1196" i="1" s="1"/>
  <c r="G1197" i="1"/>
  <c r="U1197" i="1" s="1"/>
  <c r="G1198" i="1"/>
  <c r="AA1198" i="1" s="1"/>
  <c r="G1199" i="1"/>
  <c r="V1199" i="1" s="1"/>
  <c r="G1203" i="1"/>
  <c r="V1203" i="1" s="1"/>
  <c r="G1204" i="1"/>
  <c r="AA1204" i="1" s="1"/>
  <c r="G1205" i="1"/>
  <c r="U1205" i="1" s="1"/>
  <c r="G1206" i="1"/>
  <c r="AA1206" i="1" s="1"/>
  <c r="G1208" i="1"/>
  <c r="AA1208" i="1" s="1"/>
  <c r="G1212" i="1"/>
  <c r="X1212" i="1" s="1"/>
  <c r="G1213" i="1"/>
  <c r="V1213" i="1" s="1"/>
  <c r="G1219" i="1"/>
  <c r="W1219" i="1" s="1"/>
  <c r="G1221" i="1"/>
  <c r="U1221" i="1" s="1"/>
  <c r="G1225" i="1"/>
  <c r="V1225" i="1" s="1"/>
  <c r="G1226" i="1"/>
  <c r="W1226" i="1" s="1"/>
  <c r="G1227" i="1"/>
  <c r="V1227" i="1" s="1"/>
  <c r="G1230" i="1"/>
  <c r="V1230" i="1" s="1"/>
  <c r="G1231" i="1"/>
  <c r="U1231" i="1" s="1"/>
  <c r="G1233" i="1"/>
  <c r="V1233" i="1" s="1"/>
  <c r="G1235" i="1"/>
  <c r="V1235" i="1" s="1"/>
  <c r="G1236" i="1"/>
  <c r="AA1236" i="1" s="1"/>
  <c r="G1239" i="1"/>
  <c r="W1239" i="1" s="1"/>
  <c r="G1242" i="1"/>
  <c r="AA1242" i="1" s="1"/>
  <c r="G1243" i="1"/>
  <c r="U1243" i="1" s="1"/>
  <c r="G1244" i="1"/>
  <c r="AA1244" i="1" s="1"/>
  <c r="G1246" i="1"/>
  <c r="AA1246" i="1" s="1"/>
  <c r="G1247" i="1"/>
  <c r="X1247" i="1" s="1"/>
  <c r="G1248" i="1"/>
  <c r="AA1248" i="1" s="1"/>
  <c r="G1250" i="1"/>
  <c r="AA1250" i="1" s="1"/>
  <c r="G1251" i="1"/>
  <c r="V1251" i="1" s="1"/>
  <c r="G1252" i="1"/>
  <c r="G1255" i="1"/>
  <c r="V1255" i="1" s="1"/>
  <c r="G1257" i="1"/>
  <c r="V1257" i="1" s="1"/>
  <c r="G1258" i="1"/>
  <c r="AA1258" i="1" s="1"/>
  <c r="G1261" i="1"/>
  <c r="G1262" i="1"/>
  <c r="V1262" i="1" s="1"/>
  <c r="G1263" i="1"/>
  <c r="AA1263" i="1" s="1"/>
  <c r="G1266" i="1"/>
  <c r="AA1266" i="1" s="1"/>
  <c r="G1267" i="1"/>
  <c r="V1267" i="1" s="1"/>
  <c r="G1268" i="1"/>
  <c r="V1268" i="1" s="1"/>
  <c r="G1269" i="1"/>
  <c r="AD1269" i="1" s="1"/>
  <c r="G1270" i="1"/>
  <c r="U1270" i="1" s="1"/>
  <c r="G1271" i="1"/>
  <c r="W1271" i="1" s="1"/>
  <c r="G1272" i="1"/>
  <c r="V1272" i="1" s="1"/>
  <c r="G1275" i="1"/>
  <c r="V1275" i="1" s="1"/>
  <c r="G1276" i="1"/>
  <c r="AA1276" i="1" s="1"/>
  <c r="G1278" i="1"/>
  <c r="V1278" i="1" s="1"/>
  <c r="G1283" i="1"/>
  <c r="V1283" i="1" s="1"/>
  <c r="G1285" i="1"/>
  <c r="V1285" i="1" s="1"/>
  <c r="G1289" i="1"/>
  <c r="AA1289" i="1" s="1"/>
  <c r="G1290" i="1"/>
  <c r="U1290" i="1" s="1"/>
  <c r="G1293" i="1"/>
  <c r="AA1293" i="1" s="1"/>
  <c r="G1297" i="1"/>
  <c r="W1297" i="1" s="1"/>
  <c r="G1298" i="1"/>
  <c r="AC1298" i="1" s="1"/>
  <c r="G1299" i="1"/>
  <c r="V1299" i="1" s="1"/>
  <c r="G1300" i="1"/>
  <c r="V1300" i="1" s="1"/>
  <c r="G1303" i="1"/>
  <c r="V1303" i="1" s="1"/>
  <c r="G1305" i="1"/>
  <c r="Z1305" i="1" s="1"/>
  <c r="G1308" i="1"/>
  <c r="AA1308" i="1" s="1"/>
  <c r="G1309" i="1"/>
  <c r="AA1309" i="1" s="1"/>
  <c r="G1315" i="1"/>
  <c r="AA1315" i="1" s="1"/>
  <c r="G1316" i="1"/>
  <c r="AA1316" i="1" s="1"/>
  <c r="G1318" i="1"/>
  <c r="V1318" i="1" s="1"/>
  <c r="G1319" i="1"/>
  <c r="AC1319" i="1" s="1"/>
  <c r="G1322" i="1"/>
  <c r="AA1322" i="1" s="1"/>
  <c r="G1324" i="1"/>
  <c r="V1324" i="1" s="1"/>
  <c r="G1325" i="1"/>
  <c r="V1325" i="1" s="1"/>
  <c r="G1327" i="1"/>
  <c r="AA1327" i="1" s="1"/>
  <c r="G1329" i="1"/>
  <c r="G1331" i="1"/>
  <c r="V1331" i="1" s="1"/>
  <c r="G1333" i="1"/>
  <c r="V1333" i="1" s="1"/>
  <c r="G1336" i="1"/>
  <c r="AA1336" i="1" s="1"/>
  <c r="G1337" i="1"/>
  <c r="V1337" i="1" s="1"/>
  <c r="G1339" i="1"/>
  <c r="X1339" i="1" s="1"/>
  <c r="G1341" i="1"/>
  <c r="AA1341" i="1" s="1"/>
  <c r="G1343" i="1"/>
  <c r="AA1343" i="1" s="1"/>
  <c r="G1345" i="1"/>
  <c r="X1345" i="1" s="1"/>
  <c r="G1346" i="1"/>
  <c r="V1346" i="1" s="1"/>
  <c r="G1347" i="1"/>
  <c r="AA1347" i="1" s="1"/>
  <c r="G1348" i="1"/>
  <c r="V1348" i="1" s="1"/>
  <c r="G1349" i="1"/>
  <c r="V1349" i="1" s="1"/>
  <c r="G1350" i="1"/>
  <c r="Z1350" i="1" s="1"/>
  <c r="G1351" i="1"/>
  <c r="X1351" i="1" s="1"/>
  <c r="G1352" i="1"/>
  <c r="AD1352" i="1" s="1"/>
  <c r="G1353" i="1"/>
  <c r="V1353" i="1" s="1"/>
  <c r="G1354" i="1"/>
  <c r="G1355" i="1"/>
  <c r="V1355" i="1" s="1"/>
  <c r="G1356" i="1"/>
  <c r="Z1356" i="1" s="1"/>
  <c r="G1357" i="1"/>
  <c r="AA1357" i="1" s="1"/>
  <c r="G1358" i="1"/>
  <c r="Z1358" i="1" s="1"/>
  <c r="G1359" i="1"/>
  <c r="AA1359" i="1" s="1"/>
  <c r="G1361" i="1"/>
  <c r="AA1361" i="1" s="1"/>
  <c r="G1363" i="1"/>
  <c r="AD1363" i="1" s="1"/>
  <c r="G1364" i="1"/>
  <c r="Z1364" i="1" s="1"/>
  <c r="G1365" i="1"/>
  <c r="AA1365" i="1" s="1"/>
  <c r="G1367" i="1"/>
  <c r="V1367" i="1" s="1"/>
  <c r="G1368" i="1"/>
  <c r="V1368" i="1" s="1"/>
  <c r="G1369" i="1"/>
  <c r="V1369" i="1" s="1"/>
  <c r="G1370" i="1"/>
  <c r="AA1370" i="1" s="1"/>
  <c r="G1371" i="1"/>
  <c r="AD1371" i="1" s="1"/>
  <c r="G1372" i="1"/>
  <c r="Z1372" i="1" s="1"/>
  <c r="G1373" i="1"/>
  <c r="AA1373" i="1" s="1"/>
  <c r="G1374" i="1"/>
  <c r="V1374" i="1" s="1"/>
  <c r="G1375" i="1"/>
  <c r="W1375" i="1" s="1"/>
  <c r="G1376" i="1"/>
  <c r="AC1376" i="1" s="1"/>
  <c r="G1377" i="1"/>
  <c r="AA1377" i="1" s="1"/>
  <c r="G1378" i="1"/>
  <c r="V1378" i="1" s="1"/>
  <c r="G1379" i="1"/>
  <c r="V1379" i="1" s="1"/>
  <c r="G1380" i="1"/>
  <c r="V1380" i="1" s="1"/>
  <c r="G1381" i="1"/>
  <c r="AA1381" i="1" s="1"/>
  <c r="G1382" i="1"/>
  <c r="V1382" i="1" s="1"/>
  <c r="G1383" i="1"/>
  <c r="V1383" i="1" s="1"/>
  <c r="G1384" i="1"/>
  <c r="V1384" i="1" s="1"/>
  <c r="G1385" i="1"/>
  <c r="AA1385" i="1" s="1"/>
  <c r="G1386" i="1"/>
  <c r="V1386" i="1" s="1"/>
  <c r="G1388" i="1"/>
  <c r="U1388" i="1" s="1"/>
  <c r="G1389" i="1"/>
  <c r="AA1389" i="1" s="1"/>
  <c r="G1390" i="1"/>
  <c r="AA1390" i="1" s="1"/>
  <c r="G1391" i="1"/>
  <c r="V1391" i="1" s="1"/>
  <c r="G1392" i="1"/>
  <c r="AA1392" i="1" s="1"/>
  <c r="G1393" i="1"/>
  <c r="AD1393" i="1" s="1"/>
  <c r="G1394" i="1"/>
  <c r="AD1394" i="1" s="1"/>
  <c r="G1396" i="1"/>
  <c r="AA1396" i="1" s="1"/>
  <c r="G1397" i="1"/>
  <c r="V1397" i="1" s="1"/>
  <c r="G1398" i="1"/>
  <c r="V1398" i="1" s="1"/>
  <c r="G1399" i="1"/>
  <c r="V1399" i="1" s="1"/>
  <c r="G1400" i="1"/>
  <c r="AA1400" i="1" s="1"/>
  <c r="G1401" i="1"/>
  <c r="V1401" i="1" s="1"/>
  <c r="G1402" i="1"/>
  <c r="Z1402" i="1" s="1"/>
  <c r="G1403" i="1"/>
  <c r="X1403" i="1" s="1"/>
  <c r="G1404" i="1"/>
  <c r="V1404" i="1" s="1"/>
  <c r="G1405" i="1"/>
  <c r="W1405" i="1" s="1"/>
  <c r="G1406" i="1"/>
  <c r="AA1406" i="1" s="1"/>
  <c r="G1407" i="1"/>
  <c r="V1407" i="1" s="1"/>
  <c r="G1409" i="1"/>
  <c r="U1409" i="1" s="1"/>
  <c r="G1410" i="1"/>
  <c r="X1410" i="1" s="1"/>
  <c r="G1411" i="1"/>
  <c r="AA1411" i="1" s="1"/>
  <c r="G1414" i="1"/>
  <c r="AA1414" i="1" s="1"/>
  <c r="G1415" i="1"/>
  <c r="V1415" i="1" s="1"/>
  <c r="G1416" i="1"/>
  <c r="V1416" i="1" s="1"/>
  <c r="G1418" i="1"/>
  <c r="V1418" i="1" s="1"/>
  <c r="G1420" i="1"/>
  <c r="AA1420" i="1" s="1"/>
  <c r="G1424" i="1"/>
  <c r="U1424" i="1" s="1"/>
  <c r="G1426" i="1"/>
  <c r="AA1426" i="1" s="1"/>
  <c r="G1429" i="1"/>
  <c r="V1429" i="1" s="1"/>
  <c r="G1430" i="1"/>
  <c r="AA1430" i="1" s="1"/>
  <c r="G1442" i="1"/>
  <c r="AA1442" i="1" s="1"/>
  <c r="G1450" i="1"/>
  <c r="V1450" i="1" s="1"/>
  <c r="G1451" i="1"/>
  <c r="V1451" i="1" s="1"/>
  <c r="G1452" i="1"/>
  <c r="AA1452" i="1" s="1"/>
  <c r="G1453" i="1"/>
  <c r="V1453" i="1" s="1"/>
  <c r="G1454" i="1"/>
  <c r="V1454" i="1" s="1"/>
  <c r="G1455" i="1"/>
  <c r="AA1455" i="1" s="1"/>
  <c r="G1456" i="1"/>
  <c r="V1456" i="1" s="1"/>
  <c r="G1457" i="1"/>
  <c r="Z1457" i="1" s="1"/>
  <c r="G1458" i="1"/>
  <c r="V1458" i="1" s="1"/>
  <c r="G1459" i="1"/>
  <c r="AA1459" i="1" s="1"/>
  <c r="G1461" i="1"/>
  <c r="V1461" i="1" s="1"/>
  <c r="G1464" i="1"/>
  <c r="V1464" i="1" s="1"/>
  <c r="G1465" i="1"/>
  <c r="X1465" i="1" s="1"/>
  <c r="G1466" i="1"/>
  <c r="W1466" i="1" s="1"/>
  <c r="G1467" i="1"/>
  <c r="AD1467" i="1" s="1"/>
  <c r="G1468" i="1"/>
  <c r="AA1468" i="1" s="1"/>
  <c r="G1470" i="1"/>
  <c r="AA1470" i="1" s="1"/>
  <c r="G1471" i="1"/>
  <c r="X1471" i="1" s="1"/>
  <c r="G1472" i="1"/>
  <c r="V1472" i="1" s="1"/>
  <c r="G1473" i="1"/>
  <c r="V1473" i="1" s="1"/>
  <c r="G1475" i="1"/>
  <c r="AA1475" i="1" s="1"/>
  <c r="G1476" i="1"/>
  <c r="AC1476" i="1" s="1"/>
  <c r="G1477" i="1"/>
  <c r="V1477" i="1" s="1"/>
  <c r="G1481" i="1"/>
  <c r="V1481" i="1" s="1"/>
  <c r="G1482" i="1"/>
  <c r="V1482" i="1" s="1"/>
  <c r="G1485" i="1"/>
  <c r="V1485" i="1" s="1"/>
  <c r="G1486" i="1"/>
  <c r="U1486" i="1" s="1"/>
  <c r="G1487" i="1"/>
  <c r="W1487" i="1" s="1"/>
  <c r="G1488" i="1"/>
  <c r="AA1488" i="1" s="1"/>
  <c r="G1489" i="1"/>
  <c r="V1489" i="1" s="1"/>
  <c r="G1490" i="1"/>
  <c r="V1490" i="1" s="1"/>
  <c r="G1491" i="1"/>
  <c r="G1492" i="1"/>
  <c r="G1493" i="1"/>
  <c r="V1493" i="1" s="1"/>
  <c r="G1494" i="1"/>
  <c r="V1494" i="1" s="1"/>
  <c r="G1495" i="1"/>
  <c r="AA1495" i="1" s="1"/>
  <c r="G1496" i="1"/>
  <c r="V1496" i="1" s="1"/>
  <c r="G1497" i="1"/>
  <c r="V1497" i="1" s="1"/>
  <c r="G1498" i="1"/>
  <c r="V1498" i="1" s="1"/>
  <c r="G1499" i="1"/>
  <c r="U1499" i="1" s="1"/>
  <c r="G1500" i="1"/>
  <c r="V1500" i="1" s="1"/>
  <c r="G1502" i="1"/>
  <c r="AA1502" i="1" s="1"/>
  <c r="G1503" i="1"/>
  <c r="AA1503" i="1" s="1"/>
  <c r="G1504" i="1"/>
  <c r="V1504" i="1" s="1"/>
  <c r="G1507" i="1"/>
  <c r="G1510" i="1"/>
  <c r="AA1510" i="1" s="1"/>
  <c r="G1513" i="1"/>
  <c r="AA1513" i="1" s="1"/>
  <c r="G1514" i="1"/>
  <c r="V1514" i="1" s="1"/>
  <c r="G1516" i="1"/>
  <c r="AA1516" i="1" s="1"/>
  <c r="G1517" i="1"/>
  <c r="AA1517" i="1" s="1"/>
  <c r="G1522" i="1"/>
  <c r="V1522" i="1" s="1"/>
  <c r="G1523" i="1"/>
  <c r="Z1523" i="1" s="1"/>
  <c r="G1524" i="1"/>
  <c r="X1524" i="1" s="1"/>
  <c r="G1525" i="1"/>
  <c r="V1525" i="1" s="1"/>
  <c r="G1526" i="1"/>
  <c r="W1526" i="1" s="1"/>
  <c r="G1527" i="1"/>
  <c r="V1527" i="1" s="1"/>
  <c r="G1528" i="1"/>
  <c r="AA1528" i="1" s="1"/>
  <c r="G1529" i="1"/>
  <c r="V1529" i="1" s="1"/>
  <c r="G1531" i="1"/>
  <c r="AD1531" i="1" s="1"/>
  <c r="G1532" i="1"/>
  <c r="AA1532" i="1" s="1"/>
  <c r="G1534" i="1"/>
  <c r="V1534" i="1" s="1"/>
  <c r="G1535" i="1"/>
  <c r="V1535" i="1" s="1"/>
  <c r="G1536" i="1"/>
  <c r="X1536" i="1" s="1"/>
  <c r="G1537" i="1"/>
  <c r="V1537" i="1" s="1"/>
  <c r="G1538" i="1"/>
  <c r="V1538" i="1" s="1"/>
  <c r="G1540" i="1"/>
  <c r="V1540" i="1" s="1"/>
  <c r="G1542" i="1"/>
  <c r="W1542" i="1" s="1"/>
  <c r="G1543" i="1"/>
  <c r="AA1543" i="1" s="1"/>
  <c r="G1546" i="1"/>
  <c r="V1546" i="1" s="1"/>
  <c r="G1548" i="1"/>
  <c r="U1548" i="1" s="1"/>
  <c r="G1549" i="1"/>
  <c r="V1549" i="1" s="1"/>
  <c r="G1550" i="1"/>
  <c r="AC1550" i="1" s="1"/>
  <c r="G1556" i="1"/>
  <c r="V1556" i="1" s="1"/>
  <c r="G1558" i="1"/>
  <c r="V1558" i="1" s="1"/>
  <c r="G1560" i="1"/>
  <c r="V1560" i="1" s="1"/>
  <c r="G1561" i="1"/>
  <c r="W1561" i="1" s="1"/>
  <c r="G1563" i="1"/>
  <c r="U1563" i="1" s="1"/>
  <c r="G1565" i="1"/>
  <c r="AA1565" i="1" s="1"/>
  <c r="G1567" i="1"/>
  <c r="V1567" i="1" s="1"/>
  <c r="G1568" i="1"/>
  <c r="AC1568" i="1" s="1"/>
  <c r="G1569" i="1"/>
  <c r="V1569" i="1" s="1"/>
  <c r="G1570" i="1"/>
  <c r="AA1570" i="1" s="1"/>
  <c r="G1571" i="1"/>
  <c r="V1571" i="1" s="1"/>
  <c r="G1572" i="1"/>
  <c r="AA1572" i="1" s="1"/>
  <c r="G1575" i="1"/>
  <c r="X1575" i="1" s="1"/>
  <c r="G1576" i="1"/>
  <c r="V1576" i="1" s="1"/>
  <c r="G1577" i="1"/>
  <c r="V1577" i="1" s="1"/>
  <c r="G1579" i="1"/>
  <c r="V1579" i="1" s="1"/>
  <c r="G1580" i="1"/>
  <c r="V1580" i="1" s="1"/>
  <c r="G1582" i="1"/>
  <c r="V1582" i="1" s="1"/>
  <c r="G1583" i="1"/>
  <c r="V1583" i="1" s="1"/>
  <c r="G1584" i="1"/>
  <c r="V1584" i="1" s="1"/>
  <c r="G1585" i="1"/>
  <c r="V1585" i="1" s="1"/>
  <c r="G1586" i="1"/>
  <c r="U1586" i="1" s="1"/>
  <c r="G1587" i="1"/>
  <c r="V1587" i="1" s="1"/>
  <c r="G1588" i="1"/>
  <c r="V1588" i="1" s="1"/>
  <c r="G1589" i="1"/>
  <c r="G1590" i="1"/>
  <c r="AC1590" i="1" s="1"/>
  <c r="G1591" i="1"/>
  <c r="AA1591" i="1" s="1"/>
  <c r="G1595" i="1"/>
  <c r="V1595" i="1" s="1"/>
  <c r="G1596" i="1"/>
  <c r="AA1596" i="1" s="1"/>
  <c r="G1598" i="1"/>
  <c r="Z1598" i="1" s="1"/>
  <c r="G1600" i="1"/>
  <c r="W1600" i="1" s="1"/>
  <c r="G1602" i="1"/>
  <c r="V1602" i="1" s="1"/>
  <c r="G1604" i="1"/>
  <c r="V1604" i="1" s="1"/>
  <c r="G1605" i="1"/>
  <c r="AA1605" i="1" s="1"/>
  <c r="G1607" i="1"/>
  <c r="G1608" i="1"/>
  <c r="W1608" i="1" s="1"/>
  <c r="G1609" i="1"/>
  <c r="V1609" i="1" s="1"/>
  <c r="G1610" i="1"/>
  <c r="AD1610" i="1" s="1"/>
  <c r="G1611" i="1"/>
  <c r="V1611" i="1" s="1"/>
  <c r="G1613" i="1"/>
  <c r="AC1613" i="1" s="1"/>
  <c r="G1615" i="1"/>
  <c r="V1615" i="1" s="1"/>
  <c r="G1617" i="1"/>
  <c r="V1617" i="1" s="1"/>
  <c r="G1618" i="1"/>
  <c r="G1619" i="1"/>
  <c r="V1619" i="1" s="1"/>
  <c r="G1620" i="1"/>
  <c r="AA1620" i="1" s="1"/>
  <c r="G1621" i="1"/>
  <c r="G1622" i="1"/>
  <c r="AC1622" i="1" s="1"/>
  <c r="G1630" i="1"/>
  <c r="AC1630" i="1" s="1"/>
  <c r="G1631" i="1"/>
  <c r="W1631" i="1" s="1"/>
  <c r="G1632" i="1"/>
  <c r="V1632" i="1" s="1"/>
  <c r="G1633" i="1"/>
  <c r="AC1633" i="1" s="1"/>
  <c r="G1634" i="1"/>
  <c r="AA1634" i="1" s="1"/>
  <c r="G1635" i="1"/>
  <c r="V1635" i="1" s="1"/>
  <c r="G1636" i="1"/>
  <c r="V1636" i="1" s="1"/>
  <c r="G1637" i="1"/>
  <c r="V1637" i="1" s="1"/>
  <c r="G1638" i="1"/>
  <c r="AA1638" i="1" s="1"/>
  <c r="G1639" i="1"/>
  <c r="V1639" i="1" s="1"/>
  <c r="G1640" i="1"/>
  <c r="U1640" i="1" s="1"/>
  <c r="G1642" i="1"/>
  <c r="V1642" i="1" s="1"/>
  <c r="G1643" i="1"/>
  <c r="AD1643" i="1" s="1"/>
  <c r="G1644" i="1"/>
  <c r="V1644" i="1" s="1"/>
  <c r="G1645" i="1"/>
  <c r="V1645" i="1" s="1"/>
  <c r="G1648" i="1"/>
  <c r="AA1648" i="1" s="1"/>
  <c r="G1649" i="1"/>
  <c r="V1649" i="1" s="1"/>
  <c r="G1652" i="1"/>
  <c r="Z1652" i="1" s="1"/>
  <c r="G1655" i="1"/>
  <c r="V1655" i="1" s="1"/>
  <c r="G1656" i="1"/>
  <c r="V1656" i="1" s="1"/>
  <c r="G1658" i="1"/>
  <c r="V1658" i="1" s="1"/>
  <c r="G1660" i="1"/>
  <c r="V1660" i="1" s="1"/>
  <c r="G1661" i="1"/>
  <c r="G1662" i="1"/>
  <c r="V1662" i="1" s="1"/>
  <c r="G1665" i="1"/>
  <c r="V1665" i="1" s="1"/>
  <c r="G1667" i="1"/>
  <c r="V1667" i="1" s="1"/>
  <c r="G1668" i="1"/>
  <c r="G1669" i="1"/>
  <c r="V1669" i="1" s="1"/>
  <c r="G1670" i="1"/>
  <c r="V1670" i="1" s="1"/>
  <c r="G1671" i="1"/>
  <c r="AA1671" i="1" s="1"/>
  <c r="G1672" i="1"/>
  <c r="V1672" i="1" s="1"/>
  <c r="G1673" i="1"/>
  <c r="V1673" i="1" s="1"/>
  <c r="G1674" i="1"/>
  <c r="V1674" i="1" s="1"/>
  <c r="G1675" i="1"/>
  <c r="U1675" i="1" s="1"/>
  <c r="G1677" i="1"/>
  <c r="V1677" i="1" s="1"/>
  <c r="G1680" i="1"/>
  <c r="V1680" i="1" s="1"/>
  <c r="G1682" i="1"/>
  <c r="Z1682" i="1" s="1"/>
  <c r="G1684" i="1"/>
  <c r="AA1684" i="1" s="1"/>
  <c r="G1685" i="1"/>
  <c r="V1685" i="1" s="1"/>
  <c r="G1688" i="1"/>
  <c r="V1688" i="1" s="1"/>
  <c r="G1692" i="1"/>
  <c r="V1692" i="1" s="1"/>
  <c r="G1693" i="1"/>
  <c r="AC1693" i="1" s="1"/>
  <c r="G1696" i="1"/>
  <c r="AA1696" i="1" s="1"/>
  <c r="G1701" i="1"/>
  <c r="V1701" i="1" s="1"/>
  <c r="G1702" i="1"/>
  <c r="V1702" i="1" s="1"/>
  <c r="G1703" i="1"/>
  <c r="V1703" i="1" s="1"/>
  <c r="G1704" i="1"/>
  <c r="V1704" i="1" s="1"/>
  <c r="G1705" i="1"/>
  <c r="V1705" i="1" s="1"/>
  <c r="G1707" i="1"/>
  <c r="V1707" i="1" s="1"/>
  <c r="G1708" i="1"/>
  <c r="AA1708" i="1" s="1"/>
  <c r="G1709" i="1"/>
  <c r="AA1709" i="1" s="1"/>
  <c r="G1710" i="1"/>
  <c r="U1710" i="1" s="1"/>
  <c r="G1711" i="1"/>
  <c r="V1711" i="1" s="1"/>
  <c r="G1712" i="1"/>
  <c r="U1712" i="1" s="1"/>
  <c r="G1715" i="1"/>
  <c r="AA1715" i="1" s="1"/>
  <c r="G1716" i="1"/>
  <c r="AA1716" i="1" s="1"/>
  <c r="G1719" i="1"/>
  <c r="AA1719" i="1" s="1"/>
  <c r="G1723" i="1"/>
  <c r="AA1723" i="1" s="1"/>
  <c r="G1724" i="1"/>
  <c r="V1724" i="1" s="1"/>
  <c r="G1726" i="1"/>
  <c r="AA1726" i="1" s="1"/>
  <c r="G1727" i="1"/>
  <c r="AA1727" i="1" s="1"/>
  <c r="G1728" i="1"/>
  <c r="V1728" i="1" s="1"/>
  <c r="G1729" i="1"/>
  <c r="AA1729" i="1" s="1"/>
  <c r="G1730" i="1"/>
  <c r="W1730" i="1" s="1"/>
  <c r="G1731" i="1"/>
  <c r="AA1731" i="1" s="1"/>
  <c r="G1732" i="1"/>
  <c r="AA1732" i="1" s="1"/>
  <c r="G1733" i="1"/>
  <c r="U1733" i="1" s="1"/>
  <c r="G1736" i="1"/>
  <c r="AA1736" i="1" s="1"/>
  <c r="G1737" i="1"/>
  <c r="Z1737" i="1" s="1"/>
  <c r="G1739" i="1"/>
  <c r="AA1739" i="1" s="1"/>
  <c r="G1741" i="1"/>
  <c r="Z1741" i="1" s="1"/>
  <c r="G1742" i="1"/>
  <c r="V1742" i="1" s="1"/>
  <c r="G1743" i="1"/>
  <c r="AA1743" i="1" s="1"/>
  <c r="G1749" i="1"/>
  <c r="AB1749" i="1" s="1"/>
  <c r="G1752" i="1"/>
  <c r="V1752" i="1" s="1"/>
  <c r="G1753" i="1"/>
  <c r="V1753" i="1" s="1"/>
  <c r="G1754" i="1"/>
  <c r="V1754" i="1" s="1"/>
  <c r="G1755" i="1"/>
  <c r="V1755" i="1" s="1"/>
  <c r="G1756" i="1"/>
  <c r="V1756" i="1" s="1"/>
  <c r="G1757" i="1"/>
  <c r="AA1757" i="1" s="1"/>
  <c r="G1758" i="1"/>
  <c r="V1758" i="1" s="1"/>
  <c r="G1759" i="1"/>
  <c r="V1759" i="1" s="1"/>
  <c r="G1760" i="1"/>
  <c r="V1760" i="1" s="1"/>
  <c r="G1761" i="1"/>
  <c r="V1761" i="1" s="1"/>
  <c r="G1763" i="1"/>
  <c r="V1763" i="1" s="1"/>
  <c r="G1764" i="1"/>
  <c r="V1764" i="1" s="1"/>
  <c r="G1765" i="1"/>
  <c r="X1765" i="1" s="1"/>
  <c r="G1766" i="1"/>
  <c r="V1766" i="1" s="1"/>
  <c r="G1767" i="1"/>
  <c r="V1767" i="1" s="1"/>
  <c r="G1768" i="1"/>
  <c r="AB1768" i="1" s="1"/>
  <c r="G1769" i="1"/>
  <c r="V1769" i="1" s="1"/>
  <c r="G1770" i="1"/>
  <c r="V1770" i="1" s="1"/>
  <c r="G1773" i="1"/>
  <c r="AA1773" i="1" s="1"/>
  <c r="G1779" i="1"/>
  <c r="AA1779" i="1" s="1"/>
  <c r="G1781" i="1"/>
  <c r="AA1781" i="1" s="1"/>
  <c r="G1782" i="1"/>
  <c r="V1782" i="1" s="1"/>
  <c r="G1783" i="1"/>
  <c r="V1783" i="1" s="1"/>
  <c r="G1784" i="1"/>
  <c r="V1784" i="1" s="1"/>
  <c r="G1785" i="1"/>
  <c r="X1785" i="1" s="1"/>
  <c r="G1786" i="1"/>
  <c r="Z1786" i="1" s="1"/>
  <c r="G1787" i="1"/>
  <c r="V1787" i="1" s="1"/>
  <c r="G1788" i="1"/>
  <c r="AA1788" i="1" s="1"/>
  <c r="G1789" i="1"/>
  <c r="V1789" i="1" s="1"/>
  <c r="G1790" i="1"/>
  <c r="U1790" i="1" s="1"/>
  <c r="G1791" i="1"/>
  <c r="V1791" i="1" s="1"/>
  <c r="G1792" i="1"/>
  <c r="V1792" i="1" s="1"/>
  <c r="G1799" i="1"/>
  <c r="V1799" i="1" s="1"/>
  <c r="G1800" i="1"/>
  <c r="U1800" i="1" s="1"/>
  <c r="G1801" i="1"/>
  <c r="V1801" i="1" s="1"/>
  <c r="G1802" i="1"/>
  <c r="X1802" i="1" s="1"/>
  <c r="G1803" i="1"/>
  <c r="G1804" i="1"/>
  <c r="V1804" i="1" s="1"/>
  <c r="G1805" i="1"/>
  <c r="U1805" i="1" s="1"/>
  <c r="G1806" i="1"/>
  <c r="AA1806" i="1" s="1"/>
  <c r="G1807" i="1"/>
  <c r="V1807" i="1" s="1"/>
  <c r="G1808" i="1"/>
  <c r="X1808" i="1" s="1"/>
  <c r="G1809" i="1"/>
  <c r="V1809" i="1" s="1"/>
  <c r="G1810" i="1"/>
  <c r="W1810" i="1" s="1"/>
  <c r="G1811" i="1"/>
  <c r="AD1811" i="1" s="1"/>
  <c r="G1812" i="1"/>
  <c r="G1813" i="1"/>
  <c r="V1813" i="1" s="1"/>
  <c r="G1815" i="1"/>
  <c r="Z1815" i="1" s="1"/>
  <c r="G1816" i="1"/>
  <c r="U1816" i="1" s="1"/>
  <c r="G1817" i="1"/>
  <c r="U1817" i="1" s="1"/>
  <c r="G1818" i="1"/>
  <c r="V1818" i="1" s="1"/>
  <c r="G1824" i="1"/>
  <c r="AA1824" i="1" s="1"/>
  <c r="G1825" i="1"/>
  <c r="AA1825" i="1" s="1"/>
  <c r="G1826" i="1"/>
  <c r="X1826" i="1" s="1"/>
  <c r="G1827" i="1"/>
  <c r="V1827" i="1" s="1"/>
  <c r="G1828" i="1"/>
  <c r="AA1828" i="1" s="1"/>
  <c r="G1829" i="1"/>
  <c r="V1829" i="1" s="1"/>
  <c r="G1830" i="1"/>
  <c r="V1830" i="1" s="1"/>
  <c r="G1831" i="1"/>
  <c r="V1831" i="1" s="1"/>
  <c r="G1832" i="1"/>
  <c r="AD1832" i="1" s="1"/>
  <c r="G1833" i="1"/>
  <c r="V1833" i="1" s="1"/>
  <c r="G1834" i="1"/>
  <c r="V1834" i="1" s="1"/>
  <c r="G1837" i="1"/>
  <c r="AA1837" i="1" s="1"/>
  <c r="G1843" i="1"/>
  <c r="AA1843" i="1" s="1"/>
  <c r="G1844" i="1"/>
  <c r="U1844" i="1" s="1"/>
  <c r="G1845" i="1"/>
  <c r="V1845" i="1" s="1"/>
  <c r="G1846" i="1"/>
  <c r="V1846" i="1" s="1"/>
  <c r="G1848" i="1"/>
  <c r="AA1848" i="1" s="1"/>
  <c r="G1850" i="1"/>
  <c r="V1850" i="1" s="1"/>
  <c r="G1851" i="1"/>
  <c r="V1851" i="1" s="1"/>
  <c r="G1855" i="1"/>
  <c r="U1855" i="1" s="1"/>
  <c r="G1856" i="1"/>
  <c r="AA1856" i="1" s="1"/>
  <c r="G1857" i="1"/>
  <c r="V1857" i="1" s="1"/>
  <c r="G1859" i="1"/>
  <c r="V1859" i="1" s="1"/>
  <c r="G1861" i="1"/>
  <c r="V1861" i="1" s="1"/>
  <c r="G1867" i="1"/>
  <c r="AA1867" i="1" s="1"/>
  <c r="G1869" i="1"/>
  <c r="V1869" i="1" s="1"/>
  <c r="G1870" i="1"/>
  <c r="V1870" i="1" s="1"/>
  <c r="G1871" i="1"/>
  <c r="AB1871" i="1" s="1"/>
  <c r="G1873" i="1"/>
  <c r="V1873" i="1" s="1"/>
  <c r="G1875" i="1"/>
  <c r="AC1875" i="1" s="1"/>
  <c r="G1876" i="1"/>
  <c r="AA1876" i="1" s="1"/>
  <c r="G1877" i="1"/>
  <c r="G1878" i="1"/>
  <c r="V1878" i="1" s="1"/>
  <c r="G1879" i="1"/>
  <c r="V1879" i="1" s="1"/>
  <c r="G1880" i="1"/>
  <c r="V1880" i="1" s="1"/>
  <c r="G1883" i="1"/>
  <c r="V1883" i="1" s="1"/>
  <c r="G1884" i="1"/>
  <c r="G1885" i="1"/>
  <c r="AB1885" i="1" s="1"/>
  <c r="G1886" i="1"/>
  <c r="V1886" i="1" s="1"/>
  <c r="G1887" i="1"/>
  <c r="V1887" i="1" s="1"/>
  <c r="G1888" i="1"/>
  <c r="V1888" i="1" s="1"/>
  <c r="G1541" i="1" l="1"/>
  <c r="V1541" i="1" s="1"/>
  <c r="G1438" i="1"/>
  <c r="V1438" i="1" s="1"/>
  <c r="G1882" i="1"/>
  <c r="AA1882" i="1" s="1"/>
  <c r="G1872" i="1"/>
  <c r="AC1872" i="1" s="1"/>
  <c r="G1858" i="1"/>
  <c r="X1858" i="1" s="1"/>
  <c r="G1853" i="1"/>
  <c r="AA1853" i="1" s="1"/>
  <c r="G1842" i="1"/>
  <c r="V1842" i="1" s="1"/>
  <c r="G1653" i="1"/>
  <c r="V1653" i="1" s="1"/>
  <c r="G1647" i="1"/>
  <c r="V1647" i="1" s="1"/>
  <c r="G1574" i="1"/>
  <c r="X1574" i="1" s="1"/>
  <c r="G1521" i="1"/>
  <c r="AA1521" i="1" s="1"/>
  <c r="G1432" i="1"/>
  <c r="Z1432" i="1" s="1"/>
  <c r="G1366" i="1"/>
  <c r="X1366" i="1" s="1"/>
  <c r="G1330" i="1"/>
  <c r="AA1330" i="1" s="1"/>
  <c r="G1295" i="1"/>
  <c r="X1295" i="1" s="1"/>
  <c r="G1216" i="1"/>
  <c r="W1216" i="1" s="1"/>
  <c r="G1154" i="1"/>
  <c r="V1154" i="1" s="1"/>
  <c r="G1132" i="1"/>
  <c r="U1132" i="1" s="1"/>
  <c r="G1125" i="1"/>
  <c r="AA1125" i="1" s="1"/>
  <c r="G1107" i="1"/>
  <c r="Z1107" i="1" s="1"/>
  <c r="G1079" i="1"/>
  <c r="V1079" i="1" s="1"/>
  <c r="G1037" i="1"/>
  <c r="AA1037" i="1" s="1"/>
  <c r="G977" i="1"/>
  <c r="V977" i="1" s="1"/>
  <c r="G944" i="1"/>
  <c r="V944" i="1" s="1"/>
  <c r="G939" i="1"/>
  <c r="V939" i="1" s="1"/>
  <c r="G928" i="1"/>
  <c r="W928" i="1" s="1"/>
  <c r="G907" i="1"/>
  <c r="AA907" i="1" s="1"/>
  <c r="G837" i="1"/>
  <c r="U837" i="1" s="1"/>
  <c r="G819" i="1"/>
  <c r="Z819" i="1" s="1"/>
  <c r="G783" i="1"/>
  <c r="G711" i="1"/>
  <c r="AA711" i="1" s="1"/>
  <c r="G611" i="1"/>
  <c r="V611" i="1" s="1"/>
  <c r="G588" i="1"/>
  <c r="V588" i="1" s="1"/>
  <c r="G560" i="1"/>
  <c r="V560" i="1" s="1"/>
  <c r="G523" i="1"/>
  <c r="U523" i="1" s="1"/>
  <c r="G502" i="1"/>
  <c r="V502" i="1" s="1"/>
  <c r="G484" i="1"/>
  <c r="V484" i="1" s="1"/>
  <c r="G376" i="1"/>
  <c r="AA376" i="1" s="1"/>
  <c r="G347" i="1"/>
  <c r="V347" i="1" s="1"/>
  <c r="G239" i="1"/>
  <c r="AD239" i="1" s="1"/>
  <c r="G227" i="1"/>
  <c r="AD227" i="1" s="1"/>
  <c r="G142" i="1"/>
  <c r="V142" i="1" s="1"/>
  <c r="G93" i="1"/>
  <c r="V93" i="1" s="1"/>
  <c r="G78" i="1"/>
  <c r="AD78" i="1" s="1"/>
  <c r="G1515" i="1"/>
  <c r="AA1515" i="1" s="1"/>
  <c r="G1868" i="1"/>
  <c r="V1868" i="1" s="1"/>
  <c r="G1735" i="1"/>
  <c r="U1735" i="1" s="1"/>
  <c r="G1691" i="1"/>
  <c r="U1691" i="1" s="1"/>
  <c r="G1776" i="1"/>
  <c r="AA1776" i="1" s="1"/>
  <c r="G1663" i="1"/>
  <c r="V1663" i="1" s="1"/>
  <c r="G1641" i="1"/>
  <c r="AA1641" i="1" s="1"/>
  <c r="G1479" i="1"/>
  <c r="U1479" i="1" s="1"/>
  <c r="G1444" i="1"/>
  <c r="V1444" i="1" s="1"/>
  <c r="G1342" i="1"/>
  <c r="X1342" i="1" s="1"/>
  <c r="G1323" i="1"/>
  <c r="V1323" i="1" s="1"/>
  <c r="G1307" i="1"/>
  <c r="U1307" i="1" s="1"/>
  <c r="G1294" i="1"/>
  <c r="AA1294" i="1" s="1"/>
  <c r="G1288" i="1"/>
  <c r="V1288" i="1" s="1"/>
  <c r="G1215" i="1"/>
  <c r="V1215" i="1" s="1"/>
  <c r="G1200" i="1"/>
  <c r="AA1200" i="1" s="1"/>
  <c r="G1178" i="1"/>
  <c r="W1178" i="1" s="1"/>
  <c r="G1174" i="1"/>
  <c r="AA1174" i="1" s="1"/>
  <c r="G1167" i="1"/>
  <c r="W1167" i="1" s="1"/>
  <c r="G1144" i="1"/>
  <c r="V1144" i="1" s="1"/>
  <c r="G1087" i="1"/>
  <c r="U1087" i="1" s="1"/>
  <c r="G1075" i="1"/>
  <c r="V1075" i="1" s="1"/>
  <c r="G1033" i="1"/>
  <c r="AA1033" i="1" s="1"/>
  <c r="G938" i="1"/>
  <c r="V938" i="1" s="1"/>
  <c r="G934" i="1"/>
  <c r="W934" i="1" s="1"/>
  <c r="G873" i="1"/>
  <c r="AA873" i="1" s="1"/>
  <c r="G633" i="1"/>
  <c r="AA633" i="1" s="1"/>
  <c r="G517" i="1"/>
  <c r="AA517" i="1" s="1"/>
  <c r="G496" i="1"/>
  <c r="V496" i="1" s="1"/>
  <c r="G473" i="1"/>
  <c r="U473" i="1" s="1"/>
  <c r="G463" i="1"/>
  <c r="AA463" i="1" s="1"/>
  <c r="G423" i="1"/>
  <c r="V423" i="1" s="1"/>
  <c r="G375" i="1"/>
  <c r="V375" i="1" s="1"/>
  <c r="G355" i="1"/>
  <c r="V355" i="1" s="1"/>
  <c r="G351" i="1"/>
  <c r="W351" i="1" s="1"/>
  <c r="G332" i="1"/>
  <c r="AA332" i="1" s="1"/>
  <c r="G302" i="1"/>
  <c r="V302" i="1" s="1"/>
  <c r="G207" i="1"/>
  <c r="V207" i="1" s="1"/>
  <c r="G67" i="1"/>
  <c r="W67" i="1" s="1"/>
  <c r="G32" i="1"/>
  <c r="AA32" i="1" s="1"/>
  <c r="G1623" i="1"/>
  <c r="V1623" i="1" s="1"/>
  <c r="G1049" i="1"/>
  <c r="W1049" i="1" s="1"/>
  <c r="G999" i="1"/>
  <c r="V999" i="1" s="1"/>
  <c r="G674" i="1"/>
  <c r="V674" i="1" s="1"/>
  <c r="G1778" i="1"/>
  <c r="V1778" i="1" s="1"/>
  <c r="G1718" i="1"/>
  <c r="AA1718" i="1" s="1"/>
  <c r="G1835" i="1"/>
  <c r="V1835" i="1" s="1"/>
  <c r="G1823" i="1"/>
  <c r="AA1823" i="1" s="1"/>
  <c r="G1794" i="1"/>
  <c r="AA1794" i="1" s="1"/>
  <c r="G1681" i="1"/>
  <c r="AA1681" i="1" s="1"/>
  <c r="G1666" i="1"/>
  <c r="V1666" i="1" s="1"/>
  <c r="G1395" i="1"/>
  <c r="G1194" i="1"/>
  <c r="AA1194" i="1" s="1"/>
  <c r="G1172" i="1"/>
  <c r="V1172" i="1" s="1"/>
  <c r="G1078" i="1"/>
  <c r="U1078" i="1" s="1"/>
  <c r="G1070" i="1"/>
  <c r="V1070" i="1" s="1"/>
  <c r="G750" i="1"/>
  <c r="V750" i="1" s="1"/>
  <c r="G1592" i="1"/>
  <c r="V1592" i="1" s="1"/>
  <c r="G1311" i="1"/>
  <c r="AA1311" i="1" s="1"/>
  <c r="G1072" i="1"/>
  <c r="V1072" i="1" s="1"/>
  <c r="G979" i="1"/>
  <c r="AA979" i="1" s="1"/>
  <c r="G921" i="1"/>
  <c r="AA921" i="1" s="1"/>
  <c r="G720" i="1"/>
  <c r="V720" i="1" s="1"/>
  <c r="G350" i="1"/>
  <c r="V350" i="1" s="1"/>
  <c r="G221" i="1"/>
  <c r="U221" i="1" s="1"/>
  <c r="G202" i="1"/>
  <c r="V202" i="1" s="1"/>
  <c r="G1762" i="1"/>
  <c r="V1762" i="1" s="1"/>
  <c r="G1746" i="1"/>
  <c r="Z1746" i="1" s="1"/>
  <c r="G1478" i="1"/>
  <c r="V1478" i="1" s="1"/>
  <c r="G1474" i="1"/>
  <c r="AC1474" i="1" s="1"/>
  <c r="G1434" i="1"/>
  <c r="AA1434" i="1" s="1"/>
  <c r="G1428" i="1"/>
  <c r="AA1428" i="1" s="1"/>
  <c r="G1317" i="1"/>
  <c r="V1317" i="1" s="1"/>
  <c r="G1273" i="1"/>
  <c r="AA1273" i="1" s="1"/>
  <c r="G1264" i="1"/>
  <c r="AC1264" i="1" s="1"/>
  <c r="G1260" i="1"/>
  <c r="X1260" i="1" s="1"/>
  <c r="G1149" i="1"/>
  <c r="AA1149" i="1" s="1"/>
  <c r="G1139" i="1"/>
  <c r="AA1139" i="1" s="1"/>
  <c r="G991" i="1"/>
  <c r="AA991" i="1" s="1"/>
  <c r="G726" i="1"/>
  <c r="AA726" i="1" s="1"/>
  <c r="G696" i="1"/>
  <c r="AA696" i="1" s="1"/>
  <c r="G1821" i="1"/>
  <c r="V1821" i="1" s="1"/>
  <c r="G1797" i="1"/>
  <c r="U1797" i="1" s="1"/>
  <c r="G1714" i="1"/>
  <c r="AC1714" i="1" s="1"/>
  <c r="G1697" i="1"/>
  <c r="W1697" i="1" s="1"/>
  <c r="G1651" i="1"/>
  <c r="V1651" i="1" s="1"/>
  <c r="G1626" i="1"/>
  <c r="AA1626" i="1" s="1"/>
  <c r="G1597" i="1"/>
  <c r="AA1597" i="1" s="1"/>
  <c r="G1545" i="1"/>
  <c r="AA1545" i="1" s="1"/>
  <c r="G1043" i="1"/>
  <c r="V1043" i="1" s="1"/>
  <c r="G1028" i="1"/>
  <c r="U1028" i="1" s="1"/>
  <c r="G887" i="1"/>
  <c r="AA887" i="1" s="1"/>
  <c r="G821" i="1"/>
  <c r="V821" i="1" s="1"/>
  <c r="G817" i="1"/>
  <c r="V817" i="1" s="1"/>
  <c r="G637" i="1"/>
  <c r="AA637" i="1" s="1"/>
  <c r="G36" i="1"/>
  <c r="AD36" i="1" s="1"/>
  <c r="G1190" i="1"/>
  <c r="AA1190" i="1" s="1"/>
  <c r="G1874" i="1"/>
  <c r="V1874" i="1" s="1"/>
  <c r="G1866" i="1"/>
  <c r="V1866" i="1" s="1"/>
  <c r="G1839" i="1"/>
  <c r="AB1839" i="1" s="1"/>
  <c r="G1819" i="1"/>
  <c r="AA1819" i="1" s="1"/>
  <c r="G1780" i="1"/>
  <c r="AC1780" i="1" s="1"/>
  <c r="G1720" i="1"/>
  <c r="V1720" i="1" s="1"/>
  <c r="G1706" i="1"/>
  <c r="V1706" i="1" s="1"/>
  <c r="G1695" i="1"/>
  <c r="V1695" i="1" s="1"/>
  <c r="G1689" i="1"/>
  <c r="V1689" i="1" s="1"/>
  <c r="G1683" i="1"/>
  <c r="AC1683" i="1" s="1"/>
  <c r="G1679" i="1"/>
  <c r="V1679" i="1" s="1"/>
  <c r="G1512" i="1"/>
  <c r="AA1512" i="1" s="1"/>
  <c r="G1480" i="1"/>
  <c r="AD1480" i="1" s="1"/>
  <c r="G1117" i="1"/>
  <c r="Z1117" i="1" s="1"/>
  <c r="G1109" i="1"/>
  <c r="AC1109" i="1" s="1"/>
  <c r="G1101" i="1"/>
  <c r="AA1101" i="1" s="1"/>
  <c r="G1051" i="1"/>
  <c r="AA1051" i="1" s="1"/>
  <c r="G1045" i="1"/>
  <c r="AA1045" i="1" s="1"/>
  <c r="G1004" i="1"/>
  <c r="V1004" i="1" s="1"/>
  <c r="G919" i="1"/>
  <c r="V919" i="1" s="1"/>
  <c r="G792" i="1"/>
  <c r="V792" i="1" s="1"/>
  <c r="G698" i="1"/>
  <c r="V698" i="1" s="1"/>
  <c r="G692" i="1"/>
  <c r="V692" i="1" s="1"/>
  <c r="G542" i="1"/>
  <c r="V542" i="1" s="1"/>
  <c r="G538" i="1"/>
  <c r="AA538" i="1" s="1"/>
  <c r="G50" i="1"/>
  <c r="V50" i="1" s="1"/>
  <c r="G1814" i="1"/>
  <c r="Z1814" i="1" s="1"/>
  <c r="G1798" i="1"/>
  <c r="U1798" i="1" s="1"/>
  <c r="G1748" i="1"/>
  <c r="AA1748" i="1" s="1"/>
  <c r="G1015" i="1"/>
  <c r="V1015" i="1" s="1"/>
  <c r="G996" i="1"/>
  <c r="V996" i="1" s="1"/>
  <c r="G871" i="1"/>
  <c r="U871" i="1" s="1"/>
  <c r="G815" i="1"/>
  <c r="AA815" i="1" s="1"/>
  <c r="G722" i="1"/>
  <c r="V722" i="1" s="1"/>
  <c r="G708" i="1"/>
  <c r="AA708" i="1" s="1"/>
  <c r="G678" i="1"/>
  <c r="AA678" i="1" s="1"/>
  <c r="G672" i="1"/>
  <c r="V672" i="1" s="1"/>
  <c r="G406" i="1"/>
  <c r="U406" i="1" s="1"/>
  <c r="G373" i="1"/>
  <c r="V373" i="1" s="1"/>
  <c r="G369" i="1"/>
  <c r="AA369" i="1" s="1"/>
  <c r="G43" i="1"/>
  <c r="AA43" i="1" s="1"/>
  <c r="G39" i="1"/>
  <c r="W39" i="1" s="1"/>
  <c r="G34" i="1"/>
  <c r="AA34" i="1" s="1"/>
  <c r="G1304" i="1"/>
  <c r="W1304" i="1" s="1"/>
  <c r="G1096" i="1"/>
  <c r="V1096" i="1" s="1"/>
  <c r="G1722" i="1"/>
  <c r="V1722" i="1" s="1"/>
  <c r="G1062" i="1"/>
  <c r="V1062" i="1" s="1"/>
  <c r="G1052" i="1"/>
  <c r="V1052" i="1" s="1"/>
  <c r="G1042" i="1"/>
  <c r="V1042" i="1" s="1"/>
  <c r="G1035" i="1"/>
  <c r="W1035" i="1" s="1"/>
  <c r="G310" i="1"/>
  <c r="Z310" i="1" s="1"/>
  <c r="G16" i="1"/>
  <c r="AD16" i="1" s="1"/>
  <c r="G1131" i="1"/>
  <c r="V1131" i="1" s="1"/>
  <c r="G1127" i="1"/>
  <c r="U1127" i="1" s="1"/>
  <c r="G1085" i="1"/>
  <c r="AA1085" i="1" s="1"/>
  <c r="G1076" i="1"/>
  <c r="V1076" i="1" s="1"/>
  <c r="G790" i="1"/>
  <c r="AC790" i="1" s="1"/>
  <c r="G738" i="1"/>
  <c r="AA738" i="1" s="1"/>
  <c r="G527" i="1"/>
  <c r="AD527" i="1" s="1"/>
  <c r="G509" i="1"/>
  <c r="V509" i="1" s="1"/>
  <c r="G902" i="1"/>
  <c r="AA902" i="1" s="1"/>
  <c r="G1822" i="1"/>
  <c r="U1822" i="1" s="1"/>
  <c r="G1566" i="1"/>
  <c r="W1566" i="1" s="1"/>
  <c r="G1544" i="1"/>
  <c r="G1360" i="1"/>
  <c r="V1360" i="1" s="1"/>
  <c r="G1344" i="1"/>
  <c r="AA1344" i="1" s="1"/>
  <c r="G1320" i="1"/>
  <c r="W1320" i="1" s="1"/>
  <c r="G1217" i="1"/>
  <c r="AA1217" i="1" s="1"/>
  <c r="G1100" i="1"/>
  <c r="AA1100" i="1" s="1"/>
  <c r="G1080" i="1"/>
  <c r="V1080" i="1" s="1"/>
  <c r="G1058" i="1"/>
  <c r="V1058" i="1" s="1"/>
  <c r="G384" i="1"/>
  <c r="AA384" i="1" s="1"/>
  <c r="G1744" i="1"/>
  <c r="V1744" i="1" s="1"/>
  <c r="G1111" i="1"/>
  <c r="AC1111" i="1" s="1"/>
  <c r="G1105" i="1"/>
  <c r="AA1105" i="1" s="1"/>
  <c r="G1064" i="1"/>
  <c r="W1064" i="1" s="1"/>
  <c r="G832" i="1"/>
  <c r="X832" i="1" s="1"/>
  <c r="G809" i="1"/>
  <c r="X809" i="1" s="1"/>
  <c r="G1881" i="1"/>
  <c r="V1881" i="1" s="1"/>
  <c r="G1862" i="1"/>
  <c r="AC1862" i="1" s="1"/>
  <c r="G1840" i="1"/>
  <c r="AA1840" i="1" s="1"/>
  <c r="G1836" i="1"/>
  <c r="AA1836" i="1" s="1"/>
  <c r="G1820" i="1"/>
  <c r="AA1820" i="1" s="1"/>
  <c r="G1796" i="1"/>
  <c r="AA1796" i="1" s="1"/>
  <c r="G1772" i="1"/>
  <c r="AA1772" i="1" s="1"/>
  <c r="G1751" i="1"/>
  <c r="V1751" i="1" s="1"/>
  <c r="G1740" i="1"/>
  <c r="AA1740" i="1" s="1"/>
  <c r="G1625" i="1"/>
  <c r="X1625" i="1" s="1"/>
  <c r="G1616" i="1"/>
  <c r="AA1616" i="1" s="1"/>
  <c r="G1612" i="1"/>
  <c r="V1612" i="1" s="1"/>
  <c r="G1594" i="1"/>
  <c r="AA1594" i="1" s="1"/>
  <c r="G1562" i="1"/>
  <c r="V1562" i="1" s="1"/>
  <c r="G1557" i="1"/>
  <c r="Z1557" i="1" s="1"/>
  <c r="G1436" i="1"/>
  <c r="V1436" i="1" s="1"/>
  <c r="G1422" i="1"/>
  <c r="V1422" i="1" s="1"/>
  <c r="G1284" i="1"/>
  <c r="AC1284" i="1" s="1"/>
  <c r="G1184" i="1"/>
  <c r="AA1184" i="1" s="1"/>
  <c r="G1156" i="1"/>
  <c r="AA1156" i="1" s="1"/>
  <c r="G1091" i="1"/>
  <c r="U1091" i="1" s="1"/>
  <c r="G1024" i="1"/>
  <c r="AC1024" i="1" s="1"/>
  <c r="G988" i="1"/>
  <c r="AA988" i="1" s="1"/>
  <c r="G981" i="1"/>
  <c r="V981" i="1" s="1"/>
  <c r="G913" i="1"/>
  <c r="AA913" i="1" s="1"/>
  <c r="G883" i="1"/>
  <c r="G836" i="1"/>
  <c r="V836" i="1" s="1"/>
  <c r="G806" i="1"/>
  <c r="AA806" i="1" s="1"/>
  <c r="G702" i="1"/>
  <c r="V702" i="1" s="1"/>
  <c r="G668" i="1"/>
  <c r="AA668" i="1" s="1"/>
  <c r="G631" i="1"/>
  <c r="AA631" i="1" s="1"/>
  <c r="G339" i="1"/>
  <c r="V339" i="1" s="1"/>
  <c r="G335" i="1"/>
  <c r="V335" i="1" s="1"/>
  <c r="G180" i="1"/>
  <c r="V180" i="1" s="1"/>
  <c r="G1838" i="1"/>
  <c r="V1838" i="1" s="1"/>
  <c r="G1793" i="1"/>
  <c r="AA1793" i="1" s="1"/>
  <c r="G1738" i="1"/>
  <c r="V1738" i="1" s="1"/>
  <c r="G1734" i="1"/>
  <c r="AB1734" i="1" s="1"/>
  <c r="G1721" i="1"/>
  <c r="V1721" i="1" s="1"/>
  <c r="G1717" i="1"/>
  <c r="AA1717" i="1" s="1"/>
  <c r="G1713" i="1"/>
  <c r="AA1713" i="1" s="1"/>
  <c r="G1678" i="1"/>
  <c r="V1678" i="1" s="1"/>
  <c r="G1650" i="1"/>
  <c r="AC1650" i="1" s="1"/>
  <c r="G1628" i="1"/>
  <c r="V1628" i="1" s="1"/>
  <c r="G1614" i="1"/>
  <c r="V1614" i="1" s="1"/>
  <c r="G1606" i="1"/>
  <c r="AA1606" i="1" s="1"/>
  <c r="G1601" i="1"/>
  <c r="AA1601" i="1" s="1"/>
  <c r="G1564" i="1"/>
  <c r="V1564" i="1" s="1"/>
  <c r="G1552" i="1"/>
  <c r="AC1552" i="1" s="1"/>
  <c r="G1533" i="1"/>
  <c r="AA1533" i="1" s="1"/>
  <c r="G1519" i="1"/>
  <c r="V1519" i="1" s="1"/>
  <c r="G1484" i="1"/>
  <c r="AA1484" i="1" s="1"/>
  <c r="G1440" i="1"/>
  <c r="V1440" i="1" s="1"/>
  <c r="G1335" i="1"/>
  <c r="Z1335" i="1" s="1"/>
  <c r="G1313" i="1"/>
  <c r="AA1313" i="1" s="1"/>
  <c r="G1301" i="1"/>
  <c r="AA1301" i="1" s="1"/>
  <c r="G1292" i="1"/>
  <c r="AA1292" i="1" s="1"/>
  <c r="G1286" i="1"/>
  <c r="AC1286" i="1" s="1"/>
  <c r="G1282" i="1"/>
  <c r="Z1282" i="1" s="1"/>
  <c r="G1274" i="1"/>
  <c r="V1274" i="1" s="1"/>
  <c r="G1256" i="1"/>
  <c r="AA1256" i="1" s="1"/>
  <c r="G1202" i="1"/>
  <c r="AC1202" i="1" s="1"/>
  <c r="G1180" i="1"/>
  <c r="W1180" i="1" s="1"/>
  <c r="G1135" i="1"/>
  <c r="AA1135" i="1" s="1"/>
  <c r="G1113" i="1"/>
  <c r="AA1113" i="1" s="1"/>
  <c r="G1103" i="1"/>
  <c r="V1103" i="1" s="1"/>
  <c r="G1074" i="1"/>
  <c r="V1074" i="1" s="1"/>
  <c r="G1068" i="1"/>
  <c r="V1068" i="1" s="1"/>
  <c r="G1060" i="1"/>
  <c r="G1054" i="1"/>
  <c r="V1054" i="1" s="1"/>
  <c r="G1026" i="1"/>
  <c r="AA1026" i="1" s="1"/>
  <c r="G1022" i="1"/>
  <c r="V1022" i="1" s="1"/>
  <c r="G1011" i="1"/>
  <c r="AA1011" i="1" s="1"/>
  <c r="G985" i="1"/>
  <c r="AA985" i="1" s="1"/>
  <c r="G838" i="1"/>
  <c r="V838" i="1" s="1"/>
  <c r="G834" i="1"/>
  <c r="AC834" i="1" s="1"/>
  <c r="G804" i="1"/>
  <c r="AA804" i="1" s="1"/>
  <c r="G760" i="1"/>
  <c r="AA760" i="1" s="1"/>
  <c r="G688" i="1"/>
  <c r="AA688" i="1" s="1"/>
  <c r="G666" i="1"/>
  <c r="AC666" i="1" s="1"/>
  <c r="G654" i="1"/>
  <c r="V654" i="1" s="1"/>
  <c r="G643" i="1"/>
  <c r="AA643" i="1" s="1"/>
  <c r="G607" i="1"/>
  <c r="V607" i="1" s="1"/>
  <c r="G591" i="1"/>
  <c r="AA591" i="1" s="1"/>
  <c r="G403" i="1"/>
  <c r="Z403" i="1" s="1"/>
  <c r="G1841" i="1"/>
  <c r="V1841" i="1" s="1"/>
  <c r="G1747" i="1"/>
  <c r="AA1747" i="1" s="1"/>
  <c r="G1686" i="1"/>
  <c r="AA1686" i="1" s="1"/>
  <c r="G1520" i="1"/>
  <c r="V1520" i="1" s="1"/>
  <c r="G1334" i="1"/>
  <c r="Z1334" i="1" s="1"/>
  <c r="G1210" i="1"/>
  <c r="U1210" i="1" s="1"/>
  <c r="G1159" i="1"/>
  <c r="V1159" i="1" s="1"/>
  <c r="G1148" i="1"/>
  <c r="X1148" i="1" s="1"/>
  <c r="G1134" i="1"/>
  <c r="U1134" i="1" s="1"/>
  <c r="G1126" i="1"/>
  <c r="AA1126" i="1" s="1"/>
  <c r="G1089" i="1"/>
  <c r="V1089" i="1" s="1"/>
  <c r="G737" i="1"/>
  <c r="V737" i="1" s="1"/>
  <c r="G567" i="1"/>
  <c r="AA567" i="1" s="1"/>
  <c r="G549" i="1"/>
  <c r="W549" i="1" s="1"/>
  <c r="G481" i="1"/>
  <c r="W481" i="1" s="1"/>
  <c r="G255" i="1"/>
  <c r="W255" i="1" s="1"/>
  <c r="G234" i="1"/>
  <c r="AA234" i="1" s="1"/>
  <c r="G1698" i="1"/>
  <c r="V1698" i="1" s="1"/>
  <c r="G1694" i="1"/>
  <c r="V1694" i="1" s="1"/>
  <c r="G1690" i="1"/>
  <c r="V1690" i="1" s="1"/>
  <c r="G1664" i="1"/>
  <c r="U1664" i="1" s="1"/>
  <c r="G1629" i="1"/>
  <c r="AA1629" i="1" s="1"/>
  <c r="G1603" i="1"/>
  <c r="X1603" i="1" s="1"/>
  <c r="G1599" i="1"/>
  <c r="V1599" i="1" s="1"/>
  <c r="G1460" i="1"/>
  <c r="Z1460" i="1" s="1"/>
  <c r="G1443" i="1"/>
  <c r="U1443" i="1" s="1"/>
  <c r="G1220" i="1"/>
  <c r="AD1220" i="1" s="1"/>
  <c r="G1182" i="1"/>
  <c r="U1182" i="1" s="1"/>
  <c r="G1158" i="1"/>
  <c r="V1158" i="1" s="1"/>
  <c r="G1153" i="1"/>
  <c r="U1153" i="1" s="1"/>
  <c r="G1081" i="1"/>
  <c r="V1081" i="1" s="1"/>
  <c r="G1077" i="1"/>
  <c r="AA1077" i="1" s="1"/>
  <c r="G906" i="1"/>
  <c r="V906" i="1" s="1"/>
  <c r="G494" i="1"/>
  <c r="AA494" i="1" s="1"/>
  <c r="G489" i="1"/>
  <c r="AA489" i="1" s="1"/>
  <c r="G456" i="1"/>
  <c r="U456" i="1" s="1"/>
  <c r="G261" i="1"/>
  <c r="V261" i="1" s="1"/>
  <c r="G181" i="1"/>
  <c r="AA181" i="1" s="1"/>
  <c r="G161" i="1"/>
  <c r="AA161" i="1" s="1"/>
  <c r="G1254" i="1"/>
  <c r="AA1254" i="1" s="1"/>
  <c r="G1864" i="1"/>
  <c r="V1864" i="1" s="1"/>
  <c r="G1854" i="1"/>
  <c r="V1854" i="1" s="1"/>
  <c r="G1849" i="1"/>
  <c r="Z1849" i="1" s="1"/>
  <c r="G1775" i="1"/>
  <c r="V1775" i="1" s="1"/>
  <c r="G1750" i="1"/>
  <c r="AA1750" i="1" s="1"/>
  <c r="G1659" i="1"/>
  <c r="G1627" i="1"/>
  <c r="AA1627" i="1" s="1"/>
  <c r="G1573" i="1"/>
  <c r="V1573" i="1" s="1"/>
  <c r="G1530" i="1"/>
  <c r="AC1530" i="1" s="1"/>
  <c r="G1518" i="1"/>
  <c r="V1518" i="1" s="1"/>
  <c r="G1509" i="1"/>
  <c r="W1509" i="1" s="1"/>
  <c r="G1462" i="1"/>
  <c r="V1462" i="1" s="1"/>
  <c r="G1234" i="1"/>
  <c r="V1234" i="1" s="1"/>
  <c r="G1229" i="1"/>
  <c r="V1229" i="1" s="1"/>
  <c r="G1209" i="1"/>
  <c r="V1209" i="1" s="1"/>
  <c r="G1166" i="1"/>
  <c r="V1166" i="1" s="1"/>
  <c r="G1152" i="1"/>
  <c r="V1152" i="1" s="1"/>
  <c r="G1119" i="1"/>
  <c r="V1119" i="1" s="1"/>
  <c r="G1095" i="1"/>
  <c r="G1083" i="1"/>
  <c r="V1083" i="1" s="1"/>
  <c r="G1071" i="1"/>
  <c r="AA1071" i="1" s="1"/>
  <c r="G1066" i="1"/>
  <c r="G1055" i="1"/>
  <c r="AA1055" i="1" s="1"/>
  <c r="G917" i="1"/>
  <c r="V917" i="1" s="1"/>
  <c r="G904" i="1"/>
  <c r="W904" i="1" s="1"/>
  <c r="G736" i="1"/>
  <c r="AA736" i="1" s="1"/>
  <c r="G508" i="1"/>
  <c r="V508" i="1" s="1"/>
  <c r="G498" i="1"/>
  <c r="AA498" i="1" s="1"/>
  <c r="G488" i="1"/>
  <c r="G447" i="1"/>
  <c r="W447" i="1" s="1"/>
  <c r="G377" i="1"/>
  <c r="G324" i="1"/>
  <c r="V324" i="1" s="1"/>
  <c r="G259" i="1"/>
  <c r="V259" i="1" s="1"/>
  <c r="G228" i="1"/>
  <c r="AA228" i="1" s="1"/>
  <c r="G206" i="1"/>
  <c r="V206" i="1" s="1"/>
  <c r="G133" i="1"/>
  <c r="V133" i="1" s="1"/>
  <c r="G60" i="1"/>
  <c r="AA60" i="1" s="1"/>
  <c r="G1795" i="1"/>
  <c r="AA1795" i="1" s="1"/>
  <c r="G1774" i="1"/>
  <c r="V1774" i="1" s="1"/>
  <c r="G1745" i="1"/>
  <c r="AA1745" i="1" s="1"/>
  <c r="G1700" i="1"/>
  <c r="X1700" i="1" s="1"/>
  <c r="G1687" i="1"/>
  <c r="AA1687" i="1" s="1"/>
  <c r="G1654" i="1"/>
  <c r="V1654" i="1" s="1"/>
  <c r="G1646" i="1"/>
  <c r="AD1646" i="1" s="1"/>
  <c r="G1593" i="1"/>
  <c r="V1593" i="1" s="1"/>
  <c r="G1581" i="1"/>
  <c r="V1581" i="1" s="1"/>
  <c r="G1447" i="1"/>
  <c r="AA1447" i="1" s="1"/>
  <c r="G1441" i="1"/>
  <c r="V1441" i="1" s="1"/>
  <c r="G1321" i="1"/>
  <c r="V1321" i="1" s="1"/>
  <c r="G1312" i="1"/>
  <c r="V1312" i="1" s="1"/>
  <c r="G1228" i="1"/>
  <c r="X1228" i="1" s="1"/>
  <c r="G1223" i="1"/>
  <c r="U1223" i="1" s="1"/>
  <c r="G1218" i="1"/>
  <c r="U1218" i="1" s="1"/>
  <c r="G1183" i="1"/>
  <c r="U1183" i="1" s="1"/>
  <c r="G1098" i="1"/>
  <c r="AA1098" i="1" s="1"/>
  <c r="G1093" i="1"/>
  <c r="AA1093" i="1" s="1"/>
  <c r="G1082" i="1"/>
  <c r="V1082" i="1" s="1"/>
  <c r="G1065" i="1"/>
  <c r="AD1065" i="1" s="1"/>
  <c r="G895" i="1"/>
  <c r="U895" i="1" s="1"/>
  <c r="G770" i="1"/>
  <c r="U770" i="1" s="1"/>
  <c r="G745" i="1"/>
  <c r="AD745" i="1" s="1"/>
  <c r="G568" i="1"/>
  <c r="V568" i="1" s="1"/>
  <c r="G533" i="1"/>
  <c r="AA533" i="1" s="1"/>
  <c r="G524" i="1"/>
  <c r="AA524" i="1" s="1"/>
  <c r="G470" i="1"/>
  <c r="AA470" i="1" s="1"/>
  <c r="G461" i="1"/>
  <c r="V461" i="1" s="1"/>
  <c r="G430" i="1"/>
  <c r="X430" i="1" s="1"/>
  <c r="G416" i="1"/>
  <c r="AA416" i="1" s="1"/>
  <c r="G363" i="1"/>
  <c r="AA363" i="1" s="1"/>
  <c r="G290" i="1"/>
  <c r="Z290" i="1" s="1"/>
  <c r="G136" i="1"/>
  <c r="AA136" i="1" s="1"/>
  <c r="G85" i="1"/>
  <c r="AA85" i="1" s="1"/>
  <c r="G81" i="1"/>
  <c r="V81" i="1" s="1"/>
  <c r="G55" i="1"/>
  <c r="U55" i="1" s="1"/>
  <c r="G1699" i="1"/>
  <c r="V1699" i="1" s="1"/>
  <c r="G1554" i="1"/>
  <c r="V1554" i="1" s="1"/>
  <c r="G1238" i="1"/>
  <c r="Z1238" i="1" s="1"/>
  <c r="G982" i="1"/>
  <c r="AA982" i="1" s="1"/>
  <c r="G1771" i="1"/>
  <c r="Z1771" i="1" s="1"/>
  <c r="G1280" i="1"/>
  <c r="X1280" i="1" s="1"/>
  <c r="G940" i="1"/>
  <c r="AA940" i="1" s="1"/>
  <c r="G1865" i="1"/>
  <c r="V1865" i="1" s="1"/>
  <c r="G1240" i="1"/>
  <c r="V1240" i="1" s="1"/>
  <c r="G960" i="1"/>
  <c r="G1860" i="1"/>
  <c r="AA1860" i="1" s="1"/>
  <c r="G1852" i="1"/>
  <c r="V1852" i="1" s="1"/>
  <c r="G1214" i="1"/>
  <c r="V1214" i="1" s="1"/>
  <c r="G908" i="1"/>
  <c r="V908" i="1" s="1"/>
  <c r="G1847" i="1"/>
  <c r="U1847" i="1" s="1"/>
  <c r="G1777" i="1"/>
  <c r="X1777" i="1" s="1"/>
  <c r="G1511" i="1"/>
  <c r="AA1511" i="1" s="1"/>
  <c r="G888" i="1"/>
  <c r="V888" i="1" s="1"/>
  <c r="G670" i="1"/>
  <c r="AA670" i="1" s="1"/>
  <c r="G275" i="1"/>
  <c r="AA275" i="1" s="1"/>
  <c r="G1114" i="1"/>
  <c r="AA1114" i="1" s="1"/>
  <c r="G24" i="1"/>
  <c r="AA24" i="1" s="1"/>
  <c r="G28" i="1"/>
  <c r="AA28" i="1" s="1"/>
  <c r="G177" i="1"/>
  <c r="AA177" i="1" s="1"/>
  <c r="G266" i="1"/>
  <c r="V266" i="1" s="1"/>
  <c r="G404" i="1"/>
  <c r="V404" i="1" s="1"/>
  <c r="G424" i="1"/>
  <c r="AA424" i="1" s="1"/>
  <c r="G440" i="1"/>
  <c r="AA440" i="1" s="1"/>
  <c r="G596" i="1"/>
  <c r="V596" i="1" s="1"/>
  <c r="G602" i="1"/>
  <c r="AA602" i="1" s="1"/>
  <c r="G630" i="1"/>
  <c r="Z630" i="1" s="1"/>
  <c r="G642" i="1"/>
  <c r="AC642" i="1" s="1"/>
  <c r="G646" i="1"/>
  <c r="AA646" i="1" s="1"/>
  <c r="G669" i="1"/>
  <c r="W669" i="1" s="1"/>
  <c r="G677" i="1"/>
  <c r="AA677" i="1" s="1"/>
  <c r="G681" i="1"/>
  <c r="AA681" i="1" s="1"/>
  <c r="G689" i="1"/>
  <c r="U689" i="1" s="1"/>
  <c r="G693" i="1"/>
  <c r="V693" i="1" s="1"/>
  <c r="G701" i="1"/>
  <c r="W701" i="1" s="1"/>
  <c r="G709" i="1"/>
  <c r="AA709" i="1" s="1"/>
  <c r="G725" i="1"/>
  <c r="AA725" i="1" s="1"/>
  <c r="G729" i="1"/>
  <c r="V729" i="1" s="1"/>
  <c r="G741" i="1"/>
  <c r="AA741" i="1" s="1"/>
  <c r="G761" i="1"/>
  <c r="U761" i="1" s="1"/>
  <c r="G765" i="1"/>
  <c r="Z765" i="1" s="1"/>
  <c r="G769" i="1"/>
  <c r="AA769" i="1" s="1"/>
  <c r="G777" i="1"/>
  <c r="V777" i="1" s="1"/>
  <c r="G789" i="1"/>
  <c r="V789" i="1" s="1"/>
  <c r="G797" i="1"/>
  <c r="AA797" i="1" s="1"/>
  <c r="G812" i="1"/>
  <c r="V812" i="1" s="1"/>
  <c r="G824" i="1"/>
  <c r="AA824" i="1" s="1"/>
  <c r="G828" i="1"/>
  <c r="AA828" i="1" s="1"/>
  <c r="G839" i="1"/>
  <c r="V839" i="1" s="1"/>
  <c r="G842" i="1"/>
  <c r="V842" i="1" s="1"/>
  <c r="G866" i="1"/>
  <c r="V866" i="1" s="1"/>
  <c r="G878" i="1"/>
  <c r="AA878" i="1" s="1"/>
  <c r="G882" i="1"/>
  <c r="AA882" i="1" s="1"/>
  <c r="G886" i="1"/>
  <c r="AA886" i="1" s="1"/>
  <c r="G893" i="1"/>
  <c r="AA893" i="1" s="1"/>
  <c r="G897" i="1"/>
  <c r="AA897" i="1" s="1"/>
  <c r="G901" i="1"/>
  <c r="AA901" i="1" s="1"/>
  <c r="G905" i="1"/>
  <c r="V905" i="1" s="1"/>
  <c r="G909" i="1"/>
  <c r="X909" i="1" s="1"/>
  <c r="G18" i="1"/>
  <c r="V18" i="1" s="1"/>
  <c r="G33" i="1"/>
  <c r="Z33" i="1" s="1"/>
  <c r="G88" i="1"/>
  <c r="W88" i="1" s="1"/>
  <c r="G96" i="1"/>
  <c r="W96" i="1" s="1"/>
  <c r="G143" i="1"/>
  <c r="AC143" i="1" s="1"/>
  <c r="G167" i="1"/>
  <c r="AA167" i="1" s="1"/>
  <c r="G198" i="1"/>
  <c r="AA198" i="1" s="1"/>
  <c r="G201" i="1"/>
  <c r="V201" i="1" s="1"/>
  <c r="G205" i="1"/>
  <c r="AA205" i="1" s="1"/>
  <c r="G220" i="1"/>
  <c r="AA220" i="1" s="1"/>
  <c r="G224" i="1"/>
  <c r="AA224" i="1" s="1"/>
  <c r="G260" i="1"/>
  <c r="AA260" i="1" s="1"/>
  <c r="G296" i="1"/>
  <c r="AA296" i="1" s="1"/>
  <c r="G312" i="1"/>
  <c r="AA312" i="1" s="1"/>
  <c r="G320" i="1"/>
  <c r="AA320" i="1" s="1"/>
  <c r="G374" i="1"/>
  <c r="AA374" i="1" s="1"/>
  <c r="G390" i="1"/>
  <c r="V390" i="1" s="1"/>
  <c r="G438" i="1"/>
  <c r="U438" i="1" s="1"/>
  <c r="G442" i="1"/>
  <c r="AA442" i="1" s="1"/>
  <c r="G454" i="1"/>
  <c r="G466" i="1"/>
  <c r="V466" i="1" s="1"/>
  <c r="G492" i="1"/>
  <c r="V492" i="1" s="1"/>
  <c r="G604" i="1"/>
  <c r="V604" i="1" s="1"/>
  <c r="G608" i="1"/>
  <c r="AA608" i="1" s="1"/>
  <c r="G612" i="1"/>
  <c r="AC612" i="1" s="1"/>
  <c r="G632" i="1"/>
  <c r="G636" i="1"/>
  <c r="AA636" i="1" s="1"/>
  <c r="G640" i="1"/>
  <c r="AA640" i="1" s="1"/>
  <c r="G651" i="1"/>
  <c r="AA651" i="1" s="1"/>
  <c r="G655" i="1"/>
  <c r="AC655" i="1" s="1"/>
  <c r="G659" i="1"/>
  <c r="AA659" i="1" s="1"/>
  <c r="G675" i="1"/>
  <c r="V675" i="1" s="1"/>
  <c r="G687" i="1"/>
  <c r="G691" i="1"/>
  <c r="V691" i="1" s="1"/>
  <c r="G695" i="1"/>
  <c r="U695" i="1" s="1"/>
  <c r="G699" i="1"/>
  <c r="V699" i="1" s="1"/>
  <c r="G703" i="1"/>
  <c r="AA703" i="1" s="1"/>
  <c r="G707" i="1"/>
  <c r="Z707" i="1" s="1"/>
  <c r="G719" i="1"/>
  <c r="U719" i="1" s="1"/>
  <c r="G723" i="1"/>
  <c r="U723" i="1" s="1"/>
  <c r="G731" i="1"/>
  <c r="AA731" i="1" s="1"/>
  <c r="G751" i="1"/>
  <c r="V751" i="1" s="1"/>
  <c r="G763" i="1"/>
  <c r="X763" i="1" s="1"/>
  <c r="G771" i="1"/>
  <c r="V771" i="1" s="1"/>
  <c r="G775" i="1"/>
  <c r="U775" i="1" s="1"/>
  <c r="G795" i="1"/>
  <c r="V795" i="1" s="1"/>
  <c r="G799" i="1"/>
  <c r="AC799" i="1" s="1"/>
  <c r="G803" i="1"/>
  <c r="AA803" i="1" s="1"/>
  <c r="G807" i="1"/>
  <c r="AA807" i="1" s="1"/>
  <c r="G826" i="1"/>
  <c r="V826" i="1" s="1"/>
  <c r="G833" i="1"/>
  <c r="AA833" i="1" s="1"/>
  <c r="G848" i="1"/>
  <c r="V848" i="1" s="1"/>
  <c r="G868" i="1"/>
  <c r="V868" i="1" s="1"/>
  <c r="G872" i="1"/>
  <c r="AA872" i="1" s="1"/>
  <c r="G876" i="1"/>
  <c r="Z876" i="1" s="1"/>
  <c r="G884" i="1"/>
  <c r="AA884" i="1" s="1"/>
  <c r="G899" i="1"/>
  <c r="AA899" i="1" s="1"/>
  <c r="G911" i="1"/>
  <c r="V911" i="1" s="1"/>
  <c r="G922" i="1"/>
  <c r="V922" i="1" s="1"/>
  <c r="G932" i="1"/>
  <c r="V932" i="1" s="1"/>
  <c r="G986" i="1"/>
  <c r="V986" i="1" s="1"/>
  <c r="G994" i="1"/>
  <c r="V994" i="1" s="1"/>
  <c r="G1009" i="1"/>
  <c r="V1009" i="1" s="1"/>
  <c r="G1021" i="1"/>
  <c r="V1021" i="1" s="1"/>
  <c r="G1029" i="1"/>
  <c r="V1029" i="1" s="1"/>
  <c r="G126" i="1"/>
  <c r="V126" i="1" s="1"/>
  <c r="G138" i="1"/>
  <c r="AA138" i="1" s="1"/>
  <c r="G172" i="1"/>
  <c r="V172" i="1" s="1"/>
  <c r="G285" i="1"/>
  <c r="W285" i="1" s="1"/>
  <c r="G293" i="1"/>
  <c r="V293" i="1" s="1"/>
  <c r="G379" i="1"/>
  <c r="Z379" i="1" s="1"/>
  <c r="G383" i="1"/>
  <c r="AA383" i="1" s="1"/>
  <c r="G417" i="1"/>
  <c r="W417" i="1" s="1"/>
  <c r="G439" i="1"/>
  <c r="AA439" i="1" s="1"/>
  <c r="G449" i="1"/>
  <c r="V449" i="1" s="1"/>
  <c r="G495" i="1"/>
  <c r="AA495" i="1" s="1"/>
  <c r="G503" i="1"/>
  <c r="AA503" i="1" s="1"/>
  <c r="G629" i="1"/>
  <c r="V629" i="1" s="1"/>
  <c r="G635" i="1"/>
  <c r="AC635" i="1" s="1"/>
  <c r="G641" i="1"/>
  <c r="Z641" i="1" s="1"/>
  <c r="G650" i="1"/>
  <c r="AA650" i="1" s="1"/>
  <c r="G656" i="1"/>
  <c r="AA656" i="1" s="1"/>
  <c r="G682" i="1"/>
  <c r="V682" i="1" s="1"/>
  <c r="G686" i="1"/>
  <c r="AC686" i="1" s="1"/>
  <c r="G700" i="1"/>
  <c r="V700" i="1" s="1"/>
  <c r="G706" i="1"/>
  <c r="AC706" i="1" s="1"/>
  <c r="G716" i="1"/>
  <c r="AA716" i="1" s="1"/>
  <c r="G756" i="1"/>
  <c r="U756" i="1" s="1"/>
  <c r="G784" i="1"/>
  <c r="V784" i="1" s="1"/>
  <c r="G881" i="1"/>
  <c r="U881" i="1" s="1"/>
  <c r="G898" i="1"/>
  <c r="V898" i="1" s="1"/>
  <c r="G910" i="1"/>
  <c r="AC910" i="1" s="1"/>
  <c r="G930" i="1"/>
  <c r="AA930" i="1" s="1"/>
  <c r="G980" i="1"/>
  <c r="W980" i="1" s="1"/>
  <c r="G984" i="1"/>
  <c r="AA984" i="1" s="1"/>
  <c r="G1003" i="1"/>
  <c r="AA1003" i="1" s="1"/>
  <c r="G1007" i="1"/>
  <c r="AA1007" i="1" s="1"/>
  <c r="G1012" i="1"/>
  <c r="U1012" i="1" s="1"/>
  <c r="G1016" i="1"/>
  <c r="AC1016" i="1" s="1"/>
  <c r="G1034" i="1"/>
  <c r="AA1034" i="1" s="1"/>
  <c r="G1046" i="1"/>
  <c r="AC1046" i="1" s="1"/>
  <c r="G1057" i="1"/>
  <c r="AC1057" i="1" s="1"/>
  <c r="G1061" i="1"/>
  <c r="U1061" i="1" s="1"/>
  <c r="G1069" i="1"/>
  <c r="AC1069" i="1" s="1"/>
  <c r="G1088" i="1"/>
  <c r="AA1088" i="1" s="1"/>
  <c r="G1092" i="1"/>
  <c r="V1092" i="1" s="1"/>
  <c r="G1108" i="1"/>
  <c r="AA1108" i="1" s="1"/>
  <c r="G1120" i="1"/>
  <c r="AC1120" i="1" s="1"/>
  <c r="G1124" i="1"/>
  <c r="V1124" i="1" s="1"/>
  <c r="G1155" i="1"/>
  <c r="V1155" i="1" s="1"/>
  <c r="G1179" i="1"/>
  <c r="W1179" i="1" s="1"/>
  <c r="G1187" i="1"/>
  <c r="AA1187" i="1" s="1"/>
  <c r="G1191" i="1"/>
  <c r="W1191" i="1" s="1"/>
  <c r="G1207" i="1"/>
  <c r="V1207" i="1" s="1"/>
  <c r="G1211" i="1"/>
  <c r="AA1211" i="1" s="1"/>
  <c r="G1253" i="1"/>
  <c r="AA1253" i="1" s="1"/>
  <c r="G1265" i="1"/>
  <c r="AA1265" i="1" s="1"/>
  <c r="G1287" i="1"/>
  <c r="V1287" i="1" s="1"/>
  <c r="G1291" i="1"/>
  <c r="AA1291" i="1" s="1"/>
  <c r="G1302" i="1"/>
  <c r="AC1302" i="1" s="1"/>
  <c r="G1306" i="1"/>
  <c r="AA1306" i="1" s="1"/>
  <c r="G1310" i="1"/>
  <c r="V1310" i="1" s="1"/>
  <c r="G1314" i="1"/>
  <c r="W1314" i="1" s="1"/>
  <c r="G1338" i="1"/>
  <c r="V1338" i="1" s="1"/>
  <c r="G1362" i="1"/>
  <c r="AA1362" i="1" s="1"/>
  <c r="G1421" i="1"/>
  <c r="V1421" i="1" s="1"/>
  <c r="G1425" i="1"/>
  <c r="AA1425" i="1" s="1"/>
  <c r="G1433" i="1"/>
  <c r="V1433" i="1" s="1"/>
  <c r="G1437" i="1"/>
  <c r="AA1437" i="1" s="1"/>
  <c r="G1445" i="1"/>
  <c r="V1445" i="1" s="1"/>
  <c r="G1449" i="1"/>
  <c r="V1449" i="1" s="1"/>
  <c r="G49" i="1"/>
  <c r="AA49" i="1" s="1"/>
  <c r="G174" i="1"/>
  <c r="V174" i="1" s="1"/>
  <c r="G229" i="1"/>
  <c r="V229" i="1" s="1"/>
  <c r="G237" i="1"/>
  <c r="AA237" i="1" s="1"/>
  <c r="G257" i="1"/>
  <c r="V257" i="1" s="1"/>
  <c r="G451" i="1"/>
  <c r="AA451" i="1" s="1"/>
  <c r="G505" i="1"/>
  <c r="AA505" i="1" s="1"/>
  <c r="G521" i="1"/>
  <c r="AA521" i="1" s="1"/>
  <c r="G621" i="1"/>
  <c r="AA621" i="1" s="1"/>
  <c r="G627" i="1"/>
  <c r="U627" i="1" s="1"/>
  <c r="G658" i="1"/>
  <c r="AC658" i="1" s="1"/>
  <c r="G684" i="1"/>
  <c r="AC684" i="1" s="1"/>
  <c r="G690" i="1"/>
  <c r="AA690" i="1" s="1"/>
  <c r="G710" i="1"/>
  <c r="AA710" i="1" s="1"/>
  <c r="G714" i="1"/>
  <c r="AC714" i="1" s="1"/>
  <c r="G718" i="1"/>
  <c r="V718" i="1" s="1"/>
  <c r="G744" i="1"/>
  <c r="U744" i="1" s="1"/>
  <c r="G748" i="1"/>
  <c r="AC748" i="1" s="1"/>
  <c r="G772" i="1"/>
  <c r="AA772" i="1" s="1"/>
  <c r="G778" i="1"/>
  <c r="AA778" i="1" s="1"/>
  <c r="G782" i="1"/>
  <c r="AA782" i="1" s="1"/>
  <c r="G786" i="1"/>
  <c r="U786" i="1" s="1"/>
  <c r="G808" i="1"/>
  <c r="V808" i="1" s="1"/>
  <c r="G825" i="1"/>
  <c r="AA825" i="1" s="1"/>
  <c r="G885" i="1"/>
  <c r="Z885" i="1" s="1"/>
  <c r="G890" i="1"/>
  <c r="V890" i="1" s="1"/>
  <c r="G931" i="1"/>
  <c r="V931" i="1" s="1"/>
  <c r="G1027" i="1"/>
  <c r="AC1027" i="1" s="1"/>
  <c r="G1048" i="1"/>
  <c r="V1048" i="1" s="1"/>
  <c r="G1063" i="1"/>
  <c r="X1063" i="1" s="1"/>
  <c r="G1090" i="1"/>
  <c r="V1090" i="1" s="1"/>
  <c r="G1102" i="1"/>
  <c r="U1102" i="1" s="1"/>
  <c r="G1110" i="1"/>
  <c r="AA1110" i="1" s="1"/>
  <c r="G1150" i="1"/>
  <c r="V1150" i="1" s="1"/>
  <c r="G1161" i="1"/>
  <c r="U1161" i="1" s="1"/>
  <c r="G1193" i="1"/>
  <c r="AA1193" i="1" s="1"/>
  <c r="G1201" i="1"/>
  <c r="AA1201" i="1" s="1"/>
  <c r="G1259" i="1"/>
  <c r="AA1259" i="1" s="1"/>
  <c r="G1277" i="1"/>
  <c r="V1277" i="1" s="1"/>
  <c r="G1281" i="1"/>
  <c r="AA1281" i="1" s="1"/>
  <c r="G1296" i="1"/>
  <c r="AA1296" i="1" s="1"/>
  <c r="G1332" i="1"/>
  <c r="V1332" i="1" s="1"/>
  <c r="G1408" i="1"/>
  <c r="V1408" i="1" s="1"/>
  <c r="G1419" i="1"/>
  <c r="U1419" i="1" s="1"/>
  <c r="G1423" i="1"/>
  <c r="W1423" i="1" s="1"/>
  <c r="G1435" i="1"/>
  <c r="AA1435" i="1" s="1"/>
  <c r="G1439" i="1"/>
  <c r="AD1439" i="1" s="1"/>
  <c r="G1483" i="1"/>
  <c r="W1483" i="1" s="1"/>
  <c r="G1501" i="1"/>
  <c r="V1501" i="1" s="1"/>
  <c r="G1505" i="1"/>
  <c r="U1505" i="1" s="1"/>
  <c r="G1508" i="1"/>
  <c r="V1508" i="1" s="1"/>
  <c r="G1539" i="1"/>
  <c r="V1539" i="1" s="1"/>
  <c r="G1555" i="1"/>
  <c r="AA1555" i="1" s="1"/>
  <c r="G1559" i="1"/>
  <c r="G1578" i="1"/>
  <c r="V1578" i="1" s="1"/>
  <c r="G480" i="1"/>
  <c r="AA480" i="1" s="1"/>
  <c r="G852" i="1"/>
  <c r="V852" i="1" s="1"/>
  <c r="G998" i="1"/>
  <c r="AA998" i="1" s="1"/>
  <c r="G1136" i="1"/>
  <c r="U1136" i="1" s="1"/>
  <c r="G1040" i="1"/>
  <c r="G1094" i="1"/>
  <c r="AA1094" i="1" s="1"/>
  <c r="G1431" i="1"/>
  <c r="V1431" i="1" s="1"/>
  <c r="G70" i="1"/>
  <c r="G537" i="1"/>
  <c r="V537" i="1" s="1"/>
  <c r="G614" i="1"/>
  <c r="W614" i="1" s="1"/>
  <c r="G626" i="1"/>
  <c r="U626" i="1" s="1"/>
  <c r="G953" i="1"/>
  <c r="AA953" i="1" s="1"/>
  <c r="G961" i="1"/>
  <c r="V961" i="1" s="1"/>
  <c r="G964" i="1"/>
  <c r="AA964" i="1" s="1"/>
  <c r="G44" i="1"/>
  <c r="W44" i="1" s="1"/>
  <c r="G76" i="1"/>
  <c r="AA76" i="1" s="1"/>
  <c r="G563" i="1"/>
  <c r="AA563" i="1" s="1"/>
  <c r="G574" i="1"/>
  <c r="U574" i="1" s="1"/>
  <c r="G578" i="1"/>
  <c r="AA578" i="1" s="1"/>
  <c r="G601" i="1"/>
  <c r="AA601" i="1" s="1"/>
  <c r="G624" i="1"/>
  <c r="V624" i="1" s="1"/>
  <c r="G671" i="1"/>
  <c r="AA671" i="1" s="1"/>
  <c r="G759" i="1"/>
  <c r="V759" i="1" s="1"/>
  <c r="G947" i="1"/>
  <c r="V947" i="1" s="1"/>
  <c r="G951" i="1"/>
  <c r="W951" i="1" s="1"/>
  <c r="G959" i="1"/>
  <c r="X959" i="1" s="1"/>
  <c r="G970" i="1"/>
  <c r="V970" i="1" s="1"/>
  <c r="G974" i="1"/>
  <c r="V974" i="1" s="1"/>
  <c r="G990" i="1"/>
  <c r="W990" i="1" s="1"/>
  <c r="G571" i="1"/>
  <c r="V571" i="1" s="1"/>
  <c r="G581" i="1"/>
  <c r="AD581" i="1" s="1"/>
  <c r="G788" i="1"/>
  <c r="V788" i="1" s="1"/>
  <c r="G950" i="1"/>
  <c r="AA950" i="1" s="1"/>
  <c r="G956" i="1"/>
  <c r="AA956" i="1" s="1"/>
  <c r="G962" i="1"/>
  <c r="V962" i="1" s="1"/>
  <c r="G971" i="1"/>
  <c r="V971" i="1" s="1"/>
  <c r="G976" i="1"/>
  <c r="V976" i="1" s="1"/>
  <c r="G989" i="1"/>
  <c r="V989" i="1" s="1"/>
  <c r="G1249" i="1"/>
  <c r="V1249" i="1" s="1"/>
  <c r="G1279" i="1"/>
  <c r="AA1279" i="1" s="1"/>
  <c r="G1326" i="1"/>
  <c r="V1326" i="1" s="1"/>
  <c r="G1413" i="1"/>
  <c r="U1413" i="1" s="1"/>
  <c r="G1469" i="1"/>
  <c r="V1469" i="1" s="1"/>
  <c r="G529" i="1"/>
  <c r="V529" i="1" s="1"/>
  <c r="G617" i="1"/>
  <c r="V617" i="1" s="1"/>
  <c r="G948" i="1"/>
  <c r="V948" i="1" s="1"/>
  <c r="G958" i="1"/>
  <c r="AA958" i="1" s="1"/>
  <c r="G968" i="1"/>
  <c r="AA968" i="1" s="1"/>
  <c r="G1036" i="1"/>
  <c r="V1036" i="1" s="1"/>
  <c r="G1241" i="1"/>
  <c r="V1241" i="1" s="1"/>
  <c r="G1245" i="1"/>
  <c r="W1245" i="1" s="1"/>
  <c r="G1328" i="1"/>
  <c r="W1328" i="1" s="1"/>
  <c r="G1412" i="1"/>
  <c r="V1412" i="1" s="1"/>
  <c r="G1427" i="1"/>
  <c r="V1427" i="1" s="1"/>
  <c r="G1463" i="1"/>
  <c r="Z1463" i="1" s="1"/>
  <c r="G1551" i="1"/>
  <c r="AA1551" i="1" s="1"/>
  <c r="G1676" i="1"/>
  <c r="AD1676" i="1" s="1"/>
  <c r="G1553" i="1"/>
  <c r="V1553" i="1" s="1"/>
  <c r="G1448" i="1"/>
  <c r="X1448" i="1" s="1"/>
  <c r="G1039" i="1"/>
  <c r="U1039" i="1" s="1"/>
  <c r="G965" i="1"/>
  <c r="AA965" i="1" s="1"/>
  <c r="G1624" i="1"/>
  <c r="W1624" i="1" s="1"/>
  <c r="G1506" i="1"/>
  <c r="V1506" i="1" s="1"/>
  <c r="G1446" i="1"/>
  <c r="U1446" i="1" s="1"/>
  <c r="G1232" i="1"/>
  <c r="U1232" i="1" s="1"/>
  <c r="G993" i="1"/>
  <c r="G975" i="1"/>
  <c r="V975" i="1" s="1"/>
  <c r="G967" i="1"/>
  <c r="V967" i="1" s="1"/>
  <c r="G550" i="1"/>
  <c r="V550" i="1" s="1"/>
</calcChain>
</file>

<file path=xl/sharedStrings.xml><?xml version="1.0" encoding="utf-8"?>
<sst xmlns="http://schemas.openxmlformats.org/spreadsheetml/2006/main" count="12745" uniqueCount="4081">
  <si>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</si>
  <si>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</si>
  <si>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</si>
  <si>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</si>
  <si>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</si>
  <si>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</si>
  <si>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</si>
  <si>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</si>
  <si>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</si>
  <si>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</si>
  <si>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</si>
  <si>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</si>
  <si>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</si>
  <si>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</si>
  <si>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</si>
  <si>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</si>
  <si>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</si>
  <si>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</si>
  <si>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</si>
  <si>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</si>
  <si>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</si>
  <si>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</si>
  <si>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</si>
  <si>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</si>
  <si>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</si>
  <si>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</si>
  <si>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</si>
  <si>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</si>
  <si>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</si>
  <si>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</si>
  <si>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</si>
  <si>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</si>
  <si>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</si>
  <si>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</si>
  <si>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</si>
  <si>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</si>
  <si>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</si>
  <si>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</si>
  <si>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</si>
  <si>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</si>
  <si>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</si>
  <si>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</si>
  <si>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</si>
  <si>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</si>
  <si>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</si>
  <si>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</si>
  <si>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</si>
  <si>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</si>
  <si>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</si>
  <si>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</si>
  <si>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</si>
  <si>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</si>
  <si>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</si>
  <si>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</si>
  <si>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</si>
  <si>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</si>
  <si>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</si>
  <si>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</si>
  <si>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</si>
  <si>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</si>
  <si>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</si>
  <si>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</si>
  <si>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</si>
  <si>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</si>
  <si>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</si>
  <si>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</si>
  <si>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</si>
  <si>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</si>
  <si>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</si>
  <si>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</si>
  <si>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</si>
  <si>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</si>
  <si>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</si>
  <si>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</si>
  <si>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</si>
  <si>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</si>
  <si>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</si>
  <si>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</si>
  <si>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</si>
  <si>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</si>
  <si>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</si>
  <si>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</si>
  <si>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</si>
  <si>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</si>
  <si>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</si>
  <si>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</si>
  <si>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</si>
  <si>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</si>
  <si>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</si>
  <si>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</si>
  <si>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</si>
  <si>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</si>
  <si>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</si>
  <si>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</si>
  <si>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</si>
  <si>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</si>
  <si>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</si>
  <si>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</si>
  <si>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</si>
  <si>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</si>
  <si>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</si>
  <si>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</si>
  <si>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</si>
  <si>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</si>
  <si>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</si>
  <si>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</si>
  <si>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</si>
  <si>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</si>
  <si>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</si>
  <si>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</si>
  <si>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</si>
  <si>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</si>
  <si>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</si>
  <si>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</si>
  <si>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</si>
  <si>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</si>
  <si>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</si>
  <si>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</si>
  <si>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</si>
  <si>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</si>
  <si>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</si>
  <si>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</si>
  <si>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</si>
  <si>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</si>
  <si>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</si>
  <si>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</si>
  <si>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</si>
  <si>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</si>
  <si>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</si>
  <si>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</si>
  <si>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</si>
  <si>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</si>
  <si>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</si>
  <si>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</si>
  <si>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</si>
  <si>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</si>
  <si>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</si>
  <si>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</si>
  <si>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</si>
  <si>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</si>
  <si>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</si>
  <si>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</si>
  <si>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</si>
  <si>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</si>
  <si>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</si>
  <si>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</si>
  <si>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</si>
  <si>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</si>
  <si>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</si>
  <si>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</si>
  <si>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</si>
  <si>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</si>
  <si>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</si>
  <si>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</si>
  <si>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</si>
  <si>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</si>
  <si>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</si>
  <si>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</si>
  <si>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</si>
  <si>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</si>
  <si>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</si>
  <si>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</si>
  <si>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</si>
  <si>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</si>
  <si>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</si>
  <si>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</si>
  <si>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</si>
  <si>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</si>
  <si>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</si>
  <si>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</si>
  <si>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</si>
  <si>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</si>
  <si>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</si>
  <si>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</si>
  <si>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</si>
  <si>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</si>
  <si>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</si>
  <si>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</si>
  <si>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</si>
  <si>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</si>
  <si>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</si>
  <si>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</si>
  <si>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</si>
  <si>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</si>
  <si>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</si>
  <si>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</si>
  <si>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</si>
  <si>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</si>
  <si>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</si>
  <si>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</si>
  <si>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</si>
  <si>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</si>
  <si>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</si>
  <si>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</si>
  <si>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</si>
  <si>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</si>
  <si>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</si>
  <si>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</si>
  <si>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</si>
  <si>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</si>
  <si>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</si>
  <si>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</si>
  <si>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</si>
  <si>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</si>
  <si>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</si>
  <si>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</si>
  <si>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</si>
  <si>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</si>
  <si>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</si>
  <si>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</si>
  <si>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</si>
  <si>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</si>
  <si>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</si>
  <si>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</si>
  <si>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</si>
  <si>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</si>
  <si>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</si>
  <si>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</si>
  <si>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</si>
  <si>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</si>
  <si>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</si>
  <si>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</si>
  <si>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</si>
  <si>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</si>
  <si>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</si>
  <si>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</si>
  <si>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</si>
  <si>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</si>
  <si>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</si>
  <si>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</si>
  <si>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</si>
  <si>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</si>
  <si>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</si>
  <si>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</si>
  <si>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</si>
  <si>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</si>
  <si>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</si>
  <si>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</si>
  <si>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</si>
  <si>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</si>
  <si>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</si>
  <si>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</si>
  <si>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</si>
  <si>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</si>
  <si>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</si>
  <si>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</si>
  <si>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</si>
  <si>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</si>
  <si>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</si>
  <si>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</si>
  <si>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</si>
  <si>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</si>
  <si>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</si>
  <si>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</si>
  <si>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</si>
  <si>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</si>
  <si>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</si>
  <si>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</si>
  <si>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</si>
  <si>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</si>
  <si>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</si>
  <si>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</si>
  <si>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</si>
  <si>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</si>
  <si>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</si>
  <si>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</si>
  <si>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</si>
  <si>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</si>
  <si>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</si>
  <si>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</si>
  <si>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</si>
  <si>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</si>
  <si>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</si>
  <si>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</si>
  <si>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</si>
  <si>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</si>
  <si>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</si>
  <si>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</si>
  <si>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</si>
  <si>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</si>
  <si>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</si>
  <si>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</si>
  <si>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</si>
  <si>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</si>
  <si>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</si>
  <si>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</si>
  <si>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</si>
  <si>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</si>
  <si>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</si>
  <si>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</si>
  <si>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</si>
  <si>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</si>
  <si>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</si>
  <si>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</si>
  <si>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</si>
  <si>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</si>
  <si>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</si>
  <si>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</si>
  <si>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</si>
  <si>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</si>
  <si>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</si>
  <si>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</si>
  <si>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</si>
  <si>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</si>
  <si>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</si>
  <si>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</si>
  <si>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</si>
  <si>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</si>
  <si>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</si>
  <si>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</si>
  <si>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</si>
  <si>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</si>
  <si>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</si>
  <si>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</si>
  <si>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</si>
  <si>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</si>
  <si>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</si>
  <si>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</si>
  <si>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</si>
  <si>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</si>
  <si>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</si>
  <si>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</si>
  <si>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</si>
  <si>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</si>
  <si>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</si>
  <si>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</si>
  <si>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</si>
  <si>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</si>
  <si>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</si>
  <si>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</si>
  <si>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</si>
  <si>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</si>
  <si>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</si>
  <si>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</si>
  <si>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</si>
  <si>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</si>
  <si>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</si>
  <si>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</si>
  <si>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</si>
  <si>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</si>
  <si>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</si>
  <si>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</si>
  <si>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</si>
  <si>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</si>
  <si>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</si>
  <si>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</si>
  <si>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</si>
  <si>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</si>
  <si>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</si>
  <si>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</si>
  <si>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</si>
  <si>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</si>
  <si>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</si>
  <si>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</si>
  <si>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</si>
  <si>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</si>
  <si>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</si>
  <si>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</si>
  <si>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</si>
  <si>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</si>
  <si>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</si>
  <si>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</si>
  <si>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</si>
  <si>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</si>
  <si>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</si>
  <si>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</si>
  <si>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</si>
  <si>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</si>
  <si>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</si>
  <si>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</si>
  <si>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</si>
  <si>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</si>
  <si>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</si>
  <si>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</si>
  <si>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</si>
  <si>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</si>
  <si>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</si>
  <si>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</si>
  <si>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</si>
  <si>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</si>
  <si>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</si>
  <si>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</si>
  <si>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</si>
  <si>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</si>
  <si>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</si>
  <si>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</si>
  <si>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</si>
  <si>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</si>
  <si>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</si>
  <si>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</si>
  <si>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</si>
  <si>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</si>
  <si>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</si>
  <si>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</si>
  <si>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</si>
  <si>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</si>
  <si>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</si>
  <si>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</si>
  <si>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</si>
  <si>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</si>
  <si>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</si>
  <si>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</si>
  <si>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</si>
  <si>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</si>
  <si>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</si>
  <si>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</si>
  <si>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</si>
  <si>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</si>
  <si>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</si>
  <si>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</si>
  <si>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</si>
  <si>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</si>
  <si>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</si>
  <si>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</si>
  <si>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</si>
  <si>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</si>
  <si>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</si>
  <si>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</si>
  <si>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</si>
  <si>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</si>
  <si>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</si>
  <si>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</si>
  <si>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</si>
  <si>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</si>
  <si>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</si>
  <si>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</si>
  <si>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</si>
  <si>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</si>
  <si>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</si>
  <si>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</si>
  <si>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</si>
  <si>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</si>
  <si>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</si>
  <si>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</si>
  <si>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</si>
  <si>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</si>
  <si>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</si>
  <si>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</si>
  <si>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</si>
  <si>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</si>
  <si>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</si>
  <si>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</si>
  <si>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</si>
  <si>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</si>
  <si>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</si>
  <si>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</si>
  <si>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</si>
  <si>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</si>
  <si>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</si>
  <si>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</si>
  <si>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</si>
  <si>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</si>
  <si>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</si>
  <si>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</si>
  <si>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</si>
  <si>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</si>
  <si>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</si>
  <si>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</si>
  <si>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</si>
  <si>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</si>
  <si>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</si>
  <si>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</si>
  <si>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</si>
  <si>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</si>
  <si>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</si>
  <si>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</si>
  <si>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</si>
  <si>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</si>
  <si>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</si>
  <si>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</si>
  <si>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</si>
  <si>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</si>
  <si>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</si>
  <si>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</si>
  <si>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</si>
  <si>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</si>
  <si>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</si>
  <si>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</si>
  <si>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</si>
  <si>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</si>
  <si>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</si>
  <si>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</si>
  <si>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</si>
  <si>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</si>
  <si>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</si>
  <si>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</si>
  <si>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</si>
  <si>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</si>
  <si>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</si>
  <si>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</si>
  <si>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</si>
  <si>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</si>
  <si>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</si>
  <si>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</si>
  <si>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</si>
  <si>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</si>
  <si>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</si>
  <si>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</si>
  <si>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</si>
  <si>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</si>
  <si>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</si>
  <si>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</si>
  <si>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</si>
  <si>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</si>
  <si>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</si>
  <si>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</si>
  <si>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</si>
  <si>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</si>
  <si>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</si>
  <si>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</si>
  <si>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</si>
  <si>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</si>
  <si>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</si>
  <si>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</si>
  <si>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</si>
  <si>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</si>
  <si>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</si>
  <si>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</si>
  <si>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</si>
  <si>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</si>
  <si>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</si>
  <si>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</si>
  <si>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</si>
  <si>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</si>
  <si>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</si>
  <si>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</si>
  <si>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</si>
  <si>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</si>
  <si>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</si>
  <si>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</si>
  <si>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</si>
  <si>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</si>
  <si>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</si>
  <si>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</si>
  <si>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</si>
  <si>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</si>
  <si>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</si>
  <si>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</si>
  <si>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</si>
  <si>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</si>
  <si>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</si>
  <si>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</si>
  <si>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</si>
  <si>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</si>
  <si>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</si>
  <si>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</si>
  <si>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</si>
  <si>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</si>
  <si>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</si>
  <si>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</si>
  <si>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</si>
  <si>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</si>
  <si>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</si>
  <si>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</si>
  <si>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</si>
  <si>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</si>
  <si>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</si>
  <si>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</si>
  <si>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</si>
  <si>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</si>
  <si>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</si>
  <si>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</si>
  <si>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</si>
  <si>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</si>
  <si>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</si>
  <si>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</si>
  <si>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</si>
  <si>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</si>
  <si>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</si>
  <si>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</si>
  <si>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</si>
  <si>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</si>
  <si>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</si>
  <si>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</si>
  <si>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</si>
  <si>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</si>
  <si>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</si>
  <si>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</si>
  <si>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</si>
  <si>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</si>
  <si>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</si>
  <si>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</si>
  <si>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</si>
  <si>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</si>
  <si>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</si>
  <si>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</si>
  <si>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</si>
  <si>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</si>
  <si>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</si>
  <si>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</si>
  <si>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</si>
  <si>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</si>
  <si>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</si>
  <si>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</si>
  <si>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</si>
  <si>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</si>
  <si>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</si>
  <si>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</si>
  <si>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</si>
  <si>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</si>
  <si>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</si>
  <si>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</si>
  <si>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</si>
  <si>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</si>
  <si>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</si>
  <si>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</si>
  <si>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</si>
  <si>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</si>
  <si>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</si>
  <si>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</si>
  <si>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</si>
  <si>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</si>
  <si>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</si>
  <si>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</si>
  <si>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</si>
  <si>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</si>
  <si>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</si>
  <si>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</si>
  <si>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</si>
  <si>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</si>
  <si>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</si>
  <si>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</si>
  <si>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</si>
  <si>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</si>
  <si>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</si>
  <si>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</si>
  <si>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</si>
  <si>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</si>
  <si>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</si>
  <si>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</si>
  <si>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</si>
  <si>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</si>
  <si>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</si>
  <si>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</si>
  <si>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</si>
  <si>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</si>
  <si>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</si>
  <si>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</si>
  <si>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</si>
  <si>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</si>
  <si>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</si>
  <si>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</si>
  <si>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</si>
  <si>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</si>
  <si>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</si>
  <si>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</si>
  <si>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</si>
  <si>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</si>
  <si>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</si>
  <si>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</si>
  <si>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</si>
  <si>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</si>
  <si>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</si>
  <si>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</si>
  <si>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</si>
  <si>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</si>
  <si>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</si>
  <si>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</si>
  <si>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</si>
  <si>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</si>
  <si>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</si>
  <si>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</si>
  <si>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</si>
  <si>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</si>
  <si>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</si>
  <si>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</si>
  <si>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</si>
  <si>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</si>
  <si>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</si>
  <si>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</si>
  <si>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</si>
  <si>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</si>
  <si>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</si>
  <si>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</si>
  <si>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</si>
  <si>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</si>
  <si>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</si>
  <si>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</si>
  <si>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</si>
  <si>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</si>
  <si>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</si>
  <si>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</si>
  <si>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</si>
  <si>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</si>
  <si>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</si>
  <si>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</si>
  <si>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</si>
  <si>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</si>
  <si>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</si>
  <si>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</si>
  <si>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</si>
  <si>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</si>
  <si>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</si>
  <si>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</si>
  <si>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</si>
  <si>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</si>
  <si>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</si>
  <si>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</si>
  <si>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</si>
  <si>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</si>
  <si>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</si>
  <si>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</si>
  <si>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</si>
  <si>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</si>
  <si>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</si>
  <si>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</si>
  <si>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</si>
  <si>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</si>
  <si>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</si>
  <si>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</si>
  <si>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</si>
  <si>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</si>
  <si>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</si>
  <si>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</si>
  <si>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</si>
  <si>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</si>
  <si>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</si>
  <si>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</si>
  <si>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</si>
  <si>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</si>
  <si>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</si>
  <si>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</si>
  <si>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</si>
  <si>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</si>
  <si>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</si>
  <si>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</si>
  <si>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</si>
  <si>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</si>
  <si>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</si>
  <si>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</si>
  <si>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</si>
  <si>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</si>
  <si>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</si>
  <si>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</si>
  <si>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</si>
  <si>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</si>
  <si>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</si>
  <si>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</si>
  <si>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</si>
  <si>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</si>
  <si>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</si>
  <si>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</si>
  <si>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</si>
  <si>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</si>
  <si>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</si>
  <si>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</si>
  <si>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</si>
  <si>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</si>
  <si>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</si>
  <si>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</si>
  <si>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</si>
  <si>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</si>
  <si>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</si>
  <si>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</si>
  <si>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</si>
  <si>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</si>
  <si>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</si>
  <si>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</si>
  <si>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</si>
  <si>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</si>
  <si>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</si>
  <si>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</si>
  <si>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</si>
  <si>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</si>
  <si>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</si>
  <si>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</si>
  <si>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</si>
  <si>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</si>
  <si>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</si>
  <si>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</si>
  <si>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</si>
  <si>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</si>
  <si>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</si>
  <si>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</si>
  <si>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</si>
  <si>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</si>
  <si>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</si>
  <si>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</si>
  <si>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</si>
  <si>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</si>
  <si>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</si>
  <si>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</si>
  <si>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</si>
  <si>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</si>
  <si>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</si>
  <si>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</si>
  <si>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</si>
  <si>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</si>
  <si>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</si>
  <si>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</si>
  <si>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</si>
  <si>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</si>
  <si>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</si>
  <si>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</si>
  <si>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</si>
  <si>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</si>
  <si>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</si>
  <si>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</si>
  <si>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</si>
  <si>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</si>
  <si>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</si>
  <si>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</si>
  <si>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</si>
  <si>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</si>
  <si>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</si>
  <si>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</si>
  <si>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</si>
  <si>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</si>
  <si>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</si>
  <si>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</si>
  <si>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</si>
  <si>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</si>
  <si>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</si>
  <si>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</si>
  <si>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</si>
  <si>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</si>
  <si>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</si>
  <si>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</si>
  <si>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</si>
  <si>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</si>
  <si>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</si>
  <si>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</si>
  <si>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</si>
  <si>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</si>
  <si>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</si>
  <si>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</si>
  <si>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</si>
  <si>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</si>
  <si>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</si>
  <si>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</si>
  <si>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</si>
  <si>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</si>
  <si>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</si>
  <si>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</si>
  <si>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</si>
  <si>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</si>
  <si>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</si>
  <si>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</si>
  <si>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</si>
  <si>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</si>
  <si>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</si>
  <si>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</si>
  <si>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</si>
  <si>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</si>
  <si>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</si>
  <si>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</si>
  <si>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</si>
  <si>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</si>
  <si>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</si>
  <si>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</si>
  <si>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</si>
  <si>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</si>
  <si>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</si>
  <si>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</si>
  <si>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</si>
  <si>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</si>
  <si>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</si>
  <si>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</si>
  <si>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</si>
  <si>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</si>
  <si>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</si>
  <si>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</si>
  <si>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</si>
  <si>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</si>
  <si>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</si>
  <si>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</si>
  <si>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</si>
  <si>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</si>
  <si>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</si>
  <si>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</si>
  <si>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</si>
  <si>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</si>
  <si>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</si>
  <si>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</si>
  <si>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</si>
  <si>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</si>
  <si>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</si>
  <si>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</si>
  <si>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</si>
  <si>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</si>
  <si>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</si>
  <si>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</si>
  <si>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</si>
  <si>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</si>
  <si>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</si>
  <si>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</si>
  <si>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</si>
  <si>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</si>
  <si>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</si>
  <si>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</si>
  <si>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</si>
  <si>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</si>
  <si>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</si>
  <si>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</si>
  <si>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</si>
  <si>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</si>
  <si>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</si>
  <si>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</si>
  <si>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</si>
  <si>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</si>
  <si>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</si>
  <si>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</si>
  <si>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</si>
  <si>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</si>
  <si>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</si>
  <si>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</si>
  <si>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</si>
  <si>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</si>
  <si>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</si>
  <si>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</si>
  <si>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</si>
  <si>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</si>
  <si>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</si>
  <si>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</si>
  <si>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</si>
  <si>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</si>
  <si>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</si>
  <si>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</si>
  <si>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</si>
  <si>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</si>
  <si>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</si>
  <si>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</si>
  <si>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</si>
  <si>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</si>
  <si>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</si>
  <si>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</si>
  <si>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</si>
  <si>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</si>
  <si>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</si>
  <si>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</si>
  <si>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</si>
  <si>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</si>
  <si>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</si>
  <si>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</si>
  <si>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</si>
  <si>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</si>
  <si>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</si>
  <si>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</si>
  <si>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</si>
  <si>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</si>
  <si>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</si>
  <si>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</si>
  <si>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</si>
  <si>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</si>
  <si>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</si>
  <si>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</si>
  <si>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</si>
  <si>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</si>
  <si>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</si>
  <si>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</si>
  <si>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</si>
  <si>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</si>
  <si>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</si>
  <si>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</si>
  <si>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</si>
  <si>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</si>
  <si>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</si>
  <si>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</si>
  <si>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</si>
  <si>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</si>
  <si>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</si>
  <si>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</si>
  <si>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</si>
  <si>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</si>
  <si>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</si>
  <si>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</si>
  <si>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</si>
  <si>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</si>
  <si>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</si>
  <si>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</si>
  <si>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</si>
  <si>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</si>
  <si>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</si>
  <si>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</si>
  <si>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</si>
  <si>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</si>
  <si>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</si>
  <si>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</si>
  <si>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</si>
  <si>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</si>
  <si>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</si>
  <si>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</si>
  <si>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</si>
  <si>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</si>
  <si>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</si>
  <si>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</si>
  <si>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</si>
  <si>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</si>
  <si>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</si>
  <si>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</si>
  <si>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</si>
  <si>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</si>
  <si>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</si>
  <si>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</si>
  <si>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</si>
  <si>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</si>
  <si>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</si>
  <si>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</si>
  <si>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</si>
  <si>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</si>
  <si>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</si>
  <si>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</si>
  <si>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</si>
  <si>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</si>
  <si>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</si>
  <si>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</si>
  <si>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</si>
  <si>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</si>
  <si>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</si>
  <si>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</si>
  <si>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</si>
  <si>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</si>
  <si>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</si>
  <si>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</si>
  <si>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</si>
  <si>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</si>
  <si>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</si>
  <si>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</si>
  <si>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</si>
  <si>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</si>
  <si>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</si>
  <si>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</si>
  <si>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</si>
  <si>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</si>
  <si>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</si>
  <si>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</si>
  <si>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</si>
  <si>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</si>
  <si>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</si>
  <si>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</si>
  <si>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</si>
  <si>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</si>
  <si>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</si>
  <si>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</si>
  <si>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</si>
  <si>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</si>
  <si>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</si>
  <si>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</si>
  <si>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</si>
  <si>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</si>
  <si>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</si>
  <si>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</si>
  <si>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</si>
  <si>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</si>
  <si>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</si>
  <si>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</si>
  <si>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</si>
  <si>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</si>
  <si>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</si>
  <si>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</si>
  <si>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</si>
  <si>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</si>
  <si>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</si>
  <si>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</si>
  <si>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</si>
  <si>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</si>
  <si>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</si>
  <si>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</si>
  <si>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</si>
  <si>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</si>
  <si>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</si>
  <si>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</si>
  <si>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</si>
  <si>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</si>
  <si>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</si>
  <si>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</si>
  <si>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</si>
  <si>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</si>
  <si>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</si>
  <si>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</si>
  <si>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</si>
  <si>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</si>
  <si>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</si>
  <si>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</si>
  <si>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</si>
  <si>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</si>
  <si>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</si>
  <si>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</si>
  <si>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</si>
  <si>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</si>
  <si>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</si>
  <si>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</si>
  <si>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</si>
  <si>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</si>
  <si>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</si>
  <si>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</si>
  <si>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</si>
  <si>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</si>
  <si>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</si>
  <si>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</si>
  <si>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</si>
  <si>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</si>
  <si>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</si>
  <si>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</si>
  <si>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</si>
  <si>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</si>
  <si>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</si>
  <si>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</si>
  <si>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</si>
  <si>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</si>
  <si>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</si>
  <si>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</si>
  <si>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</si>
  <si>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</si>
  <si>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</si>
  <si>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</si>
  <si>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</si>
  <si>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</si>
  <si>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</si>
  <si>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</si>
  <si>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</si>
  <si>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</si>
  <si>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</si>
  <si>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</si>
  <si>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</si>
  <si>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</si>
  <si>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</si>
  <si>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</si>
  <si>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</si>
  <si>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</si>
  <si>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</si>
  <si>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</si>
  <si>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</si>
  <si>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</si>
  <si>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</si>
  <si>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</si>
  <si>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</si>
  <si>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</si>
  <si>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</si>
  <si>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</si>
  <si>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</si>
  <si>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</si>
  <si>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</si>
  <si>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</si>
  <si>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</si>
  <si>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</si>
  <si>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</si>
  <si>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</si>
  <si>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</si>
  <si>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</si>
  <si>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</si>
  <si>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</si>
  <si>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</si>
  <si>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</si>
  <si>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</si>
  <si>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</si>
  <si>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</si>
  <si>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</si>
  <si>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</si>
  <si>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</si>
  <si>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</si>
  <si>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</si>
  <si>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</si>
  <si>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</si>
  <si>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</si>
  <si>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</si>
  <si>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</si>
  <si>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</si>
  <si>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</si>
  <si>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</si>
  <si>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</si>
  <si>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</si>
  <si>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</si>
  <si>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</si>
  <si>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</si>
  <si>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</si>
  <si>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</si>
  <si>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</si>
  <si>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</si>
  <si>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</si>
  <si>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</si>
  <si>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</si>
  <si>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</si>
  <si>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</si>
  <si>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</si>
  <si>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</si>
  <si>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</si>
  <si>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</si>
  <si>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</si>
  <si>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</si>
  <si>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</si>
  <si>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</si>
  <si>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</si>
  <si>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</si>
  <si>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</si>
  <si>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</si>
  <si>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</si>
  <si>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</si>
  <si>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</si>
  <si>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</si>
  <si>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</si>
  <si>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</si>
  <si>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</si>
  <si>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</si>
  <si>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</si>
  <si>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</si>
  <si>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</si>
  <si>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</si>
  <si>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</si>
  <si>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</si>
  <si>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</si>
  <si>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</si>
  <si>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</si>
  <si>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</si>
  <si>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</si>
  <si>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</si>
  <si>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</si>
  <si>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</si>
  <si>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</si>
  <si>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</si>
  <si>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</si>
  <si>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</si>
  <si>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</si>
  <si>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</si>
  <si>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</si>
  <si>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</si>
  <si>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</si>
  <si>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</si>
  <si>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</si>
  <si>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</si>
  <si>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</si>
  <si>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</si>
  <si>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</si>
  <si>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</si>
  <si>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</si>
  <si>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</si>
  <si>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</si>
  <si>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</si>
  <si>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</si>
  <si>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</si>
  <si>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</si>
  <si>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</si>
  <si>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</si>
  <si>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</si>
  <si>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</si>
  <si>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</si>
  <si>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</si>
  <si>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</si>
  <si>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</si>
  <si>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</si>
  <si>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</si>
  <si>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</si>
  <si>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</si>
  <si>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</si>
  <si>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</si>
  <si>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</si>
  <si>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</si>
  <si>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</si>
  <si>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</si>
  <si>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</si>
  <si>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</si>
  <si>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</si>
  <si>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</si>
  <si>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</si>
  <si>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</si>
  <si>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</si>
  <si>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</si>
  <si>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</si>
  <si>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</si>
  <si>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</si>
  <si>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</si>
  <si>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</si>
  <si>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</si>
  <si>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</si>
  <si>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</si>
  <si>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</si>
  <si>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</si>
  <si>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</si>
  <si>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</si>
  <si>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</si>
  <si>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</si>
  <si>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</si>
  <si>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</si>
  <si>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</si>
  <si>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</si>
  <si>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</si>
  <si>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</si>
  <si>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</si>
  <si>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</si>
  <si>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</si>
  <si>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</si>
  <si>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</si>
  <si>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</si>
  <si>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</si>
  <si>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</si>
  <si>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</si>
  <si>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</si>
  <si>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</si>
  <si>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</si>
  <si>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</si>
  <si>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</si>
  <si>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</si>
  <si>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</si>
  <si>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</si>
  <si>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</si>
  <si>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</si>
  <si>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</si>
  <si>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</si>
  <si>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</si>
  <si>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</si>
  <si>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</si>
  <si>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</si>
  <si>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</si>
  <si>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</si>
  <si>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</si>
  <si>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</si>
  <si>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</si>
  <si>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</si>
  <si>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</si>
  <si>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</si>
  <si>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</si>
  <si>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</si>
  <si>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</si>
  <si>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</si>
  <si>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</si>
  <si>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</si>
  <si>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</si>
  <si>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</si>
  <si>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</si>
  <si>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</si>
  <si>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</si>
  <si>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</si>
  <si>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</si>
  <si>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</si>
  <si>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</si>
  <si>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</si>
  <si>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</si>
  <si>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</si>
  <si>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</si>
  <si>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</si>
  <si>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</si>
  <si>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</si>
  <si>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</si>
  <si>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</si>
  <si>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</si>
  <si>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</si>
  <si>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</si>
  <si>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</si>
  <si>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</si>
  <si>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</si>
  <si>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</si>
  <si>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</si>
  <si>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</si>
  <si>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</si>
  <si>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</si>
  <si>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</si>
  <si>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</si>
  <si>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</si>
  <si>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</si>
  <si>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</si>
  <si>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</si>
  <si>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</si>
  <si>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</si>
  <si>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</si>
  <si>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</si>
  <si>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</si>
  <si>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</si>
  <si>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</si>
  <si>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</si>
  <si>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</si>
  <si>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</si>
  <si>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</si>
  <si>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</si>
  <si>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</si>
  <si>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</si>
  <si>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</si>
  <si>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</si>
  <si>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</si>
  <si>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</si>
  <si>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</si>
  <si>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</si>
  <si>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</si>
  <si>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</si>
  <si>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</si>
  <si>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</si>
  <si>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</si>
  <si>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</si>
  <si>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</si>
  <si>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</si>
  <si>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</si>
  <si>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</si>
  <si>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</si>
  <si>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</si>
  <si>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</si>
  <si>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</si>
  <si>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</si>
  <si>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</si>
  <si>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</si>
  <si>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</si>
  <si>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</si>
  <si>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</si>
  <si>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</si>
  <si>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</si>
  <si>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</si>
  <si>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</si>
  <si>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</si>
  <si>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</si>
  <si>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</si>
  <si>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</si>
  <si>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</si>
  <si>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</si>
  <si>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</si>
  <si>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</si>
  <si>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</si>
  <si>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</si>
  <si>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</si>
  <si>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</si>
  <si>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</si>
  <si>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</si>
  <si>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</si>
  <si>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</si>
  <si>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</si>
  <si>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</si>
  <si>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</si>
  <si>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</si>
  <si>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</si>
  <si>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</si>
  <si>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</si>
  <si>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</si>
  <si>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</si>
  <si>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</si>
  <si>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</si>
  <si>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</si>
  <si>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</si>
  <si>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</si>
  <si>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</si>
  <si>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</si>
  <si>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</si>
  <si>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</si>
  <si>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</si>
  <si>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</si>
  <si>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</si>
  <si>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</si>
  <si>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</si>
  <si>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</si>
  <si>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</si>
  <si>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</si>
  <si>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</si>
  <si>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</si>
  <si>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</si>
  <si>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</si>
  <si>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</si>
  <si>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</si>
  <si>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</si>
  <si>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</si>
  <si>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</si>
  <si>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</si>
  <si>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</si>
  <si>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</si>
  <si>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</si>
  <si>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</si>
  <si>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</si>
  <si>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</si>
  <si>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</si>
  <si>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</si>
  <si>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</si>
  <si>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</si>
  <si>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</si>
  <si>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</si>
  <si>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</si>
  <si>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</si>
  <si>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</si>
  <si>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</si>
  <si>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</si>
  <si>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</si>
  <si>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</si>
  <si>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</si>
  <si>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</si>
  <si>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</si>
  <si>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</si>
  <si>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</si>
  <si>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</si>
  <si>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</si>
  <si>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</si>
  <si>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</si>
  <si>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</si>
  <si>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</si>
  <si>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</si>
  <si>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</si>
  <si>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</si>
  <si>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</si>
  <si>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</si>
  <si>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</si>
  <si>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</si>
  <si>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</si>
  <si>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</si>
  <si>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</si>
  <si>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</si>
  <si>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</si>
  <si>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</si>
  <si>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</si>
  <si>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</si>
  <si>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</si>
  <si>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</si>
  <si>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</si>
  <si>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</si>
  <si>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</si>
  <si>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</si>
  <si>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</si>
  <si>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</si>
  <si>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</si>
  <si>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</si>
  <si>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</si>
  <si>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</si>
  <si>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</si>
  <si>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</si>
  <si>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</si>
  <si>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</si>
  <si>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</si>
  <si>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</si>
  <si>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</si>
  <si>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</si>
  <si>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</si>
  <si>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</si>
  <si>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</si>
  <si>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</si>
  <si>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</si>
  <si>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</si>
  <si>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</si>
  <si>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</si>
  <si>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</si>
  <si>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</si>
  <si>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</si>
  <si>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</si>
  <si>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</si>
  <si>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</si>
  <si>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</si>
  <si>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</si>
  <si>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</si>
  <si>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</si>
  <si>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</si>
  <si>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</si>
  <si>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</si>
  <si>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</si>
  <si>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</si>
  <si>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</si>
  <si>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</si>
  <si>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</si>
  <si>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</si>
  <si>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</si>
  <si>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</si>
  <si>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</si>
  <si>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</si>
  <si>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</si>
  <si>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</si>
  <si>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</si>
  <si>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</si>
  <si>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</si>
  <si>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</si>
  <si>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</si>
  <si>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</si>
  <si>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</si>
  <si>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</si>
  <si>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</si>
  <si>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</si>
  <si>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</si>
  <si>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</si>
  <si>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</si>
  <si>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</si>
  <si>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</si>
  <si>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</si>
  <si>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</si>
  <si>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</si>
  <si>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</si>
  <si>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</si>
  <si>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</si>
  <si>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</si>
  <si>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</si>
  <si>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</si>
  <si>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</si>
  <si>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</si>
  <si>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</si>
  <si>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</si>
  <si>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</si>
  <si>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</si>
  <si>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</si>
  <si>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</si>
  <si>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</si>
  <si>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</si>
  <si>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</si>
  <si>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</si>
  <si>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</si>
  <si>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</si>
  <si>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</si>
  <si>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</si>
  <si>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</si>
  <si>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</si>
  <si>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</si>
  <si>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</si>
  <si>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</si>
  <si>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</si>
  <si>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</si>
  <si>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</si>
  <si>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</si>
  <si>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</si>
  <si>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</si>
  <si>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</si>
  <si>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</si>
  <si>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</si>
  <si>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</si>
  <si>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</si>
  <si>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</si>
  <si>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</si>
  <si>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</si>
  <si>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</si>
  <si>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</si>
  <si>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</si>
  <si>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</si>
  <si>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</si>
  <si>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</si>
  <si>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</si>
  <si>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</si>
  <si>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</si>
  <si>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</si>
  <si>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</si>
  <si>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</si>
  <si>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</si>
  <si>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</si>
  <si>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</si>
  <si>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</si>
  <si>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</si>
  <si>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</si>
  <si>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</si>
  <si>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</si>
  <si>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</si>
  <si>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</si>
  <si>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</si>
  <si>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</si>
  <si>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</si>
  <si>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</si>
  <si>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</si>
  <si>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</si>
  <si>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</si>
  <si>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</si>
  <si>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</si>
  <si>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</si>
  <si>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</si>
  <si>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</si>
  <si>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</si>
  <si>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</si>
  <si>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</si>
  <si>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</si>
  <si>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</si>
  <si>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</si>
  <si>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</si>
  <si>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</si>
  <si>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</si>
  <si>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</si>
  <si>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</si>
  <si>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</si>
  <si>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</si>
  <si>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</si>
  <si>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</si>
  <si>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</si>
  <si>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</si>
  <si>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</si>
  <si>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</si>
  <si>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</si>
  <si>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</si>
  <si>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</si>
  <si>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</si>
  <si>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</si>
  <si>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</si>
  <si>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</si>
  <si>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</si>
  <si>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</si>
  <si>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</si>
  <si>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</si>
  <si>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</si>
  <si>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</si>
  <si>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</si>
  <si>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</si>
  <si>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</si>
  <si>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</si>
  <si>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</si>
  <si>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</si>
  <si>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</si>
  <si>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</si>
  <si>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</si>
  <si>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</si>
  <si>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</si>
  <si>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</si>
  <si>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</si>
  <si>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</si>
  <si>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</si>
  <si>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</si>
  <si>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</si>
  <si>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</si>
  <si>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</si>
  <si>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</si>
  <si>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</si>
  <si>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</si>
  <si>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</si>
  <si>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</si>
  <si>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</si>
  <si>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</si>
  <si>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</si>
  <si>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</si>
  <si>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</si>
  <si>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</si>
  <si>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</si>
  <si>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</si>
  <si>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</si>
  <si>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</si>
  <si>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</si>
  <si>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</si>
  <si>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</si>
  <si>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</si>
  <si>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</si>
  <si>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</si>
  <si>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</si>
  <si>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</si>
  <si>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</si>
  <si>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</si>
  <si>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</si>
  <si>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</si>
  <si>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</si>
  <si>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</si>
  <si>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</si>
  <si>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</si>
  <si>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</si>
  <si>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</si>
  <si>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</si>
  <si>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</si>
  <si>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</si>
  <si>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</si>
  <si>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</si>
  <si>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</si>
  <si>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</si>
  <si>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</si>
  <si>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</si>
  <si>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</si>
  <si>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</si>
  <si>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</si>
  <si>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</si>
  <si>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</si>
  <si>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</si>
  <si>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</si>
  <si>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</si>
  <si>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</si>
  <si>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</si>
  <si>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</si>
  <si>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</si>
  <si>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</si>
  <si>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</si>
  <si>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</si>
  <si>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</si>
  <si>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</si>
  <si>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</si>
  <si>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</si>
  <si>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</si>
  <si>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</si>
  <si>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</si>
  <si>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</si>
  <si>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</si>
  <si>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</si>
  <si>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</si>
  <si>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</si>
  <si>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</si>
  <si>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</si>
  <si>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</si>
  <si>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</si>
  <si>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</si>
  <si>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</si>
  <si>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</si>
  <si>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</si>
  <si>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</si>
  <si>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</si>
  <si>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</si>
  <si>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</si>
  <si>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</si>
  <si>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</si>
  <si>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</si>
  <si>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</si>
  <si>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</si>
  <si>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</si>
  <si>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</si>
  <si>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</si>
  <si>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</si>
  <si>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</si>
  <si>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</si>
  <si>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</si>
  <si>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</si>
  <si>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</si>
  <si>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</si>
  <si>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</si>
  <si>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</si>
  <si>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</si>
  <si>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</si>
  <si>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</si>
  <si>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</si>
  <si>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</si>
  <si>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</si>
  <si>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</si>
  <si>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</si>
  <si>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</si>
  <si>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</si>
  <si>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</si>
  <si>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</si>
  <si>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</si>
  <si>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</si>
  <si>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</si>
  <si>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</si>
  <si>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</si>
  <si>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</si>
  <si>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</si>
  <si>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</si>
  <si>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</si>
  <si>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</si>
  <si>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</si>
  <si>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</si>
  <si>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</si>
  <si>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</si>
  <si>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</si>
  <si>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</si>
  <si>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</si>
  <si>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</si>
  <si>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</si>
  <si>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</si>
  <si>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</si>
  <si>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</si>
  <si>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</si>
  <si>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</si>
  <si>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</si>
  <si>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</si>
  <si>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</si>
  <si>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</si>
  <si>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</si>
  <si>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</si>
  <si>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</si>
  <si>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</si>
  <si>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</si>
  <si>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</si>
  <si>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</si>
  <si>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</si>
  <si>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</si>
  <si>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</si>
  <si>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</si>
  <si>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</si>
  <si>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</si>
  <si>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</si>
  <si>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</si>
  <si>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</si>
  <si>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</si>
  <si>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</si>
  <si>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</si>
  <si>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</si>
  <si>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</si>
  <si>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</si>
  <si>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</si>
  <si>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</si>
  <si>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</si>
  <si>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</si>
  <si>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</si>
  <si>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</si>
  <si>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</si>
  <si>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</si>
  <si>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</si>
  <si>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</si>
  <si>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</si>
  <si>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</si>
  <si>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</si>
  <si>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</si>
  <si>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</si>
  <si>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</si>
  <si>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</si>
  <si>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</si>
  <si>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</si>
  <si>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</si>
  <si>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</si>
  <si>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</si>
  <si>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</si>
  <si>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</si>
  <si>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</si>
  <si>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</si>
  <si>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</si>
  <si>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</si>
  <si>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</si>
  <si>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</si>
  <si>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</si>
  <si>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</si>
  <si>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</si>
  <si>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</si>
  <si>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</si>
  <si>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</si>
  <si>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</si>
  <si>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</si>
  <si>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</si>
  <si>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</si>
  <si>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</si>
  <si>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</si>
  <si>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</si>
  <si>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</si>
  <si>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</si>
  <si>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</si>
  <si>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</si>
  <si>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</si>
  <si>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</si>
  <si>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</si>
  <si>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</si>
  <si>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</si>
  <si>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</si>
  <si>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</si>
  <si>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</si>
  <si>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</si>
  <si>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</si>
  <si>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</si>
  <si>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</si>
  <si>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</si>
  <si>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</si>
  <si>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</si>
  <si>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</si>
  <si>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</si>
  <si>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</si>
  <si>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</si>
  <si>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</si>
  <si>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</si>
  <si>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</si>
  <si>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</si>
  <si>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</si>
  <si>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</si>
  <si>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</si>
  <si>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</si>
  <si>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</si>
  <si>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</si>
  <si>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</si>
  <si>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</si>
  <si>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</si>
  <si>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</si>
  <si>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</si>
  <si>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</si>
  <si>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</si>
  <si>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</si>
  <si>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</si>
  <si>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</si>
  <si>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</si>
  <si>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</si>
  <si>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</si>
  <si>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</si>
  <si>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</si>
  <si>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</si>
  <si>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</si>
  <si>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</si>
  <si>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</si>
  <si>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</si>
  <si>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</si>
  <si>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</si>
  <si>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</si>
  <si>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</si>
  <si>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</si>
  <si>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</si>
  <si>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</si>
  <si>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</si>
  <si>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</si>
  <si>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</si>
  <si>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</si>
  <si>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</si>
  <si>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</si>
  <si>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</si>
  <si>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</si>
  <si>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</si>
  <si>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</si>
  <si>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</si>
  <si>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</si>
  <si>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</si>
  <si>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</si>
  <si>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</si>
  <si>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</si>
  <si>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</si>
  <si>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</si>
  <si>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</si>
  <si>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</si>
  <si>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</si>
  <si>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</si>
  <si>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</si>
  <si>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</si>
  <si>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</si>
  <si>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</si>
  <si>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</si>
  <si>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</si>
  <si>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</si>
  <si>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</si>
  <si>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</si>
  <si>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</si>
  <si>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</si>
  <si>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</si>
  <si>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</si>
  <si>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</si>
  <si>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</si>
  <si>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</si>
  <si>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</si>
  <si>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</si>
  <si>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</si>
  <si>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</si>
  <si>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</si>
  <si>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</si>
  <si>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</si>
  <si>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</si>
  <si>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</si>
  <si>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</si>
  <si>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</si>
  <si>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</si>
  <si>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</si>
  <si>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</si>
  <si>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</si>
  <si>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</si>
  <si>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</si>
  <si>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</si>
  <si>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</si>
  <si>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</si>
  <si>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</si>
  <si>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</si>
  <si>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</si>
  <si>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</si>
  <si>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</si>
  <si>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</si>
  <si>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</si>
  <si>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</si>
  <si>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</si>
  <si>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</si>
  <si>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</si>
  <si>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</si>
  <si>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</si>
  <si>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</si>
  <si>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</si>
  <si>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</si>
  <si>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</si>
  <si>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</si>
  <si>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</si>
  <si>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</si>
  <si>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</si>
  <si>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</si>
  <si>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</si>
  <si>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</si>
  <si>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</si>
  <si>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</si>
  <si>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</si>
  <si>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</si>
  <si>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</si>
  <si>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</si>
  <si>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</si>
  <si>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</si>
  <si>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</si>
  <si>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</si>
  <si>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</si>
  <si>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</si>
  <si>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</si>
  <si>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</si>
  <si>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</si>
  <si>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</si>
  <si>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</si>
  <si>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</si>
  <si>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</si>
  <si>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</si>
  <si>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</si>
  <si>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</si>
  <si>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</si>
  <si>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</si>
  <si>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</si>
  <si>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</si>
  <si>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</si>
  <si>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</si>
  <si>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</si>
  <si>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</si>
  <si>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</si>
  <si>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</si>
  <si>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</si>
  <si>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</si>
  <si>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</si>
  <si>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</si>
  <si>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</si>
  <si>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</si>
  <si>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</si>
  <si>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</si>
  <si>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</si>
  <si>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</si>
  <si>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</si>
  <si>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</si>
  <si>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</si>
  <si>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</si>
  <si>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</si>
  <si>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</si>
  <si>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</si>
  <si>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</si>
  <si>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</si>
  <si>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</si>
  <si>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</si>
  <si>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</si>
  <si>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</si>
  <si>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</si>
  <si>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</si>
  <si>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</si>
  <si>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</si>
  <si>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</si>
  <si>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</si>
  <si>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</si>
  <si>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</si>
  <si>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</si>
  <si>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</si>
  <si>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</si>
  <si>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</si>
  <si>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</si>
  <si>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</si>
  <si>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</si>
  <si>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</si>
  <si>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</si>
  <si>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</si>
  <si>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</si>
  <si>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</si>
  <si>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</si>
  <si>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</si>
  <si>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</si>
  <si>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</si>
  <si>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</si>
  <si>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</si>
  <si>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</si>
  <si>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</si>
  <si>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</si>
  <si>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</si>
  <si>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</si>
  <si>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</si>
  <si>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</si>
  <si>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</si>
  <si>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</si>
  <si>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</si>
  <si>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</si>
  <si>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</si>
  <si>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</si>
  <si>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</si>
  <si>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</si>
  <si>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</si>
  <si>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</si>
  <si>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</si>
  <si>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</si>
  <si>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</si>
  <si>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</si>
  <si>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</si>
  <si>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</si>
  <si>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</si>
  <si>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</si>
  <si>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</si>
  <si>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</si>
  <si>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</si>
  <si>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</si>
  <si>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</si>
  <si>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</si>
  <si>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</si>
  <si>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</si>
  <si>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</si>
  <si>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</si>
  <si>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</si>
  <si>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</si>
  <si>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</si>
  <si>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</si>
  <si>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</si>
  <si>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</si>
  <si>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</si>
  <si>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</si>
  <si>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</si>
  <si>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</si>
  <si>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</si>
  <si>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</si>
  <si>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</si>
  <si>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</si>
  <si>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</si>
  <si>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</si>
  <si>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</si>
  <si>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</si>
  <si>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</si>
  <si>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</si>
  <si>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</si>
  <si>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</si>
  <si>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</si>
  <si>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</si>
  <si>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</si>
  <si>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</si>
  <si>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</si>
  <si>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</si>
  <si>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</si>
  <si>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</si>
  <si>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</si>
  <si>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</si>
  <si>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</si>
  <si>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</si>
  <si>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</si>
  <si>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</si>
  <si>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</si>
  <si>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</si>
  <si>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</si>
  <si>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</si>
  <si>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</si>
  <si>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</si>
  <si>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</si>
  <si>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</si>
  <si>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</si>
  <si>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</si>
  <si>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</si>
  <si>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</si>
  <si>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</si>
  <si>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</si>
  <si>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</si>
  <si>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</si>
  <si>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</si>
  <si>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</si>
  <si>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</si>
  <si>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</si>
  <si>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</si>
  <si>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</si>
  <si>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</si>
  <si>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</si>
  <si>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</si>
  <si>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</si>
  <si>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</si>
  <si>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</si>
  <si>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</si>
  <si>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</si>
  <si>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</si>
  <si>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</si>
  <si>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</si>
  <si>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</si>
  <si>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</si>
  <si>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</si>
  <si>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</si>
  <si>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</si>
  <si>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</si>
  <si>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</si>
  <si>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</si>
  <si>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</si>
  <si>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</si>
  <si>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</si>
  <si>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</si>
  <si>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</si>
  <si>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</si>
  <si>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</si>
  <si>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</si>
  <si>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</si>
  <si>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</si>
  <si>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</si>
  <si>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</si>
  <si>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</si>
  <si>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</si>
  <si>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</si>
  <si>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</si>
  <si>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</si>
  <si>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</si>
  <si>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</si>
  <si>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</si>
  <si>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</si>
  <si>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</si>
  <si>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</si>
  <si>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</si>
  <si>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</si>
  <si>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</si>
  <si>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</si>
  <si>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</si>
  <si>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</si>
  <si>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</si>
  <si>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</si>
  <si>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</si>
  <si>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</si>
  <si>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</si>
  <si>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</si>
  <si>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</si>
  <si>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</si>
  <si>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</si>
  <si>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</si>
  <si>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</si>
  <si>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</si>
  <si>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</si>
  <si>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</si>
  <si>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</si>
  <si>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</si>
  <si>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</si>
  <si>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</si>
  <si>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</si>
  <si>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</si>
  <si>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</si>
  <si>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</si>
  <si>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</si>
  <si>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</si>
  <si>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</si>
  <si>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</si>
  <si>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</si>
  <si>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</si>
  <si>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</si>
  <si>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</si>
  <si>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</si>
  <si>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</si>
  <si>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</si>
  <si>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</si>
  <si>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</si>
  <si>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</si>
  <si>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</si>
  <si>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</si>
  <si>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</si>
  <si>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</si>
  <si>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</si>
  <si>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</si>
  <si>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</si>
  <si>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</si>
  <si>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</si>
  <si>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</si>
  <si>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</si>
  <si>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</si>
  <si>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</si>
  <si>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</si>
  <si>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</si>
  <si>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</si>
  <si>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</si>
  <si>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</si>
  <si>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</si>
  <si>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</si>
  <si>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</si>
  <si>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</si>
  <si>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</si>
  <si>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</si>
  <si>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</si>
  <si>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</si>
  <si>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</si>
  <si>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</si>
  <si>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</si>
  <si>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</si>
  <si>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</si>
  <si>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</si>
  <si>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</si>
  <si>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</si>
  <si>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</si>
  <si>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</si>
  <si>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</si>
  <si>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</si>
  <si>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</si>
  <si>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</si>
  <si>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</si>
  <si>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</si>
  <si>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</si>
  <si>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</si>
  <si>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</si>
  <si>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</si>
  <si>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</si>
  <si>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</si>
  <si>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</si>
  <si>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</si>
  <si>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</si>
  <si>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</si>
  <si>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</si>
  <si>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</si>
  <si>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</si>
  <si>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</si>
  <si>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</si>
  <si>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</si>
  <si>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</si>
  <si>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</si>
  <si>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</si>
  <si>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</si>
  <si>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</si>
  <si>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</si>
  <si>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</si>
  <si>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</si>
  <si>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</si>
  <si>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</si>
  <si>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</si>
  <si>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</si>
  <si>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</si>
  <si>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</si>
  <si>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</si>
  <si>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</si>
  <si>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</si>
  <si>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</si>
  <si>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</si>
  <si>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</si>
  <si>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</si>
  <si>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</si>
  <si>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</si>
  <si>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</si>
  <si>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</si>
  <si>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</si>
  <si>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</si>
  <si>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</si>
  <si>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</si>
  <si>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</si>
  <si>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</si>
  <si>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</si>
  <si>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</si>
  <si>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</si>
  <si>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</si>
  <si>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</si>
  <si>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</si>
  <si>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</si>
  <si>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</si>
  <si>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</si>
  <si>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</si>
  <si>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</si>
  <si>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</si>
  <si>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</si>
  <si>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</si>
  <si>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</si>
  <si>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</si>
  <si>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</si>
  <si>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</si>
  <si>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</si>
  <si>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</si>
  <si>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</si>
  <si>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</si>
  <si>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</si>
  <si>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</si>
  <si>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</si>
  <si>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</si>
  <si>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</si>
  <si>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</si>
  <si>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</si>
  <si>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</si>
  <si>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</si>
  <si>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</si>
  <si>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</si>
  <si>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</si>
  <si>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</si>
  <si>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</si>
  <si>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</si>
  <si>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</si>
  <si>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</si>
  <si>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</si>
  <si>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</si>
  <si>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</si>
  <si>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</si>
  <si>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</si>
  <si>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</si>
  <si>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</si>
  <si>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</si>
  <si>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</si>
  <si>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</si>
  <si>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</si>
  <si>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</si>
  <si>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</si>
  <si>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</si>
  <si>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</si>
  <si>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</si>
  <si>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</si>
  <si>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</si>
  <si>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</si>
  <si>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</si>
  <si>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</si>
  <si>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</si>
  <si>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</si>
  <si>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</si>
  <si>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</si>
  <si>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</si>
  <si>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</si>
  <si>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</si>
  <si>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</si>
  <si>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</si>
  <si>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</si>
  <si>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</si>
  <si>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</si>
  <si>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</si>
  <si>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</si>
  <si>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</si>
  <si>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</si>
  <si>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</si>
  <si>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</si>
  <si>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</si>
  <si>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</si>
  <si>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</si>
  <si>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</si>
  <si>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</si>
  <si>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</si>
  <si>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</si>
  <si>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</si>
  <si>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</si>
  <si>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</si>
  <si>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</si>
  <si>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</si>
  <si>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</si>
  <si>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</si>
  <si>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</si>
  <si>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</si>
  <si>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</si>
  <si>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</si>
  <si>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</si>
  <si>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</si>
  <si>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</si>
  <si>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</si>
  <si>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</si>
  <si>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</si>
  <si>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</si>
  <si>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</si>
  <si>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</si>
  <si>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</si>
  <si>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</si>
  <si>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</si>
  <si>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</si>
  <si>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</si>
  <si>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</si>
  <si>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</si>
  <si>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</si>
  <si>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</si>
  <si>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</si>
  <si>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</si>
  <si>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</si>
  <si>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</si>
  <si>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</si>
  <si>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</si>
  <si>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</si>
  <si>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</si>
  <si>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</si>
  <si>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</si>
  <si>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</si>
  <si>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</si>
  <si>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</si>
  <si>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</si>
  <si>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</si>
  <si>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</si>
  <si>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</si>
  <si>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</si>
  <si>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</si>
  <si>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</si>
  <si>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</si>
  <si>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</si>
  <si>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</si>
  <si>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</si>
  <si>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</si>
  <si>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</si>
  <si>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</si>
  <si>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</si>
  <si>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</si>
  <si>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</si>
  <si>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</si>
  <si>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</si>
  <si>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</si>
  <si>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</si>
  <si>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</si>
  <si>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</si>
  <si>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</si>
  <si>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</si>
  <si>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</si>
  <si>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</si>
  <si>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</si>
  <si>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</si>
  <si>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</si>
  <si>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</si>
  <si>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</si>
  <si>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</si>
  <si>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</si>
  <si>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</si>
  <si>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</si>
  <si>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</si>
  <si>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</si>
  <si>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</si>
  <si>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</si>
  <si>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</si>
  <si>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</si>
  <si>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</si>
  <si>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</si>
  <si>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</si>
  <si>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</si>
  <si>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</si>
  <si>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</si>
  <si>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</si>
  <si>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</si>
  <si>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</si>
  <si>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</si>
  <si>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</si>
  <si>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</si>
  <si>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</si>
  <si>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</si>
  <si>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</si>
  <si>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</si>
  <si>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</si>
  <si>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</si>
  <si>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</si>
  <si>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</si>
  <si>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</si>
  <si>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</si>
  <si>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</si>
  <si>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</si>
  <si>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</si>
  <si>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</si>
  <si>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</si>
  <si>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</si>
  <si>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</si>
  <si>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</si>
  <si>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</si>
  <si>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</si>
  <si>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</si>
  <si>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</si>
  <si>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</si>
  <si>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</si>
  <si>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</si>
  <si>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</si>
  <si>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</si>
  <si>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</si>
  <si>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</si>
  <si>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</si>
  <si>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</si>
  <si>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</si>
  <si>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</si>
  <si>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</si>
  <si>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</si>
  <si>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</si>
  <si>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</si>
  <si>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</si>
  <si>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</si>
  <si>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</si>
  <si>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</si>
  <si>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</si>
  <si>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</si>
  <si>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</si>
  <si>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</si>
  <si>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</si>
  <si>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</si>
  <si>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</si>
  <si>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</si>
  <si>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</si>
  <si>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</si>
  <si>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</si>
  <si>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</si>
  <si>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</si>
  <si>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</si>
  <si>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</si>
  <si>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</si>
  <si>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</si>
  <si>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</si>
  <si>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</si>
  <si>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</si>
  <si>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</si>
  <si>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</si>
  <si>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</si>
  <si>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</si>
  <si>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</si>
  <si>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</si>
  <si>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</si>
  <si>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</si>
  <si>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</si>
  <si>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</si>
  <si>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</si>
  <si>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</si>
  <si>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</si>
  <si>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</si>
  <si>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</si>
  <si>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</si>
  <si>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</si>
  <si>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</si>
  <si>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</si>
  <si>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</si>
  <si>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</si>
  <si>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</si>
  <si>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</si>
  <si>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</si>
  <si>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</si>
  <si>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</si>
  <si>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</si>
  <si>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</si>
  <si>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</si>
  <si>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</si>
  <si>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</si>
  <si>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</si>
  <si>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</si>
  <si>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</si>
  <si>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</si>
  <si>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</si>
  <si>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</si>
  <si>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</si>
  <si>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</si>
  <si>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</si>
  <si>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</si>
  <si>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</si>
  <si>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</si>
  <si>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</si>
  <si>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</si>
  <si>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</si>
  <si>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</si>
  <si>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</si>
  <si>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</si>
  <si>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</si>
  <si>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</si>
  <si>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</si>
  <si>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</si>
  <si>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</si>
  <si>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</si>
  <si>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</si>
  <si>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</si>
  <si>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</si>
  <si>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</si>
  <si>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</si>
  <si>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</si>
  <si>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</si>
  <si>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</si>
  <si>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</si>
  <si>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</si>
  <si>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</si>
  <si>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</si>
  <si>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</si>
  <si>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</si>
  <si>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</si>
  <si>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</si>
  <si>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</si>
  <si>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</si>
  <si>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</si>
  <si>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</si>
  <si>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</si>
  <si>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</si>
  <si>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</si>
  <si>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</si>
  <si>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</si>
  <si>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</si>
  <si>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</si>
  <si>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</si>
  <si>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</si>
  <si>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</si>
  <si>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</si>
  <si>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</si>
  <si>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</si>
  <si>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</si>
  <si>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</si>
  <si>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</si>
  <si>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</si>
  <si>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</si>
  <si>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</si>
  <si>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</si>
  <si>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</si>
  <si>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</si>
  <si>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</si>
  <si>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</si>
  <si>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</si>
  <si>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</si>
  <si>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</si>
  <si>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</si>
  <si>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</si>
  <si>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</si>
  <si>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</si>
  <si>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</si>
  <si>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</si>
  <si>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</si>
  <si>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</si>
  <si>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</si>
  <si>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</si>
  <si>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</si>
  <si>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</si>
  <si>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</si>
  <si>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</si>
  <si>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</si>
  <si>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</si>
  <si>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</si>
  <si>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</si>
  <si>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</si>
  <si>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</si>
  <si>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</si>
  <si>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</si>
  <si>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</si>
  <si>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</si>
  <si>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</si>
  <si>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</si>
  <si>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</si>
  <si>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</si>
  <si>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</si>
  <si>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</si>
  <si>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</si>
  <si>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</si>
  <si>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</si>
  <si>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</si>
  <si>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</si>
  <si>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</si>
  <si>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</si>
  <si>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</si>
  <si>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</si>
  <si>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</si>
  <si>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</si>
  <si>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</si>
  <si>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</si>
  <si>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</si>
  <si>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</si>
  <si>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</si>
  <si>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</si>
  <si>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</si>
  <si>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</si>
  <si>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</si>
  <si>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</si>
  <si>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</si>
  <si>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</si>
  <si>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</si>
  <si>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</si>
  <si>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</si>
  <si>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</si>
  <si>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</si>
  <si>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</si>
  <si>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</si>
  <si>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</si>
  <si>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</si>
  <si>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</si>
  <si>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</si>
  <si>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</si>
  <si>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</si>
  <si>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</si>
  <si>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</si>
  <si>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</si>
  <si>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</si>
  <si>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</si>
  <si>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</si>
  <si>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</si>
  <si>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</si>
  <si>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</si>
  <si>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</si>
  <si>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</si>
  <si>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</si>
  <si>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</si>
  <si>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</si>
  <si>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</si>
  <si>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</si>
  <si>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</si>
  <si>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</si>
  <si>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</si>
  <si>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</si>
  <si>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</si>
  <si>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</si>
  <si>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</si>
  <si>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</si>
  <si>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</si>
  <si>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</si>
  <si>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</si>
  <si>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</si>
  <si>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</si>
  <si>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</si>
  <si>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</si>
  <si>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</si>
  <si>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</si>
  <si>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</si>
  <si>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</si>
  <si>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</si>
  <si>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</si>
  <si>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</si>
  <si>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</si>
  <si>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</si>
  <si>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</si>
  <si>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</si>
  <si>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</si>
  <si>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</si>
  <si>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</si>
  <si>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</si>
  <si>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</si>
  <si>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</si>
  <si>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</si>
  <si>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</si>
  <si>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</si>
  <si>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</si>
  <si>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</si>
  <si>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</si>
  <si>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</si>
  <si>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</si>
  <si>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</si>
  <si>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</si>
  <si>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</si>
  <si>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</si>
  <si>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</si>
  <si>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</si>
  <si>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</si>
  <si>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</si>
  <si>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</si>
  <si>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</si>
  <si>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</si>
  <si>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</si>
  <si>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</si>
  <si>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</si>
  <si>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</si>
  <si>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</si>
  <si>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</si>
  <si>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</si>
  <si>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</si>
  <si>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</si>
  <si>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</si>
  <si>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</si>
  <si>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</si>
  <si>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</si>
  <si>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</si>
  <si>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</si>
  <si>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</si>
  <si>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</si>
  <si>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</si>
  <si>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</si>
  <si>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</si>
  <si>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</si>
  <si>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</si>
  <si>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</si>
  <si>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</si>
  <si>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</si>
  <si>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</si>
  <si>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</si>
  <si>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</si>
  <si>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</si>
  <si>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</si>
  <si>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</si>
  <si>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</si>
  <si>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</si>
  <si>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</si>
  <si>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</si>
  <si>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</si>
  <si>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</si>
  <si>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</si>
  <si>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</si>
  <si>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</si>
  <si>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</si>
  <si>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</si>
  <si>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</si>
  <si>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</si>
  <si>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</si>
  <si>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</si>
  <si>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</si>
  <si>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</si>
  <si>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</si>
  <si>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</si>
  <si>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</si>
  <si>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</si>
  <si>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</si>
  <si>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</si>
  <si>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</si>
  <si>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</si>
  <si>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</si>
  <si>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</si>
  <si>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</si>
  <si>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</si>
  <si>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</si>
  <si>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</si>
  <si>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</si>
  <si>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</si>
  <si>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</si>
  <si>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</si>
  <si>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</si>
  <si>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</si>
  <si>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</si>
  <si>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</si>
  <si>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</si>
  <si>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</si>
  <si>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</si>
  <si>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</si>
  <si>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</si>
  <si>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</si>
  <si>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</si>
  <si>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</si>
  <si>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</si>
  <si>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</si>
  <si>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</si>
  <si>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</si>
  <si>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</si>
  <si>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</si>
  <si>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</si>
  <si>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</si>
  <si>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</si>
  <si>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</si>
  <si>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</si>
  <si>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</si>
  <si>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</si>
  <si>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</si>
  <si>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</si>
  <si>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</si>
  <si>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</si>
  <si>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</si>
  <si>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</si>
  <si>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</si>
  <si>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</si>
  <si>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</si>
  <si>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</si>
  <si>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</si>
  <si>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</si>
  <si>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</si>
  <si>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</si>
  <si>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</si>
  <si>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</si>
  <si>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</si>
  <si>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</si>
  <si>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</si>
  <si>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</si>
  <si>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</si>
  <si>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</si>
  <si>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</si>
  <si>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</si>
  <si>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</si>
  <si>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</si>
  <si>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</si>
  <si>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</si>
  <si>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</si>
  <si>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</si>
  <si>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</si>
  <si>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</si>
  <si>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</si>
  <si>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</si>
  <si>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</si>
  <si>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</si>
  <si>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</si>
  <si>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</si>
  <si>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</si>
  <si>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</si>
  <si>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</si>
  <si>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</si>
  <si>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</si>
  <si>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</si>
  <si>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</si>
  <si>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</si>
  <si>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</si>
  <si>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</si>
  <si>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</si>
  <si>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</si>
  <si>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</si>
  <si>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</si>
  <si>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</si>
  <si>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</si>
  <si>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</si>
  <si>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</si>
  <si>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</si>
  <si>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</si>
  <si>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</si>
  <si>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</si>
  <si>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</si>
  <si>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</si>
  <si>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</si>
  <si>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</si>
  <si>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</si>
  <si>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</si>
  <si>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</si>
  <si>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</si>
  <si>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</si>
  <si>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</si>
  <si>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</si>
  <si>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</si>
  <si>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</si>
  <si>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</si>
  <si>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</si>
  <si>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</si>
  <si>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</si>
  <si>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</si>
  <si>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</si>
  <si>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</si>
  <si>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</si>
  <si>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</si>
  <si>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</si>
  <si>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</si>
  <si>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</si>
  <si>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</si>
  <si>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</si>
  <si>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</si>
  <si>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</si>
  <si>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</si>
  <si>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</si>
  <si>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</si>
  <si>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</si>
  <si>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</si>
  <si>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</si>
  <si>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</si>
  <si>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</si>
  <si>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</si>
  <si>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</si>
  <si>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</si>
  <si>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</si>
  <si>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</si>
  <si>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</si>
  <si>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</si>
  <si>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</si>
  <si>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</si>
  <si>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</si>
  <si>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</si>
  <si>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</si>
  <si>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</si>
  <si>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</si>
  <si>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</si>
  <si>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</si>
  <si>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</si>
  <si>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</si>
  <si>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</si>
  <si>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</si>
  <si>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</si>
  <si>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</si>
  <si>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</si>
  <si>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</si>
  <si>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</si>
  <si>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</si>
  <si>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</si>
  <si>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</si>
  <si>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</si>
  <si>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</si>
  <si>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</si>
  <si>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</si>
  <si>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</si>
  <si>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</si>
  <si>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</si>
  <si>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</si>
  <si>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</si>
  <si>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</si>
  <si>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</si>
  <si>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</si>
  <si>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</si>
  <si>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</si>
  <si>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</si>
  <si>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</si>
  <si>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</si>
  <si>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</si>
  <si>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</si>
  <si>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</si>
  <si>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</si>
  <si>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</si>
  <si>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</si>
  <si>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</si>
  <si>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</si>
  <si>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</si>
  <si>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</si>
  <si>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</si>
  <si>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</si>
  <si>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</si>
  <si>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</si>
  <si>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</si>
  <si>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</si>
  <si>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</si>
  <si>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</si>
  <si>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</si>
  <si>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</si>
  <si>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</si>
  <si>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</si>
  <si>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</si>
  <si>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</si>
  <si>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</si>
  <si>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</si>
  <si>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</si>
  <si>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</si>
  <si>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</si>
  <si>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</si>
  <si>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</si>
  <si>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</si>
  <si>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</si>
  <si>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</si>
  <si>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</si>
  <si>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</si>
  <si>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</si>
  <si>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</si>
  <si>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</si>
  <si>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</si>
  <si>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</si>
  <si>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</si>
  <si>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</si>
  <si>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</si>
  <si>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</si>
  <si>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</si>
  <si>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</si>
  <si>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</si>
  <si>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</si>
  <si>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</si>
  <si>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</si>
  <si>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</si>
  <si>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</si>
  <si>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</si>
  <si>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</si>
  <si>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</si>
  <si>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</si>
  <si>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</si>
  <si>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</si>
  <si>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</si>
  <si>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</si>
  <si>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</si>
  <si>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</si>
  <si>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</si>
  <si>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</si>
  <si>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</si>
  <si>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</si>
  <si>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</si>
  <si>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</si>
  <si>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</si>
  <si>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</si>
  <si>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</si>
  <si>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</si>
  <si>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</si>
  <si>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</si>
  <si>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</si>
  <si>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</si>
  <si>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</si>
  <si>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</si>
  <si>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</si>
  <si>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</si>
  <si>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</si>
  <si>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</si>
  <si>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</si>
  <si>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</si>
  <si>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</si>
  <si>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</si>
  <si>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</si>
  <si>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</si>
  <si>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</si>
  <si>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</si>
  <si>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</si>
  <si>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</si>
  <si>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</si>
  <si>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</si>
  <si>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</si>
  <si>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</si>
  <si>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</si>
  <si>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</si>
  <si>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</si>
  <si>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</si>
  <si>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</si>
  <si>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</si>
  <si>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</si>
  <si>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</si>
  <si>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</si>
  <si>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</si>
  <si>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</si>
  <si>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</si>
  <si>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</si>
  <si>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</si>
  <si>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</si>
  <si>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</si>
  <si>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</si>
  <si>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</si>
  <si>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</si>
  <si>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</si>
  <si>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</si>
  <si>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</si>
  <si>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</si>
  <si>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</si>
  <si>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</si>
  <si>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</si>
  <si>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</si>
  <si>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</si>
  <si>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</si>
  <si>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</si>
  <si>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</si>
  <si>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</si>
  <si>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</si>
  <si>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</si>
  <si>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</si>
  <si>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</si>
  <si>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</si>
  <si>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</si>
  <si>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</si>
  <si>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</si>
  <si>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</si>
  <si>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</si>
  <si>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</si>
  <si>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</si>
  <si>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</si>
  <si>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</si>
  <si>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</si>
  <si>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</si>
  <si>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</si>
  <si>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</si>
  <si>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</si>
  <si>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</si>
  <si>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</si>
  <si>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</si>
  <si>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</si>
  <si>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</si>
  <si>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</si>
  <si>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</si>
  <si>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</si>
  <si>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</si>
  <si>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</si>
  <si>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</si>
  <si>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</si>
  <si>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</si>
  <si>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</si>
  <si>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</si>
  <si>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</si>
  <si>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</si>
  <si>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</si>
  <si>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</si>
  <si>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</si>
  <si>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</si>
  <si>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</si>
  <si>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</si>
  <si>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</si>
  <si>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</si>
  <si>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</si>
  <si>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</si>
  <si>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</si>
  <si>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</si>
  <si>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</si>
  <si>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</si>
  <si>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</si>
  <si>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</si>
  <si>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</si>
  <si>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</si>
  <si>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</si>
  <si>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</si>
  <si>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</si>
  <si>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</si>
  <si>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</si>
  <si>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</si>
  <si>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</si>
  <si>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</si>
  <si>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</si>
  <si>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</si>
  <si>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</si>
  <si>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</si>
  <si>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</si>
  <si>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</si>
  <si>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</si>
  <si>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</si>
  <si>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</si>
  <si>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</si>
  <si>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</si>
  <si>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</si>
  <si>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</si>
  <si>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</si>
  <si>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</si>
  <si>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</si>
  <si>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</si>
  <si>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</si>
  <si>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</si>
  <si>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</si>
  <si>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</si>
  <si>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</si>
  <si>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</si>
  <si>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</si>
  <si>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</si>
  <si>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</si>
  <si>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</si>
  <si>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</si>
  <si>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</si>
  <si>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</si>
  <si>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</si>
  <si>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</si>
  <si>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</si>
  <si>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</si>
  <si>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</si>
  <si>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</si>
  <si>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</si>
  <si>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</si>
  <si>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</si>
  <si>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</si>
  <si>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</si>
  <si>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</si>
  <si>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</si>
  <si>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</si>
  <si>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</si>
  <si>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</si>
  <si>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</si>
  <si>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</si>
  <si>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</si>
  <si>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</si>
  <si>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</si>
  <si>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</si>
  <si>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</si>
  <si>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</si>
  <si>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</si>
  <si>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</si>
  <si>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</si>
  <si>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</si>
  <si>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</si>
  <si>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</si>
  <si>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</si>
  <si>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</si>
  <si>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</si>
  <si>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</si>
  <si>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</si>
  <si>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</si>
  <si>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</si>
  <si>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</si>
  <si>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</si>
  <si>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</si>
  <si>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</si>
  <si>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</si>
  <si>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</si>
  <si>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</si>
  <si>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</si>
  <si>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</si>
  <si>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</si>
  <si>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</si>
  <si>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</si>
  <si>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</si>
  <si>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</si>
  <si>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</si>
  <si>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</si>
  <si>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</si>
  <si>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</si>
  <si>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</si>
  <si>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</si>
  <si>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</si>
  <si>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</si>
  <si>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</si>
  <si>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</si>
  <si>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</si>
  <si>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</si>
  <si>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</si>
  <si>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</si>
  <si>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</si>
  <si>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</si>
  <si>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</si>
  <si>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</si>
  <si>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</si>
  <si>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</si>
  <si>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</si>
  <si>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</si>
  <si>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</si>
  <si>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</si>
  <si>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</si>
  <si>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</si>
  <si>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</si>
  <si>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</si>
  <si>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</si>
  <si>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</si>
  <si>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</si>
  <si>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</si>
  <si>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</si>
  <si>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</si>
  <si>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</si>
  <si>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</si>
  <si>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</si>
  <si>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</si>
  <si>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</si>
  <si>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</si>
  <si>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</si>
  <si>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</si>
  <si>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</si>
  <si>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</si>
  <si>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</si>
  <si>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</si>
  <si>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</si>
  <si>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</si>
  <si>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</si>
  <si>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</si>
  <si>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</si>
  <si>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</si>
  <si>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</si>
  <si>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</si>
  <si>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</si>
  <si>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</si>
  <si>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</si>
  <si>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</si>
  <si>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</si>
  <si>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</si>
  <si>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</si>
  <si>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</si>
  <si>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</si>
  <si>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</si>
  <si>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</si>
  <si>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</si>
  <si>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</si>
  <si>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</si>
  <si>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</si>
  <si>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</si>
  <si>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</si>
  <si>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</si>
  <si>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</si>
  <si>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</si>
  <si>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</si>
  <si>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</si>
  <si>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</si>
  <si>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</si>
  <si>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</si>
  <si>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</si>
  <si>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</si>
  <si>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</si>
  <si>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</si>
  <si>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</si>
  <si>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</si>
  <si>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</si>
  <si>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</si>
  <si>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</si>
  <si>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</si>
  <si>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</si>
  <si>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</si>
  <si>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</si>
  <si>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</si>
  <si>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</si>
  <si>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</si>
  <si>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</si>
  <si>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</si>
  <si>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</si>
  <si>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</si>
  <si>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</si>
  <si>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</si>
  <si>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</si>
  <si>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</si>
  <si>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</si>
  <si>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</si>
  <si>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</si>
  <si>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</si>
  <si>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</si>
  <si>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</si>
  <si>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</si>
  <si>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</si>
  <si>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</si>
  <si>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</si>
  <si>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</si>
  <si>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</si>
  <si>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</si>
  <si>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</si>
  <si>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</si>
  <si>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</si>
  <si>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</si>
  <si>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</si>
  <si>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</si>
  <si>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</si>
  <si>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</si>
  <si>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</si>
  <si>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</si>
  <si>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</si>
  <si>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</si>
  <si>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</si>
  <si>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</si>
  <si>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</si>
  <si>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</si>
  <si>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</si>
  <si>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</si>
  <si>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</si>
  <si>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</si>
  <si>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</si>
  <si>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</si>
  <si>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</si>
  <si>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</si>
  <si>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</si>
  <si>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</si>
  <si>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</si>
  <si>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</si>
  <si>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</si>
  <si>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</si>
  <si>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</si>
  <si>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</si>
  <si>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</si>
  <si>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</si>
  <si>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</si>
  <si>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</si>
  <si>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</si>
  <si>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</si>
  <si>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</si>
  <si>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</si>
  <si>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</si>
  <si>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</si>
  <si>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</si>
  <si>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</si>
  <si>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</si>
  <si>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</si>
  <si>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</si>
  <si>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</si>
  <si>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</si>
  <si>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</si>
  <si>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</si>
  <si>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</si>
  <si>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</si>
  <si>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</si>
  <si>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</si>
  <si>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</si>
  <si>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</si>
  <si>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</si>
  <si>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</si>
  <si>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</si>
  <si>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</si>
  <si>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</si>
  <si>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</si>
  <si>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</si>
  <si>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</si>
  <si>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</si>
  <si>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</si>
  <si>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</si>
  <si>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</si>
  <si>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</si>
  <si>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</si>
  <si>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</si>
  <si>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</si>
  <si>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</si>
  <si>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</si>
  <si>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</si>
  <si>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</si>
  <si>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</si>
  <si>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</si>
  <si>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</si>
  <si>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</si>
  <si>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</si>
  <si>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</si>
  <si>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</si>
  <si>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</si>
  <si>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</si>
  <si>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</si>
  <si>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</si>
  <si>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</si>
  <si>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</si>
  <si>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</si>
  <si>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</si>
  <si>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</si>
  <si>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</si>
  <si>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</si>
  <si>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</si>
  <si>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</si>
  <si>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</si>
  <si>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</si>
  <si>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</si>
  <si>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</si>
  <si>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</si>
  <si>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</si>
  <si>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</si>
  <si>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</si>
  <si>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</si>
  <si>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</si>
  <si>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</si>
  <si>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</si>
  <si>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</si>
  <si>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</si>
  <si>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</si>
  <si>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</si>
  <si>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</si>
  <si>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</si>
  <si>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</si>
  <si>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</si>
  <si>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</si>
  <si>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</si>
  <si>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</si>
  <si>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</si>
  <si>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</si>
  <si>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</si>
  <si>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</si>
  <si>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</si>
  <si>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</si>
  <si>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</si>
  <si>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</si>
  <si>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</si>
  <si>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</si>
  <si>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</si>
  <si>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</si>
  <si>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</si>
  <si>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</si>
  <si>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</si>
  <si>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</si>
  <si>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</si>
  <si>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</si>
  <si>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</si>
  <si>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</si>
  <si>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</si>
  <si>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</si>
  <si>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</si>
  <si>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</si>
  <si>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</si>
  <si>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</si>
  <si>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</si>
  <si>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</si>
  <si>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</si>
  <si>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</si>
  <si>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</si>
  <si>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</si>
  <si>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</si>
  <si>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</si>
  <si>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</si>
  <si>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</si>
  <si>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</si>
  <si>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</si>
  <si>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</si>
  <si>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</si>
  <si>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</si>
  <si>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</si>
  <si>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</si>
  <si>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</si>
  <si>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</si>
  <si>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</si>
  <si>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</si>
  <si>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</si>
  <si>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</si>
  <si>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</si>
  <si>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</si>
  <si>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</si>
  <si>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</si>
  <si>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</si>
  <si>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</si>
  <si>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</si>
  <si>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</si>
  <si>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</si>
  <si>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</si>
  <si>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</si>
  <si>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</si>
  <si>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</si>
  <si>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</si>
  <si>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</si>
  <si>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</si>
  <si>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</si>
  <si>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</si>
  <si>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</si>
  <si>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</si>
  <si>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</si>
  <si>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</si>
  <si>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</si>
  <si>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</si>
  <si>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</si>
  <si>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</si>
  <si>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</si>
  <si>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</si>
  <si>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</si>
  <si>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</si>
  <si>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</si>
  <si>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</si>
  <si>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</si>
  <si>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</si>
  <si>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</si>
  <si>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</si>
  <si>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</si>
  <si>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</si>
  <si>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</si>
  <si>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</si>
  <si>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</si>
  <si>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</si>
  <si>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</si>
  <si>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</si>
  <si>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</si>
  <si>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</si>
  <si>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</si>
  <si>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</si>
  <si>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</si>
  <si>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</si>
  <si>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</si>
  <si>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</si>
  <si>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</si>
  <si>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</si>
  <si>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</si>
  <si>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</si>
  <si>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</si>
  <si>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</si>
  <si>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</si>
  <si>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</si>
  <si>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</si>
  <si>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</si>
  <si>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</si>
  <si>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</si>
  <si>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</si>
  <si>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</si>
  <si>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</si>
  <si>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</si>
  <si>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</si>
  <si>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</si>
  <si>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</si>
  <si>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</si>
  <si>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</si>
  <si>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</si>
  <si>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</si>
  <si>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</si>
  <si>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</si>
  <si>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</si>
  <si>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</si>
  <si>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</si>
  <si>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</si>
  <si>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</si>
  <si>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</si>
  <si>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</si>
  <si>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</si>
  <si>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</si>
  <si>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</si>
  <si>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</si>
  <si>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</si>
  <si>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</si>
  <si>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</si>
  <si>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</si>
  <si>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</si>
  <si>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</si>
  <si>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</si>
  <si>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</si>
  <si>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</si>
  <si>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</si>
  <si>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</si>
  <si>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</si>
  <si>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</si>
  <si>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</si>
  <si>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</si>
  <si>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</si>
  <si>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</si>
  <si>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</si>
  <si>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</si>
  <si>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</si>
  <si>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</si>
  <si>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</si>
  <si>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</si>
  <si>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</si>
  <si>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</si>
  <si>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</si>
  <si>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</si>
  <si>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</si>
  <si>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</si>
  <si>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</si>
  <si>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</si>
  <si>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</si>
  <si>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</si>
  <si>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</si>
  <si>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</si>
  <si>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</si>
  <si>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</si>
  <si>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</si>
  <si>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</si>
  <si>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</si>
  <si>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</si>
  <si>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</si>
  <si>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</si>
  <si>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</si>
  <si>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</si>
  <si>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</si>
  <si>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</si>
  <si>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</si>
  <si>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</si>
  <si>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</si>
  <si>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</si>
  <si>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</si>
  <si>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</si>
  <si>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</si>
  <si>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</si>
  <si>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</si>
  <si>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</si>
  <si>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</si>
  <si>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</si>
  <si>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</si>
  <si>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</si>
  <si>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</si>
  <si>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</si>
  <si>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</si>
  <si>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</si>
  <si>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</si>
  <si>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</si>
  <si>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</si>
  <si>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</si>
  <si>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</si>
  <si>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</si>
  <si>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</si>
  <si>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</si>
  <si>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</si>
  <si>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</si>
  <si>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</si>
  <si>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</si>
  <si>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</si>
  <si>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</si>
  <si>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</si>
  <si>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</si>
  <si>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</si>
  <si>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</si>
  <si>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</si>
  <si>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</si>
  <si>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</si>
  <si>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</si>
  <si>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</si>
  <si>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</si>
  <si>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</si>
  <si>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</si>
  <si>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</si>
  <si>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</si>
  <si>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</si>
  <si>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</si>
  <si>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</si>
  <si>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</si>
  <si>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</si>
  <si>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</si>
  <si>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</si>
  <si>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</si>
  <si>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</si>
  <si>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</si>
  <si>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</si>
  <si>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</si>
  <si>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</si>
  <si>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</si>
  <si>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</si>
  <si>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</si>
  <si>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</si>
  <si>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</si>
  <si>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</si>
  <si>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</si>
  <si>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</si>
  <si>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</si>
  <si>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</si>
  <si>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</si>
  <si>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</si>
  <si>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</si>
  <si>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</si>
  <si>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</si>
  <si>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</si>
  <si>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</si>
  <si>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</si>
  <si>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</si>
  <si>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</si>
  <si>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</si>
  <si>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</si>
  <si>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</si>
  <si>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</si>
  <si>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</si>
  <si>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</si>
  <si>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</si>
  <si>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</si>
  <si>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</si>
  <si>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</si>
  <si>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</si>
  <si>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</si>
  <si>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</si>
  <si>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</si>
  <si>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</si>
  <si>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</si>
  <si>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</si>
  <si>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</si>
  <si>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</si>
  <si>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</si>
  <si>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</si>
  <si>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</si>
  <si>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</si>
  <si>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</si>
  <si>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</si>
  <si>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</si>
  <si>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</si>
  <si>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</si>
  <si>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</si>
  <si>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</si>
  <si>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</si>
  <si>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</si>
  <si>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</si>
  <si>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</si>
  <si>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</si>
  <si>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</si>
  <si>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</si>
  <si>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</si>
  <si>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</si>
  <si>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</si>
  <si>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</si>
  <si>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</si>
  <si>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</si>
  <si>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</si>
  <si>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</si>
  <si>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</si>
  <si>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</si>
  <si>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</si>
  <si>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</si>
  <si>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</si>
  <si>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</si>
  <si>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</si>
  <si>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</si>
  <si>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</si>
  <si>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</si>
  <si>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</si>
  <si>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</si>
  <si>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</si>
  <si>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</si>
  <si>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</si>
  <si>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</si>
  <si>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</si>
  <si>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</si>
  <si>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</si>
  <si>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</si>
  <si>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</si>
  <si>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</si>
  <si>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</si>
  <si>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</si>
  <si>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</si>
  <si>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</si>
  <si>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</si>
  <si>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</si>
  <si>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</si>
  <si>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</si>
  <si>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</si>
  <si>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</si>
  <si>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</si>
  <si>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</si>
  <si>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</si>
  <si>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</si>
  <si>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</si>
  <si>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</si>
  <si>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</si>
  <si>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</si>
  <si>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</si>
  <si>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</si>
  <si>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</si>
  <si>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</si>
  <si>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</si>
  <si>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</si>
  <si>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</si>
  <si>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</si>
  <si>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</si>
  <si>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</si>
  <si>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</si>
  <si>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</si>
  <si>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</si>
  <si>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</si>
  <si>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</si>
  <si>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</si>
  <si>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</si>
  <si>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</si>
  <si>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</si>
  <si>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</si>
  <si>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</si>
  <si>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</si>
  <si>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</si>
  <si>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</si>
  <si>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</si>
  <si>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</si>
  <si>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</si>
  <si>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</si>
  <si>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</si>
  <si>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</si>
  <si>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</si>
  <si>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</si>
  <si>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</si>
  <si>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</si>
  <si>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</si>
  <si>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</si>
  <si>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</si>
  <si>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</si>
  <si>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</si>
  <si>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</si>
  <si>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</si>
  <si>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</si>
  <si>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</si>
  <si>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</si>
  <si>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</si>
  <si>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</si>
  <si>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</si>
  <si>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</si>
  <si>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</si>
  <si>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</si>
  <si>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</si>
  <si>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</si>
  <si>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</si>
  <si>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</si>
  <si>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</si>
  <si>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</si>
  <si>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</si>
  <si>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</si>
  <si>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</si>
  <si>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</si>
  <si>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</si>
  <si>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Row Labels</t>
  </si>
  <si>
    <t>(All)</t>
  </si>
  <si>
    <t>YearsExpGroup</t>
  </si>
  <si>
    <t>Min</t>
  </si>
  <si>
    <t>Max</t>
  </si>
  <si>
    <t>CXO</t>
  </si>
  <si>
    <t>Plot</t>
  </si>
  <si>
    <t>Chart</t>
  </si>
  <si>
    <t>Location</t>
  </si>
  <si>
    <t>Experience</t>
  </si>
  <si>
    <t>Role</t>
  </si>
  <si>
    <t>Hours</t>
  </si>
  <si>
    <t>All</t>
  </si>
  <si>
    <t>Experience (Years):</t>
  </si>
  <si>
    <t>Location:</t>
  </si>
  <si>
    <t>Hours of Excel/Day:</t>
  </si>
  <si>
    <t>DummySeries</t>
  </si>
  <si>
    <t>Mean</t>
  </si>
  <si>
    <t xml:space="preserve">Accountant   </t>
  </si>
  <si>
    <t xml:space="preserve">Analyst   </t>
  </si>
  <si>
    <t xml:space="preserve">Consultant   </t>
  </si>
  <si>
    <t xml:space="preserve">Controller   </t>
  </si>
  <si>
    <t xml:space="preserve">CXO/Top Mgmt.   </t>
  </si>
  <si>
    <t xml:space="preserve">Engineer   </t>
  </si>
  <si>
    <t xml:space="preserve">Manager   </t>
  </si>
  <si>
    <t xml:space="preserve">Misc.   </t>
  </si>
  <si>
    <t xml:space="preserve">Reporting   </t>
  </si>
  <si>
    <t xml:space="preserve">Specialist   </t>
  </si>
  <si>
    <t xml:space="preserve">Accountant    </t>
  </si>
  <si>
    <t xml:space="preserve">Analyst    </t>
  </si>
  <si>
    <t xml:space="preserve">Consultant    </t>
  </si>
  <si>
    <t xml:space="preserve">Controller    </t>
  </si>
  <si>
    <t xml:space="preserve">CXO/Top Mgmt.    </t>
  </si>
  <si>
    <t xml:space="preserve">Engineer    </t>
  </si>
  <si>
    <t xml:space="preserve">Manager    </t>
  </si>
  <si>
    <t xml:space="preserve">Misc.    </t>
  </si>
  <si>
    <t xml:space="preserve">Reporting    </t>
  </si>
  <si>
    <t xml:space="preserve">Specialist    </t>
  </si>
  <si>
    <t>Median</t>
  </si>
  <si>
    <t>Average</t>
  </si>
  <si>
    <t>SD</t>
  </si>
  <si>
    <t>Enter your salary:</t>
  </si>
  <si>
    <t>BLSDATA</t>
  </si>
  <si>
    <t>(average of all analyst positions)</t>
  </si>
  <si>
    <t>(average for management analyst - no consulting data listed)</t>
  </si>
  <si>
    <t>(salary.com)</t>
  </si>
  <si>
    <t/>
  </si>
  <si>
    <t>Chart Max</t>
  </si>
  <si>
    <t>Chart Min</t>
  </si>
  <si>
    <t>0-2 Years</t>
  </si>
  <si>
    <t>3-5 Years</t>
  </si>
  <si>
    <t>5-10 Years</t>
  </si>
  <si>
    <t>11-15 Years</t>
  </si>
  <si>
    <t>16-20 Years</t>
  </si>
  <si>
    <t>20+ Years</t>
  </si>
  <si>
    <t>Dashboard by Ben Allred</t>
  </si>
  <si>
    <t>BLS</t>
  </si>
  <si>
    <t>http://www.indeed.com/salary?q1=reporting+analyst&amp;l1=</t>
  </si>
  <si>
    <t>Comparative %:</t>
  </si>
  <si>
    <t>Quartile Breakout by Job Type: (Min, 25th, 50th, 75th percentile, and max salary)</t>
  </si>
  <si>
    <t>Column Labels</t>
  </si>
  <si>
    <t>Average of Salary in USD</t>
  </si>
  <si>
    <t>***Orange Dot = US Salary Data - Bureau of Labor Statistics Data &amp; Salary Websites (no data for Misc.)</t>
  </si>
  <si>
    <t>Arabian Gulf</t>
  </si>
  <si>
    <t>How does experience effect pay? (0-2 years=baseline)</t>
  </si>
  <si>
    <t>Experience effect on Salary by Job Type</t>
  </si>
  <si>
    <t>***All values are derived by comparing to baseline (0-2 years experience)</t>
  </si>
  <si>
    <t>End</t>
  </si>
  <si>
    <t>Start</t>
  </si>
  <si>
    <t>Select a Job Type to See How You Compare:</t>
  </si>
  <si>
    <t>Sort Ascending by:</t>
  </si>
  <si>
    <t>Chandoo Salary Survey Contest</t>
  </si>
  <si>
    <t>Get That Money!!!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</si>
</sst>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\ mmmm\ yyyy\,\ h:mm\ AM/PM"/>
    <numFmt numFmtId="165" formatCode="_(&quot;$&quot;* #,##0_);_(&quot;$&quot;* \(#,##0\);_(&quot;$&quot;* &quot;-&quot;??_);_(@_)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Wingdings"/>
      <charset val="2"/>
    </font>
    <font>
      <sz val="10"/>
      <color theme="1"/>
      <name val="Calibri"/>
      <family val="2"/>
      <scheme val="minor"/>
    </font>
    <font>
      <i/>
      <sz val="8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i/>
      <sz val="14"/>
      <color theme="1" tint="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i/>
      <sz val="10"/>
      <color theme="1" tint="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9"/>
      <color theme="1" tint="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7" fillId="0" borderId="0" xfId="0" applyFont="1" applyAlignment="1">
      <alignment horizontal="left" vertical="center" indent="7"/>
    </xf>
    <xf numFmtId="44" fontId="0" fillId="0" borderId="0" xfId="2" applyFont="1"/>
    <xf numFmtId="44" fontId="4" fillId="0" borderId="0" xfId="2" applyFont="1"/>
    <xf numFmtId="0" fontId="0" fillId="0" borderId="0" xfId="0" applyAlignment="1">
      <alignment horizontal="left"/>
    </xf>
    <xf numFmtId="16" fontId="0" fillId="0" borderId="0" xfId="0" applyNumberFormat="1"/>
    <xf numFmtId="0" fontId="0" fillId="0" borderId="0" xfId="0" applyNumberFormat="1"/>
    <xf numFmtId="0" fontId="8" fillId="0" borderId="0" xfId="0" applyFont="1"/>
    <xf numFmtId="9" fontId="8" fillId="0" borderId="0" xfId="4" applyFont="1"/>
    <xf numFmtId="165" fontId="8" fillId="0" borderId="0" xfId="2" applyNumberFormat="1" applyFont="1"/>
    <xf numFmtId="43" fontId="8" fillId="0" borderId="0" xfId="3" applyFont="1"/>
    <xf numFmtId="165" fontId="8" fillId="0" borderId="0" xfId="0" applyNumberFormat="1" applyFont="1"/>
    <xf numFmtId="9" fontId="8" fillId="0" borderId="0" xfId="0" applyNumberFormat="1" applyFont="1"/>
    <xf numFmtId="0" fontId="8" fillId="0" borderId="0" xfId="0" pivotButton="1" applyFont="1"/>
    <xf numFmtId="0" fontId="8" fillId="0" borderId="0" xfId="0" applyFont="1" applyAlignment="1">
      <alignment horizontal="left"/>
    </xf>
    <xf numFmtId="3" fontId="8" fillId="0" borderId="0" xfId="0" applyNumberFormat="1" applyFont="1"/>
    <xf numFmtId="10" fontId="8" fillId="0" borderId="0" xfId="0" applyNumberFormat="1" applyFont="1"/>
    <xf numFmtId="8" fontId="8" fillId="0" borderId="0" xfId="0" applyNumberFormat="1" applyFont="1"/>
    <xf numFmtId="17" fontId="8" fillId="0" borderId="0" xfId="0" applyNumberFormat="1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0" fillId="0" borderId="0" xfId="0" applyFont="1" applyAlignment="1"/>
    <xf numFmtId="0" fontId="13" fillId="0" borderId="0" xfId="0" applyFont="1" applyAlignment="1">
      <alignment vertical="top"/>
    </xf>
    <xf numFmtId="0" fontId="13" fillId="0" borderId="0" xfId="0" applyFont="1"/>
    <xf numFmtId="0" fontId="10" fillId="0" borderId="2" xfId="0" applyFont="1" applyBorder="1"/>
    <xf numFmtId="0" fontId="13" fillId="0" borderId="2" xfId="0" applyFont="1" applyBorder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1" fillId="3" borderId="0" xfId="0" applyFont="1" applyFill="1" applyAlignment="1">
      <alignment horizontal="left" vertical="top"/>
    </xf>
    <xf numFmtId="0" fontId="14" fillId="4" borderId="3" xfId="0" applyFont="1" applyFill="1" applyBorder="1"/>
    <xf numFmtId="9" fontId="15" fillId="5" borderId="0" xfId="4" applyNumberFormat="1" applyFont="1" applyFill="1" applyAlignment="1">
      <alignment horizontal="right"/>
    </xf>
    <xf numFmtId="165" fontId="10" fillId="0" borderId="0" xfId="2" applyNumberFormat="1" applyFont="1"/>
    <xf numFmtId="0" fontId="10" fillId="0" borderId="0" xfId="0" applyFont="1" applyAlignment="1">
      <alignment horizontal="center" vertical="center"/>
    </xf>
    <xf numFmtId="0" fontId="16" fillId="0" borderId="0" xfId="0" applyFont="1"/>
  </cellXfs>
  <cellStyles count="5">
    <cellStyle name="Comma" xfId="3" builtinId="3"/>
    <cellStyle name="Currency" xfId="2" builtinId="4"/>
    <cellStyle name="Hyperlink" xfId="1" builtinId="8"/>
    <cellStyle name="Normal" xfId="0" builtinId="0"/>
    <cellStyle name="Percent" xfId="4" builtinId="5"/>
  </cellStyles>
  <dxfs count="34">
    <dxf>
      <font>
        <strike/>
        <color theme="1" tint="0.499984740745262"/>
      </font>
    </dxf>
    <dxf>
      <font>
        <sz val="10"/>
      </font>
    </dxf>
    <dxf>
      <numFmt numFmtId="165" formatCode="_(&quot;$&quot;* #,##0_);_(&quot;$&quot;* \(#,##0\);_(&quot;$&quot;* &quot;-&quot;??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Role!$AB$11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</c:spPr>
          <c:invertIfNegative val="0"/>
          <c:dLbls>
            <c:numFmt formatCode="&quot;$&quot;#,&quot;K&quot;" sourceLinked="0"/>
            <c:txPr>
              <a:bodyPr/>
              <a:lstStyle/>
              <a:p>
                <a:pPr>
                  <a:defRPr sz="800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Role!$AB$12:$AB$21</c:f>
              <c:numCache>
                <c:formatCode>_("$"* #,##0_);_("$"* \(#,##0\);_("$"* "-"??_);_(@_)</c:formatCode>
                <c:ptCount val="10"/>
                <c:pt idx="0">
                  <c:v>74461</c:v>
                </c:pt>
                <c:pt idx="1">
                  <c:v>32000</c:v>
                </c:pt>
                <c:pt idx="2">
                  <c:v>24000</c:v>
                </c:pt>
                <c:pt idx="3">
                  <c:v>22880</c:v>
                </c:pt>
                <c:pt idx="4">
                  <c:v>10000</c:v>
                </c:pt>
                <c:pt idx="5">
                  <c:v>24000</c:v>
                </c:pt>
                <c:pt idx="6">
                  <c:v>12000</c:v>
                </c:pt>
                <c:pt idx="7">
                  <c:v>16000</c:v>
                </c:pt>
                <c:pt idx="8">
                  <c:v>15000</c:v>
                </c:pt>
                <c:pt idx="9">
                  <c:v>31000</c:v>
                </c:pt>
              </c:numCache>
            </c:numRef>
          </c:val>
        </c:ser>
        <c:ser>
          <c:idx val="1"/>
          <c:order val="1"/>
          <c:tx>
            <c:strRef>
              <c:f>Role!$AC$11</c:f>
              <c:strCache>
                <c:ptCount val="1"/>
                <c:pt idx="0">
                  <c:v>0.25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Role!$AC$12:$AC$21</c:f>
                <c:numCache>
                  <c:formatCode>General</c:formatCode>
                  <c:ptCount val="10"/>
                  <c:pt idx="0">
                    <c:v>0</c:v>
                  </c:pt>
                  <c:pt idx="1">
                    <c:v>2500</c:v>
                  </c:pt>
                  <c:pt idx="2">
                    <c:v>31500</c:v>
                  </c:pt>
                  <c:pt idx="3">
                    <c:v>22870</c:v>
                  </c:pt>
                  <c:pt idx="4">
                    <c:v>33600</c:v>
                  </c:pt>
                  <c:pt idx="5">
                    <c:v>41000</c:v>
                  </c:pt>
                  <c:pt idx="6">
                    <c:v>36000</c:v>
                  </c:pt>
                  <c:pt idx="7">
                    <c:v>67750</c:v>
                  </c:pt>
                  <c:pt idx="8">
                    <c:v>34250</c:v>
                  </c:pt>
                  <c:pt idx="9">
                    <c:v>12000</c:v>
                  </c:pt>
                </c:numCache>
              </c:numRef>
            </c:minus>
            <c:spPr>
              <a:ln>
                <a:solidFill>
                  <a:schemeClr val="bg1">
                    <a:lumMod val="50000"/>
                  </a:schemeClr>
                </a:solidFill>
                <a:headEnd type="diamond"/>
                <a:tailEnd type="none"/>
              </a:ln>
            </c:spPr>
          </c:errBars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Role!$AC$12:$AC$21</c:f>
              <c:numCache>
                <c:formatCode>_("$"* #,##0_);_("$"* \(#,##0\);_("$"* "-"??_);_(@_)</c:formatCode>
                <c:ptCount val="10"/>
                <c:pt idx="0">
                  <c:v>0</c:v>
                </c:pt>
                <c:pt idx="1">
                  <c:v>2500</c:v>
                </c:pt>
                <c:pt idx="2">
                  <c:v>31500</c:v>
                </c:pt>
                <c:pt idx="3">
                  <c:v>22870</c:v>
                </c:pt>
                <c:pt idx="4">
                  <c:v>33600</c:v>
                </c:pt>
                <c:pt idx="5">
                  <c:v>41000</c:v>
                </c:pt>
                <c:pt idx="6">
                  <c:v>36000</c:v>
                </c:pt>
                <c:pt idx="7">
                  <c:v>67750</c:v>
                </c:pt>
                <c:pt idx="8">
                  <c:v>34250</c:v>
                </c:pt>
                <c:pt idx="9">
                  <c:v>12000</c:v>
                </c:pt>
              </c:numCache>
            </c:numRef>
          </c:val>
        </c:ser>
        <c:ser>
          <c:idx val="2"/>
          <c:order val="2"/>
          <c:tx>
            <c:strRef>
              <c:f>Role!$AD$11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Role!$AD$12:$AD$21</c:f>
              <c:numCache>
                <c:formatCode>_("$"* #,##0_);_("$"* \(#,##0\);_("$"* "-"??_);_(@_)</c:formatCode>
                <c:ptCount val="10"/>
                <c:pt idx="0">
                  <c:v>12539</c:v>
                </c:pt>
                <c:pt idx="1">
                  <c:v>10500</c:v>
                </c:pt>
                <c:pt idx="2">
                  <c:v>14500</c:v>
                </c:pt>
                <c:pt idx="3">
                  <c:v>14750</c:v>
                </c:pt>
                <c:pt idx="4">
                  <c:v>16400</c:v>
                </c:pt>
                <c:pt idx="5">
                  <c:v>15000</c:v>
                </c:pt>
                <c:pt idx="6">
                  <c:v>39500</c:v>
                </c:pt>
                <c:pt idx="7">
                  <c:v>32250</c:v>
                </c:pt>
                <c:pt idx="8">
                  <c:v>20750</c:v>
                </c:pt>
                <c:pt idx="9">
                  <c:v>11000</c:v>
                </c:pt>
              </c:numCache>
            </c:numRef>
          </c:val>
        </c:ser>
        <c:ser>
          <c:idx val="3"/>
          <c:order val="3"/>
          <c:tx>
            <c:strRef>
              <c:f>Role!$AE$11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1"/>
            <c:plus>
              <c:numRef>
                <c:f>Role!$AF$12:$AF$21</c:f>
                <c:numCache>
                  <c:formatCode>General</c:formatCode>
                  <c:ptCount val="10"/>
                  <c:pt idx="0">
                    <c:v>0</c:v>
                  </c:pt>
                  <c:pt idx="1">
                    <c:v>3500</c:v>
                  </c:pt>
                  <c:pt idx="2">
                    <c:v>48500</c:v>
                  </c:pt>
                  <c:pt idx="3">
                    <c:v>73500</c:v>
                  </c:pt>
                  <c:pt idx="4">
                    <c:v>79000</c:v>
                  </c:pt>
                  <c:pt idx="5">
                    <c:v>111000</c:v>
                  </c:pt>
                  <c:pt idx="6">
                    <c:v>136750</c:v>
                  </c:pt>
                  <c:pt idx="7">
                    <c:v>125500</c:v>
                  </c:pt>
                  <c:pt idx="8">
                    <c:v>303385</c:v>
                  </c:pt>
                  <c:pt idx="9">
                    <c:v>325500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>
                <a:solidFill>
                  <a:schemeClr val="bg1">
                    <a:lumMod val="50000"/>
                  </a:schemeClr>
                </a:solidFill>
                <a:headEnd type="none"/>
                <a:tailEnd type="diamond"/>
              </a:ln>
            </c:spPr>
          </c:errBars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Role!$AE$12:$AE$21</c:f>
              <c:numCache>
                <c:formatCode>_("$"* #,##0_);_("$"* \(#,##0\);_("$"* "-"??_);_(@_)</c:formatCode>
                <c:ptCount val="10"/>
                <c:pt idx="0">
                  <c:v>3000</c:v>
                </c:pt>
                <c:pt idx="1">
                  <c:v>43500</c:v>
                </c:pt>
                <c:pt idx="2">
                  <c:v>11500</c:v>
                </c:pt>
                <c:pt idx="3">
                  <c:v>16000</c:v>
                </c:pt>
                <c:pt idx="4">
                  <c:v>21000</c:v>
                </c:pt>
                <c:pt idx="5">
                  <c:v>23000</c:v>
                </c:pt>
                <c:pt idx="6">
                  <c:v>25750</c:v>
                </c:pt>
                <c:pt idx="7">
                  <c:v>58500</c:v>
                </c:pt>
                <c:pt idx="8">
                  <c:v>26615</c:v>
                </c:pt>
                <c:pt idx="9">
                  <c:v>20500</c:v>
                </c:pt>
              </c:numCache>
            </c:numRef>
          </c:val>
        </c:ser>
        <c:ser>
          <c:idx val="4"/>
          <c:order val="4"/>
          <c:tx>
            <c:strRef>
              <c:f>Role!$AF$11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</c:spPr>
          <c:invertIfNegative val="0"/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Role!$AF$12:$AF$21</c:f>
              <c:numCache>
                <c:formatCode>_("$"* #,##0_);_("$"* \(#,##0\);_("$"* "-"??_);_(@_)</c:formatCode>
                <c:ptCount val="10"/>
                <c:pt idx="0">
                  <c:v>0</c:v>
                </c:pt>
                <c:pt idx="1">
                  <c:v>3500</c:v>
                </c:pt>
                <c:pt idx="2">
                  <c:v>48500</c:v>
                </c:pt>
                <c:pt idx="3">
                  <c:v>73500</c:v>
                </c:pt>
                <c:pt idx="4">
                  <c:v>79000</c:v>
                </c:pt>
                <c:pt idx="5">
                  <c:v>111000</c:v>
                </c:pt>
                <c:pt idx="6">
                  <c:v>136750</c:v>
                </c:pt>
                <c:pt idx="7">
                  <c:v>125500</c:v>
                </c:pt>
                <c:pt idx="8">
                  <c:v>303385</c:v>
                </c:pt>
                <c:pt idx="9">
                  <c:v>325500</c:v>
                </c:pt>
              </c:numCache>
            </c:numRef>
          </c:val>
        </c:ser>
        <c:ser>
          <c:idx val="5"/>
          <c:order val="5"/>
          <c:tx>
            <c:v>DummySeries</c:v>
          </c:tx>
          <c:spPr>
            <a:noFill/>
          </c:spPr>
          <c:invertIfNegative val="0"/>
          <c:dLbls>
            <c:numFmt formatCode="&quot;$&quot;#,&quot;K&quot;" sourceLinked="0"/>
            <c:txPr>
              <a:bodyPr/>
              <a:lstStyle/>
              <a:p>
                <a:pPr>
                  <a:defRPr sz="800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Role!$AA$12:$AA$21</c:f>
              <c:strCache>
                <c:ptCount val="10"/>
                <c:pt idx="0">
                  <c:v>Misc.    </c:v>
                </c:pt>
                <c:pt idx="1">
                  <c:v>Reporting    </c:v>
                </c:pt>
                <c:pt idx="2">
                  <c:v>Engineer    </c:v>
                </c:pt>
                <c:pt idx="3">
                  <c:v>Accountant    </c:v>
                </c:pt>
                <c:pt idx="4">
                  <c:v>Analyst    </c:v>
                </c:pt>
                <c:pt idx="5">
                  <c:v>Controller    </c:v>
                </c:pt>
                <c:pt idx="6">
                  <c:v>Consultant    </c:v>
                </c:pt>
                <c:pt idx="7">
                  <c:v>CXO/Top Mgmt.    </c:v>
                </c:pt>
                <c:pt idx="8">
                  <c:v>Manager    </c:v>
                </c:pt>
                <c:pt idx="9">
                  <c:v>Specialist    </c:v>
                </c:pt>
              </c:strCache>
            </c:strRef>
          </c:cat>
          <c:val>
            <c:numRef>
              <c:f>Role!$AG$12:$AG$21</c:f>
              <c:numCache>
                <c:formatCode>General</c:formatCode>
                <c:ptCount val="10"/>
                <c:pt idx="0">
                  <c:v>90000</c:v>
                </c:pt>
                <c:pt idx="1">
                  <c:v>92000</c:v>
                </c:pt>
                <c:pt idx="2">
                  <c:v>130000</c:v>
                </c:pt>
                <c:pt idx="3">
                  <c:v>150000</c:v>
                </c:pt>
                <c:pt idx="4">
                  <c:v>160000</c:v>
                </c:pt>
                <c:pt idx="5">
                  <c:v>214000</c:v>
                </c:pt>
                <c:pt idx="6">
                  <c:v>250000</c:v>
                </c:pt>
                <c:pt idx="7">
                  <c:v>300000</c:v>
                </c:pt>
                <c:pt idx="8">
                  <c:v>400000</c:v>
                </c:pt>
                <c:pt idx="9">
                  <c:v>400000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18976"/>
        <c:axId val="222320896"/>
      </c:barChart>
      <c:scatterChart>
        <c:scatterStyle val="lineMarker"/>
        <c:varyColors val="0"/>
        <c:ser>
          <c:idx val="6"/>
          <c:order val="6"/>
          <c:tx>
            <c:v>BLS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</c:spPr>
          </c:marker>
          <c:xVal>
            <c:numRef>
              <c:f>Role!$AK$12:$AK$21</c:f>
              <c:numCache>
                <c:formatCode>General</c:formatCode>
                <c:ptCount val="10"/>
                <c:pt idx="0">
                  <c:v>#N/A</c:v>
                </c:pt>
                <c:pt idx="1">
                  <c:v>57000</c:v>
                </c:pt>
                <c:pt idx="2">
                  <c:v>80430</c:v>
                </c:pt>
                <c:pt idx="3">
                  <c:v>70130</c:v>
                </c:pt>
                <c:pt idx="4">
                  <c:v>78127</c:v>
                </c:pt>
                <c:pt idx="5">
                  <c:v>173623</c:v>
                </c:pt>
                <c:pt idx="6">
                  <c:v>87980</c:v>
                </c:pt>
                <c:pt idx="7">
                  <c:v>176550</c:v>
                </c:pt>
                <c:pt idx="8">
                  <c:v>95586</c:v>
                </c:pt>
                <c:pt idx="9">
                  <c:v>61182</c:v>
                </c:pt>
              </c:numCache>
            </c:numRef>
          </c:xVal>
          <c:yVal>
            <c:numRef>
              <c:f>Role!$Z$12:$Z$21</c:f>
              <c:numCache>
                <c:formatCode>General</c:formatCode>
                <c:ptCount val="10"/>
                <c:pt idx="0">
                  <c:v>9.5</c:v>
                </c:pt>
                <c:pt idx="1">
                  <c:v>8.5</c:v>
                </c:pt>
                <c:pt idx="2">
                  <c:v>7.5</c:v>
                </c:pt>
                <c:pt idx="3">
                  <c:v>6.5</c:v>
                </c:pt>
                <c:pt idx="4">
                  <c:v>5.5</c:v>
                </c:pt>
                <c:pt idx="5">
                  <c:v>4.5</c:v>
                </c:pt>
                <c:pt idx="6">
                  <c:v>3.5</c:v>
                </c:pt>
                <c:pt idx="7">
                  <c:v>2.5</c:v>
                </c:pt>
                <c:pt idx="8">
                  <c:v>1.5</c:v>
                </c:pt>
                <c:pt idx="9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36512"/>
        <c:axId val="222334976"/>
      </c:scatterChart>
      <c:catAx>
        <c:axId val="2223189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222320896"/>
        <c:crosses val="autoZero"/>
        <c:auto val="1"/>
        <c:lblAlgn val="ctr"/>
        <c:lblOffset val="100"/>
        <c:noMultiLvlLbl val="0"/>
      </c:catAx>
      <c:valAx>
        <c:axId val="222320896"/>
        <c:scaling>
          <c:orientation val="minMax"/>
          <c:max val="410000"/>
          <c:min val="0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  <a:prstDash val="sysDot"/>
            </a:ln>
          </c:spPr>
        </c:majorGridlines>
        <c:numFmt formatCode="&quot;$&quot;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222318976"/>
        <c:crosses val="autoZero"/>
        <c:crossBetween val="between"/>
      </c:valAx>
      <c:valAx>
        <c:axId val="22233497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2336512"/>
        <c:crosses val="max"/>
        <c:crossBetween val="midCat"/>
      </c:valAx>
      <c:valAx>
        <c:axId val="222336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23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241947029349"/>
          <c:y val="3.1677465802735782E-2"/>
          <c:w val="0.8773759643680904"/>
          <c:h val="0.93664506839452844"/>
        </c:manualLayout>
      </c:layout>
      <c:lineChart>
        <c:grouping val="standard"/>
        <c:varyColors val="0"/>
        <c:ser>
          <c:idx val="0"/>
          <c:order val="0"/>
          <c:tx>
            <c:strRef>
              <c:f>Experience!$K$6</c:f>
              <c:strCache>
                <c:ptCount val="1"/>
                <c:pt idx="0">
                  <c:v>Accountant</c:v>
                </c:pt>
              </c:strCache>
            </c:strRef>
          </c:tx>
          <c:spPr>
            <a:ln w="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Experience!$L$6:$Q$6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-0.32072316384180788</c:v>
                </c:pt>
                <c:pt idx="2">
                  <c:v>0.11016949152542373</c:v>
                </c:pt>
                <c:pt idx="3">
                  <c:v>0.18474576271186441</c:v>
                </c:pt>
                <c:pt idx="4">
                  <c:v>0.73728813559322037</c:v>
                </c:pt>
                <c:pt idx="5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Experience!$K$7</c:f>
              <c:strCache>
                <c:ptCount val="1"/>
                <c:pt idx="0">
                  <c:v>Analyst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Experience!$L$7:$Q$7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0.2017808871583528</c:v>
                </c:pt>
                <c:pt idx="2">
                  <c:v>0.33110371850274162</c:v>
                </c:pt>
                <c:pt idx="3">
                  <c:v>0.39444662018176768</c:v>
                </c:pt>
                <c:pt idx="4">
                  <c:v>0.44235298790677197</c:v>
                </c:pt>
                <c:pt idx="5">
                  <c:v>0.39699656883901263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Experience!$K$8</c:f>
              <c:strCache>
                <c:ptCount val="1"/>
                <c:pt idx="0">
                  <c:v>Consultant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Experience!$L$8:$Q$8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</c:v>
                </c:pt>
                <c:pt idx="2">
                  <c:v>-0.115</c:v>
                </c:pt>
                <c:pt idx="3">
                  <c:v>-0.115</c:v>
                </c:pt>
                <c:pt idx="4">
                  <c:v>1.5</c:v>
                </c:pt>
                <c:pt idx="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Experience!$K$9</c:f>
              <c:strCache>
                <c:ptCount val="1"/>
                <c:pt idx="0">
                  <c:v>Controller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Experience!$L$9:$Q$9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-6.1500177746178455E-2</c:v>
                </c:pt>
                <c:pt idx="2">
                  <c:v>1.6804123711340206</c:v>
                </c:pt>
                <c:pt idx="3">
                  <c:v>1.0618556701030928</c:v>
                </c:pt>
                <c:pt idx="4">
                  <c:v>2.3937670340087687</c:v>
                </c:pt>
                <c:pt idx="5">
                  <c:v>2.5975826519729828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Experience!$K$10</c:f>
              <c:strCache>
                <c:ptCount val="1"/>
                <c:pt idx="0">
                  <c:v>CXO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Experience!$L$10:$Q$10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</c:v>
                </c:pt>
                <c:pt idx="2">
                  <c:v>0.70444444444444443</c:v>
                </c:pt>
                <c:pt idx="3">
                  <c:v>0.46666666666666667</c:v>
                </c:pt>
                <c:pt idx="4">
                  <c:v>1.3866666666666667</c:v>
                </c:pt>
                <c:pt idx="5">
                  <c:v>1.4119999999999999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Experience!$K$11</c:f>
              <c:strCache>
                <c:ptCount val="1"/>
                <c:pt idx="0">
                  <c:v>Engineer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Experience!$L$11:$Q$11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0.70886075949367089</c:v>
                </c:pt>
                <c:pt idx="2">
                  <c:v>0.73417721518987344</c:v>
                </c:pt>
                <c:pt idx="3">
                  <c:v>0.759493670886076</c:v>
                </c:pt>
                <c:pt idx="4">
                  <c:v>0</c:v>
                </c:pt>
                <c:pt idx="5">
                  <c:v>0.9615189873417721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Experience!$K$12</c:f>
              <c:strCache>
                <c:ptCount val="1"/>
                <c:pt idx="0">
                  <c:v>Manager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Experience!$L$12:$Q$12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2.5000000000000088E-2</c:v>
                </c:pt>
                <c:pt idx="2">
                  <c:v>0.31931818181818189</c:v>
                </c:pt>
                <c:pt idx="3">
                  <c:v>0.42444259634888448</c:v>
                </c:pt>
                <c:pt idx="4">
                  <c:v>-5.4344827586206956E-2</c:v>
                </c:pt>
                <c:pt idx="5">
                  <c:v>0.57499999999999996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Experience!$K$13</c:f>
              <c:strCache>
                <c:ptCount val="1"/>
                <c:pt idx="0">
                  <c:v>Misc.</c:v>
                </c:pt>
              </c:strCache>
            </c:strRef>
          </c:tx>
          <c:spPr>
            <a:ln w="9525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Experience!$L$13:$Q$13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</c:v>
                </c:pt>
                <c:pt idx="2">
                  <c:v>-0.14412643678160919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Experience!$K$14</c:f>
              <c:strCache>
                <c:ptCount val="1"/>
                <c:pt idx="0">
                  <c:v>Reporting</c:v>
                </c:pt>
              </c:strCache>
            </c:strRef>
          </c:tx>
          <c:spPr>
            <a:ln w="6350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Experience!$L$14:$Q$14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Experience!$K$15</c:f>
              <c:strCache>
                <c:ptCount val="1"/>
                <c:pt idx="0">
                  <c:v>Specialist</c:v>
                </c:pt>
              </c:strCache>
            </c:strRef>
          </c:tx>
          <c:spPr>
            <a:ln w="9525">
              <a:noFill/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Experience!$L$15:$Q$15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-0.14166666666666666</c:v>
                </c:pt>
                <c:pt idx="2">
                  <c:v>-0.2</c:v>
                </c:pt>
                <c:pt idx="3">
                  <c:v>0</c:v>
                </c:pt>
                <c:pt idx="4">
                  <c:v>-0.19166666666666668</c:v>
                </c:pt>
                <c:pt idx="5">
                  <c:v>3.3333333333333333E-2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Experience!$K$17</c:f>
              <c:strCache>
                <c:ptCount val="1"/>
                <c:pt idx="0">
                  <c:v>Accountant</c:v>
                </c:pt>
              </c:strCache>
            </c:strRef>
          </c:tx>
          <c:spPr>
            <a:ln w="38100">
              <a:solidFill>
                <a:srgbClr val="FFC000"/>
              </a:solidFill>
            </a:ln>
          </c:spPr>
          <c:marker>
            <c:symbol val="none"/>
          </c:marker>
          <c:cat>
            <c:strRef>
              <c:f>Experience!$L$5:$Q$5</c:f>
              <c:strCache>
                <c:ptCount val="6"/>
                <c:pt idx="0">
                  <c:v>0-2 Years</c:v>
                </c:pt>
                <c:pt idx="1">
                  <c:v>3-5 Years</c:v>
                </c:pt>
                <c:pt idx="2">
                  <c:v>5-10 Years</c:v>
                </c:pt>
                <c:pt idx="3">
                  <c:v>11-15 Years</c:v>
                </c:pt>
                <c:pt idx="4">
                  <c:v>16-20 Years</c:v>
                </c:pt>
                <c:pt idx="5">
                  <c:v>20+ Years</c:v>
                </c:pt>
              </c:strCache>
            </c:strRef>
          </c:cat>
          <c:val>
            <c:numRef>
              <c:f>Experience!$L$17:$Q$17</c:f>
              <c:numCache>
                <c:formatCode>0%</c:formatCode>
                <c:ptCount val="6"/>
                <c:pt idx="0" formatCode="General">
                  <c:v>0.01</c:v>
                </c:pt>
                <c:pt idx="1">
                  <c:v>0.01</c:v>
                </c:pt>
                <c:pt idx="2">
                  <c:v>-0.32072316384180788</c:v>
                </c:pt>
                <c:pt idx="3">
                  <c:v>0.11016949152542373</c:v>
                </c:pt>
                <c:pt idx="4">
                  <c:v>0.18474576271186441</c:v>
                </c:pt>
                <c:pt idx="5">
                  <c:v>0.73728813559322037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239232"/>
        <c:axId val="188597760"/>
      </c:lineChart>
      <c:catAx>
        <c:axId val="188239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6350"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 sz="900" b="1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188597760"/>
        <c:crosses val="autoZero"/>
        <c:auto val="1"/>
        <c:lblAlgn val="ctr"/>
        <c:lblOffset val="100"/>
        <c:noMultiLvlLbl val="0"/>
      </c:catAx>
      <c:valAx>
        <c:axId val="18859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85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n-US"/>
          </a:p>
        </c:txPr>
        <c:crossAx val="188239232"/>
        <c:crosses val="autoZero"/>
        <c:crossBetween val="between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5</xdr:row>
      <xdr:rowOff>171449</xdr:rowOff>
    </xdr:from>
    <xdr:to>
      <xdr:col>11</xdr:col>
      <xdr:colOff>457201</xdr:colOff>
      <xdr:row>29</xdr:row>
      <xdr:rowOff>628650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971550</xdr:colOff>
          <xdr:row>4</xdr:row>
          <xdr:rowOff>66675</xdr:rowOff>
        </xdr:to>
        <xdr:sp macro="" textlink="">
          <xdr:nvSpPr>
            <xdr:cNvPr id="6155" name="Locatio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3</xdr:row>
          <xdr:rowOff>0</xdr:rowOff>
        </xdr:from>
        <xdr:to>
          <xdr:col>5</xdr:col>
          <xdr:colOff>276225</xdr:colOff>
          <xdr:row>4</xdr:row>
          <xdr:rowOff>66675</xdr:rowOff>
        </xdr:to>
        <xdr:sp macro="" textlink="">
          <xdr:nvSpPr>
            <xdr:cNvPr id="6159" name="ComboBox2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3</xdr:row>
          <xdr:rowOff>0</xdr:rowOff>
        </xdr:from>
        <xdr:to>
          <xdr:col>8</xdr:col>
          <xdr:colOff>371475</xdr:colOff>
          <xdr:row>4</xdr:row>
          <xdr:rowOff>66675</xdr:rowOff>
        </xdr:to>
        <xdr:sp macro="" textlink="">
          <xdr:nvSpPr>
            <xdr:cNvPr id="6160" name="ComboBox3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0</xdr:rowOff>
        </xdr:from>
        <xdr:to>
          <xdr:col>11</xdr:col>
          <xdr:colOff>457200</xdr:colOff>
          <xdr:row>4</xdr:row>
          <xdr:rowOff>66675</xdr:rowOff>
        </xdr:to>
        <xdr:sp macro="" textlink="">
          <xdr:nvSpPr>
            <xdr:cNvPr id="6161" name="ComboBox1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</xdr:row>
          <xdr:rowOff>0</xdr:rowOff>
        </xdr:from>
        <xdr:to>
          <xdr:col>16</xdr:col>
          <xdr:colOff>542925</xdr:colOff>
          <xdr:row>4</xdr:row>
          <xdr:rowOff>66675</xdr:rowOff>
        </xdr:to>
        <xdr:sp macro="" textlink="">
          <xdr:nvSpPr>
            <xdr:cNvPr id="6163" name="ComboBox4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9525</xdr:colOff>
      <xdr:row>5</xdr:row>
      <xdr:rowOff>161925</xdr:rowOff>
    </xdr:from>
    <xdr:to>
      <xdr:col>18</xdr:col>
      <xdr:colOff>923925</xdr:colOff>
      <xdr:row>29</xdr:row>
      <xdr:rowOff>628650</xdr:rowOff>
    </xdr:to>
    <xdr:grpSp>
      <xdr:nvGrpSpPr>
        <xdr:cNvPr id="10" name="Group 9"/>
        <xdr:cNvGrpSpPr/>
      </xdr:nvGrpSpPr>
      <xdr:grpSpPr>
        <a:xfrm>
          <a:off x="7562850" y="1028700"/>
          <a:ext cx="4714875" cy="4410075"/>
          <a:chOff x="126606" y="1013980"/>
          <a:chExt cx="6867525" cy="3100388"/>
        </a:xfrm>
      </xdr:grpSpPr>
      <xdr:graphicFrame macro="">
        <xdr:nvGraphicFramePr>
          <xdr:cNvPr id="11" name="Chart 10"/>
          <xdr:cNvGraphicFramePr/>
        </xdr:nvGraphicFramePr>
        <xdr:xfrm>
          <a:off x="126606" y="1013980"/>
          <a:ext cx="6867525" cy="31003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Experience!S17">
        <xdr:nvSpPr>
          <xdr:cNvPr id="12" name="Rounded Rectangle 11"/>
          <xdr:cNvSpPr/>
        </xdr:nvSpPr>
        <xdr:spPr>
          <a:xfrm>
            <a:off x="911216" y="1132338"/>
            <a:ext cx="2811102" cy="584753"/>
          </a:xfrm>
          <a:prstGeom prst="roundRect">
            <a:avLst/>
          </a:prstGeom>
          <a:solidFill>
            <a:schemeClr val="bg1">
              <a:lumMod val="75000"/>
              <a:alpha val="75000"/>
            </a:schemeClr>
          </a:solidFill>
          <a:ln w="22225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62772932-2900-44F4-B602-D3568E7EAD03}" type="TxLink">
              <a:rPr lang="en-US" sz="1000" b="1">
                <a:solidFill>
                  <a:schemeClr val="tx1">
                    <a:lumMod val="75000"/>
                    <a:lumOff val="25000"/>
                  </a:schemeClr>
                </a:solidFill>
              </a:rPr>
              <a:pPr algn="l"/>
              <a:t>Accountant's in this location experience an average increase of  roughly 3.7% every year over a twenty year period</a:t>
            </a:fld>
            <a:endParaRPr lang="en-US" sz="10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11</xdr:col>
      <xdr:colOff>495300</xdr:colOff>
      <xdr:row>2</xdr:row>
      <xdr:rowOff>9525</xdr:rowOff>
    </xdr:from>
    <xdr:to>
      <xdr:col>19</xdr:col>
      <xdr:colOff>57150</xdr:colOff>
      <xdr:row>5</xdr:row>
      <xdr:rowOff>19050</xdr:rowOff>
    </xdr:to>
    <xdr:sp macro="" textlink="">
      <xdr:nvSpPr>
        <xdr:cNvPr id="2" name="Rounded Rectangle 1"/>
        <xdr:cNvSpPr/>
      </xdr:nvSpPr>
      <xdr:spPr>
        <a:xfrm>
          <a:off x="7543800" y="352425"/>
          <a:ext cx="4800600" cy="476250"/>
        </a:xfrm>
        <a:prstGeom prst="roundRect">
          <a:avLst/>
        </a:prstGeom>
        <a:noFill/>
        <a:ln w="15875"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lred, Benjamin [USA]" refreshedDate="41096.726808796295" createdVersion="4" refreshedVersion="4" minRefreshableVersion="3" recordCount="1883">
  <cacheSource type="worksheet">
    <worksheetSource name="tblSalaries"/>
  </cacheSource>
  <cacheFields count="29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44">
      <sharedItems containsSemiMixedTypes="0" containsString="0" containsNumber="1" minValue="1783.166904422254" maxValue="1229201.9037879086"/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zil"/>
        <s v="UAE"/>
        <s v="Saudi Arabia"/>
        <s v="Panama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  <s v="Brasil" u="1"/>
      </sharedItems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String="0" containsBlank="1" containsNumber="1" minValue="0" maxValue="40"/>
    </cacheField>
    <cacheField name="0-2 Years" numFmtId="0">
      <sharedItems containsMixedTypes="1" containsNumber="1" containsInteger="1" minValue="1" maxValue="1"/>
    </cacheField>
    <cacheField name="3-5 Years" numFmtId="0">
      <sharedItems containsMixedTypes="1" containsNumber="1" containsInteger="1" minValue="1" maxValue="1"/>
    </cacheField>
    <cacheField name="5-10 Years" numFmtId="0">
      <sharedItems containsMixedTypes="1" containsNumber="1" containsInteger="1" minValue="1" maxValue="1"/>
    </cacheField>
    <cacheField name="11-15 Years" numFmtId="0">
      <sharedItems containsMixedTypes="1" containsNumber="1" containsInteger="1" minValue="1" maxValue="1"/>
    </cacheField>
    <cacheField name="16-20 Years" numFmtId="0">
      <sharedItems containsMixedTypes="1" containsNumber="1" containsInteger="1" minValue="1" maxValue="1"/>
    </cacheField>
    <cacheField name="20+ Years" numFmtId="0">
      <sharedItems containsMixedTypes="1" containsNumber="1" containsInteger="1" minValue="1" maxValue="1"/>
    </cacheField>
    <cacheField name="YearsExpGroup" numFmtId="0">
      <sharedItems containsMixedTypes="1" containsNumber="1" containsInteger="1" minValue="0" maxValue="40" count="43">
        <s v=""/>
        <s v="3-5 Years"/>
        <s v="16-20 Years"/>
        <s v="5-10 Years"/>
        <s v="0-2 Years"/>
        <s v="11-15 Years"/>
        <s v="20+ Years"/>
        <n v="0" u="1"/>
        <n v="34" u="1"/>
        <n v="13" u="1"/>
        <n v="36" u="1"/>
        <n v="5" u="1"/>
        <n v="14" u="1"/>
        <n v="40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1" u="1"/>
        <n v="23" u="1"/>
        <n v="3" u="1"/>
        <n v="8" u="1"/>
        <n v="25" u="1"/>
        <n v="9" u="1"/>
        <n v="26" u="1"/>
        <n v="27" u="1"/>
        <n v="10" u="1"/>
        <n v="28" u="1"/>
        <n v="29" u="1"/>
        <n v="11" u="1"/>
        <n v="30" u="1"/>
        <n v="4" u="1"/>
        <n v="12" u="1"/>
        <n v="32" u="1"/>
      </sharedItems>
    </cacheField>
    <cacheField name="Accountant" numFmtId="0">
      <sharedItems containsMixedTypes="1" containsNumber="1" minValue="1783.166904422254" maxValue="1229201.9037879086" count="113">
        <s v=""/>
        <n v="12227.430201752599"/>
        <n v="58000"/>
        <n v="57000"/>
        <n v="63047.130882691366"/>
        <n v="4320"/>
        <n v="37900"/>
        <n v="70000"/>
        <n v="65000"/>
        <n v="36000"/>
        <n v="15500"/>
        <n v="100000"/>
        <n v="22880"/>
        <n v="60000"/>
        <n v="45000"/>
        <n v="78000"/>
        <n v="6232.7708406048987"/>
        <n v="65250"/>
        <n v="79000"/>
        <n v="62400"/>
        <n v="77000"/>
        <n v="27221.92126875931"/>
        <n v="150000"/>
        <n v="55000"/>
        <n v="55166.239522354947"/>
        <n v="52000"/>
        <n v="8500"/>
        <n v="71231.666749770273"/>
        <n v="59894.774338556796"/>
        <n v="1229201.9037879086"/>
        <n v="110000"/>
        <n v="61000"/>
        <n v="62564.631571458704"/>
        <n v="43000"/>
        <n v="132588.25533234264"/>
        <n v="15092.18020692008"/>
        <n v="79552.953199405587"/>
        <n v="3561.5833374885137"/>
        <n v="2122.8177433598262"/>
        <n v="24000"/>
        <n v="33500"/>
        <n v="3205.4250037396623"/>
        <n v="12821.700014958649"/>
        <n v="15000"/>
        <n v="10684.750012465542"/>
        <n v="4273.9000049862161"/>
        <n v="2136.9500024931081"/>
        <n v="30232"/>
        <n v="3650.6229209257262"/>
        <n v="19068"/>
        <n v="9146.5655463031271"/>
        <n v="40067.812546745779"/>
        <n v="20514.720023933838"/>
        <n v="13100"/>
        <n v="85000"/>
        <n v="38111.983169748237"/>
        <n v="10000"/>
        <n v="36500"/>
        <n v="7123.1666749770275"/>
        <n v="126094.26176538273"/>
        <n v="30000"/>
        <n v="20000"/>
        <n v="75770.868892469181"/>
        <n v="5342.3750062327708"/>
        <n v="4487.5950052355274"/>
        <n v="2400"/>
        <n v="29261.227167098674"/>
        <n v="7265.630008476568"/>
        <n v="2493.1083362419595"/>
        <n v="50815.977559664309"/>
        <n v="4314.929445034084"/>
        <n v="47285.348162018527"/>
        <n v="6000"/>
        <n v="1783.166904422254"/>
        <n v="59106.685202523156"/>
        <n v="44654.095718350931"/>
        <n v="67775.665698893223"/>
        <n v="19000"/>
        <n v="53590.061250287661"/>
        <n v="23000"/>
        <n v="40000"/>
        <n v="49200"/>
        <n v="45709.169889951241"/>
        <n v="39404.456801682099"/>
        <n v="56000"/>
        <n v="63000"/>
        <n v="81592.772512210868"/>
        <n v="107000"/>
        <n v="140000"/>
        <n v="3000"/>
        <n v="63807.047488395103"/>
        <n v="50000"/>
        <n v="25000"/>
        <n v="71393.675948184507"/>
        <n v="127488.70705032947"/>
        <n v="63519.971949580387"/>
        <n v="64300"/>
        <n v="38000"/>
        <n v="177600"/>
        <n v="75000"/>
        <n v="55954.328658388586"/>
        <n v="42000"/>
        <n v="131770.4440860638"/>
        <n v="18000"/>
        <n v="21342.710575059013"/>
        <n v="120000"/>
        <n v="7568.3645921630914"/>
        <n v="78808.913603364199"/>
        <n v="6720"/>
        <n v="48000"/>
        <n v="31523.565441345683"/>
        <n v="59819.107020370408"/>
        <n v="64254.308353366054"/>
      </sharedItems>
    </cacheField>
    <cacheField name="Analyst" numFmtId="0">
      <sharedItems containsMixedTypes="1" containsNumber="1" minValue="2136.9500024931081" maxValue="245840.3807575817" count="353">
        <n v="5846"/>
        <s v=""/>
        <n v="58000"/>
        <n v="41731"/>
        <n v="12000"/>
        <n v="13338.129598894484"/>
        <n v="49000"/>
        <n v="96000"/>
        <n v="60000"/>
        <n v="55166.239522354947"/>
        <n v="19200"/>
        <n v="14500"/>
        <n v="50437.70470615309"/>
        <n v="100000"/>
        <n v="62000"/>
        <n v="7500"/>
        <n v="38000"/>
        <n v="68000"/>
        <n v="55068.245289698301"/>
        <n v="48275.178681681093"/>
        <n v="85087"/>
        <n v="50000"/>
        <n v="57000"/>
        <n v="157617.8272067284"/>
        <n v="18000"/>
        <n v="26000"/>
        <n v="31330"/>
        <n v="40000"/>
        <n v="41301.183967273726"/>
        <n v="75000"/>
        <n v="80000"/>
        <n v="21000"/>
        <n v="36000"/>
        <n v="57400"/>
        <n v="66000"/>
        <n v="85000"/>
        <n v="67000"/>
        <n v="56160"/>
        <n v="52000"/>
        <n v="59001.691381819612"/>
        <n v="40958.208381117904"/>
        <n v="44383.603963142654"/>
        <n v="45000"/>
        <n v="54000"/>
        <n v="71000"/>
        <n v="60968.414427880263"/>
        <n v="53000"/>
        <n v="92000"/>
        <n v="37440"/>
        <n v="90000"/>
        <n v="66500"/>
        <n v="8903.9583437212841"/>
        <n v="88502.537072729421"/>
        <n v="3205.4250037396623"/>
        <n v="46584"/>
        <n v="111680"/>
        <n v="41406"/>
        <n v="40700"/>
        <n v="28000"/>
        <n v="70000"/>
        <n v="4897.177089046706"/>
        <n v="3419.1200039889732"/>
        <n v="47285.348162018527"/>
        <n v="63519.971949580387"/>
        <n v="108160"/>
        <n v="43000"/>
        <n v="27000"/>
        <n v="42140"/>
        <n v="3561.5833374885137"/>
        <n v="52500"/>
        <n v="73000"/>
        <n v="47700"/>
        <n v="31000"/>
        <n v="8369.7208430980063"/>
        <n v="51000"/>
        <n v="94570.696324037053"/>
        <n v="44132.991617883956"/>
        <n v="4914.9850057341491"/>
        <n v="55000"/>
        <n v="99000"/>
        <n v="20000"/>
        <n v="46000"/>
        <n v="14000"/>
        <n v="97000"/>
        <n v="65000"/>
        <n v="8013.5625093491553"/>
        <n v="41000"/>
        <n v="10956.982885192734"/>
        <n v="137500"/>
        <n v="4545"/>
        <n v="45709.169889951241"/>
        <n v="61000"/>
        <n v="7123.1666749770275"/>
        <n v="6410.8500074793246"/>
        <n v="63000"/>
        <n v="95000"/>
        <n v="6588.9291743537506"/>
        <n v="44200"/>
        <n v="73752.11422727452"/>
        <n v="170000"/>
        <n v="35000"/>
        <n v="160271.25018698312"/>
        <n v="78668.921842426149"/>
        <n v="48000"/>
        <n v="44000"/>
        <n v="13355.937515581925"/>
        <n v="17598.017290051986"/>
        <n v="34000"/>
        <n v="28109.627547434993"/>
        <n v="56000"/>
        <n v="51613"/>
        <n v="89944.280280605832"/>
        <n v="76600"/>
        <n v="8500"/>
        <n v="72000"/>
        <n v="39404.456801682099"/>
        <n v="2225.989585930321"/>
        <n v="30000"/>
        <n v="45234.630059395036"/>
        <n v="84000"/>
        <n v="67360.264327577388"/>
        <n v="77000"/>
        <n v="19055.991584874118"/>
        <n v="25849.323661903458"/>
        <n v="122941.90522124816"/>
        <n v="104000"/>
        <n v="61194.579384158147"/>
        <n v="86692.320794224041"/>
        <n v="111000"/>
        <n v="78533.043543002947"/>
        <n v="27500"/>
        <n v="69871.969144538423"/>
        <n v="63807.047488395103"/>
        <n v="33099.743713412965"/>
        <n v="4285"/>
        <n v="22438.012440857987"/>
        <n v="40414"/>
        <n v="120000"/>
        <n v="4273.9000049862161"/>
        <n v="160000"/>
        <n v="7479.3250087258784"/>
        <n v="15136.729184326183"/>
        <n v="245840.3807575817"/>
        <n v="101990.96564026357"/>
        <n v="39000"/>
        <n v="173384.64158844808"/>
        <n v="125000"/>
        <n v="10684.750012465542"/>
        <n v="21500"/>
        <n v="16800"/>
        <n v="5342.3750062327708"/>
        <n v="15000"/>
        <n v="10200"/>
        <n v="3917.7416712373652"/>
        <n v="4630.058338735068"/>
        <n v="2136.9500024931081"/>
        <n v="13000"/>
        <n v="11539.530013462785"/>
        <n v="8547.8000099724322"/>
        <n v="9600"/>
        <n v="6945.0875081026015"/>
        <n v="17807.916687442568"/>
        <n v="5022"/>
        <n v="7301.2458418514525"/>
        <n v="19831.432821021317"/>
        <n v="4800"/>
        <n v="83846.362973446114"/>
        <n v="10000"/>
        <n v="34357.533974522659"/>
        <n v="8000"/>
        <n v="12465.541681209797"/>
        <n v="24000"/>
        <n v="96891.417358250401"/>
        <n v="10150.512511842264"/>
        <n v="64901.860520001574"/>
        <n v="2671.1875031163854"/>
        <n v="66294.12766617132"/>
        <n v="6713.584591165848"/>
        <n v="33900"/>
        <n v="109729.60187662003"/>
        <n v="2564.3400029917298"/>
        <n v="148284.35006969364"/>
        <n v="9794.354178093412"/>
        <n v="6000"/>
        <n v="11575.14584683767"/>
        <n v="92500"/>
        <n v="3000"/>
        <n v="43600"/>
        <n v="9616.275011218986"/>
        <n v="16337.518501630093"/>
        <n v="4500"/>
        <n v="115000"/>
        <n v="26400"/>
        <n v="50815.977559664309"/>
        <n v="3982.448779308334"/>
        <n v="75010"/>
        <n v="13801.135432767991"/>
        <n v="36400"/>
        <n v="28310.79811950968"/>
        <n v="105000"/>
        <n v="78808.913603364199"/>
        <n v="9490.1984044603923"/>
        <n v="95279.957924370581"/>
        <n v="57167.974754622352"/>
        <n v="59819.107020370408"/>
        <n v="150000"/>
        <n v="91791.869076237213"/>
        <n v="45616"/>
        <n v="63234.398696963413"/>
        <n v="95871.50770184776"/>
        <n v="122389.15876831629"/>
        <n v="53035.30213293706"/>
        <n v="19000"/>
        <n v="93831.688389042494"/>
        <n v="34417.653306061438"/>
        <n v="6232.7708406048987"/>
        <n v="11397.066679963244"/>
        <n v="6499.8895909165376"/>
        <n v="43867.345148271634"/>
        <n v="50995.482820131787"/>
        <n v="9438.1958443445619"/>
        <n v="21369.500024931083"/>
        <n v="24588.381044249632"/>
        <n v="7799.8675090998449"/>
        <n v="7200"/>
        <n v="31523.565441345683"/>
        <n v="36252.100257547536"/>
        <n v="47004.779242689488"/>
        <n v="91418.339779902482"/>
        <n v="124518.08349331544"/>
        <n v="69213.140283018583"/>
        <n v="18987"/>
        <n v="3739.6625043629392"/>
        <n v="38111.983169748237"/>
        <n v="15190.15293438851"/>
        <n v="69000"/>
        <n v="8600"/>
        <n v="81600"/>
        <n v="15404.364569961488"/>
        <n v="63918.498996971248"/>
        <n v="59000"/>
        <n v="52118.160720607324"/>
        <n v="50064.150455673145"/>
        <n v="27840"/>
        <n v="58799.349940520107"/>
        <n v="18018.883790212141"/>
        <n v="95856"/>
        <n v="40980.635073749385"/>
        <n v="78764.765217479682"/>
        <n v="152986.44846039536"/>
        <n v="44463.980364706273"/>
        <n v="5082.6943786459069"/>
        <n v="40586.590505732565"/>
        <n v="50846"/>
        <n v="50700"/>
        <n v="7261.724659606657"/>
        <n v="112190.06220428993"/>
        <n v="48955.663507326513"/>
        <n v="11800"/>
        <n v="26711.875031163851"/>
        <n v="61614.372791092981"/>
        <n v="36206.384011260823"/>
        <n v="9000"/>
        <n v="28492.66669990811"/>
        <n v="49500"/>
        <n v="43828.780645210471"/>
        <n v="11518.711713336908"/>
        <n v="4451.9791718606421"/>
        <n v="110000"/>
        <n v="39355.495879248076"/>
        <n v="50694.322109187968"/>
        <n v="83000"/>
        <n v="73500"/>
        <n v="77500"/>
        <n v="60800"/>
        <n v="45734.379803697877"/>
        <n v="64500"/>
        <n v="57678"/>
        <n v="80442"/>
        <n v="57875.729234188344"/>
        <n v="56095.031102144967"/>
        <n v="102000"/>
        <n v="4356"/>
        <n v="16027.125018698311"/>
        <n v="87712.230450626681"/>
        <n v="32187.34988380854"/>
        <n v="5698.5333399816218"/>
        <n v="11040.908346214392"/>
        <n v="26795.030625143831"/>
        <n v="149907.13380100971"/>
        <n v="4095.8208381117906"/>
        <n v="12821.700014958649"/>
        <n v="4000"/>
        <n v="42000"/>
        <n v="76223.966339496474"/>
        <n v="25000"/>
        <n v="76000"/>
        <n v="15761.782720672842"/>
        <n v="75473.31457379504"/>
        <n v="74300"/>
        <n v="145000"/>
        <n v="89000"/>
        <n v="49168.076151516347"/>
        <n v="6767.0083412281756"/>
        <n v="70970"/>
        <n v="14400"/>
        <n v="72768.752704244194"/>
        <n v="71500"/>
        <n v="31200"/>
        <n v="15840"/>
        <n v="17728"/>
        <n v="32054.250037396621"/>
        <n v="35500"/>
        <n v="33887.832849446611"/>
        <n v="32884"/>
        <n v="58318.59606648951"/>
        <n v="106000"/>
        <n v="86000"/>
        <n v="3360"/>
        <n v="11000"/>
        <n v="30500"/>
        <n v="48500"/>
        <n v="56628.754645950656"/>
        <n v="26678.388218823762"/>
        <n v="70928.022243027779"/>
        <n v="41923.181486723057"/>
        <n v="67700.452577525488"/>
        <n v="49443.946165553374"/>
        <n v="81000"/>
        <n v="35401.014829091764"/>
        <n v="8400"/>
        <n v="42556.81334581667"/>
        <n v="68835.306612122877"/>
        <n v="7497.1329254133216"/>
        <n v="63047.130882691366"/>
        <n v="88000"/>
        <n v="4594.4425053601826"/>
        <n v="21903.737525554359"/>
        <n v="20122.945856810104"/>
        <n v="35148.775467100437"/>
        <n v="2400"/>
        <n v="3600"/>
        <n v="33600"/>
        <n v="39334.460921213074"/>
        <n v="76702.198796365497"/>
        <n v="4986.216672483919"/>
        <n v="42307"/>
        <n v="24391.669228638868"/>
        <n v="16110"/>
        <n v="32311.654577379326"/>
        <n v="5000"/>
        <n v="77819.106783521114"/>
        <n v="46359"/>
      </sharedItems>
    </cacheField>
    <cacheField name="Consultant" numFmtId="0">
      <sharedItems containsMixedTypes="1" containsNumber="1" minValue="2564.3400029917298" maxValue="250000" count="73">
        <s v=""/>
        <n v="8903.9583437212841"/>
        <n v="30000"/>
        <n v="71393.675948184507"/>
        <n v="12000"/>
        <n v="54627.175876639136"/>
        <n v="15000"/>
        <n v="81000"/>
        <n v="2564.3400029917298"/>
        <n v="74000"/>
        <n v="69000"/>
        <n v="80000"/>
        <n v="90469.260118790073"/>
        <n v="96000"/>
        <n v="83033.071372504521"/>
        <n v="27600"/>
        <n v="26711.875031163851"/>
        <n v="11400"/>
        <n v="157337.8436848523"/>
        <n v="68954.520184280962"/>
        <n v="220700"/>
        <n v="115000"/>
        <n v="3561.5833374885137"/>
        <n v="250000"/>
        <n v="94570.696324037053"/>
        <n v="92994.518051969761"/>
        <n v="20000"/>
        <n v="150000"/>
        <n v="95000"/>
        <n v="6368.453230079479"/>
        <n v="31523.565441345683"/>
        <n v="36000"/>
        <n v="108000"/>
        <n v="86692.320794224041"/>
        <n v="105000"/>
        <n v="8369.7208430980063"/>
        <n v="3000"/>
        <n v="7123.1666749770275"/>
        <n v="48000"/>
        <n v="5000"/>
        <n v="101206.40684944032"/>
        <n v="60000"/>
        <n v="80289.244544269619"/>
        <n v="53356.776437647524"/>
        <n v="101990.96564026357"/>
        <n v="21369.500024931083"/>
        <n v="173384.64158844808"/>
        <n v="40980.635073749385"/>
        <n v="5342.3750062327708"/>
        <n v="126094.26176538273"/>
        <n v="88927.960729412545"/>
        <n v="21228.177433598263"/>
        <n v="19055.991584874118"/>
        <n v="8547.8000099724322"/>
        <n v="19588.708356186824"/>
        <n v="38111.983169748237"/>
        <n v="90198.36016840415"/>
        <n v="72000"/>
        <n v="120000"/>
        <n v="82000"/>
        <n v="70928.022243027779"/>
        <n v="110332.47904470989"/>
        <n v="14000"/>
        <n v="10684.750012465542"/>
        <n v="48073.437298052166"/>
        <n v="125000"/>
        <n v="41000"/>
        <n v="75000"/>
        <n v="100000"/>
        <n v="85672.4111378214"/>
        <n v="55068.245289698301"/>
        <n v="6410.8500074793246"/>
        <n v="37500"/>
      </sharedItems>
    </cacheField>
    <cacheField name="Controller" numFmtId="0">
      <sharedItems containsMixedTypes="1" containsNumber="1" minValue="2564.3400029917298" maxValue="228671.89901848941" count="61">
        <s v=""/>
        <n v="15000"/>
        <n v="48000"/>
        <n v="85000"/>
        <n v="145000"/>
        <n v="99000"/>
        <n v="72500"/>
        <n v="82575.963534454509"/>
        <n v="70802.029658183528"/>
        <n v="102451.58768437347"/>
        <n v="108169.76753333595"/>
        <n v="55500"/>
        <n v="15600"/>
        <n v="140000"/>
        <n v="13800"/>
        <n v="80000"/>
        <n v="14960"/>
        <n v="5342.3750062327708"/>
        <n v="86689.804963700633"/>
        <n v="30000"/>
        <n v="19818.231248269083"/>
        <n v="157617.8272067284"/>
        <n v="36000"/>
        <n v="2564.3400029917298"/>
        <n v="150000"/>
        <n v="42000"/>
        <n v="50995.482820131787"/>
        <n v="65000"/>
        <n v="8700"/>
        <n v="12000"/>
        <n v="21369.500024931083"/>
        <n v="75000"/>
        <n v="126094.26176538273"/>
        <n v="100000"/>
        <n v="67775.665698893223"/>
        <n v="69000"/>
        <n v="16027.125018698311"/>
        <n v="49975.573163729154"/>
        <n v="30489.586535798586"/>
        <n v="57167.974754622352"/>
        <n v="78764.765217479682"/>
        <n v="33000"/>
        <n v="103000"/>
        <n v="228671.89901848941"/>
        <n v="92000"/>
        <n v="24000"/>
        <n v="9509.8988293070688"/>
        <n v="7200"/>
        <n v="42558.381206218859"/>
        <n v="110000"/>
        <n v="46325"/>
        <n v="13745.704467353951"/>
        <n v="63519.971949580387"/>
        <n v="35063.024516168378"/>
        <n v="82888.5550559455"/>
        <n v="4273.9000049862161"/>
        <n v="115061.01386091174"/>
        <n v="147886.90017838217"/>
        <n v="214000"/>
        <n v="114335.9495092447"/>
        <n v="35571.184291765021"/>
      </sharedItems>
    </cacheField>
    <cacheField name="CXO or Top Mgmt." numFmtId="0">
      <sharedItems containsMixedTypes="1" containsNumber="1" containsInteger="1" minValue="8000" maxValue="4500000" count="51">
        <s v=""/>
        <n v="44000"/>
        <n v="75000"/>
        <n v="85000"/>
        <n v="150000"/>
        <n v="125000"/>
        <n v="95000"/>
        <n v="104000"/>
        <n v="100000"/>
        <n v="114000"/>
        <n v="103000"/>
        <n v="80000"/>
        <n v="16000"/>
        <n v="62500"/>
        <n v="18000"/>
        <n v="194000"/>
        <n v="60000"/>
        <n v="30000"/>
        <n v="72000"/>
        <n v="120000"/>
        <n v="800000"/>
        <n v="169000"/>
        <n v="190000"/>
        <n v="200000"/>
        <n v="188000"/>
        <n v="300000"/>
        <n v="4500000"/>
        <n v="55000"/>
        <n v="50000"/>
        <n v="135000"/>
        <n v="1200000"/>
        <n v="20571"/>
        <n v="260000"/>
        <n v="70000"/>
        <n v="2500000"/>
        <n v="45000"/>
        <n v="450000"/>
        <n v="35000"/>
        <n v="192000"/>
        <n v="105000"/>
        <n v="750000"/>
        <n v="127500"/>
        <n v="170000"/>
        <n v="8000"/>
        <n v="1700000"/>
        <n v="54000"/>
        <n v="10000"/>
        <n v="225000"/>
        <n v="118000"/>
        <n v="110000"/>
        <n v="100800"/>
      </sharedItems>
    </cacheField>
    <cacheField name="Engineer" numFmtId="0">
      <sharedItems containsMixedTypes="1" containsNumber="1" minValue="2671.1875031163854" maxValue="231119.74856804207" count="64">
        <s v=""/>
        <n v="54000"/>
        <n v="14000"/>
        <n v="85000"/>
        <n v="75000"/>
        <n v="16027.125018698311"/>
        <n v="69000"/>
        <n v="68835.306612122877"/>
        <n v="110000"/>
        <n v="57000"/>
        <n v="92000"/>
        <n v="138000"/>
        <n v="70000"/>
        <n v="48861.526434085805"/>
        <n v="31523.565441345683"/>
        <n v="130000"/>
        <n v="72500"/>
        <n v="9616.275011218986"/>
        <n v="5342.3750062327708"/>
        <n v="24000"/>
        <n v="6629"/>
        <n v="74000"/>
        <n v="18000"/>
        <n v="14246.333349954055"/>
        <n v="37000"/>
        <n v="8903.9583437212841"/>
        <n v="16000"/>
        <n v="36000"/>
        <n v="20000"/>
        <n v="3917.7416712373652"/>
        <n v="15500"/>
        <n v="53356.776437647524"/>
        <n v="7123.1666749770275"/>
        <n v="7265"/>
        <n v="45000"/>
        <n v="63519.971949580387"/>
        <n v="40000"/>
        <n v="50000"/>
        <n v="60000"/>
        <n v="11404.820437438224"/>
        <n v="52086.37699865592"/>
        <n v="42556.81334581667"/>
        <n v="8013.5625093491553"/>
        <n v="69960"/>
        <n v="44000"/>
        <n v="95000"/>
        <n v="57600"/>
        <n v="77000"/>
        <n v="39879.404680246938"/>
        <n v="231119.74856804207"/>
        <n v="168285.09330643489"/>
        <n v="76223.966339496474"/>
        <n v="4451.9791718606421"/>
        <n v="9376.2513877177607"/>
        <n v="62000"/>
        <n v="14400"/>
        <n v="80000"/>
        <n v="12000"/>
        <n v="2671.1875031163854"/>
        <n v="159105.90639881117"/>
        <n v="78000"/>
        <n v="52801.972114254015"/>
        <n v="29000"/>
        <n v="102542.54233725216"/>
      </sharedItems>
    </cacheField>
    <cacheField name="Manager" numFmtId="0">
      <sharedItems containsMixedTypes="1" containsNumber="1" minValue="1805.7739622442759" maxValue="400000" count="308">
        <s v=""/>
        <n v="184207.91865378313"/>
        <n v="107000"/>
        <n v="9794.354178093412"/>
        <n v="50000"/>
        <n v="13500"/>
        <n v="17807.916687442568"/>
        <n v="40000"/>
        <n v="41160.941823328096"/>
        <n v="10684.750012465542"/>
        <n v="41000"/>
        <n v="150000"/>
        <n v="7123.1666749770275"/>
        <n v="14246.333349954055"/>
        <n v="57167.974754622352"/>
        <n v="30489.586535798586"/>
        <n v="28371.208897211112"/>
        <n v="62249.572510588783"/>
        <n v="61000"/>
        <n v="85000"/>
        <n v="100000"/>
        <n v="75000"/>
        <n v="101990.96564026357"/>
        <n v="33420"/>
        <n v="47285.348162018527"/>
        <n v="120000"/>
        <n v="36000"/>
        <n v="24000"/>
        <n v="91000"/>
        <n v="57000"/>
        <n v="52000"/>
        <n v="44463.980364706273"/>
        <n v="58000"/>
        <n v="48000"/>
        <n v="128000"/>
        <n v="44000"/>
        <n v="110332.47904470989"/>
        <n v="68835.306612122877"/>
        <n v="49168.076151516347"/>
        <n v="88000"/>
        <n v="35000"/>
        <n v="50831.74927416991"/>
        <n v="7479.3250087258784"/>
        <n v="55000"/>
        <n v="23150.291693675339"/>
        <n v="105219.68296424497"/>
        <n v="19588.708356186824"/>
        <n v="29159.298033244755"/>
        <n v="70000"/>
        <n v="13636"/>
        <n v="80000"/>
        <n v="4149.2445881741187"/>
        <n v="90000"/>
        <n v="51000"/>
        <n v="32054.250037396621"/>
        <n v="400000"/>
        <n v="41600"/>
        <n v="8903.9583437212841"/>
        <n v="8547.8000099724322"/>
        <n v="67775.665698893223"/>
        <n v="70928.022243027779"/>
        <n v="21369.500024931083"/>
        <n v="98336.152303032693"/>
        <n v="63918.498996971248"/>
        <n v="140000"/>
        <n v="20000"/>
        <n v="25000"/>
        <n v="130000"/>
        <n v="34191.200039889729"/>
        <n v="54000"/>
        <n v="76000"/>
        <n v="9956.1219482708348"/>
        <n v="15000"/>
        <n v="68000"/>
        <n v="43200"/>
        <n v="3205.4250037396623"/>
        <n v="60000"/>
        <n v="24931.083362419595"/>
        <n v="125000"/>
        <n v="92000"/>
        <n v="22000"/>
        <n v="108000"/>
        <n v="135000"/>
        <n v="29000"/>
        <n v="13000"/>
        <n v="53000"/>
        <n v="56000"/>
        <n v="89000"/>
        <n v="47500"/>
        <n v="41932"/>
        <n v="22867.189901848938"/>
        <n v="11040.908346214392"/>
        <n v="44132.991617883956"/>
        <n v="47000"/>
        <n v="45880"/>
        <n v="63586"/>
        <n v="19200"/>
        <n v="104027.76595644075"/>
        <n v="4273.9000049862161"/>
        <n v="30000"/>
        <n v="5342.3750062327708"/>
        <n v="53423.750062327701"/>
        <n v="78000"/>
        <n v="16027.125018698311"/>
        <n v="51134.799197576998"/>
        <n v="85552.452503638444"/>
        <n v="44921.080753917595"/>
        <n v="131675.52225194403"/>
        <n v="44391.484854502989"/>
        <n v="52013.882978220376"/>
        <n v="12821.700014958649"/>
        <n v="23000"/>
        <n v="91418.339779902482"/>
        <n v="8400"/>
        <n v="65000"/>
        <n v="86093.301341305123"/>
        <n v="72600"/>
        <n v="57530.506930455871"/>
        <n v="82300"/>
        <n v="115061.01386091174"/>
        <n v="8013.5625093491553"/>
        <n v="63519.971949580387"/>
        <n v="158085.99674240855"/>
        <n v="45393.934235537781"/>
        <n v="6000"/>
        <n v="104030.78495306884"/>
        <n v="115000"/>
        <n v="6767.0083412281756"/>
        <n v="21000"/>
        <n v="95000"/>
        <n v="10000"/>
        <n v="71231.666749770273"/>
        <n v="54084.883766667976"/>
        <n v="8000"/>
        <n v="2671.1875031163854"/>
        <n v="7693.0200089751897"/>
        <n v="4000"/>
        <n v="5400"/>
        <n v="186983.12521814698"/>
        <n v="16917.52085307044"/>
        <n v="2938.3062534280239"/>
        <n v="5800"/>
        <n v="4914.9850057341491"/>
        <n v="8738"/>
        <n v="56400"/>
        <n v="4451.9791718606421"/>
        <n v="17067.637625607145"/>
        <n v="2564.3400029917298"/>
        <n v="20479.104190558952"/>
        <n v="7000"/>
        <n v="4957.7240057840108"/>
        <n v="11325.835013213473"/>
        <n v="6677.9687577909626"/>
        <n v="67794.987956419791"/>
        <n v="31250"/>
        <n v="2165.2740982270229"/>
        <n v="116637.19213297902"/>
        <n v="102451.58768437347"/>
        <n v="6410.8500074793246"/>
        <n v="11000"/>
        <n v="9171.0323574730355"/>
        <n v="45000"/>
        <n v="48500"/>
        <n v="11575.14584683767"/>
        <n v="9188.8850107203652"/>
        <n v="8975.1900104710548"/>
        <n v="12000"/>
        <n v="30273.458368652366"/>
        <n v="5000"/>
        <n v="32000"/>
        <n v="98000"/>
        <n v="87456"/>
        <n v="62000"/>
        <n v="25560"/>
        <n v="4457.9172610556352"/>
        <n v="40958.208381117904"/>
        <n v="2136.9500024931081"/>
        <n v="15136.729184326183"/>
        <n v="16350"/>
        <n v="18698.312521814696"/>
        <n v="8654.6475100970874"/>
        <n v="26043.18849932796"/>
        <n v="12465.541681209797"/>
        <n v="3480"/>
        <n v="12326.656394453004"/>
        <n v="81592.772512210868"/>
        <n v="66294.12766617132"/>
        <n v="43856.11522531334"/>
        <n v="57726.886552389187"/>
        <n v="203981.93128052715"/>
        <n v="112190.06220428993"/>
        <n v="71393.675948184507"/>
        <n v="109130.33323508203"/>
        <n v="3632.815004238284"/>
        <n v="15206.427249917633"/>
        <n v="143565.85684888897"/>
        <n v="9705.3145946561999"/>
        <n v="1805.7739622442759"/>
        <n v="37612.869087708088"/>
        <n v="72571.80269935554"/>
        <n v="3184.2266150397395"/>
        <n v="10898.445012714852"/>
        <n v="10800"/>
        <n v="18000"/>
        <n v="4840.0244548604041"/>
        <n v="42000"/>
        <n v="3561.5833374885137"/>
        <n v="55262.375596134938"/>
        <n v="20326.391023865726"/>
        <n v="28492.66669990811"/>
        <n v="78808.913603364199"/>
        <n v="63835.220018725006"/>
        <n v="7960"/>
        <n v="75656.557059229643"/>
        <n v="3500"/>
        <n v="63047.130882691366"/>
        <n v="72412.768022521646"/>
        <n v="118213.37040504631"/>
        <n v="12192.177986291113"/>
        <n v="71243.257897441246"/>
        <n v="4487.5950052355274"/>
        <n v="76223.966339496474"/>
        <n v="32666.305522511171"/>
        <n v="2675.675098121621"/>
        <n v="42739.000049862167"/>
        <n v="5120.2912876821438"/>
        <n v="114335.9495092447"/>
        <n v="36252.100257547536"/>
        <n v="12608.005014709339"/>
        <n v="26691.183012544854"/>
        <n v="8725"/>
        <n v="28000"/>
        <n v="51497.005988023957"/>
        <n v="104172.75399731184"/>
        <n v="25407.988779832154"/>
        <n v="106815.148267971"/>
        <n v="46300.583387350678"/>
        <n v="13355.937515581925"/>
        <n v="4400"/>
        <n v="9000"/>
        <n v="82000"/>
        <n v="43000"/>
        <n v="28353.650809742252"/>
        <n v="69353.856635379227"/>
        <n v="10239.552095279476"/>
        <n v="176585.52201983347"/>
        <n v="54627.175876639136"/>
        <n v="5591.6858398569666"/>
        <n v="11753.225013712095"/>
        <n v="4897.177089046706"/>
        <n v="5300"/>
        <n v="50815.977559664309"/>
        <n v="57500"/>
        <n v="97000"/>
        <n v="39000"/>
        <n v="136000"/>
        <n v="81000"/>
        <n v="72000"/>
        <n v="111000"/>
        <n v="96230"/>
        <n v="19008.034062397041"/>
        <n v="67000"/>
        <n v="20400"/>
        <n v="58318.59606648951"/>
        <n v="3200"/>
        <n v="109000"/>
        <n v="64000"/>
        <n v="9545.0433444692171"/>
        <n v="105000"/>
        <n v="85333.333333333328"/>
        <n v="76223.981237173866"/>
        <n v="24864"/>
        <n v="69871.969144538423"/>
        <n v="59000"/>
        <n v="5689.2125418690484"/>
        <n v="26678.388218823762"/>
        <n v="12109.383347460946"/>
        <n v="5698.5333399816218"/>
        <n v="65889.291743537498"/>
        <n v="6545"/>
        <n v="6054.6916737304728"/>
        <n v="155000"/>
        <n v="66199.48742682593"/>
        <n v="34675.92198548025"/>
        <n v="50307.817784067665"/>
        <n v="87734.690296543267"/>
        <n v="73000"/>
        <n v="56742.417794422225"/>
        <n v="28995"/>
        <n v="148102.22862117883"/>
        <n v="71500"/>
        <n v="52500"/>
        <n v="5320"/>
        <n v="91468.759607395754"/>
        <n v="49153.119414418252"/>
        <n v="42556.81334581667"/>
        <n v="41768.724209783031"/>
        <n v="56600"/>
        <n v="9972.4333449678379"/>
        <n v="14000"/>
        <n v="13603.016099449767"/>
        <n v="4800"/>
        <n v="33250"/>
        <n v="20640"/>
        <n v="4808.137505609493"/>
        <n v="112000"/>
        <n v="6232.7708406048987"/>
        <n v="122389.15876831629"/>
      </sharedItems>
    </cacheField>
    <cacheField name="Misc." numFmtId="0">
      <sharedItems containsMixedTypes="1" containsNumber="1" minValue="2493.1083362419595" maxValue="90000" count="8">
        <s v=""/>
        <n v="90000"/>
        <n v="2493.1083362419595"/>
        <n v="74461"/>
        <n v="87000"/>
        <n v="41712.231189497601"/>
        <n v="5000"/>
        <n v="21000"/>
      </sharedItems>
    </cacheField>
    <cacheField name="Reporting" numFmtId="0">
      <sharedItems containsMixedTypes="1" containsNumber="1" minValue="1910.5359690238436" maxValue="254079.88779832155" count="61">
        <s v=""/>
        <n v="45000"/>
        <n v="5983.4600069807029"/>
        <n v="22000"/>
        <n v="254079.88779832155"/>
        <n v="10809.503829551191"/>
        <n v="3800"/>
        <n v="15000"/>
        <n v="12000"/>
        <n v="30000"/>
        <n v="5000"/>
        <n v="6000"/>
        <n v="2849.2666699908109"/>
        <n v="4000"/>
        <n v="4200"/>
        <n v="5342.3750062327708"/>
        <n v="8547.8000099724322"/>
        <n v="3561.5833374885137"/>
        <n v="4095.8208381117906"/>
        <n v="5787.5729234188348"/>
        <n v="6767.0083412281756"/>
        <n v="4451.9791718606421"/>
        <n v="8903.9583437212841"/>
        <n v="7123.1666749770275"/>
        <n v="4006.7812546745777"/>
        <n v="13500"/>
        <n v="1910.5359690238436"/>
        <n v="16000"/>
        <n v="96000"/>
        <n v="45709.169889951241"/>
        <n v="3027.3458368652364"/>
        <n v="3205.4250037396623"/>
        <n v="18060"/>
        <n v="85000"/>
        <n v="20000"/>
        <n v="3739.6625043629392"/>
        <n v="28000"/>
        <n v="8476.5683432226633"/>
        <n v="55000"/>
        <n v="5100"/>
        <n v="7000"/>
        <n v="6720"/>
        <n v="19000"/>
        <n v="23642.674081009263"/>
        <n v="7200"/>
        <n v="12465.541681209797"/>
        <n v="10000"/>
        <n v="3632.815004238284"/>
        <n v="6600"/>
        <n v="37000"/>
        <n v="4950.6008391090336"/>
        <n v="32000"/>
        <n v="39404.456801682099"/>
        <n v="100614.72928405051"/>
        <n v="31200"/>
        <n v="92000"/>
        <n v="8013.5625093491553"/>
        <n v="2671.1875031163854"/>
        <n v="2953.8461538461538"/>
        <n v="4914.9850057341491"/>
        <n v="8400"/>
      </sharedItems>
    </cacheField>
    <cacheField name="Specialist" numFmtId="0">
      <sharedItems containsMixedTypes="1" containsNumber="1" minValue="4019" maxValue="400000" count="46">
        <s v=""/>
        <n v="65616.131023916547"/>
        <n v="6410.8500074793246"/>
        <n v="41000"/>
        <n v="58460.842544152933"/>
        <n v="90000"/>
        <n v="50000"/>
        <n v="75000"/>
        <n v="96000"/>
        <n v="44251.268536364711"/>
        <n v="65000"/>
        <n v="15244.793267899293"/>
        <n v="73000"/>
        <n v="7600"/>
        <n v="36000"/>
        <n v="31000"/>
        <n v="400000"/>
        <n v="47000"/>
        <n v="45000"/>
        <n v="99147"/>
        <n v="5250"/>
        <n v="20000"/>
        <n v="220664.95808941979"/>
        <n v="60000"/>
        <n v="54000"/>
        <n v="108110.42357867939"/>
        <n v="52000"/>
        <n v="35000"/>
        <n v="37828.278529614821"/>
        <n v="18499.860539512854"/>
        <n v="18000"/>
        <n v="99299.231140238902"/>
        <n v="74000"/>
        <n v="47285.348162018527"/>
        <n v="12500"/>
        <n v="62000"/>
        <n v="49000"/>
        <n v="17807.916687442568"/>
        <n v="71231.666749770273"/>
        <n v="88927.960729412545"/>
        <n v="4019"/>
        <n v="80000"/>
        <n v="63047.130882691366"/>
        <n v="81592.772512210868"/>
        <n v="40000"/>
        <n v="3866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s v="MIS Analyst"/>
    <x v="0"/>
    <s v="India"/>
    <x v="0"/>
    <x v="0"/>
    <m/>
    <s v=""/>
    <s v=""/>
    <s v=""/>
    <s v=""/>
    <s v=""/>
    <s v=""/>
    <x v="0"/>
    <x v="0"/>
    <x v="0"/>
    <x v="0"/>
    <x v="0"/>
    <x v="0"/>
    <x v="0"/>
    <x v="0"/>
    <x v="0"/>
    <x v="0"/>
    <x v="0"/>
  </r>
  <r>
    <s v="ID0002"/>
    <d v="2012-05-25T03:13:13"/>
    <s v="15000 usd"/>
    <n v="15000"/>
    <s v="USD"/>
    <n v="15000"/>
    <s v="cost control"/>
    <x v="1"/>
    <s v="europe/Croatia"/>
    <x v="1"/>
    <x v="1"/>
    <m/>
    <s v=""/>
    <s v=""/>
    <s v=""/>
    <s v=""/>
    <s v=""/>
    <s v=""/>
    <x v="0"/>
    <x v="0"/>
    <x v="1"/>
    <x v="0"/>
    <x v="1"/>
    <x v="0"/>
    <x v="0"/>
    <x v="0"/>
    <x v="0"/>
    <x v="0"/>
    <x v="0"/>
  </r>
  <r>
    <s v="ID0003"/>
    <d v="2012-05-25T03:16:26"/>
    <n v="58000"/>
    <n v="58000"/>
    <s v="USD"/>
    <n v="58000"/>
    <s v="Financial Analyst"/>
    <x v="0"/>
    <s v="USA"/>
    <x v="2"/>
    <x v="1"/>
    <m/>
    <s v=""/>
    <s v=""/>
    <s v=""/>
    <s v=""/>
    <s v=""/>
    <s v=""/>
    <x v="0"/>
    <x v="0"/>
    <x v="2"/>
    <x v="0"/>
    <x v="0"/>
    <x v="0"/>
    <x v="0"/>
    <x v="0"/>
    <x v="0"/>
    <x v="0"/>
    <x v="0"/>
  </r>
  <r>
    <s v="ID0004"/>
    <d v="2012-05-25T03:23:42"/>
    <n v="48000"/>
    <n v="48000"/>
    <s v="USD"/>
    <n v="48000"/>
    <s v="Quality Control"/>
    <x v="1"/>
    <s v="Pakistan"/>
    <x v="3"/>
    <x v="2"/>
    <m/>
    <s v=""/>
    <s v=""/>
    <s v=""/>
    <s v=""/>
    <s v=""/>
    <s v=""/>
    <x v="0"/>
    <x v="0"/>
    <x v="1"/>
    <x v="0"/>
    <x v="2"/>
    <x v="0"/>
    <x v="0"/>
    <x v="0"/>
    <x v="0"/>
    <x v="0"/>
    <x v="0"/>
  </r>
  <r>
    <s v="ID0005"/>
    <d v="2012-05-25T03:27:04"/>
    <n v="54000"/>
    <n v="54000"/>
    <s v="USD"/>
    <n v="54000"/>
    <s v="Quality Engineer"/>
    <x v="2"/>
    <s v="USA"/>
    <x v="2"/>
    <x v="1"/>
    <m/>
    <s v=""/>
    <s v=""/>
    <s v=""/>
    <s v=""/>
    <s v=""/>
    <s v=""/>
    <x v="0"/>
    <x v="0"/>
    <x v="1"/>
    <x v="0"/>
    <x v="0"/>
    <x v="0"/>
    <x v="1"/>
    <x v="0"/>
    <x v="0"/>
    <x v="0"/>
    <x v="0"/>
  </r>
  <r>
    <s v="ID0006"/>
    <d v="2012-05-25T03:28:28"/>
    <n v="41731"/>
    <n v="41731"/>
    <s v="USD"/>
    <n v="41731"/>
    <s v="Analyst"/>
    <x v="0"/>
    <s v="Iceland"/>
    <x v="4"/>
    <x v="1"/>
    <m/>
    <s v=""/>
    <s v=""/>
    <s v=""/>
    <s v=""/>
    <s v=""/>
    <s v=""/>
    <x v="0"/>
    <x v="0"/>
    <x v="3"/>
    <x v="0"/>
    <x v="0"/>
    <x v="0"/>
    <x v="0"/>
    <x v="0"/>
    <x v="0"/>
    <x v="0"/>
    <x v="0"/>
  </r>
  <r>
    <s v="ID0007"/>
    <d v="2012-05-25T03:33:51"/>
    <n v="145000"/>
    <n v="145000"/>
    <s v="EUR"/>
    <n v="184207.91865378313"/>
    <s v="senior project manager"/>
    <x v="3"/>
    <s v="Germany"/>
    <x v="5"/>
    <x v="3"/>
    <m/>
    <s v=""/>
    <s v=""/>
    <s v=""/>
    <s v=""/>
    <s v=""/>
    <s v=""/>
    <x v="0"/>
    <x v="0"/>
    <x v="1"/>
    <x v="0"/>
    <x v="0"/>
    <x v="0"/>
    <x v="0"/>
    <x v="1"/>
    <x v="0"/>
    <x v="0"/>
    <x v="0"/>
  </r>
  <r>
    <s v="ID0008"/>
    <d v="2012-05-25T03:36:37"/>
    <n v="12000"/>
    <n v="12000"/>
    <s v="USD"/>
    <n v="12000"/>
    <s v="Assistant SP&amp;A"/>
    <x v="0"/>
    <s v="Ukraine"/>
    <x v="6"/>
    <x v="1"/>
    <m/>
    <s v=""/>
    <s v=""/>
    <s v=""/>
    <s v=""/>
    <s v=""/>
    <s v=""/>
    <x v="0"/>
    <x v="0"/>
    <x v="4"/>
    <x v="0"/>
    <x v="0"/>
    <x v="0"/>
    <x v="0"/>
    <x v="0"/>
    <x v="0"/>
    <x v="0"/>
    <x v="0"/>
  </r>
  <r>
    <s v="ID0009"/>
    <d v="2012-05-25T03:37:17"/>
    <s v="44000 $"/>
    <n v="44000"/>
    <s v="USD"/>
    <n v="44000"/>
    <s v="CFO"/>
    <x v="4"/>
    <s v="Portugal"/>
    <x v="7"/>
    <x v="3"/>
    <m/>
    <s v=""/>
    <s v=""/>
    <s v=""/>
    <s v=""/>
    <s v=""/>
    <s v=""/>
    <x v="0"/>
    <x v="0"/>
    <x v="1"/>
    <x v="0"/>
    <x v="0"/>
    <x v="1"/>
    <x v="0"/>
    <x v="0"/>
    <x v="0"/>
    <x v="0"/>
    <x v="0"/>
  </r>
  <r>
    <s v="ID0010"/>
    <d v="2012-05-25T03:38:57"/>
    <s v="PKR 8,000"/>
    <n v="1152000"/>
    <s v="PKR"/>
    <n v="12227.430201752599"/>
    <s v="Audit Trainee "/>
    <x v="5"/>
    <s v="Pakistan"/>
    <x v="3"/>
    <x v="1"/>
    <m/>
    <s v=""/>
    <s v=""/>
    <s v=""/>
    <s v=""/>
    <s v=""/>
    <s v=""/>
    <x v="0"/>
    <x v="1"/>
    <x v="1"/>
    <x v="0"/>
    <x v="0"/>
    <x v="0"/>
    <x v="0"/>
    <x v="0"/>
    <x v="0"/>
    <x v="0"/>
    <x v="0"/>
  </r>
  <r>
    <s v="ID0011"/>
    <d v="2012-05-25T03:43:45"/>
    <s v="â‚¬ 51650"/>
    <n v="51650"/>
    <s v="EUR"/>
    <n v="65616.131023916547"/>
    <s v="Training Specialist"/>
    <x v="6"/>
    <s v="Ireland"/>
    <x v="8"/>
    <x v="2"/>
    <m/>
    <s v=""/>
    <s v=""/>
    <s v=""/>
    <s v=""/>
    <s v=""/>
    <s v=""/>
    <x v="0"/>
    <x v="0"/>
    <x v="1"/>
    <x v="0"/>
    <x v="0"/>
    <x v="0"/>
    <x v="0"/>
    <x v="0"/>
    <x v="0"/>
    <x v="0"/>
    <x v="1"/>
  </r>
  <r>
    <s v="ID0012"/>
    <d v="2012-05-25T03:43:56"/>
    <n v="14000"/>
    <n v="14000"/>
    <s v="USD"/>
    <n v="14000"/>
    <s v="Quality Engineer"/>
    <x v="2"/>
    <s v="Hungary"/>
    <x v="9"/>
    <x v="0"/>
    <m/>
    <s v=""/>
    <s v=""/>
    <s v=""/>
    <s v=""/>
    <s v=""/>
    <s v=""/>
    <x v="0"/>
    <x v="0"/>
    <x v="1"/>
    <x v="0"/>
    <x v="0"/>
    <x v="0"/>
    <x v="2"/>
    <x v="0"/>
    <x v="0"/>
    <x v="0"/>
    <x v="0"/>
  </r>
  <r>
    <s v="ID0013"/>
    <d v="2012-05-25T03:48:53"/>
    <s v="749000 INR"/>
    <n v="749000"/>
    <s v="INR"/>
    <n v="13338.129598894484"/>
    <s v="Senion Analyst"/>
    <x v="0"/>
    <s v="India"/>
    <x v="0"/>
    <x v="1"/>
    <m/>
    <s v=""/>
    <s v=""/>
    <s v=""/>
    <s v=""/>
    <s v=""/>
    <s v=""/>
    <x v="0"/>
    <x v="0"/>
    <x v="5"/>
    <x v="0"/>
    <x v="0"/>
    <x v="0"/>
    <x v="0"/>
    <x v="0"/>
    <x v="0"/>
    <x v="0"/>
    <x v="0"/>
  </r>
  <r>
    <s v="ID0014"/>
    <d v="2012-05-25T03:50:58"/>
    <n v="49000"/>
    <n v="49000"/>
    <s v="USD"/>
    <n v="49000"/>
    <s v="business analyst"/>
    <x v="0"/>
    <s v="USA"/>
    <x v="2"/>
    <x v="1"/>
    <m/>
    <s v=""/>
    <s v=""/>
    <s v=""/>
    <s v=""/>
    <s v=""/>
    <s v=""/>
    <x v="0"/>
    <x v="0"/>
    <x v="6"/>
    <x v="0"/>
    <x v="0"/>
    <x v="0"/>
    <x v="0"/>
    <x v="0"/>
    <x v="0"/>
    <x v="0"/>
    <x v="0"/>
  </r>
  <r>
    <s v="ID0015"/>
    <d v="2012-05-25T03:53:22"/>
    <n v="85000"/>
    <n v="85000"/>
    <s v="USD"/>
    <n v="85000"/>
    <s v="Project Engineer"/>
    <x v="2"/>
    <s v="USA"/>
    <x v="2"/>
    <x v="3"/>
    <m/>
    <s v=""/>
    <s v=""/>
    <s v=""/>
    <s v=""/>
    <s v=""/>
    <s v=""/>
    <x v="0"/>
    <x v="0"/>
    <x v="1"/>
    <x v="0"/>
    <x v="0"/>
    <x v="0"/>
    <x v="3"/>
    <x v="0"/>
    <x v="0"/>
    <x v="0"/>
    <x v="0"/>
  </r>
  <r>
    <s v="ID0016"/>
    <d v="2012-05-25T03:56:40"/>
    <n v="75000"/>
    <n v="75000"/>
    <s v="USD"/>
    <n v="75000"/>
    <s v="Sr Project Engineer"/>
    <x v="2"/>
    <s v="USA"/>
    <x v="2"/>
    <x v="1"/>
    <m/>
    <s v=""/>
    <s v=""/>
    <s v=""/>
    <s v=""/>
    <s v=""/>
    <s v=""/>
    <x v="0"/>
    <x v="0"/>
    <x v="1"/>
    <x v="0"/>
    <x v="0"/>
    <x v="0"/>
    <x v="4"/>
    <x v="0"/>
    <x v="0"/>
    <x v="0"/>
    <x v="0"/>
  </r>
  <r>
    <s v="ID0017"/>
    <d v="2012-05-25T04:10:11"/>
    <n v="107000"/>
    <n v="107000"/>
    <s v="USD"/>
    <n v="107000"/>
    <s v="Business Development"/>
    <x v="3"/>
    <s v="Switzerland"/>
    <x v="10"/>
    <x v="0"/>
    <m/>
    <s v=""/>
    <s v=""/>
    <s v=""/>
    <s v=""/>
    <s v=""/>
    <s v=""/>
    <x v="0"/>
    <x v="0"/>
    <x v="1"/>
    <x v="0"/>
    <x v="0"/>
    <x v="0"/>
    <x v="0"/>
    <x v="2"/>
    <x v="0"/>
    <x v="0"/>
    <x v="0"/>
  </r>
  <r>
    <s v="ID0018"/>
    <d v="2012-05-25T04:10:44"/>
    <n v="45000"/>
    <n v="45000"/>
    <s v="USD"/>
    <n v="45000"/>
    <s v="Excel Report Writer"/>
    <x v="7"/>
    <s v="South Africa"/>
    <x v="11"/>
    <x v="1"/>
    <m/>
    <s v=""/>
    <s v=""/>
    <s v=""/>
    <s v=""/>
    <s v=""/>
    <s v=""/>
    <x v="0"/>
    <x v="0"/>
    <x v="1"/>
    <x v="0"/>
    <x v="0"/>
    <x v="0"/>
    <x v="0"/>
    <x v="0"/>
    <x v="0"/>
    <x v="1"/>
    <x v="0"/>
  </r>
  <r>
    <s v="ID0019"/>
    <d v="2012-05-25T04:16:32"/>
    <n v="550000"/>
    <n v="550000"/>
    <s v="INR"/>
    <n v="9794.354178093412"/>
    <s v="AGM"/>
    <x v="3"/>
    <s v="India"/>
    <x v="0"/>
    <x v="2"/>
    <m/>
    <s v=""/>
    <s v=""/>
    <s v=""/>
    <s v=""/>
    <s v=""/>
    <s v=""/>
    <x v="0"/>
    <x v="0"/>
    <x v="1"/>
    <x v="0"/>
    <x v="0"/>
    <x v="0"/>
    <x v="0"/>
    <x v="3"/>
    <x v="0"/>
    <x v="0"/>
    <x v="0"/>
  </r>
  <r>
    <s v="ID0020"/>
    <d v="2012-05-25T04:19:22"/>
    <n v="50000"/>
    <n v="50000"/>
    <s v="USD"/>
    <n v="50000"/>
    <s v="GM"/>
    <x v="3"/>
    <s v="India"/>
    <x v="0"/>
    <x v="3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021"/>
    <d v="2012-05-25T04:24:01"/>
    <n v="13500"/>
    <n v="13500"/>
    <s v="USD"/>
    <n v="13500"/>
    <s v="DSE Co-ordinator"/>
    <x v="3"/>
    <s v="India"/>
    <x v="0"/>
    <x v="0"/>
    <m/>
    <s v=""/>
    <s v=""/>
    <s v=""/>
    <s v=""/>
    <s v=""/>
    <s v=""/>
    <x v="0"/>
    <x v="0"/>
    <x v="1"/>
    <x v="0"/>
    <x v="0"/>
    <x v="0"/>
    <x v="0"/>
    <x v="5"/>
    <x v="0"/>
    <x v="0"/>
    <x v="0"/>
  </r>
  <r>
    <s v="ID0022"/>
    <d v="2012-05-25T04:24:12"/>
    <n v="96000"/>
    <n v="96000"/>
    <s v="USD"/>
    <n v="96000"/>
    <s v="Analyst"/>
    <x v="0"/>
    <s v="USA"/>
    <x v="2"/>
    <x v="2"/>
    <m/>
    <s v=""/>
    <s v=""/>
    <s v=""/>
    <s v=""/>
    <s v=""/>
    <s v=""/>
    <x v="0"/>
    <x v="0"/>
    <x v="7"/>
    <x v="0"/>
    <x v="0"/>
    <x v="0"/>
    <x v="0"/>
    <x v="0"/>
    <x v="0"/>
    <x v="0"/>
    <x v="0"/>
  </r>
  <r>
    <s v="ID0023"/>
    <d v="2012-05-25T04:31:41"/>
    <n v="1000000"/>
    <n v="1000000"/>
    <s v="INR"/>
    <n v="17807.916687442568"/>
    <s v="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6"/>
    <x v="0"/>
    <x v="0"/>
    <x v="0"/>
  </r>
  <r>
    <s v="ID0024"/>
    <d v="2012-05-25T04:32:49"/>
    <n v="75000"/>
    <n v="75000"/>
    <s v="USD"/>
    <n v="75000"/>
    <s v="Marketing Director"/>
    <x v="4"/>
    <s v="USA"/>
    <x v="2"/>
    <x v="0"/>
    <m/>
    <s v=""/>
    <s v=""/>
    <s v=""/>
    <s v=""/>
    <s v=""/>
    <s v=""/>
    <x v="0"/>
    <x v="0"/>
    <x v="1"/>
    <x v="0"/>
    <x v="0"/>
    <x v="2"/>
    <x v="0"/>
    <x v="0"/>
    <x v="0"/>
    <x v="0"/>
    <x v="0"/>
  </r>
  <r>
    <s v="ID0025"/>
    <d v="2012-05-25T04:43:51"/>
    <s v="40000 us"/>
    <n v="40000"/>
    <s v="USD"/>
    <n v="40000"/>
    <s v="sales and marketing"/>
    <x v="3"/>
    <s v="USA"/>
    <x v="2"/>
    <x v="2"/>
    <m/>
    <s v=""/>
    <s v=""/>
    <s v=""/>
    <s v=""/>
    <s v=""/>
    <s v=""/>
    <x v="0"/>
    <x v="0"/>
    <x v="1"/>
    <x v="0"/>
    <x v="0"/>
    <x v="0"/>
    <x v="0"/>
    <x v="7"/>
    <x v="0"/>
    <x v="0"/>
    <x v="0"/>
  </r>
  <r>
    <s v="ID0026"/>
    <d v="2012-05-25T04:45:01"/>
    <n v="60000"/>
    <n v="60000"/>
    <s v="USD"/>
    <n v="60000"/>
    <s v="Analyst II"/>
    <x v="0"/>
    <s v="USA"/>
    <x v="2"/>
    <x v="1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028"/>
    <d v="2012-05-25T04:48:33"/>
    <n v="2700"/>
    <n v="32400"/>
    <s v="EUR"/>
    <n v="41160.941823328096"/>
    <s v="Project Leader"/>
    <x v="3"/>
    <s v="Belgium"/>
    <x v="12"/>
    <x v="0"/>
    <m/>
    <s v=""/>
    <s v=""/>
    <s v=""/>
    <s v=""/>
    <s v=""/>
    <s v=""/>
    <x v="0"/>
    <x v="0"/>
    <x v="1"/>
    <x v="0"/>
    <x v="0"/>
    <x v="0"/>
    <x v="0"/>
    <x v="8"/>
    <x v="0"/>
    <x v="0"/>
    <x v="0"/>
  </r>
  <r>
    <s v="ID0029"/>
    <d v="2012-05-25T04:52:23"/>
    <s v="900000 INR"/>
    <n v="900000"/>
    <s v="INR"/>
    <n v="16027.125018698311"/>
    <s v="Applications Engineer"/>
    <x v="2"/>
    <s v="India"/>
    <x v="0"/>
    <x v="3"/>
    <m/>
    <s v=""/>
    <s v=""/>
    <s v=""/>
    <s v=""/>
    <s v=""/>
    <s v=""/>
    <x v="0"/>
    <x v="0"/>
    <x v="1"/>
    <x v="0"/>
    <x v="0"/>
    <x v="0"/>
    <x v="5"/>
    <x v="0"/>
    <x v="0"/>
    <x v="0"/>
    <x v="0"/>
  </r>
  <r>
    <s v="ID0030"/>
    <d v="2012-05-25T04:55:35"/>
    <s v="Rs 600000"/>
    <n v="600000"/>
    <s v="INR"/>
    <n v="10684.750012465542"/>
    <s v="strategy 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9"/>
    <x v="0"/>
    <x v="0"/>
    <x v="0"/>
  </r>
  <r>
    <s v="ID0031"/>
    <d v="2012-05-25T04:55:48"/>
    <n v="41000"/>
    <n v="41000"/>
    <s v="USD"/>
    <n v="41000"/>
    <s v="Chief of the department of public budget analisis and forecasting"/>
    <x v="3"/>
    <s v="Russia"/>
    <x v="13"/>
    <x v="1"/>
    <m/>
    <s v=""/>
    <s v=""/>
    <s v=""/>
    <s v=""/>
    <s v=""/>
    <s v=""/>
    <x v="0"/>
    <x v="0"/>
    <x v="1"/>
    <x v="0"/>
    <x v="0"/>
    <x v="0"/>
    <x v="0"/>
    <x v="10"/>
    <x v="0"/>
    <x v="0"/>
    <x v="0"/>
  </r>
  <r>
    <s v="ID0032"/>
    <d v="2012-05-25T04:57:06"/>
    <s v="360000 INR"/>
    <n v="360000"/>
    <s v="INR"/>
    <n v="6410.8500074793246"/>
    <s v="Specialist"/>
    <x v="6"/>
    <s v="India"/>
    <x v="0"/>
    <x v="0"/>
    <m/>
    <s v=""/>
    <s v=""/>
    <s v=""/>
    <s v=""/>
    <s v=""/>
    <s v=""/>
    <x v="0"/>
    <x v="0"/>
    <x v="1"/>
    <x v="0"/>
    <x v="0"/>
    <x v="0"/>
    <x v="0"/>
    <x v="0"/>
    <x v="0"/>
    <x v="0"/>
    <x v="2"/>
  </r>
  <r>
    <s v="ID0033"/>
    <d v="2012-05-25T04:58:45"/>
    <s v="Â£35000"/>
    <n v="35000"/>
    <s v="GBP"/>
    <n v="55166.239522354947"/>
    <s v="Management Information Analyst"/>
    <x v="0"/>
    <s v="UK"/>
    <x v="14"/>
    <x v="1"/>
    <m/>
    <s v=""/>
    <s v=""/>
    <s v=""/>
    <s v=""/>
    <s v=""/>
    <s v=""/>
    <x v="0"/>
    <x v="0"/>
    <x v="9"/>
    <x v="0"/>
    <x v="0"/>
    <x v="0"/>
    <x v="0"/>
    <x v="0"/>
    <x v="0"/>
    <x v="0"/>
    <x v="0"/>
  </r>
  <r>
    <s v="ID0035"/>
    <d v="2012-05-25T05:01:09"/>
    <s v="1600 $"/>
    <n v="19200"/>
    <s v="USD"/>
    <n v="19200"/>
    <s v="Analyst"/>
    <x v="0"/>
    <s v="Poland"/>
    <x v="15"/>
    <x v="2"/>
    <m/>
    <s v=""/>
    <s v=""/>
    <s v=""/>
    <s v=""/>
    <s v=""/>
    <s v=""/>
    <x v="0"/>
    <x v="0"/>
    <x v="10"/>
    <x v="0"/>
    <x v="0"/>
    <x v="0"/>
    <x v="0"/>
    <x v="0"/>
    <x v="0"/>
    <x v="0"/>
    <x v="0"/>
  </r>
  <r>
    <s v="ID0036"/>
    <d v="2012-05-25T05:04:12"/>
    <n v="500000"/>
    <n v="500000"/>
    <s v="INR"/>
    <n v="8903.9583437212841"/>
    <s v="Senior Consultant"/>
    <x v="8"/>
    <s v="India"/>
    <x v="0"/>
    <x v="1"/>
    <m/>
    <s v=""/>
    <s v=""/>
    <s v=""/>
    <s v=""/>
    <s v=""/>
    <s v=""/>
    <x v="0"/>
    <x v="0"/>
    <x v="1"/>
    <x v="1"/>
    <x v="0"/>
    <x v="0"/>
    <x v="0"/>
    <x v="0"/>
    <x v="0"/>
    <x v="0"/>
    <x v="0"/>
  </r>
  <r>
    <s v="ID0037"/>
    <d v="2012-05-25T05:07:31"/>
    <n v="150000"/>
    <n v="150000"/>
    <s v="USD"/>
    <n v="150000"/>
    <s v="Portfolio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11"/>
    <x v="0"/>
    <x v="0"/>
    <x v="0"/>
  </r>
  <r>
    <s v="ID0038"/>
    <d v="2012-05-25T05:10:29"/>
    <n v="69000"/>
    <n v="69000"/>
    <s v="USD"/>
    <n v="69000"/>
    <s v="Design Engineer"/>
    <x v="2"/>
    <s v="USA"/>
    <x v="2"/>
    <x v="0"/>
    <m/>
    <s v=""/>
    <s v=""/>
    <s v=""/>
    <s v=""/>
    <s v=""/>
    <s v=""/>
    <x v="0"/>
    <x v="0"/>
    <x v="1"/>
    <x v="0"/>
    <x v="0"/>
    <x v="0"/>
    <x v="6"/>
    <x v="0"/>
    <x v="0"/>
    <x v="0"/>
    <x v="0"/>
  </r>
  <r>
    <s v="ID0039"/>
    <d v="2012-05-25T05:11:37"/>
    <n v="30000"/>
    <n v="30000"/>
    <s v="USD"/>
    <n v="30000"/>
    <s v="Academic Advisor"/>
    <x v="8"/>
    <s v="USA"/>
    <x v="2"/>
    <x v="2"/>
    <m/>
    <s v=""/>
    <s v=""/>
    <s v=""/>
    <s v=""/>
    <s v=""/>
    <s v=""/>
    <x v="0"/>
    <x v="0"/>
    <x v="1"/>
    <x v="2"/>
    <x v="0"/>
    <x v="0"/>
    <x v="0"/>
    <x v="0"/>
    <x v="0"/>
    <x v="0"/>
    <x v="0"/>
  </r>
  <r>
    <s v="ID0040"/>
    <d v="2012-05-25T05:13:50"/>
    <s v="Rs. 400000"/>
    <n v="400000"/>
    <s v="INR"/>
    <n v="7123.1666749770275"/>
    <s v="Coordination"/>
    <x v="3"/>
    <s v="India"/>
    <x v="0"/>
    <x v="0"/>
    <m/>
    <s v=""/>
    <s v=""/>
    <s v=""/>
    <s v=""/>
    <s v=""/>
    <s v=""/>
    <x v="0"/>
    <x v="0"/>
    <x v="1"/>
    <x v="0"/>
    <x v="0"/>
    <x v="0"/>
    <x v="0"/>
    <x v="12"/>
    <x v="0"/>
    <x v="0"/>
    <x v="0"/>
  </r>
  <r>
    <s v="ID0041"/>
    <d v="2012-05-25T05:18:48"/>
    <n v="70000"/>
    <n v="70000"/>
    <s v="AUD"/>
    <n v="71393.675948184507"/>
    <s v="consultant"/>
    <x v="8"/>
    <s v="Australia"/>
    <x v="16"/>
    <x v="2"/>
    <m/>
    <s v=""/>
    <s v=""/>
    <s v=""/>
    <s v=""/>
    <s v=""/>
    <s v=""/>
    <x v="0"/>
    <x v="0"/>
    <x v="1"/>
    <x v="3"/>
    <x v="0"/>
    <x v="0"/>
    <x v="0"/>
    <x v="0"/>
    <x v="0"/>
    <x v="0"/>
    <x v="0"/>
  </r>
  <r>
    <s v="ID0042"/>
    <d v="2012-05-25T05:20:10"/>
    <n v="14500"/>
    <n v="14500"/>
    <s v="USD"/>
    <n v="14500"/>
    <s v="Business Analsyt"/>
    <x v="0"/>
    <s v="India"/>
    <x v="0"/>
    <x v="0"/>
    <m/>
    <s v=""/>
    <s v=""/>
    <s v=""/>
    <s v=""/>
    <s v=""/>
    <s v=""/>
    <x v="0"/>
    <x v="0"/>
    <x v="11"/>
    <x v="0"/>
    <x v="0"/>
    <x v="0"/>
    <x v="0"/>
    <x v="0"/>
    <x v="0"/>
    <x v="0"/>
    <x v="0"/>
  </r>
  <r>
    <s v="ID0043"/>
    <d v="2012-05-25T05:30:39"/>
    <n v="70000"/>
    <n v="70000"/>
    <s v="CAD"/>
    <n v="68835.306612122877"/>
    <s v="Product Engineer"/>
    <x v="2"/>
    <s v="Canada"/>
    <x v="17"/>
    <x v="2"/>
    <m/>
    <s v=""/>
    <s v=""/>
    <s v=""/>
    <s v=""/>
    <s v=""/>
    <s v=""/>
    <x v="0"/>
    <x v="0"/>
    <x v="1"/>
    <x v="0"/>
    <x v="0"/>
    <x v="0"/>
    <x v="7"/>
    <x v="0"/>
    <x v="0"/>
    <x v="0"/>
    <x v="0"/>
  </r>
  <r>
    <s v="ID0044"/>
    <d v="2012-05-25T05:35:28"/>
    <n v="58000"/>
    <n v="58000"/>
    <s v="USD"/>
    <n v="58000"/>
    <s v="Senior Accountant"/>
    <x v="5"/>
    <s v="USA"/>
    <x v="2"/>
    <x v="0"/>
    <m/>
    <s v=""/>
    <s v=""/>
    <s v=""/>
    <s v=""/>
    <s v=""/>
    <s v=""/>
    <x v="0"/>
    <x v="2"/>
    <x v="1"/>
    <x v="0"/>
    <x v="0"/>
    <x v="0"/>
    <x v="0"/>
    <x v="0"/>
    <x v="0"/>
    <x v="0"/>
    <x v="0"/>
  </r>
  <r>
    <s v="ID0045"/>
    <d v="2012-05-25T05:45:01"/>
    <n v="90000"/>
    <n v="90000"/>
    <s v="USD"/>
    <n v="90000"/>
    <s v="Scientist"/>
    <x v="9"/>
    <s v="USA"/>
    <x v="2"/>
    <x v="3"/>
    <m/>
    <s v=""/>
    <s v=""/>
    <s v=""/>
    <s v=""/>
    <s v=""/>
    <s v=""/>
    <x v="0"/>
    <x v="0"/>
    <x v="1"/>
    <x v="0"/>
    <x v="0"/>
    <x v="0"/>
    <x v="0"/>
    <x v="0"/>
    <x v="1"/>
    <x v="0"/>
    <x v="0"/>
  </r>
  <r>
    <s v="ID0046"/>
    <d v="2012-05-25T05:46:47"/>
    <n v="800000"/>
    <n v="800000"/>
    <s v="INR"/>
    <n v="14246.333349954055"/>
    <s v="Team Lead"/>
    <x v="3"/>
    <s v="India"/>
    <x v="0"/>
    <x v="2"/>
    <m/>
    <s v=""/>
    <s v=""/>
    <s v=""/>
    <s v=""/>
    <s v=""/>
    <s v=""/>
    <x v="0"/>
    <x v="0"/>
    <x v="1"/>
    <x v="0"/>
    <x v="0"/>
    <x v="0"/>
    <x v="0"/>
    <x v="13"/>
    <x v="0"/>
    <x v="0"/>
    <x v="0"/>
  </r>
  <r>
    <s v="ID0047"/>
    <d v="2012-05-25T05:47:10"/>
    <n v="32000"/>
    <n v="32000"/>
    <s v="GBP"/>
    <n v="50437.70470615309"/>
    <s v="Senior intelligence analyst"/>
    <x v="0"/>
    <s v="UK"/>
    <x v="14"/>
    <x v="0"/>
    <m/>
    <s v=""/>
    <s v=""/>
    <s v=""/>
    <s v=""/>
    <s v=""/>
    <s v=""/>
    <x v="0"/>
    <x v="0"/>
    <x v="12"/>
    <x v="0"/>
    <x v="0"/>
    <x v="0"/>
    <x v="0"/>
    <x v="0"/>
    <x v="0"/>
    <x v="0"/>
    <x v="0"/>
  </r>
  <r>
    <s v="ID0048"/>
    <d v="2012-05-25T05:47:52"/>
    <n v="1000"/>
    <n v="12000"/>
    <s v="USD"/>
    <n v="12000"/>
    <s v="Freelance consultant"/>
    <x v="8"/>
    <s v="USA"/>
    <x v="2"/>
    <x v="3"/>
    <m/>
    <s v=""/>
    <s v=""/>
    <s v=""/>
    <s v=""/>
    <s v=""/>
    <s v=""/>
    <x v="0"/>
    <x v="0"/>
    <x v="1"/>
    <x v="4"/>
    <x v="0"/>
    <x v="0"/>
    <x v="0"/>
    <x v="0"/>
    <x v="0"/>
    <x v="0"/>
    <x v="0"/>
  </r>
  <r>
    <s v="ID0049"/>
    <d v="2012-05-25T06:04:42"/>
    <s v="â‚¬ 45"/>
    <n v="45000"/>
    <s v="EUR"/>
    <n v="57167.974754622352"/>
    <s v="Online Traffic Manager / Web Analist"/>
    <x v="3"/>
    <s v="The Netherlands"/>
    <x v="18"/>
    <x v="0"/>
    <m/>
    <s v=""/>
    <s v=""/>
    <s v=""/>
    <s v=""/>
    <s v=""/>
    <s v=""/>
    <x v="0"/>
    <x v="0"/>
    <x v="1"/>
    <x v="0"/>
    <x v="0"/>
    <x v="0"/>
    <x v="0"/>
    <x v="14"/>
    <x v="0"/>
    <x v="0"/>
    <x v="0"/>
  </r>
  <r>
    <s v="ID0050"/>
    <d v="2012-05-25T06:04:57"/>
    <s v="100000 USD"/>
    <n v="100000"/>
    <s v="USD"/>
    <n v="100000"/>
    <s v="Seinor Financial Analyst"/>
    <x v="0"/>
    <s v="Germany"/>
    <x v="5"/>
    <x v="1"/>
    <m/>
    <s v=""/>
    <s v=""/>
    <s v=""/>
    <s v=""/>
    <s v=""/>
    <s v=""/>
    <x v="0"/>
    <x v="0"/>
    <x v="13"/>
    <x v="0"/>
    <x v="0"/>
    <x v="0"/>
    <x v="0"/>
    <x v="0"/>
    <x v="0"/>
    <x v="0"/>
    <x v="0"/>
  </r>
  <r>
    <s v="ID0051"/>
    <d v="2012-05-25T06:05:17"/>
    <n v="57000"/>
    <n v="57000"/>
    <s v="USD"/>
    <n v="57000"/>
    <s v="Senior Accounting Supervisor"/>
    <x v="5"/>
    <s v="USA"/>
    <x v="2"/>
    <x v="2"/>
    <m/>
    <s v=""/>
    <s v=""/>
    <s v=""/>
    <s v=""/>
    <s v=""/>
    <s v=""/>
    <x v="0"/>
    <x v="3"/>
    <x v="1"/>
    <x v="0"/>
    <x v="0"/>
    <x v="0"/>
    <x v="0"/>
    <x v="0"/>
    <x v="0"/>
    <x v="0"/>
    <x v="0"/>
  </r>
  <r>
    <s v="ID0052"/>
    <d v="2012-05-25T06:07:15"/>
    <n v="40000"/>
    <n v="40000"/>
    <s v="GBP"/>
    <n v="63047.130882691366"/>
    <s v="Senior Accountant"/>
    <x v="5"/>
    <s v="UK"/>
    <x v="14"/>
    <x v="0"/>
    <m/>
    <s v=""/>
    <s v=""/>
    <s v=""/>
    <s v=""/>
    <s v=""/>
    <s v=""/>
    <x v="0"/>
    <x v="4"/>
    <x v="1"/>
    <x v="0"/>
    <x v="0"/>
    <x v="0"/>
    <x v="0"/>
    <x v="0"/>
    <x v="0"/>
    <x v="0"/>
    <x v="0"/>
  </r>
  <r>
    <s v="ID0053"/>
    <d v="2012-05-25T06:09:44"/>
    <s v="2000 Euros"/>
    <n v="24000"/>
    <s v="EUR"/>
    <n v="30489.586535798586"/>
    <s v="PPC Manager"/>
    <x v="3"/>
    <s v="Germany"/>
    <x v="5"/>
    <x v="1"/>
    <m/>
    <s v=""/>
    <s v=""/>
    <s v=""/>
    <s v=""/>
    <s v=""/>
    <s v=""/>
    <x v="0"/>
    <x v="0"/>
    <x v="1"/>
    <x v="0"/>
    <x v="0"/>
    <x v="0"/>
    <x v="0"/>
    <x v="15"/>
    <x v="0"/>
    <x v="0"/>
    <x v="0"/>
  </r>
  <r>
    <s v="ID0054"/>
    <d v="2012-05-25T06:10:18"/>
    <n v="4320"/>
    <n v="4320"/>
    <s v="USD"/>
    <n v="4320"/>
    <s v="Financial Planner"/>
    <x v="5"/>
    <s v="India"/>
    <x v="0"/>
    <x v="2"/>
    <m/>
    <s v=""/>
    <s v=""/>
    <s v=""/>
    <s v=""/>
    <s v=""/>
    <s v=""/>
    <x v="0"/>
    <x v="5"/>
    <x v="1"/>
    <x v="0"/>
    <x v="0"/>
    <x v="0"/>
    <x v="0"/>
    <x v="0"/>
    <x v="0"/>
    <x v="0"/>
    <x v="0"/>
  </r>
  <r>
    <s v="ID0055"/>
    <d v="2012-05-25T06:15:42"/>
    <n v="62000"/>
    <n v="62000"/>
    <s v="USD"/>
    <n v="62000"/>
    <s v="Analyst"/>
    <x v="0"/>
    <s v="USA"/>
    <x v="2"/>
    <x v="0"/>
    <m/>
    <s v=""/>
    <s v=""/>
    <s v=""/>
    <s v=""/>
    <s v=""/>
    <s v=""/>
    <x v="0"/>
    <x v="0"/>
    <x v="14"/>
    <x v="0"/>
    <x v="0"/>
    <x v="0"/>
    <x v="0"/>
    <x v="0"/>
    <x v="0"/>
    <x v="0"/>
    <x v="0"/>
  </r>
  <r>
    <s v="ID0056"/>
    <d v="2012-05-25T06:26:44"/>
    <n v="7500"/>
    <n v="7500"/>
    <s v="USD"/>
    <n v="7500"/>
    <s v="Analyst"/>
    <x v="0"/>
    <s v="India"/>
    <x v="0"/>
    <x v="0"/>
    <m/>
    <s v=""/>
    <s v=""/>
    <s v=""/>
    <s v=""/>
    <s v=""/>
    <s v=""/>
    <x v="0"/>
    <x v="0"/>
    <x v="15"/>
    <x v="0"/>
    <x v="0"/>
    <x v="0"/>
    <x v="0"/>
    <x v="0"/>
    <x v="0"/>
    <x v="0"/>
    <x v="0"/>
  </r>
  <r>
    <s v="ID0057"/>
    <d v="2012-05-25T06:27:29"/>
    <s v="Â£18000"/>
    <n v="18000"/>
    <s v="GBP"/>
    <n v="28371.208897211112"/>
    <s v="Building Design and Performance Researcher"/>
    <x v="3"/>
    <s v="UK"/>
    <x v="14"/>
    <x v="3"/>
    <m/>
    <s v=""/>
    <s v=""/>
    <s v=""/>
    <s v=""/>
    <s v=""/>
    <s v=""/>
    <x v="0"/>
    <x v="0"/>
    <x v="1"/>
    <x v="0"/>
    <x v="0"/>
    <x v="0"/>
    <x v="0"/>
    <x v="16"/>
    <x v="0"/>
    <x v="0"/>
    <x v="0"/>
  </r>
  <r>
    <s v="ID0058"/>
    <d v="2012-05-25T06:49:25"/>
    <n v="49000"/>
    <n v="49000"/>
    <s v="EUR"/>
    <n v="62249.572510588783"/>
    <s v="Project leader"/>
    <x v="3"/>
    <s v="France"/>
    <x v="19"/>
    <x v="2"/>
    <m/>
    <s v=""/>
    <s v=""/>
    <s v=""/>
    <s v=""/>
    <s v=""/>
    <s v=""/>
    <x v="0"/>
    <x v="0"/>
    <x v="1"/>
    <x v="0"/>
    <x v="0"/>
    <x v="0"/>
    <x v="0"/>
    <x v="17"/>
    <x v="0"/>
    <x v="0"/>
    <x v="0"/>
  </r>
  <r>
    <s v="ID0059"/>
    <d v="2012-05-25T06:57:52"/>
    <n v="38000"/>
    <n v="38000"/>
    <s v="USD"/>
    <n v="38000"/>
    <s v="Senior Analyst"/>
    <x v="0"/>
    <s v="USA"/>
    <x v="2"/>
    <x v="0"/>
    <m/>
    <s v=""/>
    <s v=""/>
    <s v=""/>
    <s v=""/>
    <s v=""/>
    <s v=""/>
    <x v="0"/>
    <x v="0"/>
    <x v="16"/>
    <x v="0"/>
    <x v="0"/>
    <x v="0"/>
    <x v="0"/>
    <x v="0"/>
    <x v="0"/>
    <x v="0"/>
    <x v="0"/>
  </r>
  <r>
    <s v="ID0060"/>
    <d v="2012-05-25T07:00:52"/>
    <n v="41000"/>
    <n v="41000"/>
    <s v="USD"/>
    <n v="41000"/>
    <s v="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3"/>
  </r>
  <r>
    <s v="ID0061"/>
    <d v="2012-05-25T07:11:09"/>
    <n v="68000"/>
    <n v="68000"/>
    <s v="USD"/>
    <n v="68000"/>
    <s v="Engineering Data Analyst"/>
    <x v="0"/>
    <s v="USA"/>
    <x v="2"/>
    <x v="1"/>
    <m/>
    <s v=""/>
    <s v=""/>
    <s v=""/>
    <s v=""/>
    <s v=""/>
    <s v=""/>
    <x v="0"/>
    <x v="0"/>
    <x v="17"/>
    <x v="0"/>
    <x v="0"/>
    <x v="0"/>
    <x v="0"/>
    <x v="0"/>
    <x v="0"/>
    <x v="0"/>
    <x v="0"/>
  </r>
  <r>
    <s v="ID0062"/>
    <d v="2012-05-25T07:13:31"/>
    <n v="56000"/>
    <n v="56000"/>
    <s v="CAD"/>
    <n v="55068.245289698301"/>
    <s v="Sales Analyst"/>
    <x v="0"/>
    <s v="Canada"/>
    <x v="17"/>
    <x v="1"/>
    <m/>
    <s v=""/>
    <s v=""/>
    <s v=""/>
    <s v=""/>
    <s v=""/>
    <s v=""/>
    <x v="0"/>
    <x v="0"/>
    <x v="18"/>
    <x v="0"/>
    <x v="0"/>
    <x v="0"/>
    <x v="0"/>
    <x v="0"/>
    <x v="0"/>
    <x v="0"/>
    <x v="0"/>
  </r>
  <r>
    <s v="ID0063"/>
    <d v="2012-05-25T07:15:12"/>
    <n v="61000"/>
    <n v="61000"/>
    <s v="USD"/>
    <n v="61000"/>
    <s v="Coordinator Of Costa and Buget"/>
    <x v="3"/>
    <s v="Brasil"/>
    <x v="20"/>
    <x v="1"/>
    <m/>
    <s v=""/>
    <s v=""/>
    <s v=""/>
    <s v=""/>
    <s v=""/>
    <s v=""/>
    <x v="0"/>
    <x v="0"/>
    <x v="1"/>
    <x v="0"/>
    <x v="0"/>
    <x v="0"/>
    <x v="0"/>
    <x v="18"/>
    <x v="0"/>
    <x v="0"/>
    <x v="0"/>
  </r>
  <r>
    <s v="ID0064"/>
    <d v="2012-05-25T07:18:53"/>
    <n v="43000"/>
    <n v="43000"/>
    <s v="EUR"/>
    <n v="54627.175876639136"/>
    <s v="SAP consultant"/>
    <x v="8"/>
    <s v="FR"/>
    <x v="19"/>
    <x v="0"/>
    <m/>
    <s v=""/>
    <s v=""/>
    <s v=""/>
    <s v=""/>
    <s v=""/>
    <s v=""/>
    <x v="0"/>
    <x v="0"/>
    <x v="1"/>
    <x v="5"/>
    <x v="0"/>
    <x v="0"/>
    <x v="0"/>
    <x v="0"/>
    <x v="0"/>
    <x v="0"/>
    <x v="0"/>
  </r>
  <r>
    <s v="ID0065"/>
    <d v="2012-05-25T07:20:08"/>
    <n v="85000"/>
    <n v="85000"/>
    <s v="USD"/>
    <n v="85000"/>
    <s v="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19"/>
    <x v="0"/>
    <x v="0"/>
    <x v="0"/>
  </r>
  <r>
    <s v="ID0066"/>
    <d v="2012-05-25T07:21:18"/>
    <s v="â‚¬ 38000"/>
    <n v="38000"/>
    <s v="EUR"/>
    <n v="48275.178681681093"/>
    <s v="busines analist"/>
    <x v="0"/>
    <s v="The Netherlands"/>
    <x v="18"/>
    <x v="3"/>
    <m/>
    <s v=""/>
    <s v=""/>
    <s v=""/>
    <s v=""/>
    <s v=""/>
    <s v=""/>
    <x v="0"/>
    <x v="0"/>
    <x v="19"/>
    <x v="0"/>
    <x v="0"/>
    <x v="0"/>
    <x v="0"/>
    <x v="0"/>
    <x v="0"/>
    <x v="0"/>
    <x v="0"/>
  </r>
  <r>
    <s v="ID0067"/>
    <d v="2012-05-25T07:25:12"/>
    <n v="85000"/>
    <n v="85000"/>
    <s v="AUD"/>
    <n v="86692.320794224041"/>
    <s v="head of data"/>
    <x v="4"/>
    <s v="Australia"/>
    <x v="16"/>
    <x v="0"/>
    <m/>
    <s v=""/>
    <s v=""/>
    <s v=""/>
    <s v=""/>
    <s v=""/>
    <s v=""/>
    <x v="0"/>
    <x v="0"/>
    <x v="1"/>
    <x v="0"/>
    <x v="0"/>
    <x v="3"/>
    <x v="0"/>
    <x v="0"/>
    <x v="0"/>
    <x v="0"/>
    <x v="0"/>
  </r>
  <r>
    <s v="ID0068"/>
    <d v="2012-05-25T07:29:12"/>
    <n v="85087"/>
    <n v="85087"/>
    <s v="USD"/>
    <n v="85087"/>
    <s v="Business Systems Analyst"/>
    <x v="0"/>
    <s v="USA"/>
    <x v="2"/>
    <x v="2"/>
    <m/>
    <s v=""/>
    <s v=""/>
    <s v=""/>
    <s v=""/>
    <s v=""/>
    <s v=""/>
    <x v="0"/>
    <x v="0"/>
    <x v="20"/>
    <x v="0"/>
    <x v="0"/>
    <x v="0"/>
    <x v="0"/>
    <x v="0"/>
    <x v="0"/>
    <x v="0"/>
    <x v="0"/>
  </r>
  <r>
    <s v="ID0069"/>
    <d v="2012-05-25T07:38:22"/>
    <n v="50000"/>
    <n v="50000"/>
    <s v="USD"/>
    <n v="50000"/>
    <s v="Financial Analyst II"/>
    <x v="0"/>
    <s v="USA"/>
    <x v="2"/>
    <x v="1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070"/>
    <d v="2012-05-25T07:47:00"/>
    <n v="100000"/>
    <n v="100000"/>
    <s v="USD"/>
    <n v="100000"/>
    <s v="Mngr MI"/>
    <x v="3"/>
    <s v="RSA"/>
    <x v="11"/>
    <x v="0"/>
    <m/>
    <s v=""/>
    <s v=""/>
    <s v=""/>
    <s v=""/>
    <s v=""/>
    <s v=""/>
    <x v="0"/>
    <x v="0"/>
    <x v="1"/>
    <x v="0"/>
    <x v="0"/>
    <x v="0"/>
    <x v="0"/>
    <x v="20"/>
    <x v="0"/>
    <x v="0"/>
    <x v="0"/>
  </r>
  <r>
    <s v="ID0071"/>
    <d v="2012-05-25T22:49:00"/>
    <n v="57000"/>
    <n v="57000"/>
    <s v="USD"/>
    <n v="57000"/>
    <s v="sales analyst"/>
    <x v="0"/>
    <s v="USA"/>
    <x v="2"/>
    <x v="0"/>
    <m/>
    <s v=""/>
    <s v=""/>
    <s v=""/>
    <s v=""/>
    <s v=""/>
    <s v=""/>
    <x v="0"/>
    <x v="0"/>
    <x v="22"/>
    <x v="0"/>
    <x v="0"/>
    <x v="0"/>
    <x v="0"/>
    <x v="0"/>
    <x v="0"/>
    <x v="0"/>
    <x v="0"/>
  </r>
  <r>
    <s v="ID0072"/>
    <d v="2012-05-25T22:52:28"/>
    <n v="75000"/>
    <n v="75000"/>
    <s v="USD"/>
    <n v="75000"/>
    <s v="Consumer Research Program Manager"/>
    <x v="3"/>
    <s v="USA"/>
    <x v="2"/>
    <x v="1"/>
    <m/>
    <s v=""/>
    <s v=""/>
    <s v=""/>
    <s v=""/>
    <s v=""/>
    <s v=""/>
    <x v="0"/>
    <x v="0"/>
    <x v="1"/>
    <x v="0"/>
    <x v="0"/>
    <x v="0"/>
    <x v="0"/>
    <x v="21"/>
    <x v="0"/>
    <x v="0"/>
    <x v="0"/>
  </r>
  <r>
    <s v="ID0073"/>
    <d v="2012-05-25T22:59:05"/>
    <s v="$AUD100000"/>
    <n v="100000"/>
    <s v="AUD"/>
    <n v="101990.96564026357"/>
    <s v="technical trainer"/>
    <x v="3"/>
    <s v="Australia"/>
    <x v="16"/>
    <x v="0"/>
    <m/>
    <s v=""/>
    <s v=""/>
    <s v=""/>
    <s v=""/>
    <s v=""/>
    <s v=""/>
    <x v="0"/>
    <x v="0"/>
    <x v="1"/>
    <x v="0"/>
    <x v="0"/>
    <x v="0"/>
    <x v="0"/>
    <x v="22"/>
    <x v="0"/>
    <x v="0"/>
    <x v="0"/>
  </r>
  <r>
    <s v="ID0074"/>
    <d v="2012-05-25T23:01:20"/>
    <n v="2785"/>
    <n v="33420"/>
    <s v="USD"/>
    <n v="33420"/>
    <s v="Process Flow Coordinator"/>
    <x v="3"/>
    <s v="United Arab Emirates"/>
    <x v="21"/>
    <x v="1"/>
    <m/>
    <s v=""/>
    <s v=""/>
    <s v=""/>
    <s v=""/>
    <s v=""/>
    <s v=""/>
    <x v="0"/>
    <x v="0"/>
    <x v="1"/>
    <x v="0"/>
    <x v="0"/>
    <x v="0"/>
    <x v="0"/>
    <x v="23"/>
    <x v="0"/>
    <x v="0"/>
    <x v="0"/>
  </r>
  <r>
    <s v="ID0075"/>
    <d v="2012-05-25T23:03:00"/>
    <n v="59450"/>
    <n v="59450"/>
    <s v="CAD"/>
    <n v="58460.842544152933"/>
    <s v="Process Improvement Specialist"/>
    <x v="6"/>
    <s v="Canada"/>
    <x v="17"/>
    <x v="1"/>
    <m/>
    <s v=""/>
    <s v=""/>
    <s v=""/>
    <s v=""/>
    <s v=""/>
    <s v=""/>
    <x v="0"/>
    <x v="0"/>
    <x v="1"/>
    <x v="0"/>
    <x v="0"/>
    <x v="0"/>
    <x v="0"/>
    <x v="0"/>
    <x v="0"/>
    <x v="0"/>
    <x v="4"/>
  </r>
  <r>
    <s v="ID0076"/>
    <d v="2012-05-25T23:12:29"/>
    <n v="15000"/>
    <n v="15000"/>
    <s v="USD"/>
    <n v="15000"/>
    <s v="Excel Programmer Consultant"/>
    <x v="8"/>
    <s v="USA"/>
    <x v="2"/>
    <x v="1"/>
    <m/>
    <s v=""/>
    <s v=""/>
    <s v=""/>
    <s v=""/>
    <s v=""/>
    <s v=""/>
    <x v="0"/>
    <x v="0"/>
    <x v="1"/>
    <x v="6"/>
    <x v="0"/>
    <x v="0"/>
    <x v="0"/>
    <x v="0"/>
    <x v="0"/>
    <x v="0"/>
    <x v="0"/>
  </r>
  <r>
    <s v="ID0077"/>
    <d v="2012-05-25T23:15:34"/>
    <s v="US $60,000"/>
    <n v="60000"/>
    <s v="USD"/>
    <n v="60000"/>
    <s v="Statistical Analyst"/>
    <x v="0"/>
    <s v="Canada"/>
    <x v="17"/>
    <x v="3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078"/>
    <d v="2012-05-25T23:18:45"/>
    <n v="100000"/>
    <n v="100000"/>
    <s v="GBP"/>
    <n v="157617.8272067284"/>
    <s v="Analyst"/>
    <x v="0"/>
    <s v="UK"/>
    <x v="14"/>
    <x v="2"/>
    <m/>
    <s v=""/>
    <s v=""/>
    <s v=""/>
    <s v=""/>
    <s v=""/>
    <s v=""/>
    <x v="0"/>
    <x v="0"/>
    <x v="23"/>
    <x v="0"/>
    <x v="0"/>
    <x v="0"/>
    <x v="0"/>
    <x v="0"/>
    <x v="0"/>
    <x v="0"/>
    <x v="0"/>
  </r>
  <r>
    <s v="ID0079"/>
    <d v="2012-05-25T23:20:46"/>
    <s v="Us$ 18000"/>
    <n v="18000"/>
    <s v="USD"/>
    <n v="18000"/>
    <s v="Operational Analyst"/>
    <x v="0"/>
    <s v="Saudi Arabia"/>
    <x v="22"/>
    <x v="1"/>
    <m/>
    <s v=""/>
    <s v=""/>
    <s v=""/>
    <s v=""/>
    <s v=""/>
    <s v=""/>
    <x v="0"/>
    <x v="0"/>
    <x v="24"/>
    <x v="0"/>
    <x v="0"/>
    <x v="0"/>
    <x v="0"/>
    <x v="0"/>
    <x v="0"/>
    <x v="0"/>
    <x v="0"/>
  </r>
  <r>
    <s v="ID0080"/>
    <d v="2012-05-25T23:31:16"/>
    <n v="50000"/>
    <n v="50000"/>
    <s v="USD"/>
    <n v="50000"/>
    <s v="Exceler"/>
    <x v="3"/>
    <s v="USA"/>
    <x v="2"/>
    <x v="2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081"/>
    <d v="2012-05-25T23:33:15"/>
    <n v="26000"/>
    <n v="26000"/>
    <s v="USD"/>
    <n v="26000"/>
    <s v="Marketing Analyst"/>
    <x v="0"/>
    <s v="Panama"/>
    <x v="23"/>
    <x v="1"/>
    <m/>
    <s v=""/>
    <s v=""/>
    <s v=""/>
    <s v=""/>
    <s v=""/>
    <s v=""/>
    <x v="0"/>
    <x v="0"/>
    <x v="25"/>
    <x v="0"/>
    <x v="0"/>
    <x v="0"/>
    <x v="0"/>
    <x v="0"/>
    <x v="0"/>
    <x v="0"/>
    <x v="0"/>
  </r>
  <r>
    <s v="ID0082"/>
    <d v="2012-05-25T23:49:27"/>
    <s v="Â£30000"/>
    <n v="30000"/>
    <s v="GBP"/>
    <n v="47285.348162018527"/>
    <s v="Database Manager"/>
    <x v="3"/>
    <s v="UK"/>
    <x v="14"/>
    <x v="0"/>
    <m/>
    <s v=""/>
    <s v=""/>
    <s v=""/>
    <s v=""/>
    <s v=""/>
    <s v=""/>
    <x v="0"/>
    <x v="0"/>
    <x v="1"/>
    <x v="0"/>
    <x v="0"/>
    <x v="0"/>
    <x v="0"/>
    <x v="24"/>
    <x v="0"/>
    <x v="0"/>
    <x v="0"/>
  </r>
  <r>
    <s v="ID0083"/>
    <d v="2012-05-26T00:00:52"/>
    <n v="150000"/>
    <n v="150000"/>
    <s v="USD"/>
    <n v="150000"/>
    <s v="Director"/>
    <x v="4"/>
    <s v="USA"/>
    <x v="2"/>
    <x v="1"/>
    <m/>
    <s v=""/>
    <s v=""/>
    <s v=""/>
    <s v=""/>
    <s v=""/>
    <s v=""/>
    <x v="0"/>
    <x v="0"/>
    <x v="1"/>
    <x v="0"/>
    <x v="0"/>
    <x v="4"/>
    <x v="0"/>
    <x v="0"/>
    <x v="0"/>
    <x v="0"/>
    <x v="0"/>
  </r>
  <r>
    <s v="ID0084"/>
    <d v="2012-05-26T00:05:45"/>
    <n v="120000"/>
    <n v="120000"/>
    <s v="USD"/>
    <n v="120000"/>
    <s v="Manager, Forecasts &amp; Budgets"/>
    <x v="3"/>
    <s v="USA"/>
    <x v="2"/>
    <x v="0"/>
    <m/>
    <s v=""/>
    <s v=""/>
    <s v=""/>
    <s v=""/>
    <s v=""/>
    <s v=""/>
    <x v="0"/>
    <x v="0"/>
    <x v="1"/>
    <x v="0"/>
    <x v="0"/>
    <x v="0"/>
    <x v="0"/>
    <x v="25"/>
    <x v="0"/>
    <x v="0"/>
    <x v="0"/>
  </r>
  <r>
    <s v="ID0085"/>
    <d v="2012-05-26T00:10:17"/>
    <n v="500000"/>
    <n v="500000"/>
    <s v="INR"/>
    <n v="8903.9583437212841"/>
    <s v="Senior Consultant"/>
    <x v="8"/>
    <s v="India"/>
    <x v="0"/>
    <x v="1"/>
    <m/>
    <s v=""/>
    <s v=""/>
    <s v=""/>
    <s v=""/>
    <s v=""/>
    <s v=""/>
    <x v="0"/>
    <x v="0"/>
    <x v="1"/>
    <x v="1"/>
    <x v="0"/>
    <x v="0"/>
    <x v="0"/>
    <x v="0"/>
    <x v="0"/>
    <x v="0"/>
    <x v="0"/>
  </r>
  <r>
    <s v="ID0086"/>
    <d v="2012-05-26T00:11:21"/>
    <s v="US $ 31330.00"/>
    <n v="31330"/>
    <s v="USD"/>
    <n v="31330"/>
    <s v="VBA Analyst"/>
    <x v="0"/>
    <s v="Brazil"/>
    <x v="20"/>
    <x v="1"/>
    <m/>
    <s v=""/>
    <s v=""/>
    <s v=""/>
    <s v=""/>
    <s v=""/>
    <s v=""/>
    <x v="0"/>
    <x v="0"/>
    <x v="26"/>
    <x v="0"/>
    <x v="0"/>
    <x v="0"/>
    <x v="0"/>
    <x v="0"/>
    <x v="0"/>
    <x v="0"/>
    <x v="0"/>
  </r>
  <r>
    <s v="ID0087"/>
    <d v="2012-05-26T00:15:17"/>
    <n v="110000"/>
    <n v="110000"/>
    <s v="USD"/>
    <n v="110000"/>
    <s v="Senior Scheduling Engineer"/>
    <x v="2"/>
    <s v="USA"/>
    <x v="2"/>
    <x v="2"/>
    <m/>
    <s v=""/>
    <s v=""/>
    <s v=""/>
    <s v=""/>
    <s v=""/>
    <s v=""/>
    <x v="0"/>
    <x v="0"/>
    <x v="1"/>
    <x v="0"/>
    <x v="0"/>
    <x v="0"/>
    <x v="8"/>
    <x v="0"/>
    <x v="0"/>
    <x v="0"/>
    <x v="0"/>
  </r>
  <r>
    <s v="ID0088"/>
    <d v="2012-05-26T00:22:49"/>
    <s v="81,000USD"/>
    <n v="81000"/>
    <s v="USD"/>
    <n v="81000"/>
    <s v="Strategy Consultant"/>
    <x v="8"/>
    <s v="UK"/>
    <x v="14"/>
    <x v="0"/>
    <m/>
    <s v=""/>
    <s v=""/>
    <s v=""/>
    <s v=""/>
    <s v=""/>
    <s v=""/>
    <x v="0"/>
    <x v="0"/>
    <x v="1"/>
    <x v="7"/>
    <x v="0"/>
    <x v="0"/>
    <x v="0"/>
    <x v="0"/>
    <x v="0"/>
    <x v="0"/>
    <x v="0"/>
  </r>
  <r>
    <s v="ID0089"/>
    <d v="2012-05-26T00:39:04"/>
    <n v="40000"/>
    <n v="40000"/>
    <s v="USD"/>
    <n v="40000"/>
    <s v="Admin"/>
    <x v="0"/>
    <s v="USA"/>
    <x v="2"/>
    <x v="0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090"/>
    <d v="2012-05-26T00:39:28"/>
    <n v="42000"/>
    <n v="42000"/>
    <s v="CAD"/>
    <n v="41301.183967273726"/>
    <s v="IT Asset Administrator"/>
    <x v="0"/>
    <s v="Canada"/>
    <x v="17"/>
    <x v="0"/>
    <m/>
    <s v=""/>
    <s v=""/>
    <s v=""/>
    <s v=""/>
    <s v=""/>
    <s v=""/>
    <x v="0"/>
    <x v="0"/>
    <x v="28"/>
    <x v="0"/>
    <x v="0"/>
    <x v="0"/>
    <x v="0"/>
    <x v="0"/>
    <x v="0"/>
    <x v="0"/>
    <x v="0"/>
  </r>
  <r>
    <s v="ID0091"/>
    <d v="2012-05-26T00:39:36"/>
    <n v="125000"/>
    <n v="125000"/>
    <s v="USD"/>
    <n v="125000"/>
    <s v="Director of Marketing"/>
    <x v="4"/>
    <s v="USA"/>
    <x v="2"/>
    <x v="0"/>
    <m/>
    <s v=""/>
    <s v=""/>
    <s v=""/>
    <s v=""/>
    <s v=""/>
    <s v=""/>
    <x v="0"/>
    <x v="0"/>
    <x v="1"/>
    <x v="0"/>
    <x v="0"/>
    <x v="5"/>
    <x v="0"/>
    <x v="0"/>
    <x v="0"/>
    <x v="0"/>
    <x v="0"/>
  </r>
  <r>
    <s v="ID0092"/>
    <d v="2012-05-26T00:39:38"/>
    <n v="36000"/>
    <n v="36000"/>
    <s v="USD"/>
    <n v="36000"/>
    <s v="Graphic Design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26"/>
    <x v="0"/>
    <x v="0"/>
    <x v="0"/>
  </r>
  <r>
    <s v="ID0093"/>
    <d v="2012-05-26T00:39:54"/>
    <s v="Rs. 12,000/-"/>
    <n v="144000"/>
    <s v="INR"/>
    <n v="2564.3400029917298"/>
    <s v="Financial Consultant"/>
    <x v="8"/>
    <s v="India"/>
    <x v="0"/>
    <x v="3"/>
    <m/>
    <s v=""/>
    <s v=""/>
    <s v=""/>
    <s v=""/>
    <s v=""/>
    <s v=""/>
    <x v="0"/>
    <x v="0"/>
    <x v="1"/>
    <x v="8"/>
    <x v="0"/>
    <x v="0"/>
    <x v="0"/>
    <x v="0"/>
    <x v="0"/>
    <x v="0"/>
    <x v="0"/>
  </r>
  <r>
    <s v="ID0094"/>
    <d v="2012-05-26T00:40:00"/>
    <n v="75000"/>
    <n v="75000"/>
    <s v="USD"/>
    <n v="75000"/>
    <s v="Data Analyst"/>
    <x v="0"/>
    <s v="USA"/>
    <x v="2"/>
    <x v="3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095"/>
    <d v="2012-05-26T00:40:20"/>
    <n v="95000"/>
    <n v="95000"/>
    <s v="USD"/>
    <n v="95000"/>
    <s v="CFO"/>
    <x v="4"/>
    <s v="USA"/>
    <x v="2"/>
    <x v="0"/>
    <m/>
    <s v=""/>
    <s v=""/>
    <s v=""/>
    <s v=""/>
    <s v=""/>
    <s v=""/>
    <x v="0"/>
    <x v="0"/>
    <x v="1"/>
    <x v="0"/>
    <x v="0"/>
    <x v="6"/>
    <x v="0"/>
    <x v="0"/>
    <x v="0"/>
    <x v="0"/>
    <x v="0"/>
  </r>
  <r>
    <s v="ID0096"/>
    <d v="2012-05-26T00:40:27"/>
    <n v="24000"/>
    <n v="24000"/>
    <s v="USD"/>
    <n v="24000"/>
    <s v="Paraeducator"/>
    <x v="3"/>
    <s v="USA"/>
    <x v="2"/>
    <x v="2"/>
    <m/>
    <s v=""/>
    <s v=""/>
    <s v=""/>
    <s v=""/>
    <s v=""/>
    <s v=""/>
    <x v="0"/>
    <x v="0"/>
    <x v="1"/>
    <x v="0"/>
    <x v="0"/>
    <x v="0"/>
    <x v="0"/>
    <x v="27"/>
    <x v="0"/>
    <x v="0"/>
    <x v="0"/>
  </r>
  <r>
    <s v="ID0097"/>
    <d v="2012-05-26T00:40:31"/>
    <s v="91,000 USD"/>
    <n v="91000"/>
    <s v="USD"/>
    <n v="91000"/>
    <s v="Channel Marketing Manager"/>
    <x v="3"/>
    <s v="USA"/>
    <x v="2"/>
    <x v="3"/>
    <m/>
    <s v=""/>
    <s v=""/>
    <s v=""/>
    <s v=""/>
    <s v=""/>
    <s v=""/>
    <x v="0"/>
    <x v="0"/>
    <x v="1"/>
    <x v="0"/>
    <x v="0"/>
    <x v="0"/>
    <x v="0"/>
    <x v="28"/>
    <x v="0"/>
    <x v="0"/>
    <x v="0"/>
  </r>
  <r>
    <s v="ID0098"/>
    <d v="2012-05-26T00:40:39"/>
    <n v="40000"/>
    <n v="40000"/>
    <s v="USD"/>
    <n v="40000"/>
    <s v="Sales and Marketing Analyst "/>
    <x v="0"/>
    <s v="USA"/>
    <x v="2"/>
    <x v="0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099"/>
    <d v="2012-05-26T00:40:40"/>
    <n v="57000"/>
    <n v="57000"/>
    <s v="USD"/>
    <n v="57000"/>
    <s v="Production Scheduler"/>
    <x v="3"/>
    <s v="USA"/>
    <x v="2"/>
    <x v="0"/>
    <m/>
    <s v=""/>
    <s v=""/>
    <s v=""/>
    <s v=""/>
    <s v=""/>
    <s v=""/>
    <x v="0"/>
    <x v="0"/>
    <x v="1"/>
    <x v="0"/>
    <x v="0"/>
    <x v="0"/>
    <x v="0"/>
    <x v="29"/>
    <x v="0"/>
    <x v="0"/>
    <x v="0"/>
  </r>
  <r>
    <s v="ID0100"/>
    <d v="2012-05-26T00:40:41"/>
    <n v="74000"/>
    <n v="74000"/>
    <s v="USD"/>
    <n v="74000"/>
    <s v="Senior Consultant"/>
    <x v="8"/>
    <s v="USA"/>
    <x v="2"/>
    <x v="0"/>
    <m/>
    <s v=""/>
    <s v=""/>
    <s v=""/>
    <s v=""/>
    <s v=""/>
    <s v=""/>
    <x v="0"/>
    <x v="0"/>
    <x v="1"/>
    <x v="9"/>
    <x v="0"/>
    <x v="0"/>
    <x v="0"/>
    <x v="0"/>
    <x v="0"/>
    <x v="0"/>
    <x v="0"/>
  </r>
  <r>
    <s v="ID0101"/>
    <d v="2012-05-26T00:40:42"/>
    <s v="80k"/>
    <n v="80000"/>
    <s v="USD"/>
    <n v="80000"/>
    <s v="financial 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102"/>
    <d v="2012-05-26T00:40:46"/>
    <n v="90000"/>
    <n v="90000"/>
    <s v="USD"/>
    <n v="90000"/>
    <s v="Product 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5"/>
  </r>
  <r>
    <s v="ID0103"/>
    <d v="2012-05-26T00:40:48"/>
    <n v="21000"/>
    <n v="21000"/>
    <s v="USD"/>
    <n v="21000"/>
    <s v="IT support"/>
    <x v="0"/>
    <s v="arabian Gulf"/>
    <x v="24"/>
    <x v="3"/>
    <m/>
    <s v=""/>
    <s v=""/>
    <s v=""/>
    <s v=""/>
    <s v=""/>
    <s v=""/>
    <x v="0"/>
    <x v="0"/>
    <x v="31"/>
    <x v="0"/>
    <x v="0"/>
    <x v="0"/>
    <x v="0"/>
    <x v="0"/>
    <x v="0"/>
    <x v="0"/>
    <x v="0"/>
  </r>
  <r>
    <s v="ID0104"/>
    <d v="2012-05-26T00:40:50"/>
    <n v="52000"/>
    <n v="52000"/>
    <s v="USD"/>
    <n v="52000"/>
    <s v="sr. project coordinator"/>
    <x v="3"/>
    <s v="USA"/>
    <x v="2"/>
    <x v="0"/>
    <m/>
    <s v=""/>
    <s v=""/>
    <s v=""/>
    <s v=""/>
    <s v=""/>
    <s v=""/>
    <x v="0"/>
    <x v="0"/>
    <x v="1"/>
    <x v="0"/>
    <x v="0"/>
    <x v="0"/>
    <x v="0"/>
    <x v="30"/>
    <x v="0"/>
    <x v="0"/>
    <x v="0"/>
  </r>
  <r>
    <s v="ID0105"/>
    <d v="2012-05-26T00:40:52"/>
    <n v="19200"/>
    <n v="19200"/>
    <s v="USD"/>
    <n v="19200"/>
    <s v="Sr Administrative Assistant"/>
    <x v="0"/>
    <s v="Mexico"/>
    <x v="25"/>
    <x v="0"/>
    <m/>
    <s v=""/>
    <s v=""/>
    <s v=""/>
    <s v=""/>
    <s v=""/>
    <s v=""/>
    <x v="0"/>
    <x v="0"/>
    <x v="10"/>
    <x v="0"/>
    <x v="0"/>
    <x v="0"/>
    <x v="0"/>
    <x v="0"/>
    <x v="0"/>
    <x v="0"/>
    <x v="0"/>
  </r>
  <r>
    <s v="ID0106"/>
    <d v="2012-05-26T00:40:57"/>
    <n v="36000"/>
    <n v="36000"/>
    <s v="USD"/>
    <n v="36000"/>
    <s v="Analyst"/>
    <x v="0"/>
    <s v="USA"/>
    <x v="2"/>
    <x v="0"/>
    <m/>
    <s v=""/>
    <s v=""/>
    <s v=""/>
    <s v=""/>
    <s v=""/>
    <s v=""/>
    <x v="0"/>
    <x v="0"/>
    <x v="32"/>
    <x v="0"/>
    <x v="0"/>
    <x v="0"/>
    <x v="0"/>
    <x v="0"/>
    <x v="0"/>
    <x v="0"/>
    <x v="0"/>
  </r>
  <r>
    <s v="ID0107"/>
    <d v="2012-05-26T00:41:02"/>
    <n v="57400"/>
    <n v="57400"/>
    <s v="USD"/>
    <n v="57400"/>
    <s v="IT Analyst"/>
    <x v="0"/>
    <s v="USA"/>
    <x v="2"/>
    <x v="0"/>
    <m/>
    <s v=""/>
    <s v=""/>
    <s v=""/>
    <s v=""/>
    <s v=""/>
    <s v=""/>
    <x v="0"/>
    <x v="0"/>
    <x v="33"/>
    <x v="0"/>
    <x v="0"/>
    <x v="0"/>
    <x v="0"/>
    <x v="0"/>
    <x v="0"/>
    <x v="0"/>
    <x v="0"/>
  </r>
  <r>
    <s v="ID0108"/>
    <d v="2012-05-26T00:41:03"/>
    <n v="66000"/>
    <n v="66000"/>
    <s v="USD"/>
    <n v="66000"/>
    <s v="Analyst"/>
    <x v="0"/>
    <s v="USA"/>
    <x v="2"/>
    <x v="2"/>
    <m/>
    <s v=""/>
    <s v=""/>
    <s v=""/>
    <s v=""/>
    <s v=""/>
    <s v=""/>
    <x v="0"/>
    <x v="0"/>
    <x v="34"/>
    <x v="0"/>
    <x v="0"/>
    <x v="0"/>
    <x v="0"/>
    <x v="0"/>
    <x v="0"/>
    <x v="0"/>
    <x v="0"/>
  </r>
  <r>
    <s v="ID0109"/>
    <d v="2012-05-26T00:41:06"/>
    <n v="35000"/>
    <n v="35000"/>
    <s v="EUR"/>
    <n v="44463.980364706273"/>
    <s v="Project manager"/>
    <x v="3"/>
    <s v="Greece"/>
    <x v="26"/>
    <x v="0"/>
    <m/>
    <s v=""/>
    <s v=""/>
    <s v=""/>
    <s v=""/>
    <s v=""/>
    <s v=""/>
    <x v="0"/>
    <x v="0"/>
    <x v="1"/>
    <x v="0"/>
    <x v="0"/>
    <x v="0"/>
    <x v="0"/>
    <x v="31"/>
    <x v="0"/>
    <x v="0"/>
    <x v="0"/>
  </r>
  <r>
    <s v="ID0111"/>
    <d v="2012-05-26T00:41:16"/>
    <s v="$85,000+"/>
    <n v="85000"/>
    <s v="USD"/>
    <n v="85000"/>
    <s v="Strategic Analyst"/>
    <x v="0"/>
    <s v="USA"/>
    <x v="2"/>
    <x v="0"/>
    <m/>
    <s v=""/>
    <s v=""/>
    <s v=""/>
    <s v=""/>
    <s v=""/>
    <s v=""/>
    <x v="0"/>
    <x v="0"/>
    <x v="35"/>
    <x v="0"/>
    <x v="0"/>
    <x v="0"/>
    <x v="0"/>
    <x v="0"/>
    <x v="0"/>
    <x v="0"/>
    <x v="0"/>
  </r>
  <r>
    <s v="ID0112"/>
    <d v="2012-05-26T00:41:22"/>
    <n v="50000"/>
    <n v="50000"/>
    <s v="USD"/>
    <n v="50000"/>
    <s v="Transportation 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6"/>
  </r>
  <r>
    <s v="ID0113"/>
    <d v="2012-05-26T00:41:27"/>
    <s v="$58,000 USD"/>
    <n v="58000"/>
    <s v="USD"/>
    <n v="58000"/>
    <s v="Operations Programs Support"/>
    <x v="3"/>
    <s v="USA"/>
    <x v="2"/>
    <x v="0"/>
    <m/>
    <s v=""/>
    <s v=""/>
    <s v=""/>
    <s v=""/>
    <s v=""/>
    <s v=""/>
    <x v="0"/>
    <x v="0"/>
    <x v="1"/>
    <x v="0"/>
    <x v="0"/>
    <x v="0"/>
    <x v="0"/>
    <x v="32"/>
    <x v="0"/>
    <x v="0"/>
    <x v="0"/>
  </r>
  <r>
    <s v="ID0114"/>
    <d v="2012-05-26T00:41:28"/>
    <n v="37900"/>
    <n v="37900"/>
    <s v="USD"/>
    <n v="37900"/>
    <s v="Accounting Coordinator"/>
    <x v="5"/>
    <s v="USA"/>
    <x v="2"/>
    <x v="1"/>
    <m/>
    <s v=""/>
    <s v=""/>
    <s v=""/>
    <s v=""/>
    <s v=""/>
    <s v=""/>
    <x v="0"/>
    <x v="6"/>
    <x v="1"/>
    <x v="0"/>
    <x v="0"/>
    <x v="0"/>
    <x v="0"/>
    <x v="0"/>
    <x v="0"/>
    <x v="0"/>
    <x v="0"/>
  </r>
  <r>
    <s v="ID0115"/>
    <d v="2012-05-26T00:41:30"/>
    <n v="4000"/>
    <n v="48000"/>
    <s v="USD"/>
    <n v="48000"/>
    <s v="Asst.Manager Finance"/>
    <x v="3"/>
    <s v="UAE"/>
    <x v="21"/>
    <x v="2"/>
    <m/>
    <s v=""/>
    <s v=""/>
    <s v=""/>
    <s v=""/>
    <s v=""/>
    <s v=""/>
    <x v="0"/>
    <x v="0"/>
    <x v="1"/>
    <x v="0"/>
    <x v="0"/>
    <x v="0"/>
    <x v="0"/>
    <x v="33"/>
    <x v="0"/>
    <x v="0"/>
    <x v="0"/>
  </r>
  <r>
    <s v="ID0116"/>
    <d v="2012-05-26T00:41:32"/>
    <n v="67000"/>
    <n v="67000"/>
    <s v="USD"/>
    <n v="67000"/>
    <s v="Operations Cost Analyst"/>
    <x v="0"/>
    <s v="USA"/>
    <x v="2"/>
    <x v="0"/>
    <m/>
    <s v=""/>
    <s v=""/>
    <s v=""/>
    <s v=""/>
    <s v=""/>
    <s v=""/>
    <x v="0"/>
    <x v="0"/>
    <x v="36"/>
    <x v="0"/>
    <x v="0"/>
    <x v="0"/>
    <x v="0"/>
    <x v="0"/>
    <x v="0"/>
    <x v="0"/>
    <x v="0"/>
  </r>
  <r>
    <s v="ID0117"/>
    <d v="2012-05-26T00:41:35"/>
    <n v="85000"/>
    <n v="85000"/>
    <s v="USD"/>
    <n v="85000"/>
    <s v="Financial Controller"/>
    <x v="1"/>
    <s v="UAE"/>
    <x v="21"/>
    <x v="0"/>
    <m/>
    <s v=""/>
    <s v=""/>
    <s v=""/>
    <s v=""/>
    <s v=""/>
    <s v=""/>
    <x v="0"/>
    <x v="0"/>
    <x v="1"/>
    <x v="0"/>
    <x v="3"/>
    <x v="0"/>
    <x v="0"/>
    <x v="0"/>
    <x v="0"/>
    <x v="0"/>
    <x v="0"/>
  </r>
  <r>
    <s v="ID0118"/>
    <d v="2012-05-26T00:41:35"/>
    <n v="56160"/>
    <n v="56160"/>
    <s v="USD"/>
    <n v="56160"/>
    <s v="Utilization Analyst"/>
    <x v="0"/>
    <s v="USA"/>
    <x v="2"/>
    <x v="0"/>
    <m/>
    <s v=""/>
    <s v=""/>
    <s v=""/>
    <s v=""/>
    <s v=""/>
    <s v=""/>
    <x v="0"/>
    <x v="0"/>
    <x v="37"/>
    <x v="0"/>
    <x v="0"/>
    <x v="0"/>
    <x v="0"/>
    <x v="0"/>
    <x v="0"/>
    <x v="0"/>
    <x v="0"/>
  </r>
  <r>
    <s v="ID0119"/>
    <d v="2012-05-26T00:41:38"/>
    <n v="2000"/>
    <n v="24000"/>
    <s v="USD"/>
    <n v="24000"/>
    <s v="Researcher"/>
    <x v="3"/>
    <s v="Colombia"/>
    <x v="27"/>
    <x v="1"/>
    <m/>
    <s v=""/>
    <s v=""/>
    <s v=""/>
    <s v=""/>
    <s v=""/>
    <s v=""/>
    <x v="0"/>
    <x v="0"/>
    <x v="1"/>
    <x v="0"/>
    <x v="0"/>
    <x v="0"/>
    <x v="0"/>
    <x v="27"/>
    <x v="0"/>
    <x v="0"/>
    <x v="0"/>
  </r>
  <r>
    <s v="ID0120"/>
    <d v="2012-05-26T00:41:38"/>
    <n v="52000"/>
    <n v="52000"/>
    <s v="USD"/>
    <n v="52000"/>
    <s v="Market Analyst"/>
    <x v="0"/>
    <s v="USA"/>
    <x v="2"/>
    <x v="4"/>
    <m/>
    <s v=""/>
    <s v=""/>
    <s v=""/>
    <s v=""/>
    <s v=""/>
    <s v=""/>
    <x v="0"/>
    <x v="0"/>
    <x v="38"/>
    <x v="0"/>
    <x v="0"/>
    <x v="0"/>
    <x v="0"/>
    <x v="0"/>
    <x v="0"/>
    <x v="0"/>
    <x v="0"/>
  </r>
  <r>
    <s v="ID0121"/>
    <d v="2012-05-26T00:41:41"/>
    <n v="60000"/>
    <n v="60000"/>
    <s v="CAD"/>
    <n v="59001.691381819612"/>
    <s v="Web Developer"/>
    <x v="0"/>
    <s v="Canada"/>
    <x v="17"/>
    <x v="4"/>
    <m/>
    <s v=""/>
    <s v=""/>
    <s v=""/>
    <s v=""/>
    <s v=""/>
    <s v=""/>
    <x v="0"/>
    <x v="0"/>
    <x v="39"/>
    <x v="0"/>
    <x v="0"/>
    <x v="0"/>
    <x v="0"/>
    <x v="0"/>
    <x v="0"/>
    <x v="0"/>
    <x v="0"/>
  </r>
  <r>
    <s v="ID0122"/>
    <d v="2012-05-26T00:41:43"/>
    <n v="70000"/>
    <n v="70000"/>
    <s v="USD"/>
    <n v="70000"/>
    <s v="Sr. Acct"/>
    <x v="5"/>
    <s v="USA"/>
    <x v="2"/>
    <x v="1"/>
    <m/>
    <s v=""/>
    <s v=""/>
    <s v=""/>
    <s v=""/>
    <s v=""/>
    <s v=""/>
    <x v="0"/>
    <x v="7"/>
    <x v="1"/>
    <x v="0"/>
    <x v="0"/>
    <x v="0"/>
    <x v="0"/>
    <x v="0"/>
    <x v="0"/>
    <x v="0"/>
    <x v="0"/>
  </r>
  <r>
    <s v="ID0123"/>
    <d v="2012-05-26T00:41:56"/>
    <n v="50000"/>
    <n v="50000"/>
    <s v="USD"/>
    <n v="50000"/>
    <s v="Information Systems 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6"/>
  </r>
  <r>
    <s v="ID0124"/>
    <d v="2012-05-26T00:41:58"/>
    <n v="2300000"/>
    <n v="2300000"/>
    <s v="INR"/>
    <n v="40958.208381117904"/>
    <s v="Analytics lead"/>
    <x v="0"/>
    <s v="India"/>
    <x v="0"/>
    <x v="3"/>
    <m/>
    <s v=""/>
    <s v=""/>
    <s v=""/>
    <s v=""/>
    <s v=""/>
    <s v=""/>
    <x v="0"/>
    <x v="0"/>
    <x v="40"/>
    <x v="0"/>
    <x v="0"/>
    <x v="0"/>
    <x v="0"/>
    <x v="0"/>
    <x v="0"/>
    <x v="0"/>
    <x v="0"/>
  </r>
  <r>
    <s v="ID0125"/>
    <d v="2012-05-26T00:42:00"/>
    <n v="80000"/>
    <n v="80000"/>
    <s v="USD"/>
    <n v="80000"/>
    <s v="Financial 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126"/>
    <d v="2012-05-26T00:42:08"/>
    <n v="128000"/>
    <n v="128000"/>
    <s v="USD"/>
    <n v="128000"/>
    <s v="Actuary"/>
    <x v="3"/>
    <s v="USA"/>
    <x v="2"/>
    <x v="1"/>
    <m/>
    <s v=""/>
    <s v=""/>
    <s v=""/>
    <s v=""/>
    <s v=""/>
    <s v=""/>
    <x v="0"/>
    <x v="0"/>
    <x v="1"/>
    <x v="0"/>
    <x v="0"/>
    <x v="0"/>
    <x v="0"/>
    <x v="34"/>
    <x v="0"/>
    <x v="0"/>
    <x v="0"/>
  </r>
  <r>
    <s v="ID0127"/>
    <d v="2012-05-26T00:42:10"/>
    <s v="US $44,000"/>
    <n v="44000"/>
    <s v="USD"/>
    <n v="44000"/>
    <s v="School Tech Coordinator"/>
    <x v="3"/>
    <s v="USA"/>
    <x v="2"/>
    <x v="3"/>
    <m/>
    <s v=""/>
    <s v=""/>
    <s v=""/>
    <s v=""/>
    <s v=""/>
    <s v=""/>
    <x v="0"/>
    <x v="0"/>
    <x v="1"/>
    <x v="0"/>
    <x v="0"/>
    <x v="0"/>
    <x v="0"/>
    <x v="35"/>
    <x v="0"/>
    <x v="0"/>
    <x v="0"/>
  </r>
  <r>
    <s v="ID0128"/>
    <d v="2012-05-26T00:42:11"/>
    <n v="65000"/>
    <n v="65000"/>
    <s v="USD"/>
    <n v="65000"/>
    <s v="sr accountant"/>
    <x v="5"/>
    <s v="USA"/>
    <x v="2"/>
    <x v="1"/>
    <m/>
    <s v=""/>
    <s v=""/>
    <s v=""/>
    <s v=""/>
    <s v=""/>
    <s v=""/>
    <x v="0"/>
    <x v="8"/>
    <x v="1"/>
    <x v="0"/>
    <x v="0"/>
    <x v="0"/>
    <x v="0"/>
    <x v="0"/>
    <x v="0"/>
    <x v="0"/>
    <x v="0"/>
  </r>
  <r>
    <s v="ID0129"/>
    <d v="2012-05-26T00:42:32"/>
    <s v="36000 usd"/>
    <n v="36000"/>
    <s v="USD"/>
    <n v="36000"/>
    <s v="senior accountant"/>
    <x v="5"/>
    <s v="Turkey"/>
    <x v="28"/>
    <x v="0"/>
    <m/>
    <s v=""/>
    <s v=""/>
    <s v=""/>
    <s v=""/>
    <s v=""/>
    <s v=""/>
    <x v="0"/>
    <x v="9"/>
    <x v="1"/>
    <x v="0"/>
    <x v="0"/>
    <x v="0"/>
    <x v="0"/>
    <x v="0"/>
    <x v="0"/>
    <x v="0"/>
    <x v="0"/>
  </r>
  <r>
    <s v="ID0130"/>
    <d v="2012-05-26T00:42:34"/>
    <n v="1000"/>
    <n v="12000"/>
    <s v="USD"/>
    <n v="12000"/>
    <s v="Freelance"/>
    <x v="8"/>
    <s v="Pakistan"/>
    <x v="3"/>
    <x v="3"/>
    <m/>
    <s v=""/>
    <s v=""/>
    <s v=""/>
    <s v=""/>
    <s v=""/>
    <s v=""/>
    <x v="0"/>
    <x v="0"/>
    <x v="1"/>
    <x v="4"/>
    <x v="0"/>
    <x v="0"/>
    <x v="0"/>
    <x v="0"/>
    <x v="0"/>
    <x v="0"/>
    <x v="0"/>
  </r>
  <r>
    <s v="ID0131"/>
    <d v="2012-05-26T00:42:41"/>
    <n v="28159.200000000001"/>
    <n v="28159"/>
    <s v="GBP"/>
    <n v="44383.603963142654"/>
    <s v="Data Analyst"/>
    <x v="0"/>
    <s v="UK"/>
    <x v="14"/>
    <x v="1"/>
    <m/>
    <s v=""/>
    <s v=""/>
    <s v=""/>
    <s v=""/>
    <s v=""/>
    <s v=""/>
    <x v="0"/>
    <x v="0"/>
    <x v="41"/>
    <x v="0"/>
    <x v="0"/>
    <x v="0"/>
    <x v="0"/>
    <x v="0"/>
    <x v="0"/>
    <x v="0"/>
    <x v="0"/>
  </r>
  <r>
    <s v="ID0132"/>
    <d v="2012-05-26T00:42:46"/>
    <n v="45000"/>
    <n v="45000"/>
    <s v="USD"/>
    <n v="45000"/>
    <s v="DBA"/>
    <x v="0"/>
    <s v="USA"/>
    <x v="2"/>
    <x v="0"/>
    <m/>
    <s v=""/>
    <s v=""/>
    <s v=""/>
    <s v=""/>
    <s v=""/>
    <s v=""/>
    <x v="0"/>
    <x v="0"/>
    <x v="42"/>
    <x v="0"/>
    <x v="0"/>
    <x v="0"/>
    <x v="0"/>
    <x v="0"/>
    <x v="0"/>
    <x v="0"/>
    <x v="0"/>
  </r>
  <r>
    <s v="ID0133"/>
    <d v="2012-05-26T00:42:58"/>
    <n v="54000"/>
    <n v="54000"/>
    <s v="USD"/>
    <n v="54000"/>
    <s v="Research Analyst"/>
    <x v="0"/>
    <s v="USA"/>
    <x v="2"/>
    <x v="2"/>
    <m/>
    <s v=""/>
    <s v=""/>
    <s v=""/>
    <s v=""/>
    <s v=""/>
    <s v=""/>
    <x v="0"/>
    <x v="0"/>
    <x v="43"/>
    <x v="0"/>
    <x v="0"/>
    <x v="0"/>
    <x v="0"/>
    <x v="0"/>
    <x v="0"/>
    <x v="0"/>
    <x v="0"/>
  </r>
  <r>
    <s v="ID0134"/>
    <d v="2012-05-26T00:43:03"/>
    <n v="70000"/>
    <n v="70000"/>
    <s v="GBP"/>
    <n v="110332.47904470989"/>
    <s v="Project Manager"/>
    <x v="3"/>
    <s v="UK"/>
    <x v="14"/>
    <x v="2"/>
    <m/>
    <s v=""/>
    <s v=""/>
    <s v=""/>
    <s v=""/>
    <s v=""/>
    <s v=""/>
    <x v="0"/>
    <x v="0"/>
    <x v="1"/>
    <x v="0"/>
    <x v="0"/>
    <x v="0"/>
    <x v="0"/>
    <x v="36"/>
    <x v="0"/>
    <x v="0"/>
    <x v="0"/>
  </r>
  <r>
    <s v="ID0135"/>
    <d v="2012-05-26T00:43:07"/>
    <n v="71000"/>
    <n v="71000"/>
    <s v="USD"/>
    <n v="71000"/>
    <s v="Market Research Analyst"/>
    <x v="0"/>
    <s v="USA"/>
    <x v="2"/>
    <x v="0"/>
    <m/>
    <s v=""/>
    <s v=""/>
    <s v=""/>
    <s v=""/>
    <s v=""/>
    <s v=""/>
    <x v="0"/>
    <x v="0"/>
    <x v="44"/>
    <x v="0"/>
    <x v="0"/>
    <x v="0"/>
    <x v="0"/>
    <x v="0"/>
    <x v="0"/>
    <x v="0"/>
    <x v="0"/>
  </r>
  <r>
    <s v="ID0136"/>
    <d v="2012-05-26T00:43:08"/>
    <n v="800000"/>
    <n v="800000"/>
    <s v="INR"/>
    <n v="14246.333349954055"/>
    <s v="Manager : Accounts"/>
    <x v="3"/>
    <s v="India"/>
    <x v="0"/>
    <x v="2"/>
    <m/>
    <s v=""/>
    <s v=""/>
    <s v=""/>
    <s v=""/>
    <s v=""/>
    <s v=""/>
    <x v="0"/>
    <x v="0"/>
    <x v="1"/>
    <x v="0"/>
    <x v="0"/>
    <x v="0"/>
    <x v="0"/>
    <x v="13"/>
    <x v="0"/>
    <x v="0"/>
    <x v="0"/>
  </r>
  <r>
    <s v="ID0137"/>
    <d v="2012-05-26T00:43:17"/>
    <n v="70000"/>
    <n v="70000"/>
    <s v="CAD"/>
    <n v="68835.306612122877"/>
    <s v="project mana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37"/>
    <x v="0"/>
    <x v="0"/>
    <x v="0"/>
  </r>
  <r>
    <s v="ID0138"/>
    <d v="2012-05-26T00:43:25"/>
    <n v="50000"/>
    <n v="50000"/>
    <s v="CAD"/>
    <n v="49168.076151516347"/>
    <s v="Inventory man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38"/>
    <x v="0"/>
    <x v="0"/>
    <x v="0"/>
  </r>
  <r>
    <s v="ID0139"/>
    <d v="2012-05-26T00:43:27"/>
    <n v="40000"/>
    <n v="40000"/>
    <s v="USD"/>
    <n v="40000"/>
    <s v="Business Analyst"/>
    <x v="0"/>
    <s v="USA"/>
    <x v="2"/>
    <x v="0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140"/>
    <d v="2012-05-26T00:43:34"/>
    <s v="$62,000 CND"/>
    <n v="62000"/>
    <s v="CAD"/>
    <n v="60968.414427880263"/>
    <s v="Process Technician"/>
    <x v="0"/>
    <s v="Canada"/>
    <x v="17"/>
    <x v="2"/>
    <m/>
    <s v=""/>
    <s v=""/>
    <s v=""/>
    <s v=""/>
    <s v=""/>
    <s v=""/>
    <x v="0"/>
    <x v="0"/>
    <x v="45"/>
    <x v="0"/>
    <x v="0"/>
    <x v="0"/>
    <x v="0"/>
    <x v="0"/>
    <x v="0"/>
    <x v="0"/>
    <x v="0"/>
  </r>
  <r>
    <s v="ID0141"/>
    <d v="2012-05-26T00:43:36"/>
    <s v="28000rs"/>
    <n v="336000"/>
    <s v="INR"/>
    <n v="5983.4600069807029"/>
    <s v="MIS Team Leader"/>
    <x v="7"/>
    <s v="India"/>
    <x v="0"/>
    <x v="0"/>
    <m/>
    <s v=""/>
    <s v=""/>
    <s v=""/>
    <s v=""/>
    <s v=""/>
    <s v=""/>
    <x v="0"/>
    <x v="0"/>
    <x v="1"/>
    <x v="0"/>
    <x v="0"/>
    <x v="0"/>
    <x v="0"/>
    <x v="0"/>
    <x v="0"/>
    <x v="2"/>
    <x v="0"/>
  </r>
  <r>
    <s v="ID0142"/>
    <d v="2012-05-26T00:43:36"/>
    <n v="53000"/>
    <n v="53000"/>
    <s v="USD"/>
    <n v="53000"/>
    <s v="Data Analyst"/>
    <x v="0"/>
    <s v="USA"/>
    <x v="2"/>
    <x v="0"/>
    <m/>
    <s v=""/>
    <s v=""/>
    <s v=""/>
    <s v=""/>
    <s v=""/>
    <s v=""/>
    <x v="0"/>
    <x v="0"/>
    <x v="46"/>
    <x v="0"/>
    <x v="0"/>
    <x v="0"/>
    <x v="0"/>
    <x v="0"/>
    <x v="0"/>
    <x v="0"/>
    <x v="0"/>
  </r>
  <r>
    <s v="ID0143"/>
    <d v="2012-05-26T00:43:49"/>
    <n v="104000"/>
    <n v="104000"/>
    <s v="USD"/>
    <n v="104000"/>
    <s v="Finance Director"/>
    <x v="4"/>
    <s v="USA"/>
    <x v="2"/>
    <x v="2"/>
    <m/>
    <s v=""/>
    <s v=""/>
    <s v=""/>
    <s v=""/>
    <s v=""/>
    <s v=""/>
    <x v="0"/>
    <x v="0"/>
    <x v="1"/>
    <x v="0"/>
    <x v="0"/>
    <x v="7"/>
    <x v="0"/>
    <x v="0"/>
    <x v="0"/>
    <x v="0"/>
    <x v="0"/>
  </r>
  <r>
    <s v="ID0144"/>
    <d v="2012-05-26T00:44:02"/>
    <n v="57000"/>
    <n v="57000"/>
    <s v="USD"/>
    <n v="57000"/>
    <s v="Industrial Engineer"/>
    <x v="2"/>
    <s v="USA"/>
    <x v="2"/>
    <x v="0"/>
    <m/>
    <s v=""/>
    <s v=""/>
    <s v=""/>
    <s v=""/>
    <s v=""/>
    <s v=""/>
    <x v="0"/>
    <x v="0"/>
    <x v="1"/>
    <x v="0"/>
    <x v="0"/>
    <x v="0"/>
    <x v="9"/>
    <x v="0"/>
    <x v="0"/>
    <x v="0"/>
    <x v="0"/>
  </r>
  <r>
    <s v="ID0145"/>
    <d v="2012-05-26T00:44:09"/>
    <n v="45000"/>
    <n v="45000"/>
    <s v="USD"/>
    <n v="45000"/>
    <s v="data analyst"/>
    <x v="0"/>
    <s v="USA"/>
    <x v="2"/>
    <x v="2"/>
    <m/>
    <s v=""/>
    <s v=""/>
    <s v=""/>
    <s v=""/>
    <s v=""/>
    <s v=""/>
    <x v="0"/>
    <x v="0"/>
    <x v="42"/>
    <x v="0"/>
    <x v="0"/>
    <x v="0"/>
    <x v="0"/>
    <x v="0"/>
    <x v="0"/>
    <x v="0"/>
    <x v="0"/>
  </r>
  <r>
    <s v="ID0146"/>
    <d v="2012-05-26T00:44:15"/>
    <n v="92000"/>
    <n v="92000"/>
    <s v="USD"/>
    <n v="92000"/>
    <s v="Senior Financial &amp; Systems Analyst"/>
    <x v="0"/>
    <s v="USA"/>
    <x v="2"/>
    <x v="0"/>
    <m/>
    <s v=""/>
    <s v=""/>
    <s v=""/>
    <s v=""/>
    <s v=""/>
    <s v=""/>
    <x v="0"/>
    <x v="0"/>
    <x v="47"/>
    <x v="0"/>
    <x v="0"/>
    <x v="0"/>
    <x v="0"/>
    <x v="0"/>
    <x v="0"/>
    <x v="0"/>
    <x v="0"/>
  </r>
  <r>
    <s v="ID0147"/>
    <d v="2012-05-26T00:44:18"/>
    <n v="88000"/>
    <n v="88000"/>
    <s v="USD"/>
    <n v="88000"/>
    <s v="project manager - metrics"/>
    <x v="3"/>
    <s v="USA"/>
    <x v="2"/>
    <x v="0"/>
    <m/>
    <s v=""/>
    <s v=""/>
    <s v=""/>
    <s v=""/>
    <s v=""/>
    <s v=""/>
    <x v="0"/>
    <x v="0"/>
    <x v="1"/>
    <x v="0"/>
    <x v="0"/>
    <x v="0"/>
    <x v="0"/>
    <x v="39"/>
    <x v="0"/>
    <x v="0"/>
    <x v="0"/>
  </r>
  <r>
    <s v="ID0148"/>
    <d v="2012-05-26T00:44:20"/>
    <n v="80000"/>
    <n v="80000"/>
    <s v="USD"/>
    <n v="80000"/>
    <s v="Informatics Research Analyst"/>
    <x v="0"/>
    <s v="USA"/>
    <x v="2"/>
    <x v="2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149"/>
    <d v="2012-05-26T00:44:22"/>
    <n v="69000"/>
    <n v="69000"/>
    <s v="USD"/>
    <n v="69000"/>
    <s v="Business Technical Consultant"/>
    <x v="8"/>
    <s v="USA"/>
    <x v="2"/>
    <x v="0"/>
    <m/>
    <s v=""/>
    <s v=""/>
    <s v=""/>
    <s v=""/>
    <s v=""/>
    <s v=""/>
    <x v="0"/>
    <x v="0"/>
    <x v="1"/>
    <x v="10"/>
    <x v="0"/>
    <x v="0"/>
    <x v="0"/>
    <x v="0"/>
    <x v="0"/>
    <x v="0"/>
    <x v="0"/>
  </r>
  <r>
    <s v="ID0150"/>
    <d v="2012-05-26T00:44:23"/>
    <n v="50000"/>
    <n v="50000"/>
    <s v="USD"/>
    <n v="50000"/>
    <s v="Business Operations Reporting Analyst"/>
    <x v="0"/>
    <s v="Mexico"/>
    <x v="25"/>
    <x v="1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151"/>
    <d v="2012-05-26T00:44:40"/>
    <n v="35000"/>
    <n v="35000"/>
    <s v="USD"/>
    <n v="35000"/>
    <s v="Program Services Coordinator"/>
    <x v="3"/>
    <s v="USA"/>
    <x v="2"/>
    <x v="2"/>
    <m/>
    <s v=""/>
    <s v=""/>
    <s v=""/>
    <s v=""/>
    <s v=""/>
    <s v=""/>
    <x v="0"/>
    <x v="0"/>
    <x v="1"/>
    <x v="0"/>
    <x v="0"/>
    <x v="0"/>
    <x v="0"/>
    <x v="40"/>
    <x v="0"/>
    <x v="0"/>
    <x v="0"/>
  </r>
  <r>
    <s v="ID0152"/>
    <d v="2012-05-26T00:44:59"/>
    <n v="96000"/>
    <n v="96000"/>
    <s v="USD"/>
    <n v="96000"/>
    <s v="Specialist - Finance Planning and Analysis"/>
    <x v="0"/>
    <s v="USA"/>
    <x v="2"/>
    <x v="0"/>
    <m/>
    <s v=""/>
    <s v=""/>
    <s v=""/>
    <s v=""/>
    <s v=""/>
    <s v=""/>
    <x v="0"/>
    <x v="0"/>
    <x v="7"/>
    <x v="0"/>
    <x v="0"/>
    <x v="0"/>
    <x v="0"/>
    <x v="0"/>
    <x v="0"/>
    <x v="0"/>
    <x v="0"/>
  </r>
  <r>
    <s v="ID0153"/>
    <d v="2012-05-26T00:45:00"/>
    <n v="65000"/>
    <n v="65000"/>
    <s v="USD"/>
    <n v="65000"/>
    <s v="Sr Accountant"/>
    <x v="5"/>
    <s v="USA"/>
    <x v="2"/>
    <x v="1"/>
    <m/>
    <s v=""/>
    <s v=""/>
    <s v=""/>
    <s v=""/>
    <s v=""/>
    <s v=""/>
    <x v="0"/>
    <x v="8"/>
    <x v="1"/>
    <x v="0"/>
    <x v="0"/>
    <x v="0"/>
    <x v="0"/>
    <x v="0"/>
    <x v="0"/>
    <x v="0"/>
    <x v="0"/>
  </r>
  <r>
    <s v="ID0154"/>
    <d v="2012-05-26T00:45:06"/>
    <n v="37440"/>
    <n v="37440"/>
    <s v="USD"/>
    <n v="37440"/>
    <s v="sales analyst"/>
    <x v="0"/>
    <s v="USA"/>
    <x v="2"/>
    <x v="1"/>
    <m/>
    <s v=""/>
    <s v=""/>
    <s v=""/>
    <s v=""/>
    <s v=""/>
    <s v=""/>
    <x v="0"/>
    <x v="0"/>
    <x v="48"/>
    <x v="0"/>
    <x v="0"/>
    <x v="0"/>
    <x v="0"/>
    <x v="0"/>
    <x v="0"/>
    <x v="0"/>
    <x v="0"/>
  </r>
  <r>
    <s v="ID0155"/>
    <d v="2012-05-26T00:45:11"/>
    <n v="15500"/>
    <n v="15500"/>
    <s v="USD"/>
    <n v="15500"/>
    <s v="Proces auditor"/>
    <x v="5"/>
    <s v="Mexico"/>
    <x v="25"/>
    <x v="1"/>
    <m/>
    <s v=""/>
    <s v=""/>
    <s v=""/>
    <s v=""/>
    <s v=""/>
    <s v=""/>
    <x v="0"/>
    <x v="10"/>
    <x v="1"/>
    <x v="0"/>
    <x v="0"/>
    <x v="0"/>
    <x v="0"/>
    <x v="0"/>
    <x v="0"/>
    <x v="0"/>
    <x v="0"/>
  </r>
  <r>
    <s v="ID0156"/>
    <d v="2012-05-26T00:45:17"/>
    <s v="90000 USD"/>
    <n v="90000"/>
    <s v="USD"/>
    <n v="90000"/>
    <s v="Senior Data Quality Analyst"/>
    <x v="0"/>
    <s v="USA"/>
    <x v="2"/>
    <x v="2"/>
    <m/>
    <s v=""/>
    <s v=""/>
    <s v=""/>
    <s v=""/>
    <s v=""/>
    <s v=""/>
    <x v="0"/>
    <x v="0"/>
    <x v="49"/>
    <x v="0"/>
    <x v="0"/>
    <x v="0"/>
    <x v="0"/>
    <x v="0"/>
    <x v="0"/>
    <x v="0"/>
    <x v="0"/>
  </r>
  <r>
    <s v="ID0157"/>
    <d v="2012-05-26T00:45:46"/>
    <n v="66500"/>
    <n v="66500"/>
    <s v="USD"/>
    <n v="66500"/>
    <s v="Sr Business Analyst"/>
    <x v="0"/>
    <s v="USA"/>
    <x v="2"/>
    <x v="1"/>
    <m/>
    <s v=""/>
    <s v=""/>
    <s v=""/>
    <s v=""/>
    <s v=""/>
    <s v=""/>
    <x v="0"/>
    <x v="0"/>
    <x v="50"/>
    <x v="0"/>
    <x v="0"/>
    <x v="0"/>
    <x v="0"/>
    <x v="0"/>
    <x v="0"/>
    <x v="0"/>
    <x v="0"/>
  </r>
  <r>
    <s v="ID0158"/>
    <d v="2012-05-26T00:45:49"/>
    <n v="100000"/>
    <n v="100000"/>
    <s v="USD"/>
    <n v="100000"/>
    <s v="COST ACCOUNTANT"/>
    <x v="5"/>
    <s v="USA"/>
    <x v="2"/>
    <x v="1"/>
    <m/>
    <s v=""/>
    <s v=""/>
    <s v=""/>
    <s v=""/>
    <s v=""/>
    <s v=""/>
    <x v="0"/>
    <x v="11"/>
    <x v="1"/>
    <x v="0"/>
    <x v="0"/>
    <x v="0"/>
    <x v="0"/>
    <x v="0"/>
    <x v="0"/>
    <x v="0"/>
    <x v="0"/>
  </r>
  <r>
    <s v="ID0159"/>
    <d v="2012-05-26T00:45:51"/>
    <s v="Â£32250"/>
    <n v="32250"/>
    <s v="GBP"/>
    <n v="50831.74927416991"/>
    <s v="project Support"/>
    <x v="3"/>
    <s v="UK"/>
    <x v="14"/>
    <x v="0"/>
    <m/>
    <s v=""/>
    <s v=""/>
    <s v=""/>
    <s v=""/>
    <s v=""/>
    <s v=""/>
    <x v="0"/>
    <x v="0"/>
    <x v="1"/>
    <x v="0"/>
    <x v="0"/>
    <x v="0"/>
    <x v="0"/>
    <x v="41"/>
    <x v="0"/>
    <x v="0"/>
    <x v="0"/>
  </r>
  <r>
    <s v="ID0160"/>
    <d v="2012-05-26T00:45:53"/>
    <n v="420000"/>
    <n v="420000"/>
    <s v="INR"/>
    <n v="7479.3250087258784"/>
    <s v="managerial"/>
    <x v="3"/>
    <s v="India"/>
    <x v="0"/>
    <x v="3"/>
    <m/>
    <s v=""/>
    <s v=""/>
    <s v=""/>
    <s v=""/>
    <s v=""/>
    <s v=""/>
    <x v="0"/>
    <x v="0"/>
    <x v="1"/>
    <x v="0"/>
    <x v="0"/>
    <x v="0"/>
    <x v="0"/>
    <x v="42"/>
    <x v="0"/>
    <x v="0"/>
    <x v="0"/>
  </r>
  <r>
    <s v="ID0161"/>
    <d v="2012-05-26T00:46:00"/>
    <n v="75000"/>
    <n v="75000"/>
    <s v="USD"/>
    <n v="75000"/>
    <s v="Program Analyst"/>
    <x v="0"/>
    <s v="USA"/>
    <x v="2"/>
    <x v="3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162"/>
    <d v="2012-05-26T00:46:25"/>
    <n v="58"/>
    <n v="58000"/>
    <s v="USD"/>
    <n v="58000"/>
    <s v="Team Lead - Computer Discounts"/>
    <x v="3"/>
    <s v="Canada"/>
    <x v="17"/>
    <x v="3"/>
    <m/>
    <s v=""/>
    <s v=""/>
    <s v=""/>
    <s v=""/>
    <s v=""/>
    <s v=""/>
    <x v="0"/>
    <x v="0"/>
    <x v="1"/>
    <x v="0"/>
    <x v="0"/>
    <x v="0"/>
    <x v="0"/>
    <x v="32"/>
    <x v="0"/>
    <x v="0"/>
    <x v="0"/>
  </r>
  <r>
    <s v="ID0163"/>
    <d v="2012-05-26T00:46:29"/>
    <n v="55000"/>
    <n v="55000"/>
    <s v="USD"/>
    <n v="55000"/>
    <s v="Change Architect"/>
    <x v="3"/>
    <s v="USA"/>
    <x v="2"/>
    <x v="2"/>
    <m/>
    <s v=""/>
    <s v=""/>
    <s v=""/>
    <s v=""/>
    <s v=""/>
    <s v=""/>
    <x v="0"/>
    <x v="0"/>
    <x v="1"/>
    <x v="0"/>
    <x v="0"/>
    <x v="0"/>
    <x v="0"/>
    <x v="43"/>
    <x v="0"/>
    <x v="0"/>
    <x v="0"/>
  </r>
  <r>
    <s v="ID0164"/>
    <d v="2012-05-26T00:47:42"/>
    <n v="60000"/>
    <n v="60000"/>
    <s v="USD"/>
    <n v="60000"/>
    <s v="Telecom Technician"/>
    <x v="0"/>
    <s v="USA"/>
    <x v="2"/>
    <x v="0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165"/>
    <d v="2012-05-26T00:47:45"/>
    <s v="Rs. 1300000"/>
    <n v="1300000"/>
    <s v="INR"/>
    <n v="23150.291693675339"/>
    <s v="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44"/>
    <x v="0"/>
    <x v="0"/>
    <x v="0"/>
  </r>
  <r>
    <s v="ID0166"/>
    <d v="2012-05-26T00:47:50"/>
    <n v="107000"/>
    <n v="107000"/>
    <s v="CAD"/>
    <n v="105219.68296424497"/>
    <s v="Manager, Asset Optimization"/>
    <x v="3"/>
    <s v="Canada"/>
    <x v="17"/>
    <x v="2"/>
    <m/>
    <s v=""/>
    <s v=""/>
    <s v=""/>
    <s v=""/>
    <s v=""/>
    <s v=""/>
    <x v="0"/>
    <x v="0"/>
    <x v="1"/>
    <x v="0"/>
    <x v="0"/>
    <x v="0"/>
    <x v="0"/>
    <x v="45"/>
    <x v="0"/>
    <x v="0"/>
    <x v="0"/>
  </r>
  <r>
    <s v="ID0167"/>
    <d v="2012-05-26T00:47:57"/>
    <n v="145000"/>
    <n v="145000"/>
    <s v="USD"/>
    <n v="145000"/>
    <s v="Financialcontroller"/>
    <x v="1"/>
    <s v="Switzerland"/>
    <x v="10"/>
    <x v="1"/>
    <m/>
    <s v=""/>
    <s v=""/>
    <s v=""/>
    <s v=""/>
    <s v=""/>
    <s v=""/>
    <x v="0"/>
    <x v="0"/>
    <x v="1"/>
    <x v="0"/>
    <x v="4"/>
    <x v="0"/>
    <x v="0"/>
    <x v="0"/>
    <x v="0"/>
    <x v="0"/>
    <x v="0"/>
  </r>
  <r>
    <s v="ID0168"/>
    <d v="2012-05-26T00:48:04"/>
    <n v="22880"/>
    <n v="22880"/>
    <s v="USD"/>
    <n v="22880"/>
    <s v="Accounting "/>
    <x v="5"/>
    <s v="USA"/>
    <x v="2"/>
    <x v="0"/>
    <m/>
    <s v=""/>
    <s v=""/>
    <s v=""/>
    <s v=""/>
    <s v=""/>
    <s v=""/>
    <x v="0"/>
    <x v="12"/>
    <x v="1"/>
    <x v="0"/>
    <x v="0"/>
    <x v="0"/>
    <x v="0"/>
    <x v="0"/>
    <x v="0"/>
    <x v="0"/>
    <x v="0"/>
  </r>
  <r>
    <s v="ID0169"/>
    <d v="2012-05-26T00:48:07"/>
    <n v="80000"/>
    <n v="80000"/>
    <s v="USD"/>
    <n v="80000"/>
    <s v="Consultant, HR Services &amp; Governance"/>
    <x v="8"/>
    <s v="USA"/>
    <x v="2"/>
    <x v="0"/>
    <m/>
    <s v=""/>
    <s v=""/>
    <s v=""/>
    <s v=""/>
    <s v=""/>
    <s v=""/>
    <x v="0"/>
    <x v="0"/>
    <x v="1"/>
    <x v="11"/>
    <x v="0"/>
    <x v="0"/>
    <x v="0"/>
    <x v="0"/>
    <x v="0"/>
    <x v="0"/>
    <x v="0"/>
  </r>
  <r>
    <s v="ID0170"/>
    <d v="2012-05-26T00:48:11"/>
    <s v="Rs 5 lakh"/>
    <n v="500000"/>
    <s v="INR"/>
    <n v="8903.9583437212841"/>
    <s v="QA Executive"/>
    <x v="0"/>
    <s v="India"/>
    <x v="0"/>
    <x v="2"/>
    <m/>
    <s v=""/>
    <s v=""/>
    <s v=""/>
    <s v=""/>
    <s v=""/>
    <s v=""/>
    <x v="0"/>
    <x v="0"/>
    <x v="51"/>
    <x v="0"/>
    <x v="0"/>
    <x v="0"/>
    <x v="0"/>
    <x v="0"/>
    <x v="0"/>
    <x v="0"/>
    <x v="0"/>
  </r>
  <r>
    <s v="ID0171"/>
    <d v="2012-05-26T00:48:46"/>
    <n v="90000"/>
    <n v="90000"/>
    <s v="CAD"/>
    <n v="88502.537072729421"/>
    <s v="Senior Actuarial Analyst"/>
    <x v="0"/>
    <s v="Canada"/>
    <x v="17"/>
    <x v="0"/>
    <m/>
    <s v=""/>
    <s v=""/>
    <s v=""/>
    <s v=""/>
    <s v=""/>
    <s v=""/>
    <x v="0"/>
    <x v="0"/>
    <x v="52"/>
    <x v="0"/>
    <x v="0"/>
    <x v="0"/>
    <x v="0"/>
    <x v="0"/>
    <x v="0"/>
    <x v="0"/>
    <x v="0"/>
  </r>
  <r>
    <s v="ID0172"/>
    <d v="2012-05-26T00:48:48"/>
    <n v="180000"/>
    <n v="180000"/>
    <s v="INR"/>
    <n v="3205.4250037396623"/>
    <s v="Sr. Associate"/>
    <x v="0"/>
    <s v="India"/>
    <x v="0"/>
    <x v="0"/>
    <m/>
    <s v=""/>
    <s v=""/>
    <s v=""/>
    <s v=""/>
    <s v=""/>
    <s v=""/>
    <x v="0"/>
    <x v="0"/>
    <x v="53"/>
    <x v="0"/>
    <x v="0"/>
    <x v="0"/>
    <x v="0"/>
    <x v="0"/>
    <x v="0"/>
    <x v="0"/>
    <x v="0"/>
  </r>
  <r>
    <s v="ID0173"/>
    <d v="2012-05-26T00:48:48"/>
    <n v="46584"/>
    <n v="46584"/>
    <s v="USD"/>
    <n v="46584"/>
    <s v="Budget Analyst"/>
    <x v="0"/>
    <s v="USA"/>
    <x v="2"/>
    <x v="0"/>
    <m/>
    <s v=""/>
    <s v=""/>
    <s v=""/>
    <s v=""/>
    <s v=""/>
    <s v=""/>
    <x v="0"/>
    <x v="0"/>
    <x v="54"/>
    <x v="0"/>
    <x v="0"/>
    <x v="0"/>
    <x v="0"/>
    <x v="0"/>
    <x v="0"/>
    <x v="0"/>
    <x v="0"/>
  </r>
  <r>
    <s v="ID0174"/>
    <d v="2012-05-26T00:48:48"/>
    <n v="67000"/>
    <n v="67000"/>
    <s v="USD"/>
    <n v="67000"/>
    <s v="B.I. Data Analyst II"/>
    <x v="0"/>
    <s v="USA"/>
    <x v="2"/>
    <x v="0"/>
    <m/>
    <s v=""/>
    <s v=""/>
    <s v=""/>
    <s v=""/>
    <s v=""/>
    <s v=""/>
    <x v="0"/>
    <x v="0"/>
    <x v="36"/>
    <x v="0"/>
    <x v="0"/>
    <x v="0"/>
    <x v="0"/>
    <x v="0"/>
    <x v="0"/>
    <x v="0"/>
    <x v="0"/>
  </r>
  <r>
    <s v="ID0175"/>
    <d v="2012-05-26T00:48:57"/>
    <s v="Rd. 11 lakhs"/>
    <n v="1100000"/>
    <s v="INR"/>
    <n v="19588.708356186824"/>
    <s v="Asst manager investor relations and business analytics"/>
    <x v="3"/>
    <s v="India"/>
    <x v="0"/>
    <x v="0"/>
    <m/>
    <s v=""/>
    <s v=""/>
    <s v=""/>
    <s v=""/>
    <s v=""/>
    <s v=""/>
    <x v="0"/>
    <x v="0"/>
    <x v="1"/>
    <x v="0"/>
    <x v="0"/>
    <x v="0"/>
    <x v="0"/>
    <x v="46"/>
    <x v="0"/>
    <x v="0"/>
    <x v="0"/>
  </r>
  <r>
    <s v="ID0176"/>
    <d v="2012-05-26T00:49:18"/>
    <n v="92000"/>
    <n v="92000"/>
    <s v="USD"/>
    <n v="92000"/>
    <s v="Industrial Engineer (Fed)"/>
    <x v="2"/>
    <s v="USA"/>
    <x v="2"/>
    <x v="0"/>
    <m/>
    <s v=""/>
    <s v=""/>
    <s v=""/>
    <s v=""/>
    <s v=""/>
    <s v=""/>
    <x v="0"/>
    <x v="0"/>
    <x v="1"/>
    <x v="0"/>
    <x v="0"/>
    <x v="0"/>
    <x v="10"/>
    <x v="0"/>
    <x v="0"/>
    <x v="0"/>
    <x v="0"/>
  </r>
  <r>
    <s v="ID0177"/>
    <d v="2012-05-26T00:49:21"/>
    <n v="75000"/>
    <n v="75000"/>
    <s v="USD"/>
    <n v="75000"/>
    <s v="Informatics specialist"/>
    <x v="6"/>
    <s v="USA"/>
    <x v="2"/>
    <x v="1"/>
    <m/>
    <s v=""/>
    <s v=""/>
    <s v=""/>
    <s v=""/>
    <s v=""/>
    <s v=""/>
    <x v="0"/>
    <x v="0"/>
    <x v="1"/>
    <x v="0"/>
    <x v="0"/>
    <x v="0"/>
    <x v="0"/>
    <x v="0"/>
    <x v="0"/>
    <x v="0"/>
    <x v="7"/>
  </r>
  <r>
    <s v="ID0178"/>
    <d v="2012-05-26T00:49:35"/>
    <n v="180000"/>
    <n v="180000"/>
    <s v="INR"/>
    <n v="3205.4250037396623"/>
    <s v="Sr. Associate"/>
    <x v="0"/>
    <s v="India"/>
    <x v="0"/>
    <x v="0"/>
    <m/>
    <s v=""/>
    <s v=""/>
    <s v=""/>
    <s v=""/>
    <s v=""/>
    <s v=""/>
    <x v="0"/>
    <x v="0"/>
    <x v="53"/>
    <x v="0"/>
    <x v="0"/>
    <x v="0"/>
    <x v="0"/>
    <x v="0"/>
    <x v="0"/>
    <x v="0"/>
    <x v="0"/>
  </r>
  <r>
    <s v="ID0179"/>
    <d v="2012-05-26T00:49:48"/>
    <n v="18500"/>
    <n v="18500"/>
    <s v="GBP"/>
    <n v="29159.298033244755"/>
    <s v="Trainee Management Accountant"/>
    <x v="3"/>
    <s v="UK"/>
    <x v="14"/>
    <x v="1"/>
    <m/>
    <s v=""/>
    <s v=""/>
    <s v=""/>
    <s v=""/>
    <s v=""/>
    <s v=""/>
    <x v="0"/>
    <x v="0"/>
    <x v="1"/>
    <x v="0"/>
    <x v="0"/>
    <x v="0"/>
    <x v="0"/>
    <x v="47"/>
    <x v="0"/>
    <x v="0"/>
    <x v="0"/>
  </r>
  <r>
    <s v="ID0180"/>
    <d v="2012-05-26T00:49:50"/>
    <n v="40000"/>
    <n v="40000"/>
    <s v="USD"/>
    <n v="40000"/>
    <s v="Senior analyst"/>
    <x v="0"/>
    <s v="USA"/>
    <x v="2"/>
    <x v="1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181"/>
    <d v="2012-05-26T00:49:59"/>
    <n v="111680"/>
    <n v="111680"/>
    <s v="USD"/>
    <n v="111680"/>
    <s v="Director of Analytics"/>
    <x v="0"/>
    <s v="USA"/>
    <x v="2"/>
    <x v="2"/>
    <m/>
    <s v=""/>
    <s v=""/>
    <s v=""/>
    <s v=""/>
    <s v=""/>
    <s v=""/>
    <x v="0"/>
    <x v="0"/>
    <x v="55"/>
    <x v="0"/>
    <x v="0"/>
    <x v="0"/>
    <x v="0"/>
    <x v="0"/>
    <x v="0"/>
    <x v="0"/>
    <x v="0"/>
  </r>
  <r>
    <s v="ID0182"/>
    <d v="2012-05-26T00:50:11"/>
    <n v="41.405999999999999"/>
    <n v="41406"/>
    <s v="USD"/>
    <n v="41406"/>
    <s v="Executive Assistant"/>
    <x v="0"/>
    <s v="Canada"/>
    <x v="17"/>
    <x v="3"/>
    <m/>
    <s v=""/>
    <s v=""/>
    <s v=""/>
    <s v=""/>
    <s v=""/>
    <s v=""/>
    <x v="0"/>
    <x v="0"/>
    <x v="56"/>
    <x v="0"/>
    <x v="0"/>
    <x v="0"/>
    <x v="0"/>
    <x v="0"/>
    <x v="0"/>
    <x v="0"/>
    <x v="0"/>
  </r>
  <r>
    <s v="ID0183"/>
    <d v="2012-05-26T00:50:15"/>
    <n v="70000"/>
    <n v="70000"/>
    <s v="USD"/>
    <n v="70000"/>
    <s v="Project Speciast"/>
    <x v="3"/>
    <s v="USA"/>
    <x v="2"/>
    <x v="0"/>
    <m/>
    <s v=""/>
    <s v=""/>
    <s v=""/>
    <s v=""/>
    <s v=""/>
    <s v=""/>
    <x v="0"/>
    <x v="0"/>
    <x v="1"/>
    <x v="0"/>
    <x v="0"/>
    <x v="0"/>
    <x v="0"/>
    <x v="48"/>
    <x v="0"/>
    <x v="0"/>
    <x v="0"/>
  </r>
  <r>
    <s v="ID0184"/>
    <d v="2012-05-26T00:50:31"/>
    <n v="40700"/>
    <n v="40700"/>
    <s v="USD"/>
    <n v="40700"/>
    <s v="Sales Coordinator &amp; Analytical Support"/>
    <x v="0"/>
    <s v="USA"/>
    <x v="2"/>
    <x v="3"/>
    <m/>
    <s v=""/>
    <s v=""/>
    <s v=""/>
    <s v=""/>
    <s v=""/>
    <s v=""/>
    <x v="0"/>
    <x v="0"/>
    <x v="57"/>
    <x v="0"/>
    <x v="0"/>
    <x v="0"/>
    <x v="0"/>
    <x v="0"/>
    <x v="0"/>
    <x v="0"/>
    <x v="0"/>
  </r>
  <r>
    <s v="ID0185"/>
    <d v="2012-05-26T00:50:32"/>
    <n v="40000"/>
    <n v="40000"/>
    <s v="USD"/>
    <n v="40000"/>
    <s v="analyst"/>
    <x v="0"/>
    <s v="USA"/>
    <x v="2"/>
    <x v="0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186"/>
    <d v="2012-05-26T00:50:38"/>
    <n v="60000"/>
    <n v="60000"/>
    <s v="USD"/>
    <n v="60000"/>
    <s v="Senior Staff Accountant"/>
    <x v="5"/>
    <s v="USA"/>
    <x v="2"/>
    <x v="0"/>
    <m/>
    <s v=""/>
    <s v=""/>
    <s v=""/>
    <s v=""/>
    <s v=""/>
    <s v=""/>
    <x v="0"/>
    <x v="13"/>
    <x v="1"/>
    <x v="0"/>
    <x v="0"/>
    <x v="0"/>
    <x v="0"/>
    <x v="0"/>
    <x v="0"/>
    <x v="0"/>
    <x v="0"/>
  </r>
  <r>
    <s v="ID0187"/>
    <d v="2012-05-26T00:50:41"/>
    <n v="92000"/>
    <n v="92000"/>
    <s v="CAD"/>
    <n v="90469.260118790073"/>
    <s v="Consultant - Retail Mkts"/>
    <x v="8"/>
    <s v="Canada"/>
    <x v="17"/>
    <x v="1"/>
    <m/>
    <s v=""/>
    <s v=""/>
    <s v=""/>
    <s v=""/>
    <s v=""/>
    <s v=""/>
    <x v="0"/>
    <x v="0"/>
    <x v="1"/>
    <x v="12"/>
    <x v="0"/>
    <x v="0"/>
    <x v="0"/>
    <x v="0"/>
    <x v="0"/>
    <x v="0"/>
    <x v="0"/>
  </r>
  <r>
    <s v="ID0188"/>
    <d v="2012-05-26T00:50:43"/>
    <n v="13636.36"/>
    <n v="13636"/>
    <s v="USD"/>
    <n v="13636"/>
    <s v="Process Manager"/>
    <x v="3"/>
    <s v="India"/>
    <x v="0"/>
    <x v="1"/>
    <m/>
    <s v=""/>
    <s v=""/>
    <s v=""/>
    <s v=""/>
    <s v=""/>
    <s v=""/>
    <x v="0"/>
    <x v="0"/>
    <x v="1"/>
    <x v="0"/>
    <x v="0"/>
    <x v="0"/>
    <x v="0"/>
    <x v="49"/>
    <x v="0"/>
    <x v="0"/>
    <x v="0"/>
  </r>
  <r>
    <s v="ID0189"/>
    <d v="2012-05-26T00:50:43"/>
    <n v="80000"/>
    <n v="80000"/>
    <s v="USD"/>
    <n v="80000"/>
    <s v="Project Manager (Process Owner)"/>
    <x v="3"/>
    <s v="USA"/>
    <x v="2"/>
    <x v="2"/>
    <m/>
    <s v=""/>
    <s v=""/>
    <s v=""/>
    <s v=""/>
    <s v=""/>
    <s v=""/>
    <x v="0"/>
    <x v="0"/>
    <x v="1"/>
    <x v="0"/>
    <x v="0"/>
    <x v="0"/>
    <x v="0"/>
    <x v="50"/>
    <x v="0"/>
    <x v="0"/>
    <x v="0"/>
  </r>
  <r>
    <s v="ID0190"/>
    <d v="2012-05-26T00:51:00"/>
    <s v="60000 CAD$"/>
    <n v="60000"/>
    <s v="CAD"/>
    <n v="59001.691381819612"/>
    <s v="Demographer"/>
    <x v="0"/>
    <s v="Canada"/>
    <x v="17"/>
    <x v="2"/>
    <m/>
    <s v=""/>
    <s v=""/>
    <s v=""/>
    <s v=""/>
    <s v=""/>
    <s v=""/>
    <x v="0"/>
    <x v="0"/>
    <x v="39"/>
    <x v="0"/>
    <x v="0"/>
    <x v="0"/>
    <x v="0"/>
    <x v="0"/>
    <x v="0"/>
    <x v="0"/>
    <x v="0"/>
  </r>
  <r>
    <s v="ID0192"/>
    <d v="2012-05-26T00:51:43"/>
    <n v="28000"/>
    <n v="28000"/>
    <s v="USD"/>
    <n v="28000"/>
    <s v="Administrative Assistant"/>
    <x v="0"/>
    <s v="USA"/>
    <x v="2"/>
    <x v="0"/>
    <m/>
    <s v=""/>
    <s v=""/>
    <s v=""/>
    <s v=""/>
    <s v=""/>
    <s v=""/>
    <x v="0"/>
    <x v="0"/>
    <x v="58"/>
    <x v="0"/>
    <x v="0"/>
    <x v="0"/>
    <x v="0"/>
    <x v="0"/>
    <x v="0"/>
    <x v="0"/>
    <x v="0"/>
  </r>
  <r>
    <s v="ID0193"/>
    <d v="2012-05-26T00:51:55"/>
    <n v="60000"/>
    <n v="60000"/>
    <s v="USD"/>
    <n v="60000"/>
    <s v="Accounting/Financial Analyst"/>
    <x v="0"/>
    <s v="USA"/>
    <x v="2"/>
    <x v="0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194"/>
    <d v="2012-05-26T00:51:59"/>
    <n v="96000"/>
    <n v="96000"/>
    <s v="USD"/>
    <n v="96000"/>
    <s v="Business Process Specialist"/>
    <x v="6"/>
    <s v="USA"/>
    <x v="2"/>
    <x v="2"/>
    <m/>
    <s v=""/>
    <s v=""/>
    <s v=""/>
    <s v=""/>
    <s v=""/>
    <s v=""/>
    <x v="0"/>
    <x v="0"/>
    <x v="1"/>
    <x v="0"/>
    <x v="0"/>
    <x v="0"/>
    <x v="0"/>
    <x v="0"/>
    <x v="0"/>
    <x v="0"/>
    <x v="8"/>
  </r>
  <r>
    <s v="ID0195"/>
    <d v="2012-05-26T00:52:21"/>
    <n v="67000"/>
    <n v="67000"/>
    <s v="USD"/>
    <n v="67000"/>
    <s v="Financial Analyst"/>
    <x v="0"/>
    <s v="USA"/>
    <x v="2"/>
    <x v="0"/>
    <m/>
    <s v=""/>
    <s v=""/>
    <s v=""/>
    <s v=""/>
    <s v=""/>
    <s v=""/>
    <x v="0"/>
    <x v="0"/>
    <x v="36"/>
    <x v="0"/>
    <x v="0"/>
    <x v="0"/>
    <x v="0"/>
    <x v="0"/>
    <x v="0"/>
    <x v="0"/>
    <x v="0"/>
  </r>
  <r>
    <s v="ID0196"/>
    <d v="2012-05-26T00:52:25"/>
    <n v="70000"/>
    <n v="70000"/>
    <s v="USD"/>
    <n v="70000"/>
    <s v="Sr Financial Analyst"/>
    <x v="0"/>
    <s v="USA"/>
    <x v="2"/>
    <x v="0"/>
    <m/>
    <s v=""/>
    <s v=""/>
    <s v=""/>
    <s v=""/>
    <s v=""/>
    <s v=""/>
    <x v="0"/>
    <x v="0"/>
    <x v="59"/>
    <x v="0"/>
    <x v="0"/>
    <x v="0"/>
    <x v="0"/>
    <x v="0"/>
    <x v="0"/>
    <x v="0"/>
    <x v="0"/>
  </r>
  <r>
    <s v="ID0197"/>
    <d v="2012-05-26T00:52:30"/>
    <n v="233000"/>
    <n v="233000"/>
    <s v="INR"/>
    <n v="4149.2445881741187"/>
    <s v="Asst. Manager (MIS)"/>
    <x v="3"/>
    <s v="India"/>
    <x v="0"/>
    <x v="1"/>
    <m/>
    <s v=""/>
    <s v=""/>
    <s v=""/>
    <s v=""/>
    <s v=""/>
    <s v=""/>
    <x v="0"/>
    <x v="0"/>
    <x v="1"/>
    <x v="0"/>
    <x v="0"/>
    <x v="0"/>
    <x v="0"/>
    <x v="51"/>
    <x v="0"/>
    <x v="0"/>
    <x v="0"/>
  </r>
  <r>
    <s v="ID0198"/>
    <d v="2012-05-26T00:52:37"/>
    <s v="US$ 99000"/>
    <n v="99000"/>
    <s v="USD"/>
    <n v="99000"/>
    <s v="Business Controller"/>
    <x v="1"/>
    <s v="USA"/>
    <x v="2"/>
    <x v="0"/>
    <m/>
    <s v=""/>
    <s v=""/>
    <s v=""/>
    <s v=""/>
    <s v=""/>
    <s v=""/>
    <x v="0"/>
    <x v="0"/>
    <x v="1"/>
    <x v="0"/>
    <x v="5"/>
    <x v="0"/>
    <x v="0"/>
    <x v="0"/>
    <x v="0"/>
    <x v="0"/>
    <x v="0"/>
  </r>
  <r>
    <s v="ID0200"/>
    <d v="2012-05-26T00:53:00"/>
    <n v="90000"/>
    <n v="90000"/>
    <s v="USD"/>
    <n v="90000"/>
    <s v="Project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52"/>
    <x v="0"/>
    <x v="0"/>
    <x v="0"/>
  </r>
  <r>
    <s v="ID0201"/>
    <d v="2012-05-26T00:53:02"/>
    <s v="Rs. 275000"/>
    <n v="275000"/>
    <s v="INR"/>
    <n v="4897.177089046706"/>
    <s v="low level monitoring"/>
    <x v="0"/>
    <s v="India"/>
    <x v="0"/>
    <x v="2"/>
    <m/>
    <s v=""/>
    <s v=""/>
    <s v=""/>
    <s v=""/>
    <s v=""/>
    <s v=""/>
    <x v="0"/>
    <x v="0"/>
    <x v="60"/>
    <x v="0"/>
    <x v="0"/>
    <x v="0"/>
    <x v="0"/>
    <x v="0"/>
    <x v="0"/>
    <x v="0"/>
    <x v="0"/>
  </r>
  <r>
    <s v="ID0202"/>
    <d v="2012-05-26T00:53:18"/>
    <s v="INR 16000"/>
    <n v="192000"/>
    <s v="INR"/>
    <n v="3419.1200039889732"/>
    <s v="Administrative"/>
    <x v="0"/>
    <s v="India"/>
    <x v="0"/>
    <x v="1"/>
    <m/>
    <s v=""/>
    <s v=""/>
    <s v=""/>
    <s v=""/>
    <s v=""/>
    <s v=""/>
    <x v="0"/>
    <x v="0"/>
    <x v="61"/>
    <x v="0"/>
    <x v="0"/>
    <x v="0"/>
    <x v="0"/>
    <x v="0"/>
    <x v="0"/>
    <x v="0"/>
    <x v="0"/>
  </r>
  <r>
    <s v="ID0203"/>
    <d v="2012-05-26T00:53:37"/>
    <n v="51000"/>
    <n v="51000"/>
    <s v="USD"/>
    <n v="51000"/>
    <s v="Service Line Coordinator"/>
    <x v="3"/>
    <s v="USA"/>
    <x v="2"/>
    <x v="0"/>
    <m/>
    <s v=""/>
    <s v=""/>
    <s v=""/>
    <s v=""/>
    <s v=""/>
    <s v=""/>
    <x v="0"/>
    <x v="0"/>
    <x v="1"/>
    <x v="0"/>
    <x v="0"/>
    <x v="0"/>
    <x v="0"/>
    <x v="53"/>
    <x v="0"/>
    <x v="0"/>
    <x v="0"/>
  </r>
  <r>
    <s v="ID0204"/>
    <d v="2012-05-26T00:53:42"/>
    <n v="100000"/>
    <n v="100000"/>
    <s v="USD"/>
    <n v="100000"/>
    <s v="Strategic Sourcing Manager"/>
    <x v="3"/>
    <s v="USA"/>
    <x v="2"/>
    <x v="1"/>
    <m/>
    <s v=""/>
    <s v=""/>
    <s v=""/>
    <s v=""/>
    <s v=""/>
    <s v=""/>
    <x v="0"/>
    <x v="0"/>
    <x v="1"/>
    <x v="0"/>
    <x v="0"/>
    <x v="0"/>
    <x v="0"/>
    <x v="20"/>
    <x v="0"/>
    <x v="0"/>
    <x v="0"/>
  </r>
  <r>
    <s v="ID0205"/>
    <d v="2012-05-26T00:53:46"/>
    <s v="INR18Lacs or US$36000"/>
    <n v="1800000"/>
    <s v="INR"/>
    <n v="32054.250037396621"/>
    <s v="Chief Manager"/>
    <x v="3"/>
    <s v="India"/>
    <x v="0"/>
    <x v="3"/>
    <m/>
    <s v=""/>
    <s v=""/>
    <s v=""/>
    <s v=""/>
    <s v=""/>
    <s v=""/>
    <x v="0"/>
    <x v="0"/>
    <x v="1"/>
    <x v="0"/>
    <x v="0"/>
    <x v="0"/>
    <x v="0"/>
    <x v="54"/>
    <x v="0"/>
    <x v="0"/>
    <x v="0"/>
  </r>
  <r>
    <s v="ID0207"/>
    <d v="2012-05-26T00:54:12"/>
    <s v="Â£30000"/>
    <n v="30000"/>
    <s v="GBP"/>
    <n v="47285.348162018527"/>
    <s v="Business Intelligence Analyst"/>
    <x v="0"/>
    <s v="UK"/>
    <x v="14"/>
    <x v="2"/>
    <m/>
    <s v=""/>
    <s v=""/>
    <s v=""/>
    <s v=""/>
    <s v=""/>
    <s v=""/>
    <x v="0"/>
    <x v="0"/>
    <x v="62"/>
    <x v="0"/>
    <x v="0"/>
    <x v="0"/>
    <x v="0"/>
    <x v="0"/>
    <x v="0"/>
    <x v="0"/>
    <x v="0"/>
  </r>
  <r>
    <s v="ID0208"/>
    <d v="2012-05-26T00:54:14"/>
    <s v="â‚¬ 50000"/>
    <n v="50000"/>
    <s v="EUR"/>
    <n v="63519.971949580387"/>
    <s v="Data Analyst"/>
    <x v="0"/>
    <s v="Ireland"/>
    <x v="8"/>
    <x v="0"/>
    <m/>
    <s v=""/>
    <s v=""/>
    <s v=""/>
    <s v=""/>
    <s v=""/>
    <s v=""/>
    <x v="0"/>
    <x v="0"/>
    <x v="63"/>
    <x v="0"/>
    <x v="0"/>
    <x v="0"/>
    <x v="0"/>
    <x v="0"/>
    <x v="0"/>
    <x v="0"/>
    <x v="0"/>
  </r>
  <r>
    <s v="ID0209"/>
    <d v="2012-05-26T00:54:16"/>
    <n v="108160"/>
    <n v="108160"/>
    <s v="USD"/>
    <n v="108160"/>
    <s v="Sr. Financial Analyst"/>
    <x v="0"/>
    <s v="USA"/>
    <x v="2"/>
    <x v="0"/>
    <m/>
    <s v=""/>
    <s v=""/>
    <s v=""/>
    <s v=""/>
    <s v=""/>
    <s v=""/>
    <x v="0"/>
    <x v="0"/>
    <x v="64"/>
    <x v="0"/>
    <x v="0"/>
    <x v="0"/>
    <x v="0"/>
    <x v="0"/>
    <x v="0"/>
    <x v="0"/>
    <x v="0"/>
  </r>
  <r>
    <s v="ID0210"/>
    <d v="2012-05-26T00:54:27"/>
    <n v="50000"/>
    <n v="50000"/>
    <s v="USD"/>
    <n v="50000"/>
    <s v="Buyer"/>
    <x v="3"/>
    <s v="USA"/>
    <x v="2"/>
    <x v="0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211"/>
    <d v="2012-05-26T00:54:28"/>
    <n v="400000"/>
    <n v="400000"/>
    <s v="USD"/>
    <n v="400000"/>
    <s v="program manager"/>
    <x v="3"/>
    <s v="USA"/>
    <x v="2"/>
    <x v="3"/>
    <m/>
    <s v=""/>
    <s v=""/>
    <s v=""/>
    <s v=""/>
    <s v=""/>
    <s v=""/>
    <x v="0"/>
    <x v="0"/>
    <x v="1"/>
    <x v="0"/>
    <x v="0"/>
    <x v="0"/>
    <x v="0"/>
    <x v="55"/>
    <x v="0"/>
    <x v="0"/>
    <x v="0"/>
  </r>
  <r>
    <s v="ID0212"/>
    <d v="2012-05-26T00:54:41"/>
    <n v="43000"/>
    <n v="43000"/>
    <s v="USD"/>
    <n v="43000"/>
    <s v="Reporting Analyst Team Lead"/>
    <x v="0"/>
    <s v="USA"/>
    <x v="2"/>
    <x v="1"/>
    <m/>
    <s v=""/>
    <s v=""/>
    <s v=""/>
    <s v=""/>
    <s v=""/>
    <s v=""/>
    <x v="0"/>
    <x v="0"/>
    <x v="65"/>
    <x v="0"/>
    <x v="0"/>
    <x v="0"/>
    <x v="0"/>
    <x v="0"/>
    <x v="0"/>
    <x v="0"/>
    <x v="0"/>
  </r>
  <r>
    <s v="ID0213"/>
    <d v="2012-05-26T00:54:46"/>
    <n v="27000"/>
    <n v="27000"/>
    <s v="USD"/>
    <n v="27000"/>
    <s v="Innovation Analyst"/>
    <x v="0"/>
    <s v="Singapore"/>
    <x v="29"/>
    <x v="1"/>
    <m/>
    <s v=""/>
    <s v=""/>
    <s v=""/>
    <s v=""/>
    <s v=""/>
    <s v=""/>
    <x v="0"/>
    <x v="0"/>
    <x v="66"/>
    <x v="0"/>
    <x v="0"/>
    <x v="0"/>
    <x v="0"/>
    <x v="0"/>
    <x v="0"/>
    <x v="0"/>
    <x v="0"/>
  </r>
  <r>
    <s v="ID0214"/>
    <d v="2012-05-26T00:54:56"/>
    <n v="41000"/>
    <n v="41000"/>
    <s v="USD"/>
    <n v="41000"/>
    <s v="Operations Expert"/>
    <x v="3"/>
    <s v="USA"/>
    <x v="2"/>
    <x v="1"/>
    <m/>
    <s v=""/>
    <s v=""/>
    <s v=""/>
    <s v=""/>
    <s v=""/>
    <s v=""/>
    <x v="0"/>
    <x v="0"/>
    <x v="1"/>
    <x v="0"/>
    <x v="0"/>
    <x v="0"/>
    <x v="0"/>
    <x v="10"/>
    <x v="0"/>
    <x v="0"/>
    <x v="0"/>
  </r>
  <r>
    <s v="ID0215"/>
    <d v="2012-05-26T00:55:06"/>
    <n v="100000"/>
    <n v="100000"/>
    <s v="USD"/>
    <n v="100000"/>
    <s v="Director of Finance"/>
    <x v="4"/>
    <s v="USA"/>
    <x v="2"/>
    <x v="0"/>
    <m/>
    <s v=""/>
    <s v=""/>
    <s v=""/>
    <s v=""/>
    <s v=""/>
    <s v=""/>
    <x v="0"/>
    <x v="0"/>
    <x v="1"/>
    <x v="0"/>
    <x v="0"/>
    <x v="8"/>
    <x v="0"/>
    <x v="0"/>
    <x v="0"/>
    <x v="0"/>
    <x v="0"/>
  </r>
  <r>
    <s v="ID0216"/>
    <d v="2012-05-26T00:55:50"/>
    <n v="42140"/>
    <n v="42140"/>
    <s v="USD"/>
    <n v="42140"/>
    <s v="Information Analyst II"/>
    <x v="0"/>
    <s v="USA"/>
    <x v="2"/>
    <x v="0"/>
    <m/>
    <s v=""/>
    <s v=""/>
    <s v=""/>
    <s v=""/>
    <s v=""/>
    <s v=""/>
    <x v="0"/>
    <x v="0"/>
    <x v="67"/>
    <x v="0"/>
    <x v="0"/>
    <x v="0"/>
    <x v="0"/>
    <x v="0"/>
    <x v="0"/>
    <x v="0"/>
    <x v="0"/>
  </r>
  <r>
    <s v="ID0217"/>
    <d v="2012-05-26T00:56:06"/>
    <n v="80000"/>
    <n v="80000"/>
    <s v="USD"/>
    <n v="80000"/>
    <s v="Marketing 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218"/>
    <d v="2012-05-26T00:56:37"/>
    <n v="41600"/>
    <n v="41600"/>
    <s v="USD"/>
    <n v="41600"/>
    <s v="Project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56"/>
    <x v="0"/>
    <x v="0"/>
    <x v="0"/>
  </r>
  <r>
    <s v="ID0219"/>
    <d v="2012-05-26T00:56:37"/>
    <s v="45k"/>
    <n v="45000"/>
    <s v="USD"/>
    <n v="45000"/>
    <s v="Accounting Assistant"/>
    <x v="5"/>
    <s v="USA"/>
    <x v="2"/>
    <x v="2"/>
    <m/>
    <s v=""/>
    <s v=""/>
    <s v=""/>
    <s v=""/>
    <s v=""/>
    <s v=""/>
    <x v="0"/>
    <x v="14"/>
    <x v="1"/>
    <x v="0"/>
    <x v="0"/>
    <x v="0"/>
    <x v="0"/>
    <x v="0"/>
    <x v="0"/>
    <x v="0"/>
    <x v="0"/>
  </r>
  <r>
    <s v="ID0220"/>
    <d v="2012-05-26T00:56:54"/>
    <n v="78000"/>
    <n v="78000"/>
    <s v="USD"/>
    <n v="78000"/>
    <s v="Tax Professional"/>
    <x v="5"/>
    <s v="Bermuda"/>
    <x v="30"/>
    <x v="0"/>
    <m/>
    <s v=""/>
    <s v=""/>
    <s v=""/>
    <s v=""/>
    <s v=""/>
    <s v=""/>
    <x v="0"/>
    <x v="15"/>
    <x v="1"/>
    <x v="0"/>
    <x v="0"/>
    <x v="0"/>
    <x v="0"/>
    <x v="0"/>
    <x v="0"/>
    <x v="0"/>
    <x v="0"/>
  </r>
  <r>
    <s v="ID0221"/>
    <d v="2012-05-26T00:57:21"/>
    <s v="INR 500000"/>
    <n v="500000"/>
    <s v="INR"/>
    <n v="8903.9583437212841"/>
    <s v="Project 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57"/>
    <x v="0"/>
    <x v="0"/>
    <x v="0"/>
  </r>
  <r>
    <s v="ID0222"/>
    <d v="2012-05-26T00:57:35"/>
    <s v="INR 350k"/>
    <n v="350000"/>
    <s v="INR"/>
    <n v="6232.7708406048987"/>
    <s v="Jr. Executive Finance"/>
    <x v="5"/>
    <s v="India"/>
    <x v="0"/>
    <x v="0"/>
    <m/>
    <s v=""/>
    <s v=""/>
    <s v=""/>
    <s v=""/>
    <s v=""/>
    <s v=""/>
    <x v="0"/>
    <x v="16"/>
    <x v="1"/>
    <x v="0"/>
    <x v="0"/>
    <x v="0"/>
    <x v="0"/>
    <x v="0"/>
    <x v="0"/>
    <x v="0"/>
    <x v="0"/>
  </r>
  <r>
    <s v="ID0223"/>
    <d v="2012-05-26T00:57:44"/>
    <n v="72500"/>
    <n v="72500"/>
    <s v="USD"/>
    <n v="72500"/>
    <s v="Assistant Controller"/>
    <x v="1"/>
    <s v="USA"/>
    <x v="2"/>
    <x v="0"/>
    <m/>
    <s v=""/>
    <s v=""/>
    <s v=""/>
    <s v=""/>
    <s v=""/>
    <s v=""/>
    <x v="0"/>
    <x v="0"/>
    <x v="1"/>
    <x v="0"/>
    <x v="6"/>
    <x v="0"/>
    <x v="0"/>
    <x v="0"/>
    <x v="0"/>
    <x v="0"/>
    <x v="0"/>
  </r>
  <r>
    <s v="ID0224"/>
    <d v="2012-05-26T00:57:52"/>
    <s v="US$ 138K"/>
    <n v="138000"/>
    <s v="USD"/>
    <n v="138000"/>
    <s v="Project engineer"/>
    <x v="2"/>
    <s v="Thailand"/>
    <x v="31"/>
    <x v="0"/>
    <m/>
    <s v=""/>
    <s v=""/>
    <s v=""/>
    <s v=""/>
    <s v=""/>
    <s v=""/>
    <x v="0"/>
    <x v="0"/>
    <x v="1"/>
    <x v="0"/>
    <x v="0"/>
    <x v="0"/>
    <x v="11"/>
    <x v="0"/>
    <x v="0"/>
    <x v="0"/>
    <x v="0"/>
  </r>
  <r>
    <s v="ID0225"/>
    <d v="2012-05-26T00:58:03"/>
    <n v="480000"/>
    <n v="480000"/>
    <s v="INR"/>
    <n v="8547.8000099724322"/>
    <s v="Cash Officer"/>
    <x v="3"/>
    <s v="India"/>
    <x v="0"/>
    <x v="0"/>
    <m/>
    <s v=""/>
    <s v=""/>
    <s v=""/>
    <s v=""/>
    <s v=""/>
    <s v=""/>
    <x v="0"/>
    <x v="0"/>
    <x v="1"/>
    <x v="0"/>
    <x v="0"/>
    <x v="0"/>
    <x v="0"/>
    <x v="58"/>
    <x v="0"/>
    <x v="0"/>
    <x v="0"/>
  </r>
  <r>
    <s v="ID0226"/>
    <d v="2012-05-26T00:58:05"/>
    <n v="80000"/>
    <n v="80000"/>
    <s v="USD"/>
    <n v="80000"/>
    <s v="Senior 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227"/>
    <d v="2012-05-26T00:58:06"/>
    <n v="50000"/>
    <n v="50000"/>
    <s v="USD"/>
    <n v="50000"/>
    <s v="Project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228"/>
    <d v="2012-05-26T00:58:10"/>
    <n v="45000"/>
    <n v="45000"/>
    <s v="CAD"/>
    <n v="44251.268536364711"/>
    <s v="Technical support specialist"/>
    <x v="6"/>
    <s v="Canada"/>
    <x v="17"/>
    <x v="3"/>
    <m/>
    <s v=""/>
    <s v=""/>
    <s v=""/>
    <s v=""/>
    <s v=""/>
    <s v=""/>
    <x v="0"/>
    <x v="0"/>
    <x v="1"/>
    <x v="0"/>
    <x v="0"/>
    <x v="0"/>
    <x v="0"/>
    <x v="0"/>
    <x v="0"/>
    <x v="0"/>
    <x v="9"/>
  </r>
  <r>
    <s v="ID0229"/>
    <d v="2012-05-26T00:58:22"/>
    <n v="43000"/>
    <n v="43000"/>
    <s v="GBP"/>
    <n v="67775.665698893223"/>
    <s v="ServiceDesk Supervisor"/>
    <x v="3"/>
    <s v="UK"/>
    <x v="14"/>
    <x v="2"/>
    <m/>
    <s v=""/>
    <s v=""/>
    <s v=""/>
    <s v=""/>
    <s v=""/>
    <s v=""/>
    <x v="0"/>
    <x v="0"/>
    <x v="1"/>
    <x v="0"/>
    <x v="0"/>
    <x v="0"/>
    <x v="0"/>
    <x v="59"/>
    <x v="0"/>
    <x v="0"/>
    <x v="0"/>
  </r>
  <r>
    <s v="ID0230"/>
    <d v="2012-05-26T00:58:56"/>
    <n v="200000"/>
    <n v="200000"/>
    <s v="INR"/>
    <n v="3561.5833374885137"/>
    <s v="medical biller"/>
    <x v="0"/>
    <s v="India"/>
    <x v="0"/>
    <x v="3"/>
    <m/>
    <s v=""/>
    <s v=""/>
    <s v=""/>
    <s v=""/>
    <s v=""/>
    <s v=""/>
    <x v="0"/>
    <x v="0"/>
    <x v="68"/>
    <x v="0"/>
    <x v="0"/>
    <x v="0"/>
    <x v="0"/>
    <x v="0"/>
    <x v="0"/>
    <x v="0"/>
    <x v="0"/>
  </r>
  <r>
    <s v="ID0231"/>
    <d v="2012-05-26T00:59:03"/>
    <n v="65000"/>
    <n v="65000"/>
    <s v="USD"/>
    <n v="65000"/>
    <s v="Sr. Strategic Development Specialist"/>
    <x v="6"/>
    <s v="USA"/>
    <x v="2"/>
    <x v="2"/>
    <m/>
    <s v=""/>
    <s v=""/>
    <s v=""/>
    <s v=""/>
    <s v=""/>
    <s v=""/>
    <x v="0"/>
    <x v="0"/>
    <x v="1"/>
    <x v="0"/>
    <x v="0"/>
    <x v="0"/>
    <x v="0"/>
    <x v="0"/>
    <x v="0"/>
    <x v="0"/>
    <x v="10"/>
  </r>
  <r>
    <s v="ID0232"/>
    <d v="2012-05-26T00:59:09"/>
    <n v="114000"/>
    <n v="114000"/>
    <s v="USD"/>
    <n v="114000"/>
    <s v="Director"/>
    <x v="4"/>
    <s v="USA"/>
    <x v="2"/>
    <x v="2"/>
    <m/>
    <s v=""/>
    <s v=""/>
    <s v=""/>
    <s v=""/>
    <s v=""/>
    <s v=""/>
    <x v="0"/>
    <x v="0"/>
    <x v="1"/>
    <x v="0"/>
    <x v="0"/>
    <x v="9"/>
    <x v="0"/>
    <x v="0"/>
    <x v="0"/>
    <x v="0"/>
    <x v="0"/>
  </r>
  <r>
    <s v="ID0233"/>
    <d v="2012-05-26T00:59:27"/>
    <n v="95000"/>
    <n v="95000"/>
    <s v="USD"/>
    <n v="95000"/>
    <s v="VP - Procurment"/>
    <x v="4"/>
    <s v="USA"/>
    <x v="2"/>
    <x v="0"/>
    <m/>
    <s v=""/>
    <s v=""/>
    <s v=""/>
    <s v=""/>
    <s v=""/>
    <s v=""/>
    <x v="0"/>
    <x v="0"/>
    <x v="1"/>
    <x v="0"/>
    <x v="0"/>
    <x v="6"/>
    <x v="0"/>
    <x v="0"/>
    <x v="0"/>
    <x v="0"/>
    <x v="0"/>
  </r>
  <r>
    <s v="ID0234"/>
    <d v="2012-05-26T01:00:51"/>
    <s v="52500.00 USD"/>
    <n v="52500"/>
    <s v="USD"/>
    <n v="52500"/>
    <s v="HRIS Analyst"/>
    <x v="0"/>
    <s v="USA"/>
    <x v="2"/>
    <x v="0"/>
    <m/>
    <s v=""/>
    <s v=""/>
    <s v=""/>
    <s v=""/>
    <s v=""/>
    <s v=""/>
    <x v="0"/>
    <x v="0"/>
    <x v="69"/>
    <x v="0"/>
    <x v="0"/>
    <x v="0"/>
    <x v="0"/>
    <x v="0"/>
    <x v="0"/>
    <x v="0"/>
    <x v="0"/>
  </r>
  <r>
    <s v="ID0235"/>
    <d v="2012-05-26T01:01:03"/>
    <n v="45000"/>
    <n v="45000"/>
    <s v="GBP"/>
    <n v="70928.022243027779"/>
    <s v="Procurement manager"/>
    <x v="3"/>
    <s v="UK"/>
    <x v="14"/>
    <x v="2"/>
    <m/>
    <s v=""/>
    <s v=""/>
    <s v=""/>
    <s v=""/>
    <s v=""/>
    <s v=""/>
    <x v="0"/>
    <x v="0"/>
    <x v="1"/>
    <x v="0"/>
    <x v="0"/>
    <x v="0"/>
    <x v="0"/>
    <x v="60"/>
    <x v="0"/>
    <x v="0"/>
    <x v="0"/>
  </r>
  <r>
    <s v="ID0236"/>
    <d v="2012-05-26T01:01:32"/>
    <n v="60000"/>
    <n v="60000"/>
    <s v="USD"/>
    <n v="60000"/>
    <s v="Energy Analyst"/>
    <x v="0"/>
    <s v="USA"/>
    <x v="2"/>
    <x v="0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237"/>
    <d v="2012-05-26T01:02:04"/>
    <n v="65250"/>
    <n v="65250"/>
    <s v="USD"/>
    <n v="65250"/>
    <s v="Accountant"/>
    <x v="5"/>
    <s v="USA"/>
    <x v="2"/>
    <x v="0"/>
    <m/>
    <s v=""/>
    <s v=""/>
    <s v=""/>
    <s v=""/>
    <s v=""/>
    <s v=""/>
    <x v="0"/>
    <x v="17"/>
    <x v="1"/>
    <x v="0"/>
    <x v="0"/>
    <x v="0"/>
    <x v="0"/>
    <x v="0"/>
    <x v="0"/>
    <x v="0"/>
    <x v="0"/>
  </r>
  <r>
    <s v="ID0238"/>
    <d v="2012-05-26T01:02:07"/>
    <n v="1200000"/>
    <n v="1200000"/>
    <s v="INR"/>
    <n v="21369.500024931083"/>
    <s v="Branch head -sales"/>
    <x v="3"/>
    <s v="India"/>
    <x v="0"/>
    <x v="2"/>
    <m/>
    <s v=""/>
    <s v=""/>
    <s v=""/>
    <s v=""/>
    <s v=""/>
    <s v=""/>
    <x v="0"/>
    <x v="0"/>
    <x v="1"/>
    <x v="0"/>
    <x v="0"/>
    <x v="0"/>
    <x v="0"/>
    <x v="61"/>
    <x v="0"/>
    <x v="0"/>
    <x v="0"/>
  </r>
  <r>
    <s v="ID0239"/>
    <d v="2012-05-26T01:02:10"/>
    <n v="100000"/>
    <n v="100000"/>
    <s v="CAD"/>
    <n v="98336.152303032693"/>
    <s v="retail buyer"/>
    <x v="3"/>
    <s v="Canada"/>
    <x v="17"/>
    <x v="2"/>
    <m/>
    <s v=""/>
    <s v=""/>
    <s v=""/>
    <s v=""/>
    <s v=""/>
    <s v=""/>
    <x v="0"/>
    <x v="0"/>
    <x v="1"/>
    <x v="0"/>
    <x v="0"/>
    <x v="0"/>
    <x v="0"/>
    <x v="62"/>
    <x v="0"/>
    <x v="0"/>
    <x v="0"/>
  </r>
  <r>
    <s v="ID0240"/>
    <d v="2012-05-26T01:02:16"/>
    <s v="1000 â‚¬"/>
    <n v="12000"/>
    <s v="EUR"/>
    <n v="15244.793267899293"/>
    <s v="HR Specialist"/>
    <x v="6"/>
    <s v="Portugal"/>
    <x v="7"/>
    <x v="1"/>
    <m/>
    <s v=""/>
    <s v=""/>
    <s v=""/>
    <s v=""/>
    <s v=""/>
    <s v=""/>
    <x v="0"/>
    <x v="0"/>
    <x v="1"/>
    <x v="0"/>
    <x v="0"/>
    <x v="0"/>
    <x v="0"/>
    <x v="0"/>
    <x v="0"/>
    <x v="0"/>
    <x v="11"/>
  </r>
  <r>
    <s v="ID0241"/>
    <d v="2012-05-26T01:02:21"/>
    <n v="73000"/>
    <n v="73000"/>
    <s v="USD"/>
    <n v="73000"/>
    <s v="Financial Analyst"/>
    <x v="0"/>
    <s v="USA"/>
    <x v="2"/>
    <x v="0"/>
    <m/>
    <s v=""/>
    <s v=""/>
    <s v=""/>
    <s v=""/>
    <s v=""/>
    <s v=""/>
    <x v="0"/>
    <x v="0"/>
    <x v="70"/>
    <x v="0"/>
    <x v="0"/>
    <x v="0"/>
    <x v="0"/>
    <x v="0"/>
    <x v="0"/>
    <x v="0"/>
    <x v="0"/>
  </r>
  <r>
    <s v="ID0242"/>
    <d v="2012-05-26T01:02:47"/>
    <n v="50000"/>
    <n v="50000"/>
    <s v="USD"/>
    <n v="50000"/>
    <s v="data analyst"/>
    <x v="0"/>
    <s v="USA"/>
    <x v="2"/>
    <x v="1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243"/>
    <d v="2012-05-26T01:02:51"/>
    <n v="79000"/>
    <n v="79000"/>
    <s v="USD"/>
    <n v="79000"/>
    <s v="Director of Finance and Accounting"/>
    <x v="5"/>
    <s v="USA"/>
    <x v="2"/>
    <x v="2"/>
    <m/>
    <s v=""/>
    <s v=""/>
    <s v=""/>
    <s v=""/>
    <s v=""/>
    <s v=""/>
    <x v="0"/>
    <x v="18"/>
    <x v="1"/>
    <x v="0"/>
    <x v="0"/>
    <x v="0"/>
    <x v="0"/>
    <x v="0"/>
    <x v="0"/>
    <x v="0"/>
    <x v="0"/>
  </r>
  <r>
    <s v="ID0244"/>
    <d v="2012-05-26T01:03:07"/>
    <n v="90000"/>
    <n v="90000"/>
    <s v="USD"/>
    <n v="90000"/>
    <s v="Manager Business Control"/>
    <x v="3"/>
    <s v="USA"/>
    <x v="2"/>
    <x v="0"/>
    <m/>
    <s v=""/>
    <s v=""/>
    <s v=""/>
    <s v=""/>
    <s v=""/>
    <s v=""/>
    <x v="0"/>
    <x v="0"/>
    <x v="1"/>
    <x v="0"/>
    <x v="0"/>
    <x v="0"/>
    <x v="0"/>
    <x v="52"/>
    <x v="0"/>
    <x v="0"/>
    <x v="0"/>
  </r>
  <r>
    <s v="ID0245"/>
    <d v="2012-05-26T01:03:28"/>
    <n v="70000"/>
    <n v="70000"/>
    <s v="USD"/>
    <n v="70000"/>
    <s v="Manager Pricing"/>
    <x v="3"/>
    <s v="USA"/>
    <x v="2"/>
    <x v="2"/>
    <m/>
    <s v=""/>
    <s v=""/>
    <s v=""/>
    <s v=""/>
    <s v=""/>
    <s v=""/>
    <x v="0"/>
    <x v="0"/>
    <x v="1"/>
    <x v="0"/>
    <x v="0"/>
    <x v="0"/>
    <x v="0"/>
    <x v="48"/>
    <x v="0"/>
    <x v="0"/>
    <x v="0"/>
  </r>
  <r>
    <s v="ID0246"/>
    <d v="2012-05-26T01:03:34"/>
    <n v="65000"/>
    <n v="65000"/>
    <s v="CAD"/>
    <n v="63918.498996971248"/>
    <s v="Insurance Mana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63"/>
    <x v="0"/>
    <x v="0"/>
    <x v="0"/>
  </r>
  <r>
    <s v="ID0247"/>
    <d v="2012-05-26T01:03:52"/>
    <n v="80000"/>
    <n v="80000"/>
    <s v="USD"/>
    <n v="80000"/>
    <s v="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248"/>
    <d v="2012-05-26T01:03:54"/>
    <n v="140000"/>
    <n v="140000"/>
    <s v="USD"/>
    <n v="140000"/>
    <s v="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64"/>
    <x v="0"/>
    <x v="0"/>
    <x v="0"/>
  </r>
  <r>
    <s v="ID0249"/>
    <d v="2012-05-26T01:04:13"/>
    <s v="US$ 96k"/>
    <n v="96000"/>
    <s v="USD"/>
    <n v="96000"/>
    <s v="Freellance"/>
    <x v="8"/>
    <s v="Poland"/>
    <x v="15"/>
    <x v="2"/>
    <m/>
    <s v=""/>
    <s v=""/>
    <s v=""/>
    <s v=""/>
    <s v=""/>
    <s v=""/>
    <x v="0"/>
    <x v="0"/>
    <x v="1"/>
    <x v="13"/>
    <x v="0"/>
    <x v="0"/>
    <x v="0"/>
    <x v="0"/>
    <x v="0"/>
    <x v="0"/>
    <x v="0"/>
  </r>
  <r>
    <s v="ID0250"/>
    <d v="2012-05-26T01:04:17"/>
    <n v="20000"/>
    <n v="20000"/>
    <s v="USD"/>
    <n v="20000"/>
    <s v="category 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65"/>
    <x v="0"/>
    <x v="0"/>
    <x v="0"/>
  </r>
  <r>
    <s v="ID0251"/>
    <d v="2012-05-26T01:04:50"/>
    <n v="47700"/>
    <n v="47700"/>
    <s v="USD"/>
    <n v="47700"/>
    <s v="Customer Operations Analyst"/>
    <x v="0"/>
    <s v="USA"/>
    <x v="2"/>
    <x v="0"/>
    <m/>
    <s v=""/>
    <s v=""/>
    <s v=""/>
    <s v=""/>
    <s v=""/>
    <s v=""/>
    <x v="0"/>
    <x v="0"/>
    <x v="71"/>
    <x v="0"/>
    <x v="0"/>
    <x v="0"/>
    <x v="0"/>
    <x v="0"/>
    <x v="0"/>
    <x v="0"/>
    <x v="0"/>
  </r>
  <r>
    <s v="ID0252"/>
    <d v="2012-05-26T01:05:14"/>
    <n v="25000"/>
    <n v="25000"/>
    <s v="USD"/>
    <n v="25000"/>
    <s v="Team Lead"/>
    <x v="3"/>
    <s v="India"/>
    <x v="0"/>
    <x v="3"/>
    <m/>
    <s v=""/>
    <s v=""/>
    <s v=""/>
    <s v=""/>
    <s v=""/>
    <s v=""/>
    <x v="0"/>
    <x v="0"/>
    <x v="1"/>
    <x v="0"/>
    <x v="0"/>
    <x v="0"/>
    <x v="0"/>
    <x v="66"/>
    <x v="0"/>
    <x v="0"/>
    <x v="0"/>
  </r>
  <r>
    <s v="ID0253"/>
    <d v="2012-05-26T01:05:18"/>
    <n v="52500"/>
    <n v="52500"/>
    <s v="USD"/>
    <n v="52500"/>
    <s v="Analyst"/>
    <x v="0"/>
    <s v="USA"/>
    <x v="2"/>
    <x v="0"/>
    <m/>
    <s v=""/>
    <s v=""/>
    <s v=""/>
    <s v=""/>
    <s v=""/>
    <s v=""/>
    <x v="0"/>
    <x v="0"/>
    <x v="69"/>
    <x v="0"/>
    <x v="0"/>
    <x v="0"/>
    <x v="0"/>
    <x v="0"/>
    <x v="0"/>
    <x v="0"/>
    <x v="0"/>
  </r>
  <r>
    <s v="ID0254"/>
    <d v="2012-05-26T01:05:27"/>
    <n v="40000"/>
    <n v="40000"/>
    <s v="USD"/>
    <n v="40000"/>
    <s v="Business Analyst"/>
    <x v="0"/>
    <s v="USA"/>
    <x v="2"/>
    <x v="1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255"/>
    <d v="2012-05-26T01:06:02"/>
    <s v="$31,000 USD"/>
    <n v="31000"/>
    <s v="USD"/>
    <n v="31000"/>
    <s v="Site Technician"/>
    <x v="0"/>
    <s v="USA"/>
    <x v="2"/>
    <x v="0"/>
    <m/>
    <s v=""/>
    <s v=""/>
    <s v=""/>
    <s v=""/>
    <s v=""/>
    <s v=""/>
    <x v="0"/>
    <x v="0"/>
    <x v="72"/>
    <x v="0"/>
    <x v="0"/>
    <x v="0"/>
    <x v="0"/>
    <x v="0"/>
    <x v="0"/>
    <x v="0"/>
    <x v="0"/>
  </r>
  <r>
    <s v="ID0256"/>
    <d v="2012-05-26T01:06:12"/>
    <n v="4390"/>
    <n v="52680"/>
    <s v="GBP"/>
    <n v="83033.071372504521"/>
    <s v="Excel Consultant"/>
    <x v="8"/>
    <s v="UK"/>
    <x v="14"/>
    <x v="1"/>
    <m/>
    <s v=""/>
    <s v=""/>
    <s v=""/>
    <s v=""/>
    <s v=""/>
    <s v=""/>
    <x v="0"/>
    <x v="0"/>
    <x v="1"/>
    <x v="14"/>
    <x v="0"/>
    <x v="0"/>
    <x v="0"/>
    <x v="0"/>
    <x v="0"/>
    <x v="0"/>
    <x v="0"/>
  </r>
  <r>
    <s v="ID0257"/>
    <d v="2012-05-26T01:06:31"/>
    <n v="130000"/>
    <n v="130000"/>
    <s v="USD"/>
    <n v="130000"/>
    <s v="Senior Project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67"/>
    <x v="0"/>
    <x v="0"/>
    <x v="0"/>
  </r>
  <r>
    <s v="ID0258"/>
    <d v="2012-05-26T01:06:38"/>
    <s v="Rs 470000"/>
    <n v="470000"/>
    <s v="INR"/>
    <n v="8369.7208430980063"/>
    <s v="Web Statistics Analyst"/>
    <x v="0"/>
    <s v="India"/>
    <x v="0"/>
    <x v="1"/>
    <m/>
    <s v=""/>
    <s v=""/>
    <s v=""/>
    <s v=""/>
    <s v=""/>
    <s v=""/>
    <x v="0"/>
    <x v="0"/>
    <x v="73"/>
    <x v="0"/>
    <x v="0"/>
    <x v="0"/>
    <x v="0"/>
    <x v="0"/>
    <x v="0"/>
    <x v="0"/>
    <x v="0"/>
  </r>
  <r>
    <s v="ID0259"/>
    <d v="2012-05-26T01:07:02"/>
    <n v="51000"/>
    <n v="51000"/>
    <s v="USD"/>
    <n v="51000"/>
    <s v="Business Data Analyst I"/>
    <x v="0"/>
    <s v="USA"/>
    <x v="2"/>
    <x v="2"/>
    <m/>
    <s v=""/>
    <s v=""/>
    <s v=""/>
    <s v=""/>
    <s v=""/>
    <s v=""/>
    <x v="0"/>
    <x v="0"/>
    <x v="74"/>
    <x v="0"/>
    <x v="0"/>
    <x v="0"/>
    <x v="0"/>
    <x v="0"/>
    <x v="0"/>
    <x v="0"/>
    <x v="0"/>
  </r>
  <r>
    <s v="ID0260"/>
    <d v="2012-05-26T01:07:18"/>
    <s v="Â£60000"/>
    <n v="60000"/>
    <s v="GBP"/>
    <n v="94570.696324037053"/>
    <s v="Decision Analyst &amp; Modeller"/>
    <x v="0"/>
    <s v="UK"/>
    <x v="14"/>
    <x v="1"/>
    <m/>
    <s v=""/>
    <s v=""/>
    <s v=""/>
    <s v=""/>
    <s v=""/>
    <s v=""/>
    <x v="0"/>
    <x v="0"/>
    <x v="75"/>
    <x v="0"/>
    <x v="0"/>
    <x v="0"/>
    <x v="0"/>
    <x v="0"/>
    <x v="0"/>
    <x v="0"/>
    <x v="0"/>
  </r>
  <r>
    <s v="ID0261"/>
    <d v="2012-05-26T01:07:42"/>
    <n v="1920000"/>
    <n v="1920000"/>
    <s v="INR"/>
    <n v="34191.200039889729"/>
    <s v="Project Manager"/>
    <x v="3"/>
    <s v="India"/>
    <x v="0"/>
    <x v="2"/>
    <m/>
    <s v=""/>
    <s v=""/>
    <s v=""/>
    <s v=""/>
    <s v=""/>
    <s v=""/>
    <x v="0"/>
    <x v="0"/>
    <x v="1"/>
    <x v="0"/>
    <x v="0"/>
    <x v="0"/>
    <x v="0"/>
    <x v="68"/>
    <x v="0"/>
    <x v="0"/>
    <x v="0"/>
  </r>
  <r>
    <s v="ID0262"/>
    <d v="2012-05-26T01:08:00"/>
    <n v="28000"/>
    <n v="28000"/>
    <s v="GBP"/>
    <n v="44132.991617883956"/>
    <s v="Ops Adminstrator"/>
    <x v="0"/>
    <s v="UK"/>
    <x v="14"/>
    <x v="1"/>
    <m/>
    <s v=""/>
    <s v=""/>
    <s v=""/>
    <s v=""/>
    <s v=""/>
    <s v=""/>
    <x v="0"/>
    <x v="0"/>
    <x v="76"/>
    <x v="0"/>
    <x v="0"/>
    <x v="0"/>
    <x v="0"/>
    <x v="0"/>
    <x v="0"/>
    <x v="0"/>
    <x v="0"/>
  </r>
  <r>
    <s v="ID0263"/>
    <d v="2012-05-26T01:08:04"/>
    <n v="73000"/>
    <n v="73000"/>
    <s v="USD"/>
    <n v="73000"/>
    <s v="Sr. Global marketing 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12"/>
  </r>
  <r>
    <s v="ID0264"/>
    <d v="2012-05-26T01:08:19"/>
    <n v="62400"/>
    <n v="62400"/>
    <s v="USD"/>
    <n v="62400"/>
    <s v="financial accountant"/>
    <x v="5"/>
    <s v="USA"/>
    <x v="2"/>
    <x v="1"/>
    <m/>
    <s v=""/>
    <s v=""/>
    <s v=""/>
    <s v=""/>
    <s v=""/>
    <s v=""/>
    <x v="0"/>
    <x v="19"/>
    <x v="1"/>
    <x v="0"/>
    <x v="0"/>
    <x v="0"/>
    <x v="0"/>
    <x v="0"/>
    <x v="0"/>
    <x v="0"/>
    <x v="0"/>
  </r>
  <r>
    <s v="ID0265"/>
    <d v="2012-05-26T01:08:21"/>
    <n v="2300"/>
    <n v="27600"/>
    <s v="USD"/>
    <n v="27600"/>
    <s v="Software Consultant"/>
    <x v="8"/>
    <s v="Singapore"/>
    <x v="29"/>
    <x v="1"/>
    <m/>
    <s v=""/>
    <s v=""/>
    <s v=""/>
    <s v=""/>
    <s v=""/>
    <s v=""/>
    <x v="0"/>
    <x v="0"/>
    <x v="1"/>
    <x v="15"/>
    <x v="0"/>
    <x v="0"/>
    <x v="0"/>
    <x v="0"/>
    <x v="0"/>
    <x v="0"/>
    <x v="0"/>
  </r>
  <r>
    <s v="ID0266"/>
    <d v="2012-05-26T01:08:35"/>
    <n v="54000"/>
    <n v="54000"/>
    <s v="USD"/>
    <n v="54000"/>
    <s v="Anaylst"/>
    <x v="3"/>
    <s v="USA"/>
    <x v="2"/>
    <x v="1"/>
    <m/>
    <s v=""/>
    <s v=""/>
    <s v=""/>
    <s v=""/>
    <s v=""/>
    <s v=""/>
    <x v="0"/>
    <x v="0"/>
    <x v="1"/>
    <x v="0"/>
    <x v="0"/>
    <x v="0"/>
    <x v="0"/>
    <x v="69"/>
    <x v="0"/>
    <x v="0"/>
    <x v="0"/>
  </r>
  <r>
    <s v="ID0267"/>
    <d v="2012-05-26T01:08:39"/>
    <s v="rs 2.76 lakhs per year"/>
    <n v="276000"/>
    <s v="INR"/>
    <n v="4914.9850057341491"/>
    <s v="analyst"/>
    <x v="0"/>
    <s v="India"/>
    <x v="0"/>
    <x v="1"/>
    <m/>
    <s v=""/>
    <s v=""/>
    <s v=""/>
    <s v=""/>
    <s v=""/>
    <s v=""/>
    <x v="0"/>
    <x v="0"/>
    <x v="77"/>
    <x v="0"/>
    <x v="0"/>
    <x v="0"/>
    <x v="0"/>
    <x v="0"/>
    <x v="0"/>
    <x v="0"/>
    <x v="0"/>
  </r>
  <r>
    <s v="ID0268"/>
    <d v="2012-05-26T01:08:42"/>
    <s v="$77,000 USD"/>
    <n v="77000"/>
    <s v="USD"/>
    <n v="77000"/>
    <s v="senior accounting coordinator"/>
    <x v="5"/>
    <s v="USA"/>
    <x v="2"/>
    <x v="0"/>
    <m/>
    <s v=""/>
    <s v=""/>
    <s v=""/>
    <s v=""/>
    <s v=""/>
    <s v=""/>
    <x v="0"/>
    <x v="20"/>
    <x v="1"/>
    <x v="0"/>
    <x v="0"/>
    <x v="0"/>
    <x v="0"/>
    <x v="0"/>
    <x v="0"/>
    <x v="0"/>
    <x v="0"/>
  </r>
  <r>
    <s v="ID0269"/>
    <d v="2012-05-26T01:09:01"/>
    <n v="76000"/>
    <n v="76000"/>
    <s v="USD"/>
    <n v="76000"/>
    <s v="Demand Planning Mgr"/>
    <x v="3"/>
    <s v="USA"/>
    <x v="2"/>
    <x v="1"/>
    <m/>
    <s v=""/>
    <s v=""/>
    <s v=""/>
    <s v=""/>
    <s v=""/>
    <s v=""/>
    <x v="0"/>
    <x v="0"/>
    <x v="1"/>
    <x v="0"/>
    <x v="0"/>
    <x v="0"/>
    <x v="0"/>
    <x v="70"/>
    <x v="0"/>
    <x v="0"/>
    <x v="0"/>
  </r>
  <r>
    <s v="ID0270"/>
    <d v="2012-05-26T01:09:32"/>
    <n v="103000"/>
    <n v="103000"/>
    <s v="USD"/>
    <n v="103000"/>
    <s v="VP / Credit Administrator"/>
    <x v="4"/>
    <s v="USA"/>
    <x v="2"/>
    <x v="2"/>
    <m/>
    <s v=""/>
    <s v=""/>
    <s v=""/>
    <s v=""/>
    <s v=""/>
    <s v=""/>
    <x v="0"/>
    <x v="0"/>
    <x v="1"/>
    <x v="0"/>
    <x v="0"/>
    <x v="10"/>
    <x v="0"/>
    <x v="0"/>
    <x v="0"/>
    <x v="0"/>
    <x v="0"/>
  </r>
  <r>
    <s v="ID0271"/>
    <d v="2012-05-26T01:09:34"/>
    <n v="7600"/>
    <n v="7600"/>
    <s v="USD"/>
    <n v="7600"/>
    <s v="DP specialist"/>
    <x v="6"/>
    <s v="Ukraine"/>
    <x v="6"/>
    <x v="3"/>
    <m/>
    <s v=""/>
    <s v=""/>
    <s v=""/>
    <s v=""/>
    <s v=""/>
    <s v=""/>
    <x v="0"/>
    <x v="0"/>
    <x v="1"/>
    <x v="0"/>
    <x v="0"/>
    <x v="0"/>
    <x v="0"/>
    <x v="0"/>
    <x v="0"/>
    <x v="0"/>
    <x v="13"/>
  </r>
  <r>
    <s v="ID0272"/>
    <d v="2012-05-26T01:09:56"/>
    <n v="40000"/>
    <n v="40000"/>
    <s v="USD"/>
    <n v="40000"/>
    <s v="Analyst 2"/>
    <x v="0"/>
    <s v="USA"/>
    <x v="2"/>
    <x v="0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273"/>
    <d v="2012-05-26T01:10:20"/>
    <n v="80000"/>
    <n v="80000"/>
    <s v="USD"/>
    <n v="80000"/>
    <s v="VP"/>
    <x v="4"/>
    <s v="USA"/>
    <x v="2"/>
    <x v="2"/>
    <m/>
    <s v=""/>
    <s v=""/>
    <s v=""/>
    <s v=""/>
    <s v=""/>
    <s v=""/>
    <x v="0"/>
    <x v="0"/>
    <x v="1"/>
    <x v="0"/>
    <x v="0"/>
    <x v="11"/>
    <x v="0"/>
    <x v="0"/>
    <x v="0"/>
    <x v="0"/>
    <x v="0"/>
  </r>
  <r>
    <s v="ID0274"/>
    <d v="2012-05-26T01:10:24"/>
    <n v="55000"/>
    <n v="55000"/>
    <s v="USD"/>
    <n v="55000"/>
    <s v="data analyst"/>
    <x v="0"/>
    <s v="USA"/>
    <x v="2"/>
    <x v="1"/>
    <m/>
    <s v=""/>
    <s v=""/>
    <s v=""/>
    <s v=""/>
    <s v=""/>
    <s v=""/>
    <x v="0"/>
    <x v="0"/>
    <x v="78"/>
    <x v="0"/>
    <x v="0"/>
    <x v="0"/>
    <x v="0"/>
    <x v="0"/>
    <x v="0"/>
    <x v="0"/>
    <x v="0"/>
  </r>
  <r>
    <s v="ID0275"/>
    <d v="2012-05-26T01:10:55"/>
    <n v="99000"/>
    <n v="99000"/>
    <s v="USD"/>
    <n v="99000"/>
    <s v="Business Analyst"/>
    <x v="0"/>
    <s v="USA"/>
    <x v="2"/>
    <x v="2"/>
    <m/>
    <s v=""/>
    <s v=""/>
    <s v=""/>
    <s v=""/>
    <s v=""/>
    <s v=""/>
    <x v="0"/>
    <x v="0"/>
    <x v="79"/>
    <x v="0"/>
    <x v="0"/>
    <x v="0"/>
    <x v="0"/>
    <x v="0"/>
    <x v="0"/>
    <x v="0"/>
    <x v="0"/>
  </r>
  <r>
    <s v="ID0276"/>
    <d v="2012-05-26T01:10:56"/>
    <s v="35,000 Philippine Peso"/>
    <n v="420000"/>
    <s v="PHP"/>
    <n v="9956.1219482708348"/>
    <s v="Global Problem Management - IT"/>
    <x v="3"/>
    <s v="Philippines"/>
    <x v="32"/>
    <x v="0"/>
    <m/>
    <s v=""/>
    <s v=""/>
    <s v=""/>
    <s v=""/>
    <s v=""/>
    <s v=""/>
    <x v="0"/>
    <x v="0"/>
    <x v="1"/>
    <x v="0"/>
    <x v="0"/>
    <x v="0"/>
    <x v="0"/>
    <x v="71"/>
    <x v="0"/>
    <x v="0"/>
    <x v="0"/>
  </r>
  <r>
    <s v="ID0277"/>
    <d v="2012-05-26T01:11:12"/>
    <n v="75000"/>
    <n v="75000"/>
    <s v="USD"/>
    <n v="75000"/>
    <s v="financial analyst"/>
    <x v="0"/>
    <s v="USA"/>
    <x v="2"/>
    <x v="0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278"/>
    <d v="2012-05-26T01:11:54"/>
    <n v="80000"/>
    <n v="80000"/>
    <s v="USD"/>
    <n v="80000"/>
    <s v="Enterprise Performance Metrics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50"/>
    <x v="0"/>
    <x v="0"/>
    <x v="0"/>
  </r>
  <r>
    <s v="ID0279"/>
    <d v="2012-05-26T01:12:41"/>
    <n v="20000"/>
    <n v="20000"/>
    <s v="USD"/>
    <n v="20000"/>
    <s v="Analyst"/>
    <x v="0"/>
    <s v="India"/>
    <x v="0"/>
    <x v="1"/>
    <m/>
    <s v=""/>
    <s v=""/>
    <s v=""/>
    <s v=""/>
    <s v=""/>
    <s v=""/>
    <x v="0"/>
    <x v="0"/>
    <x v="80"/>
    <x v="0"/>
    <x v="0"/>
    <x v="0"/>
    <x v="0"/>
    <x v="0"/>
    <x v="0"/>
    <x v="0"/>
    <x v="0"/>
  </r>
  <r>
    <s v="ID0280"/>
    <d v="2012-05-26T01:13:50"/>
    <n v="40000"/>
    <n v="40000"/>
    <s v="USD"/>
    <n v="40000"/>
    <s v="Business Analyst"/>
    <x v="0"/>
    <s v="USA"/>
    <x v="2"/>
    <x v="1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281"/>
    <d v="2012-05-26T01:14:27"/>
    <n v="46000"/>
    <n v="46000"/>
    <s v="USD"/>
    <n v="46000"/>
    <s v="University Relations Intern"/>
    <x v="0"/>
    <s v="USA"/>
    <x v="2"/>
    <x v="1"/>
    <m/>
    <s v=""/>
    <s v=""/>
    <s v=""/>
    <s v=""/>
    <s v=""/>
    <s v=""/>
    <x v="0"/>
    <x v="0"/>
    <x v="81"/>
    <x v="0"/>
    <x v="0"/>
    <x v="0"/>
    <x v="0"/>
    <x v="0"/>
    <x v="0"/>
    <x v="0"/>
    <x v="0"/>
  </r>
  <r>
    <s v="ID0282"/>
    <d v="2012-05-26T01:14:55"/>
    <n v="14000"/>
    <n v="14000"/>
    <s v="USD"/>
    <n v="14000"/>
    <s v="Auxiliar Administrativo"/>
    <x v="0"/>
    <s v="Brazil"/>
    <x v="20"/>
    <x v="3"/>
    <m/>
    <s v=""/>
    <s v=""/>
    <s v=""/>
    <s v=""/>
    <s v=""/>
    <s v=""/>
    <x v="0"/>
    <x v="0"/>
    <x v="82"/>
    <x v="0"/>
    <x v="0"/>
    <x v="0"/>
    <x v="0"/>
    <x v="0"/>
    <x v="0"/>
    <x v="0"/>
    <x v="0"/>
  </r>
  <r>
    <s v="ID0283"/>
    <d v="2012-05-26T01:15:05"/>
    <n v="70000"/>
    <n v="70000"/>
    <s v="USD"/>
    <n v="70000"/>
    <s v="Engineering Tech Sr."/>
    <x v="2"/>
    <s v="USA"/>
    <x v="2"/>
    <x v="1"/>
    <m/>
    <s v=""/>
    <s v=""/>
    <s v=""/>
    <s v=""/>
    <s v=""/>
    <s v=""/>
    <x v="0"/>
    <x v="0"/>
    <x v="1"/>
    <x v="0"/>
    <x v="0"/>
    <x v="0"/>
    <x v="12"/>
    <x v="0"/>
    <x v="0"/>
    <x v="0"/>
    <x v="0"/>
  </r>
  <r>
    <s v="ID0284"/>
    <d v="2012-05-26T01:15:12"/>
    <s v="36000 $"/>
    <n v="36000"/>
    <s v="USD"/>
    <n v="36000"/>
    <s v="Senior Specialist"/>
    <x v="6"/>
    <s v="Russia"/>
    <x v="13"/>
    <x v="0"/>
    <m/>
    <s v=""/>
    <s v=""/>
    <s v=""/>
    <s v=""/>
    <s v=""/>
    <s v=""/>
    <x v="0"/>
    <x v="0"/>
    <x v="1"/>
    <x v="0"/>
    <x v="0"/>
    <x v="0"/>
    <x v="0"/>
    <x v="0"/>
    <x v="0"/>
    <x v="0"/>
    <x v="14"/>
  </r>
  <r>
    <s v="ID0285"/>
    <d v="2012-05-26T01:15:25"/>
    <n v="15000"/>
    <n v="15000"/>
    <s v="USD"/>
    <n v="15000"/>
    <s v="moneymaker"/>
    <x v="3"/>
    <s v="USA"/>
    <x v="2"/>
    <x v="2"/>
    <m/>
    <s v=""/>
    <s v=""/>
    <s v=""/>
    <s v=""/>
    <s v=""/>
    <s v=""/>
    <x v="0"/>
    <x v="0"/>
    <x v="1"/>
    <x v="0"/>
    <x v="0"/>
    <x v="0"/>
    <x v="0"/>
    <x v="72"/>
    <x v="0"/>
    <x v="0"/>
    <x v="0"/>
  </r>
  <r>
    <s v="ID0286"/>
    <d v="2012-05-26T01:16:18"/>
    <s v="INR 15,00,000"/>
    <n v="1500000"/>
    <s v="INR"/>
    <n v="26711.875031163851"/>
    <s v="Consultant"/>
    <x v="8"/>
    <s v="India"/>
    <x v="0"/>
    <x v="1"/>
    <m/>
    <s v=""/>
    <s v=""/>
    <s v=""/>
    <s v=""/>
    <s v=""/>
    <s v=""/>
    <x v="0"/>
    <x v="0"/>
    <x v="1"/>
    <x v="16"/>
    <x v="0"/>
    <x v="0"/>
    <x v="0"/>
    <x v="0"/>
    <x v="0"/>
    <x v="0"/>
    <x v="0"/>
  </r>
  <r>
    <s v="ID0287"/>
    <d v="2012-05-26T01:17:11"/>
    <s v="AED100000"/>
    <n v="100000"/>
    <s v="AED"/>
    <n v="27221.92126875931"/>
    <s v="Accountant"/>
    <x v="5"/>
    <s v="Dubai"/>
    <x v="33"/>
    <x v="0"/>
    <m/>
    <s v=""/>
    <s v=""/>
    <s v=""/>
    <s v=""/>
    <s v=""/>
    <s v=""/>
    <x v="0"/>
    <x v="21"/>
    <x v="1"/>
    <x v="0"/>
    <x v="0"/>
    <x v="0"/>
    <x v="0"/>
    <x v="0"/>
    <x v="0"/>
    <x v="0"/>
    <x v="0"/>
  </r>
  <r>
    <s v="ID0288"/>
    <d v="2012-05-26T01:17:50"/>
    <n v="22000"/>
    <n v="22000"/>
    <s v="USD"/>
    <n v="22000"/>
    <s v="MIS"/>
    <x v="7"/>
    <s v="India"/>
    <x v="0"/>
    <x v="1"/>
    <m/>
    <s v=""/>
    <s v=""/>
    <s v=""/>
    <s v=""/>
    <s v=""/>
    <s v=""/>
    <x v="0"/>
    <x v="0"/>
    <x v="1"/>
    <x v="0"/>
    <x v="0"/>
    <x v="0"/>
    <x v="0"/>
    <x v="0"/>
    <x v="0"/>
    <x v="3"/>
    <x v="0"/>
  </r>
  <r>
    <s v="ID0289"/>
    <d v="2012-05-26T01:17:56"/>
    <n v="68000"/>
    <n v="68000"/>
    <s v="USD"/>
    <n v="68000"/>
    <s v="management accountant"/>
    <x v="3"/>
    <s v="USA"/>
    <x v="2"/>
    <x v="1"/>
    <m/>
    <s v=""/>
    <s v=""/>
    <s v=""/>
    <s v=""/>
    <s v=""/>
    <s v=""/>
    <x v="0"/>
    <x v="0"/>
    <x v="1"/>
    <x v="0"/>
    <x v="0"/>
    <x v="0"/>
    <x v="0"/>
    <x v="73"/>
    <x v="0"/>
    <x v="0"/>
    <x v="0"/>
  </r>
  <r>
    <s v="ID0290"/>
    <d v="2012-05-26T01:17:57"/>
    <n v="97000"/>
    <n v="97000"/>
    <s v="USD"/>
    <n v="97000"/>
    <s v="business analyst"/>
    <x v="0"/>
    <s v="USA"/>
    <x v="2"/>
    <x v="1"/>
    <m/>
    <s v=""/>
    <s v=""/>
    <s v=""/>
    <s v=""/>
    <s v=""/>
    <s v=""/>
    <x v="0"/>
    <x v="0"/>
    <x v="83"/>
    <x v="0"/>
    <x v="0"/>
    <x v="0"/>
    <x v="0"/>
    <x v="0"/>
    <x v="0"/>
    <x v="0"/>
    <x v="0"/>
  </r>
  <r>
    <s v="ID0291"/>
    <d v="2012-05-26T01:18:35"/>
    <s v="Â£31000"/>
    <n v="31000"/>
    <s v="GBP"/>
    <n v="48861.526434085805"/>
    <s v="Telecoms Engineer"/>
    <x v="2"/>
    <s v="UK"/>
    <x v="14"/>
    <x v="2"/>
    <m/>
    <s v=""/>
    <s v=""/>
    <s v=""/>
    <s v=""/>
    <s v=""/>
    <s v=""/>
    <x v="0"/>
    <x v="0"/>
    <x v="1"/>
    <x v="0"/>
    <x v="0"/>
    <x v="0"/>
    <x v="13"/>
    <x v="0"/>
    <x v="0"/>
    <x v="0"/>
    <x v="0"/>
  </r>
  <r>
    <s v="ID0292"/>
    <d v="2012-05-26T01:18:49"/>
    <n v="65000"/>
    <n v="65000"/>
    <s v="USD"/>
    <n v="65000"/>
    <s v="Software Support"/>
    <x v="0"/>
    <s v="USA"/>
    <x v="2"/>
    <x v="0"/>
    <m/>
    <s v=""/>
    <s v=""/>
    <s v=""/>
    <s v=""/>
    <s v=""/>
    <s v=""/>
    <x v="0"/>
    <x v="0"/>
    <x v="84"/>
    <x v="0"/>
    <x v="0"/>
    <x v="0"/>
    <x v="0"/>
    <x v="0"/>
    <x v="0"/>
    <x v="0"/>
    <x v="0"/>
  </r>
  <r>
    <s v="ID0293"/>
    <d v="2012-05-26T01:18:58"/>
    <n v="3600"/>
    <n v="43200"/>
    <s v="USD"/>
    <n v="43200"/>
    <s v="Projects Planner"/>
    <x v="3"/>
    <s v="Saudi Arabia"/>
    <x v="22"/>
    <x v="0"/>
    <m/>
    <s v=""/>
    <s v=""/>
    <s v=""/>
    <s v=""/>
    <s v=""/>
    <s v=""/>
    <x v="0"/>
    <x v="0"/>
    <x v="1"/>
    <x v="0"/>
    <x v="0"/>
    <x v="0"/>
    <x v="0"/>
    <x v="74"/>
    <x v="0"/>
    <x v="0"/>
    <x v="0"/>
  </r>
  <r>
    <s v="ID0294"/>
    <d v="2012-05-26T01:19:09"/>
    <s v="4.5 lakh INR"/>
    <n v="450000"/>
    <s v="INR"/>
    <n v="8013.5625093491553"/>
    <s v="Business Analyst"/>
    <x v="0"/>
    <s v="India"/>
    <x v="0"/>
    <x v="0"/>
    <m/>
    <s v=""/>
    <s v=""/>
    <s v=""/>
    <s v=""/>
    <s v=""/>
    <s v=""/>
    <x v="0"/>
    <x v="0"/>
    <x v="85"/>
    <x v="0"/>
    <x v="0"/>
    <x v="0"/>
    <x v="0"/>
    <x v="0"/>
    <x v="0"/>
    <x v="0"/>
    <x v="0"/>
  </r>
  <r>
    <s v="ID0295"/>
    <d v="2012-05-26T01:19:09"/>
    <n v="50000"/>
    <n v="50000"/>
    <s v="USD"/>
    <n v="50000"/>
    <s v="Mathematical Data Analyist"/>
    <x v="0"/>
    <s v="USA"/>
    <x v="2"/>
    <x v="1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296"/>
    <d v="2012-05-26T01:19:22"/>
    <n v="45000"/>
    <n v="45000"/>
    <s v="USD"/>
    <n v="45000"/>
    <s v="sales support"/>
    <x v="0"/>
    <s v="USA"/>
    <x v="2"/>
    <x v="0"/>
    <m/>
    <s v=""/>
    <s v=""/>
    <s v=""/>
    <s v=""/>
    <s v=""/>
    <s v=""/>
    <x v="0"/>
    <x v="0"/>
    <x v="42"/>
    <x v="0"/>
    <x v="0"/>
    <x v="0"/>
    <x v="0"/>
    <x v="0"/>
    <x v="0"/>
    <x v="0"/>
    <x v="0"/>
  </r>
  <r>
    <s v="ID0297"/>
    <d v="2012-05-26T01:19:37"/>
    <s v="Rs.1.8 lakhs "/>
    <n v="180000"/>
    <s v="INR"/>
    <n v="3205.4250037396623"/>
    <s v="Administrative Officer"/>
    <x v="3"/>
    <s v="India"/>
    <x v="0"/>
    <x v="0"/>
    <m/>
    <s v=""/>
    <s v=""/>
    <s v=""/>
    <s v=""/>
    <s v=""/>
    <s v=""/>
    <x v="0"/>
    <x v="0"/>
    <x v="1"/>
    <x v="0"/>
    <x v="0"/>
    <x v="0"/>
    <x v="0"/>
    <x v="75"/>
    <x v="0"/>
    <x v="0"/>
    <x v="0"/>
  </r>
  <r>
    <s v="ID0298"/>
    <d v="2012-05-26T01:20:01"/>
    <n v="60000"/>
    <n v="60000"/>
    <s v="USD"/>
    <n v="60000"/>
    <s v="IS Manager"/>
    <x v="3"/>
    <s v="USA"/>
    <x v="2"/>
    <x v="1"/>
    <m/>
    <s v=""/>
    <s v=""/>
    <s v=""/>
    <s v=""/>
    <s v=""/>
    <s v=""/>
    <x v="0"/>
    <x v="0"/>
    <x v="1"/>
    <x v="0"/>
    <x v="0"/>
    <x v="0"/>
    <x v="0"/>
    <x v="76"/>
    <x v="0"/>
    <x v="0"/>
    <x v="0"/>
  </r>
  <r>
    <s v="ID0299"/>
    <d v="2012-05-26T01:20:46"/>
    <n v="31000"/>
    <n v="31000"/>
    <s v="USD"/>
    <n v="31000"/>
    <s v="Support Specialist "/>
    <x v="6"/>
    <s v="USA"/>
    <x v="2"/>
    <x v="2"/>
    <m/>
    <s v=""/>
    <s v=""/>
    <s v=""/>
    <s v=""/>
    <s v=""/>
    <s v=""/>
    <x v="0"/>
    <x v="0"/>
    <x v="1"/>
    <x v="0"/>
    <x v="0"/>
    <x v="0"/>
    <x v="0"/>
    <x v="0"/>
    <x v="0"/>
    <x v="0"/>
    <x v="15"/>
  </r>
  <r>
    <s v="ID0300"/>
    <d v="2012-05-26T01:21:06"/>
    <n v="75000"/>
    <n v="75000"/>
    <s v="USD"/>
    <n v="75000"/>
    <s v="FA"/>
    <x v="0"/>
    <s v="USA"/>
    <x v="2"/>
    <x v="0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301"/>
    <d v="2012-05-26T01:22:09"/>
    <n v="16000"/>
    <n v="16000"/>
    <s v="USD"/>
    <n v="16000"/>
    <s v="VP of Finance"/>
    <x v="4"/>
    <s v="USA"/>
    <x v="2"/>
    <x v="3"/>
    <m/>
    <s v=""/>
    <s v=""/>
    <s v=""/>
    <s v=""/>
    <s v=""/>
    <s v=""/>
    <x v="0"/>
    <x v="0"/>
    <x v="1"/>
    <x v="0"/>
    <x v="0"/>
    <x v="12"/>
    <x v="0"/>
    <x v="0"/>
    <x v="0"/>
    <x v="0"/>
    <x v="0"/>
  </r>
  <r>
    <s v="ID0302"/>
    <d v="2012-05-26T01:22:22"/>
    <s v="36,000 USD"/>
    <n v="36000"/>
    <s v="USD"/>
    <n v="36000"/>
    <s v="PRODUCTION ASSISTANT"/>
    <x v="0"/>
    <s v="USA"/>
    <x v="2"/>
    <x v="1"/>
    <m/>
    <s v=""/>
    <s v=""/>
    <s v=""/>
    <s v=""/>
    <s v=""/>
    <s v=""/>
    <x v="0"/>
    <x v="0"/>
    <x v="32"/>
    <x v="0"/>
    <x v="0"/>
    <x v="0"/>
    <x v="0"/>
    <x v="0"/>
    <x v="0"/>
    <x v="0"/>
    <x v="0"/>
  </r>
  <r>
    <s v="ID0303"/>
    <d v="2012-05-26T01:22:40"/>
    <n v="42000"/>
    <n v="42000"/>
    <s v="CAD"/>
    <n v="41301.183967273726"/>
    <s v="Financial Analyst"/>
    <x v="0"/>
    <s v="Canada"/>
    <x v="17"/>
    <x v="1"/>
    <m/>
    <s v=""/>
    <s v=""/>
    <s v=""/>
    <s v=""/>
    <s v=""/>
    <s v=""/>
    <x v="0"/>
    <x v="0"/>
    <x v="28"/>
    <x v="0"/>
    <x v="0"/>
    <x v="0"/>
    <x v="0"/>
    <x v="0"/>
    <x v="0"/>
    <x v="0"/>
    <x v="0"/>
  </r>
  <r>
    <s v="ID0304"/>
    <d v="2012-05-26T01:22:45"/>
    <n v="53000"/>
    <n v="53000"/>
    <s v="USD"/>
    <n v="53000"/>
    <s v="Data Analyst"/>
    <x v="0"/>
    <s v="USA"/>
    <x v="2"/>
    <x v="0"/>
    <m/>
    <s v=""/>
    <s v=""/>
    <s v=""/>
    <s v=""/>
    <s v=""/>
    <s v=""/>
    <x v="0"/>
    <x v="0"/>
    <x v="46"/>
    <x v="0"/>
    <x v="0"/>
    <x v="0"/>
    <x v="0"/>
    <x v="0"/>
    <x v="0"/>
    <x v="0"/>
    <x v="0"/>
  </r>
  <r>
    <s v="ID0305"/>
    <d v="2012-05-26T01:22:48"/>
    <s v="65000 euro"/>
    <n v="65000"/>
    <s v="EUR"/>
    <n v="82575.963534454509"/>
    <s v="controller"/>
    <x v="1"/>
    <s v="germany"/>
    <x v="5"/>
    <x v="1"/>
    <m/>
    <s v=""/>
    <s v=""/>
    <s v=""/>
    <s v=""/>
    <s v=""/>
    <s v=""/>
    <x v="0"/>
    <x v="0"/>
    <x v="1"/>
    <x v="0"/>
    <x v="7"/>
    <x v="0"/>
    <x v="0"/>
    <x v="0"/>
    <x v="0"/>
    <x v="0"/>
    <x v="0"/>
  </r>
  <r>
    <s v="ID0306"/>
    <d v="2012-05-26T01:22:56"/>
    <n v="67000"/>
    <n v="67000"/>
    <s v="USD"/>
    <n v="67000"/>
    <s v="HR Analyst"/>
    <x v="0"/>
    <s v="USA"/>
    <x v="2"/>
    <x v="0"/>
    <m/>
    <s v=""/>
    <s v=""/>
    <s v=""/>
    <s v=""/>
    <s v=""/>
    <s v=""/>
    <x v="0"/>
    <x v="0"/>
    <x v="36"/>
    <x v="0"/>
    <x v="0"/>
    <x v="0"/>
    <x v="0"/>
    <x v="0"/>
    <x v="0"/>
    <x v="0"/>
    <x v="0"/>
  </r>
  <r>
    <s v="ID0307"/>
    <d v="2012-05-26T01:23:21"/>
    <n v="12000"/>
    <n v="12000"/>
    <s v="USD"/>
    <n v="12000"/>
    <s v="Analyst"/>
    <x v="0"/>
    <s v="India"/>
    <x v="0"/>
    <x v="1"/>
    <m/>
    <s v=""/>
    <s v=""/>
    <s v=""/>
    <s v=""/>
    <s v=""/>
    <s v=""/>
    <x v="0"/>
    <x v="0"/>
    <x v="4"/>
    <x v="0"/>
    <x v="0"/>
    <x v="0"/>
    <x v="0"/>
    <x v="0"/>
    <x v="0"/>
    <x v="0"/>
    <x v="0"/>
  </r>
  <r>
    <s v="ID0308"/>
    <d v="2012-05-26T01:23:43"/>
    <n v="85000"/>
    <n v="85000"/>
    <s v="USD"/>
    <n v="85000"/>
    <s v="Plant Controller"/>
    <x v="1"/>
    <s v="USA"/>
    <x v="2"/>
    <x v="1"/>
    <m/>
    <s v=""/>
    <s v=""/>
    <s v=""/>
    <s v=""/>
    <s v=""/>
    <s v=""/>
    <x v="0"/>
    <x v="0"/>
    <x v="1"/>
    <x v="0"/>
    <x v="3"/>
    <x v="0"/>
    <x v="0"/>
    <x v="0"/>
    <x v="0"/>
    <x v="0"/>
    <x v="0"/>
  </r>
  <r>
    <s v="ID0309"/>
    <d v="2012-05-26T01:23:50"/>
    <n v="200000"/>
    <n v="200000"/>
    <s v="EUR"/>
    <n v="254079.88779832155"/>
    <s v="consultant bi"/>
    <x v="7"/>
    <s v="The netherlands"/>
    <x v="18"/>
    <x v="1"/>
    <m/>
    <s v=""/>
    <s v=""/>
    <s v=""/>
    <s v=""/>
    <s v=""/>
    <s v=""/>
    <x v="0"/>
    <x v="0"/>
    <x v="1"/>
    <x v="0"/>
    <x v="0"/>
    <x v="0"/>
    <x v="0"/>
    <x v="0"/>
    <x v="0"/>
    <x v="4"/>
    <x v="0"/>
  </r>
  <r>
    <s v="ID0310"/>
    <d v="2012-05-26T01:23:57"/>
    <n v="40000"/>
    <n v="40000"/>
    <s v="USD"/>
    <n v="40000"/>
    <s v="Royalties Coordinator"/>
    <x v="3"/>
    <s v="USA"/>
    <x v="2"/>
    <x v="0"/>
    <m/>
    <s v=""/>
    <s v=""/>
    <s v=""/>
    <s v=""/>
    <s v=""/>
    <s v=""/>
    <x v="0"/>
    <x v="0"/>
    <x v="1"/>
    <x v="0"/>
    <x v="0"/>
    <x v="0"/>
    <x v="0"/>
    <x v="7"/>
    <x v="0"/>
    <x v="0"/>
    <x v="0"/>
  </r>
  <r>
    <s v="ID0311"/>
    <d v="2012-05-26T01:24:03"/>
    <s v="Â£20000/year but i work part time 30h/week"/>
    <n v="20000"/>
    <s v="GBP"/>
    <n v="31523.565441345683"/>
    <s v="Graduate Structural Engineer"/>
    <x v="2"/>
    <s v="UK"/>
    <x v="14"/>
    <x v="3"/>
    <m/>
    <s v=""/>
    <s v=""/>
    <s v=""/>
    <s v=""/>
    <s v=""/>
    <s v=""/>
    <x v="0"/>
    <x v="0"/>
    <x v="1"/>
    <x v="0"/>
    <x v="0"/>
    <x v="0"/>
    <x v="14"/>
    <x v="0"/>
    <x v="0"/>
    <x v="0"/>
    <x v="0"/>
  </r>
  <r>
    <s v="ID0312"/>
    <d v="2012-05-26T01:25:05"/>
    <n v="41000"/>
    <n v="41000"/>
    <s v="USD"/>
    <n v="41000"/>
    <s v="Operations Analyst"/>
    <x v="0"/>
    <s v="USA"/>
    <x v="2"/>
    <x v="0"/>
    <m/>
    <s v=""/>
    <s v=""/>
    <s v=""/>
    <s v=""/>
    <s v=""/>
    <s v=""/>
    <x v="0"/>
    <x v="0"/>
    <x v="86"/>
    <x v="0"/>
    <x v="0"/>
    <x v="0"/>
    <x v="0"/>
    <x v="0"/>
    <x v="0"/>
    <x v="0"/>
    <x v="0"/>
  </r>
  <r>
    <s v="ID0313"/>
    <d v="2012-05-26T01:25:06"/>
    <n v="1400000"/>
    <n v="1400000"/>
    <s v="INR"/>
    <n v="24931.083362419595"/>
    <s v="Marketing"/>
    <x v="3"/>
    <s v="India"/>
    <x v="0"/>
    <x v="3"/>
    <m/>
    <s v=""/>
    <s v=""/>
    <s v=""/>
    <s v=""/>
    <s v=""/>
    <s v=""/>
    <x v="0"/>
    <x v="0"/>
    <x v="1"/>
    <x v="0"/>
    <x v="0"/>
    <x v="0"/>
    <x v="0"/>
    <x v="77"/>
    <x v="0"/>
    <x v="0"/>
    <x v="0"/>
  </r>
  <r>
    <s v="ID0314"/>
    <d v="2012-05-26T01:25:30"/>
    <n v="125000"/>
    <n v="125000"/>
    <s v="USD"/>
    <n v="125000"/>
    <s v="Finance, Manager "/>
    <x v="3"/>
    <s v="USA"/>
    <x v="2"/>
    <x v="0"/>
    <m/>
    <s v=""/>
    <s v=""/>
    <s v=""/>
    <s v=""/>
    <s v=""/>
    <s v=""/>
    <x v="0"/>
    <x v="0"/>
    <x v="1"/>
    <x v="0"/>
    <x v="0"/>
    <x v="0"/>
    <x v="0"/>
    <x v="78"/>
    <x v="0"/>
    <x v="0"/>
    <x v="0"/>
  </r>
  <r>
    <s v="ID0315"/>
    <d v="2012-05-26T01:26:26"/>
    <n v="60000"/>
    <n v="60000"/>
    <s v="CAD"/>
    <n v="59001.691381819612"/>
    <s v="Sr. Business Analyst"/>
    <x v="0"/>
    <s v="Canada"/>
    <x v="17"/>
    <x v="1"/>
    <m/>
    <s v=""/>
    <s v=""/>
    <s v=""/>
    <s v=""/>
    <s v=""/>
    <s v=""/>
    <x v="0"/>
    <x v="0"/>
    <x v="39"/>
    <x v="0"/>
    <x v="0"/>
    <x v="0"/>
    <x v="0"/>
    <x v="0"/>
    <x v="0"/>
    <x v="0"/>
    <x v="0"/>
  </r>
  <r>
    <s v="ID0316"/>
    <d v="2012-05-26T01:26:37"/>
    <s v="150000 MXN"/>
    <n v="150000"/>
    <s v="MXN"/>
    <n v="10956.982885192734"/>
    <s v="Information Analyst"/>
    <x v="0"/>
    <s v="Mexico"/>
    <x v="25"/>
    <x v="1"/>
    <m/>
    <s v=""/>
    <s v=""/>
    <s v=""/>
    <s v=""/>
    <s v=""/>
    <s v=""/>
    <x v="0"/>
    <x v="0"/>
    <x v="87"/>
    <x v="0"/>
    <x v="0"/>
    <x v="0"/>
    <x v="0"/>
    <x v="0"/>
    <x v="0"/>
    <x v="0"/>
    <x v="0"/>
  </r>
  <r>
    <s v="ID0317"/>
    <d v="2012-05-26T01:26:52"/>
    <n v="70000"/>
    <n v="70000"/>
    <s v="USD"/>
    <n v="70000"/>
    <s v="Analyst"/>
    <x v="0"/>
    <s v="USA"/>
    <x v="2"/>
    <x v="2"/>
    <m/>
    <s v=""/>
    <s v=""/>
    <s v=""/>
    <s v=""/>
    <s v=""/>
    <s v=""/>
    <x v="0"/>
    <x v="0"/>
    <x v="59"/>
    <x v="0"/>
    <x v="0"/>
    <x v="0"/>
    <x v="0"/>
    <x v="0"/>
    <x v="0"/>
    <x v="0"/>
    <x v="0"/>
  </r>
  <r>
    <s v="ID0318"/>
    <d v="2012-05-26T01:27:03"/>
    <n v="400000"/>
    <n v="400000"/>
    <s v="USD"/>
    <n v="400000"/>
    <s v="Financial Specialist"/>
    <x v="6"/>
    <s v="USA"/>
    <x v="2"/>
    <x v="1"/>
    <m/>
    <s v=""/>
    <s v=""/>
    <s v=""/>
    <s v=""/>
    <s v=""/>
    <s v=""/>
    <x v="0"/>
    <x v="0"/>
    <x v="1"/>
    <x v="0"/>
    <x v="0"/>
    <x v="0"/>
    <x v="0"/>
    <x v="0"/>
    <x v="0"/>
    <x v="0"/>
    <x v="16"/>
  </r>
  <r>
    <s v="ID0319"/>
    <d v="2012-05-26T01:27:26"/>
    <n v="55"/>
    <n v="55000"/>
    <s v="USD"/>
    <n v="55000"/>
    <s v="Business Analyst"/>
    <x v="0"/>
    <s v="USA"/>
    <x v="2"/>
    <x v="0"/>
    <m/>
    <s v=""/>
    <s v=""/>
    <s v=""/>
    <s v=""/>
    <s v=""/>
    <s v=""/>
    <x v="0"/>
    <x v="0"/>
    <x v="78"/>
    <x v="0"/>
    <x v="0"/>
    <x v="0"/>
    <x v="0"/>
    <x v="0"/>
    <x v="0"/>
    <x v="0"/>
    <x v="0"/>
  </r>
  <r>
    <s v="ID0320"/>
    <d v="2012-05-26T01:27:29"/>
    <n v="60000"/>
    <n v="60000"/>
    <s v="USD"/>
    <n v="60000"/>
    <s v="Management Analyst"/>
    <x v="0"/>
    <s v="USA"/>
    <x v="2"/>
    <x v="0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321"/>
    <d v="2012-05-26T01:27:44"/>
    <s v="INR 1000000"/>
    <n v="1000000"/>
    <s v="INR"/>
    <n v="17807.916687442568"/>
    <s v="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6"/>
    <x v="0"/>
    <x v="0"/>
    <x v="0"/>
  </r>
  <r>
    <s v="ID0322"/>
    <d v="2012-05-26T01:27:52"/>
    <n v="40000"/>
    <n v="40000"/>
    <s v="USD"/>
    <n v="40000"/>
    <s v="Dp manager"/>
    <x v="3"/>
    <s v="Hungary"/>
    <x v="9"/>
    <x v="0"/>
    <m/>
    <s v=""/>
    <s v=""/>
    <s v=""/>
    <s v=""/>
    <s v=""/>
    <s v=""/>
    <x v="0"/>
    <x v="0"/>
    <x v="1"/>
    <x v="0"/>
    <x v="0"/>
    <x v="0"/>
    <x v="0"/>
    <x v="7"/>
    <x v="0"/>
    <x v="0"/>
    <x v="0"/>
  </r>
  <r>
    <s v="ID0323"/>
    <d v="2012-05-26T01:28:37"/>
    <n v="137500"/>
    <n v="137500"/>
    <s v="USD"/>
    <n v="137500"/>
    <s v="director of analytics"/>
    <x v="0"/>
    <s v="USA"/>
    <x v="2"/>
    <x v="0"/>
    <m/>
    <s v=""/>
    <s v=""/>
    <s v=""/>
    <s v=""/>
    <s v=""/>
    <s v=""/>
    <x v="0"/>
    <x v="0"/>
    <x v="88"/>
    <x v="0"/>
    <x v="0"/>
    <x v="0"/>
    <x v="0"/>
    <x v="0"/>
    <x v="0"/>
    <x v="0"/>
    <x v="0"/>
  </r>
  <r>
    <s v="ID0324"/>
    <d v="2012-05-26T01:29:32"/>
    <s v="US$ 4.545"/>
    <n v="4545"/>
    <s v="USD"/>
    <n v="4545"/>
    <s v="Supply Processes Analyst"/>
    <x v="0"/>
    <s v="Brasil"/>
    <x v="20"/>
    <x v="1"/>
    <m/>
    <s v=""/>
    <s v=""/>
    <s v=""/>
    <s v=""/>
    <s v=""/>
    <s v=""/>
    <x v="0"/>
    <x v="0"/>
    <x v="89"/>
    <x v="0"/>
    <x v="0"/>
    <x v="0"/>
    <x v="0"/>
    <x v="0"/>
    <x v="0"/>
    <x v="0"/>
    <x v="0"/>
  </r>
  <r>
    <s v="ID0325"/>
    <d v="2012-05-26T01:29:37"/>
    <s v="Â£29000"/>
    <n v="29000"/>
    <s v="GBP"/>
    <n v="45709.169889951241"/>
    <s v="ICT Technical Analyst"/>
    <x v="0"/>
    <s v="UK"/>
    <x v="14"/>
    <x v="0"/>
    <m/>
    <s v=""/>
    <s v=""/>
    <s v=""/>
    <s v=""/>
    <s v=""/>
    <s v=""/>
    <x v="0"/>
    <x v="0"/>
    <x v="90"/>
    <x v="0"/>
    <x v="0"/>
    <x v="0"/>
    <x v="0"/>
    <x v="0"/>
    <x v="0"/>
    <x v="0"/>
    <x v="0"/>
  </r>
  <r>
    <s v="ID0326"/>
    <d v="2012-05-26T01:30:12"/>
    <n v="47000"/>
    <n v="47000"/>
    <s v="USD"/>
    <n v="47000"/>
    <s v="Sourcing Specialist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17"/>
  </r>
  <r>
    <s v="ID0327"/>
    <d v="2012-05-26T01:30:39"/>
    <n v="65000"/>
    <n v="65000"/>
    <s v="USD"/>
    <n v="65000"/>
    <s v="business analyst"/>
    <x v="0"/>
    <s v="USA"/>
    <x v="2"/>
    <x v="1"/>
    <m/>
    <s v=""/>
    <s v=""/>
    <s v=""/>
    <s v=""/>
    <s v=""/>
    <s v=""/>
    <x v="0"/>
    <x v="0"/>
    <x v="84"/>
    <x v="0"/>
    <x v="0"/>
    <x v="0"/>
    <x v="0"/>
    <x v="0"/>
    <x v="0"/>
    <x v="0"/>
    <x v="0"/>
  </r>
  <r>
    <s v="ID0328"/>
    <d v="2012-05-26T01:30:56"/>
    <s v="PhP 456,000"/>
    <n v="456000"/>
    <s v="PHP"/>
    <n v="10809.503829551191"/>
    <s v="Reporting Shared Services Oferring Lead"/>
    <x v="7"/>
    <s v="Philippines"/>
    <x v="32"/>
    <x v="0"/>
    <m/>
    <s v=""/>
    <s v=""/>
    <s v=""/>
    <s v=""/>
    <s v=""/>
    <s v=""/>
    <x v="0"/>
    <x v="0"/>
    <x v="1"/>
    <x v="0"/>
    <x v="0"/>
    <x v="0"/>
    <x v="0"/>
    <x v="0"/>
    <x v="0"/>
    <x v="5"/>
    <x v="0"/>
  </r>
  <r>
    <s v="ID0329"/>
    <d v="2012-05-26T01:31:26"/>
    <n v="92000"/>
    <n v="92000"/>
    <s v="USD"/>
    <n v="92000"/>
    <s v="Sales Analytics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79"/>
    <x v="0"/>
    <x v="0"/>
    <x v="0"/>
  </r>
  <r>
    <s v="ID0330"/>
    <d v="2012-05-26T01:31:42"/>
    <s v="22000 usd"/>
    <n v="22000"/>
    <s v="USD"/>
    <n v="22000"/>
    <s v="Product Manager Sr"/>
    <x v="3"/>
    <s v="Mexico"/>
    <x v="25"/>
    <x v="0"/>
    <m/>
    <s v=""/>
    <s v=""/>
    <s v=""/>
    <s v=""/>
    <s v=""/>
    <s v=""/>
    <x v="0"/>
    <x v="0"/>
    <x v="1"/>
    <x v="0"/>
    <x v="0"/>
    <x v="0"/>
    <x v="0"/>
    <x v="80"/>
    <x v="0"/>
    <x v="0"/>
    <x v="0"/>
  </r>
  <r>
    <s v="ID0331"/>
    <d v="2012-05-26T01:31:58"/>
    <n v="108000"/>
    <n v="108000"/>
    <s v="USD"/>
    <n v="108000"/>
    <s v="Database Architect"/>
    <x v="3"/>
    <s v="USA"/>
    <x v="2"/>
    <x v="2"/>
    <m/>
    <s v=""/>
    <s v=""/>
    <s v=""/>
    <s v=""/>
    <s v=""/>
    <s v=""/>
    <x v="0"/>
    <x v="0"/>
    <x v="1"/>
    <x v="0"/>
    <x v="0"/>
    <x v="0"/>
    <x v="0"/>
    <x v="81"/>
    <x v="0"/>
    <x v="0"/>
    <x v="0"/>
  </r>
  <r>
    <s v="ID0332"/>
    <d v="2012-05-26T01:32:08"/>
    <n v="61000"/>
    <n v="61000"/>
    <s v="USD"/>
    <n v="61000"/>
    <s v="Data Analyst"/>
    <x v="0"/>
    <s v="USA"/>
    <x v="2"/>
    <x v="3"/>
    <m/>
    <s v=""/>
    <s v=""/>
    <s v=""/>
    <s v=""/>
    <s v=""/>
    <s v=""/>
    <x v="0"/>
    <x v="0"/>
    <x v="91"/>
    <x v="0"/>
    <x v="0"/>
    <x v="0"/>
    <x v="0"/>
    <x v="0"/>
    <x v="0"/>
    <x v="0"/>
    <x v="0"/>
  </r>
  <r>
    <s v="ID0333"/>
    <d v="2012-05-26T01:32:14"/>
    <s v="CAD 65000"/>
    <n v="65000"/>
    <s v="CAD"/>
    <n v="63918.498996971248"/>
    <s v="Product developer"/>
    <x v="3"/>
    <s v="CANADA"/>
    <x v="17"/>
    <x v="2"/>
    <m/>
    <s v=""/>
    <s v=""/>
    <s v=""/>
    <s v=""/>
    <s v=""/>
    <s v=""/>
    <x v="0"/>
    <x v="0"/>
    <x v="1"/>
    <x v="0"/>
    <x v="0"/>
    <x v="0"/>
    <x v="0"/>
    <x v="63"/>
    <x v="0"/>
    <x v="0"/>
    <x v="0"/>
  </r>
  <r>
    <s v="ID0334"/>
    <d v="2012-05-26T01:32:26"/>
    <n v="50000"/>
    <n v="50000"/>
    <s v="USD"/>
    <n v="50000"/>
    <s v="Supply Chain Analyst"/>
    <x v="0"/>
    <s v="USA"/>
    <x v="2"/>
    <x v="1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335"/>
    <d v="2012-05-26T01:33:03"/>
    <n v="150000"/>
    <n v="150000"/>
    <s v="USD"/>
    <n v="150000"/>
    <s v="financial planning"/>
    <x v="5"/>
    <s v="USA"/>
    <x v="2"/>
    <x v="1"/>
    <m/>
    <s v=""/>
    <s v=""/>
    <s v=""/>
    <s v=""/>
    <s v=""/>
    <s v=""/>
    <x v="0"/>
    <x v="22"/>
    <x v="1"/>
    <x v="0"/>
    <x v="0"/>
    <x v="0"/>
    <x v="0"/>
    <x v="0"/>
    <x v="0"/>
    <x v="0"/>
    <x v="0"/>
  </r>
  <r>
    <s v="ID0336"/>
    <d v="2012-05-26T01:33:37"/>
    <s v="400000 INR"/>
    <n v="400000"/>
    <s v="INR"/>
    <n v="7123.1666749770275"/>
    <s v="Test Analyst"/>
    <x v="0"/>
    <s v="India"/>
    <x v="0"/>
    <x v="0"/>
    <m/>
    <s v=""/>
    <s v=""/>
    <s v=""/>
    <s v=""/>
    <s v=""/>
    <s v=""/>
    <x v="0"/>
    <x v="0"/>
    <x v="92"/>
    <x v="0"/>
    <x v="0"/>
    <x v="0"/>
    <x v="0"/>
    <x v="0"/>
    <x v="0"/>
    <x v="0"/>
    <x v="0"/>
  </r>
  <r>
    <s v="ID0337"/>
    <d v="2012-05-26T01:33:45"/>
    <n v="150000"/>
    <n v="150000"/>
    <s v="USD"/>
    <n v="150000"/>
    <s v="project manager, project finance consultant"/>
    <x v="3"/>
    <s v="Israel"/>
    <x v="34"/>
    <x v="0"/>
    <m/>
    <s v=""/>
    <s v=""/>
    <s v=""/>
    <s v=""/>
    <s v=""/>
    <s v=""/>
    <x v="0"/>
    <x v="0"/>
    <x v="1"/>
    <x v="0"/>
    <x v="0"/>
    <x v="0"/>
    <x v="0"/>
    <x v="11"/>
    <x v="0"/>
    <x v="0"/>
    <x v="0"/>
  </r>
  <r>
    <s v="ID0338"/>
    <d v="2012-05-26T01:34:56"/>
    <n v="45000"/>
    <n v="45000"/>
    <s v="USD"/>
    <n v="45000"/>
    <s v="QC Fabrication Inspector"/>
    <x v="6"/>
    <s v="USA"/>
    <x v="2"/>
    <x v="0"/>
    <m/>
    <s v=""/>
    <s v=""/>
    <s v=""/>
    <s v=""/>
    <s v=""/>
    <s v=""/>
    <x v="0"/>
    <x v="0"/>
    <x v="1"/>
    <x v="0"/>
    <x v="0"/>
    <x v="0"/>
    <x v="0"/>
    <x v="0"/>
    <x v="0"/>
    <x v="0"/>
    <x v="18"/>
  </r>
  <r>
    <s v="ID0339"/>
    <d v="2012-05-26T01:35:02"/>
    <n v="135000"/>
    <n v="135000"/>
    <s v="USD"/>
    <n v="135000"/>
    <s v="Manager of Trade Investment &amp; Analysis"/>
    <x v="3"/>
    <s v="USA"/>
    <x v="2"/>
    <x v="1"/>
    <m/>
    <s v=""/>
    <s v=""/>
    <s v=""/>
    <s v=""/>
    <s v=""/>
    <s v=""/>
    <x v="0"/>
    <x v="0"/>
    <x v="1"/>
    <x v="0"/>
    <x v="0"/>
    <x v="0"/>
    <x v="0"/>
    <x v="82"/>
    <x v="0"/>
    <x v="0"/>
    <x v="0"/>
  </r>
  <r>
    <s v="ID0340"/>
    <d v="2012-05-26T01:35:18"/>
    <s v="30000 Rs"/>
    <n v="360000"/>
    <s v="INR"/>
    <n v="6410.8500074793246"/>
    <s v="Business Analysit"/>
    <x v="0"/>
    <s v="India"/>
    <x v="0"/>
    <x v="2"/>
    <m/>
    <s v=""/>
    <s v=""/>
    <s v=""/>
    <s v=""/>
    <s v=""/>
    <s v=""/>
    <x v="0"/>
    <x v="0"/>
    <x v="93"/>
    <x v="0"/>
    <x v="0"/>
    <x v="0"/>
    <x v="0"/>
    <x v="0"/>
    <x v="0"/>
    <x v="0"/>
    <x v="0"/>
  </r>
  <r>
    <s v="ID0341"/>
    <d v="2012-05-26T01:35:35"/>
    <n v="29000"/>
    <n v="29000"/>
    <s v="USD"/>
    <n v="29000"/>
    <s v="Assistant Outside Plant Project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83"/>
    <x v="0"/>
    <x v="0"/>
    <x v="0"/>
  </r>
  <r>
    <s v="ID0342"/>
    <d v="2012-05-26T01:37:33"/>
    <n v="13000"/>
    <n v="13000"/>
    <s v="USD"/>
    <n v="13000"/>
    <s v="operation-manager"/>
    <x v="3"/>
    <s v="India"/>
    <x v="0"/>
    <x v="1"/>
    <m/>
    <s v=""/>
    <s v=""/>
    <s v=""/>
    <s v=""/>
    <s v=""/>
    <s v=""/>
    <x v="0"/>
    <x v="0"/>
    <x v="1"/>
    <x v="0"/>
    <x v="0"/>
    <x v="0"/>
    <x v="0"/>
    <x v="84"/>
    <x v="0"/>
    <x v="0"/>
    <x v="0"/>
  </r>
  <r>
    <s v="ID0343"/>
    <d v="2012-05-26T01:38:06"/>
    <s v="63000 USD"/>
    <n v="63000"/>
    <s v="USD"/>
    <n v="63000"/>
    <s v="Sales Analyst"/>
    <x v="0"/>
    <s v="USA"/>
    <x v="2"/>
    <x v="1"/>
    <m/>
    <s v=""/>
    <s v=""/>
    <s v=""/>
    <s v=""/>
    <s v=""/>
    <s v=""/>
    <x v="0"/>
    <x v="0"/>
    <x v="94"/>
    <x v="0"/>
    <x v="0"/>
    <x v="0"/>
    <x v="0"/>
    <x v="0"/>
    <x v="0"/>
    <x v="0"/>
    <x v="0"/>
  </r>
  <r>
    <s v="ID0344"/>
    <d v="2012-05-26T01:38:06"/>
    <n v="95000"/>
    <n v="95000"/>
    <s v="USD"/>
    <n v="95000"/>
    <s v="Senior Financial Analyst"/>
    <x v="0"/>
    <s v="USA"/>
    <x v="2"/>
    <x v="0"/>
    <m/>
    <s v=""/>
    <s v=""/>
    <s v=""/>
    <s v=""/>
    <s v=""/>
    <s v=""/>
    <x v="0"/>
    <x v="0"/>
    <x v="95"/>
    <x v="0"/>
    <x v="0"/>
    <x v="0"/>
    <x v="0"/>
    <x v="0"/>
    <x v="0"/>
    <x v="0"/>
    <x v="0"/>
  </r>
  <r>
    <s v="ID0346"/>
    <d v="2012-05-26T01:38:51"/>
    <s v="100,000 US$ equiv"/>
    <n v="100000"/>
    <s v="USD"/>
    <n v="100000"/>
    <s v="Senior Data Analyst"/>
    <x v="0"/>
    <s v="UK"/>
    <x v="14"/>
    <x v="0"/>
    <m/>
    <s v=""/>
    <s v=""/>
    <s v=""/>
    <s v=""/>
    <s v=""/>
    <s v=""/>
    <x v="0"/>
    <x v="0"/>
    <x v="13"/>
    <x v="0"/>
    <x v="0"/>
    <x v="0"/>
    <x v="0"/>
    <x v="0"/>
    <x v="0"/>
    <x v="0"/>
    <x v="0"/>
  </r>
  <r>
    <s v="ID0347"/>
    <d v="2012-05-26T01:39:37"/>
    <s v="3.8 k"/>
    <n v="3800"/>
    <s v="USD"/>
    <n v="3800"/>
    <s v="MIS EXCUTIVE"/>
    <x v="7"/>
    <s v="India"/>
    <x v="0"/>
    <x v="0"/>
    <m/>
    <s v=""/>
    <s v=""/>
    <s v=""/>
    <s v=""/>
    <s v=""/>
    <s v=""/>
    <x v="0"/>
    <x v="0"/>
    <x v="1"/>
    <x v="0"/>
    <x v="0"/>
    <x v="0"/>
    <x v="0"/>
    <x v="0"/>
    <x v="0"/>
    <x v="6"/>
    <x v="0"/>
  </r>
  <r>
    <s v="ID0348"/>
    <d v="2012-05-26T01:40:05"/>
    <n v="950"/>
    <n v="11400"/>
    <s v="USD"/>
    <n v="11400"/>
    <s v="Advisor"/>
    <x v="8"/>
    <s v="Brazil"/>
    <x v="20"/>
    <x v="0"/>
    <m/>
    <s v=""/>
    <s v=""/>
    <s v=""/>
    <s v=""/>
    <s v=""/>
    <s v=""/>
    <x v="0"/>
    <x v="0"/>
    <x v="1"/>
    <x v="17"/>
    <x v="0"/>
    <x v="0"/>
    <x v="0"/>
    <x v="0"/>
    <x v="0"/>
    <x v="0"/>
    <x v="0"/>
  </r>
  <r>
    <s v="ID0349"/>
    <d v="2012-05-26T01:40:18"/>
    <n v="56000"/>
    <n v="56000"/>
    <s v="CAD"/>
    <n v="55068.245289698301"/>
    <s v="Online Analyst"/>
    <x v="0"/>
    <s v="Canada"/>
    <x v="17"/>
    <x v="0"/>
    <m/>
    <s v=""/>
    <s v=""/>
    <s v=""/>
    <s v=""/>
    <s v=""/>
    <s v=""/>
    <x v="0"/>
    <x v="0"/>
    <x v="18"/>
    <x v="0"/>
    <x v="0"/>
    <x v="0"/>
    <x v="0"/>
    <x v="0"/>
    <x v="0"/>
    <x v="0"/>
    <x v="0"/>
  </r>
  <r>
    <s v="ID0350"/>
    <d v="2012-05-26T01:40:28"/>
    <n v="53000"/>
    <n v="53000"/>
    <s v="USD"/>
    <n v="53000"/>
    <s v="General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85"/>
    <x v="0"/>
    <x v="0"/>
    <x v="0"/>
  </r>
  <r>
    <s v="ID0351"/>
    <d v="2012-05-26T01:40:51"/>
    <n v="130000"/>
    <n v="130000"/>
    <s v="USD"/>
    <n v="130000"/>
    <s v="Sr Staff Engineer"/>
    <x v="2"/>
    <s v="USA"/>
    <x v="2"/>
    <x v="0"/>
    <m/>
    <s v=""/>
    <s v=""/>
    <s v=""/>
    <s v=""/>
    <s v=""/>
    <s v=""/>
    <x v="0"/>
    <x v="0"/>
    <x v="1"/>
    <x v="0"/>
    <x v="0"/>
    <x v="0"/>
    <x v="15"/>
    <x v="0"/>
    <x v="0"/>
    <x v="0"/>
    <x v="0"/>
  </r>
  <r>
    <s v="ID0352"/>
    <d v="2012-05-26T01:41:32"/>
    <s v="3,70,000"/>
    <n v="370000"/>
    <s v="INR"/>
    <n v="6588.9291743537506"/>
    <s v="Senior Design Associate"/>
    <x v="0"/>
    <s v="India"/>
    <x v="0"/>
    <x v="1"/>
    <m/>
    <s v=""/>
    <s v=""/>
    <s v=""/>
    <s v=""/>
    <s v=""/>
    <s v=""/>
    <x v="0"/>
    <x v="0"/>
    <x v="96"/>
    <x v="0"/>
    <x v="0"/>
    <x v="0"/>
    <x v="0"/>
    <x v="0"/>
    <x v="0"/>
    <x v="0"/>
    <x v="0"/>
  </r>
  <r>
    <s v="ID0353"/>
    <d v="2012-05-26T01:41:53"/>
    <n v="160000"/>
    <n v="160000"/>
    <s v="CAD"/>
    <n v="157337.8436848523"/>
    <s v="Consultant"/>
    <x v="8"/>
    <s v="Canada"/>
    <x v="17"/>
    <x v="2"/>
    <m/>
    <s v=""/>
    <s v=""/>
    <s v=""/>
    <s v=""/>
    <s v=""/>
    <s v=""/>
    <x v="0"/>
    <x v="0"/>
    <x v="1"/>
    <x v="18"/>
    <x v="0"/>
    <x v="0"/>
    <x v="0"/>
    <x v="0"/>
    <x v="0"/>
    <x v="0"/>
    <x v="0"/>
  </r>
  <r>
    <s v="ID0354"/>
    <d v="2012-05-26T01:41:54"/>
    <n v="44200"/>
    <n v="44200"/>
    <s v="USD"/>
    <n v="44200"/>
    <s v="Planning and Analysis Supervisor"/>
    <x v="0"/>
    <s v="USA"/>
    <x v="2"/>
    <x v="1"/>
    <m/>
    <s v=""/>
    <s v=""/>
    <s v=""/>
    <s v=""/>
    <s v=""/>
    <s v=""/>
    <x v="0"/>
    <x v="0"/>
    <x v="97"/>
    <x v="0"/>
    <x v="0"/>
    <x v="0"/>
    <x v="0"/>
    <x v="0"/>
    <x v="0"/>
    <x v="0"/>
    <x v="0"/>
  </r>
  <r>
    <s v="ID0355"/>
    <d v="2012-05-26T01:42:07"/>
    <n v="56000"/>
    <n v="56000"/>
    <s v="USD"/>
    <n v="56000"/>
    <s v="asset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86"/>
    <x v="0"/>
    <x v="0"/>
    <x v="0"/>
  </r>
  <r>
    <s v="ID0356"/>
    <d v="2012-05-26T01:42:27"/>
    <n v="72500"/>
    <n v="72500"/>
    <s v="USD"/>
    <n v="72500"/>
    <s v="Transportation Engineer"/>
    <x v="2"/>
    <s v="USA"/>
    <x v="2"/>
    <x v="2"/>
    <m/>
    <s v=""/>
    <s v=""/>
    <s v=""/>
    <s v=""/>
    <s v=""/>
    <s v=""/>
    <x v="0"/>
    <x v="0"/>
    <x v="1"/>
    <x v="0"/>
    <x v="0"/>
    <x v="0"/>
    <x v="16"/>
    <x v="0"/>
    <x v="0"/>
    <x v="0"/>
    <x v="0"/>
  </r>
  <r>
    <s v="ID0357"/>
    <d v="2012-05-26T01:42:31"/>
    <n v="75000"/>
    <n v="75000"/>
    <s v="CAD"/>
    <n v="73752.11422727452"/>
    <s v="web marketing analyst"/>
    <x v="0"/>
    <s v="canada"/>
    <x v="17"/>
    <x v="0"/>
    <m/>
    <s v=""/>
    <s v=""/>
    <s v=""/>
    <s v=""/>
    <s v=""/>
    <s v=""/>
    <x v="0"/>
    <x v="0"/>
    <x v="98"/>
    <x v="0"/>
    <x v="0"/>
    <x v="0"/>
    <x v="0"/>
    <x v="0"/>
    <x v="0"/>
    <x v="0"/>
    <x v="0"/>
  </r>
  <r>
    <s v="ID0358"/>
    <d v="2012-05-26T01:42:53"/>
    <s v="170000 usd"/>
    <n v="170000"/>
    <s v="USD"/>
    <n v="170000"/>
    <s v="RS"/>
    <x v="0"/>
    <s v="UK"/>
    <x v="14"/>
    <x v="4"/>
    <m/>
    <s v=""/>
    <s v=""/>
    <s v=""/>
    <s v=""/>
    <s v=""/>
    <s v=""/>
    <x v="0"/>
    <x v="0"/>
    <x v="99"/>
    <x v="0"/>
    <x v="0"/>
    <x v="0"/>
    <x v="0"/>
    <x v="0"/>
    <x v="0"/>
    <x v="0"/>
    <x v="0"/>
  </r>
  <r>
    <s v="ID0359"/>
    <d v="2012-05-26T01:43:48"/>
    <n v="68000"/>
    <n v="68000"/>
    <s v="USD"/>
    <n v="68000"/>
    <s v="Project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73"/>
    <x v="0"/>
    <x v="0"/>
    <x v="0"/>
  </r>
  <r>
    <s v="ID0360"/>
    <d v="2012-05-26T01:44:59"/>
    <n v="75000"/>
    <n v="75000"/>
    <s v="USD"/>
    <n v="75000"/>
    <s v="Sr. Financial Analyst"/>
    <x v="0"/>
    <s v="USA"/>
    <x v="2"/>
    <x v="1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361"/>
    <d v="2012-05-26T01:45:50"/>
    <s v="62500.00 USD"/>
    <n v="62500"/>
    <s v="USD"/>
    <n v="62500"/>
    <s v="Director of Payroll"/>
    <x v="4"/>
    <s v="USA"/>
    <x v="2"/>
    <x v="1"/>
    <m/>
    <s v=""/>
    <s v=""/>
    <s v=""/>
    <s v=""/>
    <s v=""/>
    <s v=""/>
    <x v="0"/>
    <x v="0"/>
    <x v="1"/>
    <x v="0"/>
    <x v="0"/>
    <x v="13"/>
    <x v="0"/>
    <x v="0"/>
    <x v="0"/>
    <x v="0"/>
    <x v="0"/>
  </r>
  <r>
    <s v="ID0362"/>
    <d v="2012-05-26T01:45:58"/>
    <n v="25000"/>
    <n v="25000"/>
    <s v="USD"/>
    <n v="25000"/>
    <s v="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66"/>
    <x v="0"/>
    <x v="0"/>
    <x v="0"/>
  </r>
  <r>
    <s v="ID0363"/>
    <d v="2012-05-26T01:46:24"/>
    <s v="480 000 SEK / 70000 US$"/>
    <n v="480000"/>
    <s v="SEK"/>
    <n v="68954.520184280962"/>
    <s v="IT consultant"/>
    <x v="8"/>
    <s v="Sweden"/>
    <x v="35"/>
    <x v="3"/>
    <m/>
    <s v=""/>
    <s v=""/>
    <s v=""/>
    <s v=""/>
    <s v=""/>
    <s v=""/>
    <x v="0"/>
    <x v="0"/>
    <x v="1"/>
    <x v="19"/>
    <x v="0"/>
    <x v="0"/>
    <x v="0"/>
    <x v="0"/>
    <x v="0"/>
    <x v="0"/>
    <x v="0"/>
  </r>
  <r>
    <s v="ID0365"/>
    <d v="2012-05-26T01:49:19"/>
    <n v="85000"/>
    <n v="85000"/>
    <s v="USD"/>
    <n v="85000"/>
    <s v="Sr. Financial Analyst"/>
    <x v="0"/>
    <s v="USA"/>
    <x v="2"/>
    <x v="0"/>
    <m/>
    <s v=""/>
    <s v=""/>
    <s v=""/>
    <s v=""/>
    <s v=""/>
    <s v=""/>
    <x v="0"/>
    <x v="0"/>
    <x v="35"/>
    <x v="0"/>
    <x v="0"/>
    <x v="0"/>
    <x v="0"/>
    <x v="0"/>
    <x v="0"/>
    <x v="0"/>
    <x v="0"/>
  </r>
  <r>
    <s v="ID0366"/>
    <d v="2012-05-26T01:49:55"/>
    <n v="43000"/>
    <n v="43000"/>
    <s v="GBP"/>
    <n v="67775.665698893223"/>
    <s v="Commercial Manager"/>
    <x v="3"/>
    <s v="UK"/>
    <x v="14"/>
    <x v="0"/>
    <m/>
    <s v=""/>
    <s v=""/>
    <s v=""/>
    <s v=""/>
    <s v=""/>
    <s v=""/>
    <x v="0"/>
    <x v="0"/>
    <x v="1"/>
    <x v="0"/>
    <x v="0"/>
    <x v="0"/>
    <x v="0"/>
    <x v="59"/>
    <x v="0"/>
    <x v="0"/>
    <x v="0"/>
  </r>
  <r>
    <s v="ID0367"/>
    <d v="2012-05-26T01:49:56"/>
    <n v="89000"/>
    <n v="89000"/>
    <s v="USD"/>
    <n v="89000"/>
    <s v="Quality Assurance Officer"/>
    <x v="3"/>
    <s v="USA"/>
    <x v="2"/>
    <x v="0"/>
    <m/>
    <s v=""/>
    <s v=""/>
    <s v=""/>
    <s v=""/>
    <s v=""/>
    <s v=""/>
    <x v="0"/>
    <x v="0"/>
    <x v="1"/>
    <x v="0"/>
    <x v="0"/>
    <x v="0"/>
    <x v="0"/>
    <x v="87"/>
    <x v="0"/>
    <x v="0"/>
    <x v="0"/>
  </r>
  <r>
    <s v="ID0368"/>
    <d v="2012-05-26T01:50:00"/>
    <n v="35000"/>
    <n v="35000"/>
    <s v="USD"/>
    <n v="35000"/>
    <s v="Senior Treasury Analyst"/>
    <x v="0"/>
    <s v="Brasil"/>
    <x v="20"/>
    <x v="1"/>
    <m/>
    <s v=""/>
    <s v=""/>
    <s v=""/>
    <s v=""/>
    <s v=""/>
    <s v=""/>
    <x v="0"/>
    <x v="0"/>
    <x v="100"/>
    <x v="0"/>
    <x v="0"/>
    <x v="0"/>
    <x v="0"/>
    <x v="0"/>
    <x v="0"/>
    <x v="0"/>
    <x v="0"/>
  </r>
  <r>
    <s v="ID0369"/>
    <d v="2012-05-26T01:50:28"/>
    <n v="47500"/>
    <n v="47500"/>
    <s v="USD"/>
    <n v="47500"/>
    <s v="Supervisor, Contracts, Rebates, Chargebacks and Returns"/>
    <x v="3"/>
    <s v="USA"/>
    <x v="2"/>
    <x v="1"/>
    <m/>
    <s v=""/>
    <s v=""/>
    <s v=""/>
    <s v=""/>
    <s v=""/>
    <s v=""/>
    <x v="0"/>
    <x v="0"/>
    <x v="1"/>
    <x v="0"/>
    <x v="0"/>
    <x v="0"/>
    <x v="0"/>
    <x v="88"/>
    <x v="0"/>
    <x v="0"/>
    <x v="0"/>
  </r>
  <r>
    <s v="ID0370"/>
    <d v="2012-05-26T01:50:30"/>
    <n v="130000"/>
    <n v="130000"/>
    <s v="USD"/>
    <n v="130000"/>
    <s v="Project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67"/>
    <x v="0"/>
    <x v="0"/>
    <x v="0"/>
  </r>
  <r>
    <s v="ID0371"/>
    <d v="2012-05-26T01:50:56"/>
    <n v="18000"/>
    <n v="18000"/>
    <s v="USD"/>
    <n v="18000"/>
    <s v="ceo"/>
    <x v="4"/>
    <s v="India"/>
    <x v="0"/>
    <x v="2"/>
    <m/>
    <s v=""/>
    <s v=""/>
    <s v=""/>
    <s v=""/>
    <s v=""/>
    <s v=""/>
    <x v="0"/>
    <x v="0"/>
    <x v="1"/>
    <x v="0"/>
    <x v="0"/>
    <x v="14"/>
    <x v="0"/>
    <x v="0"/>
    <x v="0"/>
    <x v="0"/>
    <x v="0"/>
  </r>
  <r>
    <s v="ID0372"/>
    <d v="2012-05-26T01:50:59"/>
    <s v="480000 Rs."/>
    <n v="480000"/>
    <s v="INR"/>
    <n v="8547.8000099724322"/>
    <s v="System Manager"/>
    <x v="3"/>
    <s v="India"/>
    <x v="0"/>
    <x v="3"/>
    <m/>
    <s v=""/>
    <s v=""/>
    <s v=""/>
    <s v=""/>
    <s v=""/>
    <s v=""/>
    <x v="0"/>
    <x v="0"/>
    <x v="1"/>
    <x v="0"/>
    <x v="0"/>
    <x v="0"/>
    <x v="0"/>
    <x v="58"/>
    <x v="0"/>
    <x v="0"/>
    <x v="0"/>
  </r>
  <r>
    <s v="ID0373"/>
    <d v="2012-05-26T01:51:24"/>
    <n v="41932"/>
    <n v="41932"/>
    <s v="USD"/>
    <n v="41932"/>
    <s v="Buyer"/>
    <x v="3"/>
    <s v="USA"/>
    <x v="2"/>
    <x v="2"/>
    <m/>
    <s v=""/>
    <s v=""/>
    <s v=""/>
    <s v=""/>
    <s v=""/>
    <s v=""/>
    <x v="0"/>
    <x v="0"/>
    <x v="1"/>
    <x v="0"/>
    <x v="0"/>
    <x v="0"/>
    <x v="0"/>
    <x v="89"/>
    <x v="0"/>
    <x v="0"/>
    <x v="0"/>
  </r>
  <r>
    <s v="ID0374"/>
    <d v="2012-05-26T01:52:01"/>
    <s v="2207,00"/>
    <n v="220700"/>
    <s v="USD"/>
    <n v="220700"/>
    <s v="Consultant"/>
    <x v="8"/>
    <s v="Brazil"/>
    <x v="20"/>
    <x v="1"/>
    <m/>
    <s v=""/>
    <s v=""/>
    <s v=""/>
    <s v=""/>
    <s v=""/>
    <s v=""/>
    <x v="0"/>
    <x v="0"/>
    <x v="1"/>
    <x v="20"/>
    <x v="0"/>
    <x v="0"/>
    <x v="0"/>
    <x v="0"/>
    <x v="0"/>
    <x v="0"/>
    <x v="0"/>
  </r>
  <r>
    <s v="ID0375"/>
    <d v="2012-05-26T01:52:04"/>
    <n v="194000"/>
    <n v="194000"/>
    <s v="USD"/>
    <n v="194000"/>
    <s v="director"/>
    <x v="4"/>
    <s v="USA"/>
    <x v="2"/>
    <x v="2"/>
    <m/>
    <s v=""/>
    <s v=""/>
    <s v=""/>
    <s v=""/>
    <s v=""/>
    <s v=""/>
    <x v="0"/>
    <x v="0"/>
    <x v="1"/>
    <x v="0"/>
    <x v="0"/>
    <x v="15"/>
    <x v="0"/>
    <x v="0"/>
    <x v="0"/>
    <x v="0"/>
    <x v="0"/>
  </r>
  <r>
    <s v="ID0376"/>
    <d v="2012-05-26T01:54:28"/>
    <n v="9000000"/>
    <n v="9000000"/>
    <s v="INR"/>
    <n v="160271.25018698312"/>
    <s v="Financial Analyst"/>
    <x v="0"/>
    <s v="India"/>
    <x v="0"/>
    <x v="0"/>
    <m/>
    <s v=""/>
    <s v=""/>
    <s v=""/>
    <s v=""/>
    <s v=""/>
    <s v=""/>
    <x v="0"/>
    <x v="0"/>
    <x v="101"/>
    <x v="0"/>
    <x v="0"/>
    <x v="0"/>
    <x v="0"/>
    <x v="0"/>
    <x v="0"/>
    <x v="0"/>
    <x v="0"/>
  </r>
  <r>
    <s v="ID0377"/>
    <d v="2012-05-26T01:54:47"/>
    <s v="Rs. 500000"/>
    <n v="500000"/>
    <s v="INR"/>
    <n v="8903.9583437212841"/>
    <s v="Owner"/>
    <x v="3"/>
    <s v="India"/>
    <x v="0"/>
    <x v="2"/>
    <m/>
    <s v=""/>
    <s v=""/>
    <s v=""/>
    <s v=""/>
    <s v=""/>
    <s v=""/>
    <x v="0"/>
    <x v="0"/>
    <x v="1"/>
    <x v="0"/>
    <x v="0"/>
    <x v="0"/>
    <x v="0"/>
    <x v="57"/>
    <x v="0"/>
    <x v="0"/>
    <x v="0"/>
  </r>
  <r>
    <s v="ID0378"/>
    <d v="2012-05-26T01:57:23"/>
    <n v="80000"/>
    <n v="80000"/>
    <s v="CAD"/>
    <n v="78668.921842426149"/>
    <s v="Senior Business Analyst"/>
    <x v="0"/>
    <s v="Canada"/>
    <x v="17"/>
    <x v="0"/>
    <m/>
    <s v=""/>
    <s v=""/>
    <s v=""/>
    <s v=""/>
    <s v=""/>
    <s v=""/>
    <x v="0"/>
    <x v="0"/>
    <x v="102"/>
    <x v="0"/>
    <x v="0"/>
    <x v="0"/>
    <x v="0"/>
    <x v="0"/>
    <x v="0"/>
    <x v="0"/>
    <x v="0"/>
  </r>
  <r>
    <s v="ID0379"/>
    <d v="2012-05-26T01:57:40"/>
    <n v="1500"/>
    <n v="18000"/>
    <s v="EUR"/>
    <n v="22867.189901848938"/>
    <s v="marketing and sales "/>
    <x v="3"/>
    <s v="Portugal"/>
    <x v="7"/>
    <x v="2"/>
    <m/>
    <s v=""/>
    <s v=""/>
    <s v=""/>
    <s v=""/>
    <s v=""/>
    <s v=""/>
    <x v="0"/>
    <x v="0"/>
    <x v="1"/>
    <x v="0"/>
    <x v="0"/>
    <x v="0"/>
    <x v="0"/>
    <x v="90"/>
    <x v="0"/>
    <x v="0"/>
    <x v="0"/>
  </r>
  <r>
    <s v="ID0380"/>
    <d v="2012-05-26T01:58:19"/>
    <s v="Â£60000"/>
    <n v="60000"/>
    <s v="GBP"/>
    <n v="94570.696324037053"/>
    <s v="Managing Director"/>
    <x v="4"/>
    <s v="UK"/>
    <x v="14"/>
    <x v="2"/>
    <m/>
    <s v=""/>
    <s v=""/>
    <s v=""/>
    <s v=""/>
    <s v=""/>
    <s v=""/>
    <x v="0"/>
    <x v="0"/>
    <x v="1"/>
    <x v="0"/>
    <x v="0"/>
    <x v="16"/>
    <x v="0"/>
    <x v="0"/>
    <x v="0"/>
    <x v="0"/>
    <x v="0"/>
  </r>
  <r>
    <s v="ID0381"/>
    <d v="2012-05-26T01:58:42"/>
    <n v="95000"/>
    <n v="95000"/>
    <s v="USD"/>
    <n v="95000"/>
    <s v="Senior Financial Analyst"/>
    <x v="0"/>
    <s v="USA"/>
    <x v="2"/>
    <x v="1"/>
    <m/>
    <s v=""/>
    <s v=""/>
    <s v=""/>
    <s v=""/>
    <s v=""/>
    <s v=""/>
    <x v="0"/>
    <x v="0"/>
    <x v="95"/>
    <x v="0"/>
    <x v="0"/>
    <x v="0"/>
    <x v="0"/>
    <x v="0"/>
    <x v="0"/>
    <x v="0"/>
    <x v="0"/>
  </r>
  <r>
    <s v="ID0382"/>
    <d v="2012-05-26T01:59:21"/>
    <s v="INR 5,40,000"/>
    <n v="540000"/>
    <s v="INR"/>
    <n v="9616.275011218986"/>
    <s v="Senior Billing Engineer"/>
    <x v="2"/>
    <s v="India"/>
    <x v="0"/>
    <x v="0"/>
    <m/>
    <s v=""/>
    <s v=""/>
    <s v=""/>
    <s v=""/>
    <s v=""/>
    <s v=""/>
    <x v="0"/>
    <x v="0"/>
    <x v="1"/>
    <x v="0"/>
    <x v="0"/>
    <x v="0"/>
    <x v="17"/>
    <x v="0"/>
    <x v="0"/>
    <x v="0"/>
    <x v="0"/>
  </r>
  <r>
    <s v="ID0383"/>
    <d v="2012-05-26T01:59:40"/>
    <n v="48000"/>
    <n v="48000"/>
    <s v="USD"/>
    <n v="48000"/>
    <s v="Quality Analyst"/>
    <x v="0"/>
    <s v="USA"/>
    <x v="2"/>
    <x v="3"/>
    <m/>
    <s v=""/>
    <s v=""/>
    <s v=""/>
    <s v=""/>
    <s v=""/>
    <s v=""/>
    <x v="0"/>
    <x v="0"/>
    <x v="103"/>
    <x v="0"/>
    <x v="0"/>
    <x v="0"/>
    <x v="0"/>
    <x v="0"/>
    <x v="0"/>
    <x v="0"/>
    <x v="0"/>
  </r>
  <r>
    <s v="ID0384"/>
    <d v="2012-05-26T01:59:45"/>
    <s v="46000 usd"/>
    <n v="46000"/>
    <s v="USD"/>
    <n v="46000"/>
    <s v="Financial analyst"/>
    <x v="0"/>
    <s v="USA"/>
    <x v="2"/>
    <x v="0"/>
    <m/>
    <s v=""/>
    <s v=""/>
    <s v=""/>
    <s v=""/>
    <s v=""/>
    <s v=""/>
    <x v="0"/>
    <x v="0"/>
    <x v="81"/>
    <x v="0"/>
    <x v="0"/>
    <x v="0"/>
    <x v="0"/>
    <x v="0"/>
    <x v="0"/>
    <x v="0"/>
    <x v="0"/>
  </r>
  <r>
    <s v="ID0385"/>
    <d v="2012-05-26T01:59:48"/>
    <n v="15000"/>
    <n v="15000"/>
    <s v="USD"/>
    <n v="15000"/>
    <s v="Economist"/>
    <x v="7"/>
    <s v="Ukraine"/>
    <x v="6"/>
    <x v="2"/>
    <m/>
    <s v=""/>
    <s v=""/>
    <s v=""/>
    <s v=""/>
    <s v=""/>
    <s v=""/>
    <x v="0"/>
    <x v="0"/>
    <x v="1"/>
    <x v="0"/>
    <x v="0"/>
    <x v="0"/>
    <x v="0"/>
    <x v="0"/>
    <x v="0"/>
    <x v="7"/>
    <x v="0"/>
  </r>
  <r>
    <s v="ID0386"/>
    <d v="2012-05-26T02:00:04"/>
    <s v="Rs 6.2 lakhs"/>
    <n v="620000"/>
    <s v="INR"/>
    <n v="11040.908346214392"/>
    <s v="assistant manager (finance)"/>
    <x v="3"/>
    <s v="India"/>
    <x v="0"/>
    <x v="3"/>
    <m/>
    <s v=""/>
    <s v=""/>
    <s v=""/>
    <s v=""/>
    <s v=""/>
    <s v=""/>
    <x v="0"/>
    <x v="0"/>
    <x v="1"/>
    <x v="0"/>
    <x v="0"/>
    <x v="0"/>
    <x v="0"/>
    <x v="91"/>
    <x v="0"/>
    <x v="0"/>
    <x v="0"/>
  </r>
  <r>
    <s v="ID0387"/>
    <d v="2012-05-26T02:00:10"/>
    <s v="Â£28000"/>
    <n v="28000"/>
    <s v="GBP"/>
    <n v="44132.991617883956"/>
    <s v="Central Services Manager"/>
    <x v="3"/>
    <s v="UK"/>
    <x v="14"/>
    <x v="2"/>
    <m/>
    <s v=""/>
    <s v=""/>
    <s v=""/>
    <s v=""/>
    <s v=""/>
    <s v=""/>
    <x v="0"/>
    <x v="0"/>
    <x v="1"/>
    <x v="0"/>
    <x v="0"/>
    <x v="0"/>
    <x v="0"/>
    <x v="92"/>
    <x v="0"/>
    <x v="0"/>
    <x v="0"/>
  </r>
  <r>
    <s v="ID0388"/>
    <d v="2012-05-26T02:00:14"/>
    <n v="47000"/>
    <n v="47000"/>
    <s v="USD"/>
    <n v="47000"/>
    <s v="Trainer "/>
    <x v="3"/>
    <s v="USA"/>
    <x v="2"/>
    <x v="2"/>
    <m/>
    <s v=""/>
    <s v=""/>
    <s v=""/>
    <s v=""/>
    <s v=""/>
    <s v=""/>
    <x v="0"/>
    <x v="0"/>
    <x v="1"/>
    <x v="0"/>
    <x v="0"/>
    <x v="0"/>
    <x v="0"/>
    <x v="93"/>
    <x v="0"/>
    <x v="0"/>
    <x v="0"/>
  </r>
  <r>
    <s v="ID0389"/>
    <d v="2012-05-26T02:00:42"/>
    <n v="44000"/>
    <n v="44000"/>
    <s v="USD"/>
    <n v="44000"/>
    <s v="continuous improvement team member"/>
    <x v="0"/>
    <s v="USA"/>
    <x v="2"/>
    <x v="2"/>
    <m/>
    <s v=""/>
    <s v=""/>
    <s v=""/>
    <s v=""/>
    <s v=""/>
    <s v=""/>
    <x v="0"/>
    <x v="0"/>
    <x v="104"/>
    <x v="0"/>
    <x v="0"/>
    <x v="0"/>
    <x v="0"/>
    <x v="0"/>
    <x v="0"/>
    <x v="0"/>
    <x v="0"/>
  </r>
  <r>
    <s v="ID0390"/>
    <d v="2012-05-26T02:00:46"/>
    <n v="55000"/>
    <n v="55000"/>
    <s v="USD"/>
    <n v="55000"/>
    <s v="Accountant"/>
    <x v="5"/>
    <s v="USA"/>
    <x v="2"/>
    <x v="0"/>
    <m/>
    <s v=""/>
    <s v=""/>
    <s v=""/>
    <s v=""/>
    <s v=""/>
    <s v=""/>
    <x v="0"/>
    <x v="23"/>
    <x v="1"/>
    <x v="0"/>
    <x v="0"/>
    <x v="0"/>
    <x v="0"/>
    <x v="0"/>
    <x v="0"/>
    <x v="0"/>
    <x v="0"/>
  </r>
  <r>
    <s v="ID0391"/>
    <d v="2012-05-26T02:00:54"/>
    <n v="12000"/>
    <n v="12000"/>
    <s v="USD"/>
    <n v="12000"/>
    <s v="MIS Officer"/>
    <x v="7"/>
    <s v="South Africa"/>
    <x v="11"/>
    <x v="0"/>
    <m/>
    <s v=""/>
    <s v=""/>
    <s v=""/>
    <s v=""/>
    <s v=""/>
    <s v=""/>
    <x v="0"/>
    <x v="0"/>
    <x v="1"/>
    <x v="0"/>
    <x v="0"/>
    <x v="0"/>
    <x v="0"/>
    <x v="0"/>
    <x v="0"/>
    <x v="8"/>
    <x v="0"/>
  </r>
  <r>
    <s v="ID0392"/>
    <d v="2012-05-26T02:01:07"/>
    <n v="50000"/>
    <n v="50000"/>
    <s v="USD"/>
    <n v="50000"/>
    <s v="IR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393"/>
    <d v="2012-05-26T02:01:31"/>
    <s v="7,50,000 INR"/>
    <n v="750000"/>
    <s v="INR"/>
    <n v="13355.937515581925"/>
    <s v="Business Analyst"/>
    <x v="0"/>
    <s v="India"/>
    <x v="0"/>
    <x v="3"/>
    <m/>
    <s v=""/>
    <s v=""/>
    <s v=""/>
    <s v=""/>
    <s v=""/>
    <s v=""/>
    <x v="0"/>
    <x v="0"/>
    <x v="105"/>
    <x v="0"/>
    <x v="0"/>
    <x v="0"/>
    <x v="0"/>
    <x v="0"/>
    <x v="0"/>
    <x v="0"/>
    <x v="0"/>
  </r>
  <r>
    <s v="ID0394"/>
    <d v="2012-05-26T02:02:02"/>
    <s v="99147 $"/>
    <n v="99147"/>
    <s v="USD"/>
    <n v="99147"/>
    <s v="Chief Specialist of Economics &amp; Planning"/>
    <x v="6"/>
    <s v="Russia"/>
    <x v="13"/>
    <x v="0"/>
    <m/>
    <s v=""/>
    <s v=""/>
    <s v=""/>
    <s v=""/>
    <s v=""/>
    <s v=""/>
    <x v="0"/>
    <x v="0"/>
    <x v="1"/>
    <x v="0"/>
    <x v="0"/>
    <x v="0"/>
    <x v="0"/>
    <x v="0"/>
    <x v="0"/>
    <x v="0"/>
    <x v="19"/>
  </r>
  <r>
    <s v="ID0395"/>
    <d v="2012-05-26T02:03:35"/>
    <n v="45880"/>
    <n v="45880"/>
    <s v="USD"/>
    <n v="45880"/>
    <s v="Campus Budget Officer"/>
    <x v="3"/>
    <s v="USA"/>
    <x v="2"/>
    <x v="1"/>
    <m/>
    <s v=""/>
    <s v=""/>
    <s v=""/>
    <s v=""/>
    <s v=""/>
    <s v=""/>
    <x v="0"/>
    <x v="0"/>
    <x v="1"/>
    <x v="0"/>
    <x v="0"/>
    <x v="0"/>
    <x v="0"/>
    <x v="94"/>
    <x v="0"/>
    <x v="0"/>
    <x v="0"/>
  </r>
  <r>
    <s v="ID0396"/>
    <d v="2012-05-26T02:03:45"/>
    <n v="70000"/>
    <n v="70000"/>
    <s v="USD"/>
    <n v="70000"/>
    <s v="Management Ananlyst"/>
    <x v="3"/>
    <s v="USA"/>
    <x v="2"/>
    <x v="0"/>
    <m/>
    <s v=""/>
    <s v=""/>
    <s v=""/>
    <s v=""/>
    <s v=""/>
    <s v=""/>
    <x v="0"/>
    <x v="0"/>
    <x v="1"/>
    <x v="0"/>
    <x v="0"/>
    <x v="0"/>
    <x v="0"/>
    <x v="48"/>
    <x v="0"/>
    <x v="0"/>
    <x v="0"/>
  </r>
  <r>
    <s v="ID0397"/>
    <d v="2012-05-26T02:04:01"/>
    <n v="100000"/>
    <n v="100000"/>
    <s v="USD"/>
    <n v="100000"/>
    <s v="Sales Operations Analyst"/>
    <x v="0"/>
    <s v="USA"/>
    <x v="2"/>
    <x v="1"/>
    <m/>
    <s v=""/>
    <s v=""/>
    <s v=""/>
    <s v=""/>
    <s v=""/>
    <s v=""/>
    <x v="0"/>
    <x v="0"/>
    <x v="13"/>
    <x v="0"/>
    <x v="0"/>
    <x v="0"/>
    <x v="0"/>
    <x v="0"/>
    <x v="0"/>
    <x v="0"/>
    <x v="0"/>
  </r>
  <r>
    <s v="ID0398"/>
    <d v="2012-05-26T02:04:05"/>
    <s v="120000 BDT"/>
    <n v="1440000"/>
    <s v="BDT"/>
    <n v="17598.017290051986"/>
    <s v="Computer Operator"/>
    <x v="0"/>
    <s v="Bangladesh"/>
    <x v="36"/>
    <x v="2"/>
    <m/>
    <s v=""/>
    <s v=""/>
    <s v=""/>
    <s v=""/>
    <s v=""/>
    <s v=""/>
    <x v="0"/>
    <x v="0"/>
    <x v="106"/>
    <x v="0"/>
    <x v="0"/>
    <x v="0"/>
    <x v="0"/>
    <x v="0"/>
    <x v="0"/>
    <x v="0"/>
    <x v="0"/>
  </r>
  <r>
    <s v="ID0399"/>
    <d v="2012-05-26T02:05:06"/>
    <n v="85000"/>
    <n v="85000"/>
    <s v="USD"/>
    <n v="85000"/>
    <s v="ENGINEER"/>
    <x v="2"/>
    <s v="USA"/>
    <x v="2"/>
    <x v="2"/>
    <m/>
    <s v=""/>
    <s v=""/>
    <s v=""/>
    <s v=""/>
    <s v=""/>
    <s v=""/>
    <x v="0"/>
    <x v="0"/>
    <x v="1"/>
    <x v="0"/>
    <x v="0"/>
    <x v="0"/>
    <x v="3"/>
    <x v="0"/>
    <x v="0"/>
    <x v="0"/>
    <x v="0"/>
  </r>
  <r>
    <s v="ID0400"/>
    <d v="2012-05-26T02:05:49"/>
    <n v="47000"/>
    <n v="47000"/>
    <s v="USD"/>
    <n v="47000"/>
    <s v="Sr Management Analytst 2"/>
    <x v="3"/>
    <s v="USA"/>
    <x v="2"/>
    <x v="0"/>
    <m/>
    <s v=""/>
    <s v=""/>
    <s v=""/>
    <s v=""/>
    <s v=""/>
    <s v=""/>
    <x v="0"/>
    <x v="0"/>
    <x v="1"/>
    <x v="0"/>
    <x v="0"/>
    <x v="0"/>
    <x v="0"/>
    <x v="93"/>
    <x v="0"/>
    <x v="0"/>
    <x v="0"/>
  </r>
  <r>
    <s v="ID0401"/>
    <d v="2012-05-26T02:05:58"/>
    <n v="40000"/>
    <n v="40000"/>
    <s v="USD"/>
    <n v="40000"/>
    <s v="Accounting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7"/>
    <x v="0"/>
    <x v="0"/>
    <x v="0"/>
  </r>
  <r>
    <s v="ID0402"/>
    <d v="2012-05-26T02:06:38"/>
    <n v="30000"/>
    <n v="30000"/>
    <s v="USD"/>
    <n v="30000"/>
    <s v="ceo"/>
    <x v="4"/>
    <s v="India"/>
    <x v="0"/>
    <x v="2"/>
    <m/>
    <s v=""/>
    <s v=""/>
    <s v=""/>
    <s v=""/>
    <s v=""/>
    <s v=""/>
    <x v="0"/>
    <x v="0"/>
    <x v="1"/>
    <x v="0"/>
    <x v="0"/>
    <x v="17"/>
    <x v="0"/>
    <x v="0"/>
    <x v="0"/>
    <x v="0"/>
    <x v="0"/>
  </r>
  <r>
    <s v="ID0403"/>
    <d v="2012-05-26T02:06:56"/>
    <n v="72000"/>
    <n v="72000"/>
    <s v="CAD"/>
    <n v="70802.029658183528"/>
    <s v="Controller"/>
    <x v="1"/>
    <s v="Canada"/>
    <x v="17"/>
    <x v="0"/>
    <m/>
    <s v=""/>
    <s v=""/>
    <s v=""/>
    <s v=""/>
    <s v=""/>
    <s v=""/>
    <x v="0"/>
    <x v="0"/>
    <x v="1"/>
    <x v="0"/>
    <x v="8"/>
    <x v="0"/>
    <x v="0"/>
    <x v="0"/>
    <x v="0"/>
    <x v="0"/>
    <x v="0"/>
  </r>
  <r>
    <s v="ID0404"/>
    <d v="2012-05-26T02:07:28"/>
    <n v="34000"/>
    <n v="34000"/>
    <s v="USD"/>
    <n v="34000"/>
    <s v="Information Research Technician II"/>
    <x v="0"/>
    <s v="USA"/>
    <x v="2"/>
    <x v="0"/>
    <m/>
    <s v=""/>
    <s v=""/>
    <s v=""/>
    <s v=""/>
    <s v=""/>
    <s v=""/>
    <x v="0"/>
    <x v="0"/>
    <x v="107"/>
    <x v="0"/>
    <x v="0"/>
    <x v="0"/>
    <x v="0"/>
    <x v="0"/>
    <x v="0"/>
    <x v="0"/>
    <x v="0"/>
  </r>
  <r>
    <s v="ID0405"/>
    <d v="2012-05-26T02:07:49"/>
    <n v="52000"/>
    <n v="52000"/>
    <s v="USD"/>
    <n v="52000"/>
    <s v="Data Analyst"/>
    <x v="0"/>
    <s v="USA"/>
    <x v="2"/>
    <x v="0"/>
    <m/>
    <s v=""/>
    <s v=""/>
    <s v=""/>
    <s v=""/>
    <s v=""/>
    <s v=""/>
    <x v="0"/>
    <x v="0"/>
    <x v="38"/>
    <x v="0"/>
    <x v="0"/>
    <x v="0"/>
    <x v="0"/>
    <x v="0"/>
    <x v="0"/>
    <x v="0"/>
    <x v="0"/>
  </r>
  <r>
    <s v="ID0406"/>
    <d v="2012-05-26T02:08:10"/>
    <n v="300000"/>
    <n v="300000"/>
    <s v="INR"/>
    <n v="5342.3750062327708"/>
    <s v="Sr. Systems Engineer"/>
    <x v="2"/>
    <s v="India"/>
    <x v="0"/>
    <x v="3"/>
    <m/>
    <s v=""/>
    <s v=""/>
    <s v=""/>
    <s v=""/>
    <s v=""/>
    <s v=""/>
    <x v="0"/>
    <x v="0"/>
    <x v="1"/>
    <x v="0"/>
    <x v="0"/>
    <x v="0"/>
    <x v="18"/>
    <x v="0"/>
    <x v="0"/>
    <x v="0"/>
    <x v="0"/>
  </r>
  <r>
    <s v="ID0407"/>
    <d v="2012-05-26T02:09:57"/>
    <n v="400000"/>
    <n v="400000"/>
    <s v="INR"/>
    <n v="7123.1666749770275"/>
    <s v="Analyst"/>
    <x v="0"/>
    <s v="India"/>
    <x v="0"/>
    <x v="0"/>
    <m/>
    <s v=""/>
    <s v=""/>
    <s v=""/>
    <s v=""/>
    <s v=""/>
    <s v=""/>
    <x v="0"/>
    <x v="0"/>
    <x v="92"/>
    <x v="0"/>
    <x v="0"/>
    <x v="0"/>
    <x v="0"/>
    <x v="0"/>
    <x v="0"/>
    <x v="0"/>
    <x v="0"/>
  </r>
  <r>
    <s v="ID0408"/>
    <d v="2012-05-26T02:10:35"/>
    <n v="63586.95"/>
    <n v="63586"/>
    <s v="USD"/>
    <n v="63586"/>
    <s v="Senior Purchasing Officer"/>
    <x v="3"/>
    <s v="United Arab Emriate"/>
    <x v="21"/>
    <x v="2"/>
    <m/>
    <s v=""/>
    <s v=""/>
    <s v=""/>
    <s v=""/>
    <s v=""/>
    <s v=""/>
    <x v="0"/>
    <x v="0"/>
    <x v="1"/>
    <x v="0"/>
    <x v="0"/>
    <x v="0"/>
    <x v="0"/>
    <x v="95"/>
    <x v="0"/>
    <x v="0"/>
    <x v="0"/>
  </r>
  <r>
    <s v="ID0409"/>
    <d v="2012-05-26T02:11:40"/>
    <s v="Â£35000"/>
    <n v="35000"/>
    <s v="GBP"/>
    <n v="55166.239522354947"/>
    <s v="Mgmt Accountant"/>
    <x v="5"/>
    <s v="UK"/>
    <x v="14"/>
    <x v="0"/>
    <m/>
    <s v=""/>
    <s v=""/>
    <s v=""/>
    <s v=""/>
    <s v=""/>
    <s v=""/>
    <x v="0"/>
    <x v="24"/>
    <x v="1"/>
    <x v="0"/>
    <x v="0"/>
    <x v="0"/>
    <x v="0"/>
    <x v="0"/>
    <x v="0"/>
    <x v="0"/>
    <x v="0"/>
  </r>
  <r>
    <s v="ID0410"/>
    <d v="2012-05-26T02:12:58"/>
    <n v="60000"/>
    <n v="60000"/>
    <s v="USD"/>
    <n v="60000"/>
    <s v="Sr financial analyst "/>
    <x v="0"/>
    <s v="USA"/>
    <x v="2"/>
    <x v="0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411"/>
    <d v="2012-05-26T02:13:57"/>
    <n v="19200"/>
    <n v="19200"/>
    <s v="USD"/>
    <n v="19200"/>
    <s v="Department Manager"/>
    <x v="3"/>
    <s v="Romania"/>
    <x v="37"/>
    <x v="1"/>
    <m/>
    <s v=""/>
    <s v=""/>
    <s v=""/>
    <s v=""/>
    <s v=""/>
    <s v=""/>
    <x v="0"/>
    <x v="0"/>
    <x v="1"/>
    <x v="0"/>
    <x v="0"/>
    <x v="0"/>
    <x v="0"/>
    <x v="96"/>
    <x v="0"/>
    <x v="0"/>
    <x v="0"/>
  </r>
  <r>
    <s v="ID0412"/>
    <d v="2012-05-26T02:14:05"/>
    <s v="Â¢ 14.000.000,00"/>
    <n v="14000000"/>
    <s v="COSTARICAN"/>
    <n v="28109.627547434993"/>
    <s v="Businees Adminstratot"/>
    <x v="0"/>
    <s v="Costa Rica"/>
    <x v="38"/>
    <x v="1"/>
    <m/>
    <s v=""/>
    <s v=""/>
    <s v=""/>
    <s v=""/>
    <s v=""/>
    <s v=""/>
    <x v="0"/>
    <x v="0"/>
    <x v="108"/>
    <x v="0"/>
    <x v="0"/>
    <x v="0"/>
    <x v="0"/>
    <x v="0"/>
    <x v="0"/>
    <x v="0"/>
    <x v="0"/>
  </r>
  <r>
    <s v="ID0413"/>
    <d v="2012-05-26T02:14:29"/>
    <n v="56000"/>
    <n v="56000"/>
    <s v="USD"/>
    <n v="56000"/>
    <s v="Staff assistant "/>
    <x v="0"/>
    <s v="USA"/>
    <x v="2"/>
    <x v="0"/>
    <m/>
    <s v=""/>
    <s v=""/>
    <s v=""/>
    <s v=""/>
    <s v=""/>
    <s v=""/>
    <x v="0"/>
    <x v="0"/>
    <x v="109"/>
    <x v="0"/>
    <x v="0"/>
    <x v="0"/>
    <x v="0"/>
    <x v="0"/>
    <x v="0"/>
    <x v="0"/>
    <x v="0"/>
  </r>
  <r>
    <s v="ID0414"/>
    <d v="2012-05-26T02:14:48"/>
    <n v="52000"/>
    <n v="52000"/>
    <s v="USD"/>
    <n v="52000"/>
    <s v="Sr. Accountant"/>
    <x v="5"/>
    <s v="USA"/>
    <x v="2"/>
    <x v="0"/>
    <m/>
    <s v=""/>
    <s v=""/>
    <s v=""/>
    <s v=""/>
    <s v=""/>
    <s v=""/>
    <x v="0"/>
    <x v="25"/>
    <x v="1"/>
    <x v="0"/>
    <x v="0"/>
    <x v="0"/>
    <x v="0"/>
    <x v="0"/>
    <x v="0"/>
    <x v="0"/>
    <x v="0"/>
  </r>
  <r>
    <s v="ID0415"/>
    <d v="2012-05-26T02:15:19"/>
    <n v="51613"/>
    <n v="51613"/>
    <s v="USD"/>
    <n v="51613"/>
    <s v="Air Planning Analyst"/>
    <x v="0"/>
    <s v="USA"/>
    <x v="2"/>
    <x v="1"/>
    <m/>
    <s v=""/>
    <s v=""/>
    <s v=""/>
    <s v=""/>
    <s v=""/>
    <s v=""/>
    <x v="0"/>
    <x v="0"/>
    <x v="110"/>
    <x v="0"/>
    <x v="0"/>
    <x v="0"/>
    <x v="0"/>
    <x v="0"/>
    <x v="0"/>
    <x v="0"/>
    <x v="0"/>
  </r>
  <r>
    <s v="ID0416"/>
    <d v="2012-05-26T02:17:01"/>
    <n v="35000"/>
    <n v="35000"/>
    <s v="USD"/>
    <n v="35000"/>
    <s v="Credit Analyst"/>
    <x v="0"/>
    <s v="Russia"/>
    <x v="13"/>
    <x v="0"/>
    <m/>
    <s v=""/>
    <s v=""/>
    <s v=""/>
    <s v=""/>
    <s v=""/>
    <s v=""/>
    <x v="0"/>
    <x v="0"/>
    <x v="100"/>
    <x v="0"/>
    <x v="0"/>
    <x v="0"/>
    <x v="0"/>
    <x v="0"/>
    <x v="0"/>
    <x v="0"/>
    <x v="0"/>
  </r>
  <r>
    <s v="ID0417"/>
    <d v="2012-05-26T02:17:18"/>
    <n v="56000"/>
    <n v="56000"/>
    <s v="USD"/>
    <n v="56000"/>
    <s v="financial management consultant"/>
    <x v="3"/>
    <s v="USA"/>
    <x v="2"/>
    <x v="1"/>
    <m/>
    <s v=""/>
    <s v=""/>
    <s v=""/>
    <s v=""/>
    <s v=""/>
    <s v=""/>
    <x v="0"/>
    <x v="0"/>
    <x v="1"/>
    <x v="0"/>
    <x v="0"/>
    <x v="0"/>
    <x v="0"/>
    <x v="86"/>
    <x v="0"/>
    <x v="0"/>
    <x v="0"/>
  </r>
  <r>
    <s v="ID0418"/>
    <d v="2012-05-26T02:17:38"/>
    <s v="US$115000"/>
    <n v="115000"/>
    <s v="USD"/>
    <n v="115000"/>
    <s v="Consultant"/>
    <x v="8"/>
    <s v="USA"/>
    <x v="2"/>
    <x v="2"/>
    <m/>
    <s v=""/>
    <s v=""/>
    <s v=""/>
    <s v=""/>
    <s v=""/>
    <s v=""/>
    <x v="0"/>
    <x v="0"/>
    <x v="1"/>
    <x v="21"/>
    <x v="0"/>
    <x v="0"/>
    <x v="0"/>
    <x v="0"/>
    <x v="0"/>
    <x v="0"/>
    <x v="0"/>
  </r>
  <r>
    <s v="ID0419"/>
    <d v="2012-05-26T02:18:03"/>
    <s v="Â£66000"/>
    <n v="66000"/>
    <s v="GBP"/>
    <n v="104027.76595644075"/>
    <s v="IT Project Manager, EMEA"/>
    <x v="3"/>
    <s v="UK"/>
    <x v="14"/>
    <x v="3"/>
    <m/>
    <s v=""/>
    <s v=""/>
    <s v=""/>
    <s v=""/>
    <s v=""/>
    <s v=""/>
    <x v="0"/>
    <x v="0"/>
    <x v="1"/>
    <x v="0"/>
    <x v="0"/>
    <x v="0"/>
    <x v="0"/>
    <x v="97"/>
    <x v="0"/>
    <x v="0"/>
    <x v="0"/>
  </r>
  <r>
    <s v="ID0420"/>
    <d v="2012-05-26T02:19:12"/>
    <s v="INR 200000"/>
    <n v="200000"/>
    <s v="INR"/>
    <n v="3561.5833374885137"/>
    <s v="Consultant"/>
    <x v="8"/>
    <s v="India"/>
    <x v="0"/>
    <x v="3"/>
    <m/>
    <s v=""/>
    <s v=""/>
    <s v=""/>
    <s v=""/>
    <s v=""/>
    <s v=""/>
    <x v="0"/>
    <x v="0"/>
    <x v="1"/>
    <x v="22"/>
    <x v="0"/>
    <x v="0"/>
    <x v="0"/>
    <x v="0"/>
    <x v="0"/>
    <x v="0"/>
    <x v="0"/>
  </r>
  <r>
    <s v="ID0421"/>
    <d v="2012-05-26T02:19:48"/>
    <n v="72000"/>
    <n v="72000"/>
    <s v="USD"/>
    <n v="72000"/>
    <s v="IS Director"/>
    <x v="4"/>
    <s v="USA"/>
    <x v="2"/>
    <x v="0"/>
    <m/>
    <s v=""/>
    <s v=""/>
    <s v=""/>
    <s v=""/>
    <s v=""/>
    <s v=""/>
    <x v="0"/>
    <x v="0"/>
    <x v="1"/>
    <x v="0"/>
    <x v="0"/>
    <x v="18"/>
    <x v="0"/>
    <x v="0"/>
    <x v="0"/>
    <x v="0"/>
    <x v="0"/>
  </r>
  <r>
    <s v="ID0422"/>
    <d v="2012-05-26T02:19:52"/>
    <n v="90000"/>
    <n v="90000"/>
    <s v="USD"/>
    <n v="90000"/>
    <s v="Financial Analyst"/>
    <x v="0"/>
    <s v="USA"/>
    <x v="2"/>
    <x v="1"/>
    <m/>
    <s v=""/>
    <s v=""/>
    <s v=""/>
    <s v=""/>
    <s v=""/>
    <s v=""/>
    <x v="0"/>
    <x v="0"/>
    <x v="49"/>
    <x v="0"/>
    <x v="0"/>
    <x v="0"/>
    <x v="0"/>
    <x v="0"/>
    <x v="0"/>
    <x v="0"/>
    <x v="0"/>
  </r>
  <r>
    <s v="ID0423"/>
    <d v="2012-05-26T02:20:15"/>
    <s v="8500 USD"/>
    <n v="8500"/>
    <s v="USD"/>
    <n v="8500"/>
    <s v="Accounting Coordinator"/>
    <x v="5"/>
    <s v="Romania"/>
    <x v="37"/>
    <x v="2"/>
    <m/>
    <s v=""/>
    <s v=""/>
    <s v=""/>
    <s v=""/>
    <s v=""/>
    <s v=""/>
    <x v="0"/>
    <x v="26"/>
    <x v="1"/>
    <x v="0"/>
    <x v="0"/>
    <x v="0"/>
    <x v="0"/>
    <x v="0"/>
    <x v="0"/>
    <x v="0"/>
    <x v="0"/>
  </r>
  <r>
    <s v="ID0424"/>
    <d v="2012-05-26T02:20:22"/>
    <n v="12000"/>
    <n v="12000"/>
    <s v="USD"/>
    <n v="12000"/>
    <s v="teacher"/>
    <x v="0"/>
    <s v="iran"/>
    <x v="39"/>
    <x v="2"/>
    <m/>
    <s v=""/>
    <s v=""/>
    <s v=""/>
    <s v=""/>
    <s v=""/>
    <s v=""/>
    <x v="0"/>
    <x v="0"/>
    <x v="4"/>
    <x v="0"/>
    <x v="0"/>
    <x v="0"/>
    <x v="0"/>
    <x v="0"/>
    <x v="0"/>
    <x v="0"/>
    <x v="0"/>
  </r>
  <r>
    <s v="ID0425"/>
    <d v="2012-05-26T02:22:17"/>
    <s v="250000 to 270000"/>
    <n v="250000"/>
    <s v="USD"/>
    <n v="250000"/>
    <s v="consultant"/>
    <x v="8"/>
    <s v="USA"/>
    <x v="2"/>
    <x v="1"/>
    <m/>
    <s v=""/>
    <s v=""/>
    <s v=""/>
    <s v=""/>
    <s v=""/>
    <s v=""/>
    <x v="0"/>
    <x v="0"/>
    <x v="1"/>
    <x v="23"/>
    <x v="0"/>
    <x v="0"/>
    <x v="0"/>
    <x v="0"/>
    <x v="0"/>
    <x v="0"/>
    <x v="0"/>
  </r>
  <r>
    <s v="ID0426"/>
    <d v="2012-05-26T02:24:24"/>
    <n v="5900"/>
    <n v="70800"/>
    <s v="EUR"/>
    <n v="89944.280280605832"/>
    <s v="Excel trainer"/>
    <x v="0"/>
    <s v="Finland"/>
    <x v="40"/>
    <x v="1"/>
    <m/>
    <s v=""/>
    <s v=""/>
    <s v=""/>
    <s v=""/>
    <s v=""/>
    <s v=""/>
    <x v="0"/>
    <x v="0"/>
    <x v="111"/>
    <x v="0"/>
    <x v="0"/>
    <x v="0"/>
    <x v="0"/>
    <x v="0"/>
    <x v="0"/>
    <x v="0"/>
    <x v="0"/>
  </r>
  <r>
    <s v="ID0427"/>
    <d v="2012-05-26T02:25:10"/>
    <s v="20000 RS"/>
    <n v="240000"/>
    <s v="INR"/>
    <n v="4273.9000049862161"/>
    <s v="WFM Team Lead"/>
    <x v="3"/>
    <s v="India"/>
    <x v="0"/>
    <x v="1"/>
    <m/>
    <s v=""/>
    <s v=""/>
    <s v=""/>
    <s v=""/>
    <s v=""/>
    <s v=""/>
    <x v="0"/>
    <x v="0"/>
    <x v="1"/>
    <x v="0"/>
    <x v="0"/>
    <x v="0"/>
    <x v="0"/>
    <x v="98"/>
    <x v="0"/>
    <x v="0"/>
    <x v="0"/>
  </r>
  <r>
    <s v="ID0428"/>
    <d v="2012-05-26T02:27:50"/>
    <s v="US $30,000.00 "/>
    <n v="30000"/>
    <s v="USD"/>
    <n v="30000"/>
    <s v="Supervisor"/>
    <x v="3"/>
    <s v="USA"/>
    <x v="2"/>
    <x v="2"/>
    <m/>
    <s v=""/>
    <s v=""/>
    <s v=""/>
    <s v=""/>
    <s v=""/>
    <s v=""/>
    <x v="0"/>
    <x v="0"/>
    <x v="1"/>
    <x v="0"/>
    <x v="0"/>
    <x v="0"/>
    <x v="0"/>
    <x v="99"/>
    <x v="0"/>
    <x v="0"/>
    <x v="0"/>
  </r>
  <r>
    <s v="ID0429"/>
    <d v="2012-05-26T02:29:37"/>
    <s v="30000 $"/>
    <n v="30000"/>
    <s v="USD"/>
    <n v="30000"/>
    <s v="BI Developer"/>
    <x v="7"/>
    <s v="Romania"/>
    <x v="37"/>
    <x v="3"/>
    <m/>
    <s v=""/>
    <s v=""/>
    <s v=""/>
    <s v=""/>
    <s v=""/>
    <s v=""/>
    <x v="0"/>
    <x v="0"/>
    <x v="1"/>
    <x v="0"/>
    <x v="0"/>
    <x v="0"/>
    <x v="0"/>
    <x v="0"/>
    <x v="0"/>
    <x v="9"/>
    <x v="0"/>
  </r>
  <r>
    <s v="ID0430"/>
    <d v="2012-05-26T02:31:24"/>
    <n v="24"/>
    <n v="24000"/>
    <s v="USD"/>
    <n v="24000"/>
    <s v="engineer"/>
    <x v="2"/>
    <s v="USA"/>
    <x v="2"/>
    <x v="3"/>
    <m/>
    <s v=""/>
    <s v=""/>
    <s v=""/>
    <s v=""/>
    <s v=""/>
    <s v=""/>
    <x v="0"/>
    <x v="0"/>
    <x v="1"/>
    <x v="0"/>
    <x v="0"/>
    <x v="0"/>
    <x v="19"/>
    <x v="0"/>
    <x v="0"/>
    <x v="0"/>
    <x v="0"/>
  </r>
  <r>
    <s v="ID0431"/>
    <d v="2012-05-26T02:33:00"/>
    <n v="60000"/>
    <n v="60000"/>
    <s v="USD"/>
    <n v="60000"/>
    <s v="Planner"/>
    <x v="3"/>
    <s v="USA"/>
    <x v="2"/>
    <x v="0"/>
    <m/>
    <s v=""/>
    <s v=""/>
    <s v=""/>
    <s v=""/>
    <s v=""/>
    <s v=""/>
    <x v="0"/>
    <x v="0"/>
    <x v="1"/>
    <x v="0"/>
    <x v="0"/>
    <x v="0"/>
    <x v="0"/>
    <x v="76"/>
    <x v="0"/>
    <x v="0"/>
    <x v="0"/>
  </r>
  <r>
    <s v="ID0432"/>
    <d v="2012-05-26T02:33:06"/>
    <n v="76600"/>
    <n v="76600"/>
    <s v="USD"/>
    <n v="76600"/>
    <s v="Analyst"/>
    <x v="0"/>
    <s v="USA"/>
    <x v="2"/>
    <x v="2"/>
    <m/>
    <s v=""/>
    <s v=""/>
    <s v=""/>
    <s v=""/>
    <s v=""/>
    <s v=""/>
    <x v="0"/>
    <x v="0"/>
    <x v="112"/>
    <x v="0"/>
    <x v="0"/>
    <x v="0"/>
    <x v="0"/>
    <x v="0"/>
    <x v="0"/>
    <x v="0"/>
    <x v="0"/>
  </r>
  <r>
    <s v="ID0433"/>
    <d v="2012-05-26T02:33:10"/>
    <s v="Â£65000"/>
    <n v="65000"/>
    <s v="GBP"/>
    <n v="102451.58768437347"/>
    <s v="Financial Controller"/>
    <x v="1"/>
    <s v="UK"/>
    <x v="14"/>
    <x v="2"/>
    <m/>
    <s v=""/>
    <s v=""/>
    <s v=""/>
    <s v=""/>
    <s v=""/>
    <s v=""/>
    <x v="0"/>
    <x v="0"/>
    <x v="1"/>
    <x v="0"/>
    <x v="9"/>
    <x v="0"/>
    <x v="0"/>
    <x v="0"/>
    <x v="0"/>
    <x v="0"/>
    <x v="0"/>
  </r>
  <r>
    <s v="ID0434"/>
    <d v="2012-05-26T02:34:00"/>
    <s v="US $6,629.00"/>
    <n v="6629"/>
    <s v="USD"/>
    <n v="6629"/>
    <s v="Engineer"/>
    <x v="2"/>
    <s v="Dominican Republic"/>
    <x v="41"/>
    <x v="1"/>
    <m/>
    <s v=""/>
    <s v=""/>
    <s v=""/>
    <s v=""/>
    <s v=""/>
    <s v=""/>
    <x v="0"/>
    <x v="0"/>
    <x v="1"/>
    <x v="0"/>
    <x v="0"/>
    <x v="0"/>
    <x v="20"/>
    <x v="0"/>
    <x v="0"/>
    <x v="0"/>
    <x v="0"/>
  </r>
  <r>
    <s v="ID0435"/>
    <d v="2012-05-26T02:34:37"/>
    <n v="90000"/>
    <n v="90000"/>
    <s v="USD"/>
    <n v="90000"/>
    <s v="senior analyst"/>
    <x v="0"/>
    <s v="USA"/>
    <x v="2"/>
    <x v="3"/>
    <m/>
    <s v=""/>
    <s v=""/>
    <s v=""/>
    <s v=""/>
    <s v=""/>
    <s v=""/>
    <x v="0"/>
    <x v="0"/>
    <x v="49"/>
    <x v="0"/>
    <x v="0"/>
    <x v="0"/>
    <x v="0"/>
    <x v="0"/>
    <x v="0"/>
    <x v="0"/>
    <x v="0"/>
  </r>
  <r>
    <s v="ID0436"/>
    <d v="2012-05-26T02:35:10"/>
    <n v="8500"/>
    <n v="8500"/>
    <s v="USD"/>
    <n v="8500"/>
    <s v="Assesor"/>
    <x v="0"/>
    <s v="Colombia"/>
    <x v="27"/>
    <x v="3"/>
    <m/>
    <s v=""/>
    <s v=""/>
    <s v=""/>
    <s v=""/>
    <s v=""/>
    <s v=""/>
    <x v="0"/>
    <x v="0"/>
    <x v="113"/>
    <x v="0"/>
    <x v="0"/>
    <x v="0"/>
    <x v="0"/>
    <x v="0"/>
    <x v="0"/>
    <x v="0"/>
    <x v="0"/>
  </r>
  <r>
    <s v="ID0437"/>
    <d v="2012-05-26T02:35:11"/>
    <n v="75000"/>
    <n v="75000"/>
    <s v="USD"/>
    <n v="75000"/>
    <s v="Financial Analys"/>
    <x v="0"/>
    <s v="USA"/>
    <x v="2"/>
    <x v="0"/>
    <m/>
    <s v=""/>
    <s v=""/>
    <s v=""/>
    <s v=""/>
    <s v=""/>
    <s v=""/>
    <x v="0"/>
    <x v="0"/>
    <x v="29"/>
    <x v="0"/>
    <x v="0"/>
    <x v="0"/>
    <x v="0"/>
    <x v="0"/>
    <x v="0"/>
    <x v="0"/>
    <x v="0"/>
  </r>
  <r>
    <s v="ID0438"/>
    <d v="2012-05-26T02:37:50"/>
    <n v="72000"/>
    <n v="72000"/>
    <s v="USD"/>
    <n v="72000"/>
    <s v="Sr. Information Systems Analyst"/>
    <x v="0"/>
    <s v="USA"/>
    <x v="2"/>
    <x v="2"/>
    <m/>
    <s v=""/>
    <s v=""/>
    <s v=""/>
    <s v=""/>
    <s v=""/>
    <s v=""/>
    <x v="0"/>
    <x v="0"/>
    <x v="114"/>
    <x v="0"/>
    <x v="0"/>
    <x v="0"/>
    <x v="0"/>
    <x v="0"/>
    <x v="0"/>
    <x v="0"/>
    <x v="0"/>
  </r>
  <r>
    <s v="ID0439"/>
    <d v="2012-05-26T02:38:34"/>
    <n v="65000"/>
    <n v="65000"/>
    <s v="USD"/>
    <n v="65000"/>
    <s v="Senior Claims Analyst"/>
    <x v="0"/>
    <s v="USA"/>
    <x v="2"/>
    <x v="0"/>
    <m/>
    <s v=""/>
    <s v=""/>
    <s v=""/>
    <s v=""/>
    <s v=""/>
    <s v=""/>
    <x v="0"/>
    <x v="0"/>
    <x v="84"/>
    <x v="0"/>
    <x v="0"/>
    <x v="0"/>
    <x v="0"/>
    <x v="0"/>
    <x v="0"/>
    <x v="0"/>
    <x v="0"/>
  </r>
  <r>
    <s v="ID0440"/>
    <d v="2012-05-26T02:39:56"/>
    <n v="120000"/>
    <n v="120000"/>
    <s v="USD"/>
    <n v="120000"/>
    <s v="Director"/>
    <x v="4"/>
    <s v="USA"/>
    <x v="2"/>
    <x v="3"/>
    <m/>
    <s v=""/>
    <s v=""/>
    <s v=""/>
    <s v=""/>
    <s v=""/>
    <s v=""/>
    <x v="0"/>
    <x v="0"/>
    <x v="1"/>
    <x v="0"/>
    <x v="0"/>
    <x v="19"/>
    <x v="0"/>
    <x v="0"/>
    <x v="0"/>
    <x v="0"/>
    <x v="0"/>
  </r>
  <r>
    <s v="ID0441"/>
    <d v="2012-05-26T02:40:39"/>
    <s v="INR 40L"/>
    <n v="4000000"/>
    <s v="INR"/>
    <n v="71231.666749770273"/>
    <s v="Sr Mgr Finance"/>
    <x v="5"/>
    <s v="India"/>
    <x v="0"/>
    <x v="1"/>
    <m/>
    <s v=""/>
    <s v=""/>
    <s v=""/>
    <s v=""/>
    <s v=""/>
    <s v=""/>
    <x v="0"/>
    <x v="27"/>
    <x v="1"/>
    <x v="0"/>
    <x v="0"/>
    <x v="0"/>
    <x v="0"/>
    <x v="0"/>
    <x v="0"/>
    <x v="0"/>
    <x v="0"/>
  </r>
  <r>
    <s v="ID0442"/>
    <d v="2012-05-26T02:42:20"/>
    <s v="Rs. 300000"/>
    <n v="300000"/>
    <s v="INR"/>
    <n v="5342.3750062327708"/>
    <s v="Web Portal 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100"/>
    <x v="0"/>
    <x v="0"/>
    <x v="0"/>
  </r>
  <r>
    <s v="ID0443"/>
    <d v="2012-05-26T02:43:21"/>
    <n v="1100000"/>
    <n v="1100000"/>
    <s v="INR"/>
    <n v="19588.708356186824"/>
    <s v="manager - MIS &amp; operations planning"/>
    <x v="3"/>
    <s v="India"/>
    <x v="0"/>
    <x v="0"/>
    <m/>
    <s v=""/>
    <s v=""/>
    <s v=""/>
    <s v=""/>
    <s v=""/>
    <s v=""/>
    <x v="0"/>
    <x v="0"/>
    <x v="1"/>
    <x v="0"/>
    <x v="0"/>
    <x v="0"/>
    <x v="0"/>
    <x v="46"/>
    <x v="0"/>
    <x v="0"/>
    <x v="0"/>
  </r>
  <r>
    <s v="ID0444"/>
    <d v="2012-05-26T02:46:18"/>
    <n v="80000"/>
    <n v="80000"/>
    <s v="USD"/>
    <n v="80000"/>
    <s v="web analyst"/>
    <x v="0"/>
    <s v="USA"/>
    <x v="2"/>
    <x v="0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445"/>
    <d v="2012-05-26T02:46:56"/>
    <s v="INR 30,00,000"/>
    <n v="3000000"/>
    <s v="INR"/>
    <n v="53423.750062327701"/>
    <s v="Management Consultant"/>
    <x v="3"/>
    <s v="India"/>
    <x v="0"/>
    <x v="0"/>
    <m/>
    <s v=""/>
    <s v=""/>
    <s v=""/>
    <s v=""/>
    <s v=""/>
    <s v=""/>
    <x v="0"/>
    <x v="0"/>
    <x v="1"/>
    <x v="0"/>
    <x v="0"/>
    <x v="0"/>
    <x v="0"/>
    <x v="101"/>
    <x v="0"/>
    <x v="0"/>
    <x v="0"/>
  </r>
  <r>
    <s v="ID0446"/>
    <d v="2012-05-26T02:48:32"/>
    <n v="110000"/>
    <n v="110000"/>
    <s v="CAD"/>
    <n v="108169.76753333595"/>
    <s v="Continuos improvment"/>
    <x v="1"/>
    <s v="Canad"/>
    <x v="17"/>
    <x v="2"/>
    <m/>
    <s v=""/>
    <s v=""/>
    <s v=""/>
    <s v=""/>
    <s v=""/>
    <s v=""/>
    <x v="0"/>
    <x v="0"/>
    <x v="1"/>
    <x v="0"/>
    <x v="10"/>
    <x v="0"/>
    <x v="0"/>
    <x v="0"/>
    <x v="0"/>
    <x v="0"/>
    <x v="0"/>
  </r>
  <r>
    <s v="ID0447"/>
    <d v="2012-05-26T02:49:24"/>
    <n v="51000"/>
    <n v="51000"/>
    <s v="USD"/>
    <n v="51000"/>
    <s v="Direct marketing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53"/>
    <x v="0"/>
    <x v="0"/>
    <x v="0"/>
  </r>
  <r>
    <s v="ID0448"/>
    <d v="2012-05-26T02:50:16"/>
    <s v="5000 $"/>
    <n v="5000"/>
    <s v="USD"/>
    <n v="5000"/>
    <s v="mis"/>
    <x v="7"/>
    <s v="India"/>
    <x v="0"/>
    <x v="0"/>
    <m/>
    <s v=""/>
    <s v=""/>
    <s v=""/>
    <s v=""/>
    <s v=""/>
    <s v=""/>
    <x v="0"/>
    <x v="0"/>
    <x v="1"/>
    <x v="0"/>
    <x v="0"/>
    <x v="0"/>
    <x v="0"/>
    <x v="0"/>
    <x v="0"/>
    <x v="10"/>
    <x v="0"/>
  </r>
  <r>
    <s v="ID0449"/>
    <d v="2012-05-26T02:53:29"/>
    <n v="74000"/>
    <n v="74000"/>
    <s v="USD"/>
    <n v="74000"/>
    <s v="Engineer"/>
    <x v="2"/>
    <s v="USA"/>
    <x v="2"/>
    <x v="0"/>
    <m/>
    <s v=""/>
    <s v=""/>
    <s v=""/>
    <s v=""/>
    <s v=""/>
    <s v=""/>
    <x v="0"/>
    <x v="0"/>
    <x v="1"/>
    <x v="0"/>
    <x v="0"/>
    <x v="0"/>
    <x v="21"/>
    <x v="0"/>
    <x v="0"/>
    <x v="0"/>
    <x v="0"/>
  </r>
  <r>
    <s v="ID0450"/>
    <d v="2012-05-26T02:53:48"/>
    <s v="Â£60000"/>
    <n v="60000"/>
    <s v="GBP"/>
    <n v="94570.696324037053"/>
    <s v="Excel Consultant"/>
    <x v="8"/>
    <s v="UK"/>
    <x v="14"/>
    <x v="0"/>
    <m/>
    <s v=""/>
    <s v=""/>
    <s v=""/>
    <s v=""/>
    <s v=""/>
    <s v=""/>
    <x v="0"/>
    <x v="0"/>
    <x v="1"/>
    <x v="24"/>
    <x v="0"/>
    <x v="0"/>
    <x v="0"/>
    <x v="0"/>
    <x v="0"/>
    <x v="0"/>
    <x v="0"/>
  </r>
  <r>
    <s v="ID0451"/>
    <d v="2012-05-26T02:55:27"/>
    <n v="50000"/>
    <n v="50000"/>
    <s v="USD"/>
    <n v="50000"/>
    <s v="Wine Analyst"/>
    <x v="0"/>
    <s v="USA"/>
    <x v="2"/>
    <x v="0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452"/>
    <d v="2012-05-26T02:55:29"/>
    <s v="500000 rupees"/>
    <n v="500000"/>
    <s v="INR"/>
    <n v="8903.9583437212841"/>
    <s v="Business Analyst"/>
    <x v="0"/>
    <s v="India"/>
    <x v="0"/>
    <x v="0"/>
    <m/>
    <s v=""/>
    <s v=""/>
    <s v=""/>
    <s v=""/>
    <s v=""/>
    <s v=""/>
    <x v="0"/>
    <x v="0"/>
    <x v="51"/>
    <x v="0"/>
    <x v="0"/>
    <x v="0"/>
    <x v="0"/>
    <x v="0"/>
    <x v="0"/>
    <x v="0"/>
    <x v="0"/>
  </r>
  <r>
    <s v="ID0453"/>
    <d v="2012-05-26T02:57:32"/>
    <n v="78000"/>
    <n v="78000"/>
    <s v="USD"/>
    <n v="78000"/>
    <s v="FinanceManager"/>
    <x v="3"/>
    <s v="Somalia"/>
    <x v="42"/>
    <x v="0"/>
    <m/>
    <s v=""/>
    <s v=""/>
    <s v=""/>
    <s v=""/>
    <s v=""/>
    <s v=""/>
    <x v="0"/>
    <x v="0"/>
    <x v="1"/>
    <x v="0"/>
    <x v="0"/>
    <x v="0"/>
    <x v="0"/>
    <x v="102"/>
    <x v="0"/>
    <x v="0"/>
    <x v="0"/>
  </r>
  <r>
    <s v="ID0454"/>
    <d v="2012-05-26T02:57:47"/>
    <n v="900000"/>
    <n v="900000"/>
    <s v="INR"/>
    <n v="16027.125018698311"/>
    <s v="Regional Manager"/>
    <x v="3"/>
    <s v="India"/>
    <x v="0"/>
    <x v="3"/>
    <m/>
    <s v=""/>
    <s v=""/>
    <s v=""/>
    <s v=""/>
    <s v=""/>
    <s v=""/>
    <x v="0"/>
    <x v="0"/>
    <x v="1"/>
    <x v="0"/>
    <x v="0"/>
    <x v="0"/>
    <x v="0"/>
    <x v="103"/>
    <x v="0"/>
    <x v="0"/>
    <x v="0"/>
  </r>
  <r>
    <s v="ID0455"/>
    <d v="2012-05-26T03:01:31"/>
    <s v="7500 USD"/>
    <n v="7500"/>
    <s v="USD"/>
    <n v="7500"/>
    <s v="HR reporting analyst"/>
    <x v="0"/>
    <s v="Romania"/>
    <x v="37"/>
    <x v="1"/>
    <m/>
    <s v=""/>
    <s v=""/>
    <s v=""/>
    <s v=""/>
    <s v=""/>
    <s v=""/>
    <x v="0"/>
    <x v="0"/>
    <x v="15"/>
    <x v="0"/>
    <x v="0"/>
    <x v="0"/>
    <x v="0"/>
    <x v="0"/>
    <x v="0"/>
    <x v="0"/>
    <x v="0"/>
  </r>
  <r>
    <s v="ID0456"/>
    <d v="2012-05-26T03:01:42"/>
    <n v="60000"/>
    <n v="60000"/>
    <s v="USD"/>
    <n v="60000"/>
    <s v="Finalcial Reporting Analyst"/>
    <x v="0"/>
    <s v="USA"/>
    <x v="2"/>
    <x v="1"/>
    <m/>
    <s v=""/>
    <s v=""/>
    <s v=""/>
    <s v=""/>
    <s v=""/>
    <s v=""/>
    <x v="0"/>
    <x v="0"/>
    <x v="8"/>
    <x v="0"/>
    <x v="0"/>
    <x v="0"/>
    <x v="0"/>
    <x v="0"/>
    <x v="0"/>
    <x v="0"/>
    <x v="0"/>
  </r>
  <r>
    <s v="ID0457"/>
    <d v="2012-05-26T03:02:42"/>
    <s v="800000 rupees"/>
    <n v="800000"/>
    <s v="INR"/>
    <n v="14246.333349954055"/>
    <s v="Partner"/>
    <x v="4"/>
    <s v="India"/>
    <x v="0"/>
    <x v="1"/>
    <m/>
    <s v=""/>
    <s v=""/>
    <s v=""/>
    <s v=""/>
    <s v=""/>
    <s v=""/>
    <x v="0"/>
    <x v="0"/>
    <x v="1"/>
    <x v="0"/>
    <x v="0"/>
    <x v="20"/>
    <x v="0"/>
    <x v="0"/>
    <x v="0"/>
    <x v="0"/>
    <x v="0"/>
  </r>
  <r>
    <s v="ID0458"/>
    <d v="2012-05-26T03:03:09"/>
    <n v="80000"/>
    <n v="80000"/>
    <s v="USD"/>
    <n v="80000"/>
    <s v="operations tech"/>
    <x v="3"/>
    <s v="USA"/>
    <x v="2"/>
    <x v="3"/>
    <m/>
    <s v=""/>
    <s v=""/>
    <s v=""/>
    <s v=""/>
    <s v=""/>
    <s v=""/>
    <x v="0"/>
    <x v="0"/>
    <x v="1"/>
    <x v="0"/>
    <x v="0"/>
    <x v="0"/>
    <x v="0"/>
    <x v="50"/>
    <x v="0"/>
    <x v="0"/>
    <x v="0"/>
  </r>
  <r>
    <s v="ID0459"/>
    <d v="2012-05-26T03:03:29"/>
    <s v="Â£38000"/>
    <n v="38000"/>
    <s v="GBP"/>
    <n v="59894.774338556796"/>
    <s v="Commercial Accountant"/>
    <x v="5"/>
    <s v="UK"/>
    <x v="14"/>
    <x v="0"/>
    <m/>
    <s v=""/>
    <s v=""/>
    <s v=""/>
    <s v=""/>
    <s v=""/>
    <s v=""/>
    <x v="0"/>
    <x v="28"/>
    <x v="1"/>
    <x v="0"/>
    <x v="0"/>
    <x v="0"/>
    <x v="0"/>
    <x v="0"/>
    <x v="0"/>
    <x v="0"/>
    <x v="0"/>
  </r>
  <r>
    <s v="ID0460"/>
    <d v="2012-05-26T03:04:06"/>
    <s v="52,000 Cdn"/>
    <n v="52000"/>
    <s v="CAD"/>
    <n v="51134.799197576998"/>
    <s v="Office Mana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104"/>
    <x v="0"/>
    <x v="0"/>
    <x v="0"/>
  </r>
  <r>
    <s v="ID0461"/>
    <d v="2012-05-26T03:06:16"/>
    <n v="125000"/>
    <n v="125000"/>
    <s v="USD"/>
    <n v="125000"/>
    <s v="Prod Mgr"/>
    <x v="3"/>
    <s v="USA"/>
    <x v="2"/>
    <x v="2"/>
    <m/>
    <s v=""/>
    <s v=""/>
    <s v=""/>
    <s v=""/>
    <s v=""/>
    <s v=""/>
    <x v="0"/>
    <x v="0"/>
    <x v="1"/>
    <x v="0"/>
    <x v="0"/>
    <x v="0"/>
    <x v="0"/>
    <x v="78"/>
    <x v="0"/>
    <x v="0"/>
    <x v="0"/>
  </r>
  <r>
    <s v="ID0462"/>
    <d v="2012-05-26T03:06:37"/>
    <n v="52000"/>
    <n v="52000"/>
    <s v="USD"/>
    <n v="52000"/>
    <s v="Graphics/Web Document Designer"/>
    <x v="0"/>
    <s v="USA"/>
    <x v="2"/>
    <x v="2"/>
    <m/>
    <s v=""/>
    <s v=""/>
    <s v=""/>
    <s v=""/>
    <s v=""/>
    <s v=""/>
    <x v="0"/>
    <x v="0"/>
    <x v="38"/>
    <x v="0"/>
    <x v="0"/>
    <x v="0"/>
    <x v="0"/>
    <x v="0"/>
    <x v="0"/>
    <x v="0"/>
    <x v="0"/>
  </r>
  <r>
    <s v="ID0463"/>
    <d v="2012-05-26T03:07:46"/>
    <n v="45000"/>
    <n v="45000"/>
    <s v="USD"/>
    <n v="45000"/>
    <s v="Analyst"/>
    <x v="0"/>
    <s v="USA"/>
    <x v="2"/>
    <x v="0"/>
    <m/>
    <s v=""/>
    <s v=""/>
    <s v=""/>
    <s v=""/>
    <s v=""/>
    <s v=""/>
    <x v="0"/>
    <x v="0"/>
    <x v="42"/>
    <x v="0"/>
    <x v="0"/>
    <x v="0"/>
    <x v="0"/>
    <x v="0"/>
    <x v="0"/>
    <x v="0"/>
    <x v="0"/>
  </r>
  <r>
    <s v="ID0464"/>
    <d v="2012-05-26T03:08:28"/>
    <n v="25000"/>
    <n v="25000"/>
    <s v="GBP"/>
    <n v="39404.456801682099"/>
    <s v="Analyst"/>
    <x v="0"/>
    <s v="UK"/>
    <x v="14"/>
    <x v="0"/>
    <m/>
    <s v=""/>
    <s v=""/>
    <s v=""/>
    <s v=""/>
    <s v=""/>
    <s v=""/>
    <x v="0"/>
    <x v="0"/>
    <x v="115"/>
    <x v="0"/>
    <x v="0"/>
    <x v="0"/>
    <x v="0"/>
    <x v="0"/>
    <x v="0"/>
    <x v="0"/>
    <x v="0"/>
  </r>
  <r>
    <s v="ID0465"/>
    <d v="2012-05-26T03:09:43"/>
    <n v="60000"/>
    <n v="60000"/>
    <s v="USD"/>
    <n v="60000"/>
    <s v="Business intelligence manager"/>
    <x v="3"/>
    <s v="USA"/>
    <x v="2"/>
    <x v="1"/>
    <m/>
    <s v=""/>
    <s v=""/>
    <s v=""/>
    <s v=""/>
    <s v=""/>
    <s v=""/>
    <x v="0"/>
    <x v="0"/>
    <x v="1"/>
    <x v="0"/>
    <x v="0"/>
    <x v="0"/>
    <x v="0"/>
    <x v="76"/>
    <x v="0"/>
    <x v="0"/>
    <x v="0"/>
  </r>
  <r>
    <s v="ID0466"/>
    <d v="2012-05-26T03:09:49"/>
    <s v="CDN $70,000"/>
    <n v="70000"/>
    <s v="CAD"/>
    <n v="68835.306612122877"/>
    <s v="Program Manager"/>
    <x v="3"/>
    <s v="Canada"/>
    <x v="17"/>
    <x v="3"/>
    <m/>
    <s v=""/>
    <s v=""/>
    <s v=""/>
    <s v=""/>
    <s v=""/>
    <s v=""/>
    <x v="0"/>
    <x v="0"/>
    <x v="1"/>
    <x v="0"/>
    <x v="0"/>
    <x v="0"/>
    <x v="0"/>
    <x v="37"/>
    <x v="0"/>
    <x v="0"/>
    <x v="0"/>
  </r>
  <r>
    <s v="ID0467"/>
    <d v="2012-05-26T03:11:21"/>
    <s v="5250 $"/>
    <n v="5250"/>
    <s v="USD"/>
    <n v="5250"/>
    <s v="Treasure Specialist"/>
    <x v="6"/>
    <s v="Republic of Georgia"/>
    <x v="43"/>
    <x v="0"/>
    <m/>
    <s v=""/>
    <s v=""/>
    <s v=""/>
    <s v=""/>
    <s v=""/>
    <s v=""/>
    <x v="0"/>
    <x v="0"/>
    <x v="1"/>
    <x v="0"/>
    <x v="0"/>
    <x v="0"/>
    <x v="0"/>
    <x v="0"/>
    <x v="0"/>
    <x v="0"/>
    <x v="20"/>
  </r>
  <r>
    <s v="ID0468"/>
    <d v="2012-05-26T03:11:44"/>
    <n v="87000"/>
    <n v="87000"/>
    <s v="CAD"/>
    <n v="85552.452503638444"/>
    <s v="Business Mana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105"/>
    <x v="0"/>
    <x v="0"/>
    <x v="0"/>
  </r>
  <r>
    <s v="ID0469"/>
    <d v="2012-05-26T03:13:13"/>
    <n v="125000"/>
    <n v="125000"/>
    <s v="INR"/>
    <n v="2225.989585930321"/>
    <s v="clerk"/>
    <x v="0"/>
    <s v="India"/>
    <x v="0"/>
    <x v="0"/>
    <m/>
    <s v=""/>
    <s v=""/>
    <s v=""/>
    <s v=""/>
    <s v=""/>
    <s v=""/>
    <x v="0"/>
    <x v="0"/>
    <x v="116"/>
    <x v="0"/>
    <x v="0"/>
    <x v="0"/>
    <x v="0"/>
    <x v="0"/>
    <x v="0"/>
    <x v="0"/>
    <x v="0"/>
  </r>
  <r>
    <s v="ID0470"/>
    <d v="2012-05-26T03:14:44"/>
    <n v="150000"/>
    <n v="150000"/>
    <s v="USD"/>
    <n v="150000"/>
    <s v="CFO"/>
    <x v="4"/>
    <s v="USA"/>
    <x v="2"/>
    <x v="2"/>
    <m/>
    <s v=""/>
    <s v=""/>
    <s v=""/>
    <s v=""/>
    <s v=""/>
    <s v=""/>
    <x v="0"/>
    <x v="0"/>
    <x v="1"/>
    <x v="0"/>
    <x v="0"/>
    <x v="4"/>
    <x v="0"/>
    <x v="0"/>
    <x v="0"/>
    <x v="0"/>
    <x v="0"/>
  </r>
  <r>
    <s v="ID0471"/>
    <d v="2012-05-26T03:15:01"/>
    <n v="50000"/>
    <n v="50000"/>
    <s v="USD"/>
    <n v="50000"/>
    <s v="Researcher &amp; Data Analyst"/>
    <x v="0"/>
    <s v="USA"/>
    <x v="2"/>
    <x v="0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472"/>
    <d v="2012-05-26T03:15:04"/>
    <n v="70000"/>
    <n v="70000"/>
    <s v="USD"/>
    <n v="70000"/>
    <s v="Analyst"/>
    <x v="0"/>
    <s v="USA"/>
    <x v="2"/>
    <x v="0"/>
    <m/>
    <s v=""/>
    <s v=""/>
    <s v=""/>
    <s v=""/>
    <s v=""/>
    <s v=""/>
    <x v="0"/>
    <x v="0"/>
    <x v="59"/>
    <x v="0"/>
    <x v="0"/>
    <x v="0"/>
    <x v="0"/>
    <x v="0"/>
    <x v="0"/>
    <x v="0"/>
    <x v="0"/>
  </r>
  <r>
    <s v="ID0473"/>
    <d v="2012-05-26T03:15:30"/>
    <s v="Â£28500"/>
    <n v="28500"/>
    <s v="GBP"/>
    <n v="44921.080753917595"/>
    <s v="Data Quality &amp; Analysis Manager"/>
    <x v="3"/>
    <s v="UK"/>
    <x v="14"/>
    <x v="2"/>
    <m/>
    <s v=""/>
    <s v=""/>
    <s v=""/>
    <s v=""/>
    <s v=""/>
    <s v=""/>
    <x v="0"/>
    <x v="0"/>
    <x v="1"/>
    <x v="0"/>
    <x v="0"/>
    <x v="0"/>
    <x v="0"/>
    <x v="106"/>
    <x v="0"/>
    <x v="0"/>
    <x v="0"/>
  </r>
  <r>
    <s v="ID0474"/>
    <d v="2012-05-26T03:15:50"/>
    <n v="20000"/>
    <n v="20000"/>
    <s v="USD"/>
    <n v="20000"/>
    <s v="Specialist"/>
    <x v="6"/>
    <s v="India"/>
    <x v="0"/>
    <x v="0"/>
    <m/>
    <s v=""/>
    <s v=""/>
    <s v=""/>
    <s v=""/>
    <s v=""/>
    <s v=""/>
    <x v="0"/>
    <x v="0"/>
    <x v="1"/>
    <x v="0"/>
    <x v="0"/>
    <x v="0"/>
    <x v="0"/>
    <x v="0"/>
    <x v="0"/>
    <x v="0"/>
    <x v="21"/>
  </r>
  <r>
    <s v="ID0476"/>
    <d v="2012-05-26T03:16:58"/>
    <n v="12000"/>
    <n v="12000"/>
    <s v="USD"/>
    <n v="12000"/>
    <s v="Resource managment Analyst"/>
    <x v="0"/>
    <s v="Estonia"/>
    <x v="44"/>
    <x v="1"/>
    <m/>
    <s v=""/>
    <s v=""/>
    <s v=""/>
    <s v=""/>
    <s v=""/>
    <s v=""/>
    <x v="0"/>
    <x v="0"/>
    <x v="4"/>
    <x v="0"/>
    <x v="0"/>
    <x v="0"/>
    <x v="0"/>
    <x v="0"/>
    <x v="0"/>
    <x v="0"/>
    <x v="0"/>
  </r>
  <r>
    <s v="ID0477"/>
    <d v="2012-05-26T03:17:19"/>
    <n v="1250000"/>
    <n v="1250000"/>
    <s v="CAD"/>
    <n v="1229201.9037879086"/>
    <s v="Account Executive"/>
    <x v="5"/>
    <s v="Canada"/>
    <x v="17"/>
    <x v="0"/>
    <m/>
    <s v=""/>
    <s v=""/>
    <s v=""/>
    <s v=""/>
    <s v=""/>
    <s v=""/>
    <x v="0"/>
    <x v="29"/>
    <x v="1"/>
    <x v="0"/>
    <x v="0"/>
    <x v="0"/>
    <x v="0"/>
    <x v="0"/>
    <x v="0"/>
    <x v="0"/>
    <x v="0"/>
  </r>
  <r>
    <s v="ID0478"/>
    <d v="2012-05-26T03:19:00"/>
    <n v="30000"/>
    <n v="30000"/>
    <s v="USD"/>
    <n v="30000"/>
    <s v="video production"/>
    <x v="0"/>
    <s v="USA"/>
    <x v="2"/>
    <x v="4"/>
    <m/>
    <s v=""/>
    <s v=""/>
    <s v=""/>
    <s v=""/>
    <s v=""/>
    <s v=""/>
    <x v="0"/>
    <x v="0"/>
    <x v="117"/>
    <x v="0"/>
    <x v="0"/>
    <x v="0"/>
    <x v="0"/>
    <x v="0"/>
    <x v="0"/>
    <x v="0"/>
    <x v="0"/>
  </r>
  <r>
    <s v="ID0479"/>
    <d v="2012-05-26T03:21:26"/>
    <n v="2000"/>
    <n v="24000"/>
    <s v="USD"/>
    <n v="24000"/>
    <s v="engineer"/>
    <x v="2"/>
    <s v="mozambique"/>
    <x v="45"/>
    <x v="2"/>
    <m/>
    <s v=""/>
    <s v=""/>
    <s v=""/>
    <s v=""/>
    <s v=""/>
    <s v=""/>
    <x v="0"/>
    <x v="0"/>
    <x v="1"/>
    <x v="0"/>
    <x v="0"/>
    <x v="0"/>
    <x v="19"/>
    <x v="0"/>
    <x v="0"/>
    <x v="0"/>
    <x v="0"/>
  </r>
  <r>
    <s v="ID0480"/>
    <d v="2012-05-26T03:21:55"/>
    <n v="92000"/>
    <n v="92000"/>
    <s v="USD"/>
    <n v="92000"/>
    <s v="principal engineer"/>
    <x v="2"/>
    <s v="USA"/>
    <x v="2"/>
    <x v="3"/>
    <m/>
    <s v=""/>
    <s v=""/>
    <s v=""/>
    <s v=""/>
    <s v=""/>
    <s v=""/>
    <x v="0"/>
    <x v="0"/>
    <x v="1"/>
    <x v="0"/>
    <x v="0"/>
    <x v="0"/>
    <x v="10"/>
    <x v="0"/>
    <x v="0"/>
    <x v="0"/>
    <x v="0"/>
  </r>
  <r>
    <s v="ID0481"/>
    <d v="2012-05-26T03:22:33"/>
    <n v="52000"/>
    <n v="52000"/>
    <s v="USD"/>
    <n v="52000"/>
    <s v="budget analyst"/>
    <x v="0"/>
    <s v="USA"/>
    <x v="2"/>
    <x v="0"/>
    <m/>
    <s v=""/>
    <s v=""/>
    <s v=""/>
    <s v=""/>
    <s v=""/>
    <s v=""/>
    <x v="0"/>
    <x v="0"/>
    <x v="38"/>
    <x v="0"/>
    <x v="0"/>
    <x v="0"/>
    <x v="0"/>
    <x v="0"/>
    <x v="0"/>
    <x v="0"/>
    <x v="0"/>
  </r>
  <r>
    <s v="ID0482"/>
    <d v="2012-05-26T03:23:51"/>
    <s v="US$169,000"/>
    <n v="169000"/>
    <s v="USD"/>
    <n v="169000"/>
    <s v="Category Director (Marketing)"/>
    <x v="4"/>
    <s v="USA"/>
    <x v="2"/>
    <x v="2"/>
    <m/>
    <s v=""/>
    <s v=""/>
    <s v=""/>
    <s v=""/>
    <s v=""/>
    <s v=""/>
    <x v="0"/>
    <x v="0"/>
    <x v="1"/>
    <x v="0"/>
    <x v="0"/>
    <x v="21"/>
    <x v="0"/>
    <x v="0"/>
    <x v="0"/>
    <x v="0"/>
    <x v="0"/>
  </r>
  <r>
    <s v="ID0484"/>
    <d v="2012-05-26T03:25:57"/>
    <n v="110000"/>
    <n v="110000"/>
    <s v="USD"/>
    <n v="110000"/>
    <s v="Senior consultant accounting"/>
    <x v="5"/>
    <s v="Norway"/>
    <x v="46"/>
    <x v="2"/>
    <m/>
    <s v=""/>
    <s v=""/>
    <s v=""/>
    <s v=""/>
    <s v=""/>
    <s v=""/>
    <x v="0"/>
    <x v="30"/>
    <x v="1"/>
    <x v="0"/>
    <x v="0"/>
    <x v="0"/>
    <x v="0"/>
    <x v="0"/>
    <x v="0"/>
    <x v="0"/>
    <x v="0"/>
  </r>
  <r>
    <s v="ID0485"/>
    <d v="2012-05-26T03:27:56"/>
    <s v="Zar 1080000"/>
    <n v="1080000"/>
    <s v="ZAR"/>
    <n v="131675.52225194403"/>
    <s v="Finance manager"/>
    <x v="3"/>
    <s v="South africa"/>
    <x v="11"/>
    <x v="2"/>
    <m/>
    <s v=""/>
    <s v=""/>
    <s v=""/>
    <s v=""/>
    <s v=""/>
    <s v=""/>
    <x v="0"/>
    <x v="0"/>
    <x v="1"/>
    <x v="0"/>
    <x v="0"/>
    <x v="0"/>
    <x v="0"/>
    <x v="107"/>
    <x v="0"/>
    <x v="0"/>
    <x v="0"/>
  </r>
  <r>
    <s v="ID0486"/>
    <d v="2012-05-26T03:30:42"/>
    <s v="GB Sterling 59k"/>
    <n v="59000"/>
    <s v="GBP"/>
    <n v="92994.518051969761"/>
    <s v="Health and safety advisor"/>
    <x v="8"/>
    <s v="UK"/>
    <x v="14"/>
    <x v="2"/>
    <m/>
    <s v=""/>
    <s v=""/>
    <s v=""/>
    <s v=""/>
    <s v=""/>
    <s v=""/>
    <x v="0"/>
    <x v="0"/>
    <x v="1"/>
    <x v="25"/>
    <x v="0"/>
    <x v="0"/>
    <x v="0"/>
    <x v="0"/>
    <x v="0"/>
    <x v="0"/>
    <x v="0"/>
  </r>
  <r>
    <s v="ID0487"/>
    <d v="2012-05-26T03:31:34"/>
    <n v="50000"/>
    <n v="50000"/>
    <s v="USD"/>
    <n v="50000"/>
    <s v="Workforce Analyst"/>
    <x v="0"/>
    <s v="USA"/>
    <x v="2"/>
    <x v="0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488"/>
    <d v="2012-05-26T03:32:13"/>
    <n v="65000"/>
    <n v="65000"/>
    <s v="USD"/>
    <n v="65000"/>
    <s v="Business Systems Analyst"/>
    <x v="0"/>
    <s v="USA"/>
    <x v="2"/>
    <x v="2"/>
    <m/>
    <s v=""/>
    <s v=""/>
    <s v=""/>
    <s v=""/>
    <s v=""/>
    <s v=""/>
    <x v="0"/>
    <x v="0"/>
    <x v="84"/>
    <x v="0"/>
    <x v="0"/>
    <x v="0"/>
    <x v="0"/>
    <x v="0"/>
    <x v="0"/>
    <x v="0"/>
    <x v="0"/>
  </r>
  <r>
    <s v="ID0489"/>
    <d v="2012-05-26T03:32:53"/>
    <n v="46000"/>
    <n v="46000"/>
    <s v="CAD"/>
    <n v="45234.630059395036"/>
    <s v="Sr. Marketing Solutions Analyst"/>
    <x v="0"/>
    <s v="Canada"/>
    <x v="17"/>
    <x v="1"/>
    <m/>
    <s v=""/>
    <s v=""/>
    <s v=""/>
    <s v=""/>
    <s v=""/>
    <s v=""/>
    <x v="0"/>
    <x v="0"/>
    <x v="118"/>
    <x v="0"/>
    <x v="0"/>
    <x v="0"/>
    <x v="0"/>
    <x v="0"/>
    <x v="0"/>
    <x v="0"/>
    <x v="0"/>
  </r>
  <r>
    <s v="ID0490"/>
    <d v="2012-05-26T03:33:32"/>
    <n v="55000"/>
    <n v="55000"/>
    <s v="USD"/>
    <n v="55000"/>
    <s v="Analyst"/>
    <x v="0"/>
    <s v="USA"/>
    <x v="2"/>
    <x v="2"/>
    <m/>
    <s v=""/>
    <s v=""/>
    <s v=""/>
    <s v=""/>
    <s v=""/>
    <s v=""/>
    <x v="0"/>
    <x v="0"/>
    <x v="78"/>
    <x v="0"/>
    <x v="0"/>
    <x v="0"/>
    <x v="0"/>
    <x v="0"/>
    <x v="0"/>
    <x v="0"/>
    <x v="0"/>
  </r>
  <r>
    <s v="ID0491"/>
    <d v="2012-05-26T03:34:04"/>
    <s v="20000 US$"/>
    <n v="20000"/>
    <s v="USD"/>
    <n v="20000"/>
    <s v="Consultant"/>
    <x v="8"/>
    <s v="India"/>
    <x v="0"/>
    <x v="2"/>
    <m/>
    <s v=""/>
    <s v=""/>
    <s v=""/>
    <s v=""/>
    <s v=""/>
    <s v=""/>
    <x v="0"/>
    <x v="0"/>
    <x v="1"/>
    <x v="26"/>
    <x v="0"/>
    <x v="0"/>
    <x v="0"/>
    <x v="0"/>
    <x v="0"/>
    <x v="0"/>
    <x v="0"/>
  </r>
  <r>
    <s v="ID0492"/>
    <d v="2012-05-26T03:34:15"/>
    <n v="6000"/>
    <n v="6000"/>
    <s v="USD"/>
    <n v="6000"/>
    <s v="MIS"/>
    <x v="7"/>
    <s v="India"/>
    <x v="0"/>
    <x v="1"/>
    <m/>
    <s v=""/>
    <s v=""/>
    <s v=""/>
    <s v=""/>
    <s v=""/>
    <s v=""/>
    <x v="0"/>
    <x v="0"/>
    <x v="1"/>
    <x v="0"/>
    <x v="0"/>
    <x v="0"/>
    <x v="0"/>
    <x v="0"/>
    <x v="0"/>
    <x v="11"/>
    <x v="0"/>
  </r>
  <r>
    <s v="ID0493"/>
    <d v="2012-05-26T03:37:33"/>
    <n v="190000"/>
    <n v="190000"/>
    <s v="GBP"/>
    <n v="299473.87169278396"/>
    <s v="Managing Partner"/>
    <x v="4"/>
    <s v="UK"/>
    <x v="14"/>
    <x v="0"/>
    <m/>
    <s v=""/>
    <s v=""/>
    <s v=""/>
    <s v=""/>
    <s v=""/>
    <s v=""/>
    <x v="0"/>
    <x v="0"/>
    <x v="1"/>
    <x v="0"/>
    <x v="0"/>
    <x v="22"/>
    <x v="0"/>
    <x v="0"/>
    <x v="0"/>
    <x v="0"/>
    <x v="0"/>
  </r>
  <r>
    <s v="ID0494"/>
    <d v="2012-05-26T03:37:46"/>
    <n v="28164"/>
    <n v="28164"/>
    <s v="GBP"/>
    <n v="44391.484854502989"/>
    <s v="Administration Officer"/>
    <x v="3"/>
    <s v="UK"/>
    <x v="14"/>
    <x v="0"/>
    <m/>
    <s v=""/>
    <s v=""/>
    <s v=""/>
    <s v=""/>
    <s v=""/>
    <s v=""/>
    <x v="0"/>
    <x v="0"/>
    <x v="1"/>
    <x v="0"/>
    <x v="0"/>
    <x v="0"/>
    <x v="0"/>
    <x v="108"/>
    <x v="0"/>
    <x v="0"/>
    <x v="0"/>
  </r>
  <r>
    <s v="ID0495"/>
    <d v="2012-05-26T03:40:26"/>
    <n v="40000"/>
    <n v="40000"/>
    <s v="USD"/>
    <n v="40000"/>
    <s v="BAS"/>
    <x v="0"/>
    <s v="USA"/>
    <x v="2"/>
    <x v="2"/>
    <m/>
    <s v=""/>
    <s v=""/>
    <s v=""/>
    <s v=""/>
    <s v=""/>
    <s v=""/>
    <x v="0"/>
    <x v="0"/>
    <x v="27"/>
    <x v="0"/>
    <x v="0"/>
    <x v="0"/>
    <x v="0"/>
    <x v="0"/>
    <x v="0"/>
    <x v="0"/>
    <x v="0"/>
  </r>
  <r>
    <s v="ID0496"/>
    <d v="2012-05-26T03:48:42"/>
    <s v="USD 108,000"/>
    <n v="108000"/>
    <s v="USD"/>
    <n v="108000"/>
    <s v="Manager"/>
    <x v="3"/>
    <s v="Norway"/>
    <x v="46"/>
    <x v="0"/>
    <m/>
    <s v=""/>
    <s v=""/>
    <s v=""/>
    <s v=""/>
    <s v=""/>
    <s v=""/>
    <x v="0"/>
    <x v="0"/>
    <x v="1"/>
    <x v="0"/>
    <x v="0"/>
    <x v="0"/>
    <x v="0"/>
    <x v="81"/>
    <x v="0"/>
    <x v="0"/>
    <x v="0"/>
  </r>
  <r>
    <s v="ID0497"/>
    <d v="2012-05-26T03:49:21"/>
    <s v="200000 Rupees"/>
    <n v="200000"/>
    <s v="INR"/>
    <n v="3561.5833374885137"/>
    <s v="chemist"/>
    <x v="0"/>
    <s v="India"/>
    <x v="0"/>
    <x v="2"/>
    <m/>
    <s v=""/>
    <s v=""/>
    <s v=""/>
    <s v=""/>
    <s v=""/>
    <s v=""/>
    <x v="0"/>
    <x v="0"/>
    <x v="68"/>
    <x v="0"/>
    <x v="0"/>
    <x v="0"/>
    <x v="0"/>
    <x v="0"/>
    <x v="0"/>
    <x v="0"/>
    <x v="0"/>
  </r>
  <r>
    <s v="ID0498"/>
    <d v="2012-05-26T03:50:24"/>
    <n v="84000"/>
    <n v="84000"/>
    <s v="USD"/>
    <n v="84000"/>
    <s v="Senior Analyst"/>
    <x v="0"/>
    <s v="USA"/>
    <x v="2"/>
    <x v="1"/>
    <m/>
    <s v=""/>
    <s v=""/>
    <s v=""/>
    <s v=""/>
    <s v=""/>
    <s v=""/>
    <x v="0"/>
    <x v="0"/>
    <x v="119"/>
    <x v="0"/>
    <x v="0"/>
    <x v="0"/>
    <x v="0"/>
    <x v="0"/>
    <x v="0"/>
    <x v="0"/>
    <x v="0"/>
  </r>
  <r>
    <s v="ID0499"/>
    <d v="2012-05-26T03:52:24"/>
    <n v="33000"/>
    <n v="33000"/>
    <s v="GBP"/>
    <n v="52013.882978220376"/>
    <s v="LOGISTIC MANAGER"/>
    <x v="3"/>
    <s v="UK"/>
    <x v="14"/>
    <x v="0"/>
    <m/>
    <s v=""/>
    <s v=""/>
    <s v=""/>
    <s v=""/>
    <s v=""/>
    <s v=""/>
    <x v="0"/>
    <x v="0"/>
    <x v="1"/>
    <x v="0"/>
    <x v="0"/>
    <x v="0"/>
    <x v="0"/>
    <x v="109"/>
    <x v="0"/>
    <x v="0"/>
    <x v="0"/>
  </r>
  <r>
    <s v="ID0500"/>
    <d v="2012-05-26T03:53:29"/>
    <s v="Rs. 7,20,000/-"/>
    <n v="720000"/>
    <s v="INR"/>
    <n v="12821.700014958649"/>
    <s v="Manager Finance"/>
    <x v="3"/>
    <s v="India"/>
    <x v="0"/>
    <x v="2"/>
    <m/>
    <s v=""/>
    <s v=""/>
    <s v=""/>
    <s v=""/>
    <s v=""/>
    <s v=""/>
    <x v="0"/>
    <x v="0"/>
    <x v="1"/>
    <x v="0"/>
    <x v="0"/>
    <x v="0"/>
    <x v="0"/>
    <x v="110"/>
    <x v="0"/>
    <x v="0"/>
    <x v="0"/>
  </r>
  <r>
    <s v="ID0501"/>
    <d v="2012-05-26T04:00:21"/>
    <n v="68500"/>
    <n v="68500"/>
    <s v="CAD"/>
    <n v="67360.264327577388"/>
    <s v="Financial Analyst"/>
    <x v="0"/>
    <s v="Canada"/>
    <x v="17"/>
    <x v="0"/>
    <m/>
    <s v=""/>
    <s v=""/>
    <s v=""/>
    <s v=""/>
    <s v=""/>
    <s v=""/>
    <x v="0"/>
    <x v="0"/>
    <x v="120"/>
    <x v="0"/>
    <x v="0"/>
    <x v="0"/>
    <x v="0"/>
    <x v="0"/>
    <x v="0"/>
    <x v="0"/>
    <x v="0"/>
  </r>
  <r>
    <s v="ID0502"/>
    <d v="2012-05-26T04:01:45"/>
    <s v="23000 USD"/>
    <n v="23000"/>
    <s v="USD"/>
    <n v="23000"/>
    <s v="IT solutions coordinator"/>
    <x v="3"/>
    <s v="Hungary"/>
    <x v="9"/>
    <x v="0"/>
    <m/>
    <s v=""/>
    <s v=""/>
    <s v=""/>
    <s v=""/>
    <s v=""/>
    <s v=""/>
    <x v="0"/>
    <x v="0"/>
    <x v="1"/>
    <x v="0"/>
    <x v="0"/>
    <x v="0"/>
    <x v="0"/>
    <x v="111"/>
    <x v="0"/>
    <x v="0"/>
    <x v="0"/>
  </r>
  <r>
    <s v="ID0503"/>
    <d v="2012-05-26T04:01:59"/>
    <n v="58000"/>
    <n v="58000"/>
    <s v="GBP"/>
    <n v="91418.339779902482"/>
    <s v="Business Modeller"/>
    <x v="3"/>
    <s v="UK"/>
    <x v="14"/>
    <x v="1"/>
    <m/>
    <s v=""/>
    <s v=""/>
    <s v=""/>
    <s v=""/>
    <s v=""/>
    <s v=""/>
    <x v="0"/>
    <x v="0"/>
    <x v="1"/>
    <x v="0"/>
    <x v="0"/>
    <x v="0"/>
    <x v="0"/>
    <x v="112"/>
    <x v="0"/>
    <x v="0"/>
    <x v="0"/>
  </r>
  <r>
    <s v="ID0504"/>
    <d v="2012-05-26T04:03:33"/>
    <n v="77000"/>
    <n v="77000"/>
    <s v="USD"/>
    <n v="77000"/>
    <s v="Senior Financial Analyst"/>
    <x v="0"/>
    <s v="USA"/>
    <x v="2"/>
    <x v="1"/>
    <m/>
    <s v=""/>
    <s v=""/>
    <s v=""/>
    <s v=""/>
    <s v=""/>
    <s v=""/>
    <x v="0"/>
    <x v="0"/>
    <x v="121"/>
    <x v="0"/>
    <x v="0"/>
    <x v="0"/>
    <x v="0"/>
    <x v="0"/>
    <x v="0"/>
    <x v="0"/>
    <x v="0"/>
  </r>
  <r>
    <s v="ID0505"/>
    <d v="2012-05-26T04:05:08"/>
    <n v="100000"/>
    <n v="100000"/>
    <s v="USD"/>
    <n v="100000"/>
    <s v="Analyst"/>
    <x v="0"/>
    <s v="USA"/>
    <x v="2"/>
    <x v="0"/>
    <m/>
    <s v=""/>
    <s v=""/>
    <s v=""/>
    <s v=""/>
    <s v=""/>
    <s v=""/>
    <x v="0"/>
    <x v="0"/>
    <x v="13"/>
    <x v="0"/>
    <x v="0"/>
    <x v="0"/>
    <x v="0"/>
    <x v="0"/>
    <x v="0"/>
    <x v="0"/>
    <x v="0"/>
  </r>
  <r>
    <s v="ID0506"/>
    <d v="2012-05-26T04:10:53"/>
    <n v="55500"/>
    <n v="55500"/>
    <s v="USD"/>
    <n v="55500"/>
    <s v="Sr QS"/>
    <x v="1"/>
    <s v="UAE"/>
    <x v="21"/>
    <x v="0"/>
    <m/>
    <s v=""/>
    <s v=""/>
    <s v=""/>
    <s v=""/>
    <s v=""/>
    <s v=""/>
    <x v="0"/>
    <x v="0"/>
    <x v="1"/>
    <x v="0"/>
    <x v="11"/>
    <x v="0"/>
    <x v="0"/>
    <x v="0"/>
    <x v="0"/>
    <x v="0"/>
    <x v="0"/>
  </r>
  <r>
    <s v="ID0507"/>
    <d v="2012-05-26T04:12:16"/>
    <s v="15000 â‚¬"/>
    <n v="15000"/>
    <s v="EUR"/>
    <n v="19055.991584874118"/>
    <s v="Report Analyst"/>
    <x v="0"/>
    <s v="Spain"/>
    <x v="47"/>
    <x v="1"/>
    <m/>
    <s v=""/>
    <s v=""/>
    <s v=""/>
    <s v=""/>
    <s v=""/>
    <s v=""/>
    <x v="0"/>
    <x v="0"/>
    <x v="122"/>
    <x v="0"/>
    <x v="0"/>
    <x v="0"/>
    <x v="0"/>
    <x v="0"/>
    <x v="0"/>
    <x v="0"/>
    <x v="0"/>
  </r>
  <r>
    <s v="ID0508"/>
    <d v="2012-05-26T04:13:54"/>
    <s v="Rs 6L"/>
    <n v="600000"/>
    <s v="INR"/>
    <n v="10684.750012465542"/>
    <s v="Business Co ordinator"/>
    <x v="3"/>
    <s v="India"/>
    <x v="0"/>
    <x v="0"/>
    <m/>
    <s v=""/>
    <s v=""/>
    <s v=""/>
    <s v=""/>
    <s v=""/>
    <s v=""/>
    <x v="0"/>
    <x v="0"/>
    <x v="1"/>
    <x v="0"/>
    <x v="0"/>
    <x v="0"/>
    <x v="0"/>
    <x v="9"/>
    <x v="0"/>
    <x v="0"/>
    <x v="0"/>
  </r>
  <r>
    <s v="ID0509"/>
    <d v="2012-05-26T04:14:27"/>
    <n v="8400"/>
    <n v="8400"/>
    <s v="USD"/>
    <n v="8400"/>
    <s v="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113"/>
    <x v="0"/>
    <x v="0"/>
    <x v="0"/>
  </r>
  <r>
    <s v="ID0510"/>
    <d v="2012-05-26T04:16:16"/>
    <s v="Rs 500000"/>
    <n v="500000"/>
    <s v="INR"/>
    <n v="8903.9583437212841"/>
    <s v="duty manager"/>
    <x v="3"/>
    <s v="India"/>
    <x v="0"/>
    <x v="2"/>
    <m/>
    <s v=""/>
    <s v=""/>
    <s v=""/>
    <s v=""/>
    <s v=""/>
    <s v=""/>
    <x v="0"/>
    <x v="0"/>
    <x v="1"/>
    <x v="0"/>
    <x v="0"/>
    <x v="0"/>
    <x v="0"/>
    <x v="57"/>
    <x v="0"/>
    <x v="0"/>
    <x v="0"/>
  </r>
  <r>
    <s v="ID0511"/>
    <d v="2012-05-26T04:17:20"/>
    <n v="12000"/>
    <n v="12000"/>
    <s v="USD"/>
    <n v="12000"/>
    <s v="Report Analyst"/>
    <x v="0"/>
    <s v="Brazil"/>
    <x v="20"/>
    <x v="1"/>
    <m/>
    <s v=""/>
    <s v=""/>
    <s v=""/>
    <s v=""/>
    <s v=""/>
    <s v=""/>
    <x v="0"/>
    <x v="0"/>
    <x v="4"/>
    <x v="0"/>
    <x v="0"/>
    <x v="0"/>
    <x v="0"/>
    <x v="0"/>
    <x v="0"/>
    <x v="0"/>
    <x v="0"/>
  </r>
  <r>
    <s v="ID0512"/>
    <d v="2012-05-26T04:18:15"/>
    <n v="65000"/>
    <n v="65000"/>
    <s v="USD"/>
    <n v="65000"/>
    <s v="Retail Store Manager"/>
    <x v="3"/>
    <s v="USA"/>
    <x v="2"/>
    <x v="1"/>
    <m/>
    <s v=""/>
    <s v=""/>
    <s v=""/>
    <s v=""/>
    <s v=""/>
    <s v=""/>
    <x v="0"/>
    <x v="0"/>
    <x v="1"/>
    <x v="0"/>
    <x v="0"/>
    <x v="0"/>
    <x v="0"/>
    <x v="114"/>
    <x v="0"/>
    <x v="0"/>
    <x v="0"/>
  </r>
  <r>
    <s v="ID0513"/>
    <d v="2012-05-26T04:19:05"/>
    <s v="Â£16400"/>
    <n v="16400"/>
    <s v="GBP"/>
    <n v="25849.323661903458"/>
    <s v="Job Build analyst"/>
    <x v="0"/>
    <s v="UK"/>
    <x v="14"/>
    <x v="0"/>
    <m/>
    <s v=""/>
    <s v=""/>
    <s v=""/>
    <s v=""/>
    <s v=""/>
    <s v=""/>
    <x v="0"/>
    <x v="0"/>
    <x v="123"/>
    <x v="0"/>
    <x v="0"/>
    <x v="0"/>
    <x v="0"/>
    <x v="0"/>
    <x v="0"/>
    <x v="0"/>
    <x v="0"/>
  </r>
  <r>
    <s v="ID0514"/>
    <d v="2012-05-26T04:20:17"/>
    <n v="78000"/>
    <n v="78000"/>
    <s v="GBP"/>
    <n v="122941.90522124816"/>
    <s v="Associate"/>
    <x v="0"/>
    <s v="UK"/>
    <x v="14"/>
    <x v="3"/>
    <m/>
    <s v=""/>
    <s v=""/>
    <s v=""/>
    <s v=""/>
    <s v=""/>
    <s v=""/>
    <x v="0"/>
    <x v="0"/>
    <x v="124"/>
    <x v="0"/>
    <x v="0"/>
    <x v="0"/>
    <x v="0"/>
    <x v="0"/>
    <x v="0"/>
    <x v="0"/>
    <x v="0"/>
  </r>
  <r>
    <s v="ID0515"/>
    <d v="2012-05-26T04:25:24"/>
    <n v="76000"/>
    <n v="76000"/>
    <s v="USD"/>
    <n v="76000"/>
    <s v="Accounting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70"/>
    <x v="0"/>
    <x v="0"/>
    <x v="0"/>
  </r>
  <r>
    <s v="ID0516"/>
    <d v="2012-05-26T04:26:10"/>
    <s v="$150000pa"/>
    <n v="150000"/>
    <s v="USD"/>
    <n v="150000"/>
    <s v="Consultant"/>
    <x v="8"/>
    <s v="USA"/>
    <x v="2"/>
    <x v="1"/>
    <m/>
    <s v=""/>
    <s v=""/>
    <s v=""/>
    <s v=""/>
    <s v=""/>
    <s v=""/>
    <x v="0"/>
    <x v="0"/>
    <x v="1"/>
    <x v="27"/>
    <x v="0"/>
    <x v="0"/>
    <x v="0"/>
    <x v="0"/>
    <x v="0"/>
    <x v="0"/>
    <x v="0"/>
  </r>
  <r>
    <s v="ID0517"/>
    <d v="2012-05-26T04:27:12"/>
    <n v="54000"/>
    <n v="54000"/>
    <s v="USD"/>
    <n v="54000"/>
    <s v="Business Analyst"/>
    <x v="0"/>
    <s v="USA"/>
    <x v="2"/>
    <x v="0"/>
    <m/>
    <s v=""/>
    <s v=""/>
    <s v=""/>
    <s v=""/>
    <s v=""/>
    <s v=""/>
    <x v="0"/>
    <x v="0"/>
    <x v="43"/>
    <x v="0"/>
    <x v="0"/>
    <x v="0"/>
    <x v="0"/>
    <x v="0"/>
    <x v="0"/>
    <x v="0"/>
    <x v="0"/>
  </r>
  <r>
    <s v="ID0518"/>
    <d v="2012-05-26T04:33:03"/>
    <s v="57000 USD"/>
    <n v="57000"/>
    <s v="USD"/>
    <n v="57000"/>
    <s v="project finance manager"/>
    <x v="3"/>
    <s v="israel"/>
    <x v="34"/>
    <x v="0"/>
    <m/>
    <s v=""/>
    <s v=""/>
    <s v=""/>
    <s v=""/>
    <s v=""/>
    <s v=""/>
    <x v="0"/>
    <x v="0"/>
    <x v="1"/>
    <x v="0"/>
    <x v="0"/>
    <x v="0"/>
    <x v="0"/>
    <x v="29"/>
    <x v="0"/>
    <x v="0"/>
    <x v="0"/>
  </r>
  <r>
    <s v="ID0519"/>
    <d v="2012-05-26T04:33:27"/>
    <n v="61000"/>
    <n v="61000"/>
    <s v="USD"/>
    <n v="61000"/>
    <s v="Senior Accountant"/>
    <x v="5"/>
    <s v="USA"/>
    <x v="2"/>
    <x v="0"/>
    <m/>
    <s v=""/>
    <s v=""/>
    <s v=""/>
    <s v=""/>
    <s v=""/>
    <s v=""/>
    <x v="0"/>
    <x v="31"/>
    <x v="1"/>
    <x v="0"/>
    <x v="0"/>
    <x v="0"/>
    <x v="0"/>
    <x v="0"/>
    <x v="0"/>
    <x v="0"/>
    <x v="0"/>
  </r>
  <r>
    <s v="ID0520"/>
    <d v="2012-05-26T04:34:41"/>
    <n v="70000"/>
    <n v="70000"/>
    <s v="USD"/>
    <n v="70000"/>
    <s v="Metrics Analyst"/>
    <x v="0"/>
    <s v="USA"/>
    <x v="2"/>
    <x v="1"/>
    <m/>
    <s v=""/>
    <s v=""/>
    <s v=""/>
    <s v=""/>
    <s v=""/>
    <s v=""/>
    <x v="0"/>
    <x v="0"/>
    <x v="59"/>
    <x v="0"/>
    <x v="0"/>
    <x v="0"/>
    <x v="0"/>
    <x v="0"/>
    <x v="0"/>
    <x v="0"/>
    <x v="0"/>
  </r>
  <r>
    <s v="ID0521"/>
    <d v="2012-05-26T04:36:43"/>
    <n v="15000"/>
    <n v="15000"/>
    <s v="USD"/>
    <n v="15000"/>
    <s v="Asst.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72"/>
    <x v="0"/>
    <x v="0"/>
    <x v="0"/>
  </r>
  <r>
    <s v="ID0522"/>
    <d v="2012-05-26T04:39:11"/>
    <n v="87550"/>
    <n v="87550"/>
    <s v="CAD"/>
    <n v="86093.301341305123"/>
    <s v="Manager"/>
    <x v="3"/>
    <s v="Canada"/>
    <x v="17"/>
    <x v="0"/>
    <m/>
    <s v=""/>
    <s v=""/>
    <s v=""/>
    <s v=""/>
    <s v=""/>
    <s v=""/>
    <x v="0"/>
    <x v="0"/>
    <x v="1"/>
    <x v="0"/>
    <x v="0"/>
    <x v="0"/>
    <x v="0"/>
    <x v="115"/>
    <x v="0"/>
    <x v="0"/>
    <x v="0"/>
  </r>
  <r>
    <s v="ID0523"/>
    <d v="2012-05-26T04:40:36"/>
    <n v="72600"/>
    <n v="72600"/>
    <s v="USD"/>
    <n v="72600"/>
    <s v="Accounting Operations Manager"/>
    <x v="3"/>
    <s v="USA"/>
    <x v="2"/>
    <x v="2"/>
    <m/>
    <s v=""/>
    <s v=""/>
    <s v=""/>
    <s v=""/>
    <s v=""/>
    <s v=""/>
    <x v="0"/>
    <x v="0"/>
    <x v="1"/>
    <x v="0"/>
    <x v="0"/>
    <x v="0"/>
    <x v="0"/>
    <x v="116"/>
    <x v="0"/>
    <x v="0"/>
    <x v="0"/>
  </r>
  <r>
    <s v="ID0524"/>
    <d v="2012-05-26T04:41:20"/>
    <n v="100000"/>
    <n v="100000"/>
    <s v="USD"/>
    <n v="100000"/>
    <s v="Director"/>
    <x v="4"/>
    <s v="USA"/>
    <x v="2"/>
    <x v="2"/>
    <m/>
    <s v=""/>
    <s v=""/>
    <s v=""/>
    <s v=""/>
    <s v=""/>
    <s v=""/>
    <x v="0"/>
    <x v="0"/>
    <x v="1"/>
    <x v="0"/>
    <x v="0"/>
    <x v="8"/>
    <x v="0"/>
    <x v="0"/>
    <x v="0"/>
    <x v="0"/>
    <x v="0"/>
  </r>
  <r>
    <s v="ID0525"/>
    <d v="2012-05-26T04:44:26"/>
    <n v="104000"/>
    <n v="104000"/>
    <s v="USD"/>
    <n v="104000"/>
    <s v="Vice President, Analyst"/>
    <x v="0"/>
    <s v="USA"/>
    <x v="2"/>
    <x v="0"/>
    <m/>
    <s v=""/>
    <s v=""/>
    <s v=""/>
    <s v=""/>
    <s v=""/>
    <s v=""/>
    <x v="0"/>
    <x v="0"/>
    <x v="125"/>
    <x v="0"/>
    <x v="0"/>
    <x v="0"/>
    <x v="0"/>
    <x v="0"/>
    <x v="0"/>
    <x v="0"/>
    <x v="0"/>
  </r>
  <r>
    <s v="ID0526"/>
    <d v="2012-05-26T04:48:35"/>
    <n v="600000"/>
    <n v="600000"/>
    <s v="INR"/>
    <n v="10684.750012465542"/>
    <s v="Project Manager"/>
    <x v="3"/>
    <s v="India"/>
    <x v="0"/>
    <x v="0"/>
    <m/>
    <s v=""/>
    <s v=""/>
    <s v=""/>
    <s v=""/>
    <s v=""/>
    <s v=""/>
    <x v="0"/>
    <x v="0"/>
    <x v="1"/>
    <x v="0"/>
    <x v="0"/>
    <x v="0"/>
    <x v="0"/>
    <x v="9"/>
    <x v="0"/>
    <x v="0"/>
    <x v="0"/>
  </r>
  <r>
    <s v="ID0527"/>
    <d v="2012-05-26T04:48:54"/>
    <n v="200000"/>
    <n v="200000"/>
    <s v="USD"/>
    <n v="200000"/>
    <s v="COO"/>
    <x v="4"/>
    <s v="USA"/>
    <x v="2"/>
    <x v="2"/>
    <m/>
    <s v=""/>
    <s v=""/>
    <s v=""/>
    <s v=""/>
    <s v=""/>
    <s v=""/>
    <x v="0"/>
    <x v="0"/>
    <x v="1"/>
    <x v="0"/>
    <x v="0"/>
    <x v="23"/>
    <x v="0"/>
    <x v="0"/>
    <x v="0"/>
    <x v="0"/>
    <x v="0"/>
  </r>
  <r>
    <s v="ID0528"/>
    <d v="2012-05-26T04:50:21"/>
    <s v="EUR 49248"/>
    <n v="49248"/>
    <s v="EUR"/>
    <n v="62564.631571458704"/>
    <s v="Financial Advisor"/>
    <x v="5"/>
    <s v="Netherlands"/>
    <x v="18"/>
    <x v="1"/>
    <m/>
    <s v=""/>
    <s v=""/>
    <s v=""/>
    <s v=""/>
    <s v=""/>
    <s v=""/>
    <x v="0"/>
    <x v="32"/>
    <x v="1"/>
    <x v="0"/>
    <x v="0"/>
    <x v="0"/>
    <x v="0"/>
    <x v="0"/>
    <x v="0"/>
    <x v="0"/>
    <x v="0"/>
  </r>
  <r>
    <s v="ID0529"/>
    <d v="2012-05-26T04:50:47"/>
    <n v="36500"/>
    <n v="36500"/>
    <s v="GBP"/>
    <n v="57530.506930455871"/>
    <s v="Production Manager"/>
    <x v="3"/>
    <s v="UK"/>
    <x v="14"/>
    <x v="2"/>
    <m/>
    <s v=""/>
    <s v=""/>
    <s v=""/>
    <s v=""/>
    <s v=""/>
    <s v=""/>
    <x v="0"/>
    <x v="0"/>
    <x v="1"/>
    <x v="0"/>
    <x v="0"/>
    <x v="0"/>
    <x v="0"/>
    <x v="117"/>
    <x v="0"/>
    <x v="0"/>
    <x v="0"/>
  </r>
  <r>
    <s v="ID0530"/>
    <d v="2012-05-26T05:00:21"/>
    <n v="82300"/>
    <n v="82300"/>
    <s v="USD"/>
    <n v="82300"/>
    <s v="Manager - Finance"/>
    <x v="3"/>
    <s v="USA"/>
    <x v="2"/>
    <x v="2"/>
    <m/>
    <s v=""/>
    <s v=""/>
    <s v=""/>
    <s v=""/>
    <s v=""/>
    <s v=""/>
    <x v="0"/>
    <x v="0"/>
    <x v="1"/>
    <x v="0"/>
    <x v="0"/>
    <x v="0"/>
    <x v="0"/>
    <x v="118"/>
    <x v="0"/>
    <x v="0"/>
    <x v="0"/>
  </r>
  <r>
    <s v="ID0531"/>
    <d v="2012-05-26T05:04:49"/>
    <n v="95000"/>
    <n v="95000"/>
    <s v="USD"/>
    <n v="95000"/>
    <s v="Process Design Consultant"/>
    <x v="8"/>
    <s v="USA"/>
    <x v="2"/>
    <x v="0"/>
    <m/>
    <s v=""/>
    <s v=""/>
    <s v=""/>
    <s v=""/>
    <s v=""/>
    <s v=""/>
    <x v="0"/>
    <x v="0"/>
    <x v="1"/>
    <x v="28"/>
    <x v="0"/>
    <x v="0"/>
    <x v="0"/>
    <x v="0"/>
    <x v="0"/>
    <x v="0"/>
    <x v="0"/>
  </r>
  <r>
    <s v="ID0532"/>
    <d v="2012-05-26T05:07:30"/>
    <n v="140000"/>
    <n v="140000"/>
    <s v="GBP"/>
    <n v="220664.95808941979"/>
    <s v="vba specialist"/>
    <x v="6"/>
    <s v="UK"/>
    <x v="14"/>
    <x v="1"/>
    <m/>
    <s v=""/>
    <s v=""/>
    <s v=""/>
    <s v=""/>
    <s v=""/>
    <s v=""/>
    <x v="0"/>
    <x v="0"/>
    <x v="1"/>
    <x v="0"/>
    <x v="0"/>
    <x v="0"/>
    <x v="0"/>
    <x v="0"/>
    <x v="0"/>
    <x v="0"/>
    <x v="22"/>
  </r>
  <r>
    <s v="ID0533"/>
    <d v="2012-05-26T05:13:03"/>
    <n v="72000"/>
    <n v="72000"/>
    <s v="USD"/>
    <n v="72000"/>
    <s v="Analytical Department Director "/>
    <x v="0"/>
    <s v="Russia"/>
    <x v="13"/>
    <x v="2"/>
    <m/>
    <s v=""/>
    <s v=""/>
    <s v=""/>
    <s v=""/>
    <s v=""/>
    <s v=""/>
    <x v="0"/>
    <x v="0"/>
    <x v="114"/>
    <x v="0"/>
    <x v="0"/>
    <x v="0"/>
    <x v="0"/>
    <x v="0"/>
    <x v="0"/>
    <x v="0"/>
    <x v="0"/>
  </r>
  <r>
    <s v="ID0534"/>
    <d v="2012-05-26T05:15:54"/>
    <n v="60000"/>
    <n v="60000"/>
    <s v="AUD"/>
    <n v="61194.579384158147"/>
    <s v="Analyst"/>
    <x v="0"/>
    <s v="Australia"/>
    <x v="16"/>
    <x v="2"/>
    <m/>
    <s v=""/>
    <s v=""/>
    <s v=""/>
    <s v=""/>
    <s v=""/>
    <s v=""/>
    <x v="0"/>
    <x v="0"/>
    <x v="126"/>
    <x v="0"/>
    <x v="0"/>
    <x v="0"/>
    <x v="0"/>
    <x v="0"/>
    <x v="0"/>
    <x v="0"/>
    <x v="0"/>
  </r>
  <r>
    <s v="ID0535"/>
    <d v="2012-05-26T05:18:12"/>
    <s v="120k"/>
    <n v="120000"/>
    <s v="USD"/>
    <n v="120000"/>
    <s v="manager"/>
    <x v="3"/>
    <s v="nz"/>
    <x v="48"/>
    <x v="2"/>
    <m/>
    <s v=""/>
    <s v=""/>
    <s v=""/>
    <s v=""/>
    <s v=""/>
    <s v=""/>
    <x v="0"/>
    <x v="0"/>
    <x v="1"/>
    <x v="0"/>
    <x v="0"/>
    <x v="0"/>
    <x v="0"/>
    <x v="25"/>
    <x v="0"/>
    <x v="0"/>
    <x v="0"/>
  </r>
  <r>
    <s v="ID0536"/>
    <d v="2012-05-26T05:18:27"/>
    <s v="US$95K"/>
    <n v="95000"/>
    <s v="USD"/>
    <n v="95000"/>
    <s v="Director of Supply Chain"/>
    <x v="4"/>
    <s v="Central America"/>
    <x v="49"/>
    <x v="2"/>
    <m/>
    <s v=""/>
    <s v=""/>
    <s v=""/>
    <s v=""/>
    <s v=""/>
    <s v=""/>
    <x v="0"/>
    <x v="0"/>
    <x v="1"/>
    <x v="0"/>
    <x v="0"/>
    <x v="6"/>
    <x v="0"/>
    <x v="0"/>
    <x v="0"/>
    <x v="0"/>
    <x v="0"/>
  </r>
  <r>
    <s v="ID0537"/>
    <d v="2012-05-26T05:20:43"/>
    <n v="50000"/>
    <n v="50000"/>
    <s v="USD"/>
    <n v="50000"/>
    <s v="Research Assistant"/>
    <x v="0"/>
    <s v="USA"/>
    <x v="2"/>
    <x v="2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538"/>
    <d v="2012-05-26T05:23:20"/>
    <s v="73,000 GBP"/>
    <n v="73000"/>
    <s v="GBP"/>
    <n v="115061.01386091174"/>
    <s v="Finance Manager"/>
    <x v="3"/>
    <s v="UK"/>
    <x v="14"/>
    <x v="0"/>
    <m/>
    <s v=""/>
    <s v=""/>
    <s v=""/>
    <s v=""/>
    <s v=""/>
    <s v=""/>
    <x v="0"/>
    <x v="0"/>
    <x v="1"/>
    <x v="0"/>
    <x v="0"/>
    <x v="0"/>
    <x v="0"/>
    <x v="119"/>
    <x v="0"/>
    <x v="0"/>
    <x v="0"/>
  </r>
  <r>
    <s v="ID0539"/>
    <d v="2012-05-26T05:24:16"/>
    <n v="50000"/>
    <n v="50000"/>
    <s v="USD"/>
    <n v="50000"/>
    <s v="Excel professional"/>
    <x v="0"/>
    <s v="self-employed"/>
    <x v="50"/>
    <x v="0"/>
    <m/>
    <s v=""/>
    <s v=""/>
    <s v=""/>
    <s v=""/>
    <s v=""/>
    <s v=""/>
    <x v="0"/>
    <x v="0"/>
    <x v="21"/>
    <x v="0"/>
    <x v="0"/>
    <x v="0"/>
    <x v="0"/>
    <x v="0"/>
    <x v="0"/>
    <x v="0"/>
    <x v="0"/>
  </r>
  <r>
    <s v="ID0540"/>
    <d v="2012-05-26T05:27:14"/>
    <n v="46000"/>
    <n v="46000"/>
    <s v="USD"/>
    <n v="46000"/>
    <s v="Research Analyst"/>
    <x v="0"/>
    <s v="USA"/>
    <x v="2"/>
    <x v="2"/>
    <m/>
    <s v=""/>
    <s v=""/>
    <s v=""/>
    <s v=""/>
    <s v=""/>
    <s v=""/>
    <x v="0"/>
    <x v="0"/>
    <x v="81"/>
    <x v="0"/>
    <x v="0"/>
    <x v="0"/>
    <x v="0"/>
    <x v="0"/>
    <x v="0"/>
    <x v="0"/>
    <x v="0"/>
  </r>
  <r>
    <s v="ID0541"/>
    <d v="2012-05-26T05:27:37"/>
    <s v="PKR 50,000"/>
    <n v="600000"/>
    <s v="PKR"/>
    <n v="6368.453230079479"/>
    <s v="Trainer"/>
    <x v="8"/>
    <s v="Pakistan"/>
    <x v="3"/>
    <x v="0"/>
    <m/>
    <s v=""/>
    <s v=""/>
    <s v=""/>
    <s v=""/>
    <s v=""/>
    <s v=""/>
    <x v="0"/>
    <x v="0"/>
    <x v="1"/>
    <x v="29"/>
    <x v="0"/>
    <x v="0"/>
    <x v="0"/>
    <x v="0"/>
    <x v="0"/>
    <x v="0"/>
    <x v="0"/>
  </r>
  <r>
    <s v="ID0543"/>
    <d v="2012-05-26T05:28:46"/>
    <n v="85000"/>
    <n v="85000"/>
    <s v="AUD"/>
    <n v="86692.320794224041"/>
    <s v="Business analyst"/>
    <x v="0"/>
    <s v="Australia"/>
    <x v="16"/>
    <x v="0"/>
    <m/>
    <s v=""/>
    <s v=""/>
    <s v=""/>
    <s v=""/>
    <s v=""/>
    <s v=""/>
    <x v="0"/>
    <x v="0"/>
    <x v="127"/>
    <x v="0"/>
    <x v="0"/>
    <x v="0"/>
    <x v="0"/>
    <x v="0"/>
    <x v="0"/>
    <x v="0"/>
    <x v="0"/>
  </r>
  <r>
    <s v="ID0544"/>
    <d v="2012-05-26T05:29:55"/>
    <n v="450000"/>
    <n v="450000"/>
    <s v="INR"/>
    <n v="8013.5625093491553"/>
    <s v="deputy manager"/>
    <x v="3"/>
    <s v="India"/>
    <x v="0"/>
    <x v="1"/>
    <m/>
    <s v=""/>
    <s v=""/>
    <s v=""/>
    <s v=""/>
    <s v=""/>
    <s v=""/>
    <x v="0"/>
    <x v="0"/>
    <x v="1"/>
    <x v="0"/>
    <x v="0"/>
    <x v="0"/>
    <x v="0"/>
    <x v="120"/>
    <x v="0"/>
    <x v="0"/>
    <x v="0"/>
  </r>
  <r>
    <s v="ID0545"/>
    <d v="2012-05-26T05:29:58"/>
    <n v="43000"/>
    <n v="43000"/>
    <s v="USD"/>
    <n v="43000"/>
    <s v="Accountant"/>
    <x v="5"/>
    <s v="USA"/>
    <x v="2"/>
    <x v="1"/>
    <m/>
    <s v=""/>
    <s v=""/>
    <s v=""/>
    <s v=""/>
    <s v=""/>
    <s v=""/>
    <x v="0"/>
    <x v="33"/>
    <x v="1"/>
    <x v="0"/>
    <x v="0"/>
    <x v="0"/>
    <x v="0"/>
    <x v="0"/>
    <x v="0"/>
    <x v="0"/>
    <x v="0"/>
  </r>
  <r>
    <s v="ID0546"/>
    <d v="2012-05-26T05:30:12"/>
    <n v="1500"/>
    <n v="18000"/>
    <s v="USD"/>
    <n v="18000"/>
    <s v="Engineer"/>
    <x v="2"/>
    <s v="Brazil"/>
    <x v="20"/>
    <x v="0"/>
    <m/>
    <s v=""/>
    <s v=""/>
    <s v=""/>
    <s v=""/>
    <s v=""/>
    <s v=""/>
    <x v="0"/>
    <x v="0"/>
    <x v="1"/>
    <x v="0"/>
    <x v="0"/>
    <x v="0"/>
    <x v="22"/>
    <x v="0"/>
    <x v="0"/>
    <x v="0"/>
    <x v="0"/>
  </r>
  <r>
    <s v="ID0547"/>
    <d v="2012-05-26T05:31:06"/>
    <n v="55000"/>
    <n v="55000"/>
    <s v="USD"/>
    <n v="55000"/>
    <s v="Marketing"/>
    <x v="0"/>
    <s v="USA"/>
    <x v="2"/>
    <x v="2"/>
    <m/>
    <s v=""/>
    <s v=""/>
    <s v=""/>
    <s v=""/>
    <s v=""/>
    <s v=""/>
    <x v="0"/>
    <x v="0"/>
    <x v="78"/>
    <x v="0"/>
    <x v="0"/>
    <x v="0"/>
    <x v="0"/>
    <x v="0"/>
    <x v="0"/>
    <x v="0"/>
    <x v="0"/>
  </r>
  <r>
    <s v="ID0548"/>
    <d v="2012-05-26T05:31:25"/>
    <s v="Rs. 500000"/>
    <n v="500000"/>
    <s v="INR"/>
    <n v="8903.9583437212841"/>
    <s v="Research Associate"/>
    <x v="0"/>
    <s v="India"/>
    <x v="0"/>
    <x v="1"/>
    <m/>
    <s v=""/>
    <s v=""/>
    <s v=""/>
    <s v=""/>
    <s v=""/>
    <s v=""/>
    <x v="0"/>
    <x v="0"/>
    <x v="51"/>
    <x v="0"/>
    <x v="0"/>
    <x v="0"/>
    <x v="0"/>
    <x v="0"/>
    <x v="0"/>
    <x v="0"/>
    <x v="0"/>
  </r>
  <r>
    <s v="ID0549"/>
    <d v="2012-05-26T05:33:43"/>
    <n v="45000"/>
    <n v="45000"/>
    <s v="USD"/>
    <n v="45000"/>
    <s v="Reports Coordinator"/>
    <x v="7"/>
    <s v="USA"/>
    <x v="2"/>
    <x v="1"/>
    <m/>
    <s v=""/>
    <s v=""/>
    <s v=""/>
    <s v=""/>
    <s v=""/>
    <s v=""/>
    <x v="0"/>
    <x v="0"/>
    <x v="1"/>
    <x v="0"/>
    <x v="0"/>
    <x v="0"/>
    <x v="0"/>
    <x v="0"/>
    <x v="0"/>
    <x v="1"/>
    <x v="0"/>
  </r>
  <r>
    <s v="ID0550"/>
    <d v="2012-05-26T05:35:00"/>
    <n v="50000"/>
    <n v="50000"/>
    <s v="USD"/>
    <n v="50000"/>
    <s v="Quality Compliance Manager"/>
    <x v="3"/>
    <s v="USA"/>
    <x v="2"/>
    <x v="0"/>
    <m/>
    <s v=""/>
    <s v=""/>
    <s v=""/>
    <s v=""/>
    <s v=""/>
    <s v=""/>
    <x v="0"/>
    <x v="0"/>
    <x v="1"/>
    <x v="0"/>
    <x v="0"/>
    <x v="0"/>
    <x v="0"/>
    <x v="4"/>
    <x v="0"/>
    <x v="0"/>
    <x v="0"/>
  </r>
  <r>
    <s v="ID0551"/>
    <d v="2012-05-26T05:44:42"/>
    <s v="80,000 USD"/>
    <n v="80000"/>
    <s v="USD"/>
    <n v="80000"/>
    <s v="Cost Analyst"/>
    <x v="0"/>
    <s v="USA"/>
    <x v="2"/>
    <x v="1"/>
    <m/>
    <s v=""/>
    <s v=""/>
    <s v=""/>
    <s v=""/>
    <s v=""/>
    <s v=""/>
    <x v="0"/>
    <x v="0"/>
    <x v="30"/>
    <x v="0"/>
    <x v="0"/>
    <x v="0"/>
    <x v="0"/>
    <x v="0"/>
    <x v="0"/>
    <x v="0"/>
    <x v="0"/>
  </r>
  <r>
    <s v="ID0552"/>
    <d v="2012-05-26T05:46:02"/>
    <n v="67000"/>
    <n v="67000"/>
    <s v="USD"/>
    <n v="67000"/>
    <s v="Management Analyst"/>
    <x v="0"/>
    <s v="USA"/>
    <x v="2"/>
    <x v="0"/>
    <m/>
    <s v=""/>
    <s v=""/>
    <s v=""/>
    <s v=""/>
    <s v=""/>
    <s v=""/>
    <x v="0"/>
    <x v="0"/>
    <x v="36"/>
    <x v="0"/>
    <x v="0"/>
    <x v="0"/>
    <x v="0"/>
    <x v="0"/>
    <x v="0"/>
    <x v="0"/>
    <x v="0"/>
  </r>
  <r>
    <s v="ID0553"/>
    <d v="2012-05-26T05:46:42"/>
    <n v="111000"/>
    <n v="111000"/>
    <s v="USD"/>
    <n v="111000"/>
    <s v="Senior Financial Analyst"/>
    <x v="0"/>
    <s v="Japan"/>
    <x v="51"/>
    <x v="1"/>
    <m/>
    <s v=""/>
    <s v=""/>
    <s v=""/>
    <s v=""/>
    <s v=""/>
    <s v=""/>
    <x v="0"/>
    <x v="0"/>
    <x v="128"/>
    <x v="0"/>
    <x v="0"/>
    <x v="0"/>
    <x v="0"/>
    <x v="0"/>
    <x v="0"/>
    <x v="0"/>
    <x v="0"/>
  </r>
  <r>
    <s v="ID0554"/>
    <d v="2012-05-26T05:48:10"/>
    <n v="120000"/>
    <n v="120000"/>
    <s v="USD"/>
    <n v="120000"/>
    <s v="Director"/>
    <x v="4"/>
    <s v="USA"/>
    <x v="2"/>
    <x v="0"/>
    <m/>
    <s v=""/>
    <s v=""/>
    <s v=""/>
    <s v=""/>
    <s v=""/>
    <s v=""/>
    <x v="0"/>
    <x v="0"/>
    <x v="1"/>
    <x v="0"/>
    <x v="0"/>
    <x v="19"/>
    <x v="0"/>
    <x v="0"/>
    <x v="0"/>
    <x v="0"/>
    <x v="0"/>
  </r>
  <r>
    <s v="ID0555"/>
    <d v="2012-05-26T05:48:12"/>
    <s v="Â£20000"/>
    <n v="20000"/>
    <s v="GBP"/>
    <n v="31523.565441345683"/>
    <s v="IT Consultant"/>
    <x v="8"/>
    <s v="UK"/>
    <x v="14"/>
    <x v="0"/>
    <m/>
    <s v=""/>
    <s v=""/>
    <s v=""/>
    <s v=""/>
    <s v=""/>
    <s v=""/>
    <x v="0"/>
    <x v="0"/>
    <x v="1"/>
    <x v="30"/>
    <x v="0"/>
    <x v="0"/>
    <x v="0"/>
    <x v="0"/>
    <x v="0"/>
    <x v="0"/>
    <x v="0"/>
  </r>
  <r>
    <s v="ID0556"/>
    <d v="2012-05-26T05:50:21"/>
    <n v="77000"/>
    <n v="77000"/>
    <s v="AUD"/>
    <n v="78533.043543002947"/>
    <s v="Intelligence Analyst"/>
    <x v="0"/>
    <s v="Australia"/>
    <x v="16"/>
    <x v="2"/>
    <m/>
    <s v=""/>
    <s v=""/>
    <s v=""/>
    <s v=""/>
    <s v=""/>
    <s v=""/>
    <x v="0"/>
    <x v="0"/>
    <x v="129"/>
    <x v="0"/>
    <x v="0"/>
    <x v="0"/>
    <x v="0"/>
    <x v="0"/>
    <x v="0"/>
    <x v="0"/>
    <x v="0"/>
  </r>
  <r>
    <s v="ID0557"/>
    <d v="2012-05-26T05:50:23"/>
    <n v="60000"/>
    <n v="60000"/>
    <s v="USD"/>
    <n v="60000"/>
    <s v="Marketing Specialist"/>
    <x v="6"/>
    <s v="USA"/>
    <x v="2"/>
    <x v="3"/>
    <m/>
    <s v=""/>
    <s v=""/>
    <s v=""/>
    <s v=""/>
    <s v=""/>
    <s v=""/>
    <x v="0"/>
    <x v="0"/>
    <x v="1"/>
    <x v="0"/>
    <x v="0"/>
    <x v="0"/>
    <x v="0"/>
    <x v="0"/>
    <x v="0"/>
    <x v="0"/>
    <x v="23"/>
  </r>
  <r>
    <s v="ID0558"/>
    <d v="2012-05-26T05:50:26"/>
    <n v="35000"/>
    <n v="35000"/>
    <s v="USD"/>
    <n v="35000"/>
    <s v="Analyst"/>
    <x v="0"/>
    <s v="USA"/>
    <x v="2"/>
    <x v="2"/>
    <m/>
    <s v=""/>
    <s v=""/>
    <s v=""/>
    <s v=""/>
    <s v=""/>
    <s v=""/>
    <x v="0"/>
    <x v="0"/>
    <x v="100"/>
    <x v="0"/>
    <x v="0"/>
    <x v="0"/>
    <x v="0"/>
    <x v="0"/>
    <x v="0"/>
    <x v="0"/>
    <x v="0"/>
  </r>
  <r>
    <s v="ID0559"/>
    <d v="2012-05-26T05:52:47"/>
    <n v="50000"/>
    <n v="50000"/>
    <s v="EUR"/>
    <n v="63519.971949580387"/>
    <s v="Proyect Manager"/>
    <x v="3"/>
    <s v="Panama"/>
    <x v="23"/>
    <x v="2"/>
    <m/>
    <s v=""/>
    <s v=""/>
    <s v=""/>
    <s v=""/>
    <s v=""/>
    <s v=""/>
    <x v="0"/>
    <x v="0"/>
    <x v="1"/>
    <x v="0"/>
    <x v="0"/>
    <x v="0"/>
    <x v="0"/>
    <x v="121"/>
    <x v="0"/>
    <x v="0"/>
    <x v="0"/>
  </r>
  <r>
    <s v="ID0560"/>
    <d v="2012-05-26T05:55:22"/>
    <n v="54000"/>
    <n v="54000"/>
    <s v="USD"/>
    <n v="54000"/>
    <s v="IT Specialist"/>
    <x v="6"/>
    <s v="USA"/>
    <x v="2"/>
    <x v="1"/>
    <n v="5"/>
    <s v=""/>
    <n v="1"/>
    <s v=""/>
    <s v=""/>
    <s v=""/>
    <s v=""/>
    <x v="1"/>
    <x v="0"/>
    <x v="1"/>
    <x v="0"/>
    <x v="0"/>
    <x v="0"/>
    <x v="0"/>
    <x v="0"/>
    <x v="0"/>
    <x v="0"/>
    <x v="24"/>
  </r>
  <r>
    <s v="ID0561"/>
    <d v="2012-05-26T06:01:57"/>
    <n v="1300"/>
    <n v="15600"/>
    <s v="USD"/>
    <n v="15600"/>
    <s v="CONTROLLER"/>
    <x v="1"/>
    <s v="BRA"/>
    <x v="20"/>
    <x v="0"/>
    <n v="20"/>
    <s v=""/>
    <s v=""/>
    <s v=""/>
    <s v=""/>
    <n v="1"/>
    <s v=""/>
    <x v="2"/>
    <x v="0"/>
    <x v="1"/>
    <x v="0"/>
    <x v="12"/>
    <x v="0"/>
    <x v="0"/>
    <x v="0"/>
    <x v="0"/>
    <x v="0"/>
    <x v="0"/>
  </r>
  <r>
    <s v="ID0562"/>
    <d v="2012-05-26T06:08:23"/>
    <n v="35000"/>
    <n v="35000"/>
    <s v="USD"/>
    <n v="35000"/>
    <s v="Technical Support Technician"/>
    <x v="0"/>
    <s v="USA"/>
    <x v="2"/>
    <x v="3"/>
    <n v="7"/>
    <s v=""/>
    <s v=""/>
    <n v="1"/>
    <s v=""/>
    <s v=""/>
    <s v=""/>
    <x v="3"/>
    <x v="0"/>
    <x v="100"/>
    <x v="0"/>
    <x v="0"/>
    <x v="0"/>
    <x v="0"/>
    <x v="0"/>
    <x v="0"/>
    <x v="0"/>
    <x v="0"/>
  </r>
  <r>
    <s v="ID0563"/>
    <d v="2012-05-26T06:10:08"/>
    <n v="188000"/>
    <n v="188000"/>
    <s v="USD"/>
    <n v="188000"/>
    <s v="Director, Supply Chain Operations"/>
    <x v="4"/>
    <s v="USA"/>
    <x v="2"/>
    <x v="3"/>
    <n v="20"/>
    <s v=""/>
    <s v=""/>
    <s v=""/>
    <s v=""/>
    <n v="1"/>
    <s v=""/>
    <x v="2"/>
    <x v="0"/>
    <x v="1"/>
    <x v="0"/>
    <x v="0"/>
    <x v="24"/>
    <x v="0"/>
    <x v="0"/>
    <x v="0"/>
    <x v="0"/>
    <x v="0"/>
  </r>
  <r>
    <s v="ID0564"/>
    <d v="2012-05-26T06:14:13"/>
    <n v="27500"/>
    <n v="27500"/>
    <s v="USD"/>
    <n v="27500"/>
    <s v="Associate"/>
    <x v="0"/>
    <s v="USA"/>
    <x v="2"/>
    <x v="1"/>
    <n v="1"/>
    <n v="1"/>
    <s v=""/>
    <s v=""/>
    <s v=""/>
    <s v=""/>
    <s v=""/>
    <x v="4"/>
    <x v="0"/>
    <x v="130"/>
    <x v="0"/>
    <x v="0"/>
    <x v="0"/>
    <x v="0"/>
    <x v="0"/>
    <x v="0"/>
    <x v="0"/>
    <x v="0"/>
  </r>
  <r>
    <s v="ID0565"/>
    <d v="2012-05-26T06:20:38"/>
    <n v="140000"/>
    <n v="140000"/>
    <s v="USD"/>
    <n v="140000"/>
    <s v="controller"/>
    <x v="1"/>
    <s v="USA"/>
    <x v="2"/>
    <x v="2"/>
    <n v="10"/>
    <s v=""/>
    <s v=""/>
    <n v="1"/>
    <s v=""/>
    <s v=""/>
    <s v=""/>
    <x v="3"/>
    <x v="0"/>
    <x v="1"/>
    <x v="0"/>
    <x v="13"/>
    <x v="0"/>
    <x v="0"/>
    <x v="0"/>
    <x v="0"/>
    <x v="0"/>
    <x v="0"/>
  </r>
  <r>
    <s v="ID0566"/>
    <d v="2012-05-26T06:24:03"/>
    <n v="55000"/>
    <n v="55000"/>
    <s v="EUR"/>
    <n v="69871.969144538423"/>
    <s v="Business analyst"/>
    <x v="0"/>
    <s v="Netherlands"/>
    <x v="18"/>
    <x v="1"/>
    <n v="6"/>
    <s v=""/>
    <s v=""/>
    <n v="1"/>
    <s v=""/>
    <s v=""/>
    <s v=""/>
    <x v="3"/>
    <x v="0"/>
    <x v="131"/>
    <x v="0"/>
    <x v="0"/>
    <x v="0"/>
    <x v="0"/>
    <x v="0"/>
    <x v="0"/>
    <x v="0"/>
    <x v="0"/>
  </r>
  <r>
    <s v="ID0567"/>
    <d v="2012-05-26T06:40:59"/>
    <n v="45000"/>
    <n v="45000"/>
    <s v="USD"/>
    <n v="45000"/>
    <s v="Workflow Analyst"/>
    <x v="0"/>
    <s v="USA"/>
    <x v="2"/>
    <x v="0"/>
    <n v="2"/>
    <n v="1"/>
    <s v=""/>
    <s v=""/>
    <s v=""/>
    <s v=""/>
    <s v=""/>
    <x v="4"/>
    <x v="0"/>
    <x v="42"/>
    <x v="0"/>
    <x v="0"/>
    <x v="0"/>
    <x v="0"/>
    <x v="0"/>
    <x v="0"/>
    <x v="0"/>
    <x v="0"/>
  </r>
  <r>
    <s v="ID0568"/>
    <d v="2012-05-26T06:46:03"/>
    <s v="95000 USD"/>
    <n v="95000"/>
    <s v="USD"/>
    <n v="95000"/>
    <s v="Business Analyst"/>
    <x v="0"/>
    <s v="Australia"/>
    <x v="16"/>
    <x v="2"/>
    <n v="11"/>
    <s v=""/>
    <s v=""/>
    <s v=""/>
    <n v="1"/>
    <s v=""/>
    <s v=""/>
    <x v="5"/>
    <x v="0"/>
    <x v="95"/>
    <x v="0"/>
    <x v="0"/>
    <x v="0"/>
    <x v="0"/>
    <x v="0"/>
    <x v="0"/>
    <x v="0"/>
    <x v="0"/>
  </r>
  <r>
    <s v="ID0569"/>
    <d v="2012-05-26T06:47:00"/>
    <s v="AUD $155,000"/>
    <n v="155000"/>
    <s v="AUD"/>
    <n v="158085.99674240855"/>
    <s v="Finance Manager Business Services"/>
    <x v="3"/>
    <s v="Australia"/>
    <x v="16"/>
    <x v="0"/>
    <n v="20"/>
    <s v=""/>
    <s v=""/>
    <s v=""/>
    <s v=""/>
    <n v="1"/>
    <s v=""/>
    <x v="2"/>
    <x v="0"/>
    <x v="1"/>
    <x v="0"/>
    <x v="0"/>
    <x v="0"/>
    <x v="0"/>
    <x v="122"/>
    <x v="0"/>
    <x v="0"/>
    <x v="0"/>
  </r>
  <r>
    <s v="ID0570"/>
    <d v="2012-05-26T06:47:59"/>
    <s v="NZ $80,000"/>
    <n v="80000"/>
    <s v="NZD"/>
    <n v="63807.047488395103"/>
    <s v="Accountant/Analyst"/>
    <x v="0"/>
    <s v="New Zealand"/>
    <x v="48"/>
    <x v="0"/>
    <n v="23"/>
    <s v=""/>
    <s v=""/>
    <s v=""/>
    <s v=""/>
    <s v=""/>
    <n v="1"/>
    <x v="6"/>
    <x v="0"/>
    <x v="132"/>
    <x v="0"/>
    <x v="0"/>
    <x v="0"/>
    <x v="0"/>
    <x v="0"/>
    <x v="0"/>
    <x v="0"/>
    <x v="0"/>
  </r>
  <r>
    <s v="ID0572"/>
    <d v="2012-05-26T06:50:23"/>
    <n v="38000"/>
    <n v="38000"/>
    <s v="USD"/>
    <n v="38000"/>
    <s v="Costing Analysis"/>
    <x v="0"/>
    <s v="USA"/>
    <x v="2"/>
    <x v="1"/>
    <n v="11"/>
    <s v=""/>
    <s v=""/>
    <s v=""/>
    <n v="1"/>
    <s v=""/>
    <s v=""/>
    <x v="5"/>
    <x v="0"/>
    <x v="16"/>
    <x v="0"/>
    <x v="0"/>
    <x v="0"/>
    <x v="0"/>
    <x v="0"/>
    <x v="0"/>
    <x v="0"/>
    <x v="0"/>
  </r>
  <r>
    <s v="ID0573"/>
    <d v="2012-05-26T06:54:40"/>
    <n v="90000"/>
    <n v="90000"/>
    <s v="USD"/>
    <n v="90000"/>
    <s v="Sales Operations Supervisor"/>
    <x v="3"/>
    <s v="USA"/>
    <x v="2"/>
    <x v="0"/>
    <n v="6"/>
    <s v=""/>
    <s v=""/>
    <n v="1"/>
    <s v=""/>
    <s v=""/>
    <s v=""/>
    <x v="3"/>
    <x v="0"/>
    <x v="1"/>
    <x v="0"/>
    <x v="0"/>
    <x v="0"/>
    <x v="0"/>
    <x v="52"/>
    <x v="0"/>
    <x v="0"/>
    <x v="0"/>
  </r>
  <r>
    <s v="ID0574"/>
    <d v="2012-05-26T06:57:09"/>
    <s v="Â£28800"/>
    <n v="28800"/>
    <s v="GBP"/>
    <n v="45393.934235537781"/>
    <s v="Finance Manager"/>
    <x v="3"/>
    <s v="UK"/>
    <x v="14"/>
    <x v="0"/>
    <n v="27"/>
    <s v=""/>
    <s v=""/>
    <s v=""/>
    <s v=""/>
    <s v=""/>
    <n v="1"/>
    <x v="6"/>
    <x v="0"/>
    <x v="1"/>
    <x v="0"/>
    <x v="0"/>
    <x v="0"/>
    <x v="0"/>
    <x v="123"/>
    <x v="0"/>
    <x v="0"/>
    <x v="0"/>
  </r>
  <r>
    <s v="ID0575"/>
    <d v="2012-05-26T07:01:10"/>
    <s v="Â£21000"/>
    <n v="21000"/>
    <s v="GBP"/>
    <n v="33099.743713412965"/>
    <s v="Sales Analyst"/>
    <x v="0"/>
    <s v="UK"/>
    <x v="14"/>
    <x v="1"/>
    <n v="10"/>
    <s v=""/>
    <s v=""/>
    <n v="1"/>
    <s v=""/>
    <s v=""/>
    <s v=""/>
    <x v="3"/>
    <x v="0"/>
    <x v="133"/>
    <x v="0"/>
    <x v="0"/>
    <x v="0"/>
    <x v="0"/>
    <x v="0"/>
    <x v="0"/>
    <x v="0"/>
    <x v="0"/>
  </r>
  <r>
    <s v="ID0576"/>
    <d v="2012-05-26T07:06:50"/>
    <s v="USD 4285.00"/>
    <n v="4285"/>
    <s v="USD"/>
    <n v="4285"/>
    <s v="Assistant"/>
    <x v="0"/>
    <s v="India"/>
    <x v="0"/>
    <x v="1"/>
    <n v="6"/>
    <s v=""/>
    <s v=""/>
    <n v="1"/>
    <s v=""/>
    <s v=""/>
    <s v=""/>
    <x v="3"/>
    <x v="0"/>
    <x v="134"/>
    <x v="0"/>
    <x v="0"/>
    <x v="0"/>
    <x v="0"/>
    <x v="0"/>
    <x v="0"/>
    <x v="0"/>
    <x v="0"/>
  </r>
  <r>
    <s v="ID0577"/>
    <d v="2012-05-26T07:14:02"/>
    <n v="6000"/>
    <n v="6000"/>
    <s v="USD"/>
    <n v="6000"/>
    <s v="In Charge"/>
    <x v="3"/>
    <s v="Guyana"/>
    <x v="52"/>
    <x v="3"/>
    <n v="20"/>
    <s v=""/>
    <s v=""/>
    <s v=""/>
    <s v=""/>
    <n v="1"/>
    <s v=""/>
    <x v="2"/>
    <x v="0"/>
    <x v="1"/>
    <x v="0"/>
    <x v="0"/>
    <x v="0"/>
    <x v="0"/>
    <x v="124"/>
    <x v="0"/>
    <x v="0"/>
    <x v="0"/>
  </r>
  <r>
    <s v="ID0578"/>
    <d v="2012-05-26T07:15:48"/>
    <s v="$22,000 AUD"/>
    <n v="22000"/>
    <s v="AUD"/>
    <n v="22438.012440857987"/>
    <s v="Sales Analyst"/>
    <x v="0"/>
    <s v="Australia"/>
    <x v="16"/>
    <x v="0"/>
    <n v="8"/>
    <s v=""/>
    <s v=""/>
    <n v="1"/>
    <s v=""/>
    <s v=""/>
    <s v=""/>
    <x v="3"/>
    <x v="0"/>
    <x v="135"/>
    <x v="0"/>
    <x v="0"/>
    <x v="0"/>
    <x v="0"/>
    <x v="0"/>
    <x v="0"/>
    <x v="0"/>
    <x v="0"/>
  </r>
  <r>
    <s v="ID0579"/>
    <d v="2012-05-26T07:18:57"/>
    <n v="90000"/>
    <n v="90000"/>
    <s v="USD"/>
    <n v="90000"/>
    <s v="Manager"/>
    <x v="3"/>
    <s v="USA"/>
    <x v="2"/>
    <x v="2"/>
    <n v="15"/>
    <s v=""/>
    <s v=""/>
    <s v=""/>
    <n v="1"/>
    <s v=""/>
    <s v=""/>
    <x v="5"/>
    <x v="0"/>
    <x v="1"/>
    <x v="0"/>
    <x v="0"/>
    <x v="0"/>
    <x v="0"/>
    <x v="52"/>
    <x v="0"/>
    <x v="0"/>
    <x v="0"/>
  </r>
  <r>
    <s v="ID0580"/>
    <d v="2012-05-26T07:23:11"/>
    <n v="150000"/>
    <n v="150000"/>
    <s v="USD"/>
    <n v="150000"/>
    <s v="CFO"/>
    <x v="4"/>
    <s v="USA"/>
    <x v="2"/>
    <x v="0"/>
    <n v="22"/>
    <s v=""/>
    <s v=""/>
    <s v=""/>
    <s v=""/>
    <s v=""/>
    <n v="1"/>
    <x v="6"/>
    <x v="0"/>
    <x v="1"/>
    <x v="0"/>
    <x v="0"/>
    <x v="4"/>
    <x v="0"/>
    <x v="0"/>
    <x v="0"/>
    <x v="0"/>
    <x v="0"/>
  </r>
  <r>
    <s v="ID0581"/>
    <d v="2012-05-26T07:32:19"/>
    <n v="130000"/>
    <n v="130000"/>
    <s v="AUD"/>
    <n v="132588.25533234264"/>
    <s v="Accountant"/>
    <x v="5"/>
    <s v="Australia"/>
    <x v="16"/>
    <x v="2"/>
    <n v="27"/>
    <s v=""/>
    <s v=""/>
    <s v=""/>
    <s v=""/>
    <s v=""/>
    <n v="1"/>
    <x v="6"/>
    <x v="34"/>
    <x v="1"/>
    <x v="0"/>
    <x v="0"/>
    <x v="0"/>
    <x v="0"/>
    <x v="0"/>
    <x v="0"/>
    <x v="0"/>
    <x v="0"/>
  </r>
  <r>
    <s v="ID0582"/>
    <d v="2012-05-26T07:36:23"/>
    <n v="45000"/>
    <n v="45000"/>
    <s v="USD"/>
    <n v="45000"/>
    <s v="business analyst"/>
    <x v="0"/>
    <s v="USA"/>
    <x v="2"/>
    <x v="0"/>
    <n v="3"/>
    <s v=""/>
    <n v="1"/>
    <s v=""/>
    <s v=""/>
    <s v=""/>
    <s v=""/>
    <x v="1"/>
    <x v="0"/>
    <x v="42"/>
    <x v="0"/>
    <x v="0"/>
    <x v="0"/>
    <x v="0"/>
    <x v="0"/>
    <x v="0"/>
    <x v="0"/>
    <x v="0"/>
  </r>
  <r>
    <s v="ID0583"/>
    <d v="2012-05-26T07:37:53"/>
    <n v="50000"/>
    <n v="50000"/>
    <s v="USD"/>
    <n v="50000"/>
    <s v="IT Specialist"/>
    <x v="6"/>
    <s v="USA"/>
    <x v="2"/>
    <x v="2"/>
    <n v="10"/>
    <s v=""/>
    <s v=""/>
    <n v="1"/>
    <s v=""/>
    <s v=""/>
    <s v=""/>
    <x v="3"/>
    <x v="0"/>
    <x v="1"/>
    <x v="0"/>
    <x v="0"/>
    <x v="0"/>
    <x v="0"/>
    <x v="0"/>
    <x v="0"/>
    <x v="0"/>
    <x v="6"/>
  </r>
  <r>
    <s v="ID0584"/>
    <d v="2012-05-26T07:44:04"/>
    <n v="300000"/>
    <n v="300000"/>
    <s v="USD"/>
    <n v="300000"/>
    <s v="CEO"/>
    <x v="4"/>
    <s v="USA"/>
    <x v="2"/>
    <x v="2"/>
    <n v="30"/>
    <s v=""/>
    <s v=""/>
    <s v=""/>
    <s v=""/>
    <s v=""/>
    <n v="1"/>
    <x v="6"/>
    <x v="0"/>
    <x v="1"/>
    <x v="0"/>
    <x v="0"/>
    <x v="25"/>
    <x v="0"/>
    <x v="0"/>
    <x v="0"/>
    <x v="0"/>
    <x v="0"/>
  </r>
  <r>
    <s v="ID0585"/>
    <d v="2012-05-26T07:48:29"/>
    <n v="102000"/>
    <n v="102000"/>
    <s v="AUD"/>
    <n v="104030.78495306884"/>
    <s v="coordinator lismore regional airport"/>
    <x v="3"/>
    <s v="Australia"/>
    <x v="16"/>
    <x v="3"/>
    <n v="10"/>
    <s v=""/>
    <s v=""/>
    <n v="1"/>
    <s v=""/>
    <s v=""/>
    <s v=""/>
    <x v="3"/>
    <x v="0"/>
    <x v="1"/>
    <x v="0"/>
    <x v="0"/>
    <x v="0"/>
    <x v="0"/>
    <x v="125"/>
    <x v="0"/>
    <x v="0"/>
    <x v="0"/>
  </r>
  <r>
    <s v="ID0586"/>
    <d v="2012-05-26T07:50:50"/>
    <n v="115000"/>
    <n v="115000"/>
    <s v="USD"/>
    <n v="115000"/>
    <s v="Mgr Op Excellence"/>
    <x v="3"/>
    <s v="USA"/>
    <x v="2"/>
    <x v="0"/>
    <n v="15"/>
    <s v=""/>
    <s v=""/>
    <s v=""/>
    <n v="1"/>
    <s v=""/>
    <s v=""/>
    <x v="5"/>
    <x v="0"/>
    <x v="1"/>
    <x v="0"/>
    <x v="0"/>
    <x v="0"/>
    <x v="0"/>
    <x v="126"/>
    <x v="0"/>
    <x v="0"/>
    <x v="0"/>
  </r>
  <r>
    <s v="ID0587"/>
    <d v="2012-05-26T07:53:13"/>
    <n v="70000"/>
    <n v="70000"/>
    <s v="USD"/>
    <n v="70000"/>
    <s v="Financial Analyst"/>
    <x v="0"/>
    <s v="USA"/>
    <x v="2"/>
    <x v="0"/>
    <n v="3"/>
    <s v=""/>
    <n v="1"/>
    <s v=""/>
    <s v=""/>
    <s v=""/>
    <s v=""/>
    <x v="1"/>
    <x v="0"/>
    <x v="59"/>
    <x v="0"/>
    <x v="0"/>
    <x v="0"/>
    <x v="0"/>
    <x v="0"/>
    <x v="0"/>
    <x v="0"/>
    <x v="0"/>
  </r>
  <r>
    <s v="ID0588"/>
    <d v="2012-05-26T07:57:04"/>
    <n v="106000"/>
    <n v="106000"/>
    <s v="AUD"/>
    <n v="108110.42357867939"/>
    <s v="Pricing and Strategy Specialist"/>
    <x v="6"/>
    <s v="Australia"/>
    <x v="16"/>
    <x v="0"/>
    <n v="16"/>
    <s v=""/>
    <s v=""/>
    <s v=""/>
    <s v=""/>
    <s v=""/>
    <s v=""/>
    <x v="0"/>
    <x v="0"/>
    <x v="1"/>
    <x v="0"/>
    <x v="0"/>
    <x v="0"/>
    <x v="0"/>
    <x v="0"/>
    <x v="0"/>
    <x v="0"/>
    <x v="25"/>
  </r>
  <r>
    <s v="ID0589"/>
    <d v="2012-05-26T08:01:44"/>
    <n v="75000"/>
    <n v="75000"/>
    <s v="USD"/>
    <n v="75000"/>
    <s v="Sr. Human Resources Analyst"/>
    <x v="0"/>
    <s v="USA"/>
    <x v="2"/>
    <x v="2"/>
    <n v="25"/>
    <s v=""/>
    <s v=""/>
    <s v=""/>
    <s v=""/>
    <s v=""/>
    <n v="1"/>
    <x v="6"/>
    <x v="0"/>
    <x v="29"/>
    <x v="0"/>
    <x v="0"/>
    <x v="0"/>
    <x v="0"/>
    <x v="0"/>
    <x v="0"/>
    <x v="0"/>
    <x v="0"/>
  </r>
  <r>
    <s v="ID0590"/>
    <d v="2012-05-26T08:05:23"/>
    <n v="40414"/>
    <n v="40414"/>
    <s v="USD"/>
    <n v="40414"/>
    <s v="Performance Improvement Analyst"/>
    <x v="0"/>
    <s v="USA"/>
    <x v="2"/>
    <x v="0"/>
    <n v="8"/>
    <s v=""/>
    <s v=""/>
    <n v="1"/>
    <s v=""/>
    <s v=""/>
    <s v=""/>
    <x v="3"/>
    <x v="0"/>
    <x v="136"/>
    <x v="0"/>
    <x v="0"/>
    <x v="0"/>
    <x v="0"/>
    <x v="0"/>
    <x v="0"/>
    <x v="0"/>
    <x v="0"/>
  </r>
  <r>
    <s v="ID0591"/>
    <d v="2012-05-26T08:05:39"/>
    <n v="65000"/>
    <n v="65000"/>
    <s v="USD"/>
    <n v="65000"/>
    <s v="Data Analyst"/>
    <x v="0"/>
    <s v="USA"/>
    <x v="2"/>
    <x v="0"/>
    <n v="3"/>
    <s v=""/>
    <n v="1"/>
    <s v=""/>
    <s v=""/>
    <s v=""/>
    <s v=""/>
    <x v="1"/>
    <x v="0"/>
    <x v="84"/>
    <x v="0"/>
    <x v="0"/>
    <x v="0"/>
    <x v="0"/>
    <x v="0"/>
    <x v="0"/>
    <x v="0"/>
    <x v="0"/>
  </r>
  <r>
    <s v="ID0592"/>
    <d v="2012-05-26T08:08:43"/>
    <n v="120000"/>
    <n v="120000"/>
    <s v="USD"/>
    <n v="120000"/>
    <s v="Sr. Analyst"/>
    <x v="0"/>
    <s v="USA"/>
    <x v="2"/>
    <x v="1"/>
    <n v="7"/>
    <s v=""/>
    <s v=""/>
    <n v="1"/>
    <s v=""/>
    <s v=""/>
    <s v=""/>
    <x v="3"/>
    <x v="0"/>
    <x v="137"/>
    <x v="0"/>
    <x v="0"/>
    <x v="0"/>
    <x v="0"/>
    <x v="0"/>
    <x v="0"/>
    <x v="0"/>
    <x v="0"/>
  </r>
  <r>
    <s v="ID0593"/>
    <d v="2012-05-26T08:10:43"/>
    <n v="8000"/>
    <n v="96000"/>
    <s v="CNY"/>
    <n v="15092.18020692008"/>
    <s v="finance"/>
    <x v="5"/>
    <s v="china"/>
    <x v="53"/>
    <x v="0"/>
    <n v="10"/>
    <s v=""/>
    <s v=""/>
    <n v="1"/>
    <s v=""/>
    <s v=""/>
    <s v=""/>
    <x v="3"/>
    <x v="35"/>
    <x v="1"/>
    <x v="0"/>
    <x v="0"/>
    <x v="0"/>
    <x v="0"/>
    <x v="0"/>
    <x v="0"/>
    <x v="0"/>
    <x v="0"/>
  </r>
  <r>
    <s v="ID0594"/>
    <d v="2012-05-26T08:17:53"/>
    <s v="$36 000"/>
    <n v="36000"/>
    <s v="USD"/>
    <n v="36000"/>
    <s v="Consulting"/>
    <x v="8"/>
    <s v="Russia"/>
    <x v="13"/>
    <x v="1"/>
    <n v="10"/>
    <s v=""/>
    <s v=""/>
    <n v="1"/>
    <s v=""/>
    <s v=""/>
    <s v=""/>
    <x v="3"/>
    <x v="0"/>
    <x v="1"/>
    <x v="31"/>
    <x v="0"/>
    <x v="0"/>
    <x v="0"/>
    <x v="0"/>
    <x v="0"/>
    <x v="0"/>
    <x v="0"/>
  </r>
  <r>
    <s v="ID0595"/>
    <d v="2012-05-26T08:30:00"/>
    <s v="â‚¬ 50000"/>
    <n v="50000"/>
    <s v="EUR"/>
    <n v="63519.971949580387"/>
    <s v="Analyst"/>
    <x v="0"/>
    <s v="Germany"/>
    <x v="5"/>
    <x v="2"/>
    <n v="4"/>
    <s v=""/>
    <n v="1"/>
    <s v=""/>
    <s v=""/>
    <s v=""/>
    <s v=""/>
    <x v="1"/>
    <x v="0"/>
    <x v="63"/>
    <x v="0"/>
    <x v="0"/>
    <x v="0"/>
    <x v="0"/>
    <x v="0"/>
    <x v="0"/>
    <x v="0"/>
    <x v="0"/>
  </r>
  <r>
    <s v="ID0596"/>
    <d v="2012-05-26T08:43:07"/>
    <n v="108000"/>
    <n v="108000"/>
    <s v="USD"/>
    <n v="108000"/>
    <s v="Technology consultant "/>
    <x v="8"/>
    <s v="USA"/>
    <x v="2"/>
    <x v="2"/>
    <n v="7"/>
    <s v=""/>
    <s v=""/>
    <n v="1"/>
    <s v=""/>
    <s v=""/>
    <s v=""/>
    <x v="3"/>
    <x v="0"/>
    <x v="1"/>
    <x v="32"/>
    <x v="0"/>
    <x v="0"/>
    <x v="0"/>
    <x v="0"/>
    <x v="0"/>
    <x v="0"/>
    <x v="0"/>
  </r>
  <r>
    <s v="ID0597"/>
    <d v="2012-05-26T08:45:34"/>
    <n v="75000"/>
    <n v="75000"/>
    <s v="USD"/>
    <n v="75000"/>
    <s v="Financial Analyst"/>
    <x v="0"/>
    <s v="USA"/>
    <x v="2"/>
    <x v="0"/>
    <n v="5"/>
    <s v=""/>
    <n v="1"/>
    <s v=""/>
    <s v=""/>
    <s v=""/>
    <s v=""/>
    <x v="1"/>
    <x v="0"/>
    <x v="29"/>
    <x v="0"/>
    <x v="0"/>
    <x v="0"/>
    <x v="0"/>
    <x v="0"/>
    <x v="0"/>
    <x v="0"/>
    <x v="0"/>
  </r>
  <r>
    <s v="ID0598"/>
    <d v="2012-05-26T08:51:04"/>
    <s v="4,00,000"/>
    <n v="400000"/>
    <s v="INR"/>
    <n v="7123.1666749770275"/>
    <s v="BPO"/>
    <x v="3"/>
    <s v="India"/>
    <x v="0"/>
    <x v="3"/>
    <n v="3"/>
    <s v=""/>
    <n v="1"/>
    <s v=""/>
    <s v=""/>
    <s v=""/>
    <s v=""/>
    <x v="1"/>
    <x v="0"/>
    <x v="1"/>
    <x v="0"/>
    <x v="0"/>
    <x v="0"/>
    <x v="0"/>
    <x v="12"/>
    <x v="0"/>
    <x v="0"/>
    <x v="0"/>
  </r>
  <r>
    <s v="ID0599"/>
    <d v="2012-05-26T08:52:00"/>
    <n v="50000"/>
    <n v="50000"/>
    <s v="USD"/>
    <n v="50000"/>
    <s v="General manager"/>
    <x v="3"/>
    <s v="India"/>
    <x v="0"/>
    <x v="3"/>
    <n v="25"/>
    <s v=""/>
    <s v=""/>
    <s v=""/>
    <s v=""/>
    <s v=""/>
    <n v="1"/>
    <x v="6"/>
    <x v="0"/>
    <x v="1"/>
    <x v="0"/>
    <x v="0"/>
    <x v="0"/>
    <x v="0"/>
    <x v="4"/>
    <x v="0"/>
    <x v="0"/>
    <x v="0"/>
  </r>
  <r>
    <s v="ID0600"/>
    <d v="2012-05-26T08:55:12"/>
    <n v="45000"/>
    <n v="45000"/>
    <s v="USD"/>
    <n v="45000"/>
    <s v="Technical Analyst"/>
    <x v="0"/>
    <s v="USA"/>
    <x v="2"/>
    <x v="0"/>
    <n v="15"/>
    <s v=""/>
    <s v=""/>
    <s v=""/>
    <n v="1"/>
    <s v=""/>
    <s v=""/>
    <x v="5"/>
    <x v="0"/>
    <x v="42"/>
    <x v="0"/>
    <x v="0"/>
    <x v="0"/>
    <x v="0"/>
    <x v="0"/>
    <x v="0"/>
    <x v="0"/>
    <x v="0"/>
  </r>
  <r>
    <s v="ID0601"/>
    <d v="2012-05-26T08:55:17"/>
    <n v="45000"/>
    <n v="45000"/>
    <s v="USD"/>
    <n v="45000"/>
    <s v="Head Accounts"/>
    <x v="5"/>
    <s v="USA"/>
    <x v="2"/>
    <x v="0"/>
    <n v="7"/>
    <s v=""/>
    <s v=""/>
    <n v="1"/>
    <s v=""/>
    <s v=""/>
    <s v=""/>
    <x v="3"/>
    <x v="14"/>
    <x v="1"/>
    <x v="0"/>
    <x v="0"/>
    <x v="0"/>
    <x v="0"/>
    <x v="0"/>
    <x v="0"/>
    <x v="0"/>
    <x v="0"/>
  </r>
  <r>
    <s v="ID0602"/>
    <d v="2012-05-26T08:56:13"/>
    <s v="90 k"/>
    <n v="90000"/>
    <s v="USD"/>
    <n v="90000"/>
    <s v="Operations"/>
    <x v="3"/>
    <s v="USA"/>
    <x v="2"/>
    <x v="2"/>
    <n v="20"/>
    <s v=""/>
    <s v=""/>
    <s v=""/>
    <s v=""/>
    <n v="1"/>
    <s v=""/>
    <x v="2"/>
    <x v="0"/>
    <x v="1"/>
    <x v="0"/>
    <x v="0"/>
    <x v="0"/>
    <x v="0"/>
    <x v="52"/>
    <x v="0"/>
    <x v="0"/>
    <x v="0"/>
  </r>
  <r>
    <s v="ID0603"/>
    <d v="2012-05-26T08:58:55"/>
    <s v="Rs. 20000"/>
    <n v="240000"/>
    <s v="INR"/>
    <n v="4273.9000049862161"/>
    <s v="Talati"/>
    <x v="0"/>
    <s v="India"/>
    <x v="0"/>
    <x v="2"/>
    <n v="5"/>
    <s v=""/>
    <n v="1"/>
    <s v=""/>
    <s v=""/>
    <s v=""/>
    <s v=""/>
    <x v="1"/>
    <x v="0"/>
    <x v="138"/>
    <x v="0"/>
    <x v="0"/>
    <x v="0"/>
    <x v="0"/>
    <x v="0"/>
    <x v="0"/>
    <x v="0"/>
    <x v="0"/>
  </r>
  <r>
    <s v="ID0604"/>
    <d v="2012-05-26T09:28:32"/>
    <n v="50000"/>
    <n v="50000"/>
    <s v="USD"/>
    <n v="50000"/>
    <s v="Product manager"/>
    <x v="3"/>
    <s v="India"/>
    <x v="0"/>
    <x v="3"/>
    <n v="10"/>
    <s v=""/>
    <s v=""/>
    <n v="1"/>
    <s v=""/>
    <s v=""/>
    <s v=""/>
    <x v="3"/>
    <x v="0"/>
    <x v="1"/>
    <x v="0"/>
    <x v="0"/>
    <x v="0"/>
    <x v="0"/>
    <x v="4"/>
    <x v="0"/>
    <x v="0"/>
    <x v="0"/>
  </r>
  <r>
    <s v="ID0605"/>
    <d v="2012-05-26T09:28:50"/>
    <n v="65000"/>
    <n v="65000"/>
    <s v="USD"/>
    <n v="65000"/>
    <s v="Helicopter Mechanic"/>
    <x v="0"/>
    <s v="USA"/>
    <x v="2"/>
    <x v="2"/>
    <n v="17"/>
    <s v=""/>
    <s v=""/>
    <s v=""/>
    <s v=""/>
    <n v="1"/>
    <s v=""/>
    <x v="2"/>
    <x v="0"/>
    <x v="84"/>
    <x v="0"/>
    <x v="0"/>
    <x v="0"/>
    <x v="0"/>
    <x v="0"/>
    <x v="0"/>
    <x v="0"/>
    <x v="0"/>
  </r>
  <r>
    <s v="ID0606"/>
    <d v="2012-05-26T09:36:28"/>
    <n v="70000"/>
    <n v="70000"/>
    <s v="USD"/>
    <n v="70000"/>
    <s v="Program/Mgt Analyst"/>
    <x v="0"/>
    <s v="USA"/>
    <x v="2"/>
    <x v="2"/>
    <n v="18"/>
    <s v=""/>
    <s v=""/>
    <s v=""/>
    <s v=""/>
    <n v="1"/>
    <s v=""/>
    <x v="2"/>
    <x v="0"/>
    <x v="59"/>
    <x v="0"/>
    <x v="0"/>
    <x v="0"/>
    <x v="0"/>
    <x v="0"/>
    <x v="0"/>
    <x v="0"/>
    <x v="0"/>
  </r>
  <r>
    <s v="ID0608"/>
    <d v="2012-05-26T09:51:47"/>
    <n v="160000"/>
    <n v="160000"/>
    <s v="USD"/>
    <n v="160000"/>
    <s v="Director, Analytics"/>
    <x v="0"/>
    <s v="USA"/>
    <x v="2"/>
    <x v="0"/>
    <n v="5"/>
    <s v=""/>
    <n v="1"/>
    <s v=""/>
    <s v=""/>
    <s v=""/>
    <s v=""/>
    <x v="1"/>
    <x v="0"/>
    <x v="139"/>
    <x v="0"/>
    <x v="0"/>
    <x v="0"/>
    <x v="0"/>
    <x v="0"/>
    <x v="0"/>
    <x v="0"/>
    <x v="0"/>
  </r>
  <r>
    <s v="ID0609"/>
    <d v="2012-05-26T09:52:22"/>
    <n v="100000"/>
    <n v="100000"/>
    <s v="AUD"/>
    <n v="101990.96564026357"/>
    <s v="Purchasing Manager"/>
    <x v="3"/>
    <s v="Australia"/>
    <x v="16"/>
    <x v="2"/>
    <n v="20"/>
    <s v=""/>
    <s v=""/>
    <s v=""/>
    <s v=""/>
    <n v="1"/>
    <s v=""/>
    <x v="2"/>
    <x v="0"/>
    <x v="1"/>
    <x v="0"/>
    <x v="0"/>
    <x v="0"/>
    <x v="0"/>
    <x v="22"/>
    <x v="0"/>
    <x v="0"/>
    <x v="0"/>
  </r>
  <r>
    <s v="ID0611"/>
    <d v="2012-05-26T10:01:28"/>
    <n v="380000"/>
    <n v="380000"/>
    <s v="INR"/>
    <n v="6767.0083412281756"/>
    <s v="Incharge"/>
    <x v="3"/>
    <s v="India"/>
    <x v="0"/>
    <x v="0"/>
    <n v="10"/>
    <s v=""/>
    <s v=""/>
    <n v="1"/>
    <s v=""/>
    <s v=""/>
    <s v=""/>
    <x v="3"/>
    <x v="0"/>
    <x v="1"/>
    <x v="0"/>
    <x v="0"/>
    <x v="0"/>
    <x v="0"/>
    <x v="127"/>
    <x v="0"/>
    <x v="0"/>
    <x v="0"/>
  </r>
  <r>
    <s v="ID0612"/>
    <d v="2012-05-26T10:20:35"/>
    <n v="30000"/>
    <n v="30000"/>
    <s v="USD"/>
    <n v="30000"/>
    <s v="Sales Assistant"/>
    <x v="0"/>
    <s v="USA"/>
    <x v="2"/>
    <x v="2"/>
    <n v="8"/>
    <s v=""/>
    <s v=""/>
    <n v="1"/>
    <s v=""/>
    <s v=""/>
    <s v=""/>
    <x v="3"/>
    <x v="0"/>
    <x v="117"/>
    <x v="0"/>
    <x v="0"/>
    <x v="0"/>
    <x v="0"/>
    <x v="0"/>
    <x v="0"/>
    <x v="0"/>
    <x v="0"/>
  </r>
  <r>
    <s v="ID0613"/>
    <d v="2012-05-26T10:22:45"/>
    <s v="INR 420000"/>
    <n v="420000"/>
    <s v="INR"/>
    <n v="7479.3250087258784"/>
    <s v="Assistant EDP"/>
    <x v="0"/>
    <s v="India"/>
    <x v="0"/>
    <x v="0"/>
    <n v="3"/>
    <s v=""/>
    <n v="1"/>
    <s v=""/>
    <s v=""/>
    <s v=""/>
    <s v=""/>
    <x v="1"/>
    <x v="0"/>
    <x v="140"/>
    <x v="0"/>
    <x v="0"/>
    <x v="0"/>
    <x v="0"/>
    <x v="0"/>
    <x v="0"/>
    <x v="0"/>
    <x v="0"/>
  </r>
  <r>
    <s v="ID0614"/>
    <d v="2012-05-26T10:31:42"/>
    <n v="61000"/>
    <n v="61000"/>
    <s v="USD"/>
    <n v="61000"/>
    <s v="Sales ops"/>
    <x v="3"/>
    <s v="USA"/>
    <x v="2"/>
    <x v="0"/>
    <n v="5"/>
    <s v=""/>
    <n v="1"/>
    <s v=""/>
    <s v=""/>
    <s v=""/>
    <s v=""/>
    <x v="1"/>
    <x v="0"/>
    <x v="1"/>
    <x v="0"/>
    <x v="0"/>
    <x v="0"/>
    <x v="0"/>
    <x v="18"/>
    <x v="0"/>
    <x v="0"/>
    <x v="0"/>
  </r>
  <r>
    <s v="ID0615"/>
    <d v="2012-05-26T10:32:07"/>
    <s v="1150 $"/>
    <n v="13800"/>
    <s v="USD"/>
    <n v="13800"/>
    <s v="QS"/>
    <x v="1"/>
    <s v="Sri Lanka"/>
    <x v="54"/>
    <x v="0"/>
    <n v="20"/>
    <s v=""/>
    <s v=""/>
    <s v=""/>
    <s v=""/>
    <n v="1"/>
    <s v=""/>
    <x v="2"/>
    <x v="0"/>
    <x v="1"/>
    <x v="0"/>
    <x v="14"/>
    <x v="0"/>
    <x v="0"/>
    <x v="0"/>
    <x v="0"/>
    <x v="0"/>
    <x v="0"/>
  </r>
  <r>
    <s v="ID0616"/>
    <d v="2012-05-26T10:41:11"/>
    <s v="INR 850,000"/>
    <n v="850000"/>
    <s v="INR"/>
    <n v="15136.729184326183"/>
    <s v="Sales Analyst"/>
    <x v="0"/>
    <s v="India"/>
    <x v="0"/>
    <x v="0"/>
    <n v="6"/>
    <s v=""/>
    <s v=""/>
    <n v="1"/>
    <s v=""/>
    <s v=""/>
    <s v=""/>
    <x v="3"/>
    <x v="0"/>
    <x v="141"/>
    <x v="0"/>
    <x v="0"/>
    <x v="0"/>
    <x v="0"/>
    <x v="0"/>
    <x v="0"/>
    <x v="0"/>
    <x v="0"/>
  </r>
  <r>
    <s v="ID0617"/>
    <d v="2012-05-26T10:43:53"/>
    <n v="1800000"/>
    <n v="1800000"/>
    <s v="INR"/>
    <n v="32054.250037396621"/>
    <s v="AGM Finance"/>
    <x v="3"/>
    <s v="India"/>
    <x v="0"/>
    <x v="2"/>
    <n v="10"/>
    <s v=""/>
    <s v=""/>
    <n v="1"/>
    <s v=""/>
    <s v=""/>
    <s v=""/>
    <x v="3"/>
    <x v="0"/>
    <x v="1"/>
    <x v="0"/>
    <x v="0"/>
    <x v="0"/>
    <x v="0"/>
    <x v="54"/>
    <x v="0"/>
    <x v="0"/>
    <x v="0"/>
  </r>
  <r>
    <s v="ID0618"/>
    <d v="2012-05-26T10:51:05"/>
    <n v="80000"/>
    <n v="80000"/>
    <s v="USD"/>
    <n v="80000"/>
    <s v="Sales Controller"/>
    <x v="1"/>
    <s v="USA"/>
    <x v="2"/>
    <x v="0"/>
    <n v="15"/>
    <s v=""/>
    <s v=""/>
    <s v=""/>
    <n v="1"/>
    <s v=""/>
    <s v=""/>
    <x v="5"/>
    <x v="0"/>
    <x v="1"/>
    <x v="0"/>
    <x v="15"/>
    <x v="0"/>
    <x v="0"/>
    <x v="0"/>
    <x v="0"/>
    <x v="0"/>
    <x v="0"/>
  </r>
  <r>
    <s v="ID0619"/>
    <d v="2012-05-26T10:54:22"/>
    <n v="21000"/>
    <n v="21000"/>
    <s v="USD"/>
    <n v="21000"/>
    <s v="Manager"/>
    <x v="3"/>
    <s v="India"/>
    <x v="0"/>
    <x v="1"/>
    <n v="23"/>
    <s v=""/>
    <s v=""/>
    <s v=""/>
    <s v=""/>
    <s v=""/>
    <n v="1"/>
    <x v="6"/>
    <x v="0"/>
    <x v="1"/>
    <x v="0"/>
    <x v="0"/>
    <x v="0"/>
    <x v="0"/>
    <x v="128"/>
    <x v="0"/>
    <x v="0"/>
    <x v="0"/>
  </r>
  <r>
    <s v="ID0620"/>
    <d v="2012-05-26T10:59:10"/>
    <n v="250000"/>
    <n v="250000"/>
    <s v="CAD"/>
    <n v="245840.3807575817"/>
    <s v="Business Analyst"/>
    <x v="0"/>
    <s v="Canada"/>
    <x v="17"/>
    <x v="0"/>
    <n v="32"/>
    <s v=""/>
    <s v=""/>
    <s v=""/>
    <s v=""/>
    <s v=""/>
    <n v="1"/>
    <x v="6"/>
    <x v="0"/>
    <x v="142"/>
    <x v="0"/>
    <x v="0"/>
    <x v="0"/>
    <x v="0"/>
    <x v="0"/>
    <x v="0"/>
    <x v="0"/>
    <x v="0"/>
  </r>
  <r>
    <s v="ID0621"/>
    <d v="2012-05-26T10:59:39"/>
    <s v="1 lakh 60 thousand INR/Year"/>
    <n v="160000"/>
    <s v="INR"/>
    <n v="2849.2666699908109"/>
    <s v="MIS Executive"/>
    <x v="7"/>
    <s v="India"/>
    <x v="0"/>
    <x v="1"/>
    <n v="3"/>
    <s v=""/>
    <n v="1"/>
    <s v=""/>
    <s v=""/>
    <s v=""/>
    <s v=""/>
    <x v="1"/>
    <x v="0"/>
    <x v="1"/>
    <x v="0"/>
    <x v="0"/>
    <x v="0"/>
    <x v="0"/>
    <x v="0"/>
    <x v="0"/>
    <x v="12"/>
    <x v="0"/>
  </r>
  <r>
    <s v="ID0622"/>
    <d v="2012-05-26T11:01:56"/>
    <n v="700"/>
    <n v="8400"/>
    <s v="USD"/>
    <n v="8400"/>
    <s v="SYSTEM MANAGER"/>
    <x v="3"/>
    <s v="India"/>
    <x v="0"/>
    <x v="1"/>
    <n v="26"/>
    <s v=""/>
    <s v=""/>
    <s v=""/>
    <s v=""/>
    <s v=""/>
    <n v="1"/>
    <x v="6"/>
    <x v="0"/>
    <x v="1"/>
    <x v="0"/>
    <x v="0"/>
    <x v="0"/>
    <x v="0"/>
    <x v="113"/>
    <x v="0"/>
    <x v="0"/>
    <x v="0"/>
  </r>
  <r>
    <s v="ID0623"/>
    <d v="2012-05-26T11:03:02"/>
    <s v="A$85000"/>
    <n v="85000"/>
    <s v="AUD"/>
    <n v="86692.320794224041"/>
    <s v="Trainer"/>
    <x v="8"/>
    <s v="Australia"/>
    <x v="16"/>
    <x v="3"/>
    <n v="20"/>
    <s v=""/>
    <s v=""/>
    <s v=""/>
    <s v=""/>
    <n v="1"/>
    <s v=""/>
    <x v="2"/>
    <x v="0"/>
    <x v="1"/>
    <x v="33"/>
    <x v="0"/>
    <x v="0"/>
    <x v="0"/>
    <x v="0"/>
    <x v="0"/>
    <x v="0"/>
    <x v="0"/>
  </r>
  <r>
    <s v="ID0624"/>
    <d v="2012-05-26T11:03:06"/>
    <n v="50000"/>
    <n v="50000"/>
    <s v="USD"/>
    <n v="50000"/>
    <s v="Project coordinator"/>
    <x v="3"/>
    <s v="USA"/>
    <x v="2"/>
    <x v="0"/>
    <n v="20"/>
    <s v=""/>
    <s v=""/>
    <s v=""/>
    <s v=""/>
    <n v="1"/>
    <s v=""/>
    <x v="2"/>
    <x v="0"/>
    <x v="1"/>
    <x v="0"/>
    <x v="0"/>
    <x v="0"/>
    <x v="0"/>
    <x v="4"/>
    <x v="0"/>
    <x v="0"/>
    <x v="0"/>
  </r>
  <r>
    <s v="ID0625"/>
    <d v="2012-05-26T11:03:48"/>
    <n v="4000"/>
    <n v="4000"/>
    <s v="USD"/>
    <n v="4000"/>
    <s v="MIS Executive"/>
    <x v="7"/>
    <s v="India"/>
    <x v="0"/>
    <x v="1"/>
    <n v="6"/>
    <s v=""/>
    <s v=""/>
    <n v="1"/>
    <s v=""/>
    <s v=""/>
    <s v=""/>
    <x v="3"/>
    <x v="0"/>
    <x v="1"/>
    <x v="0"/>
    <x v="0"/>
    <x v="0"/>
    <x v="0"/>
    <x v="0"/>
    <x v="0"/>
    <x v="13"/>
    <x v="0"/>
  </r>
  <r>
    <s v="ID0626"/>
    <d v="2012-05-26T11:05:45"/>
    <n v="100000"/>
    <n v="100000"/>
    <s v="AUD"/>
    <n v="101990.96564026357"/>
    <s v="Business Analyst"/>
    <x v="0"/>
    <s v="Australia"/>
    <x v="16"/>
    <x v="1"/>
    <n v="1"/>
    <n v="1"/>
    <s v=""/>
    <s v=""/>
    <s v=""/>
    <s v=""/>
    <s v=""/>
    <x v="4"/>
    <x v="0"/>
    <x v="143"/>
    <x v="0"/>
    <x v="0"/>
    <x v="0"/>
    <x v="0"/>
    <x v="0"/>
    <x v="0"/>
    <x v="0"/>
    <x v="0"/>
  </r>
  <r>
    <s v="ID0627"/>
    <d v="2012-05-26T11:05:58"/>
    <n v="95000"/>
    <n v="95000"/>
    <s v="USD"/>
    <n v="95000"/>
    <s v="Program Manager"/>
    <x v="3"/>
    <s v="USA"/>
    <x v="2"/>
    <x v="3"/>
    <n v="10"/>
    <s v=""/>
    <s v=""/>
    <n v="1"/>
    <s v=""/>
    <s v=""/>
    <s v=""/>
    <x v="3"/>
    <x v="0"/>
    <x v="1"/>
    <x v="0"/>
    <x v="0"/>
    <x v="0"/>
    <x v="0"/>
    <x v="129"/>
    <x v="0"/>
    <x v="0"/>
    <x v="0"/>
  </r>
  <r>
    <s v="ID0628"/>
    <d v="2012-05-26T11:07:01"/>
    <n v="10000"/>
    <n v="10000"/>
    <s v="USD"/>
    <n v="10000"/>
    <s v="executive"/>
    <x v="3"/>
    <s v="Indonesia"/>
    <x v="55"/>
    <x v="2"/>
    <n v="5"/>
    <s v=""/>
    <n v="1"/>
    <s v=""/>
    <s v=""/>
    <s v=""/>
    <s v=""/>
    <x v="1"/>
    <x v="0"/>
    <x v="1"/>
    <x v="0"/>
    <x v="0"/>
    <x v="0"/>
    <x v="0"/>
    <x v="130"/>
    <x v="0"/>
    <x v="0"/>
    <x v="0"/>
  </r>
  <r>
    <s v="ID0629"/>
    <d v="2012-05-26T11:09:27"/>
    <n v="4200"/>
    <n v="4200"/>
    <s v="USD"/>
    <n v="4200"/>
    <s v="MIS Executive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14"/>
    <x v="0"/>
  </r>
  <r>
    <s v="ID0630"/>
    <d v="2012-05-26T11:10:23"/>
    <s v="Rs60000"/>
    <n v="720000"/>
    <s v="INR"/>
    <n v="12821.700014958649"/>
    <s v="Quantity Surveyor"/>
    <x v="3"/>
    <s v="India"/>
    <x v="0"/>
    <x v="0"/>
    <n v="12"/>
    <s v=""/>
    <s v=""/>
    <s v=""/>
    <n v="1"/>
    <s v=""/>
    <s v=""/>
    <x v="5"/>
    <x v="0"/>
    <x v="1"/>
    <x v="0"/>
    <x v="0"/>
    <x v="0"/>
    <x v="0"/>
    <x v="110"/>
    <x v="0"/>
    <x v="0"/>
    <x v="0"/>
  </r>
  <r>
    <s v="ID0631"/>
    <d v="2012-05-26T11:17:56"/>
    <n v="39000"/>
    <n v="39000"/>
    <s v="USD"/>
    <n v="39000"/>
    <s v="Content Analyst "/>
    <x v="0"/>
    <s v="USA"/>
    <x v="2"/>
    <x v="1"/>
    <n v="3"/>
    <s v=""/>
    <n v="1"/>
    <s v=""/>
    <s v=""/>
    <s v=""/>
    <s v=""/>
    <x v="1"/>
    <x v="0"/>
    <x v="144"/>
    <x v="0"/>
    <x v="0"/>
    <x v="0"/>
    <x v="0"/>
    <x v="0"/>
    <x v="0"/>
    <x v="0"/>
    <x v="0"/>
  </r>
  <r>
    <s v="ID0632"/>
    <d v="2012-05-26T11:26:46"/>
    <n v="60000"/>
    <n v="60000"/>
    <s v="USD"/>
    <n v="60000"/>
    <s v="business analyst"/>
    <x v="0"/>
    <s v="USA"/>
    <x v="2"/>
    <x v="0"/>
    <n v="12"/>
    <s v=""/>
    <s v=""/>
    <s v=""/>
    <n v="1"/>
    <s v=""/>
    <s v=""/>
    <x v="5"/>
    <x v="0"/>
    <x v="8"/>
    <x v="0"/>
    <x v="0"/>
    <x v="0"/>
    <x v="0"/>
    <x v="0"/>
    <x v="0"/>
    <x v="0"/>
    <x v="0"/>
  </r>
  <r>
    <s v="ID0633"/>
    <d v="2012-05-26T11:30:39"/>
    <s v="A$170000"/>
    <n v="170000"/>
    <s v="AUD"/>
    <n v="173384.64158844808"/>
    <s v="senior business analyst"/>
    <x v="0"/>
    <s v="Australia"/>
    <x v="16"/>
    <x v="1"/>
    <n v="10"/>
    <s v=""/>
    <s v=""/>
    <n v="1"/>
    <s v=""/>
    <s v=""/>
    <s v=""/>
    <x v="3"/>
    <x v="0"/>
    <x v="145"/>
    <x v="0"/>
    <x v="0"/>
    <x v="0"/>
    <x v="0"/>
    <x v="0"/>
    <x v="0"/>
    <x v="0"/>
    <x v="0"/>
  </r>
  <r>
    <s v="ID0634"/>
    <d v="2012-05-26T11:31:08"/>
    <n v="125000"/>
    <n v="125000"/>
    <s v="USD"/>
    <n v="125000"/>
    <s v="Analyst"/>
    <x v="0"/>
    <s v="USA"/>
    <x v="2"/>
    <x v="2"/>
    <n v="20"/>
    <s v=""/>
    <s v=""/>
    <s v=""/>
    <s v=""/>
    <n v="1"/>
    <s v=""/>
    <x v="2"/>
    <x v="0"/>
    <x v="146"/>
    <x v="0"/>
    <x v="0"/>
    <x v="0"/>
    <x v="0"/>
    <x v="0"/>
    <x v="0"/>
    <x v="0"/>
    <x v="0"/>
  </r>
  <r>
    <s v="ID0635"/>
    <d v="2012-05-26T11:31:52"/>
    <n v="78000"/>
    <n v="78000"/>
    <s v="AUD"/>
    <n v="79552.953199405587"/>
    <s v="Corporate Accountant"/>
    <x v="5"/>
    <s v="Australia"/>
    <x v="16"/>
    <x v="1"/>
    <n v="4"/>
    <s v=""/>
    <n v="1"/>
    <s v=""/>
    <s v=""/>
    <s v=""/>
    <s v=""/>
    <x v="1"/>
    <x v="36"/>
    <x v="1"/>
    <x v="0"/>
    <x v="0"/>
    <x v="0"/>
    <x v="0"/>
    <x v="0"/>
    <x v="0"/>
    <x v="0"/>
    <x v="0"/>
  </r>
  <r>
    <s v="ID0636"/>
    <d v="2012-05-26T11:36:04"/>
    <s v="Rs. 200000"/>
    <n v="200000"/>
    <s v="INR"/>
    <n v="3561.5833374885137"/>
    <s v="Auditor"/>
    <x v="5"/>
    <s v="India"/>
    <x v="0"/>
    <x v="0"/>
    <n v="3"/>
    <s v=""/>
    <n v="1"/>
    <s v=""/>
    <s v=""/>
    <s v=""/>
    <s v=""/>
    <x v="1"/>
    <x v="37"/>
    <x v="1"/>
    <x v="0"/>
    <x v="0"/>
    <x v="0"/>
    <x v="0"/>
    <x v="0"/>
    <x v="0"/>
    <x v="0"/>
    <x v="0"/>
  </r>
  <r>
    <s v="ID0637"/>
    <d v="2012-05-26T11:37:26"/>
    <n v="80000"/>
    <n v="80000"/>
    <s v="USD"/>
    <n v="80000"/>
    <s v="program coordinator - automotive"/>
    <x v="3"/>
    <s v="USA"/>
    <x v="2"/>
    <x v="0"/>
    <n v="8"/>
    <s v=""/>
    <s v=""/>
    <n v="1"/>
    <s v=""/>
    <s v=""/>
    <s v=""/>
    <x v="3"/>
    <x v="0"/>
    <x v="1"/>
    <x v="0"/>
    <x v="0"/>
    <x v="0"/>
    <x v="0"/>
    <x v="50"/>
    <x v="0"/>
    <x v="0"/>
    <x v="0"/>
  </r>
  <r>
    <s v="ID0638"/>
    <d v="2012-05-26T11:37:53"/>
    <n v="600000"/>
    <n v="600000"/>
    <s v="INR"/>
    <n v="10684.750012465542"/>
    <s v="Financial Analyst"/>
    <x v="0"/>
    <s v="India"/>
    <x v="0"/>
    <x v="2"/>
    <n v="3"/>
    <s v=""/>
    <n v="1"/>
    <s v=""/>
    <s v=""/>
    <s v=""/>
    <s v=""/>
    <x v="1"/>
    <x v="0"/>
    <x v="147"/>
    <x v="0"/>
    <x v="0"/>
    <x v="0"/>
    <x v="0"/>
    <x v="0"/>
    <x v="0"/>
    <x v="0"/>
    <x v="0"/>
  </r>
  <r>
    <s v="ID0639"/>
    <d v="2012-05-26T11:39:48"/>
    <s v="Rs 300000"/>
    <n v="300000"/>
    <s v="INR"/>
    <n v="5342.3750062327708"/>
    <s v="Planning Engineer"/>
    <x v="2"/>
    <s v="India"/>
    <x v="0"/>
    <x v="1"/>
    <n v="2"/>
    <n v="1"/>
    <s v=""/>
    <s v=""/>
    <s v=""/>
    <s v=""/>
    <s v=""/>
    <x v="4"/>
    <x v="0"/>
    <x v="1"/>
    <x v="0"/>
    <x v="0"/>
    <x v="0"/>
    <x v="18"/>
    <x v="0"/>
    <x v="0"/>
    <x v="0"/>
    <x v="0"/>
  </r>
  <r>
    <s v="ID0640"/>
    <d v="2012-05-26T11:40:34"/>
    <s v="4000000 INR"/>
    <n v="4000000"/>
    <s v="INR"/>
    <n v="71231.666749770273"/>
    <s v="Senior Executive"/>
    <x v="3"/>
    <s v="India"/>
    <x v="0"/>
    <x v="0"/>
    <n v="1.5"/>
    <n v="1"/>
    <s v=""/>
    <s v=""/>
    <s v=""/>
    <s v=""/>
    <s v=""/>
    <x v="4"/>
    <x v="0"/>
    <x v="1"/>
    <x v="0"/>
    <x v="0"/>
    <x v="0"/>
    <x v="0"/>
    <x v="131"/>
    <x v="0"/>
    <x v="0"/>
    <x v="0"/>
  </r>
  <r>
    <s v="ID0641"/>
    <d v="2012-05-26T11:45:37"/>
    <s v="4500000 inr/pa"/>
    <n v="4500000"/>
    <s v="INR"/>
    <n v="80135.625093491559"/>
    <s v="cmo"/>
    <x v="4"/>
    <s v="India"/>
    <x v="0"/>
    <x v="3"/>
    <n v="6"/>
    <s v=""/>
    <s v=""/>
    <n v="1"/>
    <s v=""/>
    <s v=""/>
    <s v=""/>
    <x v="3"/>
    <x v="0"/>
    <x v="1"/>
    <x v="0"/>
    <x v="0"/>
    <x v="26"/>
    <x v="0"/>
    <x v="0"/>
    <x v="0"/>
    <x v="0"/>
    <x v="0"/>
  </r>
  <r>
    <s v="ID0642"/>
    <d v="2012-05-26T11:46:20"/>
    <n v="55000"/>
    <n v="55000"/>
    <s v="CAD"/>
    <n v="54084.883766667976"/>
    <s v="Project coordinator"/>
    <x v="3"/>
    <s v="Canada"/>
    <x v="17"/>
    <x v="0"/>
    <n v="5"/>
    <s v=""/>
    <n v="1"/>
    <s v=""/>
    <s v=""/>
    <s v=""/>
    <s v=""/>
    <x v="1"/>
    <x v="0"/>
    <x v="1"/>
    <x v="0"/>
    <x v="0"/>
    <x v="0"/>
    <x v="0"/>
    <x v="132"/>
    <x v="0"/>
    <x v="0"/>
    <x v="0"/>
  </r>
  <r>
    <s v="ID0643"/>
    <d v="2012-05-26T11:47:18"/>
    <n v="53000"/>
    <n v="53000"/>
    <s v="USD"/>
    <n v="53000"/>
    <s v="Financial Analyst"/>
    <x v="0"/>
    <s v="USA"/>
    <x v="2"/>
    <x v="0"/>
    <n v="30"/>
    <s v=""/>
    <s v=""/>
    <s v=""/>
    <s v=""/>
    <s v=""/>
    <n v="1"/>
    <x v="6"/>
    <x v="0"/>
    <x v="46"/>
    <x v="0"/>
    <x v="0"/>
    <x v="0"/>
    <x v="0"/>
    <x v="0"/>
    <x v="0"/>
    <x v="0"/>
    <x v="0"/>
  </r>
  <r>
    <s v="ID0644"/>
    <d v="2012-05-26T11:47:38"/>
    <s v="25000 INR"/>
    <n v="300000"/>
    <s v="INR"/>
    <n v="5342.3750062327708"/>
    <s v="MIS"/>
    <x v="7"/>
    <s v="India"/>
    <x v="0"/>
    <x v="0"/>
    <n v="1"/>
    <n v="1"/>
    <s v=""/>
    <s v=""/>
    <s v=""/>
    <s v=""/>
    <s v=""/>
    <x v="4"/>
    <x v="0"/>
    <x v="1"/>
    <x v="0"/>
    <x v="0"/>
    <x v="0"/>
    <x v="0"/>
    <x v="0"/>
    <x v="0"/>
    <x v="15"/>
    <x v="0"/>
  </r>
  <r>
    <s v="ID0645"/>
    <d v="2012-05-26T11:50:03"/>
    <s v="Rs 4,00,000"/>
    <n v="400000"/>
    <s v="INR"/>
    <n v="7123.1666749770275"/>
    <s v="Sr Processor"/>
    <x v="3"/>
    <s v="India"/>
    <x v="0"/>
    <x v="3"/>
    <n v="5"/>
    <s v=""/>
    <n v="1"/>
    <s v=""/>
    <s v=""/>
    <s v=""/>
    <s v=""/>
    <x v="1"/>
    <x v="0"/>
    <x v="1"/>
    <x v="0"/>
    <x v="0"/>
    <x v="0"/>
    <x v="0"/>
    <x v="12"/>
    <x v="0"/>
    <x v="0"/>
    <x v="0"/>
  </r>
  <r>
    <s v="ID0646"/>
    <d v="2012-05-26T11:50:34"/>
    <s v="6,00,000"/>
    <n v="600000"/>
    <s v="INR"/>
    <n v="10684.750012465542"/>
    <s v="Organiser"/>
    <x v="3"/>
    <s v="India"/>
    <x v="0"/>
    <x v="0"/>
    <n v="11"/>
    <s v=""/>
    <s v=""/>
    <s v=""/>
    <n v="1"/>
    <s v=""/>
    <s v=""/>
    <x v="5"/>
    <x v="0"/>
    <x v="1"/>
    <x v="0"/>
    <x v="0"/>
    <x v="0"/>
    <x v="0"/>
    <x v="9"/>
    <x v="0"/>
    <x v="0"/>
    <x v="0"/>
  </r>
  <r>
    <s v="ID0647"/>
    <d v="2012-05-26T11:55:17"/>
    <n v="4000"/>
    <n v="4000"/>
    <s v="USD"/>
    <n v="4000"/>
    <s v="MIS Executive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13"/>
    <x v="0"/>
  </r>
  <r>
    <s v="ID0648"/>
    <d v="2012-05-26T11:58:23"/>
    <n v="8000"/>
    <n v="8000"/>
    <s v="USD"/>
    <n v="8000"/>
    <s v="Quality officer"/>
    <x v="3"/>
    <s v="bangkok"/>
    <x v="31"/>
    <x v="1"/>
    <n v="1"/>
    <n v="1"/>
    <s v=""/>
    <s v=""/>
    <s v=""/>
    <s v=""/>
    <s v=""/>
    <x v="4"/>
    <x v="0"/>
    <x v="1"/>
    <x v="0"/>
    <x v="0"/>
    <x v="0"/>
    <x v="0"/>
    <x v="133"/>
    <x v="0"/>
    <x v="0"/>
    <x v="0"/>
  </r>
  <r>
    <s v="ID0649"/>
    <d v="2012-05-26T12:05:35"/>
    <n v="150000"/>
    <n v="150000"/>
    <s v="INR"/>
    <n v="2671.1875031163854"/>
    <s v="Executive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134"/>
    <x v="0"/>
    <x v="0"/>
    <x v="0"/>
  </r>
  <r>
    <s v="ID0650"/>
    <d v="2012-05-26T12:14:07"/>
    <s v="Rs 800000"/>
    <n v="800000"/>
    <s v="INR"/>
    <n v="14246.333349954055"/>
    <s v="Engineer"/>
    <x v="2"/>
    <s v="India"/>
    <x v="0"/>
    <x v="2"/>
    <n v="3"/>
    <s v=""/>
    <n v="1"/>
    <s v=""/>
    <s v=""/>
    <s v=""/>
    <s v=""/>
    <x v="1"/>
    <x v="0"/>
    <x v="1"/>
    <x v="0"/>
    <x v="0"/>
    <x v="0"/>
    <x v="23"/>
    <x v="0"/>
    <x v="0"/>
    <x v="0"/>
    <x v="0"/>
  </r>
  <r>
    <s v="ID0651"/>
    <d v="2012-05-26T12:17:01"/>
    <n v="480000"/>
    <n v="480000"/>
    <s v="INR"/>
    <n v="8547.8000099724322"/>
    <s v="BI Consultant"/>
    <x v="7"/>
    <s v="India"/>
    <x v="0"/>
    <x v="3"/>
    <n v="3"/>
    <s v=""/>
    <n v="1"/>
    <s v=""/>
    <s v=""/>
    <s v=""/>
    <s v=""/>
    <x v="1"/>
    <x v="0"/>
    <x v="1"/>
    <x v="0"/>
    <x v="0"/>
    <x v="0"/>
    <x v="0"/>
    <x v="0"/>
    <x v="0"/>
    <x v="16"/>
    <x v="0"/>
  </r>
  <r>
    <s v="ID0652"/>
    <d v="2012-05-26T12:19:47"/>
    <s v="Rs. 4.32 Lakhs"/>
    <n v="432000"/>
    <s v="INR"/>
    <n v="7693.0200089751897"/>
    <s v="Assistant Manager - IT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135"/>
    <x v="0"/>
    <x v="0"/>
    <x v="0"/>
  </r>
  <r>
    <s v="ID0653"/>
    <d v="2012-05-26T12:19:53"/>
    <n v="4000"/>
    <n v="4000"/>
    <s v="USD"/>
    <n v="4000"/>
    <s v="Coordinator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136"/>
    <x v="0"/>
    <x v="0"/>
    <x v="0"/>
  </r>
  <r>
    <s v="ID0654"/>
    <d v="2012-05-26T12:20:07"/>
    <n v="450"/>
    <n v="5400"/>
    <s v="USD"/>
    <n v="5400"/>
    <s v="manager"/>
    <x v="3"/>
    <s v="India"/>
    <x v="0"/>
    <x v="1"/>
    <n v="3"/>
    <s v=""/>
    <n v="1"/>
    <s v=""/>
    <s v=""/>
    <s v=""/>
    <s v=""/>
    <x v="1"/>
    <x v="0"/>
    <x v="1"/>
    <x v="0"/>
    <x v="0"/>
    <x v="0"/>
    <x v="0"/>
    <x v="137"/>
    <x v="0"/>
    <x v="0"/>
    <x v="0"/>
  </r>
  <r>
    <s v="ID0655"/>
    <d v="2012-05-26T12:23:14"/>
    <n v="10500000"/>
    <n v="10500000"/>
    <s v="INR"/>
    <n v="186983.12521814698"/>
    <s v="MANAGER"/>
    <x v="3"/>
    <s v="India"/>
    <x v="0"/>
    <x v="2"/>
    <n v="10"/>
    <s v=""/>
    <s v=""/>
    <n v="1"/>
    <s v=""/>
    <s v=""/>
    <s v=""/>
    <x v="3"/>
    <x v="0"/>
    <x v="1"/>
    <x v="0"/>
    <x v="0"/>
    <x v="0"/>
    <x v="0"/>
    <x v="138"/>
    <x v="0"/>
    <x v="0"/>
    <x v="0"/>
  </r>
  <r>
    <s v="ID0657"/>
    <d v="2012-05-26T12:25:09"/>
    <n v="21500"/>
    <n v="21500"/>
    <s v="USD"/>
    <n v="21500"/>
    <s v="Asst Mgr"/>
    <x v="0"/>
    <s v="India"/>
    <x v="0"/>
    <x v="0"/>
    <n v="9"/>
    <s v=""/>
    <s v=""/>
    <n v="1"/>
    <s v=""/>
    <s v=""/>
    <s v=""/>
    <x v="3"/>
    <x v="0"/>
    <x v="148"/>
    <x v="0"/>
    <x v="0"/>
    <x v="0"/>
    <x v="0"/>
    <x v="0"/>
    <x v="0"/>
    <x v="0"/>
    <x v="0"/>
  </r>
  <r>
    <s v="ID0658"/>
    <d v="2012-05-26T12:26:33"/>
    <n v="15000"/>
    <n v="15000"/>
    <s v="USD"/>
    <n v="15000"/>
    <s v="MIS Executive"/>
    <x v="7"/>
    <s v="India"/>
    <x v="0"/>
    <x v="1"/>
    <n v="2"/>
    <n v="1"/>
    <s v=""/>
    <s v=""/>
    <s v=""/>
    <s v=""/>
    <s v=""/>
    <x v="4"/>
    <x v="0"/>
    <x v="1"/>
    <x v="0"/>
    <x v="0"/>
    <x v="0"/>
    <x v="0"/>
    <x v="0"/>
    <x v="0"/>
    <x v="7"/>
    <x v="0"/>
  </r>
  <r>
    <s v="ID0659"/>
    <d v="2012-05-26T12:27:20"/>
    <n v="200000"/>
    <n v="200000"/>
    <s v="PKR"/>
    <n v="2122.8177433598262"/>
    <s v="Accounts Officer"/>
    <x v="5"/>
    <s v="Pakistan"/>
    <x v="3"/>
    <x v="2"/>
    <n v="2"/>
    <n v="1"/>
    <s v=""/>
    <s v=""/>
    <s v=""/>
    <s v=""/>
    <s v=""/>
    <x v="4"/>
    <x v="38"/>
    <x v="1"/>
    <x v="0"/>
    <x v="0"/>
    <x v="0"/>
    <x v="0"/>
    <x v="0"/>
    <x v="0"/>
    <x v="0"/>
    <x v="0"/>
  </r>
  <r>
    <s v="ID0660"/>
    <d v="2012-05-26T12:28:05"/>
    <s v="INR 9,50,000"/>
    <n v="950000"/>
    <s v="INR"/>
    <n v="16917.52085307044"/>
    <s v="Investment Banker"/>
    <x v="3"/>
    <s v="India"/>
    <x v="0"/>
    <x v="0"/>
    <n v="3"/>
    <s v=""/>
    <n v="1"/>
    <s v=""/>
    <s v=""/>
    <s v=""/>
    <s v=""/>
    <x v="1"/>
    <x v="0"/>
    <x v="1"/>
    <x v="0"/>
    <x v="0"/>
    <x v="0"/>
    <x v="0"/>
    <x v="139"/>
    <x v="0"/>
    <x v="0"/>
    <x v="0"/>
  </r>
  <r>
    <s v="ID0661"/>
    <d v="2012-05-26T12:28:11"/>
    <s v="INR 165000"/>
    <n v="165000"/>
    <s v="INR"/>
    <n v="2938.3062534280239"/>
    <s v="Co-operative bank"/>
    <x v="3"/>
    <s v="India"/>
    <x v="0"/>
    <x v="1"/>
    <n v="11"/>
    <s v=""/>
    <s v=""/>
    <s v=""/>
    <n v="1"/>
    <s v=""/>
    <s v=""/>
    <x v="5"/>
    <x v="0"/>
    <x v="1"/>
    <x v="0"/>
    <x v="0"/>
    <x v="0"/>
    <x v="0"/>
    <x v="140"/>
    <x v="0"/>
    <x v="0"/>
    <x v="0"/>
  </r>
  <r>
    <s v="ID0662"/>
    <d v="2012-05-26T12:30:22"/>
    <n v="1400"/>
    <n v="16800"/>
    <s v="USD"/>
    <n v="16800"/>
    <s v="Assistant"/>
    <x v="0"/>
    <s v="Pakistan"/>
    <x v="3"/>
    <x v="0"/>
    <n v="12"/>
    <s v=""/>
    <s v=""/>
    <s v=""/>
    <n v="1"/>
    <s v=""/>
    <s v=""/>
    <x v="5"/>
    <x v="0"/>
    <x v="149"/>
    <x v="0"/>
    <x v="0"/>
    <x v="0"/>
    <x v="0"/>
    <x v="0"/>
    <x v="0"/>
    <x v="0"/>
    <x v="0"/>
  </r>
  <r>
    <s v="ID0663"/>
    <d v="2012-05-26T12:31:29"/>
    <n v="37000"/>
    <n v="37000"/>
    <s v="USD"/>
    <n v="37000"/>
    <s v="Cad Engineer"/>
    <x v="2"/>
    <s v="India"/>
    <x v="0"/>
    <x v="0"/>
    <n v="10"/>
    <s v=""/>
    <s v=""/>
    <n v="1"/>
    <s v=""/>
    <s v=""/>
    <s v=""/>
    <x v="3"/>
    <x v="0"/>
    <x v="1"/>
    <x v="0"/>
    <x v="0"/>
    <x v="0"/>
    <x v="24"/>
    <x v="0"/>
    <x v="0"/>
    <x v="0"/>
    <x v="0"/>
  </r>
  <r>
    <s v="ID0664"/>
    <d v="2012-05-26T12:33:48"/>
    <s v="Rs 300000"/>
    <n v="300000"/>
    <s v="INR"/>
    <n v="5342.3750062327708"/>
    <s v="Mis Analyst"/>
    <x v="0"/>
    <s v="India"/>
    <x v="0"/>
    <x v="0"/>
    <n v="4.5"/>
    <s v=""/>
    <n v="1"/>
    <s v=""/>
    <s v=""/>
    <s v=""/>
    <s v=""/>
    <x v="1"/>
    <x v="0"/>
    <x v="150"/>
    <x v="0"/>
    <x v="0"/>
    <x v="0"/>
    <x v="0"/>
    <x v="0"/>
    <x v="0"/>
    <x v="0"/>
    <x v="0"/>
  </r>
  <r>
    <s v="ID0665"/>
    <d v="2012-05-26T12:35:42"/>
    <s v="INR 2 l;acks"/>
    <n v="200000"/>
    <s v="INR"/>
    <n v="3561.5833374885137"/>
    <s v="MIS EXECUTIVE"/>
    <x v="7"/>
    <s v="India"/>
    <x v="0"/>
    <x v="1"/>
    <n v="3"/>
    <s v=""/>
    <n v="1"/>
    <s v=""/>
    <s v=""/>
    <s v=""/>
    <s v=""/>
    <x v="1"/>
    <x v="0"/>
    <x v="1"/>
    <x v="0"/>
    <x v="0"/>
    <x v="0"/>
    <x v="0"/>
    <x v="0"/>
    <x v="0"/>
    <x v="17"/>
    <x v="0"/>
  </r>
  <r>
    <s v="ID0666"/>
    <d v="2012-05-26T12:36:53"/>
    <s v="Rs 480000"/>
    <n v="480000"/>
    <s v="INR"/>
    <n v="8547.8000099724322"/>
    <s v="PMO"/>
    <x v="3"/>
    <s v="India"/>
    <x v="0"/>
    <x v="2"/>
    <n v="8"/>
    <s v=""/>
    <s v=""/>
    <n v="1"/>
    <s v=""/>
    <s v=""/>
    <s v=""/>
    <x v="3"/>
    <x v="0"/>
    <x v="1"/>
    <x v="0"/>
    <x v="0"/>
    <x v="0"/>
    <x v="0"/>
    <x v="58"/>
    <x v="0"/>
    <x v="0"/>
    <x v="0"/>
  </r>
  <r>
    <s v="ID0667"/>
    <d v="2012-05-26T12:46:26"/>
    <n v="5800"/>
    <n v="5800"/>
    <s v="USD"/>
    <n v="5800"/>
    <s v="Asst. Manager(Commercial)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141"/>
    <x v="0"/>
    <x v="0"/>
    <x v="0"/>
  </r>
  <r>
    <s v="ID0668"/>
    <d v="2012-05-26T12:48:19"/>
    <s v="230000 INR"/>
    <n v="230000"/>
    <s v="INR"/>
    <n v="4095.8208381117906"/>
    <s v="MIS Executive"/>
    <x v="7"/>
    <s v="India"/>
    <x v="0"/>
    <x v="1"/>
    <n v="3"/>
    <s v=""/>
    <n v="1"/>
    <s v=""/>
    <s v=""/>
    <s v=""/>
    <s v=""/>
    <x v="1"/>
    <x v="0"/>
    <x v="1"/>
    <x v="0"/>
    <x v="0"/>
    <x v="0"/>
    <x v="0"/>
    <x v="0"/>
    <x v="0"/>
    <x v="18"/>
    <x v="0"/>
  </r>
  <r>
    <s v="ID0669"/>
    <d v="2012-05-26T12:50:08"/>
    <s v="23000 Rupees"/>
    <n v="276000"/>
    <s v="INR"/>
    <n v="4914.9850057341491"/>
    <s v="Education Officer"/>
    <x v="3"/>
    <s v="Pakistan"/>
    <x v="3"/>
    <x v="3"/>
    <n v="3"/>
    <s v=""/>
    <n v="1"/>
    <s v=""/>
    <s v=""/>
    <s v=""/>
    <s v=""/>
    <x v="1"/>
    <x v="0"/>
    <x v="1"/>
    <x v="0"/>
    <x v="0"/>
    <x v="0"/>
    <x v="0"/>
    <x v="142"/>
    <x v="0"/>
    <x v="0"/>
    <x v="0"/>
  </r>
  <r>
    <s v="ID0670"/>
    <d v="2012-05-26T12:52:37"/>
    <n v="24000"/>
    <n v="24000"/>
    <s v="USD"/>
    <n v="24000"/>
    <s v="Management Accountant"/>
    <x v="3"/>
    <s v="Saudi Arabai"/>
    <x v="22"/>
    <x v="0"/>
    <n v="12"/>
    <s v=""/>
    <s v=""/>
    <s v=""/>
    <n v="1"/>
    <s v=""/>
    <s v=""/>
    <x v="5"/>
    <x v="0"/>
    <x v="1"/>
    <x v="0"/>
    <x v="0"/>
    <x v="0"/>
    <x v="0"/>
    <x v="27"/>
    <x v="0"/>
    <x v="0"/>
    <x v="0"/>
  </r>
  <r>
    <s v="ID0671"/>
    <d v="2012-05-26T12:53:43"/>
    <s v="Us$24000"/>
    <n v="24000"/>
    <s v="USD"/>
    <n v="24000"/>
    <s v="Accountant"/>
    <x v="5"/>
    <s v="UAE"/>
    <x v="21"/>
    <x v="2"/>
    <n v="15"/>
    <s v=""/>
    <s v=""/>
    <s v=""/>
    <n v="1"/>
    <s v=""/>
    <s v=""/>
    <x v="5"/>
    <x v="39"/>
    <x v="1"/>
    <x v="0"/>
    <x v="0"/>
    <x v="0"/>
    <x v="0"/>
    <x v="0"/>
    <x v="0"/>
    <x v="0"/>
    <x v="0"/>
  </r>
  <r>
    <s v="ID0672"/>
    <d v="2012-05-26T12:54:15"/>
    <n v="8738"/>
    <n v="8738"/>
    <s v="USD"/>
    <n v="8738"/>
    <s v="Sales Coordinator"/>
    <x v="3"/>
    <s v="India"/>
    <x v="0"/>
    <x v="1"/>
    <n v="7.3"/>
    <s v=""/>
    <s v=""/>
    <n v="1"/>
    <s v=""/>
    <s v=""/>
    <s v=""/>
    <x v="3"/>
    <x v="0"/>
    <x v="1"/>
    <x v="0"/>
    <x v="0"/>
    <x v="0"/>
    <x v="0"/>
    <x v="143"/>
    <x v="0"/>
    <x v="0"/>
    <x v="0"/>
  </r>
  <r>
    <s v="ID0673"/>
    <d v="2012-05-26T12:54:36"/>
    <n v="15000"/>
    <n v="15000"/>
    <s v="USD"/>
    <n v="15000"/>
    <s v="TA"/>
    <x v="0"/>
    <s v="Indonesia"/>
    <x v="55"/>
    <x v="0"/>
    <n v="1"/>
    <n v="1"/>
    <s v=""/>
    <s v=""/>
    <s v=""/>
    <s v=""/>
    <s v=""/>
    <x v="4"/>
    <x v="0"/>
    <x v="151"/>
    <x v="0"/>
    <x v="0"/>
    <x v="0"/>
    <x v="0"/>
    <x v="0"/>
    <x v="0"/>
    <x v="0"/>
    <x v="0"/>
  </r>
  <r>
    <s v="ID0674"/>
    <d v="2012-05-26T12:55:09"/>
    <n v="4700"/>
    <n v="56400"/>
    <s v="USD"/>
    <n v="56400"/>
    <s v="Finance Manager"/>
    <x v="3"/>
    <s v="UAE"/>
    <x v="21"/>
    <x v="2"/>
    <n v="6"/>
    <s v=""/>
    <s v=""/>
    <n v="1"/>
    <s v=""/>
    <s v=""/>
    <s v=""/>
    <x v="3"/>
    <x v="0"/>
    <x v="1"/>
    <x v="0"/>
    <x v="0"/>
    <x v="0"/>
    <x v="0"/>
    <x v="144"/>
    <x v="0"/>
    <x v="0"/>
    <x v="0"/>
  </r>
  <r>
    <s v="ID0675"/>
    <d v="2012-05-26T12:59:13"/>
    <n v="10200"/>
    <n v="10200"/>
    <s v="USD"/>
    <n v="10200"/>
    <s v="business analyst"/>
    <x v="0"/>
    <s v="India"/>
    <x v="0"/>
    <x v="0"/>
    <n v="4.5"/>
    <s v=""/>
    <n v="1"/>
    <s v=""/>
    <s v=""/>
    <s v=""/>
    <s v=""/>
    <x v="1"/>
    <x v="0"/>
    <x v="152"/>
    <x v="0"/>
    <x v="0"/>
    <x v="0"/>
    <x v="0"/>
    <x v="0"/>
    <x v="0"/>
    <x v="0"/>
    <x v="0"/>
  </r>
  <r>
    <s v="ID0676"/>
    <d v="2012-05-26T12:59:41"/>
    <n v="325000"/>
    <n v="325000"/>
    <s v="INR"/>
    <n v="5787.5729234188348"/>
    <s v="MIS Executive"/>
    <x v="7"/>
    <s v="India"/>
    <x v="0"/>
    <x v="1"/>
    <n v="4.5"/>
    <s v=""/>
    <n v="1"/>
    <s v=""/>
    <s v=""/>
    <s v=""/>
    <s v=""/>
    <x v="1"/>
    <x v="0"/>
    <x v="1"/>
    <x v="0"/>
    <x v="0"/>
    <x v="0"/>
    <x v="0"/>
    <x v="0"/>
    <x v="0"/>
    <x v="19"/>
    <x v="0"/>
  </r>
  <r>
    <s v="ID0677"/>
    <d v="2012-05-26T13:01:44"/>
    <n v="105000"/>
    <n v="105000"/>
    <s v="USD"/>
    <n v="105000"/>
    <s v="Senior Consultant"/>
    <x v="8"/>
    <s v="USA"/>
    <x v="2"/>
    <x v="2"/>
    <n v="15"/>
    <s v=""/>
    <s v=""/>
    <s v=""/>
    <n v="1"/>
    <s v=""/>
    <s v=""/>
    <x v="5"/>
    <x v="0"/>
    <x v="1"/>
    <x v="34"/>
    <x v="0"/>
    <x v="0"/>
    <x v="0"/>
    <x v="0"/>
    <x v="0"/>
    <x v="0"/>
    <x v="0"/>
  </r>
  <r>
    <s v="ID0678"/>
    <d v="2012-05-26T13:01:53"/>
    <s v="2.5lakh"/>
    <n v="250000"/>
    <s v="INR"/>
    <n v="4451.9791718606421"/>
    <s v="ASM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145"/>
    <x v="0"/>
    <x v="0"/>
    <x v="0"/>
  </r>
  <r>
    <s v="ID0679"/>
    <d v="2012-05-26T13:02:50"/>
    <n v="470000"/>
    <n v="470000"/>
    <s v="INR"/>
    <n v="8369.7208430980063"/>
    <s v="Consultant"/>
    <x v="8"/>
    <s v="India"/>
    <x v="0"/>
    <x v="1"/>
    <n v="4"/>
    <s v=""/>
    <n v="1"/>
    <s v=""/>
    <s v=""/>
    <s v=""/>
    <s v=""/>
    <x v="1"/>
    <x v="0"/>
    <x v="1"/>
    <x v="35"/>
    <x v="0"/>
    <x v="0"/>
    <x v="0"/>
    <x v="0"/>
    <x v="0"/>
    <x v="0"/>
    <x v="0"/>
  </r>
  <r>
    <s v="ID0680"/>
    <d v="2012-05-26T13:03:32"/>
    <n v="720000"/>
    <n v="720000"/>
    <s v="PHP"/>
    <n v="17067.637625607145"/>
    <s v="System Manager"/>
    <x v="3"/>
    <s v="Philippines"/>
    <x v="32"/>
    <x v="0"/>
    <n v="9"/>
    <s v=""/>
    <s v=""/>
    <n v="1"/>
    <s v=""/>
    <s v=""/>
    <s v=""/>
    <x v="3"/>
    <x v="0"/>
    <x v="1"/>
    <x v="0"/>
    <x v="0"/>
    <x v="0"/>
    <x v="0"/>
    <x v="146"/>
    <x v="0"/>
    <x v="0"/>
    <x v="0"/>
  </r>
  <r>
    <s v="ID0681"/>
    <d v="2012-05-26T13:03:58"/>
    <n v="100000"/>
    <n v="100000"/>
    <s v="AUD"/>
    <n v="101990.96564026357"/>
    <s v="principal developer"/>
    <x v="3"/>
    <s v="Australia"/>
    <x v="16"/>
    <x v="3"/>
    <n v="20"/>
    <s v=""/>
    <s v=""/>
    <s v=""/>
    <s v=""/>
    <n v="1"/>
    <s v=""/>
    <x v="2"/>
    <x v="0"/>
    <x v="1"/>
    <x v="0"/>
    <x v="0"/>
    <x v="0"/>
    <x v="0"/>
    <x v="22"/>
    <x v="0"/>
    <x v="0"/>
    <x v="0"/>
  </r>
  <r>
    <s v="ID0682"/>
    <d v="2012-05-26T13:05:03"/>
    <s v="220000 in INR"/>
    <n v="220000"/>
    <s v="INR"/>
    <n v="3917.7416712373652"/>
    <s v="Accounts Payable Analyst"/>
    <x v="0"/>
    <s v="India"/>
    <x v="0"/>
    <x v="2"/>
    <n v="3"/>
    <s v=""/>
    <n v="1"/>
    <s v=""/>
    <s v=""/>
    <s v=""/>
    <s v=""/>
    <x v="1"/>
    <x v="0"/>
    <x v="153"/>
    <x v="0"/>
    <x v="0"/>
    <x v="0"/>
    <x v="0"/>
    <x v="0"/>
    <x v="0"/>
    <x v="0"/>
    <x v="0"/>
  </r>
  <r>
    <s v="ID0683"/>
    <d v="2012-05-26T13:08:39"/>
    <n v="52000"/>
    <n v="52000"/>
    <s v="USD"/>
    <n v="52000"/>
    <s v="Maint Sys Support Specialist"/>
    <x v="6"/>
    <s v="USA"/>
    <x v="2"/>
    <x v="0"/>
    <n v="18"/>
    <s v=""/>
    <s v=""/>
    <s v=""/>
    <s v=""/>
    <n v="1"/>
    <s v=""/>
    <x v="2"/>
    <x v="0"/>
    <x v="1"/>
    <x v="0"/>
    <x v="0"/>
    <x v="0"/>
    <x v="0"/>
    <x v="0"/>
    <x v="0"/>
    <x v="0"/>
    <x v="26"/>
  </r>
  <r>
    <s v="ID0684"/>
    <d v="2012-05-26T13:11:01"/>
    <s v="Rs. 260000"/>
    <n v="260000"/>
    <s v="INR"/>
    <n v="4630.058338735068"/>
    <s v="Analyst"/>
    <x v="0"/>
    <s v="India"/>
    <x v="0"/>
    <x v="0"/>
    <n v="2"/>
    <n v="1"/>
    <s v=""/>
    <s v=""/>
    <s v=""/>
    <s v=""/>
    <s v=""/>
    <x v="4"/>
    <x v="0"/>
    <x v="154"/>
    <x v="0"/>
    <x v="0"/>
    <x v="0"/>
    <x v="0"/>
    <x v="0"/>
    <x v="0"/>
    <x v="0"/>
    <x v="0"/>
  </r>
  <r>
    <s v="ID0685"/>
    <d v="2012-05-26T13:12:48"/>
    <s v="1,20,000 INR"/>
    <n v="120000"/>
    <s v="INR"/>
    <n v="2136.9500024931081"/>
    <s v="Data Analyst"/>
    <x v="0"/>
    <s v="India"/>
    <x v="0"/>
    <x v="2"/>
    <n v="3"/>
    <s v=""/>
    <n v="1"/>
    <s v=""/>
    <s v=""/>
    <s v=""/>
    <s v=""/>
    <x v="1"/>
    <x v="0"/>
    <x v="155"/>
    <x v="0"/>
    <x v="0"/>
    <x v="0"/>
    <x v="0"/>
    <x v="0"/>
    <x v="0"/>
    <x v="0"/>
    <x v="0"/>
  </r>
  <r>
    <s v="ID0686"/>
    <d v="2012-05-26T13:16:21"/>
    <n v="13000"/>
    <n v="13000"/>
    <s v="USD"/>
    <n v="13000"/>
    <s v="Analyst"/>
    <x v="0"/>
    <s v="India"/>
    <x v="0"/>
    <x v="3"/>
    <n v="4"/>
    <s v=""/>
    <n v="1"/>
    <s v=""/>
    <s v=""/>
    <s v=""/>
    <s v=""/>
    <x v="1"/>
    <x v="0"/>
    <x v="156"/>
    <x v="0"/>
    <x v="0"/>
    <x v="0"/>
    <x v="0"/>
    <x v="0"/>
    <x v="0"/>
    <x v="0"/>
    <x v="0"/>
  </r>
  <r>
    <s v="ID0687"/>
    <d v="2012-05-26T13:17:36"/>
    <s v="Rs. 144000"/>
    <n v="144000"/>
    <s v="INR"/>
    <n v="2564.3400029917298"/>
    <s v="Team Leader"/>
    <x v="3"/>
    <s v="India"/>
    <x v="0"/>
    <x v="2"/>
    <n v="7"/>
    <s v=""/>
    <s v=""/>
    <n v="1"/>
    <s v=""/>
    <s v=""/>
    <s v=""/>
    <x v="3"/>
    <x v="0"/>
    <x v="1"/>
    <x v="0"/>
    <x v="0"/>
    <x v="0"/>
    <x v="0"/>
    <x v="147"/>
    <x v="0"/>
    <x v="0"/>
    <x v="0"/>
  </r>
  <r>
    <s v="ID0688"/>
    <d v="2012-05-26T13:18:03"/>
    <s v="inr 11.5"/>
    <n v="1150000"/>
    <s v="INR"/>
    <n v="20479.104190558952"/>
    <s v="manager portfolio monitoring"/>
    <x v="3"/>
    <s v="India"/>
    <x v="0"/>
    <x v="2"/>
    <n v="7"/>
    <s v=""/>
    <s v=""/>
    <n v="1"/>
    <s v=""/>
    <s v=""/>
    <s v=""/>
    <x v="3"/>
    <x v="0"/>
    <x v="1"/>
    <x v="0"/>
    <x v="0"/>
    <x v="0"/>
    <x v="0"/>
    <x v="148"/>
    <x v="0"/>
    <x v="0"/>
    <x v="0"/>
  </r>
  <r>
    <s v="ID0689"/>
    <d v="2012-05-26T13:18:32"/>
    <s v="33,500 US $"/>
    <n v="33500"/>
    <s v="USD"/>
    <n v="33500"/>
    <s v="Sr. Executive Finance &amp; Accounts"/>
    <x v="5"/>
    <s v="Dubai"/>
    <x v="33"/>
    <x v="3"/>
    <n v="10"/>
    <s v=""/>
    <s v=""/>
    <n v="1"/>
    <s v=""/>
    <s v=""/>
    <s v=""/>
    <x v="3"/>
    <x v="40"/>
    <x v="1"/>
    <x v="0"/>
    <x v="0"/>
    <x v="0"/>
    <x v="0"/>
    <x v="0"/>
    <x v="0"/>
    <x v="0"/>
    <x v="0"/>
  </r>
  <r>
    <s v="ID0690"/>
    <d v="2012-05-26T13:19:42"/>
    <n v="50000"/>
    <n v="50000"/>
    <s v="USD"/>
    <n v="50000"/>
    <s v="AREA SALES MANAGER"/>
    <x v="3"/>
    <s v="India"/>
    <x v="0"/>
    <x v="2"/>
    <n v="20"/>
    <s v=""/>
    <s v=""/>
    <s v=""/>
    <s v=""/>
    <n v="1"/>
    <s v=""/>
    <x v="2"/>
    <x v="0"/>
    <x v="1"/>
    <x v="0"/>
    <x v="0"/>
    <x v="0"/>
    <x v="0"/>
    <x v="4"/>
    <x v="0"/>
    <x v="0"/>
    <x v="0"/>
  </r>
  <r>
    <s v="ID0691"/>
    <d v="2012-05-26T13:22:43"/>
    <n v="300000"/>
    <n v="300000"/>
    <s v="INR"/>
    <n v="5342.3750062327708"/>
    <s v="govt"/>
    <x v="3"/>
    <s v="India"/>
    <x v="0"/>
    <x v="2"/>
    <n v="3"/>
    <s v=""/>
    <n v="1"/>
    <s v=""/>
    <s v=""/>
    <s v=""/>
    <s v=""/>
    <x v="1"/>
    <x v="0"/>
    <x v="1"/>
    <x v="0"/>
    <x v="0"/>
    <x v="0"/>
    <x v="0"/>
    <x v="100"/>
    <x v="0"/>
    <x v="0"/>
    <x v="0"/>
  </r>
  <r>
    <s v="ID0692"/>
    <d v="2012-05-26T13:24:05"/>
    <s v="4500 rs. per month"/>
    <n v="648000"/>
    <s v="INR"/>
    <n v="11539.530013462785"/>
    <s v="COMPUTER OPERATOR"/>
    <x v="0"/>
    <s v="India"/>
    <x v="0"/>
    <x v="1"/>
    <n v="2"/>
    <n v="1"/>
    <s v=""/>
    <s v=""/>
    <s v=""/>
    <s v=""/>
    <s v=""/>
    <x v="4"/>
    <x v="0"/>
    <x v="157"/>
    <x v="0"/>
    <x v="0"/>
    <x v="0"/>
    <x v="0"/>
    <x v="0"/>
    <x v="0"/>
    <x v="0"/>
    <x v="0"/>
  </r>
  <r>
    <s v="ID0693"/>
    <d v="2012-05-26T13:24:14"/>
    <n v="7000"/>
    <n v="7000"/>
    <s v="USD"/>
    <n v="7000"/>
    <s v="Business Executive"/>
    <x v="3"/>
    <s v="India"/>
    <x v="0"/>
    <x v="0"/>
    <n v="23"/>
    <s v=""/>
    <s v=""/>
    <s v=""/>
    <s v=""/>
    <s v=""/>
    <n v="1"/>
    <x v="6"/>
    <x v="0"/>
    <x v="1"/>
    <x v="0"/>
    <x v="0"/>
    <x v="0"/>
    <x v="0"/>
    <x v="149"/>
    <x v="0"/>
    <x v="0"/>
    <x v="0"/>
  </r>
  <r>
    <s v="ID0694"/>
    <d v="2012-05-26T13:24:36"/>
    <n v="380000"/>
    <n v="380000"/>
    <s v="INR"/>
    <n v="6767.0083412281756"/>
    <s v="Team Lead Mis"/>
    <x v="7"/>
    <s v="India"/>
    <x v="0"/>
    <x v="2"/>
    <n v="6"/>
    <s v=""/>
    <s v=""/>
    <n v="1"/>
    <s v=""/>
    <s v=""/>
    <s v=""/>
    <x v="3"/>
    <x v="0"/>
    <x v="1"/>
    <x v="0"/>
    <x v="0"/>
    <x v="0"/>
    <x v="0"/>
    <x v="0"/>
    <x v="0"/>
    <x v="20"/>
    <x v="0"/>
  </r>
  <r>
    <s v="ID0695"/>
    <d v="2012-05-26T13:29:12"/>
    <s v="3000 $"/>
    <n v="3000"/>
    <s v="USD"/>
    <n v="3000"/>
    <s v="Call Centre Consultant"/>
    <x v="8"/>
    <s v="Cambodia"/>
    <x v="56"/>
    <x v="2"/>
    <n v="2"/>
    <n v="1"/>
    <s v=""/>
    <s v=""/>
    <s v=""/>
    <s v=""/>
    <s v=""/>
    <x v="4"/>
    <x v="0"/>
    <x v="1"/>
    <x v="36"/>
    <x v="0"/>
    <x v="0"/>
    <x v="0"/>
    <x v="0"/>
    <x v="0"/>
    <x v="0"/>
    <x v="0"/>
  </r>
  <r>
    <s v="ID0696"/>
    <d v="2012-05-26T13:29:35"/>
    <s v="250000 rupees"/>
    <n v="250000"/>
    <s v="INR"/>
    <n v="4451.9791718606421"/>
    <s v="MIS executive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21"/>
    <x v="0"/>
  </r>
  <r>
    <s v="ID0697"/>
    <d v="2012-05-26T13:31:20"/>
    <s v="Rs. 150000"/>
    <n v="150000"/>
    <s v="INR"/>
    <n v="2671.1875031163854"/>
    <s v="Oprations head"/>
    <x v="4"/>
    <s v="India"/>
    <x v="0"/>
    <x v="0"/>
    <n v="4.5"/>
    <s v=""/>
    <n v="1"/>
    <s v=""/>
    <s v=""/>
    <s v=""/>
    <s v=""/>
    <x v="1"/>
    <x v="0"/>
    <x v="1"/>
    <x v="0"/>
    <x v="0"/>
    <x v="4"/>
    <x v="0"/>
    <x v="0"/>
    <x v="0"/>
    <x v="0"/>
    <x v="0"/>
  </r>
  <r>
    <s v="ID0698"/>
    <d v="2012-05-26T13:37:50"/>
    <n v="278400"/>
    <n v="278400"/>
    <s v="INR"/>
    <n v="4957.7240057840108"/>
    <s v="Asst. 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150"/>
    <x v="0"/>
    <x v="0"/>
    <x v="0"/>
  </r>
  <r>
    <s v="ID0699"/>
    <d v="2012-05-26T13:42:21"/>
    <n v="180000"/>
    <n v="180000"/>
    <s v="INR"/>
    <n v="3205.4250037396623"/>
    <s v="accounts"/>
    <x v="5"/>
    <s v="India"/>
    <x v="0"/>
    <x v="2"/>
    <n v="14"/>
    <s v=""/>
    <s v=""/>
    <s v=""/>
    <n v="1"/>
    <s v=""/>
    <s v=""/>
    <x v="5"/>
    <x v="41"/>
    <x v="1"/>
    <x v="0"/>
    <x v="0"/>
    <x v="0"/>
    <x v="0"/>
    <x v="0"/>
    <x v="0"/>
    <x v="0"/>
    <x v="0"/>
  </r>
  <r>
    <s v="ID0700"/>
    <d v="2012-05-26T13:42:58"/>
    <n v="800000"/>
    <n v="800000"/>
    <s v="INR"/>
    <n v="14246.333349954055"/>
    <s v="Manager"/>
    <x v="3"/>
    <s v="India"/>
    <x v="0"/>
    <x v="0"/>
    <n v="7"/>
    <s v=""/>
    <s v=""/>
    <n v="1"/>
    <s v=""/>
    <s v=""/>
    <s v=""/>
    <x v="3"/>
    <x v="0"/>
    <x v="1"/>
    <x v="0"/>
    <x v="0"/>
    <x v="0"/>
    <x v="0"/>
    <x v="13"/>
    <x v="0"/>
    <x v="0"/>
    <x v="0"/>
  </r>
  <r>
    <s v="ID0701"/>
    <d v="2012-05-26T13:44:53"/>
    <s v="25000 rupess"/>
    <n v="300000"/>
    <s v="INR"/>
    <n v="5342.3750062327708"/>
    <s v="Analyst"/>
    <x v="0"/>
    <s v="India"/>
    <x v="0"/>
    <x v="1"/>
    <n v="7"/>
    <s v=""/>
    <s v=""/>
    <n v="1"/>
    <s v=""/>
    <s v=""/>
    <s v=""/>
    <x v="3"/>
    <x v="0"/>
    <x v="150"/>
    <x v="0"/>
    <x v="0"/>
    <x v="0"/>
    <x v="0"/>
    <x v="0"/>
    <x v="0"/>
    <x v="0"/>
    <x v="0"/>
  </r>
  <r>
    <s v="ID0702"/>
    <d v="2012-05-26T13:46:52"/>
    <s v="370000 inr"/>
    <n v="370000"/>
    <s v="INR"/>
    <n v="6588.9291743537506"/>
    <s v="Operations Analyst"/>
    <x v="0"/>
    <s v="India"/>
    <x v="0"/>
    <x v="1"/>
    <n v="2"/>
    <n v="1"/>
    <s v=""/>
    <s v=""/>
    <s v=""/>
    <s v=""/>
    <s v=""/>
    <x v="4"/>
    <x v="0"/>
    <x v="96"/>
    <x v="0"/>
    <x v="0"/>
    <x v="0"/>
    <x v="0"/>
    <x v="0"/>
    <x v="0"/>
    <x v="0"/>
    <x v="0"/>
  </r>
  <r>
    <s v="ID0703"/>
    <d v="2012-05-26T13:47:06"/>
    <s v="370000 inr"/>
    <n v="370000"/>
    <s v="INR"/>
    <n v="6588.9291743537506"/>
    <s v="Operations Analyst"/>
    <x v="0"/>
    <s v="India"/>
    <x v="0"/>
    <x v="1"/>
    <n v="2"/>
    <n v="1"/>
    <s v=""/>
    <s v=""/>
    <s v=""/>
    <s v=""/>
    <s v=""/>
    <x v="4"/>
    <x v="0"/>
    <x v="96"/>
    <x v="0"/>
    <x v="0"/>
    <x v="0"/>
    <x v="0"/>
    <x v="0"/>
    <x v="0"/>
    <x v="0"/>
    <x v="0"/>
  </r>
  <r>
    <s v="ID0704"/>
    <d v="2012-05-26T13:49:54"/>
    <n v="35000"/>
    <n v="35000"/>
    <s v="USD"/>
    <n v="35000"/>
    <s v="IT Specialist"/>
    <x v="6"/>
    <s v="USA"/>
    <x v="2"/>
    <x v="0"/>
    <n v="10"/>
    <s v=""/>
    <s v=""/>
    <n v="1"/>
    <s v=""/>
    <s v=""/>
    <s v=""/>
    <x v="3"/>
    <x v="0"/>
    <x v="1"/>
    <x v="0"/>
    <x v="0"/>
    <x v="0"/>
    <x v="0"/>
    <x v="0"/>
    <x v="0"/>
    <x v="0"/>
    <x v="27"/>
  </r>
  <r>
    <s v="ID0705"/>
    <d v="2012-05-26T13:57:11"/>
    <n v="720000"/>
    <n v="720000"/>
    <s v="INR"/>
    <n v="12821.700014958649"/>
    <s v="Cost Accountant"/>
    <x v="5"/>
    <s v="India"/>
    <x v="0"/>
    <x v="0"/>
    <n v="4"/>
    <s v=""/>
    <n v="1"/>
    <s v=""/>
    <s v=""/>
    <s v=""/>
    <s v=""/>
    <x v="1"/>
    <x v="42"/>
    <x v="1"/>
    <x v="0"/>
    <x v="0"/>
    <x v="0"/>
    <x v="0"/>
    <x v="0"/>
    <x v="0"/>
    <x v="0"/>
    <x v="0"/>
  </r>
  <r>
    <s v="ID0706"/>
    <d v="2012-05-26T14:01:00"/>
    <n v="600000"/>
    <n v="600000"/>
    <s v="INR"/>
    <n v="10684.750012465542"/>
    <s v="senior executive"/>
    <x v="3"/>
    <s v="India"/>
    <x v="0"/>
    <x v="3"/>
    <n v="2"/>
    <n v="1"/>
    <s v=""/>
    <s v=""/>
    <s v=""/>
    <s v=""/>
    <s v=""/>
    <x v="4"/>
    <x v="0"/>
    <x v="1"/>
    <x v="0"/>
    <x v="0"/>
    <x v="0"/>
    <x v="0"/>
    <x v="9"/>
    <x v="0"/>
    <x v="0"/>
    <x v="0"/>
  </r>
  <r>
    <s v="ID0707"/>
    <d v="2012-05-26T14:01:09"/>
    <n v="10000"/>
    <n v="10000"/>
    <s v="USD"/>
    <n v="10000"/>
    <s v="Executive"/>
    <x v="3"/>
    <s v="India"/>
    <x v="0"/>
    <x v="0"/>
    <n v="2"/>
    <n v="1"/>
    <s v=""/>
    <s v=""/>
    <s v=""/>
    <s v=""/>
    <s v=""/>
    <x v="4"/>
    <x v="0"/>
    <x v="1"/>
    <x v="0"/>
    <x v="0"/>
    <x v="0"/>
    <x v="0"/>
    <x v="130"/>
    <x v="0"/>
    <x v="0"/>
    <x v="0"/>
  </r>
  <r>
    <s v="ID0708"/>
    <d v="2012-05-26T14:04:35"/>
    <s v="Rs 10000"/>
    <n v="120000"/>
    <s v="INR"/>
    <n v="2136.9500024931081"/>
    <s v="Intern"/>
    <x v="0"/>
    <s v="India"/>
    <x v="0"/>
    <x v="3"/>
    <n v="0"/>
    <n v="1"/>
    <s v=""/>
    <s v=""/>
    <s v=""/>
    <s v=""/>
    <s v=""/>
    <x v="4"/>
    <x v="0"/>
    <x v="155"/>
    <x v="0"/>
    <x v="0"/>
    <x v="0"/>
    <x v="0"/>
    <x v="0"/>
    <x v="0"/>
    <x v="0"/>
    <x v="0"/>
  </r>
  <r>
    <s v="ID0709"/>
    <d v="2012-05-26T14:10:51"/>
    <s v="4,80,000 Ruppes"/>
    <n v="480000"/>
    <s v="INR"/>
    <n v="8547.8000099724322"/>
    <s v="Business Analyst"/>
    <x v="0"/>
    <s v="India"/>
    <x v="0"/>
    <x v="0"/>
    <n v="4"/>
    <s v=""/>
    <n v="1"/>
    <s v=""/>
    <s v=""/>
    <s v=""/>
    <s v=""/>
    <x v="1"/>
    <x v="0"/>
    <x v="158"/>
    <x v="0"/>
    <x v="0"/>
    <x v="0"/>
    <x v="0"/>
    <x v="0"/>
    <x v="0"/>
    <x v="0"/>
    <x v="0"/>
  </r>
  <r>
    <s v="ID0710"/>
    <d v="2012-05-26T14:11:52"/>
    <s v="Re. 4.5 Lacs Per Annum"/>
    <n v="450000"/>
    <s v="INR"/>
    <n v="8013.5625093491553"/>
    <s v="Data Analyst"/>
    <x v="0"/>
    <s v="India"/>
    <x v="0"/>
    <x v="1"/>
    <n v="8"/>
    <s v=""/>
    <s v=""/>
    <n v="1"/>
    <s v=""/>
    <s v=""/>
    <s v=""/>
    <x v="3"/>
    <x v="0"/>
    <x v="85"/>
    <x v="0"/>
    <x v="0"/>
    <x v="0"/>
    <x v="0"/>
    <x v="0"/>
    <x v="0"/>
    <x v="0"/>
    <x v="0"/>
  </r>
  <r>
    <s v="ID0711"/>
    <d v="2012-05-26T14:14:35"/>
    <n v="400000"/>
    <n v="400000"/>
    <s v="INR"/>
    <n v="7123.1666749770275"/>
    <s v="Consultant"/>
    <x v="8"/>
    <s v="India"/>
    <x v="0"/>
    <x v="0"/>
    <n v="0"/>
    <n v="1"/>
    <s v=""/>
    <s v=""/>
    <s v=""/>
    <s v=""/>
    <s v=""/>
    <x v="4"/>
    <x v="0"/>
    <x v="1"/>
    <x v="37"/>
    <x v="0"/>
    <x v="0"/>
    <x v="0"/>
    <x v="0"/>
    <x v="0"/>
    <x v="0"/>
    <x v="0"/>
  </r>
  <r>
    <s v="ID0712"/>
    <d v="2012-05-26T14:16:14"/>
    <s v="inr 2300000"/>
    <n v="2300000"/>
    <s v="INR"/>
    <n v="40958.208381117904"/>
    <s v="analyst"/>
    <x v="0"/>
    <s v="India"/>
    <x v="0"/>
    <x v="1"/>
    <n v="5"/>
    <s v=""/>
    <n v="1"/>
    <s v=""/>
    <s v=""/>
    <s v=""/>
    <s v=""/>
    <x v="1"/>
    <x v="0"/>
    <x v="40"/>
    <x v="0"/>
    <x v="0"/>
    <x v="0"/>
    <x v="0"/>
    <x v="0"/>
    <x v="0"/>
    <x v="0"/>
    <x v="0"/>
  </r>
  <r>
    <s v="ID0713"/>
    <d v="2012-05-26T14:18:11"/>
    <n v="636000"/>
    <n v="636000"/>
    <s v="INR"/>
    <n v="11325.835013213473"/>
    <s v="Audit Manager"/>
    <x v="3"/>
    <s v="India"/>
    <x v="0"/>
    <x v="0"/>
    <n v="2"/>
    <n v="1"/>
    <s v=""/>
    <s v=""/>
    <s v=""/>
    <s v=""/>
    <s v=""/>
    <x v="4"/>
    <x v="0"/>
    <x v="1"/>
    <x v="0"/>
    <x v="0"/>
    <x v="0"/>
    <x v="0"/>
    <x v="151"/>
    <x v="0"/>
    <x v="0"/>
    <x v="0"/>
  </r>
  <r>
    <s v="ID0714"/>
    <d v="2012-05-26T14:20:23"/>
    <s v="15000 USD"/>
    <n v="15000"/>
    <s v="USD"/>
    <n v="15000"/>
    <s v="Audit - senior assistant"/>
    <x v="5"/>
    <s v="Lithuania"/>
    <x v="57"/>
    <x v="0"/>
    <n v="2"/>
    <n v="1"/>
    <s v=""/>
    <s v=""/>
    <s v=""/>
    <s v=""/>
    <s v=""/>
    <x v="4"/>
    <x v="43"/>
    <x v="1"/>
    <x v="0"/>
    <x v="0"/>
    <x v="0"/>
    <x v="0"/>
    <x v="0"/>
    <x v="0"/>
    <x v="0"/>
    <x v="0"/>
  </r>
  <r>
    <s v="ID0715"/>
    <d v="2012-05-26T14:22:05"/>
    <n v="1000"/>
    <n v="12000"/>
    <s v="USD"/>
    <n v="12000"/>
    <s v="tech operator (oil)"/>
    <x v="0"/>
    <s v="uae"/>
    <x v="21"/>
    <x v="0"/>
    <n v="12"/>
    <s v=""/>
    <s v=""/>
    <s v=""/>
    <n v="1"/>
    <s v=""/>
    <s v=""/>
    <x v="5"/>
    <x v="0"/>
    <x v="4"/>
    <x v="0"/>
    <x v="0"/>
    <x v="0"/>
    <x v="0"/>
    <x v="0"/>
    <x v="0"/>
    <x v="0"/>
    <x v="0"/>
  </r>
  <r>
    <s v="ID0716"/>
    <d v="2012-05-26T14:23:48"/>
    <n v="500000"/>
    <n v="500000"/>
    <s v="INR"/>
    <n v="8903.9583437212841"/>
    <s v="mis "/>
    <x v="7"/>
    <s v="India"/>
    <x v="0"/>
    <x v="2"/>
    <n v="1"/>
    <n v="1"/>
    <s v=""/>
    <s v=""/>
    <s v=""/>
    <s v=""/>
    <s v=""/>
    <x v="4"/>
    <x v="0"/>
    <x v="1"/>
    <x v="0"/>
    <x v="0"/>
    <x v="0"/>
    <x v="0"/>
    <x v="0"/>
    <x v="0"/>
    <x v="22"/>
    <x v="0"/>
  </r>
  <r>
    <s v="ID0717"/>
    <d v="2012-05-26T14:33:11"/>
    <n v="500000"/>
    <n v="500000"/>
    <s v="INR"/>
    <n v="8903.9583437212841"/>
    <s v="Engineer"/>
    <x v="2"/>
    <s v="India"/>
    <x v="0"/>
    <x v="1"/>
    <n v="2"/>
    <n v="1"/>
    <s v=""/>
    <s v=""/>
    <s v=""/>
    <s v=""/>
    <s v=""/>
    <x v="4"/>
    <x v="0"/>
    <x v="1"/>
    <x v="0"/>
    <x v="0"/>
    <x v="0"/>
    <x v="25"/>
    <x v="0"/>
    <x v="0"/>
    <x v="0"/>
    <x v="0"/>
  </r>
  <r>
    <s v="ID0718"/>
    <d v="2012-05-26T14:35:48"/>
    <s v="Inr 60000"/>
    <n v="720000"/>
    <s v="INR"/>
    <n v="12821.700014958649"/>
    <s v="Asstt manager"/>
    <x v="3"/>
    <s v="India"/>
    <x v="0"/>
    <x v="1"/>
    <n v="10"/>
    <s v=""/>
    <s v=""/>
    <n v="1"/>
    <s v=""/>
    <s v=""/>
    <s v=""/>
    <x v="3"/>
    <x v="0"/>
    <x v="1"/>
    <x v="0"/>
    <x v="0"/>
    <x v="0"/>
    <x v="0"/>
    <x v="110"/>
    <x v="0"/>
    <x v="0"/>
    <x v="0"/>
  </r>
  <r>
    <s v="ID0719"/>
    <d v="2012-05-26T14:41:00"/>
    <s v="Rs 15000"/>
    <n v="180000"/>
    <s v="INR"/>
    <n v="3205.4250037396623"/>
    <s v="Import &amp; Export Documentation Executive"/>
    <x v="3"/>
    <s v="India"/>
    <x v="0"/>
    <x v="1"/>
    <n v="7"/>
    <s v=""/>
    <s v=""/>
    <n v="1"/>
    <s v=""/>
    <s v=""/>
    <s v=""/>
    <x v="3"/>
    <x v="0"/>
    <x v="1"/>
    <x v="0"/>
    <x v="0"/>
    <x v="0"/>
    <x v="0"/>
    <x v="75"/>
    <x v="0"/>
    <x v="0"/>
    <x v="0"/>
  </r>
  <r>
    <s v="ID0720"/>
    <d v="2012-05-26T14:46:55"/>
    <n v="375000"/>
    <n v="375000"/>
    <s v="INR"/>
    <n v="6677.9687577909626"/>
    <s v="Team Lead"/>
    <x v="3"/>
    <s v="India"/>
    <x v="0"/>
    <x v="2"/>
    <n v="6"/>
    <s v=""/>
    <s v=""/>
    <n v="1"/>
    <s v=""/>
    <s v=""/>
    <s v=""/>
    <x v="3"/>
    <x v="0"/>
    <x v="1"/>
    <x v="0"/>
    <x v="0"/>
    <x v="0"/>
    <x v="0"/>
    <x v="152"/>
    <x v="0"/>
    <x v="0"/>
    <x v="0"/>
  </r>
  <r>
    <s v="ID0721"/>
    <d v="2012-05-26T14:51:02"/>
    <n v="85000"/>
    <n v="85000"/>
    <s v="NZD"/>
    <n v="67794.987956419791"/>
    <s v="Systems Manager"/>
    <x v="3"/>
    <s v="New Zealand"/>
    <x v="48"/>
    <x v="0"/>
    <n v="15"/>
    <s v=""/>
    <s v=""/>
    <s v=""/>
    <n v="1"/>
    <s v=""/>
    <s v=""/>
    <x v="5"/>
    <x v="0"/>
    <x v="1"/>
    <x v="0"/>
    <x v="0"/>
    <x v="0"/>
    <x v="0"/>
    <x v="153"/>
    <x v="0"/>
    <x v="0"/>
    <x v="0"/>
  </r>
  <r>
    <s v="ID0722"/>
    <d v="2012-05-26T14:57:39"/>
    <n v="31250"/>
    <n v="31250"/>
    <s v="USD"/>
    <n v="31250"/>
    <s v="Program management"/>
    <x v="3"/>
    <s v="India"/>
    <x v="0"/>
    <x v="2"/>
    <n v="6"/>
    <s v=""/>
    <s v=""/>
    <n v="1"/>
    <s v=""/>
    <s v=""/>
    <s v=""/>
    <x v="3"/>
    <x v="0"/>
    <x v="1"/>
    <x v="0"/>
    <x v="0"/>
    <x v="0"/>
    <x v="0"/>
    <x v="154"/>
    <x v="0"/>
    <x v="0"/>
    <x v="0"/>
  </r>
  <r>
    <s v="ID0723"/>
    <d v="2012-05-26T14:57:45"/>
    <s v="PKR 17000"/>
    <n v="204000"/>
    <s v="PKR"/>
    <n v="2165.2740982270229"/>
    <s v="Accounts Manager"/>
    <x v="3"/>
    <s v="Pakistan"/>
    <x v="3"/>
    <x v="1"/>
    <n v="2"/>
    <n v="1"/>
    <s v=""/>
    <s v=""/>
    <s v=""/>
    <s v=""/>
    <s v=""/>
    <x v="4"/>
    <x v="0"/>
    <x v="1"/>
    <x v="0"/>
    <x v="0"/>
    <x v="0"/>
    <x v="0"/>
    <x v="155"/>
    <x v="0"/>
    <x v="0"/>
    <x v="0"/>
  </r>
  <r>
    <s v="ID0724"/>
    <d v="2012-05-26T14:58:24"/>
    <s v="Rs.4lk "/>
    <n v="400000"/>
    <s v="INR"/>
    <n v="7123.1666749770275"/>
    <s v="sr. mis executive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23"/>
    <x v="0"/>
  </r>
  <r>
    <s v="ID0725"/>
    <d v="2012-05-26T15:01:00"/>
    <s v="USD130000"/>
    <n v="130000"/>
    <s v="USD"/>
    <n v="130000"/>
    <s v="Modeller"/>
    <x v="3"/>
    <s v="Australia"/>
    <x v="16"/>
    <x v="0"/>
    <n v="3"/>
    <s v=""/>
    <n v="1"/>
    <s v=""/>
    <s v=""/>
    <s v=""/>
    <s v=""/>
    <x v="1"/>
    <x v="0"/>
    <x v="1"/>
    <x v="0"/>
    <x v="0"/>
    <x v="0"/>
    <x v="0"/>
    <x v="67"/>
    <x v="0"/>
    <x v="0"/>
    <x v="0"/>
  </r>
  <r>
    <s v="ID0726"/>
    <d v="2012-05-26T15:01:41"/>
    <s v="Rs. 250000"/>
    <n v="250000"/>
    <s v="INR"/>
    <n v="4451.9791718606421"/>
    <s v="Asst. Manager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145"/>
    <x v="0"/>
    <x v="0"/>
    <x v="0"/>
  </r>
  <r>
    <s v="ID0727"/>
    <d v="2012-05-26T15:02:34"/>
    <n v="800"/>
    <n v="9600"/>
    <s v="USD"/>
    <n v="9600"/>
    <s v="Admin"/>
    <x v="0"/>
    <s v="South Africa"/>
    <x v="11"/>
    <x v="0"/>
    <n v="2"/>
    <n v="1"/>
    <s v=""/>
    <s v=""/>
    <s v=""/>
    <s v=""/>
    <s v=""/>
    <x v="4"/>
    <x v="0"/>
    <x v="159"/>
    <x v="0"/>
    <x v="0"/>
    <x v="0"/>
    <x v="0"/>
    <x v="0"/>
    <x v="0"/>
    <x v="0"/>
    <x v="0"/>
  </r>
  <r>
    <s v="ID0728"/>
    <d v="2012-05-26T15:04:33"/>
    <s v="INR 390000 PA"/>
    <n v="390000"/>
    <s v="INR"/>
    <n v="6945.0875081026015"/>
    <s v="Business Analyst"/>
    <x v="0"/>
    <s v="India"/>
    <x v="0"/>
    <x v="0"/>
    <n v="1"/>
    <n v="1"/>
    <s v=""/>
    <s v=""/>
    <s v=""/>
    <s v=""/>
    <s v=""/>
    <x v="4"/>
    <x v="0"/>
    <x v="160"/>
    <x v="0"/>
    <x v="0"/>
    <x v="0"/>
    <x v="0"/>
    <x v="0"/>
    <x v="0"/>
    <x v="0"/>
    <x v="0"/>
  </r>
  <r>
    <s v="ID0729"/>
    <d v="2012-05-26T15:05:42"/>
    <n v="600000"/>
    <n v="600000"/>
    <s v="INR"/>
    <n v="10684.750012465542"/>
    <s v="Sr Financial Execative"/>
    <x v="5"/>
    <s v="India"/>
    <x v="0"/>
    <x v="1"/>
    <n v="7"/>
    <s v=""/>
    <s v=""/>
    <n v="1"/>
    <s v=""/>
    <s v=""/>
    <s v=""/>
    <x v="3"/>
    <x v="44"/>
    <x v="1"/>
    <x v="0"/>
    <x v="0"/>
    <x v="0"/>
    <x v="0"/>
    <x v="0"/>
    <x v="0"/>
    <x v="0"/>
    <x v="0"/>
  </r>
  <r>
    <s v="ID0730"/>
    <d v="2012-05-26T15:06:00"/>
    <n v="4.8"/>
    <n v="480000"/>
    <s v="INR"/>
    <n v="8547.8000099724322"/>
    <s v="Asst Mngr"/>
    <x v="0"/>
    <s v="India"/>
    <x v="0"/>
    <x v="2"/>
    <n v="3.5"/>
    <s v=""/>
    <n v="1"/>
    <s v=""/>
    <s v=""/>
    <s v=""/>
    <s v=""/>
    <x v="1"/>
    <x v="0"/>
    <x v="158"/>
    <x v="0"/>
    <x v="0"/>
    <x v="0"/>
    <x v="0"/>
    <x v="0"/>
    <x v="0"/>
    <x v="0"/>
    <x v="0"/>
  </r>
  <r>
    <s v="ID0731"/>
    <d v="2012-05-26T15:07:39"/>
    <n v="35000"/>
    <n v="35000"/>
    <s v="USD"/>
    <n v="35000"/>
    <s v="Associate"/>
    <x v="0"/>
    <s v="India"/>
    <x v="0"/>
    <x v="0"/>
    <n v="10"/>
    <s v=""/>
    <s v=""/>
    <n v="1"/>
    <s v=""/>
    <s v=""/>
    <s v=""/>
    <x v="3"/>
    <x v="0"/>
    <x v="100"/>
    <x v="0"/>
    <x v="0"/>
    <x v="0"/>
    <x v="0"/>
    <x v="0"/>
    <x v="0"/>
    <x v="0"/>
    <x v="0"/>
  </r>
  <r>
    <s v="ID0732"/>
    <d v="2012-05-26T15:09:27"/>
    <s v="Ind Rs.10,00,000.00"/>
    <n v="1000000"/>
    <s v="INR"/>
    <n v="17807.916687442568"/>
    <s v="Sr Associate"/>
    <x v="0"/>
    <s v="India"/>
    <x v="0"/>
    <x v="2"/>
    <n v="12"/>
    <s v=""/>
    <s v=""/>
    <s v=""/>
    <n v="1"/>
    <s v=""/>
    <s v=""/>
    <x v="5"/>
    <x v="0"/>
    <x v="161"/>
    <x v="0"/>
    <x v="0"/>
    <x v="0"/>
    <x v="0"/>
    <x v="0"/>
    <x v="0"/>
    <x v="0"/>
    <x v="0"/>
  </r>
  <r>
    <s v="ID0733"/>
    <d v="2012-05-26T15:21:41"/>
    <n v="180000"/>
    <n v="180000"/>
    <s v="INR"/>
    <n v="3205.4250037396623"/>
    <s v="Accountant"/>
    <x v="5"/>
    <s v="India"/>
    <x v="0"/>
    <x v="1"/>
    <n v="4"/>
    <s v=""/>
    <n v="1"/>
    <s v=""/>
    <s v=""/>
    <s v=""/>
    <s v=""/>
    <x v="1"/>
    <x v="41"/>
    <x v="1"/>
    <x v="0"/>
    <x v="0"/>
    <x v="0"/>
    <x v="0"/>
    <x v="0"/>
    <x v="0"/>
    <x v="0"/>
    <x v="0"/>
  </r>
  <r>
    <s v="ID0734"/>
    <d v="2012-05-26T15:24:32"/>
    <n v="5000"/>
    <n v="60000"/>
    <s v="USD"/>
    <n v="60000"/>
    <s v="Manager"/>
    <x v="3"/>
    <s v="Russia"/>
    <x v="13"/>
    <x v="0"/>
    <n v="10"/>
    <s v=""/>
    <s v=""/>
    <n v="1"/>
    <s v=""/>
    <s v=""/>
    <s v=""/>
    <x v="3"/>
    <x v="0"/>
    <x v="1"/>
    <x v="0"/>
    <x v="0"/>
    <x v="0"/>
    <x v="0"/>
    <x v="76"/>
    <x v="0"/>
    <x v="0"/>
    <x v="0"/>
  </r>
  <r>
    <s v="ID0735"/>
    <d v="2012-05-26T15:27:48"/>
    <s v="8 Lakhs"/>
    <n v="800000"/>
    <s v="INR"/>
    <n v="14246.333349954055"/>
    <s v="Manager"/>
    <x v="3"/>
    <s v="India"/>
    <x v="0"/>
    <x v="2"/>
    <n v="13"/>
    <s v=""/>
    <s v=""/>
    <s v=""/>
    <n v="1"/>
    <s v=""/>
    <s v=""/>
    <x v="5"/>
    <x v="0"/>
    <x v="1"/>
    <x v="0"/>
    <x v="0"/>
    <x v="0"/>
    <x v="0"/>
    <x v="13"/>
    <x v="0"/>
    <x v="0"/>
    <x v="0"/>
  </r>
  <r>
    <s v="ID0736"/>
    <d v="2012-05-26T15:30:23"/>
    <s v="6 Lac Rs"/>
    <n v="600000"/>
    <s v="INR"/>
    <n v="10684.750012465542"/>
    <s v="ERP Co-Ordinator"/>
    <x v="3"/>
    <s v="India"/>
    <x v="0"/>
    <x v="2"/>
    <n v="8"/>
    <s v=""/>
    <s v=""/>
    <n v="1"/>
    <s v=""/>
    <s v=""/>
    <s v=""/>
    <x v="3"/>
    <x v="0"/>
    <x v="1"/>
    <x v="0"/>
    <x v="0"/>
    <x v="0"/>
    <x v="0"/>
    <x v="9"/>
    <x v="0"/>
    <x v="0"/>
    <x v="0"/>
  </r>
  <r>
    <s v="ID0737"/>
    <d v="2012-05-26T15:35:43"/>
    <n v="40000"/>
    <n v="40000"/>
    <s v="USD"/>
    <n v="40000"/>
    <s v="Revenue Manager"/>
    <x v="3"/>
    <s v="India"/>
    <x v="0"/>
    <x v="1"/>
    <n v="15"/>
    <s v=""/>
    <s v=""/>
    <s v=""/>
    <n v="1"/>
    <s v=""/>
    <s v=""/>
    <x v="5"/>
    <x v="0"/>
    <x v="1"/>
    <x v="0"/>
    <x v="0"/>
    <x v="0"/>
    <x v="0"/>
    <x v="7"/>
    <x v="0"/>
    <x v="0"/>
    <x v="0"/>
  </r>
  <r>
    <s v="ID0738"/>
    <d v="2012-05-26T15:44:32"/>
    <n v="5022"/>
    <n v="5022"/>
    <s v="USD"/>
    <n v="5022"/>
    <s v="Accounts analyst"/>
    <x v="0"/>
    <s v="Pakistan"/>
    <x v="3"/>
    <x v="0"/>
    <n v="15"/>
    <s v=""/>
    <s v=""/>
    <s v=""/>
    <n v="1"/>
    <s v=""/>
    <s v=""/>
    <x v="5"/>
    <x v="0"/>
    <x v="162"/>
    <x v="0"/>
    <x v="0"/>
    <x v="0"/>
    <x v="0"/>
    <x v="0"/>
    <x v="0"/>
    <x v="0"/>
    <x v="0"/>
  </r>
  <r>
    <s v="ID0739"/>
    <d v="2012-05-26T15:51:11"/>
    <n v="410000"/>
    <n v="410000"/>
    <s v="INR"/>
    <n v="7301.2458418514525"/>
    <s v="MIS Analyst"/>
    <x v="0"/>
    <s v="India"/>
    <x v="0"/>
    <x v="1"/>
    <n v="5"/>
    <s v=""/>
    <n v="1"/>
    <s v=""/>
    <s v=""/>
    <s v=""/>
    <s v=""/>
    <x v="1"/>
    <x v="0"/>
    <x v="163"/>
    <x v="0"/>
    <x v="0"/>
    <x v="0"/>
    <x v="0"/>
    <x v="0"/>
    <x v="0"/>
    <x v="0"/>
    <x v="0"/>
  </r>
  <r>
    <s v="ID0740"/>
    <d v="2012-05-26T15:53:10"/>
    <n v="10000"/>
    <n v="120000"/>
    <s v="EGYPT"/>
    <n v="19831.432821021317"/>
    <s v="Estimator"/>
    <x v="0"/>
    <s v="Egypt"/>
    <x v="58"/>
    <x v="1"/>
    <n v="5"/>
    <s v=""/>
    <n v="1"/>
    <s v=""/>
    <s v=""/>
    <s v=""/>
    <s v=""/>
    <x v="1"/>
    <x v="0"/>
    <x v="164"/>
    <x v="0"/>
    <x v="0"/>
    <x v="0"/>
    <x v="0"/>
    <x v="0"/>
    <x v="0"/>
    <x v="0"/>
    <x v="0"/>
  </r>
  <r>
    <s v="ID0741"/>
    <d v="2012-05-26T15:54:00"/>
    <s v="50 k per month"/>
    <n v="600000"/>
    <s v="INR"/>
    <n v="10684.750012465542"/>
    <s v="Finance 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9"/>
    <x v="0"/>
    <x v="0"/>
    <x v="0"/>
  </r>
  <r>
    <s v="ID0742"/>
    <d v="2012-05-26T15:56:57"/>
    <s v="4800 $"/>
    <n v="4800"/>
    <s v="USD"/>
    <n v="4800"/>
    <s v="Data Analysis"/>
    <x v="0"/>
    <s v="Bhutan"/>
    <x v="59"/>
    <x v="0"/>
    <n v="2"/>
    <n v="1"/>
    <s v=""/>
    <s v=""/>
    <s v=""/>
    <s v=""/>
    <s v=""/>
    <x v="4"/>
    <x v="0"/>
    <x v="165"/>
    <x v="0"/>
    <x v="0"/>
    <x v="0"/>
    <x v="0"/>
    <x v="0"/>
    <x v="0"/>
    <x v="0"/>
    <x v="0"/>
  </r>
  <r>
    <s v="ID0743"/>
    <d v="2012-05-26T15:59:44"/>
    <s v="66000 â‚¬"/>
    <n v="66000"/>
    <s v="EUR"/>
    <n v="83846.362973446114"/>
    <s v="Logistics Analyst"/>
    <x v="0"/>
    <s v="germany"/>
    <x v="5"/>
    <x v="0"/>
    <n v="7"/>
    <s v=""/>
    <s v=""/>
    <n v="1"/>
    <s v=""/>
    <s v=""/>
    <s v=""/>
    <x v="3"/>
    <x v="0"/>
    <x v="166"/>
    <x v="0"/>
    <x v="0"/>
    <x v="0"/>
    <x v="0"/>
    <x v="0"/>
    <x v="0"/>
    <x v="0"/>
    <x v="0"/>
  </r>
  <r>
    <s v="ID0744"/>
    <d v="2012-05-26T16:01:54"/>
    <n v="15000"/>
    <n v="15000"/>
    <s v="USD"/>
    <n v="15000"/>
    <s v="PROCSS ASOCIATE"/>
    <x v="1"/>
    <s v="India"/>
    <x v="0"/>
    <x v="2"/>
    <n v="2"/>
    <n v="1"/>
    <s v=""/>
    <s v=""/>
    <s v=""/>
    <s v=""/>
    <s v=""/>
    <x v="4"/>
    <x v="0"/>
    <x v="1"/>
    <x v="0"/>
    <x v="1"/>
    <x v="0"/>
    <x v="0"/>
    <x v="0"/>
    <x v="0"/>
    <x v="0"/>
    <x v="0"/>
  </r>
  <r>
    <s v="ID0745"/>
    <d v="2012-05-26T16:05:02"/>
    <n v="10000"/>
    <n v="10000"/>
    <s v="USD"/>
    <n v="10000"/>
    <s v="Reporting Analyst"/>
    <x v="0"/>
    <s v="India"/>
    <x v="0"/>
    <x v="0"/>
    <n v="12"/>
    <s v=""/>
    <s v=""/>
    <s v=""/>
    <n v="1"/>
    <s v=""/>
    <s v=""/>
    <x v="5"/>
    <x v="0"/>
    <x v="167"/>
    <x v="0"/>
    <x v="0"/>
    <x v="0"/>
    <x v="0"/>
    <x v="0"/>
    <x v="0"/>
    <x v="0"/>
    <x v="0"/>
  </r>
  <r>
    <s v="ID0746"/>
    <d v="2012-05-26T16:10:08"/>
    <n v="74000"/>
    <n v="74000"/>
    <s v="GBP"/>
    <n v="116637.19213297902"/>
    <s v="Corporate Finance Manager"/>
    <x v="3"/>
    <s v="UK"/>
    <x v="14"/>
    <x v="0"/>
    <n v="5"/>
    <s v=""/>
    <n v="1"/>
    <s v=""/>
    <s v=""/>
    <s v=""/>
    <s v=""/>
    <x v="1"/>
    <x v="0"/>
    <x v="1"/>
    <x v="0"/>
    <x v="0"/>
    <x v="0"/>
    <x v="0"/>
    <x v="156"/>
    <x v="0"/>
    <x v="0"/>
    <x v="0"/>
  </r>
  <r>
    <s v="ID0747"/>
    <d v="2012-05-26T16:12:09"/>
    <s v="GBP21798"/>
    <n v="21798"/>
    <s v="GBP"/>
    <n v="34357.533974522659"/>
    <s v="Data Analyst"/>
    <x v="0"/>
    <s v="UK"/>
    <x v="14"/>
    <x v="1"/>
    <n v="1.5"/>
    <n v="1"/>
    <s v=""/>
    <s v=""/>
    <s v=""/>
    <s v=""/>
    <s v=""/>
    <x v="4"/>
    <x v="0"/>
    <x v="168"/>
    <x v="0"/>
    <x v="0"/>
    <x v="0"/>
    <x v="0"/>
    <x v="0"/>
    <x v="0"/>
    <x v="0"/>
    <x v="0"/>
  </r>
  <r>
    <s v="ID0748"/>
    <d v="2012-05-26T16:16:39"/>
    <n v="65000"/>
    <n v="65000"/>
    <s v="GBP"/>
    <n v="102451.58768437347"/>
    <s v="compliance manager"/>
    <x v="3"/>
    <s v="UK"/>
    <x v="14"/>
    <x v="0"/>
    <n v="15"/>
    <s v=""/>
    <s v=""/>
    <s v=""/>
    <n v="1"/>
    <s v=""/>
    <s v=""/>
    <x v="5"/>
    <x v="0"/>
    <x v="1"/>
    <x v="0"/>
    <x v="0"/>
    <x v="0"/>
    <x v="0"/>
    <x v="157"/>
    <x v="0"/>
    <x v="0"/>
    <x v="0"/>
  </r>
  <r>
    <s v="ID0749"/>
    <d v="2012-05-26T16:23:30"/>
    <n v="16000"/>
    <n v="16000"/>
    <s v="USD"/>
    <n v="16000"/>
    <s v="Engineer"/>
    <x v="2"/>
    <s v="India"/>
    <x v="0"/>
    <x v="2"/>
    <n v="5"/>
    <s v=""/>
    <n v="1"/>
    <s v=""/>
    <s v=""/>
    <s v=""/>
    <s v=""/>
    <x v="1"/>
    <x v="0"/>
    <x v="1"/>
    <x v="0"/>
    <x v="0"/>
    <x v="0"/>
    <x v="26"/>
    <x v="0"/>
    <x v="0"/>
    <x v="0"/>
    <x v="0"/>
  </r>
  <r>
    <s v="ID0750"/>
    <d v="2012-05-26T16:25:53"/>
    <n v="6000"/>
    <n v="6000"/>
    <s v="USD"/>
    <n v="6000"/>
    <s v="Merchandiser"/>
    <x v="3"/>
    <s v="India"/>
    <x v="0"/>
    <x v="2"/>
    <n v="6"/>
    <s v=""/>
    <s v=""/>
    <n v="1"/>
    <s v=""/>
    <s v=""/>
    <s v=""/>
    <x v="3"/>
    <x v="0"/>
    <x v="1"/>
    <x v="0"/>
    <x v="0"/>
    <x v="0"/>
    <x v="0"/>
    <x v="124"/>
    <x v="0"/>
    <x v="0"/>
    <x v="0"/>
  </r>
  <r>
    <s v="ID0751"/>
    <d v="2012-05-26T16:26:35"/>
    <s v="INR 30000"/>
    <n v="360000"/>
    <s v="INR"/>
    <n v="6410.8500074793246"/>
    <s v="Project Lead"/>
    <x v="3"/>
    <s v="India"/>
    <x v="0"/>
    <x v="1"/>
    <n v="6"/>
    <s v=""/>
    <s v=""/>
    <n v="1"/>
    <s v=""/>
    <s v=""/>
    <s v=""/>
    <x v="3"/>
    <x v="0"/>
    <x v="1"/>
    <x v="0"/>
    <x v="0"/>
    <x v="0"/>
    <x v="0"/>
    <x v="158"/>
    <x v="0"/>
    <x v="0"/>
    <x v="0"/>
  </r>
  <r>
    <s v="ID0752"/>
    <d v="2012-05-26T16:29:36"/>
    <n v="36000"/>
    <n v="36000"/>
    <s v="USD"/>
    <n v="36000"/>
    <s v="ENGINEER"/>
    <x v="2"/>
    <s v="uae"/>
    <x v="21"/>
    <x v="3"/>
    <n v="7"/>
    <s v=""/>
    <s v=""/>
    <n v="1"/>
    <s v=""/>
    <s v=""/>
    <s v=""/>
    <x v="3"/>
    <x v="0"/>
    <x v="1"/>
    <x v="0"/>
    <x v="0"/>
    <x v="0"/>
    <x v="27"/>
    <x v="0"/>
    <x v="0"/>
    <x v="0"/>
    <x v="0"/>
  </r>
  <r>
    <s v="ID0753"/>
    <d v="2012-05-26T16:33:58"/>
    <n v="20000"/>
    <n v="20000"/>
    <s v="USD"/>
    <n v="20000"/>
    <s v="engineer"/>
    <x v="2"/>
    <s v="India"/>
    <x v="0"/>
    <x v="3"/>
    <n v="7"/>
    <s v=""/>
    <s v=""/>
    <n v="1"/>
    <s v=""/>
    <s v=""/>
    <s v=""/>
    <x v="3"/>
    <x v="0"/>
    <x v="1"/>
    <x v="0"/>
    <x v="0"/>
    <x v="0"/>
    <x v="28"/>
    <x v="0"/>
    <x v="0"/>
    <x v="0"/>
    <x v="0"/>
  </r>
  <r>
    <s v="ID0754"/>
    <d v="2012-05-26T16:34:18"/>
    <s v="INR240000"/>
    <n v="240000"/>
    <s v="INR"/>
    <n v="4273.9000049862161"/>
    <s v="SR. ACCOUNTS EXECUTIVE"/>
    <x v="5"/>
    <s v="India"/>
    <x v="0"/>
    <x v="0"/>
    <n v="8"/>
    <s v=""/>
    <s v=""/>
    <n v="1"/>
    <s v=""/>
    <s v=""/>
    <s v=""/>
    <x v="3"/>
    <x v="45"/>
    <x v="1"/>
    <x v="0"/>
    <x v="0"/>
    <x v="0"/>
    <x v="0"/>
    <x v="0"/>
    <x v="0"/>
    <x v="0"/>
    <x v="0"/>
  </r>
  <r>
    <s v="ID0755"/>
    <d v="2012-05-26T16:34:57"/>
    <s v="Â£ 24000"/>
    <n v="24000"/>
    <s v="GBP"/>
    <n v="37828.278529614821"/>
    <s v="Business Support Specialist"/>
    <x v="6"/>
    <s v="UK"/>
    <x v="14"/>
    <x v="1"/>
    <n v="8"/>
    <s v=""/>
    <s v=""/>
    <n v="1"/>
    <s v=""/>
    <s v=""/>
    <s v=""/>
    <x v="3"/>
    <x v="0"/>
    <x v="1"/>
    <x v="0"/>
    <x v="0"/>
    <x v="0"/>
    <x v="0"/>
    <x v="0"/>
    <x v="0"/>
    <x v="0"/>
    <x v="28"/>
  </r>
  <r>
    <s v="ID0756"/>
    <d v="2012-05-26T16:50:08"/>
    <s v="US $ 11,000"/>
    <n v="11000"/>
    <s v="USD"/>
    <n v="11000"/>
    <s v="Assistant Manager - Group MIS"/>
    <x v="3"/>
    <s v="Sri Lanka"/>
    <x v="54"/>
    <x v="1"/>
    <n v="4.5"/>
    <s v=""/>
    <n v="1"/>
    <s v=""/>
    <s v=""/>
    <s v=""/>
    <s v=""/>
    <x v="1"/>
    <x v="0"/>
    <x v="1"/>
    <x v="0"/>
    <x v="0"/>
    <x v="0"/>
    <x v="0"/>
    <x v="159"/>
    <x v="0"/>
    <x v="0"/>
    <x v="0"/>
  </r>
  <r>
    <s v="ID0757"/>
    <d v="2012-05-26T16:50:46"/>
    <n v="8000"/>
    <n v="8000"/>
    <s v="USD"/>
    <n v="8000"/>
    <s v="Business Analyst"/>
    <x v="0"/>
    <s v="India"/>
    <x v="0"/>
    <x v="2"/>
    <n v="6"/>
    <s v=""/>
    <s v=""/>
    <n v="1"/>
    <s v=""/>
    <s v=""/>
    <s v=""/>
    <x v="3"/>
    <x v="0"/>
    <x v="169"/>
    <x v="0"/>
    <x v="0"/>
    <x v="0"/>
    <x v="0"/>
    <x v="0"/>
    <x v="0"/>
    <x v="0"/>
    <x v="0"/>
  </r>
  <r>
    <s v="ID0758"/>
    <d v="2012-05-26T17:02:46"/>
    <s v="Rs. 225000"/>
    <n v="225000"/>
    <s v="INR"/>
    <n v="4006.7812546745777"/>
    <s v="MIS Executive"/>
    <x v="7"/>
    <s v="India"/>
    <x v="0"/>
    <x v="1"/>
    <n v="5.5"/>
    <s v=""/>
    <s v=""/>
    <n v="1"/>
    <s v=""/>
    <s v=""/>
    <s v=""/>
    <x v="3"/>
    <x v="0"/>
    <x v="1"/>
    <x v="0"/>
    <x v="0"/>
    <x v="0"/>
    <x v="0"/>
    <x v="0"/>
    <x v="0"/>
    <x v="24"/>
    <x v="0"/>
  </r>
  <r>
    <s v="ID0759"/>
    <d v="2012-05-26T17:03:02"/>
    <n v="1488000"/>
    <n v="1488000"/>
    <s v="NAIRA"/>
    <n v="9171.0323574730355"/>
    <s v="Company Systems Integration Manager"/>
    <x v="3"/>
    <s v="Nigeria"/>
    <x v="60"/>
    <x v="2"/>
    <n v="5"/>
    <s v=""/>
    <n v="1"/>
    <s v=""/>
    <s v=""/>
    <s v=""/>
    <s v=""/>
    <x v="1"/>
    <x v="0"/>
    <x v="1"/>
    <x v="0"/>
    <x v="0"/>
    <x v="0"/>
    <x v="0"/>
    <x v="160"/>
    <x v="0"/>
    <x v="0"/>
    <x v="0"/>
  </r>
  <r>
    <s v="ID0760"/>
    <d v="2012-05-26T17:03:26"/>
    <s v="INR 20000"/>
    <n v="240000"/>
    <s v="INR"/>
    <n v="4273.9000049862161"/>
    <s v="EXECUTIVE"/>
    <x v="0"/>
    <s v="India"/>
    <x v="0"/>
    <x v="2"/>
    <n v="20"/>
    <s v=""/>
    <s v=""/>
    <s v=""/>
    <s v=""/>
    <n v="1"/>
    <s v=""/>
    <x v="2"/>
    <x v="0"/>
    <x v="138"/>
    <x v="0"/>
    <x v="0"/>
    <x v="0"/>
    <x v="0"/>
    <x v="0"/>
    <x v="0"/>
    <x v="0"/>
    <x v="0"/>
  </r>
  <r>
    <s v="ID0761"/>
    <d v="2012-05-26T17:04:23"/>
    <s v="INR 700000"/>
    <n v="700000"/>
    <s v="INR"/>
    <n v="12465.541681209797"/>
    <s v="Sales Management Analyst"/>
    <x v="0"/>
    <s v="India"/>
    <x v="0"/>
    <x v="1"/>
    <n v="5"/>
    <s v=""/>
    <n v="1"/>
    <s v=""/>
    <s v=""/>
    <s v=""/>
    <s v=""/>
    <x v="1"/>
    <x v="0"/>
    <x v="170"/>
    <x v="0"/>
    <x v="0"/>
    <x v="0"/>
    <x v="0"/>
    <x v="0"/>
    <x v="0"/>
    <x v="0"/>
    <x v="0"/>
  </r>
  <r>
    <s v="ID0762"/>
    <d v="2012-05-26T17:06:48"/>
    <n v="2000"/>
    <n v="24000"/>
    <s v="USD"/>
    <n v="24000"/>
    <s v="Asst Production Planner"/>
    <x v="0"/>
    <s v="India"/>
    <x v="0"/>
    <x v="2"/>
    <n v="1"/>
    <n v="1"/>
    <s v=""/>
    <s v=""/>
    <s v=""/>
    <s v=""/>
    <s v=""/>
    <x v="4"/>
    <x v="0"/>
    <x v="171"/>
    <x v="0"/>
    <x v="0"/>
    <x v="0"/>
    <x v="0"/>
    <x v="0"/>
    <x v="0"/>
    <x v="0"/>
    <x v="0"/>
  </r>
  <r>
    <s v="ID0763"/>
    <d v="2012-05-26T17:07:30"/>
    <n v="20000"/>
    <n v="20000"/>
    <s v="USD"/>
    <n v="20000"/>
    <s v="Consultat"/>
    <x v="8"/>
    <s v="Denmark"/>
    <x v="61"/>
    <x v="2"/>
    <n v="15"/>
    <s v=""/>
    <s v=""/>
    <s v=""/>
    <n v="1"/>
    <s v=""/>
    <s v=""/>
    <x v="5"/>
    <x v="0"/>
    <x v="1"/>
    <x v="26"/>
    <x v="0"/>
    <x v="0"/>
    <x v="0"/>
    <x v="0"/>
    <x v="0"/>
    <x v="0"/>
    <x v="0"/>
  </r>
  <r>
    <s v="ID0764"/>
    <d v="2012-05-26T17:08:09"/>
    <n v="62000"/>
    <n v="62000"/>
    <s v="USD"/>
    <n v="62000"/>
    <s v="System Analyst "/>
    <x v="0"/>
    <s v="USA"/>
    <x v="2"/>
    <x v="2"/>
    <n v="20"/>
    <s v=""/>
    <s v=""/>
    <s v=""/>
    <s v=""/>
    <n v="1"/>
    <s v=""/>
    <x v="2"/>
    <x v="0"/>
    <x v="14"/>
    <x v="0"/>
    <x v="0"/>
    <x v="0"/>
    <x v="0"/>
    <x v="0"/>
    <x v="0"/>
    <x v="0"/>
    <x v="0"/>
  </r>
  <r>
    <s v="ID0765"/>
    <d v="2012-05-26T17:09:24"/>
    <s v="14960 $"/>
    <n v="14960"/>
    <s v="USD"/>
    <n v="14960"/>
    <s v="Stock Controller"/>
    <x v="1"/>
    <s v="Saudi Arabia"/>
    <x v="22"/>
    <x v="1"/>
    <n v="2"/>
    <n v="1"/>
    <s v=""/>
    <s v=""/>
    <s v=""/>
    <s v=""/>
    <s v=""/>
    <x v="4"/>
    <x v="0"/>
    <x v="1"/>
    <x v="0"/>
    <x v="16"/>
    <x v="0"/>
    <x v="0"/>
    <x v="0"/>
    <x v="0"/>
    <x v="0"/>
    <x v="0"/>
  </r>
  <r>
    <s v="ID0766"/>
    <d v="2012-05-26T17:10:20"/>
    <n v="120000"/>
    <n v="120000"/>
    <s v="INR"/>
    <n v="2136.9500024931081"/>
    <s v="ACCOUNTANT"/>
    <x v="5"/>
    <s v="India"/>
    <x v="0"/>
    <x v="2"/>
    <n v="2"/>
    <n v="1"/>
    <s v=""/>
    <s v=""/>
    <s v=""/>
    <s v=""/>
    <s v=""/>
    <x v="4"/>
    <x v="46"/>
    <x v="1"/>
    <x v="0"/>
    <x v="0"/>
    <x v="0"/>
    <x v="0"/>
    <x v="0"/>
    <x v="0"/>
    <x v="0"/>
    <x v="0"/>
  </r>
  <r>
    <s v="ID0767"/>
    <d v="2012-05-26T17:24:41"/>
    <n v="30232"/>
    <n v="30232"/>
    <s v="USD"/>
    <n v="30232"/>
    <s v="Accounts Supervisor"/>
    <x v="5"/>
    <s v="KSA"/>
    <x v="2"/>
    <x v="2"/>
    <n v="5"/>
    <s v=""/>
    <n v="1"/>
    <s v=""/>
    <s v=""/>
    <s v=""/>
    <s v=""/>
    <x v="1"/>
    <x v="47"/>
    <x v="1"/>
    <x v="0"/>
    <x v="0"/>
    <x v="0"/>
    <x v="0"/>
    <x v="0"/>
    <x v="0"/>
    <x v="0"/>
    <x v="0"/>
  </r>
  <r>
    <s v="ID0768"/>
    <d v="2012-05-26T17:24:41"/>
    <n v="41000"/>
    <n v="41000"/>
    <s v="USD"/>
    <n v="41000"/>
    <s v="Business Analyst"/>
    <x v="0"/>
    <s v="USA"/>
    <x v="2"/>
    <x v="1"/>
    <n v="4"/>
    <s v=""/>
    <n v="1"/>
    <s v=""/>
    <s v=""/>
    <s v=""/>
    <s v=""/>
    <x v="1"/>
    <x v="0"/>
    <x v="86"/>
    <x v="0"/>
    <x v="0"/>
    <x v="0"/>
    <x v="0"/>
    <x v="0"/>
    <x v="0"/>
    <x v="0"/>
    <x v="0"/>
  </r>
  <r>
    <s v="ID0769"/>
    <d v="2012-05-26T17:31:56"/>
    <s v="95000 AUD"/>
    <n v="95000"/>
    <s v="AUD"/>
    <n v="96891.417358250401"/>
    <s v="Data Analyst - Report Writer"/>
    <x v="0"/>
    <s v="Australia"/>
    <x v="16"/>
    <x v="2"/>
    <n v="11"/>
    <s v=""/>
    <s v=""/>
    <s v=""/>
    <n v="1"/>
    <s v=""/>
    <s v=""/>
    <x v="5"/>
    <x v="0"/>
    <x v="172"/>
    <x v="0"/>
    <x v="0"/>
    <x v="0"/>
    <x v="0"/>
    <x v="0"/>
    <x v="0"/>
    <x v="0"/>
    <x v="0"/>
  </r>
  <r>
    <s v="ID0770"/>
    <d v="2012-05-26T17:44:34"/>
    <s v="Rs 1200000"/>
    <n v="1200000"/>
    <s v="INR"/>
    <n v="21369.500024931083"/>
    <s v="Regional Formwork Head "/>
    <x v="3"/>
    <s v="India"/>
    <x v="0"/>
    <x v="1"/>
    <n v="14"/>
    <s v=""/>
    <s v=""/>
    <s v=""/>
    <n v="1"/>
    <s v=""/>
    <s v=""/>
    <x v="5"/>
    <x v="0"/>
    <x v="1"/>
    <x v="0"/>
    <x v="0"/>
    <x v="0"/>
    <x v="0"/>
    <x v="61"/>
    <x v="0"/>
    <x v="0"/>
    <x v="0"/>
  </r>
  <r>
    <s v="ID0771"/>
    <d v="2012-05-26T17:47:00"/>
    <n v="205000"/>
    <n v="205000"/>
    <s v="INR"/>
    <n v="3650.6229209257262"/>
    <s v="BRANCH ACCOUNTANT"/>
    <x v="5"/>
    <s v="India"/>
    <x v="0"/>
    <x v="1"/>
    <n v="10"/>
    <s v=""/>
    <s v=""/>
    <n v="1"/>
    <s v=""/>
    <s v=""/>
    <s v=""/>
    <x v="3"/>
    <x v="48"/>
    <x v="1"/>
    <x v="0"/>
    <x v="0"/>
    <x v="0"/>
    <x v="0"/>
    <x v="0"/>
    <x v="0"/>
    <x v="0"/>
    <x v="0"/>
  </r>
  <r>
    <s v="ID0772"/>
    <d v="2012-05-26T17:47:10"/>
    <s v="$1,589.00/per month"/>
    <n v="19068"/>
    <s v="USD"/>
    <n v="19068"/>
    <s v="Accounting Head"/>
    <x v="5"/>
    <s v="Philippines"/>
    <x v="32"/>
    <x v="1"/>
    <n v="20"/>
    <s v=""/>
    <s v=""/>
    <s v=""/>
    <s v=""/>
    <n v="1"/>
    <s v=""/>
    <x v="2"/>
    <x v="49"/>
    <x v="1"/>
    <x v="0"/>
    <x v="0"/>
    <x v="0"/>
    <x v="0"/>
    <x v="0"/>
    <x v="0"/>
    <x v="0"/>
    <x v="0"/>
  </r>
  <r>
    <s v="ID0773"/>
    <d v="2012-05-26T17:49:17"/>
    <s v="Rs. 300000"/>
    <n v="300000"/>
    <s v="INR"/>
    <n v="5342.3750062327708"/>
    <s v="OPEX CONTROL"/>
    <x v="1"/>
    <s v="India"/>
    <x v="0"/>
    <x v="1"/>
    <n v="4"/>
    <s v=""/>
    <n v="1"/>
    <s v=""/>
    <s v=""/>
    <s v=""/>
    <s v=""/>
    <x v="1"/>
    <x v="0"/>
    <x v="1"/>
    <x v="0"/>
    <x v="17"/>
    <x v="0"/>
    <x v="0"/>
    <x v="0"/>
    <x v="0"/>
    <x v="0"/>
    <x v="0"/>
  </r>
  <r>
    <s v="ID0774"/>
    <d v="2012-05-26T17:51:27"/>
    <n v="48000"/>
    <n v="48000"/>
    <s v="USD"/>
    <n v="48000"/>
    <s v="Consultant"/>
    <x v="8"/>
    <s v="Singapore"/>
    <x v="29"/>
    <x v="1"/>
    <n v="3"/>
    <s v=""/>
    <n v="1"/>
    <s v=""/>
    <s v=""/>
    <s v=""/>
    <s v=""/>
    <x v="1"/>
    <x v="0"/>
    <x v="1"/>
    <x v="38"/>
    <x v="0"/>
    <x v="0"/>
    <x v="0"/>
    <x v="0"/>
    <x v="0"/>
    <x v="0"/>
    <x v="0"/>
  </r>
  <r>
    <s v="ID0775"/>
    <d v="2012-05-26T18:19:49"/>
    <s v="2.2 lakhs per annum"/>
    <n v="220000"/>
    <s v="INR"/>
    <n v="3917.7416712373652"/>
    <s v="Associate Software Engineer"/>
    <x v="2"/>
    <s v="India"/>
    <x v="0"/>
    <x v="0"/>
    <n v="2"/>
    <n v="1"/>
    <s v=""/>
    <s v=""/>
    <s v=""/>
    <s v=""/>
    <s v=""/>
    <x v="4"/>
    <x v="0"/>
    <x v="1"/>
    <x v="0"/>
    <x v="0"/>
    <x v="0"/>
    <x v="29"/>
    <x v="0"/>
    <x v="0"/>
    <x v="0"/>
    <x v="0"/>
  </r>
  <r>
    <s v="ID0776"/>
    <d v="2012-05-26T18:29:06"/>
    <n v="13500"/>
    <n v="13500"/>
    <s v="USD"/>
    <n v="13500"/>
    <s v="MIS"/>
    <x v="7"/>
    <s v="India"/>
    <x v="0"/>
    <x v="1"/>
    <n v="2.5"/>
    <s v=""/>
    <n v="1"/>
    <s v=""/>
    <s v=""/>
    <s v=""/>
    <s v=""/>
    <x v="1"/>
    <x v="0"/>
    <x v="1"/>
    <x v="0"/>
    <x v="0"/>
    <x v="0"/>
    <x v="0"/>
    <x v="0"/>
    <x v="0"/>
    <x v="25"/>
    <x v="0"/>
  </r>
  <r>
    <s v="ID0777"/>
    <d v="2012-05-26T18:35:20"/>
    <s v="45000 $"/>
    <n v="45000"/>
    <s v="USD"/>
    <n v="45000"/>
    <s v="AGM"/>
    <x v="3"/>
    <s v="India"/>
    <x v="0"/>
    <x v="3"/>
    <n v="15"/>
    <s v=""/>
    <s v=""/>
    <s v=""/>
    <n v="1"/>
    <s v=""/>
    <s v=""/>
    <x v="5"/>
    <x v="0"/>
    <x v="1"/>
    <x v="0"/>
    <x v="0"/>
    <x v="0"/>
    <x v="0"/>
    <x v="161"/>
    <x v="0"/>
    <x v="0"/>
    <x v="0"/>
  </r>
  <r>
    <s v="ID0778"/>
    <d v="2012-05-26T18:38:41"/>
    <n v="55000"/>
    <n v="55000"/>
    <s v="EUR"/>
    <n v="69871.969144538423"/>
    <s v="CFO"/>
    <x v="4"/>
    <s v="italy"/>
    <x v="62"/>
    <x v="2"/>
    <n v="18"/>
    <s v=""/>
    <s v=""/>
    <s v=""/>
    <s v=""/>
    <n v="1"/>
    <s v=""/>
    <x v="2"/>
    <x v="0"/>
    <x v="1"/>
    <x v="0"/>
    <x v="0"/>
    <x v="27"/>
    <x v="0"/>
    <x v="0"/>
    <x v="0"/>
    <x v="0"/>
    <x v="0"/>
  </r>
  <r>
    <s v="ID0779"/>
    <d v="2012-05-26T18:41:31"/>
    <s v="Rs 40000"/>
    <n v="480000"/>
    <s v="INR"/>
    <n v="8547.8000099724322"/>
    <s v="Banker"/>
    <x v="3"/>
    <s v="India"/>
    <x v="0"/>
    <x v="0"/>
    <n v="11"/>
    <s v=""/>
    <s v=""/>
    <s v=""/>
    <n v="1"/>
    <s v=""/>
    <s v=""/>
    <x v="5"/>
    <x v="0"/>
    <x v="1"/>
    <x v="0"/>
    <x v="0"/>
    <x v="0"/>
    <x v="0"/>
    <x v="58"/>
    <x v="0"/>
    <x v="0"/>
    <x v="0"/>
  </r>
  <r>
    <s v="ID0780"/>
    <d v="2012-05-26T18:44:00"/>
    <s v="Dhs 2800 + Accomodation"/>
    <n v="33600"/>
    <s v="AED"/>
    <n v="9146.5655463031271"/>
    <s v="Accountant"/>
    <x v="5"/>
    <s v="Dubai"/>
    <x v="33"/>
    <x v="3"/>
    <n v="7"/>
    <s v=""/>
    <s v=""/>
    <n v="1"/>
    <s v=""/>
    <s v=""/>
    <s v=""/>
    <x v="3"/>
    <x v="50"/>
    <x v="1"/>
    <x v="0"/>
    <x v="0"/>
    <x v="0"/>
    <x v="0"/>
    <x v="0"/>
    <x v="0"/>
    <x v="0"/>
    <x v="0"/>
  </r>
  <r>
    <s v="ID0781"/>
    <d v="2012-05-26T18:56:52"/>
    <n v="570000"/>
    <n v="570000"/>
    <s v="INR"/>
    <n v="10150.512511842264"/>
    <s v="Analyst"/>
    <x v="0"/>
    <s v="India"/>
    <x v="0"/>
    <x v="1"/>
    <n v="2.4"/>
    <s v=""/>
    <n v="1"/>
    <s v=""/>
    <s v=""/>
    <s v=""/>
    <s v=""/>
    <x v="1"/>
    <x v="0"/>
    <x v="173"/>
    <x v="0"/>
    <x v="0"/>
    <x v="0"/>
    <x v="0"/>
    <x v="0"/>
    <x v="0"/>
    <x v="0"/>
    <x v="0"/>
  </r>
  <r>
    <s v="ID0782"/>
    <d v="2012-05-26T19:07:55"/>
    <n v="636000"/>
    <n v="636000"/>
    <s v="INR"/>
    <n v="11325.835013213473"/>
    <s v="Program Manager"/>
    <x v="3"/>
    <s v="India"/>
    <x v="0"/>
    <x v="0"/>
    <n v="7"/>
    <s v=""/>
    <s v=""/>
    <n v="1"/>
    <s v=""/>
    <s v=""/>
    <s v=""/>
    <x v="3"/>
    <x v="0"/>
    <x v="1"/>
    <x v="0"/>
    <x v="0"/>
    <x v="0"/>
    <x v="0"/>
    <x v="151"/>
    <x v="0"/>
    <x v="0"/>
    <x v="0"/>
  </r>
  <r>
    <s v="ID0783"/>
    <d v="2012-05-26T19:13:39"/>
    <s v="180000 PKR"/>
    <n v="180000"/>
    <s v="PKR"/>
    <n v="1910.5359690238436"/>
    <s v="S&amp;D Reporting &amp; Analysis Team Leader"/>
    <x v="7"/>
    <s v="Pakistan"/>
    <x v="3"/>
    <x v="1"/>
    <n v="7"/>
    <s v=""/>
    <s v=""/>
    <n v="1"/>
    <s v=""/>
    <s v=""/>
    <s v=""/>
    <x v="3"/>
    <x v="0"/>
    <x v="1"/>
    <x v="0"/>
    <x v="0"/>
    <x v="0"/>
    <x v="0"/>
    <x v="0"/>
    <x v="0"/>
    <x v="26"/>
    <x v="0"/>
  </r>
  <r>
    <s v="ID0784"/>
    <d v="2012-05-26T19:22:53"/>
    <s v="AUS$36000"/>
    <n v="36000"/>
    <s v="USD"/>
    <n v="36000"/>
    <s v="Key Expert User"/>
    <x v="3"/>
    <s v="Australia"/>
    <x v="16"/>
    <x v="2"/>
    <n v="12"/>
    <s v=""/>
    <s v=""/>
    <s v=""/>
    <n v="1"/>
    <s v=""/>
    <s v=""/>
    <x v="5"/>
    <x v="0"/>
    <x v="1"/>
    <x v="0"/>
    <x v="0"/>
    <x v="0"/>
    <x v="0"/>
    <x v="26"/>
    <x v="0"/>
    <x v="0"/>
    <x v="0"/>
  </r>
  <r>
    <s v="ID0785"/>
    <d v="2012-05-26T19:29:23"/>
    <s v="2.25 lakhs per year(prof income)"/>
    <n v="2250000"/>
    <s v="INR"/>
    <n v="40067.812546745779"/>
    <s v="company secretary"/>
    <x v="5"/>
    <s v="India"/>
    <x v="0"/>
    <x v="3"/>
    <n v="5"/>
    <s v=""/>
    <n v="1"/>
    <s v=""/>
    <s v=""/>
    <s v=""/>
    <s v=""/>
    <x v="1"/>
    <x v="51"/>
    <x v="1"/>
    <x v="0"/>
    <x v="0"/>
    <x v="0"/>
    <x v="0"/>
    <x v="0"/>
    <x v="0"/>
    <x v="0"/>
    <x v="0"/>
  </r>
  <r>
    <s v="ID0786"/>
    <d v="2012-05-26T19:29:34"/>
    <n v="16000"/>
    <n v="16000"/>
    <s v="USD"/>
    <n v="16000"/>
    <s v="Mis executiv"/>
    <x v="7"/>
    <s v="India"/>
    <x v="0"/>
    <x v="1"/>
    <n v="1"/>
    <n v="1"/>
    <s v=""/>
    <s v=""/>
    <s v=""/>
    <s v=""/>
    <s v=""/>
    <x v="4"/>
    <x v="0"/>
    <x v="1"/>
    <x v="0"/>
    <x v="0"/>
    <x v="0"/>
    <x v="0"/>
    <x v="0"/>
    <x v="0"/>
    <x v="27"/>
    <x v="0"/>
  </r>
  <r>
    <s v="ID0787"/>
    <d v="2012-05-26T19:34:12"/>
    <n v="240000"/>
    <n v="240000"/>
    <s v="INR"/>
    <n v="4273.9000049862161"/>
    <s v="Analyst"/>
    <x v="0"/>
    <s v="India"/>
    <x v="0"/>
    <x v="1"/>
    <n v="4"/>
    <s v=""/>
    <n v="1"/>
    <s v=""/>
    <s v=""/>
    <s v=""/>
    <s v=""/>
    <x v="1"/>
    <x v="0"/>
    <x v="138"/>
    <x v="0"/>
    <x v="0"/>
    <x v="0"/>
    <x v="0"/>
    <x v="0"/>
    <x v="0"/>
    <x v="0"/>
    <x v="0"/>
  </r>
  <r>
    <s v="ID0788"/>
    <d v="2012-05-26T19:43:36"/>
    <s v="INR 400000"/>
    <n v="400000"/>
    <s v="INR"/>
    <n v="7123.1666749770275"/>
    <s v="Asst.Manager"/>
    <x v="3"/>
    <s v="India"/>
    <x v="0"/>
    <x v="0"/>
    <n v="7"/>
    <s v=""/>
    <s v=""/>
    <n v="1"/>
    <s v=""/>
    <s v=""/>
    <s v=""/>
    <x v="3"/>
    <x v="0"/>
    <x v="1"/>
    <x v="0"/>
    <x v="0"/>
    <x v="0"/>
    <x v="0"/>
    <x v="12"/>
    <x v="0"/>
    <x v="0"/>
    <x v="0"/>
  </r>
  <r>
    <s v="ID0789"/>
    <d v="2012-05-26T20:08:21"/>
    <n v="10000"/>
    <n v="10000"/>
    <s v="USD"/>
    <n v="10000"/>
    <s v="BDM"/>
    <x v="3"/>
    <s v="India"/>
    <x v="0"/>
    <x v="3"/>
    <n v="12"/>
    <s v=""/>
    <s v=""/>
    <s v=""/>
    <n v="1"/>
    <s v=""/>
    <s v=""/>
    <x v="5"/>
    <x v="0"/>
    <x v="1"/>
    <x v="0"/>
    <x v="0"/>
    <x v="0"/>
    <x v="0"/>
    <x v="130"/>
    <x v="0"/>
    <x v="0"/>
    <x v="0"/>
  </r>
  <r>
    <s v="ID0790"/>
    <d v="2012-05-26T20:16:28"/>
    <s v="CA$66000"/>
    <n v="66000"/>
    <s v="CAD"/>
    <n v="64901.860520001574"/>
    <s v="Programmer-analyst"/>
    <x v="0"/>
    <s v="Canada"/>
    <x v="17"/>
    <x v="2"/>
    <n v="20"/>
    <s v=""/>
    <s v=""/>
    <s v=""/>
    <s v=""/>
    <n v="1"/>
    <s v=""/>
    <x v="2"/>
    <x v="0"/>
    <x v="174"/>
    <x v="0"/>
    <x v="0"/>
    <x v="0"/>
    <x v="0"/>
    <x v="0"/>
    <x v="0"/>
    <x v="0"/>
    <x v="0"/>
  </r>
  <r>
    <s v="ID0791"/>
    <d v="2012-05-26T20:19:36"/>
    <n v="65000"/>
    <n v="65000"/>
    <s v="USD"/>
    <n v="65000"/>
    <s v="security analyst"/>
    <x v="0"/>
    <s v="USA"/>
    <x v="2"/>
    <x v="2"/>
    <n v="10"/>
    <s v=""/>
    <s v=""/>
    <n v="1"/>
    <s v=""/>
    <s v=""/>
    <s v=""/>
    <x v="3"/>
    <x v="0"/>
    <x v="84"/>
    <x v="0"/>
    <x v="0"/>
    <x v="0"/>
    <x v="0"/>
    <x v="0"/>
    <x v="0"/>
    <x v="0"/>
    <x v="0"/>
  </r>
  <r>
    <s v="ID0792"/>
    <d v="2012-05-26T20:20:34"/>
    <s v="Rs 450000"/>
    <n v="450000"/>
    <s v="INR"/>
    <n v="8013.5625093491553"/>
    <s v="Material Planner"/>
    <x v="3"/>
    <s v="India"/>
    <x v="0"/>
    <x v="1"/>
    <n v="1.5"/>
    <n v="1"/>
    <s v=""/>
    <s v=""/>
    <s v=""/>
    <s v=""/>
    <s v=""/>
    <x v="4"/>
    <x v="0"/>
    <x v="1"/>
    <x v="0"/>
    <x v="0"/>
    <x v="0"/>
    <x v="0"/>
    <x v="120"/>
    <x v="0"/>
    <x v="0"/>
    <x v="0"/>
  </r>
  <r>
    <s v="ID0793"/>
    <d v="2012-05-26T20:27:19"/>
    <n v="100000"/>
    <n v="100000"/>
    <s v="CAD"/>
    <n v="98336.152303032693"/>
    <s v="VP Infrastructure"/>
    <x v="4"/>
    <s v="Canada"/>
    <x v="17"/>
    <x v="0"/>
    <n v="5"/>
    <s v=""/>
    <n v="1"/>
    <s v=""/>
    <s v=""/>
    <s v=""/>
    <s v=""/>
    <x v="1"/>
    <x v="0"/>
    <x v="1"/>
    <x v="0"/>
    <x v="0"/>
    <x v="8"/>
    <x v="0"/>
    <x v="0"/>
    <x v="0"/>
    <x v="0"/>
    <x v="0"/>
  </r>
  <r>
    <s v="ID0794"/>
    <d v="2012-05-26T20:31:30"/>
    <s v="ONE LACK FIFTY THOUSAND(INR)"/>
    <n v="150000"/>
    <s v="INR"/>
    <n v="2671.1875031163854"/>
    <s v="WORKING WITH PRODUCT TEAM OF MAKEMYTRIP.COM"/>
    <x v="0"/>
    <s v="India"/>
    <x v="0"/>
    <x v="0"/>
    <n v="2"/>
    <n v="1"/>
    <s v=""/>
    <s v=""/>
    <s v=""/>
    <s v=""/>
    <s v=""/>
    <x v="4"/>
    <x v="0"/>
    <x v="175"/>
    <x v="0"/>
    <x v="0"/>
    <x v="0"/>
    <x v="0"/>
    <x v="0"/>
    <x v="0"/>
    <x v="0"/>
    <x v="0"/>
  </r>
  <r>
    <s v="ID0795"/>
    <d v="2012-05-26T20:50:07"/>
    <n v="96000"/>
    <n v="96000"/>
    <s v="USD"/>
    <n v="96000"/>
    <s v="MIS Executive"/>
    <x v="7"/>
    <s v="India"/>
    <x v="0"/>
    <x v="1"/>
    <n v="8"/>
    <s v=""/>
    <s v=""/>
    <n v="1"/>
    <s v=""/>
    <s v=""/>
    <s v=""/>
    <x v="3"/>
    <x v="0"/>
    <x v="1"/>
    <x v="0"/>
    <x v="0"/>
    <x v="0"/>
    <x v="0"/>
    <x v="0"/>
    <x v="0"/>
    <x v="28"/>
    <x v="0"/>
  </r>
  <r>
    <s v="ID0796"/>
    <d v="2012-05-26T20:57:13"/>
    <s v="Rs. 8000"/>
    <n v="1152000"/>
    <s v="INR"/>
    <n v="20514.720023933838"/>
    <s v="Cashier"/>
    <x v="5"/>
    <s v="India"/>
    <x v="0"/>
    <x v="0"/>
    <n v="6"/>
    <s v=""/>
    <s v=""/>
    <n v="1"/>
    <s v=""/>
    <s v=""/>
    <s v=""/>
    <x v="3"/>
    <x v="52"/>
    <x v="1"/>
    <x v="0"/>
    <x v="0"/>
    <x v="0"/>
    <x v="0"/>
    <x v="0"/>
    <x v="0"/>
    <x v="0"/>
    <x v="0"/>
  </r>
  <r>
    <s v="ID0797"/>
    <d v="2012-05-26T20:57:17"/>
    <n v="15000"/>
    <n v="15000"/>
    <s v="EUR"/>
    <n v="19055.991584874118"/>
    <s v="Technician"/>
    <x v="0"/>
    <s v="Spain"/>
    <x v="47"/>
    <x v="2"/>
    <n v="10"/>
    <s v=""/>
    <s v=""/>
    <n v="1"/>
    <s v=""/>
    <s v=""/>
    <s v=""/>
    <x v="3"/>
    <x v="0"/>
    <x v="122"/>
    <x v="0"/>
    <x v="0"/>
    <x v="0"/>
    <x v="0"/>
    <x v="0"/>
    <x v="0"/>
    <x v="0"/>
    <x v="0"/>
  </r>
  <r>
    <s v="ID0798"/>
    <d v="2012-05-26T21:00:40"/>
    <s v="Aud 65000"/>
    <n v="65000"/>
    <s v="AUD"/>
    <n v="66294.12766617132"/>
    <s v="Market analyst"/>
    <x v="0"/>
    <s v="Australia"/>
    <x v="16"/>
    <x v="1"/>
    <n v="10"/>
    <s v=""/>
    <s v=""/>
    <n v="1"/>
    <s v=""/>
    <s v=""/>
    <s v=""/>
    <x v="3"/>
    <x v="0"/>
    <x v="176"/>
    <x v="0"/>
    <x v="0"/>
    <x v="0"/>
    <x v="0"/>
    <x v="0"/>
    <x v="0"/>
    <x v="0"/>
    <x v="0"/>
  </r>
  <r>
    <s v="ID0799"/>
    <d v="2012-05-26T21:05:35"/>
    <s v="Rs. 377000"/>
    <n v="377000"/>
    <s v="INR"/>
    <n v="6713.584591165848"/>
    <s v="Team Developer"/>
    <x v="0"/>
    <s v="India"/>
    <x v="0"/>
    <x v="3"/>
    <n v="7"/>
    <s v=""/>
    <s v=""/>
    <n v="1"/>
    <s v=""/>
    <s v=""/>
    <s v=""/>
    <x v="3"/>
    <x v="0"/>
    <x v="177"/>
    <x v="0"/>
    <x v="0"/>
    <x v="0"/>
    <x v="0"/>
    <x v="0"/>
    <x v="0"/>
    <x v="0"/>
    <x v="0"/>
  </r>
  <r>
    <s v="ID0800"/>
    <d v="2012-05-26T21:07:14"/>
    <s v="Â£29000"/>
    <n v="29000"/>
    <s v="GBP"/>
    <n v="45709.169889951241"/>
    <s v="Reporting Assistant"/>
    <x v="7"/>
    <s v="UK"/>
    <x v="14"/>
    <x v="2"/>
    <n v="15"/>
    <s v=""/>
    <s v=""/>
    <s v=""/>
    <n v="1"/>
    <s v=""/>
    <s v=""/>
    <x v="5"/>
    <x v="0"/>
    <x v="1"/>
    <x v="0"/>
    <x v="0"/>
    <x v="0"/>
    <x v="0"/>
    <x v="0"/>
    <x v="0"/>
    <x v="29"/>
    <x v="0"/>
  </r>
  <r>
    <s v="ID0801"/>
    <d v="2012-05-26T21:10:20"/>
    <n v="48500"/>
    <n v="48500"/>
    <s v="USD"/>
    <n v="48500"/>
    <s v="Loss Prevention Finance Coordinator"/>
    <x v="3"/>
    <s v="USA"/>
    <x v="2"/>
    <x v="2"/>
    <n v="10"/>
    <s v=""/>
    <s v=""/>
    <n v="1"/>
    <s v=""/>
    <s v=""/>
    <s v=""/>
    <x v="3"/>
    <x v="0"/>
    <x v="1"/>
    <x v="0"/>
    <x v="0"/>
    <x v="0"/>
    <x v="0"/>
    <x v="162"/>
    <x v="0"/>
    <x v="0"/>
    <x v="0"/>
  </r>
  <r>
    <s v="ID0802"/>
    <d v="2012-05-26T21:13:02"/>
    <n v="600000"/>
    <n v="600000"/>
    <s v="INR"/>
    <n v="10684.750012465542"/>
    <s v="MIS Analyst"/>
    <x v="0"/>
    <s v="India"/>
    <x v="0"/>
    <x v="1"/>
    <n v="4"/>
    <s v=""/>
    <n v="1"/>
    <s v=""/>
    <s v=""/>
    <s v=""/>
    <s v=""/>
    <x v="1"/>
    <x v="0"/>
    <x v="147"/>
    <x v="0"/>
    <x v="0"/>
    <x v="0"/>
    <x v="0"/>
    <x v="0"/>
    <x v="0"/>
    <x v="0"/>
    <x v="0"/>
  </r>
  <r>
    <s v="ID0803"/>
    <d v="2012-05-26T21:13:51"/>
    <n v="33900"/>
    <n v="33900"/>
    <s v="USD"/>
    <n v="33900"/>
    <s v="Administrative Assistant"/>
    <x v="0"/>
    <s v="USA"/>
    <x v="2"/>
    <x v="2"/>
    <n v="10"/>
    <s v=""/>
    <s v=""/>
    <n v="1"/>
    <s v=""/>
    <s v=""/>
    <s v=""/>
    <x v="3"/>
    <x v="0"/>
    <x v="178"/>
    <x v="0"/>
    <x v="0"/>
    <x v="0"/>
    <x v="0"/>
    <x v="0"/>
    <x v="0"/>
    <x v="0"/>
    <x v="0"/>
  </r>
  <r>
    <s v="ID0804"/>
    <d v="2012-05-26T21:24:39"/>
    <s v="ZAR900,000"/>
    <n v="900000"/>
    <s v="ZAR"/>
    <n v="109729.60187662003"/>
    <s v="Business Analyst"/>
    <x v="0"/>
    <s v="South Africa"/>
    <x v="11"/>
    <x v="1"/>
    <n v="40"/>
    <s v=""/>
    <s v=""/>
    <s v=""/>
    <s v=""/>
    <s v=""/>
    <n v="1"/>
    <x v="6"/>
    <x v="0"/>
    <x v="179"/>
    <x v="0"/>
    <x v="0"/>
    <x v="0"/>
    <x v="0"/>
    <x v="0"/>
    <x v="0"/>
    <x v="0"/>
    <x v="0"/>
  </r>
  <r>
    <s v="ID0805"/>
    <d v="2012-05-26T21:27:01"/>
    <n v="850000"/>
    <n v="850000"/>
    <s v="INR"/>
    <n v="15136.729184326183"/>
    <s v="Senior Research Analyst"/>
    <x v="0"/>
    <s v="India"/>
    <x v="0"/>
    <x v="0"/>
    <n v="2"/>
    <n v="1"/>
    <s v=""/>
    <s v=""/>
    <s v=""/>
    <s v=""/>
    <s v=""/>
    <x v="4"/>
    <x v="0"/>
    <x v="141"/>
    <x v="0"/>
    <x v="0"/>
    <x v="0"/>
    <x v="0"/>
    <x v="0"/>
    <x v="0"/>
    <x v="0"/>
    <x v="0"/>
  </r>
  <r>
    <s v="ID0806"/>
    <d v="2012-05-26T21:27:17"/>
    <n v="85000"/>
    <n v="85000"/>
    <s v="USD"/>
    <n v="85000"/>
    <s v="Director, IT/Operations"/>
    <x v="4"/>
    <s v="USA"/>
    <x v="2"/>
    <x v="0"/>
    <n v="15"/>
    <s v=""/>
    <s v=""/>
    <s v=""/>
    <n v="1"/>
    <s v=""/>
    <s v=""/>
    <x v="5"/>
    <x v="0"/>
    <x v="1"/>
    <x v="0"/>
    <x v="0"/>
    <x v="3"/>
    <x v="0"/>
    <x v="0"/>
    <x v="0"/>
    <x v="0"/>
    <x v="0"/>
  </r>
  <r>
    <s v="ID0807"/>
    <d v="2012-05-26T21:40:49"/>
    <s v="Rs. 450000"/>
    <n v="450000"/>
    <s v="INR"/>
    <n v="8013.5625093491553"/>
    <s v="Sr. Executive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120"/>
    <x v="0"/>
    <x v="0"/>
    <x v="0"/>
  </r>
  <r>
    <s v="ID0808"/>
    <d v="2012-05-26T21:43:54"/>
    <n v="48000"/>
    <n v="48000"/>
    <s v="USD"/>
    <n v="48000"/>
    <s v="Operations Support Coordinator"/>
    <x v="3"/>
    <s v="USA"/>
    <x v="2"/>
    <x v="2"/>
    <n v="16"/>
    <s v=""/>
    <s v=""/>
    <s v=""/>
    <s v=""/>
    <s v=""/>
    <s v=""/>
    <x v="0"/>
    <x v="0"/>
    <x v="1"/>
    <x v="0"/>
    <x v="0"/>
    <x v="0"/>
    <x v="0"/>
    <x v="33"/>
    <x v="0"/>
    <x v="0"/>
    <x v="0"/>
  </r>
  <r>
    <s v="ID0809"/>
    <d v="2012-05-26T21:56:36"/>
    <n v="170000"/>
    <n v="170000"/>
    <s v="INR"/>
    <n v="3027.3458368652364"/>
    <s v="Sr. Executive MIS"/>
    <x v="7"/>
    <s v="India"/>
    <x v="0"/>
    <x v="0"/>
    <n v="2"/>
    <n v="1"/>
    <s v=""/>
    <s v=""/>
    <s v=""/>
    <s v=""/>
    <s v=""/>
    <x v="4"/>
    <x v="0"/>
    <x v="1"/>
    <x v="0"/>
    <x v="0"/>
    <x v="0"/>
    <x v="0"/>
    <x v="0"/>
    <x v="0"/>
    <x v="30"/>
    <x v="0"/>
  </r>
  <r>
    <s v="ID0810"/>
    <d v="2012-05-26T21:56:49"/>
    <n v="13100"/>
    <n v="13100"/>
    <s v="USD"/>
    <n v="13100"/>
    <s v="accountant"/>
    <x v="5"/>
    <s v="India"/>
    <x v="0"/>
    <x v="2"/>
    <n v="5"/>
    <s v=""/>
    <n v="1"/>
    <s v=""/>
    <s v=""/>
    <s v=""/>
    <s v=""/>
    <x v="1"/>
    <x v="53"/>
    <x v="1"/>
    <x v="0"/>
    <x v="0"/>
    <x v="0"/>
    <x v="0"/>
    <x v="0"/>
    <x v="0"/>
    <x v="0"/>
    <x v="0"/>
  </r>
  <r>
    <s v="ID0811"/>
    <d v="2012-05-26T22:02:53"/>
    <n v="5000"/>
    <n v="60000"/>
    <s v="USD"/>
    <n v="60000"/>
    <s v="Audit Manager"/>
    <x v="3"/>
    <s v="UAE"/>
    <x v="21"/>
    <x v="2"/>
    <n v="15"/>
    <s v=""/>
    <s v=""/>
    <s v=""/>
    <n v="1"/>
    <s v=""/>
    <s v=""/>
    <x v="5"/>
    <x v="0"/>
    <x v="1"/>
    <x v="0"/>
    <x v="0"/>
    <x v="0"/>
    <x v="0"/>
    <x v="76"/>
    <x v="0"/>
    <x v="0"/>
    <x v="0"/>
  </r>
  <r>
    <s v="ID0812"/>
    <d v="2012-05-26T22:07:39"/>
    <s v="24000 $"/>
    <n v="24000"/>
    <s v="USD"/>
    <n v="24000"/>
    <s v="Logistic KA Manager"/>
    <x v="3"/>
    <s v="Croatia"/>
    <x v="1"/>
    <x v="2"/>
    <n v="5"/>
    <s v=""/>
    <n v="1"/>
    <s v=""/>
    <s v=""/>
    <s v=""/>
    <s v=""/>
    <x v="1"/>
    <x v="0"/>
    <x v="1"/>
    <x v="0"/>
    <x v="0"/>
    <x v="0"/>
    <x v="0"/>
    <x v="27"/>
    <x v="0"/>
    <x v="0"/>
    <x v="0"/>
  </r>
  <r>
    <s v="ID0813"/>
    <d v="2012-05-26T22:08:56"/>
    <s v="Rs 20000"/>
    <n v="240000"/>
    <s v="INR"/>
    <n v="4273.9000049862161"/>
    <s v="MANAGER"/>
    <x v="3"/>
    <s v="India"/>
    <x v="0"/>
    <x v="2"/>
    <n v="3"/>
    <s v=""/>
    <n v="1"/>
    <s v=""/>
    <s v=""/>
    <s v=""/>
    <s v=""/>
    <x v="1"/>
    <x v="0"/>
    <x v="1"/>
    <x v="0"/>
    <x v="0"/>
    <x v="0"/>
    <x v="0"/>
    <x v="98"/>
    <x v="0"/>
    <x v="0"/>
    <x v="0"/>
  </r>
  <r>
    <s v="ID0814"/>
    <d v="2012-05-26T22:16:10"/>
    <s v="INR 650000"/>
    <n v="650000"/>
    <s v="INR"/>
    <n v="11575.14584683767"/>
    <s v="Deputy Manage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163"/>
    <x v="0"/>
    <x v="0"/>
    <x v="0"/>
  </r>
  <r>
    <s v="ID0815"/>
    <d v="2012-05-26T22:22:58"/>
    <n v="95000"/>
    <n v="95000"/>
    <s v="USD"/>
    <n v="95000"/>
    <s v="Business Analyst"/>
    <x v="0"/>
    <s v="USA"/>
    <x v="2"/>
    <x v="2"/>
    <n v="13"/>
    <s v=""/>
    <s v=""/>
    <s v=""/>
    <n v="1"/>
    <s v=""/>
    <s v=""/>
    <x v="5"/>
    <x v="0"/>
    <x v="95"/>
    <x v="0"/>
    <x v="0"/>
    <x v="0"/>
    <x v="0"/>
    <x v="0"/>
    <x v="0"/>
    <x v="0"/>
    <x v="0"/>
  </r>
  <r>
    <s v="ID0816"/>
    <d v="2012-05-26T22:23:38"/>
    <n v="516000"/>
    <n v="516000"/>
    <s v="INR"/>
    <n v="9188.8850107203652"/>
    <s v="Management Trainee"/>
    <x v="3"/>
    <s v="India"/>
    <x v="0"/>
    <x v="0"/>
    <n v="0"/>
    <n v="1"/>
    <s v=""/>
    <s v=""/>
    <s v=""/>
    <s v=""/>
    <s v=""/>
    <x v="4"/>
    <x v="0"/>
    <x v="1"/>
    <x v="0"/>
    <x v="0"/>
    <x v="0"/>
    <x v="0"/>
    <x v="164"/>
    <x v="0"/>
    <x v="0"/>
    <x v="0"/>
  </r>
  <r>
    <s v="ID0817"/>
    <d v="2012-05-26T22:29:16"/>
    <s v="3500 Rs"/>
    <n v="504000"/>
    <s v="INR"/>
    <n v="8975.1900104710548"/>
    <s v="MNR"/>
    <x v="3"/>
    <s v="India"/>
    <x v="0"/>
    <x v="1"/>
    <n v="3"/>
    <s v=""/>
    <n v="1"/>
    <s v=""/>
    <s v=""/>
    <s v=""/>
    <s v=""/>
    <x v="1"/>
    <x v="0"/>
    <x v="1"/>
    <x v="0"/>
    <x v="0"/>
    <x v="0"/>
    <x v="0"/>
    <x v="165"/>
    <x v="0"/>
    <x v="0"/>
    <x v="0"/>
  </r>
  <r>
    <s v="ID0818"/>
    <d v="2012-05-26T22:29:21"/>
    <n v="144000"/>
    <n v="144000"/>
    <s v="INR"/>
    <n v="2564.3400029917298"/>
    <s v="BPO information process enabler"/>
    <x v="0"/>
    <s v="India"/>
    <x v="0"/>
    <x v="1"/>
    <n v="1"/>
    <n v="1"/>
    <s v=""/>
    <s v=""/>
    <s v=""/>
    <s v=""/>
    <s v=""/>
    <x v="4"/>
    <x v="0"/>
    <x v="180"/>
    <x v="0"/>
    <x v="0"/>
    <x v="0"/>
    <x v="0"/>
    <x v="0"/>
    <x v="0"/>
    <x v="0"/>
    <x v="0"/>
  </r>
  <r>
    <s v="ID0820"/>
    <d v="2012-05-26T22:43:11"/>
    <s v="Â£55000"/>
    <n v="55000"/>
    <s v="GBP"/>
    <n v="86689.804963700633"/>
    <s v="Financial controller"/>
    <x v="1"/>
    <s v="UK"/>
    <x v="14"/>
    <x v="0"/>
    <n v="12"/>
    <s v=""/>
    <s v=""/>
    <s v=""/>
    <n v="1"/>
    <s v=""/>
    <s v=""/>
    <x v="5"/>
    <x v="0"/>
    <x v="1"/>
    <x v="0"/>
    <x v="18"/>
    <x v="0"/>
    <x v="0"/>
    <x v="0"/>
    <x v="0"/>
    <x v="0"/>
    <x v="0"/>
  </r>
  <r>
    <s v="ID0821"/>
    <d v="2012-05-26T22:43:12"/>
    <n v="15500"/>
    <n v="15500"/>
    <s v="USD"/>
    <n v="15500"/>
    <s v="Engineer"/>
    <x v="2"/>
    <s v="India"/>
    <x v="0"/>
    <x v="3"/>
    <n v="3"/>
    <s v=""/>
    <n v="1"/>
    <s v=""/>
    <s v=""/>
    <s v=""/>
    <s v=""/>
    <x v="1"/>
    <x v="0"/>
    <x v="1"/>
    <x v="0"/>
    <x v="0"/>
    <x v="0"/>
    <x v="30"/>
    <x v="0"/>
    <x v="0"/>
    <x v="0"/>
    <x v="0"/>
  </r>
  <r>
    <s v="ID0822"/>
    <d v="2012-05-26T22:45:14"/>
    <s v="R$3.000,00"/>
    <n v="300000"/>
    <s v="BRL"/>
    <n v="148284.35006969364"/>
    <s v="Market Intelligence Analyst"/>
    <x v="0"/>
    <s v="Brazil"/>
    <x v="20"/>
    <x v="1"/>
    <n v="3"/>
    <s v=""/>
    <n v="1"/>
    <s v=""/>
    <s v=""/>
    <s v=""/>
    <s v=""/>
    <x v="1"/>
    <x v="0"/>
    <x v="181"/>
    <x v="0"/>
    <x v="0"/>
    <x v="0"/>
    <x v="0"/>
    <x v="0"/>
    <x v="0"/>
    <x v="0"/>
    <x v="0"/>
  </r>
  <r>
    <s v="ID0823"/>
    <d v="2012-05-26T22:48:11"/>
    <n v="600000"/>
    <n v="600000"/>
    <s v="INR"/>
    <n v="10684.750012465542"/>
    <s v="Reporting Analyst"/>
    <x v="0"/>
    <s v="India"/>
    <x v="0"/>
    <x v="1"/>
    <n v="5"/>
    <s v=""/>
    <n v="1"/>
    <s v=""/>
    <s v=""/>
    <s v=""/>
    <s v=""/>
    <x v="1"/>
    <x v="0"/>
    <x v="147"/>
    <x v="0"/>
    <x v="0"/>
    <x v="0"/>
    <x v="0"/>
    <x v="0"/>
    <x v="0"/>
    <x v="0"/>
    <x v="0"/>
  </r>
  <r>
    <s v="ID0824"/>
    <d v="2012-05-26T22:49:34"/>
    <n v="75000"/>
    <n v="75000"/>
    <s v="USD"/>
    <n v="75000"/>
    <s v="sr financial analyst"/>
    <x v="0"/>
    <s v="USA"/>
    <x v="2"/>
    <x v="2"/>
    <n v="27"/>
    <s v=""/>
    <s v=""/>
    <s v=""/>
    <s v=""/>
    <s v=""/>
    <n v="1"/>
    <x v="6"/>
    <x v="0"/>
    <x v="29"/>
    <x v="0"/>
    <x v="0"/>
    <x v="0"/>
    <x v="0"/>
    <x v="0"/>
    <x v="0"/>
    <x v="0"/>
    <x v="0"/>
  </r>
  <r>
    <s v="ID0825"/>
    <d v="2012-05-26T22:53:35"/>
    <s v="12000 $"/>
    <n v="12000"/>
    <s v="USD"/>
    <n v="12000"/>
    <s v="Investment manager"/>
    <x v="3"/>
    <s v="Ukraine"/>
    <x v="6"/>
    <x v="0"/>
    <n v="5"/>
    <s v=""/>
    <n v="1"/>
    <s v=""/>
    <s v=""/>
    <s v=""/>
    <s v=""/>
    <x v="1"/>
    <x v="0"/>
    <x v="1"/>
    <x v="0"/>
    <x v="0"/>
    <x v="0"/>
    <x v="0"/>
    <x v="166"/>
    <x v="0"/>
    <x v="0"/>
    <x v="0"/>
  </r>
  <r>
    <s v="ID0826"/>
    <d v="2012-05-26T23:02:00"/>
    <s v="INR 1700000"/>
    <n v="1700000"/>
    <s v="INR"/>
    <n v="30273.458368652366"/>
    <s v="Operations Lead"/>
    <x v="3"/>
    <s v="India"/>
    <x v="0"/>
    <x v="1"/>
    <n v="1.1000000000000001"/>
    <n v="1"/>
    <s v=""/>
    <s v=""/>
    <s v=""/>
    <s v=""/>
    <s v=""/>
    <x v="4"/>
    <x v="0"/>
    <x v="1"/>
    <x v="0"/>
    <x v="0"/>
    <x v="0"/>
    <x v="0"/>
    <x v="167"/>
    <x v="0"/>
    <x v="0"/>
    <x v="0"/>
  </r>
  <r>
    <s v="ID0827"/>
    <d v="2012-05-26T23:03:21"/>
    <s v="US$30,000"/>
    <n v="30000"/>
    <s v="USD"/>
    <n v="30000"/>
    <s v="Financial Control Section Headm"/>
    <x v="1"/>
    <s v="Inonesia"/>
    <x v="55"/>
    <x v="0"/>
    <n v="7"/>
    <s v=""/>
    <s v=""/>
    <n v="1"/>
    <s v=""/>
    <s v=""/>
    <s v=""/>
    <x v="3"/>
    <x v="0"/>
    <x v="1"/>
    <x v="0"/>
    <x v="19"/>
    <x v="0"/>
    <x v="0"/>
    <x v="0"/>
    <x v="0"/>
    <x v="0"/>
    <x v="0"/>
  </r>
  <r>
    <s v="ID0828"/>
    <d v="2012-05-26T23:03:59"/>
    <s v="30000 Rs"/>
    <n v="360000"/>
    <s v="INR"/>
    <n v="6410.8500074793246"/>
    <s v="Application Developer"/>
    <x v="0"/>
    <s v="India"/>
    <x v="0"/>
    <x v="1"/>
    <n v="4"/>
    <s v=""/>
    <n v="1"/>
    <s v=""/>
    <s v=""/>
    <s v=""/>
    <s v=""/>
    <x v="1"/>
    <x v="0"/>
    <x v="93"/>
    <x v="0"/>
    <x v="0"/>
    <x v="0"/>
    <x v="0"/>
    <x v="0"/>
    <x v="0"/>
    <x v="0"/>
    <x v="0"/>
  </r>
  <r>
    <s v="ID0829"/>
    <d v="2012-05-26T23:04:02"/>
    <n v="100000"/>
    <n v="100000"/>
    <s v="USD"/>
    <n v="100000"/>
    <s v="director"/>
    <x v="4"/>
    <s v="USA"/>
    <x v="2"/>
    <x v="0"/>
    <n v="10"/>
    <s v=""/>
    <s v=""/>
    <n v="1"/>
    <s v=""/>
    <s v=""/>
    <s v=""/>
    <x v="3"/>
    <x v="0"/>
    <x v="1"/>
    <x v="0"/>
    <x v="0"/>
    <x v="8"/>
    <x v="0"/>
    <x v="0"/>
    <x v="0"/>
    <x v="0"/>
    <x v="0"/>
  </r>
  <r>
    <s v="ID0830"/>
    <d v="2012-05-26T23:04:53"/>
    <n v="42000"/>
    <n v="42000"/>
    <s v="EUR"/>
    <n v="53356.776437647524"/>
    <s v="Project Engineer"/>
    <x v="2"/>
    <s v="The Netherlands"/>
    <x v="18"/>
    <x v="0"/>
    <n v="2"/>
    <n v="1"/>
    <s v=""/>
    <s v=""/>
    <s v=""/>
    <s v=""/>
    <s v=""/>
    <x v="4"/>
    <x v="0"/>
    <x v="1"/>
    <x v="0"/>
    <x v="0"/>
    <x v="0"/>
    <x v="31"/>
    <x v="0"/>
    <x v="0"/>
    <x v="0"/>
    <x v="0"/>
  </r>
  <r>
    <s v="ID0831"/>
    <d v="2012-05-26T23:05:15"/>
    <n v="40000"/>
    <n v="40000"/>
    <s v="USD"/>
    <n v="40000"/>
    <s v="High School Teacher"/>
    <x v="3"/>
    <s v="USA"/>
    <x v="2"/>
    <x v="2"/>
    <n v="20"/>
    <s v=""/>
    <s v=""/>
    <s v=""/>
    <s v=""/>
    <n v="1"/>
    <s v=""/>
    <x v="2"/>
    <x v="0"/>
    <x v="1"/>
    <x v="0"/>
    <x v="0"/>
    <x v="0"/>
    <x v="0"/>
    <x v="7"/>
    <x v="0"/>
    <x v="0"/>
    <x v="0"/>
  </r>
  <r>
    <s v="ID0832"/>
    <d v="2012-05-26T23:14:58"/>
    <s v="5.5 lakhs"/>
    <n v="550000"/>
    <s v="INR"/>
    <n v="9794.354178093412"/>
    <s v="web analyst"/>
    <x v="0"/>
    <s v="India"/>
    <x v="0"/>
    <x v="0"/>
    <n v="1"/>
    <n v="1"/>
    <s v=""/>
    <s v=""/>
    <s v=""/>
    <s v=""/>
    <s v=""/>
    <x v="4"/>
    <x v="0"/>
    <x v="182"/>
    <x v="0"/>
    <x v="0"/>
    <x v="0"/>
    <x v="0"/>
    <x v="0"/>
    <x v="0"/>
    <x v="0"/>
    <x v="0"/>
  </r>
  <r>
    <s v="ID0833"/>
    <d v="2012-05-26T23:15:18"/>
    <s v="65000 ron"/>
    <n v="65000"/>
    <s v="RON"/>
    <n v="18499.860539512854"/>
    <s v="HR Planning Specialist"/>
    <x v="6"/>
    <s v="Romania"/>
    <x v="37"/>
    <x v="0"/>
    <n v="6"/>
    <s v=""/>
    <s v=""/>
    <n v="1"/>
    <s v=""/>
    <s v=""/>
    <s v=""/>
    <x v="3"/>
    <x v="0"/>
    <x v="1"/>
    <x v="0"/>
    <x v="0"/>
    <x v="0"/>
    <x v="0"/>
    <x v="0"/>
    <x v="0"/>
    <x v="0"/>
    <x v="29"/>
  </r>
  <r>
    <s v="ID0834"/>
    <d v="2012-05-26T23:17:09"/>
    <s v="15600 â‚¬"/>
    <n v="15600"/>
    <s v="EUR"/>
    <n v="19818.231248269083"/>
    <s v="Managment controller"/>
    <x v="1"/>
    <s v="Portugal"/>
    <x v="7"/>
    <x v="0"/>
    <n v="5"/>
    <s v=""/>
    <n v="1"/>
    <s v=""/>
    <s v=""/>
    <s v=""/>
    <s v=""/>
    <x v="1"/>
    <x v="0"/>
    <x v="1"/>
    <x v="0"/>
    <x v="20"/>
    <x v="0"/>
    <x v="0"/>
    <x v="0"/>
    <x v="0"/>
    <x v="0"/>
    <x v="0"/>
  </r>
  <r>
    <s v="ID0835"/>
    <d v="2012-05-26T23:21:57"/>
    <s v="Rs.6,00,000/-"/>
    <n v="600000"/>
    <s v="INR"/>
    <n v="10684.750012465542"/>
    <s v="AO"/>
    <x v="3"/>
    <s v="India"/>
    <x v="0"/>
    <x v="1"/>
    <n v="20"/>
    <s v=""/>
    <s v=""/>
    <s v=""/>
    <s v=""/>
    <n v="1"/>
    <s v=""/>
    <x v="2"/>
    <x v="0"/>
    <x v="1"/>
    <x v="0"/>
    <x v="0"/>
    <x v="0"/>
    <x v="0"/>
    <x v="9"/>
    <x v="0"/>
    <x v="0"/>
    <x v="0"/>
  </r>
  <r>
    <s v="ID0836"/>
    <d v="2012-05-26T23:36:14"/>
    <s v="Rs. 6,00,000"/>
    <n v="600000"/>
    <s v="INR"/>
    <n v="10684.750012465542"/>
    <s v="Project Manager"/>
    <x v="3"/>
    <s v="India"/>
    <x v="0"/>
    <x v="2"/>
    <n v="18"/>
    <s v=""/>
    <s v=""/>
    <s v=""/>
    <s v=""/>
    <n v="1"/>
    <s v=""/>
    <x v="2"/>
    <x v="0"/>
    <x v="1"/>
    <x v="0"/>
    <x v="0"/>
    <x v="0"/>
    <x v="0"/>
    <x v="9"/>
    <x v="0"/>
    <x v="0"/>
    <x v="0"/>
  </r>
  <r>
    <s v="ID0837"/>
    <d v="2012-05-26T23:38:24"/>
    <n v="1000000"/>
    <n v="1000000"/>
    <s v="INR"/>
    <n v="17807.916687442568"/>
    <s v="business analyist"/>
    <x v="0"/>
    <s v="India"/>
    <x v="0"/>
    <x v="0"/>
    <n v="10"/>
    <s v=""/>
    <s v=""/>
    <n v="1"/>
    <s v=""/>
    <s v=""/>
    <s v=""/>
    <x v="3"/>
    <x v="0"/>
    <x v="161"/>
    <x v="0"/>
    <x v="0"/>
    <x v="0"/>
    <x v="0"/>
    <x v="0"/>
    <x v="0"/>
    <x v="0"/>
    <x v="0"/>
  </r>
  <r>
    <s v="ID0838"/>
    <d v="2012-05-26T23:47:34"/>
    <s v="13000 USD"/>
    <n v="13000"/>
    <s v="USD"/>
    <n v="13000"/>
    <s v="Business Analyst"/>
    <x v="0"/>
    <s v="India"/>
    <x v="0"/>
    <x v="1"/>
    <n v="6"/>
    <s v=""/>
    <s v=""/>
    <n v="1"/>
    <s v=""/>
    <s v=""/>
    <s v=""/>
    <x v="3"/>
    <x v="0"/>
    <x v="156"/>
    <x v="0"/>
    <x v="0"/>
    <x v="0"/>
    <x v="0"/>
    <x v="0"/>
    <x v="0"/>
    <x v="0"/>
    <x v="0"/>
  </r>
  <r>
    <s v="ID0839"/>
    <d v="2012-05-26T23:58:53"/>
    <s v="900000 Rs"/>
    <n v="900000"/>
    <s v="INR"/>
    <n v="16027.125018698311"/>
    <s v="Deputy Manager"/>
    <x v="3"/>
    <s v="India"/>
    <x v="0"/>
    <x v="3"/>
    <n v="9"/>
    <s v=""/>
    <s v=""/>
    <n v="1"/>
    <s v=""/>
    <s v=""/>
    <s v=""/>
    <x v="3"/>
    <x v="0"/>
    <x v="1"/>
    <x v="0"/>
    <x v="0"/>
    <x v="0"/>
    <x v="0"/>
    <x v="103"/>
    <x v="0"/>
    <x v="0"/>
    <x v="0"/>
  </r>
  <r>
    <s v="ID0840"/>
    <d v="2012-05-27T00:02:45"/>
    <n v="85000"/>
    <n v="85000"/>
    <s v="USD"/>
    <n v="85000"/>
    <s v="actuary"/>
    <x v="5"/>
    <s v="USA"/>
    <x v="2"/>
    <x v="1"/>
    <n v="1"/>
    <n v="1"/>
    <s v=""/>
    <s v=""/>
    <s v=""/>
    <s v=""/>
    <s v=""/>
    <x v="4"/>
    <x v="54"/>
    <x v="1"/>
    <x v="0"/>
    <x v="0"/>
    <x v="0"/>
    <x v="0"/>
    <x v="0"/>
    <x v="0"/>
    <x v="0"/>
    <x v="0"/>
  </r>
  <r>
    <s v="ID0841"/>
    <d v="2012-05-27T00:07:52"/>
    <n v="6000"/>
    <n v="6000"/>
    <s v="USD"/>
    <n v="6000"/>
    <s v="Analysis Quality"/>
    <x v="0"/>
    <s v="Colombia - South America"/>
    <x v="27"/>
    <x v="3"/>
    <n v="10"/>
    <s v=""/>
    <s v=""/>
    <n v="1"/>
    <s v=""/>
    <s v=""/>
    <s v=""/>
    <x v="3"/>
    <x v="0"/>
    <x v="183"/>
    <x v="0"/>
    <x v="0"/>
    <x v="0"/>
    <x v="0"/>
    <x v="0"/>
    <x v="0"/>
    <x v="0"/>
    <x v="0"/>
  </r>
  <r>
    <s v="ID0842"/>
    <d v="2012-05-27T00:12:53"/>
    <n v="30000"/>
    <n v="30000"/>
    <s v="USD"/>
    <n v="30000"/>
    <s v="MIS Executive"/>
    <x v="7"/>
    <s v="India"/>
    <x v="0"/>
    <x v="0"/>
    <n v="2"/>
    <n v="1"/>
    <s v=""/>
    <s v=""/>
    <s v=""/>
    <s v=""/>
    <s v=""/>
    <x v="4"/>
    <x v="0"/>
    <x v="1"/>
    <x v="0"/>
    <x v="0"/>
    <x v="0"/>
    <x v="0"/>
    <x v="0"/>
    <x v="0"/>
    <x v="9"/>
    <x v="0"/>
  </r>
  <r>
    <s v="ID0844"/>
    <d v="2012-05-27T00:19:04"/>
    <n v="100000"/>
    <n v="100000"/>
    <s v="GBP"/>
    <n v="157617.8272067284"/>
    <s v="Financial Controller"/>
    <x v="1"/>
    <s v="UK"/>
    <x v="14"/>
    <x v="2"/>
    <n v="20"/>
    <s v=""/>
    <s v=""/>
    <s v=""/>
    <s v=""/>
    <n v="1"/>
    <s v=""/>
    <x v="2"/>
    <x v="0"/>
    <x v="1"/>
    <x v="0"/>
    <x v="21"/>
    <x v="0"/>
    <x v="0"/>
    <x v="0"/>
    <x v="0"/>
    <x v="0"/>
    <x v="0"/>
  </r>
  <r>
    <s v="ID0845"/>
    <d v="2012-05-27T00:33:06"/>
    <s v="1200000 Rs"/>
    <n v="1200000"/>
    <s v="INR"/>
    <n v="21369.500024931083"/>
    <s v="project manager"/>
    <x v="3"/>
    <s v="India"/>
    <x v="0"/>
    <x v="3"/>
    <n v="18"/>
    <s v=""/>
    <s v=""/>
    <s v=""/>
    <s v=""/>
    <n v="1"/>
    <s v=""/>
    <x v="2"/>
    <x v="0"/>
    <x v="1"/>
    <x v="0"/>
    <x v="0"/>
    <x v="0"/>
    <x v="0"/>
    <x v="61"/>
    <x v="0"/>
    <x v="0"/>
    <x v="0"/>
  </r>
  <r>
    <s v="ID0846"/>
    <d v="2012-05-27T00:53:20"/>
    <s v="2 lac"/>
    <n v="200000"/>
    <s v="INR"/>
    <n v="3561.5833374885137"/>
    <s v="Bio-Statiscian"/>
    <x v="7"/>
    <s v="India"/>
    <x v="0"/>
    <x v="0"/>
    <n v="1"/>
    <n v="1"/>
    <s v=""/>
    <s v=""/>
    <s v=""/>
    <s v=""/>
    <s v=""/>
    <x v="4"/>
    <x v="0"/>
    <x v="1"/>
    <x v="0"/>
    <x v="0"/>
    <x v="0"/>
    <x v="0"/>
    <x v="0"/>
    <x v="0"/>
    <x v="17"/>
    <x v="0"/>
  </r>
  <r>
    <s v="ID0847"/>
    <d v="2012-05-27T01:04:46"/>
    <n v="5000"/>
    <n v="5000"/>
    <s v="USD"/>
    <n v="5000"/>
    <s v="Management Intern"/>
    <x v="3"/>
    <s v="India"/>
    <x v="0"/>
    <x v="0"/>
    <n v="1"/>
    <n v="1"/>
    <s v=""/>
    <s v=""/>
    <s v=""/>
    <s v=""/>
    <s v=""/>
    <x v="4"/>
    <x v="0"/>
    <x v="1"/>
    <x v="0"/>
    <x v="0"/>
    <x v="0"/>
    <x v="0"/>
    <x v="168"/>
    <x v="0"/>
    <x v="0"/>
    <x v="0"/>
  </r>
  <r>
    <s v="ID0848"/>
    <d v="2012-05-27T01:22:06"/>
    <s v="INR 2,00,000"/>
    <n v="200000"/>
    <s v="INR"/>
    <n v="3561.5833374885137"/>
    <s v="Sales Analyst"/>
    <x v="0"/>
    <s v="India"/>
    <x v="0"/>
    <x v="0"/>
    <n v="2"/>
    <n v="1"/>
    <s v=""/>
    <s v=""/>
    <s v=""/>
    <s v=""/>
    <s v=""/>
    <x v="4"/>
    <x v="0"/>
    <x v="68"/>
    <x v="0"/>
    <x v="0"/>
    <x v="0"/>
    <x v="0"/>
    <x v="0"/>
    <x v="0"/>
    <x v="0"/>
    <x v="0"/>
  </r>
  <r>
    <s v="ID0849"/>
    <d v="2012-05-27T01:30:55"/>
    <s v="30000 eur"/>
    <n v="30000"/>
    <s v="EUR"/>
    <n v="38111.983169748237"/>
    <s v="financialcotroller"/>
    <x v="5"/>
    <s v="portugal"/>
    <x v="7"/>
    <x v="1"/>
    <n v="8"/>
    <s v=""/>
    <s v=""/>
    <n v="1"/>
    <s v=""/>
    <s v=""/>
    <s v=""/>
    <x v="3"/>
    <x v="55"/>
    <x v="1"/>
    <x v="0"/>
    <x v="0"/>
    <x v="0"/>
    <x v="0"/>
    <x v="0"/>
    <x v="0"/>
    <x v="0"/>
    <x v="0"/>
  </r>
  <r>
    <s v="ID0850"/>
    <d v="2012-05-27T01:41:11"/>
    <s v="Rs. 10,00,000"/>
    <n v="1000000"/>
    <s v="INR"/>
    <n v="17807.916687442568"/>
    <s v="HR Analyst"/>
    <x v="0"/>
    <s v="India"/>
    <x v="0"/>
    <x v="0"/>
    <n v="6.5"/>
    <s v=""/>
    <s v=""/>
    <n v="1"/>
    <s v=""/>
    <s v=""/>
    <s v=""/>
    <x v="3"/>
    <x v="0"/>
    <x v="161"/>
    <x v="0"/>
    <x v="0"/>
    <x v="0"/>
    <x v="0"/>
    <x v="0"/>
    <x v="0"/>
    <x v="0"/>
    <x v="0"/>
  </r>
  <r>
    <s v="ID0851"/>
    <d v="2012-05-27T01:46:00"/>
    <n v="650000"/>
    <n v="650000"/>
    <s v="INR"/>
    <n v="11575.14584683767"/>
    <s v="Financial Analyist"/>
    <x v="0"/>
    <s v="India"/>
    <x v="0"/>
    <x v="1"/>
    <n v="3.5"/>
    <s v=""/>
    <n v="1"/>
    <s v=""/>
    <s v=""/>
    <s v=""/>
    <s v=""/>
    <x v="1"/>
    <x v="0"/>
    <x v="184"/>
    <x v="0"/>
    <x v="0"/>
    <x v="0"/>
    <x v="0"/>
    <x v="0"/>
    <x v="0"/>
    <x v="0"/>
    <x v="0"/>
  </r>
  <r>
    <s v="ID0852"/>
    <d v="2012-05-27T02:33:22"/>
    <n v="100000"/>
    <n v="100000"/>
    <s v="CAD"/>
    <n v="98336.152303032693"/>
    <s v="Marketing Manager"/>
    <x v="3"/>
    <s v="Canada"/>
    <x v="17"/>
    <x v="2"/>
    <n v="10"/>
    <s v=""/>
    <s v=""/>
    <n v="1"/>
    <s v=""/>
    <s v=""/>
    <s v=""/>
    <x v="3"/>
    <x v="0"/>
    <x v="1"/>
    <x v="0"/>
    <x v="0"/>
    <x v="0"/>
    <x v="0"/>
    <x v="62"/>
    <x v="0"/>
    <x v="0"/>
    <x v="0"/>
  </r>
  <r>
    <s v="ID0854"/>
    <d v="2012-05-27T03:06:02"/>
    <n v="92500"/>
    <n v="92500"/>
    <s v="USD"/>
    <n v="92500"/>
    <s v="Dir of Analytics"/>
    <x v="0"/>
    <s v="USA"/>
    <x v="2"/>
    <x v="2"/>
    <n v="15"/>
    <s v=""/>
    <s v=""/>
    <s v=""/>
    <n v="1"/>
    <s v=""/>
    <s v=""/>
    <x v="5"/>
    <x v="0"/>
    <x v="185"/>
    <x v="0"/>
    <x v="0"/>
    <x v="0"/>
    <x v="0"/>
    <x v="0"/>
    <x v="0"/>
    <x v="0"/>
    <x v="0"/>
  </r>
  <r>
    <s v="ID0855"/>
    <d v="2012-05-27T03:16:05"/>
    <s v="Rs. 550000"/>
    <n v="550000"/>
    <s v="INR"/>
    <n v="9794.354178093412"/>
    <s v="Analyst"/>
    <x v="0"/>
    <s v="India"/>
    <x v="0"/>
    <x v="0"/>
    <n v="1"/>
    <n v="1"/>
    <s v=""/>
    <s v=""/>
    <s v=""/>
    <s v=""/>
    <s v=""/>
    <x v="4"/>
    <x v="0"/>
    <x v="182"/>
    <x v="0"/>
    <x v="0"/>
    <x v="0"/>
    <x v="0"/>
    <x v="0"/>
    <x v="0"/>
    <x v="0"/>
    <x v="0"/>
  </r>
  <r>
    <s v="ID0856"/>
    <d v="2012-05-27T03:19:29"/>
    <n v="32000"/>
    <n v="32000"/>
    <s v="USD"/>
    <n v="32000"/>
    <s v="Reporting Manager"/>
    <x v="3"/>
    <s v="USA"/>
    <x v="2"/>
    <x v="0"/>
    <n v="1"/>
    <n v="1"/>
    <s v=""/>
    <s v=""/>
    <s v=""/>
    <s v=""/>
    <s v=""/>
    <x v="4"/>
    <x v="0"/>
    <x v="1"/>
    <x v="0"/>
    <x v="0"/>
    <x v="0"/>
    <x v="0"/>
    <x v="169"/>
    <x v="0"/>
    <x v="0"/>
    <x v="0"/>
  </r>
  <r>
    <s v="ID0857"/>
    <d v="2012-05-27T03:25:05"/>
    <n v="55000"/>
    <n v="55000"/>
    <s v="USD"/>
    <n v="55000"/>
    <s v="Analyst"/>
    <x v="0"/>
    <s v="USA"/>
    <x v="2"/>
    <x v="0"/>
    <n v="10"/>
    <s v=""/>
    <s v=""/>
    <n v="1"/>
    <s v=""/>
    <s v=""/>
    <s v=""/>
    <x v="3"/>
    <x v="0"/>
    <x v="78"/>
    <x v="0"/>
    <x v="0"/>
    <x v="0"/>
    <x v="0"/>
    <x v="0"/>
    <x v="0"/>
    <x v="0"/>
    <x v="0"/>
  </r>
  <r>
    <s v="ID0858"/>
    <d v="2012-05-27T03:25:53"/>
    <n v="40000"/>
    <n v="40000"/>
    <s v="USD"/>
    <n v="40000"/>
    <s v="Data Research Assistant"/>
    <x v="0"/>
    <s v="USA"/>
    <x v="2"/>
    <x v="1"/>
    <n v="4"/>
    <s v=""/>
    <n v="1"/>
    <s v=""/>
    <s v=""/>
    <s v=""/>
    <s v=""/>
    <x v="1"/>
    <x v="0"/>
    <x v="27"/>
    <x v="0"/>
    <x v="0"/>
    <x v="0"/>
    <x v="0"/>
    <x v="0"/>
    <x v="0"/>
    <x v="0"/>
    <x v="0"/>
  </r>
  <r>
    <s v="ID0859"/>
    <d v="2012-05-27T03:37:32"/>
    <s v="3000 $"/>
    <n v="3000"/>
    <s v="USD"/>
    <n v="3000"/>
    <s v="Statistical Analyst"/>
    <x v="0"/>
    <s v="Pakistan"/>
    <x v="3"/>
    <x v="2"/>
    <n v="2"/>
    <n v="1"/>
    <s v=""/>
    <s v=""/>
    <s v=""/>
    <s v=""/>
    <s v=""/>
    <x v="4"/>
    <x v="0"/>
    <x v="186"/>
    <x v="0"/>
    <x v="0"/>
    <x v="0"/>
    <x v="0"/>
    <x v="0"/>
    <x v="0"/>
    <x v="0"/>
    <x v="0"/>
  </r>
  <r>
    <s v="ID0860"/>
    <d v="2012-05-27T03:37:36"/>
    <n v="43600"/>
    <n v="43600"/>
    <s v="USD"/>
    <n v="43600"/>
    <s v="Data Analyst"/>
    <x v="0"/>
    <s v="USA"/>
    <x v="2"/>
    <x v="0"/>
    <n v="5"/>
    <s v=""/>
    <n v="1"/>
    <s v=""/>
    <s v=""/>
    <s v=""/>
    <s v=""/>
    <x v="1"/>
    <x v="0"/>
    <x v="187"/>
    <x v="0"/>
    <x v="0"/>
    <x v="0"/>
    <x v="0"/>
    <x v="0"/>
    <x v="0"/>
    <x v="0"/>
    <x v="0"/>
  </r>
  <r>
    <s v="ID0861"/>
    <d v="2012-05-27T04:00:14"/>
    <s v="Rs. 45000"/>
    <n v="540000"/>
    <s v="INR"/>
    <n v="9616.275011218986"/>
    <s v="Senior analyst"/>
    <x v="0"/>
    <s v="India"/>
    <x v="0"/>
    <x v="1"/>
    <n v="8"/>
    <s v=""/>
    <s v=""/>
    <n v="1"/>
    <s v=""/>
    <s v=""/>
    <s v=""/>
    <x v="3"/>
    <x v="0"/>
    <x v="188"/>
    <x v="0"/>
    <x v="0"/>
    <x v="0"/>
    <x v="0"/>
    <x v="0"/>
    <x v="0"/>
    <x v="0"/>
    <x v="0"/>
  </r>
  <r>
    <s v="ID0862"/>
    <d v="2012-05-27T04:05:28"/>
    <n v="35000"/>
    <n v="35000"/>
    <s v="USD"/>
    <n v="35000"/>
    <s v="Purchasing Manager"/>
    <x v="3"/>
    <s v="Uruguay"/>
    <x v="63"/>
    <x v="1"/>
    <n v="10"/>
    <s v=""/>
    <s v=""/>
    <n v="1"/>
    <s v=""/>
    <s v=""/>
    <s v=""/>
    <x v="3"/>
    <x v="0"/>
    <x v="1"/>
    <x v="0"/>
    <x v="0"/>
    <x v="0"/>
    <x v="0"/>
    <x v="40"/>
    <x v="0"/>
    <x v="0"/>
    <x v="0"/>
  </r>
  <r>
    <s v="ID0863"/>
    <d v="2012-05-27T04:07:07"/>
    <n v="12000"/>
    <n v="12000"/>
    <s v="USD"/>
    <n v="12000"/>
    <s v="Guide for About.com"/>
    <x v="8"/>
    <s v="Spain"/>
    <x v="47"/>
    <x v="2"/>
    <n v="15"/>
    <s v=""/>
    <s v=""/>
    <s v=""/>
    <n v="1"/>
    <s v=""/>
    <s v=""/>
    <x v="5"/>
    <x v="0"/>
    <x v="1"/>
    <x v="4"/>
    <x v="0"/>
    <x v="0"/>
    <x v="0"/>
    <x v="0"/>
    <x v="0"/>
    <x v="0"/>
    <x v="0"/>
  </r>
  <r>
    <s v="ID0864"/>
    <d v="2012-05-27T04:12:04"/>
    <n v="5000"/>
    <n v="5000"/>
    <s v="USD"/>
    <n v="5000"/>
    <s v="Policy advisor"/>
    <x v="8"/>
    <s v="Aruba"/>
    <x v="64"/>
    <x v="3"/>
    <n v="13"/>
    <s v=""/>
    <s v=""/>
    <s v=""/>
    <n v="1"/>
    <s v=""/>
    <s v=""/>
    <x v="5"/>
    <x v="0"/>
    <x v="1"/>
    <x v="39"/>
    <x v="0"/>
    <x v="0"/>
    <x v="0"/>
    <x v="0"/>
    <x v="0"/>
    <x v="0"/>
    <x v="0"/>
  </r>
  <r>
    <s v="ID0865"/>
    <d v="2012-05-27T04:31:08"/>
    <s v="R134000"/>
    <n v="134000"/>
    <s v="ZAR"/>
    <n v="16337.518501630093"/>
    <s v="Data Analyst"/>
    <x v="0"/>
    <s v="South Africa"/>
    <x v="11"/>
    <x v="0"/>
    <n v="2"/>
    <n v="1"/>
    <s v=""/>
    <s v=""/>
    <s v=""/>
    <s v=""/>
    <s v=""/>
    <x v="4"/>
    <x v="0"/>
    <x v="189"/>
    <x v="0"/>
    <x v="0"/>
    <x v="0"/>
    <x v="0"/>
    <x v="0"/>
    <x v="0"/>
    <x v="0"/>
    <x v="0"/>
  </r>
  <r>
    <s v="ID0866"/>
    <d v="2012-05-27T04:40:33"/>
    <n v="65000"/>
    <n v="65000"/>
    <s v="USD"/>
    <n v="65000"/>
    <s v="Security Access Governance Analyst"/>
    <x v="0"/>
    <s v="USA"/>
    <x v="2"/>
    <x v="3"/>
    <n v="8"/>
    <s v=""/>
    <s v=""/>
    <n v="1"/>
    <s v=""/>
    <s v=""/>
    <s v=""/>
    <x v="3"/>
    <x v="0"/>
    <x v="84"/>
    <x v="0"/>
    <x v="0"/>
    <x v="0"/>
    <x v="0"/>
    <x v="0"/>
    <x v="0"/>
    <x v="0"/>
    <x v="0"/>
  </r>
  <r>
    <s v="ID0867"/>
    <d v="2012-05-27T06:17:41"/>
    <n v="40000"/>
    <n v="40000"/>
    <s v="USD"/>
    <n v="40000"/>
    <s v="IT Capacity Planner"/>
    <x v="0"/>
    <s v="USA"/>
    <x v="2"/>
    <x v="1"/>
    <n v="2"/>
    <n v="1"/>
    <s v=""/>
    <s v=""/>
    <s v=""/>
    <s v=""/>
    <s v=""/>
    <x v="4"/>
    <x v="0"/>
    <x v="27"/>
    <x v="0"/>
    <x v="0"/>
    <x v="0"/>
    <x v="0"/>
    <x v="0"/>
    <x v="0"/>
    <x v="0"/>
    <x v="0"/>
  </r>
  <r>
    <s v="ID0868"/>
    <d v="2012-05-27T06:37:13"/>
    <n v="98000"/>
    <n v="98000"/>
    <s v="USD"/>
    <n v="98000"/>
    <s v="supply chain manager"/>
    <x v="3"/>
    <s v="indonesia"/>
    <x v="55"/>
    <x v="2"/>
    <n v="14"/>
    <s v=""/>
    <s v=""/>
    <s v=""/>
    <n v="1"/>
    <s v=""/>
    <s v=""/>
    <x v="5"/>
    <x v="0"/>
    <x v="1"/>
    <x v="0"/>
    <x v="0"/>
    <x v="0"/>
    <x v="0"/>
    <x v="170"/>
    <x v="0"/>
    <x v="0"/>
    <x v="0"/>
  </r>
  <r>
    <s v="ID0869"/>
    <d v="2012-05-27T06:37:15"/>
    <n v="50000"/>
    <n v="50000"/>
    <s v="USD"/>
    <n v="50000"/>
    <s v="Boss"/>
    <x v="4"/>
    <s v="USA"/>
    <x v="2"/>
    <x v="1"/>
    <n v="15"/>
    <s v=""/>
    <s v=""/>
    <s v=""/>
    <n v="1"/>
    <s v=""/>
    <s v=""/>
    <x v="5"/>
    <x v="0"/>
    <x v="1"/>
    <x v="0"/>
    <x v="0"/>
    <x v="28"/>
    <x v="0"/>
    <x v="0"/>
    <x v="0"/>
    <x v="0"/>
    <x v="0"/>
  </r>
  <r>
    <s v="ID0870"/>
    <d v="2012-05-27T07:19:14"/>
    <n v="135000"/>
    <n v="135000"/>
    <s v="USD"/>
    <n v="135000"/>
    <s v="Director, P&amp;A"/>
    <x v="4"/>
    <s v="USA"/>
    <x v="2"/>
    <x v="0"/>
    <n v="25"/>
    <s v=""/>
    <s v=""/>
    <s v=""/>
    <s v=""/>
    <s v=""/>
    <n v="1"/>
    <x v="6"/>
    <x v="0"/>
    <x v="1"/>
    <x v="0"/>
    <x v="0"/>
    <x v="29"/>
    <x v="0"/>
    <x v="0"/>
    <x v="0"/>
    <x v="0"/>
    <x v="0"/>
  </r>
  <r>
    <s v="ID0871"/>
    <d v="2012-05-27T08:07:40"/>
    <s v="125 $"/>
    <n v="125000"/>
    <s v="USD"/>
    <n v="125000"/>
    <s v="Project controls manager"/>
    <x v="3"/>
    <s v="Norway"/>
    <x v="46"/>
    <x v="0"/>
    <n v="6"/>
    <s v=""/>
    <s v=""/>
    <n v="1"/>
    <s v=""/>
    <s v=""/>
    <s v=""/>
    <x v="3"/>
    <x v="0"/>
    <x v="1"/>
    <x v="0"/>
    <x v="0"/>
    <x v="0"/>
    <x v="0"/>
    <x v="78"/>
    <x v="0"/>
    <x v="0"/>
    <x v="0"/>
  </r>
  <r>
    <s v="ID0872"/>
    <d v="2012-05-27T08:54:28"/>
    <n v="4500"/>
    <n v="4500"/>
    <s v="USD"/>
    <n v="4500"/>
    <s v="senior associate"/>
    <x v="0"/>
    <s v="indonesia"/>
    <x v="55"/>
    <x v="2"/>
    <n v="4"/>
    <s v=""/>
    <n v="1"/>
    <s v=""/>
    <s v=""/>
    <s v=""/>
    <s v=""/>
    <x v="1"/>
    <x v="0"/>
    <x v="190"/>
    <x v="0"/>
    <x v="0"/>
    <x v="0"/>
    <x v="0"/>
    <x v="0"/>
    <x v="0"/>
    <x v="0"/>
    <x v="0"/>
  </r>
  <r>
    <s v="ID0873"/>
    <d v="2012-05-27T08:55:36"/>
    <n v="115000"/>
    <n v="115000"/>
    <s v="USD"/>
    <n v="115000"/>
    <s v="Principal Financial Analyst"/>
    <x v="0"/>
    <s v="USA"/>
    <x v="2"/>
    <x v="0"/>
    <n v="10"/>
    <s v=""/>
    <s v=""/>
    <n v="1"/>
    <s v=""/>
    <s v=""/>
    <s v=""/>
    <x v="3"/>
    <x v="0"/>
    <x v="191"/>
    <x v="0"/>
    <x v="0"/>
    <x v="0"/>
    <x v="0"/>
    <x v="0"/>
    <x v="0"/>
    <x v="0"/>
    <x v="0"/>
  </r>
  <r>
    <s v="ID0874"/>
    <d v="2012-05-27T09:17:47"/>
    <n v="70000"/>
    <n v="70000"/>
    <s v="USD"/>
    <n v="70000"/>
    <s v="Financial Analyst"/>
    <x v="0"/>
    <s v="USA"/>
    <x v="2"/>
    <x v="1"/>
    <n v="15"/>
    <s v=""/>
    <s v=""/>
    <s v=""/>
    <n v="1"/>
    <s v=""/>
    <s v=""/>
    <x v="5"/>
    <x v="0"/>
    <x v="59"/>
    <x v="0"/>
    <x v="0"/>
    <x v="0"/>
    <x v="0"/>
    <x v="0"/>
    <x v="0"/>
    <x v="0"/>
    <x v="0"/>
  </r>
  <r>
    <s v="ID0875"/>
    <d v="2012-05-27T09:49:30"/>
    <n v="5000"/>
    <n v="60000"/>
    <s v="USD"/>
    <n v="60000"/>
    <s v="Store keeper"/>
    <x v="0"/>
    <s v="USA"/>
    <x v="2"/>
    <x v="2"/>
    <n v="8"/>
    <s v=""/>
    <s v=""/>
    <n v="1"/>
    <s v=""/>
    <s v=""/>
    <s v=""/>
    <x v="3"/>
    <x v="0"/>
    <x v="8"/>
    <x v="0"/>
    <x v="0"/>
    <x v="0"/>
    <x v="0"/>
    <x v="0"/>
    <x v="0"/>
    <x v="0"/>
    <x v="0"/>
  </r>
  <r>
    <s v="ID0876"/>
    <d v="2012-05-27T10:13:27"/>
    <n v="87456"/>
    <n v="87456"/>
    <s v="USD"/>
    <n v="87456"/>
    <s v="qa team supervisor "/>
    <x v="3"/>
    <s v="USA"/>
    <x v="2"/>
    <x v="2"/>
    <n v="12"/>
    <s v=""/>
    <s v=""/>
    <s v=""/>
    <n v="1"/>
    <s v=""/>
    <s v=""/>
    <x v="5"/>
    <x v="0"/>
    <x v="1"/>
    <x v="0"/>
    <x v="0"/>
    <x v="0"/>
    <x v="0"/>
    <x v="171"/>
    <x v="0"/>
    <x v="0"/>
    <x v="0"/>
  </r>
  <r>
    <s v="ID0877"/>
    <d v="2012-05-27T11:32:17"/>
    <n v="26400"/>
    <n v="26400"/>
    <s v="USD"/>
    <n v="26400"/>
    <s v="Supply Chain Administrator"/>
    <x v="0"/>
    <s v="UAE"/>
    <x v="21"/>
    <x v="1"/>
    <n v="6"/>
    <s v=""/>
    <s v=""/>
    <n v="1"/>
    <s v=""/>
    <s v=""/>
    <s v=""/>
    <x v="3"/>
    <x v="0"/>
    <x v="192"/>
    <x v="0"/>
    <x v="0"/>
    <x v="0"/>
    <x v="0"/>
    <x v="0"/>
    <x v="0"/>
    <x v="0"/>
    <x v="0"/>
  </r>
  <r>
    <s v="ID0878"/>
    <d v="2012-05-27T11:50:16"/>
    <n v="1000"/>
    <n v="12000"/>
    <s v="USD"/>
    <n v="12000"/>
    <s v="sup"/>
    <x v="3"/>
    <s v="UAE"/>
    <x v="21"/>
    <x v="1"/>
    <n v="18"/>
    <s v=""/>
    <s v=""/>
    <s v=""/>
    <s v=""/>
    <n v="1"/>
    <s v=""/>
    <x v="2"/>
    <x v="0"/>
    <x v="1"/>
    <x v="0"/>
    <x v="0"/>
    <x v="0"/>
    <x v="0"/>
    <x v="166"/>
    <x v="0"/>
    <x v="0"/>
    <x v="0"/>
  </r>
  <r>
    <s v="ID0879"/>
    <d v="2012-05-27T12:03:51"/>
    <n v="144000"/>
    <n v="144000"/>
    <s v="INR"/>
    <n v="2564.3400029917298"/>
    <s v="Cost Trainee"/>
    <x v="0"/>
    <s v="India"/>
    <x v="0"/>
    <x v="0"/>
    <n v="1"/>
    <n v="1"/>
    <s v=""/>
    <s v=""/>
    <s v=""/>
    <s v=""/>
    <s v=""/>
    <x v="4"/>
    <x v="0"/>
    <x v="180"/>
    <x v="0"/>
    <x v="0"/>
    <x v="0"/>
    <x v="0"/>
    <x v="0"/>
    <x v="0"/>
    <x v="0"/>
    <x v="0"/>
  </r>
  <r>
    <s v="ID0880"/>
    <d v="2012-05-27T12:32:45"/>
    <s v="62000 USD"/>
    <n v="62000"/>
    <s v="USD"/>
    <n v="62000"/>
    <s v="Deputy Manager Finance"/>
    <x v="3"/>
    <s v="Qatar"/>
    <x v="65"/>
    <x v="1"/>
    <n v="11"/>
    <s v=""/>
    <s v=""/>
    <s v=""/>
    <n v="1"/>
    <s v=""/>
    <s v=""/>
    <x v="5"/>
    <x v="0"/>
    <x v="1"/>
    <x v="0"/>
    <x v="0"/>
    <x v="0"/>
    <x v="0"/>
    <x v="172"/>
    <x v="0"/>
    <x v="0"/>
    <x v="0"/>
  </r>
  <r>
    <s v="ID0881"/>
    <d v="2012-05-27T12:35:15"/>
    <s v="3 lacs P.A"/>
    <n v="300000"/>
    <s v="INR"/>
    <n v="5342.3750062327708"/>
    <s v="Sales"/>
    <x v="0"/>
    <s v="India"/>
    <x v="0"/>
    <x v="3"/>
    <n v="10"/>
    <s v=""/>
    <s v=""/>
    <n v="1"/>
    <s v=""/>
    <s v=""/>
    <s v=""/>
    <x v="3"/>
    <x v="0"/>
    <x v="150"/>
    <x v="0"/>
    <x v="0"/>
    <x v="0"/>
    <x v="0"/>
    <x v="0"/>
    <x v="0"/>
    <x v="0"/>
    <x v="0"/>
  </r>
  <r>
    <s v="ID0882"/>
    <d v="2012-05-27T12:37:02"/>
    <n v="40000"/>
    <n v="40000"/>
    <s v="EUR"/>
    <n v="50815.977559664309"/>
    <s v="Medical information analist"/>
    <x v="0"/>
    <s v="Netherlands"/>
    <x v="18"/>
    <x v="0"/>
    <n v="4"/>
    <s v=""/>
    <n v="1"/>
    <s v=""/>
    <s v=""/>
    <s v=""/>
    <s v=""/>
    <x v="1"/>
    <x v="0"/>
    <x v="193"/>
    <x v="0"/>
    <x v="0"/>
    <x v="0"/>
    <x v="0"/>
    <x v="0"/>
    <x v="0"/>
    <x v="0"/>
    <x v="0"/>
  </r>
  <r>
    <s v="ID0883"/>
    <d v="2012-05-27T12:41:29"/>
    <s v="US 2130"/>
    <n v="25560"/>
    <s v="USD"/>
    <n v="25560"/>
    <s v="Training Coordinator"/>
    <x v="3"/>
    <s v="saudi arabia"/>
    <x v="22"/>
    <x v="0"/>
    <n v="3"/>
    <s v=""/>
    <n v="1"/>
    <s v=""/>
    <s v=""/>
    <s v=""/>
    <s v=""/>
    <x v="1"/>
    <x v="0"/>
    <x v="1"/>
    <x v="0"/>
    <x v="0"/>
    <x v="0"/>
    <x v="0"/>
    <x v="173"/>
    <x v="0"/>
    <x v="0"/>
    <x v="0"/>
  </r>
  <r>
    <s v="ID0884"/>
    <d v="2012-05-27T12:57:51"/>
    <s v="Rs.60000/-"/>
    <n v="720000"/>
    <s v="INR"/>
    <n v="12821.700014958649"/>
    <s v="Article (Internship) - CA"/>
    <x v="5"/>
    <s v="India"/>
    <x v="0"/>
    <x v="0"/>
    <n v="3"/>
    <s v=""/>
    <n v="1"/>
    <s v=""/>
    <s v=""/>
    <s v=""/>
    <s v=""/>
    <x v="1"/>
    <x v="42"/>
    <x v="1"/>
    <x v="0"/>
    <x v="0"/>
    <x v="0"/>
    <x v="0"/>
    <x v="0"/>
    <x v="0"/>
    <x v="0"/>
    <x v="0"/>
  </r>
  <r>
    <s v="ID0885"/>
    <d v="2012-05-27T13:06:50"/>
    <n v="600000"/>
    <n v="600000"/>
    <s v="INR"/>
    <n v="10684.750012465542"/>
    <s v="Asst Manager"/>
    <x v="3"/>
    <s v="India"/>
    <x v="0"/>
    <x v="1"/>
    <n v="5"/>
    <s v=""/>
    <n v="1"/>
    <s v=""/>
    <s v=""/>
    <s v=""/>
    <s v=""/>
    <x v="1"/>
    <x v="0"/>
    <x v="1"/>
    <x v="0"/>
    <x v="0"/>
    <x v="0"/>
    <x v="0"/>
    <x v="9"/>
    <x v="0"/>
    <x v="0"/>
    <x v="0"/>
  </r>
  <r>
    <s v="ID0886"/>
    <d v="2012-05-27T13:27:19"/>
    <s v="Rs. 35000"/>
    <n v="420000"/>
    <s v="PKR"/>
    <n v="4457.9172610556352"/>
    <s v="Assistant Manager"/>
    <x v="3"/>
    <s v="Pakistan"/>
    <x v="3"/>
    <x v="1"/>
    <n v="4"/>
    <s v=""/>
    <n v="1"/>
    <s v=""/>
    <s v=""/>
    <s v=""/>
    <s v=""/>
    <x v="1"/>
    <x v="0"/>
    <x v="1"/>
    <x v="0"/>
    <x v="0"/>
    <x v="0"/>
    <x v="0"/>
    <x v="174"/>
    <x v="0"/>
    <x v="0"/>
    <x v="0"/>
  </r>
  <r>
    <s v="ID0887"/>
    <d v="2012-05-27T13:29:52"/>
    <s v="$125000 / a excl bonus"/>
    <n v="125000"/>
    <s v="USD"/>
    <n v="125000"/>
    <s v="Commercial Director"/>
    <x v="4"/>
    <s v="South Africa"/>
    <x v="11"/>
    <x v="0"/>
    <n v="20"/>
    <s v=""/>
    <s v=""/>
    <s v=""/>
    <s v=""/>
    <n v="1"/>
    <s v=""/>
    <x v="2"/>
    <x v="0"/>
    <x v="1"/>
    <x v="0"/>
    <x v="0"/>
    <x v="5"/>
    <x v="0"/>
    <x v="0"/>
    <x v="0"/>
    <x v="0"/>
    <x v="0"/>
  </r>
  <r>
    <s v="ID0888"/>
    <d v="2012-05-27T13:34:12"/>
    <n v="43000"/>
    <n v="43000"/>
    <s v="USD"/>
    <n v="43000"/>
    <s v="Financial Analyst"/>
    <x v="0"/>
    <s v="USA"/>
    <x v="2"/>
    <x v="0"/>
    <n v="1"/>
    <n v="1"/>
    <s v=""/>
    <s v=""/>
    <s v=""/>
    <s v=""/>
    <s v=""/>
    <x v="4"/>
    <x v="0"/>
    <x v="65"/>
    <x v="0"/>
    <x v="0"/>
    <x v="0"/>
    <x v="0"/>
    <x v="0"/>
    <x v="0"/>
    <x v="0"/>
    <x v="0"/>
  </r>
  <r>
    <s v="ID0889"/>
    <d v="2012-05-27T13:41:04"/>
    <s v="400000 Rs"/>
    <n v="400000"/>
    <s v="INR"/>
    <n v="7123.1666749770275"/>
    <s v="engineer"/>
    <x v="2"/>
    <s v="India"/>
    <x v="0"/>
    <x v="2"/>
    <n v="6"/>
    <s v=""/>
    <s v=""/>
    <n v="1"/>
    <s v=""/>
    <s v=""/>
    <s v=""/>
    <x v="3"/>
    <x v="0"/>
    <x v="1"/>
    <x v="0"/>
    <x v="0"/>
    <x v="0"/>
    <x v="32"/>
    <x v="0"/>
    <x v="0"/>
    <x v="0"/>
    <x v="0"/>
  </r>
  <r>
    <s v="ID0890"/>
    <d v="2012-05-27T13:41:05"/>
    <n v="10000"/>
    <n v="10000"/>
    <s v="USD"/>
    <n v="10000"/>
    <s v="Finance Staff"/>
    <x v="5"/>
    <s v="Viet Nam"/>
    <x v="66"/>
    <x v="0"/>
    <n v="4"/>
    <s v=""/>
    <n v="1"/>
    <s v=""/>
    <s v=""/>
    <s v=""/>
    <s v=""/>
    <x v="1"/>
    <x v="56"/>
    <x v="1"/>
    <x v="0"/>
    <x v="0"/>
    <x v="0"/>
    <x v="0"/>
    <x v="0"/>
    <x v="0"/>
    <x v="0"/>
    <x v="0"/>
  </r>
  <r>
    <s v="ID0891"/>
    <d v="2012-05-27T13:42:15"/>
    <s v="inr 500000"/>
    <n v="500000"/>
    <s v="INR"/>
    <n v="8903.9583437212841"/>
    <s v="team coach"/>
    <x v="3"/>
    <s v="India"/>
    <x v="0"/>
    <x v="3"/>
    <n v="5"/>
    <s v=""/>
    <n v="1"/>
    <s v=""/>
    <s v=""/>
    <s v=""/>
    <s v=""/>
    <x v="1"/>
    <x v="0"/>
    <x v="1"/>
    <x v="0"/>
    <x v="0"/>
    <x v="0"/>
    <x v="0"/>
    <x v="57"/>
    <x v="0"/>
    <x v="0"/>
    <x v="0"/>
  </r>
  <r>
    <s v="ID0892"/>
    <d v="2012-05-27T13:45:47"/>
    <n v="36500"/>
    <n v="36500"/>
    <s v="USD"/>
    <n v="36500"/>
    <s v="Accountant"/>
    <x v="5"/>
    <s v="Saudi Arabia"/>
    <x v="22"/>
    <x v="0"/>
    <n v="15"/>
    <s v=""/>
    <s v=""/>
    <s v=""/>
    <n v="1"/>
    <s v=""/>
    <s v=""/>
    <x v="5"/>
    <x v="57"/>
    <x v="1"/>
    <x v="0"/>
    <x v="0"/>
    <x v="0"/>
    <x v="0"/>
    <x v="0"/>
    <x v="0"/>
    <x v="0"/>
    <x v="0"/>
  </r>
  <r>
    <s v="ID0893"/>
    <d v="2012-05-27T13:52:53"/>
    <s v="100,000 usd"/>
    <n v="100000"/>
    <s v="USD"/>
    <n v="100000"/>
    <s v="Director"/>
    <x v="4"/>
    <s v="MÃ©xico"/>
    <x v="25"/>
    <x v="1"/>
    <n v="10"/>
    <s v=""/>
    <s v=""/>
    <n v="1"/>
    <s v=""/>
    <s v=""/>
    <s v=""/>
    <x v="3"/>
    <x v="0"/>
    <x v="1"/>
    <x v="0"/>
    <x v="0"/>
    <x v="8"/>
    <x v="0"/>
    <x v="0"/>
    <x v="0"/>
    <x v="0"/>
    <x v="0"/>
  </r>
  <r>
    <s v="ID0894"/>
    <d v="2012-05-27T14:04:31"/>
    <s v="Rs. 400000"/>
    <n v="400000"/>
    <s v="INR"/>
    <n v="7123.1666749770275"/>
    <s v="Accountancy"/>
    <x v="5"/>
    <s v="India"/>
    <x v="0"/>
    <x v="2"/>
    <n v="8"/>
    <s v=""/>
    <s v=""/>
    <n v="1"/>
    <s v=""/>
    <s v=""/>
    <s v=""/>
    <x v="3"/>
    <x v="58"/>
    <x v="1"/>
    <x v="0"/>
    <x v="0"/>
    <x v="0"/>
    <x v="0"/>
    <x v="0"/>
    <x v="0"/>
    <x v="0"/>
    <x v="0"/>
  </r>
  <r>
    <s v="ID0895"/>
    <d v="2012-05-27T14:22:11"/>
    <s v="INR 23 L"/>
    <n v="2300000"/>
    <s v="INR"/>
    <n v="40958.208381117904"/>
    <s v="Manager - Business Planning &amp; Reporting"/>
    <x v="3"/>
    <s v="India"/>
    <x v="0"/>
    <x v="2"/>
    <n v="8"/>
    <s v=""/>
    <s v=""/>
    <n v="1"/>
    <s v=""/>
    <s v=""/>
    <s v=""/>
    <x v="3"/>
    <x v="0"/>
    <x v="1"/>
    <x v="0"/>
    <x v="0"/>
    <x v="0"/>
    <x v="0"/>
    <x v="175"/>
    <x v="0"/>
    <x v="0"/>
    <x v="0"/>
  </r>
  <r>
    <s v="ID0896"/>
    <d v="2012-05-27T14:27:33"/>
    <s v="rs 100000"/>
    <n v="1200000"/>
    <s v="INR"/>
    <n v="21369.500024931083"/>
    <s v="ASST VICE PREDISDENT"/>
    <x v="4"/>
    <s v="India"/>
    <x v="0"/>
    <x v="0"/>
    <n v="17"/>
    <s v=""/>
    <s v=""/>
    <s v=""/>
    <s v=""/>
    <n v="1"/>
    <s v=""/>
    <x v="2"/>
    <x v="0"/>
    <x v="1"/>
    <x v="0"/>
    <x v="0"/>
    <x v="30"/>
    <x v="0"/>
    <x v="0"/>
    <x v="0"/>
    <x v="0"/>
    <x v="0"/>
  </r>
  <r>
    <s v="ID0897"/>
    <d v="2012-05-27T14:47:21"/>
    <n v="120000"/>
    <n v="120000"/>
    <s v="INR"/>
    <n v="2136.9500024931081"/>
    <s v="co ordinato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176"/>
    <x v="0"/>
    <x v="0"/>
    <x v="0"/>
  </r>
  <r>
    <s v="ID0898"/>
    <d v="2012-05-27T14:49:12"/>
    <s v="5,00,000 INR"/>
    <n v="500000"/>
    <s v="INR"/>
    <n v="8903.9583437212841"/>
    <s v="Planning Engineer"/>
    <x v="2"/>
    <s v="India"/>
    <x v="0"/>
    <x v="2"/>
    <n v="3"/>
    <s v=""/>
    <n v="1"/>
    <s v=""/>
    <s v=""/>
    <s v=""/>
    <s v=""/>
    <x v="1"/>
    <x v="0"/>
    <x v="1"/>
    <x v="0"/>
    <x v="0"/>
    <x v="0"/>
    <x v="25"/>
    <x v="0"/>
    <x v="0"/>
    <x v="0"/>
    <x v="0"/>
  </r>
  <r>
    <s v="ID0899"/>
    <d v="2012-05-27T14:50:56"/>
    <n v="1000000"/>
    <n v="1000000"/>
    <s v="INR"/>
    <n v="17807.916687442568"/>
    <s v="Engagement Lead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6"/>
    <x v="0"/>
    <x v="0"/>
    <x v="0"/>
  </r>
  <r>
    <s v="ID0900"/>
    <d v="2012-05-27T14:55:30"/>
    <s v="INR 850,000"/>
    <n v="850000"/>
    <s v="INR"/>
    <n v="15136.729184326183"/>
    <s v="Assistant Manager"/>
    <x v="3"/>
    <s v="India"/>
    <x v="0"/>
    <x v="2"/>
    <n v="3"/>
    <s v=""/>
    <n v="1"/>
    <s v=""/>
    <s v=""/>
    <s v=""/>
    <s v=""/>
    <x v="1"/>
    <x v="0"/>
    <x v="1"/>
    <x v="0"/>
    <x v="0"/>
    <x v="0"/>
    <x v="0"/>
    <x v="177"/>
    <x v="0"/>
    <x v="0"/>
    <x v="0"/>
  </r>
  <r>
    <s v="ID0901"/>
    <d v="2012-05-27T15:01:02"/>
    <s v="PhP168000"/>
    <n v="168000"/>
    <s v="PHP"/>
    <n v="3982.448779308334"/>
    <s v="Clerk"/>
    <x v="0"/>
    <s v="Philippines"/>
    <x v="32"/>
    <x v="0"/>
    <n v="10"/>
    <s v=""/>
    <s v=""/>
    <n v="1"/>
    <s v=""/>
    <s v=""/>
    <s v=""/>
    <x v="3"/>
    <x v="0"/>
    <x v="194"/>
    <x v="0"/>
    <x v="0"/>
    <x v="0"/>
    <x v="0"/>
    <x v="0"/>
    <x v="0"/>
    <x v="0"/>
    <x v="0"/>
  </r>
  <r>
    <s v="ID0903"/>
    <d v="2012-05-27T15:25:40"/>
    <n v="1300"/>
    <n v="15600"/>
    <s v="USD"/>
    <n v="15600"/>
    <s v="Document controller "/>
    <x v="1"/>
    <s v="Kuwait "/>
    <x v="67"/>
    <x v="0"/>
    <n v="13"/>
    <s v=""/>
    <s v=""/>
    <s v=""/>
    <n v="1"/>
    <s v=""/>
    <s v=""/>
    <x v="5"/>
    <x v="0"/>
    <x v="1"/>
    <x v="0"/>
    <x v="12"/>
    <x v="0"/>
    <x v="0"/>
    <x v="0"/>
    <x v="0"/>
    <x v="0"/>
    <x v="0"/>
  </r>
  <r>
    <s v="ID0904"/>
    <d v="2012-05-27T15:26:34"/>
    <s v="180000 INR"/>
    <n v="180000"/>
    <s v="INR"/>
    <n v="3205.4250037396623"/>
    <s v="Executive"/>
    <x v="0"/>
    <s v="India"/>
    <x v="0"/>
    <x v="2"/>
    <n v="3.5"/>
    <s v=""/>
    <n v="1"/>
    <s v=""/>
    <s v=""/>
    <s v=""/>
    <s v=""/>
    <x v="1"/>
    <x v="0"/>
    <x v="53"/>
    <x v="0"/>
    <x v="0"/>
    <x v="0"/>
    <x v="0"/>
    <x v="0"/>
    <x v="0"/>
    <x v="0"/>
    <x v="0"/>
  </r>
  <r>
    <s v="ID0905"/>
    <d v="2012-05-27T15:32:10"/>
    <n v="10000"/>
    <n v="10000"/>
    <s v="USD"/>
    <n v="10000"/>
    <s v="Planner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130"/>
    <x v="0"/>
    <x v="0"/>
    <x v="0"/>
  </r>
  <r>
    <s v="ID0906"/>
    <d v="2012-05-27T15:44:07"/>
    <n v="75010"/>
    <n v="75010"/>
    <s v="USD"/>
    <n v="75010"/>
    <s v="Senior Business Analyst"/>
    <x v="0"/>
    <s v="USA"/>
    <x v="2"/>
    <x v="2"/>
    <n v="6"/>
    <s v=""/>
    <s v=""/>
    <n v="1"/>
    <s v=""/>
    <s v=""/>
    <s v=""/>
    <x v="3"/>
    <x v="0"/>
    <x v="195"/>
    <x v="0"/>
    <x v="0"/>
    <x v="0"/>
    <x v="0"/>
    <x v="0"/>
    <x v="0"/>
    <x v="0"/>
    <x v="0"/>
  </r>
  <r>
    <s v="ID0907"/>
    <d v="2012-05-27T15:44:52"/>
    <s v="Rs 600000/-"/>
    <n v="600000"/>
    <s v="INR"/>
    <n v="10684.750012465542"/>
    <s v="Manager"/>
    <x v="3"/>
    <s v="India"/>
    <x v="0"/>
    <x v="1"/>
    <n v="9"/>
    <s v=""/>
    <s v=""/>
    <n v="1"/>
    <s v=""/>
    <s v=""/>
    <s v=""/>
    <x v="3"/>
    <x v="0"/>
    <x v="1"/>
    <x v="0"/>
    <x v="0"/>
    <x v="0"/>
    <x v="0"/>
    <x v="9"/>
    <x v="0"/>
    <x v="0"/>
    <x v="0"/>
  </r>
  <r>
    <s v="ID0908"/>
    <d v="2012-05-27T15:48:03"/>
    <n v="16350"/>
    <n v="16350"/>
    <s v="USD"/>
    <n v="16350"/>
    <s v="Estimato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178"/>
    <x v="0"/>
    <x v="0"/>
    <x v="0"/>
  </r>
  <r>
    <s v="ID0909"/>
    <d v="2012-05-27T16:10:04"/>
    <n v="80000"/>
    <n v="80000"/>
    <s v="GBP"/>
    <n v="126094.26176538273"/>
    <s v="Financial Modeller"/>
    <x v="5"/>
    <s v="UK"/>
    <x v="14"/>
    <x v="0"/>
    <n v="10"/>
    <s v=""/>
    <s v=""/>
    <n v="1"/>
    <s v=""/>
    <s v=""/>
    <s v=""/>
    <x v="3"/>
    <x v="59"/>
    <x v="1"/>
    <x v="0"/>
    <x v="0"/>
    <x v="0"/>
    <x v="0"/>
    <x v="0"/>
    <x v="0"/>
    <x v="0"/>
    <x v="0"/>
  </r>
  <r>
    <s v="ID0910"/>
    <d v="2012-05-27T16:10:27"/>
    <n v="60000"/>
    <n v="60000"/>
    <s v="USD"/>
    <n v="60000"/>
    <s v="Cost accountant"/>
    <x v="5"/>
    <s v="Singapore"/>
    <x v="29"/>
    <x v="1"/>
    <n v="10"/>
    <s v=""/>
    <s v=""/>
    <n v="1"/>
    <s v=""/>
    <s v=""/>
    <s v=""/>
    <x v="3"/>
    <x v="13"/>
    <x v="1"/>
    <x v="0"/>
    <x v="0"/>
    <x v="0"/>
    <x v="0"/>
    <x v="0"/>
    <x v="0"/>
    <x v="0"/>
    <x v="0"/>
  </r>
  <r>
    <s v="ID0911"/>
    <d v="2012-05-27T16:24:50"/>
    <n v="1300000"/>
    <n v="1300000"/>
    <s v="INR"/>
    <n v="23150.291693675339"/>
    <s v="banker"/>
    <x v="3"/>
    <s v="India"/>
    <x v="0"/>
    <x v="3"/>
    <n v="3"/>
    <s v=""/>
    <n v="1"/>
    <s v=""/>
    <s v=""/>
    <s v=""/>
    <s v=""/>
    <x v="1"/>
    <x v="0"/>
    <x v="1"/>
    <x v="0"/>
    <x v="0"/>
    <x v="0"/>
    <x v="0"/>
    <x v="44"/>
    <x v="0"/>
    <x v="0"/>
    <x v="0"/>
  </r>
  <r>
    <s v="ID0912"/>
    <d v="2012-05-27T16:30:54"/>
    <n v="775000"/>
    <n v="775000"/>
    <s v="INR"/>
    <n v="13801.135432767991"/>
    <s v="Analyst"/>
    <x v="0"/>
    <s v="India"/>
    <x v="0"/>
    <x v="0"/>
    <n v="2"/>
    <n v="1"/>
    <s v=""/>
    <s v=""/>
    <s v=""/>
    <s v=""/>
    <s v=""/>
    <x v="4"/>
    <x v="0"/>
    <x v="196"/>
    <x v="0"/>
    <x v="0"/>
    <x v="0"/>
    <x v="0"/>
    <x v="0"/>
    <x v="0"/>
    <x v="0"/>
    <x v="0"/>
  </r>
  <r>
    <s v="ID0913"/>
    <d v="2012-05-27T16:50:50"/>
    <s v="1050000 INR"/>
    <n v="1050000"/>
    <s v="INR"/>
    <n v="18698.312521814696"/>
    <s v="Manager Market Reesrach"/>
    <x v="3"/>
    <s v="India"/>
    <x v="0"/>
    <x v="1"/>
    <n v="5"/>
    <s v=""/>
    <n v="1"/>
    <s v=""/>
    <s v=""/>
    <s v=""/>
    <s v=""/>
    <x v="1"/>
    <x v="0"/>
    <x v="1"/>
    <x v="0"/>
    <x v="0"/>
    <x v="0"/>
    <x v="0"/>
    <x v="179"/>
    <x v="0"/>
    <x v="0"/>
    <x v="0"/>
  </r>
  <r>
    <s v="ID0914"/>
    <d v="2012-05-27T17:10:36"/>
    <n v="36000"/>
    <n v="36000"/>
    <s v="USD"/>
    <n v="36000"/>
    <s v="QA Supervisor"/>
    <x v="1"/>
    <s v="Czech Republic"/>
    <x v="68"/>
    <x v="2"/>
    <n v="9"/>
    <s v=""/>
    <s v=""/>
    <n v="1"/>
    <s v=""/>
    <s v=""/>
    <s v=""/>
    <x v="3"/>
    <x v="0"/>
    <x v="1"/>
    <x v="0"/>
    <x v="22"/>
    <x v="0"/>
    <x v="0"/>
    <x v="0"/>
    <x v="0"/>
    <x v="0"/>
    <x v="0"/>
  </r>
  <r>
    <s v="ID0915"/>
    <d v="2012-05-27T17:16:55"/>
    <s v="486000 INR"/>
    <n v="486000"/>
    <s v="INR"/>
    <n v="8654.6475100970874"/>
    <s v="Assistant manager"/>
    <x v="3"/>
    <s v="India"/>
    <x v="0"/>
    <x v="1"/>
    <n v="6"/>
    <s v=""/>
    <s v=""/>
    <n v="1"/>
    <s v=""/>
    <s v=""/>
    <s v=""/>
    <x v="3"/>
    <x v="0"/>
    <x v="1"/>
    <x v="0"/>
    <x v="0"/>
    <x v="0"/>
    <x v="0"/>
    <x v="180"/>
    <x v="0"/>
    <x v="0"/>
    <x v="0"/>
  </r>
  <r>
    <s v="ID0916"/>
    <d v="2012-05-27T17:17:24"/>
    <s v="Â£65000"/>
    <n v="65000"/>
    <s v="GBP"/>
    <n v="102451.58768437347"/>
    <s v="Manager"/>
    <x v="3"/>
    <s v="UK"/>
    <x v="14"/>
    <x v="3"/>
    <n v="15"/>
    <s v=""/>
    <s v=""/>
    <s v=""/>
    <n v="1"/>
    <s v=""/>
    <s v=""/>
    <x v="5"/>
    <x v="0"/>
    <x v="1"/>
    <x v="0"/>
    <x v="0"/>
    <x v="0"/>
    <x v="0"/>
    <x v="157"/>
    <x v="0"/>
    <x v="0"/>
    <x v="0"/>
  </r>
  <r>
    <s v="ID0917"/>
    <d v="2012-05-27T17:24:09"/>
    <n v="36400"/>
    <n v="36400"/>
    <s v="USD"/>
    <n v="36400"/>
    <s v="Analyst"/>
    <x v="0"/>
    <s v="Zimbabwe"/>
    <x v="69"/>
    <x v="0"/>
    <n v="20"/>
    <s v=""/>
    <s v=""/>
    <s v=""/>
    <s v=""/>
    <n v="1"/>
    <s v=""/>
    <x v="2"/>
    <x v="0"/>
    <x v="197"/>
    <x v="0"/>
    <x v="0"/>
    <x v="0"/>
    <x v="0"/>
    <x v="0"/>
    <x v="0"/>
    <x v="0"/>
    <x v="0"/>
  </r>
  <r>
    <s v="ID0918"/>
    <d v="2012-05-27T18:19:31"/>
    <n v="64210.1"/>
    <n v="64210"/>
    <s v="GBP"/>
    <n v="101206.40684944032"/>
    <s v="HR Advisor - Systems &amp; MI"/>
    <x v="8"/>
    <s v="UK"/>
    <x v="14"/>
    <x v="0"/>
    <n v="16"/>
    <s v=""/>
    <s v=""/>
    <s v=""/>
    <s v=""/>
    <s v=""/>
    <s v=""/>
    <x v="0"/>
    <x v="0"/>
    <x v="1"/>
    <x v="40"/>
    <x v="0"/>
    <x v="0"/>
    <x v="0"/>
    <x v="0"/>
    <x v="0"/>
    <x v="0"/>
    <x v="0"/>
  </r>
  <r>
    <s v="ID0919"/>
    <d v="2012-05-27T18:33:51"/>
    <s v="300000RS"/>
    <n v="300000"/>
    <s v="INR"/>
    <n v="5342.3750062327708"/>
    <s v="ANALYST"/>
    <x v="0"/>
    <s v="India"/>
    <x v="0"/>
    <x v="0"/>
    <n v="0.5"/>
    <n v="1"/>
    <s v=""/>
    <s v=""/>
    <s v=""/>
    <s v=""/>
    <s v=""/>
    <x v="4"/>
    <x v="0"/>
    <x v="150"/>
    <x v="0"/>
    <x v="0"/>
    <x v="0"/>
    <x v="0"/>
    <x v="0"/>
    <x v="0"/>
    <x v="0"/>
    <x v="0"/>
  </r>
  <r>
    <s v="ID0920"/>
    <d v="2012-05-27T19:39:26"/>
    <n v="104000"/>
    <n v="104000"/>
    <s v="AED"/>
    <n v="28310.79811950968"/>
    <s v="Financial Analyst"/>
    <x v="0"/>
    <s v="UAE"/>
    <x v="21"/>
    <x v="0"/>
    <n v="11"/>
    <s v=""/>
    <s v=""/>
    <s v=""/>
    <n v="1"/>
    <s v=""/>
    <s v=""/>
    <x v="5"/>
    <x v="0"/>
    <x v="198"/>
    <x v="0"/>
    <x v="0"/>
    <x v="0"/>
    <x v="0"/>
    <x v="0"/>
    <x v="0"/>
    <x v="0"/>
    <x v="0"/>
  </r>
  <r>
    <s v="ID0921"/>
    <d v="2012-05-27T19:41:55"/>
    <n v="20500"/>
    <n v="20500"/>
    <s v="EUR"/>
    <n v="26043.18849932796"/>
    <s v="C&amp;B Manager"/>
    <x v="3"/>
    <s v="Poland"/>
    <x v="15"/>
    <x v="0"/>
    <n v="8"/>
    <s v=""/>
    <s v=""/>
    <n v="1"/>
    <s v=""/>
    <s v=""/>
    <s v=""/>
    <x v="3"/>
    <x v="0"/>
    <x v="1"/>
    <x v="0"/>
    <x v="0"/>
    <x v="0"/>
    <x v="0"/>
    <x v="181"/>
    <x v="0"/>
    <x v="0"/>
    <x v="0"/>
  </r>
  <r>
    <s v="ID0922"/>
    <d v="2012-05-27T20:18:50"/>
    <s v="95000 AUD"/>
    <n v="95000"/>
    <s v="AUD"/>
    <n v="96891.417358250401"/>
    <s v="Senior Marketing Analyst"/>
    <x v="0"/>
    <s v="Australia"/>
    <x v="16"/>
    <x v="3"/>
    <n v="7"/>
    <s v=""/>
    <s v=""/>
    <n v="1"/>
    <s v=""/>
    <s v=""/>
    <s v=""/>
    <x v="3"/>
    <x v="0"/>
    <x v="172"/>
    <x v="0"/>
    <x v="0"/>
    <x v="0"/>
    <x v="0"/>
    <x v="0"/>
    <x v="0"/>
    <x v="0"/>
    <x v="0"/>
  </r>
  <r>
    <s v="ID0923"/>
    <d v="2012-05-27T20:43:13"/>
    <s v="Rs. 144000"/>
    <n v="144000"/>
    <s v="INR"/>
    <n v="2564.3400029917298"/>
    <s v="operation supervisor"/>
    <x v="1"/>
    <s v="India"/>
    <x v="0"/>
    <x v="0"/>
    <n v="4"/>
    <s v=""/>
    <n v="1"/>
    <s v=""/>
    <s v=""/>
    <s v=""/>
    <s v=""/>
    <x v="1"/>
    <x v="0"/>
    <x v="1"/>
    <x v="0"/>
    <x v="23"/>
    <x v="0"/>
    <x v="0"/>
    <x v="0"/>
    <x v="0"/>
    <x v="0"/>
    <x v="0"/>
  </r>
  <r>
    <s v="ID0924"/>
    <d v="2012-05-27T20:51:55"/>
    <n v="180000"/>
    <n v="180000"/>
    <s v="INR"/>
    <n v="3205.4250037396623"/>
    <s v="MIS TEAM MEMBER"/>
    <x v="7"/>
    <s v="India"/>
    <x v="0"/>
    <x v="1"/>
    <n v="8"/>
    <s v=""/>
    <s v=""/>
    <n v="1"/>
    <s v=""/>
    <s v=""/>
    <s v=""/>
    <x v="3"/>
    <x v="0"/>
    <x v="1"/>
    <x v="0"/>
    <x v="0"/>
    <x v="0"/>
    <x v="0"/>
    <x v="0"/>
    <x v="0"/>
    <x v="31"/>
    <x v="0"/>
  </r>
  <r>
    <s v="ID0925"/>
    <d v="2012-05-27T21:04:07"/>
    <n v="600000"/>
    <n v="600000"/>
    <s v="INR"/>
    <n v="10684.750012465542"/>
    <s v="Sales Analyst"/>
    <x v="0"/>
    <s v="India"/>
    <x v="0"/>
    <x v="1"/>
    <n v="8"/>
    <s v=""/>
    <s v=""/>
    <n v="1"/>
    <s v=""/>
    <s v=""/>
    <s v=""/>
    <x v="3"/>
    <x v="0"/>
    <x v="147"/>
    <x v="0"/>
    <x v="0"/>
    <x v="0"/>
    <x v="0"/>
    <x v="0"/>
    <x v="0"/>
    <x v="0"/>
    <x v="0"/>
  </r>
  <r>
    <s v="ID0927"/>
    <d v="2012-05-27T21:21:41"/>
    <n v="150000"/>
    <n v="150000"/>
    <s v="USD"/>
    <n v="150000"/>
    <s v="Controller"/>
    <x v="1"/>
    <s v="USA"/>
    <x v="2"/>
    <x v="0"/>
    <n v="25"/>
    <s v=""/>
    <s v=""/>
    <s v=""/>
    <s v=""/>
    <s v=""/>
    <n v="1"/>
    <x v="6"/>
    <x v="0"/>
    <x v="1"/>
    <x v="0"/>
    <x v="24"/>
    <x v="0"/>
    <x v="0"/>
    <x v="0"/>
    <x v="0"/>
    <x v="0"/>
    <x v="0"/>
  </r>
  <r>
    <s v="ID0928"/>
    <d v="2012-05-27T21:24:42"/>
    <s v="7 Lakhs"/>
    <n v="700000"/>
    <s v="INR"/>
    <n v="12465.541681209797"/>
    <s v="Business Support Executive"/>
    <x v="3"/>
    <s v="India"/>
    <x v="0"/>
    <x v="0"/>
    <n v="3"/>
    <s v=""/>
    <n v="1"/>
    <s v=""/>
    <s v=""/>
    <s v=""/>
    <s v=""/>
    <x v="1"/>
    <x v="0"/>
    <x v="1"/>
    <x v="0"/>
    <x v="0"/>
    <x v="0"/>
    <x v="0"/>
    <x v="182"/>
    <x v="0"/>
    <x v="0"/>
    <x v="0"/>
  </r>
  <r>
    <s v="ID0929"/>
    <d v="2012-05-27T21:44:39"/>
    <s v="15000 â‚¬"/>
    <n v="15000"/>
    <s v="EUR"/>
    <n v="19055.991584874118"/>
    <s v="analytic"/>
    <x v="0"/>
    <s v="Slovenia"/>
    <x v="70"/>
    <x v="0"/>
    <n v="4"/>
    <s v=""/>
    <n v="1"/>
    <s v=""/>
    <s v=""/>
    <s v=""/>
    <s v=""/>
    <x v="1"/>
    <x v="0"/>
    <x v="122"/>
    <x v="0"/>
    <x v="0"/>
    <x v="0"/>
    <x v="0"/>
    <x v="0"/>
    <x v="0"/>
    <x v="0"/>
    <x v="0"/>
  </r>
  <r>
    <s v="ID0930"/>
    <d v="2012-05-27T21:49:55"/>
    <n v="105000"/>
    <n v="105000"/>
    <s v="USD"/>
    <n v="105000"/>
    <s v="business analyst"/>
    <x v="0"/>
    <s v="USA"/>
    <x v="2"/>
    <x v="0"/>
    <n v="20"/>
    <s v=""/>
    <s v=""/>
    <s v=""/>
    <s v=""/>
    <n v="1"/>
    <s v=""/>
    <x v="2"/>
    <x v="0"/>
    <x v="199"/>
    <x v="0"/>
    <x v="0"/>
    <x v="0"/>
    <x v="0"/>
    <x v="0"/>
    <x v="0"/>
    <x v="0"/>
    <x v="0"/>
  </r>
  <r>
    <s v="ID0931"/>
    <d v="2012-05-27T22:05:15"/>
    <n v="24000"/>
    <n v="24000"/>
    <s v="USD"/>
    <n v="24000"/>
    <s v="business analyst"/>
    <x v="0"/>
    <s v="India"/>
    <x v="0"/>
    <x v="0"/>
    <n v="3"/>
    <s v=""/>
    <n v="1"/>
    <s v=""/>
    <s v=""/>
    <s v=""/>
    <s v=""/>
    <x v="1"/>
    <x v="0"/>
    <x v="171"/>
    <x v="0"/>
    <x v="0"/>
    <x v="0"/>
    <x v="0"/>
    <x v="0"/>
    <x v="0"/>
    <x v="0"/>
    <x v="0"/>
  </r>
  <r>
    <s v="ID0932"/>
    <d v="2012-05-27T22:22:01"/>
    <s v="50000 GBP"/>
    <n v="50000"/>
    <s v="GBP"/>
    <n v="78808.913603364199"/>
    <s v="Finance Analyst"/>
    <x v="0"/>
    <s v="UK"/>
    <x v="14"/>
    <x v="1"/>
    <n v="10"/>
    <s v=""/>
    <s v=""/>
    <n v="1"/>
    <s v=""/>
    <s v=""/>
    <s v=""/>
    <x v="3"/>
    <x v="0"/>
    <x v="200"/>
    <x v="0"/>
    <x v="0"/>
    <x v="0"/>
    <x v="0"/>
    <x v="0"/>
    <x v="0"/>
    <x v="0"/>
    <x v="0"/>
  </r>
  <r>
    <s v="ID0933"/>
    <d v="2012-05-27T22:35:22"/>
    <n v="42000"/>
    <n v="42000"/>
    <s v="USD"/>
    <n v="42000"/>
    <s v="Credit Controller"/>
    <x v="1"/>
    <s v="Saudi Arabia"/>
    <x v="22"/>
    <x v="1"/>
    <n v="15"/>
    <s v=""/>
    <s v=""/>
    <s v=""/>
    <n v="1"/>
    <s v=""/>
    <s v=""/>
    <x v="5"/>
    <x v="0"/>
    <x v="1"/>
    <x v="0"/>
    <x v="25"/>
    <x v="0"/>
    <x v="0"/>
    <x v="0"/>
    <x v="0"/>
    <x v="0"/>
    <x v="0"/>
  </r>
  <r>
    <s v="ID0934"/>
    <d v="2012-05-27T22:40:38"/>
    <s v="R$ 19.200,00"/>
    <n v="19200"/>
    <s v="BRL"/>
    <n v="9490.1984044603923"/>
    <s v="Programmer"/>
    <x v="0"/>
    <s v="Brazil"/>
    <x v="20"/>
    <x v="1"/>
    <n v="8"/>
    <s v=""/>
    <s v=""/>
    <n v="1"/>
    <s v=""/>
    <s v=""/>
    <s v=""/>
    <x v="3"/>
    <x v="0"/>
    <x v="201"/>
    <x v="0"/>
    <x v="0"/>
    <x v="0"/>
    <x v="0"/>
    <x v="0"/>
    <x v="0"/>
    <x v="0"/>
    <x v="0"/>
  </r>
  <r>
    <s v="ID0935"/>
    <d v="2012-05-27T22:58:39"/>
    <n v="60000"/>
    <n v="60000"/>
    <s v="USD"/>
    <n v="60000"/>
    <s v="Consultant"/>
    <x v="8"/>
    <s v="Singapore"/>
    <x v="29"/>
    <x v="0"/>
    <n v="5"/>
    <s v=""/>
    <n v="1"/>
    <s v=""/>
    <s v=""/>
    <s v=""/>
    <s v=""/>
    <x v="1"/>
    <x v="0"/>
    <x v="1"/>
    <x v="41"/>
    <x v="0"/>
    <x v="0"/>
    <x v="0"/>
    <x v="0"/>
    <x v="0"/>
    <x v="0"/>
    <x v="0"/>
  </r>
  <r>
    <s v="ID0936"/>
    <d v="2012-05-27T23:03:21"/>
    <n v="1000000"/>
    <n v="1000000"/>
    <s v="INR"/>
    <n v="17807.916687442568"/>
    <s v="business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6"/>
    <x v="0"/>
    <x v="0"/>
    <x v="0"/>
  </r>
  <r>
    <s v="ID0937"/>
    <d v="2012-05-27T23:10:01"/>
    <s v="Rs.7,00,000"/>
    <n v="700000"/>
    <s v="INR"/>
    <n v="12465.541681209797"/>
    <s v="Business Analyst"/>
    <x v="0"/>
    <s v="India"/>
    <x v="0"/>
    <x v="1"/>
    <n v="1"/>
    <n v="1"/>
    <s v=""/>
    <s v=""/>
    <s v=""/>
    <s v=""/>
    <s v=""/>
    <x v="4"/>
    <x v="0"/>
    <x v="170"/>
    <x v="0"/>
    <x v="0"/>
    <x v="0"/>
    <x v="0"/>
    <x v="0"/>
    <x v="0"/>
    <x v="0"/>
    <x v="0"/>
  </r>
  <r>
    <s v="ID0938"/>
    <d v="2012-05-27T23:32:30"/>
    <n v="20571"/>
    <n v="20571"/>
    <s v="USD"/>
    <n v="20571"/>
    <s v="CFO"/>
    <x v="4"/>
    <s v="Albania"/>
    <x v="71"/>
    <x v="0"/>
    <n v="8"/>
    <s v=""/>
    <s v=""/>
    <n v="1"/>
    <s v=""/>
    <s v=""/>
    <s v=""/>
    <x v="3"/>
    <x v="0"/>
    <x v="1"/>
    <x v="0"/>
    <x v="0"/>
    <x v="31"/>
    <x v="0"/>
    <x v="0"/>
    <x v="0"/>
    <x v="0"/>
    <x v="0"/>
  </r>
  <r>
    <s v="ID0939"/>
    <d v="2012-05-27T23:43:21"/>
    <n v="290"/>
    <n v="3480"/>
    <s v="USD"/>
    <n v="3480"/>
    <s v="Reconciliation Manager in Textile Mill"/>
    <x v="3"/>
    <s v="Pakistan"/>
    <x v="3"/>
    <x v="1"/>
    <n v="6"/>
    <s v=""/>
    <s v=""/>
    <n v="1"/>
    <s v=""/>
    <s v=""/>
    <s v=""/>
    <x v="3"/>
    <x v="0"/>
    <x v="1"/>
    <x v="0"/>
    <x v="0"/>
    <x v="0"/>
    <x v="0"/>
    <x v="183"/>
    <x v="0"/>
    <x v="0"/>
    <x v="0"/>
  </r>
  <r>
    <s v="ID0940"/>
    <d v="2012-05-27T23:46:03"/>
    <n v="18060"/>
    <n v="18060"/>
    <s v="USD"/>
    <n v="18060"/>
    <s v="Reporting Supervisor"/>
    <x v="7"/>
    <s v="Philippines"/>
    <x v="32"/>
    <x v="0"/>
    <n v="12"/>
    <s v=""/>
    <s v=""/>
    <s v=""/>
    <n v="1"/>
    <s v=""/>
    <s v=""/>
    <x v="5"/>
    <x v="0"/>
    <x v="1"/>
    <x v="0"/>
    <x v="0"/>
    <x v="0"/>
    <x v="0"/>
    <x v="0"/>
    <x v="0"/>
    <x v="32"/>
    <x v="0"/>
  </r>
  <r>
    <s v="ID0941"/>
    <d v="2012-05-27T23:47:25"/>
    <s v="30000 $"/>
    <n v="30000"/>
    <s v="USD"/>
    <n v="30000"/>
    <s v="Financial Expert"/>
    <x v="5"/>
    <s v="Iran"/>
    <x v="39"/>
    <x v="2"/>
    <n v="30"/>
    <s v=""/>
    <s v=""/>
    <s v=""/>
    <s v=""/>
    <s v=""/>
    <n v="1"/>
    <x v="6"/>
    <x v="60"/>
    <x v="1"/>
    <x v="0"/>
    <x v="0"/>
    <x v="0"/>
    <x v="0"/>
    <x v="0"/>
    <x v="0"/>
    <x v="0"/>
    <x v="0"/>
  </r>
  <r>
    <s v="ID0943"/>
    <d v="2012-05-27T23:52:48"/>
    <s v="usd 2000 per month"/>
    <n v="24000"/>
    <s v="USD"/>
    <n v="24000"/>
    <s v="sr manager"/>
    <x v="3"/>
    <s v="India"/>
    <x v="0"/>
    <x v="0"/>
    <n v="10"/>
    <s v=""/>
    <s v=""/>
    <n v="1"/>
    <s v=""/>
    <s v=""/>
    <s v=""/>
    <x v="3"/>
    <x v="0"/>
    <x v="1"/>
    <x v="0"/>
    <x v="0"/>
    <x v="0"/>
    <x v="0"/>
    <x v="27"/>
    <x v="0"/>
    <x v="0"/>
    <x v="0"/>
  </r>
  <r>
    <s v="ID0944"/>
    <d v="2012-05-28T00:10:43"/>
    <n v="63200"/>
    <n v="63200"/>
    <s v="EUR"/>
    <n v="80289.244544269619"/>
    <s v="Consultant"/>
    <x v="8"/>
    <s v="France"/>
    <x v="19"/>
    <x v="0"/>
    <n v="3"/>
    <s v=""/>
    <n v="1"/>
    <s v=""/>
    <s v=""/>
    <s v=""/>
    <s v=""/>
    <x v="1"/>
    <x v="0"/>
    <x v="1"/>
    <x v="42"/>
    <x v="0"/>
    <x v="0"/>
    <x v="0"/>
    <x v="0"/>
    <x v="0"/>
    <x v="0"/>
    <x v="0"/>
  </r>
  <r>
    <s v="ID0945"/>
    <d v="2012-05-28T00:17:26"/>
    <n v="70000"/>
    <n v="70000"/>
    <s v="USD"/>
    <n v="70000"/>
    <s v="Client Manager"/>
    <x v="3"/>
    <s v="USA"/>
    <x v="2"/>
    <x v="0"/>
    <n v="4"/>
    <s v=""/>
    <n v="1"/>
    <s v=""/>
    <s v=""/>
    <s v=""/>
    <s v=""/>
    <x v="1"/>
    <x v="0"/>
    <x v="1"/>
    <x v="0"/>
    <x v="0"/>
    <x v="0"/>
    <x v="0"/>
    <x v="48"/>
    <x v="0"/>
    <x v="0"/>
    <x v="0"/>
  </r>
  <r>
    <s v="ID0946"/>
    <d v="2012-05-28T00:28:56"/>
    <s v="Rs 40000"/>
    <n v="480000"/>
    <s v="INR"/>
    <n v="8547.8000099724322"/>
    <s v="Manager"/>
    <x v="3"/>
    <s v="India"/>
    <x v="0"/>
    <x v="2"/>
    <n v="2"/>
    <n v="1"/>
    <s v=""/>
    <s v=""/>
    <s v=""/>
    <s v=""/>
    <s v=""/>
    <x v="4"/>
    <x v="0"/>
    <x v="1"/>
    <x v="0"/>
    <x v="0"/>
    <x v="0"/>
    <x v="0"/>
    <x v="58"/>
    <x v="0"/>
    <x v="0"/>
    <x v="0"/>
  </r>
  <r>
    <s v="ID0948"/>
    <d v="2012-05-28T00:36:20"/>
    <s v="INR 600K"/>
    <n v="600000"/>
    <s v="INR"/>
    <n v="10684.750012465542"/>
    <s v="Asst. Mgr. Finance"/>
    <x v="0"/>
    <s v="India"/>
    <x v="0"/>
    <x v="0"/>
    <n v="11"/>
    <s v=""/>
    <s v=""/>
    <s v=""/>
    <n v="1"/>
    <s v=""/>
    <s v=""/>
    <x v="5"/>
    <x v="0"/>
    <x v="147"/>
    <x v="0"/>
    <x v="0"/>
    <x v="0"/>
    <x v="0"/>
    <x v="0"/>
    <x v="0"/>
    <x v="0"/>
    <x v="0"/>
  </r>
  <r>
    <s v="ID0949"/>
    <d v="2012-05-28T00:43:40"/>
    <s v="600000 INR"/>
    <n v="600000"/>
    <s v="INR"/>
    <n v="10684.750012465542"/>
    <s v="Executive"/>
    <x v="0"/>
    <s v="India"/>
    <x v="0"/>
    <x v="2"/>
    <n v="4"/>
    <s v=""/>
    <n v="1"/>
    <s v=""/>
    <s v=""/>
    <s v=""/>
    <s v=""/>
    <x v="1"/>
    <x v="0"/>
    <x v="147"/>
    <x v="0"/>
    <x v="0"/>
    <x v="0"/>
    <x v="0"/>
    <x v="0"/>
    <x v="0"/>
    <x v="0"/>
    <x v="0"/>
  </r>
  <r>
    <s v="ID0950"/>
    <d v="2012-05-28T00:48:23"/>
    <n v="20000"/>
    <n v="20000"/>
    <s v="USD"/>
    <n v="20000"/>
    <s v="Financial Modeller"/>
    <x v="5"/>
    <s v="Zambia"/>
    <x v="72"/>
    <x v="1"/>
    <n v="2"/>
    <n v="1"/>
    <s v=""/>
    <s v=""/>
    <s v=""/>
    <s v=""/>
    <s v=""/>
    <x v="4"/>
    <x v="61"/>
    <x v="1"/>
    <x v="0"/>
    <x v="0"/>
    <x v="0"/>
    <x v="0"/>
    <x v="0"/>
    <x v="0"/>
    <x v="0"/>
    <x v="0"/>
  </r>
  <r>
    <s v="ID0951"/>
    <d v="2012-05-28T01:17:17"/>
    <s v="42000 â‚¬"/>
    <n v="42000"/>
    <s v="EUR"/>
    <n v="53356.776437647524"/>
    <s v="Consultant"/>
    <x v="8"/>
    <s v="Germany"/>
    <x v="5"/>
    <x v="2"/>
    <n v="3"/>
    <s v=""/>
    <n v="1"/>
    <s v=""/>
    <s v=""/>
    <s v=""/>
    <s v=""/>
    <x v="1"/>
    <x v="0"/>
    <x v="1"/>
    <x v="43"/>
    <x v="0"/>
    <x v="0"/>
    <x v="0"/>
    <x v="0"/>
    <x v="0"/>
    <x v="0"/>
    <x v="0"/>
  </r>
  <r>
    <s v="ID0952"/>
    <d v="2012-05-28T01:29:19"/>
    <n v="3000"/>
    <n v="36000"/>
    <s v="USD"/>
    <n v="36000"/>
    <s v="Accountant"/>
    <x v="5"/>
    <s v="United Arab Emirates"/>
    <x v="21"/>
    <x v="0"/>
    <n v="4.5"/>
    <s v=""/>
    <n v="1"/>
    <s v=""/>
    <s v=""/>
    <s v=""/>
    <s v=""/>
    <x v="1"/>
    <x v="9"/>
    <x v="1"/>
    <x v="0"/>
    <x v="0"/>
    <x v="0"/>
    <x v="0"/>
    <x v="0"/>
    <x v="0"/>
    <x v="0"/>
    <x v="0"/>
  </r>
  <r>
    <s v="ID0953"/>
    <d v="2012-05-28T01:30:29"/>
    <n v="57000"/>
    <n v="57000"/>
    <s v="USD"/>
    <n v="57000"/>
    <s v="Construction Engineer"/>
    <x v="2"/>
    <s v="USA"/>
    <x v="2"/>
    <x v="2"/>
    <n v="4"/>
    <s v=""/>
    <n v="1"/>
    <s v=""/>
    <s v=""/>
    <s v=""/>
    <s v=""/>
    <x v="1"/>
    <x v="0"/>
    <x v="1"/>
    <x v="0"/>
    <x v="0"/>
    <x v="0"/>
    <x v="9"/>
    <x v="0"/>
    <x v="0"/>
    <x v="0"/>
    <x v="0"/>
  </r>
  <r>
    <s v="ID0954"/>
    <d v="2012-05-28T01:47:29"/>
    <n v="135000"/>
    <n v="135000"/>
    <s v="USD"/>
    <n v="135000"/>
    <s v="Marketing Insights Manager"/>
    <x v="3"/>
    <s v="USA"/>
    <x v="2"/>
    <x v="1"/>
    <n v="15"/>
    <s v=""/>
    <s v=""/>
    <s v=""/>
    <n v="1"/>
    <s v=""/>
    <s v=""/>
    <x v="5"/>
    <x v="0"/>
    <x v="1"/>
    <x v="0"/>
    <x v="0"/>
    <x v="0"/>
    <x v="0"/>
    <x v="82"/>
    <x v="0"/>
    <x v="0"/>
    <x v="0"/>
  </r>
  <r>
    <s v="ID0955"/>
    <d v="2012-05-28T02:25:13"/>
    <n v="75000"/>
    <n v="75000"/>
    <s v="EUR"/>
    <n v="95279.957924370581"/>
    <s v="Risk analyst"/>
    <x v="0"/>
    <s v="Netherlands"/>
    <x v="18"/>
    <x v="0"/>
    <n v="4"/>
    <s v=""/>
    <n v="1"/>
    <s v=""/>
    <s v=""/>
    <s v=""/>
    <s v=""/>
    <x v="1"/>
    <x v="0"/>
    <x v="202"/>
    <x v="0"/>
    <x v="0"/>
    <x v="0"/>
    <x v="0"/>
    <x v="0"/>
    <x v="0"/>
    <x v="0"/>
    <x v="0"/>
  </r>
  <r>
    <s v="ID0957"/>
    <d v="2012-05-28T03:34:14"/>
    <n v="45000"/>
    <n v="45000"/>
    <s v="EUR"/>
    <n v="57167.974754622352"/>
    <s v="data analist"/>
    <x v="0"/>
    <s v="netherlands"/>
    <x v="18"/>
    <x v="2"/>
    <n v="10"/>
    <s v=""/>
    <s v=""/>
    <n v="1"/>
    <s v=""/>
    <s v=""/>
    <s v=""/>
    <x v="3"/>
    <x v="0"/>
    <x v="203"/>
    <x v="0"/>
    <x v="0"/>
    <x v="0"/>
    <x v="0"/>
    <x v="0"/>
    <x v="0"/>
    <x v="0"/>
    <x v="0"/>
  </r>
  <r>
    <s v="ID0958"/>
    <d v="2012-05-28T03:44:00"/>
    <s v="2,000,000 Naira"/>
    <n v="2000000"/>
    <s v="NAIRA"/>
    <n v="12326.656394453004"/>
    <s v="Head Business Advisory"/>
    <x v="3"/>
    <s v="Nigeria"/>
    <x v="60"/>
    <x v="0"/>
    <n v="5"/>
    <s v=""/>
    <n v="1"/>
    <s v=""/>
    <s v=""/>
    <s v=""/>
    <s v=""/>
    <x v="1"/>
    <x v="0"/>
    <x v="1"/>
    <x v="0"/>
    <x v="0"/>
    <x v="0"/>
    <x v="0"/>
    <x v="184"/>
    <x v="0"/>
    <x v="0"/>
    <x v="0"/>
  </r>
  <r>
    <s v="ID0959"/>
    <d v="2012-05-28T04:05:14"/>
    <n v="8000"/>
    <n v="8000"/>
    <s v="USD"/>
    <n v="8000"/>
    <s v="IT Analyst"/>
    <x v="0"/>
    <s v="India"/>
    <x v="0"/>
    <x v="3"/>
    <n v="5"/>
    <s v=""/>
    <n v="1"/>
    <s v=""/>
    <s v=""/>
    <s v=""/>
    <s v=""/>
    <x v="1"/>
    <x v="0"/>
    <x v="169"/>
    <x v="0"/>
    <x v="0"/>
    <x v="0"/>
    <x v="0"/>
    <x v="0"/>
    <x v="0"/>
    <x v="0"/>
    <x v="0"/>
  </r>
  <r>
    <s v="ID0960"/>
    <d v="2012-05-28T04:40:41"/>
    <s v="48000 $"/>
    <n v="48000"/>
    <s v="USD"/>
    <n v="48000"/>
    <s v="Merchandise planner"/>
    <x v="3"/>
    <s v="France"/>
    <x v="19"/>
    <x v="0"/>
    <n v="5"/>
    <s v=""/>
    <n v="1"/>
    <s v=""/>
    <s v=""/>
    <s v=""/>
    <s v=""/>
    <x v="1"/>
    <x v="0"/>
    <x v="1"/>
    <x v="0"/>
    <x v="0"/>
    <x v="0"/>
    <x v="0"/>
    <x v="33"/>
    <x v="0"/>
    <x v="0"/>
    <x v="0"/>
  </r>
  <r>
    <s v="ID0961"/>
    <d v="2012-05-28T05:07:44"/>
    <n v="40000"/>
    <n v="40000"/>
    <s v="USD"/>
    <n v="40000"/>
    <s v="analyst"/>
    <x v="0"/>
    <s v="NZ"/>
    <x v="48"/>
    <x v="0"/>
    <n v="5"/>
    <s v=""/>
    <n v="1"/>
    <s v=""/>
    <s v=""/>
    <s v=""/>
    <s v=""/>
    <x v="1"/>
    <x v="0"/>
    <x v="27"/>
    <x v="0"/>
    <x v="0"/>
    <x v="0"/>
    <x v="0"/>
    <x v="0"/>
    <x v="0"/>
    <x v="0"/>
    <x v="0"/>
  </r>
  <r>
    <s v="ID0962"/>
    <d v="2012-05-28T05:09:12"/>
    <s v="NZ$ 75000"/>
    <n v="75000"/>
    <s v="NZD"/>
    <n v="59819.107020370408"/>
    <s v="Information Analyst"/>
    <x v="0"/>
    <s v="New  Zealand"/>
    <x v="48"/>
    <x v="0"/>
    <n v="10"/>
    <s v=""/>
    <s v=""/>
    <n v="1"/>
    <s v=""/>
    <s v=""/>
    <s v=""/>
    <x v="3"/>
    <x v="0"/>
    <x v="204"/>
    <x v="0"/>
    <x v="0"/>
    <x v="0"/>
    <x v="0"/>
    <x v="0"/>
    <x v="0"/>
    <x v="0"/>
    <x v="0"/>
  </r>
  <r>
    <s v="ID0963"/>
    <d v="2012-05-28T05:12:38"/>
    <n v="150000"/>
    <n v="150000"/>
    <s v="USD"/>
    <n v="150000"/>
    <s v="Software Tester"/>
    <x v="0"/>
    <s v="Switzerland"/>
    <x v="10"/>
    <x v="3"/>
    <n v="20"/>
    <s v=""/>
    <s v=""/>
    <s v=""/>
    <s v=""/>
    <n v="1"/>
    <s v=""/>
    <x v="2"/>
    <x v="0"/>
    <x v="205"/>
    <x v="0"/>
    <x v="0"/>
    <x v="0"/>
    <x v="0"/>
    <x v="0"/>
    <x v="0"/>
    <x v="0"/>
    <x v="0"/>
  </r>
  <r>
    <s v="ID0964"/>
    <d v="2012-05-28T05:20:41"/>
    <n v="80000"/>
    <n v="80000"/>
    <s v="AUD"/>
    <n v="81592.772512210868"/>
    <s v="Billing manager"/>
    <x v="3"/>
    <s v="Australia"/>
    <x v="16"/>
    <x v="0"/>
    <n v="25"/>
    <s v=""/>
    <s v=""/>
    <s v=""/>
    <s v=""/>
    <s v=""/>
    <n v="1"/>
    <x v="6"/>
    <x v="0"/>
    <x v="1"/>
    <x v="0"/>
    <x v="0"/>
    <x v="0"/>
    <x v="0"/>
    <x v="185"/>
    <x v="0"/>
    <x v="0"/>
    <x v="0"/>
  </r>
  <r>
    <s v="ID0965"/>
    <d v="2012-05-28T05:48:56"/>
    <n v="95000"/>
    <n v="95000"/>
    <s v="AUD"/>
    <n v="96891.417358250401"/>
    <s v="financial analyst"/>
    <x v="0"/>
    <s v="Australia"/>
    <x v="16"/>
    <x v="2"/>
    <n v="20"/>
    <s v=""/>
    <s v=""/>
    <s v=""/>
    <s v=""/>
    <n v="1"/>
    <s v=""/>
    <x v="2"/>
    <x v="0"/>
    <x v="172"/>
    <x v="0"/>
    <x v="0"/>
    <x v="0"/>
    <x v="0"/>
    <x v="0"/>
    <x v="0"/>
    <x v="0"/>
    <x v="0"/>
  </r>
  <r>
    <s v="ID0966"/>
    <d v="2012-05-28T05:51:10"/>
    <s v="AUD90000"/>
    <n v="90000"/>
    <s v="AUD"/>
    <n v="91791.869076237213"/>
    <s v="Senior Research Analyst"/>
    <x v="0"/>
    <s v="Australia"/>
    <x v="16"/>
    <x v="0"/>
    <n v="13"/>
    <s v=""/>
    <s v=""/>
    <s v=""/>
    <n v="1"/>
    <s v=""/>
    <s v=""/>
    <x v="5"/>
    <x v="0"/>
    <x v="206"/>
    <x v="0"/>
    <x v="0"/>
    <x v="0"/>
    <x v="0"/>
    <x v="0"/>
    <x v="0"/>
    <x v="0"/>
    <x v="0"/>
  </r>
  <r>
    <s v="ID0967"/>
    <d v="2012-05-28T05:51:20"/>
    <n v="15000"/>
    <n v="15000"/>
    <s v="USD"/>
    <n v="15000"/>
    <s v="Quality Executive"/>
    <x v="0"/>
    <s v="India"/>
    <x v="0"/>
    <x v="2"/>
    <n v="2"/>
    <n v="1"/>
    <s v=""/>
    <s v=""/>
    <s v=""/>
    <s v=""/>
    <s v=""/>
    <x v="4"/>
    <x v="0"/>
    <x v="151"/>
    <x v="0"/>
    <x v="0"/>
    <x v="0"/>
    <x v="0"/>
    <x v="0"/>
    <x v="0"/>
    <x v="0"/>
    <x v="0"/>
  </r>
  <r>
    <s v="ID0968"/>
    <d v="2012-05-28T06:25:36"/>
    <s v="AU$65"/>
    <n v="65000"/>
    <s v="AUD"/>
    <n v="66294.12766617132"/>
    <s v="Business Support "/>
    <x v="3"/>
    <s v="Australia"/>
    <x v="16"/>
    <x v="2"/>
    <n v="5"/>
    <s v=""/>
    <n v="1"/>
    <s v=""/>
    <s v=""/>
    <s v=""/>
    <s v=""/>
    <x v="1"/>
    <x v="0"/>
    <x v="1"/>
    <x v="0"/>
    <x v="0"/>
    <x v="0"/>
    <x v="0"/>
    <x v="186"/>
    <x v="0"/>
    <x v="0"/>
    <x v="0"/>
  </r>
  <r>
    <s v="ID0969"/>
    <d v="2012-05-28T06:35:50"/>
    <n v="100000"/>
    <n v="100000"/>
    <s v="AUD"/>
    <n v="101990.96564026357"/>
    <s v="Senior Consultant"/>
    <x v="8"/>
    <s v="Australia"/>
    <x v="16"/>
    <x v="1"/>
    <n v="6"/>
    <s v=""/>
    <s v=""/>
    <n v="1"/>
    <s v=""/>
    <s v=""/>
    <s v=""/>
    <x v="3"/>
    <x v="0"/>
    <x v="1"/>
    <x v="44"/>
    <x v="0"/>
    <x v="0"/>
    <x v="0"/>
    <x v="0"/>
    <x v="0"/>
    <x v="0"/>
    <x v="0"/>
  </r>
  <r>
    <s v="ID0970"/>
    <d v="2012-05-28T06:51:54"/>
    <n v="60000"/>
    <n v="60000"/>
    <s v="USD"/>
    <n v="60000"/>
    <s v="Sales Manager"/>
    <x v="3"/>
    <s v="USA"/>
    <x v="2"/>
    <x v="2"/>
    <n v="3"/>
    <s v=""/>
    <n v="1"/>
    <s v=""/>
    <s v=""/>
    <s v=""/>
    <s v=""/>
    <x v="1"/>
    <x v="0"/>
    <x v="1"/>
    <x v="0"/>
    <x v="0"/>
    <x v="0"/>
    <x v="0"/>
    <x v="76"/>
    <x v="0"/>
    <x v="0"/>
    <x v="0"/>
  </r>
  <r>
    <s v="ID0971"/>
    <d v="2012-05-28T06:52:05"/>
    <n v="43000"/>
    <n v="43000"/>
    <s v="AUD"/>
    <n v="43856.11522531334"/>
    <s v="Finance Officer"/>
    <x v="3"/>
    <s v="Australia"/>
    <x v="16"/>
    <x v="1"/>
    <n v="1"/>
    <n v="1"/>
    <s v=""/>
    <s v=""/>
    <s v=""/>
    <s v=""/>
    <s v=""/>
    <x v="4"/>
    <x v="0"/>
    <x v="1"/>
    <x v="0"/>
    <x v="0"/>
    <x v="0"/>
    <x v="0"/>
    <x v="187"/>
    <x v="0"/>
    <x v="0"/>
    <x v="0"/>
  </r>
  <r>
    <s v="ID0972"/>
    <d v="2012-05-28T06:52:05"/>
    <n v="45616"/>
    <n v="45616"/>
    <s v="USD"/>
    <n v="45616"/>
    <s v="Assistant Fleet Analyst"/>
    <x v="0"/>
    <s v="Australia"/>
    <x v="16"/>
    <x v="0"/>
    <n v="1.5"/>
    <n v="1"/>
    <s v=""/>
    <s v=""/>
    <s v=""/>
    <s v=""/>
    <s v=""/>
    <x v="4"/>
    <x v="0"/>
    <x v="207"/>
    <x v="0"/>
    <x v="0"/>
    <x v="0"/>
    <x v="0"/>
    <x v="0"/>
    <x v="0"/>
    <x v="0"/>
    <x v="0"/>
  </r>
  <r>
    <s v="ID0973"/>
    <d v="2012-05-28T07:00:25"/>
    <n v="95000"/>
    <n v="95000"/>
    <s v="NZD"/>
    <n v="75770.868892469181"/>
    <s v="Cost Accountant"/>
    <x v="5"/>
    <s v="New Zealand"/>
    <x v="48"/>
    <x v="0"/>
    <n v="20"/>
    <s v=""/>
    <s v=""/>
    <s v=""/>
    <s v=""/>
    <n v="1"/>
    <s v=""/>
    <x v="2"/>
    <x v="62"/>
    <x v="1"/>
    <x v="0"/>
    <x v="0"/>
    <x v="0"/>
    <x v="0"/>
    <x v="0"/>
    <x v="0"/>
    <x v="0"/>
    <x v="0"/>
  </r>
  <r>
    <s v="ID0974"/>
    <d v="2012-05-28T07:21:12"/>
    <n v="56600"/>
    <n v="56600"/>
    <s v="AUD"/>
    <n v="57726.886552389187"/>
    <s v="Operations Coordinator"/>
    <x v="3"/>
    <s v="Australia"/>
    <x v="16"/>
    <x v="2"/>
    <n v="2"/>
    <n v="1"/>
    <s v=""/>
    <s v=""/>
    <s v=""/>
    <s v=""/>
    <s v=""/>
    <x v="4"/>
    <x v="0"/>
    <x v="1"/>
    <x v="0"/>
    <x v="0"/>
    <x v="0"/>
    <x v="0"/>
    <x v="188"/>
    <x v="0"/>
    <x v="0"/>
    <x v="0"/>
  </r>
  <r>
    <s v="ID0975"/>
    <d v="2012-05-28T07:23:07"/>
    <n v="20000"/>
    <n v="20000"/>
    <s v="USD"/>
    <n v="20000"/>
    <s v="data analyst"/>
    <x v="0"/>
    <s v="Australia"/>
    <x v="16"/>
    <x v="2"/>
    <n v="2"/>
    <n v="1"/>
    <s v=""/>
    <s v=""/>
    <s v=""/>
    <s v=""/>
    <s v=""/>
    <x v="4"/>
    <x v="0"/>
    <x v="80"/>
    <x v="0"/>
    <x v="0"/>
    <x v="0"/>
    <x v="0"/>
    <x v="0"/>
    <x v="0"/>
    <x v="0"/>
    <x v="0"/>
  </r>
  <r>
    <s v="ID0976"/>
    <d v="2012-05-28T07:28:07"/>
    <s v="AUD$200,000"/>
    <n v="200000"/>
    <s v="AUD"/>
    <n v="203981.93128052715"/>
    <s v="Corporate Finance Manager"/>
    <x v="3"/>
    <s v="Australia"/>
    <x v="16"/>
    <x v="0"/>
    <n v="15"/>
    <s v=""/>
    <s v=""/>
    <s v=""/>
    <n v="1"/>
    <s v=""/>
    <s v=""/>
    <x v="5"/>
    <x v="0"/>
    <x v="1"/>
    <x v="0"/>
    <x v="0"/>
    <x v="0"/>
    <x v="0"/>
    <x v="189"/>
    <x v="0"/>
    <x v="0"/>
    <x v="0"/>
  </r>
  <r>
    <s v="ID0977"/>
    <d v="2012-05-28T07:28:34"/>
    <n v="50000"/>
    <n v="50000"/>
    <s v="AUD"/>
    <n v="50995.482820131787"/>
    <s v="Operations"/>
    <x v="1"/>
    <s v="Australia"/>
    <x v="16"/>
    <x v="3"/>
    <n v="5"/>
    <s v=""/>
    <n v="1"/>
    <s v=""/>
    <s v=""/>
    <s v=""/>
    <s v=""/>
    <x v="1"/>
    <x v="0"/>
    <x v="1"/>
    <x v="0"/>
    <x v="26"/>
    <x v="0"/>
    <x v="0"/>
    <x v="0"/>
    <x v="0"/>
    <x v="0"/>
    <x v="0"/>
  </r>
  <r>
    <s v="ID0978"/>
    <d v="2012-05-28T07:29:43"/>
    <n v="125000"/>
    <n v="125000"/>
    <s v="AUD"/>
    <n v="127488.70705032947"/>
    <s v="Director, Informatics"/>
    <x v="4"/>
    <s v="Australia"/>
    <x v="16"/>
    <x v="0"/>
    <n v="15"/>
    <s v=""/>
    <s v=""/>
    <s v=""/>
    <n v="1"/>
    <s v=""/>
    <s v=""/>
    <x v="5"/>
    <x v="0"/>
    <x v="1"/>
    <x v="0"/>
    <x v="0"/>
    <x v="5"/>
    <x v="0"/>
    <x v="0"/>
    <x v="0"/>
    <x v="0"/>
    <x v="0"/>
  </r>
  <r>
    <s v="ID0979"/>
    <d v="2012-05-28T07:33:29"/>
    <n v="65000"/>
    <n v="65000"/>
    <s v="AUD"/>
    <n v="66294.12766617132"/>
    <s v="Data Analyst"/>
    <x v="0"/>
    <s v="Australia"/>
    <x v="16"/>
    <x v="0"/>
    <n v="4"/>
    <s v=""/>
    <n v="1"/>
    <s v=""/>
    <s v=""/>
    <s v=""/>
    <s v=""/>
    <x v="1"/>
    <x v="0"/>
    <x v="176"/>
    <x v="0"/>
    <x v="0"/>
    <x v="0"/>
    <x v="0"/>
    <x v="0"/>
    <x v="0"/>
    <x v="0"/>
    <x v="0"/>
  </r>
  <r>
    <s v="ID0980"/>
    <d v="2012-05-28T07:39:22"/>
    <n v="62000"/>
    <n v="62000"/>
    <s v="AUD"/>
    <n v="63234.398696963413"/>
    <s v="Business Analyst"/>
    <x v="0"/>
    <s v="Australia"/>
    <x v="16"/>
    <x v="0"/>
    <n v="3"/>
    <s v=""/>
    <n v="1"/>
    <s v=""/>
    <s v=""/>
    <s v=""/>
    <s v=""/>
    <x v="1"/>
    <x v="0"/>
    <x v="208"/>
    <x v="0"/>
    <x v="0"/>
    <x v="0"/>
    <x v="0"/>
    <x v="0"/>
    <x v="0"/>
    <x v="0"/>
    <x v="0"/>
  </r>
  <r>
    <s v="ID0981"/>
    <d v="2012-05-28T07:46:28"/>
    <n v="260000"/>
    <n v="260000"/>
    <s v="USD"/>
    <n v="260000"/>
    <s v="CFO"/>
    <x v="4"/>
    <s v="USA"/>
    <x v="2"/>
    <x v="2"/>
    <n v="10"/>
    <s v=""/>
    <s v=""/>
    <n v="1"/>
    <s v=""/>
    <s v=""/>
    <s v=""/>
    <x v="3"/>
    <x v="0"/>
    <x v="1"/>
    <x v="0"/>
    <x v="0"/>
    <x v="32"/>
    <x v="0"/>
    <x v="0"/>
    <x v="0"/>
    <x v="0"/>
    <x v="0"/>
  </r>
  <r>
    <s v="ID0983"/>
    <d v="2012-05-28T07:59:49"/>
    <n v="110000"/>
    <n v="110000"/>
    <s v="AUD"/>
    <n v="112190.06220428993"/>
    <s v="Sustainability Strategy Advisor"/>
    <x v="3"/>
    <s v="Australia"/>
    <x v="16"/>
    <x v="2"/>
    <n v="8"/>
    <s v=""/>
    <s v=""/>
    <n v="1"/>
    <s v=""/>
    <s v=""/>
    <s v=""/>
    <x v="3"/>
    <x v="0"/>
    <x v="1"/>
    <x v="0"/>
    <x v="0"/>
    <x v="0"/>
    <x v="0"/>
    <x v="190"/>
    <x v="0"/>
    <x v="0"/>
    <x v="0"/>
  </r>
  <r>
    <s v="ID0984"/>
    <d v="2012-05-28T08:03:10"/>
    <s v="AUD$70,000"/>
    <n v="70000"/>
    <s v="AUD"/>
    <n v="71393.675948184507"/>
    <s v="Business Development"/>
    <x v="3"/>
    <s v="Australia"/>
    <x v="16"/>
    <x v="0"/>
    <n v="7"/>
    <s v=""/>
    <s v=""/>
    <n v="1"/>
    <s v=""/>
    <s v=""/>
    <s v=""/>
    <x v="3"/>
    <x v="0"/>
    <x v="1"/>
    <x v="0"/>
    <x v="0"/>
    <x v="0"/>
    <x v="0"/>
    <x v="191"/>
    <x v="0"/>
    <x v="0"/>
    <x v="0"/>
  </r>
  <r>
    <s v="ID0985"/>
    <d v="2012-05-28T08:22:44"/>
    <s v="USD 85000.00"/>
    <n v="85000"/>
    <s v="USD"/>
    <n v="85000"/>
    <s v="Reporting and DB Analyist"/>
    <x v="7"/>
    <s v="Australia"/>
    <x v="16"/>
    <x v="0"/>
    <n v="8"/>
    <s v=""/>
    <s v=""/>
    <n v="1"/>
    <s v=""/>
    <s v=""/>
    <s v=""/>
    <x v="3"/>
    <x v="0"/>
    <x v="1"/>
    <x v="0"/>
    <x v="0"/>
    <x v="0"/>
    <x v="0"/>
    <x v="0"/>
    <x v="0"/>
    <x v="33"/>
    <x v="0"/>
  </r>
  <r>
    <s v="ID0986"/>
    <d v="2012-05-28T08:26:43"/>
    <n v="94000"/>
    <n v="94000"/>
    <s v="AUD"/>
    <n v="95871.50770184776"/>
    <s v="Business Analyst"/>
    <x v="0"/>
    <s v="Australia"/>
    <x v="16"/>
    <x v="2"/>
    <n v="2.5"/>
    <s v=""/>
    <n v="1"/>
    <s v=""/>
    <s v=""/>
    <s v=""/>
    <s v=""/>
    <x v="1"/>
    <x v="0"/>
    <x v="209"/>
    <x v="0"/>
    <x v="0"/>
    <x v="0"/>
    <x v="0"/>
    <x v="0"/>
    <x v="0"/>
    <x v="0"/>
    <x v="0"/>
  </r>
  <r>
    <s v="ID0987"/>
    <d v="2012-05-28T08:35:32"/>
    <s v="A$107000"/>
    <n v="107000"/>
    <s v="AUD"/>
    <n v="109130.33323508203"/>
    <s v="Management Accountant"/>
    <x v="3"/>
    <s v="Australia"/>
    <x v="16"/>
    <x v="0"/>
    <n v="35"/>
    <s v=""/>
    <s v=""/>
    <s v=""/>
    <s v=""/>
    <s v=""/>
    <n v="1"/>
    <x v="6"/>
    <x v="0"/>
    <x v="1"/>
    <x v="0"/>
    <x v="0"/>
    <x v="0"/>
    <x v="0"/>
    <x v="192"/>
    <x v="0"/>
    <x v="0"/>
    <x v="0"/>
  </r>
  <r>
    <s v="ID0988"/>
    <d v="2012-05-28T08:39:53"/>
    <n v="3000"/>
    <n v="36000"/>
    <s v="USD"/>
    <n v="36000"/>
    <s v="Project manager"/>
    <x v="3"/>
    <s v="malaysia"/>
    <x v="73"/>
    <x v="3"/>
    <n v="3"/>
    <s v=""/>
    <n v="1"/>
    <s v=""/>
    <s v=""/>
    <s v=""/>
    <s v=""/>
    <x v="1"/>
    <x v="0"/>
    <x v="1"/>
    <x v="0"/>
    <x v="0"/>
    <x v="0"/>
    <x v="0"/>
    <x v="26"/>
    <x v="0"/>
    <x v="0"/>
    <x v="0"/>
  </r>
  <r>
    <s v="ID0989"/>
    <d v="2012-05-28T08:41:13"/>
    <n v="120000"/>
    <n v="120000"/>
    <s v="AUD"/>
    <n v="122389.15876831629"/>
    <s v="analyst"/>
    <x v="0"/>
    <s v="Australia"/>
    <x v="16"/>
    <x v="0"/>
    <n v="2"/>
    <n v="1"/>
    <s v=""/>
    <s v=""/>
    <s v=""/>
    <s v=""/>
    <s v=""/>
    <x v="4"/>
    <x v="0"/>
    <x v="210"/>
    <x v="0"/>
    <x v="0"/>
    <x v="0"/>
    <x v="0"/>
    <x v="0"/>
    <x v="0"/>
    <x v="0"/>
    <x v="0"/>
  </r>
  <r>
    <s v="ID0990"/>
    <d v="2012-05-28T08:47:39"/>
    <s v="AU$52.000"/>
    <n v="52000"/>
    <s v="AUD"/>
    <n v="53035.30213293706"/>
    <s v="Shipping Administrator"/>
    <x v="0"/>
    <s v="Australia"/>
    <x v="16"/>
    <x v="0"/>
    <n v="4"/>
    <s v=""/>
    <n v="1"/>
    <s v=""/>
    <s v=""/>
    <s v=""/>
    <s v=""/>
    <x v="1"/>
    <x v="0"/>
    <x v="211"/>
    <x v="0"/>
    <x v="0"/>
    <x v="0"/>
    <x v="0"/>
    <x v="0"/>
    <x v="0"/>
    <x v="0"/>
    <x v="0"/>
  </r>
  <r>
    <s v="ID0991"/>
    <d v="2012-05-28T08:48:56"/>
    <n v="125000"/>
    <n v="125000"/>
    <s v="USD"/>
    <n v="125000"/>
    <s v="VP, Operational Analytics"/>
    <x v="4"/>
    <s v="USA"/>
    <x v="2"/>
    <x v="0"/>
    <n v="10"/>
    <s v=""/>
    <s v=""/>
    <n v="1"/>
    <s v=""/>
    <s v=""/>
    <s v=""/>
    <x v="3"/>
    <x v="0"/>
    <x v="1"/>
    <x v="0"/>
    <x v="0"/>
    <x v="5"/>
    <x v="0"/>
    <x v="0"/>
    <x v="0"/>
    <x v="0"/>
    <x v="0"/>
  </r>
  <r>
    <s v="ID0992"/>
    <d v="2012-05-28T09:03:56"/>
    <n v="19000"/>
    <n v="19000"/>
    <s v="USD"/>
    <n v="19000"/>
    <s v="Finance analyst"/>
    <x v="0"/>
    <s v="China"/>
    <x v="53"/>
    <x v="0"/>
    <n v="6"/>
    <s v=""/>
    <s v=""/>
    <n v="1"/>
    <s v=""/>
    <s v=""/>
    <s v=""/>
    <x v="3"/>
    <x v="0"/>
    <x v="212"/>
    <x v="0"/>
    <x v="0"/>
    <x v="0"/>
    <x v="0"/>
    <x v="0"/>
    <x v="0"/>
    <x v="0"/>
    <x v="0"/>
  </r>
  <r>
    <s v="ID0993"/>
    <d v="2012-05-28T09:12:27"/>
    <n v="92000"/>
    <n v="92000"/>
    <s v="AUD"/>
    <n v="93831.688389042494"/>
    <s v="Finance analyst"/>
    <x v="0"/>
    <s v="Australia"/>
    <x v="16"/>
    <x v="1"/>
    <n v="6"/>
    <s v=""/>
    <s v=""/>
    <n v="1"/>
    <s v=""/>
    <s v=""/>
    <s v=""/>
    <x v="3"/>
    <x v="0"/>
    <x v="213"/>
    <x v="0"/>
    <x v="0"/>
    <x v="0"/>
    <x v="0"/>
    <x v="0"/>
    <x v="0"/>
    <x v="0"/>
    <x v="0"/>
  </r>
  <r>
    <s v="ID0994"/>
    <d v="2012-05-28T09:21:56"/>
    <n v="100000"/>
    <n v="100000"/>
    <s v="AUD"/>
    <n v="101990.96564026357"/>
    <s v="Reporting Analyst"/>
    <x v="0"/>
    <s v="Australia"/>
    <x v="16"/>
    <x v="0"/>
    <n v="20"/>
    <s v=""/>
    <s v=""/>
    <s v=""/>
    <s v=""/>
    <n v="1"/>
    <s v=""/>
    <x v="2"/>
    <x v="0"/>
    <x v="143"/>
    <x v="0"/>
    <x v="0"/>
    <x v="0"/>
    <x v="0"/>
    <x v="0"/>
    <x v="0"/>
    <x v="0"/>
    <x v="0"/>
  </r>
  <r>
    <s v="ID0995"/>
    <d v="2012-05-28T09:26:10"/>
    <n v="120000"/>
    <n v="120000"/>
    <s v="AUD"/>
    <n v="122389.15876831629"/>
    <s v="HSLP Data Analyst"/>
    <x v="0"/>
    <s v="Australia"/>
    <x v="16"/>
    <x v="0"/>
    <n v="5"/>
    <s v=""/>
    <n v="1"/>
    <s v=""/>
    <s v=""/>
    <s v=""/>
    <s v=""/>
    <x v="1"/>
    <x v="0"/>
    <x v="210"/>
    <x v="0"/>
    <x v="0"/>
    <x v="0"/>
    <x v="0"/>
    <x v="0"/>
    <x v="0"/>
    <x v="0"/>
    <x v="0"/>
  </r>
  <r>
    <s v="ID0996"/>
    <d v="2012-05-28T09:38:29"/>
    <n v="35000"/>
    <n v="35000"/>
    <s v="CAD"/>
    <n v="34417.653306061438"/>
    <s v="Reporting Analyst"/>
    <x v="0"/>
    <s v="Canada"/>
    <x v="17"/>
    <x v="1"/>
    <n v="4"/>
    <s v=""/>
    <n v="1"/>
    <s v=""/>
    <s v=""/>
    <s v=""/>
    <s v=""/>
    <x v="1"/>
    <x v="0"/>
    <x v="214"/>
    <x v="0"/>
    <x v="0"/>
    <x v="0"/>
    <x v="0"/>
    <x v="0"/>
    <x v="0"/>
    <x v="0"/>
    <x v="0"/>
  </r>
  <r>
    <s v="ID0997"/>
    <d v="2012-05-28T09:40:10"/>
    <s v="US$12,000/year"/>
    <n v="12000"/>
    <s v="USD"/>
    <n v="12000"/>
    <s v="Manager"/>
    <x v="3"/>
    <s v="Asia"/>
    <x v="74"/>
    <x v="1"/>
    <n v="3"/>
    <s v=""/>
    <n v="1"/>
    <s v=""/>
    <s v=""/>
    <s v=""/>
    <s v=""/>
    <x v="1"/>
    <x v="0"/>
    <x v="1"/>
    <x v="0"/>
    <x v="0"/>
    <x v="0"/>
    <x v="0"/>
    <x v="166"/>
    <x v="0"/>
    <x v="0"/>
    <x v="0"/>
  </r>
  <r>
    <s v="ID0998"/>
    <d v="2012-05-28T09:41:04"/>
    <n v="204000"/>
    <n v="204000"/>
    <s v="INR"/>
    <n v="3632.815004238284"/>
    <s v="Retired Government Officer, having knowledge in excel."/>
    <x v="3"/>
    <s v="India"/>
    <x v="0"/>
    <x v="0"/>
    <n v="0"/>
    <n v="1"/>
    <s v=""/>
    <s v=""/>
    <s v=""/>
    <s v=""/>
    <s v=""/>
    <x v="4"/>
    <x v="0"/>
    <x v="1"/>
    <x v="0"/>
    <x v="0"/>
    <x v="0"/>
    <x v="0"/>
    <x v="193"/>
    <x v="0"/>
    <x v="0"/>
    <x v="0"/>
  </r>
  <r>
    <s v="ID0999"/>
    <d v="2012-05-28T09:43:33"/>
    <s v="1200000 INR"/>
    <n v="1200000"/>
    <s v="INR"/>
    <n v="21369.500024931083"/>
    <s v="Senior Consultant"/>
    <x v="8"/>
    <s v="India"/>
    <x v="0"/>
    <x v="1"/>
    <n v="6"/>
    <s v=""/>
    <s v=""/>
    <n v="1"/>
    <s v=""/>
    <s v=""/>
    <s v=""/>
    <x v="3"/>
    <x v="0"/>
    <x v="1"/>
    <x v="45"/>
    <x v="0"/>
    <x v="0"/>
    <x v="0"/>
    <x v="0"/>
    <x v="0"/>
    <x v="0"/>
    <x v="0"/>
  </r>
  <r>
    <s v="ID1000"/>
    <d v="2012-05-28T09:51:24"/>
    <s v="Rs. 500000"/>
    <n v="500000"/>
    <s v="INR"/>
    <n v="8903.9583437212841"/>
    <s v="Business Analyst"/>
    <x v="0"/>
    <s v="India"/>
    <x v="0"/>
    <x v="0"/>
    <n v="7"/>
    <s v=""/>
    <s v=""/>
    <n v="1"/>
    <s v=""/>
    <s v=""/>
    <s v=""/>
    <x v="3"/>
    <x v="0"/>
    <x v="51"/>
    <x v="0"/>
    <x v="0"/>
    <x v="0"/>
    <x v="0"/>
    <x v="0"/>
    <x v="0"/>
    <x v="0"/>
    <x v="0"/>
  </r>
  <r>
    <s v="ID1001"/>
    <d v="2012-05-28T10:15:27"/>
    <s v="RM48,000"/>
    <n v="48000"/>
    <s v="MYR"/>
    <n v="15206.427249917633"/>
    <s v="Credit Risk Manager"/>
    <x v="3"/>
    <s v="Malaysia"/>
    <x v="73"/>
    <x v="0"/>
    <n v="2"/>
    <n v="1"/>
    <s v=""/>
    <s v=""/>
    <s v=""/>
    <s v=""/>
    <s v=""/>
    <x v="4"/>
    <x v="0"/>
    <x v="1"/>
    <x v="0"/>
    <x v="0"/>
    <x v="0"/>
    <x v="0"/>
    <x v="194"/>
    <x v="0"/>
    <x v="0"/>
    <x v="0"/>
  </r>
  <r>
    <s v="ID1002"/>
    <d v="2012-05-28T10:21:58"/>
    <s v="NZD 180000"/>
    <n v="180000"/>
    <s v="NZD"/>
    <n v="143565.85684888897"/>
    <s v="Commercial Manager"/>
    <x v="3"/>
    <s v="New Zealand"/>
    <x v="48"/>
    <x v="0"/>
    <n v="25"/>
    <s v=""/>
    <s v=""/>
    <s v=""/>
    <s v=""/>
    <s v=""/>
    <n v="1"/>
    <x v="6"/>
    <x v="0"/>
    <x v="1"/>
    <x v="0"/>
    <x v="0"/>
    <x v="0"/>
    <x v="0"/>
    <x v="195"/>
    <x v="0"/>
    <x v="0"/>
    <x v="0"/>
  </r>
  <r>
    <s v="ID1003"/>
    <d v="2012-05-28T10:25:51"/>
    <s v="Rs.5,45,000"/>
    <n v="545000"/>
    <s v="INR"/>
    <n v="9705.3145946561999"/>
    <s v="Assistant Manager"/>
    <x v="3"/>
    <s v="India"/>
    <x v="0"/>
    <x v="2"/>
    <n v="6"/>
    <s v=""/>
    <s v=""/>
    <n v="1"/>
    <s v=""/>
    <s v=""/>
    <s v=""/>
    <x v="3"/>
    <x v="0"/>
    <x v="1"/>
    <x v="0"/>
    <x v="0"/>
    <x v="0"/>
    <x v="0"/>
    <x v="196"/>
    <x v="0"/>
    <x v="0"/>
    <x v="0"/>
  </r>
  <r>
    <s v="ID1004"/>
    <d v="2012-05-28T10:27:45"/>
    <s v="Rs.10,00,000"/>
    <n v="1000000"/>
    <s v="INR"/>
    <n v="17807.916687442568"/>
    <s v="Credit Manager - Loans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005"/>
    <d v="2012-05-28T10:27:48"/>
    <n v="180000"/>
    <n v="180000"/>
    <s v="INR"/>
    <n v="3205.4250037396623"/>
    <s v="Audit executive"/>
    <x v="0"/>
    <s v="INDIA"/>
    <x v="0"/>
    <x v="0"/>
    <n v="10"/>
    <s v=""/>
    <s v=""/>
    <n v="1"/>
    <s v=""/>
    <s v=""/>
    <s v=""/>
    <x v="3"/>
    <x v="0"/>
    <x v="53"/>
    <x v="0"/>
    <x v="0"/>
    <x v="0"/>
    <x v="0"/>
    <x v="0"/>
    <x v="0"/>
    <x v="0"/>
    <x v="0"/>
  </r>
  <r>
    <s v="ID1006"/>
    <d v="2012-05-28T10:29:41"/>
    <s v="$45,000  USD"/>
    <n v="45000"/>
    <s v="USD"/>
    <n v="45000"/>
    <s v="Staff accountant -- Auditing"/>
    <x v="5"/>
    <s v="USA"/>
    <x v="2"/>
    <x v="1"/>
    <n v="3"/>
    <s v=""/>
    <n v="1"/>
    <s v=""/>
    <s v=""/>
    <s v=""/>
    <s v=""/>
    <x v="1"/>
    <x v="14"/>
    <x v="1"/>
    <x v="0"/>
    <x v="0"/>
    <x v="0"/>
    <x v="0"/>
    <x v="0"/>
    <x v="0"/>
    <x v="0"/>
    <x v="0"/>
  </r>
  <r>
    <s v="ID1007"/>
    <d v="2012-05-28T10:38:53"/>
    <n v="700000"/>
    <n v="700000"/>
    <s v="INR"/>
    <n v="12465.541681209797"/>
    <s v="Asst Manager - Quality"/>
    <x v="3"/>
    <s v="India"/>
    <x v="0"/>
    <x v="2"/>
    <n v="7"/>
    <s v=""/>
    <s v=""/>
    <n v="1"/>
    <s v=""/>
    <s v=""/>
    <s v=""/>
    <x v="3"/>
    <x v="0"/>
    <x v="1"/>
    <x v="0"/>
    <x v="0"/>
    <x v="0"/>
    <x v="0"/>
    <x v="182"/>
    <x v="0"/>
    <x v="0"/>
    <x v="0"/>
  </r>
  <r>
    <s v="ID1008"/>
    <d v="2012-05-28T10:41:38"/>
    <n v="94000"/>
    <n v="94000"/>
    <s v="AUD"/>
    <n v="95871.50770184776"/>
    <s v="Principal Analyst"/>
    <x v="0"/>
    <s v="Australia"/>
    <x v="16"/>
    <x v="2"/>
    <n v="14"/>
    <s v=""/>
    <s v=""/>
    <s v=""/>
    <n v="1"/>
    <s v=""/>
    <s v=""/>
    <x v="5"/>
    <x v="0"/>
    <x v="209"/>
    <x v="0"/>
    <x v="0"/>
    <x v="0"/>
    <x v="0"/>
    <x v="0"/>
    <x v="0"/>
    <x v="0"/>
    <x v="0"/>
  </r>
  <r>
    <s v="ID1009"/>
    <d v="2012-05-28T10:42:08"/>
    <n v="170000"/>
    <n v="170000"/>
    <s v="AUD"/>
    <n v="173384.64158844808"/>
    <s v="Business Consultant"/>
    <x v="8"/>
    <s v="Australia"/>
    <x v="16"/>
    <x v="2"/>
    <n v="8"/>
    <s v=""/>
    <s v=""/>
    <n v="1"/>
    <s v=""/>
    <s v=""/>
    <s v=""/>
    <x v="3"/>
    <x v="0"/>
    <x v="1"/>
    <x v="46"/>
    <x v="0"/>
    <x v="0"/>
    <x v="0"/>
    <x v="0"/>
    <x v="0"/>
    <x v="0"/>
    <x v="0"/>
  </r>
  <r>
    <s v="ID1010"/>
    <d v="2012-05-28T11:11:53"/>
    <n v="650000"/>
    <n v="650000"/>
    <s v="INR"/>
    <n v="11575.14584683767"/>
    <s v="Ass Research  Manager"/>
    <x v="3"/>
    <s v="India"/>
    <x v="0"/>
    <x v="2"/>
    <n v="1"/>
    <n v="1"/>
    <s v=""/>
    <s v=""/>
    <s v=""/>
    <s v=""/>
    <s v=""/>
    <x v="4"/>
    <x v="0"/>
    <x v="1"/>
    <x v="0"/>
    <x v="0"/>
    <x v="0"/>
    <x v="0"/>
    <x v="163"/>
    <x v="0"/>
    <x v="0"/>
    <x v="0"/>
  </r>
  <r>
    <s v="ID1011"/>
    <d v="2012-05-28T11:31:20"/>
    <n v="18000"/>
    <n v="18000"/>
    <s v="USD"/>
    <n v="18000"/>
    <s v="Data Specialist"/>
    <x v="6"/>
    <s v="India"/>
    <x v="0"/>
    <x v="1"/>
    <n v="8"/>
    <s v=""/>
    <s v=""/>
    <n v="1"/>
    <s v=""/>
    <s v=""/>
    <s v=""/>
    <x v="3"/>
    <x v="0"/>
    <x v="1"/>
    <x v="0"/>
    <x v="0"/>
    <x v="0"/>
    <x v="0"/>
    <x v="0"/>
    <x v="0"/>
    <x v="0"/>
    <x v="30"/>
  </r>
  <r>
    <s v="ID1012"/>
    <d v="2012-05-28T11:33:05"/>
    <s v="AUD$70,000"/>
    <n v="70000"/>
    <s v="AUD"/>
    <n v="71393.675948184507"/>
    <s v="Director"/>
    <x v="4"/>
    <s v="Australia"/>
    <x v="16"/>
    <x v="1"/>
    <n v="2"/>
    <n v="1"/>
    <s v=""/>
    <s v=""/>
    <s v=""/>
    <s v=""/>
    <s v=""/>
    <x v="4"/>
    <x v="0"/>
    <x v="1"/>
    <x v="0"/>
    <x v="0"/>
    <x v="33"/>
    <x v="0"/>
    <x v="0"/>
    <x v="0"/>
    <x v="0"/>
    <x v="0"/>
  </r>
  <r>
    <s v="ID1013"/>
    <d v="2012-05-28T11:33:07"/>
    <s v="350000 Rs"/>
    <n v="350000"/>
    <s v="INR"/>
    <n v="6232.7708406048987"/>
    <s v="Data Analyst"/>
    <x v="0"/>
    <s v="India"/>
    <x v="0"/>
    <x v="0"/>
    <n v="2.5"/>
    <s v=""/>
    <n v="1"/>
    <s v=""/>
    <s v=""/>
    <s v=""/>
    <s v=""/>
    <x v="1"/>
    <x v="0"/>
    <x v="215"/>
    <x v="0"/>
    <x v="0"/>
    <x v="0"/>
    <x v="0"/>
    <x v="0"/>
    <x v="0"/>
    <x v="0"/>
    <x v="0"/>
  </r>
  <r>
    <s v="ID1014"/>
    <d v="2012-05-28T11:37:17"/>
    <s v="LKR 240000"/>
    <n v="240000"/>
    <s v="LKR"/>
    <n v="1805.7739622442759"/>
    <s v="Management Trainee"/>
    <x v="3"/>
    <s v="Sri Lanka"/>
    <x v="54"/>
    <x v="0"/>
    <n v="3"/>
    <s v=""/>
    <n v="1"/>
    <s v=""/>
    <s v=""/>
    <s v=""/>
    <s v=""/>
    <x v="1"/>
    <x v="0"/>
    <x v="1"/>
    <x v="0"/>
    <x v="0"/>
    <x v="0"/>
    <x v="0"/>
    <x v="197"/>
    <x v="0"/>
    <x v="0"/>
    <x v="0"/>
  </r>
  <r>
    <s v="ID1015"/>
    <d v="2012-05-28T11:39:01"/>
    <s v="Rs.6.4 lakhs"/>
    <n v="640000"/>
    <s v="INR"/>
    <n v="11397.066679963244"/>
    <s v="Sr.Analyst - Process Excellence"/>
    <x v="0"/>
    <s v="India"/>
    <x v="0"/>
    <x v="1"/>
    <n v="6"/>
    <s v=""/>
    <s v=""/>
    <n v="1"/>
    <s v=""/>
    <s v=""/>
    <s v=""/>
    <x v="3"/>
    <x v="0"/>
    <x v="216"/>
    <x v="0"/>
    <x v="0"/>
    <x v="0"/>
    <x v="0"/>
    <x v="0"/>
    <x v="0"/>
    <x v="0"/>
    <x v="0"/>
  </r>
  <r>
    <s v="ID1016"/>
    <d v="2012-05-28T11:41:11"/>
    <n v="15000"/>
    <n v="15000"/>
    <s v="USD"/>
    <n v="15000"/>
    <s v="Operations Management"/>
    <x v="3"/>
    <s v="India"/>
    <x v="0"/>
    <x v="0"/>
    <n v="4"/>
    <s v=""/>
    <n v="1"/>
    <s v=""/>
    <s v=""/>
    <s v=""/>
    <s v=""/>
    <x v="1"/>
    <x v="0"/>
    <x v="1"/>
    <x v="0"/>
    <x v="0"/>
    <x v="0"/>
    <x v="0"/>
    <x v="72"/>
    <x v="0"/>
    <x v="0"/>
    <x v="0"/>
  </r>
  <r>
    <s v="ID1017"/>
    <d v="2012-05-28T11:58:39"/>
    <s v="R308 500"/>
    <n v="308500"/>
    <s v="ZAR"/>
    <n v="37612.869087708088"/>
    <s v="Management Information Consultant"/>
    <x v="3"/>
    <s v="South Africa"/>
    <x v="11"/>
    <x v="1"/>
    <n v="3"/>
    <s v=""/>
    <n v="1"/>
    <s v=""/>
    <s v=""/>
    <s v=""/>
    <s v=""/>
    <x v="1"/>
    <x v="0"/>
    <x v="1"/>
    <x v="0"/>
    <x v="0"/>
    <x v="0"/>
    <x v="0"/>
    <x v="198"/>
    <x v="0"/>
    <x v="0"/>
    <x v="0"/>
  </r>
  <r>
    <s v="ID1018"/>
    <d v="2012-05-28T12:00:14"/>
    <n v="3.65"/>
    <n v="365000"/>
    <s v="INR"/>
    <n v="6499.8895909165376"/>
    <s v="associate analyst"/>
    <x v="0"/>
    <s v="India"/>
    <x v="0"/>
    <x v="0"/>
    <n v="3"/>
    <s v=""/>
    <n v="1"/>
    <s v=""/>
    <s v=""/>
    <s v=""/>
    <s v=""/>
    <x v="1"/>
    <x v="0"/>
    <x v="217"/>
    <x v="0"/>
    <x v="0"/>
    <x v="0"/>
    <x v="0"/>
    <x v="0"/>
    <x v="0"/>
    <x v="0"/>
    <x v="0"/>
  </r>
  <r>
    <s v="ID1019"/>
    <d v="2012-05-28T12:09:37"/>
    <s v="usd 20.000"/>
    <n v="20000"/>
    <s v="USD"/>
    <n v="20000"/>
    <s v="Head of Financial Reporting"/>
    <x v="7"/>
    <s v="Paraguay"/>
    <x v="75"/>
    <x v="1"/>
    <n v="6"/>
    <s v=""/>
    <s v=""/>
    <n v="1"/>
    <s v=""/>
    <s v=""/>
    <s v=""/>
    <x v="3"/>
    <x v="0"/>
    <x v="1"/>
    <x v="0"/>
    <x v="0"/>
    <x v="0"/>
    <x v="0"/>
    <x v="0"/>
    <x v="0"/>
    <x v="34"/>
    <x v="0"/>
  </r>
  <r>
    <s v="ID1020"/>
    <d v="2012-05-28T12:10:09"/>
    <n v="7265"/>
    <n v="7265"/>
    <s v="USD"/>
    <n v="7265"/>
    <s v="Softwar Engineer"/>
    <x v="2"/>
    <s v="India"/>
    <x v="0"/>
    <x v="0"/>
    <n v="6"/>
    <s v=""/>
    <s v=""/>
    <n v="1"/>
    <s v=""/>
    <s v=""/>
    <s v=""/>
    <x v="3"/>
    <x v="0"/>
    <x v="1"/>
    <x v="0"/>
    <x v="0"/>
    <x v="0"/>
    <x v="33"/>
    <x v="0"/>
    <x v="0"/>
    <x v="0"/>
    <x v="0"/>
  </r>
  <r>
    <s v="ID1021"/>
    <d v="2012-05-28T12:15:53"/>
    <s v="SGD92,000"/>
    <n v="92000"/>
    <s v="SGD"/>
    <n v="72571.80269935554"/>
    <s v="Finance Manager"/>
    <x v="3"/>
    <s v="Singapore"/>
    <x v="29"/>
    <x v="1"/>
    <n v="15"/>
    <s v=""/>
    <s v=""/>
    <s v=""/>
    <n v="1"/>
    <s v=""/>
    <s v=""/>
    <x v="5"/>
    <x v="0"/>
    <x v="1"/>
    <x v="0"/>
    <x v="0"/>
    <x v="0"/>
    <x v="0"/>
    <x v="199"/>
    <x v="0"/>
    <x v="0"/>
    <x v="0"/>
  </r>
  <r>
    <s v="ID1023"/>
    <d v="2012-05-28T12:20:48"/>
    <s v="INR 4.5 Lac"/>
    <n v="450000"/>
    <s v="INR"/>
    <n v="8013.5625093491553"/>
    <s v="Asst. Manager"/>
    <x v="3"/>
    <s v="India"/>
    <x v="0"/>
    <x v="1"/>
    <n v="15"/>
    <s v=""/>
    <s v=""/>
    <s v=""/>
    <n v="1"/>
    <s v=""/>
    <s v=""/>
    <x v="5"/>
    <x v="0"/>
    <x v="1"/>
    <x v="0"/>
    <x v="0"/>
    <x v="0"/>
    <x v="0"/>
    <x v="120"/>
    <x v="0"/>
    <x v="0"/>
    <x v="0"/>
  </r>
  <r>
    <s v="ID1024"/>
    <d v="2012-05-28T12:26:01"/>
    <s v="Rs.5.7 lacs"/>
    <n v="570000"/>
    <s v="INR"/>
    <n v="10150.512511842264"/>
    <s v="MIS &amp; Analysis"/>
    <x v="0"/>
    <s v="India"/>
    <x v="0"/>
    <x v="0"/>
    <n v="5"/>
    <s v=""/>
    <n v="1"/>
    <s v=""/>
    <s v=""/>
    <s v=""/>
    <s v=""/>
    <x v="1"/>
    <x v="0"/>
    <x v="173"/>
    <x v="0"/>
    <x v="0"/>
    <x v="0"/>
    <x v="0"/>
    <x v="0"/>
    <x v="0"/>
    <x v="0"/>
    <x v="0"/>
  </r>
  <r>
    <s v="ID1025"/>
    <d v="2012-05-28T12:26:42"/>
    <n v="65000"/>
    <n v="65000"/>
    <s v="USD"/>
    <n v="65000"/>
    <s v="Controller"/>
    <x v="1"/>
    <s v="USA"/>
    <x v="2"/>
    <x v="0"/>
    <n v="9"/>
    <s v=""/>
    <s v=""/>
    <n v="1"/>
    <s v=""/>
    <s v=""/>
    <s v=""/>
    <x v="3"/>
    <x v="0"/>
    <x v="1"/>
    <x v="0"/>
    <x v="27"/>
    <x v="0"/>
    <x v="0"/>
    <x v="0"/>
    <x v="0"/>
    <x v="0"/>
    <x v="0"/>
  </r>
  <r>
    <s v="ID1026"/>
    <d v="2012-05-28T12:32:12"/>
    <n v="300000"/>
    <n v="300000"/>
    <s v="PKR"/>
    <n v="3184.2266150397395"/>
    <s v="Banker"/>
    <x v="3"/>
    <s v="Pakistan"/>
    <x v="3"/>
    <x v="0"/>
    <n v="4"/>
    <s v=""/>
    <n v="1"/>
    <s v=""/>
    <s v=""/>
    <s v=""/>
    <s v=""/>
    <x v="1"/>
    <x v="0"/>
    <x v="1"/>
    <x v="0"/>
    <x v="0"/>
    <x v="0"/>
    <x v="0"/>
    <x v="200"/>
    <x v="0"/>
    <x v="0"/>
    <x v="0"/>
  </r>
  <r>
    <s v="ID1027"/>
    <d v="2012-05-28T12:35:38"/>
    <s v="Net- 56000Rs, Gross - 61000Rs"/>
    <n v="612000"/>
    <s v="INR"/>
    <n v="10898.445012714852"/>
    <s v="Asst. Manager "/>
    <x v="3"/>
    <s v="India"/>
    <x v="0"/>
    <x v="2"/>
    <n v="13"/>
    <s v=""/>
    <s v=""/>
    <s v=""/>
    <n v="1"/>
    <s v=""/>
    <s v=""/>
    <x v="5"/>
    <x v="0"/>
    <x v="1"/>
    <x v="0"/>
    <x v="0"/>
    <x v="0"/>
    <x v="0"/>
    <x v="201"/>
    <x v="0"/>
    <x v="0"/>
    <x v="0"/>
  </r>
  <r>
    <s v="ID1028"/>
    <d v="2012-05-28T12:40:26"/>
    <n v="900"/>
    <n v="10800"/>
    <s v="USD"/>
    <n v="10800"/>
    <s v="Project Managment Office"/>
    <x v="3"/>
    <s v="Pakistan"/>
    <x v="3"/>
    <x v="1"/>
    <n v="5"/>
    <s v=""/>
    <n v="1"/>
    <s v=""/>
    <s v=""/>
    <s v=""/>
    <s v=""/>
    <x v="1"/>
    <x v="0"/>
    <x v="1"/>
    <x v="0"/>
    <x v="0"/>
    <x v="0"/>
    <x v="0"/>
    <x v="202"/>
    <x v="0"/>
    <x v="0"/>
    <x v="0"/>
  </r>
  <r>
    <s v="ID1029"/>
    <d v="2012-05-28T12:47:20"/>
    <n v="120000"/>
    <n v="120000"/>
    <s v="INR"/>
    <n v="2136.9500024931081"/>
    <s v="Audit Assistant"/>
    <x v="0"/>
    <s v="India"/>
    <x v="0"/>
    <x v="2"/>
    <n v="3.5"/>
    <s v=""/>
    <n v="1"/>
    <s v=""/>
    <s v=""/>
    <s v=""/>
    <s v=""/>
    <x v="1"/>
    <x v="0"/>
    <x v="155"/>
    <x v="0"/>
    <x v="0"/>
    <x v="0"/>
    <x v="0"/>
    <x v="0"/>
    <x v="0"/>
    <x v="0"/>
    <x v="0"/>
  </r>
  <r>
    <s v="ID1030"/>
    <d v="2012-05-28T12:51:53"/>
    <n v="45000"/>
    <n v="45000"/>
    <s v="USD"/>
    <n v="45000"/>
    <s v="Engineer"/>
    <x v="2"/>
    <s v="singapore"/>
    <x v="29"/>
    <x v="2"/>
    <n v="4"/>
    <s v=""/>
    <n v="1"/>
    <s v=""/>
    <s v=""/>
    <s v=""/>
    <s v=""/>
    <x v="1"/>
    <x v="0"/>
    <x v="1"/>
    <x v="0"/>
    <x v="0"/>
    <x v="0"/>
    <x v="34"/>
    <x v="0"/>
    <x v="0"/>
    <x v="0"/>
    <x v="0"/>
  </r>
  <r>
    <s v="ID1031"/>
    <d v="2012-05-28T12:57:13"/>
    <s v="Rs. 4,00,000/-"/>
    <n v="400000"/>
    <s v="INR"/>
    <n v="7123.1666749770275"/>
    <s v="Sr. Executive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12"/>
    <x v="0"/>
    <x v="0"/>
    <x v="0"/>
  </r>
  <r>
    <s v="ID1032"/>
    <d v="2012-05-28T12:58:44"/>
    <s v="3 Lakh "/>
    <n v="300000"/>
    <s v="INR"/>
    <n v="5342.3750062327708"/>
    <s v="ACCOUNTS"/>
    <x v="5"/>
    <s v="India"/>
    <x v="0"/>
    <x v="2"/>
    <n v="5"/>
    <s v=""/>
    <n v="1"/>
    <s v=""/>
    <s v=""/>
    <s v=""/>
    <s v=""/>
    <x v="1"/>
    <x v="63"/>
    <x v="1"/>
    <x v="0"/>
    <x v="0"/>
    <x v="0"/>
    <x v="0"/>
    <x v="0"/>
    <x v="0"/>
    <x v="0"/>
    <x v="0"/>
  </r>
  <r>
    <s v="ID1033"/>
    <d v="2012-05-28T12:59:59"/>
    <n v="18000"/>
    <n v="18000"/>
    <s v="USD"/>
    <n v="18000"/>
    <s v="Area Sales Manager"/>
    <x v="3"/>
    <s v="India"/>
    <x v="0"/>
    <x v="2"/>
    <n v="4.5999999999999996"/>
    <s v=""/>
    <n v="1"/>
    <s v=""/>
    <s v=""/>
    <s v=""/>
    <s v=""/>
    <x v="1"/>
    <x v="0"/>
    <x v="1"/>
    <x v="0"/>
    <x v="0"/>
    <x v="0"/>
    <x v="0"/>
    <x v="203"/>
    <x v="0"/>
    <x v="0"/>
    <x v="0"/>
  </r>
  <r>
    <s v="ID1034"/>
    <d v="2012-05-28T13:01:42"/>
    <s v="PK RS 456000"/>
    <n v="456000"/>
    <s v="PKR"/>
    <n v="4840.0244548604041"/>
    <s v="Strategic Planning Executive"/>
    <x v="3"/>
    <s v="Pakistan"/>
    <x v="3"/>
    <x v="0"/>
    <n v="2"/>
    <n v="1"/>
    <s v=""/>
    <s v=""/>
    <s v=""/>
    <s v=""/>
    <s v=""/>
    <x v="4"/>
    <x v="0"/>
    <x v="1"/>
    <x v="0"/>
    <x v="0"/>
    <x v="0"/>
    <x v="0"/>
    <x v="204"/>
    <x v="0"/>
    <x v="0"/>
    <x v="0"/>
  </r>
  <r>
    <s v="ID1035"/>
    <d v="2012-05-28T13:02:56"/>
    <s v="Rs 4,20,000 "/>
    <n v="420000"/>
    <s v="INR"/>
    <n v="7479.3250087258784"/>
    <s v="Analyst"/>
    <x v="0"/>
    <s v="India"/>
    <x v="0"/>
    <x v="2"/>
    <n v="10"/>
    <s v=""/>
    <s v=""/>
    <n v="1"/>
    <s v=""/>
    <s v=""/>
    <s v=""/>
    <x v="3"/>
    <x v="0"/>
    <x v="140"/>
    <x v="0"/>
    <x v="0"/>
    <x v="0"/>
    <x v="0"/>
    <x v="0"/>
    <x v="0"/>
    <x v="0"/>
    <x v="0"/>
  </r>
  <r>
    <s v="ID1036"/>
    <d v="2012-05-28T13:05:39"/>
    <n v="210000"/>
    <n v="210000"/>
    <s v="INR"/>
    <n v="3739.6625043629392"/>
    <s v="MIS executive"/>
    <x v="7"/>
    <s v="India"/>
    <x v="0"/>
    <x v="1"/>
    <n v="3.5"/>
    <s v=""/>
    <n v="1"/>
    <s v=""/>
    <s v=""/>
    <s v=""/>
    <s v=""/>
    <x v="1"/>
    <x v="0"/>
    <x v="1"/>
    <x v="0"/>
    <x v="0"/>
    <x v="0"/>
    <x v="0"/>
    <x v="0"/>
    <x v="0"/>
    <x v="35"/>
    <x v="0"/>
  </r>
  <r>
    <s v="ID1037"/>
    <d v="2012-05-28T13:06:37"/>
    <n v="3500"/>
    <n v="42000"/>
    <s v="USD"/>
    <n v="42000"/>
    <s v="Category Operations Supv."/>
    <x v="3"/>
    <s v="Kuwait"/>
    <x v="76"/>
    <x v="1"/>
    <n v="5"/>
    <s v=""/>
    <n v="1"/>
    <s v=""/>
    <s v=""/>
    <s v=""/>
    <s v=""/>
    <x v="1"/>
    <x v="0"/>
    <x v="1"/>
    <x v="0"/>
    <x v="0"/>
    <x v="0"/>
    <x v="0"/>
    <x v="205"/>
    <x v="0"/>
    <x v="0"/>
    <x v="0"/>
  </r>
  <r>
    <s v="ID1038"/>
    <d v="2012-05-28T13:10:02"/>
    <n v="28000"/>
    <n v="28000"/>
    <s v="USD"/>
    <n v="28000"/>
    <s v="BI"/>
    <x v="7"/>
    <s v="India"/>
    <x v="0"/>
    <x v="2"/>
    <n v="3"/>
    <s v=""/>
    <n v="1"/>
    <s v=""/>
    <s v=""/>
    <s v=""/>
    <s v=""/>
    <x v="1"/>
    <x v="0"/>
    <x v="1"/>
    <x v="0"/>
    <x v="0"/>
    <x v="0"/>
    <x v="0"/>
    <x v="0"/>
    <x v="0"/>
    <x v="36"/>
    <x v="0"/>
  </r>
  <r>
    <s v="ID1039"/>
    <d v="2012-05-28T13:11:42"/>
    <n v="6000"/>
    <n v="6000"/>
    <s v="USD"/>
    <n v="6000"/>
    <s v="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124"/>
    <x v="0"/>
    <x v="0"/>
    <x v="0"/>
  </r>
  <r>
    <s v="ID1040"/>
    <d v="2012-05-28T13:26:22"/>
    <n v="55"/>
    <n v="55000"/>
    <s v="NZD"/>
    <n v="43867.345148271634"/>
    <s v="Financial Analyst"/>
    <x v="0"/>
    <s v="New Zealand"/>
    <x v="48"/>
    <x v="1"/>
    <n v="10"/>
    <s v=""/>
    <s v=""/>
    <n v="1"/>
    <s v=""/>
    <s v=""/>
    <s v=""/>
    <x v="3"/>
    <x v="0"/>
    <x v="218"/>
    <x v="0"/>
    <x v="0"/>
    <x v="0"/>
    <x v="0"/>
    <x v="0"/>
    <x v="0"/>
    <x v="0"/>
    <x v="0"/>
  </r>
  <r>
    <s v="ID1041"/>
    <d v="2012-05-28T13:27:46"/>
    <s v="10 Lakh"/>
    <n v="1000000"/>
    <s v="INR"/>
    <n v="17807.916687442568"/>
    <s v="Teaching"/>
    <x v="0"/>
    <s v="India"/>
    <x v="0"/>
    <x v="3"/>
    <n v="25"/>
    <s v=""/>
    <s v=""/>
    <s v=""/>
    <s v=""/>
    <s v=""/>
    <n v="1"/>
    <x v="6"/>
    <x v="0"/>
    <x v="161"/>
    <x v="0"/>
    <x v="0"/>
    <x v="0"/>
    <x v="0"/>
    <x v="0"/>
    <x v="0"/>
    <x v="0"/>
    <x v="0"/>
  </r>
  <r>
    <s v="ID1042"/>
    <d v="2012-05-28T13:37:10"/>
    <n v="600000"/>
    <n v="600000"/>
    <s v="INR"/>
    <n v="10684.750012465542"/>
    <s v="Business Analyst"/>
    <x v="0"/>
    <s v="India"/>
    <x v="0"/>
    <x v="1"/>
    <n v="12"/>
    <s v=""/>
    <s v=""/>
    <s v=""/>
    <n v="1"/>
    <s v=""/>
    <s v=""/>
    <x v="5"/>
    <x v="0"/>
    <x v="147"/>
    <x v="0"/>
    <x v="0"/>
    <x v="0"/>
    <x v="0"/>
    <x v="0"/>
    <x v="0"/>
    <x v="0"/>
    <x v="0"/>
  </r>
  <r>
    <s v="ID1043"/>
    <d v="2012-05-28T13:40:58"/>
    <s v="USD 60000"/>
    <n v="60000"/>
    <s v="USD"/>
    <n v="60000"/>
    <s v="Excel Developer"/>
    <x v="8"/>
    <s v="Finland"/>
    <x v="40"/>
    <x v="1"/>
    <n v="5"/>
    <s v=""/>
    <n v="1"/>
    <s v=""/>
    <s v=""/>
    <s v=""/>
    <s v=""/>
    <x v="1"/>
    <x v="0"/>
    <x v="1"/>
    <x v="41"/>
    <x v="0"/>
    <x v="0"/>
    <x v="0"/>
    <x v="0"/>
    <x v="0"/>
    <x v="0"/>
    <x v="0"/>
  </r>
  <r>
    <s v="ID1044"/>
    <d v="2012-05-28T13:41:33"/>
    <n v="476000"/>
    <n v="476000"/>
    <s v="INR"/>
    <n v="8476.5683432226633"/>
    <s v="Report Specialist"/>
    <x v="7"/>
    <s v="India"/>
    <x v="0"/>
    <x v="0"/>
    <n v="8"/>
    <s v=""/>
    <s v=""/>
    <n v="1"/>
    <s v=""/>
    <s v=""/>
    <s v=""/>
    <x v="3"/>
    <x v="0"/>
    <x v="1"/>
    <x v="0"/>
    <x v="0"/>
    <x v="0"/>
    <x v="0"/>
    <x v="0"/>
    <x v="0"/>
    <x v="37"/>
    <x v="0"/>
  </r>
  <r>
    <s v="ID1045"/>
    <d v="2012-05-28T13:42:12"/>
    <n v="725"/>
    <n v="8700"/>
    <s v="USD"/>
    <n v="8700"/>
    <s v="Project Controlling (MIS Reports)"/>
    <x v="1"/>
    <s v="India"/>
    <x v="0"/>
    <x v="2"/>
    <n v="7"/>
    <s v=""/>
    <s v=""/>
    <n v="1"/>
    <s v=""/>
    <s v=""/>
    <s v=""/>
    <x v="3"/>
    <x v="0"/>
    <x v="1"/>
    <x v="0"/>
    <x v="28"/>
    <x v="0"/>
    <x v="0"/>
    <x v="0"/>
    <x v="0"/>
    <x v="0"/>
    <x v="0"/>
  </r>
  <r>
    <s v="ID1046"/>
    <d v="2012-05-28T13:42:35"/>
    <s v="2,00,000 INR"/>
    <n v="200000"/>
    <s v="INR"/>
    <n v="3561.5833374885137"/>
    <s v="Monitoring &amp; evaluation officer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206"/>
    <x v="0"/>
    <x v="0"/>
    <x v="0"/>
  </r>
  <r>
    <s v="ID1047"/>
    <d v="2012-05-28T13:43:01"/>
    <n v="1.8"/>
    <n v="180000"/>
    <s v="INR"/>
    <n v="3205.4250037396623"/>
    <s v="MIS EXCUTIVE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31"/>
    <x v="0"/>
  </r>
  <r>
    <s v="ID1048"/>
    <d v="2012-05-28T13:46:17"/>
    <n v="252000"/>
    <n v="252000"/>
    <s v="INR"/>
    <n v="4487.5950052355274"/>
    <s v="Accounts Exec"/>
    <x v="5"/>
    <s v="India"/>
    <x v="0"/>
    <x v="3"/>
    <n v="5"/>
    <s v=""/>
    <n v="1"/>
    <s v=""/>
    <s v=""/>
    <s v=""/>
    <s v=""/>
    <x v="1"/>
    <x v="64"/>
    <x v="1"/>
    <x v="0"/>
    <x v="0"/>
    <x v="0"/>
    <x v="0"/>
    <x v="0"/>
    <x v="0"/>
    <x v="0"/>
    <x v="0"/>
  </r>
  <r>
    <s v="ID1049"/>
    <d v="2012-05-28T13:54:57"/>
    <s v="Rs. 700000"/>
    <n v="700000"/>
    <s v="INR"/>
    <n v="12465.541681209797"/>
    <s v="Credit Analyst"/>
    <x v="0"/>
    <s v="India"/>
    <x v="0"/>
    <x v="0"/>
    <n v="5"/>
    <s v=""/>
    <n v="1"/>
    <s v=""/>
    <s v=""/>
    <s v=""/>
    <s v=""/>
    <x v="1"/>
    <x v="0"/>
    <x v="170"/>
    <x v="0"/>
    <x v="0"/>
    <x v="0"/>
    <x v="0"/>
    <x v="0"/>
    <x v="0"/>
    <x v="0"/>
    <x v="0"/>
  </r>
  <r>
    <s v="ID1050"/>
    <d v="2012-05-28T14:00:56"/>
    <n v="194"/>
    <n v="2400"/>
    <s v="USD"/>
    <n v="2400"/>
    <s v="Accounts Officer"/>
    <x v="5"/>
    <s v="Pakistan"/>
    <x v="3"/>
    <x v="2"/>
    <n v="15"/>
    <s v=""/>
    <s v=""/>
    <s v=""/>
    <n v="1"/>
    <s v=""/>
    <s v=""/>
    <x v="5"/>
    <x v="65"/>
    <x v="1"/>
    <x v="0"/>
    <x v="0"/>
    <x v="0"/>
    <x v="0"/>
    <x v="0"/>
    <x v="0"/>
    <x v="0"/>
    <x v="0"/>
  </r>
  <r>
    <s v="ID1051"/>
    <d v="2012-05-28T14:11:34"/>
    <s v="55000 usd"/>
    <n v="55000"/>
    <s v="USD"/>
    <n v="55000"/>
    <s v="Economist"/>
    <x v="7"/>
    <s v="Israel"/>
    <x v="34"/>
    <x v="0"/>
    <n v="6"/>
    <s v=""/>
    <s v=""/>
    <n v="1"/>
    <s v=""/>
    <s v=""/>
    <s v=""/>
    <x v="3"/>
    <x v="0"/>
    <x v="1"/>
    <x v="0"/>
    <x v="0"/>
    <x v="0"/>
    <x v="0"/>
    <x v="0"/>
    <x v="0"/>
    <x v="38"/>
    <x v="0"/>
  </r>
  <r>
    <s v="ID1052"/>
    <d v="2012-05-28T14:12:35"/>
    <s v="12000 $"/>
    <n v="12000"/>
    <s v="USD"/>
    <n v="12000"/>
    <s v="planning &amp; Sales Control emploee"/>
    <x v="1"/>
    <s v="Iran"/>
    <x v="39"/>
    <x v="0"/>
    <n v="3"/>
    <s v=""/>
    <n v="1"/>
    <s v=""/>
    <s v=""/>
    <s v=""/>
    <s v=""/>
    <x v="1"/>
    <x v="0"/>
    <x v="1"/>
    <x v="0"/>
    <x v="29"/>
    <x v="0"/>
    <x v="0"/>
    <x v="0"/>
    <x v="0"/>
    <x v="0"/>
    <x v="0"/>
  </r>
  <r>
    <s v="ID1053"/>
    <d v="2012-05-28T14:12:50"/>
    <n v="43500"/>
    <n v="43500"/>
    <s v="EUR"/>
    <n v="55262.375596134938"/>
    <s v="RRHH"/>
    <x v="3"/>
    <s v="SPAIN"/>
    <x v="47"/>
    <x v="2"/>
    <n v="10"/>
    <s v=""/>
    <s v=""/>
    <n v="1"/>
    <s v=""/>
    <s v=""/>
    <s v=""/>
    <x v="3"/>
    <x v="0"/>
    <x v="1"/>
    <x v="0"/>
    <x v="0"/>
    <x v="0"/>
    <x v="0"/>
    <x v="207"/>
    <x v="0"/>
    <x v="0"/>
    <x v="0"/>
  </r>
  <r>
    <s v="ID1054"/>
    <d v="2012-05-28T14:12:52"/>
    <s v="Rs. 1200000"/>
    <n v="1200000"/>
    <s v="INR"/>
    <n v="21369.500024931083"/>
    <s v="Management Trainee"/>
    <x v="3"/>
    <s v="India"/>
    <x v="0"/>
    <x v="2"/>
    <n v="2"/>
    <n v="1"/>
    <s v=""/>
    <s v=""/>
    <s v=""/>
    <s v=""/>
    <s v=""/>
    <x v="4"/>
    <x v="0"/>
    <x v="1"/>
    <x v="0"/>
    <x v="0"/>
    <x v="0"/>
    <x v="0"/>
    <x v="61"/>
    <x v="0"/>
    <x v="0"/>
    <x v="0"/>
  </r>
  <r>
    <s v="ID1055"/>
    <d v="2012-05-28T14:18:40"/>
    <n v="26000"/>
    <n v="26000"/>
    <s v="GBP"/>
    <n v="40980.635073749385"/>
    <s v="Consultant"/>
    <x v="8"/>
    <s v="UK"/>
    <x v="14"/>
    <x v="1"/>
    <n v="8"/>
    <s v=""/>
    <s v=""/>
    <n v="1"/>
    <s v=""/>
    <s v=""/>
    <s v=""/>
    <x v="3"/>
    <x v="0"/>
    <x v="1"/>
    <x v="47"/>
    <x v="0"/>
    <x v="0"/>
    <x v="0"/>
    <x v="0"/>
    <x v="0"/>
    <x v="0"/>
    <x v="0"/>
  </r>
  <r>
    <s v="ID1056"/>
    <d v="2012-05-28T14:21:27"/>
    <n v="50000"/>
    <n v="50000"/>
    <s v="AUD"/>
    <n v="50995.482820131787"/>
    <s v="BA"/>
    <x v="0"/>
    <s v="Australia"/>
    <x v="16"/>
    <x v="0"/>
    <n v="4"/>
    <s v=""/>
    <n v="1"/>
    <s v=""/>
    <s v=""/>
    <s v=""/>
    <s v=""/>
    <x v="1"/>
    <x v="0"/>
    <x v="219"/>
    <x v="0"/>
    <x v="0"/>
    <x v="0"/>
    <x v="0"/>
    <x v="0"/>
    <x v="0"/>
    <x v="0"/>
    <x v="0"/>
  </r>
  <r>
    <s v="ID1057"/>
    <d v="2012-05-28T14:22:02"/>
    <s v="16000 euro"/>
    <n v="16000"/>
    <s v="EUR"/>
    <n v="20326.391023865726"/>
    <s v="Management Information Systems"/>
    <x v="3"/>
    <s v="Greece"/>
    <x v="26"/>
    <x v="1"/>
    <n v="16"/>
    <s v=""/>
    <s v=""/>
    <s v=""/>
    <s v=""/>
    <s v=""/>
    <s v=""/>
    <x v="0"/>
    <x v="0"/>
    <x v="1"/>
    <x v="0"/>
    <x v="0"/>
    <x v="0"/>
    <x v="0"/>
    <x v="208"/>
    <x v="0"/>
    <x v="0"/>
    <x v="0"/>
  </r>
  <r>
    <s v="ID1058"/>
    <d v="2012-05-28T14:23:57"/>
    <n v="1000"/>
    <n v="12000"/>
    <s v="USD"/>
    <n v="12000"/>
    <s v="consultant"/>
    <x v="8"/>
    <s v="India"/>
    <x v="0"/>
    <x v="2"/>
    <n v="8"/>
    <s v=""/>
    <s v=""/>
    <n v="1"/>
    <s v=""/>
    <s v=""/>
    <s v=""/>
    <x v="3"/>
    <x v="0"/>
    <x v="1"/>
    <x v="4"/>
    <x v="0"/>
    <x v="0"/>
    <x v="0"/>
    <x v="0"/>
    <x v="0"/>
    <x v="0"/>
    <x v="0"/>
  </r>
  <r>
    <s v="ID1059"/>
    <d v="2012-05-28T14:30:05"/>
    <s v="ZAR240000"/>
    <n v="240000"/>
    <s v="ZAR"/>
    <n v="29261.227167098674"/>
    <s v="Bookkeeper"/>
    <x v="5"/>
    <s v="South Africa"/>
    <x v="11"/>
    <x v="2"/>
    <n v="20"/>
    <s v=""/>
    <s v=""/>
    <s v=""/>
    <s v=""/>
    <n v="1"/>
    <s v=""/>
    <x v="2"/>
    <x v="66"/>
    <x v="1"/>
    <x v="0"/>
    <x v="0"/>
    <x v="0"/>
    <x v="0"/>
    <x v="0"/>
    <x v="0"/>
    <x v="0"/>
    <x v="0"/>
  </r>
  <r>
    <s v="ID1060"/>
    <d v="2012-05-28T14:32:11"/>
    <n v="120000"/>
    <n v="120000"/>
    <s v="ZAR"/>
    <n v="14630.613583549337"/>
    <s v="VP"/>
    <x v="4"/>
    <s v="South Africa"/>
    <x v="11"/>
    <x v="0"/>
    <n v="10"/>
    <s v=""/>
    <s v=""/>
    <n v="1"/>
    <s v=""/>
    <s v=""/>
    <s v=""/>
    <x v="3"/>
    <x v="0"/>
    <x v="1"/>
    <x v="0"/>
    <x v="0"/>
    <x v="19"/>
    <x v="0"/>
    <x v="0"/>
    <x v="0"/>
    <x v="0"/>
    <x v="0"/>
  </r>
  <r>
    <s v="ID1061"/>
    <d v="2012-05-28T14:34:34"/>
    <n v="408000"/>
    <n v="408000"/>
    <s v="INR"/>
    <n v="7265.630008476568"/>
    <s v="Sr Exec - Finance"/>
    <x v="5"/>
    <s v="India"/>
    <x v="0"/>
    <x v="1"/>
    <n v="5"/>
    <s v=""/>
    <n v="1"/>
    <s v=""/>
    <s v=""/>
    <s v=""/>
    <s v=""/>
    <x v="1"/>
    <x v="67"/>
    <x v="1"/>
    <x v="0"/>
    <x v="0"/>
    <x v="0"/>
    <x v="0"/>
    <x v="0"/>
    <x v="0"/>
    <x v="0"/>
    <x v="0"/>
  </r>
  <r>
    <s v="ID1062"/>
    <d v="2012-05-28T14:34:37"/>
    <s v="Â£28000"/>
    <n v="28000"/>
    <s v="GBP"/>
    <n v="44132.991617883956"/>
    <s v="Modeller"/>
    <x v="0"/>
    <s v="UK"/>
    <x v="14"/>
    <x v="2"/>
    <n v="16"/>
    <s v=""/>
    <s v=""/>
    <s v=""/>
    <s v=""/>
    <s v=""/>
    <s v=""/>
    <x v="0"/>
    <x v="0"/>
    <x v="76"/>
    <x v="0"/>
    <x v="0"/>
    <x v="0"/>
    <x v="0"/>
    <x v="0"/>
    <x v="0"/>
    <x v="0"/>
    <x v="0"/>
  </r>
  <r>
    <s v="ID1063"/>
    <d v="2012-05-28T14:40:54"/>
    <s v="INR 530000 "/>
    <n v="530000"/>
    <s v="INR"/>
    <n v="9438.1958443445619"/>
    <s v="Project Administrator"/>
    <x v="0"/>
    <s v="India"/>
    <x v="0"/>
    <x v="2"/>
    <n v="7"/>
    <s v=""/>
    <s v=""/>
    <n v="1"/>
    <s v=""/>
    <s v=""/>
    <s v=""/>
    <x v="3"/>
    <x v="0"/>
    <x v="220"/>
    <x v="0"/>
    <x v="0"/>
    <x v="0"/>
    <x v="0"/>
    <x v="0"/>
    <x v="0"/>
    <x v="0"/>
    <x v="0"/>
  </r>
  <r>
    <s v="ID1064"/>
    <d v="2012-05-28T14:43:40"/>
    <s v="1500 $"/>
    <n v="18000"/>
    <s v="USD"/>
    <n v="18000"/>
    <s v="Analyst"/>
    <x v="0"/>
    <s v="Poland"/>
    <x v="15"/>
    <x v="0"/>
    <n v="7"/>
    <s v=""/>
    <s v=""/>
    <n v="1"/>
    <s v=""/>
    <s v=""/>
    <s v=""/>
    <x v="3"/>
    <x v="0"/>
    <x v="24"/>
    <x v="0"/>
    <x v="0"/>
    <x v="0"/>
    <x v="0"/>
    <x v="0"/>
    <x v="0"/>
    <x v="0"/>
    <x v="0"/>
  </r>
  <r>
    <s v="ID1065"/>
    <d v="2012-05-28T14:44:26"/>
    <s v="Rs 200000"/>
    <n v="200000"/>
    <s v="INR"/>
    <n v="3561.5833374885137"/>
    <s v="Business Development Executive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206"/>
    <x v="0"/>
    <x v="0"/>
    <x v="0"/>
  </r>
  <r>
    <s v="ID1066"/>
    <d v="2012-05-28T14:45:04"/>
    <s v="2LAKHS"/>
    <n v="200000"/>
    <s v="INR"/>
    <n v="3561.5833374885137"/>
    <s v="MIS Executive"/>
    <x v="7"/>
    <s v="India"/>
    <x v="0"/>
    <x v="0"/>
    <n v="3"/>
    <s v=""/>
    <n v="1"/>
    <s v=""/>
    <s v=""/>
    <s v=""/>
    <s v=""/>
    <x v="1"/>
    <x v="0"/>
    <x v="1"/>
    <x v="0"/>
    <x v="0"/>
    <x v="0"/>
    <x v="0"/>
    <x v="0"/>
    <x v="0"/>
    <x v="17"/>
    <x v="0"/>
  </r>
  <r>
    <s v="ID1067"/>
    <d v="2012-05-28T14:46:42"/>
    <n v="5100"/>
    <n v="5100"/>
    <s v="USD"/>
    <n v="5100"/>
    <s v="MIS Executive"/>
    <x v="7"/>
    <s v="India"/>
    <x v="0"/>
    <x v="1"/>
    <n v="8"/>
    <s v=""/>
    <s v=""/>
    <n v="1"/>
    <s v=""/>
    <s v=""/>
    <s v=""/>
    <x v="3"/>
    <x v="0"/>
    <x v="1"/>
    <x v="0"/>
    <x v="0"/>
    <x v="0"/>
    <x v="0"/>
    <x v="0"/>
    <x v="0"/>
    <x v="39"/>
    <x v="0"/>
  </r>
  <r>
    <s v="ID1068"/>
    <d v="2012-05-28T14:50:03"/>
    <n v="100000"/>
    <n v="1200000"/>
    <s v="INR"/>
    <n v="21369.500024931083"/>
    <s v="executive"/>
    <x v="0"/>
    <s v="India"/>
    <x v="0"/>
    <x v="0"/>
    <n v="7"/>
    <s v=""/>
    <s v=""/>
    <n v="1"/>
    <s v=""/>
    <s v=""/>
    <s v=""/>
    <x v="3"/>
    <x v="0"/>
    <x v="221"/>
    <x v="0"/>
    <x v="0"/>
    <x v="0"/>
    <x v="0"/>
    <x v="0"/>
    <x v="0"/>
    <x v="0"/>
    <x v="0"/>
  </r>
  <r>
    <s v="ID1069"/>
    <d v="2012-05-28T14:52:45"/>
    <s v="Rs. 25000"/>
    <n v="300000"/>
    <s v="INR"/>
    <n v="5342.3750062327708"/>
    <s v="Professional consultant-Finance"/>
    <x v="8"/>
    <s v="India"/>
    <x v="0"/>
    <x v="2"/>
    <n v="1"/>
    <n v="1"/>
    <s v=""/>
    <s v=""/>
    <s v=""/>
    <s v=""/>
    <s v=""/>
    <x v="4"/>
    <x v="0"/>
    <x v="1"/>
    <x v="48"/>
    <x v="0"/>
    <x v="0"/>
    <x v="0"/>
    <x v="0"/>
    <x v="0"/>
    <x v="0"/>
    <x v="0"/>
  </r>
  <r>
    <s v="ID1070"/>
    <d v="2012-05-28T14:53:02"/>
    <n v="50000"/>
    <n v="50000"/>
    <s v="USD"/>
    <n v="50000"/>
    <s v="Managing Partner"/>
    <x v="4"/>
    <s v="India"/>
    <x v="0"/>
    <x v="3"/>
    <n v="26"/>
    <s v=""/>
    <s v=""/>
    <s v=""/>
    <s v=""/>
    <s v=""/>
    <n v="1"/>
    <x v="6"/>
    <x v="0"/>
    <x v="1"/>
    <x v="0"/>
    <x v="0"/>
    <x v="28"/>
    <x v="0"/>
    <x v="0"/>
    <x v="0"/>
    <x v="0"/>
    <x v="0"/>
  </r>
  <r>
    <s v="ID1071"/>
    <d v="2012-05-28T14:53:44"/>
    <s v="1600000Rs"/>
    <n v="1600000"/>
    <s v="INR"/>
    <n v="28492.66669990811"/>
    <s v="Manager Fin"/>
    <x v="3"/>
    <s v="India"/>
    <x v="0"/>
    <x v="1"/>
    <n v="9"/>
    <s v=""/>
    <s v=""/>
    <n v="1"/>
    <s v=""/>
    <s v=""/>
    <s v=""/>
    <x v="3"/>
    <x v="0"/>
    <x v="1"/>
    <x v="0"/>
    <x v="0"/>
    <x v="0"/>
    <x v="0"/>
    <x v="209"/>
    <x v="0"/>
    <x v="0"/>
    <x v="0"/>
  </r>
  <r>
    <s v="ID1072"/>
    <d v="2012-05-28T14:56:27"/>
    <n v="15600"/>
    <n v="15600"/>
    <s v="GBP"/>
    <n v="24588.381044249632"/>
    <s v="business data analyst"/>
    <x v="0"/>
    <s v="UK"/>
    <x v="14"/>
    <x v="1"/>
    <n v="0"/>
    <n v="1"/>
    <s v=""/>
    <s v=""/>
    <s v=""/>
    <s v=""/>
    <s v=""/>
    <x v="4"/>
    <x v="0"/>
    <x v="222"/>
    <x v="0"/>
    <x v="0"/>
    <x v="0"/>
    <x v="0"/>
    <x v="0"/>
    <x v="0"/>
    <x v="0"/>
    <x v="0"/>
  </r>
  <r>
    <s v="ID1074"/>
    <d v="2012-05-28T15:12:38"/>
    <n v="7000"/>
    <n v="7000"/>
    <s v="USD"/>
    <n v="7000"/>
    <s v="MIS Executive"/>
    <x v="7"/>
    <s v="India"/>
    <x v="0"/>
    <x v="1"/>
    <n v="5"/>
    <s v=""/>
    <n v="1"/>
    <s v=""/>
    <s v=""/>
    <s v=""/>
    <s v=""/>
    <x v="1"/>
    <x v="0"/>
    <x v="1"/>
    <x v="0"/>
    <x v="0"/>
    <x v="0"/>
    <x v="0"/>
    <x v="0"/>
    <x v="0"/>
    <x v="40"/>
    <x v="0"/>
  </r>
  <r>
    <s v="ID1075"/>
    <d v="2012-05-28T15:16:20"/>
    <s v="Rs. 438000"/>
    <n v="438000"/>
    <s v="INR"/>
    <n v="7799.8675090998449"/>
    <s v="Assistant Professor"/>
    <x v="0"/>
    <s v="India"/>
    <x v="0"/>
    <x v="3"/>
    <n v="10"/>
    <s v=""/>
    <s v=""/>
    <n v="1"/>
    <s v=""/>
    <s v=""/>
    <s v=""/>
    <x v="3"/>
    <x v="0"/>
    <x v="223"/>
    <x v="0"/>
    <x v="0"/>
    <x v="0"/>
    <x v="0"/>
    <x v="0"/>
    <x v="0"/>
    <x v="0"/>
    <x v="0"/>
  </r>
  <r>
    <s v="ID1076"/>
    <d v="2012-05-28T15:21:51"/>
    <s v="Â£50"/>
    <n v="50000"/>
    <s v="GBP"/>
    <n v="78808.913603364199"/>
    <s v="Production manager"/>
    <x v="3"/>
    <s v="UK"/>
    <x v="14"/>
    <x v="2"/>
    <n v="12"/>
    <s v=""/>
    <s v=""/>
    <s v=""/>
    <n v="1"/>
    <s v=""/>
    <s v=""/>
    <x v="5"/>
    <x v="0"/>
    <x v="1"/>
    <x v="0"/>
    <x v="0"/>
    <x v="0"/>
    <x v="0"/>
    <x v="210"/>
    <x v="0"/>
    <x v="0"/>
    <x v="0"/>
  </r>
  <r>
    <s v="ID1077"/>
    <d v="2012-05-28T15:27:59"/>
    <n v="560"/>
    <n v="6720"/>
    <s v="USD"/>
    <n v="6720"/>
    <s v="MIS Executive"/>
    <x v="7"/>
    <s v="India"/>
    <x v="0"/>
    <x v="0"/>
    <n v="6"/>
    <s v=""/>
    <s v=""/>
    <n v="1"/>
    <s v=""/>
    <s v=""/>
    <s v=""/>
    <x v="3"/>
    <x v="0"/>
    <x v="1"/>
    <x v="0"/>
    <x v="0"/>
    <x v="0"/>
    <x v="0"/>
    <x v="0"/>
    <x v="0"/>
    <x v="41"/>
    <x v="0"/>
  </r>
  <r>
    <s v="ID1078"/>
    <d v="2012-05-28T15:29:24"/>
    <s v="INR 2.5 Lakh"/>
    <n v="250000"/>
    <s v="INR"/>
    <n v="4451.9791718606421"/>
    <s v="SR. MIS "/>
    <x v="7"/>
    <s v="India"/>
    <x v="0"/>
    <x v="1"/>
    <n v="3.5"/>
    <s v=""/>
    <n v="1"/>
    <s v=""/>
    <s v=""/>
    <s v=""/>
    <s v=""/>
    <x v="1"/>
    <x v="0"/>
    <x v="1"/>
    <x v="0"/>
    <x v="0"/>
    <x v="0"/>
    <x v="0"/>
    <x v="0"/>
    <x v="0"/>
    <x v="21"/>
    <x v="0"/>
  </r>
  <r>
    <s v="ID1079"/>
    <d v="2012-05-28T15:29:53"/>
    <s v="Â£30000"/>
    <n v="30000"/>
    <s v="GBP"/>
    <n v="47285.348162018527"/>
    <s v="Data Analyst"/>
    <x v="0"/>
    <s v="UK"/>
    <x v="14"/>
    <x v="1"/>
    <n v="15"/>
    <s v=""/>
    <s v=""/>
    <s v=""/>
    <n v="1"/>
    <s v=""/>
    <s v=""/>
    <x v="5"/>
    <x v="0"/>
    <x v="62"/>
    <x v="0"/>
    <x v="0"/>
    <x v="0"/>
    <x v="0"/>
    <x v="0"/>
    <x v="0"/>
    <x v="0"/>
    <x v="0"/>
  </r>
  <r>
    <s v="ID1080"/>
    <d v="2012-05-28T15:33:23"/>
    <n v="600"/>
    <n v="7200"/>
    <s v="USD"/>
    <n v="7200"/>
    <s v="Data Entry Operator"/>
    <x v="0"/>
    <s v="India"/>
    <x v="0"/>
    <x v="1"/>
    <n v="10"/>
    <s v=""/>
    <s v=""/>
    <n v="1"/>
    <s v=""/>
    <s v=""/>
    <s v=""/>
    <x v="3"/>
    <x v="0"/>
    <x v="224"/>
    <x v="0"/>
    <x v="0"/>
    <x v="0"/>
    <x v="0"/>
    <x v="0"/>
    <x v="0"/>
    <x v="0"/>
    <x v="0"/>
  </r>
  <r>
    <s v="ID1081"/>
    <d v="2012-05-28T15:33:37"/>
    <s v="INR 2500000"/>
    <n v="2500000"/>
    <s v="INR"/>
    <n v="44519.791718606422"/>
    <s v="Vice President"/>
    <x v="4"/>
    <s v="India"/>
    <x v="0"/>
    <x v="0"/>
    <n v="9"/>
    <s v=""/>
    <s v=""/>
    <n v="1"/>
    <s v=""/>
    <s v=""/>
    <s v=""/>
    <x v="3"/>
    <x v="0"/>
    <x v="1"/>
    <x v="0"/>
    <x v="0"/>
    <x v="34"/>
    <x v="0"/>
    <x v="0"/>
    <x v="0"/>
    <x v="0"/>
    <x v="0"/>
  </r>
  <r>
    <s v="ID1082"/>
    <d v="2012-05-28T15:34:12"/>
    <n v="140000"/>
    <n v="140000"/>
    <s v="INR"/>
    <n v="2493.1083362419595"/>
    <s v="Accountant"/>
    <x v="5"/>
    <s v="India"/>
    <x v="0"/>
    <x v="0"/>
    <n v="4"/>
    <s v=""/>
    <n v="1"/>
    <s v=""/>
    <s v=""/>
    <s v=""/>
    <s v=""/>
    <x v="1"/>
    <x v="68"/>
    <x v="1"/>
    <x v="0"/>
    <x v="0"/>
    <x v="0"/>
    <x v="0"/>
    <x v="0"/>
    <x v="0"/>
    <x v="0"/>
    <x v="0"/>
  </r>
  <r>
    <s v="ID1083"/>
    <d v="2012-05-28T15:35:32"/>
    <n v="20000"/>
    <n v="20000"/>
    <s v="GBP"/>
    <n v="31523.565441345683"/>
    <s v="finance assistant"/>
    <x v="0"/>
    <s v="UK"/>
    <x v="14"/>
    <x v="0"/>
    <n v="1"/>
    <n v="1"/>
    <s v=""/>
    <s v=""/>
    <s v=""/>
    <s v=""/>
    <s v=""/>
    <x v="4"/>
    <x v="0"/>
    <x v="225"/>
    <x v="0"/>
    <x v="0"/>
    <x v="0"/>
    <x v="0"/>
    <x v="0"/>
    <x v="0"/>
    <x v="0"/>
    <x v="0"/>
  </r>
  <r>
    <s v="ID1084"/>
    <d v="2012-05-28T15:37:23"/>
    <n v="1200000"/>
    <n v="1200000"/>
    <s v="INR"/>
    <n v="21369.500024931083"/>
    <s v="finance controller"/>
    <x v="1"/>
    <s v="India"/>
    <x v="0"/>
    <x v="0"/>
    <n v="8"/>
    <s v=""/>
    <s v=""/>
    <n v="1"/>
    <s v=""/>
    <s v=""/>
    <s v=""/>
    <x v="3"/>
    <x v="0"/>
    <x v="1"/>
    <x v="0"/>
    <x v="30"/>
    <x v="0"/>
    <x v="0"/>
    <x v="0"/>
    <x v="0"/>
    <x v="0"/>
    <x v="0"/>
  </r>
  <r>
    <s v="ID1085"/>
    <d v="2012-05-28T15:42:04"/>
    <n v="80000"/>
    <n v="80000"/>
    <s v="GBP"/>
    <n v="126094.26176538273"/>
    <s v="Manufacturing consultant"/>
    <x v="8"/>
    <s v="UK"/>
    <x v="14"/>
    <x v="0"/>
    <n v="10"/>
    <s v=""/>
    <s v=""/>
    <n v="1"/>
    <s v=""/>
    <s v=""/>
    <s v=""/>
    <x v="3"/>
    <x v="0"/>
    <x v="1"/>
    <x v="49"/>
    <x v="0"/>
    <x v="0"/>
    <x v="0"/>
    <x v="0"/>
    <x v="0"/>
    <x v="0"/>
    <x v="0"/>
  </r>
  <r>
    <s v="ID1086"/>
    <d v="2012-05-28T15:44:12"/>
    <s v="Â£63000"/>
    <n v="63000"/>
    <s v="GBP"/>
    <n v="99299.231140238902"/>
    <s v="Business Improvement Specialist"/>
    <x v="6"/>
    <s v="UK"/>
    <x v="14"/>
    <x v="2"/>
    <n v="1"/>
    <n v="1"/>
    <s v=""/>
    <s v=""/>
    <s v=""/>
    <s v=""/>
    <s v=""/>
    <x v="4"/>
    <x v="0"/>
    <x v="1"/>
    <x v="0"/>
    <x v="0"/>
    <x v="0"/>
    <x v="0"/>
    <x v="0"/>
    <x v="0"/>
    <x v="0"/>
    <x v="31"/>
  </r>
  <r>
    <s v="ID1087"/>
    <d v="2012-05-28T15:47:46"/>
    <s v="Â£55000"/>
    <n v="55000"/>
    <s v="GBP"/>
    <n v="86689.804963700633"/>
    <s v="Finance Director"/>
    <x v="4"/>
    <s v="UK"/>
    <x v="14"/>
    <x v="2"/>
    <n v="22"/>
    <s v=""/>
    <s v=""/>
    <s v=""/>
    <s v=""/>
    <s v=""/>
    <n v="1"/>
    <x v="6"/>
    <x v="0"/>
    <x v="1"/>
    <x v="0"/>
    <x v="0"/>
    <x v="27"/>
    <x v="0"/>
    <x v="0"/>
    <x v="0"/>
    <x v="0"/>
    <x v="0"/>
  </r>
  <r>
    <s v="ID1088"/>
    <d v="2012-05-28T15:48:23"/>
    <s v="50000 US $ per year"/>
    <n v="50000"/>
    <s v="USD"/>
    <n v="50000"/>
    <s v="Sr. Manager MIS"/>
    <x v="3"/>
    <s v="India"/>
    <x v="0"/>
    <x v="2"/>
    <n v="30"/>
    <s v=""/>
    <s v=""/>
    <s v=""/>
    <s v=""/>
    <s v=""/>
    <n v="1"/>
    <x v="6"/>
    <x v="0"/>
    <x v="1"/>
    <x v="0"/>
    <x v="0"/>
    <x v="0"/>
    <x v="0"/>
    <x v="4"/>
    <x v="0"/>
    <x v="0"/>
    <x v="0"/>
  </r>
  <r>
    <s v="ID1089"/>
    <d v="2012-05-28T15:49:22"/>
    <n v="240000"/>
    <n v="240000"/>
    <s v="INR"/>
    <n v="4273.9000049862161"/>
    <s v="Executive"/>
    <x v="0"/>
    <s v="India"/>
    <x v="0"/>
    <x v="2"/>
    <n v="3"/>
    <s v=""/>
    <n v="1"/>
    <s v=""/>
    <s v=""/>
    <s v=""/>
    <s v=""/>
    <x v="1"/>
    <x v="0"/>
    <x v="138"/>
    <x v="0"/>
    <x v="0"/>
    <x v="0"/>
    <x v="0"/>
    <x v="0"/>
    <x v="0"/>
    <x v="0"/>
    <x v="0"/>
  </r>
  <r>
    <s v="ID1090"/>
    <d v="2012-05-28T15:49:54"/>
    <s v="Rs. 250000"/>
    <n v="250000"/>
    <s v="INR"/>
    <n v="4451.9791718606421"/>
    <s v="MIS Executive"/>
    <x v="7"/>
    <s v="India"/>
    <x v="0"/>
    <x v="2"/>
    <n v="3"/>
    <s v=""/>
    <n v="1"/>
    <s v=""/>
    <s v=""/>
    <s v=""/>
    <s v=""/>
    <x v="1"/>
    <x v="0"/>
    <x v="1"/>
    <x v="0"/>
    <x v="0"/>
    <x v="0"/>
    <x v="0"/>
    <x v="0"/>
    <x v="0"/>
    <x v="21"/>
    <x v="0"/>
  </r>
  <r>
    <s v="ID1091"/>
    <d v="2012-05-28T15:51:32"/>
    <s v="50000 INR"/>
    <n v="600000"/>
    <s v="INR"/>
    <n v="10684.750012465542"/>
    <s v="Sr.Supervisor"/>
    <x v="0"/>
    <s v="India"/>
    <x v="0"/>
    <x v="0"/>
    <n v="10"/>
    <s v=""/>
    <s v=""/>
    <n v="1"/>
    <s v=""/>
    <s v=""/>
    <s v=""/>
    <x v="3"/>
    <x v="0"/>
    <x v="147"/>
    <x v="0"/>
    <x v="0"/>
    <x v="0"/>
    <x v="0"/>
    <x v="0"/>
    <x v="0"/>
    <x v="0"/>
    <x v="0"/>
  </r>
  <r>
    <s v="ID1092"/>
    <d v="2012-05-28T15:59:46"/>
    <n v="40500"/>
    <n v="40500"/>
    <s v="GBP"/>
    <n v="63835.220018725006"/>
    <s v="Policy, Performance and Research Officer"/>
    <x v="3"/>
    <s v="UK"/>
    <x v="14"/>
    <x v="2"/>
    <n v="25"/>
    <s v=""/>
    <s v=""/>
    <s v=""/>
    <s v=""/>
    <s v=""/>
    <n v="1"/>
    <x v="6"/>
    <x v="0"/>
    <x v="1"/>
    <x v="0"/>
    <x v="0"/>
    <x v="0"/>
    <x v="0"/>
    <x v="211"/>
    <x v="0"/>
    <x v="0"/>
    <x v="0"/>
  </r>
  <r>
    <s v="ID1093"/>
    <d v="2012-05-28T16:01:05"/>
    <s v="Â£23000"/>
    <n v="23000"/>
    <s v="GBP"/>
    <n v="36252.100257547536"/>
    <s v="Data Analyst"/>
    <x v="0"/>
    <s v="UK"/>
    <x v="14"/>
    <x v="1"/>
    <n v="5"/>
    <s v=""/>
    <n v="1"/>
    <s v=""/>
    <s v=""/>
    <s v=""/>
    <s v=""/>
    <x v="1"/>
    <x v="0"/>
    <x v="226"/>
    <x v="0"/>
    <x v="0"/>
    <x v="0"/>
    <x v="0"/>
    <x v="0"/>
    <x v="0"/>
    <x v="0"/>
    <x v="0"/>
  </r>
  <r>
    <s v="ID1094"/>
    <d v="2012-05-28T16:03:18"/>
    <n v="7960"/>
    <n v="7960"/>
    <s v="USD"/>
    <n v="7960"/>
    <s v="Team Leader"/>
    <x v="3"/>
    <s v="India"/>
    <x v="0"/>
    <x v="0"/>
    <n v="7"/>
    <s v=""/>
    <s v=""/>
    <n v="1"/>
    <s v=""/>
    <s v=""/>
    <s v=""/>
    <x v="3"/>
    <x v="0"/>
    <x v="1"/>
    <x v="0"/>
    <x v="0"/>
    <x v="0"/>
    <x v="0"/>
    <x v="212"/>
    <x v="0"/>
    <x v="0"/>
    <x v="0"/>
  </r>
  <r>
    <s v="ID1095"/>
    <d v="2012-05-28T16:03:45"/>
    <s v="Rs500000"/>
    <n v="500000"/>
    <s v="INR"/>
    <n v="8903.9583437212841"/>
    <s v="Executive"/>
    <x v="0"/>
    <s v="India"/>
    <x v="0"/>
    <x v="2"/>
    <n v="23"/>
    <s v=""/>
    <s v=""/>
    <s v=""/>
    <s v=""/>
    <s v=""/>
    <n v="1"/>
    <x v="6"/>
    <x v="0"/>
    <x v="51"/>
    <x v="0"/>
    <x v="0"/>
    <x v="0"/>
    <x v="0"/>
    <x v="0"/>
    <x v="0"/>
    <x v="0"/>
    <x v="0"/>
  </r>
  <r>
    <s v="ID1096"/>
    <d v="2012-05-28T16:05:43"/>
    <s v="40000 euro"/>
    <n v="40000"/>
    <s v="EUR"/>
    <n v="50815.977559664309"/>
    <s v="Accounting analyst"/>
    <x v="0"/>
    <s v="Netherlands"/>
    <x v="18"/>
    <x v="0"/>
    <n v="3"/>
    <s v=""/>
    <n v="1"/>
    <s v=""/>
    <s v=""/>
    <s v=""/>
    <s v=""/>
    <x v="1"/>
    <x v="0"/>
    <x v="193"/>
    <x v="0"/>
    <x v="0"/>
    <x v="0"/>
    <x v="0"/>
    <x v="0"/>
    <x v="0"/>
    <x v="0"/>
    <x v="0"/>
  </r>
  <r>
    <s v="ID1097"/>
    <d v="2012-05-28T16:07:51"/>
    <s v="Â£30000"/>
    <n v="30000"/>
    <s v="GBP"/>
    <n v="47285.348162018527"/>
    <s v="Information Analyst"/>
    <x v="0"/>
    <s v="UK"/>
    <x v="14"/>
    <x v="0"/>
    <n v="4"/>
    <s v=""/>
    <n v="1"/>
    <s v=""/>
    <s v=""/>
    <s v=""/>
    <s v=""/>
    <x v="1"/>
    <x v="0"/>
    <x v="62"/>
    <x v="0"/>
    <x v="0"/>
    <x v="0"/>
    <x v="0"/>
    <x v="0"/>
    <x v="0"/>
    <x v="0"/>
    <x v="0"/>
  </r>
  <r>
    <s v="ID1098"/>
    <d v="2012-05-28T16:07:51"/>
    <n v="48000"/>
    <n v="48000"/>
    <s v="GBP"/>
    <n v="75656.557059229643"/>
    <s v="Business Operations Co-ordinator"/>
    <x v="3"/>
    <s v="UK"/>
    <x v="14"/>
    <x v="2"/>
    <n v="10"/>
    <s v=""/>
    <s v=""/>
    <n v="1"/>
    <s v=""/>
    <s v=""/>
    <s v=""/>
    <x v="3"/>
    <x v="0"/>
    <x v="1"/>
    <x v="0"/>
    <x v="0"/>
    <x v="0"/>
    <x v="0"/>
    <x v="213"/>
    <x v="0"/>
    <x v="0"/>
    <x v="0"/>
  </r>
  <r>
    <s v="ID1099"/>
    <d v="2012-05-28T16:10:52"/>
    <s v="Rs. 20000"/>
    <n v="240000"/>
    <s v="INR"/>
    <n v="4273.9000049862161"/>
    <s v="Accountant"/>
    <x v="5"/>
    <s v="India"/>
    <x v="0"/>
    <x v="1"/>
    <n v="20"/>
    <s v=""/>
    <s v=""/>
    <s v=""/>
    <s v=""/>
    <n v="1"/>
    <s v=""/>
    <x v="2"/>
    <x v="45"/>
    <x v="1"/>
    <x v="0"/>
    <x v="0"/>
    <x v="0"/>
    <x v="0"/>
    <x v="0"/>
    <x v="0"/>
    <x v="0"/>
    <x v="0"/>
  </r>
  <r>
    <s v="ID1100"/>
    <d v="2012-05-28T16:19:21"/>
    <n v="37000"/>
    <n v="37000"/>
    <s v="EUR"/>
    <n v="47004.779242689488"/>
    <s v="Project Control Analyst"/>
    <x v="0"/>
    <s v="Spain"/>
    <x v="47"/>
    <x v="0"/>
    <n v="11"/>
    <s v=""/>
    <s v=""/>
    <s v=""/>
    <n v="1"/>
    <s v=""/>
    <s v=""/>
    <x v="5"/>
    <x v="0"/>
    <x v="227"/>
    <x v="0"/>
    <x v="0"/>
    <x v="0"/>
    <x v="0"/>
    <x v="0"/>
    <x v="0"/>
    <x v="0"/>
    <x v="0"/>
  </r>
  <r>
    <s v="ID1101"/>
    <d v="2012-05-28T16:19:41"/>
    <s v="Â£30000"/>
    <n v="30000"/>
    <s v="GBP"/>
    <n v="47285.348162018527"/>
    <s v="MDM Executive (Business Analyst)"/>
    <x v="0"/>
    <s v="UK"/>
    <x v="14"/>
    <x v="1"/>
    <n v="10"/>
    <s v=""/>
    <s v=""/>
    <n v="1"/>
    <s v=""/>
    <s v=""/>
    <s v=""/>
    <x v="3"/>
    <x v="0"/>
    <x v="62"/>
    <x v="0"/>
    <x v="0"/>
    <x v="0"/>
    <x v="0"/>
    <x v="0"/>
    <x v="0"/>
    <x v="0"/>
    <x v="0"/>
  </r>
  <r>
    <s v="ID1102"/>
    <d v="2012-05-28T16:20:52"/>
    <n v="58000"/>
    <n v="58000"/>
    <s v="GBP"/>
    <n v="91418.339779902482"/>
    <s v="Data analyst"/>
    <x v="0"/>
    <s v="UK"/>
    <x v="14"/>
    <x v="1"/>
    <n v="8"/>
    <s v=""/>
    <s v=""/>
    <n v="1"/>
    <s v=""/>
    <s v=""/>
    <s v=""/>
    <x v="3"/>
    <x v="0"/>
    <x v="228"/>
    <x v="0"/>
    <x v="0"/>
    <x v="0"/>
    <x v="0"/>
    <x v="0"/>
    <x v="0"/>
    <x v="0"/>
    <x v="0"/>
  </r>
  <r>
    <s v="ID1103"/>
    <d v="2012-05-28T16:21:27"/>
    <n v="79000"/>
    <n v="79000"/>
    <s v="GBP"/>
    <n v="124518.08349331544"/>
    <s v="Market Analyst"/>
    <x v="0"/>
    <s v="UK"/>
    <x v="14"/>
    <x v="2"/>
    <n v="14"/>
    <s v=""/>
    <s v=""/>
    <s v=""/>
    <n v="1"/>
    <s v=""/>
    <s v=""/>
    <x v="5"/>
    <x v="0"/>
    <x v="229"/>
    <x v="0"/>
    <x v="0"/>
    <x v="0"/>
    <x v="0"/>
    <x v="0"/>
    <x v="0"/>
    <x v="0"/>
    <x v="0"/>
  </r>
  <r>
    <s v="ID1104"/>
    <d v="2012-05-28T16:26:14"/>
    <n v="43912.03"/>
    <n v="43912"/>
    <s v="GBP"/>
    <n v="69213.140283018583"/>
    <s v="Senior Data Analyst"/>
    <x v="0"/>
    <s v="UK"/>
    <x v="14"/>
    <x v="1"/>
    <n v="3"/>
    <s v=""/>
    <n v="1"/>
    <s v=""/>
    <s v=""/>
    <s v=""/>
    <s v=""/>
    <x v="1"/>
    <x v="0"/>
    <x v="230"/>
    <x v="0"/>
    <x v="0"/>
    <x v="0"/>
    <x v="0"/>
    <x v="0"/>
    <x v="0"/>
    <x v="0"/>
    <x v="0"/>
  </r>
  <r>
    <s v="ID1105"/>
    <d v="2012-05-28T16:28:25"/>
    <n v="3500"/>
    <n v="3500"/>
    <s v="USD"/>
    <n v="3500"/>
    <s v="OFFICER"/>
    <x v="3"/>
    <s v="PAKISTAN"/>
    <x v="3"/>
    <x v="0"/>
    <n v="4"/>
    <s v=""/>
    <n v="1"/>
    <s v=""/>
    <s v=""/>
    <s v=""/>
    <s v=""/>
    <x v="1"/>
    <x v="0"/>
    <x v="1"/>
    <x v="0"/>
    <x v="0"/>
    <x v="0"/>
    <x v="0"/>
    <x v="214"/>
    <x v="0"/>
    <x v="0"/>
    <x v="0"/>
  </r>
  <r>
    <s v="ID1107"/>
    <d v="2012-05-28T16:34:48"/>
    <s v="Â£40000"/>
    <n v="40000"/>
    <s v="GBP"/>
    <n v="63047.130882691366"/>
    <s v="Buyer"/>
    <x v="3"/>
    <s v="UK"/>
    <x v="14"/>
    <x v="3"/>
    <n v="20"/>
    <s v=""/>
    <s v=""/>
    <s v=""/>
    <s v=""/>
    <n v="1"/>
    <s v=""/>
    <x v="2"/>
    <x v="0"/>
    <x v="1"/>
    <x v="0"/>
    <x v="0"/>
    <x v="0"/>
    <x v="0"/>
    <x v="215"/>
    <x v="0"/>
    <x v="0"/>
    <x v="0"/>
  </r>
  <r>
    <s v="ID1108"/>
    <d v="2012-05-28T16:35:19"/>
    <n v="57000"/>
    <n v="57000"/>
    <s v="EUR"/>
    <n v="72412.768022521646"/>
    <s v="Spare Part Coordinator"/>
    <x v="3"/>
    <s v="Norway"/>
    <x v="46"/>
    <x v="3"/>
    <n v="15"/>
    <s v=""/>
    <s v=""/>
    <s v=""/>
    <n v="1"/>
    <s v=""/>
    <s v=""/>
    <x v="5"/>
    <x v="0"/>
    <x v="1"/>
    <x v="0"/>
    <x v="0"/>
    <x v="0"/>
    <x v="0"/>
    <x v="216"/>
    <x v="0"/>
    <x v="0"/>
    <x v="0"/>
  </r>
  <r>
    <s v="ID1109"/>
    <d v="2012-05-28T16:41:27"/>
    <n v="40000"/>
    <n v="40000"/>
    <s v="EUR"/>
    <n v="50815.977559664309"/>
    <s v="Actuary"/>
    <x v="5"/>
    <s v="Portugal"/>
    <x v="7"/>
    <x v="2"/>
    <n v="10"/>
    <s v=""/>
    <s v=""/>
    <n v="1"/>
    <s v=""/>
    <s v=""/>
    <s v=""/>
    <x v="3"/>
    <x v="69"/>
    <x v="1"/>
    <x v="0"/>
    <x v="0"/>
    <x v="0"/>
    <x v="0"/>
    <x v="0"/>
    <x v="0"/>
    <x v="0"/>
    <x v="0"/>
  </r>
  <r>
    <s v="ID1110"/>
    <d v="2012-05-28T16:45:28"/>
    <n v="100000"/>
    <n v="1200000"/>
    <s v="INR"/>
    <n v="21369.500024931083"/>
    <s v="coordinato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61"/>
    <x v="0"/>
    <x v="0"/>
    <x v="0"/>
  </r>
  <r>
    <s v="ID1111"/>
    <d v="2012-05-28T16:45:32"/>
    <s v="Â£35000"/>
    <n v="35000"/>
    <s v="GBP"/>
    <n v="55166.239522354947"/>
    <s v="Systems Analyst"/>
    <x v="0"/>
    <s v="UK"/>
    <x v="14"/>
    <x v="2"/>
    <n v="6"/>
    <s v=""/>
    <s v=""/>
    <n v="1"/>
    <s v=""/>
    <s v=""/>
    <s v=""/>
    <x v="3"/>
    <x v="0"/>
    <x v="9"/>
    <x v="0"/>
    <x v="0"/>
    <x v="0"/>
    <x v="0"/>
    <x v="0"/>
    <x v="0"/>
    <x v="0"/>
    <x v="0"/>
  </r>
  <r>
    <s v="ID1112"/>
    <d v="2012-05-28T16:53:13"/>
    <s v="Rs. 15000"/>
    <n v="180000"/>
    <s v="INR"/>
    <n v="3205.4250037396623"/>
    <s v="Logistics Operation Analyst"/>
    <x v="0"/>
    <s v="India"/>
    <x v="0"/>
    <x v="1"/>
    <n v="3"/>
    <s v=""/>
    <n v="1"/>
    <s v=""/>
    <s v=""/>
    <s v=""/>
    <s v=""/>
    <x v="1"/>
    <x v="0"/>
    <x v="53"/>
    <x v="0"/>
    <x v="0"/>
    <x v="0"/>
    <x v="0"/>
    <x v="0"/>
    <x v="0"/>
    <x v="0"/>
    <x v="0"/>
  </r>
  <r>
    <s v="ID1113"/>
    <d v="2012-05-28T16:58:03"/>
    <s v="Rs. 600000"/>
    <n v="600000"/>
    <s v="INR"/>
    <n v="10684.750012465542"/>
    <s v="Company Secretary"/>
    <x v="5"/>
    <s v="India"/>
    <x v="0"/>
    <x v="2"/>
    <n v="8"/>
    <s v=""/>
    <s v=""/>
    <n v="1"/>
    <s v=""/>
    <s v=""/>
    <s v=""/>
    <x v="3"/>
    <x v="44"/>
    <x v="1"/>
    <x v="0"/>
    <x v="0"/>
    <x v="0"/>
    <x v="0"/>
    <x v="0"/>
    <x v="0"/>
    <x v="0"/>
    <x v="0"/>
  </r>
  <r>
    <s v="ID1114"/>
    <d v="2012-05-28T16:59:48"/>
    <s v="INR 300000"/>
    <n v="300000"/>
    <s v="INR"/>
    <n v="5342.3750062327708"/>
    <s v="Analyst"/>
    <x v="0"/>
    <s v="India"/>
    <x v="0"/>
    <x v="0"/>
    <n v="5"/>
    <s v=""/>
    <n v="1"/>
    <s v=""/>
    <s v=""/>
    <s v=""/>
    <s v=""/>
    <x v="1"/>
    <x v="0"/>
    <x v="150"/>
    <x v="0"/>
    <x v="0"/>
    <x v="0"/>
    <x v="0"/>
    <x v="0"/>
    <x v="0"/>
    <x v="0"/>
    <x v="0"/>
  </r>
  <r>
    <s v="ID1115"/>
    <d v="2012-05-28T17:02:43"/>
    <n v="75000"/>
    <n v="75000"/>
    <s v="GBP"/>
    <n v="118213.37040504631"/>
    <s v="Management Consultant"/>
    <x v="3"/>
    <s v="UK"/>
    <x v="14"/>
    <x v="2"/>
    <n v="10"/>
    <s v=""/>
    <s v=""/>
    <n v="1"/>
    <s v=""/>
    <s v=""/>
    <s v=""/>
    <x v="3"/>
    <x v="0"/>
    <x v="1"/>
    <x v="0"/>
    <x v="0"/>
    <x v="0"/>
    <x v="0"/>
    <x v="217"/>
    <x v="0"/>
    <x v="0"/>
    <x v="0"/>
  </r>
  <r>
    <s v="ID1116"/>
    <d v="2012-05-28T17:04:04"/>
    <s v="R100,000"/>
    <n v="100000"/>
    <s v="ZAR"/>
    <n v="12192.177986291113"/>
    <s v="Q.A.Officer"/>
    <x v="3"/>
    <s v="South Africa"/>
    <x v="11"/>
    <x v="1"/>
    <n v="15"/>
    <s v=""/>
    <s v=""/>
    <s v=""/>
    <n v="1"/>
    <s v=""/>
    <s v=""/>
    <x v="5"/>
    <x v="0"/>
    <x v="1"/>
    <x v="0"/>
    <x v="0"/>
    <x v="0"/>
    <x v="0"/>
    <x v="218"/>
    <x v="0"/>
    <x v="0"/>
    <x v="0"/>
  </r>
  <r>
    <s v="ID1117"/>
    <d v="2012-05-28T17:05:07"/>
    <s v="Â£45000"/>
    <n v="45000"/>
    <s v="GBP"/>
    <n v="70928.022243027779"/>
    <s v="Assistant Director - Performance Information"/>
    <x v="4"/>
    <s v="UK"/>
    <x v="14"/>
    <x v="0"/>
    <n v="8"/>
    <s v=""/>
    <s v=""/>
    <n v="1"/>
    <s v=""/>
    <s v=""/>
    <s v=""/>
    <x v="3"/>
    <x v="0"/>
    <x v="1"/>
    <x v="0"/>
    <x v="0"/>
    <x v="35"/>
    <x v="0"/>
    <x v="0"/>
    <x v="0"/>
    <x v="0"/>
    <x v="0"/>
  </r>
  <r>
    <s v="ID1118"/>
    <d v="2012-05-28T17:09:40"/>
    <s v="Â£25000"/>
    <n v="25000"/>
    <s v="GBP"/>
    <n v="39404.456801682099"/>
    <s v="Developer"/>
    <x v="0"/>
    <s v="UK"/>
    <x v="14"/>
    <x v="0"/>
    <n v="3"/>
    <s v=""/>
    <n v="1"/>
    <s v=""/>
    <s v=""/>
    <s v=""/>
    <s v=""/>
    <x v="1"/>
    <x v="0"/>
    <x v="115"/>
    <x v="0"/>
    <x v="0"/>
    <x v="0"/>
    <x v="0"/>
    <x v="0"/>
    <x v="0"/>
    <x v="0"/>
    <x v="0"/>
  </r>
  <r>
    <s v="ID1119"/>
    <d v="2012-05-28T17:12:47"/>
    <n v="18987"/>
    <n v="18987"/>
    <s v="USD"/>
    <n v="18987"/>
    <s v="Business Analyst"/>
    <x v="0"/>
    <s v="Nigeria"/>
    <x v="60"/>
    <x v="1"/>
    <n v="7"/>
    <s v=""/>
    <s v=""/>
    <n v="1"/>
    <s v=""/>
    <s v=""/>
    <s v=""/>
    <x v="3"/>
    <x v="0"/>
    <x v="231"/>
    <x v="0"/>
    <x v="0"/>
    <x v="0"/>
    <x v="0"/>
    <x v="0"/>
    <x v="0"/>
    <x v="0"/>
    <x v="0"/>
  </r>
  <r>
    <s v="ID1120"/>
    <d v="2012-05-28T17:15:29"/>
    <s v="Â£28500"/>
    <n v="28500"/>
    <s v="GBP"/>
    <n v="44921.080753917595"/>
    <s v="Development (Project &amp; Planning) Manager"/>
    <x v="3"/>
    <s v="UK"/>
    <x v="14"/>
    <x v="3"/>
    <n v="15"/>
    <s v=""/>
    <s v=""/>
    <s v=""/>
    <n v="1"/>
    <s v=""/>
    <s v=""/>
    <x v="5"/>
    <x v="0"/>
    <x v="1"/>
    <x v="0"/>
    <x v="0"/>
    <x v="0"/>
    <x v="0"/>
    <x v="106"/>
    <x v="0"/>
    <x v="0"/>
    <x v="0"/>
  </r>
  <r>
    <s v="ID1121"/>
    <d v="2012-05-28T17:17:39"/>
    <n v="60000"/>
    <n v="60000"/>
    <s v="USD"/>
    <n v="60000"/>
    <s v="manager"/>
    <x v="3"/>
    <s v="India"/>
    <x v="0"/>
    <x v="1"/>
    <n v="14"/>
    <s v=""/>
    <s v=""/>
    <s v=""/>
    <n v="1"/>
    <s v=""/>
    <s v=""/>
    <x v="5"/>
    <x v="0"/>
    <x v="1"/>
    <x v="0"/>
    <x v="0"/>
    <x v="0"/>
    <x v="0"/>
    <x v="76"/>
    <x v="0"/>
    <x v="0"/>
    <x v="0"/>
  </r>
  <r>
    <s v="ID1122"/>
    <d v="2012-05-28T17:18:47"/>
    <s v="GBP Â£45200"/>
    <n v="45200"/>
    <s v="GBP"/>
    <n v="71243.257897441246"/>
    <s v="Clinical audit manager"/>
    <x v="3"/>
    <s v="UK"/>
    <x v="14"/>
    <x v="2"/>
    <n v="5"/>
    <s v=""/>
    <n v="1"/>
    <s v=""/>
    <s v=""/>
    <s v=""/>
    <s v=""/>
    <x v="1"/>
    <x v="0"/>
    <x v="1"/>
    <x v="0"/>
    <x v="0"/>
    <x v="0"/>
    <x v="0"/>
    <x v="219"/>
    <x v="0"/>
    <x v="0"/>
    <x v="0"/>
  </r>
  <r>
    <s v="ID1123"/>
    <d v="2012-05-28T17:22:19"/>
    <s v="252000 INR"/>
    <n v="252000"/>
    <s v="INR"/>
    <n v="4487.5950052355274"/>
    <s v="Inventory Manager"/>
    <x v="3"/>
    <s v="India"/>
    <x v="0"/>
    <x v="3"/>
    <n v="16"/>
    <s v=""/>
    <s v=""/>
    <s v=""/>
    <s v=""/>
    <s v=""/>
    <s v=""/>
    <x v="0"/>
    <x v="0"/>
    <x v="1"/>
    <x v="0"/>
    <x v="0"/>
    <x v="0"/>
    <x v="0"/>
    <x v="220"/>
    <x v="0"/>
    <x v="0"/>
    <x v="0"/>
  </r>
  <r>
    <s v="ID1124"/>
    <d v="2012-05-28T17:34:16"/>
    <n v="242304"/>
    <n v="242304"/>
    <s v="INR"/>
    <n v="4314.929445034084"/>
    <s v="accountant"/>
    <x v="5"/>
    <s v="India"/>
    <x v="0"/>
    <x v="0"/>
    <n v="7"/>
    <s v=""/>
    <s v=""/>
    <n v="1"/>
    <s v=""/>
    <s v=""/>
    <s v=""/>
    <x v="3"/>
    <x v="70"/>
    <x v="1"/>
    <x v="0"/>
    <x v="0"/>
    <x v="0"/>
    <x v="0"/>
    <x v="0"/>
    <x v="0"/>
    <x v="0"/>
    <x v="0"/>
  </r>
  <r>
    <s v="ID1125"/>
    <d v="2012-05-28T17:38:46"/>
    <n v="210000"/>
    <n v="210000"/>
    <s v="INR"/>
    <n v="3739.6625043629392"/>
    <s v="information Analyst"/>
    <x v="0"/>
    <s v="India"/>
    <x v="0"/>
    <x v="1"/>
    <n v="1"/>
    <n v="1"/>
    <s v=""/>
    <s v=""/>
    <s v=""/>
    <s v=""/>
    <s v=""/>
    <x v="4"/>
    <x v="0"/>
    <x v="232"/>
    <x v="0"/>
    <x v="0"/>
    <x v="0"/>
    <x v="0"/>
    <x v="0"/>
    <x v="0"/>
    <x v="0"/>
    <x v="0"/>
  </r>
  <r>
    <s v="ID1126"/>
    <d v="2012-05-28T17:42:11"/>
    <n v="5000"/>
    <n v="60000"/>
    <s v="EUR"/>
    <n v="76223.966339496474"/>
    <s v="Development Manager"/>
    <x v="3"/>
    <s v="Finland"/>
    <x v="40"/>
    <x v="3"/>
    <n v="4"/>
    <s v=""/>
    <n v="1"/>
    <s v=""/>
    <s v=""/>
    <s v=""/>
    <s v=""/>
    <x v="1"/>
    <x v="0"/>
    <x v="1"/>
    <x v="0"/>
    <x v="0"/>
    <x v="0"/>
    <x v="0"/>
    <x v="221"/>
    <x v="0"/>
    <x v="0"/>
    <x v="0"/>
  </r>
  <r>
    <s v="ID1127"/>
    <d v="2012-05-28T17:42:22"/>
    <s v="AED 120000"/>
    <n v="120000"/>
    <s v="AED"/>
    <n v="32666.305522511171"/>
    <s v="Finance Manager"/>
    <x v="3"/>
    <s v="UAE"/>
    <x v="21"/>
    <x v="2"/>
    <n v="12"/>
    <s v=""/>
    <s v=""/>
    <s v=""/>
    <n v="1"/>
    <s v=""/>
    <s v=""/>
    <x v="5"/>
    <x v="0"/>
    <x v="1"/>
    <x v="0"/>
    <x v="0"/>
    <x v="0"/>
    <x v="0"/>
    <x v="222"/>
    <x v="0"/>
    <x v="0"/>
    <x v="0"/>
  </r>
  <r>
    <s v="ID1128"/>
    <d v="2012-05-28T17:42:51"/>
    <n v="19000"/>
    <n v="19000"/>
    <s v="USD"/>
    <n v="19000"/>
    <s v="MI Specialist"/>
    <x v="7"/>
    <s v="UK"/>
    <x v="14"/>
    <x v="1"/>
    <n v="8"/>
    <s v=""/>
    <s v=""/>
    <n v="1"/>
    <s v=""/>
    <s v=""/>
    <s v=""/>
    <x v="3"/>
    <x v="0"/>
    <x v="1"/>
    <x v="0"/>
    <x v="0"/>
    <x v="0"/>
    <x v="0"/>
    <x v="0"/>
    <x v="0"/>
    <x v="42"/>
    <x v="0"/>
  </r>
  <r>
    <s v="ID1129"/>
    <d v="2012-05-28T17:42:57"/>
    <n v="50000"/>
    <n v="50000"/>
    <s v="EUR"/>
    <n v="63519.971949580387"/>
    <s v="Network Enginer"/>
    <x v="2"/>
    <s v="Portugal"/>
    <x v="7"/>
    <x v="2"/>
    <n v="14"/>
    <s v=""/>
    <s v=""/>
    <s v=""/>
    <n v="1"/>
    <s v=""/>
    <s v=""/>
    <x v="5"/>
    <x v="0"/>
    <x v="1"/>
    <x v="0"/>
    <x v="0"/>
    <x v="0"/>
    <x v="35"/>
    <x v="0"/>
    <x v="0"/>
    <x v="0"/>
    <x v="0"/>
  </r>
  <r>
    <s v="ID1130"/>
    <d v="2012-05-28T17:53:43"/>
    <s v="Rs. 900000"/>
    <n v="900000"/>
    <s v="INR"/>
    <n v="16027.125018698311"/>
    <s v="officer"/>
    <x v="3"/>
    <s v="India"/>
    <x v="0"/>
    <x v="0"/>
    <n v="22"/>
    <s v=""/>
    <s v=""/>
    <s v=""/>
    <s v=""/>
    <s v=""/>
    <n v="1"/>
    <x v="6"/>
    <x v="0"/>
    <x v="1"/>
    <x v="0"/>
    <x v="0"/>
    <x v="0"/>
    <x v="0"/>
    <x v="103"/>
    <x v="0"/>
    <x v="0"/>
    <x v="0"/>
  </r>
  <r>
    <s v="ID1131"/>
    <d v="2012-05-28T18:02:44"/>
    <s v="4,00,000"/>
    <n v="400000"/>
    <s v="INR"/>
    <n v="7123.1666749770275"/>
    <s v="Sr. Team Lead - MIS"/>
    <x v="7"/>
    <s v="India"/>
    <x v="0"/>
    <x v="0"/>
    <n v="9"/>
    <s v=""/>
    <s v=""/>
    <n v="1"/>
    <s v=""/>
    <s v=""/>
    <s v=""/>
    <x v="3"/>
    <x v="0"/>
    <x v="1"/>
    <x v="0"/>
    <x v="0"/>
    <x v="0"/>
    <x v="0"/>
    <x v="0"/>
    <x v="0"/>
    <x v="23"/>
    <x v="0"/>
  </r>
  <r>
    <s v="ID1132"/>
    <d v="2012-05-28T18:05:13"/>
    <n v="150252"/>
    <n v="150252"/>
    <s v="INR"/>
    <n v="2675.675098121621"/>
    <s v="KEY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223"/>
    <x v="0"/>
    <x v="0"/>
    <x v="0"/>
  </r>
  <r>
    <s v="ID1133"/>
    <d v="2012-05-28T18:05:16"/>
    <s v="Â£15000"/>
    <n v="15000"/>
    <s v="GBP"/>
    <n v="23642.674081009263"/>
    <s v="MI Specialist"/>
    <x v="7"/>
    <s v="UK"/>
    <x v="14"/>
    <x v="1"/>
    <n v="2"/>
    <n v="1"/>
    <s v=""/>
    <s v=""/>
    <s v=""/>
    <s v=""/>
    <s v=""/>
    <x v="4"/>
    <x v="0"/>
    <x v="1"/>
    <x v="0"/>
    <x v="0"/>
    <x v="0"/>
    <x v="0"/>
    <x v="0"/>
    <x v="0"/>
    <x v="43"/>
    <x v="0"/>
  </r>
  <r>
    <s v="ID1134"/>
    <d v="2012-05-28T18:11:36"/>
    <s v="â‚¬ 45000"/>
    <n v="45000"/>
    <s v="EUR"/>
    <n v="57167.974754622352"/>
    <s v="Sales Planning"/>
    <x v="3"/>
    <s v="Spain"/>
    <x v="47"/>
    <x v="0"/>
    <n v="14"/>
    <s v=""/>
    <s v=""/>
    <s v=""/>
    <n v="1"/>
    <s v=""/>
    <s v=""/>
    <x v="5"/>
    <x v="0"/>
    <x v="1"/>
    <x v="0"/>
    <x v="0"/>
    <x v="0"/>
    <x v="0"/>
    <x v="14"/>
    <x v="0"/>
    <x v="0"/>
    <x v="0"/>
  </r>
  <r>
    <s v="ID1135"/>
    <d v="2012-05-28T18:30:51"/>
    <s v="Rs 2400000"/>
    <n v="2400000"/>
    <s v="INR"/>
    <n v="42739.000049862167"/>
    <s v="GM Finance"/>
    <x v="3"/>
    <s v="India"/>
    <x v="0"/>
    <x v="1"/>
    <n v="10"/>
    <s v=""/>
    <s v=""/>
    <n v="1"/>
    <s v=""/>
    <s v=""/>
    <s v=""/>
    <x v="3"/>
    <x v="0"/>
    <x v="1"/>
    <x v="0"/>
    <x v="0"/>
    <x v="0"/>
    <x v="0"/>
    <x v="224"/>
    <x v="0"/>
    <x v="0"/>
    <x v="0"/>
  </r>
  <r>
    <s v="ID1136"/>
    <d v="2012-05-28T18:34:12"/>
    <s v="PhP 216,000"/>
    <n v="216000"/>
    <s v="PHP"/>
    <n v="5120.2912876821438"/>
    <s v="Planner"/>
    <x v="3"/>
    <s v="Philippines"/>
    <x v="32"/>
    <x v="0"/>
    <n v="2"/>
    <n v="1"/>
    <s v=""/>
    <s v=""/>
    <s v=""/>
    <s v=""/>
    <s v=""/>
    <x v="4"/>
    <x v="0"/>
    <x v="1"/>
    <x v="0"/>
    <x v="0"/>
    <x v="0"/>
    <x v="0"/>
    <x v="225"/>
    <x v="0"/>
    <x v="0"/>
    <x v="0"/>
  </r>
  <r>
    <s v="ID1137"/>
    <d v="2012-05-28T18:38:06"/>
    <n v="100000"/>
    <n v="100000"/>
    <s v="EUR"/>
    <n v="127039.94389916077"/>
    <s v="Finance Director"/>
    <x v="4"/>
    <s v="Spain"/>
    <x v="47"/>
    <x v="3"/>
    <n v="20"/>
    <s v=""/>
    <s v=""/>
    <s v=""/>
    <s v=""/>
    <n v="1"/>
    <s v=""/>
    <x v="2"/>
    <x v="0"/>
    <x v="1"/>
    <x v="0"/>
    <x v="0"/>
    <x v="8"/>
    <x v="0"/>
    <x v="0"/>
    <x v="0"/>
    <x v="0"/>
    <x v="0"/>
  </r>
  <r>
    <s v="ID1138"/>
    <d v="2012-05-28T18:39:19"/>
    <n v="90000"/>
    <n v="90000"/>
    <s v="USD"/>
    <n v="90000"/>
    <s v="Performance manager"/>
    <x v="3"/>
    <s v="USA"/>
    <x v="2"/>
    <x v="0"/>
    <n v="5"/>
    <s v=""/>
    <n v="1"/>
    <s v=""/>
    <s v=""/>
    <s v=""/>
    <s v=""/>
    <x v="1"/>
    <x v="0"/>
    <x v="1"/>
    <x v="0"/>
    <x v="0"/>
    <x v="0"/>
    <x v="0"/>
    <x v="52"/>
    <x v="0"/>
    <x v="0"/>
    <x v="0"/>
  </r>
  <r>
    <s v="ID1139"/>
    <d v="2012-05-28T18:40:08"/>
    <n v="400000"/>
    <n v="400000"/>
    <s v="INR"/>
    <n v="7123.1666749770275"/>
    <s v="software engineer"/>
    <x v="2"/>
    <s v="India"/>
    <x v="0"/>
    <x v="3"/>
    <n v="2"/>
    <n v="1"/>
    <s v=""/>
    <s v=""/>
    <s v=""/>
    <s v=""/>
    <s v=""/>
    <x v="4"/>
    <x v="0"/>
    <x v="1"/>
    <x v="0"/>
    <x v="0"/>
    <x v="0"/>
    <x v="32"/>
    <x v="0"/>
    <x v="0"/>
    <x v="0"/>
    <x v="0"/>
  </r>
  <r>
    <s v="ID1140"/>
    <d v="2012-05-28T18:45:00"/>
    <n v="10000"/>
    <n v="10000"/>
    <s v="USD"/>
    <n v="10000"/>
    <s v="Business analyst"/>
    <x v="0"/>
    <s v="India"/>
    <x v="0"/>
    <x v="2"/>
    <n v="5"/>
    <s v=""/>
    <n v="1"/>
    <s v=""/>
    <s v=""/>
    <s v=""/>
    <s v=""/>
    <x v="1"/>
    <x v="0"/>
    <x v="167"/>
    <x v="0"/>
    <x v="0"/>
    <x v="0"/>
    <x v="0"/>
    <x v="0"/>
    <x v="0"/>
    <x v="0"/>
    <x v="0"/>
  </r>
  <r>
    <s v="ID1141"/>
    <d v="2012-05-28T18:50:35"/>
    <n v="29000"/>
    <n v="29000"/>
    <s v="GBP"/>
    <n v="45709.169889951241"/>
    <s v="Financial Analyst"/>
    <x v="0"/>
    <s v="UK"/>
    <x v="14"/>
    <x v="0"/>
    <n v="14"/>
    <s v=""/>
    <s v=""/>
    <s v=""/>
    <n v="1"/>
    <s v=""/>
    <s v=""/>
    <x v="5"/>
    <x v="0"/>
    <x v="90"/>
    <x v="0"/>
    <x v="0"/>
    <x v="0"/>
    <x v="0"/>
    <x v="0"/>
    <x v="0"/>
    <x v="0"/>
    <x v="0"/>
  </r>
  <r>
    <s v="ID1142"/>
    <d v="2012-05-28T19:05:22"/>
    <s v="200000 rupees"/>
    <n v="200000"/>
    <s v="INR"/>
    <n v="3561.5833374885137"/>
    <s v="MIS Sr. Executive"/>
    <x v="7"/>
    <s v="India"/>
    <x v="0"/>
    <x v="1"/>
    <n v="5"/>
    <s v=""/>
    <n v="1"/>
    <s v=""/>
    <s v=""/>
    <s v=""/>
    <s v=""/>
    <x v="1"/>
    <x v="0"/>
    <x v="1"/>
    <x v="0"/>
    <x v="0"/>
    <x v="0"/>
    <x v="0"/>
    <x v="0"/>
    <x v="0"/>
    <x v="17"/>
    <x v="0"/>
  </r>
  <r>
    <s v="ID1143"/>
    <d v="2012-05-28T19:09:37"/>
    <n v="30000"/>
    <n v="30000"/>
    <s v="EUR"/>
    <n v="38111.983169748237"/>
    <s v="Translator"/>
    <x v="0"/>
    <s v="Belgium"/>
    <x v="12"/>
    <x v="3"/>
    <n v="15"/>
    <s v=""/>
    <s v=""/>
    <s v=""/>
    <n v="1"/>
    <s v=""/>
    <s v=""/>
    <x v="5"/>
    <x v="0"/>
    <x v="233"/>
    <x v="0"/>
    <x v="0"/>
    <x v="0"/>
    <x v="0"/>
    <x v="0"/>
    <x v="0"/>
    <x v="0"/>
    <x v="0"/>
  </r>
  <r>
    <s v="ID1144"/>
    <d v="2012-05-28T19:19:51"/>
    <n v="5000"/>
    <n v="60000"/>
    <s v="USD"/>
    <n v="60000"/>
    <s v="Business Anaylyst"/>
    <x v="0"/>
    <s v="USA"/>
    <x v="2"/>
    <x v="2"/>
    <n v="4"/>
    <s v=""/>
    <n v="1"/>
    <s v=""/>
    <s v=""/>
    <s v=""/>
    <s v=""/>
    <x v="1"/>
    <x v="0"/>
    <x v="8"/>
    <x v="0"/>
    <x v="0"/>
    <x v="0"/>
    <x v="0"/>
    <x v="0"/>
    <x v="0"/>
    <x v="0"/>
    <x v="0"/>
  </r>
  <r>
    <s v="ID1145"/>
    <d v="2012-05-28T19:23:29"/>
    <n v="40000"/>
    <n v="40000"/>
    <s v="USD"/>
    <n v="40000"/>
    <s v="Engineer"/>
    <x v="2"/>
    <s v="India"/>
    <x v="0"/>
    <x v="2"/>
    <n v="2"/>
    <n v="1"/>
    <s v=""/>
    <s v=""/>
    <s v=""/>
    <s v=""/>
    <s v=""/>
    <x v="4"/>
    <x v="0"/>
    <x v="1"/>
    <x v="0"/>
    <x v="0"/>
    <x v="0"/>
    <x v="36"/>
    <x v="0"/>
    <x v="0"/>
    <x v="0"/>
    <x v="0"/>
  </r>
  <r>
    <s v="ID1146"/>
    <d v="2012-05-28T19:25:04"/>
    <s v="INR 853000"/>
    <n v="853000"/>
    <s v="INR"/>
    <n v="15190.15293438851"/>
    <s v="Lead Research Analyst"/>
    <x v="0"/>
    <s v="India"/>
    <x v="0"/>
    <x v="2"/>
    <n v="6"/>
    <s v=""/>
    <s v=""/>
    <n v="1"/>
    <s v=""/>
    <s v=""/>
    <s v=""/>
    <x v="3"/>
    <x v="0"/>
    <x v="234"/>
    <x v="0"/>
    <x v="0"/>
    <x v="0"/>
    <x v="0"/>
    <x v="0"/>
    <x v="0"/>
    <x v="0"/>
    <x v="0"/>
  </r>
  <r>
    <s v="ID1147"/>
    <d v="2012-05-28T19:25:35"/>
    <n v="90000"/>
    <n v="90000"/>
    <s v="EUR"/>
    <n v="114335.9495092447"/>
    <s v="Management Information Manager"/>
    <x v="3"/>
    <s v="Continental Europe"/>
    <x v="77"/>
    <x v="2"/>
    <n v="20"/>
    <s v=""/>
    <s v=""/>
    <s v=""/>
    <s v=""/>
    <n v="1"/>
    <s v=""/>
    <x v="2"/>
    <x v="0"/>
    <x v="1"/>
    <x v="0"/>
    <x v="0"/>
    <x v="0"/>
    <x v="0"/>
    <x v="226"/>
    <x v="0"/>
    <x v="0"/>
    <x v="0"/>
  </r>
  <r>
    <s v="ID1148"/>
    <d v="2012-05-28T19:32:15"/>
    <s v="Â£23000"/>
    <n v="23000"/>
    <s v="GBP"/>
    <n v="36252.100257547536"/>
    <s v="Data Management Officer"/>
    <x v="3"/>
    <s v="UK"/>
    <x v="14"/>
    <x v="0"/>
    <n v="10"/>
    <s v=""/>
    <s v=""/>
    <n v="1"/>
    <s v=""/>
    <s v=""/>
    <s v=""/>
    <x v="3"/>
    <x v="0"/>
    <x v="1"/>
    <x v="0"/>
    <x v="0"/>
    <x v="0"/>
    <x v="0"/>
    <x v="227"/>
    <x v="0"/>
    <x v="0"/>
    <x v="0"/>
  </r>
  <r>
    <s v="ID1149"/>
    <d v="2012-05-28T19:53:14"/>
    <s v="Â£30000"/>
    <n v="30000"/>
    <s v="GBP"/>
    <n v="47285.348162018527"/>
    <s v="Reporting Accountant"/>
    <x v="5"/>
    <s v="UK"/>
    <x v="14"/>
    <x v="2"/>
    <n v="5"/>
    <s v=""/>
    <n v="1"/>
    <s v=""/>
    <s v=""/>
    <s v=""/>
    <s v=""/>
    <x v="1"/>
    <x v="71"/>
    <x v="1"/>
    <x v="0"/>
    <x v="0"/>
    <x v="0"/>
    <x v="0"/>
    <x v="0"/>
    <x v="0"/>
    <x v="0"/>
    <x v="0"/>
  </r>
  <r>
    <s v="ID1150"/>
    <d v="2012-05-28T20:05:20"/>
    <s v="â‚¬70k"/>
    <n v="70000"/>
    <s v="EUR"/>
    <n v="88927.960729412545"/>
    <s v="Construction Planner"/>
    <x v="8"/>
    <s v="Ireland"/>
    <x v="8"/>
    <x v="2"/>
    <n v="20"/>
    <s v=""/>
    <s v=""/>
    <s v=""/>
    <s v=""/>
    <n v="1"/>
    <s v=""/>
    <x v="2"/>
    <x v="0"/>
    <x v="1"/>
    <x v="50"/>
    <x v="0"/>
    <x v="0"/>
    <x v="0"/>
    <x v="0"/>
    <x v="0"/>
    <x v="0"/>
    <x v="0"/>
  </r>
  <r>
    <s v="ID1151"/>
    <d v="2012-05-28T20:19:57"/>
    <n v="6000"/>
    <n v="6000"/>
    <s v="USD"/>
    <n v="6000"/>
    <s v="Assistant Accountant"/>
    <x v="5"/>
    <s v="Zambia"/>
    <x v="72"/>
    <x v="1"/>
    <n v="5"/>
    <s v=""/>
    <n v="1"/>
    <s v=""/>
    <s v=""/>
    <s v=""/>
    <s v=""/>
    <x v="1"/>
    <x v="72"/>
    <x v="1"/>
    <x v="0"/>
    <x v="0"/>
    <x v="0"/>
    <x v="0"/>
    <x v="0"/>
    <x v="0"/>
    <x v="0"/>
    <x v="0"/>
  </r>
  <r>
    <s v="ID1152"/>
    <d v="2012-05-28T20:20:54"/>
    <n v="35000"/>
    <n v="35000"/>
    <s v="USD"/>
    <n v="35000"/>
    <s v="BI Analyst"/>
    <x v="0"/>
    <s v="USA"/>
    <x v="2"/>
    <x v="1"/>
    <n v="20"/>
    <s v=""/>
    <s v=""/>
    <s v=""/>
    <s v=""/>
    <n v="1"/>
    <s v=""/>
    <x v="2"/>
    <x v="0"/>
    <x v="100"/>
    <x v="0"/>
    <x v="0"/>
    <x v="0"/>
    <x v="0"/>
    <x v="0"/>
    <x v="0"/>
    <x v="0"/>
    <x v="0"/>
  </r>
  <r>
    <s v="ID1153"/>
    <d v="2012-05-28T20:35:30"/>
    <s v="Â£35000"/>
    <n v="35000"/>
    <s v="GBP"/>
    <n v="55166.239522354947"/>
    <s v="MI Analyst"/>
    <x v="0"/>
    <s v="UK"/>
    <x v="14"/>
    <x v="0"/>
    <n v="10"/>
    <s v=""/>
    <s v=""/>
    <n v="1"/>
    <s v=""/>
    <s v=""/>
    <s v=""/>
    <x v="3"/>
    <x v="0"/>
    <x v="9"/>
    <x v="0"/>
    <x v="0"/>
    <x v="0"/>
    <x v="0"/>
    <x v="0"/>
    <x v="0"/>
    <x v="0"/>
    <x v="0"/>
  </r>
  <r>
    <s v="ID1154"/>
    <d v="2012-05-28T20:43:31"/>
    <n v="168000"/>
    <n v="168000"/>
    <s v="PKR"/>
    <n v="1783.166904422254"/>
    <s v="Accounts Assistant"/>
    <x v="5"/>
    <s v="Pakistan"/>
    <x v="3"/>
    <x v="0"/>
    <n v="10"/>
    <s v=""/>
    <s v=""/>
    <n v="1"/>
    <s v=""/>
    <s v=""/>
    <s v=""/>
    <x v="3"/>
    <x v="73"/>
    <x v="1"/>
    <x v="0"/>
    <x v="0"/>
    <x v="0"/>
    <x v="0"/>
    <x v="0"/>
    <x v="0"/>
    <x v="0"/>
    <x v="0"/>
  </r>
  <r>
    <s v="ID1155"/>
    <d v="2012-05-28T20:45:35"/>
    <n v="13.5"/>
    <n v="13500"/>
    <s v="USD"/>
    <n v="13500"/>
    <s v="Project manager"/>
    <x v="3"/>
    <s v="Montenegro"/>
    <x v="78"/>
    <x v="0"/>
    <n v="13"/>
    <s v=""/>
    <s v=""/>
    <s v=""/>
    <n v="1"/>
    <s v=""/>
    <s v=""/>
    <x v="5"/>
    <x v="0"/>
    <x v="1"/>
    <x v="0"/>
    <x v="0"/>
    <x v="0"/>
    <x v="0"/>
    <x v="5"/>
    <x v="0"/>
    <x v="0"/>
    <x v="0"/>
  </r>
  <r>
    <s v="ID1156"/>
    <d v="2012-05-28T20:51:37"/>
    <s v="Â£37500"/>
    <n v="37500"/>
    <s v="GBP"/>
    <n v="59106.685202523156"/>
    <s v="Corporate Finance Executive"/>
    <x v="5"/>
    <s v="UK"/>
    <x v="14"/>
    <x v="2"/>
    <n v="5"/>
    <s v=""/>
    <n v="1"/>
    <s v=""/>
    <s v=""/>
    <s v=""/>
    <s v=""/>
    <x v="1"/>
    <x v="74"/>
    <x v="1"/>
    <x v="0"/>
    <x v="0"/>
    <x v="0"/>
    <x v="0"/>
    <x v="0"/>
    <x v="0"/>
    <x v="0"/>
    <x v="0"/>
  </r>
  <r>
    <s v="ID1157"/>
    <d v="2012-05-28T20:54:29"/>
    <s v="Rs. 59,000 (Per Month)"/>
    <n v="708000"/>
    <s v="INR"/>
    <n v="12608.005014709339"/>
    <s v="Manager-Operation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228"/>
    <x v="0"/>
    <x v="0"/>
    <x v="0"/>
  </r>
  <r>
    <s v="ID1158"/>
    <d v="2012-05-28T21:14:25"/>
    <s v="R366252"/>
    <n v="366252"/>
    <s v="ZAR"/>
    <n v="44654.095718350931"/>
    <s v="Accountant"/>
    <x v="5"/>
    <s v="South Africa"/>
    <x v="11"/>
    <x v="1"/>
    <n v="15"/>
    <s v=""/>
    <s v=""/>
    <s v=""/>
    <n v="1"/>
    <s v=""/>
    <s v=""/>
    <x v="5"/>
    <x v="75"/>
    <x v="1"/>
    <x v="0"/>
    <x v="0"/>
    <x v="0"/>
    <x v="0"/>
    <x v="0"/>
    <x v="0"/>
    <x v="0"/>
    <x v="0"/>
  </r>
  <r>
    <s v="ID1159"/>
    <d v="2012-05-28T21:17:04"/>
    <n v="69000"/>
    <n v="69000"/>
    <s v="USD"/>
    <n v="69000"/>
    <s v="Financial Analysist"/>
    <x v="0"/>
    <s v="USA"/>
    <x v="2"/>
    <x v="2"/>
    <n v="20"/>
    <s v=""/>
    <s v=""/>
    <s v=""/>
    <s v=""/>
    <n v="1"/>
    <s v=""/>
    <x v="2"/>
    <x v="0"/>
    <x v="235"/>
    <x v="0"/>
    <x v="0"/>
    <x v="0"/>
    <x v="0"/>
    <x v="0"/>
    <x v="0"/>
    <x v="0"/>
    <x v="0"/>
  </r>
  <r>
    <s v="ID1160"/>
    <d v="2012-05-28T21:55:25"/>
    <n v="500"/>
    <n v="6000"/>
    <s v="USD"/>
    <n v="6000"/>
    <s v="AM Ops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124"/>
    <x v="0"/>
    <x v="0"/>
    <x v="0"/>
  </r>
  <r>
    <s v="ID1161"/>
    <d v="2012-05-28T22:08:12"/>
    <s v="Rs.5,00,000"/>
    <n v="500000"/>
    <s v="INR"/>
    <n v="8903.9583437212841"/>
    <s v="Deputy Manager"/>
    <x v="3"/>
    <s v="India"/>
    <x v="0"/>
    <x v="3"/>
    <n v="25"/>
    <s v=""/>
    <s v=""/>
    <s v=""/>
    <s v=""/>
    <s v=""/>
    <n v="1"/>
    <x v="6"/>
    <x v="0"/>
    <x v="1"/>
    <x v="0"/>
    <x v="0"/>
    <x v="0"/>
    <x v="0"/>
    <x v="57"/>
    <x v="0"/>
    <x v="0"/>
    <x v="0"/>
  </r>
  <r>
    <s v="ID1162"/>
    <d v="2012-05-28T22:10:12"/>
    <n v="30000"/>
    <n v="30000"/>
    <s v="USD"/>
    <n v="30000"/>
    <s v="pricing and cost manager"/>
    <x v="3"/>
    <s v="mexico"/>
    <x v="25"/>
    <x v="1"/>
    <n v="17"/>
    <s v=""/>
    <s v=""/>
    <s v=""/>
    <s v=""/>
    <n v="1"/>
    <s v=""/>
    <x v="2"/>
    <x v="0"/>
    <x v="1"/>
    <x v="0"/>
    <x v="0"/>
    <x v="0"/>
    <x v="0"/>
    <x v="99"/>
    <x v="0"/>
    <x v="0"/>
    <x v="0"/>
  </r>
  <r>
    <s v="ID1163"/>
    <d v="2012-05-28T22:13:24"/>
    <n v="8600"/>
    <n v="8600"/>
    <s v="USD"/>
    <n v="8600"/>
    <s v="Catlog associates"/>
    <x v="0"/>
    <s v="India"/>
    <x v="0"/>
    <x v="0"/>
    <n v="2"/>
    <n v="1"/>
    <s v=""/>
    <s v=""/>
    <s v=""/>
    <s v=""/>
    <s v=""/>
    <x v="4"/>
    <x v="0"/>
    <x v="236"/>
    <x v="0"/>
    <x v="0"/>
    <x v="0"/>
    <x v="0"/>
    <x v="0"/>
    <x v="0"/>
    <x v="0"/>
    <x v="0"/>
  </r>
  <r>
    <s v="ID1164"/>
    <d v="2012-05-28T22:25:04"/>
    <s v="Â£51,000/$81,600"/>
    <n v="81600"/>
    <s v="USD"/>
    <n v="81600"/>
    <s v="Business Analyst - Central Finance"/>
    <x v="0"/>
    <s v="UK"/>
    <x v="14"/>
    <x v="0"/>
    <n v="4"/>
    <s v=""/>
    <n v="1"/>
    <s v=""/>
    <s v=""/>
    <s v=""/>
    <s v=""/>
    <x v="1"/>
    <x v="0"/>
    <x v="237"/>
    <x v="0"/>
    <x v="0"/>
    <x v="0"/>
    <x v="0"/>
    <x v="0"/>
    <x v="0"/>
    <x v="0"/>
    <x v="0"/>
  </r>
  <r>
    <s v="ID1165"/>
    <d v="2012-05-28T22:33:29"/>
    <n v="600000"/>
    <n v="600000"/>
    <s v="DOP"/>
    <n v="15404.364569961488"/>
    <s v="Analista de Produccion"/>
    <x v="0"/>
    <s v="Republica Dominicana"/>
    <x v="79"/>
    <x v="1"/>
    <n v="3"/>
    <s v=""/>
    <n v="1"/>
    <s v=""/>
    <s v=""/>
    <s v=""/>
    <s v=""/>
    <x v="1"/>
    <x v="0"/>
    <x v="238"/>
    <x v="0"/>
    <x v="0"/>
    <x v="0"/>
    <x v="0"/>
    <x v="0"/>
    <x v="0"/>
    <x v="0"/>
    <x v="0"/>
  </r>
  <r>
    <s v="ID1166"/>
    <d v="2012-05-28T22:35:56"/>
    <s v="CAD$65000"/>
    <n v="65000"/>
    <s v="CAD"/>
    <n v="63918.498996971248"/>
    <s v="IT Analyst (Reporting)"/>
    <x v="0"/>
    <s v="Canada"/>
    <x v="17"/>
    <x v="0"/>
    <n v="20"/>
    <s v=""/>
    <s v=""/>
    <s v=""/>
    <s v=""/>
    <n v="1"/>
    <s v=""/>
    <x v="2"/>
    <x v="0"/>
    <x v="239"/>
    <x v="0"/>
    <x v="0"/>
    <x v="0"/>
    <x v="0"/>
    <x v="0"/>
    <x v="0"/>
    <x v="0"/>
    <x v="0"/>
  </r>
  <r>
    <s v="ID1167"/>
    <d v="2012-05-28T22:36:22"/>
    <n v="75000"/>
    <n v="75000"/>
    <s v="USD"/>
    <n v="75000"/>
    <s v="Controller"/>
    <x v="1"/>
    <s v="USA"/>
    <x v="2"/>
    <x v="2"/>
    <n v="20"/>
    <s v=""/>
    <s v=""/>
    <s v=""/>
    <s v=""/>
    <n v="1"/>
    <s v=""/>
    <x v="2"/>
    <x v="0"/>
    <x v="1"/>
    <x v="0"/>
    <x v="31"/>
    <x v="0"/>
    <x v="0"/>
    <x v="0"/>
    <x v="0"/>
    <x v="0"/>
    <x v="0"/>
  </r>
  <r>
    <s v="ID1168"/>
    <d v="2012-05-28T22:36:47"/>
    <n v="59000"/>
    <n v="59000"/>
    <s v="USD"/>
    <n v="59000"/>
    <s v="Management Analyst"/>
    <x v="0"/>
    <s v="USA"/>
    <x v="2"/>
    <x v="0"/>
    <n v="14"/>
    <s v=""/>
    <s v=""/>
    <s v=""/>
    <n v="1"/>
    <s v=""/>
    <s v=""/>
    <x v="5"/>
    <x v="0"/>
    <x v="240"/>
    <x v="0"/>
    <x v="0"/>
    <x v="0"/>
    <x v="0"/>
    <x v="0"/>
    <x v="0"/>
    <x v="0"/>
    <x v="0"/>
  </r>
  <r>
    <s v="ID1169"/>
    <d v="2012-05-28T22:38:37"/>
    <s v="$50,000 U.S."/>
    <n v="50000"/>
    <s v="USD"/>
    <n v="50000"/>
    <s v="Program Manager"/>
    <x v="3"/>
    <s v="Canada"/>
    <x v="17"/>
    <x v="3"/>
    <n v="5"/>
    <s v=""/>
    <n v="1"/>
    <s v=""/>
    <s v=""/>
    <s v=""/>
    <s v=""/>
    <x v="1"/>
    <x v="0"/>
    <x v="1"/>
    <x v="0"/>
    <x v="0"/>
    <x v="0"/>
    <x v="0"/>
    <x v="4"/>
    <x v="0"/>
    <x v="0"/>
    <x v="0"/>
  </r>
  <r>
    <s v="ID1170"/>
    <d v="2012-05-28T22:39:09"/>
    <s v="Â£80000"/>
    <n v="80000"/>
    <s v="GBP"/>
    <n v="126094.26176538273"/>
    <s v="Financial Controller"/>
    <x v="1"/>
    <s v="UK"/>
    <x v="14"/>
    <x v="0"/>
    <n v="15"/>
    <s v=""/>
    <s v=""/>
    <s v=""/>
    <n v="1"/>
    <s v=""/>
    <s v=""/>
    <x v="5"/>
    <x v="0"/>
    <x v="1"/>
    <x v="0"/>
    <x v="32"/>
    <x v="0"/>
    <x v="0"/>
    <x v="0"/>
    <x v="0"/>
    <x v="0"/>
    <x v="0"/>
  </r>
  <r>
    <s v="ID1171"/>
    <d v="2012-05-28T22:41:01"/>
    <s v="R$ 54000"/>
    <n v="54000"/>
    <s v="BRL"/>
    <n v="26691.183012544854"/>
    <s v="Logistics Coordinator"/>
    <x v="3"/>
    <s v="Brazil"/>
    <x v="20"/>
    <x v="3"/>
    <n v="7"/>
    <s v=""/>
    <s v=""/>
    <n v="1"/>
    <s v=""/>
    <s v=""/>
    <s v=""/>
    <x v="3"/>
    <x v="0"/>
    <x v="1"/>
    <x v="0"/>
    <x v="0"/>
    <x v="0"/>
    <x v="0"/>
    <x v="229"/>
    <x v="0"/>
    <x v="0"/>
    <x v="0"/>
  </r>
  <r>
    <s v="ID1172"/>
    <d v="2012-05-28T22:41:15"/>
    <n v="500000"/>
    <n v="500000"/>
    <s v="INR"/>
    <n v="8903.9583437212841"/>
    <s v="Business Analyst"/>
    <x v="0"/>
    <s v="India"/>
    <x v="0"/>
    <x v="0"/>
    <n v="0.8"/>
    <n v="1"/>
    <s v=""/>
    <s v=""/>
    <s v=""/>
    <s v=""/>
    <s v=""/>
    <x v="4"/>
    <x v="0"/>
    <x v="51"/>
    <x v="0"/>
    <x v="0"/>
    <x v="0"/>
    <x v="0"/>
    <x v="0"/>
    <x v="0"/>
    <x v="0"/>
    <x v="0"/>
  </r>
  <r>
    <s v="ID1173"/>
    <d v="2012-05-28T22:41:26"/>
    <s v="8725 $"/>
    <n v="8725"/>
    <s v="USD"/>
    <n v="8725"/>
    <s v="Administration Officer"/>
    <x v="3"/>
    <s v="Pakistan"/>
    <x v="3"/>
    <x v="2"/>
    <n v="18"/>
    <s v=""/>
    <s v=""/>
    <s v=""/>
    <s v=""/>
    <n v="1"/>
    <s v=""/>
    <x v="2"/>
    <x v="0"/>
    <x v="1"/>
    <x v="0"/>
    <x v="0"/>
    <x v="0"/>
    <x v="0"/>
    <x v="230"/>
    <x v="0"/>
    <x v="0"/>
    <x v="0"/>
  </r>
  <r>
    <s v="ID1175"/>
    <d v="2012-05-28T22:44:48"/>
    <s v="Â£32000"/>
    <n v="32000"/>
    <s v="GBP"/>
    <n v="50437.70470615309"/>
    <s v="Service Analyst"/>
    <x v="0"/>
    <s v="UK"/>
    <x v="14"/>
    <x v="0"/>
    <n v="4"/>
    <s v=""/>
    <n v="1"/>
    <s v=""/>
    <s v=""/>
    <s v=""/>
    <s v=""/>
    <x v="1"/>
    <x v="0"/>
    <x v="12"/>
    <x v="0"/>
    <x v="0"/>
    <x v="0"/>
    <x v="0"/>
    <x v="0"/>
    <x v="0"/>
    <x v="0"/>
    <x v="0"/>
  </r>
  <r>
    <s v="ID1176"/>
    <d v="2012-05-28T22:45:49"/>
    <s v="Â£43000"/>
    <n v="43000"/>
    <s v="GBP"/>
    <n v="67775.665698893223"/>
    <s v="Head of Finance"/>
    <x v="5"/>
    <s v="UK"/>
    <x v="14"/>
    <x v="1"/>
    <n v="15"/>
    <s v=""/>
    <s v=""/>
    <s v=""/>
    <n v="1"/>
    <s v=""/>
    <s v=""/>
    <x v="5"/>
    <x v="76"/>
    <x v="1"/>
    <x v="0"/>
    <x v="0"/>
    <x v="0"/>
    <x v="0"/>
    <x v="0"/>
    <x v="0"/>
    <x v="0"/>
    <x v="0"/>
  </r>
  <r>
    <s v="ID1177"/>
    <d v="2012-05-28T22:46:37"/>
    <s v="CAD $53,000/-"/>
    <n v="53000"/>
    <s v="CAD"/>
    <n v="52118.160720607324"/>
    <s v="Data Analyst"/>
    <x v="0"/>
    <s v="Canada"/>
    <x v="17"/>
    <x v="0"/>
    <n v="6"/>
    <s v=""/>
    <s v=""/>
    <n v="1"/>
    <s v=""/>
    <s v=""/>
    <s v=""/>
    <x v="3"/>
    <x v="0"/>
    <x v="241"/>
    <x v="0"/>
    <x v="0"/>
    <x v="0"/>
    <x v="0"/>
    <x v="0"/>
    <x v="0"/>
    <x v="0"/>
    <x v="0"/>
  </r>
  <r>
    <s v="ID1178"/>
    <d v="2012-05-28T22:48:32"/>
    <s v="INR 20 Lakhs p.a."/>
    <n v="200000"/>
    <s v="INR"/>
    <n v="3561.5833374885137"/>
    <s v="Associate"/>
    <x v="0"/>
    <s v="India"/>
    <x v="0"/>
    <x v="3"/>
    <n v="6"/>
    <s v=""/>
    <s v=""/>
    <n v="1"/>
    <s v=""/>
    <s v=""/>
    <s v=""/>
    <x v="3"/>
    <x v="0"/>
    <x v="68"/>
    <x v="0"/>
    <x v="0"/>
    <x v="0"/>
    <x v="0"/>
    <x v="0"/>
    <x v="0"/>
    <x v="0"/>
    <x v="0"/>
  </r>
  <r>
    <s v="ID1179"/>
    <d v="2012-05-28T22:49:15"/>
    <s v="4.5 laks"/>
    <n v="450000"/>
    <s v="INR"/>
    <n v="8013.5625093491553"/>
    <s v="Production Manager"/>
    <x v="3"/>
    <s v="India"/>
    <x v="0"/>
    <x v="0"/>
    <n v="21"/>
    <s v=""/>
    <s v=""/>
    <s v=""/>
    <s v=""/>
    <s v=""/>
    <n v="1"/>
    <x v="6"/>
    <x v="0"/>
    <x v="1"/>
    <x v="0"/>
    <x v="0"/>
    <x v="0"/>
    <x v="0"/>
    <x v="120"/>
    <x v="0"/>
    <x v="0"/>
    <x v="0"/>
  </r>
  <r>
    <s v="ID1180"/>
    <d v="2012-05-28T22:50:51"/>
    <n v="28000"/>
    <n v="28000"/>
    <s v="USD"/>
    <n v="28000"/>
    <s v="Business Intelligence Manager"/>
    <x v="3"/>
    <s v="Poland"/>
    <x v="15"/>
    <x v="0"/>
    <n v="5"/>
    <s v=""/>
    <n v="1"/>
    <s v=""/>
    <s v=""/>
    <s v=""/>
    <s v=""/>
    <x v="1"/>
    <x v="0"/>
    <x v="1"/>
    <x v="0"/>
    <x v="0"/>
    <x v="0"/>
    <x v="0"/>
    <x v="231"/>
    <x v="0"/>
    <x v="0"/>
    <x v="0"/>
  </r>
  <r>
    <s v="ID1181"/>
    <d v="2012-05-28T22:51:27"/>
    <n v="31763"/>
    <n v="31763"/>
    <s v="GBP"/>
    <n v="50064.150455673145"/>
    <s v="Network Administrator"/>
    <x v="0"/>
    <s v="UK"/>
    <x v="14"/>
    <x v="2"/>
    <n v="2"/>
    <n v="1"/>
    <s v=""/>
    <s v=""/>
    <s v=""/>
    <s v=""/>
    <s v=""/>
    <x v="4"/>
    <x v="0"/>
    <x v="242"/>
    <x v="0"/>
    <x v="0"/>
    <x v="0"/>
    <x v="0"/>
    <x v="0"/>
    <x v="0"/>
    <x v="0"/>
    <x v="0"/>
  </r>
  <r>
    <s v="ID1182"/>
    <d v="2012-05-28T22:52:19"/>
    <s v="GBPÂ£32000"/>
    <n v="32000"/>
    <s v="GBP"/>
    <n v="50437.70470615309"/>
    <s v="Performance Analyst"/>
    <x v="0"/>
    <s v="Canada"/>
    <x v="17"/>
    <x v="0"/>
    <n v="9"/>
    <s v=""/>
    <s v=""/>
    <n v="1"/>
    <s v=""/>
    <s v=""/>
    <s v=""/>
    <x v="3"/>
    <x v="0"/>
    <x v="12"/>
    <x v="0"/>
    <x v="0"/>
    <x v="0"/>
    <x v="0"/>
    <x v="0"/>
    <x v="0"/>
    <x v="0"/>
    <x v="0"/>
  </r>
  <r>
    <s v="ID1183"/>
    <d v="2012-05-28T22:53:03"/>
    <n v="27840"/>
    <n v="27840"/>
    <s v="USD"/>
    <n v="27840"/>
    <s v="Data Entry Clerk III"/>
    <x v="0"/>
    <s v="USA"/>
    <x v="2"/>
    <x v="2"/>
    <n v="1"/>
    <n v="1"/>
    <s v=""/>
    <s v=""/>
    <s v=""/>
    <s v=""/>
    <s v=""/>
    <x v="4"/>
    <x v="0"/>
    <x v="243"/>
    <x v="0"/>
    <x v="0"/>
    <x v="0"/>
    <x v="0"/>
    <x v="0"/>
    <x v="0"/>
    <x v="0"/>
    <x v="0"/>
  </r>
  <r>
    <s v="ID1184"/>
    <d v="2012-05-28T22:54:24"/>
    <s v="Rs. 350000"/>
    <n v="350000"/>
    <s v="INR"/>
    <n v="6232.7708406048987"/>
    <s v="officer accounts"/>
    <x v="5"/>
    <s v="India"/>
    <x v="0"/>
    <x v="2"/>
    <n v="1.5"/>
    <n v="1"/>
    <s v=""/>
    <s v=""/>
    <s v=""/>
    <s v=""/>
    <s v=""/>
    <x v="4"/>
    <x v="16"/>
    <x v="1"/>
    <x v="0"/>
    <x v="0"/>
    <x v="0"/>
    <x v="0"/>
    <x v="0"/>
    <x v="0"/>
    <x v="0"/>
    <x v="0"/>
  </r>
  <r>
    <s v="ID1185"/>
    <d v="2012-05-28T22:55:40"/>
    <s v="S$50000"/>
    <n v="50000"/>
    <s v="USD"/>
    <n v="50000"/>
    <s v="Engineer"/>
    <x v="2"/>
    <s v="Singapore"/>
    <x v="29"/>
    <x v="2"/>
    <n v="25"/>
    <s v=""/>
    <s v=""/>
    <s v=""/>
    <s v=""/>
    <s v=""/>
    <n v="1"/>
    <x v="6"/>
    <x v="0"/>
    <x v="1"/>
    <x v="0"/>
    <x v="0"/>
    <x v="0"/>
    <x v="37"/>
    <x v="0"/>
    <x v="0"/>
    <x v="0"/>
    <x v="0"/>
  </r>
  <r>
    <s v="ID1186"/>
    <d v="2012-05-28T22:58:25"/>
    <n v="48000"/>
    <n v="48000"/>
    <s v="USD"/>
    <n v="48000"/>
    <s v="Cost Controlling Executive"/>
    <x v="1"/>
    <s v="Qatar"/>
    <x v="65"/>
    <x v="2"/>
    <n v="10"/>
    <s v=""/>
    <s v=""/>
    <n v="1"/>
    <s v=""/>
    <s v=""/>
    <s v=""/>
    <x v="3"/>
    <x v="0"/>
    <x v="1"/>
    <x v="0"/>
    <x v="2"/>
    <x v="0"/>
    <x v="0"/>
    <x v="0"/>
    <x v="0"/>
    <x v="0"/>
    <x v="0"/>
  </r>
  <r>
    <s v="ID1187"/>
    <d v="2012-05-28T22:59:16"/>
    <n v="2000"/>
    <n v="24000"/>
    <s v="USD"/>
    <n v="24000"/>
    <s v="Administration Manager"/>
    <x v="3"/>
    <s v="Argentina"/>
    <x v="80"/>
    <x v="0"/>
    <n v="21"/>
    <s v=""/>
    <s v=""/>
    <s v=""/>
    <s v=""/>
    <s v=""/>
    <n v="1"/>
    <x v="6"/>
    <x v="0"/>
    <x v="1"/>
    <x v="0"/>
    <x v="0"/>
    <x v="0"/>
    <x v="0"/>
    <x v="27"/>
    <x v="0"/>
    <x v="0"/>
    <x v="0"/>
  </r>
  <r>
    <s v="ID1188"/>
    <d v="2012-05-28T23:02:08"/>
    <n v="75000"/>
    <n v="75000"/>
    <s v="USD"/>
    <n v="75000"/>
    <s v="Financial Analyst"/>
    <x v="0"/>
    <s v="USA"/>
    <x v="2"/>
    <x v="0"/>
    <n v="12"/>
    <s v=""/>
    <s v=""/>
    <s v=""/>
    <n v="1"/>
    <s v=""/>
    <s v=""/>
    <x v="5"/>
    <x v="0"/>
    <x v="29"/>
    <x v="0"/>
    <x v="0"/>
    <x v="0"/>
    <x v="0"/>
    <x v="0"/>
    <x v="0"/>
    <x v="0"/>
    <x v="0"/>
  </r>
  <r>
    <s v="ID1189"/>
    <d v="2012-05-28T23:05:03"/>
    <s v="216000 AED"/>
    <n v="216000"/>
    <s v="AED"/>
    <n v="58799.349940520107"/>
    <s v="Financial analyst"/>
    <x v="0"/>
    <s v="Dubai"/>
    <x v="33"/>
    <x v="0"/>
    <n v="2"/>
    <n v="1"/>
    <s v=""/>
    <s v=""/>
    <s v=""/>
    <s v=""/>
    <s v=""/>
    <x v="4"/>
    <x v="0"/>
    <x v="244"/>
    <x v="0"/>
    <x v="0"/>
    <x v="0"/>
    <x v="0"/>
    <x v="0"/>
    <x v="0"/>
    <x v="0"/>
    <x v="0"/>
  </r>
  <r>
    <s v="ID1190"/>
    <d v="2012-05-28T23:06:22"/>
    <s v="Rupees : 2,000,000"/>
    <n v="2000000"/>
    <s v="PKR"/>
    <n v="21228.177433598263"/>
    <s v="Excel Corporate Trainer"/>
    <x v="8"/>
    <s v="Pakistan"/>
    <x v="3"/>
    <x v="1"/>
    <n v="8"/>
    <s v=""/>
    <s v=""/>
    <n v="1"/>
    <s v=""/>
    <s v=""/>
    <s v=""/>
    <x v="3"/>
    <x v="0"/>
    <x v="1"/>
    <x v="51"/>
    <x v="0"/>
    <x v="0"/>
    <x v="0"/>
    <x v="0"/>
    <x v="0"/>
    <x v="0"/>
    <x v="0"/>
  </r>
  <r>
    <s v="ID1191"/>
    <d v="2012-05-28T23:13:24"/>
    <n v="60000"/>
    <n v="60000"/>
    <s v="USD"/>
    <n v="60000"/>
    <s v="Quality Management"/>
    <x v="3"/>
    <s v="USA"/>
    <x v="2"/>
    <x v="2"/>
    <n v="10"/>
    <s v=""/>
    <s v=""/>
    <n v="1"/>
    <s v=""/>
    <s v=""/>
    <s v=""/>
    <x v="3"/>
    <x v="0"/>
    <x v="1"/>
    <x v="0"/>
    <x v="0"/>
    <x v="0"/>
    <x v="0"/>
    <x v="76"/>
    <x v="0"/>
    <x v="0"/>
    <x v="0"/>
  </r>
  <r>
    <s v="ID1192"/>
    <d v="2012-05-28T23:13:31"/>
    <s v="5000  PLN   net"/>
    <n v="60000"/>
    <s v="PLN"/>
    <n v="18018.883790212141"/>
    <s v="Sales Analyst"/>
    <x v="0"/>
    <s v="Poland"/>
    <x v="15"/>
    <x v="1"/>
    <n v="10"/>
    <s v=""/>
    <s v=""/>
    <n v="1"/>
    <s v=""/>
    <s v=""/>
    <s v=""/>
    <x v="3"/>
    <x v="0"/>
    <x v="245"/>
    <x v="0"/>
    <x v="0"/>
    <x v="0"/>
    <x v="0"/>
    <x v="0"/>
    <x v="0"/>
    <x v="0"/>
    <x v="0"/>
  </r>
  <r>
    <s v="ID1193"/>
    <d v="2012-05-28T23:17:12"/>
    <s v="US$ 7,200"/>
    <n v="7200"/>
    <s v="USD"/>
    <n v="7200"/>
    <s v="Supervisor MIS"/>
    <x v="7"/>
    <s v="India"/>
    <x v="0"/>
    <x v="0"/>
    <n v="7"/>
    <s v=""/>
    <s v=""/>
    <n v="1"/>
    <s v=""/>
    <s v=""/>
    <s v=""/>
    <x v="3"/>
    <x v="0"/>
    <x v="1"/>
    <x v="0"/>
    <x v="0"/>
    <x v="0"/>
    <x v="0"/>
    <x v="0"/>
    <x v="0"/>
    <x v="44"/>
    <x v="0"/>
  </r>
  <r>
    <s v="ID1194"/>
    <d v="2012-05-28T23:17:31"/>
    <n v="56000"/>
    <n v="56000"/>
    <s v="USD"/>
    <n v="56000"/>
    <s v="Analyst"/>
    <x v="0"/>
    <s v="USA"/>
    <x v="2"/>
    <x v="3"/>
    <n v="2"/>
    <n v="1"/>
    <s v=""/>
    <s v=""/>
    <s v=""/>
    <s v=""/>
    <s v=""/>
    <x v="4"/>
    <x v="0"/>
    <x v="109"/>
    <x v="0"/>
    <x v="0"/>
    <x v="0"/>
    <x v="0"/>
    <x v="0"/>
    <x v="0"/>
    <x v="0"/>
    <x v="0"/>
  </r>
  <r>
    <s v="ID1195"/>
    <d v="2012-05-28T23:19:36"/>
    <s v="Rs 5,40,000"/>
    <n v="540000"/>
    <s v="INR"/>
    <n v="9616.275011218986"/>
    <s v="Business Analyst - Solutions"/>
    <x v="0"/>
    <s v="India"/>
    <x v="0"/>
    <x v="0"/>
    <n v="7.9"/>
    <s v=""/>
    <s v=""/>
    <n v="1"/>
    <s v=""/>
    <s v=""/>
    <s v=""/>
    <x v="3"/>
    <x v="0"/>
    <x v="188"/>
    <x v="0"/>
    <x v="0"/>
    <x v="0"/>
    <x v="0"/>
    <x v="0"/>
    <x v="0"/>
    <x v="0"/>
    <x v="0"/>
  </r>
  <r>
    <s v="ID1196"/>
    <d v="2012-05-28T23:21:02"/>
    <s v="KES 4.3 million"/>
    <n v="4300000"/>
    <s v="KENYA"/>
    <n v="51497.005988023957"/>
    <s v="Finance Manager"/>
    <x v="3"/>
    <s v="Kenya"/>
    <x v="81"/>
    <x v="0"/>
    <n v="9"/>
    <s v=""/>
    <s v=""/>
    <n v="1"/>
    <s v=""/>
    <s v=""/>
    <s v=""/>
    <x v="3"/>
    <x v="0"/>
    <x v="1"/>
    <x v="0"/>
    <x v="0"/>
    <x v="0"/>
    <x v="0"/>
    <x v="232"/>
    <x v="0"/>
    <x v="0"/>
    <x v="0"/>
  </r>
  <r>
    <s v="ID1197"/>
    <d v="2012-05-28T23:25:32"/>
    <s v="82.000 Euro (pre-tax)"/>
    <n v="82000"/>
    <s v="EUR"/>
    <n v="104172.75399731184"/>
    <s v="Finance Project Manager"/>
    <x v="3"/>
    <s v="Netherlands"/>
    <x v="18"/>
    <x v="1"/>
    <n v="25"/>
    <s v=""/>
    <s v=""/>
    <s v=""/>
    <s v=""/>
    <s v=""/>
    <n v="1"/>
    <x v="6"/>
    <x v="0"/>
    <x v="1"/>
    <x v="0"/>
    <x v="0"/>
    <x v="0"/>
    <x v="0"/>
    <x v="233"/>
    <x v="0"/>
    <x v="0"/>
    <x v="0"/>
  </r>
  <r>
    <s v="ID1198"/>
    <d v="2012-05-28T23:33:59"/>
    <n v="88000"/>
    <n v="88000"/>
    <s v="USD"/>
    <n v="88000"/>
    <s v="Manager, Strategy &amp; Insights"/>
    <x v="3"/>
    <s v="USA"/>
    <x v="2"/>
    <x v="0"/>
    <n v="2"/>
    <n v="1"/>
    <s v=""/>
    <s v=""/>
    <s v=""/>
    <s v=""/>
    <s v=""/>
    <x v="4"/>
    <x v="0"/>
    <x v="1"/>
    <x v="0"/>
    <x v="0"/>
    <x v="0"/>
    <x v="0"/>
    <x v="39"/>
    <x v="0"/>
    <x v="0"/>
    <x v="0"/>
  </r>
  <r>
    <s v="ID1199"/>
    <d v="2012-05-28T23:38:52"/>
    <n v="80000"/>
    <n v="80000"/>
    <s v="USD"/>
    <n v="80000"/>
    <s v="Financial/Data Analyst"/>
    <x v="0"/>
    <s v="USA"/>
    <x v="2"/>
    <x v="0"/>
    <n v="6"/>
    <s v=""/>
    <s v=""/>
    <n v="1"/>
    <s v=""/>
    <s v=""/>
    <s v=""/>
    <x v="3"/>
    <x v="0"/>
    <x v="30"/>
    <x v="0"/>
    <x v="0"/>
    <x v="0"/>
    <x v="0"/>
    <x v="0"/>
    <x v="0"/>
    <x v="0"/>
    <x v="0"/>
  </r>
  <r>
    <s v="ID1200"/>
    <d v="2012-05-28T23:47:10"/>
    <n v="19000"/>
    <n v="19000"/>
    <s v="USD"/>
    <n v="19000"/>
    <s v="Accountant"/>
    <x v="5"/>
    <s v="UK"/>
    <x v="14"/>
    <x v="0"/>
    <n v="20"/>
    <s v=""/>
    <s v=""/>
    <s v=""/>
    <s v=""/>
    <n v="1"/>
    <s v=""/>
    <x v="2"/>
    <x v="77"/>
    <x v="1"/>
    <x v="0"/>
    <x v="0"/>
    <x v="0"/>
    <x v="0"/>
    <x v="0"/>
    <x v="0"/>
    <x v="0"/>
    <x v="0"/>
  </r>
  <r>
    <s v="ID1201"/>
    <d v="2012-05-28T23:51:37"/>
    <s v="Euro 15.000"/>
    <n v="15000"/>
    <s v="EUR"/>
    <n v="19055.991584874118"/>
    <s v="business consultant"/>
    <x v="8"/>
    <s v="Italy"/>
    <x v="62"/>
    <x v="0"/>
    <n v="3"/>
    <s v=""/>
    <n v="1"/>
    <s v=""/>
    <s v=""/>
    <s v=""/>
    <s v=""/>
    <x v="1"/>
    <x v="0"/>
    <x v="1"/>
    <x v="52"/>
    <x v="0"/>
    <x v="0"/>
    <x v="0"/>
    <x v="0"/>
    <x v="0"/>
    <x v="0"/>
    <x v="0"/>
  </r>
  <r>
    <s v="ID1202"/>
    <d v="2012-05-28T23:52:42"/>
    <n v="480000"/>
    <n v="480000"/>
    <s v="INR"/>
    <n v="8547.8000099724322"/>
    <s v="Documentation Consultant"/>
    <x v="8"/>
    <s v="India"/>
    <x v="0"/>
    <x v="1"/>
    <n v="15"/>
    <s v=""/>
    <s v=""/>
    <s v=""/>
    <n v="1"/>
    <s v=""/>
    <s v=""/>
    <x v="5"/>
    <x v="0"/>
    <x v="1"/>
    <x v="53"/>
    <x v="0"/>
    <x v="0"/>
    <x v="0"/>
    <x v="0"/>
    <x v="0"/>
    <x v="0"/>
    <x v="0"/>
  </r>
  <r>
    <s v="ID1203"/>
    <d v="2012-05-28T23:53:02"/>
    <n v="1100000"/>
    <n v="1100000"/>
    <s v="INR"/>
    <n v="19588.708356186824"/>
    <s v="Sr. Consultant"/>
    <x v="8"/>
    <s v="India"/>
    <x v="0"/>
    <x v="1"/>
    <n v="13"/>
    <s v=""/>
    <s v=""/>
    <s v=""/>
    <n v="1"/>
    <s v=""/>
    <s v=""/>
    <x v="5"/>
    <x v="0"/>
    <x v="1"/>
    <x v="54"/>
    <x v="0"/>
    <x v="0"/>
    <x v="0"/>
    <x v="0"/>
    <x v="0"/>
    <x v="0"/>
    <x v="0"/>
  </r>
  <r>
    <s v="ID1204"/>
    <d v="2012-05-29T00:00:21"/>
    <n v="61000"/>
    <n v="61000"/>
    <s v="USD"/>
    <n v="61000"/>
    <s v="Financial Analyst"/>
    <x v="0"/>
    <s v="USA"/>
    <x v="2"/>
    <x v="0"/>
    <n v="1.5"/>
    <n v="1"/>
    <s v=""/>
    <s v=""/>
    <s v=""/>
    <s v=""/>
    <s v=""/>
    <x v="4"/>
    <x v="0"/>
    <x v="91"/>
    <x v="0"/>
    <x v="0"/>
    <x v="0"/>
    <x v="0"/>
    <x v="0"/>
    <x v="0"/>
    <x v="0"/>
    <x v="0"/>
  </r>
  <r>
    <s v="ID1205"/>
    <d v="2012-05-29T00:03:43"/>
    <n v="34000"/>
    <n v="34000"/>
    <s v="GBP"/>
    <n v="53590.061250287661"/>
    <s v="investment accountant"/>
    <x v="5"/>
    <s v="UK"/>
    <x v="14"/>
    <x v="1"/>
    <n v="10"/>
    <s v=""/>
    <s v=""/>
    <n v="1"/>
    <s v=""/>
    <s v=""/>
    <s v=""/>
    <x v="3"/>
    <x v="78"/>
    <x v="1"/>
    <x v="0"/>
    <x v="0"/>
    <x v="0"/>
    <x v="0"/>
    <x v="0"/>
    <x v="0"/>
    <x v="0"/>
    <x v="0"/>
  </r>
  <r>
    <s v="ID1206"/>
    <d v="2012-05-29T00:03:48"/>
    <n v="34000"/>
    <n v="34000"/>
    <s v="GBP"/>
    <n v="53590.061250287661"/>
    <s v="investment accountant"/>
    <x v="5"/>
    <s v="UK"/>
    <x v="14"/>
    <x v="1"/>
    <n v="10"/>
    <s v=""/>
    <s v=""/>
    <n v="1"/>
    <s v=""/>
    <s v=""/>
    <s v=""/>
    <x v="3"/>
    <x v="78"/>
    <x v="1"/>
    <x v="0"/>
    <x v="0"/>
    <x v="0"/>
    <x v="0"/>
    <x v="0"/>
    <x v="0"/>
    <x v="0"/>
    <x v="0"/>
  </r>
  <r>
    <s v="ID1207"/>
    <d v="2012-05-29T00:07:00"/>
    <n v="250000"/>
    <n v="250000"/>
    <s v="INR"/>
    <n v="4451.9791718606421"/>
    <s v="Officer Production"/>
    <x v="3"/>
    <s v="India"/>
    <x v="0"/>
    <x v="0"/>
    <n v="1"/>
    <n v="1"/>
    <s v=""/>
    <s v=""/>
    <s v=""/>
    <s v=""/>
    <s v=""/>
    <x v="4"/>
    <x v="0"/>
    <x v="1"/>
    <x v="0"/>
    <x v="0"/>
    <x v="0"/>
    <x v="0"/>
    <x v="145"/>
    <x v="0"/>
    <x v="0"/>
    <x v="0"/>
  </r>
  <r>
    <s v="ID1208"/>
    <d v="2012-05-29T00:07:36"/>
    <n v="20000"/>
    <n v="20000"/>
    <s v="EUR"/>
    <n v="25407.988779832154"/>
    <s v="warehouse management"/>
    <x v="3"/>
    <s v="GREECE"/>
    <x v="26"/>
    <x v="3"/>
    <n v="12"/>
    <s v=""/>
    <s v=""/>
    <s v=""/>
    <n v="1"/>
    <s v=""/>
    <s v=""/>
    <x v="5"/>
    <x v="0"/>
    <x v="1"/>
    <x v="0"/>
    <x v="0"/>
    <x v="0"/>
    <x v="0"/>
    <x v="234"/>
    <x v="0"/>
    <x v="0"/>
    <x v="0"/>
  </r>
  <r>
    <s v="ID1209"/>
    <d v="2012-05-29T00:12:23"/>
    <n v="23000"/>
    <n v="23000"/>
    <s v="USD"/>
    <n v="23000"/>
    <s v="Chief Accountant"/>
    <x v="5"/>
    <s v="Saudi Arabia"/>
    <x v="22"/>
    <x v="1"/>
    <n v="14"/>
    <s v=""/>
    <s v=""/>
    <s v=""/>
    <n v="1"/>
    <s v=""/>
    <s v=""/>
    <x v="5"/>
    <x v="79"/>
    <x v="1"/>
    <x v="0"/>
    <x v="0"/>
    <x v="0"/>
    <x v="0"/>
    <x v="0"/>
    <x v="0"/>
    <x v="0"/>
    <x v="0"/>
  </r>
  <r>
    <s v="ID1210"/>
    <d v="2012-05-29T00:16:55"/>
    <s v="Rs. 900000"/>
    <n v="900000"/>
    <s v="INR"/>
    <n v="16027.125018698311"/>
    <s v="Manager F &amp; A"/>
    <x v="3"/>
    <s v="India"/>
    <x v="0"/>
    <x v="3"/>
    <n v="13"/>
    <s v=""/>
    <s v=""/>
    <s v=""/>
    <n v="1"/>
    <s v=""/>
    <s v=""/>
    <x v="5"/>
    <x v="0"/>
    <x v="1"/>
    <x v="0"/>
    <x v="0"/>
    <x v="0"/>
    <x v="0"/>
    <x v="103"/>
    <x v="0"/>
    <x v="0"/>
    <x v="0"/>
  </r>
  <r>
    <s v="ID1211"/>
    <d v="2012-05-29T00:25:39"/>
    <n v="60000"/>
    <n v="60000"/>
    <s v="USD"/>
    <n v="60000"/>
    <s v="Quality Assurance Engineer"/>
    <x v="2"/>
    <s v="USA"/>
    <x v="2"/>
    <x v="3"/>
    <n v="6"/>
    <s v=""/>
    <s v=""/>
    <n v="1"/>
    <s v=""/>
    <s v=""/>
    <s v=""/>
    <x v="3"/>
    <x v="0"/>
    <x v="1"/>
    <x v="0"/>
    <x v="0"/>
    <x v="0"/>
    <x v="38"/>
    <x v="0"/>
    <x v="0"/>
    <x v="0"/>
    <x v="0"/>
  </r>
  <r>
    <s v="ID1212"/>
    <d v="2012-05-29T00:25:46"/>
    <n v="800"/>
    <n v="4800"/>
    <s v="USD"/>
    <n v="4800"/>
    <s v="Financial Analyst"/>
    <x v="0"/>
    <s v="India"/>
    <x v="0"/>
    <x v="0"/>
    <n v="5"/>
    <s v=""/>
    <n v="1"/>
    <s v=""/>
    <s v=""/>
    <s v=""/>
    <s v=""/>
    <x v="1"/>
    <x v="0"/>
    <x v="165"/>
    <x v="0"/>
    <x v="0"/>
    <x v="0"/>
    <x v="0"/>
    <x v="0"/>
    <x v="0"/>
    <x v="0"/>
    <x v="0"/>
  </r>
  <r>
    <s v="ID1213"/>
    <d v="2012-05-29T00:26:21"/>
    <s v="DKK 625000"/>
    <n v="625000"/>
    <s v="DKK"/>
    <n v="106815.148267971"/>
    <s v="Manager Business Controlling"/>
    <x v="3"/>
    <s v="Denmark"/>
    <x v="61"/>
    <x v="0"/>
    <n v="25"/>
    <s v=""/>
    <s v=""/>
    <s v=""/>
    <s v=""/>
    <s v=""/>
    <n v="1"/>
    <x v="6"/>
    <x v="0"/>
    <x v="1"/>
    <x v="0"/>
    <x v="0"/>
    <x v="0"/>
    <x v="0"/>
    <x v="235"/>
    <x v="0"/>
    <x v="0"/>
    <x v="0"/>
  </r>
  <r>
    <s v="ID1214"/>
    <d v="2012-05-29T00:28:38"/>
    <n v="500000"/>
    <n v="500000"/>
    <s v="INR"/>
    <n v="8903.9583437212841"/>
    <s v="Consultant"/>
    <x v="8"/>
    <s v="India"/>
    <x v="0"/>
    <x v="2"/>
    <n v="3"/>
    <s v=""/>
    <n v="1"/>
    <s v=""/>
    <s v=""/>
    <s v=""/>
    <s v=""/>
    <x v="1"/>
    <x v="0"/>
    <x v="1"/>
    <x v="1"/>
    <x v="0"/>
    <x v="0"/>
    <x v="0"/>
    <x v="0"/>
    <x v="0"/>
    <x v="0"/>
    <x v="0"/>
  </r>
  <r>
    <s v="ID1215"/>
    <d v="2012-05-29T00:29:32"/>
    <n v="60000"/>
    <n v="60000"/>
    <s v="USD"/>
    <n v="60000"/>
    <s v="sample manager"/>
    <x v="3"/>
    <s v="USA"/>
    <x v="2"/>
    <x v="0"/>
    <n v="12"/>
    <s v=""/>
    <s v=""/>
    <s v=""/>
    <n v="1"/>
    <s v=""/>
    <s v=""/>
    <x v="5"/>
    <x v="0"/>
    <x v="1"/>
    <x v="0"/>
    <x v="0"/>
    <x v="0"/>
    <x v="0"/>
    <x v="76"/>
    <x v="0"/>
    <x v="0"/>
    <x v="0"/>
  </r>
  <r>
    <s v="ID1216"/>
    <d v="2012-05-29T00:30:42"/>
    <n v="2600000"/>
    <n v="2600000"/>
    <s v="INR"/>
    <n v="46300.583387350678"/>
    <s v="Practice Manager"/>
    <x v="3"/>
    <s v="India"/>
    <x v="0"/>
    <x v="0"/>
    <n v="4"/>
    <s v=""/>
    <n v="1"/>
    <s v=""/>
    <s v=""/>
    <s v=""/>
    <s v=""/>
    <x v="1"/>
    <x v="0"/>
    <x v="1"/>
    <x v="0"/>
    <x v="0"/>
    <x v="0"/>
    <x v="0"/>
    <x v="236"/>
    <x v="0"/>
    <x v="0"/>
    <x v="0"/>
  </r>
  <r>
    <s v="ID1217"/>
    <d v="2012-05-29T00:32:35"/>
    <s v="INR 750,000"/>
    <n v="750000"/>
    <s v="INR"/>
    <n v="13355.937515581925"/>
    <s v="Assistant Manager"/>
    <x v="3"/>
    <s v="India"/>
    <x v="0"/>
    <x v="2"/>
    <n v="3"/>
    <s v=""/>
    <n v="1"/>
    <s v=""/>
    <s v=""/>
    <s v=""/>
    <s v=""/>
    <x v="1"/>
    <x v="0"/>
    <x v="1"/>
    <x v="0"/>
    <x v="0"/>
    <x v="0"/>
    <x v="0"/>
    <x v="237"/>
    <x v="0"/>
    <x v="0"/>
    <x v="0"/>
  </r>
  <r>
    <s v="ID1218"/>
    <d v="2012-05-29T00:36:21"/>
    <n v="74000"/>
    <n v="74000"/>
    <s v="USD"/>
    <n v="74000"/>
    <s v="marketing specialist"/>
    <x v="6"/>
    <s v="USA"/>
    <x v="2"/>
    <x v="0"/>
    <n v="10"/>
    <s v=""/>
    <s v=""/>
    <n v="1"/>
    <s v=""/>
    <s v=""/>
    <s v=""/>
    <x v="3"/>
    <x v="0"/>
    <x v="1"/>
    <x v="0"/>
    <x v="0"/>
    <x v="0"/>
    <x v="0"/>
    <x v="0"/>
    <x v="0"/>
    <x v="0"/>
    <x v="32"/>
  </r>
  <r>
    <s v="ID1219"/>
    <d v="2012-05-29T00:47:17"/>
    <n v="95856"/>
    <n v="95856"/>
    <s v="USD"/>
    <n v="95856"/>
    <s v="Analyst"/>
    <x v="0"/>
    <s v="USA"/>
    <x v="2"/>
    <x v="2"/>
    <n v="13"/>
    <s v=""/>
    <s v=""/>
    <s v=""/>
    <n v="1"/>
    <s v=""/>
    <s v=""/>
    <x v="5"/>
    <x v="0"/>
    <x v="246"/>
    <x v="0"/>
    <x v="0"/>
    <x v="0"/>
    <x v="0"/>
    <x v="0"/>
    <x v="0"/>
    <x v="0"/>
    <x v="0"/>
  </r>
  <r>
    <s v="ID1220"/>
    <d v="2012-05-29T01:03:19"/>
    <s v="40,000 US"/>
    <n v="40000"/>
    <s v="USD"/>
    <n v="40000"/>
    <s v="Staff Accountant"/>
    <x v="5"/>
    <s v="USA"/>
    <x v="2"/>
    <x v="2"/>
    <n v="15"/>
    <s v=""/>
    <s v=""/>
    <s v=""/>
    <n v="1"/>
    <s v=""/>
    <s v=""/>
    <x v="5"/>
    <x v="80"/>
    <x v="1"/>
    <x v="0"/>
    <x v="0"/>
    <x v="0"/>
    <x v="0"/>
    <x v="0"/>
    <x v="0"/>
    <x v="0"/>
    <x v="0"/>
  </r>
  <r>
    <s v="ID1221"/>
    <d v="2012-05-29T01:06:44"/>
    <n v="4400"/>
    <n v="4400"/>
    <s v="USD"/>
    <n v="4400"/>
    <s v="Manager Corporate Finance"/>
    <x v="3"/>
    <s v="Latin America"/>
    <x v="82"/>
    <x v="2"/>
    <n v="5"/>
    <s v=""/>
    <n v="1"/>
    <s v=""/>
    <s v=""/>
    <s v=""/>
    <s v=""/>
    <x v="1"/>
    <x v="0"/>
    <x v="1"/>
    <x v="0"/>
    <x v="0"/>
    <x v="0"/>
    <x v="0"/>
    <x v="238"/>
    <x v="0"/>
    <x v="0"/>
    <x v="0"/>
  </r>
  <r>
    <s v="ID1222"/>
    <d v="2012-05-29T01:12:28"/>
    <n v="90000"/>
    <n v="90000"/>
    <s v="USD"/>
    <n v="90000"/>
    <s v="Senior Analyst"/>
    <x v="0"/>
    <s v="USA"/>
    <x v="2"/>
    <x v="0"/>
    <n v="30"/>
    <s v=""/>
    <s v=""/>
    <s v=""/>
    <s v=""/>
    <s v=""/>
    <n v="1"/>
    <x v="6"/>
    <x v="0"/>
    <x v="49"/>
    <x v="0"/>
    <x v="0"/>
    <x v="0"/>
    <x v="0"/>
    <x v="0"/>
    <x v="0"/>
    <x v="0"/>
    <x v="0"/>
  </r>
  <r>
    <s v="ID1223"/>
    <d v="2012-05-29T01:19:26"/>
    <s v="INR 450000"/>
    <n v="450000"/>
    <s v="INR"/>
    <n v="8013.5625093491553"/>
    <s v="ASSISTANT MANAGER"/>
    <x v="3"/>
    <s v="India"/>
    <x v="0"/>
    <x v="1"/>
    <n v="2"/>
    <n v="1"/>
    <s v=""/>
    <s v=""/>
    <s v=""/>
    <s v=""/>
    <s v=""/>
    <x v="4"/>
    <x v="0"/>
    <x v="1"/>
    <x v="0"/>
    <x v="0"/>
    <x v="0"/>
    <x v="0"/>
    <x v="120"/>
    <x v="0"/>
    <x v="0"/>
    <x v="0"/>
  </r>
  <r>
    <s v="ID1224"/>
    <d v="2012-05-29T01:22:59"/>
    <s v="INR 1000000"/>
    <n v="1000000"/>
    <s v="INR"/>
    <n v="17807.916687442568"/>
    <s v="Asst Manager"/>
    <x v="3"/>
    <s v="India"/>
    <x v="0"/>
    <x v="0"/>
    <n v="8.5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225"/>
    <d v="2012-05-29T01:31:39"/>
    <s v="700000 INR"/>
    <n v="700000"/>
    <s v="INR"/>
    <n v="12465.541681209797"/>
    <s v="Lead Executive MIS"/>
    <x v="7"/>
    <s v="India"/>
    <x v="0"/>
    <x v="0"/>
    <n v="6"/>
    <s v=""/>
    <s v=""/>
    <n v="1"/>
    <s v=""/>
    <s v=""/>
    <s v=""/>
    <x v="3"/>
    <x v="0"/>
    <x v="1"/>
    <x v="0"/>
    <x v="0"/>
    <x v="0"/>
    <x v="0"/>
    <x v="0"/>
    <x v="0"/>
    <x v="45"/>
    <x v="0"/>
  </r>
  <r>
    <s v="ID1226"/>
    <d v="2012-05-29T01:41:00"/>
    <n v="80000"/>
    <n v="80000"/>
    <s v="USD"/>
    <n v="80000"/>
    <s v="Snr Business Analyst"/>
    <x v="0"/>
    <s v="Singapore"/>
    <x v="29"/>
    <x v="3"/>
    <n v="6"/>
    <s v=""/>
    <s v=""/>
    <n v="1"/>
    <s v=""/>
    <s v=""/>
    <s v=""/>
    <x v="3"/>
    <x v="0"/>
    <x v="30"/>
    <x v="0"/>
    <x v="0"/>
    <x v="0"/>
    <x v="0"/>
    <x v="0"/>
    <x v="0"/>
    <x v="0"/>
    <x v="0"/>
  </r>
  <r>
    <s v="ID1227"/>
    <d v="2012-05-29T01:44:03"/>
    <n v="100000"/>
    <n v="100000"/>
    <s v="USD"/>
    <n v="100000"/>
    <s v="Finance Manager"/>
    <x v="3"/>
    <s v="USA"/>
    <x v="2"/>
    <x v="0"/>
    <n v="11"/>
    <s v=""/>
    <s v=""/>
    <s v=""/>
    <n v="1"/>
    <s v=""/>
    <s v=""/>
    <x v="5"/>
    <x v="0"/>
    <x v="1"/>
    <x v="0"/>
    <x v="0"/>
    <x v="0"/>
    <x v="0"/>
    <x v="20"/>
    <x v="0"/>
    <x v="0"/>
    <x v="0"/>
  </r>
  <r>
    <s v="ID1228"/>
    <d v="2012-05-29T01:45:13"/>
    <n v="4100"/>
    <n v="49200"/>
    <s v="USD"/>
    <n v="49200"/>
    <s v="Chief Accountant"/>
    <x v="5"/>
    <s v="QATAR"/>
    <x v="65"/>
    <x v="2"/>
    <n v="25"/>
    <s v=""/>
    <s v=""/>
    <s v=""/>
    <s v=""/>
    <s v=""/>
    <n v="1"/>
    <x v="6"/>
    <x v="81"/>
    <x v="1"/>
    <x v="0"/>
    <x v="0"/>
    <x v="0"/>
    <x v="0"/>
    <x v="0"/>
    <x v="0"/>
    <x v="0"/>
    <x v="0"/>
  </r>
  <r>
    <s v="ID1229"/>
    <d v="2012-05-29T01:47:39"/>
    <n v="750"/>
    <n v="9000"/>
    <s v="USD"/>
    <n v="9000"/>
    <s v="assurance manager"/>
    <x v="3"/>
    <s v="India"/>
    <x v="0"/>
    <x v="0"/>
    <n v="1"/>
    <n v="1"/>
    <s v=""/>
    <s v=""/>
    <s v=""/>
    <s v=""/>
    <s v=""/>
    <x v="4"/>
    <x v="0"/>
    <x v="1"/>
    <x v="0"/>
    <x v="0"/>
    <x v="0"/>
    <x v="0"/>
    <x v="239"/>
    <x v="0"/>
    <x v="0"/>
    <x v="0"/>
  </r>
  <r>
    <s v="ID1230"/>
    <d v="2012-05-29T01:50:01"/>
    <n v="300000"/>
    <n v="300000"/>
    <s v="INR"/>
    <n v="5342.3750062327708"/>
    <s v="Finance Analyst"/>
    <x v="0"/>
    <s v="India"/>
    <x v="0"/>
    <x v="0"/>
    <n v="6"/>
    <s v=""/>
    <s v=""/>
    <n v="1"/>
    <s v=""/>
    <s v=""/>
    <s v=""/>
    <x v="3"/>
    <x v="0"/>
    <x v="150"/>
    <x v="0"/>
    <x v="0"/>
    <x v="0"/>
    <x v="0"/>
    <x v="0"/>
    <x v="0"/>
    <x v="0"/>
    <x v="0"/>
  </r>
  <r>
    <s v="ID1231"/>
    <d v="2012-05-29T02:02:39"/>
    <s v="$40K"/>
    <n v="40000"/>
    <s v="USD"/>
    <n v="40000"/>
    <s v="SOX,SAP, Insurance Coordinator"/>
    <x v="3"/>
    <s v="Pakistan, Angola"/>
    <x v="3"/>
    <x v="0"/>
    <n v="15"/>
    <s v=""/>
    <s v=""/>
    <s v=""/>
    <n v="1"/>
    <s v=""/>
    <s v=""/>
    <x v="5"/>
    <x v="0"/>
    <x v="1"/>
    <x v="0"/>
    <x v="0"/>
    <x v="0"/>
    <x v="0"/>
    <x v="7"/>
    <x v="0"/>
    <x v="0"/>
    <x v="0"/>
  </r>
  <r>
    <s v="ID1232"/>
    <d v="2012-05-29T02:12:32"/>
    <s v="Â£26000"/>
    <n v="26000"/>
    <s v="GBP"/>
    <n v="40980.635073749385"/>
    <s v="Business Analyst"/>
    <x v="0"/>
    <s v="UK"/>
    <x v="14"/>
    <x v="0"/>
    <n v="2"/>
    <n v="1"/>
    <s v=""/>
    <s v=""/>
    <s v=""/>
    <s v=""/>
    <s v=""/>
    <x v="4"/>
    <x v="0"/>
    <x v="247"/>
    <x v="0"/>
    <x v="0"/>
    <x v="0"/>
    <x v="0"/>
    <x v="0"/>
    <x v="0"/>
    <x v="0"/>
    <x v="0"/>
  </r>
  <r>
    <s v="ID1233"/>
    <d v="2012-05-29T02:19:27"/>
    <s v="Â£29000"/>
    <n v="29000"/>
    <s v="GBP"/>
    <n v="45709.169889951241"/>
    <s v="Financial Accountant"/>
    <x v="5"/>
    <s v="UK"/>
    <x v="14"/>
    <x v="2"/>
    <n v="8"/>
    <s v=""/>
    <s v=""/>
    <n v="1"/>
    <s v=""/>
    <s v=""/>
    <s v=""/>
    <x v="3"/>
    <x v="82"/>
    <x v="1"/>
    <x v="0"/>
    <x v="0"/>
    <x v="0"/>
    <x v="0"/>
    <x v="0"/>
    <x v="0"/>
    <x v="0"/>
    <x v="0"/>
  </r>
  <r>
    <s v="ID1234"/>
    <d v="2012-05-29T02:22:13"/>
    <n v="400000"/>
    <n v="400000"/>
    <s v="INR"/>
    <n v="7123.1666749770275"/>
    <s v="Pmo"/>
    <x v="3"/>
    <s v="India"/>
    <x v="0"/>
    <x v="0"/>
    <n v="1"/>
    <n v="1"/>
    <s v=""/>
    <s v=""/>
    <s v=""/>
    <s v=""/>
    <s v=""/>
    <x v="4"/>
    <x v="0"/>
    <x v="1"/>
    <x v="0"/>
    <x v="0"/>
    <x v="0"/>
    <x v="0"/>
    <x v="12"/>
    <x v="0"/>
    <x v="0"/>
    <x v="0"/>
  </r>
  <r>
    <s v="ID1235"/>
    <d v="2012-05-29T02:26:28"/>
    <s v="100000 USD"/>
    <n v="100000"/>
    <s v="USD"/>
    <n v="100000"/>
    <s v="Controller"/>
    <x v="1"/>
    <s v="Norway"/>
    <x v="46"/>
    <x v="0"/>
    <n v="12"/>
    <s v=""/>
    <s v=""/>
    <s v=""/>
    <n v="1"/>
    <s v=""/>
    <s v=""/>
    <x v="5"/>
    <x v="0"/>
    <x v="1"/>
    <x v="0"/>
    <x v="33"/>
    <x v="0"/>
    <x v="0"/>
    <x v="0"/>
    <x v="0"/>
    <x v="0"/>
    <x v="0"/>
  </r>
  <r>
    <s v="ID1236"/>
    <d v="2012-05-29T02:43:44"/>
    <s v="62.000 euro"/>
    <n v="62000"/>
    <s v="EUR"/>
    <n v="78764.765217479682"/>
    <s v="Stafmember"/>
    <x v="0"/>
    <s v="Netherlands"/>
    <x v="18"/>
    <x v="0"/>
    <n v="15"/>
    <s v=""/>
    <s v=""/>
    <s v=""/>
    <n v="1"/>
    <s v=""/>
    <s v=""/>
    <x v="5"/>
    <x v="0"/>
    <x v="248"/>
    <x v="0"/>
    <x v="0"/>
    <x v="0"/>
    <x v="0"/>
    <x v="0"/>
    <x v="0"/>
    <x v="0"/>
    <x v="0"/>
  </r>
  <r>
    <s v="ID1237"/>
    <d v="2012-05-29T03:16:02"/>
    <n v="150000"/>
    <n v="150000"/>
    <s v="AUD"/>
    <n v="152986.44846039536"/>
    <s v="Analyst"/>
    <x v="0"/>
    <s v="Australia"/>
    <x v="16"/>
    <x v="2"/>
    <n v="10"/>
    <s v=""/>
    <s v=""/>
    <n v="1"/>
    <s v=""/>
    <s v=""/>
    <s v=""/>
    <x v="3"/>
    <x v="0"/>
    <x v="249"/>
    <x v="0"/>
    <x v="0"/>
    <x v="0"/>
    <x v="0"/>
    <x v="0"/>
    <x v="0"/>
    <x v="0"/>
    <x v="0"/>
  </r>
  <r>
    <s v="ID1238"/>
    <d v="2012-05-29T03:28:37"/>
    <s v="â‚¬35,000 / â‚¬44,000"/>
    <n v="35000"/>
    <s v="EUR"/>
    <n v="44463.980364706273"/>
    <s v="Business Analyst"/>
    <x v="0"/>
    <s v="Ireland"/>
    <x v="8"/>
    <x v="1"/>
    <n v="12"/>
    <s v=""/>
    <s v=""/>
    <s v=""/>
    <n v="1"/>
    <s v=""/>
    <s v=""/>
    <x v="5"/>
    <x v="0"/>
    <x v="250"/>
    <x v="0"/>
    <x v="0"/>
    <x v="0"/>
    <x v="0"/>
    <x v="0"/>
    <x v="0"/>
    <x v="0"/>
    <x v="0"/>
  </r>
  <r>
    <s v="ID1239"/>
    <d v="2012-05-29T03:51:09"/>
    <n v="30"/>
    <n v="30000"/>
    <s v="EUR"/>
    <n v="38111.983169748237"/>
    <s v="education advisor"/>
    <x v="8"/>
    <s v="the Netherlands"/>
    <x v="18"/>
    <x v="3"/>
    <n v="8"/>
    <s v=""/>
    <s v=""/>
    <n v="1"/>
    <s v=""/>
    <s v=""/>
    <s v=""/>
    <x v="3"/>
    <x v="0"/>
    <x v="1"/>
    <x v="55"/>
    <x v="0"/>
    <x v="0"/>
    <x v="0"/>
    <x v="0"/>
    <x v="0"/>
    <x v="0"/>
    <x v="0"/>
  </r>
  <r>
    <s v="ID1240"/>
    <d v="2012-05-29T03:51:28"/>
    <n v="75000"/>
    <n v="75000"/>
    <s v="GBP"/>
    <n v="118213.37040504631"/>
    <s v="Finance Manager"/>
    <x v="3"/>
    <s v="UK"/>
    <x v="14"/>
    <x v="0"/>
    <n v="20"/>
    <s v=""/>
    <s v=""/>
    <s v=""/>
    <s v=""/>
    <n v="1"/>
    <s v=""/>
    <x v="2"/>
    <x v="0"/>
    <x v="1"/>
    <x v="0"/>
    <x v="0"/>
    <x v="0"/>
    <x v="0"/>
    <x v="217"/>
    <x v="0"/>
    <x v="0"/>
    <x v="0"/>
  </r>
  <r>
    <s v="ID1241"/>
    <d v="2012-05-29T04:03:07"/>
    <n v="25000"/>
    <n v="25000"/>
    <s v="GBP"/>
    <n v="39404.456801682099"/>
    <s v="Senior Accounts Clerk"/>
    <x v="5"/>
    <s v="UK"/>
    <x v="14"/>
    <x v="2"/>
    <n v="10"/>
    <s v=""/>
    <s v=""/>
    <n v="1"/>
    <s v=""/>
    <s v=""/>
    <s v=""/>
    <x v="3"/>
    <x v="83"/>
    <x v="1"/>
    <x v="0"/>
    <x v="0"/>
    <x v="0"/>
    <x v="0"/>
    <x v="0"/>
    <x v="0"/>
    <x v="0"/>
    <x v="0"/>
  </r>
  <r>
    <s v="ID1242"/>
    <d v="2012-05-29T04:08:45"/>
    <n v="71000"/>
    <n v="71000"/>
    <s v="EUR"/>
    <n v="90198.36016840415"/>
    <s v="Consultant"/>
    <x v="8"/>
    <s v="Germany"/>
    <x v="5"/>
    <x v="3"/>
    <n v="3"/>
    <s v=""/>
    <n v="1"/>
    <s v=""/>
    <s v=""/>
    <s v=""/>
    <s v=""/>
    <x v="1"/>
    <x v="0"/>
    <x v="1"/>
    <x v="56"/>
    <x v="0"/>
    <x v="0"/>
    <x v="0"/>
    <x v="0"/>
    <x v="0"/>
    <x v="0"/>
    <x v="0"/>
  </r>
  <r>
    <s v="ID1243"/>
    <d v="2012-05-29T04:11:58"/>
    <s v="Â£30000"/>
    <n v="30000"/>
    <s v="GBP"/>
    <n v="47285.348162018527"/>
    <s v="Infection Prevention Surveillance Specialist"/>
    <x v="6"/>
    <s v="UK"/>
    <x v="14"/>
    <x v="0"/>
    <n v="14"/>
    <s v=""/>
    <s v=""/>
    <s v=""/>
    <n v="1"/>
    <s v=""/>
    <s v=""/>
    <x v="5"/>
    <x v="0"/>
    <x v="1"/>
    <x v="0"/>
    <x v="0"/>
    <x v="0"/>
    <x v="0"/>
    <x v="0"/>
    <x v="0"/>
    <x v="0"/>
    <x v="33"/>
  </r>
  <r>
    <s v="ID1244"/>
    <d v="2012-05-29T04:25:02"/>
    <n v="56000"/>
    <n v="56000"/>
    <s v="USD"/>
    <n v="56000"/>
    <s v="Accountant"/>
    <x v="5"/>
    <s v="USA"/>
    <x v="2"/>
    <x v="0"/>
    <n v="1"/>
    <n v="1"/>
    <s v=""/>
    <s v=""/>
    <s v=""/>
    <s v=""/>
    <s v=""/>
    <x v="4"/>
    <x v="84"/>
    <x v="1"/>
    <x v="0"/>
    <x v="0"/>
    <x v="0"/>
    <x v="0"/>
    <x v="0"/>
    <x v="0"/>
    <x v="0"/>
    <x v="0"/>
  </r>
  <r>
    <s v="ID1245"/>
    <d v="2012-05-29T04:30:10"/>
    <s v="IDR 4000000"/>
    <n v="48000000"/>
    <s v="IDR"/>
    <n v="5082.6943786459069"/>
    <s v="Office Instructor"/>
    <x v="0"/>
    <s v="Indonesia"/>
    <x v="55"/>
    <x v="3"/>
    <n v="2"/>
    <n v="1"/>
    <s v=""/>
    <s v=""/>
    <s v=""/>
    <s v=""/>
    <s v=""/>
    <x v="4"/>
    <x v="0"/>
    <x v="251"/>
    <x v="0"/>
    <x v="0"/>
    <x v="0"/>
    <x v="0"/>
    <x v="0"/>
    <x v="0"/>
    <x v="0"/>
    <x v="0"/>
  </r>
  <r>
    <s v="ID1246"/>
    <d v="2012-05-29T04:33:37"/>
    <s v="GBP 34000"/>
    <n v="34000"/>
    <s v="GBP"/>
    <n v="53590.061250287661"/>
    <s v="Investment Accountant"/>
    <x v="5"/>
    <s v="UK"/>
    <x v="14"/>
    <x v="1"/>
    <n v="10"/>
    <s v=""/>
    <s v=""/>
    <n v="1"/>
    <s v=""/>
    <s v=""/>
    <s v=""/>
    <x v="3"/>
    <x v="78"/>
    <x v="1"/>
    <x v="0"/>
    <x v="0"/>
    <x v="0"/>
    <x v="0"/>
    <x v="0"/>
    <x v="0"/>
    <x v="0"/>
    <x v="0"/>
  </r>
  <r>
    <s v="ID1247"/>
    <d v="2012-05-29T05:03:26"/>
    <s v="dkk 450000"/>
    <n v="450000"/>
    <s v="DKK"/>
    <n v="76906.906752939132"/>
    <s v="owner"/>
    <x v="4"/>
    <s v="Denmark"/>
    <x v="61"/>
    <x v="1"/>
    <n v="17"/>
    <s v=""/>
    <s v=""/>
    <s v=""/>
    <s v=""/>
    <n v="1"/>
    <s v=""/>
    <x v="2"/>
    <x v="0"/>
    <x v="1"/>
    <x v="0"/>
    <x v="0"/>
    <x v="36"/>
    <x v="0"/>
    <x v="0"/>
    <x v="0"/>
    <x v="0"/>
    <x v="0"/>
  </r>
  <r>
    <s v="ID1248"/>
    <d v="2012-05-29T05:08:57"/>
    <s v="85000 USD"/>
    <n v="85000"/>
    <s v="USD"/>
    <n v="85000"/>
    <s v="Senior Executive Compensation Analyst "/>
    <x v="0"/>
    <s v="USA"/>
    <x v="2"/>
    <x v="0"/>
    <n v="5"/>
    <s v=""/>
    <n v="1"/>
    <s v=""/>
    <s v=""/>
    <s v=""/>
    <s v=""/>
    <x v="1"/>
    <x v="0"/>
    <x v="35"/>
    <x v="0"/>
    <x v="0"/>
    <x v="0"/>
    <x v="0"/>
    <x v="0"/>
    <x v="0"/>
    <x v="0"/>
    <x v="0"/>
  </r>
  <r>
    <s v="ID1249"/>
    <d v="2012-05-29T05:11:03"/>
    <s v="USD72000"/>
    <n v="72000"/>
    <s v="USD"/>
    <n v="72000"/>
    <s v="Markets Adviser"/>
    <x v="8"/>
    <s v="New Zealand"/>
    <x v="48"/>
    <x v="2"/>
    <n v="10"/>
    <s v=""/>
    <s v=""/>
    <n v="1"/>
    <s v=""/>
    <s v=""/>
    <s v=""/>
    <x v="3"/>
    <x v="0"/>
    <x v="1"/>
    <x v="57"/>
    <x v="0"/>
    <x v="0"/>
    <x v="0"/>
    <x v="0"/>
    <x v="0"/>
    <x v="0"/>
    <x v="0"/>
  </r>
  <r>
    <s v="ID1250"/>
    <d v="2012-05-29T05:21:39"/>
    <n v="55000"/>
    <n v="55000"/>
    <s v="USD"/>
    <n v="55000"/>
    <s v="Systems Analyst"/>
    <x v="0"/>
    <s v="USA"/>
    <x v="2"/>
    <x v="3"/>
    <n v="7"/>
    <s v=""/>
    <s v=""/>
    <n v="1"/>
    <s v=""/>
    <s v=""/>
    <s v=""/>
    <x v="3"/>
    <x v="0"/>
    <x v="78"/>
    <x v="0"/>
    <x v="0"/>
    <x v="0"/>
    <x v="0"/>
    <x v="0"/>
    <x v="0"/>
    <x v="0"/>
    <x v="0"/>
  </r>
  <r>
    <s v="ID1251"/>
    <d v="2012-05-29T05:47:34"/>
    <s v="GBP 43,000"/>
    <n v="43000"/>
    <s v="GBP"/>
    <n v="67775.665698893223"/>
    <s v="Financial Controller"/>
    <x v="1"/>
    <s v="UK"/>
    <x v="14"/>
    <x v="0"/>
    <n v="25"/>
    <s v=""/>
    <s v=""/>
    <s v=""/>
    <s v=""/>
    <s v=""/>
    <n v="1"/>
    <x v="6"/>
    <x v="0"/>
    <x v="1"/>
    <x v="0"/>
    <x v="34"/>
    <x v="0"/>
    <x v="0"/>
    <x v="0"/>
    <x v="0"/>
    <x v="0"/>
    <x v="0"/>
  </r>
  <r>
    <s v="ID1252"/>
    <d v="2012-05-29T05:53:42"/>
    <s v="Â£25750"/>
    <n v="25750"/>
    <s v="GBP"/>
    <n v="40586.590505732565"/>
    <s v="Energy Analyst"/>
    <x v="0"/>
    <s v="UK"/>
    <x v="14"/>
    <x v="0"/>
    <n v="1"/>
    <n v="1"/>
    <s v=""/>
    <s v=""/>
    <s v=""/>
    <s v=""/>
    <s v=""/>
    <x v="4"/>
    <x v="0"/>
    <x v="252"/>
    <x v="0"/>
    <x v="0"/>
    <x v="0"/>
    <x v="0"/>
    <x v="0"/>
    <x v="0"/>
    <x v="0"/>
    <x v="0"/>
  </r>
  <r>
    <s v="ID1253"/>
    <d v="2012-05-29T06:08:12"/>
    <n v="50846"/>
    <n v="50846"/>
    <s v="USD"/>
    <n v="50846"/>
    <s v="Program &amp; Policy Analyst-Advanced"/>
    <x v="0"/>
    <s v="USA"/>
    <x v="2"/>
    <x v="0"/>
    <n v="25"/>
    <s v=""/>
    <s v=""/>
    <s v=""/>
    <s v=""/>
    <s v=""/>
    <n v="1"/>
    <x v="6"/>
    <x v="0"/>
    <x v="253"/>
    <x v="0"/>
    <x v="0"/>
    <x v="0"/>
    <x v="0"/>
    <x v="0"/>
    <x v="0"/>
    <x v="0"/>
    <x v="0"/>
  </r>
  <r>
    <s v="ID1254"/>
    <d v="2012-05-29T06:24:36"/>
    <n v="63000"/>
    <n v="63000"/>
    <s v="USD"/>
    <n v="63000"/>
    <s v="Senior Staff Accountant"/>
    <x v="5"/>
    <s v="USA"/>
    <x v="2"/>
    <x v="1"/>
    <n v="16"/>
    <s v=""/>
    <s v=""/>
    <s v=""/>
    <s v=""/>
    <s v=""/>
    <s v=""/>
    <x v="0"/>
    <x v="85"/>
    <x v="1"/>
    <x v="0"/>
    <x v="0"/>
    <x v="0"/>
    <x v="0"/>
    <x v="0"/>
    <x v="0"/>
    <x v="0"/>
    <x v="0"/>
  </r>
  <r>
    <s v="ID1255"/>
    <d v="2012-05-29T06:26:05"/>
    <n v="80000"/>
    <n v="80000"/>
    <s v="AUD"/>
    <n v="81592.772512210868"/>
    <s v="systems accountant"/>
    <x v="5"/>
    <s v="Australia"/>
    <x v="16"/>
    <x v="0"/>
    <n v="5"/>
    <s v=""/>
    <n v="1"/>
    <s v=""/>
    <s v=""/>
    <s v=""/>
    <s v=""/>
    <x v="1"/>
    <x v="86"/>
    <x v="1"/>
    <x v="0"/>
    <x v="0"/>
    <x v="0"/>
    <x v="0"/>
    <x v="0"/>
    <x v="0"/>
    <x v="0"/>
    <x v="0"/>
  </r>
  <r>
    <s v="ID1256"/>
    <d v="2012-05-29T07:21:41"/>
    <n v="50700"/>
    <n v="50700"/>
    <s v="USD"/>
    <n v="50700"/>
    <s v="Sr. Systems Analyst"/>
    <x v="0"/>
    <s v="Brazil"/>
    <x v="20"/>
    <x v="3"/>
    <n v="15"/>
    <s v=""/>
    <s v=""/>
    <s v=""/>
    <n v="1"/>
    <s v=""/>
    <s v=""/>
    <x v="5"/>
    <x v="0"/>
    <x v="254"/>
    <x v="0"/>
    <x v="0"/>
    <x v="0"/>
    <x v="0"/>
    <x v="0"/>
    <x v="0"/>
    <x v="0"/>
    <x v="0"/>
  </r>
  <r>
    <s v="ID1257"/>
    <d v="2012-05-29T07:28:41"/>
    <n v="20000"/>
    <n v="20000"/>
    <s v="GBP"/>
    <n v="31523.565441345683"/>
    <s v="Environmental Information Analyst"/>
    <x v="0"/>
    <s v="UK"/>
    <x v="14"/>
    <x v="0"/>
    <n v="1"/>
    <n v="1"/>
    <s v=""/>
    <s v=""/>
    <s v=""/>
    <s v=""/>
    <s v=""/>
    <x v="4"/>
    <x v="0"/>
    <x v="225"/>
    <x v="0"/>
    <x v="0"/>
    <x v="0"/>
    <x v="0"/>
    <x v="0"/>
    <x v="0"/>
    <x v="0"/>
    <x v="0"/>
  </r>
  <r>
    <s v="ID1258"/>
    <d v="2012-05-29T07:46:56"/>
    <n v="70000"/>
    <n v="70000"/>
    <s v="USD"/>
    <n v="70000"/>
    <s v="Develope"/>
    <x v="0"/>
    <s v="USA"/>
    <x v="2"/>
    <x v="3"/>
    <n v="6"/>
    <s v=""/>
    <s v=""/>
    <n v="1"/>
    <s v=""/>
    <s v=""/>
    <s v=""/>
    <x v="3"/>
    <x v="0"/>
    <x v="59"/>
    <x v="0"/>
    <x v="0"/>
    <x v="0"/>
    <x v="0"/>
    <x v="0"/>
    <x v="0"/>
    <x v="0"/>
    <x v="0"/>
  </r>
  <r>
    <s v="ID1259"/>
    <d v="2012-05-29T07:52:56"/>
    <n v="65000"/>
    <n v="65000"/>
    <s v="CAD"/>
    <n v="63918.498996971248"/>
    <s v="it manager"/>
    <x v="3"/>
    <s v="Canada"/>
    <x v="17"/>
    <x v="2"/>
    <n v="15"/>
    <s v=""/>
    <s v=""/>
    <s v=""/>
    <n v="1"/>
    <s v=""/>
    <s v=""/>
    <x v="5"/>
    <x v="0"/>
    <x v="1"/>
    <x v="0"/>
    <x v="0"/>
    <x v="0"/>
    <x v="0"/>
    <x v="63"/>
    <x v="0"/>
    <x v="0"/>
    <x v="0"/>
  </r>
  <r>
    <s v="ID1260"/>
    <d v="2012-05-29T07:57:04"/>
    <n v="800000"/>
    <n v="9600000"/>
    <s v="MONGOLIAN"/>
    <n v="7261.724659606657"/>
    <s v="Analyst"/>
    <x v="0"/>
    <s v="Mongolia"/>
    <x v="83"/>
    <x v="1"/>
    <n v="2"/>
    <n v="1"/>
    <s v=""/>
    <s v=""/>
    <s v=""/>
    <s v=""/>
    <s v=""/>
    <x v="4"/>
    <x v="0"/>
    <x v="255"/>
    <x v="0"/>
    <x v="0"/>
    <x v="0"/>
    <x v="0"/>
    <x v="0"/>
    <x v="0"/>
    <x v="0"/>
    <x v="0"/>
  </r>
  <r>
    <s v="ID1261"/>
    <d v="2012-05-29T08:13:06"/>
    <s v="RM3000"/>
    <n v="36000"/>
    <s v="MYR"/>
    <n v="11404.820437438224"/>
    <s v="Process Engineering"/>
    <x v="2"/>
    <s v="Malaysia"/>
    <x v="73"/>
    <x v="0"/>
    <n v="2"/>
    <n v="1"/>
    <s v=""/>
    <s v=""/>
    <s v=""/>
    <s v=""/>
    <s v=""/>
    <x v="4"/>
    <x v="0"/>
    <x v="1"/>
    <x v="0"/>
    <x v="0"/>
    <x v="0"/>
    <x v="39"/>
    <x v="0"/>
    <x v="0"/>
    <x v="0"/>
    <x v="0"/>
  </r>
  <r>
    <s v="ID1262"/>
    <d v="2012-05-29T08:25:51"/>
    <s v="120,000  US$"/>
    <n v="120000"/>
    <s v="USD"/>
    <n v="120000"/>
    <s v="Consultant - Process Improvement"/>
    <x v="8"/>
    <s v="Singapore"/>
    <x v="29"/>
    <x v="3"/>
    <n v="5"/>
    <s v=""/>
    <n v="1"/>
    <s v=""/>
    <s v=""/>
    <s v=""/>
    <s v=""/>
    <x v="1"/>
    <x v="0"/>
    <x v="1"/>
    <x v="58"/>
    <x v="0"/>
    <x v="0"/>
    <x v="0"/>
    <x v="0"/>
    <x v="0"/>
    <x v="0"/>
    <x v="0"/>
  </r>
  <r>
    <s v="ID1263"/>
    <d v="2012-05-29T08:41:02"/>
    <n v="90000"/>
    <n v="90000"/>
    <s v="AUD"/>
    <n v="91791.869076237213"/>
    <s v="Business Analyst"/>
    <x v="0"/>
    <s v="Australia"/>
    <x v="16"/>
    <x v="0"/>
    <n v="5"/>
    <s v=""/>
    <n v="1"/>
    <s v=""/>
    <s v=""/>
    <s v=""/>
    <s v=""/>
    <x v="1"/>
    <x v="0"/>
    <x v="206"/>
    <x v="0"/>
    <x v="0"/>
    <x v="0"/>
    <x v="0"/>
    <x v="0"/>
    <x v="0"/>
    <x v="0"/>
    <x v="0"/>
  </r>
  <r>
    <s v="ID1264"/>
    <d v="2012-05-29T08:41:14"/>
    <n v="110000"/>
    <n v="110000"/>
    <s v="AUD"/>
    <n v="112190.06220428993"/>
    <s v="Analyst"/>
    <x v="0"/>
    <s v="Australia"/>
    <x v="16"/>
    <x v="2"/>
    <n v="7"/>
    <s v=""/>
    <s v=""/>
    <n v="1"/>
    <s v=""/>
    <s v=""/>
    <s v=""/>
    <x v="3"/>
    <x v="0"/>
    <x v="256"/>
    <x v="0"/>
    <x v="0"/>
    <x v="0"/>
    <x v="0"/>
    <x v="0"/>
    <x v="0"/>
    <x v="0"/>
    <x v="0"/>
  </r>
  <r>
    <s v="ID1265"/>
    <d v="2012-05-29T08:47:48"/>
    <n v="40000"/>
    <n v="40000"/>
    <s v="USD"/>
    <n v="40000"/>
    <s v="Senior Materials Handler"/>
    <x v="3"/>
    <s v="USA"/>
    <x v="2"/>
    <x v="2"/>
    <n v="18"/>
    <s v=""/>
    <s v=""/>
    <s v=""/>
    <s v=""/>
    <n v="1"/>
    <s v=""/>
    <x v="2"/>
    <x v="0"/>
    <x v="1"/>
    <x v="0"/>
    <x v="0"/>
    <x v="0"/>
    <x v="0"/>
    <x v="7"/>
    <x v="0"/>
    <x v="0"/>
    <x v="0"/>
  </r>
  <r>
    <s v="ID1266"/>
    <d v="2012-05-29T08:59:41"/>
    <n v="107000"/>
    <n v="107000"/>
    <s v="USD"/>
    <n v="107000"/>
    <s v="Certified Public Accountant"/>
    <x v="5"/>
    <s v="USA"/>
    <x v="2"/>
    <x v="0"/>
    <n v="12"/>
    <s v=""/>
    <s v=""/>
    <s v=""/>
    <n v="1"/>
    <s v=""/>
    <s v=""/>
    <x v="5"/>
    <x v="87"/>
    <x v="1"/>
    <x v="0"/>
    <x v="0"/>
    <x v="0"/>
    <x v="0"/>
    <x v="0"/>
    <x v="0"/>
    <x v="0"/>
    <x v="0"/>
  </r>
  <r>
    <s v="ID1267"/>
    <d v="2012-05-29T09:15:09"/>
    <n v="82000"/>
    <n v="82000"/>
    <s v="USD"/>
    <n v="82000"/>
    <s v="Manager - Marketing Analytics"/>
    <x v="3"/>
    <s v="USA"/>
    <x v="2"/>
    <x v="0"/>
    <n v="10"/>
    <s v=""/>
    <s v=""/>
    <n v="1"/>
    <s v=""/>
    <s v=""/>
    <s v=""/>
    <x v="3"/>
    <x v="0"/>
    <x v="1"/>
    <x v="0"/>
    <x v="0"/>
    <x v="0"/>
    <x v="0"/>
    <x v="240"/>
    <x v="0"/>
    <x v="0"/>
    <x v="0"/>
  </r>
  <r>
    <s v="ID1268"/>
    <d v="2012-05-29T09:25:31"/>
    <n v="100000"/>
    <n v="100000"/>
    <s v="AUD"/>
    <n v="101990.96564026357"/>
    <s v="Contractor/Consultant"/>
    <x v="8"/>
    <s v="Australia"/>
    <x v="16"/>
    <x v="0"/>
    <n v="15"/>
    <s v=""/>
    <s v=""/>
    <s v=""/>
    <n v="1"/>
    <s v=""/>
    <s v=""/>
    <x v="5"/>
    <x v="0"/>
    <x v="1"/>
    <x v="44"/>
    <x v="0"/>
    <x v="0"/>
    <x v="0"/>
    <x v="0"/>
    <x v="0"/>
    <x v="0"/>
    <x v="0"/>
  </r>
  <r>
    <s v="ID1270"/>
    <d v="2012-05-29T09:37:40"/>
    <s v="AUD $43000"/>
    <n v="43000"/>
    <s v="USD"/>
    <n v="43000"/>
    <s v="Operations Support Officer"/>
    <x v="3"/>
    <s v="Australia"/>
    <x v="16"/>
    <x v="2"/>
    <n v="4"/>
    <s v=""/>
    <n v="1"/>
    <s v=""/>
    <s v=""/>
    <s v=""/>
    <s v=""/>
    <x v="1"/>
    <x v="0"/>
    <x v="1"/>
    <x v="0"/>
    <x v="0"/>
    <x v="0"/>
    <x v="0"/>
    <x v="241"/>
    <x v="0"/>
    <x v="0"/>
    <x v="0"/>
  </r>
  <r>
    <s v="ID1271"/>
    <d v="2012-05-29T09:38:14"/>
    <n v="69000"/>
    <n v="69000"/>
    <s v="USD"/>
    <n v="69000"/>
    <s v="master scheduler"/>
    <x v="1"/>
    <s v="USA"/>
    <x v="2"/>
    <x v="0"/>
    <n v="20"/>
    <s v=""/>
    <s v=""/>
    <s v=""/>
    <s v=""/>
    <n v="1"/>
    <s v=""/>
    <x v="2"/>
    <x v="0"/>
    <x v="1"/>
    <x v="0"/>
    <x v="35"/>
    <x v="0"/>
    <x v="0"/>
    <x v="0"/>
    <x v="0"/>
    <x v="0"/>
    <x v="0"/>
  </r>
  <r>
    <s v="ID1273"/>
    <d v="2012-05-29T09:47:47"/>
    <n v="30000"/>
    <n v="30000"/>
    <s v="USD"/>
    <n v="30000"/>
    <s v="Practice Manager - Business Operations"/>
    <x v="3"/>
    <s v="India"/>
    <x v="0"/>
    <x v="2"/>
    <n v="3"/>
    <s v=""/>
    <n v="1"/>
    <s v=""/>
    <s v=""/>
    <s v=""/>
    <s v=""/>
    <x v="1"/>
    <x v="0"/>
    <x v="1"/>
    <x v="0"/>
    <x v="0"/>
    <x v="0"/>
    <x v="0"/>
    <x v="99"/>
    <x v="0"/>
    <x v="0"/>
    <x v="0"/>
  </r>
  <r>
    <s v="ID1274"/>
    <d v="2012-05-29T09:52:02"/>
    <s v="48000 $AUD"/>
    <n v="48000"/>
    <s v="AUD"/>
    <n v="48955.663507326513"/>
    <s v="Research Assistant"/>
    <x v="0"/>
    <s v="Australia"/>
    <x v="16"/>
    <x v="3"/>
    <n v="2"/>
    <n v="1"/>
    <s v=""/>
    <s v=""/>
    <s v=""/>
    <s v=""/>
    <s v=""/>
    <x v="4"/>
    <x v="0"/>
    <x v="257"/>
    <x v="0"/>
    <x v="0"/>
    <x v="0"/>
    <x v="0"/>
    <x v="0"/>
    <x v="0"/>
    <x v="0"/>
    <x v="0"/>
  </r>
  <r>
    <s v="ID1275"/>
    <d v="2012-05-29T10:08:21"/>
    <n v="70000"/>
    <n v="70000"/>
    <s v="USD"/>
    <n v="70000"/>
    <s v="Project Manager"/>
    <x v="3"/>
    <s v="USA"/>
    <x v="2"/>
    <x v="0"/>
    <n v="8"/>
    <s v=""/>
    <s v=""/>
    <n v="1"/>
    <s v=""/>
    <s v=""/>
    <s v=""/>
    <x v="3"/>
    <x v="0"/>
    <x v="1"/>
    <x v="0"/>
    <x v="0"/>
    <x v="0"/>
    <x v="0"/>
    <x v="48"/>
    <x v="0"/>
    <x v="0"/>
    <x v="0"/>
  </r>
  <r>
    <s v="ID1276"/>
    <d v="2012-05-29T10:09:37"/>
    <n v="45000"/>
    <n v="45000"/>
    <s v="USD"/>
    <n v="45000"/>
    <s v="Staff Assistant"/>
    <x v="0"/>
    <s v="USA"/>
    <x v="2"/>
    <x v="0"/>
    <n v="7"/>
    <s v=""/>
    <s v=""/>
    <n v="1"/>
    <s v=""/>
    <s v=""/>
    <s v=""/>
    <x v="3"/>
    <x v="0"/>
    <x v="42"/>
    <x v="0"/>
    <x v="0"/>
    <x v="0"/>
    <x v="0"/>
    <x v="0"/>
    <x v="0"/>
    <x v="0"/>
    <x v="0"/>
  </r>
  <r>
    <s v="ID1277"/>
    <d v="2012-05-29T10:11:28"/>
    <n v="35000"/>
    <n v="35000"/>
    <s v="USD"/>
    <n v="35000"/>
    <s v="AVP Securitisation"/>
    <x v="4"/>
    <s v="Malaysia"/>
    <x v="73"/>
    <x v="1"/>
    <n v="12"/>
    <s v=""/>
    <s v=""/>
    <s v=""/>
    <n v="1"/>
    <s v=""/>
    <s v=""/>
    <x v="5"/>
    <x v="0"/>
    <x v="1"/>
    <x v="0"/>
    <x v="0"/>
    <x v="37"/>
    <x v="0"/>
    <x v="0"/>
    <x v="0"/>
    <x v="0"/>
    <x v="0"/>
  </r>
  <r>
    <s v="ID1278"/>
    <d v="2012-05-29T10:43:49"/>
    <n v="500000"/>
    <n v="500000"/>
    <s v="INR"/>
    <n v="8903.9583437212841"/>
    <s v="Asstt. Manager"/>
    <x v="3"/>
    <s v="India"/>
    <x v="0"/>
    <x v="2"/>
    <n v="29"/>
    <s v=""/>
    <s v=""/>
    <s v=""/>
    <s v=""/>
    <s v=""/>
    <n v="1"/>
    <x v="6"/>
    <x v="0"/>
    <x v="1"/>
    <x v="0"/>
    <x v="0"/>
    <x v="0"/>
    <x v="0"/>
    <x v="57"/>
    <x v="0"/>
    <x v="0"/>
    <x v="0"/>
  </r>
  <r>
    <s v="ID1279"/>
    <d v="2012-05-29T10:45:46"/>
    <s v="MYR89500"/>
    <n v="89500"/>
    <s v="MYR"/>
    <n v="28353.650809742252"/>
    <s v="Manager"/>
    <x v="3"/>
    <s v="Malaysia"/>
    <x v="73"/>
    <x v="2"/>
    <n v="20"/>
    <s v=""/>
    <s v=""/>
    <s v=""/>
    <s v=""/>
    <n v="1"/>
    <s v=""/>
    <x v="2"/>
    <x v="0"/>
    <x v="1"/>
    <x v="0"/>
    <x v="0"/>
    <x v="0"/>
    <x v="0"/>
    <x v="242"/>
    <x v="0"/>
    <x v="0"/>
    <x v="0"/>
  </r>
  <r>
    <s v="ID1280"/>
    <d v="2012-05-29T10:48:33"/>
    <s v="USD 11800 (INR 650000)"/>
    <n v="11800"/>
    <s v="USD"/>
    <n v="11800"/>
    <s v="Assistant Data Analyst"/>
    <x v="0"/>
    <s v="India"/>
    <x v="0"/>
    <x v="0"/>
    <n v="10"/>
    <s v=""/>
    <s v=""/>
    <n v="1"/>
    <s v=""/>
    <s v=""/>
    <s v=""/>
    <x v="3"/>
    <x v="0"/>
    <x v="258"/>
    <x v="0"/>
    <x v="0"/>
    <x v="0"/>
    <x v="0"/>
    <x v="0"/>
    <x v="0"/>
    <x v="0"/>
    <x v="0"/>
  </r>
  <r>
    <s v="ID1281"/>
    <d v="2012-05-29T10:51:02"/>
    <s v="Rs.3.6 Lakhs pa"/>
    <n v="360000"/>
    <s v="INR"/>
    <n v="6410.8500074793246"/>
    <s v="Team Leader WFM"/>
    <x v="3"/>
    <s v="India"/>
    <x v="0"/>
    <x v="1"/>
    <n v="6"/>
    <s v=""/>
    <s v=""/>
    <n v="1"/>
    <s v=""/>
    <s v=""/>
    <s v=""/>
    <x v="3"/>
    <x v="0"/>
    <x v="1"/>
    <x v="0"/>
    <x v="0"/>
    <x v="0"/>
    <x v="0"/>
    <x v="158"/>
    <x v="0"/>
    <x v="0"/>
    <x v="0"/>
  </r>
  <r>
    <s v="ID1282"/>
    <d v="2012-05-29T10:51:31"/>
    <n v="50000"/>
    <n v="50000"/>
    <s v="USD"/>
    <n v="50000"/>
    <s v="Data Analyst"/>
    <x v="0"/>
    <s v="USA"/>
    <x v="2"/>
    <x v="0"/>
    <n v="3"/>
    <s v=""/>
    <n v="1"/>
    <s v=""/>
    <s v=""/>
    <s v=""/>
    <s v=""/>
    <x v="1"/>
    <x v="0"/>
    <x v="21"/>
    <x v="0"/>
    <x v="0"/>
    <x v="0"/>
    <x v="0"/>
    <x v="0"/>
    <x v="0"/>
    <x v="0"/>
    <x v="0"/>
  </r>
  <r>
    <s v="ID1283"/>
    <d v="2012-05-29T11:00:32"/>
    <n v="85000"/>
    <n v="85000"/>
    <s v="USD"/>
    <n v="85000"/>
    <s v="manager operation"/>
    <x v="3"/>
    <s v="srilanka"/>
    <x v="54"/>
    <x v="1"/>
    <n v="10"/>
    <s v=""/>
    <s v=""/>
    <n v="1"/>
    <s v=""/>
    <s v=""/>
    <s v=""/>
    <x v="3"/>
    <x v="0"/>
    <x v="1"/>
    <x v="0"/>
    <x v="0"/>
    <x v="0"/>
    <x v="0"/>
    <x v="19"/>
    <x v="0"/>
    <x v="0"/>
    <x v="0"/>
  </r>
  <r>
    <s v="ID1284"/>
    <d v="2012-05-29T11:35:53"/>
    <s v="Indian Rs 10 Lakhs"/>
    <n v="1000000"/>
    <s v="INR"/>
    <n v="17807.916687442568"/>
    <s v="Manager"/>
    <x v="3"/>
    <s v="India"/>
    <x v="0"/>
    <x v="2"/>
    <n v="10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285"/>
    <d v="2012-05-29T11:46:47"/>
    <s v="INR 900000"/>
    <n v="900000"/>
    <s v="INR"/>
    <n v="16027.125018698311"/>
    <s v="RENTAL INVENTORY CONTROLLER"/>
    <x v="1"/>
    <s v="India"/>
    <x v="0"/>
    <x v="1"/>
    <n v="8"/>
    <s v=""/>
    <s v=""/>
    <n v="1"/>
    <s v=""/>
    <s v=""/>
    <s v=""/>
    <x v="3"/>
    <x v="0"/>
    <x v="1"/>
    <x v="0"/>
    <x v="36"/>
    <x v="0"/>
    <x v="0"/>
    <x v="0"/>
    <x v="0"/>
    <x v="0"/>
    <x v="0"/>
  </r>
  <r>
    <s v="ID1286"/>
    <d v="2012-05-29T11:51:35"/>
    <n v="192000"/>
    <n v="192000"/>
    <s v="USD"/>
    <n v="192000"/>
    <s v="Publisher"/>
    <x v="4"/>
    <s v="USA"/>
    <x v="2"/>
    <x v="1"/>
    <n v="27"/>
    <s v=""/>
    <s v=""/>
    <s v=""/>
    <s v=""/>
    <s v=""/>
    <n v="1"/>
    <x v="6"/>
    <x v="0"/>
    <x v="1"/>
    <x v="0"/>
    <x v="0"/>
    <x v="38"/>
    <x v="0"/>
    <x v="0"/>
    <x v="0"/>
    <x v="0"/>
    <x v="0"/>
  </r>
  <r>
    <s v="ID1287"/>
    <d v="2012-05-29T12:14:02"/>
    <n v="54000"/>
    <n v="54000"/>
    <s v="USD"/>
    <n v="54000"/>
    <s v="Resource Planning Analyst"/>
    <x v="0"/>
    <s v="USA"/>
    <x v="2"/>
    <x v="1"/>
    <n v="6"/>
    <s v=""/>
    <s v=""/>
    <n v="1"/>
    <s v=""/>
    <s v=""/>
    <s v=""/>
    <x v="3"/>
    <x v="0"/>
    <x v="43"/>
    <x v="0"/>
    <x v="0"/>
    <x v="0"/>
    <x v="0"/>
    <x v="0"/>
    <x v="0"/>
    <x v="0"/>
    <x v="0"/>
  </r>
  <r>
    <s v="ID1288"/>
    <d v="2012-05-29T12:17:07"/>
    <n v="18000"/>
    <n v="18000"/>
    <s v="USD"/>
    <n v="18000"/>
    <s v="Manager"/>
    <x v="3"/>
    <s v="India"/>
    <x v="0"/>
    <x v="0"/>
    <n v="12"/>
    <s v=""/>
    <s v=""/>
    <s v=""/>
    <n v="1"/>
    <s v=""/>
    <s v=""/>
    <x v="5"/>
    <x v="0"/>
    <x v="1"/>
    <x v="0"/>
    <x v="0"/>
    <x v="0"/>
    <x v="0"/>
    <x v="203"/>
    <x v="0"/>
    <x v="0"/>
    <x v="0"/>
  </r>
  <r>
    <s v="ID1289"/>
    <d v="2012-05-29T12:19:39"/>
    <s v="3,00,000.00"/>
    <n v="300000"/>
    <s v="INR"/>
    <n v="5342.3750062327708"/>
    <s v="MIS OFFICER"/>
    <x v="7"/>
    <s v="India"/>
    <x v="0"/>
    <x v="2"/>
    <n v="5"/>
    <s v=""/>
    <n v="1"/>
    <s v=""/>
    <s v=""/>
    <s v=""/>
    <s v=""/>
    <x v="1"/>
    <x v="0"/>
    <x v="1"/>
    <x v="0"/>
    <x v="0"/>
    <x v="0"/>
    <x v="0"/>
    <x v="0"/>
    <x v="0"/>
    <x v="15"/>
    <x v="0"/>
  </r>
  <r>
    <s v="ID1290"/>
    <d v="2012-05-29T12:20:32"/>
    <s v="400000INR"/>
    <n v="400000"/>
    <s v="INR"/>
    <n v="7123.1666749770275"/>
    <s v="PMO"/>
    <x v="3"/>
    <s v="India"/>
    <x v="0"/>
    <x v="1"/>
    <n v="3"/>
    <s v=""/>
    <n v="1"/>
    <s v=""/>
    <s v=""/>
    <s v=""/>
    <s v=""/>
    <x v="1"/>
    <x v="0"/>
    <x v="1"/>
    <x v="0"/>
    <x v="0"/>
    <x v="0"/>
    <x v="0"/>
    <x v="12"/>
    <x v="0"/>
    <x v="0"/>
    <x v="0"/>
  </r>
  <r>
    <s v="ID1291"/>
    <d v="2012-05-29T12:28:41"/>
    <n v="15000"/>
    <n v="15000"/>
    <s v="USD"/>
    <n v="15000"/>
    <s v="Monitoring &amp; Evaluation officer"/>
    <x v="3"/>
    <s v="Myanmar"/>
    <x v="84"/>
    <x v="0"/>
    <n v="10"/>
    <s v=""/>
    <s v=""/>
    <n v="1"/>
    <s v=""/>
    <s v=""/>
    <s v=""/>
    <x v="3"/>
    <x v="0"/>
    <x v="1"/>
    <x v="0"/>
    <x v="0"/>
    <x v="0"/>
    <x v="0"/>
    <x v="72"/>
    <x v="0"/>
    <x v="0"/>
    <x v="0"/>
  </r>
  <r>
    <s v="ID1292"/>
    <d v="2012-05-29T12:29:12"/>
    <s v="us $ 14000"/>
    <n v="14000"/>
    <s v="USD"/>
    <n v="14000"/>
    <s v="Pricing Analyst"/>
    <x v="0"/>
    <s v="India"/>
    <x v="0"/>
    <x v="0"/>
    <n v="12"/>
    <s v=""/>
    <s v=""/>
    <s v=""/>
    <n v="1"/>
    <s v=""/>
    <s v=""/>
    <x v="5"/>
    <x v="0"/>
    <x v="82"/>
    <x v="0"/>
    <x v="0"/>
    <x v="0"/>
    <x v="0"/>
    <x v="0"/>
    <x v="0"/>
    <x v="0"/>
    <x v="0"/>
  </r>
  <r>
    <s v="ID1294"/>
    <d v="2012-05-29T13:06:30"/>
    <n v="8000"/>
    <n v="8000"/>
    <s v="USD"/>
    <n v="8000"/>
    <s v="Data Analyst"/>
    <x v="0"/>
    <s v="India"/>
    <x v="0"/>
    <x v="1"/>
    <n v="4"/>
    <s v=""/>
    <n v="1"/>
    <s v=""/>
    <s v=""/>
    <s v=""/>
    <s v=""/>
    <x v="1"/>
    <x v="0"/>
    <x v="169"/>
    <x v="0"/>
    <x v="0"/>
    <x v="0"/>
    <x v="0"/>
    <x v="0"/>
    <x v="0"/>
    <x v="0"/>
    <x v="0"/>
  </r>
  <r>
    <s v="ID1295"/>
    <d v="2012-05-29T13:13:56"/>
    <n v="12500"/>
    <n v="12500"/>
    <s v="USD"/>
    <n v="12500"/>
    <s v="Specialist"/>
    <x v="6"/>
    <s v="Philippines"/>
    <x v="32"/>
    <x v="2"/>
    <n v="7"/>
    <s v=""/>
    <s v=""/>
    <n v="1"/>
    <s v=""/>
    <s v=""/>
    <s v=""/>
    <x v="3"/>
    <x v="0"/>
    <x v="1"/>
    <x v="0"/>
    <x v="0"/>
    <x v="0"/>
    <x v="0"/>
    <x v="0"/>
    <x v="0"/>
    <x v="0"/>
    <x v="34"/>
  </r>
  <r>
    <s v="ID1296"/>
    <d v="2012-05-29T13:15:17"/>
    <n v="140000"/>
    <n v="140000"/>
    <s v="USD"/>
    <n v="140000"/>
    <s v="Senior Accountant"/>
    <x v="5"/>
    <s v="USA"/>
    <x v="2"/>
    <x v="0"/>
    <n v="12"/>
    <s v=""/>
    <s v=""/>
    <s v=""/>
    <n v="1"/>
    <s v=""/>
    <s v=""/>
    <x v="5"/>
    <x v="88"/>
    <x v="1"/>
    <x v="0"/>
    <x v="0"/>
    <x v="0"/>
    <x v="0"/>
    <x v="0"/>
    <x v="0"/>
    <x v="0"/>
    <x v="0"/>
  </r>
  <r>
    <s v="ID1297"/>
    <d v="2012-05-29T13:16:45"/>
    <n v="1000"/>
    <n v="12000"/>
    <s v="USD"/>
    <n v="12000"/>
    <s v="excel prof"/>
    <x v="8"/>
    <s v="pakistan"/>
    <x v="3"/>
    <x v="0"/>
    <n v="1"/>
    <n v="1"/>
    <s v=""/>
    <s v=""/>
    <s v=""/>
    <s v=""/>
    <s v=""/>
    <x v="4"/>
    <x v="0"/>
    <x v="1"/>
    <x v="4"/>
    <x v="0"/>
    <x v="0"/>
    <x v="0"/>
    <x v="0"/>
    <x v="0"/>
    <x v="0"/>
    <x v="0"/>
  </r>
  <r>
    <s v="ID1298"/>
    <d v="2012-05-29T13:16:59"/>
    <s v="30000 EUR"/>
    <n v="30000"/>
    <s v="EUR"/>
    <n v="38111.983169748237"/>
    <s v="Employee"/>
    <x v="0"/>
    <s v="Belgium"/>
    <x v="12"/>
    <x v="2"/>
    <n v="15"/>
    <s v=""/>
    <s v=""/>
    <s v=""/>
    <n v="1"/>
    <s v=""/>
    <s v=""/>
    <x v="5"/>
    <x v="0"/>
    <x v="233"/>
    <x v="0"/>
    <x v="0"/>
    <x v="0"/>
    <x v="0"/>
    <x v="0"/>
    <x v="0"/>
    <x v="0"/>
    <x v="0"/>
  </r>
  <r>
    <s v="ID1299"/>
    <d v="2012-05-29T13:23:45"/>
    <s v="6,00,000 INR"/>
    <n v="600000"/>
    <s v="INR"/>
    <n v="10684.750012465542"/>
    <s v="Senior Business Executive"/>
    <x v="3"/>
    <s v="India"/>
    <x v="0"/>
    <x v="2"/>
    <n v="2"/>
    <n v="1"/>
    <s v=""/>
    <s v=""/>
    <s v=""/>
    <s v=""/>
    <s v=""/>
    <x v="4"/>
    <x v="0"/>
    <x v="1"/>
    <x v="0"/>
    <x v="0"/>
    <x v="0"/>
    <x v="0"/>
    <x v="9"/>
    <x v="0"/>
    <x v="0"/>
    <x v="0"/>
  </r>
  <r>
    <s v="ID1301"/>
    <d v="2012-05-29T13:40:09"/>
    <s v="3.5 lakhs p.a"/>
    <n v="350000"/>
    <s v="INR"/>
    <n v="6232.7708406048987"/>
    <s v="I dont know"/>
    <x v="0"/>
    <s v="India"/>
    <x v="0"/>
    <x v="0"/>
    <n v="1.5"/>
    <n v="1"/>
    <s v=""/>
    <s v=""/>
    <s v=""/>
    <s v=""/>
    <s v=""/>
    <x v="4"/>
    <x v="0"/>
    <x v="215"/>
    <x v="0"/>
    <x v="0"/>
    <x v="0"/>
    <x v="0"/>
    <x v="0"/>
    <x v="0"/>
    <x v="0"/>
    <x v="0"/>
  </r>
  <r>
    <s v="ID1302"/>
    <d v="2012-05-29T13:52:13"/>
    <n v="45000"/>
    <n v="45000"/>
    <s v="USD"/>
    <n v="45000"/>
    <s v="Financial Analysis"/>
    <x v="0"/>
    <s v="Pakistan"/>
    <x v="3"/>
    <x v="1"/>
    <n v="8"/>
    <s v=""/>
    <s v=""/>
    <n v="1"/>
    <s v=""/>
    <s v=""/>
    <s v=""/>
    <x v="3"/>
    <x v="0"/>
    <x v="42"/>
    <x v="0"/>
    <x v="0"/>
    <x v="0"/>
    <x v="0"/>
    <x v="0"/>
    <x v="0"/>
    <x v="0"/>
    <x v="0"/>
  </r>
  <r>
    <s v="ID1303"/>
    <d v="2012-05-29T13:53:59"/>
    <n v="80000"/>
    <n v="80000"/>
    <s v="USD"/>
    <n v="80000"/>
    <s v="Manager"/>
    <x v="3"/>
    <s v="USA"/>
    <x v="2"/>
    <x v="3"/>
    <n v="6"/>
    <s v=""/>
    <s v=""/>
    <n v="1"/>
    <s v=""/>
    <s v=""/>
    <s v=""/>
    <x v="3"/>
    <x v="0"/>
    <x v="1"/>
    <x v="0"/>
    <x v="0"/>
    <x v="0"/>
    <x v="0"/>
    <x v="50"/>
    <x v="0"/>
    <x v="0"/>
    <x v="0"/>
  </r>
  <r>
    <s v="ID1304"/>
    <d v="2012-05-29T13:54:38"/>
    <s v="Rs 1500000"/>
    <n v="1500000"/>
    <s v="INR"/>
    <n v="26711.875031163851"/>
    <s v="Analyst"/>
    <x v="0"/>
    <s v="India"/>
    <x v="0"/>
    <x v="0"/>
    <n v="7"/>
    <s v=""/>
    <s v=""/>
    <n v="1"/>
    <s v=""/>
    <s v=""/>
    <s v=""/>
    <x v="3"/>
    <x v="0"/>
    <x v="259"/>
    <x v="0"/>
    <x v="0"/>
    <x v="0"/>
    <x v="0"/>
    <x v="0"/>
    <x v="0"/>
    <x v="0"/>
    <x v="0"/>
  </r>
  <r>
    <s v="ID1305"/>
    <d v="2012-05-29T13:58:30"/>
    <s v="US$ 100,000"/>
    <n v="100000"/>
    <s v="USD"/>
    <n v="100000"/>
    <s v="Business Analyst"/>
    <x v="0"/>
    <s v="Uganda"/>
    <x v="85"/>
    <x v="0"/>
    <n v="17"/>
    <s v=""/>
    <s v=""/>
    <s v=""/>
    <s v=""/>
    <n v="1"/>
    <s v=""/>
    <x v="2"/>
    <x v="0"/>
    <x v="13"/>
    <x v="0"/>
    <x v="0"/>
    <x v="0"/>
    <x v="0"/>
    <x v="0"/>
    <x v="0"/>
    <x v="0"/>
    <x v="0"/>
  </r>
  <r>
    <s v="ID1306"/>
    <d v="2012-05-29T13:59:14"/>
    <n v="68000"/>
    <n v="68000"/>
    <s v="AUD"/>
    <n v="69353.856635379227"/>
    <s v="Project Support Officer"/>
    <x v="3"/>
    <s v="Australia"/>
    <x v="16"/>
    <x v="0"/>
    <n v="10"/>
    <s v=""/>
    <s v=""/>
    <n v="1"/>
    <s v=""/>
    <s v=""/>
    <s v=""/>
    <x v="3"/>
    <x v="0"/>
    <x v="1"/>
    <x v="0"/>
    <x v="0"/>
    <x v="0"/>
    <x v="0"/>
    <x v="243"/>
    <x v="0"/>
    <x v="0"/>
    <x v="0"/>
  </r>
  <r>
    <s v="ID1307"/>
    <d v="2012-05-29T14:10:28"/>
    <s v="AUS 49,000"/>
    <n v="49000"/>
    <s v="AUD"/>
    <n v="49975.573163729154"/>
    <s v="Document Control"/>
    <x v="1"/>
    <s v="Australia"/>
    <x v="16"/>
    <x v="0"/>
    <n v="30"/>
    <s v=""/>
    <s v=""/>
    <s v=""/>
    <s v=""/>
    <s v=""/>
    <n v="1"/>
    <x v="6"/>
    <x v="0"/>
    <x v="1"/>
    <x v="0"/>
    <x v="37"/>
    <x v="0"/>
    <x v="0"/>
    <x v="0"/>
    <x v="0"/>
    <x v="0"/>
    <x v="0"/>
  </r>
  <r>
    <s v="ID1308"/>
    <d v="2012-05-29T14:16:06"/>
    <s v="5,75,000"/>
    <n v="575000"/>
    <s v="INR"/>
    <n v="10239.552095279476"/>
    <s v="Asst Manager H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244"/>
    <x v="0"/>
    <x v="0"/>
    <x v="0"/>
  </r>
  <r>
    <s v="ID1309"/>
    <d v="2012-05-29T14:34:42"/>
    <s v="500000 Rupees"/>
    <n v="500000"/>
    <s v="INR"/>
    <n v="8903.9583437212841"/>
    <s v="Senior software engineer"/>
    <x v="2"/>
    <s v="India"/>
    <x v="0"/>
    <x v="0"/>
    <n v="2"/>
    <n v="1"/>
    <s v=""/>
    <s v=""/>
    <s v=""/>
    <s v=""/>
    <s v=""/>
    <x v="4"/>
    <x v="0"/>
    <x v="1"/>
    <x v="0"/>
    <x v="0"/>
    <x v="0"/>
    <x v="25"/>
    <x v="0"/>
    <x v="0"/>
    <x v="0"/>
    <x v="0"/>
  </r>
  <r>
    <s v="ID1310"/>
    <d v="2012-05-29T14:55:21"/>
    <s v="36K"/>
    <n v="36000"/>
    <s v="USD"/>
    <n v="36000"/>
    <s v="Administrative Assistant"/>
    <x v="0"/>
    <s v="Kuwait"/>
    <x v="76"/>
    <x v="2"/>
    <n v="10"/>
    <s v=""/>
    <s v=""/>
    <n v="1"/>
    <s v=""/>
    <s v=""/>
    <s v=""/>
    <x v="3"/>
    <x v="0"/>
    <x v="32"/>
    <x v="0"/>
    <x v="0"/>
    <x v="0"/>
    <x v="0"/>
    <x v="0"/>
    <x v="0"/>
    <x v="0"/>
    <x v="0"/>
  </r>
  <r>
    <s v="ID1311"/>
    <d v="2012-05-29T14:55:29"/>
    <s v="210000 per annum"/>
    <n v="210000"/>
    <s v="INR"/>
    <n v="3739.6625043629392"/>
    <s v="MIS cum Purchase Executive"/>
    <x v="7"/>
    <s v="India"/>
    <x v="0"/>
    <x v="3"/>
    <n v="4.5"/>
    <s v=""/>
    <n v="1"/>
    <s v=""/>
    <s v=""/>
    <s v=""/>
    <s v=""/>
    <x v="1"/>
    <x v="0"/>
    <x v="1"/>
    <x v="0"/>
    <x v="0"/>
    <x v="0"/>
    <x v="0"/>
    <x v="0"/>
    <x v="0"/>
    <x v="35"/>
    <x v="0"/>
  </r>
  <r>
    <s v="ID1312"/>
    <d v="2012-05-29T14:59:11"/>
    <s v="â‚¬ 48500"/>
    <n v="48500"/>
    <s v="EUR"/>
    <n v="61614.372791092981"/>
    <s v="Information analyst"/>
    <x v="0"/>
    <s v="Netherlands"/>
    <x v="18"/>
    <x v="0"/>
    <n v="8"/>
    <s v=""/>
    <s v=""/>
    <n v="1"/>
    <s v=""/>
    <s v=""/>
    <s v=""/>
    <x v="3"/>
    <x v="0"/>
    <x v="260"/>
    <x v="0"/>
    <x v="0"/>
    <x v="0"/>
    <x v="0"/>
    <x v="0"/>
    <x v="0"/>
    <x v="0"/>
    <x v="0"/>
  </r>
  <r>
    <s v="ID1313"/>
    <d v="2012-05-29T15:02:56"/>
    <s v="2 LPA"/>
    <n v="200000"/>
    <s v="INR"/>
    <n v="3561.5833374885137"/>
    <s v="MIS"/>
    <x v="7"/>
    <s v="India"/>
    <x v="0"/>
    <x v="2"/>
    <n v="3"/>
    <s v=""/>
    <n v="1"/>
    <s v=""/>
    <s v=""/>
    <s v=""/>
    <s v=""/>
    <x v="1"/>
    <x v="0"/>
    <x v="1"/>
    <x v="0"/>
    <x v="0"/>
    <x v="0"/>
    <x v="0"/>
    <x v="0"/>
    <x v="0"/>
    <x v="17"/>
    <x v="0"/>
  </r>
  <r>
    <s v="ID1314"/>
    <d v="2012-05-29T15:04:11"/>
    <s v="INR360000"/>
    <n v="360000"/>
    <s v="INR"/>
    <n v="6410.8500074793246"/>
    <s v="Sr. Executive -HR"/>
    <x v="0"/>
    <s v="India"/>
    <x v="0"/>
    <x v="1"/>
    <n v="6"/>
    <s v=""/>
    <s v=""/>
    <n v="1"/>
    <s v=""/>
    <s v=""/>
    <s v=""/>
    <x v="3"/>
    <x v="0"/>
    <x v="93"/>
    <x v="0"/>
    <x v="0"/>
    <x v="0"/>
    <x v="0"/>
    <x v="0"/>
    <x v="0"/>
    <x v="0"/>
    <x v="0"/>
  </r>
  <r>
    <s v="ID1315"/>
    <d v="2012-05-29T15:08:12"/>
    <s v="â‚¬ 28500"/>
    <n v="28500"/>
    <s v="EUR"/>
    <n v="36206.384011260823"/>
    <s v="Salary Professsional"/>
    <x v="0"/>
    <s v="Netherlands"/>
    <x v="18"/>
    <x v="3"/>
    <n v="5"/>
    <s v=""/>
    <n v="1"/>
    <s v=""/>
    <s v=""/>
    <s v=""/>
    <s v=""/>
    <x v="1"/>
    <x v="0"/>
    <x v="261"/>
    <x v="0"/>
    <x v="0"/>
    <x v="0"/>
    <x v="0"/>
    <x v="0"/>
    <x v="0"/>
    <x v="0"/>
    <x v="0"/>
  </r>
  <r>
    <s v="ID1316"/>
    <d v="2012-05-29T15:10:24"/>
    <n v="13500"/>
    <n v="13500"/>
    <s v="USD"/>
    <n v="13500"/>
    <s v="Asst. Manager"/>
    <x v="3"/>
    <s v="India"/>
    <x v="0"/>
    <x v="2"/>
    <n v="20"/>
    <s v=""/>
    <s v=""/>
    <s v=""/>
    <s v=""/>
    <n v="1"/>
    <s v=""/>
    <x v="2"/>
    <x v="0"/>
    <x v="1"/>
    <x v="0"/>
    <x v="0"/>
    <x v="0"/>
    <x v="0"/>
    <x v="5"/>
    <x v="0"/>
    <x v="0"/>
    <x v="0"/>
  </r>
  <r>
    <s v="ID1317"/>
    <d v="2012-05-29T15:18:45"/>
    <n v="250"/>
    <n v="3000"/>
    <s v="USD"/>
    <n v="3000"/>
    <s v="FANANCE"/>
    <x v="5"/>
    <s v="SRI LANKA"/>
    <x v="54"/>
    <x v="0"/>
    <n v="2"/>
    <n v="1"/>
    <s v=""/>
    <s v=""/>
    <s v=""/>
    <s v=""/>
    <s v=""/>
    <x v="4"/>
    <x v="89"/>
    <x v="1"/>
    <x v="0"/>
    <x v="0"/>
    <x v="0"/>
    <x v="0"/>
    <x v="0"/>
    <x v="0"/>
    <x v="0"/>
    <x v="0"/>
  </r>
  <r>
    <s v="ID1318"/>
    <d v="2012-05-29T15:24:45"/>
    <n v="1200000"/>
    <n v="1200000"/>
    <s v="INR"/>
    <n v="21369.500024931083"/>
    <s v="Manager - Corporate strategy and Planning"/>
    <x v="3"/>
    <s v="India"/>
    <x v="0"/>
    <x v="0"/>
    <n v="9"/>
    <s v=""/>
    <s v=""/>
    <n v="1"/>
    <s v=""/>
    <s v=""/>
    <s v=""/>
    <x v="3"/>
    <x v="0"/>
    <x v="1"/>
    <x v="0"/>
    <x v="0"/>
    <x v="0"/>
    <x v="0"/>
    <x v="61"/>
    <x v="0"/>
    <x v="0"/>
    <x v="0"/>
  </r>
  <r>
    <s v="ID1319"/>
    <d v="2012-05-29T15:36:25"/>
    <s v="6lakhs"/>
    <n v="600000"/>
    <s v="INR"/>
    <n v="10684.750012465542"/>
    <s v="General Manager"/>
    <x v="3"/>
    <s v="India"/>
    <x v="0"/>
    <x v="2"/>
    <n v="28"/>
    <s v=""/>
    <s v=""/>
    <s v=""/>
    <s v=""/>
    <s v=""/>
    <n v="1"/>
    <x v="6"/>
    <x v="0"/>
    <x v="1"/>
    <x v="0"/>
    <x v="0"/>
    <x v="0"/>
    <x v="0"/>
    <x v="9"/>
    <x v="0"/>
    <x v="0"/>
    <x v="0"/>
  </r>
  <r>
    <s v="ID1320"/>
    <d v="2012-05-29T15:36:42"/>
    <n v="139000"/>
    <n v="139000"/>
    <s v="EUR"/>
    <n v="176585.52201983347"/>
    <s v="NAF Support Manager"/>
    <x v="3"/>
    <s v="Germany"/>
    <x v="5"/>
    <x v="3"/>
    <n v="25"/>
    <s v=""/>
    <s v=""/>
    <s v=""/>
    <s v=""/>
    <s v=""/>
    <n v="1"/>
    <x v="6"/>
    <x v="0"/>
    <x v="1"/>
    <x v="0"/>
    <x v="0"/>
    <x v="0"/>
    <x v="0"/>
    <x v="245"/>
    <x v="0"/>
    <x v="0"/>
    <x v="0"/>
  </r>
  <r>
    <s v="ID1322"/>
    <d v="2012-05-29T15:38:40"/>
    <s v="43000 EUR"/>
    <n v="43000"/>
    <s v="EUR"/>
    <n v="54627.175876639136"/>
    <s v="Project manager of IT infrastructure"/>
    <x v="3"/>
    <s v="France"/>
    <x v="19"/>
    <x v="1"/>
    <n v="7"/>
    <s v=""/>
    <s v=""/>
    <n v="1"/>
    <s v=""/>
    <s v=""/>
    <s v=""/>
    <x v="3"/>
    <x v="0"/>
    <x v="1"/>
    <x v="0"/>
    <x v="0"/>
    <x v="0"/>
    <x v="0"/>
    <x v="246"/>
    <x v="0"/>
    <x v="0"/>
    <x v="0"/>
  </r>
  <r>
    <s v="ID1323"/>
    <d v="2012-05-29T15:46:17"/>
    <s v="about 24.000 â‚¬"/>
    <n v="24000"/>
    <s v="EUR"/>
    <n v="30489.586535798586"/>
    <s v="Controller"/>
    <x v="1"/>
    <s v="Italy"/>
    <x v="62"/>
    <x v="0"/>
    <n v="10"/>
    <s v=""/>
    <s v=""/>
    <n v="1"/>
    <s v=""/>
    <s v=""/>
    <s v=""/>
    <x v="3"/>
    <x v="0"/>
    <x v="1"/>
    <x v="0"/>
    <x v="38"/>
    <x v="0"/>
    <x v="0"/>
    <x v="0"/>
    <x v="0"/>
    <x v="0"/>
    <x v="0"/>
  </r>
  <r>
    <s v="ID1324"/>
    <d v="2012-05-29T15:49:41"/>
    <n v="314000"/>
    <n v="314000"/>
    <s v="INR"/>
    <n v="5591.6858398569666"/>
    <s v="relationship manager"/>
    <x v="3"/>
    <s v="India"/>
    <x v="0"/>
    <x v="3"/>
    <n v="0.1"/>
    <n v="1"/>
    <s v=""/>
    <s v=""/>
    <s v=""/>
    <s v=""/>
    <s v=""/>
    <x v="4"/>
    <x v="0"/>
    <x v="1"/>
    <x v="0"/>
    <x v="0"/>
    <x v="0"/>
    <x v="0"/>
    <x v="247"/>
    <x v="0"/>
    <x v="0"/>
    <x v="0"/>
  </r>
  <r>
    <s v="ID1325"/>
    <d v="2012-05-29T15:51:21"/>
    <s v="82000 USD"/>
    <n v="82000"/>
    <s v="USD"/>
    <n v="82000"/>
    <s v="Consultant"/>
    <x v="8"/>
    <s v="South Africa"/>
    <x v="11"/>
    <x v="0"/>
    <n v="10"/>
    <s v=""/>
    <s v=""/>
    <n v="1"/>
    <s v=""/>
    <s v=""/>
    <s v=""/>
    <x v="3"/>
    <x v="0"/>
    <x v="1"/>
    <x v="59"/>
    <x v="0"/>
    <x v="0"/>
    <x v="0"/>
    <x v="0"/>
    <x v="0"/>
    <x v="0"/>
    <x v="0"/>
  </r>
  <r>
    <s v="ID1326"/>
    <d v="2012-05-29T15:53:14"/>
    <n v="10000"/>
    <n v="10000"/>
    <s v="USD"/>
    <n v="10000"/>
    <s v="MIS"/>
    <x v="7"/>
    <s v="India"/>
    <x v="0"/>
    <x v="3"/>
    <n v="0.5"/>
    <n v="1"/>
    <s v=""/>
    <s v=""/>
    <s v=""/>
    <s v=""/>
    <s v=""/>
    <x v="4"/>
    <x v="0"/>
    <x v="1"/>
    <x v="0"/>
    <x v="0"/>
    <x v="0"/>
    <x v="0"/>
    <x v="0"/>
    <x v="0"/>
    <x v="46"/>
    <x v="0"/>
  </r>
  <r>
    <s v="ID1327"/>
    <d v="2012-05-29T16:07:59"/>
    <n v="9000"/>
    <n v="9000"/>
    <s v="USD"/>
    <n v="9000"/>
    <s v="Data Analyst"/>
    <x v="0"/>
    <s v="India"/>
    <x v="0"/>
    <x v="1"/>
    <n v="0.6"/>
    <n v="1"/>
    <s v=""/>
    <s v=""/>
    <s v=""/>
    <s v=""/>
    <s v=""/>
    <x v="4"/>
    <x v="0"/>
    <x v="262"/>
    <x v="0"/>
    <x v="0"/>
    <x v="0"/>
    <x v="0"/>
    <x v="0"/>
    <x v="0"/>
    <x v="0"/>
    <x v="0"/>
  </r>
  <r>
    <s v="ID1328"/>
    <d v="2012-05-29T16:08:40"/>
    <n v="9000"/>
    <n v="9000"/>
    <s v="USD"/>
    <n v="9000"/>
    <s v="Data Analyst"/>
    <x v="0"/>
    <s v="India"/>
    <x v="0"/>
    <x v="0"/>
    <n v="1"/>
    <n v="1"/>
    <s v=""/>
    <s v=""/>
    <s v=""/>
    <s v=""/>
    <s v=""/>
    <x v="4"/>
    <x v="0"/>
    <x v="262"/>
    <x v="0"/>
    <x v="0"/>
    <x v="0"/>
    <x v="0"/>
    <x v="0"/>
    <x v="0"/>
    <x v="0"/>
    <x v="0"/>
  </r>
  <r>
    <s v="ID1329"/>
    <d v="2012-05-29T16:18:59"/>
    <s v="6.6 Lacs"/>
    <n v="660000"/>
    <s v="INR"/>
    <n v="11753.225013712095"/>
    <s v="AM business Intelligence"/>
    <x v="3"/>
    <s v="India"/>
    <x v="0"/>
    <x v="1"/>
    <n v="7"/>
    <s v=""/>
    <s v=""/>
    <n v="1"/>
    <s v=""/>
    <s v=""/>
    <s v=""/>
    <x v="3"/>
    <x v="0"/>
    <x v="1"/>
    <x v="0"/>
    <x v="0"/>
    <x v="0"/>
    <x v="0"/>
    <x v="248"/>
    <x v="0"/>
    <x v="0"/>
    <x v="0"/>
  </r>
  <r>
    <s v="ID1330"/>
    <d v="2012-05-29T16:26:15"/>
    <s v="17000 Rs"/>
    <n v="204000"/>
    <s v="INR"/>
    <n v="3632.815004238284"/>
    <s v="MIS Associate"/>
    <x v="7"/>
    <s v="India"/>
    <x v="0"/>
    <x v="1"/>
    <n v="2"/>
    <n v="1"/>
    <s v=""/>
    <s v=""/>
    <s v=""/>
    <s v=""/>
    <s v=""/>
    <x v="4"/>
    <x v="0"/>
    <x v="1"/>
    <x v="0"/>
    <x v="0"/>
    <x v="0"/>
    <x v="0"/>
    <x v="0"/>
    <x v="0"/>
    <x v="47"/>
    <x v="0"/>
  </r>
  <r>
    <s v="ID1331"/>
    <d v="2012-05-29T16:31:06"/>
    <n v="75000"/>
    <n v="75000"/>
    <s v="EUR"/>
    <n v="95279.957924370581"/>
    <s v="Financial Analyst"/>
    <x v="0"/>
    <s v="Netherlands"/>
    <x v="18"/>
    <x v="1"/>
    <n v="16"/>
    <s v=""/>
    <s v=""/>
    <s v=""/>
    <s v=""/>
    <s v=""/>
    <s v=""/>
    <x v="0"/>
    <x v="0"/>
    <x v="202"/>
    <x v="0"/>
    <x v="0"/>
    <x v="0"/>
    <x v="0"/>
    <x v="0"/>
    <x v="0"/>
    <x v="0"/>
    <x v="0"/>
  </r>
  <r>
    <s v="ID1332"/>
    <d v="2012-05-29T16:39:11"/>
    <s v="Â£45000"/>
    <n v="45000"/>
    <s v="GBP"/>
    <n v="70928.022243027779"/>
    <s v="Senior Consultant"/>
    <x v="8"/>
    <s v="UK"/>
    <x v="14"/>
    <x v="2"/>
    <n v="4"/>
    <s v=""/>
    <n v="1"/>
    <s v=""/>
    <s v=""/>
    <s v=""/>
    <s v=""/>
    <x v="1"/>
    <x v="0"/>
    <x v="1"/>
    <x v="60"/>
    <x v="0"/>
    <x v="0"/>
    <x v="0"/>
    <x v="0"/>
    <x v="0"/>
    <x v="0"/>
    <x v="0"/>
  </r>
  <r>
    <s v="ID1333"/>
    <d v="2012-05-29T16:41:19"/>
    <s v="41000 â‚¬"/>
    <n v="41000"/>
    <s v="EUR"/>
    <n v="52086.37699865592"/>
    <s v="engineer"/>
    <x v="2"/>
    <s v="Spain"/>
    <x v="47"/>
    <x v="0"/>
    <n v="12"/>
    <s v=""/>
    <s v=""/>
    <s v=""/>
    <n v="1"/>
    <s v=""/>
    <s v=""/>
    <x v="5"/>
    <x v="0"/>
    <x v="1"/>
    <x v="0"/>
    <x v="0"/>
    <x v="0"/>
    <x v="40"/>
    <x v="0"/>
    <x v="0"/>
    <x v="0"/>
    <x v="0"/>
  </r>
  <r>
    <s v="ID1334"/>
    <d v="2012-05-29T16:49:44"/>
    <n v="275000"/>
    <n v="275000"/>
    <s v="INR"/>
    <n v="4897.177089046706"/>
    <s v="TL WFM"/>
    <x v="3"/>
    <s v="India"/>
    <x v="0"/>
    <x v="1"/>
    <n v="4"/>
    <s v=""/>
    <n v="1"/>
    <s v=""/>
    <s v=""/>
    <s v=""/>
    <s v=""/>
    <x v="1"/>
    <x v="0"/>
    <x v="1"/>
    <x v="0"/>
    <x v="0"/>
    <x v="0"/>
    <x v="0"/>
    <x v="249"/>
    <x v="0"/>
    <x v="0"/>
    <x v="0"/>
  </r>
  <r>
    <s v="ID1335"/>
    <d v="2012-05-29T16:55:43"/>
    <n v="80000"/>
    <n v="80000"/>
    <s v="NZD"/>
    <n v="63807.047488395103"/>
    <s v="accountant"/>
    <x v="5"/>
    <s v="new zealand"/>
    <x v="48"/>
    <x v="1"/>
    <n v="15"/>
    <s v=""/>
    <s v=""/>
    <s v=""/>
    <n v="1"/>
    <s v=""/>
    <s v=""/>
    <x v="5"/>
    <x v="90"/>
    <x v="1"/>
    <x v="0"/>
    <x v="0"/>
    <x v="0"/>
    <x v="0"/>
    <x v="0"/>
    <x v="0"/>
    <x v="0"/>
    <x v="0"/>
  </r>
  <r>
    <s v="ID1336"/>
    <d v="2012-05-29T17:05:31"/>
    <n v="24000"/>
    <n v="24000"/>
    <s v="USD"/>
    <n v="24000"/>
    <s v="Dir. Revenue Mgt"/>
    <x v="3"/>
    <s v="Kingdom of Saudi Arabia"/>
    <x v="22"/>
    <x v="0"/>
    <n v="5"/>
    <s v=""/>
    <n v="1"/>
    <s v=""/>
    <s v=""/>
    <s v=""/>
    <s v=""/>
    <x v="1"/>
    <x v="0"/>
    <x v="1"/>
    <x v="0"/>
    <x v="0"/>
    <x v="0"/>
    <x v="0"/>
    <x v="27"/>
    <x v="0"/>
    <x v="0"/>
    <x v="0"/>
  </r>
  <r>
    <s v="ID1337"/>
    <d v="2012-05-29T17:09:02"/>
    <s v="60000 USD p.a."/>
    <n v="60000"/>
    <s v="USD"/>
    <n v="60000"/>
    <s v="Controlling Manager"/>
    <x v="3"/>
    <s v="CEE"/>
    <x v="77"/>
    <x v="1"/>
    <n v="20"/>
    <s v=""/>
    <s v=""/>
    <s v=""/>
    <s v=""/>
    <n v="1"/>
    <s v=""/>
    <x v="2"/>
    <x v="0"/>
    <x v="1"/>
    <x v="0"/>
    <x v="0"/>
    <x v="0"/>
    <x v="0"/>
    <x v="76"/>
    <x v="0"/>
    <x v="0"/>
    <x v="0"/>
  </r>
  <r>
    <s v="ID1338"/>
    <d v="2012-05-29T17:09:52"/>
    <n v="300000"/>
    <n v="300000"/>
    <s v="INR"/>
    <n v="5342.3750062327708"/>
    <s v="Financial Modelling Analyst"/>
    <x v="0"/>
    <s v="India"/>
    <x v="0"/>
    <x v="1"/>
    <n v="3"/>
    <s v=""/>
    <n v="1"/>
    <s v=""/>
    <s v=""/>
    <s v=""/>
    <s v=""/>
    <x v="1"/>
    <x v="0"/>
    <x v="150"/>
    <x v="0"/>
    <x v="0"/>
    <x v="0"/>
    <x v="0"/>
    <x v="0"/>
    <x v="0"/>
    <x v="0"/>
    <x v="0"/>
  </r>
  <r>
    <s v="ID1339"/>
    <d v="2012-05-29T17:16:20"/>
    <n v="500000"/>
    <n v="500000"/>
    <s v="INR"/>
    <n v="8903.9583437212841"/>
    <s v="support manage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57"/>
    <x v="0"/>
    <x v="0"/>
    <x v="0"/>
  </r>
  <r>
    <s v="ID1340"/>
    <d v="2012-05-29T17:17:13"/>
    <s v="Â£26000"/>
    <n v="26000"/>
    <s v="GBP"/>
    <n v="40980.635073749385"/>
    <s v="Web Analyst"/>
    <x v="0"/>
    <s v="UK"/>
    <x v="14"/>
    <x v="0"/>
    <n v="2"/>
    <n v="1"/>
    <s v=""/>
    <s v=""/>
    <s v=""/>
    <s v=""/>
    <s v=""/>
    <x v="4"/>
    <x v="0"/>
    <x v="247"/>
    <x v="0"/>
    <x v="0"/>
    <x v="0"/>
    <x v="0"/>
    <x v="0"/>
    <x v="0"/>
    <x v="0"/>
    <x v="0"/>
  </r>
  <r>
    <s v="ID1341"/>
    <d v="2012-05-29T17:17:46"/>
    <s v="Rs.6,00,000"/>
    <n v="600000"/>
    <s v="INR"/>
    <n v="10684.750012465542"/>
    <s v="Assistant Manager"/>
    <x v="3"/>
    <s v="India"/>
    <x v="0"/>
    <x v="3"/>
    <n v="7"/>
    <s v=""/>
    <s v=""/>
    <n v="1"/>
    <s v=""/>
    <s v=""/>
    <s v=""/>
    <x v="3"/>
    <x v="0"/>
    <x v="1"/>
    <x v="0"/>
    <x v="0"/>
    <x v="0"/>
    <x v="0"/>
    <x v="9"/>
    <x v="0"/>
    <x v="0"/>
    <x v="0"/>
  </r>
  <r>
    <s v="ID1342"/>
    <d v="2012-05-29T17:30:43"/>
    <n v="1200000"/>
    <n v="1200000"/>
    <s v="INR"/>
    <n v="21369.500024931083"/>
    <s v="Consultant"/>
    <x v="8"/>
    <s v="India"/>
    <x v="0"/>
    <x v="2"/>
    <n v="21"/>
    <s v=""/>
    <s v=""/>
    <s v=""/>
    <s v=""/>
    <s v=""/>
    <n v="1"/>
    <x v="6"/>
    <x v="0"/>
    <x v="1"/>
    <x v="45"/>
    <x v="0"/>
    <x v="0"/>
    <x v="0"/>
    <x v="0"/>
    <x v="0"/>
    <x v="0"/>
    <x v="0"/>
  </r>
  <r>
    <s v="ID1343"/>
    <d v="2012-05-29T17:36:13"/>
    <n v="18000"/>
    <n v="18000"/>
    <s v="USD"/>
    <n v="18000"/>
    <s v="liquidity manager"/>
    <x v="3"/>
    <s v="Ghana"/>
    <x v="86"/>
    <x v="0"/>
    <n v="12"/>
    <s v=""/>
    <s v=""/>
    <s v=""/>
    <n v="1"/>
    <s v=""/>
    <s v=""/>
    <x v="5"/>
    <x v="0"/>
    <x v="1"/>
    <x v="0"/>
    <x v="0"/>
    <x v="0"/>
    <x v="0"/>
    <x v="203"/>
    <x v="0"/>
    <x v="0"/>
    <x v="0"/>
  </r>
  <r>
    <s v="ID1344"/>
    <d v="2012-05-29T17:39:55"/>
    <s v="41000 $"/>
    <n v="41000"/>
    <s v="USD"/>
    <n v="41000"/>
    <s v="PO/PMO/Planner/PM"/>
    <x v="3"/>
    <s v="Israel"/>
    <x v="34"/>
    <x v="2"/>
    <n v="4"/>
    <s v=""/>
    <n v="1"/>
    <s v=""/>
    <s v=""/>
    <s v=""/>
    <s v=""/>
    <x v="1"/>
    <x v="0"/>
    <x v="1"/>
    <x v="0"/>
    <x v="0"/>
    <x v="0"/>
    <x v="0"/>
    <x v="10"/>
    <x v="0"/>
    <x v="0"/>
    <x v="0"/>
  </r>
  <r>
    <s v="ID1345"/>
    <d v="2012-05-29T17:45:59"/>
    <s v="16,00,000"/>
    <n v="1600000"/>
    <s v="INR"/>
    <n v="28492.66669990811"/>
    <s v="Senior Associate "/>
    <x v="0"/>
    <s v="India"/>
    <x v="0"/>
    <x v="2"/>
    <n v="4"/>
    <s v=""/>
    <n v="1"/>
    <s v=""/>
    <s v=""/>
    <s v=""/>
    <s v=""/>
    <x v="1"/>
    <x v="0"/>
    <x v="263"/>
    <x v="0"/>
    <x v="0"/>
    <x v="0"/>
    <x v="0"/>
    <x v="0"/>
    <x v="0"/>
    <x v="0"/>
    <x v="0"/>
  </r>
  <r>
    <s v="ID1346"/>
    <d v="2012-05-29T17:48:04"/>
    <n v="49500"/>
    <n v="49500"/>
    <s v="USD"/>
    <n v="49500"/>
    <s v="Financial Analyst II"/>
    <x v="0"/>
    <s v="USA"/>
    <x v="2"/>
    <x v="0"/>
    <n v="4.5"/>
    <s v=""/>
    <n v="1"/>
    <s v=""/>
    <s v=""/>
    <s v=""/>
    <s v=""/>
    <x v="1"/>
    <x v="0"/>
    <x v="264"/>
    <x v="0"/>
    <x v="0"/>
    <x v="0"/>
    <x v="0"/>
    <x v="0"/>
    <x v="0"/>
    <x v="0"/>
    <x v="0"/>
  </r>
  <r>
    <s v="ID1347"/>
    <d v="2012-05-29T18:00:19"/>
    <n v="6600"/>
    <n v="6600"/>
    <s v="USD"/>
    <n v="6600"/>
    <s v="MIS HR,HRIS"/>
    <x v="7"/>
    <s v="India"/>
    <x v="0"/>
    <x v="2"/>
    <n v="6.4"/>
    <s v=""/>
    <s v=""/>
    <n v="1"/>
    <s v=""/>
    <s v=""/>
    <s v=""/>
    <x v="3"/>
    <x v="0"/>
    <x v="1"/>
    <x v="0"/>
    <x v="0"/>
    <x v="0"/>
    <x v="0"/>
    <x v="0"/>
    <x v="0"/>
    <x v="48"/>
    <x v="0"/>
  </r>
  <r>
    <s v="ID1348"/>
    <d v="2012-05-29T18:05:50"/>
    <s v="Â£70000"/>
    <n v="70000"/>
    <s v="GBP"/>
    <n v="110332.47904470989"/>
    <s v="Consultant"/>
    <x v="8"/>
    <s v="UK"/>
    <x v="14"/>
    <x v="0"/>
    <n v="15"/>
    <s v=""/>
    <s v=""/>
    <s v=""/>
    <n v="1"/>
    <s v=""/>
    <s v=""/>
    <x v="5"/>
    <x v="0"/>
    <x v="1"/>
    <x v="61"/>
    <x v="0"/>
    <x v="0"/>
    <x v="0"/>
    <x v="0"/>
    <x v="0"/>
    <x v="0"/>
    <x v="0"/>
  </r>
  <r>
    <s v="ID1349"/>
    <d v="2012-05-29T18:14:48"/>
    <s v="Â£30000"/>
    <n v="30000"/>
    <s v="GBP"/>
    <n v="47285.348162018527"/>
    <s v="Market Analyst"/>
    <x v="0"/>
    <s v="UK"/>
    <x v="14"/>
    <x v="1"/>
    <n v="6"/>
    <s v=""/>
    <s v=""/>
    <n v="1"/>
    <s v=""/>
    <s v=""/>
    <s v=""/>
    <x v="3"/>
    <x v="0"/>
    <x v="62"/>
    <x v="0"/>
    <x v="0"/>
    <x v="0"/>
    <x v="0"/>
    <x v="0"/>
    <x v="0"/>
    <x v="0"/>
    <x v="0"/>
  </r>
  <r>
    <s v="ID1350"/>
    <d v="2012-05-29T18:14:53"/>
    <s v="USD 5300"/>
    <n v="5300"/>
    <s v="USD"/>
    <n v="5300"/>
    <s v="Asst. Production Manager"/>
    <x v="3"/>
    <s v="Pakistan"/>
    <x v="3"/>
    <x v="0"/>
    <n v="5"/>
    <s v=""/>
    <n v="1"/>
    <s v=""/>
    <s v=""/>
    <s v=""/>
    <s v=""/>
    <x v="1"/>
    <x v="0"/>
    <x v="1"/>
    <x v="0"/>
    <x v="0"/>
    <x v="0"/>
    <x v="0"/>
    <x v="250"/>
    <x v="0"/>
    <x v="0"/>
    <x v="0"/>
  </r>
  <r>
    <s v="ID1351"/>
    <d v="2012-05-29T18:21:13"/>
    <n v="34500"/>
    <n v="34500"/>
    <s v="EUR"/>
    <n v="43828.780645210471"/>
    <s v="Analyst"/>
    <x v="0"/>
    <s v="Netherlands"/>
    <x v="18"/>
    <x v="0"/>
    <n v="15"/>
    <s v=""/>
    <s v=""/>
    <s v=""/>
    <n v="1"/>
    <s v=""/>
    <s v=""/>
    <x v="5"/>
    <x v="0"/>
    <x v="265"/>
    <x v="0"/>
    <x v="0"/>
    <x v="0"/>
    <x v="0"/>
    <x v="0"/>
    <x v="0"/>
    <x v="0"/>
    <x v="0"/>
  </r>
  <r>
    <s v="ID1352"/>
    <d v="2012-05-29T18:33:08"/>
    <n v="80000"/>
    <n v="80000"/>
    <s v="USD"/>
    <n v="80000"/>
    <s v="Developer"/>
    <x v="0"/>
    <s v="USA"/>
    <x v="2"/>
    <x v="3"/>
    <n v="14"/>
    <s v=""/>
    <s v=""/>
    <s v=""/>
    <n v="1"/>
    <s v=""/>
    <s v=""/>
    <x v="5"/>
    <x v="0"/>
    <x v="30"/>
    <x v="0"/>
    <x v="0"/>
    <x v="0"/>
    <x v="0"/>
    <x v="0"/>
    <x v="0"/>
    <x v="0"/>
    <x v="0"/>
  </r>
  <r>
    <s v="ID1353"/>
    <d v="2012-05-29T18:35:10"/>
    <s v="9 067"/>
    <n v="9067"/>
    <s v="EUR"/>
    <n v="11518.711713336908"/>
    <s v="assistant"/>
    <x v="0"/>
    <s v="Hungary"/>
    <x v="9"/>
    <x v="2"/>
    <n v="3"/>
    <s v=""/>
    <n v="1"/>
    <s v=""/>
    <s v=""/>
    <s v=""/>
    <s v=""/>
    <x v="1"/>
    <x v="0"/>
    <x v="266"/>
    <x v="0"/>
    <x v="0"/>
    <x v="0"/>
    <x v="0"/>
    <x v="0"/>
    <x v="0"/>
    <x v="0"/>
    <x v="0"/>
  </r>
  <r>
    <s v="ID1354"/>
    <d v="2012-05-29T18:35:31"/>
    <s v="A$150000"/>
    <n v="150000"/>
    <s v="AUD"/>
    <n v="152986.44846039536"/>
    <s v="Bus Analyst"/>
    <x v="0"/>
    <s v="Australia"/>
    <x v="16"/>
    <x v="3"/>
    <n v="5.5"/>
    <s v=""/>
    <s v=""/>
    <n v="1"/>
    <s v=""/>
    <s v=""/>
    <s v=""/>
    <x v="3"/>
    <x v="0"/>
    <x v="249"/>
    <x v="0"/>
    <x v="0"/>
    <x v="0"/>
    <x v="0"/>
    <x v="0"/>
    <x v="0"/>
    <x v="0"/>
    <x v="0"/>
  </r>
  <r>
    <s v="ID1355"/>
    <d v="2012-05-29T18:38:51"/>
    <n v="125000"/>
    <n v="125000"/>
    <s v="USD"/>
    <n v="125000"/>
    <s v="Vice President of Performance Management"/>
    <x v="3"/>
    <s v="USA"/>
    <x v="2"/>
    <x v="0"/>
    <n v="2"/>
    <n v="1"/>
    <s v=""/>
    <s v=""/>
    <s v=""/>
    <s v=""/>
    <s v=""/>
    <x v="4"/>
    <x v="0"/>
    <x v="1"/>
    <x v="0"/>
    <x v="0"/>
    <x v="0"/>
    <x v="0"/>
    <x v="78"/>
    <x v="0"/>
    <x v="0"/>
    <x v="0"/>
  </r>
  <r>
    <s v="ID1356"/>
    <d v="2012-05-29T18:55:18"/>
    <n v="100000"/>
    <n v="100000"/>
    <s v="AUD"/>
    <n v="101990.96564026357"/>
    <s v="Principal advisor"/>
    <x v="8"/>
    <s v="Australia"/>
    <x v="16"/>
    <x v="3"/>
    <n v="30"/>
    <s v=""/>
    <s v=""/>
    <s v=""/>
    <s v=""/>
    <s v=""/>
    <n v="1"/>
    <x v="6"/>
    <x v="0"/>
    <x v="1"/>
    <x v="44"/>
    <x v="0"/>
    <x v="0"/>
    <x v="0"/>
    <x v="0"/>
    <x v="0"/>
    <x v="0"/>
    <x v="0"/>
  </r>
  <r>
    <s v="ID1357"/>
    <d v="2012-05-29T18:55:20"/>
    <n v="105000"/>
    <n v="105000"/>
    <s v="USD"/>
    <n v="105000"/>
    <s v="Director of Technology"/>
    <x v="4"/>
    <s v="USA"/>
    <x v="2"/>
    <x v="3"/>
    <n v="15"/>
    <s v=""/>
    <s v=""/>
    <s v=""/>
    <n v="1"/>
    <s v=""/>
    <s v=""/>
    <x v="5"/>
    <x v="0"/>
    <x v="1"/>
    <x v="0"/>
    <x v="0"/>
    <x v="39"/>
    <x v="0"/>
    <x v="0"/>
    <x v="0"/>
    <x v="0"/>
    <x v="0"/>
  </r>
  <r>
    <s v="ID1358"/>
    <d v="2012-05-29T19:01:05"/>
    <n v="40000"/>
    <n v="40000"/>
    <s v="EUR"/>
    <n v="50815.977559664309"/>
    <s v="officer"/>
    <x v="3"/>
    <s v="Austria"/>
    <x v="87"/>
    <x v="0"/>
    <n v="20"/>
    <s v=""/>
    <s v=""/>
    <s v=""/>
    <s v=""/>
    <n v="1"/>
    <s v=""/>
    <x v="2"/>
    <x v="0"/>
    <x v="1"/>
    <x v="0"/>
    <x v="0"/>
    <x v="0"/>
    <x v="0"/>
    <x v="251"/>
    <x v="0"/>
    <x v="0"/>
    <x v="0"/>
  </r>
  <r>
    <s v="ID1359"/>
    <d v="2012-05-29T19:01:48"/>
    <n v="75000"/>
    <n v="75000"/>
    <s v="USD"/>
    <n v="75000"/>
    <s v="Financial Analyst"/>
    <x v="0"/>
    <s v="USA"/>
    <x v="2"/>
    <x v="0"/>
    <n v="7"/>
    <s v=""/>
    <s v=""/>
    <n v="1"/>
    <s v=""/>
    <s v=""/>
    <s v=""/>
    <x v="3"/>
    <x v="0"/>
    <x v="29"/>
    <x v="0"/>
    <x v="0"/>
    <x v="0"/>
    <x v="0"/>
    <x v="0"/>
    <x v="0"/>
    <x v="0"/>
    <x v="0"/>
  </r>
  <r>
    <s v="ID1360"/>
    <d v="2012-05-29T19:06:14"/>
    <s v="2.5 per lacks"/>
    <n v="250000"/>
    <s v="INR"/>
    <n v="4451.9791718606421"/>
    <s v="Credit Executive"/>
    <x v="0"/>
    <s v="India"/>
    <x v="0"/>
    <x v="1"/>
    <n v="8"/>
    <s v=""/>
    <s v=""/>
    <n v="1"/>
    <s v=""/>
    <s v=""/>
    <s v=""/>
    <x v="3"/>
    <x v="0"/>
    <x v="267"/>
    <x v="0"/>
    <x v="0"/>
    <x v="0"/>
    <x v="0"/>
    <x v="0"/>
    <x v="0"/>
    <x v="0"/>
    <x v="0"/>
  </r>
  <r>
    <s v="ID1361"/>
    <d v="2012-05-29T19:08:37"/>
    <n v="110000"/>
    <n v="110000"/>
    <s v="USD"/>
    <n v="110000"/>
    <s v="Business Analytics Associate"/>
    <x v="0"/>
    <s v="USA"/>
    <x v="2"/>
    <x v="3"/>
    <n v="10"/>
    <s v=""/>
    <s v=""/>
    <n v="1"/>
    <s v=""/>
    <s v=""/>
    <s v=""/>
    <x v="3"/>
    <x v="0"/>
    <x v="268"/>
    <x v="0"/>
    <x v="0"/>
    <x v="0"/>
    <x v="0"/>
    <x v="0"/>
    <x v="0"/>
    <x v="0"/>
    <x v="0"/>
  </r>
  <r>
    <s v="ID1362"/>
    <d v="2012-05-29T19:10:05"/>
    <s v="27,000.GBP 42,353 USD "/>
    <n v="27000"/>
    <s v="GBP"/>
    <n v="42556.81334581667"/>
    <s v="Engineering Tech"/>
    <x v="2"/>
    <s v="UK"/>
    <x v="14"/>
    <x v="0"/>
    <n v="1"/>
    <n v="1"/>
    <s v=""/>
    <s v=""/>
    <s v=""/>
    <s v=""/>
    <s v=""/>
    <x v="4"/>
    <x v="0"/>
    <x v="1"/>
    <x v="0"/>
    <x v="0"/>
    <x v="0"/>
    <x v="41"/>
    <x v="0"/>
    <x v="0"/>
    <x v="0"/>
    <x v="0"/>
  </r>
  <r>
    <s v="ID1363"/>
    <d v="2012-05-29T19:11:31"/>
    <s v="Rs. 4.5 lakhs "/>
    <n v="450000"/>
    <s v="INR"/>
    <n v="8013.5625093491553"/>
    <s v="Mechanical Design engineer"/>
    <x v="2"/>
    <s v="India"/>
    <x v="0"/>
    <x v="3"/>
    <n v="7"/>
    <s v=""/>
    <s v=""/>
    <n v="1"/>
    <s v=""/>
    <s v=""/>
    <s v=""/>
    <x v="3"/>
    <x v="0"/>
    <x v="1"/>
    <x v="0"/>
    <x v="0"/>
    <x v="0"/>
    <x v="42"/>
    <x v="0"/>
    <x v="0"/>
    <x v="0"/>
    <x v="0"/>
  </r>
  <r>
    <s v="ID1364"/>
    <d v="2012-05-29T19:12:19"/>
    <n v="125000"/>
    <n v="125000"/>
    <s v="USD"/>
    <n v="125000"/>
    <s v="Finance Manager"/>
    <x v="3"/>
    <s v="USA"/>
    <x v="2"/>
    <x v="0"/>
    <n v="25"/>
    <s v=""/>
    <s v=""/>
    <s v=""/>
    <s v=""/>
    <s v=""/>
    <n v="1"/>
    <x v="6"/>
    <x v="0"/>
    <x v="1"/>
    <x v="0"/>
    <x v="0"/>
    <x v="0"/>
    <x v="0"/>
    <x v="78"/>
    <x v="0"/>
    <x v="0"/>
    <x v="0"/>
  </r>
  <r>
    <s v="ID1365"/>
    <d v="2012-05-29T19:23:32"/>
    <n v="60000"/>
    <n v="60000"/>
    <s v="USD"/>
    <n v="60000"/>
    <s v="Business Information Analyst"/>
    <x v="0"/>
    <s v="USA"/>
    <x v="2"/>
    <x v="1"/>
    <n v="12"/>
    <s v=""/>
    <s v=""/>
    <s v=""/>
    <n v="1"/>
    <s v=""/>
    <s v=""/>
    <x v="5"/>
    <x v="0"/>
    <x v="8"/>
    <x v="0"/>
    <x v="0"/>
    <x v="0"/>
    <x v="0"/>
    <x v="0"/>
    <x v="0"/>
    <x v="0"/>
    <x v="0"/>
  </r>
  <r>
    <s v="ID1366"/>
    <d v="2012-05-29T19:31:32"/>
    <s v="2.21Lac"/>
    <n v="2210000"/>
    <s v="INR"/>
    <n v="39355.495879248076"/>
    <s v="Marketing"/>
    <x v="0"/>
    <s v="India"/>
    <x v="0"/>
    <x v="3"/>
    <n v="5.6"/>
    <s v=""/>
    <s v=""/>
    <n v="1"/>
    <s v=""/>
    <s v=""/>
    <s v=""/>
    <x v="3"/>
    <x v="0"/>
    <x v="269"/>
    <x v="0"/>
    <x v="0"/>
    <x v="0"/>
    <x v="0"/>
    <x v="0"/>
    <x v="0"/>
    <x v="0"/>
    <x v="0"/>
  </r>
  <r>
    <s v="ID1367"/>
    <d v="2012-05-29T19:33:07"/>
    <n v="45000"/>
    <n v="45000"/>
    <s v="EUR"/>
    <n v="57167.974754622352"/>
    <s v="Junior Controller"/>
    <x v="1"/>
    <s v="Germany"/>
    <x v="5"/>
    <x v="0"/>
    <n v="12"/>
    <s v=""/>
    <s v=""/>
    <s v=""/>
    <n v="1"/>
    <s v=""/>
    <s v=""/>
    <x v="5"/>
    <x v="0"/>
    <x v="1"/>
    <x v="0"/>
    <x v="39"/>
    <x v="0"/>
    <x v="0"/>
    <x v="0"/>
    <x v="0"/>
    <x v="0"/>
    <x v="0"/>
  </r>
  <r>
    <s v="ID1368"/>
    <d v="2012-05-29T19:39:35"/>
    <s v="4000000 JPY"/>
    <n v="4000000"/>
    <s v="JPY"/>
    <n v="50694.322109187968"/>
    <s v="System Analyst (Configuration Mgmt)"/>
    <x v="0"/>
    <s v="Japan"/>
    <x v="51"/>
    <x v="0"/>
    <n v="8"/>
    <s v=""/>
    <s v=""/>
    <n v="1"/>
    <s v=""/>
    <s v=""/>
    <s v=""/>
    <x v="3"/>
    <x v="0"/>
    <x v="270"/>
    <x v="0"/>
    <x v="0"/>
    <x v="0"/>
    <x v="0"/>
    <x v="0"/>
    <x v="0"/>
    <x v="0"/>
    <x v="0"/>
  </r>
  <r>
    <s v="ID1369"/>
    <d v="2012-05-29T19:47:18"/>
    <n v="57500"/>
    <n v="57500"/>
    <s v="USD"/>
    <n v="57500"/>
    <s v="Planning Supervisor"/>
    <x v="3"/>
    <s v="USA"/>
    <x v="2"/>
    <x v="0"/>
    <n v="30"/>
    <s v=""/>
    <s v=""/>
    <s v=""/>
    <s v=""/>
    <s v=""/>
    <n v="1"/>
    <x v="6"/>
    <x v="0"/>
    <x v="1"/>
    <x v="0"/>
    <x v="0"/>
    <x v="0"/>
    <x v="0"/>
    <x v="252"/>
    <x v="0"/>
    <x v="0"/>
    <x v="0"/>
  </r>
  <r>
    <s v="ID1370"/>
    <d v="2012-05-29T19:50:25"/>
    <n v="62000"/>
    <n v="62000"/>
    <s v="EUR"/>
    <n v="78764.765217479682"/>
    <s v="Controller"/>
    <x v="1"/>
    <s v="Netherlands"/>
    <x v="18"/>
    <x v="0"/>
    <n v="15"/>
    <s v=""/>
    <s v=""/>
    <s v=""/>
    <n v="1"/>
    <s v=""/>
    <s v=""/>
    <x v="5"/>
    <x v="0"/>
    <x v="1"/>
    <x v="0"/>
    <x v="40"/>
    <x v="0"/>
    <x v="0"/>
    <x v="0"/>
    <x v="0"/>
    <x v="0"/>
    <x v="0"/>
  </r>
  <r>
    <s v="ID1371"/>
    <d v="2012-05-29T19:52:35"/>
    <s v="$80,000 USD"/>
    <n v="80000"/>
    <s v="USD"/>
    <n v="80000"/>
    <s v="Manager of Data Analytics"/>
    <x v="3"/>
    <s v="USA"/>
    <x v="2"/>
    <x v="0"/>
    <n v="10"/>
    <s v=""/>
    <s v=""/>
    <n v="1"/>
    <s v=""/>
    <s v=""/>
    <s v=""/>
    <x v="3"/>
    <x v="0"/>
    <x v="1"/>
    <x v="0"/>
    <x v="0"/>
    <x v="0"/>
    <x v="0"/>
    <x v="50"/>
    <x v="0"/>
    <x v="0"/>
    <x v="0"/>
  </r>
  <r>
    <s v="ID1372"/>
    <d v="2012-05-29T19:54:38"/>
    <s v="Â£45000"/>
    <n v="45000"/>
    <s v="GBP"/>
    <n v="70928.022243027779"/>
    <s v="Management Accountant"/>
    <x v="3"/>
    <s v="UK"/>
    <x v="14"/>
    <x v="2"/>
    <n v="15"/>
    <s v=""/>
    <s v=""/>
    <s v=""/>
    <n v="1"/>
    <s v=""/>
    <s v=""/>
    <x v="5"/>
    <x v="0"/>
    <x v="1"/>
    <x v="0"/>
    <x v="0"/>
    <x v="0"/>
    <x v="0"/>
    <x v="60"/>
    <x v="0"/>
    <x v="0"/>
    <x v="0"/>
  </r>
  <r>
    <s v="ID1373"/>
    <d v="2012-05-29T20:03:07"/>
    <n v="33000"/>
    <n v="33000"/>
    <s v="USD"/>
    <n v="33000"/>
    <s v="Quality Control Supervisor"/>
    <x v="1"/>
    <s v="USA"/>
    <x v="2"/>
    <x v="0"/>
    <n v="3"/>
    <s v=""/>
    <n v="1"/>
    <s v=""/>
    <s v=""/>
    <s v=""/>
    <s v=""/>
    <x v="1"/>
    <x v="0"/>
    <x v="1"/>
    <x v="0"/>
    <x v="41"/>
    <x v="0"/>
    <x v="0"/>
    <x v="0"/>
    <x v="0"/>
    <x v="0"/>
    <x v="0"/>
  </r>
  <r>
    <s v="ID1374"/>
    <d v="2012-05-29T20:20:21"/>
    <s v="$100,000 US"/>
    <n v="100000"/>
    <s v="USD"/>
    <n v="100000"/>
    <s v="Senior Financial Analyst"/>
    <x v="0"/>
    <s v="USA"/>
    <x v="2"/>
    <x v="0"/>
    <n v="1"/>
    <n v="1"/>
    <s v=""/>
    <s v=""/>
    <s v=""/>
    <s v=""/>
    <s v=""/>
    <x v="4"/>
    <x v="0"/>
    <x v="13"/>
    <x v="0"/>
    <x v="0"/>
    <x v="0"/>
    <x v="0"/>
    <x v="0"/>
    <x v="0"/>
    <x v="0"/>
    <x v="0"/>
  </r>
  <r>
    <s v="ID1375"/>
    <d v="2012-05-29T20:40:12"/>
    <s v="$60,000 USD"/>
    <n v="60000"/>
    <s v="USD"/>
    <n v="60000"/>
    <s v="project manager"/>
    <x v="3"/>
    <s v="USA"/>
    <x v="2"/>
    <x v="2"/>
    <n v="20"/>
    <s v=""/>
    <s v=""/>
    <s v=""/>
    <s v=""/>
    <n v="1"/>
    <s v=""/>
    <x v="2"/>
    <x v="0"/>
    <x v="1"/>
    <x v="0"/>
    <x v="0"/>
    <x v="0"/>
    <x v="0"/>
    <x v="76"/>
    <x v="0"/>
    <x v="0"/>
    <x v="0"/>
  </r>
  <r>
    <s v="ID1376"/>
    <d v="2012-05-29T20:53:43"/>
    <n v="95000"/>
    <n v="95000"/>
    <s v="USD"/>
    <n v="95000"/>
    <s v="Cost Analyst"/>
    <x v="0"/>
    <s v="USA"/>
    <x v="2"/>
    <x v="2"/>
    <n v="7"/>
    <s v=""/>
    <s v=""/>
    <n v="1"/>
    <s v=""/>
    <s v=""/>
    <s v=""/>
    <x v="3"/>
    <x v="0"/>
    <x v="95"/>
    <x v="0"/>
    <x v="0"/>
    <x v="0"/>
    <x v="0"/>
    <x v="0"/>
    <x v="0"/>
    <x v="0"/>
    <x v="0"/>
  </r>
  <r>
    <s v="ID1377"/>
    <d v="2012-05-29T21:07:27"/>
    <n v="24000"/>
    <n v="24000"/>
    <s v="USD"/>
    <n v="24000"/>
    <s v="clerk 24 hrs per week"/>
    <x v="0"/>
    <s v="USA"/>
    <x v="2"/>
    <x v="3"/>
    <n v="33"/>
    <s v=""/>
    <s v=""/>
    <s v=""/>
    <s v=""/>
    <s v=""/>
    <n v="1"/>
    <x v="6"/>
    <x v="0"/>
    <x v="171"/>
    <x v="0"/>
    <x v="0"/>
    <x v="0"/>
    <x v="0"/>
    <x v="0"/>
    <x v="0"/>
    <x v="0"/>
    <x v="0"/>
  </r>
  <r>
    <s v="ID1378"/>
    <d v="2012-05-29T21:17:26"/>
    <n v="50000"/>
    <n v="50000"/>
    <s v="USD"/>
    <n v="50000"/>
    <s v="Engineering Intern"/>
    <x v="2"/>
    <s v="USA"/>
    <x v="2"/>
    <x v="0"/>
    <n v="0.5"/>
    <n v="1"/>
    <s v=""/>
    <s v=""/>
    <s v=""/>
    <s v=""/>
    <s v=""/>
    <x v="4"/>
    <x v="0"/>
    <x v="1"/>
    <x v="0"/>
    <x v="0"/>
    <x v="0"/>
    <x v="37"/>
    <x v="0"/>
    <x v="0"/>
    <x v="0"/>
    <x v="0"/>
  </r>
  <r>
    <s v="ID1379"/>
    <d v="2012-05-29T21:25:03"/>
    <n v="103000"/>
    <n v="103000"/>
    <s v="USD"/>
    <n v="103000"/>
    <s v="Controller"/>
    <x v="1"/>
    <s v="USA"/>
    <x v="2"/>
    <x v="0"/>
    <n v="22"/>
    <s v=""/>
    <s v=""/>
    <s v=""/>
    <s v=""/>
    <s v=""/>
    <n v="1"/>
    <x v="6"/>
    <x v="0"/>
    <x v="1"/>
    <x v="0"/>
    <x v="42"/>
    <x v="0"/>
    <x v="0"/>
    <x v="0"/>
    <x v="0"/>
    <x v="0"/>
    <x v="0"/>
  </r>
  <r>
    <s v="ID1380"/>
    <d v="2012-05-29T21:27:23"/>
    <n v="36000"/>
    <n v="36000"/>
    <s v="USD"/>
    <n v="36000"/>
    <s v="Data Specialist"/>
    <x v="6"/>
    <s v="USA"/>
    <x v="2"/>
    <x v="1"/>
    <n v="8"/>
    <s v=""/>
    <s v=""/>
    <n v="1"/>
    <s v=""/>
    <s v=""/>
    <s v=""/>
    <x v="3"/>
    <x v="0"/>
    <x v="1"/>
    <x v="0"/>
    <x v="0"/>
    <x v="0"/>
    <x v="0"/>
    <x v="0"/>
    <x v="0"/>
    <x v="0"/>
    <x v="14"/>
  </r>
  <r>
    <s v="ID1381"/>
    <d v="2012-05-29T21:28:07"/>
    <n v="85000"/>
    <n v="85000"/>
    <s v="USD"/>
    <n v="85000"/>
    <s v="Senior Analyst"/>
    <x v="0"/>
    <s v="USA"/>
    <x v="2"/>
    <x v="0"/>
    <n v="17"/>
    <s v=""/>
    <s v=""/>
    <s v=""/>
    <s v=""/>
    <n v="1"/>
    <s v=""/>
    <x v="2"/>
    <x v="0"/>
    <x v="35"/>
    <x v="0"/>
    <x v="0"/>
    <x v="0"/>
    <x v="0"/>
    <x v="0"/>
    <x v="0"/>
    <x v="0"/>
    <x v="0"/>
  </r>
  <r>
    <s v="ID1382"/>
    <d v="2012-05-29T21:29:36"/>
    <n v="100000"/>
    <n v="100000"/>
    <s v="USD"/>
    <n v="100000"/>
    <s v="Vice Head of Dpt in Education"/>
    <x v="4"/>
    <s v="Sweden"/>
    <x v="35"/>
    <x v="2"/>
    <n v="20"/>
    <s v=""/>
    <s v=""/>
    <s v=""/>
    <s v=""/>
    <n v="1"/>
    <s v=""/>
    <x v="2"/>
    <x v="0"/>
    <x v="1"/>
    <x v="0"/>
    <x v="0"/>
    <x v="8"/>
    <x v="0"/>
    <x v="0"/>
    <x v="0"/>
    <x v="0"/>
    <x v="0"/>
  </r>
  <r>
    <s v="ID1383"/>
    <d v="2012-05-29T21:33:42"/>
    <s v="$83000 USD "/>
    <n v="83000"/>
    <s v="USD"/>
    <n v="83000"/>
    <s v="Senior Planning Analyst"/>
    <x v="0"/>
    <s v="Canada"/>
    <x v="17"/>
    <x v="0"/>
    <n v="12"/>
    <s v=""/>
    <s v=""/>
    <s v=""/>
    <n v="1"/>
    <s v=""/>
    <s v=""/>
    <x v="5"/>
    <x v="0"/>
    <x v="271"/>
    <x v="0"/>
    <x v="0"/>
    <x v="0"/>
    <x v="0"/>
    <x v="0"/>
    <x v="0"/>
    <x v="0"/>
    <x v="0"/>
  </r>
  <r>
    <s v="ID1384"/>
    <d v="2012-05-29T21:38:10"/>
    <n v="85000"/>
    <n v="85000"/>
    <s v="USD"/>
    <n v="85000"/>
    <s v="energy engineer"/>
    <x v="2"/>
    <s v="USA"/>
    <x v="2"/>
    <x v="2"/>
    <n v="25"/>
    <s v=""/>
    <s v=""/>
    <s v=""/>
    <s v=""/>
    <s v=""/>
    <n v="1"/>
    <x v="6"/>
    <x v="0"/>
    <x v="1"/>
    <x v="0"/>
    <x v="0"/>
    <x v="0"/>
    <x v="3"/>
    <x v="0"/>
    <x v="0"/>
    <x v="0"/>
    <x v="0"/>
  </r>
  <r>
    <s v="ID1385"/>
    <d v="2012-05-29T21:42:44"/>
    <n v="120000"/>
    <n v="120000"/>
    <s v="USD"/>
    <n v="120000"/>
    <s v="Finance Manager"/>
    <x v="3"/>
    <s v="USA"/>
    <x v="2"/>
    <x v="2"/>
    <n v="5"/>
    <s v=""/>
    <n v="1"/>
    <s v=""/>
    <s v=""/>
    <s v=""/>
    <s v=""/>
    <x v="1"/>
    <x v="0"/>
    <x v="1"/>
    <x v="0"/>
    <x v="0"/>
    <x v="0"/>
    <x v="0"/>
    <x v="25"/>
    <x v="0"/>
    <x v="0"/>
    <x v="0"/>
  </r>
  <r>
    <s v="ID1386"/>
    <d v="2012-05-29T21:44:00"/>
    <n v="69960"/>
    <n v="69960"/>
    <s v="USD"/>
    <n v="69960"/>
    <s v="Measurement &amp; Verification Engineer"/>
    <x v="2"/>
    <s v="USA"/>
    <x v="2"/>
    <x v="2"/>
    <n v="22"/>
    <s v=""/>
    <s v=""/>
    <s v=""/>
    <s v=""/>
    <s v=""/>
    <n v="1"/>
    <x v="6"/>
    <x v="0"/>
    <x v="1"/>
    <x v="0"/>
    <x v="0"/>
    <x v="0"/>
    <x v="43"/>
    <x v="0"/>
    <x v="0"/>
    <x v="0"/>
    <x v="0"/>
  </r>
  <r>
    <s v="ID1387"/>
    <d v="2012-05-29T21:46:28"/>
    <s v="97,000 USD"/>
    <n v="97000"/>
    <s v="USD"/>
    <n v="97000"/>
    <s v="Sr. Manager of Finance"/>
    <x v="3"/>
    <s v="USA"/>
    <x v="2"/>
    <x v="0"/>
    <n v="14"/>
    <s v=""/>
    <s v=""/>
    <s v=""/>
    <n v="1"/>
    <s v=""/>
    <s v=""/>
    <x v="5"/>
    <x v="0"/>
    <x v="1"/>
    <x v="0"/>
    <x v="0"/>
    <x v="0"/>
    <x v="0"/>
    <x v="253"/>
    <x v="0"/>
    <x v="0"/>
    <x v="0"/>
  </r>
  <r>
    <s v="ID1388"/>
    <d v="2012-05-29T21:48:13"/>
    <s v="60000 $"/>
    <n v="60000"/>
    <s v="GBP"/>
    <n v="94570.696324037053"/>
    <s v="Analyst"/>
    <x v="0"/>
    <s v="UK"/>
    <x v="14"/>
    <x v="0"/>
    <n v="7"/>
    <s v=""/>
    <s v=""/>
    <n v="1"/>
    <s v=""/>
    <s v=""/>
    <s v=""/>
    <x v="3"/>
    <x v="0"/>
    <x v="75"/>
    <x v="0"/>
    <x v="0"/>
    <x v="0"/>
    <x v="0"/>
    <x v="0"/>
    <x v="0"/>
    <x v="0"/>
    <x v="0"/>
  </r>
  <r>
    <s v="ID1389"/>
    <d v="2012-05-29T21:50:30"/>
    <n v="39000"/>
    <n v="39000"/>
    <s v="USD"/>
    <n v="39000"/>
    <s v="I.T Manager"/>
    <x v="3"/>
    <s v="South Africa"/>
    <x v="11"/>
    <x v="1"/>
    <n v="6"/>
    <s v=""/>
    <s v=""/>
    <n v="1"/>
    <s v=""/>
    <s v=""/>
    <s v=""/>
    <x v="3"/>
    <x v="0"/>
    <x v="1"/>
    <x v="0"/>
    <x v="0"/>
    <x v="0"/>
    <x v="0"/>
    <x v="254"/>
    <x v="0"/>
    <x v="0"/>
    <x v="0"/>
  </r>
  <r>
    <s v="ID1390"/>
    <d v="2012-05-29T21:50:45"/>
    <s v="Rs 250000"/>
    <n v="250000"/>
    <s v="INR"/>
    <n v="4451.9791718606421"/>
    <s v="Manager"/>
    <x v="3"/>
    <s v="India"/>
    <x v="0"/>
    <x v="3"/>
    <n v="15"/>
    <s v=""/>
    <s v=""/>
    <s v=""/>
    <n v="1"/>
    <s v=""/>
    <s v=""/>
    <x v="5"/>
    <x v="0"/>
    <x v="1"/>
    <x v="0"/>
    <x v="0"/>
    <x v="0"/>
    <x v="0"/>
    <x v="145"/>
    <x v="0"/>
    <x v="0"/>
    <x v="0"/>
  </r>
  <r>
    <s v="ID1391"/>
    <d v="2012-05-29T21:54:33"/>
    <n v="62000"/>
    <n v="62000"/>
    <s v="USD"/>
    <n v="62000"/>
    <s v="Measurement Specialist"/>
    <x v="6"/>
    <s v="USA"/>
    <x v="2"/>
    <x v="1"/>
    <n v="25"/>
    <s v=""/>
    <s v=""/>
    <s v=""/>
    <s v=""/>
    <s v=""/>
    <n v="1"/>
    <x v="6"/>
    <x v="0"/>
    <x v="1"/>
    <x v="0"/>
    <x v="0"/>
    <x v="0"/>
    <x v="0"/>
    <x v="0"/>
    <x v="0"/>
    <x v="0"/>
    <x v="35"/>
  </r>
  <r>
    <s v="ID1392"/>
    <d v="2012-05-29T21:59:35"/>
    <n v="44000"/>
    <n v="44000"/>
    <s v="USD"/>
    <n v="44000"/>
    <s v="Test engineer"/>
    <x v="2"/>
    <s v="USA"/>
    <x v="2"/>
    <x v="0"/>
    <n v="15"/>
    <s v=""/>
    <s v=""/>
    <s v=""/>
    <n v="1"/>
    <s v=""/>
    <s v=""/>
    <x v="5"/>
    <x v="0"/>
    <x v="1"/>
    <x v="0"/>
    <x v="0"/>
    <x v="0"/>
    <x v="44"/>
    <x v="0"/>
    <x v="0"/>
    <x v="0"/>
    <x v="0"/>
  </r>
  <r>
    <s v="ID1393"/>
    <d v="2012-05-29T22:02:31"/>
    <n v="150000"/>
    <n v="150000"/>
    <s v="USD"/>
    <n v="150000"/>
    <s v="VP, Business Management"/>
    <x v="3"/>
    <s v="USA"/>
    <x v="2"/>
    <x v="2"/>
    <n v="30"/>
    <s v=""/>
    <s v=""/>
    <s v=""/>
    <s v=""/>
    <s v=""/>
    <n v="1"/>
    <x v="6"/>
    <x v="0"/>
    <x v="1"/>
    <x v="0"/>
    <x v="0"/>
    <x v="0"/>
    <x v="0"/>
    <x v="11"/>
    <x v="0"/>
    <x v="0"/>
    <x v="0"/>
  </r>
  <r>
    <s v="ID1394"/>
    <d v="2012-05-29T22:04:09"/>
    <n v="180000"/>
    <n v="180000"/>
    <s v="EUR"/>
    <n v="228671.89901848941"/>
    <s v="MIS Controller"/>
    <x v="1"/>
    <s v="Europe"/>
    <x v="88"/>
    <x v="0"/>
    <n v="15"/>
    <s v=""/>
    <s v=""/>
    <s v=""/>
    <n v="1"/>
    <s v=""/>
    <s v=""/>
    <x v="5"/>
    <x v="0"/>
    <x v="1"/>
    <x v="0"/>
    <x v="43"/>
    <x v="0"/>
    <x v="0"/>
    <x v="0"/>
    <x v="0"/>
    <x v="0"/>
    <x v="0"/>
  </r>
  <r>
    <s v="ID1395"/>
    <d v="2012-05-29T22:13:08"/>
    <n v="73500"/>
    <n v="73500"/>
    <s v="USD"/>
    <n v="73500"/>
    <s v="Senior Underwriting Analyst"/>
    <x v="0"/>
    <s v="USA"/>
    <x v="2"/>
    <x v="1"/>
    <n v="6"/>
    <s v=""/>
    <s v=""/>
    <n v="1"/>
    <s v=""/>
    <s v=""/>
    <s v=""/>
    <x v="3"/>
    <x v="0"/>
    <x v="272"/>
    <x v="0"/>
    <x v="0"/>
    <x v="0"/>
    <x v="0"/>
    <x v="0"/>
    <x v="0"/>
    <x v="0"/>
    <x v="0"/>
  </r>
  <r>
    <s v="ID1396"/>
    <d v="2012-05-29T22:14:19"/>
    <n v="77500"/>
    <n v="77500"/>
    <s v="USD"/>
    <n v="77500"/>
    <s v="Sr Financial Analyst"/>
    <x v="0"/>
    <s v="USA"/>
    <x v="2"/>
    <x v="0"/>
    <n v="7"/>
    <s v=""/>
    <s v=""/>
    <n v="1"/>
    <s v=""/>
    <s v=""/>
    <s v=""/>
    <x v="3"/>
    <x v="0"/>
    <x v="273"/>
    <x v="0"/>
    <x v="0"/>
    <x v="0"/>
    <x v="0"/>
    <x v="0"/>
    <x v="0"/>
    <x v="0"/>
    <x v="0"/>
  </r>
  <r>
    <s v="ID1397"/>
    <d v="2012-05-29T22:18:48"/>
    <n v="60800"/>
    <n v="60800"/>
    <s v="USD"/>
    <n v="60800"/>
    <s v="Data Integrity &amp; Reporting Tool Analyst"/>
    <x v="0"/>
    <s v="USA"/>
    <x v="2"/>
    <x v="1"/>
    <n v="10"/>
    <s v=""/>
    <s v=""/>
    <n v="1"/>
    <s v=""/>
    <s v=""/>
    <s v=""/>
    <x v="3"/>
    <x v="0"/>
    <x v="274"/>
    <x v="0"/>
    <x v="0"/>
    <x v="0"/>
    <x v="0"/>
    <x v="0"/>
    <x v="0"/>
    <x v="0"/>
    <x v="0"/>
  </r>
  <r>
    <s v="ID1398"/>
    <d v="2012-05-29T22:24:28"/>
    <n v="136000"/>
    <n v="136000"/>
    <s v="USD"/>
    <n v="136000"/>
    <s v="Manager FP and A"/>
    <x v="3"/>
    <s v="USA"/>
    <x v="2"/>
    <x v="0"/>
    <n v="10"/>
    <s v=""/>
    <s v=""/>
    <n v="1"/>
    <s v=""/>
    <s v=""/>
    <s v=""/>
    <x v="3"/>
    <x v="0"/>
    <x v="1"/>
    <x v="0"/>
    <x v="0"/>
    <x v="0"/>
    <x v="0"/>
    <x v="255"/>
    <x v="0"/>
    <x v="0"/>
    <x v="0"/>
  </r>
  <r>
    <s v="ID1399"/>
    <d v="2012-05-29T22:32:16"/>
    <n v="20000"/>
    <n v="20000"/>
    <s v="USD"/>
    <n v="20000"/>
    <s v="Business Operation Specialist"/>
    <x v="6"/>
    <s v="India"/>
    <x v="0"/>
    <x v="0"/>
    <n v="6"/>
    <s v=""/>
    <s v=""/>
    <n v="1"/>
    <s v=""/>
    <s v=""/>
    <s v=""/>
    <x v="3"/>
    <x v="0"/>
    <x v="1"/>
    <x v="0"/>
    <x v="0"/>
    <x v="0"/>
    <x v="0"/>
    <x v="0"/>
    <x v="0"/>
    <x v="0"/>
    <x v="21"/>
  </r>
  <r>
    <s v="ID1400"/>
    <d v="2012-05-29T22:35:17"/>
    <n v="95000"/>
    <n v="95000"/>
    <s v="USD"/>
    <n v="95000"/>
    <s v="Stress Engineer"/>
    <x v="2"/>
    <s v="USA"/>
    <x v="2"/>
    <x v="0"/>
    <n v="14"/>
    <s v=""/>
    <s v=""/>
    <s v=""/>
    <n v="1"/>
    <s v=""/>
    <s v=""/>
    <x v="5"/>
    <x v="0"/>
    <x v="1"/>
    <x v="0"/>
    <x v="0"/>
    <x v="0"/>
    <x v="45"/>
    <x v="0"/>
    <x v="0"/>
    <x v="0"/>
    <x v="0"/>
  </r>
  <r>
    <s v="ID1401"/>
    <d v="2012-05-29T22:47:10"/>
    <n v="130000"/>
    <n v="130000"/>
    <s v="USD"/>
    <n v="130000"/>
    <s v="Manager"/>
    <x v="3"/>
    <s v="USA"/>
    <x v="2"/>
    <x v="3"/>
    <n v="25"/>
    <s v=""/>
    <s v=""/>
    <s v=""/>
    <s v=""/>
    <s v=""/>
    <n v="1"/>
    <x v="6"/>
    <x v="0"/>
    <x v="1"/>
    <x v="0"/>
    <x v="0"/>
    <x v="0"/>
    <x v="0"/>
    <x v="67"/>
    <x v="0"/>
    <x v="0"/>
    <x v="0"/>
  </r>
  <r>
    <s v="ID1402"/>
    <d v="2012-05-29T22:50:16"/>
    <n v="65000"/>
    <n v="65000"/>
    <s v="USD"/>
    <n v="65000"/>
    <s v="eeo analyst"/>
    <x v="0"/>
    <s v="USA"/>
    <x v="2"/>
    <x v="2"/>
    <n v="10"/>
    <s v=""/>
    <s v=""/>
    <n v="1"/>
    <s v=""/>
    <s v=""/>
    <s v=""/>
    <x v="3"/>
    <x v="0"/>
    <x v="84"/>
    <x v="0"/>
    <x v="0"/>
    <x v="0"/>
    <x v="0"/>
    <x v="0"/>
    <x v="0"/>
    <x v="0"/>
    <x v="0"/>
  </r>
  <r>
    <s v="ID1403"/>
    <d v="2012-05-29T22:50:20"/>
    <n v="80000"/>
    <n v="80000"/>
    <s v="USD"/>
    <n v="80000"/>
    <s v="Sr Process Consultant"/>
    <x v="8"/>
    <s v="USA"/>
    <x v="2"/>
    <x v="2"/>
    <n v="8"/>
    <s v=""/>
    <s v=""/>
    <n v="1"/>
    <s v=""/>
    <s v=""/>
    <s v=""/>
    <x v="3"/>
    <x v="0"/>
    <x v="1"/>
    <x v="11"/>
    <x v="0"/>
    <x v="0"/>
    <x v="0"/>
    <x v="0"/>
    <x v="0"/>
    <x v="0"/>
    <x v="0"/>
  </r>
  <r>
    <s v="ID1404"/>
    <d v="2012-05-29T22:56:24"/>
    <s v="37K"/>
    <n v="37000"/>
    <s v="USD"/>
    <n v="37000"/>
    <s v="Credentialing Coordinator &amp; Productivity Reports &quot;Guru&quot;"/>
    <x v="7"/>
    <s v="USA"/>
    <x v="2"/>
    <x v="2"/>
    <n v="30"/>
    <s v=""/>
    <s v=""/>
    <s v=""/>
    <s v=""/>
    <s v=""/>
    <n v="1"/>
    <x v="6"/>
    <x v="0"/>
    <x v="1"/>
    <x v="0"/>
    <x v="0"/>
    <x v="0"/>
    <x v="0"/>
    <x v="0"/>
    <x v="0"/>
    <x v="49"/>
    <x v="0"/>
  </r>
  <r>
    <s v="ID1405"/>
    <d v="2012-05-29T23:06:00"/>
    <n v="40000"/>
    <n v="40000"/>
    <s v="USD"/>
    <n v="40000"/>
    <s v="Transportation Planner"/>
    <x v="3"/>
    <s v="USA"/>
    <x v="2"/>
    <x v="3"/>
    <n v="8"/>
    <s v=""/>
    <s v=""/>
    <n v="1"/>
    <s v=""/>
    <s v=""/>
    <s v=""/>
    <x v="3"/>
    <x v="0"/>
    <x v="1"/>
    <x v="0"/>
    <x v="0"/>
    <x v="0"/>
    <x v="0"/>
    <x v="7"/>
    <x v="0"/>
    <x v="0"/>
    <x v="0"/>
  </r>
  <r>
    <s v="ID1406"/>
    <d v="2012-05-29T23:08:45"/>
    <n v="49000"/>
    <n v="49000"/>
    <s v="USD"/>
    <n v="49000"/>
    <s v="Research Analyst"/>
    <x v="0"/>
    <s v="USA"/>
    <x v="2"/>
    <x v="0"/>
    <n v="10"/>
    <s v=""/>
    <s v=""/>
    <n v="1"/>
    <s v=""/>
    <s v=""/>
    <s v=""/>
    <x v="3"/>
    <x v="0"/>
    <x v="6"/>
    <x v="0"/>
    <x v="0"/>
    <x v="0"/>
    <x v="0"/>
    <x v="0"/>
    <x v="0"/>
    <x v="0"/>
    <x v="0"/>
  </r>
  <r>
    <s v="ID1407"/>
    <d v="2012-05-29T23:09:29"/>
    <n v="65000"/>
    <n v="65000"/>
    <s v="USD"/>
    <n v="65000"/>
    <s v="Data Analyst"/>
    <x v="0"/>
    <s v="USA"/>
    <x v="2"/>
    <x v="1"/>
    <n v="14"/>
    <s v=""/>
    <s v=""/>
    <s v=""/>
    <n v="1"/>
    <s v=""/>
    <s v=""/>
    <x v="5"/>
    <x v="0"/>
    <x v="84"/>
    <x v="0"/>
    <x v="0"/>
    <x v="0"/>
    <x v="0"/>
    <x v="0"/>
    <x v="0"/>
    <x v="0"/>
    <x v="0"/>
  </r>
  <r>
    <s v="ID1408"/>
    <d v="2012-05-29T23:13:32"/>
    <n v="55000"/>
    <n v="55000"/>
    <s v="USD"/>
    <n v="55000"/>
    <s v="Risk Analyst"/>
    <x v="0"/>
    <s v="USA"/>
    <x v="2"/>
    <x v="1"/>
    <n v="1"/>
    <n v="1"/>
    <s v=""/>
    <s v=""/>
    <s v=""/>
    <s v=""/>
    <s v=""/>
    <x v="4"/>
    <x v="0"/>
    <x v="78"/>
    <x v="0"/>
    <x v="0"/>
    <x v="0"/>
    <x v="0"/>
    <x v="0"/>
    <x v="0"/>
    <x v="0"/>
    <x v="0"/>
  </r>
  <r>
    <s v="ID1409"/>
    <d v="2012-05-29T23:20:41"/>
    <n v="40000"/>
    <n v="40000"/>
    <s v="USD"/>
    <n v="40000"/>
    <s v="Project Coordinator"/>
    <x v="3"/>
    <s v="USA"/>
    <x v="2"/>
    <x v="0"/>
    <n v="1"/>
    <n v="1"/>
    <s v=""/>
    <s v=""/>
    <s v=""/>
    <s v=""/>
    <s v=""/>
    <x v="4"/>
    <x v="0"/>
    <x v="1"/>
    <x v="0"/>
    <x v="0"/>
    <x v="0"/>
    <x v="0"/>
    <x v="7"/>
    <x v="0"/>
    <x v="0"/>
    <x v="0"/>
  </r>
  <r>
    <s v="ID1410"/>
    <d v="2012-05-29T23:21:25"/>
    <n v="60000"/>
    <n v="60000"/>
    <s v="USD"/>
    <n v="60000"/>
    <s v="business analyst"/>
    <x v="0"/>
    <s v="USA"/>
    <x v="2"/>
    <x v="0"/>
    <n v="15"/>
    <s v=""/>
    <s v=""/>
    <s v=""/>
    <n v="1"/>
    <s v=""/>
    <s v=""/>
    <x v="5"/>
    <x v="0"/>
    <x v="8"/>
    <x v="0"/>
    <x v="0"/>
    <x v="0"/>
    <x v="0"/>
    <x v="0"/>
    <x v="0"/>
    <x v="0"/>
    <x v="0"/>
  </r>
  <r>
    <s v="ID1411"/>
    <d v="2012-05-29T23:31:03"/>
    <s v="36000 euros"/>
    <n v="36000"/>
    <s v="EUR"/>
    <n v="45734.379803697877"/>
    <s v="Data Analytics Consultant"/>
    <x v="0"/>
    <s v="Ireland"/>
    <x v="8"/>
    <x v="2"/>
    <n v="4"/>
    <s v=""/>
    <n v="1"/>
    <s v=""/>
    <s v=""/>
    <s v=""/>
    <s v=""/>
    <x v="1"/>
    <x v="0"/>
    <x v="275"/>
    <x v="0"/>
    <x v="0"/>
    <x v="0"/>
    <x v="0"/>
    <x v="0"/>
    <x v="0"/>
    <x v="0"/>
    <x v="0"/>
  </r>
  <r>
    <s v="ID1412"/>
    <d v="2012-05-29T23:39:13"/>
    <n v="150000"/>
    <n v="150000"/>
    <s v="USD"/>
    <n v="150000"/>
    <s v="Senior Analyst"/>
    <x v="0"/>
    <s v="USA"/>
    <x v="2"/>
    <x v="2"/>
    <n v="30"/>
    <s v=""/>
    <s v=""/>
    <s v=""/>
    <s v=""/>
    <s v=""/>
    <n v="1"/>
    <x v="6"/>
    <x v="0"/>
    <x v="205"/>
    <x v="0"/>
    <x v="0"/>
    <x v="0"/>
    <x v="0"/>
    <x v="0"/>
    <x v="0"/>
    <x v="0"/>
    <x v="0"/>
  </r>
  <r>
    <s v="ID1413"/>
    <d v="2012-05-29T23:44:26"/>
    <n v="88000"/>
    <n v="88000"/>
    <s v="USD"/>
    <n v="88000"/>
    <s v="Manager, Financial Planning &amp; Analysis"/>
    <x v="3"/>
    <s v="USA"/>
    <x v="2"/>
    <x v="0"/>
    <n v="21"/>
    <s v=""/>
    <s v=""/>
    <s v=""/>
    <s v=""/>
    <s v=""/>
    <n v="1"/>
    <x v="6"/>
    <x v="0"/>
    <x v="1"/>
    <x v="0"/>
    <x v="0"/>
    <x v="0"/>
    <x v="0"/>
    <x v="39"/>
    <x v="0"/>
    <x v="0"/>
    <x v="0"/>
  </r>
  <r>
    <s v="ID1414"/>
    <d v="2012-05-30T00:02:08"/>
    <n v="64500"/>
    <n v="64500"/>
    <s v="USD"/>
    <n v="64500"/>
    <s v="Lead Budget/Financial Analyst"/>
    <x v="0"/>
    <s v="USA"/>
    <x v="2"/>
    <x v="0"/>
    <n v="13"/>
    <s v=""/>
    <s v=""/>
    <s v=""/>
    <n v="1"/>
    <s v=""/>
    <s v=""/>
    <x v="5"/>
    <x v="0"/>
    <x v="276"/>
    <x v="0"/>
    <x v="0"/>
    <x v="0"/>
    <x v="0"/>
    <x v="0"/>
    <x v="0"/>
    <x v="0"/>
    <x v="0"/>
  </r>
  <r>
    <s v="ID1415"/>
    <d v="2012-05-30T00:13:07"/>
    <s v="216000.00 Saudi Riyak"/>
    <n v="216000"/>
    <s v="SAR"/>
    <n v="57600"/>
    <s v="Senior Electrical Engineer"/>
    <x v="2"/>
    <s v="Saudi Arabia"/>
    <x v="22"/>
    <x v="0"/>
    <n v="20"/>
    <s v=""/>
    <s v=""/>
    <s v=""/>
    <s v=""/>
    <n v="1"/>
    <s v=""/>
    <x v="2"/>
    <x v="0"/>
    <x v="1"/>
    <x v="0"/>
    <x v="0"/>
    <x v="0"/>
    <x v="46"/>
    <x v="0"/>
    <x v="0"/>
    <x v="0"/>
    <x v="0"/>
  </r>
  <r>
    <s v="ID1416"/>
    <d v="2012-05-30T00:22:28"/>
    <n v="50000"/>
    <n v="50000"/>
    <s v="USD"/>
    <n v="50000"/>
    <s v="Accounting Supervisor"/>
    <x v="5"/>
    <s v="USA"/>
    <x v="2"/>
    <x v="0"/>
    <n v="15"/>
    <s v=""/>
    <s v=""/>
    <s v=""/>
    <n v="1"/>
    <s v=""/>
    <s v=""/>
    <x v="5"/>
    <x v="91"/>
    <x v="1"/>
    <x v="0"/>
    <x v="0"/>
    <x v="0"/>
    <x v="0"/>
    <x v="0"/>
    <x v="0"/>
    <x v="0"/>
    <x v="0"/>
  </r>
  <r>
    <s v="ID1417"/>
    <d v="2012-05-30T00:25:43"/>
    <n v="120000"/>
    <n v="120000"/>
    <s v="USD"/>
    <n v="120000"/>
    <s v="Finance Manager"/>
    <x v="3"/>
    <s v="USA"/>
    <x v="2"/>
    <x v="2"/>
    <n v="10"/>
    <s v=""/>
    <s v=""/>
    <n v="1"/>
    <s v=""/>
    <s v=""/>
    <s v=""/>
    <x v="3"/>
    <x v="0"/>
    <x v="1"/>
    <x v="0"/>
    <x v="0"/>
    <x v="0"/>
    <x v="0"/>
    <x v="25"/>
    <x v="0"/>
    <x v="0"/>
    <x v="0"/>
  </r>
  <r>
    <s v="ID1418"/>
    <d v="2012-05-30T00:34:53"/>
    <n v="107000"/>
    <n v="107000"/>
    <s v="USD"/>
    <n v="107000"/>
    <s v="Tax Manager"/>
    <x v="3"/>
    <s v="USA"/>
    <x v="2"/>
    <x v="1"/>
    <n v="29"/>
    <s v=""/>
    <s v=""/>
    <s v=""/>
    <s v=""/>
    <s v=""/>
    <n v="1"/>
    <x v="6"/>
    <x v="0"/>
    <x v="1"/>
    <x v="0"/>
    <x v="0"/>
    <x v="0"/>
    <x v="0"/>
    <x v="2"/>
    <x v="0"/>
    <x v="0"/>
    <x v="0"/>
  </r>
  <r>
    <s v="ID1419"/>
    <d v="2012-05-30T00:42:50"/>
    <n v="40000"/>
    <n v="40000"/>
    <s v="USD"/>
    <n v="40000"/>
    <s v="Metrics Analyst"/>
    <x v="0"/>
    <s v="USA"/>
    <x v="2"/>
    <x v="2"/>
    <n v="6"/>
    <s v=""/>
    <s v=""/>
    <n v="1"/>
    <s v=""/>
    <s v=""/>
    <s v=""/>
    <x v="3"/>
    <x v="0"/>
    <x v="27"/>
    <x v="0"/>
    <x v="0"/>
    <x v="0"/>
    <x v="0"/>
    <x v="0"/>
    <x v="0"/>
    <x v="0"/>
    <x v="0"/>
  </r>
  <r>
    <s v="ID1420"/>
    <d v="2012-05-30T00:50:03"/>
    <n v="81000"/>
    <n v="81000"/>
    <s v="USD"/>
    <n v="81000"/>
    <s v="Finance &amp; IT Manager"/>
    <x v="3"/>
    <s v="USA"/>
    <x v="2"/>
    <x v="3"/>
    <n v="12"/>
    <s v=""/>
    <s v=""/>
    <s v=""/>
    <n v="1"/>
    <s v=""/>
    <s v=""/>
    <x v="5"/>
    <x v="0"/>
    <x v="1"/>
    <x v="0"/>
    <x v="0"/>
    <x v="0"/>
    <x v="0"/>
    <x v="256"/>
    <x v="0"/>
    <x v="0"/>
    <x v="0"/>
  </r>
  <r>
    <s v="ID1421"/>
    <d v="2012-05-30T01:05:26"/>
    <n v="45000"/>
    <n v="45000"/>
    <s v="USD"/>
    <n v="45000"/>
    <s v="Technical Support Specialist"/>
    <x v="6"/>
    <s v="USA"/>
    <x v="2"/>
    <x v="0"/>
    <n v="20"/>
    <s v=""/>
    <s v=""/>
    <s v=""/>
    <s v=""/>
    <n v="1"/>
    <s v=""/>
    <x v="2"/>
    <x v="0"/>
    <x v="1"/>
    <x v="0"/>
    <x v="0"/>
    <x v="0"/>
    <x v="0"/>
    <x v="0"/>
    <x v="0"/>
    <x v="0"/>
    <x v="18"/>
  </r>
  <r>
    <s v="ID1422"/>
    <d v="2012-05-30T01:12:04"/>
    <n v="49000"/>
    <n v="49000"/>
    <s v="USD"/>
    <n v="49000"/>
    <s v="Clinical Data Specialist"/>
    <x v="6"/>
    <s v="USA"/>
    <x v="2"/>
    <x v="0"/>
    <n v="5"/>
    <s v=""/>
    <n v="1"/>
    <s v=""/>
    <s v=""/>
    <s v=""/>
    <s v=""/>
    <x v="1"/>
    <x v="0"/>
    <x v="1"/>
    <x v="0"/>
    <x v="0"/>
    <x v="0"/>
    <x v="0"/>
    <x v="0"/>
    <x v="0"/>
    <x v="0"/>
    <x v="36"/>
  </r>
  <r>
    <s v="ID1423"/>
    <d v="2012-05-30T01:12:35"/>
    <s v="INR 750000"/>
    <n v="750000"/>
    <s v="INR"/>
    <n v="13355.937515581925"/>
    <s v="Associate - Indirect Tax"/>
    <x v="4"/>
    <s v="India"/>
    <x v="0"/>
    <x v="3"/>
    <n v="1"/>
    <n v="1"/>
    <s v=""/>
    <s v=""/>
    <s v=""/>
    <s v=""/>
    <s v=""/>
    <x v="4"/>
    <x v="0"/>
    <x v="1"/>
    <x v="0"/>
    <x v="0"/>
    <x v="40"/>
    <x v="0"/>
    <x v="0"/>
    <x v="0"/>
    <x v="0"/>
    <x v="0"/>
  </r>
  <r>
    <s v="ID1424"/>
    <d v="2012-05-30T01:15:32"/>
    <n v="72000"/>
    <n v="72000"/>
    <s v="USD"/>
    <n v="72000"/>
    <s v="Manager"/>
    <x v="3"/>
    <s v="USA"/>
    <x v="2"/>
    <x v="3"/>
    <n v="20"/>
    <s v=""/>
    <s v=""/>
    <s v=""/>
    <s v=""/>
    <n v="1"/>
    <s v=""/>
    <x v="2"/>
    <x v="0"/>
    <x v="1"/>
    <x v="0"/>
    <x v="0"/>
    <x v="0"/>
    <x v="0"/>
    <x v="257"/>
    <x v="0"/>
    <x v="0"/>
    <x v="0"/>
  </r>
  <r>
    <s v="ID1425"/>
    <d v="2012-05-30T01:25:17"/>
    <n v="50000"/>
    <n v="50000"/>
    <s v="USD"/>
    <n v="50000"/>
    <s v="Digital Analyst"/>
    <x v="0"/>
    <s v="USA"/>
    <x v="2"/>
    <x v="0"/>
    <n v="7"/>
    <s v=""/>
    <s v=""/>
    <n v="1"/>
    <s v=""/>
    <s v=""/>
    <s v=""/>
    <x v="3"/>
    <x v="0"/>
    <x v="21"/>
    <x v="0"/>
    <x v="0"/>
    <x v="0"/>
    <x v="0"/>
    <x v="0"/>
    <x v="0"/>
    <x v="0"/>
    <x v="0"/>
  </r>
  <r>
    <s v="ID1426"/>
    <d v="2012-05-30T01:25:26"/>
    <n v="57678.400000000001"/>
    <n v="57678"/>
    <s v="USD"/>
    <n v="57678"/>
    <s v="Financial Analyst"/>
    <x v="0"/>
    <s v="USA"/>
    <x v="2"/>
    <x v="0"/>
    <n v="2"/>
    <n v="1"/>
    <s v=""/>
    <s v=""/>
    <s v=""/>
    <s v=""/>
    <s v=""/>
    <x v="4"/>
    <x v="0"/>
    <x v="277"/>
    <x v="0"/>
    <x v="0"/>
    <x v="0"/>
    <x v="0"/>
    <x v="0"/>
    <x v="0"/>
    <x v="0"/>
    <x v="0"/>
  </r>
  <r>
    <s v="ID1427"/>
    <d v="2012-05-30T01:29:51"/>
    <n v="80442"/>
    <n v="80442"/>
    <s v="USD"/>
    <n v="80442"/>
    <s v="Senior Budget Analyst"/>
    <x v="0"/>
    <s v="USA"/>
    <x v="2"/>
    <x v="0"/>
    <n v="16"/>
    <s v=""/>
    <s v=""/>
    <s v=""/>
    <s v=""/>
    <s v=""/>
    <s v=""/>
    <x v="0"/>
    <x v="0"/>
    <x v="278"/>
    <x v="0"/>
    <x v="0"/>
    <x v="0"/>
    <x v="0"/>
    <x v="0"/>
    <x v="0"/>
    <x v="0"/>
    <x v="0"/>
  </r>
  <r>
    <s v="ID1428"/>
    <d v="2012-05-30T01:48:18"/>
    <n v="75000"/>
    <n v="75000"/>
    <s v="USD"/>
    <n v="75000"/>
    <s v="HR Cordinator"/>
    <x v="3"/>
    <s v="USA"/>
    <x v="2"/>
    <x v="3"/>
    <n v="9"/>
    <s v=""/>
    <s v=""/>
    <n v="1"/>
    <s v=""/>
    <s v=""/>
    <s v=""/>
    <x v="3"/>
    <x v="0"/>
    <x v="1"/>
    <x v="0"/>
    <x v="0"/>
    <x v="0"/>
    <x v="0"/>
    <x v="21"/>
    <x v="0"/>
    <x v="0"/>
    <x v="0"/>
  </r>
  <r>
    <s v="ID1429"/>
    <d v="2012-05-30T01:52:33"/>
    <n v="61000"/>
    <n v="61000"/>
    <s v="USD"/>
    <n v="61000"/>
    <s v="Treasury Analyst"/>
    <x v="0"/>
    <s v="USA"/>
    <x v="2"/>
    <x v="0"/>
    <n v="12"/>
    <s v=""/>
    <s v=""/>
    <s v=""/>
    <n v="1"/>
    <s v=""/>
    <s v=""/>
    <x v="5"/>
    <x v="0"/>
    <x v="91"/>
    <x v="0"/>
    <x v="0"/>
    <x v="0"/>
    <x v="0"/>
    <x v="0"/>
    <x v="0"/>
    <x v="0"/>
    <x v="0"/>
  </r>
  <r>
    <s v="ID1430"/>
    <d v="2012-05-30T01:57:58"/>
    <n v="77000"/>
    <n v="77000"/>
    <s v="USD"/>
    <n v="77000"/>
    <s v="Assistant Engineer"/>
    <x v="2"/>
    <s v="USA"/>
    <x v="2"/>
    <x v="0"/>
    <n v="10"/>
    <s v=""/>
    <s v=""/>
    <n v="1"/>
    <s v=""/>
    <s v=""/>
    <s v=""/>
    <x v="3"/>
    <x v="0"/>
    <x v="1"/>
    <x v="0"/>
    <x v="0"/>
    <x v="0"/>
    <x v="47"/>
    <x v="0"/>
    <x v="0"/>
    <x v="0"/>
    <x v="0"/>
  </r>
  <r>
    <s v="ID1431"/>
    <d v="2012-05-30T02:18:02"/>
    <s v="92000 USD"/>
    <n v="92000"/>
    <s v="USD"/>
    <n v="92000"/>
    <s v="Controller"/>
    <x v="1"/>
    <s v="USA"/>
    <x v="2"/>
    <x v="2"/>
    <n v="9"/>
    <s v=""/>
    <s v=""/>
    <n v="1"/>
    <s v=""/>
    <s v=""/>
    <s v=""/>
    <x v="3"/>
    <x v="0"/>
    <x v="1"/>
    <x v="0"/>
    <x v="44"/>
    <x v="0"/>
    <x v="0"/>
    <x v="0"/>
    <x v="0"/>
    <x v="0"/>
    <x v="0"/>
  </r>
  <r>
    <s v="ID1432"/>
    <d v="2012-05-30T02:18:30"/>
    <n v="72000"/>
    <n v="72000"/>
    <s v="USD"/>
    <n v="72000"/>
    <s v="sr. senior analyst"/>
    <x v="0"/>
    <s v="USA"/>
    <x v="2"/>
    <x v="1"/>
    <n v="10"/>
    <s v=""/>
    <s v=""/>
    <n v="1"/>
    <s v=""/>
    <s v=""/>
    <s v=""/>
    <x v="3"/>
    <x v="0"/>
    <x v="114"/>
    <x v="0"/>
    <x v="0"/>
    <x v="0"/>
    <x v="0"/>
    <x v="0"/>
    <x v="0"/>
    <x v="0"/>
    <x v="0"/>
  </r>
  <r>
    <s v="ID1433"/>
    <d v="2012-05-30T02:22:39"/>
    <n v="14000"/>
    <n v="14000"/>
    <s v="USD"/>
    <n v="14000"/>
    <s v="Consultant"/>
    <x v="8"/>
    <s v="India"/>
    <x v="0"/>
    <x v="0"/>
    <n v="3"/>
    <s v=""/>
    <n v="1"/>
    <s v=""/>
    <s v=""/>
    <s v=""/>
    <s v=""/>
    <x v="1"/>
    <x v="0"/>
    <x v="1"/>
    <x v="62"/>
    <x v="0"/>
    <x v="0"/>
    <x v="0"/>
    <x v="0"/>
    <x v="0"/>
    <x v="0"/>
    <x v="0"/>
  </r>
  <r>
    <s v="ID1434"/>
    <d v="2012-05-30T02:22:59"/>
    <n v="111000"/>
    <n v="111000"/>
    <s v="USD"/>
    <n v="111000"/>
    <s v="Project Manager - Finance"/>
    <x v="3"/>
    <s v="USA"/>
    <x v="2"/>
    <x v="2"/>
    <n v="10"/>
    <s v=""/>
    <s v=""/>
    <n v="1"/>
    <s v=""/>
    <s v=""/>
    <s v=""/>
    <x v="3"/>
    <x v="0"/>
    <x v="1"/>
    <x v="0"/>
    <x v="0"/>
    <x v="0"/>
    <x v="0"/>
    <x v="258"/>
    <x v="0"/>
    <x v="0"/>
    <x v="0"/>
  </r>
  <r>
    <s v="ID1435"/>
    <d v="2012-05-30T02:32:17"/>
    <n v="80000"/>
    <n v="80000"/>
    <s v="USD"/>
    <n v="80000"/>
    <s v="Senior analyst, ops support"/>
    <x v="0"/>
    <s v="USA"/>
    <x v="2"/>
    <x v="0"/>
    <n v="20"/>
    <s v=""/>
    <s v=""/>
    <s v=""/>
    <s v=""/>
    <n v="1"/>
    <s v=""/>
    <x v="2"/>
    <x v="0"/>
    <x v="30"/>
    <x v="0"/>
    <x v="0"/>
    <x v="0"/>
    <x v="0"/>
    <x v="0"/>
    <x v="0"/>
    <x v="0"/>
    <x v="0"/>
  </r>
  <r>
    <s v="ID1436"/>
    <d v="2012-05-30T02:35:40"/>
    <s v="Rs 3.25 Lacs"/>
    <n v="3250000"/>
    <s v="INR"/>
    <n v="57875.729234188344"/>
    <s v="ISO TS Documentation"/>
    <x v="0"/>
    <s v="India"/>
    <x v="0"/>
    <x v="0"/>
    <n v="5.5"/>
    <s v=""/>
    <s v=""/>
    <n v="1"/>
    <s v=""/>
    <s v=""/>
    <s v=""/>
    <x v="3"/>
    <x v="0"/>
    <x v="279"/>
    <x v="0"/>
    <x v="0"/>
    <x v="0"/>
    <x v="0"/>
    <x v="0"/>
    <x v="0"/>
    <x v="0"/>
    <x v="0"/>
  </r>
  <r>
    <s v="ID1437"/>
    <d v="2012-05-30T02:39:50"/>
    <n v="25000"/>
    <n v="25000"/>
    <s v="USD"/>
    <n v="25000"/>
    <s v="Accountant"/>
    <x v="5"/>
    <s v="India"/>
    <x v="0"/>
    <x v="2"/>
    <n v="8"/>
    <s v=""/>
    <s v=""/>
    <n v="1"/>
    <s v=""/>
    <s v=""/>
    <s v=""/>
    <x v="3"/>
    <x v="92"/>
    <x v="1"/>
    <x v="0"/>
    <x v="0"/>
    <x v="0"/>
    <x v="0"/>
    <x v="0"/>
    <x v="0"/>
    <x v="0"/>
    <x v="0"/>
  </r>
  <r>
    <s v="ID1438"/>
    <d v="2012-05-30T03:20:17"/>
    <s v="24000 USD"/>
    <n v="24000"/>
    <s v="USD"/>
    <n v="24000"/>
    <s v="inventory controller"/>
    <x v="1"/>
    <s v="USA"/>
    <x v="2"/>
    <x v="3"/>
    <n v="2"/>
    <n v="1"/>
    <s v=""/>
    <s v=""/>
    <s v=""/>
    <s v=""/>
    <s v=""/>
    <x v="4"/>
    <x v="0"/>
    <x v="1"/>
    <x v="0"/>
    <x v="45"/>
    <x v="0"/>
    <x v="0"/>
    <x v="0"/>
    <x v="0"/>
    <x v="0"/>
    <x v="0"/>
  </r>
  <r>
    <s v="ID1439"/>
    <d v="2012-05-30T04:13:50"/>
    <n v="61000"/>
    <n v="61000"/>
    <s v="USD"/>
    <n v="61000"/>
    <s v="Accounting manager"/>
    <x v="3"/>
    <s v="USA"/>
    <x v="2"/>
    <x v="2"/>
    <n v="25"/>
    <s v=""/>
    <s v=""/>
    <s v=""/>
    <s v=""/>
    <s v=""/>
    <n v="1"/>
    <x v="6"/>
    <x v="0"/>
    <x v="1"/>
    <x v="0"/>
    <x v="0"/>
    <x v="0"/>
    <x v="0"/>
    <x v="18"/>
    <x v="0"/>
    <x v="0"/>
    <x v="0"/>
  </r>
  <r>
    <s v="ID1440"/>
    <d v="2012-05-30T08:05:16"/>
    <s v="AUD55,000"/>
    <n v="55000"/>
    <s v="AUD"/>
    <n v="56095.031102144967"/>
    <s v="PA"/>
    <x v="0"/>
    <s v="Australia"/>
    <x v="16"/>
    <x v="2"/>
    <n v="11"/>
    <s v=""/>
    <s v=""/>
    <s v=""/>
    <n v="1"/>
    <s v=""/>
    <s v=""/>
    <x v="5"/>
    <x v="0"/>
    <x v="280"/>
    <x v="0"/>
    <x v="0"/>
    <x v="0"/>
    <x v="0"/>
    <x v="0"/>
    <x v="0"/>
    <x v="0"/>
    <x v="0"/>
  </r>
  <r>
    <s v="ID1442"/>
    <d v="2012-05-30T09:42:01"/>
    <n v="70000"/>
    <n v="70000"/>
    <s v="AUD"/>
    <n v="71393.675948184507"/>
    <s v="Assistant Accountant"/>
    <x v="5"/>
    <s v="Australia"/>
    <x v="16"/>
    <x v="2"/>
    <n v="5"/>
    <s v=""/>
    <n v="1"/>
    <s v=""/>
    <s v=""/>
    <s v=""/>
    <s v=""/>
    <x v="1"/>
    <x v="93"/>
    <x v="1"/>
    <x v="0"/>
    <x v="0"/>
    <x v="0"/>
    <x v="0"/>
    <x v="0"/>
    <x v="0"/>
    <x v="0"/>
    <x v="0"/>
  </r>
  <r>
    <s v="ID1443"/>
    <d v="2012-05-30T10:11:19"/>
    <n v="96230"/>
    <n v="96230"/>
    <s v="USD"/>
    <n v="96230"/>
    <s v="Manager, Data Management"/>
    <x v="3"/>
    <s v="USA"/>
    <x v="2"/>
    <x v="0"/>
    <n v="18"/>
    <s v=""/>
    <s v=""/>
    <s v=""/>
    <s v=""/>
    <n v="1"/>
    <s v=""/>
    <x v="2"/>
    <x v="0"/>
    <x v="1"/>
    <x v="0"/>
    <x v="0"/>
    <x v="0"/>
    <x v="0"/>
    <x v="259"/>
    <x v="0"/>
    <x v="0"/>
    <x v="0"/>
  </r>
  <r>
    <s v="ID1444"/>
    <d v="2012-05-30T10:40:24"/>
    <n v="75000"/>
    <n v="75000"/>
    <s v="USD"/>
    <n v="75000"/>
    <s v="Business Analyst"/>
    <x v="0"/>
    <s v="USA"/>
    <x v="2"/>
    <x v="2"/>
    <n v="1.5"/>
    <n v="1"/>
    <s v=""/>
    <s v=""/>
    <s v=""/>
    <s v=""/>
    <s v=""/>
    <x v="4"/>
    <x v="0"/>
    <x v="29"/>
    <x v="0"/>
    <x v="0"/>
    <x v="0"/>
    <x v="0"/>
    <x v="0"/>
    <x v="0"/>
    <x v="0"/>
    <x v="0"/>
  </r>
  <r>
    <s v="ID1445"/>
    <d v="2012-05-30T10:57:38"/>
    <n v="8500"/>
    <n v="102000"/>
    <s v="USD"/>
    <n v="102000"/>
    <s v="Sales Analyst"/>
    <x v="0"/>
    <s v="USA"/>
    <x v="2"/>
    <x v="0"/>
    <n v="5"/>
    <s v=""/>
    <n v="1"/>
    <s v=""/>
    <s v=""/>
    <s v=""/>
    <s v=""/>
    <x v="1"/>
    <x v="0"/>
    <x v="281"/>
    <x v="0"/>
    <x v="0"/>
    <x v="0"/>
    <x v="0"/>
    <x v="0"/>
    <x v="0"/>
    <x v="0"/>
    <x v="0"/>
  </r>
  <r>
    <s v="ID1446"/>
    <d v="2012-05-30T11:20:33"/>
    <s v="MYR60000"/>
    <n v="60000"/>
    <s v="MYR"/>
    <n v="19008.034062397041"/>
    <s v="Liquidity Management Executive"/>
    <x v="3"/>
    <s v="Malaysia"/>
    <x v="73"/>
    <x v="0"/>
    <n v="3"/>
    <s v=""/>
    <n v="1"/>
    <s v=""/>
    <s v=""/>
    <s v=""/>
    <s v=""/>
    <x v="1"/>
    <x v="0"/>
    <x v="1"/>
    <x v="0"/>
    <x v="0"/>
    <x v="0"/>
    <x v="0"/>
    <x v="260"/>
    <x v="0"/>
    <x v="0"/>
    <x v="0"/>
  </r>
  <r>
    <s v="ID1447"/>
    <d v="2012-05-30T11:38:53"/>
    <n v="363"/>
    <n v="4356"/>
    <s v="USD"/>
    <n v="4356"/>
    <s v="Business Analyst"/>
    <x v="0"/>
    <s v="India"/>
    <x v="0"/>
    <x v="0"/>
    <n v="5"/>
    <s v=""/>
    <n v="1"/>
    <s v=""/>
    <s v=""/>
    <s v=""/>
    <s v=""/>
    <x v="1"/>
    <x v="0"/>
    <x v="282"/>
    <x v="0"/>
    <x v="0"/>
    <x v="0"/>
    <x v="0"/>
    <x v="0"/>
    <x v="0"/>
    <x v="0"/>
    <x v="0"/>
  </r>
  <r>
    <s v="ID1448"/>
    <d v="2012-05-30T11:43:50"/>
    <n v="300000"/>
    <n v="300000"/>
    <s v="INR"/>
    <n v="5342.3750062327708"/>
    <s v="accountant"/>
    <x v="5"/>
    <s v="India"/>
    <x v="0"/>
    <x v="0"/>
    <n v="4"/>
    <s v=""/>
    <n v="1"/>
    <s v=""/>
    <s v=""/>
    <s v=""/>
    <s v=""/>
    <x v="1"/>
    <x v="63"/>
    <x v="1"/>
    <x v="0"/>
    <x v="0"/>
    <x v="0"/>
    <x v="0"/>
    <x v="0"/>
    <x v="0"/>
    <x v="0"/>
    <x v="0"/>
  </r>
  <r>
    <s v="ID1449"/>
    <d v="2012-05-30T12:12:38"/>
    <n v="67000"/>
    <n v="67000"/>
    <s v="USD"/>
    <n v="67000"/>
    <s v="accounting systems manager "/>
    <x v="3"/>
    <s v="USA"/>
    <x v="2"/>
    <x v="2"/>
    <n v="20"/>
    <s v=""/>
    <s v=""/>
    <s v=""/>
    <s v=""/>
    <n v="1"/>
    <s v=""/>
    <x v="2"/>
    <x v="0"/>
    <x v="1"/>
    <x v="0"/>
    <x v="0"/>
    <x v="0"/>
    <x v="0"/>
    <x v="261"/>
    <x v="0"/>
    <x v="0"/>
    <x v="0"/>
  </r>
  <r>
    <s v="ID1450"/>
    <d v="2012-05-30T12:25:23"/>
    <n v="480000"/>
    <n v="480000"/>
    <s v="INR"/>
    <n v="8547.8000099724322"/>
    <s v="Performance Analyst"/>
    <x v="0"/>
    <s v="India"/>
    <x v="0"/>
    <x v="0"/>
    <n v="7"/>
    <s v=""/>
    <s v=""/>
    <n v="1"/>
    <s v=""/>
    <s v=""/>
    <s v=""/>
    <x v="3"/>
    <x v="0"/>
    <x v="158"/>
    <x v="0"/>
    <x v="0"/>
    <x v="0"/>
    <x v="0"/>
    <x v="0"/>
    <x v="0"/>
    <x v="0"/>
    <x v="0"/>
  </r>
  <r>
    <s v="ID1451"/>
    <d v="2012-05-30T12:35:08"/>
    <s v="Rs. 900000 per annum"/>
    <n v="900000"/>
    <s v="INR"/>
    <n v="16027.125018698311"/>
    <s v="Data Analyst"/>
    <x v="0"/>
    <s v="India"/>
    <x v="0"/>
    <x v="0"/>
    <n v="4"/>
    <s v=""/>
    <n v="1"/>
    <s v=""/>
    <s v=""/>
    <s v=""/>
    <s v=""/>
    <x v="1"/>
    <x v="0"/>
    <x v="283"/>
    <x v="0"/>
    <x v="0"/>
    <x v="0"/>
    <x v="0"/>
    <x v="0"/>
    <x v="0"/>
    <x v="0"/>
    <x v="0"/>
  </r>
  <r>
    <s v="ID1452"/>
    <d v="2012-05-30T12:56:38"/>
    <s v="Rs  6 lakhs/annum"/>
    <n v="600000"/>
    <s v="INR"/>
    <n v="10684.750012465542"/>
    <s v="consultant"/>
    <x v="8"/>
    <s v="India"/>
    <x v="0"/>
    <x v="2"/>
    <n v="36"/>
    <s v=""/>
    <s v=""/>
    <s v=""/>
    <s v=""/>
    <s v=""/>
    <n v="1"/>
    <x v="6"/>
    <x v="0"/>
    <x v="1"/>
    <x v="63"/>
    <x v="0"/>
    <x v="0"/>
    <x v="0"/>
    <x v="0"/>
    <x v="0"/>
    <x v="0"/>
    <x v="0"/>
  </r>
  <r>
    <s v="ID1453"/>
    <d v="2012-05-30T13:06:12"/>
    <n v="30000"/>
    <n v="30000"/>
    <s v="USD"/>
    <n v="30000"/>
    <s v="Accounting Specialist"/>
    <x v="5"/>
    <s v="UAE"/>
    <x v="21"/>
    <x v="0"/>
    <n v="8"/>
    <s v=""/>
    <s v=""/>
    <n v="1"/>
    <s v=""/>
    <s v=""/>
    <s v=""/>
    <x v="3"/>
    <x v="60"/>
    <x v="1"/>
    <x v="0"/>
    <x v="0"/>
    <x v="0"/>
    <x v="0"/>
    <x v="0"/>
    <x v="0"/>
    <x v="0"/>
    <x v="0"/>
  </r>
  <r>
    <s v="ID1454"/>
    <d v="2012-05-30T13:21:06"/>
    <n v="500000"/>
    <n v="500000"/>
    <s v="INR"/>
    <n v="8903.9583437212841"/>
    <s v="Project Management"/>
    <x v="3"/>
    <s v="India"/>
    <x v="0"/>
    <x v="2"/>
    <n v="0"/>
    <n v="1"/>
    <s v=""/>
    <s v=""/>
    <s v=""/>
    <s v=""/>
    <s v=""/>
    <x v="4"/>
    <x v="0"/>
    <x v="1"/>
    <x v="0"/>
    <x v="0"/>
    <x v="0"/>
    <x v="0"/>
    <x v="57"/>
    <x v="0"/>
    <x v="0"/>
    <x v="0"/>
  </r>
  <r>
    <s v="ID1455"/>
    <d v="2012-05-30T13:25:12"/>
    <n v="20000"/>
    <n v="20000"/>
    <s v="USD"/>
    <n v="20000"/>
    <s v="manager"/>
    <x v="3"/>
    <s v="India"/>
    <x v="0"/>
    <x v="4"/>
    <n v="10"/>
    <s v=""/>
    <s v=""/>
    <n v="1"/>
    <s v=""/>
    <s v=""/>
    <s v=""/>
    <x v="3"/>
    <x v="0"/>
    <x v="1"/>
    <x v="0"/>
    <x v="0"/>
    <x v="0"/>
    <x v="0"/>
    <x v="65"/>
    <x v="0"/>
    <x v="0"/>
    <x v="0"/>
  </r>
  <r>
    <s v="ID1456"/>
    <d v="2012-05-30T13:31:35"/>
    <n v="86000"/>
    <n v="86000"/>
    <s v="AUD"/>
    <n v="87712.230450626681"/>
    <s v="data analyst"/>
    <x v="0"/>
    <s v="Australia"/>
    <x v="16"/>
    <x v="0"/>
    <n v="10"/>
    <s v=""/>
    <s v=""/>
    <n v="1"/>
    <s v=""/>
    <s v=""/>
    <s v=""/>
    <x v="3"/>
    <x v="0"/>
    <x v="284"/>
    <x v="0"/>
    <x v="0"/>
    <x v="0"/>
    <x v="0"/>
    <x v="0"/>
    <x v="0"/>
    <x v="0"/>
    <x v="0"/>
  </r>
  <r>
    <s v="ID1457"/>
    <d v="2012-05-30T13:36:42"/>
    <n v="1000000"/>
    <n v="1000000"/>
    <s v="INR"/>
    <n v="17807.916687442568"/>
    <s v="project management"/>
    <x v="3"/>
    <s v="India"/>
    <x v="0"/>
    <x v="1"/>
    <n v="6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458"/>
    <d v="2012-05-30T13:36:48"/>
    <n v="41000"/>
    <n v="41000"/>
    <s v="USD"/>
    <n v="41000"/>
    <s v="Marketing Analyst"/>
    <x v="0"/>
    <s v="Japan"/>
    <x v="51"/>
    <x v="2"/>
    <n v="2"/>
    <n v="1"/>
    <s v=""/>
    <s v=""/>
    <s v=""/>
    <s v=""/>
    <s v=""/>
    <x v="4"/>
    <x v="0"/>
    <x v="86"/>
    <x v="0"/>
    <x v="0"/>
    <x v="0"/>
    <x v="0"/>
    <x v="0"/>
    <x v="0"/>
    <x v="0"/>
    <x v="0"/>
  </r>
  <r>
    <s v="ID1459"/>
    <d v="2012-05-30T13:41:41"/>
    <n v="60000"/>
    <n v="60000"/>
    <s v="USD"/>
    <n v="60000"/>
    <s v="Business Intelligence Supervisor"/>
    <x v="3"/>
    <s v="USA"/>
    <x v="2"/>
    <x v="2"/>
    <n v="4"/>
    <s v=""/>
    <n v="1"/>
    <s v=""/>
    <s v=""/>
    <s v=""/>
    <s v=""/>
    <x v="1"/>
    <x v="0"/>
    <x v="1"/>
    <x v="0"/>
    <x v="0"/>
    <x v="0"/>
    <x v="0"/>
    <x v="76"/>
    <x v="0"/>
    <x v="0"/>
    <x v="0"/>
  </r>
  <r>
    <s v="ID1460"/>
    <d v="2012-05-30T13:47:51"/>
    <s v="zar22000"/>
    <n v="264000"/>
    <s v="ZAR"/>
    <n v="32187.34988380854"/>
    <s v="Analyst"/>
    <x v="0"/>
    <s v="SouthAfrica"/>
    <x v="11"/>
    <x v="1"/>
    <n v="2"/>
    <n v="1"/>
    <s v=""/>
    <s v=""/>
    <s v=""/>
    <s v=""/>
    <s v=""/>
    <x v="4"/>
    <x v="0"/>
    <x v="285"/>
    <x v="0"/>
    <x v="0"/>
    <x v="0"/>
    <x v="0"/>
    <x v="0"/>
    <x v="0"/>
    <x v="0"/>
    <x v="0"/>
  </r>
  <r>
    <s v="ID1461"/>
    <d v="2012-05-30T13:56:27"/>
    <n v="50000"/>
    <n v="50000"/>
    <s v="NZD"/>
    <n v="39879.404680246938"/>
    <s v="stress engineer"/>
    <x v="2"/>
    <s v="nld"/>
    <x v="48"/>
    <x v="0"/>
    <n v="5"/>
    <s v=""/>
    <n v="1"/>
    <s v=""/>
    <s v=""/>
    <s v=""/>
    <s v=""/>
    <x v="1"/>
    <x v="0"/>
    <x v="1"/>
    <x v="0"/>
    <x v="0"/>
    <x v="0"/>
    <x v="48"/>
    <x v="0"/>
    <x v="0"/>
    <x v="0"/>
    <x v="0"/>
  </r>
  <r>
    <s v="ID1462"/>
    <d v="2012-05-30T13:56:48"/>
    <s v="320000 INR"/>
    <n v="320000"/>
    <s v="INR"/>
    <n v="5698.5333399816218"/>
    <s v="Analyst"/>
    <x v="0"/>
    <s v="India"/>
    <x v="0"/>
    <x v="2"/>
    <n v="2"/>
    <n v="1"/>
    <s v=""/>
    <s v=""/>
    <s v=""/>
    <s v=""/>
    <s v=""/>
    <x v="4"/>
    <x v="0"/>
    <x v="286"/>
    <x v="0"/>
    <x v="0"/>
    <x v="0"/>
    <x v="0"/>
    <x v="0"/>
    <x v="0"/>
    <x v="0"/>
    <x v="0"/>
  </r>
  <r>
    <s v="ID1463"/>
    <d v="2012-05-30T14:09:10"/>
    <s v="4 Lakhs INR p.a"/>
    <n v="400000"/>
    <s v="INR"/>
    <n v="7123.1666749770275"/>
    <s v="Reporting Manager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12"/>
    <x v="0"/>
    <x v="0"/>
    <x v="0"/>
  </r>
  <r>
    <s v="ID1464"/>
    <d v="2012-05-30T14:19:07"/>
    <s v="Rs.2,50,000.00"/>
    <n v="250000"/>
    <s v="INR"/>
    <n v="4451.9791718606421"/>
    <s v="Manager Commercial"/>
    <x v="3"/>
    <s v="India"/>
    <x v="0"/>
    <x v="2"/>
    <n v="15"/>
    <s v=""/>
    <s v=""/>
    <s v=""/>
    <n v="1"/>
    <s v=""/>
    <s v=""/>
    <x v="5"/>
    <x v="0"/>
    <x v="1"/>
    <x v="0"/>
    <x v="0"/>
    <x v="0"/>
    <x v="0"/>
    <x v="145"/>
    <x v="0"/>
    <x v="0"/>
    <x v="0"/>
  </r>
  <r>
    <s v="ID1465"/>
    <d v="2012-05-30T14:21:57"/>
    <n v="360000"/>
    <n v="360000"/>
    <s v="INR"/>
    <n v="6410.8500074793246"/>
    <s v="analyst"/>
    <x v="0"/>
    <s v="India"/>
    <x v="0"/>
    <x v="2"/>
    <n v="6"/>
    <s v=""/>
    <s v=""/>
    <n v="1"/>
    <s v=""/>
    <s v=""/>
    <s v=""/>
    <x v="3"/>
    <x v="0"/>
    <x v="93"/>
    <x v="0"/>
    <x v="0"/>
    <x v="0"/>
    <x v="0"/>
    <x v="0"/>
    <x v="0"/>
    <x v="0"/>
    <x v="0"/>
  </r>
  <r>
    <s v="ID1466"/>
    <d v="2012-05-30T14:28:57"/>
    <s v="Rs. 1150000/-"/>
    <n v="1150000"/>
    <s v="INR"/>
    <n v="20479.104190558952"/>
    <s v="Project Manager"/>
    <x v="3"/>
    <s v="India"/>
    <x v="0"/>
    <x v="1"/>
    <n v="12"/>
    <s v=""/>
    <s v=""/>
    <s v=""/>
    <n v="1"/>
    <s v=""/>
    <s v=""/>
    <x v="5"/>
    <x v="0"/>
    <x v="1"/>
    <x v="0"/>
    <x v="0"/>
    <x v="0"/>
    <x v="0"/>
    <x v="148"/>
    <x v="0"/>
    <x v="0"/>
    <x v="0"/>
  </r>
  <r>
    <s v="ID1467"/>
    <d v="2012-05-30T14:31:33"/>
    <n v="620000"/>
    <n v="620000"/>
    <s v="INR"/>
    <n v="11040.908346214392"/>
    <s v="Catalog Auditor"/>
    <x v="0"/>
    <s v="India"/>
    <x v="0"/>
    <x v="3"/>
    <n v="5"/>
    <s v=""/>
    <n v="1"/>
    <s v=""/>
    <s v=""/>
    <s v=""/>
    <s v=""/>
    <x v="1"/>
    <x v="0"/>
    <x v="287"/>
    <x v="0"/>
    <x v="0"/>
    <x v="0"/>
    <x v="0"/>
    <x v="0"/>
    <x v="0"/>
    <x v="0"/>
    <x v="0"/>
  </r>
  <r>
    <s v="ID1468"/>
    <d v="2012-05-30T15:59:01"/>
    <s v="Rs 10,00,000"/>
    <n v="1000000"/>
    <s v="INR"/>
    <n v="17807.916687442568"/>
    <s v="Marketing Specialist"/>
    <x v="6"/>
    <s v="India"/>
    <x v="0"/>
    <x v="2"/>
    <n v="7"/>
    <s v=""/>
    <s v=""/>
    <n v="1"/>
    <s v=""/>
    <s v=""/>
    <s v=""/>
    <x v="3"/>
    <x v="0"/>
    <x v="1"/>
    <x v="0"/>
    <x v="0"/>
    <x v="0"/>
    <x v="0"/>
    <x v="0"/>
    <x v="0"/>
    <x v="0"/>
    <x v="37"/>
  </r>
  <r>
    <s v="ID1469"/>
    <d v="2012-05-30T16:12:34"/>
    <s v="Rs. 200000"/>
    <n v="200000"/>
    <s v="INR"/>
    <n v="3561.5833374885137"/>
    <s v="Executive"/>
    <x v="0"/>
    <s v="India"/>
    <x v="0"/>
    <x v="0"/>
    <n v="11"/>
    <s v=""/>
    <s v=""/>
    <s v=""/>
    <n v="1"/>
    <s v=""/>
    <s v=""/>
    <x v="5"/>
    <x v="0"/>
    <x v="68"/>
    <x v="0"/>
    <x v="0"/>
    <x v="0"/>
    <x v="0"/>
    <x v="0"/>
    <x v="0"/>
    <x v="0"/>
    <x v="0"/>
  </r>
  <r>
    <s v="ID1470"/>
    <d v="2012-05-30T16:22:19"/>
    <s v="Â£17000"/>
    <n v="17000"/>
    <s v="GBP"/>
    <n v="26795.030625143831"/>
    <s v="Verification Agent"/>
    <x v="0"/>
    <s v="UK"/>
    <x v="14"/>
    <x v="2"/>
    <n v="5"/>
    <s v=""/>
    <n v="1"/>
    <s v=""/>
    <s v=""/>
    <s v=""/>
    <s v=""/>
    <x v="1"/>
    <x v="0"/>
    <x v="288"/>
    <x v="0"/>
    <x v="0"/>
    <x v="0"/>
    <x v="0"/>
    <x v="0"/>
    <x v="0"/>
    <x v="0"/>
    <x v="0"/>
  </r>
  <r>
    <s v="ID1471"/>
    <d v="2012-05-30T16:48:32"/>
    <n v="1700"/>
    <n v="20400"/>
    <s v="USD"/>
    <n v="20400"/>
    <s v="M &amp; E Officer"/>
    <x v="3"/>
    <s v="Myanmar [Burma]"/>
    <x v="84"/>
    <x v="3"/>
    <n v="10"/>
    <s v=""/>
    <s v=""/>
    <n v="1"/>
    <s v=""/>
    <s v=""/>
    <s v=""/>
    <x v="3"/>
    <x v="0"/>
    <x v="1"/>
    <x v="0"/>
    <x v="0"/>
    <x v="0"/>
    <x v="0"/>
    <x v="262"/>
    <x v="0"/>
    <x v="0"/>
    <x v="0"/>
  </r>
  <r>
    <s v="ID1472"/>
    <d v="2012-05-30T16:49:15"/>
    <s v="Â£25000"/>
    <n v="25000"/>
    <s v="GBP"/>
    <n v="39404.456801682099"/>
    <s v="Assistant Financial Accountant"/>
    <x v="5"/>
    <s v="UK"/>
    <x v="14"/>
    <x v="0"/>
    <n v="35"/>
    <s v=""/>
    <s v=""/>
    <s v=""/>
    <s v=""/>
    <s v=""/>
    <n v="1"/>
    <x v="6"/>
    <x v="83"/>
    <x v="1"/>
    <x v="0"/>
    <x v="0"/>
    <x v="0"/>
    <x v="0"/>
    <x v="0"/>
    <x v="0"/>
    <x v="0"/>
    <x v="0"/>
  </r>
  <r>
    <s v="ID1473"/>
    <d v="2012-05-30T16:55:51"/>
    <n v="118000"/>
    <n v="118000"/>
    <s v="EUR"/>
    <n v="149907.13380100971"/>
    <s v="Support"/>
    <x v="0"/>
    <s v="EU"/>
    <x v="88"/>
    <x v="0"/>
    <n v="7"/>
    <s v=""/>
    <s v=""/>
    <n v="1"/>
    <s v=""/>
    <s v=""/>
    <s v=""/>
    <x v="3"/>
    <x v="0"/>
    <x v="289"/>
    <x v="0"/>
    <x v="0"/>
    <x v="0"/>
    <x v="0"/>
    <x v="0"/>
    <x v="0"/>
    <x v="0"/>
    <x v="0"/>
  </r>
  <r>
    <s v="ID1474"/>
    <d v="2012-05-30T17:01:10"/>
    <n v="230000"/>
    <n v="230000"/>
    <s v="INR"/>
    <n v="4095.8208381117906"/>
    <s v="Process Assocaite"/>
    <x v="0"/>
    <s v="India"/>
    <x v="0"/>
    <x v="0"/>
    <n v="1.6"/>
    <n v="1"/>
    <s v=""/>
    <s v=""/>
    <s v=""/>
    <s v=""/>
    <s v=""/>
    <x v="4"/>
    <x v="0"/>
    <x v="290"/>
    <x v="0"/>
    <x v="0"/>
    <x v="0"/>
    <x v="0"/>
    <x v="0"/>
    <x v="0"/>
    <x v="0"/>
    <x v="0"/>
  </r>
  <r>
    <s v="ID1475"/>
    <d v="2012-05-30T17:04:53"/>
    <s v="$AUD 125,000 +"/>
    <n v="125000"/>
    <s v="AUD"/>
    <n v="127488.70705032947"/>
    <s v="Financial Application Developer"/>
    <x v="5"/>
    <s v="Australia"/>
    <x v="16"/>
    <x v="0"/>
    <n v="7"/>
    <s v=""/>
    <s v=""/>
    <n v="1"/>
    <s v=""/>
    <s v=""/>
    <s v=""/>
    <x v="3"/>
    <x v="94"/>
    <x v="1"/>
    <x v="0"/>
    <x v="0"/>
    <x v="0"/>
    <x v="0"/>
    <x v="0"/>
    <x v="0"/>
    <x v="0"/>
    <x v="0"/>
  </r>
  <r>
    <s v="ID1476"/>
    <d v="2012-05-30T17:07:47"/>
    <s v="Â£37000"/>
    <n v="37000"/>
    <s v="GBP"/>
    <n v="58318.59606648951"/>
    <s v="Planning &amp; Scheduling Manager"/>
    <x v="3"/>
    <s v="UK"/>
    <x v="14"/>
    <x v="1"/>
    <n v="20"/>
    <s v=""/>
    <s v=""/>
    <s v=""/>
    <s v=""/>
    <n v="1"/>
    <s v=""/>
    <x v="2"/>
    <x v="0"/>
    <x v="1"/>
    <x v="0"/>
    <x v="0"/>
    <x v="0"/>
    <x v="0"/>
    <x v="263"/>
    <x v="0"/>
    <x v="0"/>
    <x v="0"/>
  </r>
  <r>
    <s v="ID1477"/>
    <d v="2012-05-30T17:14:27"/>
    <s v="ZAR6500"/>
    <n v="78000"/>
    <s v="ZAR"/>
    <n v="9509.8988293070688"/>
    <s v="Online Stats Controller"/>
    <x v="1"/>
    <s v="South Africa"/>
    <x v="11"/>
    <x v="0"/>
    <n v="2"/>
    <n v="1"/>
    <s v=""/>
    <s v=""/>
    <s v=""/>
    <s v=""/>
    <s v=""/>
    <x v="4"/>
    <x v="0"/>
    <x v="1"/>
    <x v="0"/>
    <x v="46"/>
    <x v="0"/>
    <x v="0"/>
    <x v="0"/>
    <x v="0"/>
    <x v="0"/>
    <x v="0"/>
  </r>
  <r>
    <s v="ID1478"/>
    <d v="2012-05-30T17:18:38"/>
    <s v="INR 60000"/>
    <n v="720000"/>
    <s v="INR"/>
    <n v="12821.700014958649"/>
    <s v="DEO"/>
    <x v="0"/>
    <s v="India"/>
    <x v="0"/>
    <x v="0"/>
    <n v="3"/>
    <s v=""/>
    <n v="1"/>
    <s v=""/>
    <s v=""/>
    <s v=""/>
    <s v=""/>
    <x v="1"/>
    <x v="0"/>
    <x v="291"/>
    <x v="0"/>
    <x v="0"/>
    <x v="0"/>
    <x v="0"/>
    <x v="0"/>
    <x v="0"/>
    <x v="0"/>
    <x v="0"/>
  </r>
  <r>
    <s v="ID1479"/>
    <d v="2012-05-30T18:15:28"/>
    <n v="4000"/>
    <n v="4000"/>
    <s v="USD"/>
    <n v="4000"/>
    <s v="M I S Executive"/>
    <x v="0"/>
    <s v="India"/>
    <x v="0"/>
    <x v="1"/>
    <n v="6"/>
    <s v=""/>
    <s v=""/>
    <n v="1"/>
    <s v=""/>
    <s v=""/>
    <s v=""/>
    <x v="3"/>
    <x v="0"/>
    <x v="292"/>
    <x v="0"/>
    <x v="0"/>
    <x v="0"/>
    <x v="0"/>
    <x v="0"/>
    <x v="0"/>
    <x v="0"/>
    <x v="0"/>
  </r>
  <r>
    <s v="ID1480"/>
    <d v="2012-05-30T18:16:05"/>
    <n v="42000"/>
    <n v="42000"/>
    <s v="USD"/>
    <n v="42000"/>
    <s v="Service Solution Rep"/>
    <x v="0"/>
    <s v="USA"/>
    <x v="2"/>
    <x v="1"/>
    <n v="2"/>
    <n v="1"/>
    <s v=""/>
    <s v=""/>
    <s v=""/>
    <s v=""/>
    <s v=""/>
    <x v="4"/>
    <x v="0"/>
    <x v="293"/>
    <x v="0"/>
    <x v="0"/>
    <x v="0"/>
    <x v="0"/>
    <x v="0"/>
    <x v="0"/>
    <x v="0"/>
    <x v="0"/>
  </r>
  <r>
    <s v="ID1481"/>
    <d v="2012-05-30T18:47:17"/>
    <s v="US $ 3200"/>
    <n v="3200"/>
    <s v="USD"/>
    <n v="3200"/>
    <s v="Regional Business Manager "/>
    <x v="3"/>
    <s v="India"/>
    <x v="0"/>
    <x v="1"/>
    <n v="19"/>
    <s v=""/>
    <s v=""/>
    <s v=""/>
    <s v=""/>
    <n v="1"/>
    <s v=""/>
    <x v="2"/>
    <x v="0"/>
    <x v="1"/>
    <x v="0"/>
    <x v="0"/>
    <x v="0"/>
    <x v="0"/>
    <x v="264"/>
    <x v="0"/>
    <x v="0"/>
    <x v="0"/>
  </r>
  <r>
    <s v="ID1482"/>
    <d v="2012-05-30T18:51:57"/>
    <n v="60000"/>
    <n v="60000"/>
    <s v="USD"/>
    <n v="60000"/>
    <s v="sales&amp;marketing"/>
    <x v="0"/>
    <s v="turkey"/>
    <x v="28"/>
    <x v="2"/>
    <n v="10"/>
    <s v=""/>
    <s v=""/>
    <n v="1"/>
    <s v=""/>
    <s v=""/>
    <s v=""/>
    <x v="3"/>
    <x v="0"/>
    <x v="8"/>
    <x v="0"/>
    <x v="0"/>
    <x v="0"/>
    <x v="0"/>
    <x v="0"/>
    <x v="0"/>
    <x v="0"/>
    <x v="0"/>
  </r>
  <r>
    <s v="ID1483"/>
    <d v="2012-05-30T19:01:20"/>
    <n v="85000"/>
    <n v="85000"/>
    <s v="USD"/>
    <n v="85000"/>
    <s v="sr analyst"/>
    <x v="0"/>
    <s v="USA"/>
    <x v="2"/>
    <x v="0"/>
    <n v="9"/>
    <s v=""/>
    <s v=""/>
    <n v="1"/>
    <s v=""/>
    <s v=""/>
    <s v=""/>
    <x v="3"/>
    <x v="0"/>
    <x v="35"/>
    <x v="0"/>
    <x v="0"/>
    <x v="0"/>
    <x v="0"/>
    <x v="0"/>
    <x v="0"/>
    <x v="0"/>
    <x v="0"/>
  </r>
  <r>
    <s v="ID1484"/>
    <d v="2012-05-30T19:04:44"/>
    <n v="109000"/>
    <n v="109000"/>
    <s v="USD"/>
    <n v="109000"/>
    <s v="Mgr Technology"/>
    <x v="3"/>
    <s v="USA"/>
    <x v="2"/>
    <x v="0"/>
    <n v="15"/>
    <s v=""/>
    <s v=""/>
    <s v=""/>
    <n v="1"/>
    <s v=""/>
    <s v=""/>
    <x v="5"/>
    <x v="0"/>
    <x v="1"/>
    <x v="0"/>
    <x v="0"/>
    <x v="0"/>
    <x v="0"/>
    <x v="265"/>
    <x v="0"/>
    <x v="0"/>
    <x v="0"/>
  </r>
  <r>
    <s v="ID1485"/>
    <d v="2012-05-30T19:27:35"/>
    <s v="60000 Euros"/>
    <n v="60000"/>
    <s v="EUR"/>
    <n v="76223.966339496474"/>
    <s v="Sales Analyst"/>
    <x v="0"/>
    <s v="Italy"/>
    <x v="62"/>
    <x v="1"/>
    <n v="14"/>
    <s v=""/>
    <s v=""/>
    <s v=""/>
    <n v="1"/>
    <s v=""/>
    <s v=""/>
    <x v="5"/>
    <x v="0"/>
    <x v="294"/>
    <x v="0"/>
    <x v="0"/>
    <x v="0"/>
    <x v="0"/>
    <x v="0"/>
    <x v="0"/>
    <x v="0"/>
    <x v="0"/>
  </r>
  <r>
    <s v="ID1486"/>
    <d v="2012-05-30T19:42:50"/>
    <n v="77000"/>
    <n v="77000"/>
    <s v="USD"/>
    <n v="77000"/>
    <s v="Chemical Engineer"/>
    <x v="2"/>
    <s v="USA"/>
    <x v="2"/>
    <x v="2"/>
    <n v="13"/>
    <s v=""/>
    <s v=""/>
    <s v=""/>
    <n v="1"/>
    <s v=""/>
    <s v=""/>
    <x v="5"/>
    <x v="0"/>
    <x v="1"/>
    <x v="0"/>
    <x v="0"/>
    <x v="0"/>
    <x v="47"/>
    <x v="0"/>
    <x v="0"/>
    <x v="0"/>
    <x v="0"/>
  </r>
  <r>
    <s v="ID1487"/>
    <d v="2012-05-30T19:43:43"/>
    <n v="25000"/>
    <n v="25000"/>
    <s v="USD"/>
    <n v="25000"/>
    <s v="data analyst"/>
    <x v="0"/>
    <s v="India"/>
    <x v="0"/>
    <x v="1"/>
    <n v="4"/>
    <s v=""/>
    <n v="1"/>
    <s v=""/>
    <s v=""/>
    <s v=""/>
    <s v=""/>
    <x v="1"/>
    <x v="0"/>
    <x v="295"/>
    <x v="0"/>
    <x v="0"/>
    <x v="0"/>
    <x v="0"/>
    <x v="0"/>
    <x v="0"/>
    <x v="0"/>
    <x v="0"/>
  </r>
  <r>
    <s v="ID1488"/>
    <d v="2012-05-30T20:19:51"/>
    <n v="64000"/>
    <n v="64000"/>
    <s v="USD"/>
    <n v="64000"/>
    <s v="Program Manager"/>
    <x v="3"/>
    <s v="USA"/>
    <x v="2"/>
    <x v="2"/>
    <n v="12"/>
    <s v=""/>
    <s v=""/>
    <s v=""/>
    <n v="1"/>
    <s v=""/>
    <s v=""/>
    <x v="5"/>
    <x v="0"/>
    <x v="1"/>
    <x v="0"/>
    <x v="0"/>
    <x v="0"/>
    <x v="0"/>
    <x v="266"/>
    <x v="0"/>
    <x v="0"/>
    <x v="0"/>
  </r>
  <r>
    <s v="ID1489"/>
    <d v="2012-05-30T20:26:10"/>
    <n v="146633"/>
    <n v="146633"/>
    <s v="GBP"/>
    <n v="231119.74856804207"/>
    <s v="Senior Planning Engineer"/>
    <x v="2"/>
    <s v="UK"/>
    <x v="14"/>
    <x v="2"/>
    <n v="10"/>
    <s v=""/>
    <s v=""/>
    <n v="1"/>
    <s v=""/>
    <s v=""/>
    <s v=""/>
    <x v="3"/>
    <x v="0"/>
    <x v="1"/>
    <x v="0"/>
    <x v="0"/>
    <x v="0"/>
    <x v="49"/>
    <x v="0"/>
    <x v="0"/>
    <x v="0"/>
    <x v="0"/>
  </r>
  <r>
    <s v="ID1490"/>
    <d v="2012-05-30T20:40:45"/>
    <n v="76000"/>
    <n v="76000"/>
    <s v="USD"/>
    <n v="76000"/>
    <s v="Sr. Analyst"/>
    <x v="0"/>
    <s v="USA"/>
    <x v="2"/>
    <x v="1"/>
    <n v="10"/>
    <s v=""/>
    <s v=""/>
    <n v="1"/>
    <s v=""/>
    <s v=""/>
    <s v=""/>
    <x v="3"/>
    <x v="0"/>
    <x v="296"/>
    <x v="0"/>
    <x v="0"/>
    <x v="0"/>
    <x v="0"/>
    <x v="0"/>
    <x v="0"/>
    <x v="0"/>
    <x v="0"/>
  </r>
  <r>
    <s v="ID1491"/>
    <d v="2012-05-30T20:42:27"/>
    <n v="10000"/>
    <n v="10000"/>
    <s v="GBP"/>
    <n v="15761.782720672842"/>
    <s v="Analyst"/>
    <x v="0"/>
    <s v="UK"/>
    <x v="14"/>
    <x v="2"/>
    <n v="8"/>
    <s v=""/>
    <s v=""/>
    <n v="1"/>
    <s v=""/>
    <s v=""/>
    <s v=""/>
    <x v="3"/>
    <x v="0"/>
    <x v="297"/>
    <x v="0"/>
    <x v="0"/>
    <x v="0"/>
    <x v="0"/>
    <x v="0"/>
    <x v="0"/>
    <x v="0"/>
    <x v="0"/>
  </r>
  <r>
    <s v="ID1492"/>
    <d v="2012-05-30T20:42:47"/>
    <s v="AUD 165000"/>
    <n v="165000"/>
    <s v="AUD"/>
    <n v="168285.09330643489"/>
    <s v="Engineer"/>
    <x v="2"/>
    <s v="Australia"/>
    <x v="16"/>
    <x v="2"/>
    <n v="17"/>
    <s v=""/>
    <s v=""/>
    <s v=""/>
    <s v=""/>
    <n v="1"/>
    <s v=""/>
    <x v="2"/>
    <x v="0"/>
    <x v="1"/>
    <x v="0"/>
    <x v="0"/>
    <x v="0"/>
    <x v="50"/>
    <x v="0"/>
    <x v="0"/>
    <x v="0"/>
    <x v="0"/>
  </r>
  <r>
    <s v="ID1493"/>
    <d v="2012-05-30T20:47:55"/>
    <s v="50000 US$"/>
    <n v="50000"/>
    <s v="USD"/>
    <n v="50000"/>
    <s v="Sr. Financial Analyst"/>
    <x v="0"/>
    <s v="Kuwait"/>
    <x v="76"/>
    <x v="0"/>
    <n v="13"/>
    <s v=""/>
    <s v=""/>
    <s v=""/>
    <n v="1"/>
    <s v=""/>
    <s v=""/>
    <x v="5"/>
    <x v="0"/>
    <x v="21"/>
    <x v="0"/>
    <x v="0"/>
    <x v="0"/>
    <x v="0"/>
    <x v="0"/>
    <x v="0"/>
    <x v="0"/>
    <x v="0"/>
  </r>
  <r>
    <s v="ID1494"/>
    <d v="2012-05-30T20:53:12"/>
    <s v="7200 USD per year aprox"/>
    <n v="7200"/>
    <s v="USD"/>
    <n v="7200"/>
    <s v="control process auxiliary"/>
    <x v="1"/>
    <s v="Colombia"/>
    <x v="27"/>
    <x v="0"/>
    <n v="8"/>
    <s v=""/>
    <s v=""/>
    <n v="1"/>
    <s v=""/>
    <s v=""/>
    <s v=""/>
    <x v="3"/>
    <x v="0"/>
    <x v="1"/>
    <x v="0"/>
    <x v="47"/>
    <x v="0"/>
    <x v="0"/>
    <x v="0"/>
    <x v="0"/>
    <x v="0"/>
    <x v="0"/>
  </r>
  <r>
    <s v="ID1495"/>
    <d v="2012-05-30T21:07:54"/>
    <n v="42000"/>
    <n v="42000"/>
    <s v="EUR"/>
    <n v="53356.776437647524"/>
    <s v="Business Intelligence Consultant"/>
    <x v="8"/>
    <s v="Germany"/>
    <x v="5"/>
    <x v="1"/>
    <n v="7"/>
    <s v=""/>
    <s v=""/>
    <n v="1"/>
    <s v=""/>
    <s v=""/>
    <s v=""/>
    <x v="3"/>
    <x v="0"/>
    <x v="1"/>
    <x v="43"/>
    <x v="0"/>
    <x v="0"/>
    <x v="0"/>
    <x v="0"/>
    <x v="0"/>
    <x v="0"/>
    <x v="0"/>
  </r>
  <r>
    <s v="ID1496"/>
    <d v="2012-05-30T21:19:31"/>
    <n v="45000"/>
    <n v="45000"/>
    <s v="USD"/>
    <n v="45000"/>
    <s v="Data Specialist"/>
    <x v="6"/>
    <s v="USA"/>
    <x v="2"/>
    <x v="2"/>
    <n v="10"/>
    <s v=""/>
    <s v=""/>
    <n v="1"/>
    <s v=""/>
    <s v=""/>
    <s v=""/>
    <x v="3"/>
    <x v="0"/>
    <x v="1"/>
    <x v="0"/>
    <x v="0"/>
    <x v="0"/>
    <x v="0"/>
    <x v="0"/>
    <x v="0"/>
    <x v="0"/>
    <x v="18"/>
  </r>
  <r>
    <s v="ID1497"/>
    <d v="2012-05-30T21:26:04"/>
    <n v="5000"/>
    <n v="5000"/>
    <s v="USD"/>
    <n v="5000"/>
    <s v="Officer MIS"/>
    <x v="3"/>
    <s v="India"/>
    <x v="0"/>
    <x v="1"/>
    <n v="4"/>
    <s v=""/>
    <n v="1"/>
    <s v=""/>
    <s v=""/>
    <s v=""/>
    <s v=""/>
    <x v="1"/>
    <x v="0"/>
    <x v="1"/>
    <x v="0"/>
    <x v="0"/>
    <x v="0"/>
    <x v="0"/>
    <x v="168"/>
    <x v="0"/>
    <x v="0"/>
    <x v="0"/>
  </r>
  <r>
    <s v="ID1498"/>
    <d v="2012-05-30T21:45:06"/>
    <n v="74000"/>
    <n v="74000"/>
    <s v="AUD"/>
    <n v="75473.31457379504"/>
    <s v="operations Administrator"/>
    <x v="0"/>
    <s v="Australia"/>
    <x v="16"/>
    <x v="1"/>
    <n v="20"/>
    <s v=""/>
    <s v=""/>
    <s v=""/>
    <s v=""/>
    <n v="1"/>
    <s v=""/>
    <x v="2"/>
    <x v="0"/>
    <x v="298"/>
    <x v="0"/>
    <x v="0"/>
    <x v="0"/>
    <x v="0"/>
    <x v="0"/>
    <x v="0"/>
    <x v="0"/>
    <x v="0"/>
  </r>
  <r>
    <s v="ID1499"/>
    <d v="2012-05-30T22:11:21"/>
    <s v="15000 USD"/>
    <n v="15000"/>
    <s v="USD"/>
    <n v="15000"/>
    <s v="Manager"/>
    <x v="3"/>
    <s v="Romania"/>
    <x v="37"/>
    <x v="2"/>
    <n v="5"/>
    <s v=""/>
    <n v="1"/>
    <s v=""/>
    <s v=""/>
    <s v=""/>
    <s v=""/>
    <x v="1"/>
    <x v="0"/>
    <x v="1"/>
    <x v="0"/>
    <x v="0"/>
    <x v="0"/>
    <x v="0"/>
    <x v="72"/>
    <x v="0"/>
    <x v="0"/>
    <x v="0"/>
  </r>
  <r>
    <s v="ID1500"/>
    <d v="2012-05-30T22:31:33"/>
    <s v="33500 â‚¬"/>
    <n v="33500"/>
    <s v="EUR"/>
    <n v="42558.381206218859"/>
    <s v="Controller / VBA Developet"/>
    <x v="1"/>
    <s v="Germany"/>
    <x v="5"/>
    <x v="1"/>
    <n v="8"/>
    <s v=""/>
    <s v=""/>
    <n v="1"/>
    <s v=""/>
    <s v=""/>
    <s v=""/>
    <x v="3"/>
    <x v="0"/>
    <x v="1"/>
    <x v="0"/>
    <x v="48"/>
    <x v="0"/>
    <x v="0"/>
    <x v="0"/>
    <x v="0"/>
    <x v="0"/>
    <x v="0"/>
  </r>
  <r>
    <s v="ID1501"/>
    <d v="2012-05-30T22:31:35"/>
    <s v="61K"/>
    <n v="61000"/>
    <s v="USD"/>
    <n v="61000"/>
    <s v="Financial Analyst"/>
    <x v="0"/>
    <s v="USA"/>
    <x v="2"/>
    <x v="0"/>
    <n v="5"/>
    <s v=""/>
    <n v="1"/>
    <s v=""/>
    <s v=""/>
    <s v=""/>
    <s v=""/>
    <x v="1"/>
    <x v="0"/>
    <x v="91"/>
    <x v="0"/>
    <x v="0"/>
    <x v="0"/>
    <x v="0"/>
    <x v="0"/>
    <x v="0"/>
    <x v="0"/>
    <x v="0"/>
  </r>
  <r>
    <s v="ID1502"/>
    <d v="2012-05-30T22:32:21"/>
    <n v="66000"/>
    <n v="66000"/>
    <s v="USD"/>
    <n v="66000"/>
    <s v="Director of Business Analytics"/>
    <x v="0"/>
    <s v="USA"/>
    <x v="2"/>
    <x v="0"/>
    <n v="2"/>
    <n v="1"/>
    <s v=""/>
    <s v=""/>
    <s v=""/>
    <s v=""/>
    <s v=""/>
    <x v="4"/>
    <x v="0"/>
    <x v="34"/>
    <x v="0"/>
    <x v="0"/>
    <x v="0"/>
    <x v="0"/>
    <x v="0"/>
    <x v="0"/>
    <x v="0"/>
    <x v="0"/>
  </r>
  <r>
    <s v="ID1503"/>
    <d v="2012-05-30T22:59:44"/>
    <s v="278000 PA"/>
    <n v="278000"/>
    <s v="INR"/>
    <n v="4950.6008391090336"/>
    <s v="MIS Executive"/>
    <x v="7"/>
    <s v="India"/>
    <x v="0"/>
    <x v="1"/>
    <n v="8"/>
    <s v=""/>
    <s v=""/>
    <n v="1"/>
    <s v=""/>
    <s v=""/>
    <s v=""/>
    <x v="3"/>
    <x v="0"/>
    <x v="1"/>
    <x v="0"/>
    <x v="0"/>
    <x v="0"/>
    <x v="0"/>
    <x v="0"/>
    <x v="0"/>
    <x v="50"/>
    <x v="0"/>
  </r>
  <r>
    <s v="ID1504"/>
    <d v="2012-05-30T23:01:48"/>
    <n v="55000"/>
    <n v="55000"/>
    <s v="USD"/>
    <n v="55000"/>
    <s v="Supplier Manager"/>
    <x v="3"/>
    <s v="USA"/>
    <x v="2"/>
    <x v="2"/>
    <n v="14"/>
    <s v=""/>
    <s v=""/>
    <s v=""/>
    <n v="1"/>
    <s v=""/>
    <s v=""/>
    <x v="5"/>
    <x v="0"/>
    <x v="1"/>
    <x v="0"/>
    <x v="0"/>
    <x v="0"/>
    <x v="0"/>
    <x v="43"/>
    <x v="0"/>
    <x v="0"/>
    <x v="0"/>
  </r>
  <r>
    <s v="ID1505"/>
    <d v="2012-05-30T23:26:00"/>
    <n v="32000"/>
    <n v="32000"/>
    <s v="USD"/>
    <n v="32000"/>
    <s v="Reports Writer"/>
    <x v="7"/>
    <s v="USA"/>
    <x v="2"/>
    <x v="0"/>
    <n v="10"/>
    <s v=""/>
    <s v=""/>
    <n v="1"/>
    <s v=""/>
    <s v=""/>
    <s v=""/>
    <x v="3"/>
    <x v="0"/>
    <x v="1"/>
    <x v="0"/>
    <x v="0"/>
    <x v="0"/>
    <x v="0"/>
    <x v="0"/>
    <x v="0"/>
    <x v="51"/>
    <x v="0"/>
  </r>
  <r>
    <s v="ID1506"/>
    <d v="2012-05-30T23:29:58"/>
    <n v="18000"/>
    <n v="18000"/>
    <s v="USD"/>
    <n v="18000"/>
    <s v="Process Associate"/>
    <x v="0"/>
    <s v="India"/>
    <x v="0"/>
    <x v="1"/>
    <n v="6"/>
    <s v=""/>
    <s v=""/>
    <n v="1"/>
    <s v=""/>
    <s v=""/>
    <s v=""/>
    <x v="3"/>
    <x v="0"/>
    <x v="24"/>
    <x v="0"/>
    <x v="0"/>
    <x v="0"/>
    <x v="0"/>
    <x v="0"/>
    <x v="0"/>
    <x v="0"/>
    <x v="0"/>
  </r>
  <r>
    <s v="ID1507"/>
    <d v="2012-05-30T23:59:22"/>
    <s v="6.5 LAKHS"/>
    <n v="650000"/>
    <s v="INR"/>
    <n v="11575.14584683767"/>
    <s v="HR/ADMINISTRATION"/>
    <x v="0"/>
    <s v="India"/>
    <x v="0"/>
    <x v="0"/>
    <n v="21"/>
    <s v=""/>
    <s v=""/>
    <s v=""/>
    <s v=""/>
    <s v=""/>
    <n v="1"/>
    <x v="6"/>
    <x v="0"/>
    <x v="184"/>
    <x v="0"/>
    <x v="0"/>
    <x v="0"/>
    <x v="0"/>
    <x v="0"/>
    <x v="0"/>
    <x v="0"/>
    <x v="0"/>
  </r>
  <r>
    <s v="ID1508"/>
    <d v="2012-05-31T00:36:30"/>
    <n v="50000"/>
    <n v="50000"/>
    <s v="EUR"/>
    <n v="63519.971949580387"/>
    <s v="accountant"/>
    <x v="5"/>
    <s v="italy"/>
    <x v="62"/>
    <x v="1"/>
    <n v="15"/>
    <s v=""/>
    <s v=""/>
    <s v=""/>
    <n v="1"/>
    <s v=""/>
    <s v=""/>
    <x v="5"/>
    <x v="95"/>
    <x v="1"/>
    <x v="0"/>
    <x v="0"/>
    <x v="0"/>
    <x v="0"/>
    <x v="0"/>
    <x v="0"/>
    <x v="0"/>
    <x v="0"/>
  </r>
  <r>
    <s v="ID1509"/>
    <d v="2012-05-31T00:46:55"/>
    <s v="4.00 lac"/>
    <n v="4000000"/>
    <s v="INR"/>
    <n v="71231.666749770273"/>
    <s v="Operational Specialist"/>
    <x v="6"/>
    <s v="India"/>
    <x v="0"/>
    <x v="1"/>
    <n v="5"/>
    <s v=""/>
    <n v="1"/>
    <s v=""/>
    <s v=""/>
    <s v=""/>
    <s v=""/>
    <x v="1"/>
    <x v="0"/>
    <x v="1"/>
    <x v="0"/>
    <x v="0"/>
    <x v="0"/>
    <x v="0"/>
    <x v="0"/>
    <x v="0"/>
    <x v="0"/>
    <x v="38"/>
  </r>
  <r>
    <s v="ID1510"/>
    <d v="2012-05-31T01:09:06"/>
    <s v="US$ 10000"/>
    <n v="10000"/>
    <s v="USD"/>
    <n v="10000"/>
    <s v="Trainee"/>
    <x v="0"/>
    <s v="Brazil"/>
    <x v="20"/>
    <x v="0"/>
    <n v="1"/>
    <n v="1"/>
    <s v=""/>
    <s v=""/>
    <s v=""/>
    <s v=""/>
    <s v=""/>
    <x v="4"/>
    <x v="0"/>
    <x v="167"/>
    <x v="0"/>
    <x v="0"/>
    <x v="0"/>
    <x v="0"/>
    <x v="0"/>
    <x v="0"/>
    <x v="0"/>
    <x v="0"/>
  </r>
  <r>
    <s v="ID1511"/>
    <d v="2012-05-31T01:17:16"/>
    <n v="74300"/>
    <n v="74300"/>
    <s v="USD"/>
    <n v="74300"/>
    <s v="Senior Business Research Analyst"/>
    <x v="0"/>
    <s v="USA"/>
    <x v="2"/>
    <x v="0"/>
    <n v="3"/>
    <s v=""/>
    <n v="1"/>
    <s v=""/>
    <s v=""/>
    <s v=""/>
    <s v=""/>
    <x v="1"/>
    <x v="0"/>
    <x v="299"/>
    <x v="0"/>
    <x v="0"/>
    <x v="0"/>
    <x v="0"/>
    <x v="0"/>
    <x v="0"/>
    <x v="0"/>
    <x v="0"/>
  </r>
  <r>
    <s v="ID1512"/>
    <d v="2012-05-31T01:17:48"/>
    <n v="1500000"/>
    <n v="1500000"/>
    <s v="INR"/>
    <n v="26711.875031163851"/>
    <s v="Senior Consultant - PMO"/>
    <x v="8"/>
    <s v="India"/>
    <x v="0"/>
    <x v="0"/>
    <n v="10"/>
    <s v=""/>
    <s v=""/>
    <n v="1"/>
    <s v=""/>
    <s v=""/>
    <s v=""/>
    <x v="3"/>
    <x v="0"/>
    <x v="1"/>
    <x v="16"/>
    <x v="0"/>
    <x v="0"/>
    <x v="0"/>
    <x v="0"/>
    <x v="0"/>
    <x v="0"/>
    <x v="0"/>
  </r>
  <r>
    <s v="ID1513"/>
    <d v="2012-05-31T01:45:48"/>
    <s v="Rs 5,36,000"/>
    <n v="536000"/>
    <s v="INR"/>
    <n v="9545.0433444692171"/>
    <s v="Team Lead"/>
    <x v="3"/>
    <s v="India"/>
    <x v="0"/>
    <x v="0"/>
    <n v="4"/>
    <s v=""/>
    <n v="1"/>
    <s v=""/>
    <s v=""/>
    <s v=""/>
    <s v=""/>
    <x v="1"/>
    <x v="0"/>
    <x v="1"/>
    <x v="0"/>
    <x v="0"/>
    <x v="0"/>
    <x v="0"/>
    <x v="267"/>
    <x v="0"/>
    <x v="0"/>
    <x v="0"/>
  </r>
  <r>
    <s v="ID1514"/>
    <d v="2012-05-31T01:50:26"/>
    <n v="95000"/>
    <n v="95000"/>
    <s v="USD"/>
    <n v="95000"/>
    <s v="Sr Financial Analyst"/>
    <x v="0"/>
    <s v="USA"/>
    <x v="2"/>
    <x v="0"/>
    <n v="15"/>
    <s v=""/>
    <s v=""/>
    <s v=""/>
    <n v="1"/>
    <s v=""/>
    <s v=""/>
    <x v="5"/>
    <x v="0"/>
    <x v="95"/>
    <x v="0"/>
    <x v="0"/>
    <x v="0"/>
    <x v="0"/>
    <x v="0"/>
    <x v="0"/>
    <x v="0"/>
    <x v="0"/>
  </r>
  <r>
    <s v="ID1515"/>
    <d v="2012-05-31T02:24:37"/>
    <n v="64300"/>
    <n v="64300"/>
    <s v="USD"/>
    <n v="64300"/>
    <s v="Financial Analst"/>
    <x v="5"/>
    <s v="USA"/>
    <x v="2"/>
    <x v="0"/>
    <n v="15"/>
    <s v=""/>
    <s v=""/>
    <s v=""/>
    <n v="1"/>
    <s v=""/>
    <s v=""/>
    <x v="5"/>
    <x v="96"/>
    <x v="1"/>
    <x v="0"/>
    <x v="0"/>
    <x v="0"/>
    <x v="0"/>
    <x v="0"/>
    <x v="0"/>
    <x v="0"/>
    <x v="0"/>
  </r>
  <r>
    <s v="ID1516"/>
    <d v="2012-05-31T02:37:09"/>
    <n v="250000"/>
    <n v="250000"/>
    <s v="USD"/>
    <n v="250000"/>
    <s v="consultant"/>
    <x v="8"/>
    <s v="USA"/>
    <x v="2"/>
    <x v="1"/>
    <n v="20"/>
    <s v=""/>
    <s v=""/>
    <s v=""/>
    <s v=""/>
    <n v="1"/>
    <s v=""/>
    <x v="2"/>
    <x v="0"/>
    <x v="1"/>
    <x v="23"/>
    <x v="0"/>
    <x v="0"/>
    <x v="0"/>
    <x v="0"/>
    <x v="0"/>
    <x v="0"/>
    <x v="0"/>
  </r>
  <r>
    <s v="ID1519"/>
    <d v="2012-05-31T03:07:09"/>
    <n v="89000"/>
    <n v="89000"/>
    <s v="USD"/>
    <n v="89000"/>
    <s v="Finance Manager"/>
    <x v="3"/>
    <s v="USA"/>
    <x v="2"/>
    <x v="2"/>
    <n v="10"/>
    <s v=""/>
    <s v=""/>
    <n v="1"/>
    <s v=""/>
    <s v=""/>
    <s v=""/>
    <x v="3"/>
    <x v="0"/>
    <x v="1"/>
    <x v="0"/>
    <x v="0"/>
    <x v="0"/>
    <x v="0"/>
    <x v="87"/>
    <x v="0"/>
    <x v="0"/>
    <x v="0"/>
  </r>
  <r>
    <s v="ID1520"/>
    <d v="2012-05-31T04:12:19"/>
    <n v="75000"/>
    <n v="75000"/>
    <s v="USD"/>
    <n v="75000"/>
    <s v="Financial Analyst"/>
    <x v="0"/>
    <s v="USA"/>
    <x v="2"/>
    <x v="1"/>
    <n v="1.5"/>
    <n v="1"/>
    <s v=""/>
    <s v=""/>
    <s v=""/>
    <s v=""/>
    <s v=""/>
    <x v="4"/>
    <x v="0"/>
    <x v="29"/>
    <x v="0"/>
    <x v="0"/>
    <x v="0"/>
    <x v="0"/>
    <x v="0"/>
    <x v="0"/>
    <x v="0"/>
    <x v="0"/>
  </r>
  <r>
    <s v="ID1521"/>
    <d v="2012-05-31T05:02:59"/>
    <n v="45000"/>
    <n v="45000"/>
    <s v="USD"/>
    <n v="45000"/>
    <s v="Excel Business Analyst"/>
    <x v="0"/>
    <s v="USA"/>
    <x v="2"/>
    <x v="1"/>
    <n v="5"/>
    <s v=""/>
    <n v="1"/>
    <s v=""/>
    <s v=""/>
    <s v=""/>
    <s v=""/>
    <x v="1"/>
    <x v="0"/>
    <x v="42"/>
    <x v="0"/>
    <x v="0"/>
    <x v="0"/>
    <x v="0"/>
    <x v="0"/>
    <x v="0"/>
    <x v="0"/>
    <x v="0"/>
  </r>
  <r>
    <s v="ID1522"/>
    <d v="2012-05-31T05:23:58"/>
    <n v="127500"/>
    <n v="127500"/>
    <s v="USD"/>
    <n v="127500"/>
    <s v="SVP"/>
    <x v="4"/>
    <s v="USA"/>
    <x v="2"/>
    <x v="1"/>
    <n v="22"/>
    <s v=""/>
    <s v=""/>
    <s v=""/>
    <s v=""/>
    <s v=""/>
    <n v="1"/>
    <x v="6"/>
    <x v="0"/>
    <x v="1"/>
    <x v="0"/>
    <x v="0"/>
    <x v="41"/>
    <x v="0"/>
    <x v="0"/>
    <x v="0"/>
    <x v="0"/>
    <x v="0"/>
  </r>
  <r>
    <s v="ID1523"/>
    <d v="2012-05-31T05:31:54"/>
    <n v="170000"/>
    <n v="170000"/>
    <s v="USD"/>
    <n v="170000"/>
    <s v="CFO"/>
    <x v="4"/>
    <s v="USA"/>
    <x v="2"/>
    <x v="2"/>
    <n v="18"/>
    <s v=""/>
    <s v=""/>
    <s v=""/>
    <s v=""/>
    <n v="1"/>
    <s v=""/>
    <x v="2"/>
    <x v="0"/>
    <x v="1"/>
    <x v="0"/>
    <x v="0"/>
    <x v="42"/>
    <x v="0"/>
    <x v="0"/>
    <x v="0"/>
    <x v="0"/>
    <x v="0"/>
  </r>
  <r>
    <s v="ID1524"/>
    <d v="2012-05-31T05:37:29"/>
    <n v="800"/>
    <n v="9600"/>
    <s v="USD"/>
    <n v="9600"/>
    <s v="Reporting Analyst"/>
    <x v="0"/>
    <s v="Bolivia"/>
    <x v="89"/>
    <x v="1"/>
    <n v="2"/>
    <n v="1"/>
    <s v=""/>
    <s v=""/>
    <s v=""/>
    <s v=""/>
    <s v=""/>
    <x v="4"/>
    <x v="0"/>
    <x v="159"/>
    <x v="0"/>
    <x v="0"/>
    <x v="0"/>
    <x v="0"/>
    <x v="0"/>
    <x v="0"/>
    <x v="0"/>
    <x v="0"/>
  </r>
  <r>
    <s v="ID1525"/>
    <d v="2012-05-31T06:13:42"/>
    <n v="62000"/>
    <n v="62000"/>
    <s v="USD"/>
    <n v="62000"/>
    <s v="info analyst"/>
    <x v="0"/>
    <s v="USA"/>
    <x v="2"/>
    <x v="1"/>
    <n v="27"/>
    <s v=""/>
    <s v=""/>
    <s v=""/>
    <s v=""/>
    <s v=""/>
    <n v="1"/>
    <x v="6"/>
    <x v="0"/>
    <x v="14"/>
    <x v="0"/>
    <x v="0"/>
    <x v="0"/>
    <x v="0"/>
    <x v="0"/>
    <x v="0"/>
    <x v="0"/>
    <x v="0"/>
  </r>
  <r>
    <s v="ID1526"/>
    <d v="2012-05-31T06:23:09"/>
    <n v="22000"/>
    <n v="22000"/>
    <s v="USD"/>
    <n v="22000"/>
    <s v="Data Manager"/>
    <x v="3"/>
    <s v="USA"/>
    <x v="2"/>
    <x v="0"/>
    <n v="3"/>
    <s v=""/>
    <n v="1"/>
    <s v=""/>
    <s v=""/>
    <s v=""/>
    <s v=""/>
    <x v="1"/>
    <x v="0"/>
    <x v="1"/>
    <x v="0"/>
    <x v="0"/>
    <x v="0"/>
    <x v="0"/>
    <x v="80"/>
    <x v="0"/>
    <x v="0"/>
    <x v="0"/>
  </r>
  <r>
    <s v="ID1527"/>
    <d v="2012-05-31T06:23:55"/>
    <n v="45000"/>
    <n v="45000"/>
    <s v="USD"/>
    <n v="45000"/>
    <s v="Business Analyst"/>
    <x v="0"/>
    <s v="USA"/>
    <x v="2"/>
    <x v="0"/>
    <n v="8"/>
    <s v=""/>
    <s v=""/>
    <n v="1"/>
    <s v=""/>
    <s v=""/>
    <s v=""/>
    <x v="3"/>
    <x v="0"/>
    <x v="42"/>
    <x v="0"/>
    <x v="0"/>
    <x v="0"/>
    <x v="0"/>
    <x v="0"/>
    <x v="0"/>
    <x v="0"/>
    <x v="0"/>
  </r>
  <r>
    <s v="ID1528"/>
    <d v="2012-05-31T07:17:36"/>
    <n v="145000"/>
    <n v="145000"/>
    <s v="USD"/>
    <n v="145000"/>
    <s v="Associate"/>
    <x v="0"/>
    <s v="USA"/>
    <x v="2"/>
    <x v="0"/>
    <n v="6"/>
    <s v=""/>
    <s v=""/>
    <n v="1"/>
    <s v=""/>
    <s v=""/>
    <s v=""/>
    <x v="3"/>
    <x v="0"/>
    <x v="300"/>
    <x v="0"/>
    <x v="0"/>
    <x v="0"/>
    <x v="0"/>
    <x v="0"/>
    <x v="0"/>
    <x v="0"/>
    <x v="0"/>
  </r>
  <r>
    <s v="ID1529"/>
    <d v="2012-05-31T08:20:03"/>
    <n v="89000"/>
    <n v="89000"/>
    <s v="USD"/>
    <n v="89000"/>
    <s v="BI Analyst"/>
    <x v="0"/>
    <s v="USA"/>
    <x v="2"/>
    <x v="1"/>
    <n v="14"/>
    <s v=""/>
    <s v=""/>
    <s v=""/>
    <n v="1"/>
    <s v=""/>
    <s v=""/>
    <x v="5"/>
    <x v="0"/>
    <x v="301"/>
    <x v="0"/>
    <x v="0"/>
    <x v="0"/>
    <x v="0"/>
    <x v="0"/>
    <x v="0"/>
    <x v="0"/>
    <x v="0"/>
  </r>
  <r>
    <s v="ID1530"/>
    <d v="2012-05-31T09:28:05"/>
    <n v="38000"/>
    <n v="38000"/>
    <s v="USD"/>
    <n v="38000"/>
    <s v="Accountant"/>
    <x v="5"/>
    <s v="USA"/>
    <x v="2"/>
    <x v="0"/>
    <n v="11"/>
    <s v=""/>
    <s v=""/>
    <s v=""/>
    <n v="1"/>
    <s v=""/>
    <s v=""/>
    <x v="5"/>
    <x v="97"/>
    <x v="1"/>
    <x v="0"/>
    <x v="0"/>
    <x v="0"/>
    <x v="0"/>
    <x v="0"/>
    <x v="0"/>
    <x v="0"/>
    <x v="0"/>
  </r>
  <r>
    <s v="ID1531"/>
    <d v="2012-05-31T09:45:09"/>
    <n v="50000"/>
    <n v="50000"/>
    <s v="CAD"/>
    <n v="49168.076151516347"/>
    <s v="Business Analyst"/>
    <x v="0"/>
    <s v="Canada"/>
    <x v="17"/>
    <x v="0"/>
    <n v="3"/>
    <s v=""/>
    <n v="1"/>
    <s v=""/>
    <s v=""/>
    <s v=""/>
    <s v=""/>
    <x v="1"/>
    <x v="0"/>
    <x v="302"/>
    <x v="0"/>
    <x v="0"/>
    <x v="0"/>
    <x v="0"/>
    <x v="0"/>
    <x v="0"/>
    <x v="0"/>
    <x v="0"/>
  </r>
  <r>
    <s v="ID1532"/>
    <d v="2012-05-31T10:29:42"/>
    <n v="500000"/>
    <n v="500000"/>
    <s v="INR"/>
    <n v="8903.9583437212841"/>
    <s v="Developer"/>
    <x v="0"/>
    <s v="India"/>
    <x v="0"/>
    <x v="0"/>
    <n v="8"/>
    <s v=""/>
    <s v=""/>
    <n v="1"/>
    <s v=""/>
    <s v=""/>
    <s v=""/>
    <x v="3"/>
    <x v="0"/>
    <x v="51"/>
    <x v="0"/>
    <x v="0"/>
    <x v="0"/>
    <x v="0"/>
    <x v="0"/>
    <x v="0"/>
    <x v="0"/>
    <x v="0"/>
  </r>
  <r>
    <s v="ID1533"/>
    <d v="2012-05-31T10:33:07"/>
    <s v="10000 US$"/>
    <n v="10000"/>
    <s v="USD"/>
    <n v="10000"/>
    <s v="Project management"/>
    <x v="3"/>
    <s v="Vietnam"/>
    <x v="90"/>
    <x v="2"/>
    <n v="8"/>
    <s v=""/>
    <s v=""/>
    <n v="1"/>
    <s v=""/>
    <s v=""/>
    <s v=""/>
    <x v="3"/>
    <x v="0"/>
    <x v="1"/>
    <x v="0"/>
    <x v="0"/>
    <x v="0"/>
    <x v="0"/>
    <x v="130"/>
    <x v="0"/>
    <x v="0"/>
    <x v="0"/>
  </r>
  <r>
    <s v="ID1534"/>
    <d v="2012-05-31T10:37:38"/>
    <n v="105000"/>
    <n v="105000"/>
    <s v="USD"/>
    <n v="105000"/>
    <s v="Business Banker"/>
    <x v="3"/>
    <s v="USA"/>
    <x v="2"/>
    <x v="3"/>
    <n v="30"/>
    <s v=""/>
    <s v=""/>
    <s v=""/>
    <s v=""/>
    <s v=""/>
    <n v="1"/>
    <x v="6"/>
    <x v="0"/>
    <x v="1"/>
    <x v="0"/>
    <x v="0"/>
    <x v="0"/>
    <x v="0"/>
    <x v="268"/>
    <x v="0"/>
    <x v="0"/>
    <x v="0"/>
  </r>
  <r>
    <s v="ID1535"/>
    <d v="2012-05-31T10:54:48"/>
    <n v="1000"/>
    <n v="12000"/>
    <s v="USD"/>
    <n v="12000"/>
    <s v="Associate Analyst"/>
    <x v="0"/>
    <s v="MYS"/>
    <x v="91"/>
    <x v="2"/>
    <n v="0"/>
    <n v="1"/>
    <s v=""/>
    <s v=""/>
    <s v=""/>
    <s v=""/>
    <s v=""/>
    <x v="4"/>
    <x v="0"/>
    <x v="4"/>
    <x v="0"/>
    <x v="0"/>
    <x v="0"/>
    <x v="0"/>
    <x v="0"/>
    <x v="0"/>
    <x v="0"/>
    <x v="0"/>
  </r>
  <r>
    <s v="ID1536"/>
    <d v="2012-05-31T11:08:38"/>
    <s v="Rs. 200000/-"/>
    <n v="200000"/>
    <s v="INR"/>
    <n v="3561.5833374885137"/>
    <s v="Accounts Executive"/>
    <x v="5"/>
    <s v="India"/>
    <x v="0"/>
    <x v="1"/>
    <n v="3"/>
    <s v=""/>
    <n v="1"/>
    <s v=""/>
    <s v=""/>
    <s v=""/>
    <s v=""/>
    <x v="1"/>
    <x v="37"/>
    <x v="1"/>
    <x v="0"/>
    <x v="0"/>
    <x v="0"/>
    <x v="0"/>
    <x v="0"/>
    <x v="0"/>
    <x v="0"/>
    <x v="0"/>
  </r>
  <r>
    <s v="ID1537"/>
    <d v="2012-05-31T13:25:49"/>
    <s v="85,000 AUD"/>
    <n v="85000"/>
    <s v="AUD"/>
    <n v="86692.320794224041"/>
    <s v="Demand Planner"/>
    <x v="0"/>
    <s v="Australia"/>
    <x v="16"/>
    <x v="3"/>
    <n v="5"/>
    <s v=""/>
    <n v="1"/>
    <s v=""/>
    <s v=""/>
    <s v=""/>
    <s v=""/>
    <x v="1"/>
    <x v="0"/>
    <x v="127"/>
    <x v="0"/>
    <x v="0"/>
    <x v="0"/>
    <x v="0"/>
    <x v="0"/>
    <x v="0"/>
    <x v="0"/>
    <x v="0"/>
  </r>
  <r>
    <s v="ID1539"/>
    <d v="2012-05-31T16:00:16"/>
    <n v="8000"/>
    <n v="8000"/>
    <s v="USD"/>
    <n v="8000"/>
    <s v="Owner"/>
    <x v="4"/>
    <s v="India"/>
    <x v="0"/>
    <x v="0"/>
    <n v="18"/>
    <s v=""/>
    <s v=""/>
    <s v=""/>
    <s v=""/>
    <n v="1"/>
    <s v=""/>
    <x v="2"/>
    <x v="0"/>
    <x v="1"/>
    <x v="0"/>
    <x v="0"/>
    <x v="43"/>
    <x v="0"/>
    <x v="0"/>
    <x v="0"/>
    <x v="0"/>
    <x v="0"/>
  </r>
  <r>
    <s v="ID1540"/>
    <d v="2012-05-31T16:10:28"/>
    <s v="Rs. 380000"/>
    <n v="380000"/>
    <s v="INR"/>
    <n v="6767.0083412281756"/>
    <s v="reporting analyst"/>
    <x v="0"/>
    <s v="India"/>
    <x v="0"/>
    <x v="2"/>
    <n v="6"/>
    <s v=""/>
    <s v=""/>
    <n v="1"/>
    <s v=""/>
    <s v=""/>
    <s v=""/>
    <x v="3"/>
    <x v="0"/>
    <x v="303"/>
    <x v="0"/>
    <x v="0"/>
    <x v="0"/>
    <x v="0"/>
    <x v="0"/>
    <x v="0"/>
    <x v="0"/>
    <x v="0"/>
  </r>
  <r>
    <s v="ID1541"/>
    <d v="2012-05-31T16:16:11"/>
    <s v="Â£30500"/>
    <n v="30500"/>
    <s v="GBP"/>
    <n v="48073.437298052166"/>
    <s v="Construction Estimator"/>
    <x v="8"/>
    <s v="UK"/>
    <x v="14"/>
    <x v="0"/>
    <n v="14"/>
    <s v=""/>
    <s v=""/>
    <s v=""/>
    <n v="1"/>
    <s v=""/>
    <s v=""/>
    <x v="5"/>
    <x v="0"/>
    <x v="1"/>
    <x v="64"/>
    <x v="0"/>
    <x v="0"/>
    <x v="0"/>
    <x v="0"/>
    <x v="0"/>
    <x v="0"/>
    <x v="0"/>
  </r>
  <r>
    <s v="ID1542"/>
    <d v="2012-05-31T16:25:23"/>
    <s v="60K â‚¬"/>
    <n v="60000"/>
    <s v="EUR"/>
    <n v="76223.966339496474"/>
    <s v="Trade Marketing"/>
    <x v="3"/>
    <s v="NL"/>
    <x v="18"/>
    <x v="2"/>
    <n v="15"/>
    <s v=""/>
    <s v=""/>
    <s v=""/>
    <n v="1"/>
    <s v=""/>
    <s v=""/>
    <x v="5"/>
    <x v="0"/>
    <x v="1"/>
    <x v="0"/>
    <x v="0"/>
    <x v="0"/>
    <x v="0"/>
    <x v="221"/>
    <x v="0"/>
    <x v="0"/>
    <x v="0"/>
  </r>
  <r>
    <s v="ID1543"/>
    <d v="2012-05-31T16:25:24"/>
    <n v="320000"/>
    <n v="320000"/>
    <s v="SAR"/>
    <n v="85333.333333333328"/>
    <s v="Merchandise Planning Manager"/>
    <x v="3"/>
    <s v="Saudi Arabia"/>
    <x v="22"/>
    <x v="2"/>
    <n v="15"/>
    <s v=""/>
    <s v=""/>
    <s v=""/>
    <n v="1"/>
    <s v=""/>
    <s v=""/>
    <x v="5"/>
    <x v="0"/>
    <x v="1"/>
    <x v="0"/>
    <x v="0"/>
    <x v="0"/>
    <x v="0"/>
    <x v="269"/>
    <x v="0"/>
    <x v="0"/>
    <x v="0"/>
  </r>
  <r>
    <s v="ID1544"/>
    <d v="2012-05-31T16:30:09"/>
    <n v="48360"/>
    <n v="48360"/>
    <s v="GBP"/>
    <n v="76223.981237173866"/>
    <s v="pricing manager"/>
    <x v="3"/>
    <s v="UK"/>
    <x v="14"/>
    <x v="1"/>
    <n v="8"/>
    <s v=""/>
    <s v=""/>
    <n v="1"/>
    <s v=""/>
    <s v=""/>
    <s v=""/>
    <x v="3"/>
    <x v="0"/>
    <x v="1"/>
    <x v="0"/>
    <x v="0"/>
    <x v="0"/>
    <x v="0"/>
    <x v="270"/>
    <x v="0"/>
    <x v="0"/>
    <x v="0"/>
  </r>
  <r>
    <s v="ID1545"/>
    <d v="2012-05-31T17:08:59"/>
    <n v="30000"/>
    <n v="30000"/>
    <s v="USD"/>
    <n v="30000"/>
    <s v="Marketing Services Manager"/>
    <x v="3"/>
    <s v="Pakistan"/>
    <x v="3"/>
    <x v="0"/>
    <n v="5"/>
    <s v=""/>
    <n v="1"/>
    <s v=""/>
    <s v=""/>
    <s v=""/>
    <s v=""/>
    <x v="1"/>
    <x v="0"/>
    <x v="1"/>
    <x v="0"/>
    <x v="0"/>
    <x v="0"/>
    <x v="0"/>
    <x v="99"/>
    <x v="0"/>
    <x v="0"/>
    <x v="0"/>
  </r>
  <r>
    <s v="ID1546"/>
    <d v="2012-05-31T17:21:45"/>
    <n v="34000"/>
    <n v="34000"/>
    <s v="USD"/>
    <n v="34000"/>
    <s v="Sr Analyst"/>
    <x v="0"/>
    <s v="India"/>
    <x v="0"/>
    <x v="1"/>
    <n v="4"/>
    <s v=""/>
    <n v="1"/>
    <s v=""/>
    <s v=""/>
    <s v=""/>
    <s v=""/>
    <x v="1"/>
    <x v="0"/>
    <x v="107"/>
    <x v="0"/>
    <x v="0"/>
    <x v="0"/>
    <x v="0"/>
    <x v="0"/>
    <x v="0"/>
    <x v="0"/>
    <x v="0"/>
  </r>
  <r>
    <s v="ID1547"/>
    <d v="2012-05-31T17:34:34"/>
    <s v="Rs. 180000"/>
    <n v="180000"/>
    <s v="INR"/>
    <n v="3205.4250037396623"/>
    <s v="Asst Store 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75"/>
    <x v="0"/>
    <x v="0"/>
    <x v="0"/>
  </r>
  <r>
    <s v="ID1548"/>
    <d v="2012-05-31T17:35:33"/>
    <s v="45.000 USD"/>
    <n v="45000"/>
    <s v="USD"/>
    <n v="45000"/>
    <s v="Junior Reporting Manager"/>
    <x v="3"/>
    <s v="Germany"/>
    <x v="5"/>
    <x v="2"/>
    <n v="5"/>
    <s v=""/>
    <n v="1"/>
    <s v=""/>
    <s v=""/>
    <s v=""/>
    <s v=""/>
    <x v="1"/>
    <x v="0"/>
    <x v="1"/>
    <x v="0"/>
    <x v="0"/>
    <x v="0"/>
    <x v="0"/>
    <x v="161"/>
    <x v="0"/>
    <x v="0"/>
    <x v="0"/>
  </r>
  <r>
    <s v="ID1549"/>
    <d v="2012-05-31T18:35:30"/>
    <n v="24864"/>
    <n v="24864"/>
    <s v="USD"/>
    <n v="24864"/>
    <s v="Brand manager"/>
    <x v="3"/>
    <s v="Libya"/>
    <x v="92"/>
    <x v="1"/>
    <n v="8"/>
    <s v=""/>
    <s v=""/>
    <n v="1"/>
    <s v=""/>
    <s v=""/>
    <s v=""/>
    <x v="3"/>
    <x v="0"/>
    <x v="1"/>
    <x v="0"/>
    <x v="0"/>
    <x v="0"/>
    <x v="0"/>
    <x v="271"/>
    <x v="0"/>
    <x v="0"/>
    <x v="0"/>
  </r>
  <r>
    <s v="ID1550"/>
    <d v="2012-05-31T19:51:29"/>
    <s v="Â£30000"/>
    <n v="30000"/>
    <s v="GBP"/>
    <n v="47285.348162018527"/>
    <s v="Cost Analyst"/>
    <x v="0"/>
    <s v="UK"/>
    <x v="14"/>
    <x v="0"/>
    <n v="7"/>
    <s v=""/>
    <s v=""/>
    <n v="1"/>
    <s v=""/>
    <s v=""/>
    <s v=""/>
    <x v="3"/>
    <x v="0"/>
    <x v="62"/>
    <x v="0"/>
    <x v="0"/>
    <x v="0"/>
    <x v="0"/>
    <x v="0"/>
    <x v="0"/>
    <x v="0"/>
    <x v="0"/>
  </r>
  <r>
    <s v="ID1551"/>
    <d v="2012-05-31T20:13:27"/>
    <n v="1000000"/>
    <n v="1000000"/>
    <s v="INR"/>
    <n v="17807.916687442568"/>
    <s v="Financial analyst"/>
    <x v="0"/>
    <s v="India"/>
    <x v="0"/>
    <x v="1"/>
    <n v="10"/>
    <s v=""/>
    <s v=""/>
    <n v="1"/>
    <s v=""/>
    <s v=""/>
    <s v=""/>
    <x v="3"/>
    <x v="0"/>
    <x v="161"/>
    <x v="0"/>
    <x v="0"/>
    <x v="0"/>
    <x v="0"/>
    <x v="0"/>
    <x v="0"/>
    <x v="0"/>
    <x v="0"/>
  </r>
  <r>
    <s v="ID1552"/>
    <d v="2012-05-31T20:14:20"/>
    <s v="Â£35000"/>
    <n v="35000"/>
    <s v="GBP"/>
    <n v="55166.239522354947"/>
    <s v="Research Analyst"/>
    <x v="0"/>
    <s v="UK"/>
    <x v="14"/>
    <x v="0"/>
    <n v="3"/>
    <s v=""/>
    <n v="1"/>
    <s v=""/>
    <s v=""/>
    <s v=""/>
    <s v=""/>
    <x v="1"/>
    <x v="0"/>
    <x v="9"/>
    <x v="0"/>
    <x v="0"/>
    <x v="0"/>
    <x v="0"/>
    <x v="0"/>
    <x v="0"/>
    <x v="0"/>
    <x v="0"/>
  </r>
  <r>
    <s v="ID1553"/>
    <d v="2012-05-31T21:05:02"/>
    <s v="55000 EUR"/>
    <n v="55000"/>
    <s v="EUR"/>
    <n v="69871.969144538423"/>
    <s v="Risk Officer"/>
    <x v="3"/>
    <s v="The Netherlands"/>
    <x v="18"/>
    <x v="3"/>
    <n v="5"/>
    <s v=""/>
    <n v="1"/>
    <s v=""/>
    <s v=""/>
    <s v=""/>
    <s v=""/>
    <x v="1"/>
    <x v="0"/>
    <x v="1"/>
    <x v="0"/>
    <x v="0"/>
    <x v="0"/>
    <x v="0"/>
    <x v="272"/>
    <x v="0"/>
    <x v="0"/>
    <x v="0"/>
  </r>
  <r>
    <s v="ID1554"/>
    <d v="2012-05-31T21:06:45"/>
    <n v="70970"/>
    <n v="70970"/>
    <s v="USD"/>
    <n v="70970"/>
    <s v="Sr. Risk Analyst"/>
    <x v="0"/>
    <s v="USA"/>
    <x v="2"/>
    <x v="0"/>
    <n v="17"/>
    <s v=""/>
    <s v=""/>
    <s v=""/>
    <s v=""/>
    <n v="1"/>
    <s v=""/>
    <x v="2"/>
    <x v="0"/>
    <x v="304"/>
    <x v="0"/>
    <x v="0"/>
    <x v="0"/>
    <x v="0"/>
    <x v="0"/>
    <x v="0"/>
    <x v="0"/>
    <x v="0"/>
  </r>
  <r>
    <s v="ID1555"/>
    <d v="2012-05-31T21:45:03"/>
    <s v="60000 EUR"/>
    <n v="60000"/>
    <s v="EUR"/>
    <n v="76223.966339496474"/>
    <s v="Business Engineer"/>
    <x v="2"/>
    <s v="Netherlands"/>
    <x v="18"/>
    <x v="0"/>
    <n v="7"/>
    <s v=""/>
    <s v=""/>
    <n v="1"/>
    <s v=""/>
    <s v=""/>
    <s v=""/>
    <x v="3"/>
    <x v="0"/>
    <x v="1"/>
    <x v="0"/>
    <x v="0"/>
    <x v="0"/>
    <x v="51"/>
    <x v="0"/>
    <x v="0"/>
    <x v="0"/>
    <x v="0"/>
  </r>
  <r>
    <s v="ID1556"/>
    <d v="2012-05-31T21:47:37"/>
    <n v="110000"/>
    <n v="110000"/>
    <s v="USD"/>
    <n v="110000"/>
    <s v="Business Controller"/>
    <x v="1"/>
    <s v="Norway"/>
    <x v="46"/>
    <x v="1"/>
    <n v="5"/>
    <s v=""/>
    <n v="1"/>
    <s v=""/>
    <s v=""/>
    <s v=""/>
    <s v=""/>
    <x v="1"/>
    <x v="0"/>
    <x v="1"/>
    <x v="0"/>
    <x v="49"/>
    <x v="0"/>
    <x v="0"/>
    <x v="0"/>
    <x v="0"/>
    <x v="0"/>
    <x v="0"/>
  </r>
  <r>
    <s v="ID1557"/>
    <d v="2012-05-31T21:48:35"/>
    <n v="1200"/>
    <n v="14400"/>
    <s v="USD"/>
    <n v="14400"/>
    <s v="FA /financial Analyst"/>
    <x v="0"/>
    <s v="Bulgaria"/>
    <x v="93"/>
    <x v="1"/>
    <n v="15"/>
    <s v=""/>
    <s v=""/>
    <s v=""/>
    <n v="1"/>
    <s v=""/>
    <s v=""/>
    <x v="5"/>
    <x v="0"/>
    <x v="305"/>
    <x v="0"/>
    <x v="0"/>
    <x v="0"/>
    <x v="0"/>
    <x v="0"/>
    <x v="0"/>
    <x v="0"/>
    <x v="0"/>
  </r>
  <r>
    <s v="ID1558"/>
    <d v="2012-05-31T22:05:03"/>
    <n v="125000"/>
    <n v="125000"/>
    <s v="USD"/>
    <n v="125000"/>
    <s v="Consultant"/>
    <x v="8"/>
    <s v="USA"/>
    <x v="2"/>
    <x v="1"/>
    <n v="8"/>
    <s v=""/>
    <s v=""/>
    <n v="1"/>
    <s v=""/>
    <s v=""/>
    <s v=""/>
    <x v="3"/>
    <x v="0"/>
    <x v="1"/>
    <x v="65"/>
    <x v="0"/>
    <x v="0"/>
    <x v="0"/>
    <x v="0"/>
    <x v="0"/>
    <x v="0"/>
    <x v="0"/>
  </r>
  <r>
    <s v="ID1559"/>
    <d v="2012-05-31T22:06:59"/>
    <n v="74000"/>
    <n v="74000"/>
    <s v="CAD"/>
    <n v="72768.752704244194"/>
    <s v="Operations Analyst"/>
    <x v="0"/>
    <s v="Canada"/>
    <x v="17"/>
    <x v="0"/>
    <n v="10"/>
    <s v=""/>
    <s v=""/>
    <n v="1"/>
    <s v=""/>
    <s v=""/>
    <s v=""/>
    <x v="3"/>
    <x v="0"/>
    <x v="306"/>
    <x v="0"/>
    <x v="0"/>
    <x v="0"/>
    <x v="0"/>
    <x v="0"/>
    <x v="0"/>
    <x v="0"/>
    <x v="0"/>
  </r>
  <r>
    <s v="ID1560"/>
    <d v="2012-05-31T22:56:21"/>
    <s v="$59,000 USD"/>
    <n v="59000"/>
    <s v="USD"/>
    <n v="59000"/>
    <s v="Operations Manager"/>
    <x v="3"/>
    <s v="USA"/>
    <x v="2"/>
    <x v="0"/>
    <n v="15"/>
    <s v=""/>
    <s v=""/>
    <s v=""/>
    <n v="1"/>
    <s v=""/>
    <s v=""/>
    <x v="5"/>
    <x v="0"/>
    <x v="1"/>
    <x v="0"/>
    <x v="0"/>
    <x v="0"/>
    <x v="0"/>
    <x v="273"/>
    <x v="0"/>
    <x v="0"/>
    <x v="0"/>
  </r>
  <r>
    <s v="ID1561"/>
    <d v="2012-05-31T23:08:12"/>
    <n v="71500"/>
    <n v="71500"/>
    <s v="USD"/>
    <n v="71500"/>
    <s v="Management Reporting Analyst"/>
    <x v="0"/>
    <s v="USA"/>
    <x v="2"/>
    <x v="0"/>
    <n v="5"/>
    <s v=""/>
    <n v="1"/>
    <s v=""/>
    <s v=""/>
    <s v=""/>
    <s v=""/>
    <x v="1"/>
    <x v="0"/>
    <x v="307"/>
    <x v="0"/>
    <x v="0"/>
    <x v="0"/>
    <x v="0"/>
    <x v="0"/>
    <x v="0"/>
    <x v="0"/>
    <x v="0"/>
  </r>
  <r>
    <s v="ID1562"/>
    <d v="2012-05-31T23:09:08"/>
    <s v="Â£25000"/>
    <n v="25000"/>
    <s v="GBP"/>
    <n v="39404.456801682099"/>
    <s v="Reporting Team Lead"/>
    <x v="7"/>
    <s v="UK"/>
    <x v="14"/>
    <x v="0"/>
    <n v="2"/>
    <n v="1"/>
    <s v=""/>
    <s v=""/>
    <s v=""/>
    <s v=""/>
    <s v=""/>
    <x v="4"/>
    <x v="0"/>
    <x v="1"/>
    <x v="0"/>
    <x v="0"/>
    <x v="0"/>
    <x v="0"/>
    <x v="0"/>
    <x v="0"/>
    <x v="52"/>
    <x v="0"/>
  </r>
  <r>
    <s v="ID1563"/>
    <d v="2012-05-31T23:10:44"/>
    <s v="70000 â‚¬"/>
    <n v="70000"/>
    <s v="EUR"/>
    <n v="88927.960729412545"/>
    <s v="Specialist Learning Technology"/>
    <x v="6"/>
    <s v="Germany"/>
    <x v="5"/>
    <x v="3"/>
    <n v="5"/>
    <s v=""/>
    <n v="1"/>
    <s v=""/>
    <s v=""/>
    <s v=""/>
    <s v=""/>
    <x v="1"/>
    <x v="0"/>
    <x v="1"/>
    <x v="0"/>
    <x v="0"/>
    <x v="0"/>
    <x v="0"/>
    <x v="0"/>
    <x v="0"/>
    <x v="0"/>
    <x v="39"/>
  </r>
  <r>
    <s v="ID1564"/>
    <d v="2012-05-31T23:48:36"/>
    <s v="USD90,000"/>
    <n v="90000"/>
    <s v="USD"/>
    <n v="90000"/>
    <s v="Operationsl Regional Manager"/>
    <x v="3"/>
    <s v="USA"/>
    <x v="2"/>
    <x v="0"/>
    <n v="25"/>
    <s v=""/>
    <s v=""/>
    <s v=""/>
    <s v=""/>
    <s v=""/>
    <n v="1"/>
    <x v="6"/>
    <x v="0"/>
    <x v="1"/>
    <x v="0"/>
    <x v="0"/>
    <x v="0"/>
    <x v="0"/>
    <x v="52"/>
    <x v="0"/>
    <x v="0"/>
    <x v="0"/>
  </r>
  <r>
    <s v="ID1565"/>
    <d v="2012-06-01T00:02:34"/>
    <s v="Rs. 700000"/>
    <n v="700000"/>
    <s v="INR"/>
    <n v="12465.541681209797"/>
    <s v="Manager - Business Development"/>
    <x v="3"/>
    <s v="India"/>
    <x v="0"/>
    <x v="1"/>
    <n v="30"/>
    <s v=""/>
    <s v=""/>
    <s v=""/>
    <s v=""/>
    <s v=""/>
    <n v="1"/>
    <x v="6"/>
    <x v="0"/>
    <x v="1"/>
    <x v="0"/>
    <x v="0"/>
    <x v="0"/>
    <x v="0"/>
    <x v="182"/>
    <x v="0"/>
    <x v="0"/>
    <x v="0"/>
  </r>
  <r>
    <s v="ID1566"/>
    <d v="2012-06-01T00:18:35"/>
    <s v="$40,000 USD"/>
    <n v="40000"/>
    <s v="USD"/>
    <n v="40000"/>
    <s v="QA Data Analyst"/>
    <x v="0"/>
    <s v="USA"/>
    <x v="2"/>
    <x v="0"/>
    <n v="8"/>
    <s v=""/>
    <s v=""/>
    <n v="1"/>
    <s v=""/>
    <s v=""/>
    <s v=""/>
    <x v="3"/>
    <x v="0"/>
    <x v="27"/>
    <x v="0"/>
    <x v="0"/>
    <x v="0"/>
    <x v="0"/>
    <x v="0"/>
    <x v="0"/>
    <x v="0"/>
    <x v="0"/>
  </r>
  <r>
    <s v="ID1567"/>
    <d v="2012-06-01T00:23:54"/>
    <n v="30000"/>
    <n v="30000"/>
    <s v="USD"/>
    <n v="30000"/>
    <s v="SME"/>
    <x v="0"/>
    <s v="India"/>
    <x v="0"/>
    <x v="1"/>
    <n v="4"/>
    <s v=""/>
    <n v="1"/>
    <s v=""/>
    <s v=""/>
    <s v=""/>
    <s v=""/>
    <x v="1"/>
    <x v="0"/>
    <x v="117"/>
    <x v="0"/>
    <x v="0"/>
    <x v="0"/>
    <x v="0"/>
    <x v="0"/>
    <x v="0"/>
    <x v="0"/>
    <x v="0"/>
  </r>
  <r>
    <s v="ID1569"/>
    <d v="2012-06-01T01:29:02"/>
    <n v="46325"/>
    <n v="46325"/>
    <s v="USD"/>
    <n v="46325"/>
    <s v="Work Force Scheduler for Call Center"/>
    <x v="1"/>
    <s v="USA"/>
    <x v="2"/>
    <x v="0"/>
    <n v="1"/>
    <n v="1"/>
    <s v=""/>
    <s v=""/>
    <s v=""/>
    <s v=""/>
    <s v=""/>
    <x v="4"/>
    <x v="0"/>
    <x v="1"/>
    <x v="0"/>
    <x v="50"/>
    <x v="0"/>
    <x v="0"/>
    <x v="0"/>
    <x v="0"/>
    <x v="0"/>
    <x v="0"/>
  </r>
  <r>
    <s v="ID1570"/>
    <d v="2012-06-01T01:47:43"/>
    <n v="15000"/>
    <n v="15000"/>
    <s v="USD"/>
    <n v="15000"/>
    <s v="Application Developer"/>
    <x v="0"/>
    <s v="USA"/>
    <x v="2"/>
    <x v="1"/>
    <n v="8"/>
    <s v=""/>
    <s v=""/>
    <n v="1"/>
    <s v=""/>
    <s v=""/>
    <s v=""/>
    <x v="3"/>
    <x v="0"/>
    <x v="151"/>
    <x v="0"/>
    <x v="0"/>
    <x v="0"/>
    <x v="0"/>
    <x v="0"/>
    <x v="0"/>
    <x v="0"/>
    <x v="0"/>
  </r>
  <r>
    <s v="ID1571"/>
    <d v="2012-06-01T02:33:02"/>
    <n v="31200"/>
    <n v="31200"/>
    <s v="USD"/>
    <n v="31200"/>
    <s v="Data Analyst"/>
    <x v="0"/>
    <s v="USA"/>
    <x v="2"/>
    <x v="0"/>
    <n v="15"/>
    <s v=""/>
    <s v=""/>
    <s v=""/>
    <n v="1"/>
    <s v=""/>
    <s v=""/>
    <x v="5"/>
    <x v="0"/>
    <x v="308"/>
    <x v="0"/>
    <x v="0"/>
    <x v="0"/>
    <x v="0"/>
    <x v="0"/>
    <x v="0"/>
    <x v="0"/>
    <x v="0"/>
  </r>
  <r>
    <s v="ID1572"/>
    <d v="2012-06-01T02:46:21"/>
    <s v="Rs. 500000"/>
    <n v="500000"/>
    <s v="INR"/>
    <n v="8903.9583437212841"/>
    <s v="Sr. Associate"/>
    <x v="0"/>
    <s v="India"/>
    <x v="0"/>
    <x v="0"/>
    <n v="9"/>
    <s v=""/>
    <s v=""/>
    <n v="1"/>
    <s v=""/>
    <s v=""/>
    <s v=""/>
    <x v="3"/>
    <x v="0"/>
    <x v="51"/>
    <x v="0"/>
    <x v="0"/>
    <x v="0"/>
    <x v="0"/>
    <x v="0"/>
    <x v="0"/>
    <x v="0"/>
    <x v="0"/>
  </r>
  <r>
    <s v="ID1573"/>
    <d v="2012-06-01T03:01:04"/>
    <n v="1320"/>
    <n v="15840"/>
    <s v="USD"/>
    <n v="15840"/>
    <s v="Asistente"/>
    <x v="0"/>
    <s v="Peru"/>
    <x v="94"/>
    <x v="1"/>
    <n v="8"/>
    <s v=""/>
    <s v=""/>
    <n v="1"/>
    <s v=""/>
    <s v=""/>
    <s v=""/>
    <x v="3"/>
    <x v="0"/>
    <x v="309"/>
    <x v="0"/>
    <x v="0"/>
    <x v="0"/>
    <x v="0"/>
    <x v="0"/>
    <x v="0"/>
    <x v="0"/>
    <x v="0"/>
  </r>
  <r>
    <s v="ID1574"/>
    <d v="2012-06-01T03:07:31"/>
    <s v="INR 850000"/>
    <n v="850000"/>
    <s v="INR"/>
    <n v="15136.729184326183"/>
    <s v="Sr Business analyst"/>
    <x v="0"/>
    <s v="India"/>
    <x v="0"/>
    <x v="0"/>
    <n v="5"/>
    <s v=""/>
    <n v="1"/>
    <s v=""/>
    <s v=""/>
    <s v=""/>
    <s v=""/>
    <x v="1"/>
    <x v="0"/>
    <x v="141"/>
    <x v="0"/>
    <x v="0"/>
    <x v="0"/>
    <x v="0"/>
    <x v="0"/>
    <x v="0"/>
    <x v="0"/>
    <x v="0"/>
  </r>
  <r>
    <s v="ID1575"/>
    <d v="2012-06-01T04:10:52"/>
    <n v="41000"/>
    <n v="41000"/>
    <s v="USD"/>
    <n v="41000"/>
    <s v="Excel Developer"/>
    <x v="8"/>
    <s v="USA"/>
    <x v="2"/>
    <x v="0"/>
    <n v="10"/>
    <s v=""/>
    <s v=""/>
    <n v="1"/>
    <s v=""/>
    <s v=""/>
    <s v=""/>
    <x v="3"/>
    <x v="0"/>
    <x v="1"/>
    <x v="66"/>
    <x v="0"/>
    <x v="0"/>
    <x v="0"/>
    <x v="0"/>
    <x v="0"/>
    <x v="0"/>
    <x v="0"/>
  </r>
  <r>
    <s v="ID1576"/>
    <d v="2012-06-01T04:44:29"/>
    <n v="11000"/>
    <n v="11000"/>
    <s v="USD"/>
    <n v="11000"/>
    <s v="Coordinator"/>
    <x v="3"/>
    <s v="MÃ©xico"/>
    <x v="25"/>
    <x v="0"/>
    <n v="2"/>
    <n v="1"/>
    <s v=""/>
    <s v=""/>
    <s v=""/>
    <s v=""/>
    <s v=""/>
    <x v="4"/>
    <x v="0"/>
    <x v="1"/>
    <x v="0"/>
    <x v="0"/>
    <x v="0"/>
    <x v="0"/>
    <x v="159"/>
    <x v="0"/>
    <x v="0"/>
    <x v="0"/>
  </r>
  <r>
    <s v="ID1577"/>
    <d v="2012-06-01T05:32:31"/>
    <s v="35000 GBP"/>
    <n v="35000"/>
    <s v="GBP"/>
    <n v="55166.239522354947"/>
    <s v="finance director"/>
    <x v="4"/>
    <s v="UK"/>
    <x v="14"/>
    <x v="2"/>
    <n v="30"/>
    <s v=""/>
    <s v=""/>
    <s v=""/>
    <s v=""/>
    <s v=""/>
    <n v="1"/>
    <x v="6"/>
    <x v="0"/>
    <x v="1"/>
    <x v="0"/>
    <x v="0"/>
    <x v="37"/>
    <x v="0"/>
    <x v="0"/>
    <x v="0"/>
    <x v="0"/>
    <x v="0"/>
  </r>
  <r>
    <s v="ID1578"/>
    <d v="2012-06-01T05:37:32"/>
    <n v="240000"/>
    <n v="240000"/>
    <s v="PHP"/>
    <n v="5689.2125418690484"/>
    <s v="IT Coordinator"/>
    <x v="3"/>
    <s v="Philippines"/>
    <x v="32"/>
    <x v="0"/>
    <n v="15"/>
    <s v=""/>
    <s v=""/>
    <s v=""/>
    <n v="1"/>
    <s v=""/>
    <s v=""/>
    <x v="5"/>
    <x v="0"/>
    <x v="1"/>
    <x v="0"/>
    <x v="0"/>
    <x v="0"/>
    <x v="0"/>
    <x v="274"/>
    <x v="0"/>
    <x v="0"/>
    <x v="0"/>
  </r>
  <r>
    <s v="ID1579"/>
    <d v="2012-06-01T05:52:11"/>
    <n v="17728.57"/>
    <n v="17728"/>
    <s v="USD"/>
    <n v="17728"/>
    <s v="Financial analyst"/>
    <x v="0"/>
    <s v="Mexico"/>
    <x v="25"/>
    <x v="0"/>
    <n v="3"/>
    <s v=""/>
    <n v="1"/>
    <s v=""/>
    <s v=""/>
    <s v=""/>
    <s v=""/>
    <x v="1"/>
    <x v="0"/>
    <x v="310"/>
    <x v="0"/>
    <x v="0"/>
    <x v="0"/>
    <x v="0"/>
    <x v="0"/>
    <x v="0"/>
    <x v="0"/>
    <x v="0"/>
  </r>
  <r>
    <s v="ID1580"/>
    <d v="2012-06-01T05:56:20"/>
    <s v="120000 MAD"/>
    <n v="120000"/>
    <s v="MAD"/>
    <n v="13745.704467353951"/>
    <s v="Supply chain Controller"/>
    <x v="1"/>
    <s v="Morocco"/>
    <x v="95"/>
    <x v="1"/>
    <n v="8"/>
    <s v=""/>
    <s v=""/>
    <n v="1"/>
    <s v=""/>
    <s v=""/>
    <s v=""/>
    <x v="3"/>
    <x v="0"/>
    <x v="1"/>
    <x v="0"/>
    <x v="51"/>
    <x v="0"/>
    <x v="0"/>
    <x v="0"/>
    <x v="0"/>
    <x v="0"/>
    <x v="0"/>
  </r>
  <r>
    <s v="ID1581"/>
    <d v="2012-06-01T06:17:19"/>
    <n v="50000"/>
    <n v="50000"/>
    <s v="USD"/>
    <n v="50000"/>
    <s v="Staff Accountant"/>
    <x v="5"/>
    <s v="USA"/>
    <x v="2"/>
    <x v="0"/>
    <n v="15"/>
    <s v=""/>
    <s v=""/>
    <s v=""/>
    <n v="1"/>
    <s v=""/>
    <s v=""/>
    <x v="5"/>
    <x v="91"/>
    <x v="1"/>
    <x v="0"/>
    <x v="0"/>
    <x v="0"/>
    <x v="0"/>
    <x v="0"/>
    <x v="0"/>
    <x v="0"/>
    <x v="0"/>
  </r>
  <r>
    <s v="ID1582"/>
    <d v="2012-06-01T06:31:49"/>
    <n v="80000"/>
    <n v="80000"/>
    <s v="CAD"/>
    <n v="78668.921842426149"/>
    <s v="Business Operations Analyst"/>
    <x v="0"/>
    <s v="Canada"/>
    <x v="17"/>
    <x v="0"/>
    <n v="7"/>
    <s v=""/>
    <s v=""/>
    <n v="1"/>
    <s v=""/>
    <s v=""/>
    <s v=""/>
    <x v="3"/>
    <x v="0"/>
    <x v="102"/>
    <x v="0"/>
    <x v="0"/>
    <x v="0"/>
    <x v="0"/>
    <x v="0"/>
    <x v="0"/>
    <x v="0"/>
    <x v="0"/>
  </r>
  <r>
    <s v="ID1583"/>
    <d v="2012-06-01T06:53:52"/>
    <n v="85000"/>
    <n v="85000"/>
    <s v="USD"/>
    <n v="85000"/>
    <s v="Sr Report Developer"/>
    <x v="7"/>
    <s v="USA"/>
    <x v="2"/>
    <x v="0"/>
    <n v="10"/>
    <s v=""/>
    <s v=""/>
    <n v="1"/>
    <s v=""/>
    <s v=""/>
    <s v=""/>
    <x v="3"/>
    <x v="0"/>
    <x v="1"/>
    <x v="0"/>
    <x v="0"/>
    <x v="0"/>
    <x v="0"/>
    <x v="0"/>
    <x v="0"/>
    <x v="33"/>
    <x v="0"/>
  </r>
  <r>
    <s v="ID1584"/>
    <d v="2012-06-01T07:22:36"/>
    <n v="100000"/>
    <n v="100000"/>
    <s v="AUD"/>
    <n v="101990.96564026357"/>
    <s v="Management Accountant"/>
    <x v="3"/>
    <s v="Australia"/>
    <x v="16"/>
    <x v="0"/>
    <n v="20"/>
    <s v=""/>
    <s v=""/>
    <s v=""/>
    <s v=""/>
    <n v="1"/>
    <s v=""/>
    <x v="2"/>
    <x v="0"/>
    <x v="1"/>
    <x v="0"/>
    <x v="0"/>
    <x v="0"/>
    <x v="0"/>
    <x v="22"/>
    <x v="0"/>
    <x v="0"/>
    <x v="0"/>
  </r>
  <r>
    <s v="ID1585"/>
    <d v="2012-06-01T08:06:34"/>
    <s v="5.65 lac per annum"/>
    <n v="5650000"/>
    <s v="INR"/>
    <n v="100614.72928405051"/>
    <s v="MIS"/>
    <x v="7"/>
    <s v="India"/>
    <x v="0"/>
    <x v="2"/>
    <n v="6"/>
    <s v=""/>
    <s v=""/>
    <n v="1"/>
    <s v=""/>
    <s v=""/>
    <s v=""/>
    <x v="3"/>
    <x v="0"/>
    <x v="1"/>
    <x v="0"/>
    <x v="0"/>
    <x v="0"/>
    <x v="0"/>
    <x v="0"/>
    <x v="0"/>
    <x v="53"/>
    <x v="0"/>
  </r>
  <r>
    <s v="ID1586"/>
    <d v="2012-06-01T08:52:31"/>
    <n v="85000"/>
    <n v="85000"/>
    <s v="AUD"/>
    <n v="86692.320794224041"/>
    <s v="Administrator"/>
    <x v="0"/>
    <s v="Australia"/>
    <x v="16"/>
    <x v="0"/>
    <n v="30"/>
    <s v=""/>
    <s v=""/>
    <s v=""/>
    <s v=""/>
    <s v=""/>
    <n v="1"/>
    <x v="6"/>
    <x v="0"/>
    <x v="127"/>
    <x v="0"/>
    <x v="0"/>
    <x v="0"/>
    <x v="0"/>
    <x v="0"/>
    <x v="0"/>
    <x v="0"/>
    <x v="0"/>
  </r>
  <r>
    <s v="ID1587"/>
    <d v="2012-06-01T10:55:27"/>
    <s v="AU $120000"/>
    <n v="120000"/>
    <s v="AUD"/>
    <n v="122389.15876831629"/>
    <s v="Reporting Analyst"/>
    <x v="0"/>
    <s v="Australia"/>
    <x v="16"/>
    <x v="2"/>
    <n v="5"/>
    <s v=""/>
    <n v="1"/>
    <s v=""/>
    <s v=""/>
    <s v=""/>
    <s v=""/>
    <x v="1"/>
    <x v="0"/>
    <x v="210"/>
    <x v="0"/>
    <x v="0"/>
    <x v="0"/>
    <x v="0"/>
    <x v="0"/>
    <x v="0"/>
    <x v="0"/>
    <x v="0"/>
  </r>
  <r>
    <s v="ID1588"/>
    <d v="2012-06-01T10:57:59"/>
    <s v="30000 Rs"/>
    <n v="360000"/>
    <s v="INR"/>
    <n v="6410.8500074793246"/>
    <s v="team leader "/>
    <x v="3"/>
    <s v="India"/>
    <x v="0"/>
    <x v="2"/>
    <n v="8"/>
    <s v=""/>
    <s v=""/>
    <n v="1"/>
    <s v=""/>
    <s v=""/>
    <s v=""/>
    <x v="3"/>
    <x v="0"/>
    <x v="1"/>
    <x v="0"/>
    <x v="0"/>
    <x v="0"/>
    <x v="0"/>
    <x v="158"/>
    <x v="0"/>
    <x v="0"/>
    <x v="0"/>
  </r>
  <r>
    <s v="ID1589"/>
    <d v="2012-06-01T13:03:18"/>
    <n v="44000"/>
    <n v="44000"/>
    <s v="USD"/>
    <n v="44000"/>
    <s v="Quality Assurance Analyst"/>
    <x v="0"/>
    <s v="USA"/>
    <x v="2"/>
    <x v="0"/>
    <n v="3.5"/>
    <s v=""/>
    <n v="1"/>
    <s v=""/>
    <s v=""/>
    <s v=""/>
    <s v=""/>
    <x v="1"/>
    <x v="0"/>
    <x v="104"/>
    <x v="0"/>
    <x v="0"/>
    <x v="0"/>
    <x v="0"/>
    <x v="0"/>
    <x v="0"/>
    <x v="0"/>
    <x v="0"/>
  </r>
  <r>
    <s v="ID1590"/>
    <d v="2012-06-01T14:32:41"/>
    <n v="250000"/>
    <n v="250000"/>
    <s v="INR"/>
    <n v="4451.9791718606421"/>
    <s v="Analytics engineer"/>
    <x v="2"/>
    <s v="India"/>
    <x v="0"/>
    <x v="0"/>
    <n v="2.5"/>
    <s v=""/>
    <n v="1"/>
    <s v=""/>
    <s v=""/>
    <s v=""/>
    <s v=""/>
    <x v="1"/>
    <x v="0"/>
    <x v="1"/>
    <x v="0"/>
    <x v="0"/>
    <x v="0"/>
    <x v="52"/>
    <x v="0"/>
    <x v="0"/>
    <x v="0"/>
    <x v="0"/>
  </r>
  <r>
    <s v="ID1591"/>
    <d v="2012-06-01T14:50:41"/>
    <n v="4500"/>
    <n v="4500"/>
    <s v="USD"/>
    <n v="4500"/>
    <s v="Assistant Manger Service Quality Assurance"/>
    <x v="0"/>
    <s v="Pakistan"/>
    <x v="3"/>
    <x v="0"/>
    <n v="6"/>
    <s v=""/>
    <s v=""/>
    <n v="1"/>
    <s v=""/>
    <s v=""/>
    <s v=""/>
    <x v="3"/>
    <x v="0"/>
    <x v="190"/>
    <x v="0"/>
    <x v="0"/>
    <x v="0"/>
    <x v="0"/>
    <x v="0"/>
    <x v="0"/>
    <x v="0"/>
    <x v="0"/>
  </r>
  <r>
    <s v="ID1592"/>
    <d v="2012-06-01T15:09:27"/>
    <n v="1700000"/>
    <n v="1700000"/>
    <s v="INR"/>
    <n v="30273.458368652366"/>
    <s v="AVP"/>
    <x v="4"/>
    <s v="India"/>
    <x v="0"/>
    <x v="0"/>
    <n v="6"/>
    <s v=""/>
    <s v=""/>
    <n v="1"/>
    <s v=""/>
    <s v=""/>
    <s v=""/>
    <x v="3"/>
    <x v="0"/>
    <x v="1"/>
    <x v="0"/>
    <x v="0"/>
    <x v="44"/>
    <x v="0"/>
    <x v="0"/>
    <x v="0"/>
    <x v="0"/>
    <x v="0"/>
  </r>
  <r>
    <s v="ID1593"/>
    <d v="2012-06-01T15:39:20"/>
    <s v="U$52,000/annual"/>
    <n v="52000"/>
    <s v="USD"/>
    <n v="52000"/>
    <s v="Planner"/>
    <x v="0"/>
    <s v="USA"/>
    <x v="2"/>
    <x v="1"/>
    <n v="5"/>
    <s v=""/>
    <n v="1"/>
    <s v=""/>
    <s v=""/>
    <s v=""/>
    <s v=""/>
    <x v="1"/>
    <x v="0"/>
    <x v="38"/>
    <x v="0"/>
    <x v="0"/>
    <x v="0"/>
    <x v="0"/>
    <x v="0"/>
    <x v="0"/>
    <x v="0"/>
    <x v="0"/>
  </r>
  <r>
    <s v="ID1594"/>
    <d v="2012-06-01T18:08:07"/>
    <s v="75000 $"/>
    <n v="75000"/>
    <s v="USD"/>
    <n v="75000"/>
    <s v="Consultant"/>
    <x v="8"/>
    <s v="Germany"/>
    <x v="5"/>
    <x v="2"/>
    <n v="9"/>
    <s v=""/>
    <s v=""/>
    <n v="1"/>
    <s v=""/>
    <s v=""/>
    <s v=""/>
    <x v="3"/>
    <x v="0"/>
    <x v="1"/>
    <x v="67"/>
    <x v="0"/>
    <x v="0"/>
    <x v="0"/>
    <x v="0"/>
    <x v="0"/>
    <x v="0"/>
    <x v="0"/>
  </r>
  <r>
    <s v="ID1595"/>
    <d v="2012-06-01T18:18:31"/>
    <s v="Rs 1000000"/>
    <n v="1000000"/>
    <s v="INR"/>
    <n v="17807.916687442568"/>
    <s v="Senior Analyst"/>
    <x v="0"/>
    <s v="India"/>
    <x v="0"/>
    <x v="1"/>
    <n v="4"/>
    <s v=""/>
    <n v="1"/>
    <s v=""/>
    <s v=""/>
    <s v=""/>
    <s v=""/>
    <x v="1"/>
    <x v="0"/>
    <x v="161"/>
    <x v="0"/>
    <x v="0"/>
    <x v="0"/>
    <x v="0"/>
    <x v="0"/>
    <x v="0"/>
    <x v="0"/>
    <x v="0"/>
  </r>
  <r>
    <s v="ID1596"/>
    <d v="2012-06-01T18:58:42"/>
    <n v="177600"/>
    <n v="177600"/>
    <s v="USD"/>
    <n v="177600"/>
    <s v="Accountant"/>
    <x v="5"/>
    <s v="Lesotho"/>
    <x v="96"/>
    <x v="0"/>
    <n v="6"/>
    <s v=""/>
    <s v=""/>
    <n v="1"/>
    <s v=""/>
    <s v=""/>
    <s v=""/>
    <x v="3"/>
    <x v="98"/>
    <x v="1"/>
    <x v="0"/>
    <x v="0"/>
    <x v="0"/>
    <x v="0"/>
    <x v="0"/>
    <x v="0"/>
    <x v="0"/>
    <x v="0"/>
  </r>
  <r>
    <s v="ID1597"/>
    <d v="2012-06-01T19:42:46"/>
    <n v="650000"/>
    <n v="650000"/>
    <s v="INR"/>
    <n v="11575.14584683767"/>
    <s v="Associate"/>
    <x v="0"/>
    <s v="India"/>
    <x v="0"/>
    <x v="0"/>
    <n v="5"/>
    <s v=""/>
    <n v="1"/>
    <s v=""/>
    <s v=""/>
    <s v=""/>
    <s v=""/>
    <x v="1"/>
    <x v="0"/>
    <x v="184"/>
    <x v="0"/>
    <x v="0"/>
    <x v="0"/>
    <x v="0"/>
    <x v="0"/>
    <x v="0"/>
    <x v="0"/>
    <x v="0"/>
  </r>
  <r>
    <s v="ID1598"/>
    <d v="2012-06-01T19:46:33"/>
    <s v="21000EUR"/>
    <n v="21000"/>
    <s v="EUR"/>
    <n v="26678.388218823762"/>
    <s v="Coordenador PeÃ§as Grupo"/>
    <x v="3"/>
    <s v="Portugal"/>
    <x v="7"/>
    <x v="0"/>
    <n v="10"/>
    <s v=""/>
    <s v=""/>
    <n v="1"/>
    <s v=""/>
    <s v=""/>
    <s v=""/>
    <x v="3"/>
    <x v="0"/>
    <x v="1"/>
    <x v="0"/>
    <x v="0"/>
    <x v="0"/>
    <x v="0"/>
    <x v="275"/>
    <x v="0"/>
    <x v="0"/>
    <x v="0"/>
  </r>
  <r>
    <s v="ID1600"/>
    <d v="2012-06-01T19:57:45"/>
    <s v="Â£80000"/>
    <n v="80000"/>
    <s v="GBP"/>
    <n v="126094.26176538273"/>
    <s v="Owner of Business Improvement Consultancy"/>
    <x v="8"/>
    <s v="UK"/>
    <x v="14"/>
    <x v="0"/>
    <n v="12"/>
    <s v=""/>
    <s v=""/>
    <s v=""/>
    <n v="1"/>
    <s v=""/>
    <s v=""/>
    <x v="5"/>
    <x v="0"/>
    <x v="1"/>
    <x v="49"/>
    <x v="0"/>
    <x v="0"/>
    <x v="0"/>
    <x v="0"/>
    <x v="0"/>
    <x v="0"/>
    <x v="0"/>
  </r>
  <r>
    <s v="ID1601"/>
    <d v="2012-06-01T20:12:22"/>
    <s v="500 USD"/>
    <n v="6000"/>
    <s v="USD"/>
    <n v="6000"/>
    <s v="Business Analyst"/>
    <x v="0"/>
    <s v="India"/>
    <x v="0"/>
    <x v="0"/>
    <n v="2"/>
    <n v="1"/>
    <s v=""/>
    <s v=""/>
    <s v=""/>
    <s v=""/>
    <s v=""/>
    <x v="4"/>
    <x v="0"/>
    <x v="183"/>
    <x v="0"/>
    <x v="0"/>
    <x v="0"/>
    <x v="0"/>
    <x v="0"/>
    <x v="0"/>
    <x v="0"/>
    <x v="0"/>
  </r>
  <r>
    <s v="ID1602"/>
    <d v="2012-06-01T20:27:23"/>
    <n v="10000"/>
    <n v="10000"/>
    <s v="USD"/>
    <n v="10000"/>
    <s v="MIS"/>
    <x v="7"/>
    <s v="India"/>
    <x v="0"/>
    <x v="1"/>
    <n v="6"/>
    <s v=""/>
    <s v=""/>
    <n v="1"/>
    <s v=""/>
    <s v=""/>
    <s v=""/>
    <x v="3"/>
    <x v="0"/>
    <x v="1"/>
    <x v="0"/>
    <x v="0"/>
    <x v="0"/>
    <x v="0"/>
    <x v="0"/>
    <x v="0"/>
    <x v="46"/>
    <x v="0"/>
  </r>
  <r>
    <s v="ID1603"/>
    <d v="2012-06-01T20:37:53"/>
    <n v="50000"/>
    <n v="50000"/>
    <s v="USD"/>
    <n v="50000"/>
    <s v="Sales Operations Analyst"/>
    <x v="0"/>
    <s v="USA"/>
    <x v="2"/>
    <x v="1"/>
    <n v="2"/>
    <n v="1"/>
    <s v=""/>
    <s v=""/>
    <s v=""/>
    <s v=""/>
    <s v=""/>
    <x v="4"/>
    <x v="0"/>
    <x v="21"/>
    <x v="0"/>
    <x v="0"/>
    <x v="0"/>
    <x v="0"/>
    <x v="0"/>
    <x v="0"/>
    <x v="0"/>
    <x v="0"/>
  </r>
  <r>
    <s v="ID1604"/>
    <d v="2012-06-01T20:38:57"/>
    <n v="10000"/>
    <n v="10000"/>
    <s v="USD"/>
    <n v="10000"/>
    <s v="dgm"/>
    <x v="3"/>
    <s v="India"/>
    <x v="0"/>
    <x v="1"/>
    <n v="12"/>
    <s v=""/>
    <s v=""/>
    <s v=""/>
    <n v="1"/>
    <s v=""/>
    <s v=""/>
    <x v="5"/>
    <x v="0"/>
    <x v="1"/>
    <x v="0"/>
    <x v="0"/>
    <x v="0"/>
    <x v="0"/>
    <x v="130"/>
    <x v="0"/>
    <x v="0"/>
    <x v="0"/>
  </r>
  <r>
    <s v="ID1605"/>
    <d v="2012-06-01T20:53:08"/>
    <n v="50000"/>
    <n v="50000"/>
    <s v="USD"/>
    <n v="50000"/>
    <s v="Catalog Circulation Analyst"/>
    <x v="0"/>
    <s v="USA"/>
    <x v="2"/>
    <x v="1"/>
    <n v="12"/>
    <s v=""/>
    <s v=""/>
    <s v=""/>
    <n v="1"/>
    <s v=""/>
    <s v=""/>
    <x v="5"/>
    <x v="0"/>
    <x v="21"/>
    <x v="0"/>
    <x v="0"/>
    <x v="0"/>
    <x v="0"/>
    <x v="0"/>
    <x v="0"/>
    <x v="0"/>
    <x v="0"/>
  </r>
  <r>
    <s v="ID1606"/>
    <d v="2012-06-01T22:20:26"/>
    <s v="20000 $"/>
    <n v="20000"/>
    <s v="USD"/>
    <n v="20000"/>
    <s v="Manager"/>
    <x v="3"/>
    <s v="India"/>
    <x v="0"/>
    <x v="0"/>
    <n v="1"/>
    <n v="1"/>
    <s v=""/>
    <s v=""/>
    <s v=""/>
    <s v=""/>
    <s v=""/>
    <x v="4"/>
    <x v="0"/>
    <x v="1"/>
    <x v="0"/>
    <x v="0"/>
    <x v="0"/>
    <x v="0"/>
    <x v="65"/>
    <x v="0"/>
    <x v="0"/>
    <x v="0"/>
  </r>
  <r>
    <s v="ID1607"/>
    <d v="2012-06-01T23:29:43"/>
    <s v="Â£20000"/>
    <n v="20000"/>
    <s v="GBP"/>
    <n v="31523.565441345683"/>
    <s v="Operations Analyst"/>
    <x v="0"/>
    <s v="UK"/>
    <x v="14"/>
    <x v="1"/>
    <n v="3"/>
    <s v=""/>
    <n v="1"/>
    <s v=""/>
    <s v=""/>
    <s v=""/>
    <s v=""/>
    <x v="1"/>
    <x v="0"/>
    <x v="225"/>
    <x v="0"/>
    <x v="0"/>
    <x v="0"/>
    <x v="0"/>
    <x v="0"/>
    <x v="0"/>
    <x v="0"/>
    <x v="0"/>
  </r>
  <r>
    <s v="ID1608"/>
    <d v="2012-06-02T01:29:04"/>
    <s v="â‚¬ 50k"/>
    <n v="50000"/>
    <s v="EUR"/>
    <n v="63519.971949580387"/>
    <s v="Controller"/>
    <x v="1"/>
    <s v="Netherlands"/>
    <x v="18"/>
    <x v="0"/>
    <n v="10"/>
    <s v=""/>
    <s v=""/>
    <n v="1"/>
    <s v=""/>
    <s v=""/>
    <s v=""/>
    <x v="3"/>
    <x v="0"/>
    <x v="1"/>
    <x v="0"/>
    <x v="52"/>
    <x v="0"/>
    <x v="0"/>
    <x v="0"/>
    <x v="0"/>
    <x v="0"/>
    <x v="0"/>
  </r>
  <r>
    <s v="ID1609"/>
    <d v="2012-06-02T01:43:24"/>
    <n v="2300"/>
    <n v="27600"/>
    <s v="EUR"/>
    <n v="35063.024516168378"/>
    <s v="controller"/>
    <x v="1"/>
    <s v="Hungary"/>
    <x v="9"/>
    <x v="1"/>
    <n v="15"/>
    <s v=""/>
    <s v=""/>
    <s v=""/>
    <n v="1"/>
    <s v=""/>
    <s v=""/>
    <x v="5"/>
    <x v="0"/>
    <x v="1"/>
    <x v="0"/>
    <x v="53"/>
    <x v="0"/>
    <x v="0"/>
    <x v="0"/>
    <x v="0"/>
    <x v="0"/>
    <x v="0"/>
  </r>
  <r>
    <s v="ID1610"/>
    <d v="2012-06-02T02:24:39"/>
    <n v="55000"/>
    <n v="55000"/>
    <s v="USD"/>
    <n v="55000"/>
    <s v="Business Analyst"/>
    <x v="0"/>
    <s v="USA"/>
    <x v="2"/>
    <x v="0"/>
    <n v="2"/>
    <n v="1"/>
    <s v=""/>
    <s v=""/>
    <s v=""/>
    <s v=""/>
    <s v=""/>
    <x v="4"/>
    <x v="0"/>
    <x v="78"/>
    <x v="0"/>
    <x v="0"/>
    <x v="0"/>
    <x v="0"/>
    <x v="0"/>
    <x v="0"/>
    <x v="0"/>
    <x v="0"/>
  </r>
  <r>
    <s v="ID1611"/>
    <d v="2012-06-02T02:28:30"/>
    <n v="38000"/>
    <n v="38000"/>
    <s v="USD"/>
    <n v="38000"/>
    <s v="Business Analyst"/>
    <x v="0"/>
    <s v="USA"/>
    <x v="2"/>
    <x v="1"/>
    <n v="1"/>
    <n v="1"/>
    <s v=""/>
    <s v=""/>
    <s v=""/>
    <s v=""/>
    <s v=""/>
    <x v="4"/>
    <x v="0"/>
    <x v="16"/>
    <x v="0"/>
    <x v="0"/>
    <x v="0"/>
    <x v="0"/>
    <x v="0"/>
    <x v="0"/>
    <x v="0"/>
    <x v="0"/>
  </r>
  <r>
    <s v="ID1612"/>
    <d v="2012-06-02T03:08:50"/>
    <n v="1800000"/>
    <n v="1800000"/>
    <s v="INR"/>
    <n v="32054.250037396621"/>
    <s v="analyst"/>
    <x v="0"/>
    <s v="India"/>
    <x v="0"/>
    <x v="1"/>
    <n v="1"/>
    <n v="1"/>
    <s v=""/>
    <s v=""/>
    <s v=""/>
    <s v=""/>
    <s v=""/>
    <x v="4"/>
    <x v="0"/>
    <x v="311"/>
    <x v="0"/>
    <x v="0"/>
    <x v="0"/>
    <x v="0"/>
    <x v="0"/>
    <x v="0"/>
    <x v="0"/>
    <x v="0"/>
  </r>
  <r>
    <s v="ID1613"/>
    <d v="2012-06-02T03:13:57"/>
    <n v="35500"/>
    <n v="35500"/>
    <s v="USD"/>
    <n v="35500"/>
    <s v="SAS Adminstrator"/>
    <x v="0"/>
    <s v="USA"/>
    <x v="2"/>
    <x v="0"/>
    <n v="20"/>
    <s v=""/>
    <s v=""/>
    <s v=""/>
    <s v=""/>
    <n v="1"/>
    <s v=""/>
    <x v="2"/>
    <x v="0"/>
    <x v="312"/>
    <x v="0"/>
    <x v="0"/>
    <x v="0"/>
    <x v="0"/>
    <x v="0"/>
    <x v="0"/>
    <x v="0"/>
    <x v="0"/>
  </r>
  <r>
    <s v="ID1614"/>
    <d v="2012-06-02T03:23:09"/>
    <n v="62000"/>
    <n v="62000"/>
    <s v="USD"/>
    <n v="62000"/>
    <s v="Financial Analyst"/>
    <x v="0"/>
    <s v="USA"/>
    <x v="2"/>
    <x v="2"/>
    <n v="5"/>
    <s v=""/>
    <n v="1"/>
    <s v=""/>
    <s v=""/>
    <s v=""/>
    <s v=""/>
    <x v="1"/>
    <x v="0"/>
    <x v="14"/>
    <x v="0"/>
    <x v="0"/>
    <x v="0"/>
    <x v="0"/>
    <x v="0"/>
    <x v="0"/>
    <x v="0"/>
    <x v="0"/>
  </r>
  <r>
    <s v="ID1615"/>
    <d v="2012-06-02T03:29:19"/>
    <s v="Â£21500Uk"/>
    <n v="21500"/>
    <s v="GBP"/>
    <n v="33887.832849446611"/>
    <s v="Data Analyst"/>
    <x v="0"/>
    <s v="UK"/>
    <x v="14"/>
    <x v="1"/>
    <n v="1"/>
    <n v="1"/>
    <s v=""/>
    <s v=""/>
    <s v=""/>
    <s v=""/>
    <s v=""/>
    <x v="4"/>
    <x v="0"/>
    <x v="313"/>
    <x v="0"/>
    <x v="0"/>
    <x v="0"/>
    <x v="0"/>
    <x v="0"/>
    <x v="0"/>
    <x v="0"/>
    <x v="0"/>
  </r>
  <r>
    <s v="ID1616"/>
    <d v="2012-06-02T04:49:42"/>
    <n v="60000"/>
    <n v="60000"/>
    <s v="USD"/>
    <n v="60000"/>
    <s v="Data Analyst"/>
    <x v="0"/>
    <s v="USA"/>
    <x v="2"/>
    <x v="2"/>
    <n v="1"/>
    <n v="1"/>
    <s v=""/>
    <s v=""/>
    <s v=""/>
    <s v=""/>
    <s v=""/>
    <x v="4"/>
    <x v="0"/>
    <x v="8"/>
    <x v="0"/>
    <x v="0"/>
    <x v="0"/>
    <x v="0"/>
    <x v="0"/>
    <x v="0"/>
    <x v="0"/>
    <x v="0"/>
  </r>
  <r>
    <s v="ID1617"/>
    <d v="2012-06-02T06:21:45"/>
    <n v="32884.800000000003"/>
    <n v="32884"/>
    <s v="USD"/>
    <n v="32884"/>
    <s v="Administrative Assistant"/>
    <x v="0"/>
    <s v="USA"/>
    <x v="2"/>
    <x v="1"/>
    <n v="10"/>
    <s v=""/>
    <s v=""/>
    <n v="1"/>
    <s v=""/>
    <s v=""/>
    <s v=""/>
    <x v="3"/>
    <x v="0"/>
    <x v="314"/>
    <x v="0"/>
    <x v="0"/>
    <x v="0"/>
    <x v="0"/>
    <x v="0"/>
    <x v="0"/>
    <x v="0"/>
    <x v="0"/>
  </r>
  <r>
    <s v="ID1618"/>
    <d v="2012-06-02T06:31:21"/>
    <s v="42000 US"/>
    <n v="42000"/>
    <s v="USD"/>
    <n v="42000"/>
    <s v="production clerk"/>
    <x v="0"/>
    <s v="USA"/>
    <x v="2"/>
    <x v="0"/>
    <n v="2"/>
    <n v="1"/>
    <s v=""/>
    <s v=""/>
    <s v=""/>
    <s v=""/>
    <s v=""/>
    <x v="4"/>
    <x v="0"/>
    <x v="293"/>
    <x v="0"/>
    <x v="0"/>
    <x v="0"/>
    <x v="0"/>
    <x v="0"/>
    <x v="0"/>
    <x v="0"/>
    <x v="0"/>
  </r>
  <r>
    <s v="ID1619"/>
    <d v="2012-06-02T06:43:25"/>
    <n v="68000"/>
    <n v="68000"/>
    <s v="USD"/>
    <n v="68000"/>
    <s v="Supply Chain Analyst"/>
    <x v="0"/>
    <s v="USA"/>
    <x v="2"/>
    <x v="0"/>
    <n v="12"/>
    <s v=""/>
    <s v=""/>
    <s v=""/>
    <n v="1"/>
    <s v=""/>
    <s v=""/>
    <x v="5"/>
    <x v="0"/>
    <x v="17"/>
    <x v="0"/>
    <x v="0"/>
    <x v="0"/>
    <x v="0"/>
    <x v="0"/>
    <x v="0"/>
    <x v="0"/>
    <x v="0"/>
  </r>
  <r>
    <s v="ID1620"/>
    <d v="2012-06-02T07:42:02"/>
    <n v="85000"/>
    <n v="85000"/>
    <s v="USD"/>
    <n v="85000"/>
    <s v="Senior Accountant"/>
    <x v="5"/>
    <s v="USA"/>
    <x v="2"/>
    <x v="2"/>
    <n v="8"/>
    <s v=""/>
    <s v=""/>
    <n v="1"/>
    <s v=""/>
    <s v=""/>
    <s v=""/>
    <x v="3"/>
    <x v="54"/>
    <x v="1"/>
    <x v="0"/>
    <x v="0"/>
    <x v="0"/>
    <x v="0"/>
    <x v="0"/>
    <x v="0"/>
    <x v="0"/>
    <x v="0"/>
  </r>
  <r>
    <s v="ID1621"/>
    <d v="2012-06-02T11:11:18"/>
    <s v="U$13,000"/>
    <n v="13000"/>
    <s v="USD"/>
    <n v="13000"/>
    <s v="Dss Analyst"/>
    <x v="0"/>
    <s v="Brazil"/>
    <x v="20"/>
    <x v="1"/>
    <n v="4"/>
    <s v=""/>
    <n v="1"/>
    <s v=""/>
    <s v=""/>
    <s v=""/>
    <s v=""/>
    <x v="1"/>
    <x v="0"/>
    <x v="156"/>
    <x v="0"/>
    <x v="0"/>
    <x v="0"/>
    <x v="0"/>
    <x v="0"/>
    <x v="0"/>
    <x v="0"/>
    <x v="0"/>
  </r>
  <r>
    <s v="ID1623"/>
    <d v="2012-06-02T13:58:46"/>
    <n v="15000"/>
    <n v="15000"/>
    <s v="USD"/>
    <n v="15000"/>
    <s v="Business Analysis &amp; MIS "/>
    <x v="0"/>
    <s v="India"/>
    <x v="0"/>
    <x v="0"/>
    <n v="5"/>
    <s v=""/>
    <n v="1"/>
    <s v=""/>
    <s v=""/>
    <s v=""/>
    <s v=""/>
    <x v="1"/>
    <x v="0"/>
    <x v="151"/>
    <x v="0"/>
    <x v="0"/>
    <x v="0"/>
    <x v="0"/>
    <x v="0"/>
    <x v="0"/>
    <x v="0"/>
    <x v="0"/>
  </r>
  <r>
    <s v="ID1624"/>
    <d v="2012-06-02T17:34:20"/>
    <s v="50000USD"/>
    <n v="50000"/>
    <s v="USD"/>
    <n v="50000"/>
    <s v="Associate Vice President"/>
    <x v="4"/>
    <s v="India"/>
    <x v="0"/>
    <x v="3"/>
    <n v="8"/>
    <s v=""/>
    <s v=""/>
    <n v="1"/>
    <s v=""/>
    <s v=""/>
    <s v=""/>
    <x v="3"/>
    <x v="0"/>
    <x v="1"/>
    <x v="0"/>
    <x v="0"/>
    <x v="28"/>
    <x v="0"/>
    <x v="0"/>
    <x v="0"/>
    <x v="0"/>
    <x v="0"/>
  </r>
  <r>
    <s v="ID1625"/>
    <d v="2012-06-02T18:47:32"/>
    <n v="7000"/>
    <n v="7000"/>
    <s v="USD"/>
    <n v="7000"/>
    <s v="M.I.S"/>
    <x v="7"/>
    <s v="India"/>
    <x v="0"/>
    <x v="0"/>
    <n v="1"/>
    <n v="1"/>
    <s v=""/>
    <s v=""/>
    <s v=""/>
    <s v=""/>
    <s v=""/>
    <x v="4"/>
    <x v="0"/>
    <x v="1"/>
    <x v="0"/>
    <x v="0"/>
    <x v="0"/>
    <x v="0"/>
    <x v="0"/>
    <x v="0"/>
    <x v="40"/>
    <x v="0"/>
  </r>
  <r>
    <s v="ID1626"/>
    <d v="2012-06-02T19:14:35"/>
    <n v="140000"/>
    <n v="140000"/>
    <s v="USD"/>
    <n v="140000"/>
    <s v="sr manager"/>
    <x v="3"/>
    <s v="USA"/>
    <x v="2"/>
    <x v="0"/>
    <n v="12"/>
    <s v=""/>
    <s v=""/>
    <s v=""/>
    <n v="1"/>
    <s v=""/>
    <s v=""/>
    <x v="5"/>
    <x v="0"/>
    <x v="1"/>
    <x v="0"/>
    <x v="0"/>
    <x v="0"/>
    <x v="0"/>
    <x v="64"/>
    <x v="0"/>
    <x v="0"/>
    <x v="0"/>
  </r>
  <r>
    <s v="ID1627"/>
    <d v="2012-06-02T20:50:40"/>
    <n v="400000"/>
    <n v="400000"/>
    <s v="INR"/>
    <n v="7123.1666749770275"/>
    <s v="application dev"/>
    <x v="0"/>
    <s v="India"/>
    <x v="0"/>
    <x v="3"/>
    <n v="2.5"/>
    <s v=""/>
    <n v="1"/>
    <s v=""/>
    <s v=""/>
    <s v=""/>
    <s v=""/>
    <x v="1"/>
    <x v="0"/>
    <x v="92"/>
    <x v="0"/>
    <x v="0"/>
    <x v="0"/>
    <x v="0"/>
    <x v="0"/>
    <x v="0"/>
    <x v="0"/>
    <x v="0"/>
  </r>
  <r>
    <s v="ID1628"/>
    <d v="2012-06-02T20:52:59"/>
    <s v="37000GBP"/>
    <n v="37000"/>
    <s v="GBP"/>
    <n v="58318.59606648951"/>
    <s v="Technical Web Analyst"/>
    <x v="0"/>
    <s v="UK"/>
    <x v="14"/>
    <x v="0"/>
    <n v="9"/>
    <s v=""/>
    <s v=""/>
    <n v="1"/>
    <s v=""/>
    <s v=""/>
    <s v=""/>
    <x v="3"/>
    <x v="0"/>
    <x v="315"/>
    <x v="0"/>
    <x v="0"/>
    <x v="0"/>
    <x v="0"/>
    <x v="0"/>
    <x v="0"/>
    <x v="0"/>
    <x v="0"/>
  </r>
  <r>
    <s v="ID1629"/>
    <d v="2012-06-02T21:42:42"/>
    <s v="6.8 Lac INR"/>
    <n v="680000"/>
    <s v="INR"/>
    <n v="12109.383347460946"/>
    <s v="Deputy Manager"/>
    <x v="3"/>
    <s v="India"/>
    <x v="0"/>
    <x v="3"/>
    <n v="2"/>
    <n v="1"/>
    <s v=""/>
    <s v=""/>
    <s v=""/>
    <s v=""/>
    <s v=""/>
    <x v="4"/>
    <x v="0"/>
    <x v="1"/>
    <x v="0"/>
    <x v="0"/>
    <x v="0"/>
    <x v="0"/>
    <x v="276"/>
    <x v="0"/>
    <x v="0"/>
    <x v="0"/>
  </r>
  <r>
    <s v="ID1630"/>
    <d v="2012-06-02T22:33:32"/>
    <n v="55000"/>
    <n v="55000"/>
    <s v="USD"/>
    <n v="55000"/>
    <s v="Supply Chain Analyst"/>
    <x v="0"/>
    <s v="USA"/>
    <x v="2"/>
    <x v="0"/>
    <n v="1"/>
    <n v="1"/>
    <s v=""/>
    <s v=""/>
    <s v=""/>
    <s v=""/>
    <s v=""/>
    <x v="4"/>
    <x v="0"/>
    <x v="78"/>
    <x v="0"/>
    <x v="0"/>
    <x v="0"/>
    <x v="0"/>
    <x v="0"/>
    <x v="0"/>
    <x v="0"/>
    <x v="0"/>
  </r>
  <r>
    <s v="ID1631"/>
    <d v="2012-06-02T22:38:56"/>
    <n v="60000"/>
    <n v="60000"/>
    <s v="USD"/>
    <n v="60000"/>
    <s v="Head of Business"/>
    <x v="3"/>
    <s v="Indonesia"/>
    <x v="55"/>
    <x v="2"/>
    <n v="16"/>
    <s v=""/>
    <s v=""/>
    <s v=""/>
    <s v=""/>
    <s v=""/>
    <s v=""/>
    <x v="0"/>
    <x v="0"/>
    <x v="1"/>
    <x v="0"/>
    <x v="0"/>
    <x v="0"/>
    <x v="0"/>
    <x v="76"/>
    <x v="0"/>
    <x v="0"/>
    <x v="0"/>
  </r>
  <r>
    <s v="ID1632"/>
    <d v="2012-06-03T01:33:57"/>
    <n v="320000"/>
    <n v="320000"/>
    <s v="INR"/>
    <n v="5698.5333399816218"/>
    <s v="senior executive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277"/>
    <x v="0"/>
    <x v="0"/>
    <x v="0"/>
  </r>
  <r>
    <s v="ID1633"/>
    <d v="2012-06-03T01:36:43"/>
    <s v="24 K mauritian Rupees"/>
    <n v="288000"/>
    <s v="MUR"/>
    <n v="9376.2513877177607"/>
    <s v="IT Support Engineer"/>
    <x v="2"/>
    <s v="Mauritius"/>
    <x v="97"/>
    <x v="0"/>
    <n v="7"/>
    <s v=""/>
    <s v=""/>
    <n v="1"/>
    <s v=""/>
    <s v=""/>
    <s v=""/>
    <x v="3"/>
    <x v="0"/>
    <x v="1"/>
    <x v="0"/>
    <x v="0"/>
    <x v="0"/>
    <x v="53"/>
    <x v="0"/>
    <x v="0"/>
    <x v="0"/>
    <x v="0"/>
  </r>
  <r>
    <s v="ID1634"/>
    <d v="2012-06-03T02:06:44"/>
    <s v="Â£60000"/>
    <n v="60000"/>
    <s v="GBP"/>
    <n v="94570.696324037053"/>
    <s v="Data Analyst"/>
    <x v="0"/>
    <s v="UK"/>
    <x v="14"/>
    <x v="0"/>
    <n v="5"/>
    <s v=""/>
    <n v="1"/>
    <s v=""/>
    <s v=""/>
    <s v=""/>
    <s v=""/>
    <x v="1"/>
    <x v="0"/>
    <x v="75"/>
    <x v="0"/>
    <x v="0"/>
    <x v="0"/>
    <x v="0"/>
    <x v="0"/>
    <x v="0"/>
    <x v="0"/>
    <x v="0"/>
  </r>
  <r>
    <s v="ID1635"/>
    <d v="2012-06-03T02:54:32"/>
    <n v="36000"/>
    <n v="36000"/>
    <s v="USD"/>
    <n v="36000"/>
    <s v="Environmental Adviser"/>
    <x v="8"/>
    <s v="Azerbaijan"/>
    <x v="98"/>
    <x v="0"/>
    <n v="5"/>
    <s v=""/>
    <n v="1"/>
    <s v=""/>
    <s v=""/>
    <s v=""/>
    <s v=""/>
    <x v="1"/>
    <x v="0"/>
    <x v="1"/>
    <x v="31"/>
    <x v="0"/>
    <x v="0"/>
    <x v="0"/>
    <x v="0"/>
    <x v="0"/>
    <x v="0"/>
    <x v="0"/>
  </r>
  <r>
    <s v="ID1636"/>
    <d v="2012-06-03T04:14:45"/>
    <s v="Rs. 3.70 lacs"/>
    <n v="3700000"/>
    <s v="INR"/>
    <n v="65889.291743537498"/>
    <s v="Senior Officer"/>
    <x v="3"/>
    <s v="India"/>
    <x v="0"/>
    <x v="1"/>
    <n v="4"/>
    <s v=""/>
    <n v="1"/>
    <s v=""/>
    <s v=""/>
    <s v=""/>
    <s v=""/>
    <x v="1"/>
    <x v="0"/>
    <x v="1"/>
    <x v="0"/>
    <x v="0"/>
    <x v="0"/>
    <x v="0"/>
    <x v="278"/>
    <x v="0"/>
    <x v="0"/>
    <x v="0"/>
  </r>
  <r>
    <s v="ID1637"/>
    <d v="2012-06-03T04:42:54"/>
    <n v="106000"/>
    <n v="106000"/>
    <s v="USD"/>
    <n v="106000"/>
    <s v="IT Developer"/>
    <x v="0"/>
    <s v="Denmark"/>
    <x v="61"/>
    <x v="3"/>
    <n v="7"/>
    <s v=""/>
    <s v=""/>
    <n v="1"/>
    <s v=""/>
    <s v=""/>
    <s v=""/>
    <x v="3"/>
    <x v="0"/>
    <x v="316"/>
    <x v="0"/>
    <x v="0"/>
    <x v="0"/>
    <x v="0"/>
    <x v="0"/>
    <x v="0"/>
    <x v="0"/>
    <x v="0"/>
  </r>
  <r>
    <s v="ID1638"/>
    <d v="2012-06-03T07:16:47"/>
    <s v="485000 DKK"/>
    <n v="485000"/>
    <s v="DKK"/>
    <n v="82888.5550559455"/>
    <s v="Controller"/>
    <x v="1"/>
    <s v="Denmark"/>
    <x v="61"/>
    <x v="0"/>
    <n v="18"/>
    <s v=""/>
    <s v=""/>
    <s v=""/>
    <s v=""/>
    <n v="1"/>
    <s v=""/>
    <x v="2"/>
    <x v="0"/>
    <x v="1"/>
    <x v="0"/>
    <x v="54"/>
    <x v="0"/>
    <x v="0"/>
    <x v="0"/>
    <x v="0"/>
    <x v="0"/>
    <x v="0"/>
  </r>
  <r>
    <s v="ID1639"/>
    <d v="2012-06-03T09:42:40"/>
    <n v="75000"/>
    <n v="75000"/>
    <s v="NZD"/>
    <n v="59819.107020370408"/>
    <s v="business support analyst"/>
    <x v="0"/>
    <s v="New zealand"/>
    <x v="48"/>
    <x v="2"/>
    <n v="10"/>
    <s v=""/>
    <s v=""/>
    <n v="1"/>
    <s v=""/>
    <s v=""/>
    <s v=""/>
    <x v="3"/>
    <x v="0"/>
    <x v="204"/>
    <x v="0"/>
    <x v="0"/>
    <x v="0"/>
    <x v="0"/>
    <x v="0"/>
    <x v="0"/>
    <x v="0"/>
    <x v="0"/>
  </r>
  <r>
    <s v="ID1640"/>
    <d v="2012-06-03T10:10:43"/>
    <n v="6545"/>
    <n v="6545"/>
    <s v="USD"/>
    <n v="6545"/>
    <s v="Operations"/>
    <x v="3"/>
    <s v="India"/>
    <x v="0"/>
    <x v="1"/>
    <n v="9"/>
    <s v=""/>
    <s v=""/>
    <n v="1"/>
    <s v=""/>
    <s v=""/>
    <s v=""/>
    <x v="3"/>
    <x v="0"/>
    <x v="1"/>
    <x v="0"/>
    <x v="0"/>
    <x v="0"/>
    <x v="0"/>
    <x v="279"/>
    <x v="0"/>
    <x v="0"/>
    <x v="0"/>
  </r>
  <r>
    <s v="ID1641"/>
    <d v="2012-06-03T12:09:27"/>
    <s v="10 lacs INR"/>
    <n v="1000000"/>
    <s v="INR"/>
    <n v="17807.916687442568"/>
    <s v="Category Manager"/>
    <x v="3"/>
    <s v="India"/>
    <x v="0"/>
    <x v="2"/>
    <n v="13"/>
    <s v=""/>
    <s v=""/>
    <s v=""/>
    <n v="1"/>
    <s v=""/>
    <s v=""/>
    <x v="5"/>
    <x v="0"/>
    <x v="1"/>
    <x v="0"/>
    <x v="0"/>
    <x v="0"/>
    <x v="0"/>
    <x v="6"/>
    <x v="0"/>
    <x v="0"/>
    <x v="0"/>
  </r>
  <r>
    <s v="ID1642"/>
    <d v="2012-06-03T12:16:15"/>
    <n v="54000"/>
    <n v="54000"/>
    <s v="USD"/>
    <n v="54000"/>
    <s v="assistant director of finance"/>
    <x v="4"/>
    <s v="USA"/>
    <x v="2"/>
    <x v="0"/>
    <n v="10"/>
    <s v=""/>
    <s v=""/>
    <n v="1"/>
    <s v=""/>
    <s v=""/>
    <s v=""/>
    <x v="3"/>
    <x v="0"/>
    <x v="1"/>
    <x v="0"/>
    <x v="0"/>
    <x v="45"/>
    <x v="0"/>
    <x v="0"/>
    <x v="0"/>
    <x v="0"/>
    <x v="0"/>
  </r>
  <r>
    <s v="ID1643"/>
    <d v="2012-06-03T12:27:07"/>
    <n v="100000"/>
    <n v="100000"/>
    <s v="USD"/>
    <n v="100000"/>
    <s v="Consultant"/>
    <x v="8"/>
    <s v="USA"/>
    <x v="2"/>
    <x v="2"/>
    <n v="4"/>
    <s v=""/>
    <n v="1"/>
    <s v=""/>
    <s v=""/>
    <s v=""/>
    <s v=""/>
    <x v="1"/>
    <x v="0"/>
    <x v="1"/>
    <x v="68"/>
    <x v="0"/>
    <x v="0"/>
    <x v="0"/>
    <x v="0"/>
    <x v="0"/>
    <x v="0"/>
    <x v="0"/>
  </r>
  <r>
    <s v="ID1644"/>
    <d v="2012-06-03T13:30:47"/>
    <n v="50000"/>
    <n v="50000"/>
    <s v="CAD"/>
    <n v="49168.076151516347"/>
    <s v="Application Developer"/>
    <x v="0"/>
    <s v="Canada"/>
    <x v="17"/>
    <x v="0"/>
    <n v="5"/>
    <s v=""/>
    <n v="1"/>
    <s v=""/>
    <s v=""/>
    <s v=""/>
    <s v=""/>
    <x v="1"/>
    <x v="0"/>
    <x v="302"/>
    <x v="0"/>
    <x v="0"/>
    <x v="0"/>
    <x v="0"/>
    <x v="0"/>
    <x v="0"/>
    <x v="0"/>
    <x v="0"/>
  </r>
  <r>
    <s v="ID1645"/>
    <d v="2012-06-03T14:27:29"/>
    <n v="4019"/>
    <n v="4019"/>
    <s v="USD"/>
    <n v="4019"/>
    <s v="Clinical Intake Specialist"/>
    <x v="6"/>
    <s v="Philippines"/>
    <x v="32"/>
    <x v="2"/>
    <n v="3"/>
    <s v=""/>
    <n v="1"/>
    <s v=""/>
    <s v=""/>
    <s v=""/>
    <s v=""/>
    <x v="1"/>
    <x v="0"/>
    <x v="1"/>
    <x v="0"/>
    <x v="0"/>
    <x v="0"/>
    <x v="0"/>
    <x v="0"/>
    <x v="0"/>
    <x v="0"/>
    <x v="40"/>
  </r>
  <r>
    <s v="ID1646"/>
    <d v="2012-06-03T14:34:56"/>
    <n v="15000"/>
    <n v="15000"/>
    <s v="USD"/>
    <n v="15000"/>
    <s v="Marketing services"/>
    <x v="0"/>
    <s v="Pakistan"/>
    <x v="3"/>
    <x v="0"/>
    <n v="5"/>
    <s v=""/>
    <n v="1"/>
    <s v=""/>
    <s v=""/>
    <s v=""/>
    <s v=""/>
    <x v="1"/>
    <x v="0"/>
    <x v="151"/>
    <x v="0"/>
    <x v="0"/>
    <x v="0"/>
    <x v="0"/>
    <x v="0"/>
    <x v="0"/>
    <x v="0"/>
    <x v="0"/>
  </r>
  <r>
    <s v="ID1647"/>
    <d v="2012-06-03T14:52:21"/>
    <s v="INR 1000000"/>
    <n v="1000000"/>
    <s v="INR"/>
    <n v="17807.916687442568"/>
    <s v="Senior Associate, Finance"/>
    <x v="0"/>
    <s v="India"/>
    <x v="0"/>
    <x v="1"/>
    <n v="4"/>
    <s v=""/>
    <n v="1"/>
    <s v=""/>
    <s v=""/>
    <s v=""/>
    <s v=""/>
    <x v="1"/>
    <x v="0"/>
    <x v="161"/>
    <x v="0"/>
    <x v="0"/>
    <x v="0"/>
    <x v="0"/>
    <x v="0"/>
    <x v="0"/>
    <x v="0"/>
    <x v="0"/>
  </r>
  <r>
    <s v="ID1648"/>
    <d v="2012-06-03T16:48:54"/>
    <n v="12000"/>
    <n v="12000"/>
    <s v="USD"/>
    <n v="12000"/>
    <s v="MIS "/>
    <x v="7"/>
    <s v="India"/>
    <x v="0"/>
    <x v="1"/>
    <n v="3"/>
    <s v=""/>
    <n v="1"/>
    <s v=""/>
    <s v=""/>
    <s v=""/>
    <s v=""/>
    <x v="1"/>
    <x v="0"/>
    <x v="1"/>
    <x v="0"/>
    <x v="0"/>
    <x v="0"/>
    <x v="0"/>
    <x v="0"/>
    <x v="0"/>
    <x v="8"/>
    <x v="0"/>
  </r>
  <r>
    <s v="ID1649"/>
    <d v="2012-06-03T17:39:14"/>
    <s v="Rs. 125000"/>
    <n v="125000"/>
    <s v="INR"/>
    <n v="2225.989585930321"/>
    <s v="No"/>
    <x v="0"/>
    <s v="India"/>
    <x v="0"/>
    <x v="2"/>
    <n v="4"/>
    <s v=""/>
    <n v="1"/>
    <s v=""/>
    <s v=""/>
    <s v=""/>
    <s v=""/>
    <x v="1"/>
    <x v="0"/>
    <x v="116"/>
    <x v="0"/>
    <x v="0"/>
    <x v="0"/>
    <x v="0"/>
    <x v="0"/>
    <x v="0"/>
    <x v="0"/>
    <x v="0"/>
  </r>
  <r>
    <s v="ID1650"/>
    <d v="2012-06-03T19:40:18"/>
    <n v="86000"/>
    <n v="86000"/>
    <s v="USD"/>
    <n v="86000"/>
    <s v="Analyst"/>
    <x v="0"/>
    <s v="Philippines"/>
    <x v="32"/>
    <x v="1"/>
    <n v="3"/>
    <s v=""/>
    <n v="1"/>
    <s v=""/>
    <s v=""/>
    <s v=""/>
    <s v=""/>
    <x v="1"/>
    <x v="0"/>
    <x v="317"/>
    <x v="0"/>
    <x v="0"/>
    <x v="0"/>
    <x v="0"/>
    <x v="0"/>
    <x v="0"/>
    <x v="0"/>
    <x v="0"/>
  </r>
  <r>
    <s v="ID1651"/>
    <d v="2012-06-04T01:45:03"/>
    <n v="340000"/>
    <n v="340000"/>
    <s v="INR"/>
    <n v="6054.6916737304728"/>
    <s v="Assistant 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280"/>
    <x v="0"/>
    <x v="0"/>
    <x v="0"/>
  </r>
  <r>
    <s v="ID1652"/>
    <d v="2012-06-04T02:03:53"/>
    <s v="280$/ month"/>
    <n v="3360"/>
    <s v="USD"/>
    <n v="3360"/>
    <s v="service executive"/>
    <x v="0"/>
    <s v="India"/>
    <x v="0"/>
    <x v="3"/>
    <n v="3"/>
    <s v=""/>
    <n v="1"/>
    <s v=""/>
    <s v=""/>
    <s v=""/>
    <s v=""/>
    <x v="1"/>
    <x v="0"/>
    <x v="318"/>
    <x v="0"/>
    <x v="0"/>
    <x v="0"/>
    <x v="0"/>
    <x v="0"/>
    <x v="0"/>
    <x v="0"/>
    <x v="0"/>
  </r>
  <r>
    <s v="ID1653"/>
    <d v="2012-06-04T02:30:11"/>
    <n v="10000"/>
    <n v="10000"/>
    <s v="USD"/>
    <n v="10000"/>
    <s v="ceo"/>
    <x v="4"/>
    <s v="India"/>
    <x v="0"/>
    <x v="1"/>
    <n v="1"/>
    <n v="1"/>
    <s v=""/>
    <s v=""/>
    <s v=""/>
    <s v=""/>
    <s v=""/>
    <x v="4"/>
    <x v="0"/>
    <x v="1"/>
    <x v="0"/>
    <x v="0"/>
    <x v="46"/>
    <x v="0"/>
    <x v="0"/>
    <x v="0"/>
    <x v="0"/>
    <x v="0"/>
  </r>
  <r>
    <s v="ID1654"/>
    <d v="2012-06-04T04:31:53"/>
    <n v="70000"/>
    <n v="70000"/>
    <s v="USD"/>
    <n v="70000"/>
    <s v="Sr financial analyst"/>
    <x v="0"/>
    <s v="USA"/>
    <x v="2"/>
    <x v="0"/>
    <n v="9"/>
    <s v=""/>
    <s v=""/>
    <n v="1"/>
    <s v=""/>
    <s v=""/>
    <s v=""/>
    <x v="3"/>
    <x v="0"/>
    <x v="59"/>
    <x v="0"/>
    <x v="0"/>
    <x v="0"/>
    <x v="0"/>
    <x v="0"/>
    <x v="0"/>
    <x v="0"/>
    <x v="0"/>
  </r>
  <r>
    <s v="ID1655"/>
    <d v="2012-06-04T09:49:44"/>
    <n v="155000"/>
    <n v="155000"/>
    <s v="USD"/>
    <n v="155000"/>
    <s v="Consulting Practice Manager"/>
    <x v="3"/>
    <s v="USA"/>
    <x v="2"/>
    <x v="3"/>
    <n v="14"/>
    <s v=""/>
    <s v=""/>
    <s v=""/>
    <n v="1"/>
    <s v=""/>
    <s v=""/>
    <x v="5"/>
    <x v="0"/>
    <x v="1"/>
    <x v="0"/>
    <x v="0"/>
    <x v="0"/>
    <x v="0"/>
    <x v="281"/>
    <x v="0"/>
    <x v="0"/>
    <x v="0"/>
  </r>
  <r>
    <s v="ID1656"/>
    <d v="2012-06-04T10:23:27"/>
    <n v="225000"/>
    <n v="225000"/>
    <s v="USD"/>
    <n v="225000"/>
    <s v="SVP of Acquisitions"/>
    <x v="4"/>
    <s v="USA"/>
    <x v="2"/>
    <x v="0"/>
    <n v="15"/>
    <s v=""/>
    <s v=""/>
    <s v=""/>
    <n v="1"/>
    <s v=""/>
    <s v=""/>
    <x v="5"/>
    <x v="0"/>
    <x v="1"/>
    <x v="0"/>
    <x v="0"/>
    <x v="47"/>
    <x v="0"/>
    <x v="0"/>
    <x v="0"/>
    <x v="0"/>
    <x v="0"/>
  </r>
  <r>
    <s v="ID1657"/>
    <d v="2012-06-04T12:22:05"/>
    <n v="10000"/>
    <n v="10000"/>
    <s v="USD"/>
    <n v="10000"/>
    <s v="MIS Executive"/>
    <x v="7"/>
    <s v="India"/>
    <x v="0"/>
    <x v="1"/>
    <n v="2"/>
    <n v="1"/>
    <s v=""/>
    <s v=""/>
    <s v=""/>
    <s v=""/>
    <s v=""/>
    <x v="4"/>
    <x v="0"/>
    <x v="1"/>
    <x v="0"/>
    <x v="0"/>
    <x v="0"/>
    <x v="0"/>
    <x v="0"/>
    <x v="0"/>
    <x v="46"/>
    <x v="0"/>
  </r>
  <r>
    <s v="ID1658"/>
    <d v="2012-06-04T12:58:06"/>
    <n v="300000"/>
    <n v="300000"/>
    <s v="INR"/>
    <n v="5342.3750062327708"/>
    <s v="Store Inventory"/>
    <x v="0"/>
    <s v="India"/>
    <x v="0"/>
    <x v="0"/>
    <n v="8"/>
    <s v=""/>
    <s v=""/>
    <n v="1"/>
    <s v=""/>
    <s v=""/>
    <s v=""/>
    <x v="3"/>
    <x v="0"/>
    <x v="150"/>
    <x v="0"/>
    <x v="0"/>
    <x v="0"/>
    <x v="0"/>
    <x v="0"/>
    <x v="0"/>
    <x v="0"/>
    <x v="0"/>
  </r>
  <r>
    <s v="ID1659"/>
    <d v="2012-06-04T13:30:51"/>
    <n v="84000"/>
    <n v="84000"/>
    <s v="AUD"/>
    <n v="85672.4111378214"/>
    <s v="consultant"/>
    <x v="8"/>
    <s v="Australia"/>
    <x v="16"/>
    <x v="0"/>
    <n v="6"/>
    <s v=""/>
    <s v=""/>
    <n v="1"/>
    <s v=""/>
    <s v=""/>
    <s v=""/>
    <x v="3"/>
    <x v="0"/>
    <x v="1"/>
    <x v="69"/>
    <x v="0"/>
    <x v="0"/>
    <x v="0"/>
    <x v="0"/>
    <x v="0"/>
    <x v="0"/>
    <x v="0"/>
  </r>
  <r>
    <s v="ID1660"/>
    <d v="2012-06-04T14:25:45"/>
    <s v="240000 INR"/>
    <n v="240000"/>
    <s v="INR"/>
    <n v="4273.9000049862161"/>
    <s v="Exicutive TQM"/>
    <x v="1"/>
    <s v="India"/>
    <x v="0"/>
    <x v="2"/>
    <n v="15"/>
    <s v=""/>
    <s v=""/>
    <s v=""/>
    <n v="1"/>
    <s v=""/>
    <s v=""/>
    <x v="5"/>
    <x v="0"/>
    <x v="1"/>
    <x v="0"/>
    <x v="55"/>
    <x v="0"/>
    <x v="0"/>
    <x v="0"/>
    <x v="0"/>
    <x v="0"/>
    <x v="0"/>
  </r>
  <r>
    <s v="ID1661"/>
    <d v="2012-06-04T16:31:09"/>
    <s v="Rs. 5 lacs"/>
    <n v="500000"/>
    <s v="INR"/>
    <n v="8903.9583437212841"/>
    <s v="Team Leader"/>
    <x v="3"/>
    <s v="India"/>
    <x v="0"/>
    <x v="1"/>
    <n v="20"/>
    <s v=""/>
    <s v=""/>
    <s v=""/>
    <s v=""/>
    <n v="1"/>
    <s v=""/>
    <x v="2"/>
    <x v="0"/>
    <x v="1"/>
    <x v="0"/>
    <x v="0"/>
    <x v="0"/>
    <x v="0"/>
    <x v="57"/>
    <x v="0"/>
    <x v="0"/>
    <x v="0"/>
  </r>
  <r>
    <s v="ID1662"/>
    <d v="2012-06-04T18:03:21"/>
    <n v="42000"/>
    <n v="42000"/>
    <s v="GBP"/>
    <n v="66199.48742682593"/>
    <s v="Management Accountant"/>
    <x v="3"/>
    <s v="UK"/>
    <x v="14"/>
    <x v="0"/>
    <n v="23"/>
    <s v=""/>
    <s v=""/>
    <s v=""/>
    <s v=""/>
    <s v=""/>
    <n v="1"/>
    <x v="6"/>
    <x v="0"/>
    <x v="1"/>
    <x v="0"/>
    <x v="0"/>
    <x v="0"/>
    <x v="0"/>
    <x v="282"/>
    <x v="0"/>
    <x v="0"/>
    <x v="0"/>
  </r>
  <r>
    <s v="ID1663"/>
    <d v="2012-06-04T18:55:54"/>
    <s v="INR 3.2 lpa"/>
    <n v="320000"/>
    <s v="INR"/>
    <n v="5698.5333399816218"/>
    <s v="Research Associate"/>
    <x v="0"/>
    <s v="India"/>
    <x v="0"/>
    <x v="0"/>
    <n v="2.5"/>
    <s v=""/>
    <n v="1"/>
    <s v=""/>
    <s v=""/>
    <s v=""/>
    <s v=""/>
    <x v="1"/>
    <x v="0"/>
    <x v="286"/>
    <x v="0"/>
    <x v="0"/>
    <x v="0"/>
    <x v="0"/>
    <x v="0"/>
    <x v="0"/>
    <x v="0"/>
    <x v="0"/>
  </r>
  <r>
    <s v="ID1664"/>
    <d v="2012-06-04T19:11:18"/>
    <s v="Â£22k"/>
    <n v="22000"/>
    <s v="GBP"/>
    <n v="34675.92198548025"/>
    <s v="Supply/Demand Planner"/>
    <x v="3"/>
    <s v="UK"/>
    <x v="14"/>
    <x v="0"/>
    <n v="17"/>
    <s v=""/>
    <s v=""/>
    <s v=""/>
    <s v=""/>
    <n v="1"/>
    <s v=""/>
    <x v="2"/>
    <x v="0"/>
    <x v="1"/>
    <x v="0"/>
    <x v="0"/>
    <x v="0"/>
    <x v="0"/>
    <x v="283"/>
    <x v="0"/>
    <x v="0"/>
    <x v="0"/>
  </r>
  <r>
    <s v="ID1665"/>
    <d v="2012-06-04T19:46:09"/>
    <s v="2600 $"/>
    <n v="31200"/>
    <s v="USD"/>
    <n v="31200"/>
    <s v="Economist"/>
    <x v="7"/>
    <s v="ISRAEL"/>
    <x v="34"/>
    <x v="1"/>
    <n v="11"/>
    <s v=""/>
    <s v=""/>
    <s v=""/>
    <n v="1"/>
    <s v=""/>
    <s v=""/>
    <x v="5"/>
    <x v="0"/>
    <x v="1"/>
    <x v="0"/>
    <x v="0"/>
    <x v="0"/>
    <x v="0"/>
    <x v="0"/>
    <x v="0"/>
    <x v="54"/>
    <x v="0"/>
  </r>
  <r>
    <s v="ID1666"/>
    <d v="2012-06-04T21:43:15"/>
    <n v="56000"/>
    <n v="56000"/>
    <s v="CAD"/>
    <n v="55068.245289698301"/>
    <s v="consultant"/>
    <x v="8"/>
    <s v="Canada"/>
    <x v="17"/>
    <x v="1"/>
    <n v="1"/>
    <n v="1"/>
    <s v=""/>
    <s v=""/>
    <s v=""/>
    <s v=""/>
    <s v=""/>
    <x v="4"/>
    <x v="0"/>
    <x v="1"/>
    <x v="70"/>
    <x v="0"/>
    <x v="0"/>
    <x v="0"/>
    <x v="0"/>
    <x v="0"/>
    <x v="0"/>
    <x v="0"/>
  </r>
  <r>
    <s v="ID1667"/>
    <d v="2012-06-04T22:16:00"/>
    <n v="13000"/>
    <n v="13000"/>
    <s v="USD"/>
    <n v="13000"/>
    <s v="logistics analyst"/>
    <x v="0"/>
    <s v="Slovakia"/>
    <x v="99"/>
    <x v="1"/>
    <n v="6"/>
    <s v=""/>
    <s v=""/>
    <n v="1"/>
    <s v=""/>
    <s v=""/>
    <s v=""/>
    <x v="3"/>
    <x v="0"/>
    <x v="156"/>
    <x v="0"/>
    <x v="0"/>
    <x v="0"/>
    <x v="0"/>
    <x v="0"/>
    <x v="0"/>
    <x v="0"/>
    <x v="0"/>
  </r>
  <r>
    <s v="ID1668"/>
    <d v="2012-06-04T23:00:10"/>
    <n v="92000"/>
    <n v="92000"/>
    <s v="USD"/>
    <n v="92000"/>
    <s v="BI director"/>
    <x v="7"/>
    <s v="USA"/>
    <x v="2"/>
    <x v="2"/>
    <n v="12"/>
    <s v=""/>
    <s v=""/>
    <s v=""/>
    <n v="1"/>
    <s v=""/>
    <s v=""/>
    <x v="5"/>
    <x v="0"/>
    <x v="1"/>
    <x v="0"/>
    <x v="0"/>
    <x v="0"/>
    <x v="0"/>
    <x v="0"/>
    <x v="0"/>
    <x v="55"/>
    <x v="0"/>
  </r>
  <r>
    <s v="ID1669"/>
    <d v="2012-06-04T23:18:41"/>
    <n v="85000"/>
    <n v="85000"/>
    <s v="USD"/>
    <n v="85000"/>
    <s v="Sr Manager"/>
    <x v="3"/>
    <s v="USA"/>
    <x v="2"/>
    <x v="1"/>
    <n v="10"/>
    <s v=""/>
    <s v=""/>
    <n v="1"/>
    <s v=""/>
    <s v=""/>
    <s v=""/>
    <x v="3"/>
    <x v="0"/>
    <x v="1"/>
    <x v="0"/>
    <x v="0"/>
    <x v="0"/>
    <x v="0"/>
    <x v="19"/>
    <x v="0"/>
    <x v="0"/>
    <x v="0"/>
  </r>
  <r>
    <s v="ID1670"/>
    <d v="2012-06-04T23:38:42"/>
    <s v="11000 USD"/>
    <n v="11000"/>
    <s v="USD"/>
    <n v="11000"/>
    <s v="Dataminer"/>
    <x v="0"/>
    <s v="Tunisia"/>
    <x v="100"/>
    <x v="0"/>
    <n v="8"/>
    <s v=""/>
    <s v=""/>
    <n v="1"/>
    <s v=""/>
    <s v=""/>
    <s v=""/>
    <x v="3"/>
    <x v="0"/>
    <x v="319"/>
    <x v="0"/>
    <x v="0"/>
    <x v="0"/>
    <x v="0"/>
    <x v="0"/>
    <x v="0"/>
    <x v="0"/>
    <x v="0"/>
  </r>
  <r>
    <s v="ID1671"/>
    <d v="2012-06-04T23:38:47"/>
    <s v="30000 â‚¬"/>
    <n v="30000"/>
    <s v="EUR"/>
    <n v="38111.983169748237"/>
    <s v="Safety technician"/>
    <x v="0"/>
    <s v="Spain"/>
    <x v="47"/>
    <x v="3"/>
    <n v="12"/>
    <s v=""/>
    <s v=""/>
    <s v=""/>
    <n v="1"/>
    <s v=""/>
    <s v=""/>
    <x v="5"/>
    <x v="0"/>
    <x v="233"/>
    <x v="0"/>
    <x v="0"/>
    <x v="0"/>
    <x v="0"/>
    <x v="0"/>
    <x v="0"/>
    <x v="0"/>
    <x v="0"/>
  </r>
  <r>
    <s v="ID1672"/>
    <d v="2012-06-04T23:41:47"/>
    <n v="49000"/>
    <n v="49000"/>
    <s v="USD"/>
    <n v="49000"/>
    <s v="Marketing Data Analyst"/>
    <x v="0"/>
    <s v="USA"/>
    <x v="2"/>
    <x v="2"/>
    <n v="3"/>
    <s v=""/>
    <n v="1"/>
    <s v=""/>
    <s v=""/>
    <s v=""/>
    <s v=""/>
    <x v="1"/>
    <x v="0"/>
    <x v="6"/>
    <x v="0"/>
    <x v="0"/>
    <x v="0"/>
    <x v="0"/>
    <x v="0"/>
    <x v="0"/>
    <x v="0"/>
    <x v="0"/>
  </r>
  <r>
    <s v="ID1673"/>
    <d v="2012-06-05T00:22:14"/>
    <n v="59000"/>
    <n v="59000"/>
    <s v="USD"/>
    <n v="59000"/>
    <s v="Category Leader"/>
    <x v="3"/>
    <s v="USA"/>
    <x v="2"/>
    <x v="3"/>
    <n v="3"/>
    <s v=""/>
    <n v="1"/>
    <s v=""/>
    <s v=""/>
    <s v=""/>
    <s v=""/>
    <x v="1"/>
    <x v="0"/>
    <x v="1"/>
    <x v="0"/>
    <x v="0"/>
    <x v="0"/>
    <x v="0"/>
    <x v="273"/>
    <x v="0"/>
    <x v="0"/>
    <x v="0"/>
  </r>
  <r>
    <s v="ID1674"/>
    <d v="2012-06-05T02:03:48"/>
    <n v="55000"/>
    <n v="55000"/>
    <s v="USD"/>
    <n v="55000"/>
    <s v="Customer Sales Analyst"/>
    <x v="0"/>
    <s v="USA"/>
    <x v="2"/>
    <x v="0"/>
    <n v="15"/>
    <s v=""/>
    <s v=""/>
    <s v=""/>
    <n v="1"/>
    <s v=""/>
    <s v=""/>
    <x v="5"/>
    <x v="0"/>
    <x v="78"/>
    <x v="0"/>
    <x v="0"/>
    <x v="0"/>
    <x v="0"/>
    <x v="0"/>
    <x v="0"/>
    <x v="0"/>
    <x v="0"/>
  </r>
  <r>
    <s v="ID1675"/>
    <d v="2012-06-05T02:21:01"/>
    <n v="75000"/>
    <n v="75000"/>
    <s v="USD"/>
    <n v="75000"/>
    <s v="Accountant"/>
    <x v="5"/>
    <s v="USA"/>
    <x v="2"/>
    <x v="0"/>
    <n v="10"/>
    <s v=""/>
    <s v=""/>
    <n v="1"/>
    <s v=""/>
    <s v=""/>
    <s v=""/>
    <x v="3"/>
    <x v="99"/>
    <x v="1"/>
    <x v="0"/>
    <x v="0"/>
    <x v="0"/>
    <x v="0"/>
    <x v="0"/>
    <x v="0"/>
    <x v="0"/>
    <x v="0"/>
  </r>
  <r>
    <s v="ID1677"/>
    <d v="2012-06-05T03:50:02"/>
    <n v="3300"/>
    <n v="39600"/>
    <s v="EUR"/>
    <n v="50307.817784067665"/>
    <s v="Maintenance Manager"/>
    <x v="3"/>
    <s v="Europe"/>
    <x v="88"/>
    <x v="3"/>
    <n v="5"/>
    <s v=""/>
    <n v="1"/>
    <s v=""/>
    <s v=""/>
    <s v=""/>
    <s v=""/>
    <x v="1"/>
    <x v="0"/>
    <x v="1"/>
    <x v="0"/>
    <x v="0"/>
    <x v="0"/>
    <x v="0"/>
    <x v="284"/>
    <x v="0"/>
    <x v="0"/>
    <x v="0"/>
  </r>
  <r>
    <s v="ID1678"/>
    <d v="2012-06-05T03:55:36"/>
    <s v="US$ 30500"/>
    <n v="30500"/>
    <s v="USD"/>
    <n v="30500"/>
    <s v="Financial Analyst"/>
    <x v="0"/>
    <s v="Brazil"/>
    <x v="20"/>
    <x v="1"/>
    <n v="8"/>
    <s v=""/>
    <s v=""/>
    <n v="1"/>
    <s v=""/>
    <s v=""/>
    <s v=""/>
    <x v="3"/>
    <x v="0"/>
    <x v="320"/>
    <x v="0"/>
    <x v="0"/>
    <x v="0"/>
    <x v="0"/>
    <x v="0"/>
    <x v="0"/>
    <x v="0"/>
    <x v="0"/>
  </r>
  <r>
    <s v="ID1679"/>
    <d v="2012-06-05T04:06:09"/>
    <n v="80000"/>
    <n v="80000"/>
    <s v="USD"/>
    <n v="80000"/>
    <s v="Data Resource Specialist"/>
    <x v="6"/>
    <s v="USA"/>
    <x v="2"/>
    <x v="2"/>
    <n v="2"/>
    <n v="1"/>
    <s v=""/>
    <s v=""/>
    <s v=""/>
    <s v=""/>
    <s v=""/>
    <x v="4"/>
    <x v="0"/>
    <x v="1"/>
    <x v="0"/>
    <x v="0"/>
    <x v="0"/>
    <x v="0"/>
    <x v="0"/>
    <x v="0"/>
    <x v="0"/>
    <x v="41"/>
  </r>
  <r>
    <s v="ID1680"/>
    <d v="2012-06-05T05:03:04"/>
    <n v="1000"/>
    <n v="12000"/>
    <s v="USD"/>
    <n v="12000"/>
    <s v="Waiter"/>
    <x v="0"/>
    <s v="USA"/>
    <x v="2"/>
    <x v="2"/>
    <n v="1"/>
    <n v="1"/>
    <s v=""/>
    <s v=""/>
    <s v=""/>
    <s v=""/>
    <s v=""/>
    <x v="4"/>
    <x v="0"/>
    <x v="4"/>
    <x v="0"/>
    <x v="0"/>
    <x v="0"/>
    <x v="0"/>
    <x v="0"/>
    <x v="0"/>
    <x v="0"/>
    <x v="0"/>
  </r>
  <r>
    <s v="ID1681"/>
    <d v="2012-06-05T05:03:20"/>
    <n v="48500"/>
    <n v="48500"/>
    <s v="USD"/>
    <n v="48500"/>
    <s v="Business Systems Analyst I"/>
    <x v="0"/>
    <s v="USA"/>
    <x v="2"/>
    <x v="0"/>
    <n v="6"/>
    <s v=""/>
    <s v=""/>
    <n v="1"/>
    <s v=""/>
    <s v=""/>
    <s v=""/>
    <x v="3"/>
    <x v="0"/>
    <x v="321"/>
    <x v="0"/>
    <x v="0"/>
    <x v="0"/>
    <x v="0"/>
    <x v="0"/>
    <x v="0"/>
    <x v="0"/>
    <x v="0"/>
  </r>
  <r>
    <s v="ID1682"/>
    <d v="2012-06-05T06:51:36"/>
    <s v="Â£40000"/>
    <n v="40000"/>
    <s v="GBP"/>
    <n v="63047.130882691366"/>
    <s v="Technical Specialist"/>
    <x v="6"/>
    <s v="UK"/>
    <x v="14"/>
    <x v="2"/>
    <n v="25"/>
    <s v=""/>
    <s v=""/>
    <s v=""/>
    <s v=""/>
    <s v=""/>
    <n v="1"/>
    <x v="6"/>
    <x v="0"/>
    <x v="1"/>
    <x v="0"/>
    <x v="0"/>
    <x v="0"/>
    <x v="0"/>
    <x v="0"/>
    <x v="0"/>
    <x v="0"/>
    <x v="42"/>
  </r>
  <r>
    <s v="ID1683"/>
    <d v="2012-06-05T07:05:12"/>
    <s v="Rs 16000"/>
    <n v="192000"/>
    <s v="INR"/>
    <n v="3419.1200039889732"/>
    <s v="Sr Associate"/>
    <x v="0"/>
    <s v="India"/>
    <x v="0"/>
    <x v="0"/>
    <n v="5"/>
    <s v=""/>
    <n v="1"/>
    <s v=""/>
    <s v=""/>
    <s v=""/>
    <s v=""/>
    <x v="1"/>
    <x v="0"/>
    <x v="61"/>
    <x v="0"/>
    <x v="0"/>
    <x v="0"/>
    <x v="0"/>
    <x v="0"/>
    <x v="0"/>
    <x v="0"/>
    <x v="0"/>
  </r>
  <r>
    <s v="ID1684"/>
    <d v="2012-06-05T10:43:34"/>
    <n v="110000"/>
    <n v="110000"/>
    <s v="NZD"/>
    <n v="87734.690296543267"/>
    <s v="Enterprise Portfolio Manager"/>
    <x v="3"/>
    <s v="New Zealand"/>
    <x v="48"/>
    <x v="0"/>
    <n v="6"/>
    <s v=""/>
    <s v=""/>
    <n v="1"/>
    <s v=""/>
    <s v=""/>
    <s v=""/>
    <x v="3"/>
    <x v="0"/>
    <x v="1"/>
    <x v="0"/>
    <x v="0"/>
    <x v="0"/>
    <x v="0"/>
    <x v="285"/>
    <x v="0"/>
    <x v="0"/>
    <x v="0"/>
  </r>
  <r>
    <s v="ID1685"/>
    <d v="2012-06-05T12:42:38"/>
    <s v="NZD$71000"/>
    <n v="71000"/>
    <s v="NZD"/>
    <n v="56628.754645950656"/>
    <s v="Business Analyst"/>
    <x v="0"/>
    <s v="NZ"/>
    <x v="48"/>
    <x v="1"/>
    <n v="6"/>
    <s v=""/>
    <s v=""/>
    <n v="1"/>
    <s v=""/>
    <s v=""/>
    <s v=""/>
    <x v="3"/>
    <x v="0"/>
    <x v="322"/>
    <x v="0"/>
    <x v="0"/>
    <x v="0"/>
    <x v="0"/>
    <x v="0"/>
    <x v="0"/>
    <x v="0"/>
    <x v="0"/>
  </r>
  <r>
    <s v="ID1686"/>
    <d v="2012-06-05T17:59:39"/>
    <s v="INR 450000"/>
    <n v="450000"/>
    <s v="INR"/>
    <n v="8013.5625093491553"/>
    <s v="Sr Executive - MIS"/>
    <x v="7"/>
    <s v="India"/>
    <x v="0"/>
    <x v="1"/>
    <n v="4"/>
    <s v=""/>
    <n v="1"/>
    <s v=""/>
    <s v=""/>
    <s v=""/>
    <s v=""/>
    <x v="1"/>
    <x v="0"/>
    <x v="1"/>
    <x v="0"/>
    <x v="0"/>
    <x v="0"/>
    <x v="0"/>
    <x v="0"/>
    <x v="0"/>
    <x v="56"/>
    <x v="0"/>
  </r>
  <r>
    <s v="ID1687"/>
    <d v="2012-06-05T18:31:59"/>
    <s v="200000 INR"/>
    <n v="200000"/>
    <s v="INR"/>
    <n v="3561.5833374885137"/>
    <s v="Executive"/>
    <x v="0"/>
    <s v="India"/>
    <x v="0"/>
    <x v="3"/>
    <n v="16"/>
    <s v=""/>
    <s v=""/>
    <s v=""/>
    <s v=""/>
    <s v=""/>
    <s v=""/>
    <x v="0"/>
    <x v="0"/>
    <x v="68"/>
    <x v="0"/>
    <x v="0"/>
    <x v="0"/>
    <x v="0"/>
    <x v="0"/>
    <x v="0"/>
    <x v="0"/>
    <x v="0"/>
  </r>
  <r>
    <s v="ID1688"/>
    <d v="2012-06-05T19:14:04"/>
    <n v="62000"/>
    <n v="62000"/>
    <s v="USD"/>
    <n v="62000"/>
    <s v="Quality Engineer"/>
    <x v="2"/>
    <s v="USA"/>
    <x v="2"/>
    <x v="2"/>
    <n v="12"/>
    <s v=""/>
    <s v=""/>
    <s v=""/>
    <n v="1"/>
    <s v=""/>
    <s v=""/>
    <x v="5"/>
    <x v="0"/>
    <x v="1"/>
    <x v="0"/>
    <x v="0"/>
    <x v="0"/>
    <x v="54"/>
    <x v="0"/>
    <x v="0"/>
    <x v="0"/>
    <x v="0"/>
  </r>
  <r>
    <s v="ID1689"/>
    <d v="2012-06-05T19:16:03"/>
    <n v="21000"/>
    <n v="21000"/>
    <s v="EUR"/>
    <n v="26678.388218823762"/>
    <s v="Sales Planning"/>
    <x v="0"/>
    <s v="Portugal"/>
    <x v="7"/>
    <x v="0"/>
    <n v="5"/>
    <s v=""/>
    <n v="1"/>
    <s v=""/>
    <s v=""/>
    <s v=""/>
    <s v=""/>
    <x v="1"/>
    <x v="0"/>
    <x v="323"/>
    <x v="0"/>
    <x v="0"/>
    <x v="0"/>
    <x v="0"/>
    <x v="0"/>
    <x v="0"/>
    <x v="0"/>
    <x v="0"/>
  </r>
  <r>
    <s v="ID1690"/>
    <d v="2012-06-05T19:37:13"/>
    <s v="Â£45000"/>
    <n v="45000"/>
    <s v="GBP"/>
    <n v="70928.022243027779"/>
    <s v="Data Analyst"/>
    <x v="0"/>
    <s v="UK"/>
    <x v="14"/>
    <x v="1"/>
    <n v="5"/>
    <s v=""/>
    <n v="1"/>
    <s v=""/>
    <s v=""/>
    <s v=""/>
    <s v=""/>
    <x v="1"/>
    <x v="0"/>
    <x v="324"/>
    <x v="0"/>
    <x v="0"/>
    <x v="0"/>
    <x v="0"/>
    <x v="0"/>
    <x v="0"/>
    <x v="0"/>
    <x v="0"/>
  </r>
  <r>
    <s v="ID1691"/>
    <d v="2012-06-05T19:59:35"/>
    <n v="33000"/>
    <n v="33000"/>
    <s v="EUR"/>
    <n v="41923.181486723057"/>
    <s v="assistant"/>
    <x v="0"/>
    <s v="france"/>
    <x v="19"/>
    <x v="0"/>
    <n v="6"/>
    <s v=""/>
    <s v=""/>
    <n v="1"/>
    <s v=""/>
    <s v=""/>
    <s v=""/>
    <x v="3"/>
    <x v="0"/>
    <x v="325"/>
    <x v="0"/>
    <x v="0"/>
    <x v="0"/>
    <x v="0"/>
    <x v="0"/>
    <x v="0"/>
    <x v="0"/>
    <x v="0"/>
  </r>
  <r>
    <s v="ID1692"/>
    <d v="2012-06-05T20:43:21"/>
    <n v="90000"/>
    <n v="90000"/>
    <s v="USD"/>
    <n v="90000"/>
    <s v="Senior QA Tester"/>
    <x v="0"/>
    <s v="USA"/>
    <x v="2"/>
    <x v="2"/>
    <n v="8"/>
    <s v=""/>
    <s v=""/>
    <n v="1"/>
    <s v=""/>
    <s v=""/>
    <s v=""/>
    <x v="3"/>
    <x v="0"/>
    <x v="49"/>
    <x v="0"/>
    <x v="0"/>
    <x v="0"/>
    <x v="0"/>
    <x v="0"/>
    <x v="0"/>
    <x v="0"/>
    <x v="0"/>
  </r>
  <r>
    <s v="ID1693"/>
    <d v="2012-06-05T21:07:16"/>
    <s v="400 000 NOK"/>
    <n v="400000"/>
    <s v="NOK"/>
    <n v="67700.452577525488"/>
    <s v="Economic analyst"/>
    <x v="0"/>
    <s v="Norway"/>
    <x v="46"/>
    <x v="1"/>
    <n v="5"/>
    <s v=""/>
    <n v="1"/>
    <s v=""/>
    <s v=""/>
    <s v=""/>
    <s v=""/>
    <x v="1"/>
    <x v="0"/>
    <x v="326"/>
    <x v="0"/>
    <x v="0"/>
    <x v="0"/>
    <x v="0"/>
    <x v="0"/>
    <x v="0"/>
    <x v="0"/>
    <x v="0"/>
  </r>
  <r>
    <s v="ID1694"/>
    <d v="2012-06-05T21:33:47"/>
    <n v="85000"/>
    <n v="85000"/>
    <s v="USD"/>
    <n v="85000"/>
    <s v="Financial Analyst"/>
    <x v="0"/>
    <s v="USA"/>
    <x v="2"/>
    <x v="0"/>
    <n v="12"/>
    <s v=""/>
    <s v=""/>
    <s v=""/>
    <n v="1"/>
    <s v=""/>
    <s v=""/>
    <x v="5"/>
    <x v="0"/>
    <x v="35"/>
    <x v="0"/>
    <x v="0"/>
    <x v="0"/>
    <x v="0"/>
    <x v="0"/>
    <x v="0"/>
    <x v="0"/>
    <x v="0"/>
  </r>
  <r>
    <s v="ID1695"/>
    <d v="2012-06-05T21:49:10"/>
    <n v="50000"/>
    <n v="50000"/>
    <s v="GBP"/>
    <n v="78808.913603364199"/>
    <s v="Commercial Director"/>
    <x v="4"/>
    <s v="UK"/>
    <x v="14"/>
    <x v="0"/>
    <n v="10"/>
    <s v=""/>
    <s v=""/>
    <n v="1"/>
    <s v=""/>
    <s v=""/>
    <s v=""/>
    <x v="3"/>
    <x v="0"/>
    <x v="1"/>
    <x v="0"/>
    <x v="0"/>
    <x v="28"/>
    <x v="0"/>
    <x v="0"/>
    <x v="0"/>
    <x v="0"/>
    <x v="0"/>
  </r>
  <r>
    <s v="ID1696"/>
    <d v="2012-06-05T21:59:40"/>
    <n v="65000"/>
    <n v="65000"/>
    <s v="USD"/>
    <n v="65000"/>
    <s v="Business Analyst"/>
    <x v="0"/>
    <s v="USA"/>
    <x v="2"/>
    <x v="0"/>
    <n v="8"/>
    <s v=""/>
    <s v=""/>
    <n v="1"/>
    <s v=""/>
    <s v=""/>
    <s v=""/>
    <x v="3"/>
    <x v="0"/>
    <x v="84"/>
    <x v="0"/>
    <x v="0"/>
    <x v="0"/>
    <x v="0"/>
    <x v="0"/>
    <x v="0"/>
    <x v="0"/>
    <x v="0"/>
  </r>
  <r>
    <s v="ID1697"/>
    <d v="2012-06-05T22:05:10"/>
    <n v="75000"/>
    <n v="75000"/>
    <s v="USD"/>
    <n v="75000"/>
    <s v="Directer of Sales Support"/>
    <x v="4"/>
    <s v="USA"/>
    <x v="2"/>
    <x v="2"/>
    <n v="3"/>
    <s v=""/>
    <n v="1"/>
    <s v=""/>
    <s v=""/>
    <s v=""/>
    <s v=""/>
    <x v="1"/>
    <x v="0"/>
    <x v="1"/>
    <x v="0"/>
    <x v="0"/>
    <x v="2"/>
    <x v="0"/>
    <x v="0"/>
    <x v="0"/>
    <x v="0"/>
    <x v="0"/>
  </r>
  <r>
    <s v="ID1698"/>
    <d v="2012-06-05T22:44:27"/>
    <n v="92000"/>
    <n v="92000"/>
    <s v="USD"/>
    <n v="92000"/>
    <s v="Anallyst"/>
    <x v="0"/>
    <s v="USA"/>
    <x v="2"/>
    <x v="0"/>
    <n v="9"/>
    <s v=""/>
    <s v=""/>
    <n v="1"/>
    <s v=""/>
    <s v=""/>
    <s v=""/>
    <x v="3"/>
    <x v="0"/>
    <x v="47"/>
    <x v="0"/>
    <x v="0"/>
    <x v="0"/>
    <x v="0"/>
    <x v="0"/>
    <x v="0"/>
    <x v="0"/>
    <x v="0"/>
  </r>
  <r>
    <s v="ID1699"/>
    <d v="2012-06-05T22:50:20"/>
    <n v="40000"/>
    <n v="40000"/>
    <s v="EUR"/>
    <n v="50815.977559664309"/>
    <s v="Financial Analyst"/>
    <x v="0"/>
    <s v="Germany"/>
    <x v="5"/>
    <x v="2"/>
    <n v="3"/>
    <s v=""/>
    <n v="1"/>
    <s v=""/>
    <s v=""/>
    <s v=""/>
    <s v=""/>
    <x v="1"/>
    <x v="0"/>
    <x v="193"/>
    <x v="0"/>
    <x v="0"/>
    <x v="0"/>
    <x v="0"/>
    <x v="0"/>
    <x v="0"/>
    <x v="0"/>
    <x v="0"/>
  </r>
  <r>
    <s v="ID1700"/>
    <d v="2012-06-05T23:09:44"/>
    <s v="Â£35500"/>
    <n v="35500"/>
    <s v="GBP"/>
    <n v="55954.328658388586"/>
    <s v="Assistant Accountant"/>
    <x v="5"/>
    <s v="UK"/>
    <x v="14"/>
    <x v="0"/>
    <n v="8"/>
    <s v=""/>
    <s v=""/>
    <n v="1"/>
    <s v=""/>
    <s v=""/>
    <s v=""/>
    <x v="3"/>
    <x v="100"/>
    <x v="1"/>
    <x v="0"/>
    <x v="0"/>
    <x v="0"/>
    <x v="0"/>
    <x v="0"/>
    <x v="0"/>
    <x v="0"/>
    <x v="0"/>
  </r>
  <r>
    <s v="ID1701"/>
    <d v="2012-06-06T00:49:15"/>
    <n v="45000"/>
    <n v="45000"/>
    <s v="USD"/>
    <n v="45000"/>
    <s v="Bussiness Analyst"/>
    <x v="0"/>
    <s v="USA"/>
    <x v="2"/>
    <x v="2"/>
    <n v="4"/>
    <s v=""/>
    <n v="1"/>
    <s v=""/>
    <s v=""/>
    <s v=""/>
    <s v=""/>
    <x v="1"/>
    <x v="0"/>
    <x v="42"/>
    <x v="0"/>
    <x v="0"/>
    <x v="0"/>
    <x v="0"/>
    <x v="0"/>
    <x v="0"/>
    <x v="0"/>
    <x v="0"/>
  </r>
  <r>
    <s v="ID1702"/>
    <d v="2012-06-06T01:04:35"/>
    <s v="4 lacs INR"/>
    <n v="400000"/>
    <s v="INR"/>
    <n v="7123.1666749770275"/>
    <s v="Analyst"/>
    <x v="0"/>
    <s v="India"/>
    <x v="0"/>
    <x v="0"/>
    <n v="4"/>
    <s v=""/>
    <n v="1"/>
    <s v=""/>
    <s v=""/>
    <s v=""/>
    <s v=""/>
    <x v="1"/>
    <x v="0"/>
    <x v="92"/>
    <x v="0"/>
    <x v="0"/>
    <x v="0"/>
    <x v="0"/>
    <x v="0"/>
    <x v="0"/>
    <x v="0"/>
    <x v="0"/>
  </r>
  <r>
    <s v="ID1703"/>
    <d v="2012-06-06T01:26:56"/>
    <s v="38920EUR"/>
    <n v="38920"/>
    <s v="EUR"/>
    <n v="49443.946165553374"/>
    <s v="functional analyst"/>
    <x v="0"/>
    <s v="Belgium"/>
    <x v="12"/>
    <x v="0"/>
    <n v="1.5"/>
    <n v="1"/>
    <s v=""/>
    <s v=""/>
    <s v=""/>
    <s v=""/>
    <s v=""/>
    <x v="4"/>
    <x v="0"/>
    <x v="327"/>
    <x v="0"/>
    <x v="0"/>
    <x v="0"/>
    <x v="0"/>
    <x v="0"/>
    <x v="0"/>
    <x v="0"/>
    <x v="0"/>
  </r>
  <r>
    <s v="ID1704"/>
    <d v="2012-06-06T01:41:40"/>
    <s v="US$45,000"/>
    <n v="45000"/>
    <s v="USD"/>
    <n v="45000"/>
    <s v="CFO"/>
    <x v="4"/>
    <s v="Mexico"/>
    <x v="25"/>
    <x v="0"/>
    <n v="5"/>
    <s v=""/>
    <n v="1"/>
    <s v=""/>
    <s v=""/>
    <s v=""/>
    <s v=""/>
    <x v="1"/>
    <x v="0"/>
    <x v="1"/>
    <x v="0"/>
    <x v="0"/>
    <x v="35"/>
    <x v="0"/>
    <x v="0"/>
    <x v="0"/>
    <x v="0"/>
    <x v="0"/>
  </r>
  <r>
    <s v="ID1705"/>
    <d v="2012-06-06T02:11:58"/>
    <s v="US$60000"/>
    <n v="60000"/>
    <s v="USD"/>
    <n v="60000"/>
    <s v="Analyst"/>
    <x v="0"/>
    <s v="USA"/>
    <x v="2"/>
    <x v="1"/>
    <n v="1"/>
    <n v="1"/>
    <s v=""/>
    <s v=""/>
    <s v=""/>
    <s v=""/>
    <s v=""/>
    <x v="4"/>
    <x v="0"/>
    <x v="8"/>
    <x v="0"/>
    <x v="0"/>
    <x v="0"/>
    <x v="0"/>
    <x v="0"/>
    <x v="0"/>
    <x v="0"/>
    <x v="0"/>
  </r>
  <r>
    <s v="ID1706"/>
    <d v="2012-06-06T02:17:14"/>
    <n v="65000"/>
    <n v="65000"/>
    <s v="USD"/>
    <n v="65000"/>
    <s v="Actuarial Analyst"/>
    <x v="0"/>
    <s v="USA"/>
    <x v="2"/>
    <x v="1"/>
    <n v="4"/>
    <s v=""/>
    <n v="1"/>
    <s v=""/>
    <s v=""/>
    <s v=""/>
    <s v=""/>
    <x v="1"/>
    <x v="0"/>
    <x v="84"/>
    <x v="0"/>
    <x v="0"/>
    <x v="0"/>
    <x v="0"/>
    <x v="0"/>
    <x v="0"/>
    <x v="0"/>
    <x v="0"/>
  </r>
  <r>
    <s v="ID1707"/>
    <d v="2012-06-06T03:14:56"/>
    <n v="73000"/>
    <n v="73000"/>
    <s v="USD"/>
    <n v="73000"/>
    <s v="process coordinator"/>
    <x v="3"/>
    <s v="USA"/>
    <x v="2"/>
    <x v="2"/>
    <n v="6"/>
    <s v=""/>
    <s v=""/>
    <n v="1"/>
    <s v=""/>
    <s v=""/>
    <s v=""/>
    <x v="3"/>
    <x v="0"/>
    <x v="1"/>
    <x v="0"/>
    <x v="0"/>
    <x v="0"/>
    <x v="0"/>
    <x v="286"/>
    <x v="0"/>
    <x v="0"/>
    <x v="0"/>
  </r>
  <r>
    <s v="ID1708"/>
    <d v="2012-06-06T04:00:52"/>
    <n v="54000"/>
    <n v="54000"/>
    <s v="USD"/>
    <n v="54000"/>
    <s v="Energy Analyst"/>
    <x v="0"/>
    <s v="USA"/>
    <x v="2"/>
    <x v="1"/>
    <n v="6"/>
    <s v=""/>
    <s v=""/>
    <n v="1"/>
    <s v=""/>
    <s v=""/>
    <s v=""/>
    <x v="3"/>
    <x v="0"/>
    <x v="43"/>
    <x v="0"/>
    <x v="0"/>
    <x v="0"/>
    <x v="0"/>
    <x v="0"/>
    <x v="0"/>
    <x v="0"/>
    <x v="0"/>
  </r>
  <r>
    <s v="ID1710"/>
    <d v="2012-06-06T05:52:59"/>
    <n v="81000"/>
    <n v="81000"/>
    <s v="USD"/>
    <n v="81000"/>
    <s v="Contact Operations Analyst"/>
    <x v="0"/>
    <s v="USA"/>
    <x v="2"/>
    <x v="0"/>
    <n v="6"/>
    <s v=""/>
    <s v=""/>
    <n v="1"/>
    <s v=""/>
    <s v=""/>
    <s v=""/>
    <x v="3"/>
    <x v="0"/>
    <x v="328"/>
    <x v="0"/>
    <x v="0"/>
    <x v="0"/>
    <x v="0"/>
    <x v="0"/>
    <x v="0"/>
    <x v="0"/>
    <x v="0"/>
  </r>
  <r>
    <s v="ID1711"/>
    <d v="2012-06-06T07:28:48"/>
    <n v="10000"/>
    <n v="10000"/>
    <s v="USD"/>
    <n v="10000"/>
    <s v="Student assistant"/>
    <x v="0"/>
    <s v="USA"/>
    <x v="2"/>
    <x v="0"/>
    <n v="2"/>
    <n v="1"/>
    <s v=""/>
    <s v=""/>
    <s v=""/>
    <s v=""/>
    <s v=""/>
    <x v="4"/>
    <x v="0"/>
    <x v="167"/>
    <x v="0"/>
    <x v="0"/>
    <x v="0"/>
    <x v="0"/>
    <x v="0"/>
    <x v="0"/>
    <x v="0"/>
    <x v="0"/>
  </r>
  <r>
    <s v="ID1712"/>
    <d v="2012-06-06T08:25:56"/>
    <n v="42000"/>
    <n v="42000"/>
    <s v="USD"/>
    <n v="42000"/>
    <s v="Staff Accountant"/>
    <x v="5"/>
    <s v="USA"/>
    <x v="2"/>
    <x v="0"/>
    <n v="1"/>
    <n v="1"/>
    <s v=""/>
    <s v=""/>
    <s v=""/>
    <s v=""/>
    <s v=""/>
    <x v="4"/>
    <x v="101"/>
    <x v="1"/>
    <x v="0"/>
    <x v="0"/>
    <x v="0"/>
    <x v="0"/>
    <x v="0"/>
    <x v="0"/>
    <x v="0"/>
    <x v="0"/>
  </r>
  <r>
    <s v="ID1713"/>
    <d v="2012-06-06T09:31:47"/>
    <n v="80000"/>
    <n v="80000"/>
    <s v="AUD"/>
    <n v="81592.772512210868"/>
    <s v="PPC Search Specialist"/>
    <x v="6"/>
    <s v="Australia"/>
    <x v="16"/>
    <x v="0"/>
    <n v="5"/>
    <s v=""/>
    <n v="1"/>
    <s v=""/>
    <s v=""/>
    <s v=""/>
    <s v=""/>
    <x v="1"/>
    <x v="0"/>
    <x v="1"/>
    <x v="0"/>
    <x v="0"/>
    <x v="0"/>
    <x v="0"/>
    <x v="0"/>
    <x v="0"/>
    <x v="0"/>
    <x v="43"/>
  </r>
  <r>
    <s v="ID1714"/>
    <d v="2012-06-06T11:21:08"/>
    <n v="36000"/>
    <n v="36000"/>
    <s v="CAD"/>
    <n v="35401.014829091764"/>
    <s v="data organizer"/>
    <x v="0"/>
    <s v="Canada"/>
    <x v="17"/>
    <x v="1"/>
    <n v="2"/>
    <n v="1"/>
    <s v=""/>
    <s v=""/>
    <s v=""/>
    <s v=""/>
    <s v=""/>
    <x v="4"/>
    <x v="0"/>
    <x v="329"/>
    <x v="0"/>
    <x v="0"/>
    <x v="0"/>
    <x v="0"/>
    <x v="0"/>
    <x v="0"/>
    <x v="0"/>
    <x v="0"/>
  </r>
  <r>
    <s v="ID1716"/>
    <d v="2012-06-06T16:03:39"/>
    <n v="500000"/>
    <n v="500000"/>
    <s v="INR"/>
    <n v="8903.9583437212841"/>
    <s v="Sr. Associate"/>
    <x v="0"/>
    <s v="India"/>
    <x v="0"/>
    <x v="0"/>
    <n v="4"/>
    <s v=""/>
    <n v="1"/>
    <s v=""/>
    <s v=""/>
    <s v=""/>
    <s v=""/>
    <x v="1"/>
    <x v="0"/>
    <x v="51"/>
    <x v="0"/>
    <x v="0"/>
    <x v="0"/>
    <x v="0"/>
    <x v="0"/>
    <x v="0"/>
    <x v="0"/>
    <x v="0"/>
  </r>
  <r>
    <s v="ID1717"/>
    <d v="2012-06-06T17:41:41"/>
    <n v="600000"/>
    <n v="600000"/>
    <s v="INR"/>
    <n v="10684.750012465542"/>
    <s v="admin"/>
    <x v="0"/>
    <s v="India"/>
    <x v="0"/>
    <x v="1"/>
    <n v="5"/>
    <s v=""/>
    <n v="1"/>
    <s v=""/>
    <s v=""/>
    <s v=""/>
    <s v=""/>
    <x v="1"/>
    <x v="0"/>
    <x v="147"/>
    <x v="0"/>
    <x v="0"/>
    <x v="0"/>
    <x v="0"/>
    <x v="0"/>
    <x v="0"/>
    <x v="0"/>
    <x v="0"/>
  </r>
  <r>
    <s v="ID1718"/>
    <d v="2012-06-06T18:52:03"/>
    <n v="700"/>
    <n v="8400"/>
    <s v="USD"/>
    <n v="8400"/>
    <s v="gov employee"/>
    <x v="0"/>
    <s v="indonesia"/>
    <x v="55"/>
    <x v="0"/>
    <n v="14"/>
    <s v=""/>
    <s v=""/>
    <s v=""/>
    <n v="1"/>
    <s v=""/>
    <s v=""/>
    <x v="5"/>
    <x v="0"/>
    <x v="330"/>
    <x v="0"/>
    <x v="0"/>
    <x v="0"/>
    <x v="0"/>
    <x v="0"/>
    <x v="0"/>
    <x v="0"/>
    <x v="0"/>
  </r>
  <r>
    <s v="ID1719"/>
    <d v="2012-06-06T19:39:06"/>
    <n v="550000"/>
    <n v="550000"/>
    <s v="INR"/>
    <n v="9794.354178093412"/>
    <s v="Accounts manager"/>
    <x v="3"/>
    <s v="India"/>
    <x v="0"/>
    <x v="0"/>
    <n v="13"/>
    <s v=""/>
    <s v=""/>
    <s v=""/>
    <n v="1"/>
    <s v=""/>
    <s v=""/>
    <x v="5"/>
    <x v="0"/>
    <x v="1"/>
    <x v="0"/>
    <x v="0"/>
    <x v="0"/>
    <x v="0"/>
    <x v="3"/>
    <x v="0"/>
    <x v="0"/>
    <x v="0"/>
  </r>
  <r>
    <s v="ID1720"/>
    <d v="2012-06-06T19:54:49"/>
    <n v="1200"/>
    <n v="14400"/>
    <s v="USD"/>
    <n v="14400"/>
    <s v="Engineer"/>
    <x v="2"/>
    <s v="India"/>
    <x v="0"/>
    <x v="3"/>
    <n v="8"/>
    <s v=""/>
    <s v=""/>
    <n v="1"/>
    <s v=""/>
    <s v=""/>
    <s v=""/>
    <x v="3"/>
    <x v="0"/>
    <x v="1"/>
    <x v="0"/>
    <x v="0"/>
    <x v="0"/>
    <x v="55"/>
    <x v="0"/>
    <x v="0"/>
    <x v="0"/>
    <x v="0"/>
  </r>
  <r>
    <s v="ID1721"/>
    <d v="2012-06-06T20:07:43"/>
    <s v="1.5 LINR"/>
    <n v="150000"/>
    <s v="INR"/>
    <n v="2671.1875031163854"/>
    <s v="MIS Executive"/>
    <x v="7"/>
    <s v="India"/>
    <x v="0"/>
    <x v="1"/>
    <n v="3"/>
    <s v=""/>
    <n v="1"/>
    <s v=""/>
    <s v=""/>
    <s v=""/>
    <s v=""/>
    <x v="1"/>
    <x v="0"/>
    <x v="1"/>
    <x v="0"/>
    <x v="0"/>
    <x v="0"/>
    <x v="0"/>
    <x v="0"/>
    <x v="0"/>
    <x v="57"/>
    <x v="0"/>
  </r>
  <r>
    <s v="ID1722"/>
    <d v="2012-06-06T20:41:35"/>
    <n v="22000"/>
    <n v="22000"/>
    <s v="USD"/>
    <n v="22000"/>
    <s v="Manager (MIS)"/>
    <x v="3"/>
    <s v="India"/>
    <x v="0"/>
    <x v="1"/>
    <n v="6"/>
    <s v=""/>
    <s v=""/>
    <n v="1"/>
    <s v=""/>
    <s v=""/>
    <s v=""/>
    <x v="3"/>
    <x v="0"/>
    <x v="1"/>
    <x v="0"/>
    <x v="0"/>
    <x v="0"/>
    <x v="0"/>
    <x v="80"/>
    <x v="0"/>
    <x v="0"/>
    <x v="0"/>
  </r>
  <r>
    <s v="ID1723"/>
    <d v="2012-06-06T21:18:51"/>
    <n v="100000"/>
    <n v="100000"/>
    <s v="USD"/>
    <n v="100000"/>
    <s v="financial analyst (real estate)"/>
    <x v="0"/>
    <s v="Russia"/>
    <x v="13"/>
    <x v="1"/>
    <n v="6"/>
    <s v=""/>
    <s v=""/>
    <n v="1"/>
    <s v=""/>
    <s v=""/>
    <s v=""/>
    <x v="3"/>
    <x v="0"/>
    <x v="13"/>
    <x v="0"/>
    <x v="0"/>
    <x v="0"/>
    <x v="0"/>
    <x v="0"/>
    <x v="0"/>
    <x v="0"/>
    <x v="0"/>
  </r>
  <r>
    <s v="ID1724"/>
    <d v="2012-06-06T21:20:38"/>
    <n v="40000"/>
    <n v="40000"/>
    <s v="GBP"/>
    <n v="63047.130882691366"/>
    <s v="project manager"/>
    <x v="3"/>
    <s v="UK"/>
    <x v="14"/>
    <x v="0"/>
    <n v="15"/>
    <s v=""/>
    <s v=""/>
    <s v=""/>
    <n v="1"/>
    <s v=""/>
    <s v=""/>
    <x v="5"/>
    <x v="0"/>
    <x v="1"/>
    <x v="0"/>
    <x v="0"/>
    <x v="0"/>
    <x v="0"/>
    <x v="215"/>
    <x v="0"/>
    <x v="0"/>
    <x v="0"/>
  </r>
  <r>
    <s v="ID1725"/>
    <d v="2012-06-06T22:14:27"/>
    <s v="36000stg"/>
    <n v="36000"/>
    <s v="GBP"/>
    <n v="56742.417794422225"/>
    <s v="contracts officer"/>
    <x v="3"/>
    <s v="UK"/>
    <x v="14"/>
    <x v="3"/>
    <n v="25"/>
    <s v=""/>
    <s v=""/>
    <s v=""/>
    <s v=""/>
    <s v=""/>
    <n v="1"/>
    <x v="6"/>
    <x v="0"/>
    <x v="1"/>
    <x v="0"/>
    <x v="0"/>
    <x v="0"/>
    <x v="0"/>
    <x v="287"/>
    <x v="0"/>
    <x v="0"/>
    <x v="0"/>
  </r>
  <r>
    <s v="ID1726"/>
    <d v="2012-06-06T22:42:16"/>
    <n v="25000"/>
    <n v="25000"/>
    <s v="USD"/>
    <n v="25000"/>
    <s v="exe"/>
    <x v="0"/>
    <s v="India"/>
    <x v="0"/>
    <x v="1"/>
    <n v="8"/>
    <s v=""/>
    <s v=""/>
    <n v="1"/>
    <s v=""/>
    <s v=""/>
    <s v=""/>
    <x v="3"/>
    <x v="0"/>
    <x v="295"/>
    <x v="0"/>
    <x v="0"/>
    <x v="0"/>
    <x v="0"/>
    <x v="0"/>
    <x v="0"/>
    <x v="0"/>
    <x v="0"/>
  </r>
  <r>
    <s v="ID1727"/>
    <d v="2012-06-07T00:32:24"/>
    <s v="500000vINR"/>
    <n v="500000"/>
    <s v="INR"/>
    <n v="8903.9583437212841"/>
    <s v="Business Analyst"/>
    <x v="0"/>
    <s v="India"/>
    <x v="0"/>
    <x v="0"/>
    <n v="2"/>
    <n v="1"/>
    <s v=""/>
    <s v=""/>
    <s v=""/>
    <s v=""/>
    <s v=""/>
    <x v="4"/>
    <x v="0"/>
    <x v="51"/>
    <x v="0"/>
    <x v="0"/>
    <x v="0"/>
    <x v="0"/>
    <x v="0"/>
    <x v="0"/>
    <x v="0"/>
    <x v="0"/>
  </r>
  <r>
    <s v="ID1729"/>
    <d v="2012-06-07T06:22:17"/>
    <s v="Â£27000"/>
    <n v="27000"/>
    <s v="GBP"/>
    <n v="42556.81334581667"/>
    <s v="Network Designer"/>
    <x v="0"/>
    <s v="UK"/>
    <x v="14"/>
    <x v="0"/>
    <n v="2"/>
    <n v="1"/>
    <s v=""/>
    <s v=""/>
    <s v=""/>
    <s v=""/>
    <s v=""/>
    <x v="4"/>
    <x v="0"/>
    <x v="331"/>
    <x v="0"/>
    <x v="0"/>
    <x v="0"/>
    <x v="0"/>
    <x v="0"/>
    <x v="0"/>
    <x v="0"/>
    <x v="0"/>
  </r>
  <r>
    <s v="ID1730"/>
    <d v="2012-06-07T08:36:51"/>
    <n v="134000"/>
    <n v="134000"/>
    <s v="CAD"/>
    <n v="131770.4440860638"/>
    <s v="Senior Production Accountant"/>
    <x v="5"/>
    <s v="Canada"/>
    <x v="17"/>
    <x v="1"/>
    <n v="20"/>
    <s v=""/>
    <s v=""/>
    <s v=""/>
    <s v=""/>
    <n v="1"/>
    <s v=""/>
    <x v="2"/>
    <x v="102"/>
    <x v="1"/>
    <x v="0"/>
    <x v="0"/>
    <x v="0"/>
    <x v="0"/>
    <x v="0"/>
    <x v="0"/>
    <x v="0"/>
    <x v="0"/>
  </r>
  <r>
    <s v="ID1731"/>
    <d v="2012-06-07T09:25:45"/>
    <n v="70000"/>
    <n v="70000"/>
    <s v="CAD"/>
    <n v="68835.306612122877"/>
    <s v="Financial Analyst"/>
    <x v="0"/>
    <s v="Canada"/>
    <x v="17"/>
    <x v="1"/>
    <n v="2"/>
    <n v="1"/>
    <s v=""/>
    <s v=""/>
    <s v=""/>
    <s v=""/>
    <s v=""/>
    <x v="4"/>
    <x v="0"/>
    <x v="332"/>
    <x v="0"/>
    <x v="0"/>
    <x v="0"/>
    <x v="0"/>
    <x v="0"/>
    <x v="0"/>
    <x v="0"/>
    <x v="0"/>
  </r>
  <r>
    <s v="ID1732"/>
    <d v="2012-06-07T14:06:38"/>
    <s v="6000 US"/>
    <n v="6000"/>
    <s v="USD"/>
    <n v="6000"/>
    <s v="Reporting Coordinator"/>
    <x v="7"/>
    <s v="Armenia"/>
    <x v="101"/>
    <x v="1"/>
    <n v="5"/>
    <s v=""/>
    <n v="1"/>
    <s v=""/>
    <s v=""/>
    <s v=""/>
    <s v=""/>
    <x v="1"/>
    <x v="0"/>
    <x v="1"/>
    <x v="0"/>
    <x v="0"/>
    <x v="0"/>
    <x v="0"/>
    <x v="0"/>
    <x v="0"/>
    <x v="11"/>
    <x v="0"/>
  </r>
  <r>
    <s v="ID1733"/>
    <d v="2012-06-07T15:19:53"/>
    <n v="50000"/>
    <n v="50000"/>
    <s v="GBP"/>
    <n v="78808.913603364199"/>
    <s v="Research Analyst"/>
    <x v="0"/>
    <s v="UK"/>
    <x v="14"/>
    <x v="2"/>
    <n v="2"/>
    <n v="1"/>
    <s v=""/>
    <s v=""/>
    <s v=""/>
    <s v=""/>
    <s v=""/>
    <x v="4"/>
    <x v="0"/>
    <x v="200"/>
    <x v="0"/>
    <x v="0"/>
    <x v="0"/>
    <x v="0"/>
    <x v="0"/>
    <x v="0"/>
    <x v="0"/>
    <x v="0"/>
  </r>
  <r>
    <s v="ID1734"/>
    <d v="2012-06-07T16:45:01"/>
    <n v="421000"/>
    <n v="421000"/>
    <s v="INR"/>
    <n v="7497.1329254133216"/>
    <s v="PMO Analyst"/>
    <x v="0"/>
    <s v="India"/>
    <x v="0"/>
    <x v="0"/>
    <n v="4"/>
    <s v=""/>
    <n v="1"/>
    <s v=""/>
    <s v=""/>
    <s v=""/>
    <s v=""/>
    <x v="1"/>
    <x v="0"/>
    <x v="333"/>
    <x v="0"/>
    <x v="0"/>
    <x v="0"/>
    <x v="0"/>
    <x v="0"/>
    <x v="0"/>
    <x v="0"/>
    <x v="0"/>
  </r>
  <r>
    <s v="ID1735"/>
    <d v="2012-06-07T16:53:54"/>
    <n v="10000"/>
    <n v="10000"/>
    <s v="USD"/>
    <n v="10000"/>
    <s v="AGM - Operations &amp; Customer Support"/>
    <x v="3"/>
    <s v="India"/>
    <x v="0"/>
    <x v="0"/>
    <n v="11"/>
    <s v=""/>
    <s v=""/>
    <s v=""/>
    <n v="1"/>
    <s v=""/>
    <s v=""/>
    <x v="5"/>
    <x v="0"/>
    <x v="1"/>
    <x v="0"/>
    <x v="0"/>
    <x v="0"/>
    <x v="0"/>
    <x v="130"/>
    <x v="0"/>
    <x v="0"/>
    <x v="0"/>
  </r>
  <r>
    <s v="ID1736"/>
    <d v="2012-06-07T17:09:18"/>
    <n v="360000"/>
    <n v="360000"/>
    <s v="INR"/>
    <n v="6410.8500074793246"/>
    <s v="Baan ERP Functional Consultant"/>
    <x v="8"/>
    <s v="India"/>
    <x v="0"/>
    <x v="3"/>
    <n v="2"/>
    <n v="1"/>
    <s v=""/>
    <s v=""/>
    <s v=""/>
    <s v=""/>
    <s v=""/>
    <x v="4"/>
    <x v="0"/>
    <x v="1"/>
    <x v="71"/>
    <x v="0"/>
    <x v="0"/>
    <x v="0"/>
    <x v="0"/>
    <x v="0"/>
    <x v="0"/>
    <x v="0"/>
  </r>
  <r>
    <s v="ID1737"/>
    <d v="2012-06-07T17:13:42"/>
    <n v="40000"/>
    <n v="40000"/>
    <s v="GBP"/>
    <n v="63047.130882691366"/>
    <s v="Analyst"/>
    <x v="0"/>
    <s v="UK"/>
    <x v="14"/>
    <x v="0"/>
    <n v="5"/>
    <s v=""/>
    <n v="1"/>
    <s v=""/>
    <s v=""/>
    <s v=""/>
    <s v=""/>
    <x v="1"/>
    <x v="0"/>
    <x v="334"/>
    <x v="0"/>
    <x v="0"/>
    <x v="0"/>
    <x v="0"/>
    <x v="0"/>
    <x v="0"/>
    <x v="0"/>
    <x v="0"/>
  </r>
  <r>
    <s v="ID1738"/>
    <d v="2012-06-07T20:10:41"/>
    <n v="60000"/>
    <n v="60000"/>
    <s v="AUD"/>
    <n v="61194.579384158147"/>
    <s v="business analyst"/>
    <x v="0"/>
    <s v="Australia"/>
    <x v="16"/>
    <x v="2"/>
    <n v="3"/>
    <s v=""/>
    <n v="1"/>
    <s v=""/>
    <s v=""/>
    <s v=""/>
    <s v=""/>
    <x v="1"/>
    <x v="0"/>
    <x v="126"/>
    <x v="0"/>
    <x v="0"/>
    <x v="0"/>
    <x v="0"/>
    <x v="0"/>
    <x v="0"/>
    <x v="0"/>
    <x v="0"/>
  </r>
  <r>
    <s v="ID1739"/>
    <d v="2012-06-07T20:48:04"/>
    <s v="Â£73000"/>
    <n v="73000"/>
    <s v="GBP"/>
    <n v="115061.01386091174"/>
    <s v="Financial Controller"/>
    <x v="1"/>
    <s v="UK"/>
    <x v="14"/>
    <x v="0"/>
    <n v="8"/>
    <s v=""/>
    <s v=""/>
    <n v="1"/>
    <s v=""/>
    <s v=""/>
    <s v=""/>
    <x v="3"/>
    <x v="0"/>
    <x v="1"/>
    <x v="0"/>
    <x v="56"/>
    <x v="0"/>
    <x v="0"/>
    <x v="0"/>
    <x v="0"/>
    <x v="0"/>
    <x v="0"/>
  </r>
  <r>
    <s v="ID1740"/>
    <d v="2012-06-07T23:33:23"/>
    <n v="45000"/>
    <n v="45000"/>
    <s v="USD"/>
    <n v="45000"/>
    <s v="Sourcing Analyst"/>
    <x v="0"/>
    <s v="USA"/>
    <x v="2"/>
    <x v="1"/>
    <n v="2"/>
    <n v="1"/>
    <s v=""/>
    <s v=""/>
    <s v=""/>
    <s v=""/>
    <s v=""/>
    <x v="4"/>
    <x v="0"/>
    <x v="42"/>
    <x v="0"/>
    <x v="0"/>
    <x v="0"/>
    <x v="0"/>
    <x v="0"/>
    <x v="0"/>
    <x v="0"/>
    <x v="0"/>
  </r>
  <r>
    <s v="ID1741"/>
    <d v="2012-06-07T23:48:29"/>
    <n v="36000"/>
    <n v="36000"/>
    <s v="USD"/>
    <n v="36000"/>
    <s v="clerk"/>
    <x v="0"/>
    <s v="USA"/>
    <x v="2"/>
    <x v="0"/>
    <n v="4"/>
    <s v=""/>
    <n v="1"/>
    <s v=""/>
    <s v=""/>
    <s v=""/>
    <s v=""/>
    <x v="1"/>
    <x v="0"/>
    <x v="32"/>
    <x v="0"/>
    <x v="0"/>
    <x v="0"/>
    <x v="0"/>
    <x v="0"/>
    <x v="0"/>
    <x v="0"/>
    <x v="0"/>
  </r>
  <r>
    <s v="ID1742"/>
    <d v="2012-06-08T00:01:49"/>
    <n v="68000"/>
    <n v="68000"/>
    <s v="USD"/>
    <n v="68000"/>
    <s v="Tax Associate"/>
    <x v="0"/>
    <s v="USA"/>
    <x v="2"/>
    <x v="0"/>
    <n v="2.5"/>
    <s v=""/>
    <n v="1"/>
    <s v=""/>
    <s v=""/>
    <s v=""/>
    <s v=""/>
    <x v="1"/>
    <x v="0"/>
    <x v="17"/>
    <x v="0"/>
    <x v="0"/>
    <x v="0"/>
    <x v="0"/>
    <x v="0"/>
    <x v="0"/>
    <x v="0"/>
    <x v="0"/>
  </r>
  <r>
    <s v="ID1743"/>
    <d v="2012-06-08T00:21:23"/>
    <n v="75000"/>
    <n v="75000"/>
    <s v="USD"/>
    <n v="75000"/>
    <s v="Senior Financial Analyst"/>
    <x v="0"/>
    <s v="USA"/>
    <x v="2"/>
    <x v="1"/>
    <n v="5"/>
    <s v=""/>
    <n v="1"/>
    <s v=""/>
    <s v=""/>
    <s v=""/>
    <s v=""/>
    <x v="1"/>
    <x v="0"/>
    <x v="29"/>
    <x v="0"/>
    <x v="0"/>
    <x v="0"/>
    <x v="0"/>
    <x v="0"/>
    <x v="0"/>
    <x v="0"/>
    <x v="0"/>
  </r>
  <r>
    <s v="ID1744"/>
    <d v="2012-06-08T02:27:13"/>
    <n v="88000"/>
    <n v="88000"/>
    <s v="USD"/>
    <n v="88000"/>
    <s v="Senior Fiancial Analyst"/>
    <x v="0"/>
    <s v="USA"/>
    <x v="2"/>
    <x v="1"/>
    <n v="10"/>
    <s v=""/>
    <s v=""/>
    <n v="1"/>
    <s v=""/>
    <s v=""/>
    <s v=""/>
    <x v="3"/>
    <x v="0"/>
    <x v="335"/>
    <x v="0"/>
    <x v="0"/>
    <x v="0"/>
    <x v="0"/>
    <x v="0"/>
    <x v="0"/>
    <x v="0"/>
    <x v="0"/>
  </r>
  <r>
    <s v="ID1745"/>
    <d v="2012-06-08T02:28:45"/>
    <s v="Rs. 21500"/>
    <n v="258000"/>
    <s v="INR"/>
    <n v="4594.4425053601826"/>
    <s v="Senior Data Associate"/>
    <x v="0"/>
    <s v="India"/>
    <x v="0"/>
    <x v="0"/>
    <n v="4"/>
    <s v=""/>
    <n v="1"/>
    <s v=""/>
    <s v=""/>
    <s v=""/>
    <s v=""/>
    <x v="1"/>
    <x v="0"/>
    <x v="336"/>
    <x v="0"/>
    <x v="0"/>
    <x v="0"/>
    <x v="0"/>
    <x v="0"/>
    <x v="0"/>
    <x v="0"/>
    <x v="0"/>
  </r>
  <r>
    <s v="ID1746"/>
    <d v="2012-06-08T03:23:20"/>
    <n v="69000"/>
    <n v="69000"/>
    <s v="USD"/>
    <n v="69000"/>
    <s v="Business Analyst II"/>
    <x v="0"/>
    <s v="USA"/>
    <x v="2"/>
    <x v="1"/>
    <n v="15"/>
    <s v=""/>
    <s v=""/>
    <s v=""/>
    <n v="1"/>
    <s v=""/>
    <s v=""/>
    <x v="5"/>
    <x v="0"/>
    <x v="235"/>
    <x v="0"/>
    <x v="0"/>
    <x v="0"/>
    <x v="0"/>
    <x v="0"/>
    <x v="0"/>
    <x v="0"/>
    <x v="0"/>
  </r>
  <r>
    <s v="ID1747"/>
    <d v="2012-06-08T03:34:51"/>
    <n v="30000"/>
    <n v="30000"/>
    <s v="USD"/>
    <n v="30000"/>
    <s v="Inventory Manager"/>
    <x v="3"/>
    <s v="USA"/>
    <x v="2"/>
    <x v="0"/>
    <n v="1"/>
    <n v="1"/>
    <s v=""/>
    <s v=""/>
    <s v=""/>
    <s v=""/>
    <s v=""/>
    <x v="4"/>
    <x v="0"/>
    <x v="1"/>
    <x v="0"/>
    <x v="0"/>
    <x v="0"/>
    <x v="0"/>
    <x v="99"/>
    <x v="0"/>
    <x v="0"/>
    <x v="0"/>
  </r>
  <r>
    <s v="ID1748"/>
    <d v="2012-06-08T04:51:45"/>
    <n v="80000"/>
    <n v="80000"/>
    <s v="USD"/>
    <n v="80000"/>
    <s v="Sales / Finance Manager"/>
    <x v="3"/>
    <s v="USA"/>
    <x v="2"/>
    <x v="0"/>
    <n v="7"/>
    <s v=""/>
    <s v=""/>
    <n v="1"/>
    <s v=""/>
    <s v=""/>
    <s v=""/>
    <x v="3"/>
    <x v="0"/>
    <x v="1"/>
    <x v="0"/>
    <x v="0"/>
    <x v="0"/>
    <x v="0"/>
    <x v="50"/>
    <x v="0"/>
    <x v="0"/>
    <x v="0"/>
  </r>
  <r>
    <s v="ID1749"/>
    <d v="2012-06-08T06:42:32"/>
    <n v="75000"/>
    <n v="75000"/>
    <s v="USD"/>
    <n v="75000"/>
    <s v="actuary"/>
    <x v="5"/>
    <s v="USA"/>
    <x v="2"/>
    <x v="1"/>
    <n v="1"/>
    <n v="1"/>
    <s v=""/>
    <s v=""/>
    <s v=""/>
    <s v=""/>
    <s v=""/>
    <x v="4"/>
    <x v="99"/>
    <x v="1"/>
    <x v="0"/>
    <x v="0"/>
    <x v="0"/>
    <x v="0"/>
    <x v="0"/>
    <x v="0"/>
    <x v="0"/>
    <x v="0"/>
  </r>
  <r>
    <s v="ID1750"/>
    <d v="2012-06-08T08:15:54"/>
    <n v="31200"/>
    <n v="31200"/>
    <s v="USD"/>
    <n v="31200"/>
    <s v="Risk analyst"/>
    <x v="0"/>
    <s v="Brazil"/>
    <x v="20"/>
    <x v="0"/>
    <n v="4"/>
    <s v=""/>
    <n v="1"/>
    <s v=""/>
    <s v=""/>
    <s v=""/>
    <s v=""/>
    <x v="1"/>
    <x v="0"/>
    <x v="308"/>
    <x v="0"/>
    <x v="0"/>
    <x v="0"/>
    <x v="0"/>
    <x v="0"/>
    <x v="0"/>
    <x v="0"/>
    <x v="0"/>
  </r>
  <r>
    <s v="ID1751"/>
    <d v="2012-06-08T09:46:59"/>
    <n v="85000"/>
    <n v="85000"/>
    <s v="USD"/>
    <n v="85000"/>
    <s v="Actuary"/>
    <x v="5"/>
    <s v="USA"/>
    <x v="2"/>
    <x v="0"/>
    <n v="20"/>
    <s v=""/>
    <s v=""/>
    <s v=""/>
    <s v=""/>
    <n v="1"/>
    <s v=""/>
    <x v="2"/>
    <x v="54"/>
    <x v="1"/>
    <x v="0"/>
    <x v="0"/>
    <x v="0"/>
    <x v="0"/>
    <x v="0"/>
    <x v="0"/>
    <x v="0"/>
    <x v="0"/>
  </r>
  <r>
    <s v="ID1752"/>
    <d v="2012-06-08T13:38:45"/>
    <s v="9,50,000"/>
    <n v="950000"/>
    <s v="INR"/>
    <n v="16917.52085307044"/>
    <s v="Associate Manager, Drug Safety Operations"/>
    <x v="3"/>
    <s v="India"/>
    <x v="0"/>
    <x v="2"/>
    <n v="9"/>
    <s v=""/>
    <s v=""/>
    <n v="1"/>
    <s v=""/>
    <s v=""/>
    <s v=""/>
    <x v="3"/>
    <x v="0"/>
    <x v="1"/>
    <x v="0"/>
    <x v="0"/>
    <x v="0"/>
    <x v="0"/>
    <x v="139"/>
    <x v="0"/>
    <x v="0"/>
    <x v="0"/>
  </r>
  <r>
    <s v="ID1753"/>
    <d v="2012-06-08T13:55:44"/>
    <s v="15000inr"/>
    <n v="180000"/>
    <s v="INR"/>
    <n v="3205.4250037396623"/>
    <s v="mis"/>
    <x v="7"/>
    <s v="India"/>
    <x v="0"/>
    <x v="0"/>
    <n v="2"/>
    <n v="1"/>
    <s v=""/>
    <s v=""/>
    <s v=""/>
    <s v=""/>
    <s v=""/>
    <x v="4"/>
    <x v="0"/>
    <x v="1"/>
    <x v="0"/>
    <x v="0"/>
    <x v="0"/>
    <x v="0"/>
    <x v="0"/>
    <x v="0"/>
    <x v="31"/>
    <x v="0"/>
  </r>
  <r>
    <s v="ID1754"/>
    <d v="2012-06-08T14:43:05"/>
    <n v="60000"/>
    <n v="60000"/>
    <s v="USD"/>
    <n v="60000"/>
    <s v="Project Lead "/>
    <x v="3"/>
    <s v="USA"/>
    <x v="2"/>
    <x v="1"/>
    <n v="2"/>
    <n v="1"/>
    <s v=""/>
    <s v=""/>
    <s v=""/>
    <s v=""/>
    <s v=""/>
    <x v="4"/>
    <x v="0"/>
    <x v="1"/>
    <x v="0"/>
    <x v="0"/>
    <x v="0"/>
    <x v="0"/>
    <x v="76"/>
    <x v="0"/>
    <x v="0"/>
    <x v="0"/>
  </r>
  <r>
    <s v="ID1755"/>
    <d v="2012-06-08T14:43:40"/>
    <n v="60000"/>
    <n v="60000"/>
    <s v="USD"/>
    <n v="60000"/>
    <s v="Project Lead "/>
    <x v="3"/>
    <s v="USA"/>
    <x v="2"/>
    <x v="1"/>
    <n v="2"/>
    <n v="1"/>
    <s v=""/>
    <s v=""/>
    <s v=""/>
    <s v=""/>
    <s v=""/>
    <x v="4"/>
    <x v="0"/>
    <x v="1"/>
    <x v="0"/>
    <x v="0"/>
    <x v="0"/>
    <x v="0"/>
    <x v="76"/>
    <x v="0"/>
    <x v="0"/>
    <x v="0"/>
  </r>
  <r>
    <s v="ID1756"/>
    <d v="2012-06-08T15:43:16"/>
    <s v="INR800000"/>
    <n v="800000"/>
    <s v="INR"/>
    <n v="14246.333349954055"/>
    <s v="MANAGER"/>
    <x v="3"/>
    <s v="India"/>
    <x v="0"/>
    <x v="2"/>
    <n v="0"/>
    <n v="1"/>
    <s v=""/>
    <s v=""/>
    <s v=""/>
    <s v=""/>
    <s v=""/>
    <x v="4"/>
    <x v="0"/>
    <x v="1"/>
    <x v="0"/>
    <x v="0"/>
    <x v="0"/>
    <x v="0"/>
    <x v="13"/>
    <x v="0"/>
    <x v="0"/>
    <x v="0"/>
  </r>
  <r>
    <s v="ID1757"/>
    <d v="2012-06-08T15:45:14"/>
    <n v="800000"/>
    <n v="800000"/>
    <s v="INR"/>
    <n v="14246.333349954055"/>
    <s v="MANAGER"/>
    <x v="3"/>
    <s v="India"/>
    <x v="0"/>
    <x v="2"/>
    <n v="0"/>
    <n v="1"/>
    <s v=""/>
    <s v=""/>
    <s v=""/>
    <s v=""/>
    <s v=""/>
    <x v="4"/>
    <x v="0"/>
    <x v="1"/>
    <x v="0"/>
    <x v="0"/>
    <x v="0"/>
    <x v="0"/>
    <x v="13"/>
    <x v="0"/>
    <x v="0"/>
    <x v="0"/>
  </r>
  <r>
    <s v="ID1758"/>
    <d v="2012-06-08T18:48:12"/>
    <n v="28995"/>
    <n v="28995"/>
    <s v="USD"/>
    <n v="28995"/>
    <s v="Senior Executive"/>
    <x v="3"/>
    <s v="India"/>
    <x v="0"/>
    <x v="0"/>
    <n v="6"/>
    <s v=""/>
    <s v=""/>
    <n v="1"/>
    <s v=""/>
    <s v=""/>
    <s v=""/>
    <x v="3"/>
    <x v="0"/>
    <x v="1"/>
    <x v="0"/>
    <x v="0"/>
    <x v="0"/>
    <x v="0"/>
    <x v="288"/>
    <x v="0"/>
    <x v="0"/>
    <x v="0"/>
  </r>
  <r>
    <s v="ID1759"/>
    <d v="2012-06-08T18:52:06"/>
    <n v="1230000"/>
    <n v="1230000"/>
    <s v="INR"/>
    <n v="21903.737525554359"/>
    <s v="Financial Analyst "/>
    <x v="0"/>
    <s v="India"/>
    <x v="0"/>
    <x v="1"/>
    <n v="3"/>
    <s v=""/>
    <n v="1"/>
    <s v=""/>
    <s v=""/>
    <s v=""/>
    <s v=""/>
    <x v="1"/>
    <x v="0"/>
    <x v="337"/>
    <x v="0"/>
    <x v="0"/>
    <x v="0"/>
    <x v="0"/>
    <x v="0"/>
    <x v="0"/>
    <x v="0"/>
    <x v="0"/>
  </r>
  <r>
    <s v="ID1760"/>
    <d v="2012-06-08T18:52:44"/>
    <n v="1130000"/>
    <n v="1130000"/>
    <s v="INR"/>
    <n v="20122.945856810104"/>
    <s v="Financial Analyst "/>
    <x v="0"/>
    <s v="India"/>
    <x v="0"/>
    <x v="1"/>
    <n v="3"/>
    <s v=""/>
    <n v="1"/>
    <s v=""/>
    <s v=""/>
    <s v=""/>
    <s v=""/>
    <x v="1"/>
    <x v="0"/>
    <x v="338"/>
    <x v="0"/>
    <x v="0"/>
    <x v="0"/>
    <x v="0"/>
    <x v="0"/>
    <x v="0"/>
    <x v="0"/>
    <x v="0"/>
  </r>
  <r>
    <s v="ID1761"/>
    <d v="2012-06-08T20:47:58"/>
    <n v="45000"/>
    <n v="45000"/>
    <s v="GBP"/>
    <n v="70928.022243027779"/>
    <s v="bUSINESS aNALYST"/>
    <x v="0"/>
    <s v="UK"/>
    <x v="14"/>
    <x v="1"/>
    <n v="20"/>
    <s v=""/>
    <s v=""/>
    <s v=""/>
    <s v=""/>
    <n v="1"/>
    <s v=""/>
    <x v="2"/>
    <x v="0"/>
    <x v="324"/>
    <x v="0"/>
    <x v="0"/>
    <x v="0"/>
    <x v="0"/>
    <x v="0"/>
    <x v="0"/>
    <x v="0"/>
    <x v="0"/>
  </r>
  <r>
    <s v="ID1762"/>
    <d v="2012-06-08T21:00:25"/>
    <n v="67000"/>
    <n v="67000"/>
    <s v="USD"/>
    <n v="67000"/>
    <s v="Manager"/>
    <x v="3"/>
    <s v="USA"/>
    <x v="2"/>
    <x v="0"/>
    <n v="16"/>
    <s v=""/>
    <s v=""/>
    <s v=""/>
    <s v=""/>
    <s v=""/>
    <s v=""/>
    <x v="0"/>
    <x v="0"/>
    <x v="1"/>
    <x v="0"/>
    <x v="0"/>
    <x v="0"/>
    <x v="0"/>
    <x v="261"/>
    <x v="0"/>
    <x v="0"/>
    <x v="0"/>
  </r>
  <r>
    <s v="ID1763"/>
    <d v="2012-06-08T21:02:48"/>
    <n v="30000"/>
    <n v="30000"/>
    <s v="USD"/>
    <n v="30000"/>
    <s v="Customer Service"/>
    <x v="0"/>
    <s v="USA"/>
    <x v="2"/>
    <x v="2"/>
    <n v="4"/>
    <s v=""/>
    <n v="1"/>
    <s v=""/>
    <s v=""/>
    <s v=""/>
    <s v=""/>
    <x v="1"/>
    <x v="0"/>
    <x v="117"/>
    <x v="0"/>
    <x v="0"/>
    <x v="0"/>
    <x v="0"/>
    <x v="0"/>
    <x v="0"/>
    <x v="0"/>
    <x v="0"/>
  </r>
  <r>
    <s v="ID1764"/>
    <d v="2012-06-08T22:48:39"/>
    <s v="CHF140000"/>
    <n v="140000"/>
    <s v="CHF"/>
    <n v="148102.22862117883"/>
    <s v="Projektleiter"/>
    <x v="3"/>
    <s v="Switzerland"/>
    <x v="10"/>
    <x v="2"/>
    <n v="6"/>
    <s v=""/>
    <s v=""/>
    <n v="1"/>
    <s v=""/>
    <s v=""/>
    <s v=""/>
    <x v="3"/>
    <x v="0"/>
    <x v="1"/>
    <x v="0"/>
    <x v="0"/>
    <x v="0"/>
    <x v="0"/>
    <x v="289"/>
    <x v="0"/>
    <x v="0"/>
    <x v="0"/>
  </r>
  <r>
    <s v="ID1765"/>
    <d v="2012-06-08T23:20:36"/>
    <n v="71500"/>
    <n v="71500"/>
    <s v="USD"/>
    <n v="71500"/>
    <s v="Pricing Manager"/>
    <x v="3"/>
    <s v="USA"/>
    <x v="2"/>
    <x v="1"/>
    <n v="11"/>
    <s v=""/>
    <s v=""/>
    <s v=""/>
    <n v="1"/>
    <s v=""/>
    <s v=""/>
    <x v="5"/>
    <x v="0"/>
    <x v="1"/>
    <x v="0"/>
    <x v="0"/>
    <x v="0"/>
    <x v="0"/>
    <x v="290"/>
    <x v="0"/>
    <x v="0"/>
    <x v="0"/>
  </r>
  <r>
    <s v="ID1766"/>
    <d v="2012-06-08T23:46:11"/>
    <n v="67000"/>
    <n v="67000"/>
    <s v="USD"/>
    <n v="67000"/>
    <s v="Manager"/>
    <x v="3"/>
    <s v="USA"/>
    <x v="2"/>
    <x v="4"/>
    <n v="6"/>
    <s v=""/>
    <s v=""/>
    <n v="1"/>
    <s v=""/>
    <s v=""/>
    <s v=""/>
    <x v="3"/>
    <x v="0"/>
    <x v="1"/>
    <x v="0"/>
    <x v="0"/>
    <x v="0"/>
    <x v="0"/>
    <x v="261"/>
    <x v="0"/>
    <x v="0"/>
    <x v="0"/>
  </r>
  <r>
    <s v="ID1767"/>
    <d v="2012-06-09T00:49:07"/>
    <n v="40000"/>
    <n v="40000"/>
    <s v="USD"/>
    <n v="40000"/>
    <s v="Market Research Analyst"/>
    <x v="0"/>
    <s v="USA"/>
    <x v="2"/>
    <x v="0"/>
    <n v="5"/>
    <s v=""/>
    <n v="1"/>
    <s v=""/>
    <s v=""/>
    <s v=""/>
    <s v=""/>
    <x v="1"/>
    <x v="0"/>
    <x v="27"/>
    <x v="0"/>
    <x v="0"/>
    <x v="0"/>
    <x v="0"/>
    <x v="0"/>
    <x v="0"/>
    <x v="0"/>
    <x v="0"/>
  </r>
  <r>
    <s v="ID1768"/>
    <d v="2012-06-09T01:15:44"/>
    <n v="65000"/>
    <n v="65000"/>
    <s v="USD"/>
    <n v="65000"/>
    <s v="Compliance Officer"/>
    <x v="3"/>
    <s v="USA"/>
    <x v="2"/>
    <x v="0"/>
    <n v="2"/>
    <n v="1"/>
    <s v=""/>
    <s v=""/>
    <s v=""/>
    <s v=""/>
    <s v=""/>
    <x v="4"/>
    <x v="0"/>
    <x v="1"/>
    <x v="0"/>
    <x v="0"/>
    <x v="0"/>
    <x v="0"/>
    <x v="114"/>
    <x v="0"/>
    <x v="0"/>
    <x v="0"/>
  </r>
  <r>
    <s v="ID1769"/>
    <d v="2012-06-09T01:47:30"/>
    <n v="72000"/>
    <n v="72000"/>
    <s v="USD"/>
    <n v="72000"/>
    <s v="Consultant"/>
    <x v="8"/>
    <s v="USA"/>
    <x v="2"/>
    <x v="2"/>
    <n v="13"/>
    <s v=""/>
    <s v=""/>
    <s v=""/>
    <n v="1"/>
    <s v=""/>
    <s v=""/>
    <x v="5"/>
    <x v="0"/>
    <x v="1"/>
    <x v="57"/>
    <x v="0"/>
    <x v="0"/>
    <x v="0"/>
    <x v="0"/>
    <x v="0"/>
    <x v="0"/>
    <x v="0"/>
  </r>
  <r>
    <s v="ID1770"/>
    <d v="2012-06-09T03:20:15"/>
    <n v="52500"/>
    <n v="52500"/>
    <s v="USD"/>
    <n v="52500"/>
    <s v="Data Management Solutions Supervisor"/>
    <x v="3"/>
    <s v="USA"/>
    <x v="2"/>
    <x v="1"/>
    <n v="3"/>
    <s v=""/>
    <n v="1"/>
    <s v=""/>
    <s v=""/>
    <s v=""/>
    <s v=""/>
    <x v="1"/>
    <x v="0"/>
    <x v="1"/>
    <x v="0"/>
    <x v="0"/>
    <x v="0"/>
    <x v="0"/>
    <x v="291"/>
    <x v="0"/>
    <x v="0"/>
    <x v="0"/>
  </r>
  <r>
    <s v="ID1771"/>
    <d v="2012-06-09T12:01:19"/>
    <n v="444"/>
    <n v="5320"/>
    <s v="USD"/>
    <n v="5320"/>
    <s v="Office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292"/>
    <x v="0"/>
    <x v="0"/>
    <x v="0"/>
  </r>
  <r>
    <s v="ID1772"/>
    <d v="2012-06-09T20:38:03"/>
    <n v="1500"/>
    <n v="18000"/>
    <s v="USD"/>
    <n v="18000"/>
    <s v="accountant"/>
    <x v="5"/>
    <s v="uae"/>
    <x v="21"/>
    <x v="1"/>
    <n v="3"/>
    <s v=""/>
    <n v="1"/>
    <s v=""/>
    <s v=""/>
    <s v=""/>
    <s v=""/>
    <x v="1"/>
    <x v="103"/>
    <x v="1"/>
    <x v="0"/>
    <x v="0"/>
    <x v="0"/>
    <x v="0"/>
    <x v="0"/>
    <x v="0"/>
    <x v="0"/>
    <x v="0"/>
  </r>
  <r>
    <s v="ID1773"/>
    <d v="2012-06-10T00:50:26"/>
    <s v="1.40 lac"/>
    <n v="140000"/>
    <s v="INR"/>
    <n v="2493.1083362419595"/>
    <s v="magic"/>
    <x v="9"/>
    <s v="India"/>
    <x v="0"/>
    <x v="0"/>
    <n v="5"/>
    <s v=""/>
    <n v="1"/>
    <s v=""/>
    <s v=""/>
    <s v=""/>
    <s v=""/>
    <x v="1"/>
    <x v="0"/>
    <x v="1"/>
    <x v="0"/>
    <x v="0"/>
    <x v="0"/>
    <x v="0"/>
    <x v="0"/>
    <x v="2"/>
    <x v="0"/>
    <x v="0"/>
  </r>
  <r>
    <s v="ID1774"/>
    <d v="2012-06-10T01:48:44"/>
    <n v="1400"/>
    <n v="16800"/>
    <s v="EUR"/>
    <n v="21342.710575059013"/>
    <s v="account"/>
    <x v="5"/>
    <s v="portugal"/>
    <x v="7"/>
    <x v="0"/>
    <n v="15"/>
    <s v=""/>
    <s v=""/>
    <s v=""/>
    <n v="1"/>
    <s v=""/>
    <s v=""/>
    <x v="5"/>
    <x v="104"/>
    <x v="1"/>
    <x v="0"/>
    <x v="0"/>
    <x v="0"/>
    <x v="0"/>
    <x v="0"/>
    <x v="0"/>
    <x v="0"/>
    <x v="0"/>
  </r>
  <r>
    <s v="ID1775"/>
    <d v="2012-06-10T02:20:05"/>
    <n v="85000"/>
    <n v="85000"/>
    <s v="USD"/>
    <n v="85000"/>
    <s v="purchasing manager"/>
    <x v="3"/>
    <s v="USA"/>
    <x v="2"/>
    <x v="2"/>
    <n v="15"/>
    <s v=""/>
    <s v=""/>
    <s v=""/>
    <n v="1"/>
    <s v=""/>
    <s v=""/>
    <x v="5"/>
    <x v="0"/>
    <x v="1"/>
    <x v="0"/>
    <x v="0"/>
    <x v="0"/>
    <x v="0"/>
    <x v="19"/>
    <x v="0"/>
    <x v="0"/>
    <x v="0"/>
  </r>
  <r>
    <s v="ID1776"/>
    <d v="2012-06-10T02:29:57"/>
    <n v="80000"/>
    <n v="80000"/>
    <s v="USD"/>
    <n v="80000"/>
    <s v="Engineer"/>
    <x v="2"/>
    <s v="Brazil"/>
    <x v="20"/>
    <x v="3"/>
    <n v="9"/>
    <s v=""/>
    <s v=""/>
    <n v="1"/>
    <s v=""/>
    <s v=""/>
    <s v=""/>
    <x v="3"/>
    <x v="0"/>
    <x v="1"/>
    <x v="0"/>
    <x v="0"/>
    <x v="0"/>
    <x v="56"/>
    <x v="0"/>
    <x v="0"/>
    <x v="0"/>
    <x v="0"/>
  </r>
  <r>
    <s v="ID1777"/>
    <d v="2012-06-10T04:16:05"/>
    <n v="500000"/>
    <n v="500000"/>
    <s v="INR"/>
    <n v="8903.9583437212841"/>
    <s v="equity research trainee"/>
    <x v="0"/>
    <s v="India"/>
    <x v="0"/>
    <x v="1"/>
    <n v="0"/>
    <n v="1"/>
    <s v=""/>
    <s v=""/>
    <s v=""/>
    <s v=""/>
    <s v=""/>
    <x v="4"/>
    <x v="0"/>
    <x v="51"/>
    <x v="0"/>
    <x v="0"/>
    <x v="0"/>
    <x v="0"/>
    <x v="0"/>
    <x v="0"/>
    <x v="0"/>
    <x v="0"/>
  </r>
  <r>
    <s v="ID1778"/>
    <d v="2012-06-10T12:31:48"/>
    <n v="125000"/>
    <n v="125000"/>
    <s v="USD"/>
    <n v="125000"/>
    <s v="project manager"/>
    <x v="3"/>
    <s v="USA"/>
    <x v="2"/>
    <x v="1"/>
    <n v="10"/>
    <s v=""/>
    <s v=""/>
    <n v="1"/>
    <s v=""/>
    <s v=""/>
    <s v=""/>
    <x v="3"/>
    <x v="0"/>
    <x v="1"/>
    <x v="0"/>
    <x v="0"/>
    <x v="0"/>
    <x v="0"/>
    <x v="78"/>
    <x v="0"/>
    <x v="0"/>
    <x v="0"/>
  </r>
  <r>
    <s v="ID1779"/>
    <d v="2012-06-10T14:58:39"/>
    <n v="1300000"/>
    <n v="1300000"/>
    <s v="INR"/>
    <n v="23150.291693675339"/>
    <s v="Manager"/>
    <x v="3"/>
    <s v="India"/>
    <x v="0"/>
    <x v="1"/>
    <n v="9"/>
    <s v=""/>
    <s v=""/>
    <n v="1"/>
    <s v=""/>
    <s v=""/>
    <s v=""/>
    <x v="3"/>
    <x v="0"/>
    <x v="1"/>
    <x v="0"/>
    <x v="0"/>
    <x v="0"/>
    <x v="0"/>
    <x v="44"/>
    <x v="0"/>
    <x v="0"/>
    <x v="0"/>
  </r>
  <r>
    <s v="ID1780"/>
    <d v="2012-06-10T15:20:01"/>
    <n v="1000"/>
    <n v="12000"/>
    <s v="USD"/>
    <n v="12000"/>
    <s v="project engineer "/>
    <x v="2"/>
    <s v="India"/>
    <x v="0"/>
    <x v="2"/>
    <n v="7"/>
    <s v=""/>
    <s v=""/>
    <n v="1"/>
    <s v=""/>
    <s v=""/>
    <s v=""/>
    <x v="3"/>
    <x v="0"/>
    <x v="1"/>
    <x v="0"/>
    <x v="0"/>
    <x v="0"/>
    <x v="57"/>
    <x v="0"/>
    <x v="0"/>
    <x v="0"/>
    <x v="0"/>
  </r>
  <r>
    <s v="ID1781"/>
    <d v="2012-06-10T15:59:17"/>
    <n v="30000"/>
    <n v="30000"/>
    <s v="USD"/>
    <n v="30000"/>
    <s v="Teacher"/>
    <x v="0"/>
    <s v="Malaysia"/>
    <x v="73"/>
    <x v="3"/>
    <n v="12"/>
    <s v=""/>
    <s v=""/>
    <s v=""/>
    <n v="1"/>
    <s v=""/>
    <s v=""/>
    <x v="5"/>
    <x v="0"/>
    <x v="117"/>
    <x v="0"/>
    <x v="0"/>
    <x v="0"/>
    <x v="0"/>
    <x v="0"/>
    <x v="0"/>
    <x v="0"/>
    <x v="0"/>
  </r>
  <r>
    <s v="ID1782"/>
    <d v="2012-06-10T17:21:08"/>
    <n v="72000"/>
    <n v="72000"/>
    <s v="EUR"/>
    <n v="91468.759607395754"/>
    <s v="regional sales manager"/>
    <x v="3"/>
    <s v="croatia"/>
    <x v="1"/>
    <x v="3"/>
    <n v="3"/>
    <s v=""/>
    <n v="1"/>
    <s v=""/>
    <s v=""/>
    <s v=""/>
    <s v=""/>
    <x v="1"/>
    <x v="0"/>
    <x v="1"/>
    <x v="0"/>
    <x v="0"/>
    <x v="0"/>
    <x v="0"/>
    <x v="293"/>
    <x v="0"/>
    <x v="0"/>
    <x v="0"/>
  </r>
  <r>
    <s v="ID1783"/>
    <d v="2012-06-10T20:30:23"/>
    <s v="Â£22300"/>
    <n v="22300"/>
    <s v="GBP"/>
    <n v="35148.775467100437"/>
    <s v="Analysis &amp; insight consultant"/>
    <x v="0"/>
    <s v="UK"/>
    <x v="14"/>
    <x v="1"/>
    <n v="4"/>
    <s v=""/>
    <n v="1"/>
    <s v=""/>
    <s v=""/>
    <s v=""/>
    <s v=""/>
    <x v="1"/>
    <x v="0"/>
    <x v="339"/>
    <x v="0"/>
    <x v="0"/>
    <x v="0"/>
    <x v="0"/>
    <x v="0"/>
    <x v="0"/>
    <x v="0"/>
    <x v="0"/>
  </r>
  <r>
    <s v="ID1784"/>
    <d v="2012-06-10T21:52:30"/>
    <s v="Â£31185"/>
    <n v="31185"/>
    <s v="GBP"/>
    <n v="49153.119414418252"/>
    <s v="Data Team Leader"/>
    <x v="3"/>
    <s v="UK"/>
    <x v="14"/>
    <x v="0"/>
    <n v="7"/>
    <s v=""/>
    <s v=""/>
    <n v="1"/>
    <s v=""/>
    <s v=""/>
    <s v=""/>
    <x v="3"/>
    <x v="0"/>
    <x v="1"/>
    <x v="0"/>
    <x v="0"/>
    <x v="0"/>
    <x v="0"/>
    <x v="294"/>
    <x v="0"/>
    <x v="0"/>
    <x v="0"/>
  </r>
  <r>
    <s v="ID1785"/>
    <d v="2012-06-11T03:11:39"/>
    <n v="150000"/>
    <n v="150000"/>
    <s v="INR"/>
    <n v="2671.1875031163854"/>
    <s v="ENGINEER"/>
    <x v="2"/>
    <s v="India"/>
    <x v="0"/>
    <x v="2"/>
    <n v="1"/>
    <n v="1"/>
    <s v=""/>
    <s v=""/>
    <s v=""/>
    <s v=""/>
    <s v=""/>
    <x v="4"/>
    <x v="0"/>
    <x v="1"/>
    <x v="0"/>
    <x v="0"/>
    <x v="0"/>
    <x v="58"/>
    <x v="0"/>
    <x v="0"/>
    <x v="0"/>
    <x v="0"/>
  </r>
  <r>
    <s v="ID1786"/>
    <d v="2012-06-11T05:59:09"/>
    <n v="27000"/>
    <n v="27000"/>
    <s v="GBP"/>
    <n v="42556.81334581667"/>
    <s v="assistant account manager"/>
    <x v="3"/>
    <s v="UK"/>
    <x v="14"/>
    <x v="0"/>
    <n v="3"/>
    <s v=""/>
    <n v="1"/>
    <s v=""/>
    <s v=""/>
    <s v=""/>
    <s v=""/>
    <x v="1"/>
    <x v="0"/>
    <x v="1"/>
    <x v="0"/>
    <x v="0"/>
    <x v="0"/>
    <x v="0"/>
    <x v="295"/>
    <x v="0"/>
    <x v="0"/>
    <x v="0"/>
  </r>
  <r>
    <s v="ID1787"/>
    <d v="2012-06-11T05:59:55"/>
    <n v="27000"/>
    <n v="27000"/>
    <s v="GBP"/>
    <n v="42556.81334581667"/>
    <s v="assistant account manager"/>
    <x v="3"/>
    <s v="UK"/>
    <x v="14"/>
    <x v="0"/>
    <n v="3"/>
    <s v=""/>
    <n v="1"/>
    <s v=""/>
    <s v=""/>
    <s v=""/>
    <s v=""/>
    <x v="1"/>
    <x v="0"/>
    <x v="1"/>
    <x v="0"/>
    <x v="0"/>
    <x v="0"/>
    <x v="0"/>
    <x v="295"/>
    <x v="0"/>
    <x v="0"/>
    <x v="0"/>
  </r>
  <r>
    <s v="ID1788"/>
    <d v="2012-06-11T10:04:43"/>
    <n v="74461"/>
    <n v="74461"/>
    <s v="USD"/>
    <n v="74461"/>
    <s v="Scientist III"/>
    <x v="9"/>
    <s v="USA"/>
    <x v="2"/>
    <x v="3"/>
    <n v="9"/>
    <s v=""/>
    <s v=""/>
    <n v="1"/>
    <s v=""/>
    <s v=""/>
    <s v=""/>
    <x v="3"/>
    <x v="0"/>
    <x v="1"/>
    <x v="0"/>
    <x v="0"/>
    <x v="0"/>
    <x v="0"/>
    <x v="0"/>
    <x v="3"/>
    <x v="0"/>
    <x v="0"/>
  </r>
  <r>
    <s v="ID1789"/>
    <d v="2012-06-11T16:55:40"/>
    <s v="Â£26500"/>
    <n v="26500"/>
    <s v="GBP"/>
    <n v="41768.724209783031"/>
    <s v="Compliance Manager"/>
    <x v="3"/>
    <s v="UK"/>
    <x v="14"/>
    <x v="0"/>
    <n v="16"/>
    <s v=""/>
    <s v=""/>
    <s v=""/>
    <s v=""/>
    <s v=""/>
    <s v=""/>
    <x v="0"/>
    <x v="0"/>
    <x v="1"/>
    <x v="0"/>
    <x v="0"/>
    <x v="0"/>
    <x v="0"/>
    <x v="296"/>
    <x v="0"/>
    <x v="0"/>
    <x v="0"/>
  </r>
  <r>
    <s v="ID1790"/>
    <d v="2012-06-11T17:01:58"/>
    <s v="Rs 480000"/>
    <n v="480000"/>
    <s v="INR"/>
    <n v="8547.8000099724322"/>
    <s v="Development Analyst"/>
    <x v="0"/>
    <s v="India"/>
    <x v="0"/>
    <x v="0"/>
    <n v="1"/>
    <n v="1"/>
    <s v=""/>
    <s v=""/>
    <s v=""/>
    <s v=""/>
    <s v=""/>
    <x v="4"/>
    <x v="0"/>
    <x v="158"/>
    <x v="0"/>
    <x v="0"/>
    <x v="0"/>
    <x v="0"/>
    <x v="0"/>
    <x v="0"/>
    <x v="0"/>
    <x v="0"/>
  </r>
  <r>
    <s v="ID1791"/>
    <d v="2012-06-11T17:54:22"/>
    <n v="200"/>
    <n v="2400"/>
    <s v="USD"/>
    <n v="2400"/>
    <s v="computer operator"/>
    <x v="0"/>
    <s v="India"/>
    <x v="0"/>
    <x v="2"/>
    <n v="3"/>
    <s v=""/>
    <n v="1"/>
    <s v=""/>
    <s v=""/>
    <s v=""/>
    <s v=""/>
    <x v="1"/>
    <x v="0"/>
    <x v="340"/>
    <x v="0"/>
    <x v="0"/>
    <x v="0"/>
    <x v="0"/>
    <x v="0"/>
    <x v="0"/>
    <x v="0"/>
    <x v="0"/>
  </r>
  <r>
    <s v="ID1792"/>
    <d v="2012-06-11T19:40:47"/>
    <s v="3000 $"/>
    <n v="3000"/>
    <s v="USD"/>
    <n v="3000"/>
    <s v="executive"/>
    <x v="0"/>
    <s v="Bangladesh"/>
    <x v="36"/>
    <x v="3"/>
    <n v="12"/>
    <s v=""/>
    <s v=""/>
    <s v=""/>
    <n v="1"/>
    <s v=""/>
    <s v=""/>
    <x v="5"/>
    <x v="0"/>
    <x v="186"/>
    <x v="0"/>
    <x v="0"/>
    <x v="0"/>
    <x v="0"/>
    <x v="0"/>
    <x v="0"/>
    <x v="0"/>
    <x v="0"/>
  </r>
  <r>
    <s v="ID1793"/>
    <d v="2012-06-11T19:56:36"/>
    <n v="11000"/>
    <n v="11000"/>
    <s v="USD"/>
    <n v="11000"/>
    <s v="Web Analyst"/>
    <x v="0"/>
    <s v="India"/>
    <x v="0"/>
    <x v="0"/>
    <n v="2"/>
    <n v="1"/>
    <s v=""/>
    <s v=""/>
    <s v=""/>
    <s v=""/>
    <s v=""/>
    <x v="4"/>
    <x v="0"/>
    <x v="319"/>
    <x v="0"/>
    <x v="0"/>
    <x v="0"/>
    <x v="0"/>
    <x v="0"/>
    <x v="0"/>
    <x v="0"/>
    <x v="0"/>
  </r>
  <r>
    <s v="ID1794"/>
    <d v="2012-06-11T21:03:36"/>
    <n v="40000"/>
    <n v="40000"/>
    <s v="USD"/>
    <n v="40000"/>
    <s v="Intern"/>
    <x v="0"/>
    <s v="USA"/>
    <x v="2"/>
    <x v="2"/>
    <n v="2"/>
    <n v="1"/>
    <s v=""/>
    <s v=""/>
    <s v=""/>
    <s v=""/>
    <s v=""/>
    <x v="4"/>
    <x v="0"/>
    <x v="27"/>
    <x v="0"/>
    <x v="0"/>
    <x v="0"/>
    <x v="0"/>
    <x v="0"/>
    <x v="0"/>
    <x v="0"/>
    <x v="0"/>
  </r>
  <r>
    <s v="ID1795"/>
    <d v="2012-06-11T21:29:29"/>
    <n v="300"/>
    <n v="3600"/>
    <s v="USD"/>
    <n v="3600"/>
    <s v="Analyst"/>
    <x v="0"/>
    <s v="India"/>
    <x v="0"/>
    <x v="0"/>
    <n v="1"/>
    <n v="1"/>
    <s v=""/>
    <s v=""/>
    <s v=""/>
    <s v=""/>
    <s v=""/>
    <x v="4"/>
    <x v="0"/>
    <x v="341"/>
    <x v="0"/>
    <x v="0"/>
    <x v="0"/>
    <x v="0"/>
    <x v="0"/>
    <x v="0"/>
    <x v="0"/>
    <x v="0"/>
  </r>
  <r>
    <s v="ID1796"/>
    <d v="2012-06-11T21:52:14"/>
    <n v="56600"/>
    <n v="56600"/>
    <s v="USD"/>
    <n v="56600"/>
    <s v="ECommerce Manager"/>
    <x v="3"/>
    <s v="USA"/>
    <x v="2"/>
    <x v="0"/>
    <n v="12"/>
    <s v=""/>
    <s v=""/>
    <s v=""/>
    <n v="1"/>
    <s v=""/>
    <s v=""/>
    <x v="5"/>
    <x v="0"/>
    <x v="1"/>
    <x v="0"/>
    <x v="0"/>
    <x v="0"/>
    <x v="0"/>
    <x v="297"/>
    <x v="0"/>
    <x v="0"/>
    <x v="0"/>
  </r>
  <r>
    <s v="ID1797"/>
    <d v="2012-06-11T22:21:25"/>
    <n v="33600"/>
    <n v="33600"/>
    <s v="USD"/>
    <n v="33600"/>
    <s v="Executive"/>
    <x v="0"/>
    <s v="Singapore"/>
    <x v="29"/>
    <x v="1"/>
    <n v="2"/>
    <n v="1"/>
    <s v=""/>
    <s v=""/>
    <s v=""/>
    <s v=""/>
    <s v=""/>
    <x v="4"/>
    <x v="0"/>
    <x v="342"/>
    <x v="0"/>
    <x v="0"/>
    <x v="0"/>
    <x v="0"/>
    <x v="0"/>
    <x v="0"/>
    <x v="0"/>
    <x v="0"/>
  </r>
  <r>
    <s v="ID1798"/>
    <d v="2012-06-11T22:22:00"/>
    <n v="33600"/>
    <n v="33600"/>
    <s v="USD"/>
    <n v="33600"/>
    <s v="Executive"/>
    <x v="0"/>
    <s v="Singapore"/>
    <x v="29"/>
    <x v="1"/>
    <n v="2"/>
    <n v="1"/>
    <s v=""/>
    <s v=""/>
    <s v=""/>
    <s v=""/>
    <s v=""/>
    <x v="4"/>
    <x v="0"/>
    <x v="342"/>
    <x v="0"/>
    <x v="0"/>
    <x v="0"/>
    <x v="0"/>
    <x v="0"/>
    <x v="0"/>
    <x v="0"/>
    <x v="0"/>
  </r>
  <r>
    <s v="ID1799"/>
    <d v="2012-06-12T00:26:07"/>
    <n v="100000"/>
    <n v="100000"/>
    <s v="USD"/>
    <n v="100000"/>
    <s v="analyst"/>
    <x v="0"/>
    <s v="USA"/>
    <x v="2"/>
    <x v="1"/>
    <n v="12"/>
    <s v=""/>
    <s v=""/>
    <s v=""/>
    <n v="1"/>
    <s v=""/>
    <s v=""/>
    <x v="5"/>
    <x v="0"/>
    <x v="13"/>
    <x v="0"/>
    <x v="0"/>
    <x v="0"/>
    <x v="0"/>
    <x v="0"/>
    <x v="0"/>
    <x v="0"/>
    <x v="0"/>
  </r>
  <r>
    <s v="ID1800"/>
    <d v="2012-06-12T01:55:12"/>
    <n v="40000"/>
    <n v="40000"/>
    <s v="CAD"/>
    <n v="39334.460921213074"/>
    <s v="Machine Scheduler"/>
    <x v="0"/>
    <s v="Canada"/>
    <x v="17"/>
    <x v="3"/>
    <n v="1"/>
    <n v="1"/>
    <s v=""/>
    <s v=""/>
    <s v=""/>
    <s v=""/>
    <s v=""/>
    <x v="4"/>
    <x v="0"/>
    <x v="343"/>
    <x v="0"/>
    <x v="0"/>
    <x v="0"/>
    <x v="0"/>
    <x v="0"/>
    <x v="0"/>
    <x v="0"/>
    <x v="0"/>
  </r>
  <r>
    <s v="ID1801"/>
    <d v="2012-06-12T01:58:00"/>
    <n v="400000"/>
    <n v="400000"/>
    <s v="INR"/>
    <n v="7123.1666749770275"/>
    <s v="business analyst"/>
    <x v="0"/>
    <s v="India"/>
    <x v="0"/>
    <x v="2"/>
    <n v="3"/>
    <s v=""/>
    <n v="1"/>
    <s v=""/>
    <s v=""/>
    <s v=""/>
    <s v=""/>
    <x v="1"/>
    <x v="0"/>
    <x v="92"/>
    <x v="0"/>
    <x v="0"/>
    <x v="0"/>
    <x v="0"/>
    <x v="0"/>
    <x v="0"/>
    <x v="0"/>
    <x v="0"/>
  </r>
  <r>
    <s v="ID1802"/>
    <d v="2012-06-12T02:43:17"/>
    <s v="$65,000 US"/>
    <n v="65000"/>
    <s v="USD"/>
    <n v="65000"/>
    <s v="Sr Financial Systems Analyst"/>
    <x v="0"/>
    <s v="USA"/>
    <x v="2"/>
    <x v="0"/>
    <n v="14"/>
    <s v=""/>
    <s v=""/>
    <s v=""/>
    <n v="1"/>
    <s v=""/>
    <s v=""/>
    <x v="5"/>
    <x v="0"/>
    <x v="84"/>
    <x v="0"/>
    <x v="0"/>
    <x v="0"/>
    <x v="0"/>
    <x v="0"/>
    <x v="0"/>
    <x v="0"/>
    <x v="0"/>
  </r>
  <r>
    <s v="ID1803"/>
    <d v="2012-06-12T02:59:16"/>
    <n v="65000"/>
    <n v="65000"/>
    <s v="USD"/>
    <n v="65000"/>
    <s v="Data Analyst"/>
    <x v="0"/>
    <s v="USA"/>
    <x v="2"/>
    <x v="2"/>
    <n v="10"/>
    <s v=""/>
    <s v=""/>
    <n v="1"/>
    <s v=""/>
    <s v=""/>
    <s v=""/>
    <x v="3"/>
    <x v="0"/>
    <x v="84"/>
    <x v="0"/>
    <x v="0"/>
    <x v="0"/>
    <x v="0"/>
    <x v="0"/>
    <x v="0"/>
    <x v="0"/>
    <x v="0"/>
  </r>
  <r>
    <s v="ID1804"/>
    <d v="2012-06-12T03:32:27"/>
    <n v="65000"/>
    <n v="65000"/>
    <s v="USD"/>
    <n v="65000"/>
    <s v="Assistant Controller"/>
    <x v="1"/>
    <s v="USA"/>
    <x v="2"/>
    <x v="2"/>
    <n v="13"/>
    <s v=""/>
    <s v=""/>
    <s v=""/>
    <n v="1"/>
    <s v=""/>
    <s v=""/>
    <x v="5"/>
    <x v="0"/>
    <x v="1"/>
    <x v="0"/>
    <x v="27"/>
    <x v="0"/>
    <x v="0"/>
    <x v="0"/>
    <x v="0"/>
    <x v="0"/>
    <x v="0"/>
  </r>
  <r>
    <s v="ID1805"/>
    <d v="2012-06-12T03:45:25"/>
    <n v="78000"/>
    <n v="78000"/>
    <s v="CAD"/>
    <n v="76702.198796365497"/>
    <s v="SFA"/>
    <x v="0"/>
    <s v="Canada"/>
    <x v="17"/>
    <x v="1"/>
    <n v="4"/>
    <s v=""/>
    <n v="1"/>
    <s v=""/>
    <s v=""/>
    <s v=""/>
    <s v=""/>
    <x v="1"/>
    <x v="0"/>
    <x v="344"/>
    <x v="0"/>
    <x v="0"/>
    <x v="0"/>
    <x v="0"/>
    <x v="0"/>
    <x v="0"/>
    <x v="0"/>
    <x v="0"/>
  </r>
  <r>
    <s v="ID1806"/>
    <d v="2012-06-12T06:36:12"/>
    <n v="63000"/>
    <n v="63000"/>
    <s v="USD"/>
    <n v="63000"/>
    <s v="Sales Analyst"/>
    <x v="0"/>
    <s v="USA"/>
    <x v="2"/>
    <x v="1"/>
    <n v="10"/>
    <s v=""/>
    <s v=""/>
    <n v="1"/>
    <s v=""/>
    <s v=""/>
    <s v=""/>
    <x v="3"/>
    <x v="0"/>
    <x v="94"/>
    <x v="0"/>
    <x v="0"/>
    <x v="0"/>
    <x v="0"/>
    <x v="0"/>
    <x v="0"/>
    <x v="0"/>
    <x v="0"/>
  </r>
  <r>
    <s v="ID1807"/>
    <d v="2012-06-12T08:36:15"/>
    <n v="87000"/>
    <n v="87000"/>
    <s v="USD"/>
    <n v="87000"/>
    <s v="Ð˜Ð¨ Ð¤Ñ‚Ñ„Ð´Ð½Ñ‹Ðµ"/>
    <x v="9"/>
    <s v="USA"/>
    <x v="2"/>
    <x v="0"/>
    <n v="3"/>
    <s v=""/>
    <n v="1"/>
    <s v=""/>
    <s v=""/>
    <s v=""/>
    <s v=""/>
    <x v="1"/>
    <x v="0"/>
    <x v="1"/>
    <x v="0"/>
    <x v="0"/>
    <x v="0"/>
    <x v="0"/>
    <x v="0"/>
    <x v="4"/>
    <x v="0"/>
    <x v="0"/>
  </r>
  <r>
    <s v="ID1808"/>
    <d v="2012-06-12T08:46:15"/>
    <n v="45000"/>
    <n v="45000"/>
    <s v="USD"/>
    <n v="45000"/>
    <s v="ba"/>
    <x v="0"/>
    <s v="USA"/>
    <x v="2"/>
    <x v="0"/>
    <n v="4"/>
    <s v=""/>
    <n v="1"/>
    <s v=""/>
    <s v=""/>
    <s v=""/>
    <s v=""/>
    <x v="1"/>
    <x v="0"/>
    <x v="42"/>
    <x v="0"/>
    <x v="0"/>
    <x v="0"/>
    <x v="0"/>
    <x v="0"/>
    <x v="0"/>
    <x v="0"/>
    <x v="0"/>
  </r>
  <r>
    <s v="ID1809"/>
    <d v="2012-06-12T12:15:46"/>
    <n v="85000"/>
    <n v="85000"/>
    <s v="USD"/>
    <n v="85000"/>
    <s v="Lead Financial Analyst"/>
    <x v="0"/>
    <s v="USA"/>
    <x v="2"/>
    <x v="1"/>
    <n v="3"/>
    <s v=""/>
    <n v="1"/>
    <s v=""/>
    <s v=""/>
    <s v=""/>
    <s v=""/>
    <x v="1"/>
    <x v="0"/>
    <x v="35"/>
    <x v="0"/>
    <x v="0"/>
    <x v="0"/>
    <x v="0"/>
    <x v="0"/>
    <x v="0"/>
    <x v="0"/>
    <x v="0"/>
  </r>
  <r>
    <s v="ID1810"/>
    <d v="2012-06-12T15:09:22"/>
    <n v="156000"/>
    <n v="156000"/>
    <s v="AUD"/>
    <n v="159105.90639881117"/>
    <s v="Senior Associate Engineer"/>
    <x v="2"/>
    <s v="Australia"/>
    <x v="16"/>
    <x v="2"/>
    <n v="12"/>
    <s v=""/>
    <s v=""/>
    <s v=""/>
    <n v="1"/>
    <s v=""/>
    <s v=""/>
    <x v="5"/>
    <x v="0"/>
    <x v="1"/>
    <x v="0"/>
    <x v="0"/>
    <x v="0"/>
    <x v="59"/>
    <x v="0"/>
    <x v="0"/>
    <x v="0"/>
    <x v="0"/>
  </r>
  <r>
    <s v="ID1811"/>
    <d v="2012-06-12T15:58:36"/>
    <n v="560000"/>
    <n v="560000"/>
    <s v="INR"/>
    <n v="9972.4333449678379"/>
    <s v="Associate Manager"/>
    <x v="3"/>
    <s v="India"/>
    <x v="0"/>
    <x v="2"/>
    <n v="4"/>
    <s v=""/>
    <n v="1"/>
    <s v=""/>
    <s v=""/>
    <s v=""/>
    <s v=""/>
    <x v="1"/>
    <x v="0"/>
    <x v="1"/>
    <x v="0"/>
    <x v="0"/>
    <x v="0"/>
    <x v="0"/>
    <x v="298"/>
    <x v="0"/>
    <x v="0"/>
    <x v="0"/>
  </r>
  <r>
    <s v="ID1812"/>
    <d v="2012-06-12T16:16:25"/>
    <n v="14000"/>
    <n v="14000"/>
    <s v="USD"/>
    <n v="14000"/>
    <s v="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299"/>
    <x v="0"/>
    <x v="0"/>
    <x v="0"/>
  </r>
  <r>
    <s v="ID1813"/>
    <d v="2012-06-12T18:09:58"/>
    <s v="Â£32000"/>
    <n v="32000"/>
    <s v="GBP"/>
    <n v="50437.70470615309"/>
    <s v="Business Analyst"/>
    <x v="0"/>
    <s v="UK"/>
    <x v="14"/>
    <x v="0"/>
    <n v="20"/>
    <s v=""/>
    <s v=""/>
    <s v=""/>
    <s v=""/>
    <n v="1"/>
    <s v=""/>
    <x v="2"/>
    <x v="0"/>
    <x v="12"/>
    <x v="0"/>
    <x v="0"/>
    <x v="0"/>
    <x v="0"/>
    <x v="0"/>
    <x v="0"/>
    <x v="0"/>
    <x v="0"/>
  </r>
  <r>
    <s v="ID1814"/>
    <d v="2012-06-12T18:28:39"/>
    <n v="32000"/>
    <n v="32000"/>
    <s v="GBP"/>
    <n v="50437.70470615309"/>
    <s v="Financial Analyst"/>
    <x v="0"/>
    <s v="UK"/>
    <x v="14"/>
    <x v="1"/>
    <n v="1"/>
    <n v="1"/>
    <s v=""/>
    <s v=""/>
    <s v=""/>
    <s v=""/>
    <s v=""/>
    <x v="4"/>
    <x v="0"/>
    <x v="12"/>
    <x v="0"/>
    <x v="0"/>
    <x v="0"/>
    <x v="0"/>
    <x v="0"/>
    <x v="0"/>
    <x v="0"/>
    <x v="0"/>
  </r>
  <r>
    <s v="ID1815"/>
    <d v="2012-06-12T20:11:24"/>
    <n v="8900"/>
    <n v="1281600"/>
    <s v="PKR"/>
    <n v="13603.016099449767"/>
    <s v="Manager MIS &amp; Analytics"/>
    <x v="3"/>
    <s v="pakistan"/>
    <x v="3"/>
    <x v="1"/>
    <n v="8"/>
    <s v=""/>
    <s v=""/>
    <n v="1"/>
    <s v=""/>
    <s v=""/>
    <s v=""/>
    <x v="3"/>
    <x v="0"/>
    <x v="1"/>
    <x v="0"/>
    <x v="0"/>
    <x v="0"/>
    <x v="0"/>
    <x v="300"/>
    <x v="0"/>
    <x v="0"/>
    <x v="0"/>
  </r>
  <r>
    <s v="ID1816"/>
    <d v="2012-06-12T20:47:33"/>
    <s v="aud145000"/>
    <n v="145000"/>
    <s v="AUD"/>
    <n v="147886.90017838217"/>
    <s v="Financial controller"/>
    <x v="1"/>
    <s v="Australia"/>
    <x v="16"/>
    <x v="2"/>
    <n v="15"/>
    <s v=""/>
    <s v=""/>
    <s v=""/>
    <n v="1"/>
    <s v=""/>
    <s v=""/>
    <x v="5"/>
    <x v="0"/>
    <x v="1"/>
    <x v="0"/>
    <x v="57"/>
    <x v="0"/>
    <x v="0"/>
    <x v="0"/>
    <x v="0"/>
    <x v="0"/>
    <x v="0"/>
  </r>
  <r>
    <s v="ID1818"/>
    <d v="2012-06-12T21:47:54"/>
    <n v="280000"/>
    <n v="280000"/>
    <s v="INR"/>
    <n v="4986.216672483919"/>
    <s v="Sales Cordinator"/>
    <x v="0"/>
    <s v="India"/>
    <x v="0"/>
    <x v="1"/>
    <n v="8"/>
    <s v=""/>
    <s v=""/>
    <n v="1"/>
    <s v=""/>
    <s v=""/>
    <s v=""/>
    <x v="3"/>
    <x v="0"/>
    <x v="345"/>
    <x v="0"/>
    <x v="0"/>
    <x v="0"/>
    <x v="0"/>
    <x v="0"/>
    <x v="0"/>
    <x v="0"/>
    <x v="0"/>
  </r>
  <r>
    <s v="ID1819"/>
    <d v="2012-06-12T21:58:21"/>
    <n v="4800"/>
    <n v="4800"/>
    <s v="USD"/>
    <n v="4800"/>
    <s v="Sr Executive"/>
    <x v="3"/>
    <s v="India"/>
    <x v="0"/>
    <x v="1"/>
    <n v="3"/>
    <s v=""/>
    <n v="1"/>
    <s v=""/>
    <s v=""/>
    <s v=""/>
    <s v=""/>
    <x v="1"/>
    <x v="0"/>
    <x v="1"/>
    <x v="0"/>
    <x v="0"/>
    <x v="0"/>
    <x v="0"/>
    <x v="301"/>
    <x v="0"/>
    <x v="0"/>
    <x v="0"/>
  </r>
  <r>
    <s v="ID1820"/>
    <d v="2012-06-13T00:20:14"/>
    <s v="4.5 Laks"/>
    <n v="450000"/>
    <s v="INR"/>
    <n v="8013.5625093491553"/>
    <s v="MIS Executive"/>
    <x v="7"/>
    <s v="India"/>
    <x v="0"/>
    <x v="0"/>
    <n v="4"/>
    <s v=""/>
    <n v="1"/>
    <s v=""/>
    <s v=""/>
    <s v=""/>
    <s v=""/>
    <x v="1"/>
    <x v="0"/>
    <x v="1"/>
    <x v="0"/>
    <x v="0"/>
    <x v="0"/>
    <x v="0"/>
    <x v="0"/>
    <x v="0"/>
    <x v="56"/>
    <x v="0"/>
  </r>
  <r>
    <s v="ID1821"/>
    <d v="2012-06-13T00:23:31"/>
    <n v="80000"/>
    <n v="80000"/>
    <s v="USD"/>
    <n v="80000"/>
    <s v="Manager, Operations"/>
    <x v="3"/>
    <s v="USA"/>
    <x v="2"/>
    <x v="0"/>
    <n v="2"/>
    <n v="1"/>
    <s v=""/>
    <s v=""/>
    <s v=""/>
    <s v=""/>
    <s v=""/>
    <x v="4"/>
    <x v="0"/>
    <x v="1"/>
    <x v="0"/>
    <x v="0"/>
    <x v="0"/>
    <x v="0"/>
    <x v="50"/>
    <x v="0"/>
    <x v="0"/>
    <x v="0"/>
  </r>
  <r>
    <s v="ID1822"/>
    <d v="2012-06-13T00:37:24"/>
    <s v="â‚¬ 45000"/>
    <n v="45000"/>
    <s v="EUR"/>
    <n v="57167.974754622352"/>
    <s v="IT Trainer"/>
    <x v="0"/>
    <s v="Netherlands"/>
    <x v="18"/>
    <x v="2"/>
    <n v="14"/>
    <s v=""/>
    <s v=""/>
    <s v=""/>
    <n v="1"/>
    <s v=""/>
    <s v=""/>
    <x v="5"/>
    <x v="0"/>
    <x v="203"/>
    <x v="0"/>
    <x v="0"/>
    <x v="0"/>
    <x v="0"/>
    <x v="0"/>
    <x v="0"/>
    <x v="0"/>
    <x v="0"/>
  </r>
  <r>
    <s v="ID1823"/>
    <d v="2012-06-13T00:50:20"/>
    <n v="20000"/>
    <n v="20000"/>
    <s v="USD"/>
    <n v="20000"/>
    <s v="administrator"/>
    <x v="0"/>
    <s v="Canada"/>
    <x v="17"/>
    <x v="2"/>
    <n v="2"/>
    <n v="1"/>
    <s v=""/>
    <s v=""/>
    <s v=""/>
    <s v=""/>
    <s v=""/>
    <x v="4"/>
    <x v="0"/>
    <x v="80"/>
    <x v="0"/>
    <x v="0"/>
    <x v="0"/>
    <x v="0"/>
    <x v="0"/>
    <x v="0"/>
    <x v="0"/>
    <x v="0"/>
  </r>
  <r>
    <s v="ID1824"/>
    <d v="2012-06-13T01:56:23"/>
    <n v="70000"/>
    <n v="70000"/>
    <s v="USD"/>
    <n v="70000"/>
    <s v="business analyst"/>
    <x v="0"/>
    <s v="USA"/>
    <x v="2"/>
    <x v="2"/>
    <n v="5"/>
    <s v=""/>
    <n v="1"/>
    <s v=""/>
    <s v=""/>
    <s v=""/>
    <s v=""/>
    <x v="1"/>
    <x v="0"/>
    <x v="59"/>
    <x v="0"/>
    <x v="0"/>
    <x v="0"/>
    <x v="0"/>
    <x v="0"/>
    <x v="0"/>
    <x v="0"/>
    <x v="0"/>
  </r>
  <r>
    <s v="ID1825"/>
    <d v="2012-06-13T03:23:05"/>
    <s v="$214,000  USD"/>
    <n v="214000"/>
    <s v="USD"/>
    <n v="214000"/>
    <s v="Assistant Corporate Controller"/>
    <x v="1"/>
    <s v="USA"/>
    <x v="2"/>
    <x v="1"/>
    <n v="20"/>
    <s v=""/>
    <s v=""/>
    <s v=""/>
    <s v=""/>
    <n v="1"/>
    <s v=""/>
    <x v="2"/>
    <x v="0"/>
    <x v="1"/>
    <x v="0"/>
    <x v="58"/>
    <x v="0"/>
    <x v="0"/>
    <x v="0"/>
    <x v="0"/>
    <x v="0"/>
    <x v="0"/>
  </r>
  <r>
    <s v="ID1826"/>
    <d v="2012-06-13T03:48:39"/>
    <n v="78000"/>
    <n v="78000"/>
    <s v="USD"/>
    <n v="78000"/>
    <s v="Data Integration Engenieer"/>
    <x v="2"/>
    <s v="USA"/>
    <x v="2"/>
    <x v="1"/>
    <n v="5"/>
    <s v=""/>
    <n v="1"/>
    <s v=""/>
    <s v=""/>
    <s v=""/>
    <s v=""/>
    <x v="1"/>
    <x v="0"/>
    <x v="1"/>
    <x v="0"/>
    <x v="0"/>
    <x v="0"/>
    <x v="60"/>
    <x v="0"/>
    <x v="0"/>
    <x v="0"/>
    <x v="0"/>
  </r>
  <r>
    <s v="ID1827"/>
    <d v="2012-06-13T04:39:37"/>
    <n v="42307.199999999997"/>
    <n v="42307"/>
    <s v="USD"/>
    <n v="42307"/>
    <s v="purchasing operations administrator"/>
    <x v="0"/>
    <s v="USA"/>
    <x v="2"/>
    <x v="2"/>
    <n v="25"/>
    <s v=""/>
    <s v=""/>
    <s v=""/>
    <s v=""/>
    <s v=""/>
    <n v="1"/>
    <x v="6"/>
    <x v="0"/>
    <x v="346"/>
    <x v="0"/>
    <x v="0"/>
    <x v="0"/>
    <x v="0"/>
    <x v="0"/>
    <x v="0"/>
    <x v="0"/>
    <x v="0"/>
  </r>
  <r>
    <s v="ID1828"/>
    <d v="2012-06-13T04:40:03"/>
    <n v="33250"/>
    <n v="33250"/>
    <s v="USD"/>
    <n v="33250"/>
    <s v="Planning and Logistics Coordinator"/>
    <x v="3"/>
    <s v="USA"/>
    <x v="2"/>
    <x v="1"/>
    <n v="20"/>
    <s v=""/>
    <s v=""/>
    <s v=""/>
    <s v=""/>
    <n v="1"/>
    <s v=""/>
    <x v="2"/>
    <x v="0"/>
    <x v="1"/>
    <x v="0"/>
    <x v="0"/>
    <x v="0"/>
    <x v="0"/>
    <x v="302"/>
    <x v="0"/>
    <x v="0"/>
    <x v="0"/>
  </r>
  <r>
    <s v="ID1829"/>
    <d v="2012-06-13T05:20:32"/>
    <s v="1600â‚¬ net monthly"/>
    <n v="19200"/>
    <s v="EUR"/>
    <n v="24391.669228638868"/>
    <s v="bank clerk"/>
    <x v="0"/>
    <s v="italy"/>
    <x v="62"/>
    <x v="0"/>
    <n v="10"/>
    <s v=""/>
    <s v=""/>
    <n v="1"/>
    <s v=""/>
    <s v=""/>
    <s v=""/>
    <x v="3"/>
    <x v="0"/>
    <x v="347"/>
    <x v="0"/>
    <x v="0"/>
    <x v="0"/>
    <x v="0"/>
    <x v="0"/>
    <x v="0"/>
    <x v="0"/>
    <x v="0"/>
  </r>
  <r>
    <s v="ID1830"/>
    <d v="2012-06-13T06:19:24"/>
    <n v="120000"/>
    <n v="120000"/>
    <s v="USD"/>
    <n v="120000"/>
    <s v="Financial Modeler"/>
    <x v="5"/>
    <s v="USA"/>
    <x v="2"/>
    <x v="0"/>
    <n v="20"/>
    <s v=""/>
    <s v=""/>
    <s v=""/>
    <s v=""/>
    <n v="1"/>
    <s v=""/>
    <x v="2"/>
    <x v="105"/>
    <x v="1"/>
    <x v="0"/>
    <x v="0"/>
    <x v="0"/>
    <x v="0"/>
    <x v="0"/>
    <x v="0"/>
    <x v="0"/>
    <x v="0"/>
  </r>
  <r>
    <s v="ID1831"/>
    <d v="2012-06-13T11:58:30"/>
    <n v="20000"/>
    <n v="20000"/>
    <s v="USD"/>
    <n v="20000"/>
    <s v="Personal Assistant"/>
    <x v="0"/>
    <s v="Hong Kong"/>
    <x v="102"/>
    <x v="3"/>
    <n v="1"/>
    <n v="1"/>
    <s v=""/>
    <s v=""/>
    <s v=""/>
    <s v=""/>
    <s v=""/>
    <x v="4"/>
    <x v="0"/>
    <x v="80"/>
    <x v="0"/>
    <x v="0"/>
    <x v="0"/>
    <x v="0"/>
    <x v="0"/>
    <x v="0"/>
    <x v="0"/>
    <x v="0"/>
  </r>
  <r>
    <s v="ID1832"/>
    <d v="2012-06-13T17:22:47"/>
    <n v="15000"/>
    <n v="15000"/>
    <s v="USD"/>
    <n v="15000"/>
    <s v="senior associate"/>
    <x v="0"/>
    <s v="India"/>
    <x v="0"/>
    <x v="2"/>
    <n v="0.3"/>
    <n v="1"/>
    <s v=""/>
    <s v=""/>
    <s v=""/>
    <s v=""/>
    <s v=""/>
    <x v="4"/>
    <x v="0"/>
    <x v="151"/>
    <x v="0"/>
    <x v="0"/>
    <x v="0"/>
    <x v="0"/>
    <x v="0"/>
    <x v="0"/>
    <x v="0"/>
    <x v="0"/>
  </r>
  <r>
    <s v="ID1833"/>
    <d v="2012-06-13T18:25:00"/>
    <s v="INR 10 lacs p.a."/>
    <n v="1000000"/>
    <s v="INR"/>
    <n v="17807.916687442568"/>
    <s v="Mnanager- Customer Project finance &amp; recovery"/>
    <x v="3"/>
    <s v="India"/>
    <x v="0"/>
    <x v="2"/>
    <n v="10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834"/>
    <d v="2012-06-13T19:20:25"/>
    <n v="900000"/>
    <n v="900000"/>
    <s v="INR"/>
    <n v="16027.125018698311"/>
    <s v="Lead "/>
    <x v="3"/>
    <s v="India"/>
    <x v="0"/>
    <x v="2"/>
    <n v="6"/>
    <s v=""/>
    <s v=""/>
    <n v="1"/>
    <s v=""/>
    <s v=""/>
    <s v=""/>
    <x v="3"/>
    <x v="0"/>
    <x v="1"/>
    <x v="0"/>
    <x v="0"/>
    <x v="0"/>
    <x v="0"/>
    <x v="103"/>
    <x v="0"/>
    <x v="0"/>
    <x v="0"/>
  </r>
  <r>
    <s v="ID1835"/>
    <d v="2012-06-13T19:33:58"/>
    <s v="36000 British pounds"/>
    <n v="36000"/>
    <s v="GBP"/>
    <n v="56742.417794422225"/>
    <s v="Senior officer data reporting"/>
    <x v="3"/>
    <s v="UK"/>
    <x v="14"/>
    <x v="1"/>
    <n v="7"/>
    <s v=""/>
    <s v=""/>
    <n v="1"/>
    <s v=""/>
    <s v=""/>
    <s v=""/>
    <x v="3"/>
    <x v="0"/>
    <x v="1"/>
    <x v="0"/>
    <x v="0"/>
    <x v="0"/>
    <x v="0"/>
    <x v="287"/>
    <x v="0"/>
    <x v="0"/>
    <x v="0"/>
  </r>
  <r>
    <s v="ID1836"/>
    <d v="2012-06-13T19:40:16"/>
    <n v="1200000"/>
    <n v="1200000"/>
    <s v="INR"/>
    <n v="21369.500024931083"/>
    <s v="AM"/>
    <x v="3"/>
    <s v="India"/>
    <x v="0"/>
    <x v="0"/>
    <n v="7"/>
    <s v=""/>
    <s v=""/>
    <n v="1"/>
    <s v=""/>
    <s v=""/>
    <s v=""/>
    <x v="3"/>
    <x v="0"/>
    <x v="1"/>
    <x v="0"/>
    <x v="0"/>
    <x v="0"/>
    <x v="0"/>
    <x v="61"/>
    <x v="0"/>
    <x v="0"/>
    <x v="0"/>
  </r>
  <r>
    <s v="ID1837"/>
    <d v="2012-06-13T20:39:18"/>
    <n v="425000"/>
    <n v="425000"/>
    <s v="INR"/>
    <n v="7568.3645921630914"/>
    <s v="accountant"/>
    <x v="5"/>
    <s v="India"/>
    <x v="0"/>
    <x v="2"/>
    <n v="6"/>
    <s v=""/>
    <s v=""/>
    <n v="1"/>
    <s v=""/>
    <s v=""/>
    <s v=""/>
    <x v="3"/>
    <x v="106"/>
    <x v="1"/>
    <x v="0"/>
    <x v="0"/>
    <x v="0"/>
    <x v="0"/>
    <x v="0"/>
    <x v="0"/>
    <x v="0"/>
    <x v="0"/>
  </r>
  <r>
    <s v="ID1838"/>
    <d v="2012-06-13T23:32:36"/>
    <n v="50000"/>
    <n v="50000"/>
    <s v="GBP"/>
    <n v="78808.913603364199"/>
    <s v="Assistant Financial Accountant"/>
    <x v="5"/>
    <s v="UK"/>
    <x v="14"/>
    <x v="2"/>
    <n v="10"/>
    <s v=""/>
    <s v=""/>
    <n v="1"/>
    <s v=""/>
    <s v=""/>
    <s v=""/>
    <x v="3"/>
    <x v="107"/>
    <x v="1"/>
    <x v="0"/>
    <x v="0"/>
    <x v="0"/>
    <x v="0"/>
    <x v="0"/>
    <x v="0"/>
    <x v="0"/>
    <x v="0"/>
  </r>
  <r>
    <s v="ID1839"/>
    <d v="2012-06-14T01:55:13"/>
    <n v="60000"/>
    <n v="60000"/>
    <s v="USD"/>
    <n v="60000"/>
    <s v="Business Analyst"/>
    <x v="0"/>
    <s v="USA"/>
    <x v="2"/>
    <x v="0"/>
    <n v="15"/>
    <s v=""/>
    <s v=""/>
    <s v=""/>
    <n v="1"/>
    <s v=""/>
    <s v=""/>
    <x v="5"/>
    <x v="0"/>
    <x v="8"/>
    <x v="0"/>
    <x v="0"/>
    <x v="0"/>
    <x v="0"/>
    <x v="0"/>
    <x v="0"/>
    <x v="0"/>
    <x v="0"/>
  </r>
  <r>
    <s v="ID1840"/>
    <d v="2012-06-14T02:44:43"/>
    <n v="57000"/>
    <n v="57000"/>
    <s v="USD"/>
    <n v="57000"/>
    <s v="Staff Accountant"/>
    <x v="5"/>
    <s v="USA"/>
    <x v="2"/>
    <x v="0"/>
    <n v="9"/>
    <s v=""/>
    <s v=""/>
    <n v="1"/>
    <s v=""/>
    <s v=""/>
    <s v=""/>
    <x v="3"/>
    <x v="3"/>
    <x v="1"/>
    <x v="0"/>
    <x v="0"/>
    <x v="0"/>
    <x v="0"/>
    <x v="0"/>
    <x v="0"/>
    <x v="0"/>
    <x v="0"/>
  </r>
  <r>
    <s v="ID1841"/>
    <d v="2012-06-14T04:22:36"/>
    <n v="40000"/>
    <n v="40000"/>
    <s v="USD"/>
    <n v="40000"/>
    <s v="Rates Analyst"/>
    <x v="0"/>
    <s v="USA"/>
    <x v="2"/>
    <x v="2"/>
    <n v="0"/>
    <n v="1"/>
    <s v=""/>
    <s v=""/>
    <s v=""/>
    <s v=""/>
    <s v=""/>
    <x v="4"/>
    <x v="0"/>
    <x v="27"/>
    <x v="0"/>
    <x v="0"/>
    <x v="0"/>
    <x v="0"/>
    <x v="0"/>
    <x v="0"/>
    <x v="0"/>
    <x v="0"/>
  </r>
  <r>
    <s v="ID1842"/>
    <d v="2012-06-14T07:16:41"/>
    <n v="80000"/>
    <n v="80000"/>
    <s v="USD"/>
    <n v="80000"/>
    <s v="Project Controller"/>
    <x v="1"/>
    <s v="USA"/>
    <x v="2"/>
    <x v="0"/>
    <n v="9"/>
    <s v=""/>
    <s v=""/>
    <n v="1"/>
    <s v=""/>
    <s v=""/>
    <s v=""/>
    <x v="3"/>
    <x v="0"/>
    <x v="1"/>
    <x v="0"/>
    <x v="15"/>
    <x v="0"/>
    <x v="0"/>
    <x v="0"/>
    <x v="0"/>
    <x v="0"/>
    <x v="0"/>
  </r>
  <r>
    <s v="ID1843"/>
    <d v="2012-06-14T12:27:30"/>
    <n v="118000"/>
    <n v="118000"/>
    <s v="USD"/>
    <n v="118000"/>
    <s v="AVP"/>
    <x v="4"/>
    <s v="USA"/>
    <x v="2"/>
    <x v="0"/>
    <n v="6"/>
    <s v=""/>
    <s v=""/>
    <n v="1"/>
    <s v=""/>
    <s v=""/>
    <s v=""/>
    <x v="3"/>
    <x v="0"/>
    <x v="1"/>
    <x v="0"/>
    <x v="0"/>
    <x v="48"/>
    <x v="0"/>
    <x v="0"/>
    <x v="0"/>
    <x v="0"/>
    <x v="0"/>
  </r>
  <r>
    <s v="ID1844"/>
    <d v="2012-06-14T14:08:58"/>
    <n v="5000"/>
    <n v="60000"/>
    <s v="USD"/>
    <n v="60000"/>
    <s v="Analyst"/>
    <x v="0"/>
    <s v="UAE"/>
    <x v="21"/>
    <x v="0"/>
    <n v="5"/>
    <s v=""/>
    <n v="1"/>
    <s v=""/>
    <s v=""/>
    <s v=""/>
    <s v=""/>
    <x v="1"/>
    <x v="0"/>
    <x v="8"/>
    <x v="0"/>
    <x v="0"/>
    <x v="0"/>
    <x v="0"/>
    <x v="0"/>
    <x v="0"/>
    <x v="0"/>
    <x v="0"/>
  </r>
  <r>
    <s v="ID1845"/>
    <d v="2012-06-14T18:27:04"/>
    <n v="560"/>
    <n v="6720"/>
    <s v="USD"/>
    <n v="6720"/>
    <s v="accoutant"/>
    <x v="5"/>
    <s v="India"/>
    <x v="0"/>
    <x v="0"/>
    <n v="5"/>
    <s v=""/>
    <n v="1"/>
    <s v=""/>
    <s v=""/>
    <s v=""/>
    <s v=""/>
    <x v="1"/>
    <x v="108"/>
    <x v="1"/>
    <x v="0"/>
    <x v="0"/>
    <x v="0"/>
    <x v="0"/>
    <x v="0"/>
    <x v="0"/>
    <x v="0"/>
    <x v="0"/>
  </r>
  <r>
    <s v="ID1846"/>
    <d v="2012-06-14T22:03:05"/>
    <n v="1720"/>
    <n v="20640"/>
    <s v="USD"/>
    <n v="20640"/>
    <s v="Programme Officer"/>
    <x v="3"/>
    <s v="Singapore"/>
    <x v="29"/>
    <x v="0"/>
    <n v="3"/>
    <s v=""/>
    <n v="1"/>
    <s v=""/>
    <s v=""/>
    <s v=""/>
    <s v=""/>
    <x v="1"/>
    <x v="0"/>
    <x v="1"/>
    <x v="0"/>
    <x v="0"/>
    <x v="0"/>
    <x v="0"/>
    <x v="303"/>
    <x v="0"/>
    <x v="0"/>
    <x v="0"/>
  </r>
  <r>
    <s v="ID1847"/>
    <d v="2012-06-15T00:35:45"/>
    <n v="50000"/>
    <n v="50000"/>
    <s v="USD"/>
    <n v="50000"/>
    <s v="Digital Media Analyst"/>
    <x v="0"/>
    <s v="USA"/>
    <x v="2"/>
    <x v="1"/>
    <n v="15"/>
    <s v=""/>
    <s v=""/>
    <s v=""/>
    <n v="1"/>
    <s v=""/>
    <s v=""/>
    <x v="5"/>
    <x v="0"/>
    <x v="21"/>
    <x v="0"/>
    <x v="0"/>
    <x v="0"/>
    <x v="0"/>
    <x v="0"/>
    <x v="0"/>
    <x v="0"/>
    <x v="0"/>
  </r>
  <r>
    <s v="ID1848"/>
    <d v="2012-06-15T00:52:38"/>
    <n v="2000"/>
    <n v="24000"/>
    <s v="USD"/>
    <n v="24000"/>
    <s v="Plant Controller"/>
    <x v="1"/>
    <s v="Russia"/>
    <x v="13"/>
    <x v="1"/>
    <n v="23"/>
    <s v=""/>
    <s v=""/>
    <s v=""/>
    <s v=""/>
    <s v=""/>
    <n v="1"/>
    <x v="6"/>
    <x v="0"/>
    <x v="1"/>
    <x v="0"/>
    <x v="45"/>
    <x v="0"/>
    <x v="0"/>
    <x v="0"/>
    <x v="0"/>
    <x v="0"/>
    <x v="0"/>
  </r>
  <r>
    <s v="ID1849"/>
    <d v="2012-06-15T01:02:48"/>
    <n v="60000"/>
    <n v="60000"/>
    <s v="USD"/>
    <n v="60000"/>
    <s v="Business Analyst"/>
    <x v="0"/>
    <s v="USA"/>
    <x v="2"/>
    <x v="2"/>
    <n v="3"/>
    <s v=""/>
    <n v="1"/>
    <s v=""/>
    <s v=""/>
    <s v=""/>
    <s v=""/>
    <x v="1"/>
    <x v="0"/>
    <x v="8"/>
    <x v="0"/>
    <x v="0"/>
    <x v="0"/>
    <x v="0"/>
    <x v="0"/>
    <x v="0"/>
    <x v="0"/>
    <x v="0"/>
  </r>
  <r>
    <s v="ID1850"/>
    <d v="2012-06-15T01:10:09"/>
    <n v="37500"/>
    <n v="37500"/>
    <s v="USD"/>
    <n v="37500"/>
    <s v="consultant"/>
    <x v="8"/>
    <s v="India"/>
    <x v="0"/>
    <x v="1"/>
    <n v="0"/>
    <n v="1"/>
    <s v=""/>
    <s v=""/>
    <s v=""/>
    <s v=""/>
    <s v=""/>
    <x v="4"/>
    <x v="0"/>
    <x v="1"/>
    <x v="72"/>
    <x v="0"/>
    <x v="0"/>
    <x v="0"/>
    <x v="0"/>
    <x v="0"/>
    <x v="0"/>
    <x v="0"/>
  </r>
  <r>
    <s v="ID1851"/>
    <d v="2012-06-15T02:24:44"/>
    <n v="40000"/>
    <n v="40000"/>
    <s v="USD"/>
    <n v="40000"/>
    <s v="Research Support Specialist"/>
    <x v="6"/>
    <s v="USA"/>
    <x v="2"/>
    <x v="0"/>
    <n v="1"/>
    <n v="1"/>
    <s v=""/>
    <s v=""/>
    <s v=""/>
    <s v=""/>
    <s v=""/>
    <x v="4"/>
    <x v="0"/>
    <x v="1"/>
    <x v="0"/>
    <x v="0"/>
    <x v="0"/>
    <x v="0"/>
    <x v="0"/>
    <x v="0"/>
    <x v="0"/>
    <x v="44"/>
  </r>
  <r>
    <s v="ID1852"/>
    <d v="2012-06-15T02:30:11"/>
    <s v="US$ 85000"/>
    <n v="85000"/>
    <s v="USD"/>
    <n v="85000"/>
    <s v="Chief Financial Officer"/>
    <x v="4"/>
    <s v="USA"/>
    <x v="2"/>
    <x v="2"/>
    <n v="15"/>
    <s v=""/>
    <s v=""/>
    <s v=""/>
    <n v="1"/>
    <s v=""/>
    <s v=""/>
    <x v="5"/>
    <x v="0"/>
    <x v="1"/>
    <x v="0"/>
    <x v="0"/>
    <x v="3"/>
    <x v="0"/>
    <x v="0"/>
    <x v="0"/>
    <x v="0"/>
    <x v="0"/>
  </r>
  <r>
    <s v="ID1853"/>
    <d v="2012-06-15T03:00:04"/>
    <n v="30000"/>
    <n v="30000"/>
    <s v="USD"/>
    <n v="30000"/>
    <s v="Trainee"/>
    <x v="0"/>
    <s v="Brazil"/>
    <x v="20"/>
    <x v="2"/>
    <n v="1"/>
    <n v="1"/>
    <s v=""/>
    <s v=""/>
    <s v=""/>
    <s v=""/>
    <s v=""/>
    <x v="4"/>
    <x v="0"/>
    <x v="117"/>
    <x v="0"/>
    <x v="0"/>
    <x v="0"/>
    <x v="0"/>
    <x v="0"/>
    <x v="0"/>
    <x v="0"/>
    <x v="0"/>
  </r>
  <r>
    <s v="ID1854"/>
    <d v="2012-06-15T03:51:50"/>
    <s v="Â£33500"/>
    <n v="33500"/>
    <s v="GBP"/>
    <n v="52801.972114254015"/>
    <s v="Senior Manufacturing Engineer"/>
    <x v="2"/>
    <s v="UK"/>
    <x v="14"/>
    <x v="2"/>
    <n v="7"/>
    <s v=""/>
    <s v=""/>
    <n v="1"/>
    <s v=""/>
    <s v=""/>
    <s v=""/>
    <x v="3"/>
    <x v="0"/>
    <x v="1"/>
    <x v="0"/>
    <x v="0"/>
    <x v="0"/>
    <x v="61"/>
    <x v="0"/>
    <x v="0"/>
    <x v="0"/>
    <x v="0"/>
  </r>
  <r>
    <s v="ID1855"/>
    <d v="2012-06-15T05:44:30"/>
    <n v="29000"/>
    <n v="29000"/>
    <s v="USD"/>
    <n v="29000"/>
    <s v="Customer Experence Engineer"/>
    <x v="2"/>
    <s v="USA"/>
    <x v="2"/>
    <x v="1"/>
    <n v="1"/>
    <n v="1"/>
    <s v=""/>
    <s v=""/>
    <s v=""/>
    <s v=""/>
    <s v=""/>
    <x v="4"/>
    <x v="0"/>
    <x v="1"/>
    <x v="0"/>
    <x v="0"/>
    <x v="0"/>
    <x v="62"/>
    <x v="0"/>
    <x v="0"/>
    <x v="0"/>
    <x v="0"/>
  </r>
  <r>
    <s v="ID1857"/>
    <d v="2012-06-15T09:00:08"/>
    <n v="48000"/>
    <n v="48000"/>
    <s v="USD"/>
    <n v="48000"/>
    <s v="Accountant"/>
    <x v="5"/>
    <s v="USA"/>
    <x v="2"/>
    <x v="0"/>
    <n v="1"/>
    <n v="1"/>
    <s v=""/>
    <s v=""/>
    <s v=""/>
    <s v=""/>
    <s v=""/>
    <x v="4"/>
    <x v="109"/>
    <x v="1"/>
    <x v="0"/>
    <x v="0"/>
    <x v="0"/>
    <x v="0"/>
    <x v="0"/>
    <x v="0"/>
    <x v="0"/>
    <x v="0"/>
  </r>
  <r>
    <s v="ID1858"/>
    <d v="2012-06-15T09:01:23"/>
    <n v="48000"/>
    <n v="48000"/>
    <s v="USD"/>
    <n v="48000"/>
    <s v="Accountant"/>
    <x v="5"/>
    <s v="USA"/>
    <x v="2"/>
    <x v="0"/>
    <n v="1"/>
    <n v="1"/>
    <s v=""/>
    <s v=""/>
    <s v=""/>
    <s v=""/>
    <s v=""/>
    <x v="4"/>
    <x v="109"/>
    <x v="1"/>
    <x v="0"/>
    <x v="0"/>
    <x v="0"/>
    <x v="0"/>
    <x v="0"/>
    <x v="0"/>
    <x v="0"/>
    <x v="0"/>
  </r>
  <r>
    <s v="ID1859"/>
    <d v="2012-06-15T15:07:11"/>
    <n v="700"/>
    <n v="8400"/>
    <s v="USD"/>
    <n v="8400"/>
    <s v="Analyst"/>
    <x v="0"/>
    <s v="Baltic"/>
    <x v="103"/>
    <x v="1"/>
    <n v="0.3"/>
    <n v="1"/>
    <s v=""/>
    <s v=""/>
    <s v=""/>
    <s v=""/>
    <s v=""/>
    <x v="4"/>
    <x v="0"/>
    <x v="330"/>
    <x v="0"/>
    <x v="0"/>
    <x v="0"/>
    <x v="0"/>
    <x v="0"/>
    <x v="0"/>
    <x v="0"/>
    <x v="0"/>
  </r>
  <r>
    <s v="ID1860"/>
    <d v="2012-06-15T15:43:42"/>
    <n v="270000"/>
    <n v="270000"/>
    <s v="INR"/>
    <n v="4808.137505609493"/>
    <s v="Team Lead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304"/>
    <x v="0"/>
    <x v="0"/>
    <x v="0"/>
  </r>
  <r>
    <s v="ID1861"/>
    <d v="2012-06-15T16:36:47"/>
    <n v="1400000"/>
    <n v="1400000"/>
    <s v="INR"/>
    <n v="24931.083362419595"/>
    <s v="Manager - Controlling"/>
    <x v="3"/>
    <s v="India"/>
    <x v="0"/>
    <x v="0"/>
    <n v="10"/>
    <s v=""/>
    <s v=""/>
    <n v="1"/>
    <s v=""/>
    <s v=""/>
    <s v=""/>
    <x v="3"/>
    <x v="0"/>
    <x v="1"/>
    <x v="0"/>
    <x v="0"/>
    <x v="0"/>
    <x v="0"/>
    <x v="77"/>
    <x v="0"/>
    <x v="0"/>
    <x v="0"/>
  </r>
  <r>
    <s v="ID1862"/>
    <d v="2012-06-15T17:16:19"/>
    <s v="INR 700000"/>
    <n v="700000"/>
    <s v="INR"/>
    <n v="12465.541681209797"/>
    <s v="Sr. System Analyst"/>
    <x v="0"/>
    <s v="India"/>
    <x v="0"/>
    <x v="2"/>
    <n v="4"/>
    <s v=""/>
    <n v="1"/>
    <s v=""/>
    <s v=""/>
    <s v=""/>
    <s v=""/>
    <x v="1"/>
    <x v="0"/>
    <x v="170"/>
    <x v="0"/>
    <x v="0"/>
    <x v="0"/>
    <x v="0"/>
    <x v="0"/>
    <x v="0"/>
    <x v="0"/>
    <x v="0"/>
  </r>
  <r>
    <s v="ID1863"/>
    <d v="2012-06-15T17:35:32"/>
    <n v="20000"/>
    <n v="20000"/>
    <s v="GBP"/>
    <n v="31523.565441345683"/>
    <s v="Accountant"/>
    <x v="5"/>
    <s v="UK"/>
    <x v="14"/>
    <x v="2"/>
    <n v="10"/>
    <s v=""/>
    <s v=""/>
    <n v="1"/>
    <s v=""/>
    <s v=""/>
    <s v=""/>
    <x v="3"/>
    <x v="110"/>
    <x v="1"/>
    <x v="0"/>
    <x v="0"/>
    <x v="0"/>
    <x v="0"/>
    <x v="0"/>
    <x v="0"/>
    <x v="0"/>
    <x v="0"/>
  </r>
  <r>
    <s v="ID1864"/>
    <d v="2012-06-15T17:36:10"/>
    <s v="INR 1000000"/>
    <n v="1000000"/>
    <s v="INR"/>
    <n v="17807.916687442568"/>
    <s v="Sr.Manager"/>
    <x v="3"/>
    <s v="India"/>
    <x v="0"/>
    <x v="1"/>
    <n v="10"/>
    <s v=""/>
    <s v=""/>
    <n v="1"/>
    <s v=""/>
    <s v=""/>
    <s v=""/>
    <x v="3"/>
    <x v="0"/>
    <x v="1"/>
    <x v="0"/>
    <x v="0"/>
    <x v="0"/>
    <x v="0"/>
    <x v="6"/>
    <x v="0"/>
    <x v="0"/>
    <x v="0"/>
  </r>
  <r>
    <s v="ID1865"/>
    <d v="2012-06-15T18:13:12"/>
    <n v="112000"/>
    <n v="112000"/>
    <s v="USD"/>
    <n v="112000"/>
    <s v="manager"/>
    <x v="3"/>
    <s v="USA"/>
    <x v="2"/>
    <x v="2"/>
    <n v="8"/>
    <s v=""/>
    <s v=""/>
    <n v="1"/>
    <s v=""/>
    <s v=""/>
    <s v=""/>
    <x v="3"/>
    <x v="0"/>
    <x v="1"/>
    <x v="0"/>
    <x v="0"/>
    <x v="0"/>
    <x v="0"/>
    <x v="305"/>
    <x v="0"/>
    <x v="0"/>
    <x v="0"/>
  </r>
  <r>
    <s v="ID1866"/>
    <d v="2012-06-15T20:00:26"/>
    <n v="11000"/>
    <n v="11000"/>
    <s v="USD"/>
    <n v="11000"/>
    <s v="AM"/>
    <x v="3"/>
    <s v="India"/>
    <x v="0"/>
    <x v="1"/>
    <n v="8"/>
    <s v=""/>
    <s v=""/>
    <n v="1"/>
    <s v=""/>
    <s v=""/>
    <s v=""/>
    <x v="3"/>
    <x v="0"/>
    <x v="1"/>
    <x v="0"/>
    <x v="0"/>
    <x v="0"/>
    <x v="0"/>
    <x v="159"/>
    <x v="0"/>
    <x v="0"/>
    <x v="0"/>
  </r>
  <r>
    <s v="ID1867"/>
    <d v="2012-06-15T20:50:49"/>
    <s v="EUR 90000"/>
    <n v="90000"/>
    <s v="EUR"/>
    <n v="114335.9495092447"/>
    <s v="Controller"/>
    <x v="1"/>
    <s v="mainland Europe (Euro zone)"/>
    <x v="88"/>
    <x v="2"/>
    <n v="20"/>
    <s v=""/>
    <s v=""/>
    <s v=""/>
    <s v=""/>
    <n v="1"/>
    <s v=""/>
    <x v="2"/>
    <x v="0"/>
    <x v="1"/>
    <x v="0"/>
    <x v="59"/>
    <x v="0"/>
    <x v="0"/>
    <x v="0"/>
    <x v="0"/>
    <x v="0"/>
    <x v="0"/>
  </r>
  <r>
    <s v="ID1868"/>
    <d v="2012-06-15T21:32:16"/>
    <s v="$US16.110,72"/>
    <n v="16110"/>
    <s v="USD"/>
    <n v="16110"/>
    <s v="INFORMATION ANALIST"/>
    <x v="0"/>
    <s v="COLOMBIA"/>
    <x v="27"/>
    <x v="1"/>
    <n v="10"/>
    <s v=""/>
    <s v=""/>
    <n v="1"/>
    <s v=""/>
    <s v=""/>
    <s v=""/>
    <x v="3"/>
    <x v="0"/>
    <x v="348"/>
    <x v="0"/>
    <x v="0"/>
    <x v="0"/>
    <x v="0"/>
    <x v="0"/>
    <x v="0"/>
    <x v="0"/>
    <x v="0"/>
  </r>
  <r>
    <s v="ID1869"/>
    <d v="2012-06-15T22:36:45"/>
    <n v="72000"/>
    <n v="72000"/>
    <s v="USD"/>
    <n v="72000"/>
    <s v="HR Supervisor"/>
    <x v="3"/>
    <s v="USA"/>
    <x v="2"/>
    <x v="0"/>
    <n v="10"/>
    <s v=""/>
    <s v=""/>
    <n v="1"/>
    <s v=""/>
    <s v=""/>
    <s v=""/>
    <x v="3"/>
    <x v="0"/>
    <x v="1"/>
    <x v="0"/>
    <x v="0"/>
    <x v="0"/>
    <x v="0"/>
    <x v="257"/>
    <x v="0"/>
    <x v="0"/>
    <x v="0"/>
  </r>
  <r>
    <s v="ID1870"/>
    <d v="2012-06-15T23:21:00"/>
    <n v="60000"/>
    <n v="60000"/>
    <s v="USD"/>
    <n v="60000"/>
    <s v="Marketing Initatities Analyst"/>
    <x v="0"/>
    <s v="USA"/>
    <x v="2"/>
    <x v="1"/>
    <n v="10"/>
    <s v=""/>
    <s v=""/>
    <n v="1"/>
    <s v=""/>
    <s v=""/>
    <s v=""/>
    <x v="3"/>
    <x v="0"/>
    <x v="8"/>
    <x v="0"/>
    <x v="0"/>
    <x v="0"/>
    <x v="0"/>
    <x v="0"/>
    <x v="0"/>
    <x v="0"/>
    <x v="0"/>
  </r>
  <r>
    <s v="ID1871"/>
    <d v="2012-06-15T23:50:11"/>
    <n v="67000"/>
    <n v="67000"/>
    <s v="USD"/>
    <n v="67000"/>
    <s v="Sales Compensation Analyst"/>
    <x v="0"/>
    <s v="USA"/>
    <x v="2"/>
    <x v="0"/>
    <n v="6"/>
    <s v=""/>
    <s v=""/>
    <n v="1"/>
    <s v=""/>
    <s v=""/>
    <s v=""/>
    <x v="3"/>
    <x v="0"/>
    <x v="36"/>
    <x v="0"/>
    <x v="0"/>
    <x v="0"/>
    <x v="0"/>
    <x v="0"/>
    <x v="0"/>
    <x v="0"/>
    <x v="0"/>
  </r>
  <r>
    <s v="ID1872"/>
    <d v="2012-06-16T02:50:49"/>
    <n v="54000"/>
    <n v="54000"/>
    <s v="USD"/>
    <n v="54000"/>
    <s v="materials"/>
    <x v="0"/>
    <s v="USA"/>
    <x v="2"/>
    <x v="0"/>
    <n v="18"/>
    <s v=""/>
    <s v=""/>
    <s v=""/>
    <s v=""/>
    <n v="1"/>
    <s v=""/>
    <x v="2"/>
    <x v="0"/>
    <x v="43"/>
    <x v="0"/>
    <x v="0"/>
    <x v="0"/>
    <x v="0"/>
    <x v="0"/>
    <x v="0"/>
    <x v="0"/>
    <x v="0"/>
  </r>
  <r>
    <s v="ID1873"/>
    <d v="2012-06-16T05:23:03"/>
    <n v="38666"/>
    <n v="38666"/>
    <s v="USD"/>
    <n v="38666"/>
    <s v="Actuarial Specialist"/>
    <x v="6"/>
    <s v="South Africa"/>
    <x v="11"/>
    <x v="1"/>
    <n v="10"/>
    <s v=""/>
    <s v=""/>
    <n v="1"/>
    <s v=""/>
    <s v=""/>
    <s v=""/>
    <x v="3"/>
    <x v="0"/>
    <x v="1"/>
    <x v="0"/>
    <x v="0"/>
    <x v="0"/>
    <x v="0"/>
    <x v="0"/>
    <x v="0"/>
    <x v="0"/>
    <x v="45"/>
  </r>
  <r>
    <s v="ID1874"/>
    <d v="2012-06-16T06:17:53"/>
    <n v="63000"/>
    <n v="63000"/>
    <s v="USD"/>
    <n v="63000"/>
    <s v="Marketing Database Analyst"/>
    <x v="0"/>
    <s v="USA"/>
    <x v="2"/>
    <x v="0"/>
    <n v="6"/>
    <s v=""/>
    <s v=""/>
    <n v="1"/>
    <s v=""/>
    <s v=""/>
    <s v=""/>
    <x v="3"/>
    <x v="0"/>
    <x v="94"/>
    <x v="0"/>
    <x v="0"/>
    <x v="0"/>
    <x v="0"/>
    <x v="0"/>
    <x v="0"/>
    <x v="0"/>
    <x v="0"/>
  </r>
  <r>
    <s v="ID1875"/>
    <d v="2012-06-16T08:10:59"/>
    <s v="63000 USD"/>
    <n v="63000"/>
    <s v="USD"/>
    <n v="63000"/>
    <s v="Financial Analyst"/>
    <x v="0"/>
    <s v="USA"/>
    <x v="2"/>
    <x v="1"/>
    <n v="1"/>
    <n v="1"/>
    <s v=""/>
    <s v=""/>
    <s v=""/>
    <s v=""/>
    <s v=""/>
    <x v="4"/>
    <x v="0"/>
    <x v="94"/>
    <x v="0"/>
    <x v="0"/>
    <x v="0"/>
    <x v="0"/>
    <x v="0"/>
    <x v="0"/>
    <x v="0"/>
    <x v="0"/>
  </r>
  <r>
    <s v="ID1876"/>
    <d v="2012-06-16T14:10:51"/>
    <s v="INR 360000"/>
    <n v="360000"/>
    <s v="INR"/>
    <n v="6410.8500074793246"/>
    <s v="Analyst"/>
    <x v="0"/>
    <s v="India"/>
    <x v="0"/>
    <x v="1"/>
    <n v="2"/>
    <n v="1"/>
    <s v=""/>
    <s v=""/>
    <s v=""/>
    <s v=""/>
    <s v=""/>
    <x v="4"/>
    <x v="0"/>
    <x v="93"/>
    <x v="0"/>
    <x v="0"/>
    <x v="0"/>
    <x v="0"/>
    <x v="0"/>
    <x v="0"/>
    <x v="0"/>
    <x v="0"/>
  </r>
  <r>
    <s v="ID1877"/>
    <d v="2012-06-16T17:07:45"/>
    <s v="INR 50000"/>
    <n v="600000"/>
    <s v="INR"/>
    <n v="10684.750012465542"/>
    <s v="Manager- Customer Support"/>
    <x v="3"/>
    <s v="India"/>
    <x v="0"/>
    <x v="0"/>
    <n v="12"/>
    <s v=""/>
    <s v=""/>
    <s v=""/>
    <n v="1"/>
    <s v=""/>
    <s v=""/>
    <x v="5"/>
    <x v="0"/>
    <x v="1"/>
    <x v="0"/>
    <x v="0"/>
    <x v="0"/>
    <x v="0"/>
    <x v="9"/>
    <x v="0"/>
    <x v="0"/>
    <x v="0"/>
  </r>
  <r>
    <s v="ID1878"/>
    <d v="2012-06-16T17:14:03"/>
    <n v="40000"/>
    <n v="40000"/>
    <s v="USD"/>
    <n v="40000"/>
    <s v="Assistant Manager"/>
    <x v="3"/>
    <s v="India"/>
    <x v="0"/>
    <x v="0"/>
    <n v="5"/>
    <s v=""/>
    <n v="1"/>
    <s v=""/>
    <s v=""/>
    <s v=""/>
    <s v=""/>
    <x v="1"/>
    <x v="0"/>
    <x v="1"/>
    <x v="0"/>
    <x v="0"/>
    <x v="0"/>
    <x v="0"/>
    <x v="7"/>
    <x v="0"/>
    <x v="0"/>
    <x v="0"/>
  </r>
  <r>
    <s v="ID1879"/>
    <d v="2012-06-16T17:49:27"/>
    <s v="3.5 lac"/>
    <n v="350000"/>
    <s v="INR"/>
    <n v="6232.7708406048987"/>
    <s v="Analyst"/>
    <x v="0"/>
    <s v="India"/>
    <x v="0"/>
    <x v="0"/>
    <n v="6"/>
    <s v=""/>
    <s v=""/>
    <n v="1"/>
    <s v=""/>
    <s v=""/>
    <s v=""/>
    <x v="3"/>
    <x v="0"/>
    <x v="215"/>
    <x v="0"/>
    <x v="0"/>
    <x v="0"/>
    <x v="0"/>
    <x v="0"/>
    <x v="0"/>
    <x v="0"/>
    <x v="0"/>
  </r>
  <r>
    <s v="ID1880"/>
    <d v="2012-06-16T18:31:59"/>
    <n v="2342342"/>
    <n v="2342342"/>
    <s v="INR"/>
    <n v="41712.231189497601"/>
    <s v="3r23regedf"/>
    <x v="9"/>
    <s v="India"/>
    <x v="0"/>
    <x v="2"/>
    <n v="12"/>
    <s v=""/>
    <s v=""/>
    <s v=""/>
    <n v="1"/>
    <s v=""/>
    <s v=""/>
    <x v="5"/>
    <x v="0"/>
    <x v="1"/>
    <x v="0"/>
    <x v="0"/>
    <x v="0"/>
    <x v="0"/>
    <x v="0"/>
    <x v="5"/>
    <x v="0"/>
    <x v="0"/>
  </r>
  <r>
    <s v="ID1881"/>
    <d v="2012-06-16T18:33:25"/>
    <s v="Rs. 700000"/>
    <n v="700000"/>
    <s v="INR"/>
    <n v="12465.541681209797"/>
    <s v="Revenue Focus Manager"/>
    <x v="3"/>
    <s v="India"/>
    <x v="0"/>
    <x v="2"/>
    <n v="9"/>
    <s v=""/>
    <s v=""/>
    <n v="1"/>
    <s v=""/>
    <s v=""/>
    <s v=""/>
    <x v="3"/>
    <x v="0"/>
    <x v="1"/>
    <x v="0"/>
    <x v="0"/>
    <x v="0"/>
    <x v="0"/>
    <x v="182"/>
    <x v="0"/>
    <x v="0"/>
    <x v="0"/>
  </r>
  <r>
    <s v="ID1882"/>
    <d v="2012-06-16T22:24:30"/>
    <n v="20500"/>
    <n v="20500"/>
    <s v="GBP"/>
    <n v="32311.654577379326"/>
    <s v="analyst"/>
    <x v="0"/>
    <s v="UK"/>
    <x v="14"/>
    <x v="0"/>
    <n v="20"/>
    <s v=""/>
    <s v=""/>
    <s v=""/>
    <s v=""/>
    <n v="1"/>
    <s v=""/>
    <x v="2"/>
    <x v="0"/>
    <x v="349"/>
    <x v="0"/>
    <x v="0"/>
    <x v="0"/>
    <x v="0"/>
    <x v="0"/>
    <x v="0"/>
    <x v="0"/>
    <x v="0"/>
  </r>
  <r>
    <s v="ID1883"/>
    <d v="2012-06-17T01:34:46"/>
    <s v="4,00,000"/>
    <n v="400000"/>
    <s v="INR"/>
    <n v="7123.1666749770275"/>
    <s v="technical analyst"/>
    <x v="0"/>
    <s v="India"/>
    <x v="0"/>
    <x v="3"/>
    <n v="2"/>
    <n v="1"/>
    <s v=""/>
    <s v=""/>
    <s v=""/>
    <s v=""/>
    <s v=""/>
    <x v="4"/>
    <x v="0"/>
    <x v="92"/>
    <x v="0"/>
    <x v="0"/>
    <x v="0"/>
    <x v="0"/>
    <x v="0"/>
    <x v="0"/>
    <x v="0"/>
    <x v="0"/>
  </r>
  <r>
    <s v="ID1884"/>
    <d v="2012-06-17T04:02:00"/>
    <s v="US$100,000"/>
    <n v="100000"/>
    <s v="USD"/>
    <n v="100000"/>
    <s v="Senior Manager MIS"/>
    <x v="3"/>
    <s v="UAE"/>
    <x v="21"/>
    <x v="1"/>
    <n v="15"/>
    <s v=""/>
    <s v=""/>
    <s v=""/>
    <n v="1"/>
    <s v=""/>
    <s v=""/>
    <x v="5"/>
    <x v="0"/>
    <x v="1"/>
    <x v="0"/>
    <x v="0"/>
    <x v="0"/>
    <x v="0"/>
    <x v="20"/>
    <x v="0"/>
    <x v="0"/>
    <x v="0"/>
  </r>
  <r>
    <s v="ID1885"/>
    <d v="2012-06-17T11:38:53"/>
    <n v="75000"/>
    <n v="75000"/>
    <s v="NZD"/>
    <n v="59819.107020370408"/>
    <s v="Commercial Accountant"/>
    <x v="5"/>
    <s v="New Zealand"/>
    <x v="48"/>
    <x v="0"/>
    <n v="4"/>
    <s v=""/>
    <n v="1"/>
    <s v=""/>
    <s v=""/>
    <s v=""/>
    <s v=""/>
    <x v="1"/>
    <x v="111"/>
    <x v="1"/>
    <x v="0"/>
    <x v="0"/>
    <x v="0"/>
    <x v="0"/>
    <x v="0"/>
    <x v="0"/>
    <x v="0"/>
    <x v="0"/>
  </r>
  <r>
    <s v="ID1886"/>
    <d v="2012-06-17T12:00:57"/>
    <n v="25000"/>
    <n v="25000"/>
    <s v="USD"/>
    <n v="25000"/>
    <s v="Data Analyst"/>
    <x v="0"/>
    <s v="India"/>
    <x v="0"/>
    <x v="1"/>
    <n v="1.5"/>
    <n v="1"/>
    <s v=""/>
    <s v=""/>
    <s v=""/>
    <s v=""/>
    <s v=""/>
    <x v="4"/>
    <x v="0"/>
    <x v="295"/>
    <x v="0"/>
    <x v="0"/>
    <x v="0"/>
    <x v="0"/>
    <x v="0"/>
    <x v="0"/>
    <x v="0"/>
    <x v="0"/>
  </r>
  <r>
    <s v="ID1887"/>
    <d v="2012-06-17T12:48:52"/>
    <n v="5000"/>
    <n v="5000"/>
    <s v="USD"/>
    <n v="5000"/>
    <s v="admin"/>
    <x v="0"/>
    <s v="India"/>
    <x v="0"/>
    <x v="2"/>
    <n v="10"/>
    <s v=""/>
    <s v=""/>
    <n v="1"/>
    <s v=""/>
    <s v=""/>
    <s v=""/>
    <x v="3"/>
    <x v="0"/>
    <x v="350"/>
    <x v="0"/>
    <x v="0"/>
    <x v="0"/>
    <x v="0"/>
    <x v="0"/>
    <x v="0"/>
    <x v="0"/>
    <x v="0"/>
  </r>
  <r>
    <s v="ID1888"/>
    <d v="2012-06-17T13:26:38"/>
    <s v="AUD63000"/>
    <n v="63000"/>
    <s v="AUD"/>
    <n v="64254.308353366054"/>
    <s v="Financial Modelling adviser"/>
    <x v="5"/>
    <s v="Australia"/>
    <x v="16"/>
    <x v="1"/>
    <n v="3"/>
    <s v=""/>
    <n v="1"/>
    <s v=""/>
    <s v=""/>
    <s v=""/>
    <s v=""/>
    <x v="1"/>
    <x v="112"/>
    <x v="1"/>
    <x v="0"/>
    <x v="0"/>
    <x v="0"/>
    <x v="0"/>
    <x v="0"/>
    <x v="0"/>
    <x v="0"/>
    <x v="0"/>
  </r>
  <r>
    <s v="ID1889"/>
    <d v="2012-06-17T16:01:50"/>
    <n v="60000"/>
    <n v="60000"/>
    <s v="EUR"/>
    <n v="76223.966339496474"/>
    <s v="pm"/>
    <x v="3"/>
    <s v="Germany"/>
    <x v="5"/>
    <x v="0"/>
    <n v="6"/>
    <s v=""/>
    <s v=""/>
    <n v="1"/>
    <s v=""/>
    <s v=""/>
    <s v=""/>
    <x v="3"/>
    <x v="0"/>
    <x v="1"/>
    <x v="0"/>
    <x v="0"/>
    <x v="0"/>
    <x v="0"/>
    <x v="221"/>
    <x v="0"/>
    <x v="0"/>
    <x v="0"/>
  </r>
  <r>
    <s v="ID1890"/>
    <d v="2012-06-18T05:42:18"/>
    <n v="600000"/>
    <n v="600000"/>
    <s v="DKK"/>
    <n v="102542.54233725216"/>
    <s v="Engineer"/>
    <x v="2"/>
    <s v="DK"/>
    <x v="61"/>
    <x v="2"/>
    <n v="20"/>
    <s v=""/>
    <s v=""/>
    <s v=""/>
    <s v=""/>
    <n v="1"/>
    <s v=""/>
    <x v="2"/>
    <x v="0"/>
    <x v="1"/>
    <x v="0"/>
    <x v="0"/>
    <x v="0"/>
    <x v="63"/>
    <x v="0"/>
    <x v="0"/>
    <x v="0"/>
    <x v="0"/>
  </r>
  <r>
    <s v="ID1891"/>
    <d v="2012-06-18T06:14:35"/>
    <n v="46000"/>
    <n v="46000"/>
    <s v="USD"/>
    <n v="46000"/>
    <s v="AML Analyst"/>
    <x v="0"/>
    <s v="USA"/>
    <x v="2"/>
    <x v="1"/>
    <n v="1"/>
    <n v="1"/>
    <s v=""/>
    <s v=""/>
    <s v=""/>
    <s v=""/>
    <s v=""/>
    <x v="4"/>
    <x v="0"/>
    <x v="81"/>
    <x v="0"/>
    <x v="0"/>
    <x v="0"/>
    <x v="0"/>
    <x v="0"/>
    <x v="0"/>
    <x v="0"/>
    <x v="0"/>
  </r>
  <r>
    <s v="ID1892"/>
    <d v="2012-06-18T08:19:01"/>
    <n v="5000"/>
    <n v="5000"/>
    <s v="USD"/>
    <n v="5000"/>
    <s v="analyst "/>
    <x v="0"/>
    <s v="India"/>
    <x v="0"/>
    <x v="1"/>
    <n v="2"/>
    <n v="1"/>
    <s v=""/>
    <s v=""/>
    <s v=""/>
    <s v=""/>
    <s v=""/>
    <x v="4"/>
    <x v="0"/>
    <x v="350"/>
    <x v="0"/>
    <x v="0"/>
    <x v="0"/>
    <x v="0"/>
    <x v="0"/>
    <x v="0"/>
    <x v="0"/>
    <x v="0"/>
  </r>
  <r>
    <s v="ID1893"/>
    <d v="2012-06-18T14:27:59"/>
    <s v="$AUD 76300"/>
    <n v="76300"/>
    <s v="AUD"/>
    <n v="77819.106783521114"/>
    <s v="Operations Analyst"/>
    <x v="0"/>
    <s v="Australia"/>
    <x v="16"/>
    <x v="1"/>
    <n v="3"/>
    <s v=""/>
    <n v="1"/>
    <s v=""/>
    <s v=""/>
    <s v=""/>
    <s v=""/>
    <x v="1"/>
    <x v="0"/>
    <x v="351"/>
    <x v="0"/>
    <x v="0"/>
    <x v="0"/>
    <x v="0"/>
    <x v="0"/>
    <x v="0"/>
    <x v="0"/>
    <x v="0"/>
  </r>
  <r>
    <s v="ID1894"/>
    <d v="2012-06-18T17:51:52"/>
    <s v="Rs. 350000"/>
    <n v="350000"/>
    <s v="INR"/>
    <n v="6232.7708406048987"/>
    <s v="manager purchase"/>
    <x v="3"/>
    <s v="India"/>
    <x v="0"/>
    <x v="2"/>
    <n v="27"/>
    <s v=""/>
    <s v=""/>
    <s v=""/>
    <s v=""/>
    <s v=""/>
    <n v="1"/>
    <x v="6"/>
    <x v="0"/>
    <x v="1"/>
    <x v="0"/>
    <x v="0"/>
    <x v="0"/>
    <x v="0"/>
    <x v="306"/>
    <x v="0"/>
    <x v="0"/>
    <x v="0"/>
  </r>
  <r>
    <s v="ID1895"/>
    <d v="2012-06-18T18:26:47"/>
    <s v="Â£35000"/>
    <n v="35000"/>
    <s v="GBP"/>
    <n v="55166.239522354947"/>
    <s v="Process Analyst"/>
    <x v="0"/>
    <s v="UK"/>
    <x v="14"/>
    <x v="1"/>
    <n v="34"/>
    <s v=""/>
    <s v=""/>
    <s v=""/>
    <s v=""/>
    <s v=""/>
    <n v="1"/>
    <x v="6"/>
    <x v="0"/>
    <x v="9"/>
    <x v="0"/>
    <x v="0"/>
    <x v="0"/>
    <x v="0"/>
    <x v="0"/>
    <x v="0"/>
    <x v="0"/>
    <x v="0"/>
  </r>
  <r>
    <s v="ID1896"/>
    <d v="2012-06-19T00:23:24"/>
    <n v="45000"/>
    <n v="45000"/>
    <s v="USD"/>
    <n v="45000"/>
    <s v="Senior Accountant"/>
    <x v="5"/>
    <s v="USA"/>
    <x v="2"/>
    <x v="2"/>
    <n v="5"/>
    <s v=""/>
    <n v="1"/>
    <s v=""/>
    <s v=""/>
    <s v=""/>
    <s v=""/>
    <x v="1"/>
    <x v="14"/>
    <x v="1"/>
    <x v="0"/>
    <x v="0"/>
    <x v="0"/>
    <x v="0"/>
    <x v="0"/>
    <x v="0"/>
    <x v="0"/>
    <x v="0"/>
  </r>
  <r>
    <s v="ID1897"/>
    <d v="2012-06-19T01:49:49"/>
    <s v="60k usd"/>
    <n v="60000"/>
    <s v="USD"/>
    <n v="60000"/>
    <s v="buyer"/>
    <x v="3"/>
    <s v="Canada"/>
    <x v="17"/>
    <x v="2"/>
    <n v="10"/>
    <s v=""/>
    <s v=""/>
    <n v="1"/>
    <s v=""/>
    <s v=""/>
    <s v=""/>
    <x v="3"/>
    <x v="0"/>
    <x v="1"/>
    <x v="0"/>
    <x v="0"/>
    <x v="0"/>
    <x v="0"/>
    <x v="76"/>
    <x v="0"/>
    <x v="0"/>
    <x v="0"/>
  </r>
  <r>
    <s v="ID1898"/>
    <d v="2012-06-19T03:25:34"/>
    <n v="43000"/>
    <n v="43000"/>
    <s v="USD"/>
    <n v="43000"/>
    <s v="Performance Improvement Analyst"/>
    <x v="0"/>
    <s v="USA"/>
    <x v="2"/>
    <x v="0"/>
    <n v="5"/>
    <s v=""/>
    <n v="1"/>
    <s v=""/>
    <s v=""/>
    <s v=""/>
    <s v=""/>
    <x v="1"/>
    <x v="0"/>
    <x v="65"/>
    <x v="0"/>
    <x v="0"/>
    <x v="0"/>
    <x v="0"/>
    <x v="0"/>
    <x v="0"/>
    <x v="0"/>
    <x v="0"/>
  </r>
  <r>
    <s v="ID1899"/>
    <d v="2012-06-19T04:55:06"/>
    <n v="28000"/>
    <n v="28000"/>
    <s v="EUR"/>
    <n v="35571.184291765021"/>
    <s v="controller"/>
    <x v="1"/>
    <s v="Spain"/>
    <x v="47"/>
    <x v="0"/>
    <n v="8"/>
    <s v=""/>
    <s v=""/>
    <n v="1"/>
    <s v=""/>
    <s v=""/>
    <s v=""/>
    <x v="3"/>
    <x v="0"/>
    <x v="1"/>
    <x v="0"/>
    <x v="60"/>
    <x v="0"/>
    <x v="0"/>
    <x v="0"/>
    <x v="0"/>
    <x v="0"/>
    <x v="0"/>
  </r>
  <r>
    <s v="ID1900"/>
    <d v="2012-06-19T06:50:47"/>
    <n v="48000"/>
    <n v="48000"/>
    <s v="USD"/>
    <n v="48000"/>
    <s v="Inventory Analyst"/>
    <x v="0"/>
    <s v="USA"/>
    <x v="2"/>
    <x v="0"/>
    <n v="12"/>
    <s v=""/>
    <s v=""/>
    <s v=""/>
    <n v="1"/>
    <s v=""/>
    <s v=""/>
    <x v="5"/>
    <x v="0"/>
    <x v="103"/>
    <x v="0"/>
    <x v="0"/>
    <x v="0"/>
    <x v="0"/>
    <x v="0"/>
    <x v="0"/>
    <x v="0"/>
    <x v="0"/>
  </r>
  <r>
    <s v="ID1901"/>
    <d v="2012-06-19T07:59:00"/>
    <n v="120000"/>
    <n v="120000"/>
    <s v="AUD"/>
    <n v="122389.15876831629"/>
    <s v="Manager"/>
    <x v="3"/>
    <s v="Australia"/>
    <x v="16"/>
    <x v="3"/>
    <n v="8"/>
    <s v=""/>
    <s v=""/>
    <n v="1"/>
    <s v=""/>
    <s v=""/>
    <s v=""/>
    <x v="3"/>
    <x v="0"/>
    <x v="1"/>
    <x v="0"/>
    <x v="0"/>
    <x v="0"/>
    <x v="0"/>
    <x v="307"/>
    <x v="0"/>
    <x v="0"/>
    <x v="0"/>
  </r>
  <r>
    <s v="ID1902"/>
    <d v="2012-06-19T12:39:16"/>
    <n v="4000"/>
    <n v="4000"/>
    <s v="USD"/>
    <n v="4000"/>
    <s v="operator"/>
    <x v="0"/>
    <s v="India"/>
    <x v="0"/>
    <x v="2"/>
    <n v="4"/>
    <s v=""/>
    <n v="1"/>
    <s v=""/>
    <s v=""/>
    <s v=""/>
    <s v=""/>
    <x v="1"/>
    <x v="0"/>
    <x v="292"/>
    <x v="0"/>
    <x v="0"/>
    <x v="0"/>
    <x v="0"/>
    <x v="0"/>
    <x v="0"/>
    <x v="0"/>
    <x v="0"/>
  </r>
  <r>
    <s v="ID1903"/>
    <d v="2012-06-19T15:15:38"/>
    <n v="250000"/>
    <n v="250000"/>
    <s v="INR"/>
    <n v="4451.9791718606421"/>
    <s v="MIS EXECUTIVE"/>
    <x v="7"/>
    <s v="India"/>
    <x v="0"/>
    <x v="0"/>
    <n v="3"/>
    <s v=""/>
    <n v="1"/>
    <s v=""/>
    <s v=""/>
    <s v=""/>
    <s v=""/>
    <x v="1"/>
    <x v="0"/>
    <x v="1"/>
    <x v="0"/>
    <x v="0"/>
    <x v="0"/>
    <x v="0"/>
    <x v="0"/>
    <x v="0"/>
    <x v="21"/>
    <x v="0"/>
  </r>
  <r>
    <s v="ID1904"/>
    <d v="2012-06-19T17:01:38"/>
    <s v="52,224.00ETB"/>
    <n v="52224"/>
    <s v="ETB"/>
    <n v="2953.8461538461538"/>
    <s v="Project Costing &amp;Dashboard reporting"/>
    <x v="7"/>
    <s v="Ethiopia"/>
    <x v="104"/>
    <x v="0"/>
    <n v="3"/>
    <s v=""/>
    <n v="1"/>
    <s v=""/>
    <s v=""/>
    <s v=""/>
    <s v=""/>
    <x v="1"/>
    <x v="0"/>
    <x v="1"/>
    <x v="0"/>
    <x v="0"/>
    <x v="0"/>
    <x v="0"/>
    <x v="0"/>
    <x v="0"/>
    <x v="58"/>
    <x v="0"/>
  </r>
  <r>
    <s v="ID1905"/>
    <d v="2012-06-19T18:17:42"/>
    <n v="25000"/>
    <n v="25000"/>
    <s v="GBP"/>
    <n v="39404.456801682099"/>
    <s v="Data Analyst"/>
    <x v="0"/>
    <s v="UK"/>
    <x v="14"/>
    <x v="0"/>
    <n v="3"/>
    <s v=""/>
    <n v="1"/>
    <s v=""/>
    <s v=""/>
    <s v=""/>
    <s v=""/>
    <x v="1"/>
    <x v="0"/>
    <x v="115"/>
    <x v="0"/>
    <x v="0"/>
    <x v="0"/>
    <x v="0"/>
    <x v="0"/>
    <x v="0"/>
    <x v="0"/>
    <x v="0"/>
  </r>
  <r>
    <s v="ID1906"/>
    <d v="2012-06-19T19:33:25"/>
    <n v="74000"/>
    <n v="74000"/>
    <s v="AUD"/>
    <n v="75473.31457379504"/>
    <s v="Systems Analyst"/>
    <x v="0"/>
    <s v="Australia"/>
    <x v="16"/>
    <x v="0"/>
    <n v="8"/>
    <s v=""/>
    <s v=""/>
    <n v="1"/>
    <s v=""/>
    <s v=""/>
    <s v=""/>
    <x v="3"/>
    <x v="0"/>
    <x v="298"/>
    <x v="0"/>
    <x v="0"/>
    <x v="0"/>
    <x v="0"/>
    <x v="0"/>
    <x v="0"/>
    <x v="0"/>
    <x v="0"/>
  </r>
  <r>
    <s v="ID1907"/>
    <d v="2012-06-19T20:16:30"/>
    <n v="750000"/>
    <n v="750000"/>
    <s v="INR"/>
    <n v="13355.937515581925"/>
    <s v="Analyst"/>
    <x v="0"/>
    <s v="India"/>
    <x v="0"/>
    <x v="0"/>
    <n v="5"/>
    <s v=""/>
    <n v="1"/>
    <s v=""/>
    <s v=""/>
    <s v=""/>
    <s v=""/>
    <x v="1"/>
    <x v="0"/>
    <x v="105"/>
    <x v="0"/>
    <x v="0"/>
    <x v="0"/>
    <x v="0"/>
    <x v="0"/>
    <x v="0"/>
    <x v="0"/>
    <x v="0"/>
  </r>
  <r>
    <s v="ID1908"/>
    <d v="2012-06-19T20:35:35"/>
    <n v="25000"/>
    <n v="25000"/>
    <s v="USD"/>
    <n v="25000"/>
    <s v="Team Lead"/>
    <x v="3"/>
    <s v="India"/>
    <x v="0"/>
    <x v="0"/>
    <n v="10"/>
    <s v=""/>
    <s v=""/>
    <n v="1"/>
    <s v=""/>
    <s v=""/>
    <s v=""/>
    <x v="3"/>
    <x v="0"/>
    <x v="1"/>
    <x v="0"/>
    <x v="0"/>
    <x v="0"/>
    <x v="0"/>
    <x v="66"/>
    <x v="0"/>
    <x v="0"/>
    <x v="0"/>
  </r>
  <r>
    <s v="ID1909"/>
    <d v="2012-06-19T21:01:21"/>
    <n v="420000"/>
    <n v="420000"/>
    <s v="INR"/>
    <n v="7479.3250087258784"/>
    <s v="Analyst"/>
    <x v="0"/>
    <s v="India"/>
    <x v="0"/>
    <x v="0"/>
    <n v="2"/>
    <n v="1"/>
    <s v=""/>
    <s v=""/>
    <s v=""/>
    <s v=""/>
    <s v=""/>
    <x v="4"/>
    <x v="0"/>
    <x v="140"/>
    <x v="0"/>
    <x v="0"/>
    <x v="0"/>
    <x v="0"/>
    <x v="0"/>
    <x v="0"/>
    <x v="0"/>
    <x v="0"/>
  </r>
  <r>
    <s v="ID1910"/>
    <d v="2012-06-19T21:06:16"/>
    <n v="62000"/>
    <n v="62000"/>
    <s v="USD"/>
    <n v="62000"/>
    <s v="Analyst"/>
    <x v="0"/>
    <s v="USA"/>
    <x v="2"/>
    <x v="0"/>
    <n v="4"/>
    <s v=""/>
    <n v="1"/>
    <s v=""/>
    <s v=""/>
    <s v=""/>
    <s v=""/>
    <x v="1"/>
    <x v="0"/>
    <x v="14"/>
    <x v="0"/>
    <x v="0"/>
    <x v="0"/>
    <x v="0"/>
    <x v="0"/>
    <x v="0"/>
    <x v="0"/>
    <x v="0"/>
  </r>
  <r>
    <s v="ID1911"/>
    <d v="2012-06-19T21:32:36"/>
    <n v="48000"/>
    <n v="48000"/>
    <s v="USD"/>
    <n v="48000"/>
    <s v="Marketing Analyst Co-op"/>
    <x v="0"/>
    <s v="USA"/>
    <x v="2"/>
    <x v="0"/>
    <n v="1"/>
    <n v="1"/>
    <s v=""/>
    <s v=""/>
    <s v=""/>
    <s v=""/>
    <s v=""/>
    <x v="4"/>
    <x v="0"/>
    <x v="103"/>
    <x v="0"/>
    <x v="0"/>
    <x v="0"/>
    <x v="0"/>
    <x v="0"/>
    <x v="0"/>
    <x v="0"/>
    <x v="0"/>
  </r>
  <r>
    <s v="ID1912"/>
    <d v="2012-06-19T22:42:55"/>
    <n v="5000"/>
    <n v="5000"/>
    <s v="USD"/>
    <n v="5000"/>
    <s v="abc"/>
    <x v="9"/>
    <s v="India"/>
    <x v="0"/>
    <x v="0"/>
    <n v="3"/>
    <s v=""/>
    <n v="1"/>
    <s v=""/>
    <s v=""/>
    <s v=""/>
    <s v=""/>
    <x v="1"/>
    <x v="0"/>
    <x v="1"/>
    <x v="0"/>
    <x v="0"/>
    <x v="0"/>
    <x v="0"/>
    <x v="0"/>
    <x v="6"/>
    <x v="0"/>
    <x v="0"/>
  </r>
  <r>
    <s v="ID1914"/>
    <d v="2012-06-20T00:27:54"/>
    <s v="Rs23000/month"/>
    <n v="276000"/>
    <s v="INR"/>
    <n v="4914.9850057341491"/>
    <s v="MIS specialist"/>
    <x v="7"/>
    <s v="India"/>
    <x v="0"/>
    <x v="1"/>
    <n v="6"/>
    <s v=""/>
    <s v=""/>
    <n v="1"/>
    <s v=""/>
    <s v=""/>
    <s v=""/>
    <x v="3"/>
    <x v="0"/>
    <x v="1"/>
    <x v="0"/>
    <x v="0"/>
    <x v="0"/>
    <x v="0"/>
    <x v="0"/>
    <x v="0"/>
    <x v="59"/>
    <x v="0"/>
  </r>
  <r>
    <s v="ID1915"/>
    <d v="2012-06-20T00:55:28"/>
    <n v="75000"/>
    <n v="75000"/>
    <s v="USD"/>
    <n v="75000"/>
    <s v="Data Analyst"/>
    <x v="0"/>
    <s v="USA"/>
    <x v="2"/>
    <x v="3"/>
    <n v="3"/>
    <s v=""/>
    <n v="1"/>
    <s v=""/>
    <s v=""/>
    <s v=""/>
    <s v=""/>
    <x v="1"/>
    <x v="0"/>
    <x v="29"/>
    <x v="0"/>
    <x v="0"/>
    <x v="0"/>
    <x v="0"/>
    <x v="0"/>
    <x v="0"/>
    <x v="0"/>
    <x v="0"/>
  </r>
  <r>
    <s v="ID1916"/>
    <d v="2012-06-20T01:20:49"/>
    <n v="250000"/>
    <n v="250000"/>
    <s v="INR"/>
    <n v="4451.9791718606421"/>
    <s v="research associate"/>
    <x v="0"/>
    <s v="India"/>
    <x v="0"/>
    <x v="4"/>
    <n v="1.6"/>
    <n v="1"/>
    <s v=""/>
    <s v=""/>
    <s v=""/>
    <s v=""/>
    <s v=""/>
    <x v="4"/>
    <x v="0"/>
    <x v="267"/>
    <x v="0"/>
    <x v="0"/>
    <x v="0"/>
    <x v="0"/>
    <x v="0"/>
    <x v="0"/>
    <x v="0"/>
    <x v="0"/>
  </r>
  <r>
    <s v="ID1917"/>
    <d v="2012-06-20T01:43:12"/>
    <n v="700"/>
    <n v="8400"/>
    <s v="USD"/>
    <n v="8400"/>
    <s v="Sr. Executive MIS"/>
    <x v="7"/>
    <s v="India"/>
    <x v="0"/>
    <x v="1"/>
    <n v="6"/>
    <s v=""/>
    <s v=""/>
    <n v="1"/>
    <s v=""/>
    <s v=""/>
    <s v=""/>
    <x v="3"/>
    <x v="0"/>
    <x v="1"/>
    <x v="0"/>
    <x v="0"/>
    <x v="0"/>
    <x v="0"/>
    <x v="0"/>
    <x v="0"/>
    <x v="60"/>
    <x v="0"/>
  </r>
  <r>
    <s v="ID1918"/>
    <d v="2012-06-20T01:54:10"/>
    <n v="20000"/>
    <n v="20000"/>
    <s v="USD"/>
    <n v="20000"/>
    <s v="Monitoring and Evaluation Officer"/>
    <x v="3"/>
    <s v="India"/>
    <x v="0"/>
    <x v="2"/>
    <n v="5"/>
    <s v=""/>
    <n v="1"/>
    <s v=""/>
    <s v=""/>
    <s v=""/>
    <s v=""/>
    <x v="1"/>
    <x v="0"/>
    <x v="1"/>
    <x v="0"/>
    <x v="0"/>
    <x v="0"/>
    <x v="0"/>
    <x v="65"/>
    <x v="0"/>
    <x v="0"/>
    <x v="0"/>
  </r>
  <r>
    <s v="ID1919"/>
    <d v="2012-06-20T02:31:52"/>
    <n v="110000"/>
    <n v="110000"/>
    <s v="USD"/>
    <n v="110000"/>
    <s v="Vice President - Finance"/>
    <x v="4"/>
    <s v="USA"/>
    <x v="2"/>
    <x v="0"/>
    <n v="10"/>
    <s v=""/>
    <s v=""/>
    <n v="1"/>
    <s v=""/>
    <s v=""/>
    <s v=""/>
    <x v="3"/>
    <x v="0"/>
    <x v="1"/>
    <x v="0"/>
    <x v="0"/>
    <x v="49"/>
    <x v="0"/>
    <x v="0"/>
    <x v="0"/>
    <x v="0"/>
    <x v="0"/>
  </r>
  <r>
    <s v="ID1920"/>
    <d v="2012-06-20T03:52:40"/>
    <n v="50000"/>
    <n v="50000"/>
    <s v="USD"/>
    <n v="50000"/>
    <s v="Operations Analyst "/>
    <x v="0"/>
    <s v="USA"/>
    <x v="2"/>
    <x v="1"/>
    <n v="3.5"/>
    <s v=""/>
    <n v="1"/>
    <s v=""/>
    <s v=""/>
    <s v=""/>
    <s v=""/>
    <x v="1"/>
    <x v="0"/>
    <x v="21"/>
    <x v="0"/>
    <x v="0"/>
    <x v="0"/>
    <x v="0"/>
    <x v="0"/>
    <x v="0"/>
    <x v="0"/>
    <x v="0"/>
  </r>
  <r>
    <s v="ID1921"/>
    <d v="2012-06-20T03:55:55"/>
    <n v="46000"/>
    <n v="46000"/>
    <s v="USD"/>
    <n v="46000"/>
    <s v="Poultry Analyst"/>
    <x v="0"/>
    <s v="USA"/>
    <x v="2"/>
    <x v="0"/>
    <n v="8"/>
    <s v=""/>
    <s v=""/>
    <n v="1"/>
    <s v=""/>
    <s v=""/>
    <s v=""/>
    <x v="3"/>
    <x v="0"/>
    <x v="81"/>
    <x v="0"/>
    <x v="0"/>
    <x v="0"/>
    <x v="0"/>
    <x v="0"/>
    <x v="0"/>
    <x v="0"/>
    <x v="0"/>
  </r>
  <r>
    <s v="ID1922"/>
    <d v="2012-06-20T05:03:44"/>
    <n v="115000"/>
    <n v="115000"/>
    <s v="USD"/>
    <n v="115000"/>
    <s v="Business Analyst"/>
    <x v="0"/>
    <s v="USA"/>
    <x v="2"/>
    <x v="1"/>
    <n v="15"/>
    <s v=""/>
    <s v=""/>
    <s v=""/>
    <n v="1"/>
    <s v=""/>
    <s v=""/>
    <x v="5"/>
    <x v="0"/>
    <x v="191"/>
    <x v="0"/>
    <x v="0"/>
    <x v="0"/>
    <x v="0"/>
    <x v="0"/>
    <x v="0"/>
    <x v="0"/>
    <x v="0"/>
  </r>
  <r>
    <s v="ID1924"/>
    <d v="2012-06-20T12:53:56"/>
    <n v="180000"/>
    <n v="180000"/>
    <s v="INR"/>
    <n v="3205.4250037396623"/>
    <s v="Customer Resolution"/>
    <x v="0"/>
    <s v="India"/>
    <x v="0"/>
    <x v="0"/>
    <n v="3"/>
    <s v=""/>
    <n v="1"/>
    <s v=""/>
    <s v=""/>
    <s v=""/>
    <s v=""/>
    <x v="1"/>
    <x v="0"/>
    <x v="53"/>
    <x v="0"/>
    <x v="0"/>
    <x v="0"/>
    <x v="0"/>
    <x v="0"/>
    <x v="0"/>
    <x v="0"/>
    <x v="0"/>
  </r>
  <r>
    <s v="ID1925"/>
    <d v="2012-06-20T13:05:17"/>
    <s v="60000 EUR"/>
    <n v="60000"/>
    <s v="EUR"/>
    <n v="76223.966339496474"/>
    <s v="Project Manager"/>
    <x v="3"/>
    <s v="Europe"/>
    <x v="88"/>
    <x v="2"/>
    <n v="20"/>
    <s v=""/>
    <s v=""/>
    <s v=""/>
    <s v=""/>
    <n v="1"/>
    <s v=""/>
    <x v="2"/>
    <x v="0"/>
    <x v="1"/>
    <x v="0"/>
    <x v="0"/>
    <x v="0"/>
    <x v="0"/>
    <x v="221"/>
    <x v="0"/>
    <x v="0"/>
    <x v="0"/>
  </r>
  <r>
    <s v="ID1927"/>
    <d v="2012-06-20T14:08:51"/>
    <n v="52500"/>
    <n v="52500"/>
    <s v="USD"/>
    <n v="52500"/>
    <s v="Business Analist"/>
    <x v="0"/>
    <s v="south africa"/>
    <x v="11"/>
    <x v="0"/>
    <n v="21"/>
    <s v=""/>
    <s v=""/>
    <s v=""/>
    <s v=""/>
    <s v=""/>
    <n v="1"/>
    <x v="6"/>
    <x v="0"/>
    <x v="69"/>
    <x v="0"/>
    <x v="0"/>
    <x v="0"/>
    <x v="0"/>
    <x v="0"/>
    <x v="0"/>
    <x v="0"/>
    <x v="0"/>
  </r>
  <r>
    <s v="ID1928"/>
    <d v="2012-06-20T20:58:23"/>
    <n v="8400"/>
    <n v="100800"/>
    <s v="USD"/>
    <n v="100800"/>
    <s v="AVP"/>
    <x v="4"/>
    <s v="Oman"/>
    <x v="105"/>
    <x v="0"/>
    <n v="4"/>
    <s v=""/>
    <n v="1"/>
    <s v=""/>
    <s v=""/>
    <s v=""/>
    <s v=""/>
    <x v="1"/>
    <x v="0"/>
    <x v="1"/>
    <x v="0"/>
    <x v="0"/>
    <x v="50"/>
    <x v="0"/>
    <x v="0"/>
    <x v="0"/>
    <x v="0"/>
    <x v="0"/>
  </r>
  <r>
    <s v="ID1929"/>
    <d v="2012-06-21T03:46:23"/>
    <n v="21000"/>
    <n v="21000"/>
    <s v="USD"/>
    <n v="21000"/>
    <s v="eorl"/>
    <x v="9"/>
    <s v="India"/>
    <x v="0"/>
    <x v="1"/>
    <n v="5"/>
    <s v=""/>
    <n v="1"/>
    <s v=""/>
    <s v=""/>
    <s v=""/>
    <s v=""/>
    <x v="1"/>
    <x v="0"/>
    <x v="1"/>
    <x v="0"/>
    <x v="0"/>
    <x v="0"/>
    <x v="0"/>
    <x v="0"/>
    <x v="7"/>
    <x v="0"/>
    <x v="0"/>
  </r>
  <r>
    <s v="ID1930"/>
    <d v="2012-06-21T04:06:15"/>
    <n v="40000"/>
    <n v="40000"/>
    <s v="USD"/>
    <n v="40000"/>
    <s v="Corporate Trainer"/>
    <x v="0"/>
    <s v="USA"/>
    <x v="2"/>
    <x v="3"/>
    <n v="3"/>
    <s v=""/>
    <n v="1"/>
    <s v=""/>
    <s v=""/>
    <s v=""/>
    <s v=""/>
    <x v="1"/>
    <x v="0"/>
    <x v="27"/>
    <x v="0"/>
    <x v="0"/>
    <x v="0"/>
    <x v="0"/>
    <x v="0"/>
    <x v="0"/>
    <x v="0"/>
    <x v="0"/>
  </r>
  <r>
    <s v="ID1931"/>
    <d v="2012-06-21T04:44:20"/>
    <n v="46359"/>
    <n v="46359"/>
    <s v="USD"/>
    <n v="46359"/>
    <s v="Data Analyst"/>
    <x v="0"/>
    <s v="USA"/>
    <x v="2"/>
    <x v="1"/>
    <n v="5"/>
    <s v=""/>
    <n v="1"/>
    <s v=""/>
    <s v=""/>
    <s v=""/>
    <s v=""/>
    <x v="1"/>
    <x v="0"/>
    <x v="352"/>
    <x v="0"/>
    <x v="0"/>
    <x v="0"/>
    <x v="0"/>
    <x v="0"/>
    <x v="0"/>
    <x v="0"/>
    <x v="0"/>
  </r>
  <r>
    <s v="ID1932"/>
    <d v="2012-06-21T04:46:24"/>
    <n v="70000"/>
    <n v="70000"/>
    <s v="USD"/>
    <n v="70000"/>
    <s v="Administrative Coordinator"/>
    <x v="0"/>
    <s v="USA"/>
    <x v="2"/>
    <x v="0"/>
    <n v="10"/>
    <s v=""/>
    <s v=""/>
    <n v="1"/>
    <s v=""/>
    <s v=""/>
    <s v=""/>
    <x v="3"/>
    <x v="0"/>
    <x v="59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pecialist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T21:T43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7">
        <item x="40"/>
        <item x="20"/>
        <item x="2"/>
        <item x="13"/>
        <item x="34"/>
        <item x="11"/>
        <item x="37"/>
        <item x="30"/>
        <item x="29"/>
        <item x="21"/>
        <item x="15"/>
        <item x="27"/>
        <item x="14"/>
        <item x="28"/>
        <item x="45"/>
        <item x="44"/>
        <item x="3"/>
        <item x="9"/>
        <item x="18"/>
        <item x="17"/>
        <item x="33"/>
        <item x="36"/>
        <item x="6"/>
        <item x="26"/>
        <item x="24"/>
        <item x="4"/>
        <item x="23"/>
        <item x="35"/>
        <item x="42"/>
        <item x="10"/>
        <item x="1"/>
        <item x="38"/>
        <item x="12"/>
        <item x="32"/>
        <item x="7"/>
        <item x="41"/>
        <item x="43"/>
        <item x="39"/>
        <item x="5"/>
        <item x="8"/>
        <item x="19"/>
        <item x="31"/>
        <item x="25"/>
        <item x="22"/>
        <item x="16"/>
        <item x="0"/>
        <item t="default"/>
      </items>
    </pivotField>
  </pivotFields>
  <rowFields count="1">
    <field x="28"/>
  </rowFields>
  <rowItems count="22">
    <i>
      <x v="10"/>
    </i>
    <i>
      <x v="11"/>
    </i>
    <i>
      <x v="12"/>
    </i>
    <i>
      <x v="15"/>
    </i>
    <i>
      <x v="16"/>
    </i>
    <i>
      <x v="18"/>
    </i>
    <i>
      <x v="19"/>
    </i>
    <i>
      <x v="21"/>
    </i>
    <i>
      <x v="22"/>
    </i>
    <i>
      <x v="23"/>
    </i>
    <i>
      <x v="24"/>
    </i>
    <i>
      <x v="26"/>
    </i>
    <i>
      <x v="27"/>
    </i>
    <i>
      <x v="29"/>
    </i>
    <i>
      <x v="32"/>
    </i>
    <i>
      <x v="33"/>
    </i>
    <i>
      <x v="34"/>
    </i>
    <i>
      <x v="35"/>
    </i>
    <i>
      <x v="38"/>
    </i>
    <i>
      <x v="39"/>
    </i>
    <i>
      <x v="44"/>
    </i>
    <i>
      <x v="45"/>
    </i>
  </rowItems>
  <colItems count="1">
    <i/>
  </colItems>
  <pageFields count="3">
    <pageField fld="9" item="102" hier="-1"/>
    <pageField fld="10" hier="-1"/>
    <pageField fld="18" hier="-1"/>
  </pageFields>
  <formats count="1">
    <format dxfId="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eporting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R21:R27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2">
        <item x="26"/>
        <item x="57"/>
        <item x="12"/>
        <item x="58"/>
        <item x="30"/>
        <item x="31"/>
        <item x="17"/>
        <item x="47"/>
        <item x="35"/>
        <item x="6"/>
        <item x="13"/>
        <item x="24"/>
        <item x="18"/>
        <item x="14"/>
        <item x="21"/>
        <item x="59"/>
        <item x="50"/>
        <item x="10"/>
        <item x="39"/>
        <item x="15"/>
        <item x="19"/>
        <item x="2"/>
        <item x="11"/>
        <item x="48"/>
        <item x="41"/>
        <item x="20"/>
        <item x="40"/>
        <item x="23"/>
        <item x="44"/>
        <item x="56"/>
        <item x="60"/>
        <item x="37"/>
        <item x="16"/>
        <item x="22"/>
        <item x="46"/>
        <item x="5"/>
        <item x="8"/>
        <item x="45"/>
        <item x="25"/>
        <item x="7"/>
        <item x="27"/>
        <item x="32"/>
        <item x="42"/>
        <item x="34"/>
        <item x="3"/>
        <item x="43"/>
        <item x="36"/>
        <item x="9"/>
        <item x="54"/>
        <item x="51"/>
        <item x="49"/>
        <item x="52"/>
        <item x="1"/>
        <item x="29"/>
        <item x="38"/>
        <item x="33"/>
        <item x="55"/>
        <item x="28"/>
        <item x="53"/>
        <item x="4"/>
        <item x="0"/>
        <item t="default"/>
      </items>
    </pivotField>
    <pivotField showAll="0"/>
  </pivotFields>
  <rowFields count="1">
    <field x="27"/>
  </rowFields>
  <rowItems count="6">
    <i>
      <x v="49"/>
    </i>
    <i>
      <x v="50"/>
    </i>
    <i>
      <x v="52"/>
    </i>
    <i>
      <x v="55"/>
    </i>
    <i>
      <x v="56"/>
    </i>
    <i>
      <x v="60"/>
    </i>
  </rowItems>
  <colItems count="1">
    <i/>
  </colItems>
  <pageFields count="3">
    <pageField fld="9" item="102" hier="-1"/>
    <pageField fld="10" hier="-1"/>
    <pageField fld="18" hier="-1"/>
  </pageFields>
  <formats count="1">
    <format dxfId="4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Manager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N21:N99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09">
        <item x="197"/>
        <item x="176"/>
        <item x="155"/>
        <item x="147"/>
        <item x="134"/>
        <item x="223"/>
        <item x="140"/>
        <item x="200"/>
        <item x="264"/>
        <item x="75"/>
        <item x="183"/>
        <item x="214"/>
        <item x="206"/>
        <item x="193"/>
        <item x="136"/>
        <item x="51"/>
        <item x="98"/>
        <item x="238"/>
        <item x="145"/>
        <item x="174"/>
        <item x="220"/>
        <item x="301"/>
        <item x="304"/>
        <item x="204"/>
        <item x="249"/>
        <item x="142"/>
        <item x="150"/>
        <item x="168"/>
        <item x="225"/>
        <item x="250"/>
        <item x="292"/>
        <item x="100"/>
        <item x="137"/>
        <item x="247"/>
        <item x="274"/>
        <item x="277"/>
        <item x="141"/>
        <item x="124"/>
        <item x="280"/>
        <item x="306"/>
        <item x="158"/>
        <item x="279"/>
        <item x="152"/>
        <item x="127"/>
        <item x="149"/>
        <item x="12"/>
        <item x="42"/>
        <item x="135"/>
        <item x="212"/>
        <item x="133"/>
        <item x="120"/>
        <item x="113"/>
        <item x="58"/>
        <item x="180"/>
        <item x="230"/>
        <item x="143"/>
        <item x="57"/>
        <item x="165"/>
        <item x="239"/>
        <item x="160"/>
        <item x="164"/>
        <item x="267"/>
        <item x="196"/>
        <item x="3"/>
        <item x="71"/>
        <item x="298"/>
        <item x="130"/>
        <item x="244"/>
        <item x="9"/>
        <item x="202"/>
        <item x="201"/>
        <item x="159"/>
        <item x="91"/>
        <item x="151"/>
        <item x="163"/>
        <item x="248"/>
        <item x="166"/>
        <item x="276"/>
        <item x="218"/>
        <item x="184"/>
        <item x="182"/>
        <item x="228"/>
        <item x="110"/>
        <item x="84"/>
        <item x="237"/>
        <item x="5"/>
        <item x="300"/>
        <item x="49"/>
        <item x="299"/>
        <item x="13"/>
        <item x="72"/>
        <item x="177"/>
        <item x="194"/>
        <item x="103"/>
        <item x="178"/>
        <item x="139"/>
        <item x="146"/>
        <item x="6"/>
        <item x="203"/>
        <item x="179"/>
        <item x="260"/>
        <item x="96"/>
        <item x="46"/>
        <item x="65"/>
        <item x="208"/>
        <item x="262"/>
        <item x="148"/>
        <item x="303"/>
        <item x="128"/>
        <item x="61"/>
        <item x="80"/>
        <item x="90"/>
        <item x="111"/>
        <item x="44"/>
        <item x="27"/>
        <item x="271"/>
        <item x="77"/>
        <item x="66"/>
        <item x="234"/>
        <item x="173"/>
        <item x="181"/>
        <item x="275"/>
        <item x="229"/>
        <item x="231"/>
        <item x="242"/>
        <item x="16"/>
        <item x="209"/>
        <item x="288"/>
        <item x="83"/>
        <item x="47"/>
        <item x="99"/>
        <item x="167"/>
        <item x="15"/>
        <item x="154"/>
        <item x="169"/>
        <item x="54"/>
        <item x="222"/>
        <item x="302"/>
        <item x="23"/>
        <item x="68"/>
        <item x="283"/>
        <item x="40"/>
        <item x="26"/>
        <item x="227"/>
        <item x="198"/>
        <item x="254"/>
        <item x="7"/>
        <item x="175"/>
        <item x="10"/>
        <item x="8"/>
        <item x="56"/>
        <item x="296"/>
        <item x="89"/>
        <item x="205"/>
        <item x="295"/>
        <item x="224"/>
        <item x="241"/>
        <item x="74"/>
        <item x="187"/>
        <item x="35"/>
        <item x="92"/>
        <item x="108"/>
        <item x="31"/>
        <item x="106"/>
        <item x="161"/>
        <item x="123"/>
        <item x="94"/>
        <item x="236"/>
        <item x="93"/>
        <item x="24"/>
        <item x="88"/>
        <item x="33"/>
        <item x="162"/>
        <item x="294"/>
        <item x="38"/>
        <item x="4"/>
        <item x="284"/>
        <item x="251"/>
        <item x="41"/>
        <item x="53"/>
        <item x="104"/>
        <item x="232"/>
        <item x="30"/>
        <item x="109"/>
        <item x="291"/>
        <item x="85"/>
        <item x="101"/>
        <item x="69"/>
        <item x="132"/>
        <item x="246"/>
        <item x="43"/>
        <item x="207"/>
        <item x="86"/>
        <item x="144"/>
        <item x="297"/>
        <item x="287"/>
        <item x="29"/>
        <item x="14"/>
        <item x="252"/>
        <item x="117"/>
        <item x="188"/>
        <item x="32"/>
        <item x="263"/>
        <item x="273"/>
        <item x="76"/>
        <item x="18"/>
        <item x="172"/>
        <item x="17"/>
        <item x="215"/>
        <item x="121"/>
        <item x="95"/>
        <item x="211"/>
        <item x="63"/>
        <item x="266"/>
        <item x="114"/>
        <item x="278"/>
        <item x="282"/>
        <item x="186"/>
        <item x="261"/>
        <item x="59"/>
        <item x="153"/>
        <item x="73"/>
        <item x="37"/>
        <item x="243"/>
        <item x="272"/>
        <item x="48"/>
        <item x="60"/>
        <item x="131"/>
        <item x="219"/>
        <item x="191"/>
        <item x="290"/>
        <item x="257"/>
        <item x="216"/>
        <item x="199"/>
        <item x="116"/>
        <item x="286"/>
        <item x="21"/>
        <item x="213"/>
        <item x="70"/>
        <item x="221"/>
        <item x="270"/>
        <item x="102"/>
        <item x="210"/>
        <item x="50"/>
        <item x="256"/>
        <item x="185"/>
        <item x="240"/>
        <item x="118"/>
        <item x="19"/>
        <item x="269"/>
        <item x="105"/>
        <item x="115"/>
        <item x="171"/>
        <item x="285"/>
        <item x="39"/>
        <item x="87"/>
        <item x="52"/>
        <item x="28"/>
        <item x="112"/>
        <item x="293"/>
        <item x="79"/>
        <item x="129"/>
        <item x="259"/>
        <item x="253"/>
        <item x="170"/>
        <item x="62"/>
        <item x="20"/>
        <item x="22"/>
        <item x="157"/>
        <item x="97"/>
        <item x="125"/>
        <item x="233"/>
        <item x="268"/>
        <item x="45"/>
        <item x="235"/>
        <item x="2"/>
        <item x="81"/>
        <item x="265"/>
        <item x="192"/>
        <item x="36"/>
        <item x="258"/>
        <item x="305"/>
        <item x="190"/>
        <item x="226"/>
        <item x="126"/>
        <item x="119"/>
        <item x="156"/>
        <item x="217"/>
        <item x="25"/>
        <item x="307"/>
        <item x="78"/>
        <item x="34"/>
        <item x="67"/>
        <item x="107"/>
        <item x="82"/>
        <item x="255"/>
        <item x="64"/>
        <item x="195"/>
        <item x="289"/>
        <item x="11"/>
        <item x="281"/>
        <item x="122"/>
        <item x="245"/>
        <item x="1"/>
        <item x="138"/>
        <item x="189"/>
        <item x="55"/>
        <item x="0"/>
        <item t="default"/>
      </items>
    </pivotField>
    <pivotField showAll="0"/>
    <pivotField showAll="0"/>
    <pivotField showAll="0"/>
  </pivotFields>
  <rowFields count="1">
    <field x="25"/>
  </rowFields>
  <rowItems count="78">
    <i>
      <x v="90"/>
    </i>
    <i>
      <x v="110"/>
    </i>
    <i>
      <x v="114"/>
    </i>
    <i>
      <x v="128"/>
    </i>
    <i>
      <x v="130"/>
    </i>
    <i>
      <x v="134"/>
    </i>
    <i>
      <x v="137"/>
    </i>
    <i>
      <x v="141"/>
    </i>
    <i>
      <x v="142"/>
    </i>
    <i>
      <x v="146"/>
    </i>
    <i>
      <x v="148"/>
    </i>
    <i>
      <x v="150"/>
    </i>
    <i>
      <x v="152"/>
    </i>
    <i>
      <x v="159"/>
    </i>
    <i>
      <x v="166"/>
    </i>
    <i>
      <x v="168"/>
    </i>
    <i>
      <x v="170"/>
    </i>
    <i>
      <x v="171"/>
    </i>
    <i>
      <x v="172"/>
    </i>
    <i>
      <x v="175"/>
    </i>
    <i>
      <x v="179"/>
    </i>
    <i>
      <x v="182"/>
    </i>
    <i>
      <x v="184"/>
    </i>
    <i>
      <x v="185"/>
    </i>
    <i>
      <x v="187"/>
    </i>
    <i>
      <x v="190"/>
    </i>
    <i>
      <x v="192"/>
    </i>
    <i>
      <x v="194"/>
    </i>
    <i>
      <x v="196"/>
    </i>
    <i>
      <x v="198"/>
    </i>
    <i>
      <x v="201"/>
    </i>
    <i>
      <x v="203"/>
    </i>
    <i>
      <x v="204"/>
    </i>
    <i>
      <x v="205"/>
    </i>
    <i>
      <x v="213"/>
    </i>
    <i>
      <x v="214"/>
    </i>
    <i>
      <x v="218"/>
    </i>
    <i>
      <x v="221"/>
    </i>
    <i>
      <x v="225"/>
    </i>
    <i>
      <x v="230"/>
    </i>
    <i>
      <x v="231"/>
    </i>
    <i>
      <x v="234"/>
    </i>
    <i>
      <x v="235"/>
    </i>
    <i>
      <x v="236"/>
    </i>
    <i>
      <x v="238"/>
    </i>
    <i>
      <x v="243"/>
    </i>
    <i>
      <x v="244"/>
    </i>
    <i>
      <x v="246"/>
    </i>
    <i>
      <x v="247"/>
    </i>
    <i>
      <x v="248"/>
    </i>
    <i>
      <x v="252"/>
    </i>
    <i>
      <x v="254"/>
    </i>
    <i>
      <x v="255"/>
    </i>
    <i>
      <x v="256"/>
    </i>
    <i>
      <x v="257"/>
    </i>
    <i>
      <x v="260"/>
    </i>
    <i>
      <x v="261"/>
    </i>
    <i>
      <x v="262"/>
    </i>
    <i>
      <x v="263"/>
    </i>
    <i>
      <x v="266"/>
    </i>
    <i>
      <x v="272"/>
    </i>
    <i>
      <x v="275"/>
    </i>
    <i>
      <x v="276"/>
    </i>
    <i>
      <x v="277"/>
    </i>
    <i>
      <x v="280"/>
    </i>
    <i>
      <x v="281"/>
    </i>
    <i>
      <x v="284"/>
    </i>
    <i>
      <x v="288"/>
    </i>
    <i>
      <x v="290"/>
    </i>
    <i>
      <x v="291"/>
    </i>
    <i>
      <x v="292"/>
    </i>
    <i>
      <x v="294"/>
    </i>
    <i>
      <x v="295"/>
    </i>
    <i>
      <x v="296"/>
    </i>
    <i>
      <x v="299"/>
    </i>
    <i>
      <x v="300"/>
    </i>
    <i>
      <x v="306"/>
    </i>
    <i>
      <x v="307"/>
    </i>
  </rowItems>
  <colItems count="1">
    <i/>
  </colItems>
  <pageFields count="3">
    <pageField fld="9" item="102" hier="-1"/>
    <pageField fld="10" hier="-1"/>
    <pageField fld="18" hier="-1"/>
  </pageFields>
  <formats count="1">
    <format dxfId="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Analyst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D21:D133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354">
        <item x="155"/>
        <item x="116"/>
        <item x="340"/>
        <item x="180"/>
        <item x="175"/>
        <item x="186"/>
        <item x="53"/>
        <item x="318"/>
        <item x="61"/>
        <item x="68"/>
        <item x="341"/>
        <item x="232"/>
        <item x="153"/>
        <item x="194"/>
        <item x="292"/>
        <item x="290"/>
        <item x="138"/>
        <item x="134"/>
        <item x="282"/>
        <item x="267"/>
        <item x="190"/>
        <item x="89"/>
        <item x="336"/>
        <item x="154"/>
        <item x="165"/>
        <item x="60"/>
        <item x="77"/>
        <item x="345"/>
        <item x="350"/>
        <item x="162"/>
        <item x="251"/>
        <item x="150"/>
        <item x="286"/>
        <item x="0"/>
        <item x="183"/>
        <item x="215"/>
        <item x="93"/>
        <item x="217"/>
        <item x="96"/>
        <item x="177"/>
        <item x="303"/>
        <item x="160"/>
        <item x="92"/>
        <item x="224"/>
        <item x="255"/>
        <item x="163"/>
        <item x="140"/>
        <item x="333"/>
        <item x="15"/>
        <item x="223"/>
        <item x="169"/>
        <item x="85"/>
        <item x="73"/>
        <item x="330"/>
        <item x="113"/>
        <item x="158"/>
        <item x="236"/>
        <item x="51"/>
        <item x="262"/>
        <item x="220"/>
        <item x="201"/>
        <item x="159"/>
        <item x="188"/>
        <item x="182"/>
        <item x="167"/>
        <item x="173"/>
        <item x="152"/>
        <item x="147"/>
        <item x="87"/>
        <item x="319"/>
        <item x="287"/>
        <item x="216"/>
        <item x="266"/>
        <item x="157"/>
        <item x="184"/>
        <item x="258"/>
        <item x="4"/>
        <item x="170"/>
        <item x="291"/>
        <item x="156"/>
        <item x="5"/>
        <item x="105"/>
        <item x="196"/>
        <item x="82"/>
        <item x="305"/>
        <item x="11"/>
        <item x="151"/>
        <item x="141"/>
        <item x="234"/>
        <item x="238"/>
        <item x="297"/>
        <item x="309"/>
        <item x="283"/>
        <item x="348"/>
        <item x="189"/>
        <item x="149"/>
        <item x="106"/>
        <item x="310"/>
        <item x="161"/>
        <item x="24"/>
        <item x="245"/>
        <item x="231"/>
        <item x="212"/>
        <item x="122"/>
        <item x="10"/>
        <item x="164"/>
        <item x="80"/>
        <item x="338"/>
        <item x="31"/>
        <item x="221"/>
        <item x="148"/>
        <item x="337"/>
        <item x="135"/>
        <item x="171"/>
        <item x="347"/>
        <item x="222"/>
        <item x="295"/>
        <item x="123"/>
        <item x="25"/>
        <item x="192"/>
        <item x="323"/>
        <item x="259"/>
        <item x="288"/>
        <item x="66"/>
        <item x="130"/>
        <item x="243"/>
        <item x="58"/>
        <item x="108"/>
        <item x="198"/>
        <item x="263"/>
        <item x="117"/>
        <item x="320"/>
        <item x="72"/>
        <item x="308"/>
        <item x="26"/>
        <item x="225"/>
        <item x="311"/>
        <item x="285"/>
        <item x="349"/>
        <item x="314"/>
        <item x="133"/>
        <item x="342"/>
        <item x="313"/>
        <item x="178"/>
        <item x="107"/>
        <item x="168"/>
        <item x="214"/>
        <item x="100"/>
        <item x="339"/>
        <item x="329"/>
        <item x="312"/>
        <item x="32"/>
        <item x="261"/>
        <item x="226"/>
        <item x="197"/>
        <item x="48"/>
        <item x="16"/>
        <item x="233"/>
        <item x="144"/>
        <item x="343"/>
        <item x="269"/>
        <item x="115"/>
        <item x="27"/>
        <item x="136"/>
        <item x="252"/>
        <item x="57"/>
        <item x="40"/>
        <item x="247"/>
        <item x="86"/>
        <item x="28"/>
        <item x="56"/>
        <item x="3"/>
        <item x="325"/>
        <item x="293"/>
        <item x="67"/>
        <item x="346"/>
        <item x="331"/>
        <item x="65"/>
        <item x="187"/>
        <item x="265"/>
        <item x="218"/>
        <item x="104"/>
        <item x="76"/>
        <item x="97"/>
        <item x="41"/>
        <item x="250"/>
        <item x="42"/>
        <item x="118"/>
        <item x="207"/>
        <item x="90"/>
        <item x="275"/>
        <item x="81"/>
        <item x="352"/>
        <item x="54"/>
        <item x="227"/>
        <item x="62"/>
        <item x="71"/>
        <item x="103"/>
        <item x="19"/>
        <item x="321"/>
        <item x="257"/>
        <item x="6"/>
        <item x="302"/>
        <item x="327"/>
        <item x="264"/>
        <item x="21"/>
        <item x="242"/>
        <item x="12"/>
        <item x="270"/>
        <item x="254"/>
        <item x="193"/>
        <item x="253"/>
        <item x="219"/>
        <item x="74"/>
        <item x="110"/>
        <item x="38"/>
        <item x="241"/>
        <item x="69"/>
        <item x="46"/>
        <item x="211"/>
        <item x="43"/>
        <item x="78"/>
        <item x="18"/>
        <item x="9"/>
        <item x="109"/>
        <item x="280"/>
        <item x="37"/>
        <item x="322"/>
        <item x="22"/>
        <item x="203"/>
        <item x="33"/>
        <item x="277"/>
        <item x="279"/>
        <item x="2"/>
        <item x="315"/>
        <item x="244"/>
        <item x="240"/>
        <item x="39"/>
        <item x="204"/>
        <item x="8"/>
        <item x="274"/>
        <item x="45"/>
        <item x="91"/>
        <item x="126"/>
        <item x="260"/>
        <item x="14"/>
        <item x="94"/>
        <item x="334"/>
        <item x="208"/>
        <item x="63"/>
        <item x="132"/>
        <item x="239"/>
        <item x="276"/>
        <item x="174"/>
        <item x="84"/>
        <item x="34"/>
        <item x="176"/>
        <item x="50"/>
        <item x="36"/>
        <item x="120"/>
        <item x="326"/>
        <item x="17"/>
        <item x="332"/>
        <item x="235"/>
        <item x="230"/>
        <item x="131"/>
        <item x="59"/>
        <item x="324"/>
        <item x="304"/>
        <item x="44"/>
        <item x="307"/>
        <item x="114"/>
        <item x="306"/>
        <item x="70"/>
        <item x="272"/>
        <item x="98"/>
        <item x="299"/>
        <item x="29"/>
        <item x="195"/>
        <item x="298"/>
        <item x="296"/>
        <item x="294"/>
        <item x="112"/>
        <item x="344"/>
        <item x="121"/>
        <item x="273"/>
        <item x="351"/>
        <item x="129"/>
        <item x="102"/>
        <item x="248"/>
        <item x="200"/>
        <item x="30"/>
        <item x="278"/>
        <item x="328"/>
        <item x="237"/>
        <item x="271"/>
        <item x="166"/>
        <item x="119"/>
        <item x="35"/>
        <item x="20"/>
        <item x="317"/>
        <item x="127"/>
        <item x="284"/>
        <item x="335"/>
        <item x="52"/>
        <item x="301"/>
        <item x="111"/>
        <item x="49"/>
        <item x="228"/>
        <item x="206"/>
        <item x="47"/>
        <item x="185"/>
        <item x="213"/>
        <item x="75"/>
        <item x="95"/>
        <item x="202"/>
        <item x="246"/>
        <item x="209"/>
        <item x="7"/>
        <item x="172"/>
        <item x="83"/>
        <item x="79"/>
        <item x="13"/>
        <item x="143"/>
        <item x="281"/>
        <item x="125"/>
        <item x="199"/>
        <item x="316"/>
        <item x="64"/>
        <item x="179"/>
        <item x="268"/>
        <item x="128"/>
        <item x="55"/>
        <item x="256"/>
        <item x="191"/>
        <item x="137"/>
        <item x="210"/>
        <item x="124"/>
        <item x="229"/>
        <item x="146"/>
        <item x="88"/>
        <item x="300"/>
        <item x="181"/>
        <item x="289"/>
        <item x="205"/>
        <item x="249"/>
        <item x="23"/>
        <item x="139"/>
        <item x="101"/>
        <item x="99"/>
        <item x="145"/>
        <item x="14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112">
    <i>
      <x v="64"/>
    </i>
    <i>
      <x v="76"/>
    </i>
    <i>
      <x v="86"/>
    </i>
    <i>
      <x v="113"/>
    </i>
    <i>
      <x v="124"/>
    </i>
    <i>
      <x v="125"/>
    </i>
    <i>
      <x v="126"/>
    </i>
    <i>
      <x v="130"/>
    </i>
    <i>
      <x v="132"/>
    </i>
    <i>
      <x v="133"/>
    </i>
    <i>
      <x v="139"/>
    </i>
    <i>
      <x v="143"/>
    </i>
    <i>
      <x v="144"/>
    </i>
    <i>
      <x v="147"/>
    </i>
    <i>
      <x v="150"/>
    </i>
    <i>
      <x v="151"/>
    </i>
    <i>
      <x v="155"/>
    </i>
    <i>
      <x v="156"/>
    </i>
    <i>
      <x v="158"/>
    </i>
    <i>
      <x v="162"/>
    </i>
    <i>
      <x v="163"/>
    </i>
    <i>
      <x v="165"/>
    </i>
    <i>
      <x v="168"/>
    </i>
    <i>
      <x v="173"/>
    </i>
    <i>
      <x v="174"/>
    </i>
    <i>
      <x v="175"/>
    </i>
    <i>
      <x v="177"/>
    </i>
    <i>
      <x v="178"/>
    </i>
    <i>
      <x v="181"/>
    </i>
    <i>
      <x v="183"/>
    </i>
    <i>
      <x v="186"/>
    </i>
    <i>
      <x v="191"/>
    </i>
    <i>
      <x v="192"/>
    </i>
    <i>
      <x v="193"/>
    </i>
    <i>
      <x v="196"/>
    </i>
    <i>
      <x v="197"/>
    </i>
    <i>
      <x v="199"/>
    </i>
    <i>
      <x v="201"/>
    </i>
    <i>
      <x v="204"/>
    </i>
    <i>
      <x v="205"/>
    </i>
    <i>
      <x v="211"/>
    </i>
    <i>
      <x v="213"/>
    </i>
    <i>
      <x v="214"/>
    </i>
    <i>
      <x v="215"/>
    </i>
    <i>
      <x v="217"/>
    </i>
    <i>
      <x v="218"/>
    </i>
    <i>
      <x v="220"/>
    </i>
    <i>
      <x v="221"/>
    </i>
    <i>
      <x v="224"/>
    </i>
    <i>
      <x v="226"/>
    </i>
    <i>
      <x v="228"/>
    </i>
    <i>
      <x v="230"/>
    </i>
    <i>
      <x v="231"/>
    </i>
    <i>
      <x v="233"/>
    </i>
    <i>
      <x v="236"/>
    </i>
    <i>
      <x v="239"/>
    </i>
    <i>
      <x v="240"/>
    </i>
    <i>
      <x v="242"/>
    </i>
    <i>
      <x v="245"/>
    </i>
    <i>
      <x v="246"/>
    </i>
    <i>
      <x v="252"/>
    </i>
    <i>
      <x v="254"/>
    </i>
    <i>
      <x v="255"/>
    </i>
    <i>
      <x v="257"/>
    </i>
    <i>
      <x v="258"/>
    </i>
    <i>
      <x v="261"/>
    </i>
    <i>
      <x v="263"/>
    </i>
    <i>
      <x v="266"/>
    </i>
    <i>
      <x v="268"/>
    </i>
    <i>
      <x v="269"/>
    </i>
    <i>
      <x v="270"/>
    </i>
    <i>
      <x v="271"/>
    </i>
    <i>
      <x v="273"/>
    </i>
    <i>
      <x v="274"/>
    </i>
    <i>
      <x v="276"/>
    </i>
    <i>
      <x v="277"/>
    </i>
    <i>
      <x v="278"/>
    </i>
    <i>
      <x v="280"/>
    </i>
    <i>
      <x v="282"/>
    </i>
    <i>
      <x v="284"/>
    </i>
    <i>
      <x v="285"/>
    </i>
    <i>
      <x v="291"/>
    </i>
    <i>
      <x v="292"/>
    </i>
    <i>
      <x v="293"/>
    </i>
    <i>
      <x v="297"/>
    </i>
    <i>
      <x v="298"/>
    </i>
    <i>
      <x v="299"/>
    </i>
    <i>
      <x v="303"/>
    </i>
    <i>
      <x v="305"/>
    </i>
    <i>
      <x v="307"/>
    </i>
    <i>
      <x v="310"/>
    </i>
    <i>
      <x v="311"/>
    </i>
    <i>
      <x v="314"/>
    </i>
    <i>
      <x v="316"/>
    </i>
    <i>
      <x v="318"/>
    </i>
    <i>
      <x v="320"/>
    </i>
    <i>
      <x v="321"/>
    </i>
    <i>
      <x v="322"/>
    </i>
    <i>
      <x v="324"/>
    </i>
    <i>
      <x v="325"/>
    </i>
    <i>
      <x v="326"/>
    </i>
    <i>
      <x v="328"/>
    </i>
    <i>
      <x v="330"/>
    </i>
    <i>
      <x v="332"/>
    </i>
    <i>
      <x v="334"/>
    </i>
    <i>
      <x v="335"/>
    </i>
    <i>
      <x v="339"/>
    </i>
    <i>
      <x v="340"/>
    </i>
    <i>
      <x v="341"/>
    </i>
    <i>
      <x v="344"/>
    </i>
    <i>
      <x v="347"/>
    </i>
    <i>
      <x v="352"/>
    </i>
  </rowItems>
  <colItems count="1">
    <i/>
  </colItems>
  <pageFields count="3">
    <pageField fld="9" item="102" hier="-1"/>
    <pageField fld="10" hier="-1"/>
    <pageField fld="18" hier="-1"/>
  </pageFields>
  <formats count="1">
    <format dxfId="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Controller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H21:H37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axis="axisRow" showAll="0">
      <items count="62">
        <item x="23"/>
        <item x="55"/>
        <item x="17"/>
        <item x="47"/>
        <item x="28"/>
        <item x="46"/>
        <item x="29"/>
        <item x="51"/>
        <item x="14"/>
        <item x="16"/>
        <item x="1"/>
        <item x="12"/>
        <item x="36"/>
        <item x="20"/>
        <item x="30"/>
        <item x="45"/>
        <item x="19"/>
        <item x="38"/>
        <item x="41"/>
        <item x="53"/>
        <item x="60"/>
        <item x="22"/>
        <item x="25"/>
        <item x="48"/>
        <item x="50"/>
        <item x="2"/>
        <item x="37"/>
        <item x="26"/>
        <item x="11"/>
        <item x="39"/>
        <item x="52"/>
        <item x="27"/>
        <item x="34"/>
        <item x="35"/>
        <item x="8"/>
        <item x="6"/>
        <item x="31"/>
        <item x="40"/>
        <item x="15"/>
        <item x="7"/>
        <item x="54"/>
        <item x="3"/>
        <item x="18"/>
        <item x="44"/>
        <item x="5"/>
        <item x="33"/>
        <item x="9"/>
        <item x="42"/>
        <item x="10"/>
        <item x="49"/>
        <item x="59"/>
        <item x="56"/>
        <item x="32"/>
        <item x="13"/>
        <item x="4"/>
        <item x="57"/>
        <item x="24"/>
        <item x="21"/>
        <item x="58"/>
        <item x="43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22"/>
  </rowFields>
  <rowItems count="16">
    <i>
      <x v="15"/>
    </i>
    <i>
      <x v="18"/>
    </i>
    <i>
      <x v="24"/>
    </i>
    <i>
      <x v="31"/>
    </i>
    <i>
      <x v="33"/>
    </i>
    <i>
      <x v="35"/>
    </i>
    <i>
      <x v="36"/>
    </i>
    <i>
      <x v="38"/>
    </i>
    <i>
      <x v="41"/>
    </i>
    <i>
      <x v="43"/>
    </i>
    <i>
      <x v="44"/>
    </i>
    <i>
      <x v="47"/>
    </i>
    <i>
      <x v="53"/>
    </i>
    <i>
      <x v="56"/>
    </i>
    <i>
      <x v="58"/>
    </i>
    <i>
      <x v="60"/>
    </i>
  </rowItems>
  <colItems count="1">
    <i/>
  </colItems>
  <pageFields count="3">
    <pageField fld="9" item="102" hier="-1"/>
    <pageField fld="10" hier="-1"/>
    <pageField fld="18" hier="-1"/>
  </pageFields>
  <formats count="1">
    <format dxfId="7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CXO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J21:J52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axis="axisRow" showAll="0">
      <items count="52">
        <item x="43"/>
        <item x="46"/>
        <item x="12"/>
        <item x="14"/>
        <item x="31"/>
        <item x="17"/>
        <item x="37"/>
        <item x="1"/>
        <item x="35"/>
        <item x="28"/>
        <item x="45"/>
        <item x="27"/>
        <item x="16"/>
        <item x="13"/>
        <item x="33"/>
        <item x="18"/>
        <item x="2"/>
        <item x="11"/>
        <item x="3"/>
        <item x="6"/>
        <item x="8"/>
        <item x="50"/>
        <item x="10"/>
        <item x="7"/>
        <item x="39"/>
        <item x="49"/>
        <item x="9"/>
        <item x="48"/>
        <item x="19"/>
        <item x="5"/>
        <item x="41"/>
        <item x="29"/>
        <item x="4"/>
        <item x="21"/>
        <item x="42"/>
        <item x="24"/>
        <item x="22"/>
        <item x="38"/>
        <item x="15"/>
        <item x="23"/>
        <item x="47"/>
        <item x="32"/>
        <item x="25"/>
        <item x="36"/>
        <item x="40"/>
        <item x="20"/>
        <item x="30"/>
        <item x="44"/>
        <item x="34"/>
        <item x="26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23"/>
  </rowFields>
  <rowItems count="31">
    <i>
      <x v="2"/>
    </i>
    <i>
      <x v="9"/>
    </i>
    <i>
      <x v="10"/>
    </i>
    <i>
      <x v="13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50"/>
    </i>
  </rowItems>
  <colItems count="1">
    <i/>
  </colItems>
  <pageFields count="3">
    <pageField fld="9" item="102" hier="-1"/>
    <pageField fld="10" hier="-1"/>
    <pageField fld="18" hier="-1"/>
  </pageFields>
  <formats count="1">
    <format dxfId="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Consultant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F21:F38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axis="axisRow" showAll="0">
      <items count="74">
        <item x="8"/>
        <item x="36"/>
        <item x="22"/>
        <item x="39"/>
        <item x="48"/>
        <item x="29"/>
        <item x="71"/>
        <item x="37"/>
        <item x="35"/>
        <item x="53"/>
        <item x="1"/>
        <item x="63"/>
        <item x="17"/>
        <item x="4"/>
        <item x="62"/>
        <item x="6"/>
        <item x="52"/>
        <item x="54"/>
        <item x="26"/>
        <item x="51"/>
        <item x="45"/>
        <item x="16"/>
        <item x="15"/>
        <item x="2"/>
        <item x="30"/>
        <item x="31"/>
        <item x="72"/>
        <item x="55"/>
        <item x="47"/>
        <item x="66"/>
        <item x="38"/>
        <item x="64"/>
        <item x="43"/>
        <item x="5"/>
        <item x="70"/>
        <item x="41"/>
        <item x="19"/>
        <item x="10"/>
        <item x="60"/>
        <item x="3"/>
        <item x="57"/>
        <item x="9"/>
        <item x="67"/>
        <item x="11"/>
        <item x="42"/>
        <item x="7"/>
        <item x="59"/>
        <item x="14"/>
        <item x="69"/>
        <item x="33"/>
        <item x="50"/>
        <item x="56"/>
        <item x="12"/>
        <item x="25"/>
        <item x="24"/>
        <item x="28"/>
        <item x="13"/>
        <item x="68"/>
        <item x="40"/>
        <item x="44"/>
        <item x="34"/>
        <item x="32"/>
        <item x="61"/>
        <item x="21"/>
        <item x="58"/>
        <item x="65"/>
        <item x="49"/>
        <item x="27"/>
        <item x="18"/>
        <item x="46"/>
        <item x="20"/>
        <item x="2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17">
    <i>
      <x v="13"/>
    </i>
    <i>
      <x v="15"/>
    </i>
    <i>
      <x v="23"/>
    </i>
    <i>
      <x v="29"/>
    </i>
    <i>
      <x v="37"/>
    </i>
    <i>
      <x v="40"/>
    </i>
    <i>
      <x v="41"/>
    </i>
    <i>
      <x v="43"/>
    </i>
    <i>
      <x v="55"/>
    </i>
    <i>
      <x v="57"/>
    </i>
    <i>
      <x v="60"/>
    </i>
    <i>
      <x v="61"/>
    </i>
    <i>
      <x v="63"/>
    </i>
    <i>
      <x v="65"/>
    </i>
    <i>
      <x v="67"/>
    </i>
    <i>
      <x v="71"/>
    </i>
    <i>
      <x v="72"/>
    </i>
  </rowItems>
  <colItems count="1">
    <i/>
  </colItems>
  <pageFields count="3">
    <pageField fld="9" item="102" hier="-1"/>
    <pageField fld="10" hier="-1"/>
    <pageField fld="18" hier="-1"/>
  </pageFields>
  <formats count="1">
    <format dxfId="9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Engineer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L21:L43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axis="axisRow" showAll="0">
      <items count="65">
        <item x="58"/>
        <item x="29"/>
        <item x="52"/>
        <item x="18"/>
        <item x="20"/>
        <item x="32"/>
        <item x="33"/>
        <item x="42"/>
        <item x="25"/>
        <item x="53"/>
        <item x="17"/>
        <item x="39"/>
        <item x="57"/>
        <item x="2"/>
        <item x="23"/>
        <item x="55"/>
        <item x="30"/>
        <item x="26"/>
        <item x="5"/>
        <item x="22"/>
        <item x="28"/>
        <item x="19"/>
        <item x="62"/>
        <item x="14"/>
        <item x="27"/>
        <item x="24"/>
        <item x="48"/>
        <item x="36"/>
        <item x="41"/>
        <item x="44"/>
        <item x="34"/>
        <item x="13"/>
        <item x="37"/>
        <item x="40"/>
        <item x="61"/>
        <item x="31"/>
        <item x="1"/>
        <item x="9"/>
        <item x="46"/>
        <item x="38"/>
        <item x="54"/>
        <item x="35"/>
        <item x="7"/>
        <item x="6"/>
        <item x="43"/>
        <item x="12"/>
        <item x="16"/>
        <item x="21"/>
        <item x="4"/>
        <item x="51"/>
        <item x="47"/>
        <item x="60"/>
        <item x="56"/>
        <item x="3"/>
        <item x="10"/>
        <item x="45"/>
        <item x="63"/>
        <item x="8"/>
        <item x="15"/>
        <item x="11"/>
        <item x="59"/>
        <item x="50"/>
        <item x="49"/>
        <item x="0"/>
        <item t="default"/>
      </items>
    </pivotField>
    <pivotField showAll="0"/>
    <pivotField showAll="0"/>
    <pivotField showAll="0"/>
    <pivotField showAll="0"/>
  </pivotFields>
  <rowFields count="1">
    <field x="24"/>
  </rowFields>
  <rowItems count="22">
    <i>
      <x v="21"/>
    </i>
    <i>
      <x v="22"/>
    </i>
    <i>
      <x v="29"/>
    </i>
    <i>
      <x v="32"/>
    </i>
    <i>
      <x v="36"/>
    </i>
    <i>
      <x v="37"/>
    </i>
    <i>
      <x v="39"/>
    </i>
    <i>
      <x v="40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7"/>
    </i>
    <i>
      <x v="58"/>
    </i>
    <i>
      <x v="63"/>
    </i>
  </rowItems>
  <colItems count="1">
    <i/>
  </colItems>
  <pageFields count="3">
    <pageField fld="9" item="102" hier="-1"/>
    <pageField fld="10" hier="-1"/>
    <pageField fld="18" hier="-1"/>
  </pageFields>
  <formats count="1">
    <format dxfId="1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Misc.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P21:P25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2"/>
        <item x="6"/>
        <item x="7"/>
        <item x="5"/>
        <item x="3"/>
        <item x="4"/>
        <item x="1"/>
        <item x="0"/>
        <item t="default"/>
      </items>
    </pivotField>
    <pivotField showAll="0"/>
    <pivotField showAll="0"/>
  </pivotFields>
  <rowFields count="1">
    <field x="26"/>
  </rowFields>
  <rowItems count="4">
    <i>
      <x v="4"/>
    </i>
    <i>
      <x v="5"/>
    </i>
    <i>
      <x v="6"/>
    </i>
    <i>
      <x v="7"/>
    </i>
  </rowItems>
  <colItems count="1">
    <i/>
  </colItems>
  <pageFields count="3">
    <pageField fld="9" item="102" hier="-1"/>
    <pageField fld="10" hier="-1"/>
    <pageField fld="18" hier="-1"/>
  </pageFields>
  <formats count="1">
    <format dxfId="1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Accountant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B21:B54" firstHeaderRow="1" firstDataRow="1" firstDataCol="1" rowPageCount="3" colPageCount="1"/>
  <pivotFields count="29">
    <pivotField showAll="0"/>
    <pivotField numFmtId="164" showAll="0"/>
    <pivotField showAll="0"/>
    <pivotField showAll="0"/>
    <pivotField showAll="0"/>
    <pivotField numFmtId="44" showAll="0"/>
    <pivotField showAll="0"/>
    <pivotField showAll="0"/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3"/>
        <item x="2"/>
        <item x="0"/>
        <item x="1"/>
        <item x="4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>
      <items count="44">
        <item m="1" x="7"/>
        <item m="1" x="27"/>
        <item m="1" x="15"/>
        <item m="1" x="29"/>
        <item m="1" x="40"/>
        <item m="1" x="11"/>
        <item m="1" x="16"/>
        <item m="1" x="21"/>
        <item m="1" x="30"/>
        <item m="1" x="32"/>
        <item m="1" x="35"/>
        <item m="1" x="38"/>
        <item m="1" x="41"/>
        <item m="1" x="9"/>
        <item m="1" x="12"/>
        <item m="1" x="14"/>
        <item m="1" x="17"/>
        <item m="1" x="18"/>
        <item m="1" x="19"/>
        <item m="1" x="20"/>
        <item m="1" x="22"/>
        <item m="1" x="24"/>
        <item m="1" x="26"/>
        <item m="1" x="28"/>
        <item m="1" x="31"/>
        <item m="1" x="33"/>
        <item m="1" x="34"/>
        <item m="1" x="36"/>
        <item m="1" x="37"/>
        <item m="1" x="39"/>
        <item m="1" x="42"/>
        <item m="1" x="23"/>
        <item m="1" x="8"/>
        <item m="1" x="25"/>
        <item m="1" x="10"/>
        <item m="1" x="13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14">
        <item x="73"/>
        <item x="38"/>
        <item x="46"/>
        <item x="65"/>
        <item x="68"/>
        <item x="89"/>
        <item x="41"/>
        <item x="37"/>
        <item x="48"/>
        <item x="45"/>
        <item x="70"/>
        <item x="5"/>
        <item x="64"/>
        <item x="63"/>
        <item x="72"/>
        <item x="16"/>
        <item x="108"/>
        <item x="58"/>
        <item x="67"/>
        <item x="106"/>
        <item x="26"/>
        <item x="50"/>
        <item x="56"/>
        <item x="44"/>
        <item x="1"/>
        <item x="42"/>
        <item x="53"/>
        <item x="43"/>
        <item x="35"/>
        <item x="10"/>
        <item x="103"/>
        <item x="77"/>
        <item x="49"/>
        <item x="61"/>
        <item x="52"/>
        <item x="104"/>
        <item x="12"/>
        <item x="79"/>
        <item x="39"/>
        <item x="92"/>
        <item x="21"/>
        <item x="66"/>
        <item x="60"/>
        <item x="47"/>
        <item x="110"/>
        <item x="40"/>
        <item x="9"/>
        <item x="57"/>
        <item x="6"/>
        <item x="97"/>
        <item x="55"/>
        <item x="83"/>
        <item x="80"/>
        <item x="51"/>
        <item x="101"/>
        <item x="33"/>
        <item x="75"/>
        <item x="14"/>
        <item x="82"/>
        <item x="71"/>
        <item x="109"/>
        <item x="81"/>
        <item x="91"/>
        <item x="69"/>
        <item x="25"/>
        <item x="78"/>
        <item x="23"/>
        <item x="24"/>
        <item x="100"/>
        <item x="84"/>
        <item x="3"/>
        <item x="2"/>
        <item x="74"/>
        <item x="111"/>
        <item x="28"/>
        <item x="13"/>
        <item x="31"/>
        <item x="19"/>
        <item x="32"/>
        <item x="85"/>
        <item x="4"/>
        <item x="95"/>
        <item x="90"/>
        <item x="112"/>
        <item x="96"/>
        <item x="8"/>
        <item x="17"/>
        <item x="76"/>
        <item x="7"/>
        <item x="27"/>
        <item x="93"/>
        <item x="99"/>
        <item x="62"/>
        <item x="20"/>
        <item x="15"/>
        <item x="107"/>
        <item x="18"/>
        <item x="36"/>
        <item x="86"/>
        <item x="54"/>
        <item x="11"/>
        <item x="87"/>
        <item x="30"/>
        <item x="105"/>
        <item x="59"/>
        <item x="94"/>
        <item x="102"/>
        <item x="34"/>
        <item x="88"/>
        <item x="22"/>
        <item x="98"/>
        <item x="2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9"/>
  </rowFields>
  <rowItems count="33">
    <i>
      <x v="36"/>
    </i>
    <i>
      <x v="43"/>
    </i>
    <i>
      <x v="48"/>
    </i>
    <i>
      <x v="49"/>
    </i>
    <i>
      <x v="52"/>
    </i>
    <i>
      <x v="54"/>
    </i>
    <i>
      <x v="55"/>
    </i>
    <i>
      <x v="57"/>
    </i>
    <i>
      <x v="60"/>
    </i>
    <i>
      <x v="62"/>
    </i>
    <i>
      <x v="64"/>
    </i>
    <i>
      <x v="66"/>
    </i>
    <i>
      <x v="69"/>
    </i>
    <i>
      <x v="70"/>
    </i>
    <i>
      <x v="71"/>
    </i>
    <i>
      <x v="75"/>
    </i>
    <i>
      <x v="76"/>
    </i>
    <i>
      <x v="77"/>
    </i>
    <i>
      <x v="79"/>
    </i>
    <i>
      <x v="84"/>
    </i>
    <i>
      <x v="85"/>
    </i>
    <i>
      <x v="86"/>
    </i>
    <i>
      <x v="88"/>
    </i>
    <i>
      <x v="91"/>
    </i>
    <i>
      <x v="93"/>
    </i>
    <i>
      <x v="96"/>
    </i>
    <i>
      <x v="99"/>
    </i>
    <i>
      <x v="100"/>
    </i>
    <i>
      <x v="101"/>
    </i>
    <i>
      <x v="103"/>
    </i>
    <i>
      <x v="108"/>
    </i>
    <i>
      <x v="109"/>
    </i>
    <i>
      <x v="112"/>
    </i>
  </rowItems>
  <colItems count="1">
    <i/>
  </colItems>
  <pageFields count="3">
    <pageField fld="9" item="102" hier="-1"/>
    <pageField fld="10" hier="-1"/>
    <pageField fld="18" hier="-1"/>
  </pageFields>
  <formats count="1">
    <format dxfId="1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Experience" cacheId="1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2">
  <location ref="A4:G15" firstHeaderRow="1" firstDataRow="2" firstDataCol="1" rowPageCount="2" colPageCount="1"/>
  <pivotFields count="29">
    <pivotField showAll="0"/>
    <pivotField numFmtId="164" showAll="0"/>
    <pivotField showAll="0"/>
    <pivotField showAll="0"/>
    <pivotField showAll="0"/>
    <pivotField dataField="1" numFmtId="44" showAll="0"/>
    <pivotField showAll="0"/>
    <pivotField axis="axisRow" showAll="0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</pivotField>
    <pivotField showAll="0"/>
    <pivotField axis="axisPage" showAll="0">
      <items count="108">
        <item x="71"/>
        <item x="24"/>
        <item x="80"/>
        <item x="101"/>
        <item x="64"/>
        <item x="74"/>
        <item x="16"/>
        <item x="87"/>
        <item x="98"/>
        <item x="103"/>
        <item x="36"/>
        <item x="12"/>
        <item x="30"/>
        <item x="59"/>
        <item x="89"/>
        <item m="1" x="106"/>
        <item x="20"/>
        <item x="93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4"/>
        <item x="88"/>
        <item x="40"/>
        <item x="19"/>
        <item x="5"/>
        <item x="86"/>
        <item x="26"/>
        <item x="52"/>
        <item x="102"/>
        <item x="9"/>
        <item x="4"/>
        <item x="0"/>
        <item x="55"/>
        <item x="39"/>
        <item x="8"/>
        <item x="34"/>
        <item x="62"/>
        <item x="51"/>
        <item x="81"/>
        <item x="76"/>
        <item x="67"/>
        <item x="82"/>
        <item x="96"/>
        <item x="92"/>
        <item x="57"/>
        <item x="73"/>
        <item x="97"/>
        <item x="25"/>
        <item x="83"/>
        <item x="78"/>
        <item x="95"/>
        <item x="45"/>
        <item x="84"/>
        <item x="91"/>
        <item x="18"/>
        <item x="48"/>
        <item x="60"/>
        <item x="46"/>
        <item x="105"/>
        <item x="3"/>
        <item x="23"/>
        <item x="75"/>
        <item x="94"/>
        <item x="32"/>
        <item x="15"/>
        <item x="7"/>
        <item x="65"/>
        <item x="43"/>
        <item x="79"/>
        <item x="37"/>
        <item x="13"/>
        <item x="22"/>
        <item x="50"/>
        <item x="29"/>
        <item x="99"/>
        <item x="70"/>
        <item x="42"/>
        <item x="11"/>
        <item x="47"/>
        <item x="54"/>
        <item x="35"/>
        <item x="10"/>
        <item x="31"/>
        <item x="100"/>
        <item x="28"/>
        <item x="21"/>
        <item x="85"/>
        <item x="14"/>
        <item x="6"/>
        <item x="63"/>
        <item x="2"/>
        <item x="66"/>
        <item x="90"/>
        <item x="72"/>
        <item x="69"/>
        <item t="default"/>
      </items>
    </pivotField>
    <pivotField axis="axisPage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44">
        <item h="1" m="1" x="7"/>
        <item h="1" m="1" x="27"/>
        <item h="1" m="1" x="15"/>
        <item h="1" m="1" x="29"/>
        <item h="1" m="1" x="40"/>
        <item h="1" m="1" x="11"/>
        <item h="1" m="1" x="16"/>
        <item h="1" m="1" x="21"/>
        <item h="1" m="1" x="30"/>
        <item h="1" m="1" x="32"/>
        <item h="1" m="1" x="35"/>
        <item h="1" m="1" x="38"/>
        <item h="1" m="1" x="41"/>
        <item h="1" m="1" x="9"/>
        <item h="1" m="1" x="12"/>
        <item h="1" m="1" x="14"/>
        <item h="1" m="1" x="17"/>
        <item h="1" m="1" x="18"/>
        <item h="1" m="1" x="19"/>
        <item h="1" m="1" x="20"/>
        <item h="1" m="1" x="22"/>
        <item h="1" m="1" x="24"/>
        <item h="1" m="1" x="26"/>
        <item h="1" m="1" x="28"/>
        <item h="1" m="1" x="31"/>
        <item h="1" m="1" x="33"/>
        <item h="1" m="1" x="34"/>
        <item h="1" m="1" x="36"/>
        <item h="1" m="1" x="37"/>
        <item h="1" m="1" x="39"/>
        <item h="1" m="1" x="42"/>
        <item h="1" m="1" x="23"/>
        <item h="1" m="1" x="8"/>
        <item h="1" m="1" x="25"/>
        <item h="1" m="1" x="10"/>
        <item h="1" m="1" x="13"/>
        <item h="1" x="0"/>
        <item x="4"/>
        <item x="1"/>
        <item x="3"/>
        <item x="5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18"/>
  </colFields>
  <colItems count="6">
    <i>
      <x v="37"/>
    </i>
    <i>
      <x v="38"/>
    </i>
    <i>
      <x v="39"/>
    </i>
    <i>
      <x v="40"/>
    </i>
    <i>
      <x v="41"/>
    </i>
    <i>
      <x v="42"/>
    </i>
  </colItems>
  <pageFields count="2">
    <pageField fld="9" item="102" hier="-1"/>
    <pageField fld="10" hier="-1"/>
  </pageFields>
  <dataFields count="1">
    <dataField name="Average of Salary in USD" fld="5" subtotal="average" baseField="7" baseItem="3" numFmtId="165"/>
  </dataFields>
  <formats count="2">
    <format dxfId="2">
      <pivotArea outline="0" collapsedLevelsAreSubtotals="1" fieldPosition="0"/>
    </format>
    <format dxfId="1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AD1888" totalsRowShown="0">
  <autoFilter ref="B5:AD1888"/>
  <sortState ref="B6:M1888">
    <sortCondition ref="B5:B1888"/>
  </sortState>
  <tableColumns count="29">
    <tableColumn id="1" name="Unique ID"/>
    <tableColumn id="2" name="Timestamp" dataDxfId="33"/>
    <tableColumn id="3" name="Your Salary" dataDxfId="32"/>
    <tableColumn id="4" name="clean Salary (in local currency)"/>
    <tableColumn id="5" name="Currency"/>
    <tableColumn id="13" name="Salary in USD" dataCellStyle="Currency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31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30"/>
    <tableColumn id="24" name="0-2 Years" dataDxfId="29">
      <calculatedColumnFormula>IF(tblSalaries[[#This Row],[Years of Experience]]="","",IF(tblSalaries[[#This Row],[Years of Experience]]&lt;=2,1,""))</calculatedColumnFormula>
    </tableColumn>
    <tableColumn id="25" name="3-5 Years" dataDxfId="28">
      <calculatedColumnFormula>IF(tblSalaries[[#This Row],[Years of Experience]]="","",IF(AND(tblSalaries[[#This Row],[Years of Experience]]&gt;2,tblSalaries[[#This Row],[Years of Experience]]&lt;=5),1,""))</calculatedColumnFormula>
    </tableColumn>
    <tableColumn id="26" name="5-10 Years" dataDxfId="27">
      <calculatedColumnFormula>IF(tblSalaries[[#This Row],[Years of Experience]]="","",IF(AND(tblSalaries[[#This Row],[Years of Experience]]&gt;5,tblSalaries[[#This Row],[Years of Experience]]&lt;=10),1,""))</calculatedColumnFormula>
    </tableColumn>
    <tableColumn id="27" name="11-15 Years" dataDxfId="26">
      <calculatedColumnFormula>IF(tblSalaries[[#This Row],[Years of Experience]]="","",IF(AND(tblSalaries[[#This Row],[Years of Experience]]&gt;10,tblSalaries[[#This Row],[Years of Experience]]&lt;=15),1,""))</calculatedColumnFormula>
    </tableColumn>
    <tableColumn id="28" name="16-20 Years" dataDxfId="25">
      <calculatedColumnFormula>IF(tblSalaries[[#This Row],[Years of Experience]]="","",IF(AND(tblSalaries[[#This Row],[Years of Experience]]&gt;16,tblSalaries[[#This Row],[Years of Experience]]&lt;=20),1,""))</calculatedColumnFormula>
    </tableColumn>
    <tableColumn id="29" name="20+ Years" dataDxfId="24">
      <calculatedColumnFormula>IF(tblSalaries[[#This Row],[Years of Experience]]="","",IF(tblSalaries[[#This Row],[Years of Experience]]&gt;20,1,""))</calculatedColumnFormula>
    </tableColumn>
    <tableColumn id="11" name="YearsExpGroup" dataDxfId="23">
      <calculatedColumnFormula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calculatedColumnFormula>
    </tableColumn>
    <tableColumn id="14" name="Accountant" dataDxfId="22">
      <calculatedColumnFormula>IF(tblSalaries[[#This Row],[Job Type]]=tblSalaries[[#Headers],[Accountant]],tblSalaries[[#This Row],[Salary in USD]],"")</calculatedColumnFormula>
    </tableColumn>
    <tableColumn id="15" name="Analyst" dataDxfId="21">
      <calculatedColumnFormula>IF(tblSalaries[[#This Row],[Job Type]]=tblSalaries[[#Headers],[Analyst]],tblSalaries[[#This Row],[Salary in USD]],"")</calculatedColumnFormula>
    </tableColumn>
    <tableColumn id="16" name="Consultant" dataDxfId="20">
      <calculatedColumnFormula>IF(tblSalaries[[#This Row],[Job Type]]=tblSalaries[[#Headers],[Consultant]],tblSalaries[[#This Row],[Salary in USD]],"")</calculatedColumnFormula>
    </tableColumn>
    <tableColumn id="17" name="Controller" dataDxfId="19">
      <calculatedColumnFormula>IF(tblSalaries[[#This Row],[Job Type]]=tblSalaries[[#Headers],[Controller]],tblSalaries[[#This Row],[Salary in USD]],"")</calculatedColumnFormula>
    </tableColumn>
    <tableColumn id="18" name="CXO or Top Mgmt." dataDxfId="18">
      <calculatedColumnFormula>IF(tblSalaries[[#This Row],[Job Type]]=tblSalaries[[#Headers],[CXO or Top Mgmt.]],tblSalaries[[#This Row],[clean Salary (in local currency)]],"")</calculatedColumnFormula>
    </tableColumn>
    <tableColumn id="19" name="Engineer" dataDxfId="17">
      <calculatedColumnFormula>IF(tblSalaries[[#This Row],[Job Type]]=tblSalaries[[#Headers],[Engineer]],tblSalaries[[#This Row],[Salary in USD]],"")</calculatedColumnFormula>
    </tableColumn>
    <tableColumn id="20" name="Manager" dataDxfId="16">
      <calculatedColumnFormula>IF(tblSalaries[[#This Row],[Job Type]]=tblSalaries[[#Headers],[Manager]],tblSalaries[[#This Row],[Salary in USD]],"")</calculatedColumnFormula>
    </tableColumn>
    <tableColumn id="21" name="Misc." dataDxfId="15">
      <calculatedColumnFormula>IF(tblSalaries[[#This Row],[Job Type]]=tblSalaries[[#Headers],[Misc.]],tblSalaries[[#This Row],[Salary in USD]],"")</calculatedColumnFormula>
    </tableColumn>
    <tableColumn id="22" name="Reporting" dataDxfId="14">
      <calculatedColumnFormula>IF(tblSalaries[[#This Row],[Job Type]]=tblSalaries[[#Headers],[Reporting]],tblSalaries[[#This Row],[Salary in USD]],"")</calculatedColumnFormula>
    </tableColumn>
    <tableColumn id="23" name="Specialist" dataDxfId="13">
      <calculatedColumnFormula>IF(tblSalaries[[#This Row],[Job Type]]=tblSalaries[[#Headers],[Specialist]],tblSalaries[[#This Row],[Salary in USD]],"")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37"/>
  <sheetViews>
    <sheetView showGridLines="0" topLeftCell="H109" workbookViewId="0">
      <selection activeCell="M134" sqref="M134"/>
    </sheetView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 x14ac:dyDescent="0.35">
      <c r="B1" s="34" t="s">
        <v>4007</v>
      </c>
      <c r="C1" s="34"/>
      <c r="G1" s="2" t="s">
        <v>3976</v>
      </c>
      <c r="H1" s="2" t="s">
        <v>3997</v>
      </c>
    </row>
    <row r="2" spans="2:13" x14ac:dyDescent="0.25">
      <c r="B2" s="5" t="s">
        <v>4006</v>
      </c>
      <c r="C2" s="5"/>
      <c r="L2" s="5" t="s">
        <v>4005</v>
      </c>
      <c r="M2" s="5"/>
    </row>
    <row r="3" spans="2:13" x14ac:dyDescent="0.25">
      <c r="B3" t="s">
        <v>2</v>
      </c>
      <c r="C3" t="s">
        <v>3892</v>
      </c>
      <c r="G3" s="7" t="s">
        <v>3893</v>
      </c>
      <c r="H3" s="7"/>
      <c r="I3" s="7"/>
      <c r="L3" t="s">
        <v>4002</v>
      </c>
      <c r="M3" t="s">
        <v>4003</v>
      </c>
    </row>
    <row r="4" spans="2:13" x14ac:dyDescent="0.25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15</v>
      </c>
      <c r="M4" t="s">
        <v>15</v>
      </c>
    </row>
    <row r="5" spans="2:13" x14ac:dyDescent="0.25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8</v>
      </c>
      <c r="M5" t="s">
        <v>8</v>
      </c>
    </row>
    <row r="6" spans="2:13" x14ac:dyDescent="0.25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71</v>
      </c>
      <c r="M6" t="s">
        <v>71</v>
      </c>
    </row>
    <row r="7" spans="2:13" x14ac:dyDescent="0.25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84</v>
      </c>
      <c r="M7" t="s">
        <v>84</v>
      </c>
    </row>
    <row r="8" spans="2:13" x14ac:dyDescent="0.25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88</v>
      </c>
      <c r="M8" t="s">
        <v>88</v>
      </c>
    </row>
    <row r="9" spans="2:13" x14ac:dyDescent="0.25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17</v>
      </c>
      <c r="M9" t="s">
        <v>17</v>
      </c>
    </row>
    <row r="10" spans="2:13" x14ac:dyDescent="0.25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48</v>
      </c>
      <c r="M10" t="s">
        <v>48</v>
      </c>
    </row>
    <row r="11" spans="2:13" x14ac:dyDescent="0.25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24</v>
      </c>
      <c r="M11" t="s">
        <v>24</v>
      </c>
    </row>
    <row r="12" spans="2:13" x14ac:dyDescent="0.25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179</v>
      </c>
      <c r="M12" t="s">
        <v>179</v>
      </c>
    </row>
    <row r="13" spans="2:13" x14ac:dyDescent="0.25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143</v>
      </c>
      <c r="M13" t="s">
        <v>143</v>
      </c>
    </row>
    <row r="14" spans="2:13" x14ac:dyDescent="0.25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628</v>
      </c>
      <c r="M14" t="s">
        <v>628</v>
      </c>
    </row>
    <row r="15" spans="2:13" x14ac:dyDescent="0.25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171</v>
      </c>
      <c r="M15" t="s">
        <v>171</v>
      </c>
    </row>
    <row r="16" spans="2:13" x14ac:dyDescent="0.25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347</v>
      </c>
      <c r="M16" t="s">
        <v>347</v>
      </c>
    </row>
    <row r="17" spans="2:13" x14ac:dyDescent="0.25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30</v>
      </c>
      <c r="M17" t="s">
        <v>30</v>
      </c>
    </row>
    <row r="18" spans="2:13" x14ac:dyDescent="0.25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608</v>
      </c>
      <c r="M18" t="s">
        <v>608</v>
      </c>
    </row>
    <row r="19" spans="2:13" x14ac:dyDescent="0.25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672</v>
      </c>
      <c r="M19" t="s">
        <v>672</v>
      </c>
    </row>
    <row r="20" spans="2:13" x14ac:dyDescent="0.25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65</v>
      </c>
      <c r="M20" t="s">
        <v>65</v>
      </c>
    </row>
    <row r="21" spans="2:13" x14ac:dyDescent="0.25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133</v>
      </c>
      <c r="M21" t="s">
        <v>133</v>
      </c>
    </row>
    <row r="22" spans="2:13" x14ac:dyDescent="0.25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166</v>
      </c>
      <c r="M22" t="s">
        <v>166</v>
      </c>
    </row>
    <row r="23" spans="2:13" x14ac:dyDescent="0.25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726</v>
      </c>
      <c r="M23" t="s">
        <v>726</v>
      </c>
    </row>
    <row r="24" spans="2:13" x14ac:dyDescent="0.25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583</v>
      </c>
      <c r="M24" t="s">
        <v>583</v>
      </c>
    </row>
    <row r="25" spans="2:13" x14ac:dyDescent="0.25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1118</v>
      </c>
      <c r="M25" t="s">
        <v>1131</v>
      </c>
    </row>
    <row r="26" spans="2:13" x14ac:dyDescent="0.25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96</v>
      </c>
      <c r="M26" t="s">
        <v>628</v>
      </c>
    </row>
    <row r="27" spans="2:13" x14ac:dyDescent="0.25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73</v>
      </c>
      <c r="M27" t="s">
        <v>73</v>
      </c>
    </row>
    <row r="28" spans="2:13" x14ac:dyDescent="0.25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75</v>
      </c>
      <c r="M28" t="s">
        <v>75</v>
      </c>
    </row>
    <row r="29" spans="2:13" x14ac:dyDescent="0.25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895</v>
      </c>
      <c r="M29" t="s">
        <v>1351</v>
      </c>
    </row>
    <row r="30" spans="2:13" x14ac:dyDescent="0.25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38</v>
      </c>
      <c r="M30" t="s">
        <v>38</v>
      </c>
    </row>
    <row r="31" spans="2:13" x14ac:dyDescent="0.25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877</v>
      </c>
      <c r="M31" t="s">
        <v>877</v>
      </c>
    </row>
    <row r="32" spans="2:13" x14ac:dyDescent="0.25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36</v>
      </c>
      <c r="M32" t="s">
        <v>36</v>
      </c>
    </row>
    <row r="33" spans="2:13" x14ac:dyDescent="0.25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416</v>
      </c>
      <c r="M33" t="s">
        <v>416</v>
      </c>
    </row>
    <row r="34" spans="2:13" x14ac:dyDescent="0.25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106</v>
      </c>
      <c r="M34" t="s">
        <v>106</v>
      </c>
    </row>
    <row r="35" spans="2:13" x14ac:dyDescent="0.25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184</v>
      </c>
      <c r="M35" t="s">
        <v>184</v>
      </c>
    </row>
    <row r="36" spans="2:13" x14ac:dyDescent="0.25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46</v>
      </c>
      <c r="M36" t="s">
        <v>46</v>
      </c>
    </row>
    <row r="37" spans="2:13" x14ac:dyDescent="0.25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716</v>
      </c>
      <c r="M37" t="s">
        <v>716</v>
      </c>
    </row>
    <row r="38" spans="2:13" x14ac:dyDescent="0.25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59</v>
      </c>
      <c r="M38" t="s">
        <v>59</v>
      </c>
    </row>
    <row r="39" spans="2:13" x14ac:dyDescent="0.25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</row>
    <row r="40" spans="2:13" x14ac:dyDescent="0.25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27</v>
      </c>
      <c r="M40" t="s">
        <v>27</v>
      </c>
    </row>
    <row r="41" spans="2:13" x14ac:dyDescent="0.25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1176</v>
      </c>
      <c r="M41" t="s">
        <v>1176</v>
      </c>
    </row>
    <row r="42" spans="2:13" x14ac:dyDescent="0.25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512</v>
      </c>
      <c r="M42" t="s">
        <v>1078</v>
      </c>
    </row>
    <row r="43" spans="2:13" x14ac:dyDescent="0.25">
      <c r="G43" s="6" t="s">
        <v>3959</v>
      </c>
      <c r="H43" s="6">
        <v>1.2677099999999999</v>
      </c>
      <c r="I43" s="6" t="s">
        <v>1159</v>
      </c>
      <c r="L43" t="s">
        <v>1011</v>
      </c>
      <c r="M43" t="s">
        <v>1011</v>
      </c>
    </row>
    <row r="44" spans="2:13" x14ac:dyDescent="0.25">
      <c r="G44" s="6" t="s">
        <v>3960</v>
      </c>
      <c r="H44" s="6">
        <v>8.2019800000000007</v>
      </c>
      <c r="I44" s="6" t="s">
        <v>585</v>
      </c>
      <c r="L44" t="s">
        <v>870</v>
      </c>
      <c r="M44" t="s">
        <v>870</v>
      </c>
    </row>
    <row r="45" spans="2:13" x14ac:dyDescent="0.25">
      <c r="G45" s="6" t="s">
        <v>3961</v>
      </c>
      <c r="H45" s="6">
        <v>1151.0899999999999</v>
      </c>
      <c r="I45" s="6" t="s">
        <v>3962</v>
      </c>
      <c r="L45" t="s">
        <v>515</v>
      </c>
      <c r="M45" t="s">
        <v>515</v>
      </c>
    </row>
    <row r="46" spans="2:13" x14ac:dyDescent="0.25">
      <c r="G46" s="6" t="s">
        <v>3963</v>
      </c>
      <c r="H46" s="6">
        <v>132.90700000000001</v>
      </c>
      <c r="I46" s="6" t="s">
        <v>1147</v>
      </c>
      <c r="L46" t="s">
        <v>983</v>
      </c>
      <c r="M46" t="s">
        <v>983</v>
      </c>
    </row>
    <row r="47" spans="2:13" x14ac:dyDescent="0.25">
      <c r="G47" s="6" t="s">
        <v>3964</v>
      </c>
      <c r="H47" s="6">
        <v>6.9611099999999997</v>
      </c>
      <c r="I47" s="6" t="s">
        <v>445</v>
      </c>
      <c r="L47" t="s">
        <v>654</v>
      </c>
      <c r="M47" t="s">
        <v>654</v>
      </c>
    </row>
    <row r="48" spans="2:13" x14ac:dyDescent="0.25">
      <c r="G48" s="6" t="s">
        <v>3965</v>
      </c>
      <c r="H48" s="6">
        <v>0.94529300000000005</v>
      </c>
      <c r="I48" s="6" t="s">
        <v>1881</v>
      </c>
      <c r="L48" t="s">
        <v>111</v>
      </c>
      <c r="M48" t="s">
        <v>143</v>
      </c>
    </row>
    <row r="49" spans="7:13" x14ac:dyDescent="0.25">
      <c r="G49" s="6" t="s">
        <v>3966</v>
      </c>
      <c r="H49" s="6">
        <v>29.859400000000001</v>
      </c>
      <c r="I49" s="6" t="s">
        <v>3967</v>
      </c>
      <c r="L49" t="s">
        <v>636</v>
      </c>
      <c r="M49" t="s">
        <v>672</v>
      </c>
    </row>
    <row r="50" spans="7:13" x14ac:dyDescent="0.25">
      <c r="G50" s="6" t="s">
        <v>3968</v>
      </c>
      <c r="H50" s="6">
        <v>31.500299999999999</v>
      </c>
      <c r="I50" s="6" t="s">
        <v>3969</v>
      </c>
      <c r="L50" t="s">
        <v>169</v>
      </c>
      <c r="M50" t="s">
        <v>169</v>
      </c>
    </row>
    <row r="51" spans="7:13" x14ac:dyDescent="0.25">
      <c r="G51" s="6" t="s">
        <v>3970</v>
      </c>
      <c r="H51" s="6">
        <v>6.3912199999999997</v>
      </c>
      <c r="I51" s="6" t="s">
        <v>3971</v>
      </c>
      <c r="L51" t="s">
        <v>56</v>
      </c>
      <c r="M51" t="s">
        <v>15</v>
      </c>
    </row>
    <row r="52" spans="7:13" x14ac:dyDescent="0.25">
      <c r="G52" s="6" t="s">
        <v>3972</v>
      </c>
      <c r="H52" s="6">
        <v>1.79447</v>
      </c>
      <c r="I52" s="6" t="s">
        <v>3973</v>
      </c>
      <c r="L52" t="s">
        <v>136</v>
      </c>
      <c r="M52" t="s">
        <v>136</v>
      </c>
    </row>
    <row r="53" spans="7:13" x14ac:dyDescent="0.25">
      <c r="G53" s="6" t="s">
        <v>3974</v>
      </c>
      <c r="H53" s="6">
        <v>4.2940199999999997</v>
      </c>
      <c r="I53" s="6" t="s">
        <v>3975</v>
      </c>
      <c r="L53" t="s">
        <v>197</v>
      </c>
      <c r="M53" t="s">
        <v>197</v>
      </c>
    </row>
    <row r="54" spans="7:13" x14ac:dyDescent="0.25">
      <c r="G54" s="6" t="s">
        <v>3977</v>
      </c>
      <c r="H54" s="6">
        <v>3.6735099999999998</v>
      </c>
      <c r="I54" s="6" t="s">
        <v>358</v>
      </c>
      <c r="L54" t="s">
        <v>447</v>
      </c>
      <c r="M54" t="s">
        <v>447</v>
      </c>
    </row>
    <row r="55" spans="7:13" x14ac:dyDescent="0.25">
      <c r="G55" s="6" t="s">
        <v>3980</v>
      </c>
      <c r="H55" s="6">
        <v>81.827399999999997</v>
      </c>
      <c r="I55" s="6" t="s">
        <v>483</v>
      </c>
      <c r="L55" t="s">
        <v>690</v>
      </c>
      <c r="M55" t="s">
        <v>1123</v>
      </c>
    </row>
    <row r="56" spans="7:13" x14ac:dyDescent="0.25">
      <c r="G56" s="6" t="s">
        <v>3981</v>
      </c>
      <c r="H56" s="6">
        <v>498.05</v>
      </c>
      <c r="I56" s="6" t="s">
        <v>3982</v>
      </c>
      <c r="L56" t="s">
        <v>425</v>
      </c>
      <c r="M56" t="s">
        <v>425</v>
      </c>
    </row>
    <row r="57" spans="7:13" x14ac:dyDescent="0.25">
      <c r="G57" s="6" t="s">
        <v>3983</v>
      </c>
      <c r="H57" s="6">
        <v>6.0510000000000002</v>
      </c>
      <c r="I57" s="6" t="s">
        <v>847</v>
      </c>
      <c r="L57" t="s">
        <v>935</v>
      </c>
      <c r="M57" t="s">
        <v>935</v>
      </c>
    </row>
    <row r="58" spans="7:13" x14ac:dyDescent="0.25">
      <c r="G58" s="6" t="s">
        <v>3985</v>
      </c>
      <c r="H58" s="6">
        <v>162.25</v>
      </c>
      <c r="I58" s="6" t="s">
        <v>3984</v>
      </c>
      <c r="L58" t="s">
        <v>126</v>
      </c>
      <c r="M58" t="s">
        <v>179</v>
      </c>
    </row>
    <row r="59" spans="7:13" x14ac:dyDescent="0.25">
      <c r="G59" s="6" t="s">
        <v>3987</v>
      </c>
      <c r="H59" s="6">
        <v>38.950000000000003</v>
      </c>
      <c r="I59" s="6" t="s">
        <v>3986</v>
      </c>
      <c r="L59" t="s">
        <v>1031</v>
      </c>
      <c r="M59" t="s">
        <v>166</v>
      </c>
    </row>
    <row r="60" spans="7:13" x14ac:dyDescent="0.25">
      <c r="G60" s="6" t="s">
        <v>3988</v>
      </c>
      <c r="H60" s="6">
        <v>3.3298399999999999</v>
      </c>
      <c r="I60" s="6" t="s">
        <v>1337</v>
      </c>
      <c r="L60" t="s">
        <v>1086</v>
      </c>
      <c r="M60" t="s">
        <v>1086</v>
      </c>
    </row>
    <row r="61" spans="7:13" x14ac:dyDescent="0.25">
      <c r="G61" s="6" t="s">
        <v>3989</v>
      </c>
      <c r="H61" s="6">
        <v>83.5</v>
      </c>
      <c r="I61" s="6" t="s">
        <v>1344</v>
      </c>
      <c r="L61" t="s">
        <v>1809</v>
      </c>
      <c r="M61" t="s">
        <v>1809</v>
      </c>
    </row>
    <row r="62" spans="7:13" x14ac:dyDescent="0.25">
      <c r="G62" s="6" t="s">
        <v>3990</v>
      </c>
      <c r="H62" s="6">
        <v>1322</v>
      </c>
      <c r="I62" s="6" t="s">
        <v>3991</v>
      </c>
      <c r="L62" t="s">
        <v>773</v>
      </c>
      <c r="M62" t="s">
        <v>133</v>
      </c>
    </row>
    <row r="63" spans="7:13" x14ac:dyDescent="0.25">
      <c r="G63" s="6" t="s">
        <v>3992</v>
      </c>
      <c r="H63" s="6">
        <v>8.73</v>
      </c>
      <c r="I63" s="6" t="s">
        <v>1729</v>
      </c>
      <c r="L63" t="s">
        <v>1991</v>
      </c>
      <c r="M63" t="s">
        <v>1991</v>
      </c>
    </row>
    <row r="64" spans="7:13" x14ac:dyDescent="0.25">
      <c r="G64" s="6" t="s">
        <v>3993</v>
      </c>
      <c r="H64" s="6">
        <v>17.68</v>
      </c>
      <c r="I64" s="6" t="s">
        <v>1989</v>
      </c>
      <c r="L64" t="s">
        <v>1497</v>
      </c>
      <c r="M64" t="s">
        <v>1497</v>
      </c>
    </row>
    <row r="65" spans="12:13" x14ac:dyDescent="0.25">
      <c r="L65" t="s">
        <v>1607</v>
      </c>
      <c r="M65" t="s">
        <v>48</v>
      </c>
    </row>
    <row r="66" spans="12:13" x14ac:dyDescent="0.25">
      <c r="L66" t="s">
        <v>639</v>
      </c>
      <c r="M66" t="s">
        <v>639</v>
      </c>
    </row>
    <row r="67" spans="12:13" x14ac:dyDescent="0.25">
      <c r="L67" t="s">
        <v>989</v>
      </c>
      <c r="M67" t="s">
        <v>989</v>
      </c>
    </row>
    <row r="68" spans="12:13" x14ac:dyDescent="0.25">
      <c r="L68" t="s">
        <v>1344</v>
      </c>
      <c r="M68" t="s">
        <v>1344</v>
      </c>
    </row>
    <row r="69" spans="12:13" x14ac:dyDescent="0.25">
      <c r="L69" t="s">
        <v>1306</v>
      </c>
      <c r="M69" t="s">
        <v>1306</v>
      </c>
    </row>
    <row r="70" spans="12:13" x14ac:dyDescent="0.25">
      <c r="L70" t="s">
        <v>1494</v>
      </c>
      <c r="M70" t="s">
        <v>133</v>
      </c>
    </row>
    <row r="71" spans="12:13" x14ac:dyDescent="0.25">
      <c r="L71" t="s">
        <v>1804</v>
      </c>
      <c r="M71" t="s">
        <v>1804</v>
      </c>
    </row>
    <row r="72" spans="12:13" x14ac:dyDescent="0.25">
      <c r="L72" t="s">
        <v>1519</v>
      </c>
      <c r="M72" t="s">
        <v>1519</v>
      </c>
    </row>
    <row r="73" spans="12:13" x14ac:dyDescent="0.25">
      <c r="L73" t="s">
        <v>680</v>
      </c>
      <c r="M73" t="s">
        <v>680</v>
      </c>
    </row>
    <row r="74" spans="12:13" x14ac:dyDescent="0.25">
      <c r="L74" t="s">
        <v>1773</v>
      </c>
      <c r="M74" t="s">
        <v>1773</v>
      </c>
    </row>
    <row r="75" spans="12:13" x14ac:dyDescent="0.25">
      <c r="L75" t="s">
        <v>1707</v>
      </c>
      <c r="M75" t="s">
        <v>1707</v>
      </c>
    </row>
    <row r="76" spans="12:13" x14ac:dyDescent="0.25">
      <c r="L76" t="s">
        <v>1043</v>
      </c>
      <c r="M76" t="s">
        <v>1043</v>
      </c>
    </row>
    <row r="77" spans="12:13" x14ac:dyDescent="0.25">
      <c r="L77" t="s">
        <v>1722</v>
      </c>
      <c r="M77" t="s">
        <v>1722</v>
      </c>
    </row>
    <row r="78" spans="12:13" x14ac:dyDescent="0.25">
      <c r="L78" t="s">
        <v>1676</v>
      </c>
      <c r="M78" t="s">
        <v>1676</v>
      </c>
    </row>
    <row r="79" spans="12:13" x14ac:dyDescent="0.25">
      <c r="L79" t="s">
        <v>1860</v>
      </c>
      <c r="M79" t="s">
        <v>1860</v>
      </c>
    </row>
    <row r="80" spans="12:13" x14ac:dyDescent="0.25">
      <c r="L80" t="s">
        <v>1055</v>
      </c>
      <c r="M80" t="s">
        <v>1055</v>
      </c>
    </row>
    <row r="81" spans="12:13" x14ac:dyDescent="0.25">
      <c r="L81" t="s">
        <v>120</v>
      </c>
      <c r="M81" t="s">
        <v>48</v>
      </c>
    </row>
    <row r="82" spans="12:13" x14ac:dyDescent="0.25">
      <c r="L82" t="s">
        <v>1700</v>
      </c>
      <c r="M82" t="s">
        <v>1700</v>
      </c>
    </row>
    <row r="83" spans="12:13" x14ac:dyDescent="0.25">
      <c r="L83" t="s">
        <v>644</v>
      </c>
      <c r="M83" t="s">
        <v>644</v>
      </c>
    </row>
    <row r="84" spans="12:13" x14ac:dyDescent="0.25">
      <c r="L84" t="s">
        <v>818</v>
      </c>
      <c r="M84" t="s">
        <v>818</v>
      </c>
    </row>
    <row r="85" spans="12:13" x14ac:dyDescent="0.25">
      <c r="L85" t="s">
        <v>548</v>
      </c>
      <c r="M85" t="s">
        <v>548</v>
      </c>
    </row>
    <row r="86" spans="12:13" x14ac:dyDescent="0.25">
      <c r="L86" t="s">
        <v>971</v>
      </c>
      <c r="M86" t="s">
        <v>184</v>
      </c>
    </row>
    <row r="87" spans="12:13" x14ac:dyDescent="0.25">
      <c r="L87" t="s">
        <v>662</v>
      </c>
      <c r="M87" t="s">
        <v>143</v>
      </c>
    </row>
    <row r="88" spans="12:13" x14ac:dyDescent="0.25">
      <c r="L88" t="s">
        <v>1956</v>
      </c>
      <c r="M88" t="s">
        <v>983</v>
      </c>
    </row>
    <row r="89" spans="12:13" x14ac:dyDescent="0.25">
      <c r="L89" t="s">
        <v>299</v>
      </c>
      <c r="M89" t="s">
        <v>299</v>
      </c>
    </row>
    <row r="90" spans="12:13" x14ac:dyDescent="0.25">
      <c r="L90" t="s">
        <v>1282</v>
      </c>
      <c r="M90" t="s">
        <v>1497</v>
      </c>
    </row>
    <row r="91" spans="12:13" x14ac:dyDescent="0.25">
      <c r="L91" t="s">
        <v>1126</v>
      </c>
      <c r="M91" t="s">
        <v>1126</v>
      </c>
    </row>
    <row r="92" spans="12:13" x14ac:dyDescent="0.25">
      <c r="L92" t="s">
        <v>1771</v>
      </c>
      <c r="M92" t="s">
        <v>1771</v>
      </c>
    </row>
    <row r="93" spans="12:13" x14ac:dyDescent="0.25">
      <c r="L93" t="s">
        <v>799</v>
      </c>
      <c r="M93" t="s">
        <v>799</v>
      </c>
    </row>
    <row r="94" spans="12:13" x14ac:dyDescent="0.25">
      <c r="L94" t="s">
        <v>499</v>
      </c>
      <c r="M94" t="s">
        <v>499</v>
      </c>
    </row>
    <row r="95" spans="12:13" x14ac:dyDescent="0.25">
      <c r="L95" t="s">
        <v>1027</v>
      </c>
      <c r="M95" t="s">
        <v>1027</v>
      </c>
    </row>
    <row r="96" spans="12:13" x14ac:dyDescent="0.25">
      <c r="L96" t="s">
        <v>1411</v>
      </c>
      <c r="M96" t="s">
        <v>1411</v>
      </c>
    </row>
    <row r="97" spans="12:13" x14ac:dyDescent="0.25">
      <c r="L97" t="s">
        <v>574</v>
      </c>
      <c r="M97" t="s">
        <v>574</v>
      </c>
    </row>
    <row r="98" spans="12:13" x14ac:dyDescent="0.25">
      <c r="L98" t="s">
        <v>1291</v>
      </c>
      <c r="M98" t="s">
        <v>1291</v>
      </c>
    </row>
    <row r="99" spans="12:13" x14ac:dyDescent="0.25">
      <c r="L99" t="s">
        <v>1623</v>
      </c>
      <c r="M99" t="s">
        <v>983</v>
      </c>
    </row>
    <row r="100" spans="12:13" x14ac:dyDescent="0.25">
      <c r="L100" t="s">
        <v>1731</v>
      </c>
      <c r="M100" t="s">
        <v>1731</v>
      </c>
    </row>
    <row r="101" spans="12:13" x14ac:dyDescent="0.25">
      <c r="L101" t="s">
        <v>567</v>
      </c>
      <c r="M101" t="s">
        <v>567</v>
      </c>
    </row>
    <row r="102" spans="12:13" x14ac:dyDescent="0.25">
      <c r="L102" t="s">
        <v>577</v>
      </c>
      <c r="M102" t="s">
        <v>577</v>
      </c>
    </row>
    <row r="103" spans="12:13" x14ac:dyDescent="0.25">
      <c r="L103" t="s">
        <v>12</v>
      </c>
      <c r="M103" t="s">
        <v>935</v>
      </c>
    </row>
    <row r="104" spans="12:13" x14ac:dyDescent="0.25">
      <c r="L104" t="s">
        <v>1444</v>
      </c>
      <c r="M104" t="s">
        <v>1444</v>
      </c>
    </row>
    <row r="105" spans="12:13" x14ac:dyDescent="0.25">
      <c r="L105" t="s">
        <v>292</v>
      </c>
      <c r="M105" t="s">
        <v>292</v>
      </c>
    </row>
    <row r="106" spans="12:13" x14ac:dyDescent="0.25">
      <c r="L106" t="s">
        <v>1620</v>
      </c>
      <c r="M106" t="s">
        <v>1444</v>
      </c>
    </row>
    <row r="107" spans="12:13" x14ac:dyDescent="0.25">
      <c r="L107" t="s">
        <v>113</v>
      </c>
      <c r="M107" t="s">
        <v>106</v>
      </c>
    </row>
    <row r="108" spans="12:13" x14ac:dyDescent="0.25">
      <c r="L108" t="s">
        <v>1679</v>
      </c>
      <c r="M108" t="s">
        <v>1679</v>
      </c>
    </row>
    <row r="109" spans="12:13" x14ac:dyDescent="0.25">
      <c r="L109" t="s">
        <v>851</v>
      </c>
      <c r="M109" t="s">
        <v>851</v>
      </c>
    </row>
    <row r="110" spans="12:13" x14ac:dyDescent="0.25">
      <c r="L110" t="s">
        <v>1951</v>
      </c>
      <c r="M110" t="s">
        <v>1951</v>
      </c>
    </row>
    <row r="111" spans="12:13" x14ac:dyDescent="0.25">
      <c r="L111" t="s">
        <v>1066</v>
      </c>
      <c r="M111" t="s">
        <v>1066</v>
      </c>
    </row>
    <row r="112" spans="12:13" x14ac:dyDescent="0.25">
      <c r="L112" t="s">
        <v>1099</v>
      </c>
      <c r="M112" t="s">
        <v>672</v>
      </c>
    </row>
    <row r="113" spans="12:13" x14ac:dyDescent="0.25">
      <c r="L113" t="s">
        <v>1671</v>
      </c>
      <c r="M113" t="s">
        <v>1671</v>
      </c>
    </row>
    <row r="114" spans="12:13" x14ac:dyDescent="0.25">
      <c r="L114" t="s">
        <v>1052</v>
      </c>
      <c r="M114" t="s">
        <v>1052</v>
      </c>
    </row>
    <row r="115" spans="12:13" x14ac:dyDescent="0.25">
      <c r="L115" t="s">
        <v>1503</v>
      </c>
      <c r="M115" t="s">
        <v>1503</v>
      </c>
    </row>
    <row r="116" spans="12:13" x14ac:dyDescent="0.25">
      <c r="L116" t="s">
        <v>748</v>
      </c>
      <c r="M116" t="s">
        <v>299</v>
      </c>
    </row>
    <row r="117" spans="12:13" x14ac:dyDescent="0.25">
      <c r="L117" t="s">
        <v>1434</v>
      </c>
      <c r="M117" t="s">
        <v>716</v>
      </c>
    </row>
    <row r="118" spans="12:13" x14ac:dyDescent="0.25">
      <c r="L118" t="s">
        <v>1690</v>
      </c>
      <c r="M118" t="s">
        <v>628</v>
      </c>
    </row>
    <row r="119" spans="12:13" x14ac:dyDescent="0.25">
      <c r="L119" t="s">
        <v>1933</v>
      </c>
      <c r="M119" t="s">
        <v>1933</v>
      </c>
    </row>
    <row r="120" spans="12:13" x14ac:dyDescent="0.25">
      <c r="L120" t="s">
        <v>1609</v>
      </c>
      <c r="M120" t="s">
        <v>672</v>
      </c>
    </row>
    <row r="121" spans="12:13" x14ac:dyDescent="0.25">
      <c r="L121" t="s">
        <v>992</v>
      </c>
      <c r="M121" t="s">
        <v>992</v>
      </c>
    </row>
    <row r="122" spans="12:13" x14ac:dyDescent="0.25">
      <c r="L122" t="s">
        <v>1978</v>
      </c>
      <c r="M122" t="s">
        <v>877</v>
      </c>
    </row>
    <row r="123" spans="12:13" x14ac:dyDescent="0.25">
      <c r="L123" t="s">
        <v>21</v>
      </c>
      <c r="M123" t="s">
        <v>21</v>
      </c>
    </row>
    <row r="124" spans="12:13" x14ac:dyDescent="0.25">
      <c r="L124" t="s">
        <v>526</v>
      </c>
      <c r="M124" t="s">
        <v>526</v>
      </c>
    </row>
    <row r="125" spans="12:13" x14ac:dyDescent="0.25">
      <c r="L125" t="s">
        <v>1458</v>
      </c>
      <c r="M125" t="s">
        <v>1458</v>
      </c>
    </row>
    <row r="126" spans="12:13" x14ac:dyDescent="0.25">
      <c r="L126" t="s">
        <v>2004</v>
      </c>
      <c r="M126" t="s">
        <v>2004</v>
      </c>
    </row>
    <row r="127" spans="12:13" x14ac:dyDescent="0.25">
      <c r="L127" t="s">
        <v>954</v>
      </c>
      <c r="M127" t="s">
        <v>726</v>
      </c>
    </row>
    <row r="128" spans="12:13" x14ac:dyDescent="0.25">
      <c r="L128" t="s">
        <v>1331</v>
      </c>
      <c r="M128" t="s">
        <v>1331</v>
      </c>
    </row>
    <row r="129" spans="12:13" x14ac:dyDescent="0.25">
      <c r="L129" t="s">
        <v>492</v>
      </c>
      <c r="M129" t="s">
        <v>179</v>
      </c>
    </row>
    <row r="130" spans="12:13" x14ac:dyDescent="0.25">
      <c r="L130" t="s">
        <v>1381</v>
      </c>
      <c r="M130" t="s">
        <v>17</v>
      </c>
    </row>
    <row r="131" spans="12:13" x14ac:dyDescent="0.25">
      <c r="L131" t="s">
        <v>541</v>
      </c>
      <c r="M131" t="s">
        <v>88</v>
      </c>
    </row>
    <row r="132" spans="12:13" x14ac:dyDescent="0.25">
      <c r="L132" t="s">
        <v>847</v>
      </c>
      <c r="M132" t="s">
        <v>847</v>
      </c>
    </row>
    <row r="133" spans="12:13" x14ac:dyDescent="0.25">
      <c r="L133" t="s">
        <v>163</v>
      </c>
      <c r="M133" t="s">
        <v>4071</v>
      </c>
    </row>
    <row r="134" spans="12:13" x14ac:dyDescent="0.25">
      <c r="L134" t="s">
        <v>1156</v>
      </c>
      <c r="M134" t="s">
        <v>1156</v>
      </c>
    </row>
    <row r="135" spans="12:13" x14ac:dyDescent="0.25">
      <c r="L135" t="s">
        <v>1371</v>
      </c>
      <c r="M135" t="s">
        <v>1371</v>
      </c>
    </row>
    <row r="136" spans="12:13" x14ac:dyDescent="0.25">
      <c r="L136" t="s">
        <v>1074</v>
      </c>
      <c r="M136" t="s">
        <v>1074</v>
      </c>
    </row>
    <row r="137" spans="12:13" x14ac:dyDescent="0.25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H1888"/>
  <sheetViews>
    <sheetView showGridLines="0" workbookViewId="0">
      <selection activeCell="I1" sqref="I1:I2"/>
    </sheetView>
  </sheetViews>
  <sheetFormatPr defaultRowHeight="15" x14ac:dyDescent="0.25"/>
  <cols>
    <col min="1" max="1" width="4.42578125" customWidth="1"/>
    <col min="3" max="6" width="1.28515625" customWidth="1"/>
    <col min="7" max="7" width="12.7109375" style="9" customWidth="1"/>
    <col min="8" max="8" width="24.42578125" customWidth="1"/>
    <col min="9" max="9" width="20" customWidth="1"/>
    <col min="10" max="10" width="15.140625" hidden="1" customWidth="1"/>
    <col min="11" max="11" width="15.140625" customWidth="1"/>
    <col min="12" max="12" width="28" customWidth="1"/>
    <col min="13" max="19" width="18" customWidth="1"/>
    <col min="20" max="20" width="13" customWidth="1"/>
    <col min="21" max="21" width="17.140625" customWidth="1"/>
  </cols>
  <sheetData>
    <row r="1" spans="2:34" ht="23.25" x14ac:dyDescent="0.35">
      <c r="B1" s="35" t="s">
        <v>3994</v>
      </c>
      <c r="C1" s="35"/>
      <c r="D1" s="35"/>
      <c r="E1" s="35"/>
      <c r="I1" s="8"/>
    </row>
    <row r="2" spans="2:34" x14ac:dyDescent="0.25">
      <c r="I2" s="8"/>
    </row>
    <row r="3" spans="2:34" x14ac:dyDescent="0.25">
      <c r="B3" s="3" t="s">
        <v>3995</v>
      </c>
      <c r="C3" s="3"/>
      <c r="D3" s="3"/>
      <c r="E3" s="3"/>
      <c r="F3" s="3"/>
      <c r="G3" s="10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AB3" s="12"/>
    </row>
    <row r="5" spans="2:34" x14ac:dyDescent="0.25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s="9" t="s">
        <v>3979</v>
      </c>
      <c r="H5" t="s">
        <v>3</v>
      </c>
      <c r="I5" t="s">
        <v>3998</v>
      </c>
      <c r="J5" t="s">
        <v>4</v>
      </c>
      <c r="K5" t="s">
        <v>4004</v>
      </c>
      <c r="L5" t="s">
        <v>5</v>
      </c>
      <c r="M5" t="s">
        <v>3996</v>
      </c>
      <c r="N5" t="s">
        <v>4057</v>
      </c>
      <c r="O5" t="s">
        <v>4058</v>
      </c>
      <c r="P5" t="s">
        <v>4059</v>
      </c>
      <c r="Q5" t="s">
        <v>4060</v>
      </c>
      <c r="R5" t="s">
        <v>4061</v>
      </c>
      <c r="S5" t="s">
        <v>4062</v>
      </c>
      <c r="T5" t="s">
        <v>4010</v>
      </c>
      <c r="U5" t="s">
        <v>310</v>
      </c>
      <c r="V5" t="s">
        <v>20</v>
      </c>
      <c r="W5" t="s">
        <v>356</v>
      </c>
      <c r="X5" t="s">
        <v>488</v>
      </c>
      <c r="Y5" t="s">
        <v>4001</v>
      </c>
      <c r="Z5" t="s">
        <v>279</v>
      </c>
      <c r="AA5" t="s">
        <v>52</v>
      </c>
      <c r="AB5" t="s">
        <v>4000</v>
      </c>
      <c r="AC5" t="s">
        <v>3999</v>
      </c>
      <c r="AD5" t="s">
        <v>67</v>
      </c>
      <c r="AH5" s="11"/>
    </row>
    <row r="6" spans="2:34" ht="15" customHeight="1" x14ac:dyDescent="0.25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 s="9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  <c r="N6" t="str">
        <f>IF(tblSalaries[[#This Row],[Years of Experience]]="","",IF(tblSalaries[[#This Row],[Years of Experience]]&lt;=2,1,""))</f>
        <v/>
      </c>
      <c r="O6" t="str">
        <f>IF(tblSalaries[[#This Row],[Years of Experience]]="","",IF(AND(tblSalaries[[#This Row],[Years of Experience]]&gt;2,tblSalaries[[#This Row],[Years of Experience]]&lt;=5),1,""))</f>
        <v/>
      </c>
      <c r="P6" t="str">
        <f>IF(tblSalaries[[#This Row],[Years of Experience]]="","",IF(AND(tblSalaries[[#This Row],[Years of Experience]]&gt;5,tblSalaries[[#This Row],[Years of Experience]]&lt;=10),1,""))</f>
        <v/>
      </c>
      <c r="Q6" t="str">
        <f>IF(tblSalaries[[#This Row],[Years of Experience]]="","",IF(AND(tblSalaries[[#This Row],[Years of Experience]]&gt;10,tblSalaries[[#This Row],[Years of Experience]]&lt;=15),1,""))</f>
        <v/>
      </c>
      <c r="R6" t="str">
        <f>IF(tblSalaries[[#This Row],[Years of Experience]]="","",IF(AND(tblSalaries[[#This Row],[Years of Experience]]&gt;16,tblSalaries[[#This Row],[Years of Experience]]&lt;=20),1,""))</f>
        <v/>
      </c>
      <c r="S6" t="str">
        <f>IF(tblSalaries[[#This Row],[Years of Experience]]="","",IF(tblSalaries[[#This Row],[Years of Experience]]&gt;20,1,""))</f>
        <v/>
      </c>
      <c r="T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" s="13" t="str">
        <f>IF(tblSalaries[[#This Row],[Job Type]]=tblSalaries[[#Headers],[Accountant]],tblSalaries[[#This Row],[Salary in USD]],"")</f>
        <v/>
      </c>
      <c r="V6" s="13">
        <f>IF(tblSalaries[[#This Row],[Job Type]]=tblSalaries[[#Headers],[Analyst]],tblSalaries[[#This Row],[Salary in USD]],"")</f>
        <v>5846</v>
      </c>
      <c r="W6" s="13" t="str">
        <f>IF(tblSalaries[[#This Row],[Job Type]]=tblSalaries[[#Headers],[Consultant]],tblSalaries[[#This Row],[Salary in USD]],"")</f>
        <v/>
      </c>
      <c r="X6" s="13" t="str">
        <f>IF(tblSalaries[[#This Row],[Job Type]]=tblSalaries[[#Headers],[Controller]],tblSalaries[[#This Row],[Salary in USD]],"")</f>
        <v/>
      </c>
      <c r="Y6" s="13" t="str">
        <f>IF(tblSalaries[[#This Row],[Job Type]]=tblSalaries[[#Headers],[CXO or Top Mgmt.]],tblSalaries[[#This Row],[clean Salary (in local currency)]],"")</f>
        <v/>
      </c>
      <c r="Z6" s="13" t="str">
        <f>IF(tblSalaries[[#This Row],[Job Type]]=tblSalaries[[#Headers],[Engineer]],tblSalaries[[#This Row],[Salary in USD]],"")</f>
        <v/>
      </c>
      <c r="AA6" s="13" t="str">
        <f>IF(tblSalaries[[#This Row],[Job Type]]=tblSalaries[[#Headers],[Manager]],tblSalaries[[#This Row],[Salary in USD]],"")</f>
        <v/>
      </c>
      <c r="AB6" s="13" t="str">
        <f>IF(tblSalaries[[#This Row],[Job Type]]=tblSalaries[[#Headers],[Misc.]],tblSalaries[[#This Row],[Salary in USD]],"")</f>
        <v/>
      </c>
      <c r="AC6" s="13" t="str">
        <f>IF(tblSalaries[[#This Row],[Job Type]]=tblSalaries[[#Headers],[Reporting]],tblSalaries[[#This Row],[Salary in USD]],"")</f>
        <v/>
      </c>
      <c r="AD6" s="13" t="str">
        <f>IF(tblSalaries[[#This Row],[Job Type]]=tblSalaries[[#Headers],[Specialist]],tblSalaries[[#This Row],[Salary in USD]],"")</f>
        <v/>
      </c>
      <c r="AH6" s="11"/>
    </row>
    <row r="7" spans="2:34" ht="15" customHeight="1" x14ac:dyDescent="0.25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 s="9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  <c r="N7" t="str">
        <f>IF(tblSalaries[[#This Row],[Years of Experience]]="","",IF(tblSalaries[[#This Row],[Years of Experience]]&lt;=2,1,""))</f>
        <v/>
      </c>
      <c r="O7" t="str">
        <f>IF(tblSalaries[[#This Row],[Years of Experience]]="","",IF(AND(tblSalaries[[#This Row],[Years of Experience]]&gt;2,tblSalaries[[#This Row],[Years of Experience]]&lt;=5),1,""))</f>
        <v/>
      </c>
      <c r="P7" t="str">
        <f>IF(tblSalaries[[#This Row],[Years of Experience]]="","",IF(AND(tblSalaries[[#This Row],[Years of Experience]]&gt;5,tblSalaries[[#This Row],[Years of Experience]]&lt;=10),1,""))</f>
        <v/>
      </c>
      <c r="Q7" t="str">
        <f>IF(tblSalaries[[#This Row],[Years of Experience]]="","",IF(AND(tblSalaries[[#This Row],[Years of Experience]]&gt;10,tblSalaries[[#This Row],[Years of Experience]]&lt;=15),1,""))</f>
        <v/>
      </c>
      <c r="R7" t="str">
        <f>IF(tblSalaries[[#This Row],[Years of Experience]]="","",IF(AND(tblSalaries[[#This Row],[Years of Experience]]&gt;16,tblSalaries[[#This Row],[Years of Experience]]&lt;=20),1,""))</f>
        <v/>
      </c>
      <c r="S7" t="str">
        <f>IF(tblSalaries[[#This Row],[Years of Experience]]="","",IF(tblSalaries[[#This Row],[Years of Experience]]&gt;20,1,""))</f>
        <v/>
      </c>
      <c r="T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" s="13" t="str">
        <f>IF(tblSalaries[[#This Row],[Job Type]]=tblSalaries[[#Headers],[Accountant]],tblSalaries[[#This Row],[Salary in USD]],"")</f>
        <v/>
      </c>
      <c r="V7" s="13" t="str">
        <f>IF(tblSalaries[[#This Row],[Job Type]]=tblSalaries[[#Headers],[Analyst]],tblSalaries[[#This Row],[Salary in USD]],"")</f>
        <v/>
      </c>
      <c r="W7" s="13" t="str">
        <f>IF(tblSalaries[[#This Row],[Job Type]]=tblSalaries[[#Headers],[Consultant]],tblSalaries[[#This Row],[Salary in USD]],"")</f>
        <v/>
      </c>
      <c r="X7" s="13">
        <f>IF(tblSalaries[[#This Row],[Job Type]]=tblSalaries[[#Headers],[Controller]],tblSalaries[[#This Row],[Salary in USD]],"")</f>
        <v>15000</v>
      </c>
      <c r="Y7" s="13" t="str">
        <f>IF(tblSalaries[[#This Row],[Job Type]]=tblSalaries[[#Headers],[CXO or Top Mgmt.]],tblSalaries[[#This Row],[clean Salary (in local currency)]],"")</f>
        <v/>
      </c>
      <c r="Z7" s="13" t="str">
        <f>IF(tblSalaries[[#This Row],[Job Type]]=tblSalaries[[#Headers],[Engineer]],tblSalaries[[#This Row],[Salary in USD]],"")</f>
        <v/>
      </c>
      <c r="AA7" s="13" t="str">
        <f>IF(tblSalaries[[#This Row],[Job Type]]=tblSalaries[[#Headers],[Manager]],tblSalaries[[#This Row],[Salary in USD]],"")</f>
        <v/>
      </c>
      <c r="AB7" s="13" t="str">
        <f>IF(tblSalaries[[#This Row],[Job Type]]=tblSalaries[[#Headers],[Misc.]],tblSalaries[[#This Row],[Salary in USD]],"")</f>
        <v/>
      </c>
      <c r="AC7" s="13" t="str">
        <f>IF(tblSalaries[[#This Row],[Job Type]]=tblSalaries[[#Headers],[Reporting]],tblSalaries[[#This Row],[Salary in USD]],"")</f>
        <v/>
      </c>
      <c r="AD7" s="13" t="str">
        <f>IF(tblSalaries[[#This Row],[Job Type]]=tblSalaries[[#Headers],[Specialist]],tblSalaries[[#This Row],[Salary in USD]],"")</f>
        <v/>
      </c>
      <c r="AH7" s="11"/>
    </row>
    <row r="8" spans="2:34" ht="15" customHeight="1" x14ac:dyDescent="0.25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 s="9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  <c r="N8" t="str">
        <f>IF(tblSalaries[[#This Row],[Years of Experience]]="","",IF(tblSalaries[[#This Row],[Years of Experience]]&lt;=2,1,""))</f>
        <v/>
      </c>
      <c r="O8" t="str">
        <f>IF(tblSalaries[[#This Row],[Years of Experience]]="","",IF(AND(tblSalaries[[#This Row],[Years of Experience]]&gt;2,tblSalaries[[#This Row],[Years of Experience]]&lt;=5),1,""))</f>
        <v/>
      </c>
      <c r="P8" t="str">
        <f>IF(tblSalaries[[#This Row],[Years of Experience]]="","",IF(AND(tblSalaries[[#This Row],[Years of Experience]]&gt;5,tblSalaries[[#This Row],[Years of Experience]]&lt;=10),1,""))</f>
        <v/>
      </c>
      <c r="Q8" t="str">
        <f>IF(tblSalaries[[#This Row],[Years of Experience]]="","",IF(AND(tblSalaries[[#This Row],[Years of Experience]]&gt;10,tblSalaries[[#This Row],[Years of Experience]]&lt;=15),1,""))</f>
        <v/>
      </c>
      <c r="R8" t="str">
        <f>IF(tblSalaries[[#This Row],[Years of Experience]]="","",IF(AND(tblSalaries[[#This Row],[Years of Experience]]&gt;16,tblSalaries[[#This Row],[Years of Experience]]&lt;=20),1,""))</f>
        <v/>
      </c>
      <c r="S8" t="str">
        <f>IF(tblSalaries[[#This Row],[Years of Experience]]="","",IF(tblSalaries[[#This Row],[Years of Experience]]&gt;20,1,""))</f>
        <v/>
      </c>
      <c r="T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" s="13" t="str">
        <f>IF(tblSalaries[[#This Row],[Job Type]]=tblSalaries[[#Headers],[Accountant]],tblSalaries[[#This Row],[Salary in USD]],"")</f>
        <v/>
      </c>
      <c r="V8" s="13">
        <f>IF(tblSalaries[[#This Row],[Job Type]]=tblSalaries[[#Headers],[Analyst]],tblSalaries[[#This Row],[Salary in USD]],"")</f>
        <v>58000</v>
      </c>
      <c r="W8" s="13" t="str">
        <f>IF(tblSalaries[[#This Row],[Job Type]]=tblSalaries[[#Headers],[Consultant]],tblSalaries[[#This Row],[Salary in USD]],"")</f>
        <v/>
      </c>
      <c r="X8" s="13" t="str">
        <f>IF(tblSalaries[[#This Row],[Job Type]]=tblSalaries[[#Headers],[Controller]],tblSalaries[[#This Row],[Salary in USD]],"")</f>
        <v/>
      </c>
      <c r="Y8" s="13" t="str">
        <f>IF(tblSalaries[[#This Row],[Job Type]]=tblSalaries[[#Headers],[CXO or Top Mgmt.]],tblSalaries[[#This Row],[clean Salary (in local currency)]],"")</f>
        <v/>
      </c>
      <c r="Z8" s="13" t="str">
        <f>IF(tblSalaries[[#This Row],[Job Type]]=tblSalaries[[#Headers],[Engineer]],tblSalaries[[#This Row],[Salary in USD]],"")</f>
        <v/>
      </c>
      <c r="AA8" s="13" t="str">
        <f>IF(tblSalaries[[#This Row],[Job Type]]=tblSalaries[[#Headers],[Manager]],tblSalaries[[#This Row],[Salary in USD]],"")</f>
        <v/>
      </c>
      <c r="AB8" s="13" t="str">
        <f>IF(tblSalaries[[#This Row],[Job Type]]=tblSalaries[[#Headers],[Misc.]],tblSalaries[[#This Row],[Salary in USD]],"")</f>
        <v/>
      </c>
      <c r="AC8" s="13" t="str">
        <f>IF(tblSalaries[[#This Row],[Job Type]]=tblSalaries[[#Headers],[Reporting]],tblSalaries[[#This Row],[Salary in USD]],"")</f>
        <v/>
      </c>
      <c r="AD8" s="13" t="str">
        <f>IF(tblSalaries[[#This Row],[Job Type]]=tblSalaries[[#Headers],[Specialist]],tblSalaries[[#This Row],[Salary in USD]],"")</f>
        <v/>
      </c>
      <c r="AH8" s="11"/>
    </row>
    <row r="9" spans="2:34" ht="15" customHeight="1" x14ac:dyDescent="0.25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 s="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  <c r="N9" t="str">
        <f>IF(tblSalaries[[#This Row],[Years of Experience]]="","",IF(tblSalaries[[#This Row],[Years of Experience]]&lt;=2,1,""))</f>
        <v/>
      </c>
      <c r="O9" t="str">
        <f>IF(tblSalaries[[#This Row],[Years of Experience]]="","",IF(AND(tblSalaries[[#This Row],[Years of Experience]]&gt;2,tblSalaries[[#This Row],[Years of Experience]]&lt;=5),1,""))</f>
        <v/>
      </c>
      <c r="P9" t="str">
        <f>IF(tblSalaries[[#This Row],[Years of Experience]]="","",IF(AND(tblSalaries[[#This Row],[Years of Experience]]&gt;5,tblSalaries[[#This Row],[Years of Experience]]&lt;=10),1,""))</f>
        <v/>
      </c>
      <c r="Q9" t="str">
        <f>IF(tblSalaries[[#This Row],[Years of Experience]]="","",IF(AND(tblSalaries[[#This Row],[Years of Experience]]&gt;10,tblSalaries[[#This Row],[Years of Experience]]&lt;=15),1,""))</f>
        <v/>
      </c>
      <c r="R9" t="str">
        <f>IF(tblSalaries[[#This Row],[Years of Experience]]="","",IF(AND(tblSalaries[[#This Row],[Years of Experience]]&gt;16,tblSalaries[[#This Row],[Years of Experience]]&lt;=20),1,""))</f>
        <v/>
      </c>
      <c r="S9" t="str">
        <f>IF(tblSalaries[[#This Row],[Years of Experience]]="","",IF(tblSalaries[[#This Row],[Years of Experience]]&gt;20,1,""))</f>
        <v/>
      </c>
      <c r="T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" s="13" t="str">
        <f>IF(tblSalaries[[#This Row],[Job Type]]=tblSalaries[[#Headers],[Accountant]],tblSalaries[[#This Row],[Salary in USD]],"")</f>
        <v/>
      </c>
      <c r="V9" s="13" t="str">
        <f>IF(tblSalaries[[#This Row],[Job Type]]=tblSalaries[[#Headers],[Analyst]],tblSalaries[[#This Row],[Salary in USD]],"")</f>
        <v/>
      </c>
      <c r="W9" s="13" t="str">
        <f>IF(tblSalaries[[#This Row],[Job Type]]=tblSalaries[[#Headers],[Consultant]],tblSalaries[[#This Row],[Salary in USD]],"")</f>
        <v/>
      </c>
      <c r="X9" s="13">
        <f>IF(tblSalaries[[#This Row],[Job Type]]=tblSalaries[[#Headers],[Controller]],tblSalaries[[#This Row],[Salary in USD]],"")</f>
        <v>48000</v>
      </c>
      <c r="Y9" s="13" t="str">
        <f>IF(tblSalaries[[#This Row],[Job Type]]=tblSalaries[[#Headers],[CXO or Top Mgmt.]],tblSalaries[[#This Row],[clean Salary (in local currency)]],"")</f>
        <v/>
      </c>
      <c r="Z9" s="13" t="str">
        <f>IF(tblSalaries[[#This Row],[Job Type]]=tblSalaries[[#Headers],[Engineer]],tblSalaries[[#This Row],[Salary in USD]],"")</f>
        <v/>
      </c>
      <c r="AA9" s="13" t="str">
        <f>IF(tblSalaries[[#This Row],[Job Type]]=tblSalaries[[#Headers],[Manager]],tblSalaries[[#This Row],[Salary in USD]],"")</f>
        <v/>
      </c>
      <c r="AB9" s="13" t="str">
        <f>IF(tblSalaries[[#This Row],[Job Type]]=tblSalaries[[#Headers],[Misc.]],tblSalaries[[#This Row],[Salary in USD]],"")</f>
        <v/>
      </c>
      <c r="AC9" s="13" t="str">
        <f>IF(tblSalaries[[#This Row],[Job Type]]=tblSalaries[[#Headers],[Reporting]],tblSalaries[[#This Row],[Salary in USD]],"")</f>
        <v/>
      </c>
      <c r="AD9" s="13" t="str">
        <f>IF(tblSalaries[[#This Row],[Job Type]]=tblSalaries[[#Headers],[Specialist]],tblSalaries[[#This Row],[Salary in USD]],"")</f>
        <v/>
      </c>
      <c r="AH9" s="11"/>
    </row>
    <row r="10" spans="2:34" ht="15" customHeight="1" x14ac:dyDescent="0.25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 s="9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  <c r="N10" t="str">
        <f>IF(tblSalaries[[#This Row],[Years of Experience]]="","",IF(tblSalaries[[#This Row],[Years of Experience]]&lt;=2,1,""))</f>
        <v/>
      </c>
      <c r="O10" t="str">
        <f>IF(tblSalaries[[#This Row],[Years of Experience]]="","",IF(AND(tblSalaries[[#This Row],[Years of Experience]]&gt;2,tblSalaries[[#This Row],[Years of Experience]]&lt;=5),1,""))</f>
        <v/>
      </c>
      <c r="P10" t="str">
        <f>IF(tblSalaries[[#This Row],[Years of Experience]]="","",IF(AND(tblSalaries[[#This Row],[Years of Experience]]&gt;5,tblSalaries[[#This Row],[Years of Experience]]&lt;=10),1,""))</f>
        <v/>
      </c>
      <c r="Q10" t="str">
        <f>IF(tblSalaries[[#This Row],[Years of Experience]]="","",IF(AND(tblSalaries[[#This Row],[Years of Experience]]&gt;10,tblSalaries[[#This Row],[Years of Experience]]&lt;=15),1,""))</f>
        <v/>
      </c>
      <c r="R10" t="str">
        <f>IF(tblSalaries[[#This Row],[Years of Experience]]="","",IF(AND(tblSalaries[[#This Row],[Years of Experience]]&gt;16,tblSalaries[[#This Row],[Years of Experience]]&lt;=20),1,""))</f>
        <v/>
      </c>
      <c r="S10" t="str">
        <f>IF(tblSalaries[[#This Row],[Years of Experience]]="","",IF(tblSalaries[[#This Row],[Years of Experience]]&gt;20,1,""))</f>
        <v/>
      </c>
      <c r="T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" s="13" t="str">
        <f>IF(tblSalaries[[#This Row],[Job Type]]=tblSalaries[[#Headers],[Accountant]],tblSalaries[[#This Row],[Salary in USD]],"")</f>
        <v/>
      </c>
      <c r="V10" s="13" t="str">
        <f>IF(tblSalaries[[#This Row],[Job Type]]=tblSalaries[[#Headers],[Analyst]],tblSalaries[[#This Row],[Salary in USD]],"")</f>
        <v/>
      </c>
      <c r="W10" s="13" t="str">
        <f>IF(tblSalaries[[#This Row],[Job Type]]=tblSalaries[[#Headers],[Consultant]],tblSalaries[[#This Row],[Salary in USD]],"")</f>
        <v/>
      </c>
      <c r="X10" s="13" t="str">
        <f>IF(tblSalaries[[#This Row],[Job Type]]=tblSalaries[[#Headers],[Controller]],tblSalaries[[#This Row],[Salary in USD]],"")</f>
        <v/>
      </c>
      <c r="Y10" s="13" t="str">
        <f>IF(tblSalaries[[#This Row],[Job Type]]=tblSalaries[[#Headers],[CXO or Top Mgmt.]],tblSalaries[[#This Row],[clean Salary (in local currency)]],"")</f>
        <v/>
      </c>
      <c r="Z10" s="13">
        <f>IF(tblSalaries[[#This Row],[Job Type]]=tblSalaries[[#Headers],[Engineer]],tblSalaries[[#This Row],[Salary in USD]],"")</f>
        <v>54000</v>
      </c>
      <c r="AA10" s="13" t="str">
        <f>IF(tblSalaries[[#This Row],[Job Type]]=tblSalaries[[#Headers],[Manager]],tblSalaries[[#This Row],[Salary in USD]],"")</f>
        <v/>
      </c>
      <c r="AB10" s="13" t="str">
        <f>IF(tblSalaries[[#This Row],[Job Type]]=tblSalaries[[#Headers],[Misc.]],tblSalaries[[#This Row],[Salary in USD]],"")</f>
        <v/>
      </c>
      <c r="AC10" s="13" t="str">
        <f>IF(tblSalaries[[#This Row],[Job Type]]=tblSalaries[[#Headers],[Reporting]],tblSalaries[[#This Row],[Salary in USD]],"")</f>
        <v/>
      </c>
      <c r="AD10" s="13" t="str">
        <f>IF(tblSalaries[[#This Row],[Job Type]]=tblSalaries[[#Headers],[Specialist]],tblSalaries[[#This Row],[Salary in USD]],"")</f>
        <v/>
      </c>
      <c r="AH10" s="11"/>
    </row>
    <row r="11" spans="2:34" ht="15" customHeight="1" x14ac:dyDescent="0.25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 s="9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  <c r="N11" t="str">
        <f>IF(tblSalaries[[#This Row],[Years of Experience]]="","",IF(tblSalaries[[#This Row],[Years of Experience]]&lt;=2,1,""))</f>
        <v/>
      </c>
      <c r="O11" t="str">
        <f>IF(tblSalaries[[#This Row],[Years of Experience]]="","",IF(AND(tblSalaries[[#This Row],[Years of Experience]]&gt;2,tblSalaries[[#This Row],[Years of Experience]]&lt;=5),1,""))</f>
        <v/>
      </c>
      <c r="P11" t="str">
        <f>IF(tblSalaries[[#This Row],[Years of Experience]]="","",IF(AND(tblSalaries[[#This Row],[Years of Experience]]&gt;5,tblSalaries[[#This Row],[Years of Experience]]&lt;=10),1,""))</f>
        <v/>
      </c>
      <c r="Q11" t="str">
        <f>IF(tblSalaries[[#This Row],[Years of Experience]]="","",IF(AND(tblSalaries[[#This Row],[Years of Experience]]&gt;10,tblSalaries[[#This Row],[Years of Experience]]&lt;=15),1,""))</f>
        <v/>
      </c>
      <c r="R11" t="str">
        <f>IF(tblSalaries[[#This Row],[Years of Experience]]="","",IF(AND(tblSalaries[[#This Row],[Years of Experience]]&gt;16,tblSalaries[[#This Row],[Years of Experience]]&lt;=20),1,""))</f>
        <v/>
      </c>
      <c r="S11" t="str">
        <f>IF(tblSalaries[[#This Row],[Years of Experience]]="","",IF(tblSalaries[[#This Row],[Years of Experience]]&gt;20,1,""))</f>
        <v/>
      </c>
      <c r="T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" s="13" t="str">
        <f>IF(tblSalaries[[#This Row],[Job Type]]=tblSalaries[[#Headers],[Accountant]],tblSalaries[[#This Row],[Salary in USD]],"")</f>
        <v/>
      </c>
      <c r="V11" s="13">
        <f>IF(tblSalaries[[#This Row],[Job Type]]=tblSalaries[[#Headers],[Analyst]],tblSalaries[[#This Row],[Salary in USD]],"")</f>
        <v>41731</v>
      </c>
      <c r="W11" s="13" t="str">
        <f>IF(tblSalaries[[#This Row],[Job Type]]=tblSalaries[[#Headers],[Consultant]],tblSalaries[[#This Row],[Salary in USD]],"")</f>
        <v/>
      </c>
      <c r="X11" s="13" t="str">
        <f>IF(tblSalaries[[#This Row],[Job Type]]=tblSalaries[[#Headers],[Controller]],tblSalaries[[#This Row],[Salary in USD]],"")</f>
        <v/>
      </c>
      <c r="Y11" s="13" t="str">
        <f>IF(tblSalaries[[#This Row],[Job Type]]=tblSalaries[[#Headers],[CXO or Top Mgmt.]],tblSalaries[[#This Row],[clean Salary (in local currency)]],"")</f>
        <v/>
      </c>
      <c r="Z11" s="13" t="str">
        <f>IF(tblSalaries[[#This Row],[Job Type]]=tblSalaries[[#Headers],[Engineer]],tblSalaries[[#This Row],[Salary in USD]],"")</f>
        <v/>
      </c>
      <c r="AA11" s="13" t="str">
        <f>IF(tblSalaries[[#This Row],[Job Type]]=tblSalaries[[#Headers],[Manager]],tblSalaries[[#This Row],[Salary in USD]],"")</f>
        <v/>
      </c>
      <c r="AB11" s="13" t="str">
        <f>IF(tblSalaries[[#This Row],[Job Type]]=tblSalaries[[#Headers],[Misc.]],tblSalaries[[#This Row],[Salary in USD]],"")</f>
        <v/>
      </c>
      <c r="AC11" s="13" t="str">
        <f>IF(tblSalaries[[#This Row],[Job Type]]=tblSalaries[[#Headers],[Reporting]],tblSalaries[[#This Row],[Salary in USD]],"")</f>
        <v/>
      </c>
      <c r="AD11" s="13" t="str">
        <f>IF(tblSalaries[[#This Row],[Job Type]]=tblSalaries[[#Headers],[Specialist]],tblSalaries[[#This Row],[Salary in USD]],"")</f>
        <v/>
      </c>
      <c r="AH11" s="11"/>
    </row>
    <row r="12" spans="2:34" ht="15" customHeight="1" x14ac:dyDescent="0.25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 s="9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  <c r="N12" t="str">
        <f>IF(tblSalaries[[#This Row],[Years of Experience]]="","",IF(tblSalaries[[#This Row],[Years of Experience]]&lt;=2,1,""))</f>
        <v/>
      </c>
      <c r="O12" t="str">
        <f>IF(tblSalaries[[#This Row],[Years of Experience]]="","",IF(AND(tblSalaries[[#This Row],[Years of Experience]]&gt;2,tblSalaries[[#This Row],[Years of Experience]]&lt;=5),1,""))</f>
        <v/>
      </c>
      <c r="P12" t="str">
        <f>IF(tblSalaries[[#This Row],[Years of Experience]]="","",IF(AND(tblSalaries[[#This Row],[Years of Experience]]&gt;5,tblSalaries[[#This Row],[Years of Experience]]&lt;=10),1,""))</f>
        <v/>
      </c>
      <c r="Q12" t="str">
        <f>IF(tblSalaries[[#This Row],[Years of Experience]]="","",IF(AND(tblSalaries[[#This Row],[Years of Experience]]&gt;10,tblSalaries[[#This Row],[Years of Experience]]&lt;=15),1,""))</f>
        <v/>
      </c>
      <c r="R12" t="str">
        <f>IF(tblSalaries[[#This Row],[Years of Experience]]="","",IF(AND(tblSalaries[[#This Row],[Years of Experience]]&gt;16,tblSalaries[[#This Row],[Years of Experience]]&lt;=20),1,""))</f>
        <v/>
      </c>
      <c r="S12" t="str">
        <f>IF(tblSalaries[[#This Row],[Years of Experience]]="","",IF(tblSalaries[[#This Row],[Years of Experience]]&gt;20,1,""))</f>
        <v/>
      </c>
      <c r="T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" s="13" t="str">
        <f>IF(tblSalaries[[#This Row],[Job Type]]=tblSalaries[[#Headers],[Accountant]],tblSalaries[[#This Row],[Salary in USD]],"")</f>
        <v/>
      </c>
      <c r="V12" s="13" t="str">
        <f>IF(tblSalaries[[#This Row],[Job Type]]=tblSalaries[[#Headers],[Analyst]],tblSalaries[[#This Row],[Salary in USD]],"")</f>
        <v/>
      </c>
      <c r="W12" s="13" t="str">
        <f>IF(tblSalaries[[#This Row],[Job Type]]=tblSalaries[[#Headers],[Consultant]],tblSalaries[[#This Row],[Salary in USD]],"")</f>
        <v/>
      </c>
      <c r="X12" s="13" t="str">
        <f>IF(tblSalaries[[#This Row],[Job Type]]=tblSalaries[[#Headers],[Controller]],tblSalaries[[#This Row],[Salary in USD]],"")</f>
        <v/>
      </c>
      <c r="Y12" s="13" t="str">
        <f>IF(tblSalaries[[#This Row],[Job Type]]=tblSalaries[[#Headers],[CXO or Top Mgmt.]],tblSalaries[[#This Row],[clean Salary (in local currency)]],"")</f>
        <v/>
      </c>
      <c r="Z12" s="13" t="str">
        <f>IF(tblSalaries[[#This Row],[Job Type]]=tblSalaries[[#Headers],[Engineer]],tblSalaries[[#This Row],[Salary in USD]],"")</f>
        <v/>
      </c>
      <c r="AA12" s="13">
        <f>IF(tblSalaries[[#This Row],[Job Type]]=tblSalaries[[#Headers],[Manager]],tblSalaries[[#This Row],[Salary in USD]],"")</f>
        <v>184207.91865378313</v>
      </c>
      <c r="AB12" s="13" t="str">
        <f>IF(tblSalaries[[#This Row],[Job Type]]=tblSalaries[[#Headers],[Misc.]],tblSalaries[[#This Row],[Salary in USD]],"")</f>
        <v/>
      </c>
      <c r="AC12" s="13" t="str">
        <f>IF(tblSalaries[[#This Row],[Job Type]]=tblSalaries[[#Headers],[Reporting]],tblSalaries[[#This Row],[Salary in USD]],"")</f>
        <v/>
      </c>
      <c r="AD12" s="13" t="str">
        <f>IF(tblSalaries[[#This Row],[Job Type]]=tblSalaries[[#Headers],[Specialist]],tblSalaries[[#This Row],[Salary in USD]],"")</f>
        <v/>
      </c>
      <c r="AH12" s="11"/>
    </row>
    <row r="13" spans="2:34" ht="15" customHeight="1" x14ac:dyDescent="0.25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 s="9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  <c r="N13" t="str">
        <f>IF(tblSalaries[[#This Row],[Years of Experience]]="","",IF(tblSalaries[[#This Row],[Years of Experience]]&lt;=2,1,""))</f>
        <v/>
      </c>
      <c r="O13" t="str">
        <f>IF(tblSalaries[[#This Row],[Years of Experience]]="","",IF(AND(tblSalaries[[#This Row],[Years of Experience]]&gt;2,tblSalaries[[#This Row],[Years of Experience]]&lt;=5),1,""))</f>
        <v/>
      </c>
      <c r="P13" t="str">
        <f>IF(tblSalaries[[#This Row],[Years of Experience]]="","",IF(AND(tblSalaries[[#This Row],[Years of Experience]]&gt;5,tblSalaries[[#This Row],[Years of Experience]]&lt;=10),1,""))</f>
        <v/>
      </c>
      <c r="Q13" t="str">
        <f>IF(tblSalaries[[#This Row],[Years of Experience]]="","",IF(AND(tblSalaries[[#This Row],[Years of Experience]]&gt;10,tblSalaries[[#This Row],[Years of Experience]]&lt;=15),1,""))</f>
        <v/>
      </c>
      <c r="R13" t="str">
        <f>IF(tblSalaries[[#This Row],[Years of Experience]]="","",IF(AND(tblSalaries[[#This Row],[Years of Experience]]&gt;16,tblSalaries[[#This Row],[Years of Experience]]&lt;=20),1,""))</f>
        <v/>
      </c>
      <c r="S13" t="str">
        <f>IF(tblSalaries[[#This Row],[Years of Experience]]="","",IF(tblSalaries[[#This Row],[Years of Experience]]&gt;20,1,""))</f>
        <v/>
      </c>
      <c r="T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" s="13" t="str">
        <f>IF(tblSalaries[[#This Row],[Job Type]]=tblSalaries[[#Headers],[Accountant]],tblSalaries[[#This Row],[Salary in USD]],"")</f>
        <v/>
      </c>
      <c r="V13" s="13">
        <f>IF(tblSalaries[[#This Row],[Job Type]]=tblSalaries[[#Headers],[Analyst]],tblSalaries[[#This Row],[Salary in USD]],"")</f>
        <v>12000</v>
      </c>
      <c r="W13" s="13" t="str">
        <f>IF(tblSalaries[[#This Row],[Job Type]]=tblSalaries[[#Headers],[Consultant]],tblSalaries[[#This Row],[Salary in USD]],"")</f>
        <v/>
      </c>
      <c r="X13" s="13" t="str">
        <f>IF(tblSalaries[[#This Row],[Job Type]]=tblSalaries[[#Headers],[Controller]],tblSalaries[[#This Row],[Salary in USD]],"")</f>
        <v/>
      </c>
      <c r="Y13" s="13" t="str">
        <f>IF(tblSalaries[[#This Row],[Job Type]]=tblSalaries[[#Headers],[CXO or Top Mgmt.]],tblSalaries[[#This Row],[clean Salary (in local currency)]],"")</f>
        <v/>
      </c>
      <c r="Z13" s="13" t="str">
        <f>IF(tblSalaries[[#This Row],[Job Type]]=tblSalaries[[#Headers],[Engineer]],tblSalaries[[#This Row],[Salary in USD]],"")</f>
        <v/>
      </c>
      <c r="AA13" s="13" t="str">
        <f>IF(tblSalaries[[#This Row],[Job Type]]=tblSalaries[[#Headers],[Manager]],tblSalaries[[#This Row],[Salary in USD]],"")</f>
        <v/>
      </c>
      <c r="AB13" s="13" t="str">
        <f>IF(tblSalaries[[#This Row],[Job Type]]=tblSalaries[[#Headers],[Misc.]],tblSalaries[[#This Row],[Salary in USD]],"")</f>
        <v/>
      </c>
      <c r="AC13" s="13" t="str">
        <f>IF(tblSalaries[[#This Row],[Job Type]]=tblSalaries[[#Headers],[Reporting]],tblSalaries[[#This Row],[Salary in USD]],"")</f>
        <v/>
      </c>
      <c r="AD13" s="13" t="str">
        <f>IF(tblSalaries[[#This Row],[Job Type]]=tblSalaries[[#Headers],[Specialist]],tblSalaries[[#This Row],[Salary in USD]],"")</f>
        <v/>
      </c>
      <c r="AH13" s="11"/>
    </row>
    <row r="14" spans="2:34" ht="15" customHeight="1" x14ac:dyDescent="0.25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 s="9">
        <f>tblSalaries[[#This Row],[clean Salary (in local currency)]]*VLOOKUP(tblSalaries[[#This Row],[Currency]],tblXrate[],2,FALSE)</f>
        <v>44000</v>
      </c>
      <c r="H14" t="s">
        <v>29</v>
      </c>
      <c r="I14" t="s">
        <v>4001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  <c r="N14" t="str">
        <f>IF(tblSalaries[[#This Row],[Years of Experience]]="","",IF(tblSalaries[[#This Row],[Years of Experience]]&lt;=2,1,""))</f>
        <v/>
      </c>
      <c r="O14" t="str">
        <f>IF(tblSalaries[[#This Row],[Years of Experience]]="","",IF(AND(tblSalaries[[#This Row],[Years of Experience]]&gt;2,tblSalaries[[#This Row],[Years of Experience]]&lt;=5),1,""))</f>
        <v/>
      </c>
      <c r="P14" t="str">
        <f>IF(tblSalaries[[#This Row],[Years of Experience]]="","",IF(AND(tblSalaries[[#This Row],[Years of Experience]]&gt;5,tblSalaries[[#This Row],[Years of Experience]]&lt;=10),1,""))</f>
        <v/>
      </c>
      <c r="Q14" t="str">
        <f>IF(tblSalaries[[#This Row],[Years of Experience]]="","",IF(AND(tblSalaries[[#This Row],[Years of Experience]]&gt;10,tblSalaries[[#This Row],[Years of Experience]]&lt;=15),1,""))</f>
        <v/>
      </c>
      <c r="R14" t="str">
        <f>IF(tblSalaries[[#This Row],[Years of Experience]]="","",IF(AND(tblSalaries[[#This Row],[Years of Experience]]&gt;16,tblSalaries[[#This Row],[Years of Experience]]&lt;=20),1,""))</f>
        <v/>
      </c>
      <c r="S14" t="str">
        <f>IF(tblSalaries[[#This Row],[Years of Experience]]="","",IF(tblSalaries[[#This Row],[Years of Experience]]&gt;20,1,""))</f>
        <v/>
      </c>
      <c r="T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" s="13" t="str">
        <f>IF(tblSalaries[[#This Row],[Job Type]]=tblSalaries[[#Headers],[Accountant]],tblSalaries[[#This Row],[Salary in USD]],"")</f>
        <v/>
      </c>
      <c r="V14" s="13" t="str">
        <f>IF(tblSalaries[[#This Row],[Job Type]]=tblSalaries[[#Headers],[Analyst]],tblSalaries[[#This Row],[Salary in USD]],"")</f>
        <v/>
      </c>
      <c r="W14" s="13" t="str">
        <f>IF(tblSalaries[[#This Row],[Job Type]]=tblSalaries[[#Headers],[Consultant]],tblSalaries[[#This Row],[Salary in USD]],"")</f>
        <v/>
      </c>
      <c r="X14" s="13" t="str">
        <f>IF(tblSalaries[[#This Row],[Job Type]]=tblSalaries[[#Headers],[Controller]],tblSalaries[[#This Row],[Salary in USD]],"")</f>
        <v/>
      </c>
      <c r="Y14" s="13">
        <f>IF(tblSalaries[[#This Row],[Job Type]]=tblSalaries[[#Headers],[CXO or Top Mgmt.]],tblSalaries[[#This Row],[clean Salary (in local currency)]],"")</f>
        <v>44000</v>
      </c>
      <c r="Z14" s="13" t="str">
        <f>IF(tblSalaries[[#This Row],[Job Type]]=tblSalaries[[#Headers],[Engineer]],tblSalaries[[#This Row],[Salary in USD]],"")</f>
        <v/>
      </c>
      <c r="AA14" s="13" t="str">
        <f>IF(tblSalaries[[#This Row],[Job Type]]=tblSalaries[[#Headers],[Manager]],tblSalaries[[#This Row],[Salary in USD]],"")</f>
        <v/>
      </c>
      <c r="AB14" s="13" t="str">
        <f>IF(tblSalaries[[#This Row],[Job Type]]=tblSalaries[[#Headers],[Misc.]],tblSalaries[[#This Row],[Salary in USD]],"")</f>
        <v/>
      </c>
      <c r="AC14" s="13" t="str">
        <f>IF(tblSalaries[[#This Row],[Job Type]]=tblSalaries[[#Headers],[Reporting]],tblSalaries[[#This Row],[Salary in USD]],"")</f>
        <v/>
      </c>
      <c r="AD14" s="13" t="str">
        <f>IF(tblSalaries[[#This Row],[Job Type]]=tblSalaries[[#Headers],[Specialist]],tblSalaries[[#This Row],[Salary in USD]],"")</f>
        <v/>
      </c>
      <c r="AH14" s="11"/>
    </row>
    <row r="15" spans="2:34" ht="15" customHeight="1" x14ac:dyDescent="0.25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 s="9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  <c r="N15" t="str">
        <f>IF(tblSalaries[[#This Row],[Years of Experience]]="","",IF(tblSalaries[[#This Row],[Years of Experience]]&lt;=2,1,""))</f>
        <v/>
      </c>
      <c r="O15" t="str">
        <f>IF(tblSalaries[[#This Row],[Years of Experience]]="","",IF(AND(tblSalaries[[#This Row],[Years of Experience]]&gt;2,tblSalaries[[#This Row],[Years of Experience]]&lt;=5),1,""))</f>
        <v/>
      </c>
      <c r="P15" t="str">
        <f>IF(tblSalaries[[#This Row],[Years of Experience]]="","",IF(AND(tblSalaries[[#This Row],[Years of Experience]]&gt;5,tblSalaries[[#This Row],[Years of Experience]]&lt;=10),1,""))</f>
        <v/>
      </c>
      <c r="Q15" t="str">
        <f>IF(tblSalaries[[#This Row],[Years of Experience]]="","",IF(AND(tblSalaries[[#This Row],[Years of Experience]]&gt;10,tblSalaries[[#This Row],[Years of Experience]]&lt;=15),1,""))</f>
        <v/>
      </c>
      <c r="R15" t="str">
        <f>IF(tblSalaries[[#This Row],[Years of Experience]]="","",IF(AND(tblSalaries[[#This Row],[Years of Experience]]&gt;16,tblSalaries[[#This Row],[Years of Experience]]&lt;=20),1,""))</f>
        <v/>
      </c>
      <c r="S15" t="str">
        <f>IF(tblSalaries[[#This Row],[Years of Experience]]="","",IF(tblSalaries[[#This Row],[Years of Experience]]&gt;20,1,""))</f>
        <v/>
      </c>
      <c r="T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" s="13">
        <f>IF(tblSalaries[[#This Row],[Job Type]]=tblSalaries[[#Headers],[Accountant]],tblSalaries[[#This Row],[Salary in USD]],"")</f>
        <v>12227.430201752599</v>
      </c>
      <c r="V15" s="13" t="str">
        <f>IF(tblSalaries[[#This Row],[Job Type]]=tblSalaries[[#Headers],[Analyst]],tblSalaries[[#This Row],[Salary in USD]],"")</f>
        <v/>
      </c>
      <c r="W15" s="13" t="str">
        <f>IF(tblSalaries[[#This Row],[Job Type]]=tblSalaries[[#Headers],[Consultant]],tblSalaries[[#This Row],[Salary in USD]],"")</f>
        <v/>
      </c>
      <c r="X15" s="13" t="str">
        <f>IF(tblSalaries[[#This Row],[Job Type]]=tblSalaries[[#Headers],[Controller]],tblSalaries[[#This Row],[Salary in USD]],"")</f>
        <v/>
      </c>
      <c r="Y15" s="13" t="str">
        <f>IF(tblSalaries[[#This Row],[Job Type]]=tblSalaries[[#Headers],[CXO or Top Mgmt.]],tblSalaries[[#This Row],[clean Salary (in local currency)]],"")</f>
        <v/>
      </c>
      <c r="Z15" s="13" t="str">
        <f>IF(tblSalaries[[#This Row],[Job Type]]=tblSalaries[[#Headers],[Engineer]],tblSalaries[[#This Row],[Salary in USD]],"")</f>
        <v/>
      </c>
      <c r="AA15" s="13" t="str">
        <f>IF(tblSalaries[[#This Row],[Job Type]]=tblSalaries[[#Headers],[Manager]],tblSalaries[[#This Row],[Salary in USD]],"")</f>
        <v/>
      </c>
      <c r="AB15" s="13" t="str">
        <f>IF(tblSalaries[[#This Row],[Job Type]]=tblSalaries[[#Headers],[Misc.]],tblSalaries[[#This Row],[Salary in USD]],"")</f>
        <v/>
      </c>
      <c r="AC15" s="13" t="str">
        <f>IF(tblSalaries[[#This Row],[Job Type]]=tblSalaries[[#Headers],[Reporting]],tblSalaries[[#This Row],[Salary in USD]],"")</f>
        <v/>
      </c>
      <c r="AD15" s="13" t="str">
        <f>IF(tblSalaries[[#This Row],[Job Type]]=tblSalaries[[#Headers],[Specialist]],tblSalaries[[#This Row],[Salary in USD]],"")</f>
        <v/>
      </c>
    </row>
    <row r="16" spans="2:34" ht="15" customHeight="1" x14ac:dyDescent="0.25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 s="9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  <c r="N16" t="str">
        <f>IF(tblSalaries[[#This Row],[Years of Experience]]="","",IF(tblSalaries[[#This Row],[Years of Experience]]&lt;=2,1,""))</f>
        <v/>
      </c>
      <c r="O16" t="str">
        <f>IF(tblSalaries[[#This Row],[Years of Experience]]="","",IF(AND(tblSalaries[[#This Row],[Years of Experience]]&gt;2,tblSalaries[[#This Row],[Years of Experience]]&lt;=5),1,""))</f>
        <v/>
      </c>
      <c r="P16" t="str">
        <f>IF(tblSalaries[[#This Row],[Years of Experience]]="","",IF(AND(tblSalaries[[#This Row],[Years of Experience]]&gt;5,tblSalaries[[#This Row],[Years of Experience]]&lt;=10),1,""))</f>
        <v/>
      </c>
      <c r="Q16" t="str">
        <f>IF(tblSalaries[[#This Row],[Years of Experience]]="","",IF(AND(tblSalaries[[#This Row],[Years of Experience]]&gt;10,tblSalaries[[#This Row],[Years of Experience]]&lt;=15),1,""))</f>
        <v/>
      </c>
      <c r="R16" t="str">
        <f>IF(tblSalaries[[#This Row],[Years of Experience]]="","",IF(AND(tblSalaries[[#This Row],[Years of Experience]]&gt;16,tblSalaries[[#This Row],[Years of Experience]]&lt;=20),1,""))</f>
        <v/>
      </c>
      <c r="S16" t="str">
        <f>IF(tblSalaries[[#This Row],[Years of Experience]]="","",IF(tblSalaries[[#This Row],[Years of Experience]]&gt;20,1,""))</f>
        <v/>
      </c>
      <c r="T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" s="13" t="str">
        <f>IF(tblSalaries[[#This Row],[Job Type]]=tblSalaries[[#Headers],[Accountant]],tblSalaries[[#This Row],[Salary in USD]],"")</f>
        <v/>
      </c>
      <c r="V16" s="13" t="str">
        <f>IF(tblSalaries[[#This Row],[Job Type]]=tblSalaries[[#Headers],[Analyst]],tblSalaries[[#This Row],[Salary in USD]],"")</f>
        <v/>
      </c>
      <c r="W16" s="13" t="str">
        <f>IF(tblSalaries[[#This Row],[Job Type]]=tblSalaries[[#Headers],[Consultant]],tblSalaries[[#This Row],[Salary in USD]],"")</f>
        <v/>
      </c>
      <c r="X16" s="13" t="str">
        <f>IF(tblSalaries[[#This Row],[Job Type]]=tblSalaries[[#Headers],[Controller]],tblSalaries[[#This Row],[Salary in USD]],"")</f>
        <v/>
      </c>
      <c r="Y16" s="13" t="str">
        <f>IF(tblSalaries[[#This Row],[Job Type]]=tblSalaries[[#Headers],[CXO or Top Mgmt.]],tblSalaries[[#This Row],[clean Salary (in local currency)]],"")</f>
        <v/>
      </c>
      <c r="Z16" s="13" t="str">
        <f>IF(tblSalaries[[#This Row],[Job Type]]=tblSalaries[[#Headers],[Engineer]],tblSalaries[[#This Row],[Salary in USD]],"")</f>
        <v/>
      </c>
      <c r="AA16" s="13" t="str">
        <f>IF(tblSalaries[[#This Row],[Job Type]]=tblSalaries[[#Headers],[Manager]],tblSalaries[[#This Row],[Salary in USD]],"")</f>
        <v/>
      </c>
      <c r="AB16" s="13" t="str">
        <f>IF(tblSalaries[[#This Row],[Job Type]]=tblSalaries[[#Headers],[Misc.]],tblSalaries[[#This Row],[Salary in USD]],"")</f>
        <v/>
      </c>
      <c r="AC16" s="13" t="str">
        <f>IF(tblSalaries[[#This Row],[Job Type]]=tblSalaries[[#Headers],[Reporting]],tblSalaries[[#This Row],[Salary in USD]],"")</f>
        <v/>
      </c>
      <c r="AD16" s="13">
        <f>IF(tblSalaries[[#This Row],[Job Type]]=tblSalaries[[#Headers],[Specialist]],tblSalaries[[#This Row],[Salary in USD]],"")</f>
        <v>65616.131023916547</v>
      </c>
    </row>
    <row r="17" spans="2:30" ht="15" customHeight="1" x14ac:dyDescent="0.25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 s="9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  <c r="N17" t="str">
        <f>IF(tblSalaries[[#This Row],[Years of Experience]]="","",IF(tblSalaries[[#This Row],[Years of Experience]]&lt;=2,1,""))</f>
        <v/>
      </c>
      <c r="O17" t="str">
        <f>IF(tblSalaries[[#This Row],[Years of Experience]]="","",IF(AND(tblSalaries[[#This Row],[Years of Experience]]&gt;2,tblSalaries[[#This Row],[Years of Experience]]&lt;=5),1,""))</f>
        <v/>
      </c>
      <c r="P17" t="str">
        <f>IF(tblSalaries[[#This Row],[Years of Experience]]="","",IF(AND(tblSalaries[[#This Row],[Years of Experience]]&gt;5,tblSalaries[[#This Row],[Years of Experience]]&lt;=10),1,""))</f>
        <v/>
      </c>
      <c r="Q17" t="str">
        <f>IF(tblSalaries[[#This Row],[Years of Experience]]="","",IF(AND(tblSalaries[[#This Row],[Years of Experience]]&gt;10,tblSalaries[[#This Row],[Years of Experience]]&lt;=15),1,""))</f>
        <v/>
      </c>
      <c r="R17" t="str">
        <f>IF(tblSalaries[[#This Row],[Years of Experience]]="","",IF(AND(tblSalaries[[#This Row],[Years of Experience]]&gt;16,tblSalaries[[#This Row],[Years of Experience]]&lt;=20),1,""))</f>
        <v/>
      </c>
      <c r="S17" t="str">
        <f>IF(tblSalaries[[#This Row],[Years of Experience]]="","",IF(tblSalaries[[#This Row],[Years of Experience]]&gt;20,1,""))</f>
        <v/>
      </c>
      <c r="T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" s="13" t="str">
        <f>IF(tblSalaries[[#This Row],[Job Type]]=tblSalaries[[#Headers],[Accountant]],tblSalaries[[#This Row],[Salary in USD]],"")</f>
        <v/>
      </c>
      <c r="V17" s="13" t="str">
        <f>IF(tblSalaries[[#This Row],[Job Type]]=tblSalaries[[#Headers],[Analyst]],tblSalaries[[#This Row],[Salary in USD]],"")</f>
        <v/>
      </c>
      <c r="W17" s="13" t="str">
        <f>IF(tblSalaries[[#This Row],[Job Type]]=tblSalaries[[#Headers],[Consultant]],tblSalaries[[#This Row],[Salary in USD]],"")</f>
        <v/>
      </c>
      <c r="X17" s="13" t="str">
        <f>IF(tblSalaries[[#This Row],[Job Type]]=tblSalaries[[#Headers],[Controller]],tblSalaries[[#This Row],[Salary in USD]],"")</f>
        <v/>
      </c>
      <c r="Y17" s="13" t="str">
        <f>IF(tblSalaries[[#This Row],[Job Type]]=tblSalaries[[#Headers],[CXO or Top Mgmt.]],tblSalaries[[#This Row],[clean Salary (in local currency)]],"")</f>
        <v/>
      </c>
      <c r="Z17" s="13">
        <f>IF(tblSalaries[[#This Row],[Job Type]]=tblSalaries[[#Headers],[Engineer]],tblSalaries[[#This Row],[Salary in USD]],"")</f>
        <v>14000</v>
      </c>
      <c r="AA17" s="13" t="str">
        <f>IF(tblSalaries[[#This Row],[Job Type]]=tblSalaries[[#Headers],[Manager]],tblSalaries[[#This Row],[Salary in USD]],"")</f>
        <v/>
      </c>
      <c r="AB17" s="13" t="str">
        <f>IF(tblSalaries[[#This Row],[Job Type]]=tblSalaries[[#Headers],[Misc.]],tblSalaries[[#This Row],[Salary in USD]],"")</f>
        <v/>
      </c>
      <c r="AC17" s="13" t="str">
        <f>IF(tblSalaries[[#This Row],[Job Type]]=tblSalaries[[#Headers],[Reporting]],tblSalaries[[#This Row],[Salary in USD]],"")</f>
        <v/>
      </c>
      <c r="AD17" s="13" t="str">
        <f>IF(tblSalaries[[#This Row],[Job Type]]=tblSalaries[[#Headers],[Specialist]],tblSalaries[[#This Row],[Salary in USD]],"")</f>
        <v/>
      </c>
    </row>
    <row r="18" spans="2:30" ht="15" customHeight="1" x14ac:dyDescent="0.25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 s="9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  <c r="N18" t="str">
        <f>IF(tblSalaries[[#This Row],[Years of Experience]]="","",IF(tblSalaries[[#This Row],[Years of Experience]]&lt;=2,1,""))</f>
        <v/>
      </c>
      <c r="O18" t="str">
        <f>IF(tblSalaries[[#This Row],[Years of Experience]]="","",IF(AND(tblSalaries[[#This Row],[Years of Experience]]&gt;2,tblSalaries[[#This Row],[Years of Experience]]&lt;=5),1,""))</f>
        <v/>
      </c>
      <c r="P18" t="str">
        <f>IF(tblSalaries[[#This Row],[Years of Experience]]="","",IF(AND(tblSalaries[[#This Row],[Years of Experience]]&gt;5,tblSalaries[[#This Row],[Years of Experience]]&lt;=10),1,""))</f>
        <v/>
      </c>
      <c r="Q18" t="str">
        <f>IF(tblSalaries[[#This Row],[Years of Experience]]="","",IF(AND(tblSalaries[[#This Row],[Years of Experience]]&gt;10,tblSalaries[[#This Row],[Years of Experience]]&lt;=15),1,""))</f>
        <v/>
      </c>
      <c r="R18" t="str">
        <f>IF(tblSalaries[[#This Row],[Years of Experience]]="","",IF(AND(tblSalaries[[#This Row],[Years of Experience]]&gt;16,tblSalaries[[#This Row],[Years of Experience]]&lt;=20),1,""))</f>
        <v/>
      </c>
      <c r="S18" t="str">
        <f>IF(tblSalaries[[#This Row],[Years of Experience]]="","",IF(tblSalaries[[#This Row],[Years of Experience]]&gt;20,1,""))</f>
        <v/>
      </c>
      <c r="T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" s="13" t="str">
        <f>IF(tblSalaries[[#This Row],[Job Type]]=tblSalaries[[#Headers],[Accountant]],tblSalaries[[#This Row],[Salary in USD]],"")</f>
        <v/>
      </c>
      <c r="V18" s="13">
        <f>IF(tblSalaries[[#This Row],[Job Type]]=tblSalaries[[#Headers],[Analyst]],tblSalaries[[#This Row],[Salary in USD]],"")</f>
        <v>13338.129598894484</v>
      </c>
      <c r="W18" s="13" t="str">
        <f>IF(tblSalaries[[#This Row],[Job Type]]=tblSalaries[[#Headers],[Consultant]],tblSalaries[[#This Row],[Salary in USD]],"")</f>
        <v/>
      </c>
      <c r="X18" s="13" t="str">
        <f>IF(tblSalaries[[#This Row],[Job Type]]=tblSalaries[[#Headers],[Controller]],tblSalaries[[#This Row],[Salary in USD]],"")</f>
        <v/>
      </c>
      <c r="Y18" s="13" t="str">
        <f>IF(tblSalaries[[#This Row],[Job Type]]=tblSalaries[[#Headers],[CXO or Top Mgmt.]],tblSalaries[[#This Row],[clean Salary (in local currency)]],"")</f>
        <v/>
      </c>
      <c r="Z18" s="13" t="str">
        <f>IF(tblSalaries[[#This Row],[Job Type]]=tblSalaries[[#Headers],[Engineer]],tblSalaries[[#This Row],[Salary in USD]],"")</f>
        <v/>
      </c>
      <c r="AA18" s="13" t="str">
        <f>IF(tblSalaries[[#This Row],[Job Type]]=tblSalaries[[#Headers],[Manager]],tblSalaries[[#This Row],[Salary in USD]],"")</f>
        <v/>
      </c>
      <c r="AB18" s="13" t="str">
        <f>IF(tblSalaries[[#This Row],[Job Type]]=tblSalaries[[#Headers],[Misc.]],tblSalaries[[#This Row],[Salary in USD]],"")</f>
        <v/>
      </c>
      <c r="AC18" s="13" t="str">
        <f>IF(tblSalaries[[#This Row],[Job Type]]=tblSalaries[[#Headers],[Reporting]],tblSalaries[[#This Row],[Salary in USD]],"")</f>
        <v/>
      </c>
      <c r="AD18" s="13" t="str">
        <f>IF(tblSalaries[[#This Row],[Job Type]]=tblSalaries[[#Headers],[Specialist]],tblSalaries[[#This Row],[Salary in USD]],"")</f>
        <v/>
      </c>
    </row>
    <row r="19" spans="2:30" ht="15" customHeight="1" x14ac:dyDescent="0.25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 s="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  <c r="N19" t="str">
        <f>IF(tblSalaries[[#This Row],[Years of Experience]]="","",IF(tblSalaries[[#This Row],[Years of Experience]]&lt;=2,1,""))</f>
        <v/>
      </c>
      <c r="O19" t="str">
        <f>IF(tblSalaries[[#This Row],[Years of Experience]]="","",IF(AND(tblSalaries[[#This Row],[Years of Experience]]&gt;2,tblSalaries[[#This Row],[Years of Experience]]&lt;=5),1,""))</f>
        <v/>
      </c>
      <c r="P19" t="str">
        <f>IF(tblSalaries[[#This Row],[Years of Experience]]="","",IF(AND(tblSalaries[[#This Row],[Years of Experience]]&gt;5,tblSalaries[[#This Row],[Years of Experience]]&lt;=10),1,""))</f>
        <v/>
      </c>
      <c r="Q19" t="str">
        <f>IF(tblSalaries[[#This Row],[Years of Experience]]="","",IF(AND(tblSalaries[[#This Row],[Years of Experience]]&gt;10,tblSalaries[[#This Row],[Years of Experience]]&lt;=15),1,""))</f>
        <v/>
      </c>
      <c r="R19" t="str">
        <f>IF(tblSalaries[[#This Row],[Years of Experience]]="","",IF(AND(tblSalaries[[#This Row],[Years of Experience]]&gt;16,tblSalaries[[#This Row],[Years of Experience]]&lt;=20),1,""))</f>
        <v/>
      </c>
      <c r="S19" t="str">
        <f>IF(tblSalaries[[#This Row],[Years of Experience]]="","",IF(tblSalaries[[#This Row],[Years of Experience]]&gt;20,1,""))</f>
        <v/>
      </c>
      <c r="T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" s="13" t="str">
        <f>IF(tblSalaries[[#This Row],[Job Type]]=tblSalaries[[#Headers],[Accountant]],tblSalaries[[#This Row],[Salary in USD]],"")</f>
        <v/>
      </c>
      <c r="V19" s="13">
        <f>IF(tblSalaries[[#This Row],[Job Type]]=tblSalaries[[#Headers],[Analyst]],tblSalaries[[#This Row],[Salary in USD]],"")</f>
        <v>49000</v>
      </c>
      <c r="W19" s="13" t="str">
        <f>IF(tblSalaries[[#This Row],[Job Type]]=tblSalaries[[#Headers],[Consultant]],tblSalaries[[#This Row],[Salary in USD]],"")</f>
        <v/>
      </c>
      <c r="X19" s="13" t="str">
        <f>IF(tblSalaries[[#This Row],[Job Type]]=tblSalaries[[#Headers],[Controller]],tblSalaries[[#This Row],[Salary in USD]],"")</f>
        <v/>
      </c>
      <c r="Y19" s="13" t="str">
        <f>IF(tblSalaries[[#This Row],[Job Type]]=tblSalaries[[#Headers],[CXO or Top Mgmt.]],tblSalaries[[#This Row],[clean Salary (in local currency)]],"")</f>
        <v/>
      </c>
      <c r="Z19" s="13" t="str">
        <f>IF(tblSalaries[[#This Row],[Job Type]]=tblSalaries[[#Headers],[Engineer]],tblSalaries[[#This Row],[Salary in USD]],"")</f>
        <v/>
      </c>
      <c r="AA19" s="13" t="str">
        <f>IF(tblSalaries[[#This Row],[Job Type]]=tblSalaries[[#Headers],[Manager]],tblSalaries[[#This Row],[Salary in USD]],"")</f>
        <v/>
      </c>
      <c r="AB19" s="13" t="str">
        <f>IF(tblSalaries[[#This Row],[Job Type]]=tblSalaries[[#Headers],[Misc.]],tblSalaries[[#This Row],[Salary in USD]],"")</f>
        <v/>
      </c>
      <c r="AC19" s="13" t="str">
        <f>IF(tblSalaries[[#This Row],[Job Type]]=tblSalaries[[#Headers],[Reporting]],tblSalaries[[#This Row],[Salary in USD]],"")</f>
        <v/>
      </c>
      <c r="AD19" s="13" t="str">
        <f>IF(tblSalaries[[#This Row],[Job Type]]=tblSalaries[[#Headers],[Specialist]],tblSalaries[[#This Row],[Salary in USD]],"")</f>
        <v/>
      </c>
    </row>
    <row r="20" spans="2:30" ht="15" customHeight="1" x14ac:dyDescent="0.25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 s="9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  <c r="N20" t="str">
        <f>IF(tblSalaries[[#This Row],[Years of Experience]]="","",IF(tblSalaries[[#This Row],[Years of Experience]]&lt;=2,1,""))</f>
        <v/>
      </c>
      <c r="O20" t="str">
        <f>IF(tblSalaries[[#This Row],[Years of Experience]]="","",IF(AND(tblSalaries[[#This Row],[Years of Experience]]&gt;2,tblSalaries[[#This Row],[Years of Experience]]&lt;=5),1,""))</f>
        <v/>
      </c>
      <c r="P20" t="str">
        <f>IF(tblSalaries[[#This Row],[Years of Experience]]="","",IF(AND(tblSalaries[[#This Row],[Years of Experience]]&gt;5,tblSalaries[[#This Row],[Years of Experience]]&lt;=10),1,""))</f>
        <v/>
      </c>
      <c r="Q20" t="str">
        <f>IF(tblSalaries[[#This Row],[Years of Experience]]="","",IF(AND(tblSalaries[[#This Row],[Years of Experience]]&gt;10,tblSalaries[[#This Row],[Years of Experience]]&lt;=15),1,""))</f>
        <v/>
      </c>
      <c r="R20" t="str">
        <f>IF(tblSalaries[[#This Row],[Years of Experience]]="","",IF(AND(tblSalaries[[#This Row],[Years of Experience]]&gt;16,tblSalaries[[#This Row],[Years of Experience]]&lt;=20),1,""))</f>
        <v/>
      </c>
      <c r="S20" t="str">
        <f>IF(tblSalaries[[#This Row],[Years of Experience]]="","",IF(tblSalaries[[#This Row],[Years of Experience]]&gt;20,1,""))</f>
        <v/>
      </c>
      <c r="T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" s="13" t="str">
        <f>IF(tblSalaries[[#This Row],[Job Type]]=tblSalaries[[#Headers],[Accountant]],tblSalaries[[#This Row],[Salary in USD]],"")</f>
        <v/>
      </c>
      <c r="V20" s="13" t="str">
        <f>IF(tblSalaries[[#This Row],[Job Type]]=tblSalaries[[#Headers],[Analyst]],tblSalaries[[#This Row],[Salary in USD]],"")</f>
        <v/>
      </c>
      <c r="W20" s="13" t="str">
        <f>IF(tblSalaries[[#This Row],[Job Type]]=tblSalaries[[#Headers],[Consultant]],tblSalaries[[#This Row],[Salary in USD]],"")</f>
        <v/>
      </c>
      <c r="X20" s="13" t="str">
        <f>IF(tblSalaries[[#This Row],[Job Type]]=tblSalaries[[#Headers],[Controller]],tblSalaries[[#This Row],[Salary in USD]],"")</f>
        <v/>
      </c>
      <c r="Y20" s="13" t="str">
        <f>IF(tblSalaries[[#This Row],[Job Type]]=tblSalaries[[#Headers],[CXO or Top Mgmt.]],tblSalaries[[#This Row],[clean Salary (in local currency)]],"")</f>
        <v/>
      </c>
      <c r="Z20" s="13">
        <f>IF(tblSalaries[[#This Row],[Job Type]]=tblSalaries[[#Headers],[Engineer]],tblSalaries[[#This Row],[Salary in USD]],"")</f>
        <v>85000</v>
      </c>
      <c r="AA20" s="13" t="str">
        <f>IF(tblSalaries[[#This Row],[Job Type]]=tblSalaries[[#Headers],[Manager]],tblSalaries[[#This Row],[Salary in USD]],"")</f>
        <v/>
      </c>
      <c r="AB20" s="13" t="str">
        <f>IF(tblSalaries[[#This Row],[Job Type]]=tblSalaries[[#Headers],[Misc.]],tblSalaries[[#This Row],[Salary in USD]],"")</f>
        <v/>
      </c>
      <c r="AC20" s="13" t="str">
        <f>IF(tblSalaries[[#This Row],[Job Type]]=tblSalaries[[#Headers],[Reporting]],tblSalaries[[#This Row],[Salary in USD]],"")</f>
        <v/>
      </c>
      <c r="AD20" s="13" t="str">
        <f>IF(tblSalaries[[#This Row],[Job Type]]=tblSalaries[[#Headers],[Specialist]],tblSalaries[[#This Row],[Salary in USD]],"")</f>
        <v/>
      </c>
    </row>
    <row r="21" spans="2:30" ht="15" customHeight="1" x14ac:dyDescent="0.25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 s="9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  <c r="N21" t="str">
        <f>IF(tblSalaries[[#This Row],[Years of Experience]]="","",IF(tblSalaries[[#This Row],[Years of Experience]]&lt;=2,1,""))</f>
        <v/>
      </c>
      <c r="O21" t="str">
        <f>IF(tblSalaries[[#This Row],[Years of Experience]]="","",IF(AND(tblSalaries[[#This Row],[Years of Experience]]&gt;2,tblSalaries[[#This Row],[Years of Experience]]&lt;=5),1,""))</f>
        <v/>
      </c>
      <c r="P21" t="str">
        <f>IF(tblSalaries[[#This Row],[Years of Experience]]="","",IF(AND(tblSalaries[[#This Row],[Years of Experience]]&gt;5,tblSalaries[[#This Row],[Years of Experience]]&lt;=10),1,""))</f>
        <v/>
      </c>
      <c r="Q21" t="str">
        <f>IF(tblSalaries[[#This Row],[Years of Experience]]="","",IF(AND(tblSalaries[[#This Row],[Years of Experience]]&gt;10,tblSalaries[[#This Row],[Years of Experience]]&lt;=15),1,""))</f>
        <v/>
      </c>
      <c r="R21" t="str">
        <f>IF(tblSalaries[[#This Row],[Years of Experience]]="","",IF(AND(tblSalaries[[#This Row],[Years of Experience]]&gt;16,tblSalaries[[#This Row],[Years of Experience]]&lt;=20),1,""))</f>
        <v/>
      </c>
      <c r="S21" t="str">
        <f>IF(tblSalaries[[#This Row],[Years of Experience]]="","",IF(tblSalaries[[#This Row],[Years of Experience]]&gt;20,1,""))</f>
        <v/>
      </c>
      <c r="T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" s="13" t="str">
        <f>IF(tblSalaries[[#This Row],[Job Type]]=tblSalaries[[#Headers],[Accountant]],tblSalaries[[#This Row],[Salary in USD]],"")</f>
        <v/>
      </c>
      <c r="V21" s="13" t="str">
        <f>IF(tblSalaries[[#This Row],[Job Type]]=tblSalaries[[#Headers],[Analyst]],tblSalaries[[#This Row],[Salary in USD]],"")</f>
        <v/>
      </c>
      <c r="W21" s="13" t="str">
        <f>IF(tblSalaries[[#This Row],[Job Type]]=tblSalaries[[#Headers],[Consultant]],tblSalaries[[#This Row],[Salary in USD]],"")</f>
        <v/>
      </c>
      <c r="X21" s="13" t="str">
        <f>IF(tblSalaries[[#This Row],[Job Type]]=tblSalaries[[#Headers],[Controller]],tblSalaries[[#This Row],[Salary in USD]],"")</f>
        <v/>
      </c>
      <c r="Y21" s="13" t="str">
        <f>IF(tblSalaries[[#This Row],[Job Type]]=tblSalaries[[#Headers],[CXO or Top Mgmt.]],tblSalaries[[#This Row],[clean Salary (in local currency)]],"")</f>
        <v/>
      </c>
      <c r="Z21" s="13">
        <f>IF(tblSalaries[[#This Row],[Job Type]]=tblSalaries[[#Headers],[Engineer]],tblSalaries[[#This Row],[Salary in USD]],"")</f>
        <v>75000</v>
      </c>
      <c r="AA21" s="13" t="str">
        <f>IF(tblSalaries[[#This Row],[Job Type]]=tblSalaries[[#Headers],[Manager]],tblSalaries[[#This Row],[Salary in USD]],"")</f>
        <v/>
      </c>
      <c r="AB21" s="13" t="str">
        <f>IF(tblSalaries[[#This Row],[Job Type]]=tblSalaries[[#Headers],[Misc.]],tblSalaries[[#This Row],[Salary in USD]],"")</f>
        <v/>
      </c>
      <c r="AC21" s="13" t="str">
        <f>IF(tblSalaries[[#This Row],[Job Type]]=tblSalaries[[#Headers],[Reporting]],tblSalaries[[#This Row],[Salary in USD]],"")</f>
        <v/>
      </c>
      <c r="AD21" s="13" t="str">
        <f>IF(tblSalaries[[#This Row],[Job Type]]=tblSalaries[[#Headers],[Specialist]],tblSalaries[[#This Row],[Salary in USD]],"")</f>
        <v/>
      </c>
    </row>
    <row r="22" spans="2:30" ht="15" customHeight="1" x14ac:dyDescent="0.25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 s="9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  <c r="N22" t="str">
        <f>IF(tblSalaries[[#This Row],[Years of Experience]]="","",IF(tblSalaries[[#This Row],[Years of Experience]]&lt;=2,1,""))</f>
        <v/>
      </c>
      <c r="O22" t="str">
        <f>IF(tblSalaries[[#This Row],[Years of Experience]]="","",IF(AND(tblSalaries[[#This Row],[Years of Experience]]&gt;2,tblSalaries[[#This Row],[Years of Experience]]&lt;=5),1,""))</f>
        <v/>
      </c>
      <c r="P22" t="str">
        <f>IF(tblSalaries[[#This Row],[Years of Experience]]="","",IF(AND(tblSalaries[[#This Row],[Years of Experience]]&gt;5,tblSalaries[[#This Row],[Years of Experience]]&lt;=10),1,""))</f>
        <v/>
      </c>
      <c r="Q22" t="str">
        <f>IF(tblSalaries[[#This Row],[Years of Experience]]="","",IF(AND(tblSalaries[[#This Row],[Years of Experience]]&gt;10,tblSalaries[[#This Row],[Years of Experience]]&lt;=15),1,""))</f>
        <v/>
      </c>
      <c r="R22" t="str">
        <f>IF(tblSalaries[[#This Row],[Years of Experience]]="","",IF(AND(tblSalaries[[#This Row],[Years of Experience]]&gt;16,tblSalaries[[#This Row],[Years of Experience]]&lt;=20),1,""))</f>
        <v/>
      </c>
      <c r="S22" t="str">
        <f>IF(tblSalaries[[#This Row],[Years of Experience]]="","",IF(tblSalaries[[#This Row],[Years of Experience]]&gt;20,1,""))</f>
        <v/>
      </c>
      <c r="T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" s="13" t="str">
        <f>IF(tblSalaries[[#This Row],[Job Type]]=tblSalaries[[#Headers],[Accountant]],tblSalaries[[#This Row],[Salary in USD]],"")</f>
        <v/>
      </c>
      <c r="V22" s="13" t="str">
        <f>IF(tblSalaries[[#This Row],[Job Type]]=tblSalaries[[#Headers],[Analyst]],tblSalaries[[#This Row],[Salary in USD]],"")</f>
        <v/>
      </c>
      <c r="W22" s="13" t="str">
        <f>IF(tblSalaries[[#This Row],[Job Type]]=tblSalaries[[#Headers],[Consultant]],tblSalaries[[#This Row],[Salary in USD]],"")</f>
        <v/>
      </c>
      <c r="X22" s="13" t="str">
        <f>IF(tblSalaries[[#This Row],[Job Type]]=tblSalaries[[#Headers],[Controller]],tblSalaries[[#This Row],[Salary in USD]],"")</f>
        <v/>
      </c>
      <c r="Y22" s="13" t="str">
        <f>IF(tblSalaries[[#This Row],[Job Type]]=tblSalaries[[#Headers],[CXO or Top Mgmt.]],tblSalaries[[#This Row],[clean Salary (in local currency)]],"")</f>
        <v/>
      </c>
      <c r="Z22" s="13" t="str">
        <f>IF(tblSalaries[[#This Row],[Job Type]]=tblSalaries[[#Headers],[Engineer]],tblSalaries[[#This Row],[Salary in USD]],"")</f>
        <v/>
      </c>
      <c r="AA22" s="13">
        <f>IF(tblSalaries[[#This Row],[Job Type]]=tblSalaries[[#Headers],[Manager]],tblSalaries[[#This Row],[Salary in USD]],"")</f>
        <v>107000</v>
      </c>
      <c r="AB22" s="13" t="str">
        <f>IF(tblSalaries[[#This Row],[Job Type]]=tblSalaries[[#Headers],[Misc.]],tblSalaries[[#This Row],[Salary in USD]],"")</f>
        <v/>
      </c>
      <c r="AC22" s="13" t="str">
        <f>IF(tblSalaries[[#This Row],[Job Type]]=tblSalaries[[#Headers],[Reporting]],tblSalaries[[#This Row],[Salary in USD]],"")</f>
        <v/>
      </c>
      <c r="AD22" s="13" t="str">
        <f>IF(tblSalaries[[#This Row],[Job Type]]=tblSalaries[[#Headers],[Specialist]],tblSalaries[[#This Row],[Salary in USD]],"")</f>
        <v/>
      </c>
    </row>
    <row r="23" spans="2:30" ht="15" customHeight="1" x14ac:dyDescent="0.25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 s="9">
        <f>tblSalaries[[#This Row],[clean Salary (in local currency)]]*VLOOKUP(tblSalaries[[#This Row],[Currency]],tblXrate[],2,FALSE)</f>
        <v>45000</v>
      </c>
      <c r="H23" t="s">
        <v>47</v>
      </c>
      <c r="I23" t="s">
        <v>3999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  <c r="N23" t="str">
        <f>IF(tblSalaries[[#This Row],[Years of Experience]]="","",IF(tblSalaries[[#This Row],[Years of Experience]]&lt;=2,1,""))</f>
        <v/>
      </c>
      <c r="O23" t="str">
        <f>IF(tblSalaries[[#This Row],[Years of Experience]]="","",IF(AND(tblSalaries[[#This Row],[Years of Experience]]&gt;2,tblSalaries[[#This Row],[Years of Experience]]&lt;=5),1,""))</f>
        <v/>
      </c>
      <c r="P23" t="str">
        <f>IF(tblSalaries[[#This Row],[Years of Experience]]="","",IF(AND(tblSalaries[[#This Row],[Years of Experience]]&gt;5,tblSalaries[[#This Row],[Years of Experience]]&lt;=10),1,""))</f>
        <v/>
      </c>
      <c r="Q23" t="str">
        <f>IF(tblSalaries[[#This Row],[Years of Experience]]="","",IF(AND(tblSalaries[[#This Row],[Years of Experience]]&gt;10,tblSalaries[[#This Row],[Years of Experience]]&lt;=15),1,""))</f>
        <v/>
      </c>
      <c r="R23" t="str">
        <f>IF(tblSalaries[[#This Row],[Years of Experience]]="","",IF(AND(tblSalaries[[#This Row],[Years of Experience]]&gt;16,tblSalaries[[#This Row],[Years of Experience]]&lt;=20),1,""))</f>
        <v/>
      </c>
      <c r="S23" t="str">
        <f>IF(tblSalaries[[#This Row],[Years of Experience]]="","",IF(tblSalaries[[#This Row],[Years of Experience]]&gt;20,1,""))</f>
        <v/>
      </c>
      <c r="T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" s="13" t="str">
        <f>IF(tblSalaries[[#This Row],[Job Type]]=tblSalaries[[#Headers],[Accountant]],tblSalaries[[#This Row],[Salary in USD]],"")</f>
        <v/>
      </c>
      <c r="V23" s="13" t="str">
        <f>IF(tblSalaries[[#This Row],[Job Type]]=tblSalaries[[#Headers],[Analyst]],tblSalaries[[#This Row],[Salary in USD]],"")</f>
        <v/>
      </c>
      <c r="W23" s="13" t="str">
        <f>IF(tblSalaries[[#This Row],[Job Type]]=tblSalaries[[#Headers],[Consultant]],tblSalaries[[#This Row],[Salary in USD]],"")</f>
        <v/>
      </c>
      <c r="X23" s="13" t="str">
        <f>IF(tblSalaries[[#This Row],[Job Type]]=tblSalaries[[#Headers],[Controller]],tblSalaries[[#This Row],[Salary in USD]],"")</f>
        <v/>
      </c>
      <c r="Y23" s="13" t="str">
        <f>IF(tblSalaries[[#This Row],[Job Type]]=tblSalaries[[#Headers],[CXO or Top Mgmt.]],tblSalaries[[#This Row],[clean Salary (in local currency)]],"")</f>
        <v/>
      </c>
      <c r="Z23" s="13" t="str">
        <f>IF(tblSalaries[[#This Row],[Job Type]]=tblSalaries[[#Headers],[Engineer]],tblSalaries[[#This Row],[Salary in USD]],"")</f>
        <v/>
      </c>
      <c r="AA23" s="13" t="str">
        <f>IF(tblSalaries[[#This Row],[Job Type]]=tblSalaries[[#Headers],[Manager]],tblSalaries[[#This Row],[Salary in USD]],"")</f>
        <v/>
      </c>
      <c r="AB23" s="13" t="str">
        <f>IF(tblSalaries[[#This Row],[Job Type]]=tblSalaries[[#Headers],[Misc.]],tblSalaries[[#This Row],[Salary in USD]],"")</f>
        <v/>
      </c>
      <c r="AC23" s="13">
        <f>IF(tblSalaries[[#This Row],[Job Type]]=tblSalaries[[#Headers],[Reporting]],tblSalaries[[#This Row],[Salary in USD]],"")</f>
        <v>45000</v>
      </c>
      <c r="AD23" s="13" t="str">
        <f>IF(tblSalaries[[#This Row],[Job Type]]=tblSalaries[[#Headers],[Specialist]],tblSalaries[[#This Row],[Salary in USD]],"")</f>
        <v/>
      </c>
    </row>
    <row r="24" spans="2:30" ht="15" customHeight="1" x14ac:dyDescent="0.25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 s="9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  <c r="N24" t="str">
        <f>IF(tblSalaries[[#This Row],[Years of Experience]]="","",IF(tblSalaries[[#This Row],[Years of Experience]]&lt;=2,1,""))</f>
        <v/>
      </c>
      <c r="O24" t="str">
        <f>IF(tblSalaries[[#This Row],[Years of Experience]]="","",IF(AND(tblSalaries[[#This Row],[Years of Experience]]&gt;2,tblSalaries[[#This Row],[Years of Experience]]&lt;=5),1,""))</f>
        <v/>
      </c>
      <c r="P24" t="str">
        <f>IF(tblSalaries[[#This Row],[Years of Experience]]="","",IF(AND(tblSalaries[[#This Row],[Years of Experience]]&gt;5,tblSalaries[[#This Row],[Years of Experience]]&lt;=10),1,""))</f>
        <v/>
      </c>
      <c r="Q24" t="str">
        <f>IF(tblSalaries[[#This Row],[Years of Experience]]="","",IF(AND(tblSalaries[[#This Row],[Years of Experience]]&gt;10,tblSalaries[[#This Row],[Years of Experience]]&lt;=15),1,""))</f>
        <v/>
      </c>
      <c r="R24" t="str">
        <f>IF(tblSalaries[[#This Row],[Years of Experience]]="","",IF(AND(tblSalaries[[#This Row],[Years of Experience]]&gt;16,tblSalaries[[#This Row],[Years of Experience]]&lt;=20),1,""))</f>
        <v/>
      </c>
      <c r="S24" t="str">
        <f>IF(tblSalaries[[#This Row],[Years of Experience]]="","",IF(tblSalaries[[#This Row],[Years of Experience]]&gt;20,1,""))</f>
        <v/>
      </c>
      <c r="T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" s="13" t="str">
        <f>IF(tblSalaries[[#This Row],[Job Type]]=tblSalaries[[#Headers],[Accountant]],tblSalaries[[#This Row],[Salary in USD]],"")</f>
        <v/>
      </c>
      <c r="V24" s="13" t="str">
        <f>IF(tblSalaries[[#This Row],[Job Type]]=tblSalaries[[#Headers],[Analyst]],tblSalaries[[#This Row],[Salary in USD]],"")</f>
        <v/>
      </c>
      <c r="W24" s="13" t="str">
        <f>IF(tblSalaries[[#This Row],[Job Type]]=tblSalaries[[#Headers],[Consultant]],tblSalaries[[#This Row],[Salary in USD]],"")</f>
        <v/>
      </c>
      <c r="X24" s="13" t="str">
        <f>IF(tblSalaries[[#This Row],[Job Type]]=tblSalaries[[#Headers],[Controller]],tblSalaries[[#This Row],[Salary in USD]],"")</f>
        <v/>
      </c>
      <c r="Y24" s="13" t="str">
        <f>IF(tblSalaries[[#This Row],[Job Type]]=tblSalaries[[#Headers],[CXO or Top Mgmt.]],tblSalaries[[#This Row],[clean Salary (in local currency)]],"")</f>
        <v/>
      </c>
      <c r="Z24" s="13" t="str">
        <f>IF(tblSalaries[[#This Row],[Job Type]]=tblSalaries[[#Headers],[Engineer]],tblSalaries[[#This Row],[Salary in USD]],"")</f>
        <v/>
      </c>
      <c r="AA24" s="13">
        <f>IF(tblSalaries[[#This Row],[Job Type]]=tblSalaries[[#Headers],[Manager]],tblSalaries[[#This Row],[Salary in USD]],"")</f>
        <v>9794.354178093412</v>
      </c>
      <c r="AB24" s="13" t="str">
        <f>IF(tblSalaries[[#This Row],[Job Type]]=tblSalaries[[#Headers],[Misc.]],tblSalaries[[#This Row],[Salary in USD]],"")</f>
        <v/>
      </c>
      <c r="AC24" s="13" t="str">
        <f>IF(tblSalaries[[#This Row],[Job Type]]=tblSalaries[[#Headers],[Reporting]],tblSalaries[[#This Row],[Salary in USD]],"")</f>
        <v/>
      </c>
      <c r="AD24" s="13" t="str">
        <f>IF(tblSalaries[[#This Row],[Job Type]]=tblSalaries[[#Headers],[Specialist]],tblSalaries[[#This Row],[Salary in USD]],"")</f>
        <v/>
      </c>
    </row>
    <row r="25" spans="2:30" ht="15" customHeight="1" x14ac:dyDescent="0.25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 s="9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  <c r="N25" t="str">
        <f>IF(tblSalaries[[#This Row],[Years of Experience]]="","",IF(tblSalaries[[#This Row],[Years of Experience]]&lt;=2,1,""))</f>
        <v/>
      </c>
      <c r="O25" t="str">
        <f>IF(tblSalaries[[#This Row],[Years of Experience]]="","",IF(AND(tblSalaries[[#This Row],[Years of Experience]]&gt;2,tblSalaries[[#This Row],[Years of Experience]]&lt;=5),1,""))</f>
        <v/>
      </c>
      <c r="P25" t="str">
        <f>IF(tblSalaries[[#This Row],[Years of Experience]]="","",IF(AND(tblSalaries[[#This Row],[Years of Experience]]&gt;5,tblSalaries[[#This Row],[Years of Experience]]&lt;=10),1,""))</f>
        <v/>
      </c>
      <c r="Q25" t="str">
        <f>IF(tblSalaries[[#This Row],[Years of Experience]]="","",IF(AND(tblSalaries[[#This Row],[Years of Experience]]&gt;10,tblSalaries[[#This Row],[Years of Experience]]&lt;=15),1,""))</f>
        <v/>
      </c>
      <c r="R25" t="str">
        <f>IF(tblSalaries[[#This Row],[Years of Experience]]="","",IF(AND(tblSalaries[[#This Row],[Years of Experience]]&gt;16,tblSalaries[[#This Row],[Years of Experience]]&lt;=20),1,""))</f>
        <v/>
      </c>
      <c r="S25" t="str">
        <f>IF(tblSalaries[[#This Row],[Years of Experience]]="","",IF(tblSalaries[[#This Row],[Years of Experience]]&gt;20,1,""))</f>
        <v/>
      </c>
      <c r="T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" s="13" t="str">
        <f>IF(tblSalaries[[#This Row],[Job Type]]=tblSalaries[[#Headers],[Accountant]],tblSalaries[[#This Row],[Salary in USD]],"")</f>
        <v/>
      </c>
      <c r="V25" s="13" t="str">
        <f>IF(tblSalaries[[#This Row],[Job Type]]=tblSalaries[[#Headers],[Analyst]],tblSalaries[[#This Row],[Salary in USD]],"")</f>
        <v/>
      </c>
      <c r="W25" s="13" t="str">
        <f>IF(tblSalaries[[#This Row],[Job Type]]=tblSalaries[[#Headers],[Consultant]],tblSalaries[[#This Row],[Salary in USD]],"")</f>
        <v/>
      </c>
      <c r="X25" s="13" t="str">
        <f>IF(tblSalaries[[#This Row],[Job Type]]=tblSalaries[[#Headers],[Controller]],tblSalaries[[#This Row],[Salary in USD]],"")</f>
        <v/>
      </c>
      <c r="Y25" s="13" t="str">
        <f>IF(tblSalaries[[#This Row],[Job Type]]=tblSalaries[[#Headers],[CXO or Top Mgmt.]],tblSalaries[[#This Row],[clean Salary (in local currency)]],"")</f>
        <v/>
      </c>
      <c r="Z25" s="13" t="str">
        <f>IF(tblSalaries[[#This Row],[Job Type]]=tblSalaries[[#Headers],[Engineer]],tblSalaries[[#This Row],[Salary in USD]],"")</f>
        <v/>
      </c>
      <c r="AA25" s="13">
        <f>IF(tblSalaries[[#This Row],[Job Type]]=tblSalaries[[#Headers],[Manager]],tblSalaries[[#This Row],[Salary in USD]],"")</f>
        <v>50000</v>
      </c>
      <c r="AB25" s="13" t="str">
        <f>IF(tblSalaries[[#This Row],[Job Type]]=tblSalaries[[#Headers],[Misc.]],tblSalaries[[#This Row],[Salary in USD]],"")</f>
        <v/>
      </c>
      <c r="AC25" s="13" t="str">
        <f>IF(tblSalaries[[#This Row],[Job Type]]=tblSalaries[[#Headers],[Reporting]],tblSalaries[[#This Row],[Salary in USD]],"")</f>
        <v/>
      </c>
      <c r="AD25" s="13" t="str">
        <f>IF(tblSalaries[[#This Row],[Job Type]]=tblSalaries[[#Headers],[Specialist]],tblSalaries[[#This Row],[Salary in USD]],"")</f>
        <v/>
      </c>
    </row>
    <row r="26" spans="2:30" ht="15" customHeight="1" x14ac:dyDescent="0.25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 s="9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  <c r="N26" t="str">
        <f>IF(tblSalaries[[#This Row],[Years of Experience]]="","",IF(tblSalaries[[#This Row],[Years of Experience]]&lt;=2,1,""))</f>
        <v/>
      </c>
      <c r="O26" t="str">
        <f>IF(tblSalaries[[#This Row],[Years of Experience]]="","",IF(AND(tblSalaries[[#This Row],[Years of Experience]]&gt;2,tblSalaries[[#This Row],[Years of Experience]]&lt;=5),1,""))</f>
        <v/>
      </c>
      <c r="P26" t="str">
        <f>IF(tblSalaries[[#This Row],[Years of Experience]]="","",IF(AND(tblSalaries[[#This Row],[Years of Experience]]&gt;5,tblSalaries[[#This Row],[Years of Experience]]&lt;=10),1,""))</f>
        <v/>
      </c>
      <c r="Q26" t="str">
        <f>IF(tblSalaries[[#This Row],[Years of Experience]]="","",IF(AND(tblSalaries[[#This Row],[Years of Experience]]&gt;10,tblSalaries[[#This Row],[Years of Experience]]&lt;=15),1,""))</f>
        <v/>
      </c>
      <c r="R26" t="str">
        <f>IF(tblSalaries[[#This Row],[Years of Experience]]="","",IF(AND(tblSalaries[[#This Row],[Years of Experience]]&gt;16,tblSalaries[[#This Row],[Years of Experience]]&lt;=20),1,""))</f>
        <v/>
      </c>
      <c r="S26" t="str">
        <f>IF(tblSalaries[[#This Row],[Years of Experience]]="","",IF(tblSalaries[[#This Row],[Years of Experience]]&gt;20,1,""))</f>
        <v/>
      </c>
      <c r="T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" s="13" t="str">
        <f>IF(tblSalaries[[#This Row],[Job Type]]=tblSalaries[[#Headers],[Accountant]],tblSalaries[[#This Row],[Salary in USD]],"")</f>
        <v/>
      </c>
      <c r="V26" s="13" t="str">
        <f>IF(tblSalaries[[#This Row],[Job Type]]=tblSalaries[[#Headers],[Analyst]],tblSalaries[[#This Row],[Salary in USD]],"")</f>
        <v/>
      </c>
      <c r="W26" s="13" t="str">
        <f>IF(tblSalaries[[#This Row],[Job Type]]=tblSalaries[[#Headers],[Consultant]],tblSalaries[[#This Row],[Salary in USD]],"")</f>
        <v/>
      </c>
      <c r="X26" s="13" t="str">
        <f>IF(tblSalaries[[#This Row],[Job Type]]=tblSalaries[[#Headers],[Controller]],tblSalaries[[#This Row],[Salary in USD]],"")</f>
        <v/>
      </c>
      <c r="Y26" s="13" t="str">
        <f>IF(tblSalaries[[#This Row],[Job Type]]=tblSalaries[[#Headers],[CXO or Top Mgmt.]],tblSalaries[[#This Row],[clean Salary (in local currency)]],"")</f>
        <v/>
      </c>
      <c r="Z26" s="13" t="str">
        <f>IF(tblSalaries[[#This Row],[Job Type]]=tblSalaries[[#Headers],[Engineer]],tblSalaries[[#This Row],[Salary in USD]],"")</f>
        <v/>
      </c>
      <c r="AA26" s="13">
        <f>IF(tblSalaries[[#This Row],[Job Type]]=tblSalaries[[#Headers],[Manager]],tblSalaries[[#This Row],[Salary in USD]],"")</f>
        <v>13500</v>
      </c>
      <c r="AB26" s="13" t="str">
        <f>IF(tblSalaries[[#This Row],[Job Type]]=tblSalaries[[#Headers],[Misc.]],tblSalaries[[#This Row],[Salary in USD]],"")</f>
        <v/>
      </c>
      <c r="AC26" s="13" t="str">
        <f>IF(tblSalaries[[#This Row],[Job Type]]=tblSalaries[[#Headers],[Reporting]],tblSalaries[[#This Row],[Salary in USD]],"")</f>
        <v/>
      </c>
      <c r="AD26" s="13" t="str">
        <f>IF(tblSalaries[[#This Row],[Job Type]]=tblSalaries[[#Headers],[Specialist]],tblSalaries[[#This Row],[Salary in USD]],"")</f>
        <v/>
      </c>
    </row>
    <row r="27" spans="2:30" ht="15" customHeight="1" x14ac:dyDescent="0.25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 s="9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  <c r="N27" t="str">
        <f>IF(tblSalaries[[#This Row],[Years of Experience]]="","",IF(tblSalaries[[#This Row],[Years of Experience]]&lt;=2,1,""))</f>
        <v/>
      </c>
      <c r="O27" t="str">
        <f>IF(tblSalaries[[#This Row],[Years of Experience]]="","",IF(AND(tblSalaries[[#This Row],[Years of Experience]]&gt;2,tblSalaries[[#This Row],[Years of Experience]]&lt;=5),1,""))</f>
        <v/>
      </c>
      <c r="P27" t="str">
        <f>IF(tblSalaries[[#This Row],[Years of Experience]]="","",IF(AND(tblSalaries[[#This Row],[Years of Experience]]&gt;5,tblSalaries[[#This Row],[Years of Experience]]&lt;=10),1,""))</f>
        <v/>
      </c>
      <c r="Q27" t="str">
        <f>IF(tblSalaries[[#This Row],[Years of Experience]]="","",IF(AND(tblSalaries[[#This Row],[Years of Experience]]&gt;10,tblSalaries[[#This Row],[Years of Experience]]&lt;=15),1,""))</f>
        <v/>
      </c>
      <c r="R27" t="str">
        <f>IF(tblSalaries[[#This Row],[Years of Experience]]="","",IF(AND(tblSalaries[[#This Row],[Years of Experience]]&gt;16,tblSalaries[[#This Row],[Years of Experience]]&lt;=20),1,""))</f>
        <v/>
      </c>
      <c r="S27" t="str">
        <f>IF(tblSalaries[[#This Row],[Years of Experience]]="","",IF(tblSalaries[[#This Row],[Years of Experience]]&gt;20,1,""))</f>
        <v/>
      </c>
      <c r="T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" s="13" t="str">
        <f>IF(tblSalaries[[#This Row],[Job Type]]=tblSalaries[[#Headers],[Accountant]],tblSalaries[[#This Row],[Salary in USD]],"")</f>
        <v/>
      </c>
      <c r="V27" s="13">
        <f>IF(tblSalaries[[#This Row],[Job Type]]=tblSalaries[[#Headers],[Analyst]],tblSalaries[[#This Row],[Salary in USD]],"")</f>
        <v>96000</v>
      </c>
      <c r="W27" s="13" t="str">
        <f>IF(tblSalaries[[#This Row],[Job Type]]=tblSalaries[[#Headers],[Consultant]],tblSalaries[[#This Row],[Salary in USD]],"")</f>
        <v/>
      </c>
      <c r="X27" s="13" t="str">
        <f>IF(tblSalaries[[#This Row],[Job Type]]=tblSalaries[[#Headers],[Controller]],tblSalaries[[#This Row],[Salary in USD]],"")</f>
        <v/>
      </c>
      <c r="Y27" s="13" t="str">
        <f>IF(tblSalaries[[#This Row],[Job Type]]=tblSalaries[[#Headers],[CXO or Top Mgmt.]],tblSalaries[[#This Row],[clean Salary (in local currency)]],"")</f>
        <v/>
      </c>
      <c r="Z27" s="13" t="str">
        <f>IF(tblSalaries[[#This Row],[Job Type]]=tblSalaries[[#Headers],[Engineer]],tblSalaries[[#This Row],[Salary in USD]],"")</f>
        <v/>
      </c>
      <c r="AA27" s="13" t="str">
        <f>IF(tblSalaries[[#This Row],[Job Type]]=tblSalaries[[#Headers],[Manager]],tblSalaries[[#This Row],[Salary in USD]],"")</f>
        <v/>
      </c>
      <c r="AB27" s="13" t="str">
        <f>IF(tblSalaries[[#This Row],[Job Type]]=tblSalaries[[#Headers],[Misc.]],tblSalaries[[#This Row],[Salary in USD]],"")</f>
        <v/>
      </c>
      <c r="AC27" s="13" t="str">
        <f>IF(tblSalaries[[#This Row],[Job Type]]=tblSalaries[[#Headers],[Reporting]],tblSalaries[[#This Row],[Salary in USD]],"")</f>
        <v/>
      </c>
      <c r="AD27" s="13" t="str">
        <f>IF(tblSalaries[[#This Row],[Job Type]]=tblSalaries[[#Headers],[Specialist]],tblSalaries[[#This Row],[Salary in USD]],"")</f>
        <v/>
      </c>
    </row>
    <row r="28" spans="2:30" ht="15" customHeight="1" x14ac:dyDescent="0.25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 s="9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  <c r="N28" t="str">
        <f>IF(tblSalaries[[#This Row],[Years of Experience]]="","",IF(tblSalaries[[#This Row],[Years of Experience]]&lt;=2,1,""))</f>
        <v/>
      </c>
      <c r="O28" t="str">
        <f>IF(tblSalaries[[#This Row],[Years of Experience]]="","",IF(AND(tblSalaries[[#This Row],[Years of Experience]]&gt;2,tblSalaries[[#This Row],[Years of Experience]]&lt;=5),1,""))</f>
        <v/>
      </c>
      <c r="P28" t="str">
        <f>IF(tblSalaries[[#This Row],[Years of Experience]]="","",IF(AND(tblSalaries[[#This Row],[Years of Experience]]&gt;5,tblSalaries[[#This Row],[Years of Experience]]&lt;=10),1,""))</f>
        <v/>
      </c>
      <c r="Q28" t="str">
        <f>IF(tblSalaries[[#This Row],[Years of Experience]]="","",IF(AND(tblSalaries[[#This Row],[Years of Experience]]&gt;10,tblSalaries[[#This Row],[Years of Experience]]&lt;=15),1,""))</f>
        <v/>
      </c>
      <c r="R28" t="str">
        <f>IF(tblSalaries[[#This Row],[Years of Experience]]="","",IF(AND(tblSalaries[[#This Row],[Years of Experience]]&gt;16,tblSalaries[[#This Row],[Years of Experience]]&lt;=20),1,""))</f>
        <v/>
      </c>
      <c r="S28" t="str">
        <f>IF(tblSalaries[[#This Row],[Years of Experience]]="","",IF(tblSalaries[[#This Row],[Years of Experience]]&gt;20,1,""))</f>
        <v/>
      </c>
      <c r="T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" s="13" t="str">
        <f>IF(tblSalaries[[#This Row],[Job Type]]=tblSalaries[[#Headers],[Accountant]],tblSalaries[[#This Row],[Salary in USD]],"")</f>
        <v/>
      </c>
      <c r="V28" s="13" t="str">
        <f>IF(tblSalaries[[#This Row],[Job Type]]=tblSalaries[[#Headers],[Analyst]],tblSalaries[[#This Row],[Salary in USD]],"")</f>
        <v/>
      </c>
      <c r="W28" s="13" t="str">
        <f>IF(tblSalaries[[#This Row],[Job Type]]=tblSalaries[[#Headers],[Consultant]],tblSalaries[[#This Row],[Salary in USD]],"")</f>
        <v/>
      </c>
      <c r="X28" s="13" t="str">
        <f>IF(tblSalaries[[#This Row],[Job Type]]=tblSalaries[[#Headers],[Controller]],tblSalaries[[#This Row],[Salary in USD]],"")</f>
        <v/>
      </c>
      <c r="Y28" s="13" t="str">
        <f>IF(tblSalaries[[#This Row],[Job Type]]=tblSalaries[[#Headers],[CXO or Top Mgmt.]],tblSalaries[[#This Row],[clean Salary (in local currency)]],"")</f>
        <v/>
      </c>
      <c r="Z28" s="13" t="str">
        <f>IF(tblSalaries[[#This Row],[Job Type]]=tblSalaries[[#Headers],[Engineer]],tblSalaries[[#This Row],[Salary in USD]],"")</f>
        <v/>
      </c>
      <c r="AA28" s="13">
        <f>IF(tblSalaries[[#This Row],[Job Type]]=tblSalaries[[#Headers],[Manager]],tblSalaries[[#This Row],[Salary in USD]],"")</f>
        <v>17807.916687442568</v>
      </c>
      <c r="AB28" s="13" t="str">
        <f>IF(tblSalaries[[#This Row],[Job Type]]=tblSalaries[[#Headers],[Misc.]],tblSalaries[[#This Row],[Salary in USD]],"")</f>
        <v/>
      </c>
      <c r="AC28" s="13" t="str">
        <f>IF(tblSalaries[[#This Row],[Job Type]]=tblSalaries[[#Headers],[Reporting]],tblSalaries[[#This Row],[Salary in USD]],"")</f>
        <v/>
      </c>
      <c r="AD28" s="13" t="str">
        <f>IF(tblSalaries[[#This Row],[Job Type]]=tblSalaries[[#Headers],[Specialist]],tblSalaries[[#This Row],[Salary in USD]],"")</f>
        <v/>
      </c>
    </row>
    <row r="29" spans="2:30" ht="15" customHeight="1" x14ac:dyDescent="0.25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 s="9">
        <f>tblSalaries[[#This Row],[clean Salary (in local currency)]]*VLOOKUP(tblSalaries[[#This Row],[Currency]],tblXrate[],2,FALSE)</f>
        <v>75000</v>
      </c>
      <c r="H29" t="s">
        <v>53</v>
      </c>
      <c r="I29" t="s">
        <v>4001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  <c r="N29" t="str">
        <f>IF(tblSalaries[[#This Row],[Years of Experience]]="","",IF(tblSalaries[[#This Row],[Years of Experience]]&lt;=2,1,""))</f>
        <v/>
      </c>
      <c r="O29" t="str">
        <f>IF(tblSalaries[[#This Row],[Years of Experience]]="","",IF(AND(tblSalaries[[#This Row],[Years of Experience]]&gt;2,tblSalaries[[#This Row],[Years of Experience]]&lt;=5),1,""))</f>
        <v/>
      </c>
      <c r="P29" t="str">
        <f>IF(tblSalaries[[#This Row],[Years of Experience]]="","",IF(AND(tblSalaries[[#This Row],[Years of Experience]]&gt;5,tblSalaries[[#This Row],[Years of Experience]]&lt;=10),1,""))</f>
        <v/>
      </c>
      <c r="Q29" t="str">
        <f>IF(tblSalaries[[#This Row],[Years of Experience]]="","",IF(AND(tblSalaries[[#This Row],[Years of Experience]]&gt;10,tblSalaries[[#This Row],[Years of Experience]]&lt;=15),1,""))</f>
        <v/>
      </c>
      <c r="R29" t="str">
        <f>IF(tblSalaries[[#This Row],[Years of Experience]]="","",IF(AND(tblSalaries[[#This Row],[Years of Experience]]&gt;16,tblSalaries[[#This Row],[Years of Experience]]&lt;=20),1,""))</f>
        <v/>
      </c>
      <c r="S29" t="str">
        <f>IF(tblSalaries[[#This Row],[Years of Experience]]="","",IF(tblSalaries[[#This Row],[Years of Experience]]&gt;20,1,""))</f>
        <v/>
      </c>
      <c r="T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" s="13" t="str">
        <f>IF(tblSalaries[[#This Row],[Job Type]]=tblSalaries[[#Headers],[Accountant]],tblSalaries[[#This Row],[Salary in USD]],"")</f>
        <v/>
      </c>
      <c r="V29" s="13" t="str">
        <f>IF(tblSalaries[[#This Row],[Job Type]]=tblSalaries[[#Headers],[Analyst]],tblSalaries[[#This Row],[Salary in USD]],"")</f>
        <v/>
      </c>
      <c r="W29" s="13" t="str">
        <f>IF(tblSalaries[[#This Row],[Job Type]]=tblSalaries[[#Headers],[Consultant]],tblSalaries[[#This Row],[Salary in USD]],"")</f>
        <v/>
      </c>
      <c r="X29" s="13" t="str">
        <f>IF(tblSalaries[[#This Row],[Job Type]]=tblSalaries[[#Headers],[Controller]],tblSalaries[[#This Row],[Salary in USD]],"")</f>
        <v/>
      </c>
      <c r="Y29" s="13">
        <f>IF(tblSalaries[[#This Row],[Job Type]]=tblSalaries[[#Headers],[CXO or Top Mgmt.]],tblSalaries[[#This Row],[clean Salary (in local currency)]],"")</f>
        <v>75000</v>
      </c>
      <c r="Z29" s="13" t="str">
        <f>IF(tblSalaries[[#This Row],[Job Type]]=tblSalaries[[#Headers],[Engineer]],tblSalaries[[#This Row],[Salary in USD]],"")</f>
        <v/>
      </c>
      <c r="AA29" s="13" t="str">
        <f>IF(tblSalaries[[#This Row],[Job Type]]=tblSalaries[[#Headers],[Manager]],tblSalaries[[#This Row],[Salary in USD]],"")</f>
        <v/>
      </c>
      <c r="AB29" s="13" t="str">
        <f>IF(tblSalaries[[#This Row],[Job Type]]=tblSalaries[[#Headers],[Misc.]],tblSalaries[[#This Row],[Salary in USD]],"")</f>
        <v/>
      </c>
      <c r="AC29" s="13" t="str">
        <f>IF(tblSalaries[[#This Row],[Job Type]]=tblSalaries[[#Headers],[Reporting]],tblSalaries[[#This Row],[Salary in USD]],"")</f>
        <v/>
      </c>
      <c r="AD29" s="13" t="str">
        <f>IF(tblSalaries[[#This Row],[Job Type]]=tblSalaries[[#Headers],[Specialist]],tblSalaries[[#This Row],[Salary in USD]],"")</f>
        <v/>
      </c>
    </row>
    <row r="30" spans="2:30" ht="15" customHeight="1" x14ac:dyDescent="0.25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 s="9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  <c r="N30" t="str">
        <f>IF(tblSalaries[[#This Row],[Years of Experience]]="","",IF(tblSalaries[[#This Row],[Years of Experience]]&lt;=2,1,""))</f>
        <v/>
      </c>
      <c r="O30" t="str">
        <f>IF(tblSalaries[[#This Row],[Years of Experience]]="","",IF(AND(tblSalaries[[#This Row],[Years of Experience]]&gt;2,tblSalaries[[#This Row],[Years of Experience]]&lt;=5),1,""))</f>
        <v/>
      </c>
      <c r="P30" t="str">
        <f>IF(tblSalaries[[#This Row],[Years of Experience]]="","",IF(AND(tblSalaries[[#This Row],[Years of Experience]]&gt;5,tblSalaries[[#This Row],[Years of Experience]]&lt;=10),1,""))</f>
        <v/>
      </c>
      <c r="Q30" t="str">
        <f>IF(tblSalaries[[#This Row],[Years of Experience]]="","",IF(AND(tblSalaries[[#This Row],[Years of Experience]]&gt;10,tblSalaries[[#This Row],[Years of Experience]]&lt;=15),1,""))</f>
        <v/>
      </c>
      <c r="R30" t="str">
        <f>IF(tblSalaries[[#This Row],[Years of Experience]]="","",IF(AND(tblSalaries[[#This Row],[Years of Experience]]&gt;16,tblSalaries[[#This Row],[Years of Experience]]&lt;=20),1,""))</f>
        <v/>
      </c>
      <c r="S30" t="str">
        <f>IF(tblSalaries[[#This Row],[Years of Experience]]="","",IF(tblSalaries[[#This Row],[Years of Experience]]&gt;20,1,""))</f>
        <v/>
      </c>
      <c r="T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" s="13" t="str">
        <f>IF(tblSalaries[[#This Row],[Job Type]]=tblSalaries[[#Headers],[Accountant]],tblSalaries[[#This Row],[Salary in USD]],"")</f>
        <v/>
      </c>
      <c r="V30" s="13" t="str">
        <f>IF(tblSalaries[[#This Row],[Job Type]]=tblSalaries[[#Headers],[Analyst]],tblSalaries[[#This Row],[Salary in USD]],"")</f>
        <v/>
      </c>
      <c r="W30" s="13" t="str">
        <f>IF(tblSalaries[[#This Row],[Job Type]]=tblSalaries[[#Headers],[Consultant]],tblSalaries[[#This Row],[Salary in USD]],"")</f>
        <v/>
      </c>
      <c r="X30" s="13" t="str">
        <f>IF(tblSalaries[[#This Row],[Job Type]]=tblSalaries[[#Headers],[Controller]],tblSalaries[[#This Row],[Salary in USD]],"")</f>
        <v/>
      </c>
      <c r="Y30" s="13" t="str">
        <f>IF(tblSalaries[[#This Row],[Job Type]]=tblSalaries[[#Headers],[CXO or Top Mgmt.]],tblSalaries[[#This Row],[clean Salary (in local currency)]],"")</f>
        <v/>
      </c>
      <c r="Z30" s="13" t="str">
        <f>IF(tblSalaries[[#This Row],[Job Type]]=tblSalaries[[#Headers],[Engineer]],tblSalaries[[#This Row],[Salary in USD]],"")</f>
        <v/>
      </c>
      <c r="AA30" s="13">
        <f>IF(tblSalaries[[#This Row],[Job Type]]=tblSalaries[[#Headers],[Manager]],tblSalaries[[#This Row],[Salary in USD]],"")</f>
        <v>40000</v>
      </c>
      <c r="AB30" s="13" t="str">
        <f>IF(tblSalaries[[#This Row],[Job Type]]=tblSalaries[[#Headers],[Misc.]],tblSalaries[[#This Row],[Salary in USD]],"")</f>
        <v/>
      </c>
      <c r="AC30" s="13" t="str">
        <f>IF(tblSalaries[[#This Row],[Job Type]]=tblSalaries[[#Headers],[Reporting]],tblSalaries[[#This Row],[Salary in USD]],"")</f>
        <v/>
      </c>
      <c r="AD30" s="13" t="str">
        <f>IF(tblSalaries[[#This Row],[Job Type]]=tblSalaries[[#Headers],[Specialist]],tblSalaries[[#This Row],[Salary in USD]],"")</f>
        <v/>
      </c>
    </row>
    <row r="31" spans="2:30" ht="15" customHeight="1" x14ac:dyDescent="0.25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 s="9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  <c r="N31" t="str">
        <f>IF(tblSalaries[[#This Row],[Years of Experience]]="","",IF(tblSalaries[[#This Row],[Years of Experience]]&lt;=2,1,""))</f>
        <v/>
      </c>
      <c r="O31" t="str">
        <f>IF(tblSalaries[[#This Row],[Years of Experience]]="","",IF(AND(tblSalaries[[#This Row],[Years of Experience]]&gt;2,tblSalaries[[#This Row],[Years of Experience]]&lt;=5),1,""))</f>
        <v/>
      </c>
      <c r="P31" t="str">
        <f>IF(tblSalaries[[#This Row],[Years of Experience]]="","",IF(AND(tblSalaries[[#This Row],[Years of Experience]]&gt;5,tblSalaries[[#This Row],[Years of Experience]]&lt;=10),1,""))</f>
        <v/>
      </c>
      <c r="Q31" t="str">
        <f>IF(tblSalaries[[#This Row],[Years of Experience]]="","",IF(AND(tblSalaries[[#This Row],[Years of Experience]]&gt;10,tblSalaries[[#This Row],[Years of Experience]]&lt;=15),1,""))</f>
        <v/>
      </c>
      <c r="R31" t="str">
        <f>IF(tblSalaries[[#This Row],[Years of Experience]]="","",IF(AND(tblSalaries[[#This Row],[Years of Experience]]&gt;16,tblSalaries[[#This Row],[Years of Experience]]&lt;=20),1,""))</f>
        <v/>
      </c>
      <c r="S31" t="str">
        <f>IF(tblSalaries[[#This Row],[Years of Experience]]="","",IF(tblSalaries[[#This Row],[Years of Experience]]&gt;20,1,""))</f>
        <v/>
      </c>
      <c r="T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" s="13" t="str">
        <f>IF(tblSalaries[[#This Row],[Job Type]]=tblSalaries[[#Headers],[Accountant]],tblSalaries[[#This Row],[Salary in USD]],"")</f>
        <v/>
      </c>
      <c r="V31" s="13">
        <f>IF(tblSalaries[[#This Row],[Job Type]]=tblSalaries[[#Headers],[Analyst]],tblSalaries[[#This Row],[Salary in USD]],"")</f>
        <v>60000</v>
      </c>
      <c r="W31" s="13" t="str">
        <f>IF(tblSalaries[[#This Row],[Job Type]]=tblSalaries[[#Headers],[Consultant]],tblSalaries[[#This Row],[Salary in USD]],"")</f>
        <v/>
      </c>
      <c r="X31" s="13" t="str">
        <f>IF(tblSalaries[[#This Row],[Job Type]]=tblSalaries[[#Headers],[Controller]],tblSalaries[[#This Row],[Salary in USD]],"")</f>
        <v/>
      </c>
      <c r="Y31" s="13" t="str">
        <f>IF(tblSalaries[[#This Row],[Job Type]]=tblSalaries[[#Headers],[CXO or Top Mgmt.]],tblSalaries[[#This Row],[clean Salary (in local currency)]],"")</f>
        <v/>
      </c>
      <c r="Z31" s="13" t="str">
        <f>IF(tblSalaries[[#This Row],[Job Type]]=tblSalaries[[#Headers],[Engineer]],tblSalaries[[#This Row],[Salary in USD]],"")</f>
        <v/>
      </c>
      <c r="AA31" s="13" t="str">
        <f>IF(tblSalaries[[#This Row],[Job Type]]=tblSalaries[[#Headers],[Manager]],tblSalaries[[#This Row],[Salary in USD]],"")</f>
        <v/>
      </c>
      <c r="AB31" s="13" t="str">
        <f>IF(tblSalaries[[#This Row],[Job Type]]=tblSalaries[[#Headers],[Misc.]],tblSalaries[[#This Row],[Salary in USD]],"")</f>
        <v/>
      </c>
      <c r="AC31" s="13" t="str">
        <f>IF(tblSalaries[[#This Row],[Job Type]]=tblSalaries[[#Headers],[Reporting]],tblSalaries[[#This Row],[Salary in USD]],"")</f>
        <v/>
      </c>
      <c r="AD31" s="13" t="str">
        <f>IF(tblSalaries[[#This Row],[Job Type]]=tblSalaries[[#Headers],[Specialist]],tblSalaries[[#This Row],[Salary in USD]],"")</f>
        <v/>
      </c>
    </row>
    <row r="32" spans="2:30" ht="15" customHeight="1" x14ac:dyDescent="0.25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 s="9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  <c r="N32" t="str">
        <f>IF(tblSalaries[[#This Row],[Years of Experience]]="","",IF(tblSalaries[[#This Row],[Years of Experience]]&lt;=2,1,""))</f>
        <v/>
      </c>
      <c r="O32" t="str">
        <f>IF(tblSalaries[[#This Row],[Years of Experience]]="","",IF(AND(tblSalaries[[#This Row],[Years of Experience]]&gt;2,tblSalaries[[#This Row],[Years of Experience]]&lt;=5),1,""))</f>
        <v/>
      </c>
      <c r="P32" t="str">
        <f>IF(tblSalaries[[#This Row],[Years of Experience]]="","",IF(AND(tblSalaries[[#This Row],[Years of Experience]]&gt;5,tblSalaries[[#This Row],[Years of Experience]]&lt;=10),1,""))</f>
        <v/>
      </c>
      <c r="Q32" t="str">
        <f>IF(tblSalaries[[#This Row],[Years of Experience]]="","",IF(AND(tblSalaries[[#This Row],[Years of Experience]]&gt;10,tblSalaries[[#This Row],[Years of Experience]]&lt;=15),1,""))</f>
        <v/>
      </c>
      <c r="R32" t="str">
        <f>IF(tblSalaries[[#This Row],[Years of Experience]]="","",IF(AND(tblSalaries[[#This Row],[Years of Experience]]&gt;16,tblSalaries[[#This Row],[Years of Experience]]&lt;=20),1,""))</f>
        <v/>
      </c>
      <c r="S32" t="str">
        <f>IF(tblSalaries[[#This Row],[Years of Experience]]="","",IF(tblSalaries[[#This Row],[Years of Experience]]&gt;20,1,""))</f>
        <v/>
      </c>
      <c r="T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" s="13" t="str">
        <f>IF(tblSalaries[[#This Row],[Job Type]]=tblSalaries[[#Headers],[Accountant]],tblSalaries[[#This Row],[Salary in USD]],"")</f>
        <v/>
      </c>
      <c r="V32" s="13" t="str">
        <f>IF(tblSalaries[[#This Row],[Job Type]]=tblSalaries[[#Headers],[Analyst]],tblSalaries[[#This Row],[Salary in USD]],"")</f>
        <v/>
      </c>
      <c r="W32" s="13" t="str">
        <f>IF(tblSalaries[[#This Row],[Job Type]]=tblSalaries[[#Headers],[Consultant]],tblSalaries[[#This Row],[Salary in USD]],"")</f>
        <v/>
      </c>
      <c r="X32" s="13" t="str">
        <f>IF(tblSalaries[[#This Row],[Job Type]]=tblSalaries[[#Headers],[Controller]],tblSalaries[[#This Row],[Salary in USD]],"")</f>
        <v/>
      </c>
      <c r="Y32" s="13" t="str">
        <f>IF(tblSalaries[[#This Row],[Job Type]]=tblSalaries[[#Headers],[CXO or Top Mgmt.]],tblSalaries[[#This Row],[clean Salary (in local currency)]],"")</f>
        <v/>
      </c>
      <c r="Z32" s="13" t="str">
        <f>IF(tblSalaries[[#This Row],[Job Type]]=tblSalaries[[#Headers],[Engineer]],tblSalaries[[#This Row],[Salary in USD]],"")</f>
        <v/>
      </c>
      <c r="AA32" s="13">
        <f>IF(tblSalaries[[#This Row],[Job Type]]=tblSalaries[[#Headers],[Manager]],tblSalaries[[#This Row],[Salary in USD]],"")</f>
        <v>41160.941823328096</v>
      </c>
      <c r="AB32" s="13" t="str">
        <f>IF(tblSalaries[[#This Row],[Job Type]]=tblSalaries[[#Headers],[Misc.]],tblSalaries[[#This Row],[Salary in USD]],"")</f>
        <v/>
      </c>
      <c r="AC32" s="13" t="str">
        <f>IF(tblSalaries[[#This Row],[Job Type]]=tblSalaries[[#Headers],[Reporting]],tblSalaries[[#This Row],[Salary in USD]],"")</f>
        <v/>
      </c>
      <c r="AD32" s="13" t="str">
        <f>IF(tblSalaries[[#This Row],[Job Type]]=tblSalaries[[#Headers],[Specialist]],tblSalaries[[#This Row],[Salary in USD]],"")</f>
        <v/>
      </c>
    </row>
    <row r="33" spans="2:30" ht="15" customHeight="1" x14ac:dyDescent="0.25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 s="9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  <c r="N33" t="str">
        <f>IF(tblSalaries[[#This Row],[Years of Experience]]="","",IF(tblSalaries[[#This Row],[Years of Experience]]&lt;=2,1,""))</f>
        <v/>
      </c>
      <c r="O33" t="str">
        <f>IF(tblSalaries[[#This Row],[Years of Experience]]="","",IF(AND(tblSalaries[[#This Row],[Years of Experience]]&gt;2,tblSalaries[[#This Row],[Years of Experience]]&lt;=5),1,""))</f>
        <v/>
      </c>
      <c r="P33" t="str">
        <f>IF(tblSalaries[[#This Row],[Years of Experience]]="","",IF(AND(tblSalaries[[#This Row],[Years of Experience]]&gt;5,tblSalaries[[#This Row],[Years of Experience]]&lt;=10),1,""))</f>
        <v/>
      </c>
      <c r="Q33" t="str">
        <f>IF(tblSalaries[[#This Row],[Years of Experience]]="","",IF(AND(tblSalaries[[#This Row],[Years of Experience]]&gt;10,tblSalaries[[#This Row],[Years of Experience]]&lt;=15),1,""))</f>
        <v/>
      </c>
      <c r="R33" t="str">
        <f>IF(tblSalaries[[#This Row],[Years of Experience]]="","",IF(AND(tblSalaries[[#This Row],[Years of Experience]]&gt;16,tblSalaries[[#This Row],[Years of Experience]]&lt;=20),1,""))</f>
        <v/>
      </c>
      <c r="S33" t="str">
        <f>IF(tblSalaries[[#This Row],[Years of Experience]]="","",IF(tblSalaries[[#This Row],[Years of Experience]]&gt;20,1,""))</f>
        <v/>
      </c>
      <c r="T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" s="13" t="str">
        <f>IF(tblSalaries[[#This Row],[Job Type]]=tblSalaries[[#Headers],[Accountant]],tblSalaries[[#This Row],[Salary in USD]],"")</f>
        <v/>
      </c>
      <c r="V33" s="13" t="str">
        <f>IF(tblSalaries[[#This Row],[Job Type]]=tblSalaries[[#Headers],[Analyst]],tblSalaries[[#This Row],[Salary in USD]],"")</f>
        <v/>
      </c>
      <c r="W33" s="13" t="str">
        <f>IF(tblSalaries[[#This Row],[Job Type]]=tblSalaries[[#Headers],[Consultant]],tblSalaries[[#This Row],[Salary in USD]],"")</f>
        <v/>
      </c>
      <c r="X33" s="13" t="str">
        <f>IF(tblSalaries[[#This Row],[Job Type]]=tblSalaries[[#Headers],[Controller]],tblSalaries[[#This Row],[Salary in USD]],"")</f>
        <v/>
      </c>
      <c r="Y33" s="13" t="str">
        <f>IF(tblSalaries[[#This Row],[Job Type]]=tblSalaries[[#Headers],[CXO or Top Mgmt.]],tblSalaries[[#This Row],[clean Salary (in local currency)]],"")</f>
        <v/>
      </c>
      <c r="Z33" s="13">
        <f>IF(tblSalaries[[#This Row],[Job Type]]=tblSalaries[[#Headers],[Engineer]],tblSalaries[[#This Row],[Salary in USD]],"")</f>
        <v>16027.125018698311</v>
      </c>
      <c r="AA33" s="13" t="str">
        <f>IF(tblSalaries[[#This Row],[Job Type]]=tblSalaries[[#Headers],[Manager]],tblSalaries[[#This Row],[Salary in USD]],"")</f>
        <v/>
      </c>
      <c r="AB33" s="13" t="str">
        <f>IF(tblSalaries[[#This Row],[Job Type]]=tblSalaries[[#Headers],[Misc.]],tblSalaries[[#This Row],[Salary in USD]],"")</f>
        <v/>
      </c>
      <c r="AC33" s="13" t="str">
        <f>IF(tblSalaries[[#This Row],[Job Type]]=tblSalaries[[#Headers],[Reporting]],tblSalaries[[#This Row],[Salary in USD]],"")</f>
        <v/>
      </c>
      <c r="AD33" s="13" t="str">
        <f>IF(tblSalaries[[#This Row],[Job Type]]=tblSalaries[[#Headers],[Specialist]],tblSalaries[[#This Row],[Salary in USD]],"")</f>
        <v/>
      </c>
    </row>
    <row r="34" spans="2:30" ht="15" customHeight="1" x14ac:dyDescent="0.25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 s="9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  <c r="N34" t="str">
        <f>IF(tblSalaries[[#This Row],[Years of Experience]]="","",IF(tblSalaries[[#This Row],[Years of Experience]]&lt;=2,1,""))</f>
        <v/>
      </c>
      <c r="O34" t="str">
        <f>IF(tblSalaries[[#This Row],[Years of Experience]]="","",IF(AND(tblSalaries[[#This Row],[Years of Experience]]&gt;2,tblSalaries[[#This Row],[Years of Experience]]&lt;=5),1,""))</f>
        <v/>
      </c>
      <c r="P34" t="str">
        <f>IF(tblSalaries[[#This Row],[Years of Experience]]="","",IF(AND(tblSalaries[[#This Row],[Years of Experience]]&gt;5,tblSalaries[[#This Row],[Years of Experience]]&lt;=10),1,""))</f>
        <v/>
      </c>
      <c r="Q34" t="str">
        <f>IF(tblSalaries[[#This Row],[Years of Experience]]="","",IF(AND(tblSalaries[[#This Row],[Years of Experience]]&gt;10,tblSalaries[[#This Row],[Years of Experience]]&lt;=15),1,""))</f>
        <v/>
      </c>
      <c r="R34" t="str">
        <f>IF(tblSalaries[[#This Row],[Years of Experience]]="","",IF(AND(tblSalaries[[#This Row],[Years of Experience]]&gt;16,tblSalaries[[#This Row],[Years of Experience]]&lt;=20),1,""))</f>
        <v/>
      </c>
      <c r="S34" t="str">
        <f>IF(tblSalaries[[#This Row],[Years of Experience]]="","",IF(tblSalaries[[#This Row],[Years of Experience]]&gt;20,1,""))</f>
        <v/>
      </c>
      <c r="T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" s="13" t="str">
        <f>IF(tblSalaries[[#This Row],[Job Type]]=tblSalaries[[#Headers],[Accountant]],tblSalaries[[#This Row],[Salary in USD]],"")</f>
        <v/>
      </c>
      <c r="V34" s="13" t="str">
        <f>IF(tblSalaries[[#This Row],[Job Type]]=tblSalaries[[#Headers],[Analyst]],tblSalaries[[#This Row],[Salary in USD]],"")</f>
        <v/>
      </c>
      <c r="W34" s="13" t="str">
        <f>IF(tblSalaries[[#This Row],[Job Type]]=tblSalaries[[#Headers],[Consultant]],tblSalaries[[#This Row],[Salary in USD]],"")</f>
        <v/>
      </c>
      <c r="X34" s="13" t="str">
        <f>IF(tblSalaries[[#This Row],[Job Type]]=tblSalaries[[#Headers],[Controller]],tblSalaries[[#This Row],[Salary in USD]],"")</f>
        <v/>
      </c>
      <c r="Y34" s="13" t="str">
        <f>IF(tblSalaries[[#This Row],[Job Type]]=tblSalaries[[#Headers],[CXO or Top Mgmt.]],tblSalaries[[#This Row],[clean Salary (in local currency)]],"")</f>
        <v/>
      </c>
      <c r="Z34" s="13" t="str">
        <f>IF(tblSalaries[[#This Row],[Job Type]]=tblSalaries[[#Headers],[Engineer]],tblSalaries[[#This Row],[Salary in USD]],"")</f>
        <v/>
      </c>
      <c r="AA34" s="13">
        <f>IF(tblSalaries[[#This Row],[Job Type]]=tblSalaries[[#Headers],[Manager]],tblSalaries[[#This Row],[Salary in USD]],"")</f>
        <v>10684.750012465542</v>
      </c>
      <c r="AB34" s="13" t="str">
        <f>IF(tblSalaries[[#This Row],[Job Type]]=tblSalaries[[#Headers],[Misc.]],tblSalaries[[#This Row],[Salary in USD]],"")</f>
        <v/>
      </c>
      <c r="AC34" s="13" t="str">
        <f>IF(tblSalaries[[#This Row],[Job Type]]=tblSalaries[[#Headers],[Reporting]],tblSalaries[[#This Row],[Salary in USD]],"")</f>
        <v/>
      </c>
      <c r="AD34" s="13" t="str">
        <f>IF(tblSalaries[[#This Row],[Job Type]]=tblSalaries[[#Headers],[Specialist]],tblSalaries[[#This Row],[Salary in USD]],"")</f>
        <v/>
      </c>
    </row>
    <row r="35" spans="2:30" ht="15" customHeight="1" x14ac:dyDescent="0.25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 s="9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  <c r="N35" t="str">
        <f>IF(tblSalaries[[#This Row],[Years of Experience]]="","",IF(tblSalaries[[#This Row],[Years of Experience]]&lt;=2,1,""))</f>
        <v/>
      </c>
      <c r="O35" t="str">
        <f>IF(tblSalaries[[#This Row],[Years of Experience]]="","",IF(AND(tblSalaries[[#This Row],[Years of Experience]]&gt;2,tblSalaries[[#This Row],[Years of Experience]]&lt;=5),1,""))</f>
        <v/>
      </c>
      <c r="P35" t="str">
        <f>IF(tblSalaries[[#This Row],[Years of Experience]]="","",IF(AND(tblSalaries[[#This Row],[Years of Experience]]&gt;5,tblSalaries[[#This Row],[Years of Experience]]&lt;=10),1,""))</f>
        <v/>
      </c>
      <c r="Q35" t="str">
        <f>IF(tblSalaries[[#This Row],[Years of Experience]]="","",IF(AND(tblSalaries[[#This Row],[Years of Experience]]&gt;10,tblSalaries[[#This Row],[Years of Experience]]&lt;=15),1,""))</f>
        <v/>
      </c>
      <c r="R35" t="str">
        <f>IF(tblSalaries[[#This Row],[Years of Experience]]="","",IF(AND(tblSalaries[[#This Row],[Years of Experience]]&gt;16,tblSalaries[[#This Row],[Years of Experience]]&lt;=20),1,""))</f>
        <v/>
      </c>
      <c r="S35" t="str">
        <f>IF(tblSalaries[[#This Row],[Years of Experience]]="","",IF(tblSalaries[[#This Row],[Years of Experience]]&gt;20,1,""))</f>
        <v/>
      </c>
      <c r="T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" s="13" t="str">
        <f>IF(tblSalaries[[#This Row],[Job Type]]=tblSalaries[[#Headers],[Accountant]],tblSalaries[[#This Row],[Salary in USD]],"")</f>
        <v/>
      </c>
      <c r="V35" s="13" t="str">
        <f>IF(tblSalaries[[#This Row],[Job Type]]=tblSalaries[[#Headers],[Analyst]],tblSalaries[[#This Row],[Salary in USD]],"")</f>
        <v/>
      </c>
      <c r="W35" s="13" t="str">
        <f>IF(tblSalaries[[#This Row],[Job Type]]=tblSalaries[[#Headers],[Consultant]],tblSalaries[[#This Row],[Salary in USD]],"")</f>
        <v/>
      </c>
      <c r="X35" s="13" t="str">
        <f>IF(tblSalaries[[#This Row],[Job Type]]=tblSalaries[[#Headers],[Controller]],tblSalaries[[#This Row],[Salary in USD]],"")</f>
        <v/>
      </c>
      <c r="Y35" s="13" t="str">
        <f>IF(tblSalaries[[#This Row],[Job Type]]=tblSalaries[[#Headers],[CXO or Top Mgmt.]],tblSalaries[[#This Row],[clean Salary (in local currency)]],"")</f>
        <v/>
      </c>
      <c r="Z35" s="13" t="str">
        <f>IF(tblSalaries[[#This Row],[Job Type]]=tblSalaries[[#Headers],[Engineer]],tblSalaries[[#This Row],[Salary in USD]],"")</f>
        <v/>
      </c>
      <c r="AA35" s="13">
        <f>IF(tblSalaries[[#This Row],[Job Type]]=tblSalaries[[#Headers],[Manager]],tblSalaries[[#This Row],[Salary in USD]],"")</f>
        <v>41000</v>
      </c>
      <c r="AB35" s="13" t="str">
        <f>IF(tblSalaries[[#This Row],[Job Type]]=tblSalaries[[#Headers],[Misc.]],tblSalaries[[#This Row],[Salary in USD]],"")</f>
        <v/>
      </c>
      <c r="AC35" s="13" t="str">
        <f>IF(tblSalaries[[#This Row],[Job Type]]=tblSalaries[[#Headers],[Reporting]],tblSalaries[[#This Row],[Salary in USD]],"")</f>
        <v/>
      </c>
      <c r="AD35" s="13" t="str">
        <f>IF(tblSalaries[[#This Row],[Job Type]]=tblSalaries[[#Headers],[Specialist]],tblSalaries[[#This Row],[Salary in USD]],"")</f>
        <v/>
      </c>
    </row>
    <row r="36" spans="2:30" ht="15" customHeight="1" x14ac:dyDescent="0.25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 s="9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  <c r="N36" t="str">
        <f>IF(tblSalaries[[#This Row],[Years of Experience]]="","",IF(tblSalaries[[#This Row],[Years of Experience]]&lt;=2,1,""))</f>
        <v/>
      </c>
      <c r="O36" t="str">
        <f>IF(tblSalaries[[#This Row],[Years of Experience]]="","",IF(AND(tblSalaries[[#This Row],[Years of Experience]]&gt;2,tblSalaries[[#This Row],[Years of Experience]]&lt;=5),1,""))</f>
        <v/>
      </c>
      <c r="P36" t="str">
        <f>IF(tblSalaries[[#This Row],[Years of Experience]]="","",IF(AND(tblSalaries[[#This Row],[Years of Experience]]&gt;5,tblSalaries[[#This Row],[Years of Experience]]&lt;=10),1,""))</f>
        <v/>
      </c>
      <c r="Q36" t="str">
        <f>IF(tblSalaries[[#This Row],[Years of Experience]]="","",IF(AND(tblSalaries[[#This Row],[Years of Experience]]&gt;10,tblSalaries[[#This Row],[Years of Experience]]&lt;=15),1,""))</f>
        <v/>
      </c>
      <c r="R36" t="str">
        <f>IF(tblSalaries[[#This Row],[Years of Experience]]="","",IF(AND(tblSalaries[[#This Row],[Years of Experience]]&gt;16,tblSalaries[[#This Row],[Years of Experience]]&lt;=20),1,""))</f>
        <v/>
      </c>
      <c r="S36" t="str">
        <f>IF(tblSalaries[[#This Row],[Years of Experience]]="","",IF(tblSalaries[[#This Row],[Years of Experience]]&gt;20,1,""))</f>
        <v/>
      </c>
      <c r="T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" s="13" t="str">
        <f>IF(tblSalaries[[#This Row],[Job Type]]=tblSalaries[[#Headers],[Accountant]],tblSalaries[[#This Row],[Salary in USD]],"")</f>
        <v/>
      </c>
      <c r="V36" s="13" t="str">
        <f>IF(tblSalaries[[#This Row],[Job Type]]=tblSalaries[[#Headers],[Analyst]],tblSalaries[[#This Row],[Salary in USD]],"")</f>
        <v/>
      </c>
      <c r="W36" s="13" t="str">
        <f>IF(tblSalaries[[#This Row],[Job Type]]=tblSalaries[[#Headers],[Consultant]],tblSalaries[[#This Row],[Salary in USD]],"")</f>
        <v/>
      </c>
      <c r="X36" s="13" t="str">
        <f>IF(tblSalaries[[#This Row],[Job Type]]=tblSalaries[[#Headers],[Controller]],tblSalaries[[#This Row],[Salary in USD]],"")</f>
        <v/>
      </c>
      <c r="Y36" s="13" t="str">
        <f>IF(tblSalaries[[#This Row],[Job Type]]=tblSalaries[[#Headers],[CXO or Top Mgmt.]],tblSalaries[[#This Row],[clean Salary (in local currency)]],"")</f>
        <v/>
      </c>
      <c r="Z36" s="13" t="str">
        <f>IF(tblSalaries[[#This Row],[Job Type]]=tblSalaries[[#Headers],[Engineer]],tblSalaries[[#This Row],[Salary in USD]],"")</f>
        <v/>
      </c>
      <c r="AA36" s="13" t="str">
        <f>IF(tblSalaries[[#This Row],[Job Type]]=tblSalaries[[#Headers],[Manager]],tblSalaries[[#This Row],[Salary in USD]],"")</f>
        <v/>
      </c>
      <c r="AB36" s="13" t="str">
        <f>IF(tblSalaries[[#This Row],[Job Type]]=tblSalaries[[#Headers],[Misc.]],tblSalaries[[#This Row],[Salary in USD]],"")</f>
        <v/>
      </c>
      <c r="AC36" s="13" t="str">
        <f>IF(tblSalaries[[#This Row],[Job Type]]=tblSalaries[[#Headers],[Reporting]],tblSalaries[[#This Row],[Salary in USD]],"")</f>
        <v/>
      </c>
      <c r="AD36" s="13">
        <f>IF(tblSalaries[[#This Row],[Job Type]]=tblSalaries[[#Headers],[Specialist]],tblSalaries[[#This Row],[Salary in USD]],"")</f>
        <v>6410.8500074793246</v>
      </c>
    </row>
    <row r="37" spans="2:30" ht="15" customHeight="1" x14ac:dyDescent="0.25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 s="9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  <c r="N37" t="str">
        <f>IF(tblSalaries[[#This Row],[Years of Experience]]="","",IF(tblSalaries[[#This Row],[Years of Experience]]&lt;=2,1,""))</f>
        <v/>
      </c>
      <c r="O37" t="str">
        <f>IF(tblSalaries[[#This Row],[Years of Experience]]="","",IF(AND(tblSalaries[[#This Row],[Years of Experience]]&gt;2,tblSalaries[[#This Row],[Years of Experience]]&lt;=5),1,""))</f>
        <v/>
      </c>
      <c r="P37" t="str">
        <f>IF(tblSalaries[[#This Row],[Years of Experience]]="","",IF(AND(tblSalaries[[#This Row],[Years of Experience]]&gt;5,tblSalaries[[#This Row],[Years of Experience]]&lt;=10),1,""))</f>
        <v/>
      </c>
      <c r="Q37" t="str">
        <f>IF(tblSalaries[[#This Row],[Years of Experience]]="","",IF(AND(tblSalaries[[#This Row],[Years of Experience]]&gt;10,tblSalaries[[#This Row],[Years of Experience]]&lt;=15),1,""))</f>
        <v/>
      </c>
      <c r="R37" t="str">
        <f>IF(tblSalaries[[#This Row],[Years of Experience]]="","",IF(AND(tblSalaries[[#This Row],[Years of Experience]]&gt;16,tblSalaries[[#This Row],[Years of Experience]]&lt;=20),1,""))</f>
        <v/>
      </c>
      <c r="S37" t="str">
        <f>IF(tblSalaries[[#This Row],[Years of Experience]]="","",IF(tblSalaries[[#This Row],[Years of Experience]]&gt;20,1,""))</f>
        <v/>
      </c>
      <c r="T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" s="13" t="str">
        <f>IF(tblSalaries[[#This Row],[Job Type]]=tblSalaries[[#Headers],[Accountant]],tblSalaries[[#This Row],[Salary in USD]],"")</f>
        <v/>
      </c>
      <c r="V37" s="13">
        <f>IF(tblSalaries[[#This Row],[Job Type]]=tblSalaries[[#Headers],[Analyst]],tblSalaries[[#This Row],[Salary in USD]],"")</f>
        <v>55166.239522354947</v>
      </c>
      <c r="W37" s="13" t="str">
        <f>IF(tblSalaries[[#This Row],[Job Type]]=tblSalaries[[#Headers],[Consultant]],tblSalaries[[#This Row],[Salary in USD]],"")</f>
        <v/>
      </c>
      <c r="X37" s="13" t="str">
        <f>IF(tblSalaries[[#This Row],[Job Type]]=tblSalaries[[#Headers],[Controller]],tblSalaries[[#This Row],[Salary in USD]],"")</f>
        <v/>
      </c>
      <c r="Y37" s="13" t="str">
        <f>IF(tblSalaries[[#This Row],[Job Type]]=tblSalaries[[#Headers],[CXO or Top Mgmt.]],tblSalaries[[#This Row],[clean Salary (in local currency)]],"")</f>
        <v/>
      </c>
      <c r="Z37" s="13" t="str">
        <f>IF(tblSalaries[[#This Row],[Job Type]]=tblSalaries[[#Headers],[Engineer]],tblSalaries[[#This Row],[Salary in USD]],"")</f>
        <v/>
      </c>
      <c r="AA37" s="13" t="str">
        <f>IF(tblSalaries[[#This Row],[Job Type]]=tblSalaries[[#Headers],[Manager]],tblSalaries[[#This Row],[Salary in USD]],"")</f>
        <v/>
      </c>
      <c r="AB37" s="13" t="str">
        <f>IF(tblSalaries[[#This Row],[Job Type]]=tblSalaries[[#Headers],[Misc.]],tblSalaries[[#This Row],[Salary in USD]],"")</f>
        <v/>
      </c>
      <c r="AC37" s="13" t="str">
        <f>IF(tblSalaries[[#This Row],[Job Type]]=tblSalaries[[#Headers],[Reporting]],tblSalaries[[#This Row],[Salary in USD]],"")</f>
        <v/>
      </c>
      <c r="AD37" s="13" t="str">
        <f>IF(tblSalaries[[#This Row],[Job Type]]=tblSalaries[[#Headers],[Specialist]],tblSalaries[[#This Row],[Salary in USD]],"")</f>
        <v/>
      </c>
    </row>
    <row r="38" spans="2:30" ht="15" customHeight="1" x14ac:dyDescent="0.25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 s="9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  <c r="N38" t="str">
        <f>IF(tblSalaries[[#This Row],[Years of Experience]]="","",IF(tblSalaries[[#This Row],[Years of Experience]]&lt;=2,1,""))</f>
        <v/>
      </c>
      <c r="O38" t="str">
        <f>IF(tblSalaries[[#This Row],[Years of Experience]]="","",IF(AND(tblSalaries[[#This Row],[Years of Experience]]&gt;2,tblSalaries[[#This Row],[Years of Experience]]&lt;=5),1,""))</f>
        <v/>
      </c>
      <c r="P38" t="str">
        <f>IF(tblSalaries[[#This Row],[Years of Experience]]="","",IF(AND(tblSalaries[[#This Row],[Years of Experience]]&gt;5,tblSalaries[[#This Row],[Years of Experience]]&lt;=10),1,""))</f>
        <v/>
      </c>
      <c r="Q38" t="str">
        <f>IF(tblSalaries[[#This Row],[Years of Experience]]="","",IF(AND(tblSalaries[[#This Row],[Years of Experience]]&gt;10,tblSalaries[[#This Row],[Years of Experience]]&lt;=15),1,""))</f>
        <v/>
      </c>
      <c r="R38" t="str">
        <f>IF(tblSalaries[[#This Row],[Years of Experience]]="","",IF(AND(tblSalaries[[#This Row],[Years of Experience]]&gt;16,tblSalaries[[#This Row],[Years of Experience]]&lt;=20),1,""))</f>
        <v/>
      </c>
      <c r="S38" t="str">
        <f>IF(tblSalaries[[#This Row],[Years of Experience]]="","",IF(tblSalaries[[#This Row],[Years of Experience]]&gt;20,1,""))</f>
        <v/>
      </c>
      <c r="T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" s="13" t="str">
        <f>IF(tblSalaries[[#This Row],[Job Type]]=tblSalaries[[#Headers],[Accountant]],tblSalaries[[#This Row],[Salary in USD]],"")</f>
        <v/>
      </c>
      <c r="V38" s="13">
        <f>IF(tblSalaries[[#This Row],[Job Type]]=tblSalaries[[#Headers],[Analyst]],tblSalaries[[#This Row],[Salary in USD]],"")</f>
        <v>19200</v>
      </c>
      <c r="W38" s="13" t="str">
        <f>IF(tblSalaries[[#This Row],[Job Type]]=tblSalaries[[#Headers],[Consultant]],tblSalaries[[#This Row],[Salary in USD]],"")</f>
        <v/>
      </c>
      <c r="X38" s="13" t="str">
        <f>IF(tblSalaries[[#This Row],[Job Type]]=tblSalaries[[#Headers],[Controller]],tblSalaries[[#This Row],[Salary in USD]],"")</f>
        <v/>
      </c>
      <c r="Y38" s="13" t="str">
        <f>IF(tblSalaries[[#This Row],[Job Type]]=tblSalaries[[#Headers],[CXO or Top Mgmt.]],tblSalaries[[#This Row],[clean Salary (in local currency)]],"")</f>
        <v/>
      </c>
      <c r="Z38" s="13" t="str">
        <f>IF(tblSalaries[[#This Row],[Job Type]]=tblSalaries[[#Headers],[Engineer]],tblSalaries[[#This Row],[Salary in USD]],"")</f>
        <v/>
      </c>
      <c r="AA38" s="13" t="str">
        <f>IF(tblSalaries[[#This Row],[Job Type]]=tblSalaries[[#Headers],[Manager]],tblSalaries[[#This Row],[Salary in USD]],"")</f>
        <v/>
      </c>
      <c r="AB38" s="13" t="str">
        <f>IF(tblSalaries[[#This Row],[Job Type]]=tblSalaries[[#Headers],[Misc.]],tblSalaries[[#This Row],[Salary in USD]],"")</f>
        <v/>
      </c>
      <c r="AC38" s="13" t="str">
        <f>IF(tblSalaries[[#This Row],[Job Type]]=tblSalaries[[#Headers],[Reporting]],tblSalaries[[#This Row],[Salary in USD]],"")</f>
        <v/>
      </c>
      <c r="AD38" s="13" t="str">
        <f>IF(tblSalaries[[#This Row],[Job Type]]=tblSalaries[[#Headers],[Specialist]],tblSalaries[[#This Row],[Salary in USD]],"")</f>
        <v/>
      </c>
    </row>
    <row r="39" spans="2:30" ht="15" customHeight="1" x14ac:dyDescent="0.25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 s="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  <c r="N39" t="str">
        <f>IF(tblSalaries[[#This Row],[Years of Experience]]="","",IF(tblSalaries[[#This Row],[Years of Experience]]&lt;=2,1,""))</f>
        <v/>
      </c>
      <c r="O39" t="str">
        <f>IF(tblSalaries[[#This Row],[Years of Experience]]="","",IF(AND(tblSalaries[[#This Row],[Years of Experience]]&gt;2,tblSalaries[[#This Row],[Years of Experience]]&lt;=5),1,""))</f>
        <v/>
      </c>
      <c r="P39" t="str">
        <f>IF(tblSalaries[[#This Row],[Years of Experience]]="","",IF(AND(tblSalaries[[#This Row],[Years of Experience]]&gt;5,tblSalaries[[#This Row],[Years of Experience]]&lt;=10),1,""))</f>
        <v/>
      </c>
      <c r="Q39" t="str">
        <f>IF(tblSalaries[[#This Row],[Years of Experience]]="","",IF(AND(tblSalaries[[#This Row],[Years of Experience]]&gt;10,tblSalaries[[#This Row],[Years of Experience]]&lt;=15),1,""))</f>
        <v/>
      </c>
      <c r="R39" t="str">
        <f>IF(tblSalaries[[#This Row],[Years of Experience]]="","",IF(AND(tblSalaries[[#This Row],[Years of Experience]]&gt;16,tblSalaries[[#This Row],[Years of Experience]]&lt;=20),1,""))</f>
        <v/>
      </c>
      <c r="S39" t="str">
        <f>IF(tblSalaries[[#This Row],[Years of Experience]]="","",IF(tblSalaries[[#This Row],[Years of Experience]]&gt;20,1,""))</f>
        <v/>
      </c>
      <c r="T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" s="13" t="str">
        <f>IF(tblSalaries[[#This Row],[Job Type]]=tblSalaries[[#Headers],[Accountant]],tblSalaries[[#This Row],[Salary in USD]],"")</f>
        <v/>
      </c>
      <c r="V39" s="13" t="str">
        <f>IF(tblSalaries[[#This Row],[Job Type]]=tblSalaries[[#Headers],[Analyst]],tblSalaries[[#This Row],[Salary in USD]],"")</f>
        <v/>
      </c>
      <c r="W39" s="13">
        <f>IF(tblSalaries[[#This Row],[Job Type]]=tblSalaries[[#Headers],[Consultant]],tblSalaries[[#This Row],[Salary in USD]],"")</f>
        <v>8903.9583437212841</v>
      </c>
      <c r="X39" s="13" t="str">
        <f>IF(tblSalaries[[#This Row],[Job Type]]=tblSalaries[[#Headers],[Controller]],tblSalaries[[#This Row],[Salary in USD]],"")</f>
        <v/>
      </c>
      <c r="Y39" s="13" t="str">
        <f>IF(tblSalaries[[#This Row],[Job Type]]=tblSalaries[[#Headers],[CXO or Top Mgmt.]],tblSalaries[[#This Row],[clean Salary (in local currency)]],"")</f>
        <v/>
      </c>
      <c r="Z39" s="13" t="str">
        <f>IF(tblSalaries[[#This Row],[Job Type]]=tblSalaries[[#Headers],[Engineer]],tblSalaries[[#This Row],[Salary in USD]],"")</f>
        <v/>
      </c>
      <c r="AA39" s="13" t="str">
        <f>IF(tblSalaries[[#This Row],[Job Type]]=tblSalaries[[#Headers],[Manager]],tblSalaries[[#This Row],[Salary in USD]],"")</f>
        <v/>
      </c>
      <c r="AB39" s="13" t="str">
        <f>IF(tblSalaries[[#This Row],[Job Type]]=tblSalaries[[#Headers],[Misc.]],tblSalaries[[#This Row],[Salary in USD]],"")</f>
        <v/>
      </c>
      <c r="AC39" s="13" t="str">
        <f>IF(tblSalaries[[#This Row],[Job Type]]=tblSalaries[[#Headers],[Reporting]],tblSalaries[[#This Row],[Salary in USD]],"")</f>
        <v/>
      </c>
      <c r="AD39" s="13" t="str">
        <f>IF(tblSalaries[[#This Row],[Job Type]]=tblSalaries[[#Headers],[Specialist]],tblSalaries[[#This Row],[Salary in USD]],"")</f>
        <v/>
      </c>
    </row>
    <row r="40" spans="2:30" ht="15" customHeight="1" x14ac:dyDescent="0.25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 s="9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  <c r="N40" t="str">
        <f>IF(tblSalaries[[#This Row],[Years of Experience]]="","",IF(tblSalaries[[#This Row],[Years of Experience]]&lt;=2,1,""))</f>
        <v/>
      </c>
      <c r="O40" t="str">
        <f>IF(tblSalaries[[#This Row],[Years of Experience]]="","",IF(AND(tblSalaries[[#This Row],[Years of Experience]]&gt;2,tblSalaries[[#This Row],[Years of Experience]]&lt;=5),1,""))</f>
        <v/>
      </c>
      <c r="P40" t="str">
        <f>IF(tblSalaries[[#This Row],[Years of Experience]]="","",IF(AND(tblSalaries[[#This Row],[Years of Experience]]&gt;5,tblSalaries[[#This Row],[Years of Experience]]&lt;=10),1,""))</f>
        <v/>
      </c>
      <c r="Q40" t="str">
        <f>IF(tblSalaries[[#This Row],[Years of Experience]]="","",IF(AND(tblSalaries[[#This Row],[Years of Experience]]&gt;10,tblSalaries[[#This Row],[Years of Experience]]&lt;=15),1,""))</f>
        <v/>
      </c>
      <c r="R40" t="str">
        <f>IF(tblSalaries[[#This Row],[Years of Experience]]="","",IF(AND(tblSalaries[[#This Row],[Years of Experience]]&gt;16,tblSalaries[[#This Row],[Years of Experience]]&lt;=20),1,""))</f>
        <v/>
      </c>
      <c r="S40" t="str">
        <f>IF(tblSalaries[[#This Row],[Years of Experience]]="","",IF(tblSalaries[[#This Row],[Years of Experience]]&gt;20,1,""))</f>
        <v/>
      </c>
      <c r="T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" s="13" t="str">
        <f>IF(tblSalaries[[#This Row],[Job Type]]=tblSalaries[[#Headers],[Accountant]],tblSalaries[[#This Row],[Salary in USD]],"")</f>
        <v/>
      </c>
      <c r="V40" s="13" t="str">
        <f>IF(tblSalaries[[#This Row],[Job Type]]=tblSalaries[[#Headers],[Analyst]],tblSalaries[[#This Row],[Salary in USD]],"")</f>
        <v/>
      </c>
      <c r="W40" s="13" t="str">
        <f>IF(tblSalaries[[#This Row],[Job Type]]=tblSalaries[[#Headers],[Consultant]],tblSalaries[[#This Row],[Salary in USD]],"")</f>
        <v/>
      </c>
      <c r="X40" s="13" t="str">
        <f>IF(tblSalaries[[#This Row],[Job Type]]=tblSalaries[[#Headers],[Controller]],tblSalaries[[#This Row],[Salary in USD]],"")</f>
        <v/>
      </c>
      <c r="Y40" s="13" t="str">
        <f>IF(tblSalaries[[#This Row],[Job Type]]=tblSalaries[[#Headers],[CXO or Top Mgmt.]],tblSalaries[[#This Row],[clean Salary (in local currency)]],"")</f>
        <v/>
      </c>
      <c r="Z40" s="13" t="str">
        <f>IF(tblSalaries[[#This Row],[Job Type]]=tblSalaries[[#Headers],[Engineer]],tblSalaries[[#This Row],[Salary in USD]],"")</f>
        <v/>
      </c>
      <c r="AA40" s="13">
        <f>IF(tblSalaries[[#This Row],[Job Type]]=tblSalaries[[#Headers],[Manager]],tblSalaries[[#This Row],[Salary in USD]],"")</f>
        <v>150000</v>
      </c>
      <c r="AB40" s="13" t="str">
        <f>IF(tblSalaries[[#This Row],[Job Type]]=tblSalaries[[#Headers],[Misc.]],tblSalaries[[#This Row],[Salary in USD]],"")</f>
        <v/>
      </c>
      <c r="AC40" s="13" t="str">
        <f>IF(tblSalaries[[#This Row],[Job Type]]=tblSalaries[[#Headers],[Reporting]],tblSalaries[[#This Row],[Salary in USD]],"")</f>
        <v/>
      </c>
      <c r="AD40" s="13" t="str">
        <f>IF(tblSalaries[[#This Row],[Job Type]]=tblSalaries[[#Headers],[Specialist]],tblSalaries[[#This Row],[Salary in USD]],"")</f>
        <v/>
      </c>
    </row>
    <row r="41" spans="2:30" ht="15" customHeight="1" x14ac:dyDescent="0.25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 s="9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  <c r="N41" t="str">
        <f>IF(tblSalaries[[#This Row],[Years of Experience]]="","",IF(tblSalaries[[#This Row],[Years of Experience]]&lt;=2,1,""))</f>
        <v/>
      </c>
      <c r="O41" t="str">
        <f>IF(tblSalaries[[#This Row],[Years of Experience]]="","",IF(AND(tblSalaries[[#This Row],[Years of Experience]]&gt;2,tblSalaries[[#This Row],[Years of Experience]]&lt;=5),1,""))</f>
        <v/>
      </c>
      <c r="P41" t="str">
        <f>IF(tblSalaries[[#This Row],[Years of Experience]]="","",IF(AND(tblSalaries[[#This Row],[Years of Experience]]&gt;5,tblSalaries[[#This Row],[Years of Experience]]&lt;=10),1,""))</f>
        <v/>
      </c>
      <c r="Q41" t="str">
        <f>IF(tblSalaries[[#This Row],[Years of Experience]]="","",IF(AND(tblSalaries[[#This Row],[Years of Experience]]&gt;10,tblSalaries[[#This Row],[Years of Experience]]&lt;=15),1,""))</f>
        <v/>
      </c>
      <c r="R41" t="str">
        <f>IF(tblSalaries[[#This Row],[Years of Experience]]="","",IF(AND(tblSalaries[[#This Row],[Years of Experience]]&gt;16,tblSalaries[[#This Row],[Years of Experience]]&lt;=20),1,""))</f>
        <v/>
      </c>
      <c r="S41" t="str">
        <f>IF(tblSalaries[[#This Row],[Years of Experience]]="","",IF(tblSalaries[[#This Row],[Years of Experience]]&gt;20,1,""))</f>
        <v/>
      </c>
      <c r="T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" s="13" t="str">
        <f>IF(tblSalaries[[#This Row],[Job Type]]=tblSalaries[[#Headers],[Accountant]],tblSalaries[[#This Row],[Salary in USD]],"")</f>
        <v/>
      </c>
      <c r="V41" s="13" t="str">
        <f>IF(tblSalaries[[#This Row],[Job Type]]=tblSalaries[[#Headers],[Analyst]],tblSalaries[[#This Row],[Salary in USD]],"")</f>
        <v/>
      </c>
      <c r="W41" s="13" t="str">
        <f>IF(tblSalaries[[#This Row],[Job Type]]=tblSalaries[[#Headers],[Consultant]],tblSalaries[[#This Row],[Salary in USD]],"")</f>
        <v/>
      </c>
      <c r="X41" s="13" t="str">
        <f>IF(tblSalaries[[#This Row],[Job Type]]=tblSalaries[[#Headers],[Controller]],tblSalaries[[#This Row],[Salary in USD]],"")</f>
        <v/>
      </c>
      <c r="Y41" s="13" t="str">
        <f>IF(tblSalaries[[#This Row],[Job Type]]=tblSalaries[[#Headers],[CXO or Top Mgmt.]],tblSalaries[[#This Row],[clean Salary (in local currency)]],"")</f>
        <v/>
      </c>
      <c r="Z41" s="13">
        <f>IF(tblSalaries[[#This Row],[Job Type]]=tblSalaries[[#Headers],[Engineer]],tblSalaries[[#This Row],[Salary in USD]],"")</f>
        <v>69000</v>
      </c>
      <c r="AA41" s="13" t="str">
        <f>IF(tblSalaries[[#This Row],[Job Type]]=tblSalaries[[#Headers],[Manager]],tblSalaries[[#This Row],[Salary in USD]],"")</f>
        <v/>
      </c>
      <c r="AB41" s="13" t="str">
        <f>IF(tblSalaries[[#This Row],[Job Type]]=tblSalaries[[#Headers],[Misc.]],tblSalaries[[#This Row],[Salary in USD]],"")</f>
        <v/>
      </c>
      <c r="AC41" s="13" t="str">
        <f>IF(tblSalaries[[#This Row],[Job Type]]=tblSalaries[[#Headers],[Reporting]],tblSalaries[[#This Row],[Salary in USD]],"")</f>
        <v/>
      </c>
      <c r="AD41" s="13" t="str">
        <f>IF(tblSalaries[[#This Row],[Job Type]]=tblSalaries[[#Headers],[Specialist]],tblSalaries[[#This Row],[Salary in USD]],"")</f>
        <v/>
      </c>
    </row>
    <row r="42" spans="2:30" ht="15" customHeight="1" x14ac:dyDescent="0.25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 s="9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  <c r="N42" t="str">
        <f>IF(tblSalaries[[#This Row],[Years of Experience]]="","",IF(tblSalaries[[#This Row],[Years of Experience]]&lt;=2,1,""))</f>
        <v/>
      </c>
      <c r="O42" t="str">
        <f>IF(tblSalaries[[#This Row],[Years of Experience]]="","",IF(AND(tblSalaries[[#This Row],[Years of Experience]]&gt;2,tblSalaries[[#This Row],[Years of Experience]]&lt;=5),1,""))</f>
        <v/>
      </c>
      <c r="P42" t="str">
        <f>IF(tblSalaries[[#This Row],[Years of Experience]]="","",IF(AND(tblSalaries[[#This Row],[Years of Experience]]&gt;5,tblSalaries[[#This Row],[Years of Experience]]&lt;=10),1,""))</f>
        <v/>
      </c>
      <c r="Q42" t="str">
        <f>IF(tblSalaries[[#This Row],[Years of Experience]]="","",IF(AND(tblSalaries[[#This Row],[Years of Experience]]&gt;10,tblSalaries[[#This Row],[Years of Experience]]&lt;=15),1,""))</f>
        <v/>
      </c>
      <c r="R42" t="str">
        <f>IF(tblSalaries[[#This Row],[Years of Experience]]="","",IF(AND(tblSalaries[[#This Row],[Years of Experience]]&gt;16,tblSalaries[[#This Row],[Years of Experience]]&lt;=20),1,""))</f>
        <v/>
      </c>
      <c r="S42" t="str">
        <f>IF(tblSalaries[[#This Row],[Years of Experience]]="","",IF(tblSalaries[[#This Row],[Years of Experience]]&gt;20,1,""))</f>
        <v/>
      </c>
      <c r="T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" s="13" t="str">
        <f>IF(tblSalaries[[#This Row],[Job Type]]=tblSalaries[[#Headers],[Accountant]],tblSalaries[[#This Row],[Salary in USD]],"")</f>
        <v/>
      </c>
      <c r="V42" s="13" t="str">
        <f>IF(tblSalaries[[#This Row],[Job Type]]=tblSalaries[[#Headers],[Analyst]],tblSalaries[[#This Row],[Salary in USD]],"")</f>
        <v/>
      </c>
      <c r="W42" s="13">
        <f>IF(tblSalaries[[#This Row],[Job Type]]=tblSalaries[[#Headers],[Consultant]],tblSalaries[[#This Row],[Salary in USD]],"")</f>
        <v>30000</v>
      </c>
      <c r="X42" s="13" t="str">
        <f>IF(tblSalaries[[#This Row],[Job Type]]=tblSalaries[[#Headers],[Controller]],tblSalaries[[#This Row],[Salary in USD]],"")</f>
        <v/>
      </c>
      <c r="Y42" s="13" t="str">
        <f>IF(tblSalaries[[#This Row],[Job Type]]=tblSalaries[[#Headers],[CXO or Top Mgmt.]],tblSalaries[[#This Row],[clean Salary (in local currency)]],"")</f>
        <v/>
      </c>
      <c r="Z42" s="13" t="str">
        <f>IF(tblSalaries[[#This Row],[Job Type]]=tblSalaries[[#Headers],[Engineer]],tblSalaries[[#This Row],[Salary in USD]],"")</f>
        <v/>
      </c>
      <c r="AA42" s="13" t="str">
        <f>IF(tblSalaries[[#This Row],[Job Type]]=tblSalaries[[#Headers],[Manager]],tblSalaries[[#This Row],[Salary in USD]],"")</f>
        <v/>
      </c>
      <c r="AB42" s="13" t="str">
        <f>IF(tblSalaries[[#This Row],[Job Type]]=tblSalaries[[#Headers],[Misc.]],tblSalaries[[#This Row],[Salary in USD]],"")</f>
        <v/>
      </c>
      <c r="AC42" s="13" t="str">
        <f>IF(tblSalaries[[#This Row],[Job Type]]=tblSalaries[[#Headers],[Reporting]],tblSalaries[[#This Row],[Salary in USD]],"")</f>
        <v/>
      </c>
      <c r="AD42" s="13" t="str">
        <f>IF(tblSalaries[[#This Row],[Job Type]]=tblSalaries[[#Headers],[Specialist]],tblSalaries[[#This Row],[Salary in USD]],"")</f>
        <v/>
      </c>
    </row>
    <row r="43" spans="2:30" ht="15" customHeight="1" x14ac:dyDescent="0.25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 s="9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  <c r="N43" t="str">
        <f>IF(tblSalaries[[#This Row],[Years of Experience]]="","",IF(tblSalaries[[#This Row],[Years of Experience]]&lt;=2,1,""))</f>
        <v/>
      </c>
      <c r="O43" t="str">
        <f>IF(tblSalaries[[#This Row],[Years of Experience]]="","",IF(AND(tblSalaries[[#This Row],[Years of Experience]]&gt;2,tblSalaries[[#This Row],[Years of Experience]]&lt;=5),1,""))</f>
        <v/>
      </c>
      <c r="P43" t="str">
        <f>IF(tblSalaries[[#This Row],[Years of Experience]]="","",IF(AND(tblSalaries[[#This Row],[Years of Experience]]&gt;5,tblSalaries[[#This Row],[Years of Experience]]&lt;=10),1,""))</f>
        <v/>
      </c>
      <c r="Q43" t="str">
        <f>IF(tblSalaries[[#This Row],[Years of Experience]]="","",IF(AND(tblSalaries[[#This Row],[Years of Experience]]&gt;10,tblSalaries[[#This Row],[Years of Experience]]&lt;=15),1,""))</f>
        <v/>
      </c>
      <c r="R43" t="str">
        <f>IF(tblSalaries[[#This Row],[Years of Experience]]="","",IF(AND(tblSalaries[[#This Row],[Years of Experience]]&gt;16,tblSalaries[[#This Row],[Years of Experience]]&lt;=20),1,""))</f>
        <v/>
      </c>
      <c r="S43" t="str">
        <f>IF(tblSalaries[[#This Row],[Years of Experience]]="","",IF(tblSalaries[[#This Row],[Years of Experience]]&gt;20,1,""))</f>
        <v/>
      </c>
      <c r="T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" s="13" t="str">
        <f>IF(tblSalaries[[#This Row],[Job Type]]=tblSalaries[[#Headers],[Accountant]],tblSalaries[[#This Row],[Salary in USD]],"")</f>
        <v/>
      </c>
      <c r="V43" s="13" t="str">
        <f>IF(tblSalaries[[#This Row],[Job Type]]=tblSalaries[[#Headers],[Analyst]],tblSalaries[[#This Row],[Salary in USD]],"")</f>
        <v/>
      </c>
      <c r="W43" s="13" t="str">
        <f>IF(tblSalaries[[#This Row],[Job Type]]=tblSalaries[[#Headers],[Consultant]],tblSalaries[[#This Row],[Salary in USD]],"")</f>
        <v/>
      </c>
      <c r="X43" s="13" t="str">
        <f>IF(tblSalaries[[#This Row],[Job Type]]=tblSalaries[[#Headers],[Controller]],tblSalaries[[#This Row],[Salary in USD]],"")</f>
        <v/>
      </c>
      <c r="Y43" s="13" t="str">
        <f>IF(tblSalaries[[#This Row],[Job Type]]=tblSalaries[[#Headers],[CXO or Top Mgmt.]],tblSalaries[[#This Row],[clean Salary (in local currency)]],"")</f>
        <v/>
      </c>
      <c r="Z43" s="13" t="str">
        <f>IF(tblSalaries[[#This Row],[Job Type]]=tblSalaries[[#Headers],[Engineer]],tblSalaries[[#This Row],[Salary in USD]],"")</f>
        <v/>
      </c>
      <c r="AA43" s="13">
        <f>IF(tblSalaries[[#This Row],[Job Type]]=tblSalaries[[#Headers],[Manager]],tblSalaries[[#This Row],[Salary in USD]],"")</f>
        <v>7123.1666749770275</v>
      </c>
      <c r="AB43" s="13" t="str">
        <f>IF(tblSalaries[[#This Row],[Job Type]]=tblSalaries[[#Headers],[Misc.]],tblSalaries[[#This Row],[Salary in USD]],"")</f>
        <v/>
      </c>
      <c r="AC43" s="13" t="str">
        <f>IF(tblSalaries[[#This Row],[Job Type]]=tblSalaries[[#Headers],[Reporting]],tblSalaries[[#This Row],[Salary in USD]],"")</f>
        <v/>
      </c>
      <c r="AD43" s="13" t="str">
        <f>IF(tblSalaries[[#This Row],[Job Type]]=tblSalaries[[#Headers],[Specialist]],tblSalaries[[#This Row],[Salary in USD]],"")</f>
        <v/>
      </c>
    </row>
    <row r="44" spans="2:30" ht="15" customHeight="1" x14ac:dyDescent="0.25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 s="9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  <c r="N44" t="str">
        <f>IF(tblSalaries[[#This Row],[Years of Experience]]="","",IF(tblSalaries[[#This Row],[Years of Experience]]&lt;=2,1,""))</f>
        <v/>
      </c>
      <c r="O44" t="str">
        <f>IF(tblSalaries[[#This Row],[Years of Experience]]="","",IF(AND(tblSalaries[[#This Row],[Years of Experience]]&gt;2,tblSalaries[[#This Row],[Years of Experience]]&lt;=5),1,""))</f>
        <v/>
      </c>
      <c r="P44" t="str">
        <f>IF(tblSalaries[[#This Row],[Years of Experience]]="","",IF(AND(tblSalaries[[#This Row],[Years of Experience]]&gt;5,tblSalaries[[#This Row],[Years of Experience]]&lt;=10),1,""))</f>
        <v/>
      </c>
      <c r="Q44" t="str">
        <f>IF(tblSalaries[[#This Row],[Years of Experience]]="","",IF(AND(tblSalaries[[#This Row],[Years of Experience]]&gt;10,tblSalaries[[#This Row],[Years of Experience]]&lt;=15),1,""))</f>
        <v/>
      </c>
      <c r="R44" t="str">
        <f>IF(tblSalaries[[#This Row],[Years of Experience]]="","",IF(AND(tblSalaries[[#This Row],[Years of Experience]]&gt;16,tblSalaries[[#This Row],[Years of Experience]]&lt;=20),1,""))</f>
        <v/>
      </c>
      <c r="S44" t="str">
        <f>IF(tblSalaries[[#This Row],[Years of Experience]]="","",IF(tblSalaries[[#This Row],[Years of Experience]]&gt;20,1,""))</f>
        <v/>
      </c>
      <c r="T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" s="13" t="str">
        <f>IF(tblSalaries[[#This Row],[Job Type]]=tblSalaries[[#Headers],[Accountant]],tblSalaries[[#This Row],[Salary in USD]],"")</f>
        <v/>
      </c>
      <c r="V44" s="13" t="str">
        <f>IF(tblSalaries[[#This Row],[Job Type]]=tblSalaries[[#Headers],[Analyst]],tblSalaries[[#This Row],[Salary in USD]],"")</f>
        <v/>
      </c>
      <c r="W44" s="13">
        <f>IF(tblSalaries[[#This Row],[Job Type]]=tblSalaries[[#Headers],[Consultant]],tblSalaries[[#This Row],[Salary in USD]],"")</f>
        <v>71393.675948184507</v>
      </c>
      <c r="X44" s="13" t="str">
        <f>IF(tblSalaries[[#This Row],[Job Type]]=tblSalaries[[#Headers],[Controller]],tblSalaries[[#This Row],[Salary in USD]],"")</f>
        <v/>
      </c>
      <c r="Y44" s="13" t="str">
        <f>IF(tblSalaries[[#This Row],[Job Type]]=tblSalaries[[#Headers],[CXO or Top Mgmt.]],tblSalaries[[#This Row],[clean Salary (in local currency)]],"")</f>
        <v/>
      </c>
      <c r="Z44" s="13" t="str">
        <f>IF(tblSalaries[[#This Row],[Job Type]]=tblSalaries[[#Headers],[Engineer]],tblSalaries[[#This Row],[Salary in USD]],"")</f>
        <v/>
      </c>
      <c r="AA44" s="13" t="str">
        <f>IF(tblSalaries[[#This Row],[Job Type]]=tblSalaries[[#Headers],[Manager]],tblSalaries[[#This Row],[Salary in USD]],"")</f>
        <v/>
      </c>
      <c r="AB44" s="13" t="str">
        <f>IF(tblSalaries[[#This Row],[Job Type]]=tblSalaries[[#Headers],[Misc.]],tblSalaries[[#This Row],[Salary in USD]],"")</f>
        <v/>
      </c>
      <c r="AC44" s="13" t="str">
        <f>IF(tblSalaries[[#This Row],[Job Type]]=tblSalaries[[#Headers],[Reporting]],tblSalaries[[#This Row],[Salary in USD]],"")</f>
        <v/>
      </c>
      <c r="AD44" s="13" t="str">
        <f>IF(tblSalaries[[#This Row],[Job Type]]=tblSalaries[[#Headers],[Specialist]],tblSalaries[[#This Row],[Salary in USD]],"")</f>
        <v/>
      </c>
    </row>
    <row r="45" spans="2:30" ht="15" customHeight="1" x14ac:dyDescent="0.25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 s="9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  <c r="N45" t="str">
        <f>IF(tblSalaries[[#This Row],[Years of Experience]]="","",IF(tblSalaries[[#This Row],[Years of Experience]]&lt;=2,1,""))</f>
        <v/>
      </c>
      <c r="O45" t="str">
        <f>IF(tblSalaries[[#This Row],[Years of Experience]]="","",IF(AND(tblSalaries[[#This Row],[Years of Experience]]&gt;2,tblSalaries[[#This Row],[Years of Experience]]&lt;=5),1,""))</f>
        <v/>
      </c>
      <c r="P45" t="str">
        <f>IF(tblSalaries[[#This Row],[Years of Experience]]="","",IF(AND(tblSalaries[[#This Row],[Years of Experience]]&gt;5,tblSalaries[[#This Row],[Years of Experience]]&lt;=10),1,""))</f>
        <v/>
      </c>
      <c r="Q45" t="str">
        <f>IF(tblSalaries[[#This Row],[Years of Experience]]="","",IF(AND(tblSalaries[[#This Row],[Years of Experience]]&gt;10,tblSalaries[[#This Row],[Years of Experience]]&lt;=15),1,""))</f>
        <v/>
      </c>
      <c r="R45" t="str">
        <f>IF(tblSalaries[[#This Row],[Years of Experience]]="","",IF(AND(tblSalaries[[#This Row],[Years of Experience]]&gt;16,tblSalaries[[#This Row],[Years of Experience]]&lt;=20),1,""))</f>
        <v/>
      </c>
      <c r="S45" t="str">
        <f>IF(tblSalaries[[#This Row],[Years of Experience]]="","",IF(tblSalaries[[#This Row],[Years of Experience]]&gt;20,1,""))</f>
        <v/>
      </c>
      <c r="T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" s="13" t="str">
        <f>IF(tblSalaries[[#This Row],[Job Type]]=tblSalaries[[#Headers],[Accountant]],tblSalaries[[#This Row],[Salary in USD]],"")</f>
        <v/>
      </c>
      <c r="V45" s="13">
        <f>IF(tblSalaries[[#This Row],[Job Type]]=tblSalaries[[#Headers],[Analyst]],tblSalaries[[#This Row],[Salary in USD]],"")</f>
        <v>14500</v>
      </c>
      <c r="W45" s="13" t="str">
        <f>IF(tblSalaries[[#This Row],[Job Type]]=tblSalaries[[#Headers],[Consultant]],tblSalaries[[#This Row],[Salary in USD]],"")</f>
        <v/>
      </c>
      <c r="X45" s="13" t="str">
        <f>IF(tblSalaries[[#This Row],[Job Type]]=tblSalaries[[#Headers],[Controller]],tblSalaries[[#This Row],[Salary in USD]],"")</f>
        <v/>
      </c>
      <c r="Y45" s="13" t="str">
        <f>IF(tblSalaries[[#This Row],[Job Type]]=tblSalaries[[#Headers],[CXO or Top Mgmt.]],tblSalaries[[#This Row],[clean Salary (in local currency)]],"")</f>
        <v/>
      </c>
      <c r="Z45" s="13" t="str">
        <f>IF(tblSalaries[[#This Row],[Job Type]]=tblSalaries[[#Headers],[Engineer]],tblSalaries[[#This Row],[Salary in USD]],"")</f>
        <v/>
      </c>
      <c r="AA45" s="13" t="str">
        <f>IF(tblSalaries[[#This Row],[Job Type]]=tblSalaries[[#Headers],[Manager]],tblSalaries[[#This Row],[Salary in USD]],"")</f>
        <v/>
      </c>
      <c r="AB45" s="13" t="str">
        <f>IF(tblSalaries[[#This Row],[Job Type]]=tblSalaries[[#Headers],[Misc.]],tblSalaries[[#This Row],[Salary in USD]],"")</f>
        <v/>
      </c>
      <c r="AC45" s="13" t="str">
        <f>IF(tblSalaries[[#This Row],[Job Type]]=tblSalaries[[#Headers],[Reporting]],tblSalaries[[#This Row],[Salary in USD]],"")</f>
        <v/>
      </c>
      <c r="AD45" s="13" t="str">
        <f>IF(tblSalaries[[#This Row],[Job Type]]=tblSalaries[[#Headers],[Specialist]],tblSalaries[[#This Row],[Salary in USD]],"")</f>
        <v/>
      </c>
    </row>
    <row r="46" spans="2:30" ht="15" customHeight="1" x14ac:dyDescent="0.25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 s="9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  <c r="N46" t="str">
        <f>IF(tblSalaries[[#This Row],[Years of Experience]]="","",IF(tblSalaries[[#This Row],[Years of Experience]]&lt;=2,1,""))</f>
        <v/>
      </c>
      <c r="O46" t="str">
        <f>IF(tblSalaries[[#This Row],[Years of Experience]]="","",IF(AND(tblSalaries[[#This Row],[Years of Experience]]&gt;2,tblSalaries[[#This Row],[Years of Experience]]&lt;=5),1,""))</f>
        <v/>
      </c>
      <c r="P46" t="str">
        <f>IF(tblSalaries[[#This Row],[Years of Experience]]="","",IF(AND(tblSalaries[[#This Row],[Years of Experience]]&gt;5,tblSalaries[[#This Row],[Years of Experience]]&lt;=10),1,""))</f>
        <v/>
      </c>
      <c r="Q46" t="str">
        <f>IF(tblSalaries[[#This Row],[Years of Experience]]="","",IF(AND(tblSalaries[[#This Row],[Years of Experience]]&gt;10,tblSalaries[[#This Row],[Years of Experience]]&lt;=15),1,""))</f>
        <v/>
      </c>
      <c r="R46" t="str">
        <f>IF(tblSalaries[[#This Row],[Years of Experience]]="","",IF(AND(tblSalaries[[#This Row],[Years of Experience]]&gt;16,tblSalaries[[#This Row],[Years of Experience]]&lt;=20),1,""))</f>
        <v/>
      </c>
      <c r="S46" t="str">
        <f>IF(tblSalaries[[#This Row],[Years of Experience]]="","",IF(tblSalaries[[#This Row],[Years of Experience]]&gt;20,1,""))</f>
        <v/>
      </c>
      <c r="T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" s="13" t="str">
        <f>IF(tblSalaries[[#This Row],[Job Type]]=tblSalaries[[#Headers],[Accountant]],tblSalaries[[#This Row],[Salary in USD]],"")</f>
        <v/>
      </c>
      <c r="V46" s="13" t="str">
        <f>IF(tblSalaries[[#This Row],[Job Type]]=tblSalaries[[#Headers],[Analyst]],tblSalaries[[#This Row],[Salary in USD]],"")</f>
        <v/>
      </c>
      <c r="W46" s="13" t="str">
        <f>IF(tblSalaries[[#This Row],[Job Type]]=tblSalaries[[#Headers],[Consultant]],tblSalaries[[#This Row],[Salary in USD]],"")</f>
        <v/>
      </c>
      <c r="X46" s="13" t="str">
        <f>IF(tblSalaries[[#This Row],[Job Type]]=tblSalaries[[#Headers],[Controller]],tblSalaries[[#This Row],[Salary in USD]],"")</f>
        <v/>
      </c>
      <c r="Y46" s="13" t="str">
        <f>IF(tblSalaries[[#This Row],[Job Type]]=tblSalaries[[#Headers],[CXO or Top Mgmt.]],tblSalaries[[#This Row],[clean Salary (in local currency)]],"")</f>
        <v/>
      </c>
      <c r="Z46" s="13">
        <f>IF(tblSalaries[[#This Row],[Job Type]]=tblSalaries[[#Headers],[Engineer]],tblSalaries[[#This Row],[Salary in USD]],"")</f>
        <v>68835.306612122877</v>
      </c>
      <c r="AA46" s="13" t="str">
        <f>IF(tblSalaries[[#This Row],[Job Type]]=tblSalaries[[#Headers],[Manager]],tblSalaries[[#This Row],[Salary in USD]],"")</f>
        <v/>
      </c>
      <c r="AB46" s="13" t="str">
        <f>IF(tblSalaries[[#This Row],[Job Type]]=tblSalaries[[#Headers],[Misc.]],tblSalaries[[#This Row],[Salary in USD]],"")</f>
        <v/>
      </c>
      <c r="AC46" s="13" t="str">
        <f>IF(tblSalaries[[#This Row],[Job Type]]=tblSalaries[[#Headers],[Reporting]],tblSalaries[[#This Row],[Salary in USD]],"")</f>
        <v/>
      </c>
      <c r="AD46" s="13" t="str">
        <f>IF(tblSalaries[[#This Row],[Job Type]]=tblSalaries[[#Headers],[Specialist]],tblSalaries[[#This Row],[Salary in USD]],"")</f>
        <v/>
      </c>
    </row>
    <row r="47" spans="2:30" ht="15" customHeight="1" x14ac:dyDescent="0.25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 s="9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  <c r="N47" t="str">
        <f>IF(tblSalaries[[#This Row],[Years of Experience]]="","",IF(tblSalaries[[#This Row],[Years of Experience]]&lt;=2,1,""))</f>
        <v/>
      </c>
      <c r="O47" t="str">
        <f>IF(tblSalaries[[#This Row],[Years of Experience]]="","",IF(AND(tblSalaries[[#This Row],[Years of Experience]]&gt;2,tblSalaries[[#This Row],[Years of Experience]]&lt;=5),1,""))</f>
        <v/>
      </c>
      <c r="P47" t="str">
        <f>IF(tblSalaries[[#This Row],[Years of Experience]]="","",IF(AND(tblSalaries[[#This Row],[Years of Experience]]&gt;5,tblSalaries[[#This Row],[Years of Experience]]&lt;=10),1,""))</f>
        <v/>
      </c>
      <c r="Q47" t="str">
        <f>IF(tblSalaries[[#This Row],[Years of Experience]]="","",IF(AND(tblSalaries[[#This Row],[Years of Experience]]&gt;10,tblSalaries[[#This Row],[Years of Experience]]&lt;=15),1,""))</f>
        <v/>
      </c>
      <c r="R47" t="str">
        <f>IF(tblSalaries[[#This Row],[Years of Experience]]="","",IF(AND(tblSalaries[[#This Row],[Years of Experience]]&gt;16,tblSalaries[[#This Row],[Years of Experience]]&lt;=20),1,""))</f>
        <v/>
      </c>
      <c r="S47" t="str">
        <f>IF(tblSalaries[[#This Row],[Years of Experience]]="","",IF(tblSalaries[[#This Row],[Years of Experience]]&gt;20,1,""))</f>
        <v/>
      </c>
      <c r="T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" s="13">
        <f>IF(tblSalaries[[#This Row],[Job Type]]=tblSalaries[[#Headers],[Accountant]],tblSalaries[[#This Row],[Salary in USD]],"")</f>
        <v>58000</v>
      </c>
      <c r="V47" s="13" t="str">
        <f>IF(tblSalaries[[#This Row],[Job Type]]=tblSalaries[[#Headers],[Analyst]],tblSalaries[[#This Row],[Salary in USD]],"")</f>
        <v/>
      </c>
      <c r="W47" s="13" t="str">
        <f>IF(tblSalaries[[#This Row],[Job Type]]=tblSalaries[[#Headers],[Consultant]],tblSalaries[[#This Row],[Salary in USD]],"")</f>
        <v/>
      </c>
      <c r="X47" s="13" t="str">
        <f>IF(tblSalaries[[#This Row],[Job Type]]=tblSalaries[[#Headers],[Controller]],tblSalaries[[#This Row],[Salary in USD]],"")</f>
        <v/>
      </c>
      <c r="Y47" s="13" t="str">
        <f>IF(tblSalaries[[#This Row],[Job Type]]=tblSalaries[[#Headers],[CXO or Top Mgmt.]],tblSalaries[[#This Row],[clean Salary (in local currency)]],"")</f>
        <v/>
      </c>
      <c r="Z47" s="13" t="str">
        <f>IF(tblSalaries[[#This Row],[Job Type]]=tblSalaries[[#Headers],[Engineer]],tblSalaries[[#This Row],[Salary in USD]],"")</f>
        <v/>
      </c>
      <c r="AA47" s="13" t="str">
        <f>IF(tblSalaries[[#This Row],[Job Type]]=tblSalaries[[#Headers],[Manager]],tblSalaries[[#This Row],[Salary in USD]],"")</f>
        <v/>
      </c>
      <c r="AB47" s="13" t="str">
        <f>IF(tblSalaries[[#This Row],[Job Type]]=tblSalaries[[#Headers],[Misc.]],tblSalaries[[#This Row],[Salary in USD]],"")</f>
        <v/>
      </c>
      <c r="AC47" s="13" t="str">
        <f>IF(tblSalaries[[#This Row],[Job Type]]=tblSalaries[[#Headers],[Reporting]],tblSalaries[[#This Row],[Salary in USD]],"")</f>
        <v/>
      </c>
      <c r="AD47" s="13" t="str">
        <f>IF(tblSalaries[[#This Row],[Job Type]]=tblSalaries[[#Headers],[Specialist]],tblSalaries[[#This Row],[Salary in USD]],"")</f>
        <v/>
      </c>
    </row>
    <row r="48" spans="2:30" ht="15" customHeight="1" x14ac:dyDescent="0.25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 s="9">
        <f>tblSalaries[[#This Row],[clean Salary (in local currency)]]*VLOOKUP(tblSalaries[[#This Row],[Currency]],tblXrate[],2,FALSE)</f>
        <v>90000</v>
      </c>
      <c r="H48" t="s">
        <v>90</v>
      </c>
      <c r="I48" t="s">
        <v>4000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  <c r="N48" t="str">
        <f>IF(tblSalaries[[#This Row],[Years of Experience]]="","",IF(tblSalaries[[#This Row],[Years of Experience]]&lt;=2,1,""))</f>
        <v/>
      </c>
      <c r="O48" t="str">
        <f>IF(tblSalaries[[#This Row],[Years of Experience]]="","",IF(AND(tblSalaries[[#This Row],[Years of Experience]]&gt;2,tblSalaries[[#This Row],[Years of Experience]]&lt;=5),1,""))</f>
        <v/>
      </c>
      <c r="P48" t="str">
        <f>IF(tblSalaries[[#This Row],[Years of Experience]]="","",IF(AND(tblSalaries[[#This Row],[Years of Experience]]&gt;5,tblSalaries[[#This Row],[Years of Experience]]&lt;=10),1,""))</f>
        <v/>
      </c>
      <c r="Q48" t="str">
        <f>IF(tblSalaries[[#This Row],[Years of Experience]]="","",IF(AND(tblSalaries[[#This Row],[Years of Experience]]&gt;10,tblSalaries[[#This Row],[Years of Experience]]&lt;=15),1,""))</f>
        <v/>
      </c>
      <c r="R48" t="str">
        <f>IF(tblSalaries[[#This Row],[Years of Experience]]="","",IF(AND(tblSalaries[[#This Row],[Years of Experience]]&gt;16,tblSalaries[[#This Row],[Years of Experience]]&lt;=20),1,""))</f>
        <v/>
      </c>
      <c r="S48" t="str">
        <f>IF(tblSalaries[[#This Row],[Years of Experience]]="","",IF(tblSalaries[[#This Row],[Years of Experience]]&gt;20,1,""))</f>
        <v/>
      </c>
      <c r="T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" s="13" t="str">
        <f>IF(tblSalaries[[#This Row],[Job Type]]=tblSalaries[[#Headers],[Accountant]],tblSalaries[[#This Row],[Salary in USD]],"")</f>
        <v/>
      </c>
      <c r="V48" s="13" t="str">
        <f>IF(tblSalaries[[#This Row],[Job Type]]=tblSalaries[[#Headers],[Analyst]],tblSalaries[[#This Row],[Salary in USD]],"")</f>
        <v/>
      </c>
      <c r="W48" s="13" t="str">
        <f>IF(tblSalaries[[#This Row],[Job Type]]=tblSalaries[[#Headers],[Consultant]],tblSalaries[[#This Row],[Salary in USD]],"")</f>
        <v/>
      </c>
      <c r="X48" s="13" t="str">
        <f>IF(tblSalaries[[#This Row],[Job Type]]=tblSalaries[[#Headers],[Controller]],tblSalaries[[#This Row],[Salary in USD]],"")</f>
        <v/>
      </c>
      <c r="Y48" s="13" t="str">
        <f>IF(tblSalaries[[#This Row],[Job Type]]=tblSalaries[[#Headers],[CXO or Top Mgmt.]],tblSalaries[[#This Row],[clean Salary (in local currency)]],"")</f>
        <v/>
      </c>
      <c r="Z48" s="13" t="str">
        <f>IF(tblSalaries[[#This Row],[Job Type]]=tblSalaries[[#Headers],[Engineer]],tblSalaries[[#This Row],[Salary in USD]],"")</f>
        <v/>
      </c>
      <c r="AA48" s="13" t="str">
        <f>IF(tblSalaries[[#This Row],[Job Type]]=tblSalaries[[#Headers],[Manager]],tblSalaries[[#This Row],[Salary in USD]],"")</f>
        <v/>
      </c>
      <c r="AB48" s="13">
        <f>IF(tblSalaries[[#This Row],[Job Type]]=tblSalaries[[#Headers],[Misc.]],tblSalaries[[#This Row],[Salary in USD]],"")</f>
        <v>90000</v>
      </c>
      <c r="AC48" s="13" t="str">
        <f>IF(tblSalaries[[#This Row],[Job Type]]=tblSalaries[[#Headers],[Reporting]],tblSalaries[[#This Row],[Salary in USD]],"")</f>
        <v/>
      </c>
      <c r="AD48" s="13" t="str">
        <f>IF(tblSalaries[[#This Row],[Job Type]]=tblSalaries[[#Headers],[Specialist]],tblSalaries[[#This Row],[Salary in USD]],"")</f>
        <v/>
      </c>
    </row>
    <row r="49" spans="2:30" ht="15" customHeight="1" x14ac:dyDescent="0.25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 s="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  <c r="N49" t="str">
        <f>IF(tblSalaries[[#This Row],[Years of Experience]]="","",IF(tblSalaries[[#This Row],[Years of Experience]]&lt;=2,1,""))</f>
        <v/>
      </c>
      <c r="O49" t="str">
        <f>IF(tblSalaries[[#This Row],[Years of Experience]]="","",IF(AND(tblSalaries[[#This Row],[Years of Experience]]&gt;2,tblSalaries[[#This Row],[Years of Experience]]&lt;=5),1,""))</f>
        <v/>
      </c>
      <c r="P49" t="str">
        <f>IF(tblSalaries[[#This Row],[Years of Experience]]="","",IF(AND(tblSalaries[[#This Row],[Years of Experience]]&gt;5,tblSalaries[[#This Row],[Years of Experience]]&lt;=10),1,""))</f>
        <v/>
      </c>
      <c r="Q49" t="str">
        <f>IF(tblSalaries[[#This Row],[Years of Experience]]="","",IF(AND(tblSalaries[[#This Row],[Years of Experience]]&gt;10,tblSalaries[[#This Row],[Years of Experience]]&lt;=15),1,""))</f>
        <v/>
      </c>
      <c r="R49" t="str">
        <f>IF(tblSalaries[[#This Row],[Years of Experience]]="","",IF(AND(tblSalaries[[#This Row],[Years of Experience]]&gt;16,tblSalaries[[#This Row],[Years of Experience]]&lt;=20),1,""))</f>
        <v/>
      </c>
      <c r="S49" t="str">
        <f>IF(tblSalaries[[#This Row],[Years of Experience]]="","",IF(tblSalaries[[#This Row],[Years of Experience]]&gt;20,1,""))</f>
        <v/>
      </c>
      <c r="T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" s="13" t="str">
        <f>IF(tblSalaries[[#This Row],[Job Type]]=tblSalaries[[#Headers],[Accountant]],tblSalaries[[#This Row],[Salary in USD]],"")</f>
        <v/>
      </c>
      <c r="V49" s="13" t="str">
        <f>IF(tblSalaries[[#This Row],[Job Type]]=tblSalaries[[#Headers],[Analyst]],tblSalaries[[#This Row],[Salary in USD]],"")</f>
        <v/>
      </c>
      <c r="W49" s="13" t="str">
        <f>IF(tblSalaries[[#This Row],[Job Type]]=tblSalaries[[#Headers],[Consultant]],tblSalaries[[#This Row],[Salary in USD]],"")</f>
        <v/>
      </c>
      <c r="X49" s="13" t="str">
        <f>IF(tblSalaries[[#This Row],[Job Type]]=tblSalaries[[#Headers],[Controller]],tblSalaries[[#This Row],[Salary in USD]],"")</f>
        <v/>
      </c>
      <c r="Y49" s="13" t="str">
        <f>IF(tblSalaries[[#This Row],[Job Type]]=tblSalaries[[#Headers],[CXO or Top Mgmt.]],tblSalaries[[#This Row],[clean Salary (in local currency)]],"")</f>
        <v/>
      </c>
      <c r="Z49" s="13" t="str">
        <f>IF(tblSalaries[[#This Row],[Job Type]]=tblSalaries[[#Headers],[Engineer]],tblSalaries[[#This Row],[Salary in USD]],"")</f>
        <v/>
      </c>
      <c r="AA49" s="13">
        <f>IF(tblSalaries[[#This Row],[Job Type]]=tblSalaries[[#Headers],[Manager]],tblSalaries[[#This Row],[Salary in USD]],"")</f>
        <v>14246.333349954055</v>
      </c>
      <c r="AB49" s="13" t="str">
        <f>IF(tblSalaries[[#This Row],[Job Type]]=tblSalaries[[#Headers],[Misc.]],tblSalaries[[#This Row],[Salary in USD]],"")</f>
        <v/>
      </c>
      <c r="AC49" s="13" t="str">
        <f>IF(tblSalaries[[#This Row],[Job Type]]=tblSalaries[[#Headers],[Reporting]],tblSalaries[[#This Row],[Salary in USD]],"")</f>
        <v/>
      </c>
      <c r="AD49" s="13" t="str">
        <f>IF(tblSalaries[[#This Row],[Job Type]]=tblSalaries[[#Headers],[Specialist]],tblSalaries[[#This Row],[Salary in USD]],"")</f>
        <v/>
      </c>
    </row>
    <row r="50" spans="2:30" ht="15" customHeight="1" x14ac:dyDescent="0.25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 s="9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  <c r="N50" t="str">
        <f>IF(tblSalaries[[#This Row],[Years of Experience]]="","",IF(tblSalaries[[#This Row],[Years of Experience]]&lt;=2,1,""))</f>
        <v/>
      </c>
      <c r="O50" t="str">
        <f>IF(tblSalaries[[#This Row],[Years of Experience]]="","",IF(AND(tblSalaries[[#This Row],[Years of Experience]]&gt;2,tblSalaries[[#This Row],[Years of Experience]]&lt;=5),1,""))</f>
        <v/>
      </c>
      <c r="P50" t="str">
        <f>IF(tblSalaries[[#This Row],[Years of Experience]]="","",IF(AND(tblSalaries[[#This Row],[Years of Experience]]&gt;5,tblSalaries[[#This Row],[Years of Experience]]&lt;=10),1,""))</f>
        <v/>
      </c>
      <c r="Q50" t="str">
        <f>IF(tblSalaries[[#This Row],[Years of Experience]]="","",IF(AND(tblSalaries[[#This Row],[Years of Experience]]&gt;10,tblSalaries[[#This Row],[Years of Experience]]&lt;=15),1,""))</f>
        <v/>
      </c>
      <c r="R50" t="str">
        <f>IF(tblSalaries[[#This Row],[Years of Experience]]="","",IF(AND(tblSalaries[[#This Row],[Years of Experience]]&gt;16,tblSalaries[[#This Row],[Years of Experience]]&lt;=20),1,""))</f>
        <v/>
      </c>
      <c r="S50" t="str">
        <f>IF(tblSalaries[[#This Row],[Years of Experience]]="","",IF(tblSalaries[[#This Row],[Years of Experience]]&gt;20,1,""))</f>
        <v/>
      </c>
      <c r="T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" s="13" t="str">
        <f>IF(tblSalaries[[#This Row],[Job Type]]=tblSalaries[[#Headers],[Accountant]],tblSalaries[[#This Row],[Salary in USD]],"")</f>
        <v/>
      </c>
      <c r="V50" s="13">
        <f>IF(tblSalaries[[#This Row],[Job Type]]=tblSalaries[[#Headers],[Analyst]],tblSalaries[[#This Row],[Salary in USD]],"")</f>
        <v>50437.70470615309</v>
      </c>
      <c r="W50" s="13" t="str">
        <f>IF(tblSalaries[[#This Row],[Job Type]]=tblSalaries[[#Headers],[Consultant]],tblSalaries[[#This Row],[Salary in USD]],"")</f>
        <v/>
      </c>
      <c r="X50" s="13" t="str">
        <f>IF(tblSalaries[[#This Row],[Job Type]]=tblSalaries[[#Headers],[Controller]],tblSalaries[[#This Row],[Salary in USD]],"")</f>
        <v/>
      </c>
      <c r="Y50" s="13" t="str">
        <f>IF(tblSalaries[[#This Row],[Job Type]]=tblSalaries[[#Headers],[CXO or Top Mgmt.]],tblSalaries[[#This Row],[clean Salary (in local currency)]],"")</f>
        <v/>
      </c>
      <c r="Z50" s="13" t="str">
        <f>IF(tblSalaries[[#This Row],[Job Type]]=tblSalaries[[#Headers],[Engineer]],tblSalaries[[#This Row],[Salary in USD]],"")</f>
        <v/>
      </c>
      <c r="AA50" s="13" t="str">
        <f>IF(tblSalaries[[#This Row],[Job Type]]=tblSalaries[[#Headers],[Manager]],tblSalaries[[#This Row],[Salary in USD]],"")</f>
        <v/>
      </c>
      <c r="AB50" s="13" t="str">
        <f>IF(tblSalaries[[#This Row],[Job Type]]=tblSalaries[[#Headers],[Misc.]],tblSalaries[[#This Row],[Salary in USD]],"")</f>
        <v/>
      </c>
      <c r="AC50" s="13" t="str">
        <f>IF(tblSalaries[[#This Row],[Job Type]]=tblSalaries[[#Headers],[Reporting]],tblSalaries[[#This Row],[Salary in USD]],"")</f>
        <v/>
      </c>
      <c r="AD50" s="13" t="str">
        <f>IF(tblSalaries[[#This Row],[Job Type]]=tblSalaries[[#Headers],[Specialist]],tblSalaries[[#This Row],[Salary in USD]],"")</f>
        <v/>
      </c>
    </row>
    <row r="51" spans="2:30" ht="15" customHeight="1" x14ac:dyDescent="0.25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 s="9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  <c r="N51" t="str">
        <f>IF(tblSalaries[[#This Row],[Years of Experience]]="","",IF(tblSalaries[[#This Row],[Years of Experience]]&lt;=2,1,""))</f>
        <v/>
      </c>
      <c r="O51" t="str">
        <f>IF(tblSalaries[[#This Row],[Years of Experience]]="","",IF(AND(tblSalaries[[#This Row],[Years of Experience]]&gt;2,tblSalaries[[#This Row],[Years of Experience]]&lt;=5),1,""))</f>
        <v/>
      </c>
      <c r="P51" t="str">
        <f>IF(tblSalaries[[#This Row],[Years of Experience]]="","",IF(AND(tblSalaries[[#This Row],[Years of Experience]]&gt;5,tblSalaries[[#This Row],[Years of Experience]]&lt;=10),1,""))</f>
        <v/>
      </c>
      <c r="Q51" t="str">
        <f>IF(tblSalaries[[#This Row],[Years of Experience]]="","",IF(AND(tblSalaries[[#This Row],[Years of Experience]]&gt;10,tblSalaries[[#This Row],[Years of Experience]]&lt;=15),1,""))</f>
        <v/>
      </c>
      <c r="R51" t="str">
        <f>IF(tblSalaries[[#This Row],[Years of Experience]]="","",IF(AND(tblSalaries[[#This Row],[Years of Experience]]&gt;16,tblSalaries[[#This Row],[Years of Experience]]&lt;=20),1,""))</f>
        <v/>
      </c>
      <c r="S51" t="str">
        <f>IF(tblSalaries[[#This Row],[Years of Experience]]="","",IF(tblSalaries[[#This Row],[Years of Experience]]&gt;20,1,""))</f>
        <v/>
      </c>
      <c r="T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" s="13" t="str">
        <f>IF(tblSalaries[[#This Row],[Job Type]]=tblSalaries[[#Headers],[Accountant]],tblSalaries[[#This Row],[Salary in USD]],"")</f>
        <v/>
      </c>
      <c r="V51" s="13" t="str">
        <f>IF(tblSalaries[[#This Row],[Job Type]]=tblSalaries[[#Headers],[Analyst]],tblSalaries[[#This Row],[Salary in USD]],"")</f>
        <v/>
      </c>
      <c r="W51" s="13">
        <f>IF(tblSalaries[[#This Row],[Job Type]]=tblSalaries[[#Headers],[Consultant]],tblSalaries[[#This Row],[Salary in USD]],"")</f>
        <v>12000</v>
      </c>
      <c r="X51" s="13" t="str">
        <f>IF(tblSalaries[[#This Row],[Job Type]]=tblSalaries[[#Headers],[Controller]],tblSalaries[[#This Row],[Salary in USD]],"")</f>
        <v/>
      </c>
      <c r="Y51" s="13" t="str">
        <f>IF(tblSalaries[[#This Row],[Job Type]]=tblSalaries[[#Headers],[CXO or Top Mgmt.]],tblSalaries[[#This Row],[clean Salary (in local currency)]],"")</f>
        <v/>
      </c>
      <c r="Z51" s="13" t="str">
        <f>IF(tblSalaries[[#This Row],[Job Type]]=tblSalaries[[#Headers],[Engineer]],tblSalaries[[#This Row],[Salary in USD]],"")</f>
        <v/>
      </c>
      <c r="AA51" s="13" t="str">
        <f>IF(tblSalaries[[#This Row],[Job Type]]=tblSalaries[[#Headers],[Manager]],tblSalaries[[#This Row],[Salary in USD]],"")</f>
        <v/>
      </c>
      <c r="AB51" s="13" t="str">
        <f>IF(tblSalaries[[#This Row],[Job Type]]=tblSalaries[[#Headers],[Misc.]],tblSalaries[[#This Row],[Salary in USD]],"")</f>
        <v/>
      </c>
      <c r="AC51" s="13" t="str">
        <f>IF(tblSalaries[[#This Row],[Job Type]]=tblSalaries[[#Headers],[Reporting]],tblSalaries[[#This Row],[Salary in USD]],"")</f>
        <v/>
      </c>
      <c r="AD51" s="13" t="str">
        <f>IF(tblSalaries[[#This Row],[Job Type]]=tblSalaries[[#Headers],[Specialist]],tblSalaries[[#This Row],[Salary in USD]],"")</f>
        <v/>
      </c>
    </row>
    <row r="52" spans="2:30" ht="15" customHeight="1" x14ac:dyDescent="0.25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 s="9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  <c r="N52" t="str">
        <f>IF(tblSalaries[[#This Row],[Years of Experience]]="","",IF(tblSalaries[[#This Row],[Years of Experience]]&lt;=2,1,""))</f>
        <v/>
      </c>
      <c r="O52" t="str">
        <f>IF(tblSalaries[[#This Row],[Years of Experience]]="","",IF(AND(tblSalaries[[#This Row],[Years of Experience]]&gt;2,tblSalaries[[#This Row],[Years of Experience]]&lt;=5),1,""))</f>
        <v/>
      </c>
      <c r="P52" t="str">
        <f>IF(tblSalaries[[#This Row],[Years of Experience]]="","",IF(AND(tblSalaries[[#This Row],[Years of Experience]]&gt;5,tblSalaries[[#This Row],[Years of Experience]]&lt;=10),1,""))</f>
        <v/>
      </c>
      <c r="Q52" t="str">
        <f>IF(tblSalaries[[#This Row],[Years of Experience]]="","",IF(AND(tblSalaries[[#This Row],[Years of Experience]]&gt;10,tblSalaries[[#This Row],[Years of Experience]]&lt;=15),1,""))</f>
        <v/>
      </c>
      <c r="R52" t="str">
        <f>IF(tblSalaries[[#This Row],[Years of Experience]]="","",IF(AND(tblSalaries[[#This Row],[Years of Experience]]&gt;16,tblSalaries[[#This Row],[Years of Experience]]&lt;=20),1,""))</f>
        <v/>
      </c>
      <c r="S52" t="str">
        <f>IF(tblSalaries[[#This Row],[Years of Experience]]="","",IF(tblSalaries[[#This Row],[Years of Experience]]&gt;20,1,""))</f>
        <v/>
      </c>
      <c r="T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" s="13" t="str">
        <f>IF(tblSalaries[[#This Row],[Job Type]]=tblSalaries[[#Headers],[Accountant]],tblSalaries[[#This Row],[Salary in USD]],"")</f>
        <v/>
      </c>
      <c r="V52" s="13" t="str">
        <f>IF(tblSalaries[[#This Row],[Job Type]]=tblSalaries[[#Headers],[Analyst]],tblSalaries[[#This Row],[Salary in USD]],"")</f>
        <v/>
      </c>
      <c r="W52" s="13" t="str">
        <f>IF(tblSalaries[[#This Row],[Job Type]]=tblSalaries[[#Headers],[Consultant]],tblSalaries[[#This Row],[Salary in USD]],"")</f>
        <v/>
      </c>
      <c r="X52" s="13" t="str">
        <f>IF(tblSalaries[[#This Row],[Job Type]]=tblSalaries[[#Headers],[Controller]],tblSalaries[[#This Row],[Salary in USD]],"")</f>
        <v/>
      </c>
      <c r="Y52" s="13" t="str">
        <f>IF(tblSalaries[[#This Row],[Job Type]]=tblSalaries[[#Headers],[CXO or Top Mgmt.]],tblSalaries[[#This Row],[clean Salary (in local currency)]],"")</f>
        <v/>
      </c>
      <c r="Z52" s="13" t="str">
        <f>IF(tblSalaries[[#This Row],[Job Type]]=tblSalaries[[#Headers],[Engineer]],tblSalaries[[#This Row],[Salary in USD]],"")</f>
        <v/>
      </c>
      <c r="AA52" s="13">
        <f>IF(tblSalaries[[#This Row],[Job Type]]=tblSalaries[[#Headers],[Manager]],tblSalaries[[#This Row],[Salary in USD]],"")</f>
        <v>57167.974754622352</v>
      </c>
      <c r="AB52" s="13" t="str">
        <f>IF(tblSalaries[[#This Row],[Job Type]]=tblSalaries[[#Headers],[Misc.]],tblSalaries[[#This Row],[Salary in USD]],"")</f>
        <v/>
      </c>
      <c r="AC52" s="13" t="str">
        <f>IF(tblSalaries[[#This Row],[Job Type]]=tblSalaries[[#Headers],[Reporting]],tblSalaries[[#This Row],[Salary in USD]],"")</f>
        <v/>
      </c>
      <c r="AD52" s="13" t="str">
        <f>IF(tblSalaries[[#This Row],[Job Type]]=tblSalaries[[#Headers],[Specialist]],tblSalaries[[#This Row],[Salary in USD]],"")</f>
        <v/>
      </c>
    </row>
    <row r="53" spans="2:30" ht="15" customHeight="1" x14ac:dyDescent="0.25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 s="9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  <c r="N53" t="str">
        <f>IF(tblSalaries[[#This Row],[Years of Experience]]="","",IF(tblSalaries[[#This Row],[Years of Experience]]&lt;=2,1,""))</f>
        <v/>
      </c>
      <c r="O53" t="str">
        <f>IF(tblSalaries[[#This Row],[Years of Experience]]="","",IF(AND(tblSalaries[[#This Row],[Years of Experience]]&gt;2,tblSalaries[[#This Row],[Years of Experience]]&lt;=5),1,""))</f>
        <v/>
      </c>
      <c r="P53" t="str">
        <f>IF(tblSalaries[[#This Row],[Years of Experience]]="","",IF(AND(tblSalaries[[#This Row],[Years of Experience]]&gt;5,tblSalaries[[#This Row],[Years of Experience]]&lt;=10),1,""))</f>
        <v/>
      </c>
      <c r="Q53" t="str">
        <f>IF(tblSalaries[[#This Row],[Years of Experience]]="","",IF(AND(tblSalaries[[#This Row],[Years of Experience]]&gt;10,tblSalaries[[#This Row],[Years of Experience]]&lt;=15),1,""))</f>
        <v/>
      </c>
      <c r="R53" t="str">
        <f>IF(tblSalaries[[#This Row],[Years of Experience]]="","",IF(AND(tblSalaries[[#This Row],[Years of Experience]]&gt;16,tblSalaries[[#This Row],[Years of Experience]]&lt;=20),1,""))</f>
        <v/>
      </c>
      <c r="S53" t="str">
        <f>IF(tblSalaries[[#This Row],[Years of Experience]]="","",IF(tblSalaries[[#This Row],[Years of Experience]]&gt;20,1,""))</f>
        <v/>
      </c>
      <c r="T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" s="13" t="str">
        <f>IF(tblSalaries[[#This Row],[Job Type]]=tblSalaries[[#Headers],[Accountant]],tblSalaries[[#This Row],[Salary in USD]],"")</f>
        <v/>
      </c>
      <c r="V53" s="13">
        <f>IF(tblSalaries[[#This Row],[Job Type]]=tblSalaries[[#Headers],[Analyst]],tblSalaries[[#This Row],[Salary in USD]],"")</f>
        <v>100000</v>
      </c>
      <c r="W53" s="13" t="str">
        <f>IF(tblSalaries[[#This Row],[Job Type]]=tblSalaries[[#Headers],[Consultant]],tblSalaries[[#This Row],[Salary in USD]],"")</f>
        <v/>
      </c>
      <c r="X53" s="13" t="str">
        <f>IF(tblSalaries[[#This Row],[Job Type]]=tblSalaries[[#Headers],[Controller]],tblSalaries[[#This Row],[Salary in USD]],"")</f>
        <v/>
      </c>
      <c r="Y53" s="13" t="str">
        <f>IF(tblSalaries[[#This Row],[Job Type]]=tblSalaries[[#Headers],[CXO or Top Mgmt.]],tblSalaries[[#This Row],[clean Salary (in local currency)]],"")</f>
        <v/>
      </c>
      <c r="Z53" s="13" t="str">
        <f>IF(tblSalaries[[#This Row],[Job Type]]=tblSalaries[[#Headers],[Engineer]],tblSalaries[[#This Row],[Salary in USD]],"")</f>
        <v/>
      </c>
      <c r="AA53" s="13" t="str">
        <f>IF(tblSalaries[[#This Row],[Job Type]]=tblSalaries[[#Headers],[Manager]],tblSalaries[[#This Row],[Salary in USD]],"")</f>
        <v/>
      </c>
      <c r="AB53" s="13" t="str">
        <f>IF(tblSalaries[[#This Row],[Job Type]]=tblSalaries[[#Headers],[Misc.]],tblSalaries[[#This Row],[Salary in USD]],"")</f>
        <v/>
      </c>
      <c r="AC53" s="13" t="str">
        <f>IF(tblSalaries[[#This Row],[Job Type]]=tblSalaries[[#Headers],[Reporting]],tblSalaries[[#This Row],[Salary in USD]],"")</f>
        <v/>
      </c>
      <c r="AD53" s="13" t="str">
        <f>IF(tblSalaries[[#This Row],[Job Type]]=tblSalaries[[#Headers],[Specialist]],tblSalaries[[#This Row],[Salary in USD]],"")</f>
        <v/>
      </c>
    </row>
    <row r="54" spans="2:30" ht="15" customHeight="1" x14ac:dyDescent="0.25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 s="9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  <c r="N54" t="str">
        <f>IF(tblSalaries[[#This Row],[Years of Experience]]="","",IF(tblSalaries[[#This Row],[Years of Experience]]&lt;=2,1,""))</f>
        <v/>
      </c>
      <c r="O54" t="str">
        <f>IF(tblSalaries[[#This Row],[Years of Experience]]="","",IF(AND(tblSalaries[[#This Row],[Years of Experience]]&gt;2,tblSalaries[[#This Row],[Years of Experience]]&lt;=5),1,""))</f>
        <v/>
      </c>
      <c r="P54" t="str">
        <f>IF(tblSalaries[[#This Row],[Years of Experience]]="","",IF(AND(tblSalaries[[#This Row],[Years of Experience]]&gt;5,tblSalaries[[#This Row],[Years of Experience]]&lt;=10),1,""))</f>
        <v/>
      </c>
      <c r="Q54" t="str">
        <f>IF(tblSalaries[[#This Row],[Years of Experience]]="","",IF(AND(tblSalaries[[#This Row],[Years of Experience]]&gt;10,tblSalaries[[#This Row],[Years of Experience]]&lt;=15),1,""))</f>
        <v/>
      </c>
      <c r="R54" t="str">
        <f>IF(tblSalaries[[#This Row],[Years of Experience]]="","",IF(AND(tblSalaries[[#This Row],[Years of Experience]]&gt;16,tblSalaries[[#This Row],[Years of Experience]]&lt;=20),1,""))</f>
        <v/>
      </c>
      <c r="S54" t="str">
        <f>IF(tblSalaries[[#This Row],[Years of Experience]]="","",IF(tblSalaries[[#This Row],[Years of Experience]]&gt;20,1,""))</f>
        <v/>
      </c>
      <c r="T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" s="13">
        <f>IF(tblSalaries[[#This Row],[Job Type]]=tblSalaries[[#Headers],[Accountant]],tblSalaries[[#This Row],[Salary in USD]],"")</f>
        <v>57000</v>
      </c>
      <c r="V54" s="13" t="str">
        <f>IF(tblSalaries[[#This Row],[Job Type]]=tblSalaries[[#Headers],[Analyst]],tblSalaries[[#This Row],[Salary in USD]],"")</f>
        <v/>
      </c>
      <c r="W54" s="13" t="str">
        <f>IF(tblSalaries[[#This Row],[Job Type]]=tblSalaries[[#Headers],[Consultant]],tblSalaries[[#This Row],[Salary in USD]],"")</f>
        <v/>
      </c>
      <c r="X54" s="13" t="str">
        <f>IF(tblSalaries[[#This Row],[Job Type]]=tblSalaries[[#Headers],[Controller]],tblSalaries[[#This Row],[Salary in USD]],"")</f>
        <v/>
      </c>
      <c r="Y54" s="13" t="str">
        <f>IF(tblSalaries[[#This Row],[Job Type]]=tblSalaries[[#Headers],[CXO or Top Mgmt.]],tblSalaries[[#This Row],[clean Salary (in local currency)]],"")</f>
        <v/>
      </c>
      <c r="Z54" s="13" t="str">
        <f>IF(tblSalaries[[#This Row],[Job Type]]=tblSalaries[[#Headers],[Engineer]],tblSalaries[[#This Row],[Salary in USD]],"")</f>
        <v/>
      </c>
      <c r="AA54" s="13" t="str">
        <f>IF(tblSalaries[[#This Row],[Job Type]]=tblSalaries[[#Headers],[Manager]],tblSalaries[[#This Row],[Salary in USD]],"")</f>
        <v/>
      </c>
      <c r="AB54" s="13" t="str">
        <f>IF(tblSalaries[[#This Row],[Job Type]]=tblSalaries[[#Headers],[Misc.]],tblSalaries[[#This Row],[Salary in USD]],"")</f>
        <v/>
      </c>
      <c r="AC54" s="13" t="str">
        <f>IF(tblSalaries[[#This Row],[Job Type]]=tblSalaries[[#Headers],[Reporting]],tblSalaries[[#This Row],[Salary in USD]],"")</f>
        <v/>
      </c>
      <c r="AD54" s="13" t="str">
        <f>IF(tblSalaries[[#This Row],[Job Type]]=tblSalaries[[#Headers],[Specialist]],tblSalaries[[#This Row],[Salary in USD]],"")</f>
        <v/>
      </c>
    </row>
    <row r="55" spans="2:30" ht="15" customHeight="1" x14ac:dyDescent="0.25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 s="9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  <c r="N55" t="str">
        <f>IF(tblSalaries[[#This Row],[Years of Experience]]="","",IF(tblSalaries[[#This Row],[Years of Experience]]&lt;=2,1,""))</f>
        <v/>
      </c>
      <c r="O55" t="str">
        <f>IF(tblSalaries[[#This Row],[Years of Experience]]="","",IF(AND(tblSalaries[[#This Row],[Years of Experience]]&gt;2,tblSalaries[[#This Row],[Years of Experience]]&lt;=5),1,""))</f>
        <v/>
      </c>
      <c r="P55" t="str">
        <f>IF(tblSalaries[[#This Row],[Years of Experience]]="","",IF(AND(tblSalaries[[#This Row],[Years of Experience]]&gt;5,tblSalaries[[#This Row],[Years of Experience]]&lt;=10),1,""))</f>
        <v/>
      </c>
      <c r="Q55" t="str">
        <f>IF(tblSalaries[[#This Row],[Years of Experience]]="","",IF(AND(tblSalaries[[#This Row],[Years of Experience]]&gt;10,tblSalaries[[#This Row],[Years of Experience]]&lt;=15),1,""))</f>
        <v/>
      </c>
      <c r="R55" t="str">
        <f>IF(tblSalaries[[#This Row],[Years of Experience]]="","",IF(AND(tblSalaries[[#This Row],[Years of Experience]]&gt;16,tblSalaries[[#This Row],[Years of Experience]]&lt;=20),1,""))</f>
        <v/>
      </c>
      <c r="S55" t="str">
        <f>IF(tblSalaries[[#This Row],[Years of Experience]]="","",IF(tblSalaries[[#This Row],[Years of Experience]]&gt;20,1,""))</f>
        <v/>
      </c>
      <c r="T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5" s="13">
        <f>IF(tblSalaries[[#This Row],[Job Type]]=tblSalaries[[#Headers],[Accountant]],tblSalaries[[#This Row],[Salary in USD]],"")</f>
        <v>63047.130882691366</v>
      </c>
      <c r="V55" s="13" t="str">
        <f>IF(tblSalaries[[#This Row],[Job Type]]=tblSalaries[[#Headers],[Analyst]],tblSalaries[[#This Row],[Salary in USD]],"")</f>
        <v/>
      </c>
      <c r="W55" s="13" t="str">
        <f>IF(tblSalaries[[#This Row],[Job Type]]=tblSalaries[[#Headers],[Consultant]],tblSalaries[[#This Row],[Salary in USD]],"")</f>
        <v/>
      </c>
      <c r="X55" s="13" t="str">
        <f>IF(tblSalaries[[#This Row],[Job Type]]=tblSalaries[[#Headers],[Controller]],tblSalaries[[#This Row],[Salary in USD]],"")</f>
        <v/>
      </c>
      <c r="Y55" s="13" t="str">
        <f>IF(tblSalaries[[#This Row],[Job Type]]=tblSalaries[[#Headers],[CXO or Top Mgmt.]],tblSalaries[[#This Row],[clean Salary (in local currency)]],"")</f>
        <v/>
      </c>
      <c r="Z55" s="13" t="str">
        <f>IF(tblSalaries[[#This Row],[Job Type]]=tblSalaries[[#Headers],[Engineer]],tblSalaries[[#This Row],[Salary in USD]],"")</f>
        <v/>
      </c>
      <c r="AA55" s="13" t="str">
        <f>IF(tblSalaries[[#This Row],[Job Type]]=tblSalaries[[#Headers],[Manager]],tblSalaries[[#This Row],[Salary in USD]],"")</f>
        <v/>
      </c>
      <c r="AB55" s="13" t="str">
        <f>IF(tblSalaries[[#This Row],[Job Type]]=tblSalaries[[#Headers],[Misc.]],tblSalaries[[#This Row],[Salary in USD]],"")</f>
        <v/>
      </c>
      <c r="AC55" s="13" t="str">
        <f>IF(tblSalaries[[#This Row],[Job Type]]=tblSalaries[[#Headers],[Reporting]],tblSalaries[[#This Row],[Salary in USD]],"")</f>
        <v/>
      </c>
      <c r="AD55" s="13" t="str">
        <f>IF(tblSalaries[[#This Row],[Job Type]]=tblSalaries[[#Headers],[Specialist]],tblSalaries[[#This Row],[Salary in USD]],"")</f>
        <v/>
      </c>
    </row>
    <row r="56" spans="2:30" ht="15" customHeight="1" x14ac:dyDescent="0.25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 s="9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  <c r="N56" t="str">
        <f>IF(tblSalaries[[#This Row],[Years of Experience]]="","",IF(tblSalaries[[#This Row],[Years of Experience]]&lt;=2,1,""))</f>
        <v/>
      </c>
      <c r="O56" t="str">
        <f>IF(tblSalaries[[#This Row],[Years of Experience]]="","",IF(AND(tblSalaries[[#This Row],[Years of Experience]]&gt;2,tblSalaries[[#This Row],[Years of Experience]]&lt;=5),1,""))</f>
        <v/>
      </c>
      <c r="P56" t="str">
        <f>IF(tblSalaries[[#This Row],[Years of Experience]]="","",IF(AND(tblSalaries[[#This Row],[Years of Experience]]&gt;5,tblSalaries[[#This Row],[Years of Experience]]&lt;=10),1,""))</f>
        <v/>
      </c>
      <c r="Q56" t="str">
        <f>IF(tblSalaries[[#This Row],[Years of Experience]]="","",IF(AND(tblSalaries[[#This Row],[Years of Experience]]&gt;10,tblSalaries[[#This Row],[Years of Experience]]&lt;=15),1,""))</f>
        <v/>
      </c>
      <c r="R56" t="str">
        <f>IF(tblSalaries[[#This Row],[Years of Experience]]="","",IF(AND(tblSalaries[[#This Row],[Years of Experience]]&gt;16,tblSalaries[[#This Row],[Years of Experience]]&lt;=20),1,""))</f>
        <v/>
      </c>
      <c r="S56" t="str">
        <f>IF(tblSalaries[[#This Row],[Years of Experience]]="","",IF(tblSalaries[[#This Row],[Years of Experience]]&gt;20,1,""))</f>
        <v/>
      </c>
      <c r="T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6" s="13" t="str">
        <f>IF(tblSalaries[[#This Row],[Job Type]]=tblSalaries[[#Headers],[Accountant]],tblSalaries[[#This Row],[Salary in USD]],"")</f>
        <v/>
      </c>
      <c r="V56" s="13" t="str">
        <f>IF(tblSalaries[[#This Row],[Job Type]]=tblSalaries[[#Headers],[Analyst]],tblSalaries[[#This Row],[Salary in USD]],"")</f>
        <v/>
      </c>
      <c r="W56" s="13" t="str">
        <f>IF(tblSalaries[[#This Row],[Job Type]]=tblSalaries[[#Headers],[Consultant]],tblSalaries[[#This Row],[Salary in USD]],"")</f>
        <v/>
      </c>
      <c r="X56" s="13" t="str">
        <f>IF(tblSalaries[[#This Row],[Job Type]]=tblSalaries[[#Headers],[Controller]],tblSalaries[[#This Row],[Salary in USD]],"")</f>
        <v/>
      </c>
      <c r="Y56" s="13" t="str">
        <f>IF(tblSalaries[[#This Row],[Job Type]]=tblSalaries[[#Headers],[CXO or Top Mgmt.]],tblSalaries[[#This Row],[clean Salary (in local currency)]],"")</f>
        <v/>
      </c>
      <c r="Z56" s="13" t="str">
        <f>IF(tblSalaries[[#This Row],[Job Type]]=tblSalaries[[#Headers],[Engineer]],tblSalaries[[#This Row],[Salary in USD]],"")</f>
        <v/>
      </c>
      <c r="AA56" s="13">
        <f>IF(tblSalaries[[#This Row],[Job Type]]=tblSalaries[[#Headers],[Manager]],tblSalaries[[#This Row],[Salary in USD]],"")</f>
        <v>30489.586535798586</v>
      </c>
      <c r="AB56" s="13" t="str">
        <f>IF(tblSalaries[[#This Row],[Job Type]]=tblSalaries[[#Headers],[Misc.]],tblSalaries[[#This Row],[Salary in USD]],"")</f>
        <v/>
      </c>
      <c r="AC56" s="13" t="str">
        <f>IF(tblSalaries[[#This Row],[Job Type]]=tblSalaries[[#Headers],[Reporting]],tblSalaries[[#This Row],[Salary in USD]],"")</f>
        <v/>
      </c>
      <c r="AD56" s="13" t="str">
        <f>IF(tblSalaries[[#This Row],[Job Type]]=tblSalaries[[#Headers],[Specialist]],tblSalaries[[#This Row],[Salary in USD]],"")</f>
        <v/>
      </c>
    </row>
    <row r="57" spans="2:30" ht="15" customHeight="1" x14ac:dyDescent="0.25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 s="9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  <c r="N57" t="str">
        <f>IF(tblSalaries[[#This Row],[Years of Experience]]="","",IF(tblSalaries[[#This Row],[Years of Experience]]&lt;=2,1,""))</f>
        <v/>
      </c>
      <c r="O57" t="str">
        <f>IF(tblSalaries[[#This Row],[Years of Experience]]="","",IF(AND(tblSalaries[[#This Row],[Years of Experience]]&gt;2,tblSalaries[[#This Row],[Years of Experience]]&lt;=5),1,""))</f>
        <v/>
      </c>
      <c r="P57" t="str">
        <f>IF(tblSalaries[[#This Row],[Years of Experience]]="","",IF(AND(tblSalaries[[#This Row],[Years of Experience]]&gt;5,tblSalaries[[#This Row],[Years of Experience]]&lt;=10),1,""))</f>
        <v/>
      </c>
      <c r="Q57" t="str">
        <f>IF(tblSalaries[[#This Row],[Years of Experience]]="","",IF(AND(tblSalaries[[#This Row],[Years of Experience]]&gt;10,tblSalaries[[#This Row],[Years of Experience]]&lt;=15),1,""))</f>
        <v/>
      </c>
      <c r="R57" t="str">
        <f>IF(tblSalaries[[#This Row],[Years of Experience]]="","",IF(AND(tblSalaries[[#This Row],[Years of Experience]]&gt;16,tblSalaries[[#This Row],[Years of Experience]]&lt;=20),1,""))</f>
        <v/>
      </c>
      <c r="S57" t="str">
        <f>IF(tblSalaries[[#This Row],[Years of Experience]]="","",IF(tblSalaries[[#This Row],[Years of Experience]]&gt;20,1,""))</f>
        <v/>
      </c>
      <c r="T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7" s="13">
        <f>IF(tblSalaries[[#This Row],[Job Type]]=tblSalaries[[#Headers],[Accountant]],tblSalaries[[#This Row],[Salary in USD]],"")</f>
        <v>4320</v>
      </c>
      <c r="V57" s="13" t="str">
        <f>IF(tblSalaries[[#This Row],[Job Type]]=tblSalaries[[#Headers],[Analyst]],tblSalaries[[#This Row],[Salary in USD]],"")</f>
        <v/>
      </c>
      <c r="W57" s="13" t="str">
        <f>IF(tblSalaries[[#This Row],[Job Type]]=tblSalaries[[#Headers],[Consultant]],tblSalaries[[#This Row],[Salary in USD]],"")</f>
        <v/>
      </c>
      <c r="X57" s="13" t="str">
        <f>IF(tblSalaries[[#This Row],[Job Type]]=tblSalaries[[#Headers],[Controller]],tblSalaries[[#This Row],[Salary in USD]],"")</f>
        <v/>
      </c>
      <c r="Y57" s="13" t="str">
        <f>IF(tblSalaries[[#This Row],[Job Type]]=tblSalaries[[#Headers],[CXO or Top Mgmt.]],tblSalaries[[#This Row],[clean Salary (in local currency)]],"")</f>
        <v/>
      </c>
      <c r="Z57" s="13" t="str">
        <f>IF(tblSalaries[[#This Row],[Job Type]]=tblSalaries[[#Headers],[Engineer]],tblSalaries[[#This Row],[Salary in USD]],"")</f>
        <v/>
      </c>
      <c r="AA57" s="13" t="str">
        <f>IF(tblSalaries[[#This Row],[Job Type]]=tblSalaries[[#Headers],[Manager]],tblSalaries[[#This Row],[Salary in USD]],"")</f>
        <v/>
      </c>
      <c r="AB57" s="13" t="str">
        <f>IF(tblSalaries[[#This Row],[Job Type]]=tblSalaries[[#Headers],[Misc.]],tblSalaries[[#This Row],[Salary in USD]],"")</f>
        <v/>
      </c>
      <c r="AC57" s="13" t="str">
        <f>IF(tblSalaries[[#This Row],[Job Type]]=tblSalaries[[#Headers],[Reporting]],tblSalaries[[#This Row],[Salary in USD]],"")</f>
        <v/>
      </c>
      <c r="AD57" s="13" t="str">
        <f>IF(tblSalaries[[#This Row],[Job Type]]=tblSalaries[[#Headers],[Specialist]],tblSalaries[[#This Row],[Salary in USD]],"")</f>
        <v/>
      </c>
    </row>
    <row r="58" spans="2:30" ht="15" customHeight="1" x14ac:dyDescent="0.25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 s="9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  <c r="N58" t="str">
        <f>IF(tblSalaries[[#This Row],[Years of Experience]]="","",IF(tblSalaries[[#This Row],[Years of Experience]]&lt;=2,1,""))</f>
        <v/>
      </c>
      <c r="O58" t="str">
        <f>IF(tblSalaries[[#This Row],[Years of Experience]]="","",IF(AND(tblSalaries[[#This Row],[Years of Experience]]&gt;2,tblSalaries[[#This Row],[Years of Experience]]&lt;=5),1,""))</f>
        <v/>
      </c>
      <c r="P58" t="str">
        <f>IF(tblSalaries[[#This Row],[Years of Experience]]="","",IF(AND(tblSalaries[[#This Row],[Years of Experience]]&gt;5,tblSalaries[[#This Row],[Years of Experience]]&lt;=10),1,""))</f>
        <v/>
      </c>
      <c r="Q58" t="str">
        <f>IF(tblSalaries[[#This Row],[Years of Experience]]="","",IF(AND(tblSalaries[[#This Row],[Years of Experience]]&gt;10,tblSalaries[[#This Row],[Years of Experience]]&lt;=15),1,""))</f>
        <v/>
      </c>
      <c r="R58" t="str">
        <f>IF(tblSalaries[[#This Row],[Years of Experience]]="","",IF(AND(tblSalaries[[#This Row],[Years of Experience]]&gt;16,tblSalaries[[#This Row],[Years of Experience]]&lt;=20),1,""))</f>
        <v/>
      </c>
      <c r="S58" t="str">
        <f>IF(tblSalaries[[#This Row],[Years of Experience]]="","",IF(tblSalaries[[#This Row],[Years of Experience]]&gt;20,1,""))</f>
        <v/>
      </c>
      <c r="T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8" s="13" t="str">
        <f>IF(tblSalaries[[#This Row],[Job Type]]=tblSalaries[[#Headers],[Accountant]],tblSalaries[[#This Row],[Salary in USD]],"")</f>
        <v/>
      </c>
      <c r="V58" s="13">
        <f>IF(tblSalaries[[#This Row],[Job Type]]=tblSalaries[[#Headers],[Analyst]],tblSalaries[[#This Row],[Salary in USD]],"")</f>
        <v>62000</v>
      </c>
      <c r="W58" s="13" t="str">
        <f>IF(tblSalaries[[#This Row],[Job Type]]=tblSalaries[[#Headers],[Consultant]],tblSalaries[[#This Row],[Salary in USD]],"")</f>
        <v/>
      </c>
      <c r="X58" s="13" t="str">
        <f>IF(tblSalaries[[#This Row],[Job Type]]=tblSalaries[[#Headers],[Controller]],tblSalaries[[#This Row],[Salary in USD]],"")</f>
        <v/>
      </c>
      <c r="Y58" s="13" t="str">
        <f>IF(tblSalaries[[#This Row],[Job Type]]=tblSalaries[[#Headers],[CXO or Top Mgmt.]],tblSalaries[[#This Row],[clean Salary (in local currency)]],"")</f>
        <v/>
      </c>
      <c r="Z58" s="13" t="str">
        <f>IF(tblSalaries[[#This Row],[Job Type]]=tblSalaries[[#Headers],[Engineer]],tblSalaries[[#This Row],[Salary in USD]],"")</f>
        <v/>
      </c>
      <c r="AA58" s="13" t="str">
        <f>IF(tblSalaries[[#This Row],[Job Type]]=tblSalaries[[#Headers],[Manager]],tblSalaries[[#This Row],[Salary in USD]],"")</f>
        <v/>
      </c>
      <c r="AB58" s="13" t="str">
        <f>IF(tblSalaries[[#This Row],[Job Type]]=tblSalaries[[#Headers],[Misc.]],tblSalaries[[#This Row],[Salary in USD]],"")</f>
        <v/>
      </c>
      <c r="AC58" s="13" t="str">
        <f>IF(tblSalaries[[#This Row],[Job Type]]=tblSalaries[[#Headers],[Reporting]],tblSalaries[[#This Row],[Salary in USD]],"")</f>
        <v/>
      </c>
      <c r="AD58" s="13" t="str">
        <f>IF(tblSalaries[[#This Row],[Job Type]]=tblSalaries[[#Headers],[Specialist]],tblSalaries[[#This Row],[Salary in USD]],"")</f>
        <v/>
      </c>
    </row>
    <row r="59" spans="2:30" ht="15" customHeight="1" x14ac:dyDescent="0.25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 s="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  <c r="N59" t="str">
        <f>IF(tblSalaries[[#This Row],[Years of Experience]]="","",IF(tblSalaries[[#This Row],[Years of Experience]]&lt;=2,1,""))</f>
        <v/>
      </c>
      <c r="O59" t="str">
        <f>IF(tblSalaries[[#This Row],[Years of Experience]]="","",IF(AND(tblSalaries[[#This Row],[Years of Experience]]&gt;2,tblSalaries[[#This Row],[Years of Experience]]&lt;=5),1,""))</f>
        <v/>
      </c>
      <c r="P59" t="str">
        <f>IF(tblSalaries[[#This Row],[Years of Experience]]="","",IF(AND(tblSalaries[[#This Row],[Years of Experience]]&gt;5,tblSalaries[[#This Row],[Years of Experience]]&lt;=10),1,""))</f>
        <v/>
      </c>
      <c r="Q59" t="str">
        <f>IF(tblSalaries[[#This Row],[Years of Experience]]="","",IF(AND(tblSalaries[[#This Row],[Years of Experience]]&gt;10,tblSalaries[[#This Row],[Years of Experience]]&lt;=15),1,""))</f>
        <v/>
      </c>
      <c r="R59" t="str">
        <f>IF(tblSalaries[[#This Row],[Years of Experience]]="","",IF(AND(tblSalaries[[#This Row],[Years of Experience]]&gt;16,tblSalaries[[#This Row],[Years of Experience]]&lt;=20),1,""))</f>
        <v/>
      </c>
      <c r="S59" t="str">
        <f>IF(tblSalaries[[#This Row],[Years of Experience]]="","",IF(tblSalaries[[#This Row],[Years of Experience]]&gt;20,1,""))</f>
        <v/>
      </c>
      <c r="T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9" s="13" t="str">
        <f>IF(tblSalaries[[#This Row],[Job Type]]=tblSalaries[[#Headers],[Accountant]],tblSalaries[[#This Row],[Salary in USD]],"")</f>
        <v/>
      </c>
      <c r="V59" s="13">
        <f>IF(tblSalaries[[#This Row],[Job Type]]=tblSalaries[[#Headers],[Analyst]],tblSalaries[[#This Row],[Salary in USD]],"")</f>
        <v>7500</v>
      </c>
      <c r="W59" s="13" t="str">
        <f>IF(tblSalaries[[#This Row],[Job Type]]=tblSalaries[[#Headers],[Consultant]],tblSalaries[[#This Row],[Salary in USD]],"")</f>
        <v/>
      </c>
      <c r="X59" s="13" t="str">
        <f>IF(tblSalaries[[#This Row],[Job Type]]=tblSalaries[[#Headers],[Controller]],tblSalaries[[#This Row],[Salary in USD]],"")</f>
        <v/>
      </c>
      <c r="Y59" s="13" t="str">
        <f>IF(tblSalaries[[#This Row],[Job Type]]=tblSalaries[[#Headers],[CXO or Top Mgmt.]],tblSalaries[[#This Row],[clean Salary (in local currency)]],"")</f>
        <v/>
      </c>
      <c r="Z59" s="13" t="str">
        <f>IF(tblSalaries[[#This Row],[Job Type]]=tblSalaries[[#Headers],[Engineer]],tblSalaries[[#This Row],[Salary in USD]],"")</f>
        <v/>
      </c>
      <c r="AA59" s="13" t="str">
        <f>IF(tblSalaries[[#This Row],[Job Type]]=tblSalaries[[#Headers],[Manager]],tblSalaries[[#This Row],[Salary in USD]],"")</f>
        <v/>
      </c>
      <c r="AB59" s="13" t="str">
        <f>IF(tblSalaries[[#This Row],[Job Type]]=tblSalaries[[#Headers],[Misc.]],tblSalaries[[#This Row],[Salary in USD]],"")</f>
        <v/>
      </c>
      <c r="AC59" s="13" t="str">
        <f>IF(tblSalaries[[#This Row],[Job Type]]=tblSalaries[[#Headers],[Reporting]],tblSalaries[[#This Row],[Salary in USD]],"")</f>
        <v/>
      </c>
      <c r="AD59" s="13" t="str">
        <f>IF(tblSalaries[[#This Row],[Job Type]]=tblSalaries[[#Headers],[Specialist]],tblSalaries[[#This Row],[Salary in USD]],"")</f>
        <v/>
      </c>
    </row>
    <row r="60" spans="2:30" ht="15" customHeight="1" x14ac:dyDescent="0.25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 s="9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  <c r="N60" t="str">
        <f>IF(tblSalaries[[#This Row],[Years of Experience]]="","",IF(tblSalaries[[#This Row],[Years of Experience]]&lt;=2,1,""))</f>
        <v/>
      </c>
      <c r="O60" t="str">
        <f>IF(tblSalaries[[#This Row],[Years of Experience]]="","",IF(AND(tblSalaries[[#This Row],[Years of Experience]]&gt;2,tblSalaries[[#This Row],[Years of Experience]]&lt;=5),1,""))</f>
        <v/>
      </c>
      <c r="P60" t="str">
        <f>IF(tblSalaries[[#This Row],[Years of Experience]]="","",IF(AND(tblSalaries[[#This Row],[Years of Experience]]&gt;5,tblSalaries[[#This Row],[Years of Experience]]&lt;=10),1,""))</f>
        <v/>
      </c>
      <c r="Q60" t="str">
        <f>IF(tblSalaries[[#This Row],[Years of Experience]]="","",IF(AND(tblSalaries[[#This Row],[Years of Experience]]&gt;10,tblSalaries[[#This Row],[Years of Experience]]&lt;=15),1,""))</f>
        <v/>
      </c>
      <c r="R60" t="str">
        <f>IF(tblSalaries[[#This Row],[Years of Experience]]="","",IF(AND(tblSalaries[[#This Row],[Years of Experience]]&gt;16,tblSalaries[[#This Row],[Years of Experience]]&lt;=20),1,""))</f>
        <v/>
      </c>
      <c r="S60" t="str">
        <f>IF(tblSalaries[[#This Row],[Years of Experience]]="","",IF(tblSalaries[[#This Row],[Years of Experience]]&gt;20,1,""))</f>
        <v/>
      </c>
      <c r="T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0" s="13" t="str">
        <f>IF(tblSalaries[[#This Row],[Job Type]]=tblSalaries[[#Headers],[Accountant]],tblSalaries[[#This Row],[Salary in USD]],"")</f>
        <v/>
      </c>
      <c r="V60" s="13" t="str">
        <f>IF(tblSalaries[[#This Row],[Job Type]]=tblSalaries[[#Headers],[Analyst]],tblSalaries[[#This Row],[Salary in USD]],"")</f>
        <v/>
      </c>
      <c r="W60" s="13" t="str">
        <f>IF(tblSalaries[[#This Row],[Job Type]]=tblSalaries[[#Headers],[Consultant]],tblSalaries[[#This Row],[Salary in USD]],"")</f>
        <v/>
      </c>
      <c r="X60" s="13" t="str">
        <f>IF(tblSalaries[[#This Row],[Job Type]]=tblSalaries[[#Headers],[Controller]],tblSalaries[[#This Row],[Salary in USD]],"")</f>
        <v/>
      </c>
      <c r="Y60" s="13" t="str">
        <f>IF(tblSalaries[[#This Row],[Job Type]]=tblSalaries[[#Headers],[CXO or Top Mgmt.]],tblSalaries[[#This Row],[clean Salary (in local currency)]],"")</f>
        <v/>
      </c>
      <c r="Z60" s="13" t="str">
        <f>IF(tblSalaries[[#This Row],[Job Type]]=tblSalaries[[#Headers],[Engineer]],tblSalaries[[#This Row],[Salary in USD]],"")</f>
        <v/>
      </c>
      <c r="AA60" s="13">
        <f>IF(tblSalaries[[#This Row],[Job Type]]=tblSalaries[[#Headers],[Manager]],tblSalaries[[#This Row],[Salary in USD]],"")</f>
        <v>28371.208897211112</v>
      </c>
      <c r="AB60" s="13" t="str">
        <f>IF(tblSalaries[[#This Row],[Job Type]]=tblSalaries[[#Headers],[Misc.]],tblSalaries[[#This Row],[Salary in USD]],"")</f>
        <v/>
      </c>
      <c r="AC60" s="13" t="str">
        <f>IF(tblSalaries[[#This Row],[Job Type]]=tblSalaries[[#Headers],[Reporting]],tblSalaries[[#This Row],[Salary in USD]],"")</f>
        <v/>
      </c>
      <c r="AD60" s="13" t="str">
        <f>IF(tblSalaries[[#This Row],[Job Type]]=tblSalaries[[#Headers],[Specialist]],tblSalaries[[#This Row],[Salary in USD]],"")</f>
        <v/>
      </c>
    </row>
    <row r="61" spans="2:30" ht="15" customHeight="1" x14ac:dyDescent="0.25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 s="9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  <c r="N61" t="str">
        <f>IF(tblSalaries[[#This Row],[Years of Experience]]="","",IF(tblSalaries[[#This Row],[Years of Experience]]&lt;=2,1,""))</f>
        <v/>
      </c>
      <c r="O61" t="str">
        <f>IF(tblSalaries[[#This Row],[Years of Experience]]="","",IF(AND(tblSalaries[[#This Row],[Years of Experience]]&gt;2,tblSalaries[[#This Row],[Years of Experience]]&lt;=5),1,""))</f>
        <v/>
      </c>
      <c r="P61" t="str">
        <f>IF(tblSalaries[[#This Row],[Years of Experience]]="","",IF(AND(tblSalaries[[#This Row],[Years of Experience]]&gt;5,tblSalaries[[#This Row],[Years of Experience]]&lt;=10),1,""))</f>
        <v/>
      </c>
      <c r="Q61" t="str">
        <f>IF(tblSalaries[[#This Row],[Years of Experience]]="","",IF(AND(tblSalaries[[#This Row],[Years of Experience]]&gt;10,tblSalaries[[#This Row],[Years of Experience]]&lt;=15),1,""))</f>
        <v/>
      </c>
      <c r="R61" t="str">
        <f>IF(tblSalaries[[#This Row],[Years of Experience]]="","",IF(AND(tblSalaries[[#This Row],[Years of Experience]]&gt;16,tblSalaries[[#This Row],[Years of Experience]]&lt;=20),1,""))</f>
        <v/>
      </c>
      <c r="S61" t="str">
        <f>IF(tblSalaries[[#This Row],[Years of Experience]]="","",IF(tblSalaries[[#This Row],[Years of Experience]]&gt;20,1,""))</f>
        <v/>
      </c>
      <c r="T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1" s="13" t="str">
        <f>IF(tblSalaries[[#This Row],[Job Type]]=tblSalaries[[#Headers],[Accountant]],tblSalaries[[#This Row],[Salary in USD]],"")</f>
        <v/>
      </c>
      <c r="V61" s="13" t="str">
        <f>IF(tblSalaries[[#This Row],[Job Type]]=tblSalaries[[#Headers],[Analyst]],tblSalaries[[#This Row],[Salary in USD]],"")</f>
        <v/>
      </c>
      <c r="W61" s="13" t="str">
        <f>IF(tblSalaries[[#This Row],[Job Type]]=tblSalaries[[#Headers],[Consultant]],tblSalaries[[#This Row],[Salary in USD]],"")</f>
        <v/>
      </c>
      <c r="X61" s="13" t="str">
        <f>IF(tblSalaries[[#This Row],[Job Type]]=tblSalaries[[#Headers],[Controller]],tblSalaries[[#This Row],[Salary in USD]],"")</f>
        <v/>
      </c>
      <c r="Y61" s="13" t="str">
        <f>IF(tblSalaries[[#This Row],[Job Type]]=tblSalaries[[#Headers],[CXO or Top Mgmt.]],tblSalaries[[#This Row],[clean Salary (in local currency)]],"")</f>
        <v/>
      </c>
      <c r="Z61" s="13" t="str">
        <f>IF(tblSalaries[[#This Row],[Job Type]]=tblSalaries[[#Headers],[Engineer]],tblSalaries[[#This Row],[Salary in USD]],"")</f>
        <v/>
      </c>
      <c r="AA61" s="13">
        <f>IF(tblSalaries[[#This Row],[Job Type]]=tblSalaries[[#Headers],[Manager]],tblSalaries[[#This Row],[Salary in USD]],"")</f>
        <v>62249.572510588783</v>
      </c>
      <c r="AB61" s="13" t="str">
        <f>IF(tblSalaries[[#This Row],[Job Type]]=tblSalaries[[#Headers],[Misc.]],tblSalaries[[#This Row],[Salary in USD]],"")</f>
        <v/>
      </c>
      <c r="AC61" s="13" t="str">
        <f>IF(tblSalaries[[#This Row],[Job Type]]=tblSalaries[[#Headers],[Reporting]],tblSalaries[[#This Row],[Salary in USD]],"")</f>
        <v/>
      </c>
      <c r="AD61" s="13" t="str">
        <f>IF(tblSalaries[[#This Row],[Job Type]]=tblSalaries[[#Headers],[Specialist]],tblSalaries[[#This Row],[Salary in USD]],"")</f>
        <v/>
      </c>
    </row>
    <row r="62" spans="2:30" ht="15" customHeight="1" x14ac:dyDescent="0.25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 s="9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  <c r="N62" t="str">
        <f>IF(tblSalaries[[#This Row],[Years of Experience]]="","",IF(tblSalaries[[#This Row],[Years of Experience]]&lt;=2,1,""))</f>
        <v/>
      </c>
      <c r="O62" t="str">
        <f>IF(tblSalaries[[#This Row],[Years of Experience]]="","",IF(AND(tblSalaries[[#This Row],[Years of Experience]]&gt;2,tblSalaries[[#This Row],[Years of Experience]]&lt;=5),1,""))</f>
        <v/>
      </c>
      <c r="P62" t="str">
        <f>IF(tblSalaries[[#This Row],[Years of Experience]]="","",IF(AND(tblSalaries[[#This Row],[Years of Experience]]&gt;5,tblSalaries[[#This Row],[Years of Experience]]&lt;=10),1,""))</f>
        <v/>
      </c>
      <c r="Q62" t="str">
        <f>IF(tblSalaries[[#This Row],[Years of Experience]]="","",IF(AND(tblSalaries[[#This Row],[Years of Experience]]&gt;10,tblSalaries[[#This Row],[Years of Experience]]&lt;=15),1,""))</f>
        <v/>
      </c>
      <c r="R62" t="str">
        <f>IF(tblSalaries[[#This Row],[Years of Experience]]="","",IF(AND(tblSalaries[[#This Row],[Years of Experience]]&gt;16,tblSalaries[[#This Row],[Years of Experience]]&lt;=20),1,""))</f>
        <v/>
      </c>
      <c r="S62" t="str">
        <f>IF(tblSalaries[[#This Row],[Years of Experience]]="","",IF(tblSalaries[[#This Row],[Years of Experience]]&gt;20,1,""))</f>
        <v/>
      </c>
      <c r="T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2" s="13" t="str">
        <f>IF(tblSalaries[[#This Row],[Job Type]]=tblSalaries[[#Headers],[Accountant]],tblSalaries[[#This Row],[Salary in USD]],"")</f>
        <v/>
      </c>
      <c r="V62" s="13">
        <f>IF(tblSalaries[[#This Row],[Job Type]]=tblSalaries[[#Headers],[Analyst]],tblSalaries[[#This Row],[Salary in USD]],"")</f>
        <v>38000</v>
      </c>
      <c r="W62" s="13" t="str">
        <f>IF(tblSalaries[[#This Row],[Job Type]]=tblSalaries[[#Headers],[Consultant]],tblSalaries[[#This Row],[Salary in USD]],"")</f>
        <v/>
      </c>
      <c r="X62" s="13" t="str">
        <f>IF(tblSalaries[[#This Row],[Job Type]]=tblSalaries[[#Headers],[Controller]],tblSalaries[[#This Row],[Salary in USD]],"")</f>
        <v/>
      </c>
      <c r="Y62" s="13" t="str">
        <f>IF(tblSalaries[[#This Row],[Job Type]]=tblSalaries[[#Headers],[CXO or Top Mgmt.]],tblSalaries[[#This Row],[clean Salary (in local currency)]],"")</f>
        <v/>
      </c>
      <c r="Z62" s="13" t="str">
        <f>IF(tblSalaries[[#This Row],[Job Type]]=tblSalaries[[#Headers],[Engineer]],tblSalaries[[#This Row],[Salary in USD]],"")</f>
        <v/>
      </c>
      <c r="AA62" s="13" t="str">
        <f>IF(tblSalaries[[#This Row],[Job Type]]=tblSalaries[[#Headers],[Manager]],tblSalaries[[#This Row],[Salary in USD]],"")</f>
        <v/>
      </c>
      <c r="AB62" s="13" t="str">
        <f>IF(tblSalaries[[#This Row],[Job Type]]=tblSalaries[[#Headers],[Misc.]],tblSalaries[[#This Row],[Salary in USD]],"")</f>
        <v/>
      </c>
      <c r="AC62" s="13" t="str">
        <f>IF(tblSalaries[[#This Row],[Job Type]]=tblSalaries[[#Headers],[Reporting]],tblSalaries[[#This Row],[Salary in USD]],"")</f>
        <v/>
      </c>
      <c r="AD62" s="13" t="str">
        <f>IF(tblSalaries[[#This Row],[Job Type]]=tblSalaries[[#Headers],[Specialist]],tblSalaries[[#This Row],[Salary in USD]],"")</f>
        <v/>
      </c>
    </row>
    <row r="63" spans="2:30" ht="15" customHeight="1" x14ac:dyDescent="0.25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 s="9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  <c r="N63" t="str">
        <f>IF(tblSalaries[[#This Row],[Years of Experience]]="","",IF(tblSalaries[[#This Row],[Years of Experience]]&lt;=2,1,""))</f>
        <v/>
      </c>
      <c r="O63" t="str">
        <f>IF(tblSalaries[[#This Row],[Years of Experience]]="","",IF(AND(tblSalaries[[#This Row],[Years of Experience]]&gt;2,tblSalaries[[#This Row],[Years of Experience]]&lt;=5),1,""))</f>
        <v/>
      </c>
      <c r="P63" t="str">
        <f>IF(tblSalaries[[#This Row],[Years of Experience]]="","",IF(AND(tblSalaries[[#This Row],[Years of Experience]]&gt;5,tblSalaries[[#This Row],[Years of Experience]]&lt;=10),1,""))</f>
        <v/>
      </c>
      <c r="Q63" t="str">
        <f>IF(tblSalaries[[#This Row],[Years of Experience]]="","",IF(AND(tblSalaries[[#This Row],[Years of Experience]]&gt;10,tblSalaries[[#This Row],[Years of Experience]]&lt;=15),1,""))</f>
        <v/>
      </c>
      <c r="R63" t="str">
        <f>IF(tblSalaries[[#This Row],[Years of Experience]]="","",IF(AND(tblSalaries[[#This Row],[Years of Experience]]&gt;16,tblSalaries[[#This Row],[Years of Experience]]&lt;=20),1,""))</f>
        <v/>
      </c>
      <c r="S63" t="str">
        <f>IF(tblSalaries[[#This Row],[Years of Experience]]="","",IF(tblSalaries[[#This Row],[Years of Experience]]&gt;20,1,""))</f>
        <v/>
      </c>
      <c r="T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3" s="13" t="str">
        <f>IF(tblSalaries[[#This Row],[Job Type]]=tblSalaries[[#Headers],[Accountant]],tblSalaries[[#This Row],[Salary in USD]],"")</f>
        <v/>
      </c>
      <c r="V63" s="13" t="str">
        <f>IF(tblSalaries[[#This Row],[Job Type]]=tblSalaries[[#Headers],[Analyst]],tblSalaries[[#This Row],[Salary in USD]],"")</f>
        <v/>
      </c>
      <c r="W63" s="13" t="str">
        <f>IF(tblSalaries[[#This Row],[Job Type]]=tblSalaries[[#Headers],[Consultant]],tblSalaries[[#This Row],[Salary in USD]],"")</f>
        <v/>
      </c>
      <c r="X63" s="13" t="str">
        <f>IF(tblSalaries[[#This Row],[Job Type]]=tblSalaries[[#Headers],[Controller]],tblSalaries[[#This Row],[Salary in USD]],"")</f>
        <v/>
      </c>
      <c r="Y63" s="13" t="str">
        <f>IF(tblSalaries[[#This Row],[Job Type]]=tblSalaries[[#Headers],[CXO or Top Mgmt.]],tblSalaries[[#This Row],[clean Salary (in local currency)]],"")</f>
        <v/>
      </c>
      <c r="Z63" s="13" t="str">
        <f>IF(tblSalaries[[#This Row],[Job Type]]=tblSalaries[[#Headers],[Engineer]],tblSalaries[[#This Row],[Salary in USD]],"")</f>
        <v/>
      </c>
      <c r="AA63" s="13" t="str">
        <f>IF(tblSalaries[[#This Row],[Job Type]]=tblSalaries[[#Headers],[Manager]],tblSalaries[[#This Row],[Salary in USD]],"")</f>
        <v/>
      </c>
      <c r="AB63" s="13" t="str">
        <f>IF(tblSalaries[[#This Row],[Job Type]]=tblSalaries[[#Headers],[Misc.]],tblSalaries[[#This Row],[Salary in USD]],"")</f>
        <v/>
      </c>
      <c r="AC63" s="13" t="str">
        <f>IF(tblSalaries[[#This Row],[Job Type]]=tblSalaries[[#Headers],[Reporting]],tblSalaries[[#This Row],[Salary in USD]],"")</f>
        <v/>
      </c>
      <c r="AD63" s="13">
        <f>IF(tblSalaries[[#This Row],[Job Type]]=tblSalaries[[#Headers],[Specialist]],tblSalaries[[#This Row],[Salary in USD]],"")</f>
        <v>41000</v>
      </c>
    </row>
    <row r="64" spans="2:30" ht="15" customHeight="1" x14ac:dyDescent="0.25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 s="9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  <c r="N64" t="str">
        <f>IF(tblSalaries[[#This Row],[Years of Experience]]="","",IF(tblSalaries[[#This Row],[Years of Experience]]&lt;=2,1,""))</f>
        <v/>
      </c>
      <c r="O64" t="str">
        <f>IF(tblSalaries[[#This Row],[Years of Experience]]="","",IF(AND(tblSalaries[[#This Row],[Years of Experience]]&gt;2,tblSalaries[[#This Row],[Years of Experience]]&lt;=5),1,""))</f>
        <v/>
      </c>
      <c r="P64" t="str">
        <f>IF(tblSalaries[[#This Row],[Years of Experience]]="","",IF(AND(tblSalaries[[#This Row],[Years of Experience]]&gt;5,tblSalaries[[#This Row],[Years of Experience]]&lt;=10),1,""))</f>
        <v/>
      </c>
      <c r="Q64" t="str">
        <f>IF(tblSalaries[[#This Row],[Years of Experience]]="","",IF(AND(tblSalaries[[#This Row],[Years of Experience]]&gt;10,tblSalaries[[#This Row],[Years of Experience]]&lt;=15),1,""))</f>
        <v/>
      </c>
      <c r="R64" t="str">
        <f>IF(tblSalaries[[#This Row],[Years of Experience]]="","",IF(AND(tblSalaries[[#This Row],[Years of Experience]]&gt;16,tblSalaries[[#This Row],[Years of Experience]]&lt;=20),1,""))</f>
        <v/>
      </c>
      <c r="S64" t="str">
        <f>IF(tblSalaries[[#This Row],[Years of Experience]]="","",IF(tblSalaries[[#This Row],[Years of Experience]]&gt;20,1,""))</f>
        <v/>
      </c>
      <c r="T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4" s="13" t="str">
        <f>IF(tblSalaries[[#This Row],[Job Type]]=tblSalaries[[#Headers],[Accountant]],tblSalaries[[#This Row],[Salary in USD]],"")</f>
        <v/>
      </c>
      <c r="V64" s="13">
        <f>IF(tblSalaries[[#This Row],[Job Type]]=tblSalaries[[#Headers],[Analyst]],tblSalaries[[#This Row],[Salary in USD]],"")</f>
        <v>68000</v>
      </c>
      <c r="W64" s="13" t="str">
        <f>IF(tblSalaries[[#This Row],[Job Type]]=tblSalaries[[#Headers],[Consultant]],tblSalaries[[#This Row],[Salary in USD]],"")</f>
        <v/>
      </c>
      <c r="X64" s="13" t="str">
        <f>IF(tblSalaries[[#This Row],[Job Type]]=tblSalaries[[#Headers],[Controller]],tblSalaries[[#This Row],[Salary in USD]],"")</f>
        <v/>
      </c>
      <c r="Y64" s="13" t="str">
        <f>IF(tblSalaries[[#This Row],[Job Type]]=tblSalaries[[#Headers],[CXO or Top Mgmt.]],tblSalaries[[#This Row],[clean Salary (in local currency)]],"")</f>
        <v/>
      </c>
      <c r="Z64" s="13" t="str">
        <f>IF(tblSalaries[[#This Row],[Job Type]]=tblSalaries[[#Headers],[Engineer]],tblSalaries[[#This Row],[Salary in USD]],"")</f>
        <v/>
      </c>
      <c r="AA64" s="13" t="str">
        <f>IF(tblSalaries[[#This Row],[Job Type]]=tblSalaries[[#Headers],[Manager]],tblSalaries[[#This Row],[Salary in USD]],"")</f>
        <v/>
      </c>
      <c r="AB64" s="13" t="str">
        <f>IF(tblSalaries[[#This Row],[Job Type]]=tblSalaries[[#Headers],[Misc.]],tblSalaries[[#This Row],[Salary in USD]],"")</f>
        <v/>
      </c>
      <c r="AC64" s="13" t="str">
        <f>IF(tblSalaries[[#This Row],[Job Type]]=tblSalaries[[#Headers],[Reporting]],tblSalaries[[#This Row],[Salary in USD]],"")</f>
        <v/>
      </c>
      <c r="AD64" s="13" t="str">
        <f>IF(tblSalaries[[#This Row],[Job Type]]=tblSalaries[[#Headers],[Specialist]],tblSalaries[[#This Row],[Salary in USD]],"")</f>
        <v/>
      </c>
    </row>
    <row r="65" spans="2:30" ht="15" customHeight="1" x14ac:dyDescent="0.25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 s="9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  <c r="N65" t="str">
        <f>IF(tblSalaries[[#This Row],[Years of Experience]]="","",IF(tblSalaries[[#This Row],[Years of Experience]]&lt;=2,1,""))</f>
        <v/>
      </c>
      <c r="O65" t="str">
        <f>IF(tblSalaries[[#This Row],[Years of Experience]]="","",IF(AND(tblSalaries[[#This Row],[Years of Experience]]&gt;2,tblSalaries[[#This Row],[Years of Experience]]&lt;=5),1,""))</f>
        <v/>
      </c>
      <c r="P65" t="str">
        <f>IF(tblSalaries[[#This Row],[Years of Experience]]="","",IF(AND(tblSalaries[[#This Row],[Years of Experience]]&gt;5,tblSalaries[[#This Row],[Years of Experience]]&lt;=10),1,""))</f>
        <v/>
      </c>
      <c r="Q65" t="str">
        <f>IF(tblSalaries[[#This Row],[Years of Experience]]="","",IF(AND(tblSalaries[[#This Row],[Years of Experience]]&gt;10,tblSalaries[[#This Row],[Years of Experience]]&lt;=15),1,""))</f>
        <v/>
      </c>
      <c r="R65" t="str">
        <f>IF(tblSalaries[[#This Row],[Years of Experience]]="","",IF(AND(tblSalaries[[#This Row],[Years of Experience]]&gt;16,tblSalaries[[#This Row],[Years of Experience]]&lt;=20),1,""))</f>
        <v/>
      </c>
      <c r="S65" t="str">
        <f>IF(tblSalaries[[#This Row],[Years of Experience]]="","",IF(tblSalaries[[#This Row],[Years of Experience]]&gt;20,1,""))</f>
        <v/>
      </c>
      <c r="T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5" s="13" t="str">
        <f>IF(tblSalaries[[#This Row],[Job Type]]=tblSalaries[[#Headers],[Accountant]],tblSalaries[[#This Row],[Salary in USD]],"")</f>
        <v/>
      </c>
      <c r="V65" s="13">
        <f>IF(tblSalaries[[#This Row],[Job Type]]=tblSalaries[[#Headers],[Analyst]],tblSalaries[[#This Row],[Salary in USD]],"")</f>
        <v>55068.245289698301</v>
      </c>
      <c r="W65" s="13" t="str">
        <f>IF(tblSalaries[[#This Row],[Job Type]]=tblSalaries[[#Headers],[Consultant]],tblSalaries[[#This Row],[Salary in USD]],"")</f>
        <v/>
      </c>
      <c r="X65" s="13" t="str">
        <f>IF(tblSalaries[[#This Row],[Job Type]]=tblSalaries[[#Headers],[Controller]],tblSalaries[[#This Row],[Salary in USD]],"")</f>
        <v/>
      </c>
      <c r="Y65" s="13" t="str">
        <f>IF(tblSalaries[[#This Row],[Job Type]]=tblSalaries[[#Headers],[CXO or Top Mgmt.]],tblSalaries[[#This Row],[clean Salary (in local currency)]],"")</f>
        <v/>
      </c>
      <c r="Z65" s="13" t="str">
        <f>IF(tblSalaries[[#This Row],[Job Type]]=tblSalaries[[#Headers],[Engineer]],tblSalaries[[#This Row],[Salary in USD]],"")</f>
        <v/>
      </c>
      <c r="AA65" s="13" t="str">
        <f>IF(tblSalaries[[#This Row],[Job Type]]=tblSalaries[[#Headers],[Manager]],tblSalaries[[#This Row],[Salary in USD]],"")</f>
        <v/>
      </c>
      <c r="AB65" s="13" t="str">
        <f>IF(tblSalaries[[#This Row],[Job Type]]=tblSalaries[[#Headers],[Misc.]],tblSalaries[[#This Row],[Salary in USD]],"")</f>
        <v/>
      </c>
      <c r="AC65" s="13" t="str">
        <f>IF(tblSalaries[[#This Row],[Job Type]]=tblSalaries[[#Headers],[Reporting]],tblSalaries[[#This Row],[Salary in USD]],"")</f>
        <v/>
      </c>
      <c r="AD65" s="13" t="str">
        <f>IF(tblSalaries[[#This Row],[Job Type]]=tblSalaries[[#Headers],[Specialist]],tblSalaries[[#This Row],[Salary in USD]],"")</f>
        <v/>
      </c>
    </row>
    <row r="66" spans="2:30" ht="15" customHeight="1" x14ac:dyDescent="0.25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 s="9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Brazil</v>
      </c>
      <c r="L66" t="s">
        <v>13</v>
      </c>
      <c r="N66" t="str">
        <f>IF(tblSalaries[[#This Row],[Years of Experience]]="","",IF(tblSalaries[[#This Row],[Years of Experience]]&lt;=2,1,""))</f>
        <v/>
      </c>
      <c r="O66" t="str">
        <f>IF(tblSalaries[[#This Row],[Years of Experience]]="","",IF(AND(tblSalaries[[#This Row],[Years of Experience]]&gt;2,tblSalaries[[#This Row],[Years of Experience]]&lt;=5),1,""))</f>
        <v/>
      </c>
      <c r="P66" t="str">
        <f>IF(tblSalaries[[#This Row],[Years of Experience]]="","",IF(AND(tblSalaries[[#This Row],[Years of Experience]]&gt;5,tblSalaries[[#This Row],[Years of Experience]]&lt;=10),1,""))</f>
        <v/>
      </c>
      <c r="Q66" t="str">
        <f>IF(tblSalaries[[#This Row],[Years of Experience]]="","",IF(AND(tblSalaries[[#This Row],[Years of Experience]]&gt;10,tblSalaries[[#This Row],[Years of Experience]]&lt;=15),1,""))</f>
        <v/>
      </c>
      <c r="R66" t="str">
        <f>IF(tblSalaries[[#This Row],[Years of Experience]]="","",IF(AND(tblSalaries[[#This Row],[Years of Experience]]&gt;16,tblSalaries[[#This Row],[Years of Experience]]&lt;=20),1,""))</f>
        <v/>
      </c>
      <c r="S66" t="str">
        <f>IF(tblSalaries[[#This Row],[Years of Experience]]="","",IF(tblSalaries[[#This Row],[Years of Experience]]&gt;20,1,""))</f>
        <v/>
      </c>
      <c r="T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6" s="13" t="str">
        <f>IF(tblSalaries[[#This Row],[Job Type]]=tblSalaries[[#Headers],[Accountant]],tblSalaries[[#This Row],[Salary in USD]],"")</f>
        <v/>
      </c>
      <c r="V66" s="13" t="str">
        <f>IF(tblSalaries[[#This Row],[Job Type]]=tblSalaries[[#Headers],[Analyst]],tblSalaries[[#This Row],[Salary in USD]],"")</f>
        <v/>
      </c>
      <c r="W66" s="13" t="str">
        <f>IF(tblSalaries[[#This Row],[Job Type]]=tblSalaries[[#Headers],[Consultant]],tblSalaries[[#This Row],[Salary in USD]],"")</f>
        <v/>
      </c>
      <c r="X66" s="13" t="str">
        <f>IF(tblSalaries[[#This Row],[Job Type]]=tblSalaries[[#Headers],[Controller]],tblSalaries[[#This Row],[Salary in USD]],"")</f>
        <v/>
      </c>
      <c r="Y66" s="13" t="str">
        <f>IF(tblSalaries[[#This Row],[Job Type]]=tblSalaries[[#Headers],[CXO or Top Mgmt.]],tblSalaries[[#This Row],[clean Salary (in local currency)]],"")</f>
        <v/>
      </c>
      <c r="Z66" s="13" t="str">
        <f>IF(tblSalaries[[#This Row],[Job Type]]=tblSalaries[[#Headers],[Engineer]],tblSalaries[[#This Row],[Salary in USD]],"")</f>
        <v/>
      </c>
      <c r="AA66" s="13">
        <f>IF(tblSalaries[[#This Row],[Job Type]]=tblSalaries[[#Headers],[Manager]],tblSalaries[[#This Row],[Salary in USD]],"")</f>
        <v>61000</v>
      </c>
      <c r="AB66" s="13" t="str">
        <f>IF(tblSalaries[[#This Row],[Job Type]]=tblSalaries[[#Headers],[Misc.]],tblSalaries[[#This Row],[Salary in USD]],"")</f>
        <v/>
      </c>
      <c r="AC66" s="13" t="str">
        <f>IF(tblSalaries[[#This Row],[Job Type]]=tblSalaries[[#Headers],[Reporting]],tblSalaries[[#This Row],[Salary in USD]],"")</f>
        <v/>
      </c>
      <c r="AD66" s="13" t="str">
        <f>IF(tblSalaries[[#This Row],[Job Type]]=tblSalaries[[#Headers],[Specialist]],tblSalaries[[#This Row],[Salary in USD]],"")</f>
        <v/>
      </c>
    </row>
    <row r="67" spans="2:30" ht="15" customHeight="1" x14ac:dyDescent="0.25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 s="9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  <c r="N67" t="str">
        <f>IF(tblSalaries[[#This Row],[Years of Experience]]="","",IF(tblSalaries[[#This Row],[Years of Experience]]&lt;=2,1,""))</f>
        <v/>
      </c>
      <c r="O67" t="str">
        <f>IF(tblSalaries[[#This Row],[Years of Experience]]="","",IF(AND(tblSalaries[[#This Row],[Years of Experience]]&gt;2,tblSalaries[[#This Row],[Years of Experience]]&lt;=5),1,""))</f>
        <v/>
      </c>
      <c r="P67" t="str">
        <f>IF(tblSalaries[[#This Row],[Years of Experience]]="","",IF(AND(tblSalaries[[#This Row],[Years of Experience]]&gt;5,tblSalaries[[#This Row],[Years of Experience]]&lt;=10),1,""))</f>
        <v/>
      </c>
      <c r="Q67" t="str">
        <f>IF(tblSalaries[[#This Row],[Years of Experience]]="","",IF(AND(tblSalaries[[#This Row],[Years of Experience]]&gt;10,tblSalaries[[#This Row],[Years of Experience]]&lt;=15),1,""))</f>
        <v/>
      </c>
      <c r="R67" t="str">
        <f>IF(tblSalaries[[#This Row],[Years of Experience]]="","",IF(AND(tblSalaries[[#This Row],[Years of Experience]]&gt;16,tblSalaries[[#This Row],[Years of Experience]]&lt;=20),1,""))</f>
        <v/>
      </c>
      <c r="S67" t="str">
        <f>IF(tblSalaries[[#This Row],[Years of Experience]]="","",IF(tblSalaries[[#This Row],[Years of Experience]]&gt;20,1,""))</f>
        <v/>
      </c>
      <c r="T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7" s="13" t="str">
        <f>IF(tblSalaries[[#This Row],[Job Type]]=tblSalaries[[#Headers],[Accountant]],tblSalaries[[#This Row],[Salary in USD]],"")</f>
        <v/>
      </c>
      <c r="V67" s="13" t="str">
        <f>IF(tblSalaries[[#This Row],[Job Type]]=tblSalaries[[#Headers],[Analyst]],tblSalaries[[#This Row],[Salary in USD]],"")</f>
        <v/>
      </c>
      <c r="W67" s="13">
        <f>IF(tblSalaries[[#This Row],[Job Type]]=tblSalaries[[#Headers],[Consultant]],tblSalaries[[#This Row],[Salary in USD]],"")</f>
        <v>54627.175876639136</v>
      </c>
      <c r="X67" s="13" t="str">
        <f>IF(tblSalaries[[#This Row],[Job Type]]=tblSalaries[[#Headers],[Controller]],tblSalaries[[#This Row],[Salary in USD]],"")</f>
        <v/>
      </c>
      <c r="Y67" s="13" t="str">
        <f>IF(tblSalaries[[#This Row],[Job Type]]=tblSalaries[[#Headers],[CXO or Top Mgmt.]],tblSalaries[[#This Row],[clean Salary (in local currency)]],"")</f>
        <v/>
      </c>
      <c r="Z67" s="13" t="str">
        <f>IF(tblSalaries[[#This Row],[Job Type]]=tblSalaries[[#Headers],[Engineer]],tblSalaries[[#This Row],[Salary in USD]],"")</f>
        <v/>
      </c>
      <c r="AA67" s="13" t="str">
        <f>IF(tblSalaries[[#This Row],[Job Type]]=tblSalaries[[#Headers],[Manager]],tblSalaries[[#This Row],[Salary in USD]],"")</f>
        <v/>
      </c>
      <c r="AB67" s="13" t="str">
        <f>IF(tblSalaries[[#This Row],[Job Type]]=tblSalaries[[#Headers],[Misc.]],tblSalaries[[#This Row],[Salary in USD]],"")</f>
        <v/>
      </c>
      <c r="AC67" s="13" t="str">
        <f>IF(tblSalaries[[#This Row],[Job Type]]=tblSalaries[[#Headers],[Reporting]],tblSalaries[[#This Row],[Salary in USD]],"")</f>
        <v/>
      </c>
      <c r="AD67" s="13" t="str">
        <f>IF(tblSalaries[[#This Row],[Job Type]]=tblSalaries[[#Headers],[Specialist]],tblSalaries[[#This Row],[Salary in USD]],"")</f>
        <v/>
      </c>
    </row>
    <row r="68" spans="2:30" ht="15" customHeight="1" x14ac:dyDescent="0.25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 s="9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  <c r="N68" t="str">
        <f>IF(tblSalaries[[#This Row],[Years of Experience]]="","",IF(tblSalaries[[#This Row],[Years of Experience]]&lt;=2,1,""))</f>
        <v/>
      </c>
      <c r="O68" t="str">
        <f>IF(tblSalaries[[#This Row],[Years of Experience]]="","",IF(AND(tblSalaries[[#This Row],[Years of Experience]]&gt;2,tblSalaries[[#This Row],[Years of Experience]]&lt;=5),1,""))</f>
        <v/>
      </c>
      <c r="P68" t="str">
        <f>IF(tblSalaries[[#This Row],[Years of Experience]]="","",IF(AND(tblSalaries[[#This Row],[Years of Experience]]&gt;5,tblSalaries[[#This Row],[Years of Experience]]&lt;=10),1,""))</f>
        <v/>
      </c>
      <c r="Q68" t="str">
        <f>IF(tblSalaries[[#This Row],[Years of Experience]]="","",IF(AND(tblSalaries[[#This Row],[Years of Experience]]&gt;10,tblSalaries[[#This Row],[Years of Experience]]&lt;=15),1,""))</f>
        <v/>
      </c>
      <c r="R68" t="str">
        <f>IF(tblSalaries[[#This Row],[Years of Experience]]="","",IF(AND(tblSalaries[[#This Row],[Years of Experience]]&gt;16,tblSalaries[[#This Row],[Years of Experience]]&lt;=20),1,""))</f>
        <v/>
      </c>
      <c r="S68" t="str">
        <f>IF(tblSalaries[[#This Row],[Years of Experience]]="","",IF(tblSalaries[[#This Row],[Years of Experience]]&gt;20,1,""))</f>
        <v/>
      </c>
      <c r="T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8" s="13" t="str">
        <f>IF(tblSalaries[[#This Row],[Job Type]]=tblSalaries[[#Headers],[Accountant]],tblSalaries[[#This Row],[Salary in USD]],"")</f>
        <v/>
      </c>
      <c r="V68" s="13" t="str">
        <f>IF(tblSalaries[[#This Row],[Job Type]]=tblSalaries[[#Headers],[Analyst]],tblSalaries[[#This Row],[Salary in USD]],"")</f>
        <v/>
      </c>
      <c r="W68" s="13" t="str">
        <f>IF(tblSalaries[[#This Row],[Job Type]]=tblSalaries[[#Headers],[Consultant]],tblSalaries[[#This Row],[Salary in USD]],"")</f>
        <v/>
      </c>
      <c r="X68" s="13" t="str">
        <f>IF(tblSalaries[[#This Row],[Job Type]]=tblSalaries[[#Headers],[Controller]],tblSalaries[[#This Row],[Salary in USD]],"")</f>
        <v/>
      </c>
      <c r="Y68" s="13" t="str">
        <f>IF(tblSalaries[[#This Row],[Job Type]]=tblSalaries[[#Headers],[CXO or Top Mgmt.]],tblSalaries[[#This Row],[clean Salary (in local currency)]],"")</f>
        <v/>
      </c>
      <c r="Z68" s="13" t="str">
        <f>IF(tblSalaries[[#This Row],[Job Type]]=tblSalaries[[#Headers],[Engineer]],tblSalaries[[#This Row],[Salary in USD]],"")</f>
        <v/>
      </c>
      <c r="AA68" s="13">
        <f>IF(tblSalaries[[#This Row],[Job Type]]=tblSalaries[[#Headers],[Manager]],tblSalaries[[#This Row],[Salary in USD]],"")</f>
        <v>85000</v>
      </c>
      <c r="AB68" s="13" t="str">
        <f>IF(tblSalaries[[#This Row],[Job Type]]=tblSalaries[[#Headers],[Misc.]],tblSalaries[[#This Row],[Salary in USD]],"")</f>
        <v/>
      </c>
      <c r="AC68" s="13" t="str">
        <f>IF(tblSalaries[[#This Row],[Job Type]]=tblSalaries[[#Headers],[Reporting]],tblSalaries[[#This Row],[Salary in USD]],"")</f>
        <v/>
      </c>
      <c r="AD68" s="13" t="str">
        <f>IF(tblSalaries[[#This Row],[Job Type]]=tblSalaries[[#Headers],[Specialist]],tblSalaries[[#This Row],[Salary in USD]],"")</f>
        <v/>
      </c>
    </row>
    <row r="69" spans="2:30" ht="15" customHeight="1" x14ac:dyDescent="0.25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 s="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  <c r="N69" t="str">
        <f>IF(tblSalaries[[#This Row],[Years of Experience]]="","",IF(tblSalaries[[#This Row],[Years of Experience]]&lt;=2,1,""))</f>
        <v/>
      </c>
      <c r="O69" t="str">
        <f>IF(tblSalaries[[#This Row],[Years of Experience]]="","",IF(AND(tblSalaries[[#This Row],[Years of Experience]]&gt;2,tblSalaries[[#This Row],[Years of Experience]]&lt;=5),1,""))</f>
        <v/>
      </c>
      <c r="P69" t="str">
        <f>IF(tblSalaries[[#This Row],[Years of Experience]]="","",IF(AND(tblSalaries[[#This Row],[Years of Experience]]&gt;5,tblSalaries[[#This Row],[Years of Experience]]&lt;=10),1,""))</f>
        <v/>
      </c>
      <c r="Q69" t="str">
        <f>IF(tblSalaries[[#This Row],[Years of Experience]]="","",IF(AND(tblSalaries[[#This Row],[Years of Experience]]&gt;10,tblSalaries[[#This Row],[Years of Experience]]&lt;=15),1,""))</f>
        <v/>
      </c>
      <c r="R69" t="str">
        <f>IF(tblSalaries[[#This Row],[Years of Experience]]="","",IF(AND(tblSalaries[[#This Row],[Years of Experience]]&gt;16,tblSalaries[[#This Row],[Years of Experience]]&lt;=20),1,""))</f>
        <v/>
      </c>
      <c r="S69" t="str">
        <f>IF(tblSalaries[[#This Row],[Years of Experience]]="","",IF(tblSalaries[[#This Row],[Years of Experience]]&gt;20,1,""))</f>
        <v/>
      </c>
      <c r="T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69" s="13" t="str">
        <f>IF(tblSalaries[[#This Row],[Job Type]]=tblSalaries[[#Headers],[Accountant]],tblSalaries[[#This Row],[Salary in USD]],"")</f>
        <v/>
      </c>
      <c r="V69" s="13">
        <f>IF(tblSalaries[[#This Row],[Job Type]]=tblSalaries[[#Headers],[Analyst]],tblSalaries[[#This Row],[Salary in USD]],"")</f>
        <v>48275.178681681093</v>
      </c>
      <c r="W69" s="13" t="str">
        <f>IF(tblSalaries[[#This Row],[Job Type]]=tblSalaries[[#Headers],[Consultant]],tblSalaries[[#This Row],[Salary in USD]],"")</f>
        <v/>
      </c>
      <c r="X69" s="13" t="str">
        <f>IF(tblSalaries[[#This Row],[Job Type]]=tblSalaries[[#Headers],[Controller]],tblSalaries[[#This Row],[Salary in USD]],"")</f>
        <v/>
      </c>
      <c r="Y69" s="13" t="str">
        <f>IF(tblSalaries[[#This Row],[Job Type]]=tblSalaries[[#Headers],[CXO or Top Mgmt.]],tblSalaries[[#This Row],[clean Salary (in local currency)]],"")</f>
        <v/>
      </c>
      <c r="Z69" s="13" t="str">
        <f>IF(tblSalaries[[#This Row],[Job Type]]=tblSalaries[[#Headers],[Engineer]],tblSalaries[[#This Row],[Salary in USD]],"")</f>
        <v/>
      </c>
      <c r="AA69" s="13" t="str">
        <f>IF(tblSalaries[[#This Row],[Job Type]]=tblSalaries[[#Headers],[Manager]],tblSalaries[[#This Row],[Salary in USD]],"")</f>
        <v/>
      </c>
      <c r="AB69" s="13" t="str">
        <f>IF(tblSalaries[[#This Row],[Job Type]]=tblSalaries[[#Headers],[Misc.]],tblSalaries[[#This Row],[Salary in USD]],"")</f>
        <v/>
      </c>
      <c r="AC69" s="13" t="str">
        <f>IF(tblSalaries[[#This Row],[Job Type]]=tblSalaries[[#Headers],[Reporting]],tblSalaries[[#This Row],[Salary in USD]],"")</f>
        <v/>
      </c>
      <c r="AD69" s="13" t="str">
        <f>IF(tblSalaries[[#This Row],[Job Type]]=tblSalaries[[#Headers],[Specialist]],tblSalaries[[#This Row],[Salary in USD]],"")</f>
        <v/>
      </c>
    </row>
    <row r="70" spans="2:30" ht="15" customHeight="1" x14ac:dyDescent="0.25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 s="9">
        <f>tblSalaries[[#This Row],[clean Salary (in local currency)]]*VLOOKUP(tblSalaries[[#This Row],[Currency]],tblXrate[],2,FALSE)</f>
        <v>86692.320794224041</v>
      </c>
      <c r="H70" t="s">
        <v>116</v>
      </c>
      <c r="I70" t="s">
        <v>4001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  <c r="N70" t="str">
        <f>IF(tblSalaries[[#This Row],[Years of Experience]]="","",IF(tblSalaries[[#This Row],[Years of Experience]]&lt;=2,1,""))</f>
        <v/>
      </c>
      <c r="O70" t="str">
        <f>IF(tblSalaries[[#This Row],[Years of Experience]]="","",IF(AND(tblSalaries[[#This Row],[Years of Experience]]&gt;2,tblSalaries[[#This Row],[Years of Experience]]&lt;=5),1,""))</f>
        <v/>
      </c>
      <c r="P70" t="str">
        <f>IF(tblSalaries[[#This Row],[Years of Experience]]="","",IF(AND(tblSalaries[[#This Row],[Years of Experience]]&gt;5,tblSalaries[[#This Row],[Years of Experience]]&lt;=10),1,""))</f>
        <v/>
      </c>
      <c r="Q70" t="str">
        <f>IF(tblSalaries[[#This Row],[Years of Experience]]="","",IF(AND(tblSalaries[[#This Row],[Years of Experience]]&gt;10,tblSalaries[[#This Row],[Years of Experience]]&lt;=15),1,""))</f>
        <v/>
      </c>
      <c r="R70" t="str">
        <f>IF(tblSalaries[[#This Row],[Years of Experience]]="","",IF(AND(tblSalaries[[#This Row],[Years of Experience]]&gt;16,tblSalaries[[#This Row],[Years of Experience]]&lt;=20),1,""))</f>
        <v/>
      </c>
      <c r="S70" t="str">
        <f>IF(tblSalaries[[#This Row],[Years of Experience]]="","",IF(tblSalaries[[#This Row],[Years of Experience]]&gt;20,1,""))</f>
        <v/>
      </c>
      <c r="T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0" s="13" t="str">
        <f>IF(tblSalaries[[#This Row],[Job Type]]=tblSalaries[[#Headers],[Accountant]],tblSalaries[[#This Row],[Salary in USD]],"")</f>
        <v/>
      </c>
      <c r="V70" s="13" t="str">
        <f>IF(tblSalaries[[#This Row],[Job Type]]=tblSalaries[[#Headers],[Analyst]],tblSalaries[[#This Row],[Salary in USD]],"")</f>
        <v/>
      </c>
      <c r="W70" s="13" t="str">
        <f>IF(tblSalaries[[#This Row],[Job Type]]=tblSalaries[[#Headers],[Consultant]],tblSalaries[[#This Row],[Salary in USD]],"")</f>
        <v/>
      </c>
      <c r="X70" s="13" t="str">
        <f>IF(tblSalaries[[#This Row],[Job Type]]=tblSalaries[[#Headers],[Controller]],tblSalaries[[#This Row],[Salary in USD]],"")</f>
        <v/>
      </c>
      <c r="Y70" s="13">
        <f>IF(tblSalaries[[#This Row],[Job Type]]=tblSalaries[[#Headers],[CXO or Top Mgmt.]],tblSalaries[[#This Row],[clean Salary (in local currency)]],"")</f>
        <v>85000</v>
      </c>
      <c r="Z70" s="13" t="str">
        <f>IF(tblSalaries[[#This Row],[Job Type]]=tblSalaries[[#Headers],[Engineer]],tblSalaries[[#This Row],[Salary in USD]],"")</f>
        <v/>
      </c>
      <c r="AA70" s="13" t="str">
        <f>IF(tblSalaries[[#This Row],[Job Type]]=tblSalaries[[#Headers],[Manager]],tblSalaries[[#This Row],[Salary in USD]],"")</f>
        <v/>
      </c>
      <c r="AB70" s="13" t="str">
        <f>IF(tblSalaries[[#This Row],[Job Type]]=tblSalaries[[#Headers],[Misc.]],tblSalaries[[#This Row],[Salary in USD]],"")</f>
        <v/>
      </c>
      <c r="AC70" s="13" t="str">
        <f>IF(tblSalaries[[#This Row],[Job Type]]=tblSalaries[[#Headers],[Reporting]],tblSalaries[[#This Row],[Salary in USD]],"")</f>
        <v/>
      </c>
      <c r="AD70" s="13" t="str">
        <f>IF(tblSalaries[[#This Row],[Job Type]]=tblSalaries[[#Headers],[Specialist]],tblSalaries[[#This Row],[Salary in USD]],"")</f>
        <v/>
      </c>
    </row>
    <row r="71" spans="2:30" ht="15" customHeight="1" x14ac:dyDescent="0.25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 s="9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  <c r="N71" t="str">
        <f>IF(tblSalaries[[#This Row],[Years of Experience]]="","",IF(tblSalaries[[#This Row],[Years of Experience]]&lt;=2,1,""))</f>
        <v/>
      </c>
      <c r="O71" t="str">
        <f>IF(tblSalaries[[#This Row],[Years of Experience]]="","",IF(AND(tblSalaries[[#This Row],[Years of Experience]]&gt;2,tblSalaries[[#This Row],[Years of Experience]]&lt;=5),1,""))</f>
        <v/>
      </c>
      <c r="P71" t="str">
        <f>IF(tblSalaries[[#This Row],[Years of Experience]]="","",IF(AND(tblSalaries[[#This Row],[Years of Experience]]&gt;5,tblSalaries[[#This Row],[Years of Experience]]&lt;=10),1,""))</f>
        <v/>
      </c>
      <c r="Q71" t="str">
        <f>IF(tblSalaries[[#This Row],[Years of Experience]]="","",IF(AND(tblSalaries[[#This Row],[Years of Experience]]&gt;10,tblSalaries[[#This Row],[Years of Experience]]&lt;=15),1,""))</f>
        <v/>
      </c>
      <c r="R71" t="str">
        <f>IF(tblSalaries[[#This Row],[Years of Experience]]="","",IF(AND(tblSalaries[[#This Row],[Years of Experience]]&gt;16,tblSalaries[[#This Row],[Years of Experience]]&lt;=20),1,""))</f>
        <v/>
      </c>
      <c r="S71" t="str">
        <f>IF(tblSalaries[[#This Row],[Years of Experience]]="","",IF(tblSalaries[[#This Row],[Years of Experience]]&gt;20,1,""))</f>
        <v/>
      </c>
      <c r="T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1" s="13" t="str">
        <f>IF(tblSalaries[[#This Row],[Job Type]]=tblSalaries[[#Headers],[Accountant]],tblSalaries[[#This Row],[Salary in USD]],"")</f>
        <v/>
      </c>
      <c r="V71" s="13">
        <f>IF(tblSalaries[[#This Row],[Job Type]]=tblSalaries[[#Headers],[Analyst]],tblSalaries[[#This Row],[Salary in USD]],"")</f>
        <v>85087</v>
      </c>
      <c r="W71" s="13" t="str">
        <f>IF(tblSalaries[[#This Row],[Job Type]]=tblSalaries[[#Headers],[Consultant]],tblSalaries[[#This Row],[Salary in USD]],"")</f>
        <v/>
      </c>
      <c r="X71" s="13" t="str">
        <f>IF(tblSalaries[[#This Row],[Job Type]]=tblSalaries[[#Headers],[Controller]],tblSalaries[[#This Row],[Salary in USD]],"")</f>
        <v/>
      </c>
      <c r="Y71" s="13" t="str">
        <f>IF(tblSalaries[[#This Row],[Job Type]]=tblSalaries[[#Headers],[CXO or Top Mgmt.]],tblSalaries[[#This Row],[clean Salary (in local currency)]],"")</f>
        <v/>
      </c>
      <c r="Z71" s="13" t="str">
        <f>IF(tblSalaries[[#This Row],[Job Type]]=tblSalaries[[#Headers],[Engineer]],tblSalaries[[#This Row],[Salary in USD]],"")</f>
        <v/>
      </c>
      <c r="AA71" s="13" t="str">
        <f>IF(tblSalaries[[#This Row],[Job Type]]=tblSalaries[[#Headers],[Manager]],tblSalaries[[#This Row],[Salary in USD]],"")</f>
        <v/>
      </c>
      <c r="AB71" s="13" t="str">
        <f>IF(tblSalaries[[#This Row],[Job Type]]=tblSalaries[[#Headers],[Misc.]],tblSalaries[[#This Row],[Salary in USD]],"")</f>
        <v/>
      </c>
      <c r="AC71" s="13" t="str">
        <f>IF(tblSalaries[[#This Row],[Job Type]]=tblSalaries[[#Headers],[Reporting]],tblSalaries[[#This Row],[Salary in USD]],"")</f>
        <v/>
      </c>
      <c r="AD71" s="13" t="str">
        <f>IF(tblSalaries[[#This Row],[Job Type]]=tblSalaries[[#Headers],[Specialist]],tblSalaries[[#This Row],[Salary in USD]],"")</f>
        <v/>
      </c>
    </row>
    <row r="72" spans="2:30" ht="15" customHeight="1" x14ac:dyDescent="0.25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 s="9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  <c r="N72" t="str">
        <f>IF(tblSalaries[[#This Row],[Years of Experience]]="","",IF(tblSalaries[[#This Row],[Years of Experience]]&lt;=2,1,""))</f>
        <v/>
      </c>
      <c r="O72" t="str">
        <f>IF(tblSalaries[[#This Row],[Years of Experience]]="","",IF(AND(tblSalaries[[#This Row],[Years of Experience]]&gt;2,tblSalaries[[#This Row],[Years of Experience]]&lt;=5),1,""))</f>
        <v/>
      </c>
      <c r="P72" t="str">
        <f>IF(tblSalaries[[#This Row],[Years of Experience]]="","",IF(AND(tblSalaries[[#This Row],[Years of Experience]]&gt;5,tblSalaries[[#This Row],[Years of Experience]]&lt;=10),1,""))</f>
        <v/>
      </c>
      <c r="Q72" t="str">
        <f>IF(tblSalaries[[#This Row],[Years of Experience]]="","",IF(AND(tblSalaries[[#This Row],[Years of Experience]]&gt;10,tblSalaries[[#This Row],[Years of Experience]]&lt;=15),1,""))</f>
        <v/>
      </c>
      <c r="R72" t="str">
        <f>IF(tblSalaries[[#This Row],[Years of Experience]]="","",IF(AND(tblSalaries[[#This Row],[Years of Experience]]&gt;16,tblSalaries[[#This Row],[Years of Experience]]&lt;=20),1,""))</f>
        <v/>
      </c>
      <c r="S72" t="str">
        <f>IF(tblSalaries[[#This Row],[Years of Experience]]="","",IF(tblSalaries[[#This Row],[Years of Experience]]&gt;20,1,""))</f>
        <v/>
      </c>
      <c r="T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2" s="13" t="str">
        <f>IF(tblSalaries[[#This Row],[Job Type]]=tblSalaries[[#Headers],[Accountant]],tblSalaries[[#This Row],[Salary in USD]],"")</f>
        <v/>
      </c>
      <c r="V72" s="13">
        <f>IF(tblSalaries[[#This Row],[Job Type]]=tblSalaries[[#Headers],[Analyst]],tblSalaries[[#This Row],[Salary in USD]],"")</f>
        <v>50000</v>
      </c>
      <c r="W72" s="13" t="str">
        <f>IF(tblSalaries[[#This Row],[Job Type]]=tblSalaries[[#Headers],[Consultant]],tblSalaries[[#This Row],[Salary in USD]],"")</f>
        <v/>
      </c>
      <c r="X72" s="13" t="str">
        <f>IF(tblSalaries[[#This Row],[Job Type]]=tblSalaries[[#Headers],[Controller]],tblSalaries[[#This Row],[Salary in USD]],"")</f>
        <v/>
      </c>
      <c r="Y72" s="13" t="str">
        <f>IF(tblSalaries[[#This Row],[Job Type]]=tblSalaries[[#Headers],[CXO or Top Mgmt.]],tblSalaries[[#This Row],[clean Salary (in local currency)]],"")</f>
        <v/>
      </c>
      <c r="Z72" s="13" t="str">
        <f>IF(tblSalaries[[#This Row],[Job Type]]=tblSalaries[[#Headers],[Engineer]],tblSalaries[[#This Row],[Salary in USD]],"")</f>
        <v/>
      </c>
      <c r="AA72" s="13" t="str">
        <f>IF(tblSalaries[[#This Row],[Job Type]]=tblSalaries[[#Headers],[Manager]],tblSalaries[[#This Row],[Salary in USD]],"")</f>
        <v/>
      </c>
      <c r="AB72" s="13" t="str">
        <f>IF(tblSalaries[[#This Row],[Job Type]]=tblSalaries[[#Headers],[Misc.]],tblSalaries[[#This Row],[Salary in USD]],"")</f>
        <v/>
      </c>
      <c r="AC72" s="13" t="str">
        <f>IF(tblSalaries[[#This Row],[Job Type]]=tblSalaries[[#Headers],[Reporting]],tblSalaries[[#This Row],[Salary in USD]],"")</f>
        <v/>
      </c>
      <c r="AD72" s="13" t="str">
        <f>IF(tblSalaries[[#This Row],[Job Type]]=tblSalaries[[#Headers],[Specialist]],tblSalaries[[#This Row],[Salary in USD]],"")</f>
        <v/>
      </c>
    </row>
    <row r="73" spans="2:30" ht="15" customHeight="1" x14ac:dyDescent="0.25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 s="9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  <c r="N73" t="str">
        <f>IF(tblSalaries[[#This Row],[Years of Experience]]="","",IF(tblSalaries[[#This Row],[Years of Experience]]&lt;=2,1,""))</f>
        <v/>
      </c>
      <c r="O73" t="str">
        <f>IF(tblSalaries[[#This Row],[Years of Experience]]="","",IF(AND(tblSalaries[[#This Row],[Years of Experience]]&gt;2,tblSalaries[[#This Row],[Years of Experience]]&lt;=5),1,""))</f>
        <v/>
      </c>
      <c r="P73" t="str">
        <f>IF(tblSalaries[[#This Row],[Years of Experience]]="","",IF(AND(tblSalaries[[#This Row],[Years of Experience]]&gt;5,tblSalaries[[#This Row],[Years of Experience]]&lt;=10),1,""))</f>
        <v/>
      </c>
      <c r="Q73" t="str">
        <f>IF(tblSalaries[[#This Row],[Years of Experience]]="","",IF(AND(tblSalaries[[#This Row],[Years of Experience]]&gt;10,tblSalaries[[#This Row],[Years of Experience]]&lt;=15),1,""))</f>
        <v/>
      </c>
      <c r="R73" t="str">
        <f>IF(tblSalaries[[#This Row],[Years of Experience]]="","",IF(AND(tblSalaries[[#This Row],[Years of Experience]]&gt;16,tblSalaries[[#This Row],[Years of Experience]]&lt;=20),1,""))</f>
        <v/>
      </c>
      <c r="S73" t="str">
        <f>IF(tblSalaries[[#This Row],[Years of Experience]]="","",IF(tblSalaries[[#This Row],[Years of Experience]]&gt;20,1,""))</f>
        <v/>
      </c>
      <c r="T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3" s="13" t="str">
        <f>IF(tblSalaries[[#This Row],[Job Type]]=tblSalaries[[#Headers],[Accountant]],tblSalaries[[#This Row],[Salary in USD]],"")</f>
        <v/>
      </c>
      <c r="V73" s="13" t="str">
        <f>IF(tblSalaries[[#This Row],[Job Type]]=tblSalaries[[#Headers],[Analyst]],tblSalaries[[#This Row],[Salary in USD]],"")</f>
        <v/>
      </c>
      <c r="W73" s="13" t="str">
        <f>IF(tblSalaries[[#This Row],[Job Type]]=tblSalaries[[#Headers],[Consultant]],tblSalaries[[#This Row],[Salary in USD]],"")</f>
        <v/>
      </c>
      <c r="X73" s="13" t="str">
        <f>IF(tblSalaries[[#This Row],[Job Type]]=tblSalaries[[#Headers],[Controller]],tblSalaries[[#This Row],[Salary in USD]],"")</f>
        <v/>
      </c>
      <c r="Y73" s="13" t="str">
        <f>IF(tblSalaries[[#This Row],[Job Type]]=tblSalaries[[#Headers],[CXO or Top Mgmt.]],tblSalaries[[#This Row],[clean Salary (in local currency)]],"")</f>
        <v/>
      </c>
      <c r="Z73" s="13" t="str">
        <f>IF(tblSalaries[[#This Row],[Job Type]]=tblSalaries[[#Headers],[Engineer]],tblSalaries[[#This Row],[Salary in USD]],"")</f>
        <v/>
      </c>
      <c r="AA73" s="13">
        <f>IF(tblSalaries[[#This Row],[Job Type]]=tblSalaries[[#Headers],[Manager]],tblSalaries[[#This Row],[Salary in USD]],"")</f>
        <v>100000</v>
      </c>
      <c r="AB73" s="13" t="str">
        <f>IF(tblSalaries[[#This Row],[Job Type]]=tblSalaries[[#Headers],[Misc.]],tblSalaries[[#This Row],[Salary in USD]],"")</f>
        <v/>
      </c>
      <c r="AC73" s="13" t="str">
        <f>IF(tblSalaries[[#This Row],[Job Type]]=tblSalaries[[#Headers],[Reporting]],tblSalaries[[#This Row],[Salary in USD]],"")</f>
        <v/>
      </c>
      <c r="AD73" s="13" t="str">
        <f>IF(tblSalaries[[#This Row],[Job Type]]=tblSalaries[[#Headers],[Specialist]],tblSalaries[[#This Row],[Salary in USD]],"")</f>
        <v/>
      </c>
    </row>
    <row r="74" spans="2:30" ht="15" customHeight="1" x14ac:dyDescent="0.25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 s="9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  <c r="N74" t="str">
        <f>IF(tblSalaries[[#This Row],[Years of Experience]]="","",IF(tblSalaries[[#This Row],[Years of Experience]]&lt;=2,1,""))</f>
        <v/>
      </c>
      <c r="O74" t="str">
        <f>IF(tblSalaries[[#This Row],[Years of Experience]]="","",IF(AND(tblSalaries[[#This Row],[Years of Experience]]&gt;2,tblSalaries[[#This Row],[Years of Experience]]&lt;=5),1,""))</f>
        <v/>
      </c>
      <c r="P74" t="str">
        <f>IF(tblSalaries[[#This Row],[Years of Experience]]="","",IF(AND(tblSalaries[[#This Row],[Years of Experience]]&gt;5,tblSalaries[[#This Row],[Years of Experience]]&lt;=10),1,""))</f>
        <v/>
      </c>
      <c r="Q74" t="str">
        <f>IF(tblSalaries[[#This Row],[Years of Experience]]="","",IF(AND(tblSalaries[[#This Row],[Years of Experience]]&gt;10,tblSalaries[[#This Row],[Years of Experience]]&lt;=15),1,""))</f>
        <v/>
      </c>
      <c r="R74" t="str">
        <f>IF(tblSalaries[[#This Row],[Years of Experience]]="","",IF(AND(tblSalaries[[#This Row],[Years of Experience]]&gt;16,tblSalaries[[#This Row],[Years of Experience]]&lt;=20),1,""))</f>
        <v/>
      </c>
      <c r="S74" t="str">
        <f>IF(tblSalaries[[#This Row],[Years of Experience]]="","",IF(tblSalaries[[#This Row],[Years of Experience]]&gt;20,1,""))</f>
        <v/>
      </c>
      <c r="T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4" s="13" t="str">
        <f>IF(tblSalaries[[#This Row],[Job Type]]=tblSalaries[[#Headers],[Accountant]],tblSalaries[[#This Row],[Salary in USD]],"")</f>
        <v/>
      </c>
      <c r="V74" s="13">
        <f>IF(tblSalaries[[#This Row],[Job Type]]=tblSalaries[[#Headers],[Analyst]],tblSalaries[[#This Row],[Salary in USD]],"")</f>
        <v>57000</v>
      </c>
      <c r="W74" s="13" t="str">
        <f>IF(tblSalaries[[#This Row],[Job Type]]=tblSalaries[[#Headers],[Consultant]],tblSalaries[[#This Row],[Salary in USD]],"")</f>
        <v/>
      </c>
      <c r="X74" s="13" t="str">
        <f>IF(tblSalaries[[#This Row],[Job Type]]=tblSalaries[[#Headers],[Controller]],tblSalaries[[#This Row],[Salary in USD]],"")</f>
        <v/>
      </c>
      <c r="Y74" s="13" t="str">
        <f>IF(tblSalaries[[#This Row],[Job Type]]=tblSalaries[[#Headers],[CXO or Top Mgmt.]],tblSalaries[[#This Row],[clean Salary (in local currency)]],"")</f>
        <v/>
      </c>
      <c r="Z74" s="13" t="str">
        <f>IF(tblSalaries[[#This Row],[Job Type]]=tblSalaries[[#Headers],[Engineer]],tblSalaries[[#This Row],[Salary in USD]],"")</f>
        <v/>
      </c>
      <c r="AA74" s="13" t="str">
        <f>IF(tblSalaries[[#This Row],[Job Type]]=tblSalaries[[#Headers],[Manager]],tblSalaries[[#This Row],[Salary in USD]],"")</f>
        <v/>
      </c>
      <c r="AB74" s="13" t="str">
        <f>IF(tblSalaries[[#This Row],[Job Type]]=tblSalaries[[#Headers],[Misc.]],tblSalaries[[#This Row],[Salary in USD]],"")</f>
        <v/>
      </c>
      <c r="AC74" s="13" t="str">
        <f>IF(tblSalaries[[#This Row],[Job Type]]=tblSalaries[[#Headers],[Reporting]],tblSalaries[[#This Row],[Salary in USD]],"")</f>
        <v/>
      </c>
      <c r="AD74" s="13" t="str">
        <f>IF(tblSalaries[[#This Row],[Job Type]]=tblSalaries[[#Headers],[Specialist]],tblSalaries[[#This Row],[Salary in USD]],"")</f>
        <v/>
      </c>
    </row>
    <row r="75" spans="2:30" ht="15" customHeight="1" x14ac:dyDescent="0.25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 s="9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  <c r="N75" t="str">
        <f>IF(tblSalaries[[#This Row],[Years of Experience]]="","",IF(tblSalaries[[#This Row],[Years of Experience]]&lt;=2,1,""))</f>
        <v/>
      </c>
      <c r="O75" t="str">
        <f>IF(tblSalaries[[#This Row],[Years of Experience]]="","",IF(AND(tblSalaries[[#This Row],[Years of Experience]]&gt;2,tblSalaries[[#This Row],[Years of Experience]]&lt;=5),1,""))</f>
        <v/>
      </c>
      <c r="P75" t="str">
        <f>IF(tblSalaries[[#This Row],[Years of Experience]]="","",IF(AND(tblSalaries[[#This Row],[Years of Experience]]&gt;5,tblSalaries[[#This Row],[Years of Experience]]&lt;=10),1,""))</f>
        <v/>
      </c>
      <c r="Q75" t="str">
        <f>IF(tblSalaries[[#This Row],[Years of Experience]]="","",IF(AND(tblSalaries[[#This Row],[Years of Experience]]&gt;10,tblSalaries[[#This Row],[Years of Experience]]&lt;=15),1,""))</f>
        <v/>
      </c>
      <c r="R75" t="str">
        <f>IF(tblSalaries[[#This Row],[Years of Experience]]="","",IF(AND(tblSalaries[[#This Row],[Years of Experience]]&gt;16,tblSalaries[[#This Row],[Years of Experience]]&lt;=20),1,""))</f>
        <v/>
      </c>
      <c r="S75" t="str">
        <f>IF(tblSalaries[[#This Row],[Years of Experience]]="","",IF(tblSalaries[[#This Row],[Years of Experience]]&gt;20,1,""))</f>
        <v/>
      </c>
      <c r="T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5" s="13" t="str">
        <f>IF(tblSalaries[[#This Row],[Job Type]]=tblSalaries[[#Headers],[Accountant]],tblSalaries[[#This Row],[Salary in USD]],"")</f>
        <v/>
      </c>
      <c r="V75" s="13" t="str">
        <f>IF(tblSalaries[[#This Row],[Job Type]]=tblSalaries[[#Headers],[Analyst]],tblSalaries[[#This Row],[Salary in USD]],"")</f>
        <v/>
      </c>
      <c r="W75" s="13" t="str">
        <f>IF(tblSalaries[[#This Row],[Job Type]]=tblSalaries[[#Headers],[Consultant]],tblSalaries[[#This Row],[Salary in USD]],"")</f>
        <v/>
      </c>
      <c r="X75" s="13" t="str">
        <f>IF(tblSalaries[[#This Row],[Job Type]]=tblSalaries[[#Headers],[Controller]],tblSalaries[[#This Row],[Salary in USD]],"")</f>
        <v/>
      </c>
      <c r="Y75" s="13" t="str">
        <f>IF(tblSalaries[[#This Row],[Job Type]]=tblSalaries[[#Headers],[CXO or Top Mgmt.]],tblSalaries[[#This Row],[clean Salary (in local currency)]],"")</f>
        <v/>
      </c>
      <c r="Z75" s="13" t="str">
        <f>IF(tblSalaries[[#This Row],[Job Type]]=tblSalaries[[#Headers],[Engineer]],tblSalaries[[#This Row],[Salary in USD]],"")</f>
        <v/>
      </c>
      <c r="AA75" s="13">
        <f>IF(tblSalaries[[#This Row],[Job Type]]=tblSalaries[[#Headers],[Manager]],tblSalaries[[#This Row],[Salary in USD]],"")</f>
        <v>75000</v>
      </c>
      <c r="AB75" s="13" t="str">
        <f>IF(tblSalaries[[#This Row],[Job Type]]=tblSalaries[[#Headers],[Misc.]],tblSalaries[[#This Row],[Salary in USD]],"")</f>
        <v/>
      </c>
      <c r="AC75" s="13" t="str">
        <f>IF(tblSalaries[[#This Row],[Job Type]]=tblSalaries[[#Headers],[Reporting]],tblSalaries[[#This Row],[Salary in USD]],"")</f>
        <v/>
      </c>
      <c r="AD75" s="13" t="str">
        <f>IF(tblSalaries[[#This Row],[Job Type]]=tblSalaries[[#Headers],[Specialist]],tblSalaries[[#This Row],[Salary in USD]],"")</f>
        <v/>
      </c>
    </row>
    <row r="76" spans="2:30" ht="15" customHeight="1" x14ac:dyDescent="0.25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 s="9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  <c r="N76" t="str">
        <f>IF(tblSalaries[[#This Row],[Years of Experience]]="","",IF(tblSalaries[[#This Row],[Years of Experience]]&lt;=2,1,""))</f>
        <v/>
      </c>
      <c r="O76" t="str">
        <f>IF(tblSalaries[[#This Row],[Years of Experience]]="","",IF(AND(tblSalaries[[#This Row],[Years of Experience]]&gt;2,tblSalaries[[#This Row],[Years of Experience]]&lt;=5),1,""))</f>
        <v/>
      </c>
      <c r="P76" t="str">
        <f>IF(tblSalaries[[#This Row],[Years of Experience]]="","",IF(AND(tblSalaries[[#This Row],[Years of Experience]]&gt;5,tblSalaries[[#This Row],[Years of Experience]]&lt;=10),1,""))</f>
        <v/>
      </c>
      <c r="Q76" t="str">
        <f>IF(tblSalaries[[#This Row],[Years of Experience]]="","",IF(AND(tblSalaries[[#This Row],[Years of Experience]]&gt;10,tblSalaries[[#This Row],[Years of Experience]]&lt;=15),1,""))</f>
        <v/>
      </c>
      <c r="R76" t="str">
        <f>IF(tblSalaries[[#This Row],[Years of Experience]]="","",IF(AND(tblSalaries[[#This Row],[Years of Experience]]&gt;16,tblSalaries[[#This Row],[Years of Experience]]&lt;=20),1,""))</f>
        <v/>
      </c>
      <c r="S76" t="str">
        <f>IF(tblSalaries[[#This Row],[Years of Experience]]="","",IF(tblSalaries[[#This Row],[Years of Experience]]&gt;20,1,""))</f>
        <v/>
      </c>
      <c r="T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6" s="13" t="str">
        <f>IF(tblSalaries[[#This Row],[Job Type]]=tblSalaries[[#Headers],[Accountant]],tblSalaries[[#This Row],[Salary in USD]],"")</f>
        <v/>
      </c>
      <c r="V76" s="13" t="str">
        <f>IF(tblSalaries[[#This Row],[Job Type]]=tblSalaries[[#Headers],[Analyst]],tblSalaries[[#This Row],[Salary in USD]],"")</f>
        <v/>
      </c>
      <c r="W76" s="13" t="str">
        <f>IF(tblSalaries[[#This Row],[Job Type]]=tblSalaries[[#Headers],[Consultant]],tblSalaries[[#This Row],[Salary in USD]],"")</f>
        <v/>
      </c>
      <c r="X76" s="13" t="str">
        <f>IF(tblSalaries[[#This Row],[Job Type]]=tblSalaries[[#Headers],[Controller]],tblSalaries[[#This Row],[Salary in USD]],"")</f>
        <v/>
      </c>
      <c r="Y76" s="13" t="str">
        <f>IF(tblSalaries[[#This Row],[Job Type]]=tblSalaries[[#Headers],[CXO or Top Mgmt.]],tblSalaries[[#This Row],[clean Salary (in local currency)]],"")</f>
        <v/>
      </c>
      <c r="Z76" s="13" t="str">
        <f>IF(tblSalaries[[#This Row],[Job Type]]=tblSalaries[[#Headers],[Engineer]],tblSalaries[[#This Row],[Salary in USD]],"")</f>
        <v/>
      </c>
      <c r="AA76" s="13">
        <f>IF(tblSalaries[[#This Row],[Job Type]]=tblSalaries[[#Headers],[Manager]],tblSalaries[[#This Row],[Salary in USD]],"")</f>
        <v>101990.96564026357</v>
      </c>
      <c r="AB76" s="13" t="str">
        <f>IF(tblSalaries[[#This Row],[Job Type]]=tblSalaries[[#Headers],[Misc.]],tblSalaries[[#This Row],[Salary in USD]],"")</f>
        <v/>
      </c>
      <c r="AC76" s="13" t="str">
        <f>IF(tblSalaries[[#This Row],[Job Type]]=tblSalaries[[#Headers],[Reporting]],tblSalaries[[#This Row],[Salary in USD]],"")</f>
        <v/>
      </c>
      <c r="AD76" s="13" t="str">
        <f>IF(tblSalaries[[#This Row],[Job Type]]=tblSalaries[[#Headers],[Specialist]],tblSalaries[[#This Row],[Salary in USD]],"")</f>
        <v/>
      </c>
    </row>
    <row r="77" spans="2:30" ht="15" customHeight="1" x14ac:dyDescent="0.25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 s="9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  <c r="N77" t="str">
        <f>IF(tblSalaries[[#This Row],[Years of Experience]]="","",IF(tblSalaries[[#This Row],[Years of Experience]]&lt;=2,1,""))</f>
        <v/>
      </c>
      <c r="O77" t="str">
        <f>IF(tblSalaries[[#This Row],[Years of Experience]]="","",IF(AND(tblSalaries[[#This Row],[Years of Experience]]&gt;2,tblSalaries[[#This Row],[Years of Experience]]&lt;=5),1,""))</f>
        <v/>
      </c>
      <c r="P77" t="str">
        <f>IF(tblSalaries[[#This Row],[Years of Experience]]="","",IF(AND(tblSalaries[[#This Row],[Years of Experience]]&gt;5,tblSalaries[[#This Row],[Years of Experience]]&lt;=10),1,""))</f>
        <v/>
      </c>
      <c r="Q77" t="str">
        <f>IF(tblSalaries[[#This Row],[Years of Experience]]="","",IF(AND(tblSalaries[[#This Row],[Years of Experience]]&gt;10,tblSalaries[[#This Row],[Years of Experience]]&lt;=15),1,""))</f>
        <v/>
      </c>
      <c r="R77" t="str">
        <f>IF(tblSalaries[[#This Row],[Years of Experience]]="","",IF(AND(tblSalaries[[#This Row],[Years of Experience]]&gt;16,tblSalaries[[#This Row],[Years of Experience]]&lt;=20),1,""))</f>
        <v/>
      </c>
      <c r="S77" t="str">
        <f>IF(tblSalaries[[#This Row],[Years of Experience]]="","",IF(tblSalaries[[#This Row],[Years of Experience]]&gt;20,1,""))</f>
        <v/>
      </c>
      <c r="T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7" s="13" t="str">
        <f>IF(tblSalaries[[#This Row],[Job Type]]=tblSalaries[[#Headers],[Accountant]],tblSalaries[[#This Row],[Salary in USD]],"")</f>
        <v/>
      </c>
      <c r="V77" s="13" t="str">
        <f>IF(tblSalaries[[#This Row],[Job Type]]=tblSalaries[[#Headers],[Analyst]],tblSalaries[[#This Row],[Salary in USD]],"")</f>
        <v/>
      </c>
      <c r="W77" s="13" t="str">
        <f>IF(tblSalaries[[#This Row],[Job Type]]=tblSalaries[[#Headers],[Consultant]],tblSalaries[[#This Row],[Salary in USD]],"")</f>
        <v/>
      </c>
      <c r="X77" s="13" t="str">
        <f>IF(tblSalaries[[#This Row],[Job Type]]=tblSalaries[[#Headers],[Controller]],tblSalaries[[#This Row],[Salary in USD]],"")</f>
        <v/>
      </c>
      <c r="Y77" s="13" t="str">
        <f>IF(tblSalaries[[#This Row],[Job Type]]=tblSalaries[[#Headers],[CXO or Top Mgmt.]],tblSalaries[[#This Row],[clean Salary (in local currency)]],"")</f>
        <v/>
      </c>
      <c r="Z77" s="13" t="str">
        <f>IF(tblSalaries[[#This Row],[Job Type]]=tblSalaries[[#Headers],[Engineer]],tblSalaries[[#This Row],[Salary in USD]],"")</f>
        <v/>
      </c>
      <c r="AA77" s="13">
        <f>IF(tblSalaries[[#This Row],[Job Type]]=tblSalaries[[#Headers],[Manager]],tblSalaries[[#This Row],[Salary in USD]],"")</f>
        <v>33420</v>
      </c>
      <c r="AB77" s="13" t="str">
        <f>IF(tblSalaries[[#This Row],[Job Type]]=tblSalaries[[#Headers],[Misc.]],tblSalaries[[#This Row],[Salary in USD]],"")</f>
        <v/>
      </c>
      <c r="AC77" s="13" t="str">
        <f>IF(tblSalaries[[#This Row],[Job Type]]=tblSalaries[[#Headers],[Reporting]],tblSalaries[[#This Row],[Salary in USD]],"")</f>
        <v/>
      </c>
      <c r="AD77" s="13" t="str">
        <f>IF(tblSalaries[[#This Row],[Job Type]]=tblSalaries[[#Headers],[Specialist]],tblSalaries[[#This Row],[Salary in USD]],"")</f>
        <v/>
      </c>
    </row>
    <row r="78" spans="2:30" ht="15" customHeight="1" x14ac:dyDescent="0.25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 s="9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  <c r="N78" t="str">
        <f>IF(tblSalaries[[#This Row],[Years of Experience]]="","",IF(tblSalaries[[#This Row],[Years of Experience]]&lt;=2,1,""))</f>
        <v/>
      </c>
      <c r="O78" t="str">
        <f>IF(tblSalaries[[#This Row],[Years of Experience]]="","",IF(AND(tblSalaries[[#This Row],[Years of Experience]]&gt;2,tblSalaries[[#This Row],[Years of Experience]]&lt;=5),1,""))</f>
        <v/>
      </c>
      <c r="P78" t="str">
        <f>IF(tblSalaries[[#This Row],[Years of Experience]]="","",IF(AND(tblSalaries[[#This Row],[Years of Experience]]&gt;5,tblSalaries[[#This Row],[Years of Experience]]&lt;=10),1,""))</f>
        <v/>
      </c>
      <c r="Q78" t="str">
        <f>IF(tblSalaries[[#This Row],[Years of Experience]]="","",IF(AND(tblSalaries[[#This Row],[Years of Experience]]&gt;10,tblSalaries[[#This Row],[Years of Experience]]&lt;=15),1,""))</f>
        <v/>
      </c>
      <c r="R78" t="str">
        <f>IF(tblSalaries[[#This Row],[Years of Experience]]="","",IF(AND(tblSalaries[[#This Row],[Years of Experience]]&gt;16,tblSalaries[[#This Row],[Years of Experience]]&lt;=20),1,""))</f>
        <v/>
      </c>
      <c r="S78" t="str">
        <f>IF(tblSalaries[[#This Row],[Years of Experience]]="","",IF(tblSalaries[[#This Row],[Years of Experience]]&gt;20,1,""))</f>
        <v/>
      </c>
      <c r="T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8" s="13" t="str">
        <f>IF(tblSalaries[[#This Row],[Job Type]]=tblSalaries[[#Headers],[Accountant]],tblSalaries[[#This Row],[Salary in USD]],"")</f>
        <v/>
      </c>
      <c r="V78" s="13" t="str">
        <f>IF(tblSalaries[[#This Row],[Job Type]]=tblSalaries[[#Headers],[Analyst]],tblSalaries[[#This Row],[Salary in USD]],"")</f>
        <v/>
      </c>
      <c r="W78" s="13" t="str">
        <f>IF(tblSalaries[[#This Row],[Job Type]]=tblSalaries[[#Headers],[Consultant]],tblSalaries[[#This Row],[Salary in USD]],"")</f>
        <v/>
      </c>
      <c r="X78" s="13" t="str">
        <f>IF(tblSalaries[[#This Row],[Job Type]]=tblSalaries[[#Headers],[Controller]],tblSalaries[[#This Row],[Salary in USD]],"")</f>
        <v/>
      </c>
      <c r="Y78" s="13" t="str">
        <f>IF(tblSalaries[[#This Row],[Job Type]]=tblSalaries[[#Headers],[CXO or Top Mgmt.]],tblSalaries[[#This Row],[clean Salary (in local currency)]],"")</f>
        <v/>
      </c>
      <c r="Z78" s="13" t="str">
        <f>IF(tblSalaries[[#This Row],[Job Type]]=tblSalaries[[#Headers],[Engineer]],tblSalaries[[#This Row],[Salary in USD]],"")</f>
        <v/>
      </c>
      <c r="AA78" s="13" t="str">
        <f>IF(tblSalaries[[#This Row],[Job Type]]=tblSalaries[[#Headers],[Manager]],tblSalaries[[#This Row],[Salary in USD]],"")</f>
        <v/>
      </c>
      <c r="AB78" s="13" t="str">
        <f>IF(tblSalaries[[#This Row],[Job Type]]=tblSalaries[[#Headers],[Misc.]],tblSalaries[[#This Row],[Salary in USD]],"")</f>
        <v/>
      </c>
      <c r="AC78" s="13" t="str">
        <f>IF(tblSalaries[[#This Row],[Job Type]]=tblSalaries[[#Headers],[Reporting]],tblSalaries[[#This Row],[Salary in USD]],"")</f>
        <v/>
      </c>
      <c r="AD78" s="13">
        <f>IF(tblSalaries[[#This Row],[Job Type]]=tblSalaries[[#Headers],[Specialist]],tblSalaries[[#This Row],[Salary in USD]],"")</f>
        <v>58460.842544152933</v>
      </c>
    </row>
    <row r="79" spans="2:30" ht="15" customHeight="1" x14ac:dyDescent="0.25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 s="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  <c r="N79" t="str">
        <f>IF(tblSalaries[[#This Row],[Years of Experience]]="","",IF(tblSalaries[[#This Row],[Years of Experience]]&lt;=2,1,""))</f>
        <v/>
      </c>
      <c r="O79" t="str">
        <f>IF(tblSalaries[[#This Row],[Years of Experience]]="","",IF(AND(tblSalaries[[#This Row],[Years of Experience]]&gt;2,tblSalaries[[#This Row],[Years of Experience]]&lt;=5),1,""))</f>
        <v/>
      </c>
      <c r="P79" t="str">
        <f>IF(tblSalaries[[#This Row],[Years of Experience]]="","",IF(AND(tblSalaries[[#This Row],[Years of Experience]]&gt;5,tblSalaries[[#This Row],[Years of Experience]]&lt;=10),1,""))</f>
        <v/>
      </c>
      <c r="Q79" t="str">
        <f>IF(tblSalaries[[#This Row],[Years of Experience]]="","",IF(AND(tblSalaries[[#This Row],[Years of Experience]]&gt;10,tblSalaries[[#This Row],[Years of Experience]]&lt;=15),1,""))</f>
        <v/>
      </c>
      <c r="R79" t="str">
        <f>IF(tblSalaries[[#This Row],[Years of Experience]]="","",IF(AND(tblSalaries[[#This Row],[Years of Experience]]&gt;16,tblSalaries[[#This Row],[Years of Experience]]&lt;=20),1,""))</f>
        <v/>
      </c>
      <c r="S79" t="str">
        <f>IF(tblSalaries[[#This Row],[Years of Experience]]="","",IF(tblSalaries[[#This Row],[Years of Experience]]&gt;20,1,""))</f>
        <v/>
      </c>
      <c r="T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9" s="13" t="str">
        <f>IF(tblSalaries[[#This Row],[Job Type]]=tblSalaries[[#Headers],[Accountant]],tblSalaries[[#This Row],[Salary in USD]],"")</f>
        <v/>
      </c>
      <c r="V79" s="13" t="str">
        <f>IF(tblSalaries[[#This Row],[Job Type]]=tblSalaries[[#Headers],[Analyst]],tblSalaries[[#This Row],[Salary in USD]],"")</f>
        <v/>
      </c>
      <c r="W79" s="13">
        <f>IF(tblSalaries[[#This Row],[Job Type]]=tblSalaries[[#Headers],[Consultant]],tblSalaries[[#This Row],[Salary in USD]],"")</f>
        <v>15000</v>
      </c>
      <c r="X79" s="13" t="str">
        <f>IF(tblSalaries[[#This Row],[Job Type]]=tblSalaries[[#Headers],[Controller]],tblSalaries[[#This Row],[Salary in USD]],"")</f>
        <v/>
      </c>
      <c r="Y79" s="13" t="str">
        <f>IF(tblSalaries[[#This Row],[Job Type]]=tblSalaries[[#Headers],[CXO or Top Mgmt.]],tblSalaries[[#This Row],[clean Salary (in local currency)]],"")</f>
        <v/>
      </c>
      <c r="Z79" s="13" t="str">
        <f>IF(tblSalaries[[#This Row],[Job Type]]=tblSalaries[[#Headers],[Engineer]],tblSalaries[[#This Row],[Salary in USD]],"")</f>
        <v/>
      </c>
      <c r="AA79" s="13" t="str">
        <f>IF(tblSalaries[[#This Row],[Job Type]]=tblSalaries[[#Headers],[Manager]],tblSalaries[[#This Row],[Salary in USD]],"")</f>
        <v/>
      </c>
      <c r="AB79" s="13" t="str">
        <f>IF(tblSalaries[[#This Row],[Job Type]]=tblSalaries[[#Headers],[Misc.]],tblSalaries[[#This Row],[Salary in USD]],"")</f>
        <v/>
      </c>
      <c r="AC79" s="13" t="str">
        <f>IF(tblSalaries[[#This Row],[Job Type]]=tblSalaries[[#Headers],[Reporting]],tblSalaries[[#This Row],[Salary in USD]],"")</f>
        <v/>
      </c>
      <c r="AD79" s="13" t="str">
        <f>IF(tblSalaries[[#This Row],[Job Type]]=tblSalaries[[#Headers],[Specialist]],tblSalaries[[#This Row],[Salary in USD]],"")</f>
        <v/>
      </c>
    </row>
    <row r="80" spans="2:30" ht="15" customHeight="1" x14ac:dyDescent="0.25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 s="9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  <c r="N80" t="str">
        <f>IF(tblSalaries[[#This Row],[Years of Experience]]="","",IF(tblSalaries[[#This Row],[Years of Experience]]&lt;=2,1,""))</f>
        <v/>
      </c>
      <c r="O80" t="str">
        <f>IF(tblSalaries[[#This Row],[Years of Experience]]="","",IF(AND(tblSalaries[[#This Row],[Years of Experience]]&gt;2,tblSalaries[[#This Row],[Years of Experience]]&lt;=5),1,""))</f>
        <v/>
      </c>
      <c r="P80" t="str">
        <f>IF(tblSalaries[[#This Row],[Years of Experience]]="","",IF(AND(tblSalaries[[#This Row],[Years of Experience]]&gt;5,tblSalaries[[#This Row],[Years of Experience]]&lt;=10),1,""))</f>
        <v/>
      </c>
      <c r="Q80" t="str">
        <f>IF(tblSalaries[[#This Row],[Years of Experience]]="","",IF(AND(tblSalaries[[#This Row],[Years of Experience]]&gt;10,tblSalaries[[#This Row],[Years of Experience]]&lt;=15),1,""))</f>
        <v/>
      </c>
      <c r="R80" t="str">
        <f>IF(tblSalaries[[#This Row],[Years of Experience]]="","",IF(AND(tblSalaries[[#This Row],[Years of Experience]]&gt;16,tblSalaries[[#This Row],[Years of Experience]]&lt;=20),1,""))</f>
        <v/>
      </c>
      <c r="S80" t="str">
        <f>IF(tblSalaries[[#This Row],[Years of Experience]]="","",IF(tblSalaries[[#This Row],[Years of Experience]]&gt;20,1,""))</f>
        <v/>
      </c>
      <c r="T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0" s="13" t="str">
        <f>IF(tblSalaries[[#This Row],[Job Type]]=tblSalaries[[#Headers],[Accountant]],tblSalaries[[#This Row],[Salary in USD]],"")</f>
        <v/>
      </c>
      <c r="V80" s="13">
        <f>IF(tblSalaries[[#This Row],[Job Type]]=tblSalaries[[#Headers],[Analyst]],tblSalaries[[#This Row],[Salary in USD]],"")</f>
        <v>60000</v>
      </c>
      <c r="W80" s="13" t="str">
        <f>IF(tblSalaries[[#This Row],[Job Type]]=tblSalaries[[#Headers],[Consultant]],tblSalaries[[#This Row],[Salary in USD]],"")</f>
        <v/>
      </c>
      <c r="X80" s="13" t="str">
        <f>IF(tblSalaries[[#This Row],[Job Type]]=tblSalaries[[#Headers],[Controller]],tblSalaries[[#This Row],[Salary in USD]],"")</f>
        <v/>
      </c>
      <c r="Y80" s="13" t="str">
        <f>IF(tblSalaries[[#This Row],[Job Type]]=tblSalaries[[#Headers],[CXO or Top Mgmt.]],tblSalaries[[#This Row],[clean Salary (in local currency)]],"")</f>
        <v/>
      </c>
      <c r="Z80" s="13" t="str">
        <f>IF(tblSalaries[[#This Row],[Job Type]]=tblSalaries[[#Headers],[Engineer]],tblSalaries[[#This Row],[Salary in USD]],"")</f>
        <v/>
      </c>
      <c r="AA80" s="13" t="str">
        <f>IF(tblSalaries[[#This Row],[Job Type]]=tblSalaries[[#Headers],[Manager]],tblSalaries[[#This Row],[Salary in USD]],"")</f>
        <v/>
      </c>
      <c r="AB80" s="13" t="str">
        <f>IF(tblSalaries[[#This Row],[Job Type]]=tblSalaries[[#Headers],[Misc.]],tblSalaries[[#This Row],[Salary in USD]],"")</f>
        <v/>
      </c>
      <c r="AC80" s="13" t="str">
        <f>IF(tblSalaries[[#This Row],[Job Type]]=tblSalaries[[#Headers],[Reporting]],tblSalaries[[#This Row],[Salary in USD]],"")</f>
        <v/>
      </c>
      <c r="AD80" s="13" t="str">
        <f>IF(tblSalaries[[#This Row],[Job Type]]=tblSalaries[[#Headers],[Specialist]],tblSalaries[[#This Row],[Salary in USD]],"")</f>
        <v/>
      </c>
    </row>
    <row r="81" spans="2:30" ht="15" customHeight="1" x14ac:dyDescent="0.25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 s="9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  <c r="N81" t="str">
        <f>IF(tblSalaries[[#This Row],[Years of Experience]]="","",IF(tblSalaries[[#This Row],[Years of Experience]]&lt;=2,1,""))</f>
        <v/>
      </c>
      <c r="O81" t="str">
        <f>IF(tblSalaries[[#This Row],[Years of Experience]]="","",IF(AND(tblSalaries[[#This Row],[Years of Experience]]&gt;2,tblSalaries[[#This Row],[Years of Experience]]&lt;=5),1,""))</f>
        <v/>
      </c>
      <c r="P81" t="str">
        <f>IF(tblSalaries[[#This Row],[Years of Experience]]="","",IF(AND(tblSalaries[[#This Row],[Years of Experience]]&gt;5,tblSalaries[[#This Row],[Years of Experience]]&lt;=10),1,""))</f>
        <v/>
      </c>
      <c r="Q81" t="str">
        <f>IF(tblSalaries[[#This Row],[Years of Experience]]="","",IF(AND(tblSalaries[[#This Row],[Years of Experience]]&gt;10,tblSalaries[[#This Row],[Years of Experience]]&lt;=15),1,""))</f>
        <v/>
      </c>
      <c r="R81" t="str">
        <f>IF(tblSalaries[[#This Row],[Years of Experience]]="","",IF(AND(tblSalaries[[#This Row],[Years of Experience]]&gt;16,tblSalaries[[#This Row],[Years of Experience]]&lt;=20),1,""))</f>
        <v/>
      </c>
      <c r="S81" t="str">
        <f>IF(tblSalaries[[#This Row],[Years of Experience]]="","",IF(tblSalaries[[#This Row],[Years of Experience]]&gt;20,1,""))</f>
        <v/>
      </c>
      <c r="T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1" s="13" t="str">
        <f>IF(tblSalaries[[#This Row],[Job Type]]=tblSalaries[[#Headers],[Accountant]],tblSalaries[[#This Row],[Salary in USD]],"")</f>
        <v/>
      </c>
      <c r="V81" s="13">
        <f>IF(tblSalaries[[#This Row],[Job Type]]=tblSalaries[[#Headers],[Analyst]],tblSalaries[[#This Row],[Salary in USD]],"")</f>
        <v>157617.8272067284</v>
      </c>
      <c r="W81" s="13" t="str">
        <f>IF(tblSalaries[[#This Row],[Job Type]]=tblSalaries[[#Headers],[Consultant]],tblSalaries[[#This Row],[Salary in USD]],"")</f>
        <v/>
      </c>
      <c r="X81" s="13" t="str">
        <f>IF(tblSalaries[[#This Row],[Job Type]]=tblSalaries[[#Headers],[Controller]],tblSalaries[[#This Row],[Salary in USD]],"")</f>
        <v/>
      </c>
      <c r="Y81" s="13" t="str">
        <f>IF(tblSalaries[[#This Row],[Job Type]]=tblSalaries[[#Headers],[CXO or Top Mgmt.]],tblSalaries[[#This Row],[clean Salary (in local currency)]],"")</f>
        <v/>
      </c>
      <c r="Z81" s="13" t="str">
        <f>IF(tblSalaries[[#This Row],[Job Type]]=tblSalaries[[#Headers],[Engineer]],tblSalaries[[#This Row],[Salary in USD]],"")</f>
        <v/>
      </c>
      <c r="AA81" s="13" t="str">
        <f>IF(tblSalaries[[#This Row],[Job Type]]=tblSalaries[[#Headers],[Manager]],tblSalaries[[#This Row],[Salary in USD]],"")</f>
        <v/>
      </c>
      <c r="AB81" s="13" t="str">
        <f>IF(tblSalaries[[#This Row],[Job Type]]=tblSalaries[[#Headers],[Misc.]],tblSalaries[[#This Row],[Salary in USD]],"")</f>
        <v/>
      </c>
      <c r="AC81" s="13" t="str">
        <f>IF(tblSalaries[[#This Row],[Job Type]]=tblSalaries[[#Headers],[Reporting]],tblSalaries[[#This Row],[Salary in USD]],"")</f>
        <v/>
      </c>
      <c r="AD81" s="13" t="str">
        <f>IF(tblSalaries[[#This Row],[Job Type]]=tblSalaries[[#Headers],[Specialist]],tblSalaries[[#This Row],[Salary in USD]],"")</f>
        <v/>
      </c>
    </row>
    <row r="82" spans="2:30" ht="15" customHeight="1" x14ac:dyDescent="0.25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 s="9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  <c r="N82" t="str">
        <f>IF(tblSalaries[[#This Row],[Years of Experience]]="","",IF(tblSalaries[[#This Row],[Years of Experience]]&lt;=2,1,""))</f>
        <v/>
      </c>
      <c r="O82" t="str">
        <f>IF(tblSalaries[[#This Row],[Years of Experience]]="","",IF(AND(tblSalaries[[#This Row],[Years of Experience]]&gt;2,tblSalaries[[#This Row],[Years of Experience]]&lt;=5),1,""))</f>
        <v/>
      </c>
      <c r="P82" t="str">
        <f>IF(tblSalaries[[#This Row],[Years of Experience]]="","",IF(AND(tblSalaries[[#This Row],[Years of Experience]]&gt;5,tblSalaries[[#This Row],[Years of Experience]]&lt;=10),1,""))</f>
        <v/>
      </c>
      <c r="Q82" t="str">
        <f>IF(tblSalaries[[#This Row],[Years of Experience]]="","",IF(AND(tblSalaries[[#This Row],[Years of Experience]]&gt;10,tblSalaries[[#This Row],[Years of Experience]]&lt;=15),1,""))</f>
        <v/>
      </c>
      <c r="R82" t="str">
        <f>IF(tblSalaries[[#This Row],[Years of Experience]]="","",IF(AND(tblSalaries[[#This Row],[Years of Experience]]&gt;16,tblSalaries[[#This Row],[Years of Experience]]&lt;=20),1,""))</f>
        <v/>
      </c>
      <c r="S82" t="str">
        <f>IF(tblSalaries[[#This Row],[Years of Experience]]="","",IF(tblSalaries[[#This Row],[Years of Experience]]&gt;20,1,""))</f>
        <v/>
      </c>
      <c r="T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2" s="13" t="str">
        <f>IF(tblSalaries[[#This Row],[Job Type]]=tblSalaries[[#Headers],[Accountant]],tblSalaries[[#This Row],[Salary in USD]],"")</f>
        <v/>
      </c>
      <c r="V82" s="13">
        <f>IF(tblSalaries[[#This Row],[Job Type]]=tblSalaries[[#Headers],[Analyst]],tblSalaries[[#This Row],[Salary in USD]],"")</f>
        <v>18000</v>
      </c>
      <c r="W82" s="13" t="str">
        <f>IF(tblSalaries[[#This Row],[Job Type]]=tblSalaries[[#Headers],[Consultant]],tblSalaries[[#This Row],[Salary in USD]],"")</f>
        <v/>
      </c>
      <c r="X82" s="13" t="str">
        <f>IF(tblSalaries[[#This Row],[Job Type]]=tblSalaries[[#Headers],[Controller]],tblSalaries[[#This Row],[Salary in USD]],"")</f>
        <v/>
      </c>
      <c r="Y82" s="13" t="str">
        <f>IF(tblSalaries[[#This Row],[Job Type]]=tblSalaries[[#Headers],[CXO or Top Mgmt.]],tblSalaries[[#This Row],[clean Salary (in local currency)]],"")</f>
        <v/>
      </c>
      <c r="Z82" s="13" t="str">
        <f>IF(tblSalaries[[#This Row],[Job Type]]=tblSalaries[[#Headers],[Engineer]],tblSalaries[[#This Row],[Salary in USD]],"")</f>
        <v/>
      </c>
      <c r="AA82" s="13" t="str">
        <f>IF(tblSalaries[[#This Row],[Job Type]]=tblSalaries[[#Headers],[Manager]],tblSalaries[[#This Row],[Salary in USD]],"")</f>
        <v/>
      </c>
      <c r="AB82" s="13" t="str">
        <f>IF(tblSalaries[[#This Row],[Job Type]]=tblSalaries[[#Headers],[Misc.]],tblSalaries[[#This Row],[Salary in USD]],"")</f>
        <v/>
      </c>
      <c r="AC82" s="13" t="str">
        <f>IF(tblSalaries[[#This Row],[Job Type]]=tblSalaries[[#Headers],[Reporting]],tblSalaries[[#This Row],[Salary in USD]],"")</f>
        <v/>
      </c>
      <c r="AD82" s="13" t="str">
        <f>IF(tblSalaries[[#This Row],[Job Type]]=tblSalaries[[#Headers],[Specialist]],tblSalaries[[#This Row],[Salary in USD]],"")</f>
        <v/>
      </c>
    </row>
    <row r="83" spans="2:30" ht="15" customHeight="1" x14ac:dyDescent="0.25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 s="9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  <c r="N83" t="str">
        <f>IF(tblSalaries[[#This Row],[Years of Experience]]="","",IF(tblSalaries[[#This Row],[Years of Experience]]&lt;=2,1,""))</f>
        <v/>
      </c>
      <c r="O83" t="str">
        <f>IF(tblSalaries[[#This Row],[Years of Experience]]="","",IF(AND(tblSalaries[[#This Row],[Years of Experience]]&gt;2,tblSalaries[[#This Row],[Years of Experience]]&lt;=5),1,""))</f>
        <v/>
      </c>
      <c r="P83" t="str">
        <f>IF(tblSalaries[[#This Row],[Years of Experience]]="","",IF(AND(tblSalaries[[#This Row],[Years of Experience]]&gt;5,tblSalaries[[#This Row],[Years of Experience]]&lt;=10),1,""))</f>
        <v/>
      </c>
      <c r="Q83" t="str">
        <f>IF(tblSalaries[[#This Row],[Years of Experience]]="","",IF(AND(tblSalaries[[#This Row],[Years of Experience]]&gt;10,tblSalaries[[#This Row],[Years of Experience]]&lt;=15),1,""))</f>
        <v/>
      </c>
      <c r="R83" t="str">
        <f>IF(tblSalaries[[#This Row],[Years of Experience]]="","",IF(AND(tblSalaries[[#This Row],[Years of Experience]]&gt;16,tblSalaries[[#This Row],[Years of Experience]]&lt;=20),1,""))</f>
        <v/>
      </c>
      <c r="S83" t="str">
        <f>IF(tblSalaries[[#This Row],[Years of Experience]]="","",IF(tblSalaries[[#This Row],[Years of Experience]]&gt;20,1,""))</f>
        <v/>
      </c>
      <c r="T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3" s="13" t="str">
        <f>IF(tblSalaries[[#This Row],[Job Type]]=tblSalaries[[#Headers],[Accountant]],tblSalaries[[#This Row],[Salary in USD]],"")</f>
        <v/>
      </c>
      <c r="V83" s="13" t="str">
        <f>IF(tblSalaries[[#This Row],[Job Type]]=tblSalaries[[#Headers],[Analyst]],tblSalaries[[#This Row],[Salary in USD]],"")</f>
        <v/>
      </c>
      <c r="W83" s="13" t="str">
        <f>IF(tblSalaries[[#This Row],[Job Type]]=tblSalaries[[#Headers],[Consultant]],tblSalaries[[#This Row],[Salary in USD]],"")</f>
        <v/>
      </c>
      <c r="X83" s="13" t="str">
        <f>IF(tblSalaries[[#This Row],[Job Type]]=tblSalaries[[#Headers],[Controller]],tblSalaries[[#This Row],[Salary in USD]],"")</f>
        <v/>
      </c>
      <c r="Y83" s="13" t="str">
        <f>IF(tblSalaries[[#This Row],[Job Type]]=tblSalaries[[#Headers],[CXO or Top Mgmt.]],tblSalaries[[#This Row],[clean Salary (in local currency)]],"")</f>
        <v/>
      </c>
      <c r="Z83" s="13" t="str">
        <f>IF(tblSalaries[[#This Row],[Job Type]]=tblSalaries[[#Headers],[Engineer]],tblSalaries[[#This Row],[Salary in USD]],"")</f>
        <v/>
      </c>
      <c r="AA83" s="13">
        <f>IF(tblSalaries[[#This Row],[Job Type]]=tblSalaries[[#Headers],[Manager]],tblSalaries[[#This Row],[Salary in USD]],"")</f>
        <v>50000</v>
      </c>
      <c r="AB83" s="13" t="str">
        <f>IF(tblSalaries[[#This Row],[Job Type]]=tblSalaries[[#Headers],[Misc.]],tblSalaries[[#This Row],[Salary in USD]],"")</f>
        <v/>
      </c>
      <c r="AC83" s="13" t="str">
        <f>IF(tblSalaries[[#This Row],[Job Type]]=tblSalaries[[#Headers],[Reporting]],tblSalaries[[#This Row],[Salary in USD]],"")</f>
        <v/>
      </c>
      <c r="AD83" s="13" t="str">
        <f>IF(tblSalaries[[#This Row],[Job Type]]=tblSalaries[[#Headers],[Specialist]],tblSalaries[[#This Row],[Salary in USD]],"")</f>
        <v/>
      </c>
    </row>
    <row r="84" spans="2:30" ht="15" customHeight="1" x14ac:dyDescent="0.25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 s="9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  <c r="N84" t="str">
        <f>IF(tblSalaries[[#This Row],[Years of Experience]]="","",IF(tblSalaries[[#This Row],[Years of Experience]]&lt;=2,1,""))</f>
        <v/>
      </c>
      <c r="O84" t="str">
        <f>IF(tblSalaries[[#This Row],[Years of Experience]]="","",IF(AND(tblSalaries[[#This Row],[Years of Experience]]&gt;2,tblSalaries[[#This Row],[Years of Experience]]&lt;=5),1,""))</f>
        <v/>
      </c>
      <c r="P84" t="str">
        <f>IF(tblSalaries[[#This Row],[Years of Experience]]="","",IF(AND(tblSalaries[[#This Row],[Years of Experience]]&gt;5,tblSalaries[[#This Row],[Years of Experience]]&lt;=10),1,""))</f>
        <v/>
      </c>
      <c r="Q84" t="str">
        <f>IF(tblSalaries[[#This Row],[Years of Experience]]="","",IF(AND(tblSalaries[[#This Row],[Years of Experience]]&gt;10,tblSalaries[[#This Row],[Years of Experience]]&lt;=15),1,""))</f>
        <v/>
      </c>
      <c r="R84" t="str">
        <f>IF(tblSalaries[[#This Row],[Years of Experience]]="","",IF(AND(tblSalaries[[#This Row],[Years of Experience]]&gt;16,tblSalaries[[#This Row],[Years of Experience]]&lt;=20),1,""))</f>
        <v/>
      </c>
      <c r="S84" t="str">
        <f>IF(tblSalaries[[#This Row],[Years of Experience]]="","",IF(tblSalaries[[#This Row],[Years of Experience]]&gt;20,1,""))</f>
        <v/>
      </c>
      <c r="T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4" s="13" t="str">
        <f>IF(tblSalaries[[#This Row],[Job Type]]=tblSalaries[[#Headers],[Accountant]],tblSalaries[[#This Row],[Salary in USD]],"")</f>
        <v/>
      </c>
      <c r="V84" s="13">
        <f>IF(tblSalaries[[#This Row],[Job Type]]=tblSalaries[[#Headers],[Analyst]],tblSalaries[[#This Row],[Salary in USD]],"")</f>
        <v>26000</v>
      </c>
      <c r="W84" s="13" t="str">
        <f>IF(tblSalaries[[#This Row],[Job Type]]=tblSalaries[[#Headers],[Consultant]],tblSalaries[[#This Row],[Salary in USD]],"")</f>
        <v/>
      </c>
      <c r="X84" s="13" t="str">
        <f>IF(tblSalaries[[#This Row],[Job Type]]=tblSalaries[[#Headers],[Controller]],tblSalaries[[#This Row],[Salary in USD]],"")</f>
        <v/>
      </c>
      <c r="Y84" s="13" t="str">
        <f>IF(tblSalaries[[#This Row],[Job Type]]=tblSalaries[[#Headers],[CXO or Top Mgmt.]],tblSalaries[[#This Row],[clean Salary (in local currency)]],"")</f>
        <v/>
      </c>
      <c r="Z84" s="13" t="str">
        <f>IF(tblSalaries[[#This Row],[Job Type]]=tblSalaries[[#Headers],[Engineer]],tblSalaries[[#This Row],[Salary in USD]],"")</f>
        <v/>
      </c>
      <c r="AA84" s="13" t="str">
        <f>IF(tblSalaries[[#This Row],[Job Type]]=tblSalaries[[#Headers],[Manager]],tblSalaries[[#This Row],[Salary in USD]],"")</f>
        <v/>
      </c>
      <c r="AB84" s="13" t="str">
        <f>IF(tblSalaries[[#This Row],[Job Type]]=tblSalaries[[#Headers],[Misc.]],tblSalaries[[#This Row],[Salary in USD]],"")</f>
        <v/>
      </c>
      <c r="AC84" s="13" t="str">
        <f>IF(tblSalaries[[#This Row],[Job Type]]=tblSalaries[[#Headers],[Reporting]],tblSalaries[[#This Row],[Salary in USD]],"")</f>
        <v/>
      </c>
      <c r="AD84" s="13" t="str">
        <f>IF(tblSalaries[[#This Row],[Job Type]]=tblSalaries[[#Headers],[Specialist]],tblSalaries[[#This Row],[Salary in USD]],"")</f>
        <v/>
      </c>
    </row>
    <row r="85" spans="2:30" ht="15" customHeight="1" x14ac:dyDescent="0.25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 s="9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  <c r="N85" t="str">
        <f>IF(tblSalaries[[#This Row],[Years of Experience]]="","",IF(tblSalaries[[#This Row],[Years of Experience]]&lt;=2,1,""))</f>
        <v/>
      </c>
      <c r="O85" t="str">
        <f>IF(tblSalaries[[#This Row],[Years of Experience]]="","",IF(AND(tblSalaries[[#This Row],[Years of Experience]]&gt;2,tblSalaries[[#This Row],[Years of Experience]]&lt;=5),1,""))</f>
        <v/>
      </c>
      <c r="P85" t="str">
        <f>IF(tblSalaries[[#This Row],[Years of Experience]]="","",IF(AND(tblSalaries[[#This Row],[Years of Experience]]&gt;5,tblSalaries[[#This Row],[Years of Experience]]&lt;=10),1,""))</f>
        <v/>
      </c>
      <c r="Q85" t="str">
        <f>IF(tblSalaries[[#This Row],[Years of Experience]]="","",IF(AND(tblSalaries[[#This Row],[Years of Experience]]&gt;10,tblSalaries[[#This Row],[Years of Experience]]&lt;=15),1,""))</f>
        <v/>
      </c>
      <c r="R85" t="str">
        <f>IF(tblSalaries[[#This Row],[Years of Experience]]="","",IF(AND(tblSalaries[[#This Row],[Years of Experience]]&gt;16,tblSalaries[[#This Row],[Years of Experience]]&lt;=20),1,""))</f>
        <v/>
      </c>
      <c r="S85" t="str">
        <f>IF(tblSalaries[[#This Row],[Years of Experience]]="","",IF(tblSalaries[[#This Row],[Years of Experience]]&gt;20,1,""))</f>
        <v/>
      </c>
      <c r="T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5" s="13" t="str">
        <f>IF(tblSalaries[[#This Row],[Job Type]]=tblSalaries[[#Headers],[Accountant]],tblSalaries[[#This Row],[Salary in USD]],"")</f>
        <v/>
      </c>
      <c r="V85" s="13" t="str">
        <f>IF(tblSalaries[[#This Row],[Job Type]]=tblSalaries[[#Headers],[Analyst]],tblSalaries[[#This Row],[Salary in USD]],"")</f>
        <v/>
      </c>
      <c r="W85" s="13" t="str">
        <f>IF(tblSalaries[[#This Row],[Job Type]]=tblSalaries[[#Headers],[Consultant]],tblSalaries[[#This Row],[Salary in USD]],"")</f>
        <v/>
      </c>
      <c r="X85" s="13" t="str">
        <f>IF(tblSalaries[[#This Row],[Job Type]]=tblSalaries[[#Headers],[Controller]],tblSalaries[[#This Row],[Salary in USD]],"")</f>
        <v/>
      </c>
      <c r="Y85" s="13" t="str">
        <f>IF(tblSalaries[[#This Row],[Job Type]]=tblSalaries[[#Headers],[CXO or Top Mgmt.]],tblSalaries[[#This Row],[clean Salary (in local currency)]],"")</f>
        <v/>
      </c>
      <c r="Z85" s="13" t="str">
        <f>IF(tblSalaries[[#This Row],[Job Type]]=tblSalaries[[#Headers],[Engineer]],tblSalaries[[#This Row],[Salary in USD]],"")</f>
        <v/>
      </c>
      <c r="AA85" s="13">
        <f>IF(tblSalaries[[#This Row],[Job Type]]=tblSalaries[[#Headers],[Manager]],tblSalaries[[#This Row],[Salary in USD]],"")</f>
        <v>47285.348162018527</v>
      </c>
      <c r="AB85" s="13" t="str">
        <f>IF(tblSalaries[[#This Row],[Job Type]]=tblSalaries[[#Headers],[Misc.]],tblSalaries[[#This Row],[Salary in USD]],"")</f>
        <v/>
      </c>
      <c r="AC85" s="13" t="str">
        <f>IF(tblSalaries[[#This Row],[Job Type]]=tblSalaries[[#Headers],[Reporting]],tblSalaries[[#This Row],[Salary in USD]],"")</f>
        <v/>
      </c>
      <c r="AD85" s="13" t="str">
        <f>IF(tblSalaries[[#This Row],[Job Type]]=tblSalaries[[#Headers],[Specialist]],tblSalaries[[#This Row],[Salary in USD]],"")</f>
        <v/>
      </c>
    </row>
    <row r="86" spans="2:30" ht="15" customHeight="1" x14ac:dyDescent="0.25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 s="9">
        <f>tblSalaries[[#This Row],[clean Salary (in local currency)]]*VLOOKUP(tblSalaries[[#This Row],[Currency]],tblXrate[],2,FALSE)</f>
        <v>150000</v>
      </c>
      <c r="H86" t="s">
        <v>139</v>
      </c>
      <c r="I86" t="s">
        <v>4001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  <c r="N86" t="str">
        <f>IF(tblSalaries[[#This Row],[Years of Experience]]="","",IF(tblSalaries[[#This Row],[Years of Experience]]&lt;=2,1,""))</f>
        <v/>
      </c>
      <c r="O86" t="str">
        <f>IF(tblSalaries[[#This Row],[Years of Experience]]="","",IF(AND(tblSalaries[[#This Row],[Years of Experience]]&gt;2,tblSalaries[[#This Row],[Years of Experience]]&lt;=5),1,""))</f>
        <v/>
      </c>
      <c r="P86" t="str">
        <f>IF(tblSalaries[[#This Row],[Years of Experience]]="","",IF(AND(tblSalaries[[#This Row],[Years of Experience]]&gt;5,tblSalaries[[#This Row],[Years of Experience]]&lt;=10),1,""))</f>
        <v/>
      </c>
      <c r="Q86" t="str">
        <f>IF(tblSalaries[[#This Row],[Years of Experience]]="","",IF(AND(tblSalaries[[#This Row],[Years of Experience]]&gt;10,tblSalaries[[#This Row],[Years of Experience]]&lt;=15),1,""))</f>
        <v/>
      </c>
      <c r="R86" t="str">
        <f>IF(tblSalaries[[#This Row],[Years of Experience]]="","",IF(AND(tblSalaries[[#This Row],[Years of Experience]]&gt;16,tblSalaries[[#This Row],[Years of Experience]]&lt;=20),1,""))</f>
        <v/>
      </c>
      <c r="S86" t="str">
        <f>IF(tblSalaries[[#This Row],[Years of Experience]]="","",IF(tblSalaries[[#This Row],[Years of Experience]]&gt;20,1,""))</f>
        <v/>
      </c>
      <c r="T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6" s="13" t="str">
        <f>IF(tblSalaries[[#This Row],[Job Type]]=tblSalaries[[#Headers],[Accountant]],tblSalaries[[#This Row],[Salary in USD]],"")</f>
        <v/>
      </c>
      <c r="V86" s="13" t="str">
        <f>IF(tblSalaries[[#This Row],[Job Type]]=tblSalaries[[#Headers],[Analyst]],tblSalaries[[#This Row],[Salary in USD]],"")</f>
        <v/>
      </c>
      <c r="W86" s="13" t="str">
        <f>IF(tblSalaries[[#This Row],[Job Type]]=tblSalaries[[#Headers],[Consultant]],tblSalaries[[#This Row],[Salary in USD]],"")</f>
        <v/>
      </c>
      <c r="X86" s="13" t="str">
        <f>IF(tblSalaries[[#This Row],[Job Type]]=tblSalaries[[#Headers],[Controller]],tblSalaries[[#This Row],[Salary in USD]],"")</f>
        <v/>
      </c>
      <c r="Y86" s="13">
        <f>IF(tblSalaries[[#This Row],[Job Type]]=tblSalaries[[#Headers],[CXO or Top Mgmt.]],tblSalaries[[#This Row],[clean Salary (in local currency)]],"")</f>
        <v>150000</v>
      </c>
      <c r="Z86" s="13" t="str">
        <f>IF(tblSalaries[[#This Row],[Job Type]]=tblSalaries[[#Headers],[Engineer]],tblSalaries[[#This Row],[Salary in USD]],"")</f>
        <v/>
      </c>
      <c r="AA86" s="13" t="str">
        <f>IF(tblSalaries[[#This Row],[Job Type]]=tblSalaries[[#Headers],[Manager]],tblSalaries[[#This Row],[Salary in USD]],"")</f>
        <v/>
      </c>
      <c r="AB86" s="13" t="str">
        <f>IF(tblSalaries[[#This Row],[Job Type]]=tblSalaries[[#Headers],[Misc.]],tblSalaries[[#This Row],[Salary in USD]],"")</f>
        <v/>
      </c>
      <c r="AC86" s="13" t="str">
        <f>IF(tblSalaries[[#This Row],[Job Type]]=tblSalaries[[#Headers],[Reporting]],tblSalaries[[#This Row],[Salary in USD]],"")</f>
        <v/>
      </c>
      <c r="AD86" s="13" t="str">
        <f>IF(tblSalaries[[#This Row],[Job Type]]=tblSalaries[[#Headers],[Specialist]],tblSalaries[[#This Row],[Salary in USD]],"")</f>
        <v/>
      </c>
    </row>
    <row r="87" spans="2:30" ht="15" customHeight="1" x14ac:dyDescent="0.25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 s="9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  <c r="N87" t="str">
        <f>IF(tblSalaries[[#This Row],[Years of Experience]]="","",IF(tblSalaries[[#This Row],[Years of Experience]]&lt;=2,1,""))</f>
        <v/>
      </c>
      <c r="O87" t="str">
        <f>IF(tblSalaries[[#This Row],[Years of Experience]]="","",IF(AND(tblSalaries[[#This Row],[Years of Experience]]&gt;2,tblSalaries[[#This Row],[Years of Experience]]&lt;=5),1,""))</f>
        <v/>
      </c>
      <c r="P87" t="str">
        <f>IF(tblSalaries[[#This Row],[Years of Experience]]="","",IF(AND(tblSalaries[[#This Row],[Years of Experience]]&gt;5,tblSalaries[[#This Row],[Years of Experience]]&lt;=10),1,""))</f>
        <v/>
      </c>
      <c r="Q87" t="str">
        <f>IF(tblSalaries[[#This Row],[Years of Experience]]="","",IF(AND(tblSalaries[[#This Row],[Years of Experience]]&gt;10,tblSalaries[[#This Row],[Years of Experience]]&lt;=15),1,""))</f>
        <v/>
      </c>
      <c r="R87" t="str">
        <f>IF(tblSalaries[[#This Row],[Years of Experience]]="","",IF(AND(tblSalaries[[#This Row],[Years of Experience]]&gt;16,tblSalaries[[#This Row],[Years of Experience]]&lt;=20),1,""))</f>
        <v/>
      </c>
      <c r="S87" t="str">
        <f>IF(tblSalaries[[#This Row],[Years of Experience]]="","",IF(tblSalaries[[#This Row],[Years of Experience]]&gt;20,1,""))</f>
        <v/>
      </c>
      <c r="T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7" s="13" t="str">
        <f>IF(tblSalaries[[#This Row],[Job Type]]=tblSalaries[[#Headers],[Accountant]],tblSalaries[[#This Row],[Salary in USD]],"")</f>
        <v/>
      </c>
      <c r="V87" s="13" t="str">
        <f>IF(tblSalaries[[#This Row],[Job Type]]=tblSalaries[[#Headers],[Analyst]],tblSalaries[[#This Row],[Salary in USD]],"")</f>
        <v/>
      </c>
      <c r="W87" s="13" t="str">
        <f>IF(tblSalaries[[#This Row],[Job Type]]=tblSalaries[[#Headers],[Consultant]],tblSalaries[[#This Row],[Salary in USD]],"")</f>
        <v/>
      </c>
      <c r="X87" s="13" t="str">
        <f>IF(tblSalaries[[#This Row],[Job Type]]=tblSalaries[[#Headers],[Controller]],tblSalaries[[#This Row],[Salary in USD]],"")</f>
        <v/>
      </c>
      <c r="Y87" s="13" t="str">
        <f>IF(tblSalaries[[#This Row],[Job Type]]=tblSalaries[[#Headers],[CXO or Top Mgmt.]],tblSalaries[[#This Row],[clean Salary (in local currency)]],"")</f>
        <v/>
      </c>
      <c r="Z87" s="13" t="str">
        <f>IF(tblSalaries[[#This Row],[Job Type]]=tblSalaries[[#Headers],[Engineer]],tblSalaries[[#This Row],[Salary in USD]],"")</f>
        <v/>
      </c>
      <c r="AA87" s="13">
        <f>IF(tblSalaries[[#This Row],[Job Type]]=tblSalaries[[#Headers],[Manager]],tblSalaries[[#This Row],[Salary in USD]],"")</f>
        <v>120000</v>
      </c>
      <c r="AB87" s="13" t="str">
        <f>IF(tblSalaries[[#This Row],[Job Type]]=tblSalaries[[#Headers],[Misc.]],tblSalaries[[#This Row],[Salary in USD]],"")</f>
        <v/>
      </c>
      <c r="AC87" s="13" t="str">
        <f>IF(tblSalaries[[#This Row],[Job Type]]=tblSalaries[[#Headers],[Reporting]],tblSalaries[[#This Row],[Salary in USD]],"")</f>
        <v/>
      </c>
      <c r="AD87" s="13" t="str">
        <f>IF(tblSalaries[[#This Row],[Job Type]]=tblSalaries[[#Headers],[Specialist]],tblSalaries[[#This Row],[Salary in USD]],"")</f>
        <v/>
      </c>
    </row>
    <row r="88" spans="2:30" ht="15" customHeight="1" x14ac:dyDescent="0.25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 s="9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  <c r="N88" t="str">
        <f>IF(tblSalaries[[#This Row],[Years of Experience]]="","",IF(tblSalaries[[#This Row],[Years of Experience]]&lt;=2,1,""))</f>
        <v/>
      </c>
      <c r="O88" t="str">
        <f>IF(tblSalaries[[#This Row],[Years of Experience]]="","",IF(AND(tblSalaries[[#This Row],[Years of Experience]]&gt;2,tblSalaries[[#This Row],[Years of Experience]]&lt;=5),1,""))</f>
        <v/>
      </c>
      <c r="P88" t="str">
        <f>IF(tblSalaries[[#This Row],[Years of Experience]]="","",IF(AND(tblSalaries[[#This Row],[Years of Experience]]&gt;5,tblSalaries[[#This Row],[Years of Experience]]&lt;=10),1,""))</f>
        <v/>
      </c>
      <c r="Q88" t="str">
        <f>IF(tblSalaries[[#This Row],[Years of Experience]]="","",IF(AND(tblSalaries[[#This Row],[Years of Experience]]&gt;10,tblSalaries[[#This Row],[Years of Experience]]&lt;=15),1,""))</f>
        <v/>
      </c>
      <c r="R88" t="str">
        <f>IF(tblSalaries[[#This Row],[Years of Experience]]="","",IF(AND(tblSalaries[[#This Row],[Years of Experience]]&gt;16,tblSalaries[[#This Row],[Years of Experience]]&lt;=20),1,""))</f>
        <v/>
      </c>
      <c r="S88" t="str">
        <f>IF(tblSalaries[[#This Row],[Years of Experience]]="","",IF(tblSalaries[[#This Row],[Years of Experience]]&gt;20,1,""))</f>
        <v/>
      </c>
      <c r="T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8" s="13" t="str">
        <f>IF(tblSalaries[[#This Row],[Job Type]]=tblSalaries[[#Headers],[Accountant]],tblSalaries[[#This Row],[Salary in USD]],"")</f>
        <v/>
      </c>
      <c r="V88" s="13" t="str">
        <f>IF(tblSalaries[[#This Row],[Job Type]]=tblSalaries[[#Headers],[Analyst]],tblSalaries[[#This Row],[Salary in USD]],"")</f>
        <v/>
      </c>
      <c r="W88" s="13">
        <f>IF(tblSalaries[[#This Row],[Job Type]]=tblSalaries[[#Headers],[Consultant]],tblSalaries[[#This Row],[Salary in USD]],"")</f>
        <v>8903.9583437212841</v>
      </c>
      <c r="X88" s="13" t="str">
        <f>IF(tblSalaries[[#This Row],[Job Type]]=tblSalaries[[#Headers],[Controller]],tblSalaries[[#This Row],[Salary in USD]],"")</f>
        <v/>
      </c>
      <c r="Y88" s="13" t="str">
        <f>IF(tblSalaries[[#This Row],[Job Type]]=tblSalaries[[#Headers],[CXO or Top Mgmt.]],tblSalaries[[#This Row],[clean Salary (in local currency)]],"")</f>
        <v/>
      </c>
      <c r="Z88" s="13" t="str">
        <f>IF(tblSalaries[[#This Row],[Job Type]]=tblSalaries[[#Headers],[Engineer]],tblSalaries[[#This Row],[Salary in USD]],"")</f>
        <v/>
      </c>
      <c r="AA88" s="13" t="str">
        <f>IF(tblSalaries[[#This Row],[Job Type]]=tblSalaries[[#Headers],[Manager]],tblSalaries[[#This Row],[Salary in USD]],"")</f>
        <v/>
      </c>
      <c r="AB88" s="13" t="str">
        <f>IF(tblSalaries[[#This Row],[Job Type]]=tblSalaries[[#Headers],[Misc.]],tblSalaries[[#This Row],[Salary in USD]],"")</f>
        <v/>
      </c>
      <c r="AC88" s="13" t="str">
        <f>IF(tblSalaries[[#This Row],[Job Type]]=tblSalaries[[#Headers],[Reporting]],tblSalaries[[#This Row],[Salary in USD]],"")</f>
        <v/>
      </c>
      <c r="AD88" s="13" t="str">
        <f>IF(tblSalaries[[#This Row],[Job Type]]=tblSalaries[[#Headers],[Specialist]],tblSalaries[[#This Row],[Salary in USD]],"")</f>
        <v/>
      </c>
    </row>
    <row r="89" spans="2:30" ht="15" customHeight="1" x14ac:dyDescent="0.25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 s="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  <c r="N89" t="str">
        <f>IF(tblSalaries[[#This Row],[Years of Experience]]="","",IF(tblSalaries[[#This Row],[Years of Experience]]&lt;=2,1,""))</f>
        <v/>
      </c>
      <c r="O89" t="str">
        <f>IF(tblSalaries[[#This Row],[Years of Experience]]="","",IF(AND(tblSalaries[[#This Row],[Years of Experience]]&gt;2,tblSalaries[[#This Row],[Years of Experience]]&lt;=5),1,""))</f>
        <v/>
      </c>
      <c r="P89" t="str">
        <f>IF(tblSalaries[[#This Row],[Years of Experience]]="","",IF(AND(tblSalaries[[#This Row],[Years of Experience]]&gt;5,tblSalaries[[#This Row],[Years of Experience]]&lt;=10),1,""))</f>
        <v/>
      </c>
      <c r="Q89" t="str">
        <f>IF(tblSalaries[[#This Row],[Years of Experience]]="","",IF(AND(tblSalaries[[#This Row],[Years of Experience]]&gt;10,tblSalaries[[#This Row],[Years of Experience]]&lt;=15),1,""))</f>
        <v/>
      </c>
      <c r="R89" t="str">
        <f>IF(tblSalaries[[#This Row],[Years of Experience]]="","",IF(AND(tblSalaries[[#This Row],[Years of Experience]]&gt;16,tblSalaries[[#This Row],[Years of Experience]]&lt;=20),1,""))</f>
        <v/>
      </c>
      <c r="S89" t="str">
        <f>IF(tblSalaries[[#This Row],[Years of Experience]]="","",IF(tblSalaries[[#This Row],[Years of Experience]]&gt;20,1,""))</f>
        <v/>
      </c>
      <c r="T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89" s="13" t="str">
        <f>IF(tblSalaries[[#This Row],[Job Type]]=tblSalaries[[#Headers],[Accountant]],tblSalaries[[#This Row],[Salary in USD]],"")</f>
        <v/>
      </c>
      <c r="V89" s="13">
        <f>IF(tblSalaries[[#This Row],[Job Type]]=tblSalaries[[#Headers],[Analyst]],tblSalaries[[#This Row],[Salary in USD]],"")</f>
        <v>31330</v>
      </c>
      <c r="W89" s="13" t="str">
        <f>IF(tblSalaries[[#This Row],[Job Type]]=tblSalaries[[#Headers],[Consultant]],tblSalaries[[#This Row],[Salary in USD]],"")</f>
        <v/>
      </c>
      <c r="X89" s="13" t="str">
        <f>IF(tblSalaries[[#This Row],[Job Type]]=tblSalaries[[#Headers],[Controller]],tblSalaries[[#This Row],[Salary in USD]],"")</f>
        <v/>
      </c>
      <c r="Y89" s="13" t="str">
        <f>IF(tblSalaries[[#This Row],[Job Type]]=tblSalaries[[#Headers],[CXO or Top Mgmt.]],tblSalaries[[#This Row],[clean Salary (in local currency)]],"")</f>
        <v/>
      </c>
      <c r="Z89" s="13" t="str">
        <f>IF(tblSalaries[[#This Row],[Job Type]]=tblSalaries[[#Headers],[Engineer]],tblSalaries[[#This Row],[Salary in USD]],"")</f>
        <v/>
      </c>
      <c r="AA89" s="13" t="str">
        <f>IF(tblSalaries[[#This Row],[Job Type]]=tblSalaries[[#Headers],[Manager]],tblSalaries[[#This Row],[Salary in USD]],"")</f>
        <v/>
      </c>
      <c r="AB89" s="13" t="str">
        <f>IF(tblSalaries[[#This Row],[Job Type]]=tblSalaries[[#Headers],[Misc.]],tblSalaries[[#This Row],[Salary in USD]],"")</f>
        <v/>
      </c>
      <c r="AC89" s="13" t="str">
        <f>IF(tblSalaries[[#This Row],[Job Type]]=tblSalaries[[#Headers],[Reporting]],tblSalaries[[#This Row],[Salary in USD]],"")</f>
        <v/>
      </c>
      <c r="AD89" s="13" t="str">
        <f>IF(tblSalaries[[#This Row],[Job Type]]=tblSalaries[[#Headers],[Specialist]],tblSalaries[[#This Row],[Salary in USD]],"")</f>
        <v/>
      </c>
    </row>
    <row r="90" spans="2:30" ht="15" customHeight="1" x14ac:dyDescent="0.25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 s="9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  <c r="N90" t="str">
        <f>IF(tblSalaries[[#This Row],[Years of Experience]]="","",IF(tblSalaries[[#This Row],[Years of Experience]]&lt;=2,1,""))</f>
        <v/>
      </c>
      <c r="O90" t="str">
        <f>IF(tblSalaries[[#This Row],[Years of Experience]]="","",IF(AND(tblSalaries[[#This Row],[Years of Experience]]&gt;2,tblSalaries[[#This Row],[Years of Experience]]&lt;=5),1,""))</f>
        <v/>
      </c>
      <c r="P90" t="str">
        <f>IF(tblSalaries[[#This Row],[Years of Experience]]="","",IF(AND(tblSalaries[[#This Row],[Years of Experience]]&gt;5,tblSalaries[[#This Row],[Years of Experience]]&lt;=10),1,""))</f>
        <v/>
      </c>
      <c r="Q90" t="str">
        <f>IF(tblSalaries[[#This Row],[Years of Experience]]="","",IF(AND(tblSalaries[[#This Row],[Years of Experience]]&gt;10,tblSalaries[[#This Row],[Years of Experience]]&lt;=15),1,""))</f>
        <v/>
      </c>
      <c r="R90" t="str">
        <f>IF(tblSalaries[[#This Row],[Years of Experience]]="","",IF(AND(tblSalaries[[#This Row],[Years of Experience]]&gt;16,tblSalaries[[#This Row],[Years of Experience]]&lt;=20),1,""))</f>
        <v/>
      </c>
      <c r="S90" t="str">
        <f>IF(tblSalaries[[#This Row],[Years of Experience]]="","",IF(tblSalaries[[#This Row],[Years of Experience]]&gt;20,1,""))</f>
        <v/>
      </c>
      <c r="T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0" s="13" t="str">
        <f>IF(tblSalaries[[#This Row],[Job Type]]=tblSalaries[[#Headers],[Accountant]],tblSalaries[[#This Row],[Salary in USD]],"")</f>
        <v/>
      </c>
      <c r="V90" s="13" t="str">
        <f>IF(tblSalaries[[#This Row],[Job Type]]=tblSalaries[[#Headers],[Analyst]],tblSalaries[[#This Row],[Salary in USD]],"")</f>
        <v/>
      </c>
      <c r="W90" s="13" t="str">
        <f>IF(tblSalaries[[#This Row],[Job Type]]=tblSalaries[[#Headers],[Consultant]],tblSalaries[[#This Row],[Salary in USD]],"")</f>
        <v/>
      </c>
      <c r="X90" s="13" t="str">
        <f>IF(tblSalaries[[#This Row],[Job Type]]=tblSalaries[[#Headers],[Controller]],tblSalaries[[#This Row],[Salary in USD]],"")</f>
        <v/>
      </c>
      <c r="Y90" s="13" t="str">
        <f>IF(tblSalaries[[#This Row],[Job Type]]=tblSalaries[[#Headers],[CXO or Top Mgmt.]],tblSalaries[[#This Row],[clean Salary (in local currency)]],"")</f>
        <v/>
      </c>
      <c r="Z90" s="13">
        <f>IF(tblSalaries[[#This Row],[Job Type]]=tblSalaries[[#Headers],[Engineer]],tblSalaries[[#This Row],[Salary in USD]],"")</f>
        <v>110000</v>
      </c>
      <c r="AA90" s="13" t="str">
        <f>IF(tblSalaries[[#This Row],[Job Type]]=tblSalaries[[#Headers],[Manager]],tblSalaries[[#This Row],[Salary in USD]],"")</f>
        <v/>
      </c>
      <c r="AB90" s="13" t="str">
        <f>IF(tblSalaries[[#This Row],[Job Type]]=tblSalaries[[#Headers],[Misc.]],tblSalaries[[#This Row],[Salary in USD]],"")</f>
        <v/>
      </c>
      <c r="AC90" s="13" t="str">
        <f>IF(tblSalaries[[#This Row],[Job Type]]=tblSalaries[[#Headers],[Reporting]],tblSalaries[[#This Row],[Salary in USD]],"")</f>
        <v/>
      </c>
      <c r="AD90" s="13" t="str">
        <f>IF(tblSalaries[[#This Row],[Job Type]]=tblSalaries[[#Headers],[Specialist]],tblSalaries[[#This Row],[Salary in USD]],"")</f>
        <v/>
      </c>
    </row>
    <row r="91" spans="2:30" ht="15" customHeight="1" x14ac:dyDescent="0.25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 s="9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  <c r="N91" t="str">
        <f>IF(tblSalaries[[#This Row],[Years of Experience]]="","",IF(tblSalaries[[#This Row],[Years of Experience]]&lt;=2,1,""))</f>
        <v/>
      </c>
      <c r="O91" t="str">
        <f>IF(tblSalaries[[#This Row],[Years of Experience]]="","",IF(AND(tblSalaries[[#This Row],[Years of Experience]]&gt;2,tblSalaries[[#This Row],[Years of Experience]]&lt;=5),1,""))</f>
        <v/>
      </c>
      <c r="P91" t="str">
        <f>IF(tblSalaries[[#This Row],[Years of Experience]]="","",IF(AND(tblSalaries[[#This Row],[Years of Experience]]&gt;5,tblSalaries[[#This Row],[Years of Experience]]&lt;=10),1,""))</f>
        <v/>
      </c>
      <c r="Q91" t="str">
        <f>IF(tblSalaries[[#This Row],[Years of Experience]]="","",IF(AND(tblSalaries[[#This Row],[Years of Experience]]&gt;10,tblSalaries[[#This Row],[Years of Experience]]&lt;=15),1,""))</f>
        <v/>
      </c>
      <c r="R91" t="str">
        <f>IF(tblSalaries[[#This Row],[Years of Experience]]="","",IF(AND(tblSalaries[[#This Row],[Years of Experience]]&gt;16,tblSalaries[[#This Row],[Years of Experience]]&lt;=20),1,""))</f>
        <v/>
      </c>
      <c r="S91" t="str">
        <f>IF(tblSalaries[[#This Row],[Years of Experience]]="","",IF(tblSalaries[[#This Row],[Years of Experience]]&gt;20,1,""))</f>
        <v/>
      </c>
      <c r="T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1" s="13" t="str">
        <f>IF(tblSalaries[[#This Row],[Job Type]]=tblSalaries[[#Headers],[Accountant]],tblSalaries[[#This Row],[Salary in USD]],"")</f>
        <v/>
      </c>
      <c r="V91" s="13" t="str">
        <f>IF(tblSalaries[[#This Row],[Job Type]]=tblSalaries[[#Headers],[Analyst]],tblSalaries[[#This Row],[Salary in USD]],"")</f>
        <v/>
      </c>
      <c r="W91" s="13">
        <f>IF(tblSalaries[[#This Row],[Job Type]]=tblSalaries[[#Headers],[Consultant]],tblSalaries[[#This Row],[Salary in USD]],"")</f>
        <v>81000</v>
      </c>
      <c r="X91" s="13" t="str">
        <f>IF(tblSalaries[[#This Row],[Job Type]]=tblSalaries[[#Headers],[Controller]],tblSalaries[[#This Row],[Salary in USD]],"")</f>
        <v/>
      </c>
      <c r="Y91" s="13" t="str">
        <f>IF(tblSalaries[[#This Row],[Job Type]]=tblSalaries[[#Headers],[CXO or Top Mgmt.]],tblSalaries[[#This Row],[clean Salary (in local currency)]],"")</f>
        <v/>
      </c>
      <c r="Z91" s="13" t="str">
        <f>IF(tblSalaries[[#This Row],[Job Type]]=tblSalaries[[#Headers],[Engineer]],tblSalaries[[#This Row],[Salary in USD]],"")</f>
        <v/>
      </c>
      <c r="AA91" s="13" t="str">
        <f>IF(tblSalaries[[#This Row],[Job Type]]=tblSalaries[[#Headers],[Manager]],tblSalaries[[#This Row],[Salary in USD]],"")</f>
        <v/>
      </c>
      <c r="AB91" s="13" t="str">
        <f>IF(tblSalaries[[#This Row],[Job Type]]=tblSalaries[[#Headers],[Misc.]],tblSalaries[[#This Row],[Salary in USD]],"")</f>
        <v/>
      </c>
      <c r="AC91" s="13" t="str">
        <f>IF(tblSalaries[[#This Row],[Job Type]]=tblSalaries[[#Headers],[Reporting]],tblSalaries[[#This Row],[Salary in USD]],"")</f>
        <v/>
      </c>
      <c r="AD91" s="13" t="str">
        <f>IF(tblSalaries[[#This Row],[Job Type]]=tblSalaries[[#Headers],[Specialist]],tblSalaries[[#This Row],[Salary in USD]],"")</f>
        <v/>
      </c>
    </row>
    <row r="92" spans="2:30" ht="15" customHeight="1" x14ac:dyDescent="0.25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 s="9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  <c r="N92" t="str">
        <f>IF(tblSalaries[[#This Row],[Years of Experience]]="","",IF(tblSalaries[[#This Row],[Years of Experience]]&lt;=2,1,""))</f>
        <v/>
      </c>
      <c r="O92" t="str">
        <f>IF(tblSalaries[[#This Row],[Years of Experience]]="","",IF(AND(tblSalaries[[#This Row],[Years of Experience]]&gt;2,tblSalaries[[#This Row],[Years of Experience]]&lt;=5),1,""))</f>
        <v/>
      </c>
      <c r="P92" t="str">
        <f>IF(tblSalaries[[#This Row],[Years of Experience]]="","",IF(AND(tblSalaries[[#This Row],[Years of Experience]]&gt;5,tblSalaries[[#This Row],[Years of Experience]]&lt;=10),1,""))</f>
        <v/>
      </c>
      <c r="Q92" t="str">
        <f>IF(tblSalaries[[#This Row],[Years of Experience]]="","",IF(AND(tblSalaries[[#This Row],[Years of Experience]]&gt;10,tblSalaries[[#This Row],[Years of Experience]]&lt;=15),1,""))</f>
        <v/>
      </c>
      <c r="R92" t="str">
        <f>IF(tblSalaries[[#This Row],[Years of Experience]]="","",IF(AND(tblSalaries[[#This Row],[Years of Experience]]&gt;16,tblSalaries[[#This Row],[Years of Experience]]&lt;=20),1,""))</f>
        <v/>
      </c>
      <c r="S92" t="str">
        <f>IF(tblSalaries[[#This Row],[Years of Experience]]="","",IF(tblSalaries[[#This Row],[Years of Experience]]&gt;20,1,""))</f>
        <v/>
      </c>
      <c r="T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2" s="13" t="str">
        <f>IF(tblSalaries[[#This Row],[Job Type]]=tblSalaries[[#Headers],[Accountant]],tblSalaries[[#This Row],[Salary in USD]],"")</f>
        <v/>
      </c>
      <c r="V92" s="13">
        <f>IF(tblSalaries[[#This Row],[Job Type]]=tblSalaries[[#Headers],[Analyst]],tblSalaries[[#This Row],[Salary in USD]],"")</f>
        <v>40000</v>
      </c>
      <c r="W92" s="13" t="str">
        <f>IF(tblSalaries[[#This Row],[Job Type]]=tblSalaries[[#Headers],[Consultant]],tblSalaries[[#This Row],[Salary in USD]],"")</f>
        <v/>
      </c>
      <c r="X92" s="13" t="str">
        <f>IF(tblSalaries[[#This Row],[Job Type]]=tblSalaries[[#Headers],[Controller]],tblSalaries[[#This Row],[Salary in USD]],"")</f>
        <v/>
      </c>
      <c r="Y92" s="13" t="str">
        <f>IF(tblSalaries[[#This Row],[Job Type]]=tblSalaries[[#Headers],[CXO or Top Mgmt.]],tblSalaries[[#This Row],[clean Salary (in local currency)]],"")</f>
        <v/>
      </c>
      <c r="Z92" s="13" t="str">
        <f>IF(tblSalaries[[#This Row],[Job Type]]=tblSalaries[[#Headers],[Engineer]],tblSalaries[[#This Row],[Salary in USD]],"")</f>
        <v/>
      </c>
      <c r="AA92" s="13" t="str">
        <f>IF(tblSalaries[[#This Row],[Job Type]]=tblSalaries[[#Headers],[Manager]],tblSalaries[[#This Row],[Salary in USD]],"")</f>
        <v/>
      </c>
      <c r="AB92" s="13" t="str">
        <f>IF(tblSalaries[[#This Row],[Job Type]]=tblSalaries[[#Headers],[Misc.]],tblSalaries[[#This Row],[Salary in USD]],"")</f>
        <v/>
      </c>
      <c r="AC92" s="13" t="str">
        <f>IF(tblSalaries[[#This Row],[Job Type]]=tblSalaries[[#Headers],[Reporting]],tblSalaries[[#This Row],[Salary in USD]],"")</f>
        <v/>
      </c>
      <c r="AD92" s="13" t="str">
        <f>IF(tblSalaries[[#This Row],[Job Type]]=tblSalaries[[#Headers],[Specialist]],tblSalaries[[#This Row],[Salary in USD]],"")</f>
        <v/>
      </c>
    </row>
    <row r="93" spans="2:30" ht="15" customHeight="1" x14ac:dyDescent="0.25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 s="9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  <c r="N93" t="str">
        <f>IF(tblSalaries[[#This Row],[Years of Experience]]="","",IF(tblSalaries[[#This Row],[Years of Experience]]&lt;=2,1,""))</f>
        <v/>
      </c>
      <c r="O93" t="str">
        <f>IF(tblSalaries[[#This Row],[Years of Experience]]="","",IF(AND(tblSalaries[[#This Row],[Years of Experience]]&gt;2,tblSalaries[[#This Row],[Years of Experience]]&lt;=5),1,""))</f>
        <v/>
      </c>
      <c r="P93" t="str">
        <f>IF(tblSalaries[[#This Row],[Years of Experience]]="","",IF(AND(tblSalaries[[#This Row],[Years of Experience]]&gt;5,tblSalaries[[#This Row],[Years of Experience]]&lt;=10),1,""))</f>
        <v/>
      </c>
      <c r="Q93" t="str">
        <f>IF(tblSalaries[[#This Row],[Years of Experience]]="","",IF(AND(tblSalaries[[#This Row],[Years of Experience]]&gt;10,tblSalaries[[#This Row],[Years of Experience]]&lt;=15),1,""))</f>
        <v/>
      </c>
      <c r="R93" t="str">
        <f>IF(tblSalaries[[#This Row],[Years of Experience]]="","",IF(AND(tblSalaries[[#This Row],[Years of Experience]]&gt;16,tblSalaries[[#This Row],[Years of Experience]]&lt;=20),1,""))</f>
        <v/>
      </c>
      <c r="S93" t="str">
        <f>IF(tblSalaries[[#This Row],[Years of Experience]]="","",IF(tblSalaries[[#This Row],[Years of Experience]]&gt;20,1,""))</f>
        <v/>
      </c>
      <c r="T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3" s="13" t="str">
        <f>IF(tblSalaries[[#This Row],[Job Type]]=tblSalaries[[#Headers],[Accountant]],tblSalaries[[#This Row],[Salary in USD]],"")</f>
        <v/>
      </c>
      <c r="V93" s="13">
        <f>IF(tblSalaries[[#This Row],[Job Type]]=tblSalaries[[#Headers],[Analyst]],tblSalaries[[#This Row],[Salary in USD]],"")</f>
        <v>41301.183967273726</v>
      </c>
      <c r="W93" s="13" t="str">
        <f>IF(tblSalaries[[#This Row],[Job Type]]=tblSalaries[[#Headers],[Consultant]],tblSalaries[[#This Row],[Salary in USD]],"")</f>
        <v/>
      </c>
      <c r="X93" s="13" t="str">
        <f>IF(tblSalaries[[#This Row],[Job Type]]=tblSalaries[[#Headers],[Controller]],tblSalaries[[#This Row],[Salary in USD]],"")</f>
        <v/>
      </c>
      <c r="Y93" s="13" t="str">
        <f>IF(tblSalaries[[#This Row],[Job Type]]=tblSalaries[[#Headers],[CXO or Top Mgmt.]],tblSalaries[[#This Row],[clean Salary (in local currency)]],"")</f>
        <v/>
      </c>
      <c r="Z93" s="13" t="str">
        <f>IF(tblSalaries[[#This Row],[Job Type]]=tblSalaries[[#Headers],[Engineer]],tblSalaries[[#This Row],[Salary in USD]],"")</f>
        <v/>
      </c>
      <c r="AA93" s="13" t="str">
        <f>IF(tblSalaries[[#This Row],[Job Type]]=tblSalaries[[#Headers],[Manager]],tblSalaries[[#This Row],[Salary in USD]],"")</f>
        <v/>
      </c>
      <c r="AB93" s="13" t="str">
        <f>IF(tblSalaries[[#This Row],[Job Type]]=tblSalaries[[#Headers],[Misc.]],tblSalaries[[#This Row],[Salary in USD]],"")</f>
        <v/>
      </c>
      <c r="AC93" s="13" t="str">
        <f>IF(tblSalaries[[#This Row],[Job Type]]=tblSalaries[[#Headers],[Reporting]],tblSalaries[[#This Row],[Salary in USD]],"")</f>
        <v/>
      </c>
      <c r="AD93" s="13" t="str">
        <f>IF(tblSalaries[[#This Row],[Job Type]]=tblSalaries[[#Headers],[Specialist]],tblSalaries[[#This Row],[Salary in USD]],"")</f>
        <v/>
      </c>
    </row>
    <row r="94" spans="2:30" ht="15" customHeight="1" x14ac:dyDescent="0.25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 s="9">
        <f>tblSalaries[[#This Row],[clean Salary (in local currency)]]*VLOOKUP(tblSalaries[[#This Row],[Currency]],tblXrate[],2,FALSE)</f>
        <v>125000</v>
      </c>
      <c r="H94" t="s">
        <v>149</v>
      </c>
      <c r="I94" t="s">
        <v>4001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  <c r="N94" t="str">
        <f>IF(tblSalaries[[#This Row],[Years of Experience]]="","",IF(tblSalaries[[#This Row],[Years of Experience]]&lt;=2,1,""))</f>
        <v/>
      </c>
      <c r="O94" t="str">
        <f>IF(tblSalaries[[#This Row],[Years of Experience]]="","",IF(AND(tblSalaries[[#This Row],[Years of Experience]]&gt;2,tblSalaries[[#This Row],[Years of Experience]]&lt;=5),1,""))</f>
        <v/>
      </c>
      <c r="P94" t="str">
        <f>IF(tblSalaries[[#This Row],[Years of Experience]]="","",IF(AND(tblSalaries[[#This Row],[Years of Experience]]&gt;5,tblSalaries[[#This Row],[Years of Experience]]&lt;=10),1,""))</f>
        <v/>
      </c>
      <c r="Q94" t="str">
        <f>IF(tblSalaries[[#This Row],[Years of Experience]]="","",IF(AND(tblSalaries[[#This Row],[Years of Experience]]&gt;10,tblSalaries[[#This Row],[Years of Experience]]&lt;=15),1,""))</f>
        <v/>
      </c>
      <c r="R94" t="str">
        <f>IF(tblSalaries[[#This Row],[Years of Experience]]="","",IF(AND(tblSalaries[[#This Row],[Years of Experience]]&gt;16,tblSalaries[[#This Row],[Years of Experience]]&lt;=20),1,""))</f>
        <v/>
      </c>
      <c r="S94" t="str">
        <f>IF(tblSalaries[[#This Row],[Years of Experience]]="","",IF(tblSalaries[[#This Row],[Years of Experience]]&gt;20,1,""))</f>
        <v/>
      </c>
      <c r="T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4" s="13" t="str">
        <f>IF(tblSalaries[[#This Row],[Job Type]]=tblSalaries[[#Headers],[Accountant]],tblSalaries[[#This Row],[Salary in USD]],"")</f>
        <v/>
      </c>
      <c r="V94" s="13" t="str">
        <f>IF(tblSalaries[[#This Row],[Job Type]]=tblSalaries[[#Headers],[Analyst]],tblSalaries[[#This Row],[Salary in USD]],"")</f>
        <v/>
      </c>
      <c r="W94" s="13" t="str">
        <f>IF(tblSalaries[[#This Row],[Job Type]]=tblSalaries[[#Headers],[Consultant]],tblSalaries[[#This Row],[Salary in USD]],"")</f>
        <v/>
      </c>
      <c r="X94" s="13" t="str">
        <f>IF(tblSalaries[[#This Row],[Job Type]]=tblSalaries[[#Headers],[Controller]],tblSalaries[[#This Row],[Salary in USD]],"")</f>
        <v/>
      </c>
      <c r="Y94" s="13">
        <f>IF(tblSalaries[[#This Row],[Job Type]]=tblSalaries[[#Headers],[CXO or Top Mgmt.]],tblSalaries[[#This Row],[clean Salary (in local currency)]],"")</f>
        <v>125000</v>
      </c>
      <c r="Z94" s="13" t="str">
        <f>IF(tblSalaries[[#This Row],[Job Type]]=tblSalaries[[#Headers],[Engineer]],tblSalaries[[#This Row],[Salary in USD]],"")</f>
        <v/>
      </c>
      <c r="AA94" s="13" t="str">
        <f>IF(tblSalaries[[#This Row],[Job Type]]=tblSalaries[[#Headers],[Manager]],tblSalaries[[#This Row],[Salary in USD]],"")</f>
        <v/>
      </c>
      <c r="AB94" s="13" t="str">
        <f>IF(tblSalaries[[#This Row],[Job Type]]=tblSalaries[[#Headers],[Misc.]],tblSalaries[[#This Row],[Salary in USD]],"")</f>
        <v/>
      </c>
      <c r="AC94" s="13" t="str">
        <f>IF(tblSalaries[[#This Row],[Job Type]]=tblSalaries[[#Headers],[Reporting]],tblSalaries[[#This Row],[Salary in USD]],"")</f>
        <v/>
      </c>
      <c r="AD94" s="13" t="str">
        <f>IF(tblSalaries[[#This Row],[Job Type]]=tblSalaries[[#Headers],[Specialist]],tblSalaries[[#This Row],[Salary in USD]],"")</f>
        <v/>
      </c>
    </row>
    <row r="95" spans="2:30" ht="15" customHeight="1" x14ac:dyDescent="0.25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 s="9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  <c r="N95" t="str">
        <f>IF(tblSalaries[[#This Row],[Years of Experience]]="","",IF(tblSalaries[[#This Row],[Years of Experience]]&lt;=2,1,""))</f>
        <v/>
      </c>
      <c r="O95" t="str">
        <f>IF(tblSalaries[[#This Row],[Years of Experience]]="","",IF(AND(tblSalaries[[#This Row],[Years of Experience]]&gt;2,tblSalaries[[#This Row],[Years of Experience]]&lt;=5),1,""))</f>
        <v/>
      </c>
      <c r="P95" t="str">
        <f>IF(tblSalaries[[#This Row],[Years of Experience]]="","",IF(AND(tblSalaries[[#This Row],[Years of Experience]]&gt;5,tblSalaries[[#This Row],[Years of Experience]]&lt;=10),1,""))</f>
        <v/>
      </c>
      <c r="Q95" t="str">
        <f>IF(tblSalaries[[#This Row],[Years of Experience]]="","",IF(AND(tblSalaries[[#This Row],[Years of Experience]]&gt;10,tblSalaries[[#This Row],[Years of Experience]]&lt;=15),1,""))</f>
        <v/>
      </c>
      <c r="R95" t="str">
        <f>IF(tblSalaries[[#This Row],[Years of Experience]]="","",IF(AND(tblSalaries[[#This Row],[Years of Experience]]&gt;16,tblSalaries[[#This Row],[Years of Experience]]&lt;=20),1,""))</f>
        <v/>
      </c>
      <c r="S95" t="str">
        <f>IF(tblSalaries[[#This Row],[Years of Experience]]="","",IF(tblSalaries[[#This Row],[Years of Experience]]&gt;20,1,""))</f>
        <v/>
      </c>
      <c r="T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5" s="13" t="str">
        <f>IF(tblSalaries[[#This Row],[Job Type]]=tblSalaries[[#Headers],[Accountant]],tblSalaries[[#This Row],[Salary in USD]],"")</f>
        <v/>
      </c>
      <c r="V95" s="13" t="str">
        <f>IF(tblSalaries[[#This Row],[Job Type]]=tblSalaries[[#Headers],[Analyst]],tblSalaries[[#This Row],[Salary in USD]],"")</f>
        <v/>
      </c>
      <c r="W95" s="13" t="str">
        <f>IF(tblSalaries[[#This Row],[Job Type]]=tblSalaries[[#Headers],[Consultant]],tblSalaries[[#This Row],[Salary in USD]],"")</f>
        <v/>
      </c>
      <c r="X95" s="13" t="str">
        <f>IF(tblSalaries[[#This Row],[Job Type]]=tblSalaries[[#Headers],[Controller]],tblSalaries[[#This Row],[Salary in USD]],"")</f>
        <v/>
      </c>
      <c r="Y95" s="13" t="str">
        <f>IF(tblSalaries[[#This Row],[Job Type]]=tblSalaries[[#Headers],[CXO or Top Mgmt.]],tblSalaries[[#This Row],[clean Salary (in local currency)]],"")</f>
        <v/>
      </c>
      <c r="Z95" s="13" t="str">
        <f>IF(tblSalaries[[#This Row],[Job Type]]=tblSalaries[[#Headers],[Engineer]],tblSalaries[[#This Row],[Salary in USD]],"")</f>
        <v/>
      </c>
      <c r="AA95" s="13">
        <f>IF(tblSalaries[[#This Row],[Job Type]]=tblSalaries[[#Headers],[Manager]],tblSalaries[[#This Row],[Salary in USD]],"")</f>
        <v>36000</v>
      </c>
      <c r="AB95" s="13" t="str">
        <f>IF(tblSalaries[[#This Row],[Job Type]]=tblSalaries[[#Headers],[Misc.]],tblSalaries[[#This Row],[Salary in USD]],"")</f>
        <v/>
      </c>
      <c r="AC95" s="13" t="str">
        <f>IF(tblSalaries[[#This Row],[Job Type]]=tblSalaries[[#Headers],[Reporting]],tblSalaries[[#This Row],[Salary in USD]],"")</f>
        <v/>
      </c>
      <c r="AD95" s="13" t="str">
        <f>IF(tblSalaries[[#This Row],[Job Type]]=tblSalaries[[#Headers],[Specialist]],tblSalaries[[#This Row],[Salary in USD]],"")</f>
        <v/>
      </c>
    </row>
    <row r="96" spans="2:30" ht="15" customHeight="1" x14ac:dyDescent="0.25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 s="9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  <c r="N96" t="str">
        <f>IF(tblSalaries[[#This Row],[Years of Experience]]="","",IF(tblSalaries[[#This Row],[Years of Experience]]&lt;=2,1,""))</f>
        <v/>
      </c>
      <c r="O96" t="str">
        <f>IF(tblSalaries[[#This Row],[Years of Experience]]="","",IF(AND(tblSalaries[[#This Row],[Years of Experience]]&gt;2,tblSalaries[[#This Row],[Years of Experience]]&lt;=5),1,""))</f>
        <v/>
      </c>
      <c r="P96" t="str">
        <f>IF(tblSalaries[[#This Row],[Years of Experience]]="","",IF(AND(tblSalaries[[#This Row],[Years of Experience]]&gt;5,tblSalaries[[#This Row],[Years of Experience]]&lt;=10),1,""))</f>
        <v/>
      </c>
      <c r="Q96" t="str">
        <f>IF(tblSalaries[[#This Row],[Years of Experience]]="","",IF(AND(tblSalaries[[#This Row],[Years of Experience]]&gt;10,tblSalaries[[#This Row],[Years of Experience]]&lt;=15),1,""))</f>
        <v/>
      </c>
      <c r="R96" t="str">
        <f>IF(tblSalaries[[#This Row],[Years of Experience]]="","",IF(AND(tblSalaries[[#This Row],[Years of Experience]]&gt;16,tblSalaries[[#This Row],[Years of Experience]]&lt;=20),1,""))</f>
        <v/>
      </c>
      <c r="S96" t="str">
        <f>IF(tblSalaries[[#This Row],[Years of Experience]]="","",IF(tblSalaries[[#This Row],[Years of Experience]]&gt;20,1,""))</f>
        <v/>
      </c>
      <c r="T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6" s="13" t="str">
        <f>IF(tblSalaries[[#This Row],[Job Type]]=tblSalaries[[#Headers],[Accountant]],tblSalaries[[#This Row],[Salary in USD]],"")</f>
        <v/>
      </c>
      <c r="V96" s="13" t="str">
        <f>IF(tblSalaries[[#This Row],[Job Type]]=tblSalaries[[#Headers],[Analyst]],tblSalaries[[#This Row],[Salary in USD]],"")</f>
        <v/>
      </c>
      <c r="W96" s="13">
        <f>IF(tblSalaries[[#This Row],[Job Type]]=tblSalaries[[#Headers],[Consultant]],tblSalaries[[#This Row],[Salary in USD]],"")</f>
        <v>2564.3400029917298</v>
      </c>
      <c r="X96" s="13" t="str">
        <f>IF(tblSalaries[[#This Row],[Job Type]]=tblSalaries[[#Headers],[Controller]],tblSalaries[[#This Row],[Salary in USD]],"")</f>
        <v/>
      </c>
      <c r="Y96" s="13" t="str">
        <f>IF(tblSalaries[[#This Row],[Job Type]]=tblSalaries[[#Headers],[CXO or Top Mgmt.]],tblSalaries[[#This Row],[clean Salary (in local currency)]],"")</f>
        <v/>
      </c>
      <c r="Z96" s="13" t="str">
        <f>IF(tblSalaries[[#This Row],[Job Type]]=tblSalaries[[#Headers],[Engineer]],tblSalaries[[#This Row],[Salary in USD]],"")</f>
        <v/>
      </c>
      <c r="AA96" s="13" t="str">
        <f>IF(tblSalaries[[#This Row],[Job Type]]=tblSalaries[[#Headers],[Manager]],tblSalaries[[#This Row],[Salary in USD]],"")</f>
        <v/>
      </c>
      <c r="AB96" s="13" t="str">
        <f>IF(tblSalaries[[#This Row],[Job Type]]=tblSalaries[[#Headers],[Misc.]],tblSalaries[[#This Row],[Salary in USD]],"")</f>
        <v/>
      </c>
      <c r="AC96" s="13" t="str">
        <f>IF(tblSalaries[[#This Row],[Job Type]]=tblSalaries[[#Headers],[Reporting]],tblSalaries[[#This Row],[Salary in USD]],"")</f>
        <v/>
      </c>
      <c r="AD96" s="13" t="str">
        <f>IF(tblSalaries[[#This Row],[Job Type]]=tblSalaries[[#Headers],[Specialist]],tblSalaries[[#This Row],[Salary in USD]],"")</f>
        <v/>
      </c>
    </row>
    <row r="97" spans="2:30" ht="15" customHeight="1" x14ac:dyDescent="0.25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 s="9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  <c r="N97" t="str">
        <f>IF(tblSalaries[[#This Row],[Years of Experience]]="","",IF(tblSalaries[[#This Row],[Years of Experience]]&lt;=2,1,""))</f>
        <v/>
      </c>
      <c r="O97" t="str">
        <f>IF(tblSalaries[[#This Row],[Years of Experience]]="","",IF(AND(tblSalaries[[#This Row],[Years of Experience]]&gt;2,tblSalaries[[#This Row],[Years of Experience]]&lt;=5),1,""))</f>
        <v/>
      </c>
      <c r="P97" t="str">
        <f>IF(tblSalaries[[#This Row],[Years of Experience]]="","",IF(AND(tblSalaries[[#This Row],[Years of Experience]]&gt;5,tblSalaries[[#This Row],[Years of Experience]]&lt;=10),1,""))</f>
        <v/>
      </c>
      <c r="Q97" t="str">
        <f>IF(tblSalaries[[#This Row],[Years of Experience]]="","",IF(AND(tblSalaries[[#This Row],[Years of Experience]]&gt;10,tblSalaries[[#This Row],[Years of Experience]]&lt;=15),1,""))</f>
        <v/>
      </c>
      <c r="R97" t="str">
        <f>IF(tblSalaries[[#This Row],[Years of Experience]]="","",IF(AND(tblSalaries[[#This Row],[Years of Experience]]&gt;16,tblSalaries[[#This Row],[Years of Experience]]&lt;=20),1,""))</f>
        <v/>
      </c>
      <c r="S97" t="str">
        <f>IF(tblSalaries[[#This Row],[Years of Experience]]="","",IF(tblSalaries[[#This Row],[Years of Experience]]&gt;20,1,""))</f>
        <v/>
      </c>
      <c r="T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7" s="13" t="str">
        <f>IF(tblSalaries[[#This Row],[Job Type]]=tblSalaries[[#Headers],[Accountant]],tblSalaries[[#This Row],[Salary in USD]],"")</f>
        <v/>
      </c>
      <c r="V97" s="13">
        <f>IF(tblSalaries[[#This Row],[Job Type]]=tblSalaries[[#Headers],[Analyst]],tblSalaries[[#This Row],[Salary in USD]],"")</f>
        <v>75000</v>
      </c>
      <c r="W97" s="13" t="str">
        <f>IF(tblSalaries[[#This Row],[Job Type]]=tblSalaries[[#Headers],[Consultant]],tblSalaries[[#This Row],[Salary in USD]],"")</f>
        <v/>
      </c>
      <c r="X97" s="13" t="str">
        <f>IF(tblSalaries[[#This Row],[Job Type]]=tblSalaries[[#Headers],[Controller]],tblSalaries[[#This Row],[Salary in USD]],"")</f>
        <v/>
      </c>
      <c r="Y97" s="13" t="str">
        <f>IF(tblSalaries[[#This Row],[Job Type]]=tblSalaries[[#Headers],[CXO or Top Mgmt.]],tblSalaries[[#This Row],[clean Salary (in local currency)]],"")</f>
        <v/>
      </c>
      <c r="Z97" s="13" t="str">
        <f>IF(tblSalaries[[#This Row],[Job Type]]=tblSalaries[[#Headers],[Engineer]],tblSalaries[[#This Row],[Salary in USD]],"")</f>
        <v/>
      </c>
      <c r="AA97" s="13" t="str">
        <f>IF(tblSalaries[[#This Row],[Job Type]]=tblSalaries[[#Headers],[Manager]],tblSalaries[[#This Row],[Salary in USD]],"")</f>
        <v/>
      </c>
      <c r="AB97" s="13" t="str">
        <f>IF(tblSalaries[[#This Row],[Job Type]]=tblSalaries[[#Headers],[Misc.]],tblSalaries[[#This Row],[Salary in USD]],"")</f>
        <v/>
      </c>
      <c r="AC97" s="13" t="str">
        <f>IF(tblSalaries[[#This Row],[Job Type]]=tblSalaries[[#Headers],[Reporting]],tblSalaries[[#This Row],[Salary in USD]],"")</f>
        <v/>
      </c>
      <c r="AD97" s="13" t="str">
        <f>IF(tblSalaries[[#This Row],[Job Type]]=tblSalaries[[#Headers],[Specialist]],tblSalaries[[#This Row],[Salary in USD]],"")</f>
        <v/>
      </c>
    </row>
    <row r="98" spans="2:30" ht="15" customHeight="1" x14ac:dyDescent="0.25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 s="9">
        <f>tblSalaries[[#This Row],[clean Salary (in local currency)]]*VLOOKUP(tblSalaries[[#This Row],[Currency]],tblXrate[],2,FALSE)</f>
        <v>95000</v>
      </c>
      <c r="H98" t="s">
        <v>29</v>
      </c>
      <c r="I98" t="s">
        <v>4001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  <c r="N98" t="str">
        <f>IF(tblSalaries[[#This Row],[Years of Experience]]="","",IF(tblSalaries[[#This Row],[Years of Experience]]&lt;=2,1,""))</f>
        <v/>
      </c>
      <c r="O98" t="str">
        <f>IF(tblSalaries[[#This Row],[Years of Experience]]="","",IF(AND(tblSalaries[[#This Row],[Years of Experience]]&gt;2,tblSalaries[[#This Row],[Years of Experience]]&lt;=5),1,""))</f>
        <v/>
      </c>
      <c r="P98" t="str">
        <f>IF(tblSalaries[[#This Row],[Years of Experience]]="","",IF(AND(tblSalaries[[#This Row],[Years of Experience]]&gt;5,tblSalaries[[#This Row],[Years of Experience]]&lt;=10),1,""))</f>
        <v/>
      </c>
      <c r="Q98" t="str">
        <f>IF(tblSalaries[[#This Row],[Years of Experience]]="","",IF(AND(tblSalaries[[#This Row],[Years of Experience]]&gt;10,tblSalaries[[#This Row],[Years of Experience]]&lt;=15),1,""))</f>
        <v/>
      </c>
      <c r="R98" t="str">
        <f>IF(tblSalaries[[#This Row],[Years of Experience]]="","",IF(AND(tblSalaries[[#This Row],[Years of Experience]]&gt;16,tblSalaries[[#This Row],[Years of Experience]]&lt;=20),1,""))</f>
        <v/>
      </c>
      <c r="S98" t="str">
        <f>IF(tblSalaries[[#This Row],[Years of Experience]]="","",IF(tblSalaries[[#This Row],[Years of Experience]]&gt;20,1,""))</f>
        <v/>
      </c>
      <c r="T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8" s="13" t="str">
        <f>IF(tblSalaries[[#This Row],[Job Type]]=tblSalaries[[#Headers],[Accountant]],tblSalaries[[#This Row],[Salary in USD]],"")</f>
        <v/>
      </c>
      <c r="V98" s="13" t="str">
        <f>IF(tblSalaries[[#This Row],[Job Type]]=tblSalaries[[#Headers],[Analyst]],tblSalaries[[#This Row],[Salary in USD]],"")</f>
        <v/>
      </c>
      <c r="W98" s="13" t="str">
        <f>IF(tblSalaries[[#This Row],[Job Type]]=tblSalaries[[#Headers],[Consultant]],tblSalaries[[#This Row],[Salary in USD]],"")</f>
        <v/>
      </c>
      <c r="X98" s="13" t="str">
        <f>IF(tblSalaries[[#This Row],[Job Type]]=tblSalaries[[#Headers],[Controller]],tblSalaries[[#This Row],[Salary in USD]],"")</f>
        <v/>
      </c>
      <c r="Y98" s="13">
        <f>IF(tblSalaries[[#This Row],[Job Type]]=tblSalaries[[#Headers],[CXO or Top Mgmt.]],tblSalaries[[#This Row],[clean Salary (in local currency)]],"")</f>
        <v>95000</v>
      </c>
      <c r="Z98" s="13" t="str">
        <f>IF(tblSalaries[[#This Row],[Job Type]]=tblSalaries[[#Headers],[Engineer]],tblSalaries[[#This Row],[Salary in USD]],"")</f>
        <v/>
      </c>
      <c r="AA98" s="13" t="str">
        <f>IF(tblSalaries[[#This Row],[Job Type]]=tblSalaries[[#Headers],[Manager]],tblSalaries[[#This Row],[Salary in USD]],"")</f>
        <v/>
      </c>
      <c r="AB98" s="13" t="str">
        <f>IF(tblSalaries[[#This Row],[Job Type]]=tblSalaries[[#Headers],[Misc.]],tblSalaries[[#This Row],[Salary in USD]],"")</f>
        <v/>
      </c>
      <c r="AC98" s="13" t="str">
        <f>IF(tblSalaries[[#This Row],[Job Type]]=tblSalaries[[#Headers],[Reporting]],tblSalaries[[#This Row],[Salary in USD]],"")</f>
        <v/>
      </c>
      <c r="AD98" s="13" t="str">
        <f>IF(tblSalaries[[#This Row],[Job Type]]=tblSalaries[[#Headers],[Specialist]],tblSalaries[[#This Row],[Salary in USD]],"")</f>
        <v/>
      </c>
    </row>
    <row r="99" spans="2:30" ht="15" customHeight="1" x14ac:dyDescent="0.25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 s="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  <c r="N99" t="str">
        <f>IF(tblSalaries[[#This Row],[Years of Experience]]="","",IF(tblSalaries[[#This Row],[Years of Experience]]&lt;=2,1,""))</f>
        <v/>
      </c>
      <c r="O99" t="str">
        <f>IF(tblSalaries[[#This Row],[Years of Experience]]="","",IF(AND(tblSalaries[[#This Row],[Years of Experience]]&gt;2,tblSalaries[[#This Row],[Years of Experience]]&lt;=5),1,""))</f>
        <v/>
      </c>
      <c r="P99" t="str">
        <f>IF(tblSalaries[[#This Row],[Years of Experience]]="","",IF(AND(tblSalaries[[#This Row],[Years of Experience]]&gt;5,tblSalaries[[#This Row],[Years of Experience]]&lt;=10),1,""))</f>
        <v/>
      </c>
      <c r="Q99" t="str">
        <f>IF(tblSalaries[[#This Row],[Years of Experience]]="","",IF(AND(tblSalaries[[#This Row],[Years of Experience]]&gt;10,tblSalaries[[#This Row],[Years of Experience]]&lt;=15),1,""))</f>
        <v/>
      </c>
      <c r="R99" t="str">
        <f>IF(tblSalaries[[#This Row],[Years of Experience]]="","",IF(AND(tblSalaries[[#This Row],[Years of Experience]]&gt;16,tblSalaries[[#This Row],[Years of Experience]]&lt;=20),1,""))</f>
        <v/>
      </c>
      <c r="S99" t="str">
        <f>IF(tblSalaries[[#This Row],[Years of Experience]]="","",IF(tblSalaries[[#This Row],[Years of Experience]]&gt;20,1,""))</f>
        <v/>
      </c>
      <c r="T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9" s="13" t="str">
        <f>IF(tblSalaries[[#This Row],[Job Type]]=tblSalaries[[#Headers],[Accountant]],tblSalaries[[#This Row],[Salary in USD]],"")</f>
        <v/>
      </c>
      <c r="V99" s="13" t="str">
        <f>IF(tblSalaries[[#This Row],[Job Type]]=tblSalaries[[#Headers],[Analyst]],tblSalaries[[#This Row],[Salary in USD]],"")</f>
        <v/>
      </c>
      <c r="W99" s="13" t="str">
        <f>IF(tblSalaries[[#This Row],[Job Type]]=tblSalaries[[#Headers],[Consultant]],tblSalaries[[#This Row],[Salary in USD]],"")</f>
        <v/>
      </c>
      <c r="X99" s="13" t="str">
        <f>IF(tblSalaries[[#This Row],[Job Type]]=tblSalaries[[#Headers],[Controller]],tblSalaries[[#This Row],[Salary in USD]],"")</f>
        <v/>
      </c>
      <c r="Y99" s="13" t="str">
        <f>IF(tblSalaries[[#This Row],[Job Type]]=tblSalaries[[#Headers],[CXO or Top Mgmt.]],tblSalaries[[#This Row],[clean Salary (in local currency)]],"")</f>
        <v/>
      </c>
      <c r="Z99" s="13" t="str">
        <f>IF(tblSalaries[[#This Row],[Job Type]]=tblSalaries[[#Headers],[Engineer]],tblSalaries[[#This Row],[Salary in USD]],"")</f>
        <v/>
      </c>
      <c r="AA99" s="13">
        <f>IF(tblSalaries[[#This Row],[Job Type]]=tblSalaries[[#Headers],[Manager]],tblSalaries[[#This Row],[Salary in USD]],"")</f>
        <v>24000</v>
      </c>
      <c r="AB99" s="13" t="str">
        <f>IF(tblSalaries[[#This Row],[Job Type]]=tblSalaries[[#Headers],[Misc.]],tblSalaries[[#This Row],[Salary in USD]],"")</f>
        <v/>
      </c>
      <c r="AC99" s="13" t="str">
        <f>IF(tblSalaries[[#This Row],[Job Type]]=tblSalaries[[#Headers],[Reporting]],tblSalaries[[#This Row],[Salary in USD]],"")</f>
        <v/>
      </c>
      <c r="AD99" s="13" t="str">
        <f>IF(tblSalaries[[#This Row],[Job Type]]=tblSalaries[[#Headers],[Specialist]],tblSalaries[[#This Row],[Salary in USD]],"")</f>
        <v/>
      </c>
    </row>
    <row r="100" spans="2:30" ht="15" customHeight="1" x14ac:dyDescent="0.25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 s="9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  <c r="N100" t="str">
        <f>IF(tblSalaries[[#This Row],[Years of Experience]]="","",IF(tblSalaries[[#This Row],[Years of Experience]]&lt;=2,1,""))</f>
        <v/>
      </c>
      <c r="O100" t="str">
        <f>IF(tblSalaries[[#This Row],[Years of Experience]]="","",IF(AND(tblSalaries[[#This Row],[Years of Experience]]&gt;2,tblSalaries[[#This Row],[Years of Experience]]&lt;=5),1,""))</f>
        <v/>
      </c>
      <c r="P100" t="str">
        <f>IF(tblSalaries[[#This Row],[Years of Experience]]="","",IF(AND(tblSalaries[[#This Row],[Years of Experience]]&gt;5,tblSalaries[[#This Row],[Years of Experience]]&lt;=10),1,""))</f>
        <v/>
      </c>
      <c r="Q100" t="str">
        <f>IF(tblSalaries[[#This Row],[Years of Experience]]="","",IF(AND(tblSalaries[[#This Row],[Years of Experience]]&gt;10,tblSalaries[[#This Row],[Years of Experience]]&lt;=15),1,""))</f>
        <v/>
      </c>
      <c r="R100" t="str">
        <f>IF(tblSalaries[[#This Row],[Years of Experience]]="","",IF(AND(tblSalaries[[#This Row],[Years of Experience]]&gt;16,tblSalaries[[#This Row],[Years of Experience]]&lt;=20),1,""))</f>
        <v/>
      </c>
      <c r="S100" t="str">
        <f>IF(tblSalaries[[#This Row],[Years of Experience]]="","",IF(tblSalaries[[#This Row],[Years of Experience]]&gt;20,1,""))</f>
        <v/>
      </c>
      <c r="T1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0" s="13" t="str">
        <f>IF(tblSalaries[[#This Row],[Job Type]]=tblSalaries[[#Headers],[Accountant]],tblSalaries[[#This Row],[Salary in USD]],"")</f>
        <v/>
      </c>
      <c r="V100" s="13" t="str">
        <f>IF(tblSalaries[[#This Row],[Job Type]]=tblSalaries[[#Headers],[Analyst]],tblSalaries[[#This Row],[Salary in USD]],"")</f>
        <v/>
      </c>
      <c r="W100" s="13" t="str">
        <f>IF(tblSalaries[[#This Row],[Job Type]]=tblSalaries[[#Headers],[Consultant]],tblSalaries[[#This Row],[Salary in USD]],"")</f>
        <v/>
      </c>
      <c r="X100" s="13" t="str">
        <f>IF(tblSalaries[[#This Row],[Job Type]]=tblSalaries[[#Headers],[Controller]],tblSalaries[[#This Row],[Salary in USD]],"")</f>
        <v/>
      </c>
      <c r="Y100" s="13" t="str">
        <f>IF(tblSalaries[[#This Row],[Job Type]]=tblSalaries[[#Headers],[CXO or Top Mgmt.]],tblSalaries[[#This Row],[clean Salary (in local currency)]],"")</f>
        <v/>
      </c>
      <c r="Z100" s="13" t="str">
        <f>IF(tblSalaries[[#This Row],[Job Type]]=tblSalaries[[#Headers],[Engineer]],tblSalaries[[#This Row],[Salary in USD]],"")</f>
        <v/>
      </c>
      <c r="AA100" s="13">
        <f>IF(tblSalaries[[#This Row],[Job Type]]=tblSalaries[[#Headers],[Manager]],tblSalaries[[#This Row],[Salary in USD]],"")</f>
        <v>91000</v>
      </c>
      <c r="AB100" s="13" t="str">
        <f>IF(tblSalaries[[#This Row],[Job Type]]=tblSalaries[[#Headers],[Misc.]],tblSalaries[[#This Row],[Salary in USD]],"")</f>
        <v/>
      </c>
      <c r="AC100" s="13" t="str">
        <f>IF(tblSalaries[[#This Row],[Job Type]]=tblSalaries[[#Headers],[Reporting]],tblSalaries[[#This Row],[Salary in USD]],"")</f>
        <v/>
      </c>
      <c r="AD100" s="13" t="str">
        <f>IF(tblSalaries[[#This Row],[Job Type]]=tblSalaries[[#Headers],[Specialist]],tblSalaries[[#This Row],[Salary in USD]],"")</f>
        <v/>
      </c>
    </row>
    <row r="101" spans="2:30" ht="15" customHeight="1" x14ac:dyDescent="0.25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 s="9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  <c r="N101" t="str">
        <f>IF(tblSalaries[[#This Row],[Years of Experience]]="","",IF(tblSalaries[[#This Row],[Years of Experience]]&lt;=2,1,""))</f>
        <v/>
      </c>
      <c r="O101" t="str">
        <f>IF(tblSalaries[[#This Row],[Years of Experience]]="","",IF(AND(tblSalaries[[#This Row],[Years of Experience]]&gt;2,tblSalaries[[#This Row],[Years of Experience]]&lt;=5),1,""))</f>
        <v/>
      </c>
      <c r="P101" t="str">
        <f>IF(tblSalaries[[#This Row],[Years of Experience]]="","",IF(AND(tblSalaries[[#This Row],[Years of Experience]]&gt;5,tblSalaries[[#This Row],[Years of Experience]]&lt;=10),1,""))</f>
        <v/>
      </c>
      <c r="Q101" t="str">
        <f>IF(tblSalaries[[#This Row],[Years of Experience]]="","",IF(AND(tblSalaries[[#This Row],[Years of Experience]]&gt;10,tblSalaries[[#This Row],[Years of Experience]]&lt;=15),1,""))</f>
        <v/>
      </c>
      <c r="R101" t="str">
        <f>IF(tblSalaries[[#This Row],[Years of Experience]]="","",IF(AND(tblSalaries[[#This Row],[Years of Experience]]&gt;16,tblSalaries[[#This Row],[Years of Experience]]&lt;=20),1,""))</f>
        <v/>
      </c>
      <c r="S101" t="str">
        <f>IF(tblSalaries[[#This Row],[Years of Experience]]="","",IF(tblSalaries[[#This Row],[Years of Experience]]&gt;20,1,""))</f>
        <v/>
      </c>
      <c r="T1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1" s="13" t="str">
        <f>IF(tblSalaries[[#This Row],[Job Type]]=tblSalaries[[#Headers],[Accountant]],tblSalaries[[#This Row],[Salary in USD]],"")</f>
        <v/>
      </c>
      <c r="V101" s="13">
        <f>IF(tblSalaries[[#This Row],[Job Type]]=tblSalaries[[#Headers],[Analyst]],tblSalaries[[#This Row],[Salary in USD]],"")</f>
        <v>40000</v>
      </c>
      <c r="W101" s="13" t="str">
        <f>IF(tblSalaries[[#This Row],[Job Type]]=tblSalaries[[#Headers],[Consultant]],tblSalaries[[#This Row],[Salary in USD]],"")</f>
        <v/>
      </c>
      <c r="X101" s="13" t="str">
        <f>IF(tblSalaries[[#This Row],[Job Type]]=tblSalaries[[#Headers],[Controller]],tblSalaries[[#This Row],[Salary in USD]],"")</f>
        <v/>
      </c>
      <c r="Y101" s="13" t="str">
        <f>IF(tblSalaries[[#This Row],[Job Type]]=tblSalaries[[#Headers],[CXO or Top Mgmt.]],tblSalaries[[#This Row],[clean Salary (in local currency)]],"")</f>
        <v/>
      </c>
      <c r="Z101" s="13" t="str">
        <f>IF(tblSalaries[[#This Row],[Job Type]]=tblSalaries[[#Headers],[Engineer]],tblSalaries[[#This Row],[Salary in USD]],"")</f>
        <v/>
      </c>
      <c r="AA101" s="13" t="str">
        <f>IF(tblSalaries[[#This Row],[Job Type]]=tblSalaries[[#Headers],[Manager]],tblSalaries[[#This Row],[Salary in USD]],"")</f>
        <v/>
      </c>
      <c r="AB101" s="13" t="str">
        <f>IF(tblSalaries[[#This Row],[Job Type]]=tblSalaries[[#Headers],[Misc.]],tblSalaries[[#This Row],[Salary in USD]],"")</f>
        <v/>
      </c>
      <c r="AC101" s="13" t="str">
        <f>IF(tblSalaries[[#This Row],[Job Type]]=tblSalaries[[#Headers],[Reporting]],tblSalaries[[#This Row],[Salary in USD]],"")</f>
        <v/>
      </c>
      <c r="AD101" s="13" t="str">
        <f>IF(tblSalaries[[#This Row],[Job Type]]=tblSalaries[[#Headers],[Specialist]],tblSalaries[[#This Row],[Salary in USD]],"")</f>
        <v/>
      </c>
    </row>
    <row r="102" spans="2:30" ht="15" customHeight="1" x14ac:dyDescent="0.25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 s="9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  <c r="N102" t="str">
        <f>IF(tblSalaries[[#This Row],[Years of Experience]]="","",IF(tblSalaries[[#This Row],[Years of Experience]]&lt;=2,1,""))</f>
        <v/>
      </c>
      <c r="O102" t="str">
        <f>IF(tblSalaries[[#This Row],[Years of Experience]]="","",IF(AND(tblSalaries[[#This Row],[Years of Experience]]&gt;2,tblSalaries[[#This Row],[Years of Experience]]&lt;=5),1,""))</f>
        <v/>
      </c>
      <c r="P102" t="str">
        <f>IF(tblSalaries[[#This Row],[Years of Experience]]="","",IF(AND(tblSalaries[[#This Row],[Years of Experience]]&gt;5,tblSalaries[[#This Row],[Years of Experience]]&lt;=10),1,""))</f>
        <v/>
      </c>
      <c r="Q102" t="str">
        <f>IF(tblSalaries[[#This Row],[Years of Experience]]="","",IF(AND(tblSalaries[[#This Row],[Years of Experience]]&gt;10,tblSalaries[[#This Row],[Years of Experience]]&lt;=15),1,""))</f>
        <v/>
      </c>
      <c r="R102" t="str">
        <f>IF(tblSalaries[[#This Row],[Years of Experience]]="","",IF(AND(tblSalaries[[#This Row],[Years of Experience]]&gt;16,tblSalaries[[#This Row],[Years of Experience]]&lt;=20),1,""))</f>
        <v/>
      </c>
      <c r="S102" t="str">
        <f>IF(tblSalaries[[#This Row],[Years of Experience]]="","",IF(tblSalaries[[#This Row],[Years of Experience]]&gt;20,1,""))</f>
        <v/>
      </c>
      <c r="T1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2" s="13" t="str">
        <f>IF(tblSalaries[[#This Row],[Job Type]]=tblSalaries[[#Headers],[Accountant]],tblSalaries[[#This Row],[Salary in USD]],"")</f>
        <v/>
      </c>
      <c r="V102" s="13" t="str">
        <f>IF(tblSalaries[[#This Row],[Job Type]]=tblSalaries[[#Headers],[Analyst]],tblSalaries[[#This Row],[Salary in USD]],"")</f>
        <v/>
      </c>
      <c r="W102" s="13" t="str">
        <f>IF(tblSalaries[[#This Row],[Job Type]]=tblSalaries[[#Headers],[Consultant]],tblSalaries[[#This Row],[Salary in USD]],"")</f>
        <v/>
      </c>
      <c r="X102" s="13" t="str">
        <f>IF(tblSalaries[[#This Row],[Job Type]]=tblSalaries[[#Headers],[Controller]],tblSalaries[[#This Row],[Salary in USD]],"")</f>
        <v/>
      </c>
      <c r="Y102" s="13" t="str">
        <f>IF(tblSalaries[[#This Row],[Job Type]]=tblSalaries[[#Headers],[CXO or Top Mgmt.]],tblSalaries[[#This Row],[clean Salary (in local currency)]],"")</f>
        <v/>
      </c>
      <c r="Z102" s="13" t="str">
        <f>IF(tblSalaries[[#This Row],[Job Type]]=tblSalaries[[#Headers],[Engineer]],tblSalaries[[#This Row],[Salary in USD]],"")</f>
        <v/>
      </c>
      <c r="AA102" s="13">
        <f>IF(tblSalaries[[#This Row],[Job Type]]=tblSalaries[[#Headers],[Manager]],tblSalaries[[#This Row],[Salary in USD]],"")</f>
        <v>57000</v>
      </c>
      <c r="AB102" s="13" t="str">
        <f>IF(tblSalaries[[#This Row],[Job Type]]=tblSalaries[[#Headers],[Misc.]],tblSalaries[[#This Row],[Salary in USD]],"")</f>
        <v/>
      </c>
      <c r="AC102" s="13" t="str">
        <f>IF(tblSalaries[[#This Row],[Job Type]]=tblSalaries[[#Headers],[Reporting]],tblSalaries[[#This Row],[Salary in USD]],"")</f>
        <v/>
      </c>
      <c r="AD102" s="13" t="str">
        <f>IF(tblSalaries[[#This Row],[Job Type]]=tblSalaries[[#Headers],[Specialist]],tblSalaries[[#This Row],[Salary in USD]],"")</f>
        <v/>
      </c>
    </row>
    <row r="103" spans="2:30" ht="15" customHeight="1" x14ac:dyDescent="0.25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 s="9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  <c r="N103" t="str">
        <f>IF(tblSalaries[[#This Row],[Years of Experience]]="","",IF(tblSalaries[[#This Row],[Years of Experience]]&lt;=2,1,""))</f>
        <v/>
      </c>
      <c r="O103" t="str">
        <f>IF(tblSalaries[[#This Row],[Years of Experience]]="","",IF(AND(tblSalaries[[#This Row],[Years of Experience]]&gt;2,tblSalaries[[#This Row],[Years of Experience]]&lt;=5),1,""))</f>
        <v/>
      </c>
      <c r="P103" t="str">
        <f>IF(tblSalaries[[#This Row],[Years of Experience]]="","",IF(AND(tblSalaries[[#This Row],[Years of Experience]]&gt;5,tblSalaries[[#This Row],[Years of Experience]]&lt;=10),1,""))</f>
        <v/>
      </c>
      <c r="Q103" t="str">
        <f>IF(tblSalaries[[#This Row],[Years of Experience]]="","",IF(AND(tblSalaries[[#This Row],[Years of Experience]]&gt;10,tblSalaries[[#This Row],[Years of Experience]]&lt;=15),1,""))</f>
        <v/>
      </c>
      <c r="R103" t="str">
        <f>IF(tblSalaries[[#This Row],[Years of Experience]]="","",IF(AND(tblSalaries[[#This Row],[Years of Experience]]&gt;16,tblSalaries[[#This Row],[Years of Experience]]&lt;=20),1,""))</f>
        <v/>
      </c>
      <c r="S103" t="str">
        <f>IF(tblSalaries[[#This Row],[Years of Experience]]="","",IF(tblSalaries[[#This Row],[Years of Experience]]&gt;20,1,""))</f>
        <v/>
      </c>
      <c r="T1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3" s="13" t="str">
        <f>IF(tblSalaries[[#This Row],[Job Type]]=tblSalaries[[#Headers],[Accountant]],tblSalaries[[#This Row],[Salary in USD]],"")</f>
        <v/>
      </c>
      <c r="V103" s="13" t="str">
        <f>IF(tblSalaries[[#This Row],[Job Type]]=tblSalaries[[#Headers],[Analyst]],tblSalaries[[#This Row],[Salary in USD]],"")</f>
        <v/>
      </c>
      <c r="W103" s="13">
        <f>IF(tblSalaries[[#This Row],[Job Type]]=tblSalaries[[#Headers],[Consultant]],tblSalaries[[#This Row],[Salary in USD]],"")</f>
        <v>74000</v>
      </c>
      <c r="X103" s="13" t="str">
        <f>IF(tblSalaries[[#This Row],[Job Type]]=tblSalaries[[#Headers],[Controller]],tblSalaries[[#This Row],[Salary in USD]],"")</f>
        <v/>
      </c>
      <c r="Y103" s="13" t="str">
        <f>IF(tblSalaries[[#This Row],[Job Type]]=tblSalaries[[#Headers],[CXO or Top Mgmt.]],tblSalaries[[#This Row],[clean Salary (in local currency)]],"")</f>
        <v/>
      </c>
      <c r="Z103" s="13" t="str">
        <f>IF(tblSalaries[[#This Row],[Job Type]]=tblSalaries[[#Headers],[Engineer]],tblSalaries[[#This Row],[Salary in USD]],"")</f>
        <v/>
      </c>
      <c r="AA103" s="13" t="str">
        <f>IF(tblSalaries[[#This Row],[Job Type]]=tblSalaries[[#Headers],[Manager]],tblSalaries[[#This Row],[Salary in USD]],"")</f>
        <v/>
      </c>
      <c r="AB103" s="13" t="str">
        <f>IF(tblSalaries[[#This Row],[Job Type]]=tblSalaries[[#Headers],[Misc.]],tblSalaries[[#This Row],[Salary in USD]],"")</f>
        <v/>
      </c>
      <c r="AC103" s="13" t="str">
        <f>IF(tblSalaries[[#This Row],[Job Type]]=tblSalaries[[#Headers],[Reporting]],tblSalaries[[#This Row],[Salary in USD]],"")</f>
        <v/>
      </c>
      <c r="AD103" s="13" t="str">
        <f>IF(tblSalaries[[#This Row],[Job Type]]=tblSalaries[[#Headers],[Specialist]],tblSalaries[[#This Row],[Salary in USD]],"")</f>
        <v/>
      </c>
    </row>
    <row r="104" spans="2:30" ht="15" customHeight="1" x14ac:dyDescent="0.25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 s="9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  <c r="N104" t="str">
        <f>IF(tblSalaries[[#This Row],[Years of Experience]]="","",IF(tblSalaries[[#This Row],[Years of Experience]]&lt;=2,1,""))</f>
        <v/>
      </c>
      <c r="O104" t="str">
        <f>IF(tblSalaries[[#This Row],[Years of Experience]]="","",IF(AND(tblSalaries[[#This Row],[Years of Experience]]&gt;2,tblSalaries[[#This Row],[Years of Experience]]&lt;=5),1,""))</f>
        <v/>
      </c>
      <c r="P104" t="str">
        <f>IF(tblSalaries[[#This Row],[Years of Experience]]="","",IF(AND(tblSalaries[[#This Row],[Years of Experience]]&gt;5,tblSalaries[[#This Row],[Years of Experience]]&lt;=10),1,""))</f>
        <v/>
      </c>
      <c r="Q104" t="str">
        <f>IF(tblSalaries[[#This Row],[Years of Experience]]="","",IF(AND(tblSalaries[[#This Row],[Years of Experience]]&gt;10,tblSalaries[[#This Row],[Years of Experience]]&lt;=15),1,""))</f>
        <v/>
      </c>
      <c r="R104" t="str">
        <f>IF(tblSalaries[[#This Row],[Years of Experience]]="","",IF(AND(tblSalaries[[#This Row],[Years of Experience]]&gt;16,tblSalaries[[#This Row],[Years of Experience]]&lt;=20),1,""))</f>
        <v/>
      </c>
      <c r="S104" t="str">
        <f>IF(tblSalaries[[#This Row],[Years of Experience]]="","",IF(tblSalaries[[#This Row],[Years of Experience]]&gt;20,1,""))</f>
        <v/>
      </c>
      <c r="T1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4" s="13" t="str">
        <f>IF(tblSalaries[[#This Row],[Job Type]]=tblSalaries[[#Headers],[Accountant]],tblSalaries[[#This Row],[Salary in USD]],"")</f>
        <v/>
      </c>
      <c r="V104" s="13">
        <f>IF(tblSalaries[[#This Row],[Job Type]]=tblSalaries[[#Headers],[Analyst]],tblSalaries[[#This Row],[Salary in USD]],"")</f>
        <v>80000</v>
      </c>
      <c r="W104" s="13" t="str">
        <f>IF(tblSalaries[[#This Row],[Job Type]]=tblSalaries[[#Headers],[Consultant]],tblSalaries[[#This Row],[Salary in USD]],"")</f>
        <v/>
      </c>
      <c r="X104" s="13" t="str">
        <f>IF(tblSalaries[[#This Row],[Job Type]]=tblSalaries[[#Headers],[Controller]],tblSalaries[[#This Row],[Salary in USD]],"")</f>
        <v/>
      </c>
      <c r="Y104" s="13" t="str">
        <f>IF(tblSalaries[[#This Row],[Job Type]]=tblSalaries[[#Headers],[CXO or Top Mgmt.]],tblSalaries[[#This Row],[clean Salary (in local currency)]],"")</f>
        <v/>
      </c>
      <c r="Z104" s="13" t="str">
        <f>IF(tblSalaries[[#This Row],[Job Type]]=tblSalaries[[#Headers],[Engineer]],tblSalaries[[#This Row],[Salary in USD]],"")</f>
        <v/>
      </c>
      <c r="AA104" s="13" t="str">
        <f>IF(tblSalaries[[#This Row],[Job Type]]=tblSalaries[[#Headers],[Manager]],tblSalaries[[#This Row],[Salary in USD]],"")</f>
        <v/>
      </c>
      <c r="AB104" s="13" t="str">
        <f>IF(tblSalaries[[#This Row],[Job Type]]=tblSalaries[[#Headers],[Misc.]],tblSalaries[[#This Row],[Salary in USD]],"")</f>
        <v/>
      </c>
      <c r="AC104" s="13" t="str">
        <f>IF(tblSalaries[[#This Row],[Job Type]]=tblSalaries[[#Headers],[Reporting]],tblSalaries[[#This Row],[Salary in USD]],"")</f>
        <v/>
      </c>
      <c r="AD104" s="13" t="str">
        <f>IF(tblSalaries[[#This Row],[Job Type]]=tblSalaries[[#Headers],[Specialist]],tblSalaries[[#This Row],[Salary in USD]],"")</f>
        <v/>
      </c>
    </row>
    <row r="105" spans="2:30" ht="15" customHeight="1" x14ac:dyDescent="0.25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 s="9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  <c r="N105" t="str">
        <f>IF(tblSalaries[[#This Row],[Years of Experience]]="","",IF(tblSalaries[[#This Row],[Years of Experience]]&lt;=2,1,""))</f>
        <v/>
      </c>
      <c r="O105" t="str">
        <f>IF(tblSalaries[[#This Row],[Years of Experience]]="","",IF(AND(tblSalaries[[#This Row],[Years of Experience]]&gt;2,tblSalaries[[#This Row],[Years of Experience]]&lt;=5),1,""))</f>
        <v/>
      </c>
      <c r="P105" t="str">
        <f>IF(tblSalaries[[#This Row],[Years of Experience]]="","",IF(AND(tblSalaries[[#This Row],[Years of Experience]]&gt;5,tblSalaries[[#This Row],[Years of Experience]]&lt;=10),1,""))</f>
        <v/>
      </c>
      <c r="Q105" t="str">
        <f>IF(tblSalaries[[#This Row],[Years of Experience]]="","",IF(AND(tblSalaries[[#This Row],[Years of Experience]]&gt;10,tblSalaries[[#This Row],[Years of Experience]]&lt;=15),1,""))</f>
        <v/>
      </c>
      <c r="R105" t="str">
        <f>IF(tblSalaries[[#This Row],[Years of Experience]]="","",IF(AND(tblSalaries[[#This Row],[Years of Experience]]&gt;16,tblSalaries[[#This Row],[Years of Experience]]&lt;=20),1,""))</f>
        <v/>
      </c>
      <c r="S105" t="str">
        <f>IF(tblSalaries[[#This Row],[Years of Experience]]="","",IF(tblSalaries[[#This Row],[Years of Experience]]&gt;20,1,""))</f>
        <v/>
      </c>
      <c r="T1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5" s="13" t="str">
        <f>IF(tblSalaries[[#This Row],[Job Type]]=tblSalaries[[#Headers],[Accountant]],tblSalaries[[#This Row],[Salary in USD]],"")</f>
        <v/>
      </c>
      <c r="V105" s="13" t="str">
        <f>IF(tblSalaries[[#This Row],[Job Type]]=tblSalaries[[#Headers],[Analyst]],tblSalaries[[#This Row],[Salary in USD]],"")</f>
        <v/>
      </c>
      <c r="W105" s="13" t="str">
        <f>IF(tblSalaries[[#This Row],[Job Type]]=tblSalaries[[#Headers],[Consultant]],tblSalaries[[#This Row],[Salary in USD]],"")</f>
        <v/>
      </c>
      <c r="X105" s="13" t="str">
        <f>IF(tblSalaries[[#This Row],[Job Type]]=tblSalaries[[#Headers],[Controller]],tblSalaries[[#This Row],[Salary in USD]],"")</f>
        <v/>
      </c>
      <c r="Y105" s="13" t="str">
        <f>IF(tblSalaries[[#This Row],[Job Type]]=tblSalaries[[#Headers],[CXO or Top Mgmt.]],tblSalaries[[#This Row],[clean Salary (in local currency)]],"")</f>
        <v/>
      </c>
      <c r="Z105" s="13" t="str">
        <f>IF(tblSalaries[[#This Row],[Job Type]]=tblSalaries[[#Headers],[Engineer]],tblSalaries[[#This Row],[Salary in USD]],"")</f>
        <v/>
      </c>
      <c r="AA105" s="13" t="str">
        <f>IF(tblSalaries[[#This Row],[Job Type]]=tblSalaries[[#Headers],[Manager]],tblSalaries[[#This Row],[Salary in USD]],"")</f>
        <v/>
      </c>
      <c r="AB105" s="13" t="str">
        <f>IF(tblSalaries[[#This Row],[Job Type]]=tblSalaries[[#Headers],[Misc.]],tblSalaries[[#This Row],[Salary in USD]],"")</f>
        <v/>
      </c>
      <c r="AC105" s="13" t="str">
        <f>IF(tblSalaries[[#This Row],[Job Type]]=tblSalaries[[#Headers],[Reporting]],tblSalaries[[#This Row],[Salary in USD]],"")</f>
        <v/>
      </c>
      <c r="AD105" s="13">
        <f>IF(tblSalaries[[#This Row],[Job Type]]=tblSalaries[[#Headers],[Specialist]],tblSalaries[[#This Row],[Salary in USD]],"")</f>
        <v>90000</v>
      </c>
    </row>
    <row r="106" spans="2:30" ht="15" customHeight="1" x14ac:dyDescent="0.25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 s="9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  <c r="N106" t="str">
        <f>IF(tblSalaries[[#This Row],[Years of Experience]]="","",IF(tblSalaries[[#This Row],[Years of Experience]]&lt;=2,1,""))</f>
        <v/>
      </c>
      <c r="O106" t="str">
        <f>IF(tblSalaries[[#This Row],[Years of Experience]]="","",IF(AND(tblSalaries[[#This Row],[Years of Experience]]&gt;2,tblSalaries[[#This Row],[Years of Experience]]&lt;=5),1,""))</f>
        <v/>
      </c>
      <c r="P106" t="str">
        <f>IF(tblSalaries[[#This Row],[Years of Experience]]="","",IF(AND(tblSalaries[[#This Row],[Years of Experience]]&gt;5,tblSalaries[[#This Row],[Years of Experience]]&lt;=10),1,""))</f>
        <v/>
      </c>
      <c r="Q106" t="str">
        <f>IF(tblSalaries[[#This Row],[Years of Experience]]="","",IF(AND(tblSalaries[[#This Row],[Years of Experience]]&gt;10,tblSalaries[[#This Row],[Years of Experience]]&lt;=15),1,""))</f>
        <v/>
      </c>
      <c r="R106" t="str">
        <f>IF(tblSalaries[[#This Row],[Years of Experience]]="","",IF(AND(tblSalaries[[#This Row],[Years of Experience]]&gt;16,tblSalaries[[#This Row],[Years of Experience]]&lt;=20),1,""))</f>
        <v/>
      </c>
      <c r="S106" t="str">
        <f>IF(tblSalaries[[#This Row],[Years of Experience]]="","",IF(tblSalaries[[#This Row],[Years of Experience]]&gt;20,1,""))</f>
        <v/>
      </c>
      <c r="T1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6" s="13" t="str">
        <f>IF(tblSalaries[[#This Row],[Job Type]]=tblSalaries[[#Headers],[Accountant]],tblSalaries[[#This Row],[Salary in USD]],"")</f>
        <v/>
      </c>
      <c r="V106" s="13">
        <f>IF(tblSalaries[[#This Row],[Job Type]]=tblSalaries[[#Headers],[Analyst]],tblSalaries[[#This Row],[Salary in USD]],"")</f>
        <v>21000</v>
      </c>
      <c r="W106" s="13" t="str">
        <f>IF(tblSalaries[[#This Row],[Job Type]]=tblSalaries[[#Headers],[Consultant]],tblSalaries[[#This Row],[Salary in USD]],"")</f>
        <v/>
      </c>
      <c r="X106" s="13" t="str">
        <f>IF(tblSalaries[[#This Row],[Job Type]]=tblSalaries[[#Headers],[Controller]],tblSalaries[[#This Row],[Salary in USD]],"")</f>
        <v/>
      </c>
      <c r="Y106" s="13" t="str">
        <f>IF(tblSalaries[[#This Row],[Job Type]]=tblSalaries[[#Headers],[CXO or Top Mgmt.]],tblSalaries[[#This Row],[clean Salary (in local currency)]],"")</f>
        <v/>
      </c>
      <c r="Z106" s="13" t="str">
        <f>IF(tblSalaries[[#This Row],[Job Type]]=tblSalaries[[#Headers],[Engineer]],tblSalaries[[#This Row],[Salary in USD]],"")</f>
        <v/>
      </c>
      <c r="AA106" s="13" t="str">
        <f>IF(tblSalaries[[#This Row],[Job Type]]=tblSalaries[[#Headers],[Manager]],tblSalaries[[#This Row],[Salary in USD]],"")</f>
        <v/>
      </c>
      <c r="AB106" s="13" t="str">
        <f>IF(tblSalaries[[#This Row],[Job Type]]=tblSalaries[[#Headers],[Misc.]],tblSalaries[[#This Row],[Salary in USD]],"")</f>
        <v/>
      </c>
      <c r="AC106" s="13" t="str">
        <f>IF(tblSalaries[[#This Row],[Job Type]]=tblSalaries[[#Headers],[Reporting]],tblSalaries[[#This Row],[Salary in USD]],"")</f>
        <v/>
      </c>
      <c r="AD106" s="13" t="str">
        <f>IF(tblSalaries[[#This Row],[Job Type]]=tblSalaries[[#Headers],[Specialist]],tblSalaries[[#This Row],[Salary in USD]],"")</f>
        <v/>
      </c>
    </row>
    <row r="107" spans="2:30" ht="15" customHeight="1" x14ac:dyDescent="0.25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 s="9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  <c r="N107" t="str">
        <f>IF(tblSalaries[[#This Row],[Years of Experience]]="","",IF(tblSalaries[[#This Row],[Years of Experience]]&lt;=2,1,""))</f>
        <v/>
      </c>
      <c r="O107" t="str">
        <f>IF(tblSalaries[[#This Row],[Years of Experience]]="","",IF(AND(tblSalaries[[#This Row],[Years of Experience]]&gt;2,tblSalaries[[#This Row],[Years of Experience]]&lt;=5),1,""))</f>
        <v/>
      </c>
      <c r="P107" t="str">
        <f>IF(tblSalaries[[#This Row],[Years of Experience]]="","",IF(AND(tblSalaries[[#This Row],[Years of Experience]]&gt;5,tblSalaries[[#This Row],[Years of Experience]]&lt;=10),1,""))</f>
        <v/>
      </c>
      <c r="Q107" t="str">
        <f>IF(tblSalaries[[#This Row],[Years of Experience]]="","",IF(AND(tblSalaries[[#This Row],[Years of Experience]]&gt;10,tblSalaries[[#This Row],[Years of Experience]]&lt;=15),1,""))</f>
        <v/>
      </c>
      <c r="R107" t="str">
        <f>IF(tblSalaries[[#This Row],[Years of Experience]]="","",IF(AND(tblSalaries[[#This Row],[Years of Experience]]&gt;16,tblSalaries[[#This Row],[Years of Experience]]&lt;=20),1,""))</f>
        <v/>
      </c>
      <c r="S107" t="str">
        <f>IF(tblSalaries[[#This Row],[Years of Experience]]="","",IF(tblSalaries[[#This Row],[Years of Experience]]&gt;20,1,""))</f>
        <v/>
      </c>
      <c r="T1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7" s="13" t="str">
        <f>IF(tblSalaries[[#This Row],[Job Type]]=tblSalaries[[#Headers],[Accountant]],tblSalaries[[#This Row],[Salary in USD]],"")</f>
        <v/>
      </c>
      <c r="V107" s="13" t="str">
        <f>IF(tblSalaries[[#This Row],[Job Type]]=tblSalaries[[#Headers],[Analyst]],tblSalaries[[#This Row],[Salary in USD]],"")</f>
        <v/>
      </c>
      <c r="W107" s="13" t="str">
        <f>IF(tblSalaries[[#This Row],[Job Type]]=tblSalaries[[#Headers],[Consultant]],tblSalaries[[#This Row],[Salary in USD]],"")</f>
        <v/>
      </c>
      <c r="X107" s="13" t="str">
        <f>IF(tblSalaries[[#This Row],[Job Type]]=tblSalaries[[#Headers],[Controller]],tblSalaries[[#This Row],[Salary in USD]],"")</f>
        <v/>
      </c>
      <c r="Y107" s="13" t="str">
        <f>IF(tblSalaries[[#This Row],[Job Type]]=tblSalaries[[#Headers],[CXO or Top Mgmt.]],tblSalaries[[#This Row],[clean Salary (in local currency)]],"")</f>
        <v/>
      </c>
      <c r="Z107" s="13" t="str">
        <f>IF(tblSalaries[[#This Row],[Job Type]]=tblSalaries[[#Headers],[Engineer]],tblSalaries[[#This Row],[Salary in USD]],"")</f>
        <v/>
      </c>
      <c r="AA107" s="13">
        <f>IF(tblSalaries[[#This Row],[Job Type]]=tblSalaries[[#Headers],[Manager]],tblSalaries[[#This Row],[Salary in USD]],"")</f>
        <v>52000</v>
      </c>
      <c r="AB107" s="13" t="str">
        <f>IF(tblSalaries[[#This Row],[Job Type]]=tblSalaries[[#Headers],[Misc.]],tblSalaries[[#This Row],[Salary in USD]],"")</f>
        <v/>
      </c>
      <c r="AC107" s="13" t="str">
        <f>IF(tblSalaries[[#This Row],[Job Type]]=tblSalaries[[#Headers],[Reporting]],tblSalaries[[#This Row],[Salary in USD]],"")</f>
        <v/>
      </c>
      <c r="AD107" s="13" t="str">
        <f>IF(tblSalaries[[#This Row],[Job Type]]=tblSalaries[[#Headers],[Specialist]],tblSalaries[[#This Row],[Salary in USD]],"")</f>
        <v/>
      </c>
    </row>
    <row r="108" spans="2:30" ht="15" customHeight="1" x14ac:dyDescent="0.25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 s="9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  <c r="N108" t="str">
        <f>IF(tblSalaries[[#This Row],[Years of Experience]]="","",IF(tblSalaries[[#This Row],[Years of Experience]]&lt;=2,1,""))</f>
        <v/>
      </c>
      <c r="O108" t="str">
        <f>IF(tblSalaries[[#This Row],[Years of Experience]]="","",IF(AND(tblSalaries[[#This Row],[Years of Experience]]&gt;2,tblSalaries[[#This Row],[Years of Experience]]&lt;=5),1,""))</f>
        <v/>
      </c>
      <c r="P108" t="str">
        <f>IF(tblSalaries[[#This Row],[Years of Experience]]="","",IF(AND(tblSalaries[[#This Row],[Years of Experience]]&gt;5,tblSalaries[[#This Row],[Years of Experience]]&lt;=10),1,""))</f>
        <v/>
      </c>
      <c r="Q108" t="str">
        <f>IF(tblSalaries[[#This Row],[Years of Experience]]="","",IF(AND(tblSalaries[[#This Row],[Years of Experience]]&gt;10,tblSalaries[[#This Row],[Years of Experience]]&lt;=15),1,""))</f>
        <v/>
      </c>
      <c r="R108" t="str">
        <f>IF(tblSalaries[[#This Row],[Years of Experience]]="","",IF(AND(tblSalaries[[#This Row],[Years of Experience]]&gt;16,tblSalaries[[#This Row],[Years of Experience]]&lt;=20),1,""))</f>
        <v/>
      </c>
      <c r="S108" t="str">
        <f>IF(tblSalaries[[#This Row],[Years of Experience]]="","",IF(tblSalaries[[#This Row],[Years of Experience]]&gt;20,1,""))</f>
        <v/>
      </c>
      <c r="T1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8" s="13" t="str">
        <f>IF(tblSalaries[[#This Row],[Job Type]]=tblSalaries[[#Headers],[Accountant]],tblSalaries[[#This Row],[Salary in USD]],"")</f>
        <v/>
      </c>
      <c r="V108" s="13">
        <f>IF(tblSalaries[[#This Row],[Job Type]]=tblSalaries[[#Headers],[Analyst]],tblSalaries[[#This Row],[Salary in USD]],"")</f>
        <v>19200</v>
      </c>
      <c r="W108" s="13" t="str">
        <f>IF(tblSalaries[[#This Row],[Job Type]]=tblSalaries[[#Headers],[Consultant]],tblSalaries[[#This Row],[Salary in USD]],"")</f>
        <v/>
      </c>
      <c r="X108" s="13" t="str">
        <f>IF(tblSalaries[[#This Row],[Job Type]]=tblSalaries[[#Headers],[Controller]],tblSalaries[[#This Row],[Salary in USD]],"")</f>
        <v/>
      </c>
      <c r="Y108" s="13" t="str">
        <f>IF(tblSalaries[[#This Row],[Job Type]]=tblSalaries[[#Headers],[CXO or Top Mgmt.]],tblSalaries[[#This Row],[clean Salary (in local currency)]],"")</f>
        <v/>
      </c>
      <c r="Z108" s="13" t="str">
        <f>IF(tblSalaries[[#This Row],[Job Type]]=tblSalaries[[#Headers],[Engineer]],tblSalaries[[#This Row],[Salary in USD]],"")</f>
        <v/>
      </c>
      <c r="AA108" s="13" t="str">
        <f>IF(tblSalaries[[#This Row],[Job Type]]=tblSalaries[[#Headers],[Manager]],tblSalaries[[#This Row],[Salary in USD]],"")</f>
        <v/>
      </c>
      <c r="AB108" s="13" t="str">
        <f>IF(tblSalaries[[#This Row],[Job Type]]=tblSalaries[[#Headers],[Misc.]],tblSalaries[[#This Row],[Salary in USD]],"")</f>
        <v/>
      </c>
      <c r="AC108" s="13" t="str">
        <f>IF(tblSalaries[[#This Row],[Job Type]]=tblSalaries[[#Headers],[Reporting]],tblSalaries[[#This Row],[Salary in USD]],"")</f>
        <v/>
      </c>
      <c r="AD108" s="13" t="str">
        <f>IF(tblSalaries[[#This Row],[Job Type]]=tblSalaries[[#Headers],[Specialist]],tblSalaries[[#This Row],[Salary in USD]],"")</f>
        <v/>
      </c>
    </row>
    <row r="109" spans="2:30" ht="15" customHeight="1" x14ac:dyDescent="0.25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 s="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  <c r="N109" t="str">
        <f>IF(tblSalaries[[#This Row],[Years of Experience]]="","",IF(tblSalaries[[#This Row],[Years of Experience]]&lt;=2,1,""))</f>
        <v/>
      </c>
      <c r="O109" t="str">
        <f>IF(tblSalaries[[#This Row],[Years of Experience]]="","",IF(AND(tblSalaries[[#This Row],[Years of Experience]]&gt;2,tblSalaries[[#This Row],[Years of Experience]]&lt;=5),1,""))</f>
        <v/>
      </c>
      <c r="P109" t="str">
        <f>IF(tblSalaries[[#This Row],[Years of Experience]]="","",IF(AND(tblSalaries[[#This Row],[Years of Experience]]&gt;5,tblSalaries[[#This Row],[Years of Experience]]&lt;=10),1,""))</f>
        <v/>
      </c>
      <c r="Q109" t="str">
        <f>IF(tblSalaries[[#This Row],[Years of Experience]]="","",IF(AND(tblSalaries[[#This Row],[Years of Experience]]&gt;10,tblSalaries[[#This Row],[Years of Experience]]&lt;=15),1,""))</f>
        <v/>
      </c>
      <c r="R109" t="str">
        <f>IF(tblSalaries[[#This Row],[Years of Experience]]="","",IF(AND(tblSalaries[[#This Row],[Years of Experience]]&gt;16,tblSalaries[[#This Row],[Years of Experience]]&lt;=20),1,""))</f>
        <v/>
      </c>
      <c r="S109" t="str">
        <f>IF(tblSalaries[[#This Row],[Years of Experience]]="","",IF(tblSalaries[[#This Row],[Years of Experience]]&gt;20,1,""))</f>
        <v/>
      </c>
      <c r="T1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9" s="13" t="str">
        <f>IF(tblSalaries[[#This Row],[Job Type]]=tblSalaries[[#Headers],[Accountant]],tblSalaries[[#This Row],[Salary in USD]],"")</f>
        <v/>
      </c>
      <c r="V109" s="13">
        <f>IF(tblSalaries[[#This Row],[Job Type]]=tblSalaries[[#Headers],[Analyst]],tblSalaries[[#This Row],[Salary in USD]],"")</f>
        <v>36000</v>
      </c>
      <c r="W109" s="13" t="str">
        <f>IF(tblSalaries[[#This Row],[Job Type]]=tblSalaries[[#Headers],[Consultant]],tblSalaries[[#This Row],[Salary in USD]],"")</f>
        <v/>
      </c>
      <c r="X109" s="13" t="str">
        <f>IF(tblSalaries[[#This Row],[Job Type]]=tblSalaries[[#Headers],[Controller]],tblSalaries[[#This Row],[Salary in USD]],"")</f>
        <v/>
      </c>
      <c r="Y109" s="13" t="str">
        <f>IF(tblSalaries[[#This Row],[Job Type]]=tblSalaries[[#Headers],[CXO or Top Mgmt.]],tblSalaries[[#This Row],[clean Salary (in local currency)]],"")</f>
        <v/>
      </c>
      <c r="Z109" s="13" t="str">
        <f>IF(tblSalaries[[#This Row],[Job Type]]=tblSalaries[[#Headers],[Engineer]],tblSalaries[[#This Row],[Salary in USD]],"")</f>
        <v/>
      </c>
      <c r="AA109" s="13" t="str">
        <f>IF(tblSalaries[[#This Row],[Job Type]]=tblSalaries[[#Headers],[Manager]],tblSalaries[[#This Row],[Salary in USD]],"")</f>
        <v/>
      </c>
      <c r="AB109" s="13" t="str">
        <f>IF(tblSalaries[[#This Row],[Job Type]]=tblSalaries[[#Headers],[Misc.]],tblSalaries[[#This Row],[Salary in USD]],"")</f>
        <v/>
      </c>
      <c r="AC109" s="13" t="str">
        <f>IF(tblSalaries[[#This Row],[Job Type]]=tblSalaries[[#Headers],[Reporting]],tblSalaries[[#This Row],[Salary in USD]],"")</f>
        <v/>
      </c>
      <c r="AD109" s="13" t="str">
        <f>IF(tblSalaries[[#This Row],[Job Type]]=tblSalaries[[#Headers],[Specialist]],tblSalaries[[#This Row],[Salary in USD]],"")</f>
        <v/>
      </c>
    </row>
    <row r="110" spans="2:30" ht="15" customHeight="1" x14ac:dyDescent="0.25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 s="9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  <c r="N110" t="str">
        <f>IF(tblSalaries[[#This Row],[Years of Experience]]="","",IF(tblSalaries[[#This Row],[Years of Experience]]&lt;=2,1,""))</f>
        <v/>
      </c>
      <c r="O110" t="str">
        <f>IF(tblSalaries[[#This Row],[Years of Experience]]="","",IF(AND(tblSalaries[[#This Row],[Years of Experience]]&gt;2,tblSalaries[[#This Row],[Years of Experience]]&lt;=5),1,""))</f>
        <v/>
      </c>
      <c r="P110" t="str">
        <f>IF(tblSalaries[[#This Row],[Years of Experience]]="","",IF(AND(tblSalaries[[#This Row],[Years of Experience]]&gt;5,tblSalaries[[#This Row],[Years of Experience]]&lt;=10),1,""))</f>
        <v/>
      </c>
      <c r="Q110" t="str">
        <f>IF(tblSalaries[[#This Row],[Years of Experience]]="","",IF(AND(tblSalaries[[#This Row],[Years of Experience]]&gt;10,tblSalaries[[#This Row],[Years of Experience]]&lt;=15),1,""))</f>
        <v/>
      </c>
      <c r="R110" t="str">
        <f>IF(tblSalaries[[#This Row],[Years of Experience]]="","",IF(AND(tblSalaries[[#This Row],[Years of Experience]]&gt;16,tblSalaries[[#This Row],[Years of Experience]]&lt;=20),1,""))</f>
        <v/>
      </c>
      <c r="S110" t="str">
        <f>IF(tblSalaries[[#This Row],[Years of Experience]]="","",IF(tblSalaries[[#This Row],[Years of Experience]]&gt;20,1,""))</f>
        <v/>
      </c>
      <c r="T1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0" s="13" t="str">
        <f>IF(tblSalaries[[#This Row],[Job Type]]=tblSalaries[[#Headers],[Accountant]],tblSalaries[[#This Row],[Salary in USD]],"")</f>
        <v/>
      </c>
      <c r="V110" s="13">
        <f>IF(tblSalaries[[#This Row],[Job Type]]=tblSalaries[[#Headers],[Analyst]],tblSalaries[[#This Row],[Salary in USD]],"")</f>
        <v>57400</v>
      </c>
      <c r="W110" s="13" t="str">
        <f>IF(tblSalaries[[#This Row],[Job Type]]=tblSalaries[[#Headers],[Consultant]],tblSalaries[[#This Row],[Salary in USD]],"")</f>
        <v/>
      </c>
      <c r="X110" s="13" t="str">
        <f>IF(tblSalaries[[#This Row],[Job Type]]=tblSalaries[[#Headers],[Controller]],tblSalaries[[#This Row],[Salary in USD]],"")</f>
        <v/>
      </c>
      <c r="Y110" s="13" t="str">
        <f>IF(tblSalaries[[#This Row],[Job Type]]=tblSalaries[[#Headers],[CXO or Top Mgmt.]],tblSalaries[[#This Row],[clean Salary (in local currency)]],"")</f>
        <v/>
      </c>
      <c r="Z110" s="13" t="str">
        <f>IF(tblSalaries[[#This Row],[Job Type]]=tblSalaries[[#Headers],[Engineer]],tblSalaries[[#This Row],[Salary in USD]],"")</f>
        <v/>
      </c>
      <c r="AA110" s="13" t="str">
        <f>IF(tblSalaries[[#This Row],[Job Type]]=tblSalaries[[#Headers],[Manager]],tblSalaries[[#This Row],[Salary in USD]],"")</f>
        <v/>
      </c>
      <c r="AB110" s="13" t="str">
        <f>IF(tblSalaries[[#This Row],[Job Type]]=tblSalaries[[#Headers],[Misc.]],tblSalaries[[#This Row],[Salary in USD]],"")</f>
        <v/>
      </c>
      <c r="AC110" s="13" t="str">
        <f>IF(tblSalaries[[#This Row],[Job Type]]=tblSalaries[[#Headers],[Reporting]],tblSalaries[[#This Row],[Salary in USD]],"")</f>
        <v/>
      </c>
      <c r="AD110" s="13" t="str">
        <f>IF(tblSalaries[[#This Row],[Job Type]]=tblSalaries[[#Headers],[Specialist]],tblSalaries[[#This Row],[Salary in USD]],"")</f>
        <v/>
      </c>
    </row>
    <row r="111" spans="2:30" ht="15" customHeight="1" x14ac:dyDescent="0.25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 s="9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  <c r="N111" t="str">
        <f>IF(tblSalaries[[#This Row],[Years of Experience]]="","",IF(tblSalaries[[#This Row],[Years of Experience]]&lt;=2,1,""))</f>
        <v/>
      </c>
      <c r="O111" t="str">
        <f>IF(tblSalaries[[#This Row],[Years of Experience]]="","",IF(AND(tblSalaries[[#This Row],[Years of Experience]]&gt;2,tblSalaries[[#This Row],[Years of Experience]]&lt;=5),1,""))</f>
        <v/>
      </c>
      <c r="P111" t="str">
        <f>IF(tblSalaries[[#This Row],[Years of Experience]]="","",IF(AND(tblSalaries[[#This Row],[Years of Experience]]&gt;5,tblSalaries[[#This Row],[Years of Experience]]&lt;=10),1,""))</f>
        <v/>
      </c>
      <c r="Q111" t="str">
        <f>IF(tblSalaries[[#This Row],[Years of Experience]]="","",IF(AND(tblSalaries[[#This Row],[Years of Experience]]&gt;10,tblSalaries[[#This Row],[Years of Experience]]&lt;=15),1,""))</f>
        <v/>
      </c>
      <c r="R111" t="str">
        <f>IF(tblSalaries[[#This Row],[Years of Experience]]="","",IF(AND(tblSalaries[[#This Row],[Years of Experience]]&gt;16,tblSalaries[[#This Row],[Years of Experience]]&lt;=20),1,""))</f>
        <v/>
      </c>
      <c r="S111" t="str">
        <f>IF(tblSalaries[[#This Row],[Years of Experience]]="","",IF(tblSalaries[[#This Row],[Years of Experience]]&gt;20,1,""))</f>
        <v/>
      </c>
      <c r="T1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1" s="13" t="str">
        <f>IF(tblSalaries[[#This Row],[Job Type]]=tblSalaries[[#Headers],[Accountant]],tblSalaries[[#This Row],[Salary in USD]],"")</f>
        <v/>
      </c>
      <c r="V111" s="13">
        <f>IF(tblSalaries[[#This Row],[Job Type]]=tblSalaries[[#Headers],[Analyst]],tblSalaries[[#This Row],[Salary in USD]],"")</f>
        <v>66000</v>
      </c>
      <c r="W111" s="13" t="str">
        <f>IF(tblSalaries[[#This Row],[Job Type]]=tblSalaries[[#Headers],[Consultant]],tblSalaries[[#This Row],[Salary in USD]],"")</f>
        <v/>
      </c>
      <c r="X111" s="13" t="str">
        <f>IF(tblSalaries[[#This Row],[Job Type]]=tblSalaries[[#Headers],[Controller]],tblSalaries[[#This Row],[Salary in USD]],"")</f>
        <v/>
      </c>
      <c r="Y111" s="13" t="str">
        <f>IF(tblSalaries[[#This Row],[Job Type]]=tblSalaries[[#Headers],[CXO or Top Mgmt.]],tblSalaries[[#This Row],[clean Salary (in local currency)]],"")</f>
        <v/>
      </c>
      <c r="Z111" s="13" t="str">
        <f>IF(tblSalaries[[#This Row],[Job Type]]=tblSalaries[[#Headers],[Engineer]],tblSalaries[[#This Row],[Salary in USD]],"")</f>
        <v/>
      </c>
      <c r="AA111" s="13" t="str">
        <f>IF(tblSalaries[[#This Row],[Job Type]]=tblSalaries[[#Headers],[Manager]],tblSalaries[[#This Row],[Salary in USD]],"")</f>
        <v/>
      </c>
      <c r="AB111" s="13" t="str">
        <f>IF(tblSalaries[[#This Row],[Job Type]]=tblSalaries[[#Headers],[Misc.]],tblSalaries[[#This Row],[Salary in USD]],"")</f>
        <v/>
      </c>
      <c r="AC111" s="13" t="str">
        <f>IF(tblSalaries[[#This Row],[Job Type]]=tblSalaries[[#Headers],[Reporting]],tblSalaries[[#This Row],[Salary in USD]],"")</f>
        <v/>
      </c>
      <c r="AD111" s="13" t="str">
        <f>IF(tblSalaries[[#This Row],[Job Type]]=tblSalaries[[#Headers],[Specialist]],tblSalaries[[#This Row],[Salary in USD]],"")</f>
        <v/>
      </c>
    </row>
    <row r="112" spans="2:30" ht="15" customHeight="1" x14ac:dyDescent="0.25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 s="9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  <c r="N112" t="str">
        <f>IF(tblSalaries[[#This Row],[Years of Experience]]="","",IF(tblSalaries[[#This Row],[Years of Experience]]&lt;=2,1,""))</f>
        <v/>
      </c>
      <c r="O112" t="str">
        <f>IF(tblSalaries[[#This Row],[Years of Experience]]="","",IF(AND(tblSalaries[[#This Row],[Years of Experience]]&gt;2,tblSalaries[[#This Row],[Years of Experience]]&lt;=5),1,""))</f>
        <v/>
      </c>
      <c r="P112" t="str">
        <f>IF(tblSalaries[[#This Row],[Years of Experience]]="","",IF(AND(tblSalaries[[#This Row],[Years of Experience]]&gt;5,tblSalaries[[#This Row],[Years of Experience]]&lt;=10),1,""))</f>
        <v/>
      </c>
      <c r="Q112" t="str">
        <f>IF(tblSalaries[[#This Row],[Years of Experience]]="","",IF(AND(tblSalaries[[#This Row],[Years of Experience]]&gt;10,tblSalaries[[#This Row],[Years of Experience]]&lt;=15),1,""))</f>
        <v/>
      </c>
      <c r="R112" t="str">
        <f>IF(tblSalaries[[#This Row],[Years of Experience]]="","",IF(AND(tblSalaries[[#This Row],[Years of Experience]]&gt;16,tblSalaries[[#This Row],[Years of Experience]]&lt;=20),1,""))</f>
        <v/>
      </c>
      <c r="S112" t="str">
        <f>IF(tblSalaries[[#This Row],[Years of Experience]]="","",IF(tblSalaries[[#This Row],[Years of Experience]]&gt;20,1,""))</f>
        <v/>
      </c>
      <c r="T1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2" s="13" t="str">
        <f>IF(tblSalaries[[#This Row],[Job Type]]=tblSalaries[[#Headers],[Accountant]],tblSalaries[[#This Row],[Salary in USD]],"")</f>
        <v/>
      </c>
      <c r="V112" s="13" t="str">
        <f>IF(tblSalaries[[#This Row],[Job Type]]=tblSalaries[[#Headers],[Analyst]],tblSalaries[[#This Row],[Salary in USD]],"")</f>
        <v/>
      </c>
      <c r="W112" s="13" t="str">
        <f>IF(tblSalaries[[#This Row],[Job Type]]=tblSalaries[[#Headers],[Consultant]],tblSalaries[[#This Row],[Salary in USD]],"")</f>
        <v/>
      </c>
      <c r="X112" s="13" t="str">
        <f>IF(tblSalaries[[#This Row],[Job Type]]=tblSalaries[[#Headers],[Controller]],tblSalaries[[#This Row],[Salary in USD]],"")</f>
        <v/>
      </c>
      <c r="Y112" s="13" t="str">
        <f>IF(tblSalaries[[#This Row],[Job Type]]=tblSalaries[[#Headers],[CXO or Top Mgmt.]],tblSalaries[[#This Row],[clean Salary (in local currency)]],"")</f>
        <v/>
      </c>
      <c r="Z112" s="13" t="str">
        <f>IF(tblSalaries[[#This Row],[Job Type]]=tblSalaries[[#Headers],[Engineer]],tblSalaries[[#This Row],[Salary in USD]],"")</f>
        <v/>
      </c>
      <c r="AA112" s="13">
        <f>IF(tblSalaries[[#This Row],[Job Type]]=tblSalaries[[#Headers],[Manager]],tblSalaries[[#This Row],[Salary in USD]],"")</f>
        <v>44463.980364706273</v>
      </c>
      <c r="AB112" s="13" t="str">
        <f>IF(tblSalaries[[#This Row],[Job Type]]=tblSalaries[[#Headers],[Misc.]],tblSalaries[[#This Row],[Salary in USD]],"")</f>
        <v/>
      </c>
      <c r="AC112" s="13" t="str">
        <f>IF(tblSalaries[[#This Row],[Job Type]]=tblSalaries[[#Headers],[Reporting]],tblSalaries[[#This Row],[Salary in USD]],"")</f>
        <v/>
      </c>
      <c r="AD112" s="13" t="str">
        <f>IF(tblSalaries[[#This Row],[Job Type]]=tblSalaries[[#Headers],[Specialist]],tblSalaries[[#This Row],[Salary in USD]],"")</f>
        <v/>
      </c>
    </row>
    <row r="113" spans="2:30" ht="15" customHeight="1" x14ac:dyDescent="0.25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 s="9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  <c r="N113" t="str">
        <f>IF(tblSalaries[[#This Row],[Years of Experience]]="","",IF(tblSalaries[[#This Row],[Years of Experience]]&lt;=2,1,""))</f>
        <v/>
      </c>
      <c r="O113" t="str">
        <f>IF(tblSalaries[[#This Row],[Years of Experience]]="","",IF(AND(tblSalaries[[#This Row],[Years of Experience]]&gt;2,tblSalaries[[#This Row],[Years of Experience]]&lt;=5),1,""))</f>
        <v/>
      </c>
      <c r="P113" t="str">
        <f>IF(tblSalaries[[#This Row],[Years of Experience]]="","",IF(AND(tblSalaries[[#This Row],[Years of Experience]]&gt;5,tblSalaries[[#This Row],[Years of Experience]]&lt;=10),1,""))</f>
        <v/>
      </c>
      <c r="Q113" t="str">
        <f>IF(tblSalaries[[#This Row],[Years of Experience]]="","",IF(AND(tblSalaries[[#This Row],[Years of Experience]]&gt;10,tblSalaries[[#This Row],[Years of Experience]]&lt;=15),1,""))</f>
        <v/>
      </c>
      <c r="R113" t="str">
        <f>IF(tblSalaries[[#This Row],[Years of Experience]]="","",IF(AND(tblSalaries[[#This Row],[Years of Experience]]&gt;16,tblSalaries[[#This Row],[Years of Experience]]&lt;=20),1,""))</f>
        <v/>
      </c>
      <c r="S113" t="str">
        <f>IF(tblSalaries[[#This Row],[Years of Experience]]="","",IF(tblSalaries[[#This Row],[Years of Experience]]&gt;20,1,""))</f>
        <v/>
      </c>
      <c r="T1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3" s="13" t="str">
        <f>IF(tblSalaries[[#This Row],[Job Type]]=tblSalaries[[#Headers],[Accountant]],tblSalaries[[#This Row],[Salary in USD]],"")</f>
        <v/>
      </c>
      <c r="V113" s="13">
        <f>IF(tblSalaries[[#This Row],[Job Type]]=tblSalaries[[#Headers],[Analyst]],tblSalaries[[#This Row],[Salary in USD]],"")</f>
        <v>85000</v>
      </c>
      <c r="W113" s="13" t="str">
        <f>IF(tblSalaries[[#This Row],[Job Type]]=tblSalaries[[#Headers],[Consultant]],tblSalaries[[#This Row],[Salary in USD]],"")</f>
        <v/>
      </c>
      <c r="X113" s="13" t="str">
        <f>IF(tblSalaries[[#This Row],[Job Type]]=tblSalaries[[#Headers],[Controller]],tblSalaries[[#This Row],[Salary in USD]],"")</f>
        <v/>
      </c>
      <c r="Y113" s="13" t="str">
        <f>IF(tblSalaries[[#This Row],[Job Type]]=tblSalaries[[#Headers],[CXO or Top Mgmt.]],tblSalaries[[#This Row],[clean Salary (in local currency)]],"")</f>
        <v/>
      </c>
      <c r="Z113" s="13" t="str">
        <f>IF(tblSalaries[[#This Row],[Job Type]]=tblSalaries[[#Headers],[Engineer]],tblSalaries[[#This Row],[Salary in USD]],"")</f>
        <v/>
      </c>
      <c r="AA113" s="13" t="str">
        <f>IF(tblSalaries[[#This Row],[Job Type]]=tblSalaries[[#Headers],[Manager]],tblSalaries[[#This Row],[Salary in USD]],"")</f>
        <v/>
      </c>
      <c r="AB113" s="13" t="str">
        <f>IF(tblSalaries[[#This Row],[Job Type]]=tblSalaries[[#Headers],[Misc.]],tblSalaries[[#This Row],[Salary in USD]],"")</f>
        <v/>
      </c>
      <c r="AC113" s="13" t="str">
        <f>IF(tblSalaries[[#This Row],[Job Type]]=tblSalaries[[#Headers],[Reporting]],tblSalaries[[#This Row],[Salary in USD]],"")</f>
        <v/>
      </c>
      <c r="AD113" s="13" t="str">
        <f>IF(tblSalaries[[#This Row],[Job Type]]=tblSalaries[[#Headers],[Specialist]],tblSalaries[[#This Row],[Salary in USD]],"")</f>
        <v/>
      </c>
    </row>
    <row r="114" spans="2:30" ht="15" customHeight="1" x14ac:dyDescent="0.25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 s="9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  <c r="N114" t="str">
        <f>IF(tblSalaries[[#This Row],[Years of Experience]]="","",IF(tblSalaries[[#This Row],[Years of Experience]]&lt;=2,1,""))</f>
        <v/>
      </c>
      <c r="O114" t="str">
        <f>IF(tblSalaries[[#This Row],[Years of Experience]]="","",IF(AND(tblSalaries[[#This Row],[Years of Experience]]&gt;2,tblSalaries[[#This Row],[Years of Experience]]&lt;=5),1,""))</f>
        <v/>
      </c>
      <c r="P114" t="str">
        <f>IF(tblSalaries[[#This Row],[Years of Experience]]="","",IF(AND(tblSalaries[[#This Row],[Years of Experience]]&gt;5,tblSalaries[[#This Row],[Years of Experience]]&lt;=10),1,""))</f>
        <v/>
      </c>
      <c r="Q114" t="str">
        <f>IF(tblSalaries[[#This Row],[Years of Experience]]="","",IF(AND(tblSalaries[[#This Row],[Years of Experience]]&gt;10,tblSalaries[[#This Row],[Years of Experience]]&lt;=15),1,""))</f>
        <v/>
      </c>
      <c r="R114" t="str">
        <f>IF(tblSalaries[[#This Row],[Years of Experience]]="","",IF(AND(tblSalaries[[#This Row],[Years of Experience]]&gt;16,tblSalaries[[#This Row],[Years of Experience]]&lt;=20),1,""))</f>
        <v/>
      </c>
      <c r="S114" t="str">
        <f>IF(tblSalaries[[#This Row],[Years of Experience]]="","",IF(tblSalaries[[#This Row],[Years of Experience]]&gt;20,1,""))</f>
        <v/>
      </c>
      <c r="T1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4" s="13" t="str">
        <f>IF(tblSalaries[[#This Row],[Job Type]]=tblSalaries[[#Headers],[Accountant]],tblSalaries[[#This Row],[Salary in USD]],"")</f>
        <v/>
      </c>
      <c r="V114" s="13" t="str">
        <f>IF(tblSalaries[[#This Row],[Job Type]]=tblSalaries[[#Headers],[Analyst]],tblSalaries[[#This Row],[Salary in USD]],"")</f>
        <v/>
      </c>
      <c r="W114" s="13" t="str">
        <f>IF(tblSalaries[[#This Row],[Job Type]]=tblSalaries[[#Headers],[Consultant]],tblSalaries[[#This Row],[Salary in USD]],"")</f>
        <v/>
      </c>
      <c r="X114" s="13" t="str">
        <f>IF(tblSalaries[[#This Row],[Job Type]]=tblSalaries[[#Headers],[Controller]],tblSalaries[[#This Row],[Salary in USD]],"")</f>
        <v/>
      </c>
      <c r="Y114" s="13" t="str">
        <f>IF(tblSalaries[[#This Row],[Job Type]]=tblSalaries[[#Headers],[CXO or Top Mgmt.]],tblSalaries[[#This Row],[clean Salary (in local currency)]],"")</f>
        <v/>
      </c>
      <c r="Z114" s="13" t="str">
        <f>IF(tblSalaries[[#This Row],[Job Type]]=tblSalaries[[#Headers],[Engineer]],tblSalaries[[#This Row],[Salary in USD]],"")</f>
        <v/>
      </c>
      <c r="AA114" s="13" t="str">
        <f>IF(tblSalaries[[#This Row],[Job Type]]=tblSalaries[[#Headers],[Manager]],tblSalaries[[#This Row],[Salary in USD]],"")</f>
        <v/>
      </c>
      <c r="AB114" s="13" t="str">
        <f>IF(tblSalaries[[#This Row],[Job Type]]=tblSalaries[[#Headers],[Misc.]],tblSalaries[[#This Row],[Salary in USD]],"")</f>
        <v/>
      </c>
      <c r="AC114" s="13" t="str">
        <f>IF(tblSalaries[[#This Row],[Job Type]]=tblSalaries[[#Headers],[Reporting]],tblSalaries[[#This Row],[Salary in USD]],"")</f>
        <v/>
      </c>
      <c r="AD114" s="13">
        <f>IF(tblSalaries[[#This Row],[Job Type]]=tblSalaries[[#Headers],[Specialist]],tblSalaries[[#This Row],[Salary in USD]],"")</f>
        <v>50000</v>
      </c>
    </row>
    <row r="115" spans="2:30" ht="15" customHeight="1" x14ac:dyDescent="0.25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 s="9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  <c r="N115" t="str">
        <f>IF(tblSalaries[[#This Row],[Years of Experience]]="","",IF(tblSalaries[[#This Row],[Years of Experience]]&lt;=2,1,""))</f>
        <v/>
      </c>
      <c r="O115" t="str">
        <f>IF(tblSalaries[[#This Row],[Years of Experience]]="","",IF(AND(tblSalaries[[#This Row],[Years of Experience]]&gt;2,tblSalaries[[#This Row],[Years of Experience]]&lt;=5),1,""))</f>
        <v/>
      </c>
      <c r="P115" t="str">
        <f>IF(tblSalaries[[#This Row],[Years of Experience]]="","",IF(AND(tblSalaries[[#This Row],[Years of Experience]]&gt;5,tblSalaries[[#This Row],[Years of Experience]]&lt;=10),1,""))</f>
        <v/>
      </c>
      <c r="Q115" t="str">
        <f>IF(tblSalaries[[#This Row],[Years of Experience]]="","",IF(AND(tblSalaries[[#This Row],[Years of Experience]]&gt;10,tblSalaries[[#This Row],[Years of Experience]]&lt;=15),1,""))</f>
        <v/>
      </c>
      <c r="R115" t="str">
        <f>IF(tblSalaries[[#This Row],[Years of Experience]]="","",IF(AND(tblSalaries[[#This Row],[Years of Experience]]&gt;16,tblSalaries[[#This Row],[Years of Experience]]&lt;=20),1,""))</f>
        <v/>
      </c>
      <c r="S115" t="str">
        <f>IF(tblSalaries[[#This Row],[Years of Experience]]="","",IF(tblSalaries[[#This Row],[Years of Experience]]&gt;20,1,""))</f>
        <v/>
      </c>
      <c r="T1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5" s="13" t="str">
        <f>IF(tblSalaries[[#This Row],[Job Type]]=tblSalaries[[#Headers],[Accountant]],tblSalaries[[#This Row],[Salary in USD]],"")</f>
        <v/>
      </c>
      <c r="V115" s="13" t="str">
        <f>IF(tblSalaries[[#This Row],[Job Type]]=tblSalaries[[#Headers],[Analyst]],tblSalaries[[#This Row],[Salary in USD]],"")</f>
        <v/>
      </c>
      <c r="W115" s="13" t="str">
        <f>IF(tblSalaries[[#This Row],[Job Type]]=tblSalaries[[#Headers],[Consultant]],tblSalaries[[#This Row],[Salary in USD]],"")</f>
        <v/>
      </c>
      <c r="X115" s="13" t="str">
        <f>IF(tblSalaries[[#This Row],[Job Type]]=tblSalaries[[#Headers],[Controller]],tblSalaries[[#This Row],[Salary in USD]],"")</f>
        <v/>
      </c>
      <c r="Y115" s="13" t="str">
        <f>IF(tblSalaries[[#This Row],[Job Type]]=tblSalaries[[#Headers],[CXO or Top Mgmt.]],tblSalaries[[#This Row],[clean Salary (in local currency)]],"")</f>
        <v/>
      </c>
      <c r="Z115" s="13" t="str">
        <f>IF(tblSalaries[[#This Row],[Job Type]]=tblSalaries[[#Headers],[Engineer]],tblSalaries[[#This Row],[Salary in USD]],"")</f>
        <v/>
      </c>
      <c r="AA115" s="13">
        <f>IF(tblSalaries[[#This Row],[Job Type]]=tblSalaries[[#Headers],[Manager]],tblSalaries[[#This Row],[Salary in USD]],"")</f>
        <v>58000</v>
      </c>
      <c r="AB115" s="13" t="str">
        <f>IF(tblSalaries[[#This Row],[Job Type]]=tblSalaries[[#Headers],[Misc.]],tblSalaries[[#This Row],[Salary in USD]],"")</f>
        <v/>
      </c>
      <c r="AC115" s="13" t="str">
        <f>IF(tblSalaries[[#This Row],[Job Type]]=tblSalaries[[#Headers],[Reporting]],tblSalaries[[#This Row],[Salary in USD]],"")</f>
        <v/>
      </c>
      <c r="AD115" s="13" t="str">
        <f>IF(tblSalaries[[#This Row],[Job Type]]=tblSalaries[[#Headers],[Specialist]],tblSalaries[[#This Row],[Salary in USD]],"")</f>
        <v/>
      </c>
    </row>
    <row r="116" spans="2:30" ht="15" customHeight="1" x14ac:dyDescent="0.25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 s="9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  <c r="N116" t="str">
        <f>IF(tblSalaries[[#This Row],[Years of Experience]]="","",IF(tblSalaries[[#This Row],[Years of Experience]]&lt;=2,1,""))</f>
        <v/>
      </c>
      <c r="O116" t="str">
        <f>IF(tblSalaries[[#This Row],[Years of Experience]]="","",IF(AND(tblSalaries[[#This Row],[Years of Experience]]&gt;2,tblSalaries[[#This Row],[Years of Experience]]&lt;=5),1,""))</f>
        <v/>
      </c>
      <c r="P116" t="str">
        <f>IF(tblSalaries[[#This Row],[Years of Experience]]="","",IF(AND(tblSalaries[[#This Row],[Years of Experience]]&gt;5,tblSalaries[[#This Row],[Years of Experience]]&lt;=10),1,""))</f>
        <v/>
      </c>
      <c r="Q116" t="str">
        <f>IF(tblSalaries[[#This Row],[Years of Experience]]="","",IF(AND(tblSalaries[[#This Row],[Years of Experience]]&gt;10,tblSalaries[[#This Row],[Years of Experience]]&lt;=15),1,""))</f>
        <v/>
      </c>
      <c r="R116" t="str">
        <f>IF(tblSalaries[[#This Row],[Years of Experience]]="","",IF(AND(tblSalaries[[#This Row],[Years of Experience]]&gt;16,tblSalaries[[#This Row],[Years of Experience]]&lt;=20),1,""))</f>
        <v/>
      </c>
      <c r="S116" t="str">
        <f>IF(tblSalaries[[#This Row],[Years of Experience]]="","",IF(tblSalaries[[#This Row],[Years of Experience]]&gt;20,1,""))</f>
        <v/>
      </c>
      <c r="T1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6" s="13">
        <f>IF(tblSalaries[[#This Row],[Job Type]]=tblSalaries[[#Headers],[Accountant]],tblSalaries[[#This Row],[Salary in USD]],"")</f>
        <v>37900</v>
      </c>
      <c r="V116" s="13" t="str">
        <f>IF(tblSalaries[[#This Row],[Job Type]]=tblSalaries[[#Headers],[Analyst]],tblSalaries[[#This Row],[Salary in USD]],"")</f>
        <v/>
      </c>
      <c r="W116" s="13" t="str">
        <f>IF(tblSalaries[[#This Row],[Job Type]]=tblSalaries[[#Headers],[Consultant]],tblSalaries[[#This Row],[Salary in USD]],"")</f>
        <v/>
      </c>
      <c r="X116" s="13" t="str">
        <f>IF(tblSalaries[[#This Row],[Job Type]]=tblSalaries[[#Headers],[Controller]],tblSalaries[[#This Row],[Salary in USD]],"")</f>
        <v/>
      </c>
      <c r="Y116" s="13" t="str">
        <f>IF(tblSalaries[[#This Row],[Job Type]]=tblSalaries[[#Headers],[CXO or Top Mgmt.]],tblSalaries[[#This Row],[clean Salary (in local currency)]],"")</f>
        <v/>
      </c>
      <c r="Z116" s="13" t="str">
        <f>IF(tblSalaries[[#This Row],[Job Type]]=tblSalaries[[#Headers],[Engineer]],tblSalaries[[#This Row],[Salary in USD]],"")</f>
        <v/>
      </c>
      <c r="AA116" s="13" t="str">
        <f>IF(tblSalaries[[#This Row],[Job Type]]=tblSalaries[[#Headers],[Manager]],tblSalaries[[#This Row],[Salary in USD]],"")</f>
        <v/>
      </c>
      <c r="AB116" s="13" t="str">
        <f>IF(tblSalaries[[#This Row],[Job Type]]=tblSalaries[[#Headers],[Misc.]],tblSalaries[[#This Row],[Salary in USD]],"")</f>
        <v/>
      </c>
      <c r="AC116" s="13" t="str">
        <f>IF(tblSalaries[[#This Row],[Job Type]]=tblSalaries[[#Headers],[Reporting]],tblSalaries[[#This Row],[Salary in USD]],"")</f>
        <v/>
      </c>
      <c r="AD116" s="13" t="str">
        <f>IF(tblSalaries[[#This Row],[Job Type]]=tblSalaries[[#Headers],[Specialist]],tblSalaries[[#This Row],[Salary in USD]],"")</f>
        <v/>
      </c>
    </row>
    <row r="117" spans="2:30" ht="15" customHeight="1" x14ac:dyDescent="0.25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 s="9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  <c r="N117" t="str">
        <f>IF(tblSalaries[[#This Row],[Years of Experience]]="","",IF(tblSalaries[[#This Row],[Years of Experience]]&lt;=2,1,""))</f>
        <v/>
      </c>
      <c r="O117" t="str">
        <f>IF(tblSalaries[[#This Row],[Years of Experience]]="","",IF(AND(tblSalaries[[#This Row],[Years of Experience]]&gt;2,tblSalaries[[#This Row],[Years of Experience]]&lt;=5),1,""))</f>
        <v/>
      </c>
      <c r="P117" t="str">
        <f>IF(tblSalaries[[#This Row],[Years of Experience]]="","",IF(AND(tblSalaries[[#This Row],[Years of Experience]]&gt;5,tblSalaries[[#This Row],[Years of Experience]]&lt;=10),1,""))</f>
        <v/>
      </c>
      <c r="Q117" t="str">
        <f>IF(tblSalaries[[#This Row],[Years of Experience]]="","",IF(AND(tblSalaries[[#This Row],[Years of Experience]]&gt;10,tblSalaries[[#This Row],[Years of Experience]]&lt;=15),1,""))</f>
        <v/>
      </c>
      <c r="R117" t="str">
        <f>IF(tblSalaries[[#This Row],[Years of Experience]]="","",IF(AND(tblSalaries[[#This Row],[Years of Experience]]&gt;16,tblSalaries[[#This Row],[Years of Experience]]&lt;=20),1,""))</f>
        <v/>
      </c>
      <c r="S117" t="str">
        <f>IF(tblSalaries[[#This Row],[Years of Experience]]="","",IF(tblSalaries[[#This Row],[Years of Experience]]&gt;20,1,""))</f>
        <v/>
      </c>
      <c r="T1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7" s="13" t="str">
        <f>IF(tblSalaries[[#This Row],[Job Type]]=tblSalaries[[#Headers],[Accountant]],tblSalaries[[#This Row],[Salary in USD]],"")</f>
        <v/>
      </c>
      <c r="V117" s="13" t="str">
        <f>IF(tblSalaries[[#This Row],[Job Type]]=tblSalaries[[#Headers],[Analyst]],tblSalaries[[#This Row],[Salary in USD]],"")</f>
        <v/>
      </c>
      <c r="W117" s="13" t="str">
        <f>IF(tblSalaries[[#This Row],[Job Type]]=tblSalaries[[#Headers],[Consultant]],tblSalaries[[#This Row],[Salary in USD]],"")</f>
        <v/>
      </c>
      <c r="X117" s="13" t="str">
        <f>IF(tblSalaries[[#This Row],[Job Type]]=tblSalaries[[#Headers],[Controller]],tblSalaries[[#This Row],[Salary in USD]],"")</f>
        <v/>
      </c>
      <c r="Y117" s="13" t="str">
        <f>IF(tblSalaries[[#This Row],[Job Type]]=tblSalaries[[#Headers],[CXO or Top Mgmt.]],tblSalaries[[#This Row],[clean Salary (in local currency)]],"")</f>
        <v/>
      </c>
      <c r="Z117" s="13" t="str">
        <f>IF(tblSalaries[[#This Row],[Job Type]]=tblSalaries[[#Headers],[Engineer]],tblSalaries[[#This Row],[Salary in USD]],"")</f>
        <v/>
      </c>
      <c r="AA117" s="13">
        <f>IF(tblSalaries[[#This Row],[Job Type]]=tblSalaries[[#Headers],[Manager]],tblSalaries[[#This Row],[Salary in USD]],"")</f>
        <v>48000</v>
      </c>
      <c r="AB117" s="13" t="str">
        <f>IF(tblSalaries[[#This Row],[Job Type]]=tblSalaries[[#Headers],[Misc.]],tblSalaries[[#This Row],[Salary in USD]],"")</f>
        <v/>
      </c>
      <c r="AC117" s="13" t="str">
        <f>IF(tblSalaries[[#This Row],[Job Type]]=tblSalaries[[#Headers],[Reporting]],tblSalaries[[#This Row],[Salary in USD]],"")</f>
        <v/>
      </c>
      <c r="AD117" s="13" t="str">
        <f>IF(tblSalaries[[#This Row],[Job Type]]=tblSalaries[[#Headers],[Specialist]],tblSalaries[[#This Row],[Salary in USD]],"")</f>
        <v/>
      </c>
    </row>
    <row r="118" spans="2:30" ht="15" customHeight="1" x14ac:dyDescent="0.25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 s="9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  <c r="N118" t="str">
        <f>IF(tblSalaries[[#This Row],[Years of Experience]]="","",IF(tblSalaries[[#This Row],[Years of Experience]]&lt;=2,1,""))</f>
        <v/>
      </c>
      <c r="O118" t="str">
        <f>IF(tblSalaries[[#This Row],[Years of Experience]]="","",IF(AND(tblSalaries[[#This Row],[Years of Experience]]&gt;2,tblSalaries[[#This Row],[Years of Experience]]&lt;=5),1,""))</f>
        <v/>
      </c>
      <c r="P118" t="str">
        <f>IF(tblSalaries[[#This Row],[Years of Experience]]="","",IF(AND(tblSalaries[[#This Row],[Years of Experience]]&gt;5,tblSalaries[[#This Row],[Years of Experience]]&lt;=10),1,""))</f>
        <v/>
      </c>
      <c r="Q118" t="str">
        <f>IF(tblSalaries[[#This Row],[Years of Experience]]="","",IF(AND(tblSalaries[[#This Row],[Years of Experience]]&gt;10,tblSalaries[[#This Row],[Years of Experience]]&lt;=15),1,""))</f>
        <v/>
      </c>
      <c r="R118" t="str">
        <f>IF(tblSalaries[[#This Row],[Years of Experience]]="","",IF(AND(tblSalaries[[#This Row],[Years of Experience]]&gt;16,tblSalaries[[#This Row],[Years of Experience]]&lt;=20),1,""))</f>
        <v/>
      </c>
      <c r="S118" t="str">
        <f>IF(tblSalaries[[#This Row],[Years of Experience]]="","",IF(tblSalaries[[#This Row],[Years of Experience]]&gt;20,1,""))</f>
        <v/>
      </c>
      <c r="T1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8" s="13" t="str">
        <f>IF(tblSalaries[[#This Row],[Job Type]]=tblSalaries[[#Headers],[Accountant]],tblSalaries[[#This Row],[Salary in USD]],"")</f>
        <v/>
      </c>
      <c r="V118" s="13">
        <f>IF(tblSalaries[[#This Row],[Job Type]]=tblSalaries[[#Headers],[Analyst]],tblSalaries[[#This Row],[Salary in USD]],"")</f>
        <v>67000</v>
      </c>
      <c r="W118" s="13" t="str">
        <f>IF(tblSalaries[[#This Row],[Job Type]]=tblSalaries[[#Headers],[Consultant]],tblSalaries[[#This Row],[Salary in USD]],"")</f>
        <v/>
      </c>
      <c r="X118" s="13" t="str">
        <f>IF(tblSalaries[[#This Row],[Job Type]]=tblSalaries[[#Headers],[Controller]],tblSalaries[[#This Row],[Salary in USD]],"")</f>
        <v/>
      </c>
      <c r="Y118" s="13" t="str">
        <f>IF(tblSalaries[[#This Row],[Job Type]]=tblSalaries[[#Headers],[CXO or Top Mgmt.]],tblSalaries[[#This Row],[clean Salary (in local currency)]],"")</f>
        <v/>
      </c>
      <c r="Z118" s="13" t="str">
        <f>IF(tblSalaries[[#This Row],[Job Type]]=tblSalaries[[#Headers],[Engineer]],tblSalaries[[#This Row],[Salary in USD]],"")</f>
        <v/>
      </c>
      <c r="AA118" s="13" t="str">
        <f>IF(tblSalaries[[#This Row],[Job Type]]=tblSalaries[[#Headers],[Manager]],tblSalaries[[#This Row],[Salary in USD]],"")</f>
        <v/>
      </c>
      <c r="AB118" s="13" t="str">
        <f>IF(tblSalaries[[#This Row],[Job Type]]=tblSalaries[[#Headers],[Misc.]],tblSalaries[[#This Row],[Salary in USD]],"")</f>
        <v/>
      </c>
      <c r="AC118" s="13" t="str">
        <f>IF(tblSalaries[[#This Row],[Job Type]]=tblSalaries[[#Headers],[Reporting]],tblSalaries[[#This Row],[Salary in USD]],"")</f>
        <v/>
      </c>
      <c r="AD118" s="13" t="str">
        <f>IF(tblSalaries[[#This Row],[Job Type]]=tblSalaries[[#Headers],[Specialist]],tblSalaries[[#This Row],[Salary in USD]],"")</f>
        <v/>
      </c>
    </row>
    <row r="119" spans="2:30" ht="15" customHeight="1" x14ac:dyDescent="0.25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 s="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  <c r="N119" t="str">
        <f>IF(tblSalaries[[#This Row],[Years of Experience]]="","",IF(tblSalaries[[#This Row],[Years of Experience]]&lt;=2,1,""))</f>
        <v/>
      </c>
      <c r="O119" t="str">
        <f>IF(tblSalaries[[#This Row],[Years of Experience]]="","",IF(AND(tblSalaries[[#This Row],[Years of Experience]]&gt;2,tblSalaries[[#This Row],[Years of Experience]]&lt;=5),1,""))</f>
        <v/>
      </c>
      <c r="P119" t="str">
        <f>IF(tblSalaries[[#This Row],[Years of Experience]]="","",IF(AND(tblSalaries[[#This Row],[Years of Experience]]&gt;5,tblSalaries[[#This Row],[Years of Experience]]&lt;=10),1,""))</f>
        <v/>
      </c>
      <c r="Q119" t="str">
        <f>IF(tblSalaries[[#This Row],[Years of Experience]]="","",IF(AND(tblSalaries[[#This Row],[Years of Experience]]&gt;10,tblSalaries[[#This Row],[Years of Experience]]&lt;=15),1,""))</f>
        <v/>
      </c>
      <c r="R119" t="str">
        <f>IF(tblSalaries[[#This Row],[Years of Experience]]="","",IF(AND(tblSalaries[[#This Row],[Years of Experience]]&gt;16,tblSalaries[[#This Row],[Years of Experience]]&lt;=20),1,""))</f>
        <v/>
      </c>
      <c r="S119" t="str">
        <f>IF(tblSalaries[[#This Row],[Years of Experience]]="","",IF(tblSalaries[[#This Row],[Years of Experience]]&gt;20,1,""))</f>
        <v/>
      </c>
      <c r="T1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9" s="13" t="str">
        <f>IF(tblSalaries[[#This Row],[Job Type]]=tblSalaries[[#Headers],[Accountant]],tblSalaries[[#This Row],[Salary in USD]],"")</f>
        <v/>
      </c>
      <c r="V119" s="13" t="str">
        <f>IF(tblSalaries[[#This Row],[Job Type]]=tblSalaries[[#Headers],[Analyst]],tblSalaries[[#This Row],[Salary in USD]],"")</f>
        <v/>
      </c>
      <c r="W119" s="13" t="str">
        <f>IF(tblSalaries[[#This Row],[Job Type]]=tblSalaries[[#Headers],[Consultant]],tblSalaries[[#This Row],[Salary in USD]],"")</f>
        <v/>
      </c>
      <c r="X119" s="13">
        <f>IF(tblSalaries[[#This Row],[Job Type]]=tblSalaries[[#Headers],[Controller]],tblSalaries[[#This Row],[Salary in USD]],"")</f>
        <v>85000</v>
      </c>
      <c r="Y119" s="13" t="str">
        <f>IF(tblSalaries[[#This Row],[Job Type]]=tblSalaries[[#Headers],[CXO or Top Mgmt.]],tblSalaries[[#This Row],[clean Salary (in local currency)]],"")</f>
        <v/>
      </c>
      <c r="Z119" s="13" t="str">
        <f>IF(tblSalaries[[#This Row],[Job Type]]=tblSalaries[[#Headers],[Engineer]],tblSalaries[[#This Row],[Salary in USD]],"")</f>
        <v/>
      </c>
      <c r="AA119" s="13" t="str">
        <f>IF(tblSalaries[[#This Row],[Job Type]]=tblSalaries[[#Headers],[Manager]],tblSalaries[[#This Row],[Salary in USD]],"")</f>
        <v/>
      </c>
      <c r="AB119" s="13" t="str">
        <f>IF(tblSalaries[[#This Row],[Job Type]]=tblSalaries[[#Headers],[Misc.]],tblSalaries[[#This Row],[Salary in USD]],"")</f>
        <v/>
      </c>
      <c r="AC119" s="13" t="str">
        <f>IF(tblSalaries[[#This Row],[Job Type]]=tblSalaries[[#Headers],[Reporting]],tblSalaries[[#This Row],[Salary in USD]],"")</f>
        <v/>
      </c>
      <c r="AD119" s="13" t="str">
        <f>IF(tblSalaries[[#This Row],[Job Type]]=tblSalaries[[#Headers],[Specialist]],tblSalaries[[#This Row],[Salary in USD]],"")</f>
        <v/>
      </c>
    </row>
    <row r="120" spans="2:30" ht="15" customHeight="1" x14ac:dyDescent="0.25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 s="9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  <c r="N120" t="str">
        <f>IF(tblSalaries[[#This Row],[Years of Experience]]="","",IF(tblSalaries[[#This Row],[Years of Experience]]&lt;=2,1,""))</f>
        <v/>
      </c>
      <c r="O120" t="str">
        <f>IF(tblSalaries[[#This Row],[Years of Experience]]="","",IF(AND(tblSalaries[[#This Row],[Years of Experience]]&gt;2,tblSalaries[[#This Row],[Years of Experience]]&lt;=5),1,""))</f>
        <v/>
      </c>
      <c r="P120" t="str">
        <f>IF(tblSalaries[[#This Row],[Years of Experience]]="","",IF(AND(tblSalaries[[#This Row],[Years of Experience]]&gt;5,tblSalaries[[#This Row],[Years of Experience]]&lt;=10),1,""))</f>
        <v/>
      </c>
      <c r="Q120" t="str">
        <f>IF(tblSalaries[[#This Row],[Years of Experience]]="","",IF(AND(tblSalaries[[#This Row],[Years of Experience]]&gt;10,tblSalaries[[#This Row],[Years of Experience]]&lt;=15),1,""))</f>
        <v/>
      </c>
      <c r="R120" t="str">
        <f>IF(tblSalaries[[#This Row],[Years of Experience]]="","",IF(AND(tblSalaries[[#This Row],[Years of Experience]]&gt;16,tblSalaries[[#This Row],[Years of Experience]]&lt;=20),1,""))</f>
        <v/>
      </c>
      <c r="S120" t="str">
        <f>IF(tblSalaries[[#This Row],[Years of Experience]]="","",IF(tblSalaries[[#This Row],[Years of Experience]]&gt;20,1,""))</f>
        <v/>
      </c>
      <c r="T1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0" s="13" t="str">
        <f>IF(tblSalaries[[#This Row],[Job Type]]=tblSalaries[[#Headers],[Accountant]],tblSalaries[[#This Row],[Salary in USD]],"")</f>
        <v/>
      </c>
      <c r="V120" s="13">
        <f>IF(tblSalaries[[#This Row],[Job Type]]=tblSalaries[[#Headers],[Analyst]],tblSalaries[[#This Row],[Salary in USD]],"")</f>
        <v>56160</v>
      </c>
      <c r="W120" s="13" t="str">
        <f>IF(tblSalaries[[#This Row],[Job Type]]=tblSalaries[[#Headers],[Consultant]],tblSalaries[[#This Row],[Salary in USD]],"")</f>
        <v/>
      </c>
      <c r="X120" s="13" t="str">
        <f>IF(tblSalaries[[#This Row],[Job Type]]=tblSalaries[[#Headers],[Controller]],tblSalaries[[#This Row],[Salary in USD]],"")</f>
        <v/>
      </c>
      <c r="Y120" s="13" t="str">
        <f>IF(tblSalaries[[#This Row],[Job Type]]=tblSalaries[[#Headers],[CXO or Top Mgmt.]],tblSalaries[[#This Row],[clean Salary (in local currency)]],"")</f>
        <v/>
      </c>
      <c r="Z120" s="13" t="str">
        <f>IF(tblSalaries[[#This Row],[Job Type]]=tblSalaries[[#Headers],[Engineer]],tblSalaries[[#This Row],[Salary in USD]],"")</f>
        <v/>
      </c>
      <c r="AA120" s="13" t="str">
        <f>IF(tblSalaries[[#This Row],[Job Type]]=tblSalaries[[#Headers],[Manager]],tblSalaries[[#This Row],[Salary in USD]],"")</f>
        <v/>
      </c>
      <c r="AB120" s="13" t="str">
        <f>IF(tblSalaries[[#This Row],[Job Type]]=tblSalaries[[#Headers],[Misc.]],tblSalaries[[#This Row],[Salary in USD]],"")</f>
        <v/>
      </c>
      <c r="AC120" s="13" t="str">
        <f>IF(tblSalaries[[#This Row],[Job Type]]=tblSalaries[[#Headers],[Reporting]],tblSalaries[[#This Row],[Salary in USD]],"")</f>
        <v/>
      </c>
      <c r="AD120" s="13" t="str">
        <f>IF(tblSalaries[[#This Row],[Job Type]]=tblSalaries[[#Headers],[Specialist]],tblSalaries[[#This Row],[Salary in USD]],"")</f>
        <v/>
      </c>
    </row>
    <row r="121" spans="2:30" ht="15" customHeight="1" x14ac:dyDescent="0.25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 s="9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  <c r="N121" t="str">
        <f>IF(tblSalaries[[#This Row],[Years of Experience]]="","",IF(tblSalaries[[#This Row],[Years of Experience]]&lt;=2,1,""))</f>
        <v/>
      </c>
      <c r="O121" t="str">
        <f>IF(tblSalaries[[#This Row],[Years of Experience]]="","",IF(AND(tblSalaries[[#This Row],[Years of Experience]]&gt;2,tblSalaries[[#This Row],[Years of Experience]]&lt;=5),1,""))</f>
        <v/>
      </c>
      <c r="P121" t="str">
        <f>IF(tblSalaries[[#This Row],[Years of Experience]]="","",IF(AND(tblSalaries[[#This Row],[Years of Experience]]&gt;5,tblSalaries[[#This Row],[Years of Experience]]&lt;=10),1,""))</f>
        <v/>
      </c>
      <c r="Q121" t="str">
        <f>IF(tblSalaries[[#This Row],[Years of Experience]]="","",IF(AND(tblSalaries[[#This Row],[Years of Experience]]&gt;10,tblSalaries[[#This Row],[Years of Experience]]&lt;=15),1,""))</f>
        <v/>
      </c>
      <c r="R121" t="str">
        <f>IF(tblSalaries[[#This Row],[Years of Experience]]="","",IF(AND(tblSalaries[[#This Row],[Years of Experience]]&gt;16,tblSalaries[[#This Row],[Years of Experience]]&lt;=20),1,""))</f>
        <v/>
      </c>
      <c r="S121" t="str">
        <f>IF(tblSalaries[[#This Row],[Years of Experience]]="","",IF(tblSalaries[[#This Row],[Years of Experience]]&gt;20,1,""))</f>
        <v/>
      </c>
      <c r="T1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1" s="13" t="str">
        <f>IF(tblSalaries[[#This Row],[Job Type]]=tblSalaries[[#Headers],[Accountant]],tblSalaries[[#This Row],[Salary in USD]],"")</f>
        <v/>
      </c>
      <c r="V121" s="13" t="str">
        <f>IF(tblSalaries[[#This Row],[Job Type]]=tblSalaries[[#Headers],[Analyst]],tblSalaries[[#This Row],[Salary in USD]],"")</f>
        <v/>
      </c>
      <c r="W121" s="13" t="str">
        <f>IF(tblSalaries[[#This Row],[Job Type]]=tblSalaries[[#Headers],[Consultant]],tblSalaries[[#This Row],[Salary in USD]],"")</f>
        <v/>
      </c>
      <c r="X121" s="13" t="str">
        <f>IF(tblSalaries[[#This Row],[Job Type]]=tblSalaries[[#Headers],[Controller]],tblSalaries[[#This Row],[Salary in USD]],"")</f>
        <v/>
      </c>
      <c r="Y121" s="13" t="str">
        <f>IF(tblSalaries[[#This Row],[Job Type]]=tblSalaries[[#Headers],[CXO or Top Mgmt.]],tblSalaries[[#This Row],[clean Salary (in local currency)]],"")</f>
        <v/>
      </c>
      <c r="Z121" s="13" t="str">
        <f>IF(tblSalaries[[#This Row],[Job Type]]=tblSalaries[[#Headers],[Engineer]],tblSalaries[[#This Row],[Salary in USD]],"")</f>
        <v/>
      </c>
      <c r="AA121" s="13">
        <f>IF(tblSalaries[[#This Row],[Job Type]]=tblSalaries[[#Headers],[Manager]],tblSalaries[[#This Row],[Salary in USD]],"")</f>
        <v>24000</v>
      </c>
      <c r="AB121" s="13" t="str">
        <f>IF(tblSalaries[[#This Row],[Job Type]]=tblSalaries[[#Headers],[Misc.]],tblSalaries[[#This Row],[Salary in USD]],"")</f>
        <v/>
      </c>
      <c r="AC121" s="13" t="str">
        <f>IF(tblSalaries[[#This Row],[Job Type]]=tblSalaries[[#Headers],[Reporting]],tblSalaries[[#This Row],[Salary in USD]],"")</f>
        <v/>
      </c>
      <c r="AD121" s="13" t="str">
        <f>IF(tblSalaries[[#This Row],[Job Type]]=tblSalaries[[#Headers],[Specialist]],tblSalaries[[#This Row],[Salary in USD]],"")</f>
        <v/>
      </c>
    </row>
    <row r="122" spans="2:30" ht="15" customHeight="1" x14ac:dyDescent="0.25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 s="9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  <c r="N122" t="str">
        <f>IF(tblSalaries[[#This Row],[Years of Experience]]="","",IF(tblSalaries[[#This Row],[Years of Experience]]&lt;=2,1,""))</f>
        <v/>
      </c>
      <c r="O122" t="str">
        <f>IF(tblSalaries[[#This Row],[Years of Experience]]="","",IF(AND(tblSalaries[[#This Row],[Years of Experience]]&gt;2,tblSalaries[[#This Row],[Years of Experience]]&lt;=5),1,""))</f>
        <v/>
      </c>
      <c r="P122" t="str">
        <f>IF(tblSalaries[[#This Row],[Years of Experience]]="","",IF(AND(tblSalaries[[#This Row],[Years of Experience]]&gt;5,tblSalaries[[#This Row],[Years of Experience]]&lt;=10),1,""))</f>
        <v/>
      </c>
      <c r="Q122" t="str">
        <f>IF(tblSalaries[[#This Row],[Years of Experience]]="","",IF(AND(tblSalaries[[#This Row],[Years of Experience]]&gt;10,tblSalaries[[#This Row],[Years of Experience]]&lt;=15),1,""))</f>
        <v/>
      </c>
      <c r="R122" t="str">
        <f>IF(tblSalaries[[#This Row],[Years of Experience]]="","",IF(AND(tblSalaries[[#This Row],[Years of Experience]]&gt;16,tblSalaries[[#This Row],[Years of Experience]]&lt;=20),1,""))</f>
        <v/>
      </c>
      <c r="S122" t="str">
        <f>IF(tblSalaries[[#This Row],[Years of Experience]]="","",IF(tblSalaries[[#This Row],[Years of Experience]]&gt;20,1,""))</f>
        <v/>
      </c>
      <c r="T1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2" s="13" t="str">
        <f>IF(tblSalaries[[#This Row],[Job Type]]=tblSalaries[[#Headers],[Accountant]],tblSalaries[[#This Row],[Salary in USD]],"")</f>
        <v/>
      </c>
      <c r="V122" s="13">
        <f>IF(tblSalaries[[#This Row],[Job Type]]=tblSalaries[[#Headers],[Analyst]],tblSalaries[[#This Row],[Salary in USD]],"")</f>
        <v>52000</v>
      </c>
      <c r="W122" s="13" t="str">
        <f>IF(tblSalaries[[#This Row],[Job Type]]=tblSalaries[[#Headers],[Consultant]],tblSalaries[[#This Row],[Salary in USD]],"")</f>
        <v/>
      </c>
      <c r="X122" s="13" t="str">
        <f>IF(tblSalaries[[#This Row],[Job Type]]=tblSalaries[[#Headers],[Controller]],tblSalaries[[#This Row],[Salary in USD]],"")</f>
        <v/>
      </c>
      <c r="Y122" s="13" t="str">
        <f>IF(tblSalaries[[#This Row],[Job Type]]=tblSalaries[[#Headers],[CXO or Top Mgmt.]],tblSalaries[[#This Row],[clean Salary (in local currency)]],"")</f>
        <v/>
      </c>
      <c r="Z122" s="13" t="str">
        <f>IF(tblSalaries[[#This Row],[Job Type]]=tblSalaries[[#Headers],[Engineer]],tblSalaries[[#This Row],[Salary in USD]],"")</f>
        <v/>
      </c>
      <c r="AA122" s="13" t="str">
        <f>IF(tblSalaries[[#This Row],[Job Type]]=tblSalaries[[#Headers],[Manager]],tblSalaries[[#This Row],[Salary in USD]],"")</f>
        <v/>
      </c>
      <c r="AB122" s="13" t="str">
        <f>IF(tblSalaries[[#This Row],[Job Type]]=tblSalaries[[#Headers],[Misc.]],tblSalaries[[#This Row],[Salary in USD]],"")</f>
        <v/>
      </c>
      <c r="AC122" s="13" t="str">
        <f>IF(tblSalaries[[#This Row],[Job Type]]=tblSalaries[[#Headers],[Reporting]],tblSalaries[[#This Row],[Salary in USD]],"")</f>
        <v/>
      </c>
      <c r="AD122" s="13" t="str">
        <f>IF(tblSalaries[[#This Row],[Job Type]]=tblSalaries[[#Headers],[Specialist]],tblSalaries[[#This Row],[Salary in USD]],"")</f>
        <v/>
      </c>
    </row>
    <row r="123" spans="2:30" ht="15" customHeight="1" x14ac:dyDescent="0.25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 s="9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  <c r="N123" t="str">
        <f>IF(tblSalaries[[#This Row],[Years of Experience]]="","",IF(tblSalaries[[#This Row],[Years of Experience]]&lt;=2,1,""))</f>
        <v/>
      </c>
      <c r="O123" t="str">
        <f>IF(tblSalaries[[#This Row],[Years of Experience]]="","",IF(AND(tblSalaries[[#This Row],[Years of Experience]]&gt;2,tblSalaries[[#This Row],[Years of Experience]]&lt;=5),1,""))</f>
        <v/>
      </c>
      <c r="P123" t="str">
        <f>IF(tblSalaries[[#This Row],[Years of Experience]]="","",IF(AND(tblSalaries[[#This Row],[Years of Experience]]&gt;5,tblSalaries[[#This Row],[Years of Experience]]&lt;=10),1,""))</f>
        <v/>
      </c>
      <c r="Q123" t="str">
        <f>IF(tblSalaries[[#This Row],[Years of Experience]]="","",IF(AND(tblSalaries[[#This Row],[Years of Experience]]&gt;10,tblSalaries[[#This Row],[Years of Experience]]&lt;=15),1,""))</f>
        <v/>
      </c>
      <c r="R123" t="str">
        <f>IF(tblSalaries[[#This Row],[Years of Experience]]="","",IF(AND(tblSalaries[[#This Row],[Years of Experience]]&gt;16,tblSalaries[[#This Row],[Years of Experience]]&lt;=20),1,""))</f>
        <v/>
      </c>
      <c r="S123" t="str">
        <f>IF(tblSalaries[[#This Row],[Years of Experience]]="","",IF(tblSalaries[[#This Row],[Years of Experience]]&gt;20,1,""))</f>
        <v/>
      </c>
      <c r="T1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3" s="13" t="str">
        <f>IF(tblSalaries[[#This Row],[Job Type]]=tblSalaries[[#Headers],[Accountant]],tblSalaries[[#This Row],[Salary in USD]],"")</f>
        <v/>
      </c>
      <c r="V123" s="13">
        <f>IF(tblSalaries[[#This Row],[Job Type]]=tblSalaries[[#Headers],[Analyst]],tblSalaries[[#This Row],[Salary in USD]],"")</f>
        <v>59001.691381819612</v>
      </c>
      <c r="W123" s="13" t="str">
        <f>IF(tblSalaries[[#This Row],[Job Type]]=tblSalaries[[#Headers],[Consultant]],tblSalaries[[#This Row],[Salary in USD]],"")</f>
        <v/>
      </c>
      <c r="X123" s="13" t="str">
        <f>IF(tblSalaries[[#This Row],[Job Type]]=tblSalaries[[#Headers],[Controller]],tblSalaries[[#This Row],[Salary in USD]],"")</f>
        <v/>
      </c>
      <c r="Y123" s="13" t="str">
        <f>IF(tblSalaries[[#This Row],[Job Type]]=tblSalaries[[#Headers],[CXO or Top Mgmt.]],tblSalaries[[#This Row],[clean Salary (in local currency)]],"")</f>
        <v/>
      </c>
      <c r="Z123" s="13" t="str">
        <f>IF(tblSalaries[[#This Row],[Job Type]]=tblSalaries[[#Headers],[Engineer]],tblSalaries[[#This Row],[Salary in USD]],"")</f>
        <v/>
      </c>
      <c r="AA123" s="13" t="str">
        <f>IF(tblSalaries[[#This Row],[Job Type]]=tblSalaries[[#Headers],[Manager]],tblSalaries[[#This Row],[Salary in USD]],"")</f>
        <v/>
      </c>
      <c r="AB123" s="13" t="str">
        <f>IF(tblSalaries[[#This Row],[Job Type]]=tblSalaries[[#Headers],[Misc.]],tblSalaries[[#This Row],[Salary in USD]],"")</f>
        <v/>
      </c>
      <c r="AC123" s="13" t="str">
        <f>IF(tblSalaries[[#This Row],[Job Type]]=tblSalaries[[#Headers],[Reporting]],tblSalaries[[#This Row],[Salary in USD]],"")</f>
        <v/>
      </c>
      <c r="AD123" s="13" t="str">
        <f>IF(tblSalaries[[#This Row],[Job Type]]=tblSalaries[[#Headers],[Specialist]],tblSalaries[[#This Row],[Salary in USD]],"")</f>
        <v/>
      </c>
    </row>
    <row r="124" spans="2:30" ht="15" customHeight="1" x14ac:dyDescent="0.25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 s="9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  <c r="N124" t="str">
        <f>IF(tblSalaries[[#This Row],[Years of Experience]]="","",IF(tblSalaries[[#This Row],[Years of Experience]]&lt;=2,1,""))</f>
        <v/>
      </c>
      <c r="O124" t="str">
        <f>IF(tblSalaries[[#This Row],[Years of Experience]]="","",IF(AND(tblSalaries[[#This Row],[Years of Experience]]&gt;2,tblSalaries[[#This Row],[Years of Experience]]&lt;=5),1,""))</f>
        <v/>
      </c>
      <c r="P124" t="str">
        <f>IF(tblSalaries[[#This Row],[Years of Experience]]="","",IF(AND(tblSalaries[[#This Row],[Years of Experience]]&gt;5,tblSalaries[[#This Row],[Years of Experience]]&lt;=10),1,""))</f>
        <v/>
      </c>
      <c r="Q124" t="str">
        <f>IF(tblSalaries[[#This Row],[Years of Experience]]="","",IF(AND(tblSalaries[[#This Row],[Years of Experience]]&gt;10,tblSalaries[[#This Row],[Years of Experience]]&lt;=15),1,""))</f>
        <v/>
      </c>
      <c r="R124" t="str">
        <f>IF(tblSalaries[[#This Row],[Years of Experience]]="","",IF(AND(tblSalaries[[#This Row],[Years of Experience]]&gt;16,tblSalaries[[#This Row],[Years of Experience]]&lt;=20),1,""))</f>
        <v/>
      </c>
      <c r="S124" t="str">
        <f>IF(tblSalaries[[#This Row],[Years of Experience]]="","",IF(tblSalaries[[#This Row],[Years of Experience]]&gt;20,1,""))</f>
        <v/>
      </c>
      <c r="T1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4" s="13">
        <f>IF(tblSalaries[[#This Row],[Job Type]]=tblSalaries[[#Headers],[Accountant]],tblSalaries[[#This Row],[Salary in USD]],"")</f>
        <v>70000</v>
      </c>
      <c r="V124" s="13" t="str">
        <f>IF(tblSalaries[[#This Row],[Job Type]]=tblSalaries[[#Headers],[Analyst]],tblSalaries[[#This Row],[Salary in USD]],"")</f>
        <v/>
      </c>
      <c r="W124" s="13" t="str">
        <f>IF(tblSalaries[[#This Row],[Job Type]]=tblSalaries[[#Headers],[Consultant]],tblSalaries[[#This Row],[Salary in USD]],"")</f>
        <v/>
      </c>
      <c r="X124" s="13" t="str">
        <f>IF(tblSalaries[[#This Row],[Job Type]]=tblSalaries[[#Headers],[Controller]],tblSalaries[[#This Row],[Salary in USD]],"")</f>
        <v/>
      </c>
      <c r="Y124" s="13" t="str">
        <f>IF(tblSalaries[[#This Row],[Job Type]]=tblSalaries[[#Headers],[CXO or Top Mgmt.]],tblSalaries[[#This Row],[clean Salary (in local currency)]],"")</f>
        <v/>
      </c>
      <c r="Z124" s="13" t="str">
        <f>IF(tblSalaries[[#This Row],[Job Type]]=tblSalaries[[#Headers],[Engineer]],tblSalaries[[#This Row],[Salary in USD]],"")</f>
        <v/>
      </c>
      <c r="AA124" s="13" t="str">
        <f>IF(tblSalaries[[#This Row],[Job Type]]=tblSalaries[[#Headers],[Manager]],tblSalaries[[#This Row],[Salary in USD]],"")</f>
        <v/>
      </c>
      <c r="AB124" s="13" t="str">
        <f>IF(tblSalaries[[#This Row],[Job Type]]=tblSalaries[[#Headers],[Misc.]],tblSalaries[[#This Row],[Salary in USD]],"")</f>
        <v/>
      </c>
      <c r="AC124" s="13" t="str">
        <f>IF(tblSalaries[[#This Row],[Job Type]]=tblSalaries[[#Headers],[Reporting]],tblSalaries[[#This Row],[Salary in USD]],"")</f>
        <v/>
      </c>
      <c r="AD124" s="13" t="str">
        <f>IF(tblSalaries[[#This Row],[Job Type]]=tblSalaries[[#Headers],[Specialist]],tblSalaries[[#This Row],[Salary in USD]],"")</f>
        <v/>
      </c>
    </row>
    <row r="125" spans="2:30" ht="15" customHeight="1" x14ac:dyDescent="0.25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 s="9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  <c r="N125" t="str">
        <f>IF(tblSalaries[[#This Row],[Years of Experience]]="","",IF(tblSalaries[[#This Row],[Years of Experience]]&lt;=2,1,""))</f>
        <v/>
      </c>
      <c r="O125" t="str">
        <f>IF(tblSalaries[[#This Row],[Years of Experience]]="","",IF(AND(tblSalaries[[#This Row],[Years of Experience]]&gt;2,tblSalaries[[#This Row],[Years of Experience]]&lt;=5),1,""))</f>
        <v/>
      </c>
      <c r="P125" t="str">
        <f>IF(tblSalaries[[#This Row],[Years of Experience]]="","",IF(AND(tblSalaries[[#This Row],[Years of Experience]]&gt;5,tblSalaries[[#This Row],[Years of Experience]]&lt;=10),1,""))</f>
        <v/>
      </c>
      <c r="Q125" t="str">
        <f>IF(tblSalaries[[#This Row],[Years of Experience]]="","",IF(AND(tblSalaries[[#This Row],[Years of Experience]]&gt;10,tblSalaries[[#This Row],[Years of Experience]]&lt;=15),1,""))</f>
        <v/>
      </c>
      <c r="R125" t="str">
        <f>IF(tblSalaries[[#This Row],[Years of Experience]]="","",IF(AND(tblSalaries[[#This Row],[Years of Experience]]&gt;16,tblSalaries[[#This Row],[Years of Experience]]&lt;=20),1,""))</f>
        <v/>
      </c>
      <c r="S125" t="str">
        <f>IF(tblSalaries[[#This Row],[Years of Experience]]="","",IF(tblSalaries[[#This Row],[Years of Experience]]&gt;20,1,""))</f>
        <v/>
      </c>
      <c r="T1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5" s="13" t="str">
        <f>IF(tblSalaries[[#This Row],[Job Type]]=tblSalaries[[#Headers],[Accountant]],tblSalaries[[#This Row],[Salary in USD]],"")</f>
        <v/>
      </c>
      <c r="V125" s="13" t="str">
        <f>IF(tblSalaries[[#This Row],[Job Type]]=tblSalaries[[#Headers],[Analyst]],tblSalaries[[#This Row],[Salary in USD]],"")</f>
        <v/>
      </c>
      <c r="W125" s="13" t="str">
        <f>IF(tblSalaries[[#This Row],[Job Type]]=tblSalaries[[#Headers],[Consultant]],tblSalaries[[#This Row],[Salary in USD]],"")</f>
        <v/>
      </c>
      <c r="X125" s="13" t="str">
        <f>IF(tblSalaries[[#This Row],[Job Type]]=tblSalaries[[#Headers],[Controller]],tblSalaries[[#This Row],[Salary in USD]],"")</f>
        <v/>
      </c>
      <c r="Y125" s="13" t="str">
        <f>IF(tblSalaries[[#This Row],[Job Type]]=tblSalaries[[#Headers],[CXO or Top Mgmt.]],tblSalaries[[#This Row],[clean Salary (in local currency)]],"")</f>
        <v/>
      </c>
      <c r="Z125" s="13" t="str">
        <f>IF(tblSalaries[[#This Row],[Job Type]]=tblSalaries[[#Headers],[Engineer]],tblSalaries[[#This Row],[Salary in USD]],"")</f>
        <v/>
      </c>
      <c r="AA125" s="13" t="str">
        <f>IF(tblSalaries[[#This Row],[Job Type]]=tblSalaries[[#Headers],[Manager]],tblSalaries[[#This Row],[Salary in USD]],"")</f>
        <v/>
      </c>
      <c r="AB125" s="13" t="str">
        <f>IF(tblSalaries[[#This Row],[Job Type]]=tblSalaries[[#Headers],[Misc.]],tblSalaries[[#This Row],[Salary in USD]],"")</f>
        <v/>
      </c>
      <c r="AC125" s="13" t="str">
        <f>IF(tblSalaries[[#This Row],[Job Type]]=tblSalaries[[#Headers],[Reporting]],tblSalaries[[#This Row],[Salary in USD]],"")</f>
        <v/>
      </c>
      <c r="AD125" s="13">
        <f>IF(tblSalaries[[#This Row],[Job Type]]=tblSalaries[[#Headers],[Specialist]],tblSalaries[[#This Row],[Salary in USD]],"")</f>
        <v>50000</v>
      </c>
    </row>
    <row r="126" spans="2:30" ht="15" customHeight="1" x14ac:dyDescent="0.25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 s="9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  <c r="N126" t="str">
        <f>IF(tblSalaries[[#This Row],[Years of Experience]]="","",IF(tblSalaries[[#This Row],[Years of Experience]]&lt;=2,1,""))</f>
        <v/>
      </c>
      <c r="O126" t="str">
        <f>IF(tblSalaries[[#This Row],[Years of Experience]]="","",IF(AND(tblSalaries[[#This Row],[Years of Experience]]&gt;2,tblSalaries[[#This Row],[Years of Experience]]&lt;=5),1,""))</f>
        <v/>
      </c>
      <c r="P126" t="str">
        <f>IF(tblSalaries[[#This Row],[Years of Experience]]="","",IF(AND(tblSalaries[[#This Row],[Years of Experience]]&gt;5,tblSalaries[[#This Row],[Years of Experience]]&lt;=10),1,""))</f>
        <v/>
      </c>
      <c r="Q126" t="str">
        <f>IF(tblSalaries[[#This Row],[Years of Experience]]="","",IF(AND(tblSalaries[[#This Row],[Years of Experience]]&gt;10,tblSalaries[[#This Row],[Years of Experience]]&lt;=15),1,""))</f>
        <v/>
      </c>
      <c r="R126" t="str">
        <f>IF(tblSalaries[[#This Row],[Years of Experience]]="","",IF(AND(tblSalaries[[#This Row],[Years of Experience]]&gt;16,tblSalaries[[#This Row],[Years of Experience]]&lt;=20),1,""))</f>
        <v/>
      </c>
      <c r="S126" t="str">
        <f>IF(tblSalaries[[#This Row],[Years of Experience]]="","",IF(tblSalaries[[#This Row],[Years of Experience]]&gt;20,1,""))</f>
        <v/>
      </c>
      <c r="T1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6" s="13" t="str">
        <f>IF(tblSalaries[[#This Row],[Job Type]]=tblSalaries[[#Headers],[Accountant]],tblSalaries[[#This Row],[Salary in USD]],"")</f>
        <v/>
      </c>
      <c r="V126" s="13">
        <f>IF(tblSalaries[[#This Row],[Job Type]]=tblSalaries[[#Headers],[Analyst]],tblSalaries[[#This Row],[Salary in USD]],"")</f>
        <v>40958.208381117904</v>
      </c>
      <c r="W126" s="13" t="str">
        <f>IF(tblSalaries[[#This Row],[Job Type]]=tblSalaries[[#Headers],[Consultant]],tblSalaries[[#This Row],[Salary in USD]],"")</f>
        <v/>
      </c>
      <c r="X126" s="13" t="str">
        <f>IF(tblSalaries[[#This Row],[Job Type]]=tblSalaries[[#Headers],[Controller]],tblSalaries[[#This Row],[Salary in USD]],"")</f>
        <v/>
      </c>
      <c r="Y126" s="13" t="str">
        <f>IF(tblSalaries[[#This Row],[Job Type]]=tblSalaries[[#Headers],[CXO or Top Mgmt.]],tblSalaries[[#This Row],[clean Salary (in local currency)]],"")</f>
        <v/>
      </c>
      <c r="Z126" s="13" t="str">
        <f>IF(tblSalaries[[#This Row],[Job Type]]=tblSalaries[[#Headers],[Engineer]],tblSalaries[[#This Row],[Salary in USD]],"")</f>
        <v/>
      </c>
      <c r="AA126" s="13" t="str">
        <f>IF(tblSalaries[[#This Row],[Job Type]]=tblSalaries[[#Headers],[Manager]],tblSalaries[[#This Row],[Salary in USD]],"")</f>
        <v/>
      </c>
      <c r="AB126" s="13" t="str">
        <f>IF(tblSalaries[[#This Row],[Job Type]]=tblSalaries[[#Headers],[Misc.]],tblSalaries[[#This Row],[Salary in USD]],"")</f>
        <v/>
      </c>
      <c r="AC126" s="13" t="str">
        <f>IF(tblSalaries[[#This Row],[Job Type]]=tblSalaries[[#Headers],[Reporting]],tblSalaries[[#This Row],[Salary in USD]],"")</f>
        <v/>
      </c>
      <c r="AD126" s="13" t="str">
        <f>IF(tblSalaries[[#This Row],[Job Type]]=tblSalaries[[#Headers],[Specialist]],tblSalaries[[#This Row],[Salary in USD]],"")</f>
        <v/>
      </c>
    </row>
    <row r="127" spans="2:30" ht="15" customHeight="1" x14ac:dyDescent="0.25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 s="9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  <c r="N127" t="str">
        <f>IF(tblSalaries[[#This Row],[Years of Experience]]="","",IF(tblSalaries[[#This Row],[Years of Experience]]&lt;=2,1,""))</f>
        <v/>
      </c>
      <c r="O127" t="str">
        <f>IF(tblSalaries[[#This Row],[Years of Experience]]="","",IF(AND(tblSalaries[[#This Row],[Years of Experience]]&gt;2,tblSalaries[[#This Row],[Years of Experience]]&lt;=5),1,""))</f>
        <v/>
      </c>
      <c r="P127" t="str">
        <f>IF(tblSalaries[[#This Row],[Years of Experience]]="","",IF(AND(tblSalaries[[#This Row],[Years of Experience]]&gt;5,tblSalaries[[#This Row],[Years of Experience]]&lt;=10),1,""))</f>
        <v/>
      </c>
      <c r="Q127" t="str">
        <f>IF(tblSalaries[[#This Row],[Years of Experience]]="","",IF(AND(tblSalaries[[#This Row],[Years of Experience]]&gt;10,tblSalaries[[#This Row],[Years of Experience]]&lt;=15),1,""))</f>
        <v/>
      </c>
      <c r="R127" t="str">
        <f>IF(tblSalaries[[#This Row],[Years of Experience]]="","",IF(AND(tblSalaries[[#This Row],[Years of Experience]]&gt;16,tblSalaries[[#This Row],[Years of Experience]]&lt;=20),1,""))</f>
        <v/>
      </c>
      <c r="S127" t="str">
        <f>IF(tblSalaries[[#This Row],[Years of Experience]]="","",IF(tblSalaries[[#This Row],[Years of Experience]]&gt;20,1,""))</f>
        <v/>
      </c>
      <c r="T1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7" s="13" t="str">
        <f>IF(tblSalaries[[#This Row],[Job Type]]=tblSalaries[[#Headers],[Accountant]],tblSalaries[[#This Row],[Salary in USD]],"")</f>
        <v/>
      </c>
      <c r="V127" s="13">
        <f>IF(tblSalaries[[#This Row],[Job Type]]=tblSalaries[[#Headers],[Analyst]],tblSalaries[[#This Row],[Salary in USD]],"")</f>
        <v>80000</v>
      </c>
      <c r="W127" s="13" t="str">
        <f>IF(tblSalaries[[#This Row],[Job Type]]=tblSalaries[[#Headers],[Consultant]],tblSalaries[[#This Row],[Salary in USD]],"")</f>
        <v/>
      </c>
      <c r="X127" s="13" t="str">
        <f>IF(tblSalaries[[#This Row],[Job Type]]=tblSalaries[[#Headers],[Controller]],tblSalaries[[#This Row],[Salary in USD]],"")</f>
        <v/>
      </c>
      <c r="Y127" s="13" t="str">
        <f>IF(tblSalaries[[#This Row],[Job Type]]=tblSalaries[[#Headers],[CXO or Top Mgmt.]],tblSalaries[[#This Row],[clean Salary (in local currency)]],"")</f>
        <v/>
      </c>
      <c r="Z127" s="13" t="str">
        <f>IF(tblSalaries[[#This Row],[Job Type]]=tblSalaries[[#Headers],[Engineer]],tblSalaries[[#This Row],[Salary in USD]],"")</f>
        <v/>
      </c>
      <c r="AA127" s="13" t="str">
        <f>IF(tblSalaries[[#This Row],[Job Type]]=tblSalaries[[#Headers],[Manager]],tblSalaries[[#This Row],[Salary in USD]],"")</f>
        <v/>
      </c>
      <c r="AB127" s="13" t="str">
        <f>IF(tblSalaries[[#This Row],[Job Type]]=tblSalaries[[#Headers],[Misc.]],tblSalaries[[#This Row],[Salary in USD]],"")</f>
        <v/>
      </c>
      <c r="AC127" s="13" t="str">
        <f>IF(tblSalaries[[#This Row],[Job Type]]=tblSalaries[[#Headers],[Reporting]],tblSalaries[[#This Row],[Salary in USD]],"")</f>
        <v/>
      </c>
      <c r="AD127" s="13" t="str">
        <f>IF(tblSalaries[[#This Row],[Job Type]]=tblSalaries[[#Headers],[Specialist]],tblSalaries[[#This Row],[Salary in USD]],"")</f>
        <v/>
      </c>
    </row>
    <row r="128" spans="2:30" ht="15" customHeight="1" x14ac:dyDescent="0.25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 s="9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  <c r="N128" t="str">
        <f>IF(tblSalaries[[#This Row],[Years of Experience]]="","",IF(tblSalaries[[#This Row],[Years of Experience]]&lt;=2,1,""))</f>
        <v/>
      </c>
      <c r="O128" t="str">
        <f>IF(tblSalaries[[#This Row],[Years of Experience]]="","",IF(AND(tblSalaries[[#This Row],[Years of Experience]]&gt;2,tblSalaries[[#This Row],[Years of Experience]]&lt;=5),1,""))</f>
        <v/>
      </c>
      <c r="P128" t="str">
        <f>IF(tblSalaries[[#This Row],[Years of Experience]]="","",IF(AND(tblSalaries[[#This Row],[Years of Experience]]&gt;5,tblSalaries[[#This Row],[Years of Experience]]&lt;=10),1,""))</f>
        <v/>
      </c>
      <c r="Q128" t="str">
        <f>IF(tblSalaries[[#This Row],[Years of Experience]]="","",IF(AND(tblSalaries[[#This Row],[Years of Experience]]&gt;10,tblSalaries[[#This Row],[Years of Experience]]&lt;=15),1,""))</f>
        <v/>
      </c>
      <c r="R128" t="str">
        <f>IF(tblSalaries[[#This Row],[Years of Experience]]="","",IF(AND(tblSalaries[[#This Row],[Years of Experience]]&gt;16,tblSalaries[[#This Row],[Years of Experience]]&lt;=20),1,""))</f>
        <v/>
      </c>
      <c r="S128" t="str">
        <f>IF(tblSalaries[[#This Row],[Years of Experience]]="","",IF(tblSalaries[[#This Row],[Years of Experience]]&gt;20,1,""))</f>
        <v/>
      </c>
      <c r="T1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8" s="13" t="str">
        <f>IF(tblSalaries[[#This Row],[Job Type]]=tblSalaries[[#Headers],[Accountant]],tblSalaries[[#This Row],[Salary in USD]],"")</f>
        <v/>
      </c>
      <c r="V128" s="13" t="str">
        <f>IF(tblSalaries[[#This Row],[Job Type]]=tblSalaries[[#Headers],[Analyst]],tblSalaries[[#This Row],[Salary in USD]],"")</f>
        <v/>
      </c>
      <c r="W128" s="13" t="str">
        <f>IF(tblSalaries[[#This Row],[Job Type]]=tblSalaries[[#Headers],[Consultant]],tblSalaries[[#This Row],[Salary in USD]],"")</f>
        <v/>
      </c>
      <c r="X128" s="13" t="str">
        <f>IF(tblSalaries[[#This Row],[Job Type]]=tblSalaries[[#Headers],[Controller]],tblSalaries[[#This Row],[Salary in USD]],"")</f>
        <v/>
      </c>
      <c r="Y128" s="13" t="str">
        <f>IF(tblSalaries[[#This Row],[Job Type]]=tblSalaries[[#Headers],[CXO or Top Mgmt.]],tblSalaries[[#This Row],[clean Salary (in local currency)]],"")</f>
        <v/>
      </c>
      <c r="Z128" s="13" t="str">
        <f>IF(tblSalaries[[#This Row],[Job Type]]=tblSalaries[[#Headers],[Engineer]],tblSalaries[[#This Row],[Salary in USD]],"")</f>
        <v/>
      </c>
      <c r="AA128" s="13">
        <f>IF(tblSalaries[[#This Row],[Job Type]]=tblSalaries[[#Headers],[Manager]],tblSalaries[[#This Row],[Salary in USD]],"")</f>
        <v>128000</v>
      </c>
      <c r="AB128" s="13" t="str">
        <f>IF(tblSalaries[[#This Row],[Job Type]]=tblSalaries[[#Headers],[Misc.]],tblSalaries[[#This Row],[Salary in USD]],"")</f>
        <v/>
      </c>
      <c r="AC128" s="13" t="str">
        <f>IF(tblSalaries[[#This Row],[Job Type]]=tblSalaries[[#Headers],[Reporting]],tblSalaries[[#This Row],[Salary in USD]],"")</f>
        <v/>
      </c>
      <c r="AD128" s="13" t="str">
        <f>IF(tblSalaries[[#This Row],[Job Type]]=tblSalaries[[#Headers],[Specialist]],tblSalaries[[#This Row],[Salary in USD]],"")</f>
        <v/>
      </c>
    </row>
    <row r="129" spans="2:30" ht="15" customHeight="1" x14ac:dyDescent="0.25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 s="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  <c r="N129" t="str">
        <f>IF(tblSalaries[[#This Row],[Years of Experience]]="","",IF(tblSalaries[[#This Row],[Years of Experience]]&lt;=2,1,""))</f>
        <v/>
      </c>
      <c r="O129" t="str">
        <f>IF(tblSalaries[[#This Row],[Years of Experience]]="","",IF(AND(tblSalaries[[#This Row],[Years of Experience]]&gt;2,tblSalaries[[#This Row],[Years of Experience]]&lt;=5),1,""))</f>
        <v/>
      </c>
      <c r="P129" t="str">
        <f>IF(tblSalaries[[#This Row],[Years of Experience]]="","",IF(AND(tblSalaries[[#This Row],[Years of Experience]]&gt;5,tblSalaries[[#This Row],[Years of Experience]]&lt;=10),1,""))</f>
        <v/>
      </c>
      <c r="Q129" t="str">
        <f>IF(tblSalaries[[#This Row],[Years of Experience]]="","",IF(AND(tblSalaries[[#This Row],[Years of Experience]]&gt;10,tblSalaries[[#This Row],[Years of Experience]]&lt;=15),1,""))</f>
        <v/>
      </c>
      <c r="R129" t="str">
        <f>IF(tblSalaries[[#This Row],[Years of Experience]]="","",IF(AND(tblSalaries[[#This Row],[Years of Experience]]&gt;16,tblSalaries[[#This Row],[Years of Experience]]&lt;=20),1,""))</f>
        <v/>
      </c>
      <c r="S129" t="str">
        <f>IF(tblSalaries[[#This Row],[Years of Experience]]="","",IF(tblSalaries[[#This Row],[Years of Experience]]&gt;20,1,""))</f>
        <v/>
      </c>
      <c r="T1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9" s="13" t="str">
        <f>IF(tblSalaries[[#This Row],[Job Type]]=tblSalaries[[#Headers],[Accountant]],tblSalaries[[#This Row],[Salary in USD]],"")</f>
        <v/>
      </c>
      <c r="V129" s="13" t="str">
        <f>IF(tblSalaries[[#This Row],[Job Type]]=tblSalaries[[#Headers],[Analyst]],tblSalaries[[#This Row],[Salary in USD]],"")</f>
        <v/>
      </c>
      <c r="W129" s="13" t="str">
        <f>IF(tblSalaries[[#This Row],[Job Type]]=tblSalaries[[#Headers],[Consultant]],tblSalaries[[#This Row],[Salary in USD]],"")</f>
        <v/>
      </c>
      <c r="X129" s="13" t="str">
        <f>IF(tblSalaries[[#This Row],[Job Type]]=tblSalaries[[#Headers],[Controller]],tblSalaries[[#This Row],[Salary in USD]],"")</f>
        <v/>
      </c>
      <c r="Y129" s="13" t="str">
        <f>IF(tblSalaries[[#This Row],[Job Type]]=tblSalaries[[#Headers],[CXO or Top Mgmt.]],tblSalaries[[#This Row],[clean Salary (in local currency)]],"")</f>
        <v/>
      </c>
      <c r="Z129" s="13" t="str">
        <f>IF(tblSalaries[[#This Row],[Job Type]]=tblSalaries[[#Headers],[Engineer]],tblSalaries[[#This Row],[Salary in USD]],"")</f>
        <v/>
      </c>
      <c r="AA129" s="13">
        <f>IF(tblSalaries[[#This Row],[Job Type]]=tblSalaries[[#Headers],[Manager]],tblSalaries[[#This Row],[Salary in USD]],"")</f>
        <v>44000</v>
      </c>
      <c r="AB129" s="13" t="str">
        <f>IF(tblSalaries[[#This Row],[Job Type]]=tblSalaries[[#Headers],[Misc.]],tblSalaries[[#This Row],[Salary in USD]],"")</f>
        <v/>
      </c>
      <c r="AC129" s="13" t="str">
        <f>IF(tblSalaries[[#This Row],[Job Type]]=tblSalaries[[#Headers],[Reporting]],tblSalaries[[#This Row],[Salary in USD]],"")</f>
        <v/>
      </c>
      <c r="AD129" s="13" t="str">
        <f>IF(tblSalaries[[#This Row],[Job Type]]=tblSalaries[[#Headers],[Specialist]],tblSalaries[[#This Row],[Salary in USD]],"")</f>
        <v/>
      </c>
    </row>
    <row r="130" spans="2:30" ht="15" customHeight="1" x14ac:dyDescent="0.25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 s="9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  <c r="N130" t="str">
        <f>IF(tblSalaries[[#This Row],[Years of Experience]]="","",IF(tblSalaries[[#This Row],[Years of Experience]]&lt;=2,1,""))</f>
        <v/>
      </c>
      <c r="O130" t="str">
        <f>IF(tblSalaries[[#This Row],[Years of Experience]]="","",IF(AND(tblSalaries[[#This Row],[Years of Experience]]&gt;2,tblSalaries[[#This Row],[Years of Experience]]&lt;=5),1,""))</f>
        <v/>
      </c>
      <c r="P130" t="str">
        <f>IF(tblSalaries[[#This Row],[Years of Experience]]="","",IF(AND(tblSalaries[[#This Row],[Years of Experience]]&gt;5,tblSalaries[[#This Row],[Years of Experience]]&lt;=10),1,""))</f>
        <v/>
      </c>
      <c r="Q130" t="str">
        <f>IF(tblSalaries[[#This Row],[Years of Experience]]="","",IF(AND(tblSalaries[[#This Row],[Years of Experience]]&gt;10,tblSalaries[[#This Row],[Years of Experience]]&lt;=15),1,""))</f>
        <v/>
      </c>
      <c r="R130" t="str">
        <f>IF(tblSalaries[[#This Row],[Years of Experience]]="","",IF(AND(tblSalaries[[#This Row],[Years of Experience]]&gt;16,tblSalaries[[#This Row],[Years of Experience]]&lt;=20),1,""))</f>
        <v/>
      </c>
      <c r="S130" t="str">
        <f>IF(tblSalaries[[#This Row],[Years of Experience]]="","",IF(tblSalaries[[#This Row],[Years of Experience]]&gt;20,1,""))</f>
        <v/>
      </c>
      <c r="T1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0" s="13">
        <f>IF(tblSalaries[[#This Row],[Job Type]]=tblSalaries[[#Headers],[Accountant]],tblSalaries[[#This Row],[Salary in USD]],"")</f>
        <v>65000</v>
      </c>
      <c r="V130" s="13" t="str">
        <f>IF(tblSalaries[[#This Row],[Job Type]]=tblSalaries[[#Headers],[Analyst]],tblSalaries[[#This Row],[Salary in USD]],"")</f>
        <v/>
      </c>
      <c r="W130" s="13" t="str">
        <f>IF(tblSalaries[[#This Row],[Job Type]]=tblSalaries[[#Headers],[Consultant]],tblSalaries[[#This Row],[Salary in USD]],"")</f>
        <v/>
      </c>
      <c r="X130" s="13" t="str">
        <f>IF(tblSalaries[[#This Row],[Job Type]]=tblSalaries[[#Headers],[Controller]],tblSalaries[[#This Row],[Salary in USD]],"")</f>
        <v/>
      </c>
      <c r="Y130" s="13" t="str">
        <f>IF(tblSalaries[[#This Row],[Job Type]]=tblSalaries[[#Headers],[CXO or Top Mgmt.]],tblSalaries[[#This Row],[clean Salary (in local currency)]],"")</f>
        <v/>
      </c>
      <c r="Z130" s="13" t="str">
        <f>IF(tblSalaries[[#This Row],[Job Type]]=tblSalaries[[#Headers],[Engineer]],tblSalaries[[#This Row],[Salary in USD]],"")</f>
        <v/>
      </c>
      <c r="AA130" s="13" t="str">
        <f>IF(tblSalaries[[#This Row],[Job Type]]=tblSalaries[[#Headers],[Manager]],tblSalaries[[#This Row],[Salary in USD]],"")</f>
        <v/>
      </c>
      <c r="AB130" s="13" t="str">
        <f>IF(tblSalaries[[#This Row],[Job Type]]=tblSalaries[[#Headers],[Misc.]],tblSalaries[[#This Row],[Salary in USD]],"")</f>
        <v/>
      </c>
      <c r="AC130" s="13" t="str">
        <f>IF(tblSalaries[[#This Row],[Job Type]]=tblSalaries[[#Headers],[Reporting]],tblSalaries[[#This Row],[Salary in USD]],"")</f>
        <v/>
      </c>
      <c r="AD130" s="13" t="str">
        <f>IF(tblSalaries[[#This Row],[Job Type]]=tblSalaries[[#Headers],[Specialist]],tblSalaries[[#This Row],[Salary in USD]],"")</f>
        <v/>
      </c>
    </row>
    <row r="131" spans="2:30" ht="15" customHeight="1" x14ac:dyDescent="0.25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 s="9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  <c r="N131" t="str">
        <f>IF(tblSalaries[[#This Row],[Years of Experience]]="","",IF(tblSalaries[[#This Row],[Years of Experience]]&lt;=2,1,""))</f>
        <v/>
      </c>
      <c r="O131" t="str">
        <f>IF(tblSalaries[[#This Row],[Years of Experience]]="","",IF(AND(tblSalaries[[#This Row],[Years of Experience]]&gt;2,tblSalaries[[#This Row],[Years of Experience]]&lt;=5),1,""))</f>
        <v/>
      </c>
      <c r="P131" t="str">
        <f>IF(tblSalaries[[#This Row],[Years of Experience]]="","",IF(AND(tblSalaries[[#This Row],[Years of Experience]]&gt;5,tblSalaries[[#This Row],[Years of Experience]]&lt;=10),1,""))</f>
        <v/>
      </c>
      <c r="Q131" t="str">
        <f>IF(tblSalaries[[#This Row],[Years of Experience]]="","",IF(AND(tblSalaries[[#This Row],[Years of Experience]]&gt;10,tblSalaries[[#This Row],[Years of Experience]]&lt;=15),1,""))</f>
        <v/>
      </c>
      <c r="R131" t="str">
        <f>IF(tblSalaries[[#This Row],[Years of Experience]]="","",IF(AND(tblSalaries[[#This Row],[Years of Experience]]&gt;16,tblSalaries[[#This Row],[Years of Experience]]&lt;=20),1,""))</f>
        <v/>
      </c>
      <c r="S131" t="str">
        <f>IF(tblSalaries[[#This Row],[Years of Experience]]="","",IF(tblSalaries[[#This Row],[Years of Experience]]&gt;20,1,""))</f>
        <v/>
      </c>
      <c r="T1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1" s="13">
        <f>IF(tblSalaries[[#This Row],[Job Type]]=tblSalaries[[#Headers],[Accountant]],tblSalaries[[#This Row],[Salary in USD]],"")</f>
        <v>36000</v>
      </c>
      <c r="V131" s="13" t="str">
        <f>IF(tblSalaries[[#This Row],[Job Type]]=tblSalaries[[#Headers],[Analyst]],tblSalaries[[#This Row],[Salary in USD]],"")</f>
        <v/>
      </c>
      <c r="W131" s="13" t="str">
        <f>IF(tblSalaries[[#This Row],[Job Type]]=tblSalaries[[#Headers],[Consultant]],tblSalaries[[#This Row],[Salary in USD]],"")</f>
        <v/>
      </c>
      <c r="X131" s="13" t="str">
        <f>IF(tblSalaries[[#This Row],[Job Type]]=tblSalaries[[#Headers],[Controller]],tblSalaries[[#This Row],[Salary in USD]],"")</f>
        <v/>
      </c>
      <c r="Y131" s="13" t="str">
        <f>IF(tblSalaries[[#This Row],[Job Type]]=tblSalaries[[#Headers],[CXO or Top Mgmt.]],tblSalaries[[#This Row],[clean Salary (in local currency)]],"")</f>
        <v/>
      </c>
      <c r="Z131" s="13" t="str">
        <f>IF(tblSalaries[[#This Row],[Job Type]]=tblSalaries[[#Headers],[Engineer]],tblSalaries[[#This Row],[Salary in USD]],"")</f>
        <v/>
      </c>
      <c r="AA131" s="13" t="str">
        <f>IF(tblSalaries[[#This Row],[Job Type]]=tblSalaries[[#Headers],[Manager]],tblSalaries[[#This Row],[Salary in USD]],"")</f>
        <v/>
      </c>
      <c r="AB131" s="13" t="str">
        <f>IF(tblSalaries[[#This Row],[Job Type]]=tblSalaries[[#Headers],[Misc.]],tblSalaries[[#This Row],[Salary in USD]],"")</f>
        <v/>
      </c>
      <c r="AC131" s="13" t="str">
        <f>IF(tblSalaries[[#This Row],[Job Type]]=tblSalaries[[#Headers],[Reporting]],tblSalaries[[#This Row],[Salary in USD]],"")</f>
        <v/>
      </c>
      <c r="AD131" s="13" t="str">
        <f>IF(tblSalaries[[#This Row],[Job Type]]=tblSalaries[[#Headers],[Specialist]],tblSalaries[[#This Row],[Salary in USD]],"")</f>
        <v/>
      </c>
    </row>
    <row r="132" spans="2:30" ht="15" customHeight="1" x14ac:dyDescent="0.25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 s="9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  <c r="N132" t="str">
        <f>IF(tblSalaries[[#This Row],[Years of Experience]]="","",IF(tblSalaries[[#This Row],[Years of Experience]]&lt;=2,1,""))</f>
        <v/>
      </c>
      <c r="O132" t="str">
        <f>IF(tblSalaries[[#This Row],[Years of Experience]]="","",IF(AND(tblSalaries[[#This Row],[Years of Experience]]&gt;2,tblSalaries[[#This Row],[Years of Experience]]&lt;=5),1,""))</f>
        <v/>
      </c>
      <c r="P132" t="str">
        <f>IF(tblSalaries[[#This Row],[Years of Experience]]="","",IF(AND(tblSalaries[[#This Row],[Years of Experience]]&gt;5,tblSalaries[[#This Row],[Years of Experience]]&lt;=10),1,""))</f>
        <v/>
      </c>
      <c r="Q132" t="str">
        <f>IF(tblSalaries[[#This Row],[Years of Experience]]="","",IF(AND(tblSalaries[[#This Row],[Years of Experience]]&gt;10,tblSalaries[[#This Row],[Years of Experience]]&lt;=15),1,""))</f>
        <v/>
      </c>
      <c r="R132" t="str">
        <f>IF(tblSalaries[[#This Row],[Years of Experience]]="","",IF(AND(tblSalaries[[#This Row],[Years of Experience]]&gt;16,tblSalaries[[#This Row],[Years of Experience]]&lt;=20),1,""))</f>
        <v/>
      </c>
      <c r="S132" t="str">
        <f>IF(tblSalaries[[#This Row],[Years of Experience]]="","",IF(tblSalaries[[#This Row],[Years of Experience]]&gt;20,1,""))</f>
        <v/>
      </c>
      <c r="T1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2" s="13" t="str">
        <f>IF(tblSalaries[[#This Row],[Job Type]]=tblSalaries[[#Headers],[Accountant]],tblSalaries[[#This Row],[Salary in USD]],"")</f>
        <v/>
      </c>
      <c r="V132" s="13" t="str">
        <f>IF(tblSalaries[[#This Row],[Job Type]]=tblSalaries[[#Headers],[Analyst]],tblSalaries[[#This Row],[Salary in USD]],"")</f>
        <v/>
      </c>
      <c r="W132" s="13">
        <f>IF(tblSalaries[[#This Row],[Job Type]]=tblSalaries[[#Headers],[Consultant]],tblSalaries[[#This Row],[Salary in USD]],"")</f>
        <v>12000</v>
      </c>
      <c r="X132" s="13" t="str">
        <f>IF(tblSalaries[[#This Row],[Job Type]]=tblSalaries[[#Headers],[Controller]],tblSalaries[[#This Row],[Salary in USD]],"")</f>
        <v/>
      </c>
      <c r="Y132" s="13" t="str">
        <f>IF(tblSalaries[[#This Row],[Job Type]]=tblSalaries[[#Headers],[CXO or Top Mgmt.]],tblSalaries[[#This Row],[clean Salary (in local currency)]],"")</f>
        <v/>
      </c>
      <c r="Z132" s="13" t="str">
        <f>IF(tblSalaries[[#This Row],[Job Type]]=tblSalaries[[#Headers],[Engineer]],tblSalaries[[#This Row],[Salary in USD]],"")</f>
        <v/>
      </c>
      <c r="AA132" s="13" t="str">
        <f>IF(tblSalaries[[#This Row],[Job Type]]=tblSalaries[[#Headers],[Manager]],tblSalaries[[#This Row],[Salary in USD]],"")</f>
        <v/>
      </c>
      <c r="AB132" s="13" t="str">
        <f>IF(tblSalaries[[#This Row],[Job Type]]=tblSalaries[[#Headers],[Misc.]],tblSalaries[[#This Row],[Salary in USD]],"")</f>
        <v/>
      </c>
      <c r="AC132" s="13" t="str">
        <f>IF(tblSalaries[[#This Row],[Job Type]]=tblSalaries[[#Headers],[Reporting]],tblSalaries[[#This Row],[Salary in USD]],"")</f>
        <v/>
      </c>
      <c r="AD132" s="13" t="str">
        <f>IF(tblSalaries[[#This Row],[Job Type]]=tblSalaries[[#Headers],[Specialist]],tblSalaries[[#This Row],[Salary in USD]],"")</f>
        <v/>
      </c>
    </row>
    <row r="133" spans="2:30" ht="15" customHeight="1" x14ac:dyDescent="0.25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 s="9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  <c r="N133" t="str">
        <f>IF(tblSalaries[[#This Row],[Years of Experience]]="","",IF(tblSalaries[[#This Row],[Years of Experience]]&lt;=2,1,""))</f>
        <v/>
      </c>
      <c r="O133" t="str">
        <f>IF(tblSalaries[[#This Row],[Years of Experience]]="","",IF(AND(tblSalaries[[#This Row],[Years of Experience]]&gt;2,tblSalaries[[#This Row],[Years of Experience]]&lt;=5),1,""))</f>
        <v/>
      </c>
      <c r="P133" t="str">
        <f>IF(tblSalaries[[#This Row],[Years of Experience]]="","",IF(AND(tblSalaries[[#This Row],[Years of Experience]]&gt;5,tblSalaries[[#This Row],[Years of Experience]]&lt;=10),1,""))</f>
        <v/>
      </c>
      <c r="Q133" t="str">
        <f>IF(tblSalaries[[#This Row],[Years of Experience]]="","",IF(AND(tblSalaries[[#This Row],[Years of Experience]]&gt;10,tblSalaries[[#This Row],[Years of Experience]]&lt;=15),1,""))</f>
        <v/>
      </c>
      <c r="R133" t="str">
        <f>IF(tblSalaries[[#This Row],[Years of Experience]]="","",IF(AND(tblSalaries[[#This Row],[Years of Experience]]&gt;16,tblSalaries[[#This Row],[Years of Experience]]&lt;=20),1,""))</f>
        <v/>
      </c>
      <c r="S133" t="str">
        <f>IF(tblSalaries[[#This Row],[Years of Experience]]="","",IF(tblSalaries[[#This Row],[Years of Experience]]&gt;20,1,""))</f>
        <v/>
      </c>
      <c r="T1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3" s="13" t="str">
        <f>IF(tblSalaries[[#This Row],[Job Type]]=tblSalaries[[#Headers],[Accountant]],tblSalaries[[#This Row],[Salary in USD]],"")</f>
        <v/>
      </c>
      <c r="V133" s="13">
        <f>IF(tblSalaries[[#This Row],[Job Type]]=tblSalaries[[#Headers],[Analyst]],tblSalaries[[#This Row],[Salary in USD]],"")</f>
        <v>44383.603963142654</v>
      </c>
      <c r="W133" s="13" t="str">
        <f>IF(tblSalaries[[#This Row],[Job Type]]=tblSalaries[[#Headers],[Consultant]],tblSalaries[[#This Row],[Salary in USD]],"")</f>
        <v/>
      </c>
      <c r="X133" s="13" t="str">
        <f>IF(tblSalaries[[#This Row],[Job Type]]=tblSalaries[[#Headers],[Controller]],tblSalaries[[#This Row],[Salary in USD]],"")</f>
        <v/>
      </c>
      <c r="Y133" s="13" t="str">
        <f>IF(tblSalaries[[#This Row],[Job Type]]=tblSalaries[[#Headers],[CXO or Top Mgmt.]],tblSalaries[[#This Row],[clean Salary (in local currency)]],"")</f>
        <v/>
      </c>
      <c r="Z133" s="13" t="str">
        <f>IF(tblSalaries[[#This Row],[Job Type]]=tblSalaries[[#Headers],[Engineer]],tblSalaries[[#This Row],[Salary in USD]],"")</f>
        <v/>
      </c>
      <c r="AA133" s="13" t="str">
        <f>IF(tblSalaries[[#This Row],[Job Type]]=tblSalaries[[#Headers],[Manager]],tblSalaries[[#This Row],[Salary in USD]],"")</f>
        <v/>
      </c>
      <c r="AB133" s="13" t="str">
        <f>IF(tblSalaries[[#This Row],[Job Type]]=tblSalaries[[#Headers],[Misc.]],tblSalaries[[#This Row],[Salary in USD]],"")</f>
        <v/>
      </c>
      <c r="AC133" s="13" t="str">
        <f>IF(tblSalaries[[#This Row],[Job Type]]=tblSalaries[[#Headers],[Reporting]],tblSalaries[[#This Row],[Salary in USD]],"")</f>
        <v/>
      </c>
      <c r="AD133" s="13" t="str">
        <f>IF(tblSalaries[[#This Row],[Job Type]]=tblSalaries[[#Headers],[Specialist]],tblSalaries[[#This Row],[Salary in USD]],"")</f>
        <v/>
      </c>
    </row>
    <row r="134" spans="2:30" ht="15" customHeight="1" x14ac:dyDescent="0.25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 s="9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  <c r="N134" t="str">
        <f>IF(tblSalaries[[#This Row],[Years of Experience]]="","",IF(tblSalaries[[#This Row],[Years of Experience]]&lt;=2,1,""))</f>
        <v/>
      </c>
      <c r="O134" t="str">
        <f>IF(tblSalaries[[#This Row],[Years of Experience]]="","",IF(AND(tblSalaries[[#This Row],[Years of Experience]]&gt;2,tblSalaries[[#This Row],[Years of Experience]]&lt;=5),1,""))</f>
        <v/>
      </c>
      <c r="P134" t="str">
        <f>IF(tblSalaries[[#This Row],[Years of Experience]]="","",IF(AND(tblSalaries[[#This Row],[Years of Experience]]&gt;5,tblSalaries[[#This Row],[Years of Experience]]&lt;=10),1,""))</f>
        <v/>
      </c>
      <c r="Q134" t="str">
        <f>IF(tblSalaries[[#This Row],[Years of Experience]]="","",IF(AND(tblSalaries[[#This Row],[Years of Experience]]&gt;10,tblSalaries[[#This Row],[Years of Experience]]&lt;=15),1,""))</f>
        <v/>
      </c>
      <c r="R134" t="str">
        <f>IF(tblSalaries[[#This Row],[Years of Experience]]="","",IF(AND(tblSalaries[[#This Row],[Years of Experience]]&gt;16,tblSalaries[[#This Row],[Years of Experience]]&lt;=20),1,""))</f>
        <v/>
      </c>
      <c r="S134" t="str">
        <f>IF(tblSalaries[[#This Row],[Years of Experience]]="","",IF(tblSalaries[[#This Row],[Years of Experience]]&gt;20,1,""))</f>
        <v/>
      </c>
      <c r="T1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4" s="13" t="str">
        <f>IF(tblSalaries[[#This Row],[Job Type]]=tblSalaries[[#Headers],[Accountant]],tblSalaries[[#This Row],[Salary in USD]],"")</f>
        <v/>
      </c>
      <c r="V134" s="13">
        <f>IF(tblSalaries[[#This Row],[Job Type]]=tblSalaries[[#Headers],[Analyst]],tblSalaries[[#This Row],[Salary in USD]],"")</f>
        <v>45000</v>
      </c>
      <c r="W134" s="13" t="str">
        <f>IF(tblSalaries[[#This Row],[Job Type]]=tblSalaries[[#Headers],[Consultant]],tblSalaries[[#This Row],[Salary in USD]],"")</f>
        <v/>
      </c>
      <c r="X134" s="13" t="str">
        <f>IF(tblSalaries[[#This Row],[Job Type]]=tblSalaries[[#Headers],[Controller]],tblSalaries[[#This Row],[Salary in USD]],"")</f>
        <v/>
      </c>
      <c r="Y134" s="13" t="str">
        <f>IF(tblSalaries[[#This Row],[Job Type]]=tblSalaries[[#Headers],[CXO or Top Mgmt.]],tblSalaries[[#This Row],[clean Salary (in local currency)]],"")</f>
        <v/>
      </c>
      <c r="Z134" s="13" t="str">
        <f>IF(tblSalaries[[#This Row],[Job Type]]=tblSalaries[[#Headers],[Engineer]],tblSalaries[[#This Row],[Salary in USD]],"")</f>
        <v/>
      </c>
      <c r="AA134" s="13" t="str">
        <f>IF(tblSalaries[[#This Row],[Job Type]]=tblSalaries[[#Headers],[Manager]],tblSalaries[[#This Row],[Salary in USD]],"")</f>
        <v/>
      </c>
      <c r="AB134" s="13" t="str">
        <f>IF(tblSalaries[[#This Row],[Job Type]]=tblSalaries[[#Headers],[Misc.]],tblSalaries[[#This Row],[Salary in USD]],"")</f>
        <v/>
      </c>
      <c r="AC134" s="13" t="str">
        <f>IF(tblSalaries[[#This Row],[Job Type]]=tblSalaries[[#Headers],[Reporting]],tblSalaries[[#This Row],[Salary in USD]],"")</f>
        <v/>
      </c>
      <c r="AD134" s="13" t="str">
        <f>IF(tblSalaries[[#This Row],[Job Type]]=tblSalaries[[#Headers],[Specialist]],tblSalaries[[#This Row],[Salary in USD]],"")</f>
        <v/>
      </c>
    </row>
    <row r="135" spans="2:30" ht="15" customHeight="1" x14ac:dyDescent="0.25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 s="9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  <c r="N135" t="str">
        <f>IF(tblSalaries[[#This Row],[Years of Experience]]="","",IF(tblSalaries[[#This Row],[Years of Experience]]&lt;=2,1,""))</f>
        <v/>
      </c>
      <c r="O135" t="str">
        <f>IF(tblSalaries[[#This Row],[Years of Experience]]="","",IF(AND(tblSalaries[[#This Row],[Years of Experience]]&gt;2,tblSalaries[[#This Row],[Years of Experience]]&lt;=5),1,""))</f>
        <v/>
      </c>
      <c r="P135" t="str">
        <f>IF(tblSalaries[[#This Row],[Years of Experience]]="","",IF(AND(tblSalaries[[#This Row],[Years of Experience]]&gt;5,tblSalaries[[#This Row],[Years of Experience]]&lt;=10),1,""))</f>
        <v/>
      </c>
      <c r="Q135" t="str">
        <f>IF(tblSalaries[[#This Row],[Years of Experience]]="","",IF(AND(tblSalaries[[#This Row],[Years of Experience]]&gt;10,tblSalaries[[#This Row],[Years of Experience]]&lt;=15),1,""))</f>
        <v/>
      </c>
      <c r="R135" t="str">
        <f>IF(tblSalaries[[#This Row],[Years of Experience]]="","",IF(AND(tblSalaries[[#This Row],[Years of Experience]]&gt;16,tblSalaries[[#This Row],[Years of Experience]]&lt;=20),1,""))</f>
        <v/>
      </c>
      <c r="S135" t="str">
        <f>IF(tblSalaries[[#This Row],[Years of Experience]]="","",IF(tblSalaries[[#This Row],[Years of Experience]]&gt;20,1,""))</f>
        <v/>
      </c>
      <c r="T1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5" s="13" t="str">
        <f>IF(tblSalaries[[#This Row],[Job Type]]=tblSalaries[[#Headers],[Accountant]],tblSalaries[[#This Row],[Salary in USD]],"")</f>
        <v/>
      </c>
      <c r="V135" s="13">
        <f>IF(tblSalaries[[#This Row],[Job Type]]=tblSalaries[[#Headers],[Analyst]],tblSalaries[[#This Row],[Salary in USD]],"")</f>
        <v>54000</v>
      </c>
      <c r="W135" s="13" t="str">
        <f>IF(tblSalaries[[#This Row],[Job Type]]=tblSalaries[[#Headers],[Consultant]],tblSalaries[[#This Row],[Salary in USD]],"")</f>
        <v/>
      </c>
      <c r="X135" s="13" t="str">
        <f>IF(tblSalaries[[#This Row],[Job Type]]=tblSalaries[[#Headers],[Controller]],tblSalaries[[#This Row],[Salary in USD]],"")</f>
        <v/>
      </c>
      <c r="Y135" s="13" t="str">
        <f>IF(tblSalaries[[#This Row],[Job Type]]=tblSalaries[[#Headers],[CXO or Top Mgmt.]],tblSalaries[[#This Row],[clean Salary (in local currency)]],"")</f>
        <v/>
      </c>
      <c r="Z135" s="13" t="str">
        <f>IF(tblSalaries[[#This Row],[Job Type]]=tblSalaries[[#Headers],[Engineer]],tblSalaries[[#This Row],[Salary in USD]],"")</f>
        <v/>
      </c>
      <c r="AA135" s="13" t="str">
        <f>IF(tblSalaries[[#This Row],[Job Type]]=tblSalaries[[#Headers],[Manager]],tblSalaries[[#This Row],[Salary in USD]],"")</f>
        <v/>
      </c>
      <c r="AB135" s="13" t="str">
        <f>IF(tblSalaries[[#This Row],[Job Type]]=tblSalaries[[#Headers],[Misc.]],tblSalaries[[#This Row],[Salary in USD]],"")</f>
        <v/>
      </c>
      <c r="AC135" s="13" t="str">
        <f>IF(tblSalaries[[#This Row],[Job Type]]=tblSalaries[[#Headers],[Reporting]],tblSalaries[[#This Row],[Salary in USD]],"")</f>
        <v/>
      </c>
      <c r="AD135" s="13" t="str">
        <f>IF(tblSalaries[[#This Row],[Job Type]]=tblSalaries[[#Headers],[Specialist]],tblSalaries[[#This Row],[Salary in USD]],"")</f>
        <v/>
      </c>
    </row>
    <row r="136" spans="2:30" ht="15" customHeight="1" x14ac:dyDescent="0.25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 s="9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  <c r="N136" t="str">
        <f>IF(tblSalaries[[#This Row],[Years of Experience]]="","",IF(tblSalaries[[#This Row],[Years of Experience]]&lt;=2,1,""))</f>
        <v/>
      </c>
      <c r="O136" t="str">
        <f>IF(tblSalaries[[#This Row],[Years of Experience]]="","",IF(AND(tblSalaries[[#This Row],[Years of Experience]]&gt;2,tblSalaries[[#This Row],[Years of Experience]]&lt;=5),1,""))</f>
        <v/>
      </c>
      <c r="P136" t="str">
        <f>IF(tblSalaries[[#This Row],[Years of Experience]]="","",IF(AND(tblSalaries[[#This Row],[Years of Experience]]&gt;5,tblSalaries[[#This Row],[Years of Experience]]&lt;=10),1,""))</f>
        <v/>
      </c>
      <c r="Q136" t="str">
        <f>IF(tblSalaries[[#This Row],[Years of Experience]]="","",IF(AND(tblSalaries[[#This Row],[Years of Experience]]&gt;10,tblSalaries[[#This Row],[Years of Experience]]&lt;=15),1,""))</f>
        <v/>
      </c>
      <c r="R136" t="str">
        <f>IF(tblSalaries[[#This Row],[Years of Experience]]="","",IF(AND(tblSalaries[[#This Row],[Years of Experience]]&gt;16,tblSalaries[[#This Row],[Years of Experience]]&lt;=20),1,""))</f>
        <v/>
      </c>
      <c r="S136" t="str">
        <f>IF(tblSalaries[[#This Row],[Years of Experience]]="","",IF(tblSalaries[[#This Row],[Years of Experience]]&gt;20,1,""))</f>
        <v/>
      </c>
      <c r="T1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6" s="13" t="str">
        <f>IF(tblSalaries[[#This Row],[Job Type]]=tblSalaries[[#Headers],[Accountant]],tblSalaries[[#This Row],[Salary in USD]],"")</f>
        <v/>
      </c>
      <c r="V136" s="13" t="str">
        <f>IF(tblSalaries[[#This Row],[Job Type]]=tblSalaries[[#Headers],[Analyst]],tblSalaries[[#This Row],[Salary in USD]],"")</f>
        <v/>
      </c>
      <c r="W136" s="13" t="str">
        <f>IF(tblSalaries[[#This Row],[Job Type]]=tblSalaries[[#Headers],[Consultant]],tblSalaries[[#This Row],[Salary in USD]],"")</f>
        <v/>
      </c>
      <c r="X136" s="13" t="str">
        <f>IF(tblSalaries[[#This Row],[Job Type]]=tblSalaries[[#Headers],[Controller]],tblSalaries[[#This Row],[Salary in USD]],"")</f>
        <v/>
      </c>
      <c r="Y136" s="13" t="str">
        <f>IF(tblSalaries[[#This Row],[Job Type]]=tblSalaries[[#Headers],[CXO or Top Mgmt.]],tblSalaries[[#This Row],[clean Salary (in local currency)]],"")</f>
        <v/>
      </c>
      <c r="Z136" s="13" t="str">
        <f>IF(tblSalaries[[#This Row],[Job Type]]=tblSalaries[[#Headers],[Engineer]],tblSalaries[[#This Row],[Salary in USD]],"")</f>
        <v/>
      </c>
      <c r="AA136" s="13">
        <f>IF(tblSalaries[[#This Row],[Job Type]]=tblSalaries[[#Headers],[Manager]],tblSalaries[[#This Row],[Salary in USD]],"")</f>
        <v>110332.47904470989</v>
      </c>
      <c r="AB136" s="13" t="str">
        <f>IF(tblSalaries[[#This Row],[Job Type]]=tblSalaries[[#Headers],[Misc.]],tblSalaries[[#This Row],[Salary in USD]],"")</f>
        <v/>
      </c>
      <c r="AC136" s="13" t="str">
        <f>IF(tblSalaries[[#This Row],[Job Type]]=tblSalaries[[#Headers],[Reporting]],tblSalaries[[#This Row],[Salary in USD]],"")</f>
        <v/>
      </c>
      <c r="AD136" s="13" t="str">
        <f>IF(tblSalaries[[#This Row],[Job Type]]=tblSalaries[[#Headers],[Specialist]],tblSalaries[[#This Row],[Salary in USD]],"")</f>
        <v/>
      </c>
    </row>
    <row r="137" spans="2:30" ht="15" customHeight="1" x14ac:dyDescent="0.25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 s="9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  <c r="N137" t="str">
        <f>IF(tblSalaries[[#This Row],[Years of Experience]]="","",IF(tblSalaries[[#This Row],[Years of Experience]]&lt;=2,1,""))</f>
        <v/>
      </c>
      <c r="O137" t="str">
        <f>IF(tblSalaries[[#This Row],[Years of Experience]]="","",IF(AND(tblSalaries[[#This Row],[Years of Experience]]&gt;2,tblSalaries[[#This Row],[Years of Experience]]&lt;=5),1,""))</f>
        <v/>
      </c>
      <c r="P137" t="str">
        <f>IF(tblSalaries[[#This Row],[Years of Experience]]="","",IF(AND(tblSalaries[[#This Row],[Years of Experience]]&gt;5,tblSalaries[[#This Row],[Years of Experience]]&lt;=10),1,""))</f>
        <v/>
      </c>
      <c r="Q137" t="str">
        <f>IF(tblSalaries[[#This Row],[Years of Experience]]="","",IF(AND(tblSalaries[[#This Row],[Years of Experience]]&gt;10,tblSalaries[[#This Row],[Years of Experience]]&lt;=15),1,""))</f>
        <v/>
      </c>
      <c r="R137" t="str">
        <f>IF(tblSalaries[[#This Row],[Years of Experience]]="","",IF(AND(tblSalaries[[#This Row],[Years of Experience]]&gt;16,tblSalaries[[#This Row],[Years of Experience]]&lt;=20),1,""))</f>
        <v/>
      </c>
      <c r="S137" t="str">
        <f>IF(tblSalaries[[#This Row],[Years of Experience]]="","",IF(tblSalaries[[#This Row],[Years of Experience]]&gt;20,1,""))</f>
        <v/>
      </c>
      <c r="T1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7" s="13" t="str">
        <f>IF(tblSalaries[[#This Row],[Job Type]]=tblSalaries[[#Headers],[Accountant]],tblSalaries[[#This Row],[Salary in USD]],"")</f>
        <v/>
      </c>
      <c r="V137" s="13">
        <f>IF(tblSalaries[[#This Row],[Job Type]]=tblSalaries[[#Headers],[Analyst]],tblSalaries[[#This Row],[Salary in USD]],"")</f>
        <v>71000</v>
      </c>
      <c r="W137" s="13" t="str">
        <f>IF(tblSalaries[[#This Row],[Job Type]]=tblSalaries[[#Headers],[Consultant]],tblSalaries[[#This Row],[Salary in USD]],"")</f>
        <v/>
      </c>
      <c r="X137" s="13" t="str">
        <f>IF(tblSalaries[[#This Row],[Job Type]]=tblSalaries[[#Headers],[Controller]],tblSalaries[[#This Row],[Salary in USD]],"")</f>
        <v/>
      </c>
      <c r="Y137" s="13" t="str">
        <f>IF(tblSalaries[[#This Row],[Job Type]]=tblSalaries[[#Headers],[CXO or Top Mgmt.]],tblSalaries[[#This Row],[clean Salary (in local currency)]],"")</f>
        <v/>
      </c>
      <c r="Z137" s="13" t="str">
        <f>IF(tblSalaries[[#This Row],[Job Type]]=tblSalaries[[#Headers],[Engineer]],tblSalaries[[#This Row],[Salary in USD]],"")</f>
        <v/>
      </c>
      <c r="AA137" s="13" t="str">
        <f>IF(tblSalaries[[#This Row],[Job Type]]=tblSalaries[[#Headers],[Manager]],tblSalaries[[#This Row],[Salary in USD]],"")</f>
        <v/>
      </c>
      <c r="AB137" s="13" t="str">
        <f>IF(tblSalaries[[#This Row],[Job Type]]=tblSalaries[[#Headers],[Misc.]],tblSalaries[[#This Row],[Salary in USD]],"")</f>
        <v/>
      </c>
      <c r="AC137" s="13" t="str">
        <f>IF(tblSalaries[[#This Row],[Job Type]]=tblSalaries[[#Headers],[Reporting]],tblSalaries[[#This Row],[Salary in USD]],"")</f>
        <v/>
      </c>
      <c r="AD137" s="13" t="str">
        <f>IF(tblSalaries[[#This Row],[Job Type]]=tblSalaries[[#Headers],[Specialist]],tblSalaries[[#This Row],[Salary in USD]],"")</f>
        <v/>
      </c>
    </row>
    <row r="138" spans="2:30" ht="15" customHeight="1" x14ac:dyDescent="0.25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 s="9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  <c r="N138" t="str">
        <f>IF(tblSalaries[[#This Row],[Years of Experience]]="","",IF(tblSalaries[[#This Row],[Years of Experience]]&lt;=2,1,""))</f>
        <v/>
      </c>
      <c r="O138" t="str">
        <f>IF(tblSalaries[[#This Row],[Years of Experience]]="","",IF(AND(tblSalaries[[#This Row],[Years of Experience]]&gt;2,tblSalaries[[#This Row],[Years of Experience]]&lt;=5),1,""))</f>
        <v/>
      </c>
      <c r="P138" t="str">
        <f>IF(tblSalaries[[#This Row],[Years of Experience]]="","",IF(AND(tblSalaries[[#This Row],[Years of Experience]]&gt;5,tblSalaries[[#This Row],[Years of Experience]]&lt;=10),1,""))</f>
        <v/>
      </c>
      <c r="Q138" t="str">
        <f>IF(tblSalaries[[#This Row],[Years of Experience]]="","",IF(AND(tblSalaries[[#This Row],[Years of Experience]]&gt;10,tblSalaries[[#This Row],[Years of Experience]]&lt;=15),1,""))</f>
        <v/>
      </c>
      <c r="R138" t="str">
        <f>IF(tblSalaries[[#This Row],[Years of Experience]]="","",IF(AND(tblSalaries[[#This Row],[Years of Experience]]&gt;16,tblSalaries[[#This Row],[Years of Experience]]&lt;=20),1,""))</f>
        <v/>
      </c>
      <c r="S138" t="str">
        <f>IF(tblSalaries[[#This Row],[Years of Experience]]="","",IF(tblSalaries[[#This Row],[Years of Experience]]&gt;20,1,""))</f>
        <v/>
      </c>
      <c r="T1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8" s="13" t="str">
        <f>IF(tblSalaries[[#This Row],[Job Type]]=tblSalaries[[#Headers],[Accountant]],tblSalaries[[#This Row],[Salary in USD]],"")</f>
        <v/>
      </c>
      <c r="V138" s="13" t="str">
        <f>IF(tblSalaries[[#This Row],[Job Type]]=tblSalaries[[#Headers],[Analyst]],tblSalaries[[#This Row],[Salary in USD]],"")</f>
        <v/>
      </c>
      <c r="W138" s="13" t="str">
        <f>IF(tblSalaries[[#This Row],[Job Type]]=tblSalaries[[#Headers],[Consultant]],tblSalaries[[#This Row],[Salary in USD]],"")</f>
        <v/>
      </c>
      <c r="X138" s="13" t="str">
        <f>IF(tblSalaries[[#This Row],[Job Type]]=tblSalaries[[#Headers],[Controller]],tblSalaries[[#This Row],[Salary in USD]],"")</f>
        <v/>
      </c>
      <c r="Y138" s="13" t="str">
        <f>IF(tblSalaries[[#This Row],[Job Type]]=tblSalaries[[#Headers],[CXO or Top Mgmt.]],tblSalaries[[#This Row],[clean Salary (in local currency)]],"")</f>
        <v/>
      </c>
      <c r="Z138" s="13" t="str">
        <f>IF(tblSalaries[[#This Row],[Job Type]]=tblSalaries[[#Headers],[Engineer]],tblSalaries[[#This Row],[Salary in USD]],"")</f>
        <v/>
      </c>
      <c r="AA138" s="13">
        <f>IF(tblSalaries[[#This Row],[Job Type]]=tblSalaries[[#Headers],[Manager]],tblSalaries[[#This Row],[Salary in USD]],"")</f>
        <v>14246.333349954055</v>
      </c>
      <c r="AB138" s="13" t="str">
        <f>IF(tblSalaries[[#This Row],[Job Type]]=tblSalaries[[#Headers],[Misc.]],tblSalaries[[#This Row],[Salary in USD]],"")</f>
        <v/>
      </c>
      <c r="AC138" s="13" t="str">
        <f>IF(tblSalaries[[#This Row],[Job Type]]=tblSalaries[[#Headers],[Reporting]],tblSalaries[[#This Row],[Salary in USD]],"")</f>
        <v/>
      </c>
      <c r="AD138" s="13" t="str">
        <f>IF(tblSalaries[[#This Row],[Job Type]]=tblSalaries[[#Headers],[Specialist]],tblSalaries[[#This Row],[Salary in USD]],"")</f>
        <v/>
      </c>
    </row>
    <row r="139" spans="2:30" ht="15" customHeight="1" x14ac:dyDescent="0.25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 s="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  <c r="N139" t="str">
        <f>IF(tblSalaries[[#This Row],[Years of Experience]]="","",IF(tblSalaries[[#This Row],[Years of Experience]]&lt;=2,1,""))</f>
        <v/>
      </c>
      <c r="O139" t="str">
        <f>IF(tblSalaries[[#This Row],[Years of Experience]]="","",IF(AND(tblSalaries[[#This Row],[Years of Experience]]&gt;2,tblSalaries[[#This Row],[Years of Experience]]&lt;=5),1,""))</f>
        <v/>
      </c>
      <c r="P139" t="str">
        <f>IF(tblSalaries[[#This Row],[Years of Experience]]="","",IF(AND(tblSalaries[[#This Row],[Years of Experience]]&gt;5,tblSalaries[[#This Row],[Years of Experience]]&lt;=10),1,""))</f>
        <v/>
      </c>
      <c r="Q139" t="str">
        <f>IF(tblSalaries[[#This Row],[Years of Experience]]="","",IF(AND(tblSalaries[[#This Row],[Years of Experience]]&gt;10,tblSalaries[[#This Row],[Years of Experience]]&lt;=15),1,""))</f>
        <v/>
      </c>
      <c r="R139" t="str">
        <f>IF(tblSalaries[[#This Row],[Years of Experience]]="","",IF(AND(tblSalaries[[#This Row],[Years of Experience]]&gt;16,tblSalaries[[#This Row],[Years of Experience]]&lt;=20),1,""))</f>
        <v/>
      </c>
      <c r="S139" t="str">
        <f>IF(tblSalaries[[#This Row],[Years of Experience]]="","",IF(tblSalaries[[#This Row],[Years of Experience]]&gt;20,1,""))</f>
        <v/>
      </c>
      <c r="T1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9" s="13" t="str">
        <f>IF(tblSalaries[[#This Row],[Job Type]]=tblSalaries[[#Headers],[Accountant]],tblSalaries[[#This Row],[Salary in USD]],"")</f>
        <v/>
      </c>
      <c r="V139" s="13" t="str">
        <f>IF(tblSalaries[[#This Row],[Job Type]]=tblSalaries[[#Headers],[Analyst]],tblSalaries[[#This Row],[Salary in USD]],"")</f>
        <v/>
      </c>
      <c r="W139" s="13" t="str">
        <f>IF(tblSalaries[[#This Row],[Job Type]]=tblSalaries[[#Headers],[Consultant]],tblSalaries[[#This Row],[Salary in USD]],"")</f>
        <v/>
      </c>
      <c r="X139" s="13" t="str">
        <f>IF(tblSalaries[[#This Row],[Job Type]]=tblSalaries[[#Headers],[Controller]],tblSalaries[[#This Row],[Salary in USD]],"")</f>
        <v/>
      </c>
      <c r="Y139" s="13" t="str">
        <f>IF(tblSalaries[[#This Row],[Job Type]]=tblSalaries[[#Headers],[CXO or Top Mgmt.]],tblSalaries[[#This Row],[clean Salary (in local currency)]],"")</f>
        <v/>
      </c>
      <c r="Z139" s="13" t="str">
        <f>IF(tblSalaries[[#This Row],[Job Type]]=tblSalaries[[#Headers],[Engineer]],tblSalaries[[#This Row],[Salary in USD]],"")</f>
        <v/>
      </c>
      <c r="AA139" s="13">
        <f>IF(tblSalaries[[#This Row],[Job Type]]=tblSalaries[[#Headers],[Manager]],tblSalaries[[#This Row],[Salary in USD]],"")</f>
        <v>68835.306612122877</v>
      </c>
      <c r="AB139" s="13" t="str">
        <f>IF(tblSalaries[[#This Row],[Job Type]]=tblSalaries[[#Headers],[Misc.]],tblSalaries[[#This Row],[Salary in USD]],"")</f>
        <v/>
      </c>
      <c r="AC139" s="13" t="str">
        <f>IF(tblSalaries[[#This Row],[Job Type]]=tblSalaries[[#Headers],[Reporting]],tblSalaries[[#This Row],[Salary in USD]],"")</f>
        <v/>
      </c>
      <c r="AD139" s="13" t="str">
        <f>IF(tblSalaries[[#This Row],[Job Type]]=tblSalaries[[#Headers],[Specialist]],tblSalaries[[#This Row],[Salary in USD]],"")</f>
        <v/>
      </c>
    </row>
    <row r="140" spans="2:30" ht="15" customHeight="1" x14ac:dyDescent="0.25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 s="9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  <c r="N140" t="str">
        <f>IF(tblSalaries[[#This Row],[Years of Experience]]="","",IF(tblSalaries[[#This Row],[Years of Experience]]&lt;=2,1,""))</f>
        <v/>
      </c>
      <c r="O140" t="str">
        <f>IF(tblSalaries[[#This Row],[Years of Experience]]="","",IF(AND(tblSalaries[[#This Row],[Years of Experience]]&gt;2,tblSalaries[[#This Row],[Years of Experience]]&lt;=5),1,""))</f>
        <v/>
      </c>
      <c r="P140" t="str">
        <f>IF(tblSalaries[[#This Row],[Years of Experience]]="","",IF(AND(tblSalaries[[#This Row],[Years of Experience]]&gt;5,tblSalaries[[#This Row],[Years of Experience]]&lt;=10),1,""))</f>
        <v/>
      </c>
      <c r="Q140" t="str">
        <f>IF(tblSalaries[[#This Row],[Years of Experience]]="","",IF(AND(tblSalaries[[#This Row],[Years of Experience]]&gt;10,tblSalaries[[#This Row],[Years of Experience]]&lt;=15),1,""))</f>
        <v/>
      </c>
      <c r="R140" t="str">
        <f>IF(tblSalaries[[#This Row],[Years of Experience]]="","",IF(AND(tblSalaries[[#This Row],[Years of Experience]]&gt;16,tblSalaries[[#This Row],[Years of Experience]]&lt;=20),1,""))</f>
        <v/>
      </c>
      <c r="S140" t="str">
        <f>IF(tblSalaries[[#This Row],[Years of Experience]]="","",IF(tblSalaries[[#This Row],[Years of Experience]]&gt;20,1,""))</f>
        <v/>
      </c>
      <c r="T1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0" s="13" t="str">
        <f>IF(tblSalaries[[#This Row],[Job Type]]=tblSalaries[[#Headers],[Accountant]],tblSalaries[[#This Row],[Salary in USD]],"")</f>
        <v/>
      </c>
      <c r="V140" s="13" t="str">
        <f>IF(tblSalaries[[#This Row],[Job Type]]=tblSalaries[[#Headers],[Analyst]],tblSalaries[[#This Row],[Salary in USD]],"")</f>
        <v/>
      </c>
      <c r="W140" s="13" t="str">
        <f>IF(tblSalaries[[#This Row],[Job Type]]=tblSalaries[[#Headers],[Consultant]],tblSalaries[[#This Row],[Salary in USD]],"")</f>
        <v/>
      </c>
      <c r="X140" s="13" t="str">
        <f>IF(tblSalaries[[#This Row],[Job Type]]=tblSalaries[[#Headers],[Controller]],tblSalaries[[#This Row],[Salary in USD]],"")</f>
        <v/>
      </c>
      <c r="Y140" s="13" t="str">
        <f>IF(tblSalaries[[#This Row],[Job Type]]=tblSalaries[[#Headers],[CXO or Top Mgmt.]],tblSalaries[[#This Row],[clean Salary (in local currency)]],"")</f>
        <v/>
      </c>
      <c r="Z140" s="13" t="str">
        <f>IF(tblSalaries[[#This Row],[Job Type]]=tblSalaries[[#Headers],[Engineer]],tblSalaries[[#This Row],[Salary in USD]],"")</f>
        <v/>
      </c>
      <c r="AA140" s="13">
        <f>IF(tblSalaries[[#This Row],[Job Type]]=tblSalaries[[#Headers],[Manager]],tblSalaries[[#This Row],[Salary in USD]],"")</f>
        <v>49168.076151516347</v>
      </c>
      <c r="AB140" s="13" t="str">
        <f>IF(tblSalaries[[#This Row],[Job Type]]=tblSalaries[[#Headers],[Misc.]],tblSalaries[[#This Row],[Salary in USD]],"")</f>
        <v/>
      </c>
      <c r="AC140" s="13" t="str">
        <f>IF(tblSalaries[[#This Row],[Job Type]]=tblSalaries[[#Headers],[Reporting]],tblSalaries[[#This Row],[Salary in USD]],"")</f>
        <v/>
      </c>
      <c r="AD140" s="13" t="str">
        <f>IF(tblSalaries[[#This Row],[Job Type]]=tblSalaries[[#Headers],[Specialist]],tblSalaries[[#This Row],[Salary in USD]],"")</f>
        <v/>
      </c>
    </row>
    <row r="141" spans="2:30" ht="15" customHeight="1" x14ac:dyDescent="0.25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 s="9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  <c r="N141" t="str">
        <f>IF(tblSalaries[[#This Row],[Years of Experience]]="","",IF(tblSalaries[[#This Row],[Years of Experience]]&lt;=2,1,""))</f>
        <v/>
      </c>
      <c r="O141" t="str">
        <f>IF(tblSalaries[[#This Row],[Years of Experience]]="","",IF(AND(tblSalaries[[#This Row],[Years of Experience]]&gt;2,tblSalaries[[#This Row],[Years of Experience]]&lt;=5),1,""))</f>
        <v/>
      </c>
      <c r="P141" t="str">
        <f>IF(tblSalaries[[#This Row],[Years of Experience]]="","",IF(AND(tblSalaries[[#This Row],[Years of Experience]]&gt;5,tblSalaries[[#This Row],[Years of Experience]]&lt;=10),1,""))</f>
        <v/>
      </c>
      <c r="Q141" t="str">
        <f>IF(tblSalaries[[#This Row],[Years of Experience]]="","",IF(AND(tblSalaries[[#This Row],[Years of Experience]]&gt;10,tblSalaries[[#This Row],[Years of Experience]]&lt;=15),1,""))</f>
        <v/>
      </c>
      <c r="R141" t="str">
        <f>IF(tblSalaries[[#This Row],[Years of Experience]]="","",IF(AND(tblSalaries[[#This Row],[Years of Experience]]&gt;16,tblSalaries[[#This Row],[Years of Experience]]&lt;=20),1,""))</f>
        <v/>
      </c>
      <c r="S141" t="str">
        <f>IF(tblSalaries[[#This Row],[Years of Experience]]="","",IF(tblSalaries[[#This Row],[Years of Experience]]&gt;20,1,""))</f>
        <v/>
      </c>
      <c r="T1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1" s="13" t="str">
        <f>IF(tblSalaries[[#This Row],[Job Type]]=tblSalaries[[#Headers],[Accountant]],tblSalaries[[#This Row],[Salary in USD]],"")</f>
        <v/>
      </c>
      <c r="V141" s="13">
        <f>IF(tblSalaries[[#This Row],[Job Type]]=tblSalaries[[#Headers],[Analyst]],tblSalaries[[#This Row],[Salary in USD]],"")</f>
        <v>40000</v>
      </c>
      <c r="W141" s="13" t="str">
        <f>IF(tblSalaries[[#This Row],[Job Type]]=tblSalaries[[#Headers],[Consultant]],tblSalaries[[#This Row],[Salary in USD]],"")</f>
        <v/>
      </c>
      <c r="X141" s="13" t="str">
        <f>IF(tblSalaries[[#This Row],[Job Type]]=tblSalaries[[#Headers],[Controller]],tblSalaries[[#This Row],[Salary in USD]],"")</f>
        <v/>
      </c>
      <c r="Y141" s="13" t="str">
        <f>IF(tblSalaries[[#This Row],[Job Type]]=tblSalaries[[#Headers],[CXO or Top Mgmt.]],tblSalaries[[#This Row],[clean Salary (in local currency)]],"")</f>
        <v/>
      </c>
      <c r="Z141" s="13" t="str">
        <f>IF(tblSalaries[[#This Row],[Job Type]]=tblSalaries[[#Headers],[Engineer]],tblSalaries[[#This Row],[Salary in USD]],"")</f>
        <v/>
      </c>
      <c r="AA141" s="13" t="str">
        <f>IF(tblSalaries[[#This Row],[Job Type]]=tblSalaries[[#Headers],[Manager]],tblSalaries[[#This Row],[Salary in USD]],"")</f>
        <v/>
      </c>
      <c r="AB141" s="13" t="str">
        <f>IF(tblSalaries[[#This Row],[Job Type]]=tblSalaries[[#Headers],[Misc.]],tblSalaries[[#This Row],[Salary in USD]],"")</f>
        <v/>
      </c>
      <c r="AC141" s="13" t="str">
        <f>IF(tblSalaries[[#This Row],[Job Type]]=tblSalaries[[#Headers],[Reporting]],tblSalaries[[#This Row],[Salary in USD]],"")</f>
        <v/>
      </c>
      <c r="AD141" s="13" t="str">
        <f>IF(tblSalaries[[#This Row],[Job Type]]=tblSalaries[[#Headers],[Specialist]],tblSalaries[[#This Row],[Salary in USD]],"")</f>
        <v/>
      </c>
    </row>
    <row r="142" spans="2:30" ht="15" customHeight="1" x14ac:dyDescent="0.25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 s="9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  <c r="N142" t="str">
        <f>IF(tblSalaries[[#This Row],[Years of Experience]]="","",IF(tblSalaries[[#This Row],[Years of Experience]]&lt;=2,1,""))</f>
        <v/>
      </c>
      <c r="O142" t="str">
        <f>IF(tblSalaries[[#This Row],[Years of Experience]]="","",IF(AND(tblSalaries[[#This Row],[Years of Experience]]&gt;2,tblSalaries[[#This Row],[Years of Experience]]&lt;=5),1,""))</f>
        <v/>
      </c>
      <c r="P142" t="str">
        <f>IF(tblSalaries[[#This Row],[Years of Experience]]="","",IF(AND(tblSalaries[[#This Row],[Years of Experience]]&gt;5,tblSalaries[[#This Row],[Years of Experience]]&lt;=10),1,""))</f>
        <v/>
      </c>
      <c r="Q142" t="str">
        <f>IF(tblSalaries[[#This Row],[Years of Experience]]="","",IF(AND(tblSalaries[[#This Row],[Years of Experience]]&gt;10,tblSalaries[[#This Row],[Years of Experience]]&lt;=15),1,""))</f>
        <v/>
      </c>
      <c r="R142" t="str">
        <f>IF(tblSalaries[[#This Row],[Years of Experience]]="","",IF(AND(tblSalaries[[#This Row],[Years of Experience]]&gt;16,tblSalaries[[#This Row],[Years of Experience]]&lt;=20),1,""))</f>
        <v/>
      </c>
      <c r="S142" t="str">
        <f>IF(tblSalaries[[#This Row],[Years of Experience]]="","",IF(tblSalaries[[#This Row],[Years of Experience]]&gt;20,1,""))</f>
        <v/>
      </c>
      <c r="T1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2" s="13" t="str">
        <f>IF(tblSalaries[[#This Row],[Job Type]]=tblSalaries[[#Headers],[Accountant]],tblSalaries[[#This Row],[Salary in USD]],"")</f>
        <v/>
      </c>
      <c r="V142" s="13">
        <f>IF(tblSalaries[[#This Row],[Job Type]]=tblSalaries[[#Headers],[Analyst]],tblSalaries[[#This Row],[Salary in USD]],"")</f>
        <v>60968.414427880263</v>
      </c>
      <c r="W142" s="13" t="str">
        <f>IF(tblSalaries[[#This Row],[Job Type]]=tblSalaries[[#Headers],[Consultant]],tblSalaries[[#This Row],[Salary in USD]],"")</f>
        <v/>
      </c>
      <c r="X142" s="13" t="str">
        <f>IF(tblSalaries[[#This Row],[Job Type]]=tblSalaries[[#Headers],[Controller]],tblSalaries[[#This Row],[Salary in USD]],"")</f>
        <v/>
      </c>
      <c r="Y142" s="13" t="str">
        <f>IF(tblSalaries[[#This Row],[Job Type]]=tblSalaries[[#Headers],[CXO or Top Mgmt.]],tblSalaries[[#This Row],[clean Salary (in local currency)]],"")</f>
        <v/>
      </c>
      <c r="Z142" s="13" t="str">
        <f>IF(tblSalaries[[#This Row],[Job Type]]=tblSalaries[[#Headers],[Engineer]],tblSalaries[[#This Row],[Salary in USD]],"")</f>
        <v/>
      </c>
      <c r="AA142" s="13" t="str">
        <f>IF(tblSalaries[[#This Row],[Job Type]]=tblSalaries[[#Headers],[Manager]],tblSalaries[[#This Row],[Salary in USD]],"")</f>
        <v/>
      </c>
      <c r="AB142" s="13" t="str">
        <f>IF(tblSalaries[[#This Row],[Job Type]]=tblSalaries[[#Headers],[Misc.]],tblSalaries[[#This Row],[Salary in USD]],"")</f>
        <v/>
      </c>
      <c r="AC142" s="13" t="str">
        <f>IF(tblSalaries[[#This Row],[Job Type]]=tblSalaries[[#Headers],[Reporting]],tblSalaries[[#This Row],[Salary in USD]],"")</f>
        <v/>
      </c>
      <c r="AD142" s="13" t="str">
        <f>IF(tblSalaries[[#This Row],[Job Type]]=tblSalaries[[#Headers],[Specialist]],tblSalaries[[#This Row],[Salary in USD]],"")</f>
        <v/>
      </c>
    </row>
    <row r="143" spans="2:30" ht="15" customHeight="1" x14ac:dyDescent="0.25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 s="9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3999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  <c r="N143" t="str">
        <f>IF(tblSalaries[[#This Row],[Years of Experience]]="","",IF(tblSalaries[[#This Row],[Years of Experience]]&lt;=2,1,""))</f>
        <v/>
      </c>
      <c r="O143" t="str">
        <f>IF(tblSalaries[[#This Row],[Years of Experience]]="","",IF(AND(tblSalaries[[#This Row],[Years of Experience]]&gt;2,tblSalaries[[#This Row],[Years of Experience]]&lt;=5),1,""))</f>
        <v/>
      </c>
      <c r="P143" t="str">
        <f>IF(tblSalaries[[#This Row],[Years of Experience]]="","",IF(AND(tblSalaries[[#This Row],[Years of Experience]]&gt;5,tblSalaries[[#This Row],[Years of Experience]]&lt;=10),1,""))</f>
        <v/>
      </c>
      <c r="Q143" t="str">
        <f>IF(tblSalaries[[#This Row],[Years of Experience]]="","",IF(AND(tblSalaries[[#This Row],[Years of Experience]]&gt;10,tblSalaries[[#This Row],[Years of Experience]]&lt;=15),1,""))</f>
        <v/>
      </c>
      <c r="R143" t="str">
        <f>IF(tblSalaries[[#This Row],[Years of Experience]]="","",IF(AND(tblSalaries[[#This Row],[Years of Experience]]&gt;16,tblSalaries[[#This Row],[Years of Experience]]&lt;=20),1,""))</f>
        <v/>
      </c>
      <c r="S143" t="str">
        <f>IF(tblSalaries[[#This Row],[Years of Experience]]="","",IF(tblSalaries[[#This Row],[Years of Experience]]&gt;20,1,""))</f>
        <v/>
      </c>
      <c r="T1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3" s="13" t="str">
        <f>IF(tblSalaries[[#This Row],[Job Type]]=tblSalaries[[#Headers],[Accountant]],tblSalaries[[#This Row],[Salary in USD]],"")</f>
        <v/>
      </c>
      <c r="V143" s="13" t="str">
        <f>IF(tblSalaries[[#This Row],[Job Type]]=tblSalaries[[#Headers],[Analyst]],tblSalaries[[#This Row],[Salary in USD]],"")</f>
        <v/>
      </c>
      <c r="W143" s="13" t="str">
        <f>IF(tblSalaries[[#This Row],[Job Type]]=tblSalaries[[#Headers],[Consultant]],tblSalaries[[#This Row],[Salary in USD]],"")</f>
        <v/>
      </c>
      <c r="X143" s="13" t="str">
        <f>IF(tblSalaries[[#This Row],[Job Type]]=tblSalaries[[#Headers],[Controller]],tblSalaries[[#This Row],[Salary in USD]],"")</f>
        <v/>
      </c>
      <c r="Y143" s="13" t="str">
        <f>IF(tblSalaries[[#This Row],[Job Type]]=tblSalaries[[#Headers],[CXO or Top Mgmt.]],tblSalaries[[#This Row],[clean Salary (in local currency)]],"")</f>
        <v/>
      </c>
      <c r="Z143" s="13" t="str">
        <f>IF(tblSalaries[[#This Row],[Job Type]]=tblSalaries[[#Headers],[Engineer]],tblSalaries[[#This Row],[Salary in USD]],"")</f>
        <v/>
      </c>
      <c r="AA143" s="13" t="str">
        <f>IF(tblSalaries[[#This Row],[Job Type]]=tblSalaries[[#Headers],[Manager]],tblSalaries[[#This Row],[Salary in USD]],"")</f>
        <v/>
      </c>
      <c r="AB143" s="13" t="str">
        <f>IF(tblSalaries[[#This Row],[Job Type]]=tblSalaries[[#Headers],[Misc.]],tblSalaries[[#This Row],[Salary in USD]],"")</f>
        <v/>
      </c>
      <c r="AC143" s="13">
        <f>IF(tblSalaries[[#This Row],[Job Type]]=tblSalaries[[#Headers],[Reporting]],tblSalaries[[#This Row],[Salary in USD]],"")</f>
        <v>5983.4600069807029</v>
      </c>
      <c r="AD143" s="13" t="str">
        <f>IF(tblSalaries[[#This Row],[Job Type]]=tblSalaries[[#Headers],[Specialist]],tblSalaries[[#This Row],[Salary in USD]],"")</f>
        <v/>
      </c>
    </row>
    <row r="144" spans="2:30" ht="15" customHeight="1" x14ac:dyDescent="0.25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 s="9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  <c r="N144" t="str">
        <f>IF(tblSalaries[[#This Row],[Years of Experience]]="","",IF(tblSalaries[[#This Row],[Years of Experience]]&lt;=2,1,""))</f>
        <v/>
      </c>
      <c r="O144" t="str">
        <f>IF(tblSalaries[[#This Row],[Years of Experience]]="","",IF(AND(tblSalaries[[#This Row],[Years of Experience]]&gt;2,tblSalaries[[#This Row],[Years of Experience]]&lt;=5),1,""))</f>
        <v/>
      </c>
      <c r="P144" t="str">
        <f>IF(tblSalaries[[#This Row],[Years of Experience]]="","",IF(AND(tblSalaries[[#This Row],[Years of Experience]]&gt;5,tblSalaries[[#This Row],[Years of Experience]]&lt;=10),1,""))</f>
        <v/>
      </c>
      <c r="Q144" t="str">
        <f>IF(tblSalaries[[#This Row],[Years of Experience]]="","",IF(AND(tblSalaries[[#This Row],[Years of Experience]]&gt;10,tblSalaries[[#This Row],[Years of Experience]]&lt;=15),1,""))</f>
        <v/>
      </c>
      <c r="R144" t="str">
        <f>IF(tblSalaries[[#This Row],[Years of Experience]]="","",IF(AND(tblSalaries[[#This Row],[Years of Experience]]&gt;16,tblSalaries[[#This Row],[Years of Experience]]&lt;=20),1,""))</f>
        <v/>
      </c>
      <c r="S144" t="str">
        <f>IF(tblSalaries[[#This Row],[Years of Experience]]="","",IF(tblSalaries[[#This Row],[Years of Experience]]&gt;20,1,""))</f>
        <v/>
      </c>
      <c r="T1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4" s="13" t="str">
        <f>IF(tblSalaries[[#This Row],[Job Type]]=tblSalaries[[#Headers],[Accountant]],tblSalaries[[#This Row],[Salary in USD]],"")</f>
        <v/>
      </c>
      <c r="V144" s="13">
        <f>IF(tblSalaries[[#This Row],[Job Type]]=tblSalaries[[#Headers],[Analyst]],tblSalaries[[#This Row],[Salary in USD]],"")</f>
        <v>53000</v>
      </c>
      <c r="W144" s="13" t="str">
        <f>IF(tblSalaries[[#This Row],[Job Type]]=tblSalaries[[#Headers],[Consultant]],tblSalaries[[#This Row],[Salary in USD]],"")</f>
        <v/>
      </c>
      <c r="X144" s="13" t="str">
        <f>IF(tblSalaries[[#This Row],[Job Type]]=tblSalaries[[#Headers],[Controller]],tblSalaries[[#This Row],[Salary in USD]],"")</f>
        <v/>
      </c>
      <c r="Y144" s="13" t="str">
        <f>IF(tblSalaries[[#This Row],[Job Type]]=tblSalaries[[#Headers],[CXO or Top Mgmt.]],tblSalaries[[#This Row],[clean Salary (in local currency)]],"")</f>
        <v/>
      </c>
      <c r="Z144" s="13" t="str">
        <f>IF(tblSalaries[[#This Row],[Job Type]]=tblSalaries[[#Headers],[Engineer]],tblSalaries[[#This Row],[Salary in USD]],"")</f>
        <v/>
      </c>
      <c r="AA144" s="13" t="str">
        <f>IF(tblSalaries[[#This Row],[Job Type]]=tblSalaries[[#Headers],[Manager]],tblSalaries[[#This Row],[Salary in USD]],"")</f>
        <v/>
      </c>
      <c r="AB144" s="13" t="str">
        <f>IF(tblSalaries[[#This Row],[Job Type]]=tblSalaries[[#Headers],[Misc.]],tblSalaries[[#This Row],[Salary in USD]],"")</f>
        <v/>
      </c>
      <c r="AC144" s="13" t="str">
        <f>IF(tblSalaries[[#This Row],[Job Type]]=tblSalaries[[#Headers],[Reporting]],tblSalaries[[#This Row],[Salary in USD]],"")</f>
        <v/>
      </c>
      <c r="AD144" s="13" t="str">
        <f>IF(tblSalaries[[#This Row],[Job Type]]=tblSalaries[[#Headers],[Specialist]],tblSalaries[[#This Row],[Salary in USD]],"")</f>
        <v/>
      </c>
    </row>
    <row r="145" spans="2:30" ht="15" customHeight="1" x14ac:dyDescent="0.25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 s="9">
        <f>tblSalaries[[#This Row],[clean Salary (in local currency)]]*VLOOKUP(tblSalaries[[#This Row],[Currency]],tblXrate[],2,FALSE)</f>
        <v>104000</v>
      </c>
      <c r="H145" t="s">
        <v>212</v>
      </c>
      <c r="I145" t="s">
        <v>4001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  <c r="N145" t="str">
        <f>IF(tblSalaries[[#This Row],[Years of Experience]]="","",IF(tblSalaries[[#This Row],[Years of Experience]]&lt;=2,1,""))</f>
        <v/>
      </c>
      <c r="O145" t="str">
        <f>IF(tblSalaries[[#This Row],[Years of Experience]]="","",IF(AND(tblSalaries[[#This Row],[Years of Experience]]&gt;2,tblSalaries[[#This Row],[Years of Experience]]&lt;=5),1,""))</f>
        <v/>
      </c>
      <c r="P145" t="str">
        <f>IF(tblSalaries[[#This Row],[Years of Experience]]="","",IF(AND(tblSalaries[[#This Row],[Years of Experience]]&gt;5,tblSalaries[[#This Row],[Years of Experience]]&lt;=10),1,""))</f>
        <v/>
      </c>
      <c r="Q145" t="str">
        <f>IF(tblSalaries[[#This Row],[Years of Experience]]="","",IF(AND(tblSalaries[[#This Row],[Years of Experience]]&gt;10,tblSalaries[[#This Row],[Years of Experience]]&lt;=15),1,""))</f>
        <v/>
      </c>
      <c r="R145" t="str">
        <f>IF(tblSalaries[[#This Row],[Years of Experience]]="","",IF(AND(tblSalaries[[#This Row],[Years of Experience]]&gt;16,tblSalaries[[#This Row],[Years of Experience]]&lt;=20),1,""))</f>
        <v/>
      </c>
      <c r="S145" t="str">
        <f>IF(tblSalaries[[#This Row],[Years of Experience]]="","",IF(tblSalaries[[#This Row],[Years of Experience]]&gt;20,1,""))</f>
        <v/>
      </c>
      <c r="T1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5" s="13" t="str">
        <f>IF(tblSalaries[[#This Row],[Job Type]]=tblSalaries[[#Headers],[Accountant]],tblSalaries[[#This Row],[Salary in USD]],"")</f>
        <v/>
      </c>
      <c r="V145" s="13" t="str">
        <f>IF(tblSalaries[[#This Row],[Job Type]]=tblSalaries[[#Headers],[Analyst]],tblSalaries[[#This Row],[Salary in USD]],"")</f>
        <v/>
      </c>
      <c r="W145" s="13" t="str">
        <f>IF(tblSalaries[[#This Row],[Job Type]]=tblSalaries[[#Headers],[Consultant]],tblSalaries[[#This Row],[Salary in USD]],"")</f>
        <v/>
      </c>
      <c r="X145" s="13" t="str">
        <f>IF(tblSalaries[[#This Row],[Job Type]]=tblSalaries[[#Headers],[Controller]],tblSalaries[[#This Row],[Salary in USD]],"")</f>
        <v/>
      </c>
      <c r="Y145" s="13">
        <f>IF(tblSalaries[[#This Row],[Job Type]]=tblSalaries[[#Headers],[CXO or Top Mgmt.]],tblSalaries[[#This Row],[clean Salary (in local currency)]],"")</f>
        <v>104000</v>
      </c>
      <c r="Z145" s="13" t="str">
        <f>IF(tblSalaries[[#This Row],[Job Type]]=tblSalaries[[#Headers],[Engineer]],tblSalaries[[#This Row],[Salary in USD]],"")</f>
        <v/>
      </c>
      <c r="AA145" s="13" t="str">
        <f>IF(tblSalaries[[#This Row],[Job Type]]=tblSalaries[[#Headers],[Manager]],tblSalaries[[#This Row],[Salary in USD]],"")</f>
        <v/>
      </c>
      <c r="AB145" s="13" t="str">
        <f>IF(tblSalaries[[#This Row],[Job Type]]=tblSalaries[[#Headers],[Misc.]],tblSalaries[[#This Row],[Salary in USD]],"")</f>
        <v/>
      </c>
      <c r="AC145" s="13" t="str">
        <f>IF(tblSalaries[[#This Row],[Job Type]]=tblSalaries[[#Headers],[Reporting]],tblSalaries[[#This Row],[Salary in USD]],"")</f>
        <v/>
      </c>
      <c r="AD145" s="13" t="str">
        <f>IF(tblSalaries[[#This Row],[Job Type]]=tblSalaries[[#Headers],[Specialist]],tblSalaries[[#This Row],[Salary in USD]],"")</f>
        <v/>
      </c>
    </row>
    <row r="146" spans="2:30" ht="15" customHeight="1" x14ac:dyDescent="0.25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 s="9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  <c r="N146" t="str">
        <f>IF(tblSalaries[[#This Row],[Years of Experience]]="","",IF(tblSalaries[[#This Row],[Years of Experience]]&lt;=2,1,""))</f>
        <v/>
      </c>
      <c r="O146" t="str">
        <f>IF(tblSalaries[[#This Row],[Years of Experience]]="","",IF(AND(tblSalaries[[#This Row],[Years of Experience]]&gt;2,tblSalaries[[#This Row],[Years of Experience]]&lt;=5),1,""))</f>
        <v/>
      </c>
      <c r="P146" t="str">
        <f>IF(tblSalaries[[#This Row],[Years of Experience]]="","",IF(AND(tblSalaries[[#This Row],[Years of Experience]]&gt;5,tblSalaries[[#This Row],[Years of Experience]]&lt;=10),1,""))</f>
        <v/>
      </c>
      <c r="Q146" t="str">
        <f>IF(tblSalaries[[#This Row],[Years of Experience]]="","",IF(AND(tblSalaries[[#This Row],[Years of Experience]]&gt;10,tblSalaries[[#This Row],[Years of Experience]]&lt;=15),1,""))</f>
        <v/>
      </c>
      <c r="R146" t="str">
        <f>IF(tblSalaries[[#This Row],[Years of Experience]]="","",IF(AND(tblSalaries[[#This Row],[Years of Experience]]&gt;16,tblSalaries[[#This Row],[Years of Experience]]&lt;=20),1,""))</f>
        <v/>
      </c>
      <c r="S146" t="str">
        <f>IF(tblSalaries[[#This Row],[Years of Experience]]="","",IF(tblSalaries[[#This Row],[Years of Experience]]&gt;20,1,""))</f>
        <v/>
      </c>
      <c r="T1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6" s="13" t="str">
        <f>IF(tblSalaries[[#This Row],[Job Type]]=tblSalaries[[#Headers],[Accountant]],tblSalaries[[#This Row],[Salary in USD]],"")</f>
        <v/>
      </c>
      <c r="V146" s="13" t="str">
        <f>IF(tblSalaries[[#This Row],[Job Type]]=tblSalaries[[#Headers],[Analyst]],tblSalaries[[#This Row],[Salary in USD]],"")</f>
        <v/>
      </c>
      <c r="W146" s="13" t="str">
        <f>IF(tblSalaries[[#This Row],[Job Type]]=tblSalaries[[#Headers],[Consultant]],tblSalaries[[#This Row],[Salary in USD]],"")</f>
        <v/>
      </c>
      <c r="X146" s="13" t="str">
        <f>IF(tblSalaries[[#This Row],[Job Type]]=tblSalaries[[#Headers],[Controller]],tblSalaries[[#This Row],[Salary in USD]],"")</f>
        <v/>
      </c>
      <c r="Y146" s="13" t="str">
        <f>IF(tblSalaries[[#This Row],[Job Type]]=tblSalaries[[#Headers],[CXO or Top Mgmt.]],tblSalaries[[#This Row],[clean Salary (in local currency)]],"")</f>
        <v/>
      </c>
      <c r="Z146" s="13">
        <f>IF(tblSalaries[[#This Row],[Job Type]]=tblSalaries[[#Headers],[Engineer]],tblSalaries[[#This Row],[Salary in USD]],"")</f>
        <v>57000</v>
      </c>
      <c r="AA146" s="13" t="str">
        <f>IF(tblSalaries[[#This Row],[Job Type]]=tblSalaries[[#Headers],[Manager]],tblSalaries[[#This Row],[Salary in USD]],"")</f>
        <v/>
      </c>
      <c r="AB146" s="13" t="str">
        <f>IF(tblSalaries[[#This Row],[Job Type]]=tblSalaries[[#Headers],[Misc.]],tblSalaries[[#This Row],[Salary in USD]],"")</f>
        <v/>
      </c>
      <c r="AC146" s="13" t="str">
        <f>IF(tblSalaries[[#This Row],[Job Type]]=tblSalaries[[#Headers],[Reporting]],tblSalaries[[#This Row],[Salary in USD]],"")</f>
        <v/>
      </c>
      <c r="AD146" s="13" t="str">
        <f>IF(tblSalaries[[#This Row],[Job Type]]=tblSalaries[[#Headers],[Specialist]],tblSalaries[[#This Row],[Salary in USD]],"")</f>
        <v/>
      </c>
    </row>
    <row r="147" spans="2:30" ht="15" customHeight="1" x14ac:dyDescent="0.25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 s="9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  <c r="N147" t="str">
        <f>IF(tblSalaries[[#This Row],[Years of Experience]]="","",IF(tblSalaries[[#This Row],[Years of Experience]]&lt;=2,1,""))</f>
        <v/>
      </c>
      <c r="O147" t="str">
        <f>IF(tblSalaries[[#This Row],[Years of Experience]]="","",IF(AND(tblSalaries[[#This Row],[Years of Experience]]&gt;2,tblSalaries[[#This Row],[Years of Experience]]&lt;=5),1,""))</f>
        <v/>
      </c>
      <c r="P147" t="str">
        <f>IF(tblSalaries[[#This Row],[Years of Experience]]="","",IF(AND(tblSalaries[[#This Row],[Years of Experience]]&gt;5,tblSalaries[[#This Row],[Years of Experience]]&lt;=10),1,""))</f>
        <v/>
      </c>
      <c r="Q147" t="str">
        <f>IF(tblSalaries[[#This Row],[Years of Experience]]="","",IF(AND(tblSalaries[[#This Row],[Years of Experience]]&gt;10,tblSalaries[[#This Row],[Years of Experience]]&lt;=15),1,""))</f>
        <v/>
      </c>
      <c r="R147" t="str">
        <f>IF(tblSalaries[[#This Row],[Years of Experience]]="","",IF(AND(tblSalaries[[#This Row],[Years of Experience]]&gt;16,tblSalaries[[#This Row],[Years of Experience]]&lt;=20),1,""))</f>
        <v/>
      </c>
      <c r="S147" t="str">
        <f>IF(tblSalaries[[#This Row],[Years of Experience]]="","",IF(tblSalaries[[#This Row],[Years of Experience]]&gt;20,1,""))</f>
        <v/>
      </c>
      <c r="T1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7" s="13" t="str">
        <f>IF(tblSalaries[[#This Row],[Job Type]]=tblSalaries[[#Headers],[Accountant]],tblSalaries[[#This Row],[Salary in USD]],"")</f>
        <v/>
      </c>
      <c r="V147" s="13">
        <f>IF(tblSalaries[[#This Row],[Job Type]]=tblSalaries[[#Headers],[Analyst]],tblSalaries[[#This Row],[Salary in USD]],"")</f>
        <v>45000</v>
      </c>
      <c r="W147" s="13" t="str">
        <f>IF(tblSalaries[[#This Row],[Job Type]]=tblSalaries[[#Headers],[Consultant]],tblSalaries[[#This Row],[Salary in USD]],"")</f>
        <v/>
      </c>
      <c r="X147" s="13" t="str">
        <f>IF(tblSalaries[[#This Row],[Job Type]]=tblSalaries[[#Headers],[Controller]],tblSalaries[[#This Row],[Salary in USD]],"")</f>
        <v/>
      </c>
      <c r="Y147" s="13" t="str">
        <f>IF(tblSalaries[[#This Row],[Job Type]]=tblSalaries[[#Headers],[CXO or Top Mgmt.]],tblSalaries[[#This Row],[clean Salary (in local currency)]],"")</f>
        <v/>
      </c>
      <c r="Z147" s="13" t="str">
        <f>IF(tblSalaries[[#This Row],[Job Type]]=tblSalaries[[#Headers],[Engineer]],tblSalaries[[#This Row],[Salary in USD]],"")</f>
        <v/>
      </c>
      <c r="AA147" s="13" t="str">
        <f>IF(tblSalaries[[#This Row],[Job Type]]=tblSalaries[[#Headers],[Manager]],tblSalaries[[#This Row],[Salary in USD]],"")</f>
        <v/>
      </c>
      <c r="AB147" s="13" t="str">
        <f>IF(tblSalaries[[#This Row],[Job Type]]=tblSalaries[[#Headers],[Misc.]],tblSalaries[[#This Row],[Salary in USD]],"")</f>
        <v/>
      </c>
      <c r="AC147" s="13" t="str">
        <f>IF(tblSalaries[[#This Row],[Job Type]]=tblSalaries[[#Headers],[Reporting]],tblSalaries[[#This Row],[Salary in USD]],"")</f>
        <v/>
      </c>
      <c r="AD147" s="13" t="str">
        <f>IF(tblSalaries[[#This Row],[Job Type]]=tblSalaries[[#Headers],[Specialist]],tblSalaries[[#This Row],[Salary in USD]],"")</f>
        <v/>
      </c>
    </row>
    <row r="148" spans="2:30" ht="15" customHeight="1" x14ac:dyDescent="0.25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 s="9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  <c r="N148" t="str">
        <f>IF(tblSalaries[[#This Row],[Years of Experience]]="","",IF(tblSalaries[[#This Row],[Years of Experience]]&lt;=2,1,""))</f>
        <v/>
      </c>
      <c r="O148" t="str">
        <f>IF(tblSalaries[[#This Row],[Years of Experience]]="","",IF(AND(tblSalaries[[#This Row],[Years of Experience]]&gt;2,tblSalaries[[#This Row],[Years of Experience]]&lt;=5),1,""))</f>
        <v/>
      </c>
      <c r="P148" t="str">
        <f>IF(tblSalaries[[#This Row],[Years of Experience]]="","",IF(AND(tblSalaries[[#This Row],[Years of Experience]]&gt;5,tblSalaries[[#This Row],[Years of Experience]]&lt;=10),1,""))</f>
        <v/>
      </c>
      <c r="Q148" t="str">
        <f>IF(tblSalaries[[#This Row],[Years of Experience]]="","",IF(AND(tblSalaries[[#This Row],[Years of Experience]]&gt;10,tblSalaries[[#This Row],[Years of Experience]]&lt;=15),1,""))</f>
        <v/>
      </c>
      <c r="R148" t="str">
        <f>IF(tblSalaries[[#This Row],[Years of Experience]]="","",IF(AND(tblSalaries[[#This Row],[Years of Experience]]&gt;16,tblSalaries[[#This Row],[Years of Experience]]&lt;=20),1,""))</f>
        <v/>
      </c>
      <c r="S148" t="str">
        <f>IF(tblSalaries[[#This Row],[Years of Experience]]="","",IF(tblSalaries[[#This Row],[Years of Experience]]&gt;20,1,""))</f>
        <v/>
      </c>
      <c r="T1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8" s="13" t="str">
        <f>IF(tblSalaries[[#This Row],[Job Type]]=tblSalaries[[#Headers],[Accountant]],tblSalaries[[#This Row],[Salary in USD]],"")</f>
        <v/>
      </c>
      <c r="V148" s="13">
        <f>IF(tblSalaries[[#This Row],[Job Type]]=tblSalaries[[#Headers],[Analyst]],tblSalaries[[#This Row],[Salary in USD]],"")</f>
        <v>92000</v>
      </c>
      <c r="W148" s="13" t="str">
        <f>IF(tblSalaries[[#This Row],[Job Type]]=tblSalaries[[#Headers],[Consultant]],tblSalaries[[#This Row],[Salary in USD]],"")</f>
        <v/>
      </c>
      <c r="X148" s="13" t="str">
        <f>IF(tblSalaries[[#This Row],[Job Type]]=tblSalaries[[#Headers],[Controller]],tblSalaries[[#This Row],[Salary in USD]],"")</f>
        <v/>
      </c>
      <c r="Y148" s="13" t="str">
        <f>IF(tblSalaries[[#This Row],[Job Type]]=tblSalaries[[#Headers],[CXO or Top Mgmt.]],tblSalaries[[#This Row],[clean Salary (in local currency)]],"")</f>
        <v/>
      </c>
      <c r="Z148" s="13" t="str">
        <f>IF(tblSalaries[[#This Row],[Job Type]]=tblSalaries[[#Headers],[Engineer]],tblSalaries[[#This Row],[Salary in USD]],"")</f>
        <v/>
      </c>
      <c r="AA148" s="13" t="str">
        <f>IF(tblSalaries[[#This Row],[Job Type]]=tblSalaries[[#Headers],[Manager]],tblSalaries[[#This Row],[Salary in USD]],"")</f>
        <v/>
      </c>
      <c r="AB148" s="13" t="str">
        <f>IF(tblSalaries[[#This Row],[Job Type]]=tblSalaries[[#Headers],[Misc.]],tblSalaries[[#This Row],[Salary in USD]],"")</f>
        <v/>
      </c>
      <c r="AC148" s="13" t="str">
        <f>IF(tblSalaries[[#This Row],[Job Type]]=tblSalaries[[#Headers],[Reporting]],tblSalaries[[#This Row],[Salary in USD]],"")</f>
        <v/>
      </c>
      <c r="AD148" s="13" t="str">
        <f>IF(tblSalaries[[#This Row],[Job Type]]=tblSalaries[[#Headers],[Specialist]],tblSalaries[[#This Row],[Salary in USD]],"")</f>
        <v/>
      </c>
    </row>
    <row r="149" spans="2:30" ht="15" customHeight="1" x14ac:dyDescent="0.25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 s="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  <c r="N149" t="str">
        <f>IF(tblSalaries[[#This Row],[Years of Experience]]="","",IF(tblSalaries[[#This Row],[Years of Experience]]&lt;=2,1,""))</f>
        <v/>
      </c>
      <c r="O149" t="str">
        <f>IF(tblSalaries[[#This Row],[Years of Experience]]="","",IF(AND(tblSalaries[[#This Row],[Years of Experience]]&gt;2,tblSalaries[[#This Row],[Years of Experience]]&lt;=5),1,""))</f>
        <v/>
      </c>
      <c r="P149" t="str">
        <f>IF(tblSalaries[[#This Row],[Years of Experience]]="","",IF(AND(tblSalaries[[#This Row],[Years of Experience]]&gt;5,tblSalaries[[#This Row],[Years of Experience]]&lt;=10),1,""))</f>
        <v/>
      </c>
      <c r="Q149" t="str">
        <f>IF(tblSalaries[[#This Row],[Years of Experience]]="","",IF(AND(tblSalaries[[#This Row],[Years of Experience]]&gt;10,tblSalaries[[#This Row],[Years of Experience]]&lt;=15),1,""))</f>
        <v/>
      </c>
      <c r="R149" t="str">
        <f>IF(tblSalaries[[#This Row],[Years of Experience]]="","",IF(AND(tblSalaries[[#This Row],[Years of Experience]]&gt;16,tblSalaries[[#This Row],[Years of Experience]]&lt;=20),1,""))</f>
        <v/>
      </c>
      <c r="S149" t="str">
        <f>IF(tblSalaries[[#This Row],[Years of Experience]]="","",IF(tblSalaries[[#This Row],[Years of Experience]]&gt;20,1,""))</f>
        <v/>
      </c>
      <c r="T1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49" s="13" t="str">
        <f>IF(tblSalaries[[#This Row],[Job Type]]=tblSalaries[[#Headers],[Accountant]],tblSalaries[[#This Row],[Salary in USD]],"")</f>
        <v/>
      </c>
      <c r="V149" s="13" t="str">
        <f>IF(tblSalaries[[#This Row],[Job Type]]=tblSalaries[[#Headers],[Analyst]],tblSalaries[[#This Row],[Salary in USD]],"")</f>
        <v/>
      </c>
      <c r="W149" s="13" t="str">
        <f>IF(tblSalaries[[#This Row],[Job Type]]=tblSalaries[[#Headers],[Consultant]],tblSalaries[[#This Row],[Salary in USD]],"")</f>
        <v/>
      </c>
      <c r="X149" s="13" t="str">
        <f>IF(tblSalaries[[#This Row],[Job Type]]=tblSalaries[[#Headers],[Controller]],tblSalaries[[#This Row],[Salary in USD]],"")</f>
        <v/>
      </c>
      <c r="Y149" s="13" t="str">
        <f>IF(tblSalaries[[#This Row],[Job Type]]=tblSalaries[[#Headers],[CXO or Top Mgmt.]],tblSalaries[[#This Row],[clean Salary (in local currency)]],"")</f>
        <v/>
      </c>
      <c r="Z149" s="13" t="str">
        <f>IF(tblSalaries[[#This Row],[Job Type]]=tblSalaries[[#Headers],[Engineer]],tblSalaries[[#This Row],[Salary in USD]],"")</f>
        <v/>
      </c>
      <c r="AA149" s="13">
        <f>IF(tblSalaries[[#This Row],[Job Type]]=tblSalaries[[#Headers],[Manager]],tblSalaries[[#This Row],[Salary in USD]],"")</f>
        <v>88000</v>
      </c>
      <c r="AB149" s="13" t="str">
        <f>IF(tblSalaries[[#This Row],[Job Type]]=tblSalaries[[#Headers],[Misc.]],tblSalaries[[#This Row],[Salary in USD]],"")</f>
        <v/>
      </c>
      <c r="AC149" s="13" t="str">
        <f>IF(tblSalaries[[#This Row],[Job Type]]=tblSalaries[[#Headers],[Reporting]],tblSalaries[[#This Row],[Salary in USD]],"")</f>
        <v/>
      </c>
      <c r="AD149" s="13" t="str">
        <f>IF(tblSalaries[[#This Row],[Job Type]]=tblSalaries[[#Headers],[Specialist]],tblSalaries[[#This Row],[Salary in USD]],"")</f>
        <v/>
      </c>
    </row>
    <row r="150" spans="2:30" ht="15" customHeight="1" x14ac:dyDescent="0.25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 s="9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  <c r="N150" t="str">
        <f>IF(tblSalaries[[#This Row],[Years of Experience]]="","",IF(tblSalaries[[#This Row],[Years of Experience]]&lt;=2,1,""))</f>
        <v/>
      </c>
      <c r="O150" t="str">
        <f>IF(tblSalaries[[#This Row],[Years of Experience]]="","",IF(AND(tblSalaries[[#This Row],[Years of Experience]]&gt;2,tblSalaries[[#This Row],[Years of Experience]]&lt;=5),1,""))</f>
        <v/>
      </c>
      <c r="P150" t="str">
        <f>IF(tblSalaries[[#This Row],[Years of Experience]]="","",IF(AND(tblSalaries[[#This Row],[Years of Experience]]&gt;5,tblSalaries[[#This Row],[Years of Experience]]&lt;=10),1,""))</f>
        <v/>
      </c>
      <c r="Q150" t="str">
        <f>IF(tblSalaries[[#This Row],[Years of Experience]]="","",IF(AND(tblSalaries[[#This Row],[Years of Experience]]&gt;10,tblSalaries[[#This Row],[Years of Experience]]&lt;=15),1,""))</f>
        <v/>
      </c>
      <c r="R150" t="str">
        <f>IF(tblSalaries[[#This Row],[Years of Experience]]="","",IF(AND(tblSalaries[[#This Row],[Years of Experience]]&gt;16,tblSalaries[[#This Row],[Years of Experience]]&lt;=20),1,""))</f>
        <v/>
      </c>
      <c r="S150" t="str">
        <f>IF(tblSalaries[[#This Row],[Years of Experience]]="","",IF(tblSalaries[[#This Row],[Years of Experience]]&gt;20,1,""))</f>
        <v/>
      </c>
      <c r="T1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0" s="13" t="str">
        <f>IF(tblSalaries[[#This Row],[Job Type]]=tblSalaries[[#Headers],[Accountant]],tblSalaries[[#This Row],[Salary in USD]],"")</f>
        <v/>
      </c>
      <c r="V150" s="13">
        <f>IF(tblSalaries[[#This Row],[Job Type]]=tblSalaries[[#Headers],[Analyst]],tblSalaries[[#This Row],[Salary in USD]],"")</f>
        <v>80000</v>
      </c>
      <c r="W150" s="13" t="str">
        <f>IF(tblSalaries[[#This Row],[Job Type]]=tblSalaries[[#Headers],[Consultant]],tblSalaries[[#This Row],[Salary in USD]],"")</f>
        <v/>
      </c>
      <c r="X150" s="13" t="str">
        <f>IF(tblSalaries[[#This Row],[Job Type]]=tblSalaries[[#Headers],[Controller]],tblSalaries[[#This Row],[Salary in USD]],"")</f>
        <v/>
      </c>
      <c r="Y150" s="13" t="str">
        <f>IF(tblSalaries[[#This Row],[Job Type]]=tblSalaries[[#Headers],[CXO or Top Mgmt.]],tblSalaries[[#This Row],[clean Salary (in local currency)]],"")</f>
        <v/>
      </c>
      <c r="Z150" s="13" t="str">
        <f>IF(tblSalaries[[#This Row],[Job Type]]=tblSalaries[[#Headers],[Engineer]],tblSalaries[[#This Row],[Salary in USD]],"")</f>
        <v/>
      </c>
      <c r="AA150" s="13" t="str">
        <f>IF(tblSalaries[[#This Row],[Job Type]]=tblSalaries[[#Headers],[Manager]],tblSalaries[[#This Row],[Salary in USD]],"")</f>
        <v/>
      </c>
      <c r="AB150" s="13" t="str">
        <f>IF(tblSalaries[[#This Row],[Job Type]]=tblSalaries[[#Headers],[Misc.]],tblSalaries[[#This Row],[Salary in USD]],"")</f>
        <v/>
      </c>
      <c r="AC150" s="13" t="str">
        <f>IF(tblSalaries[[#This Row],[Job Type]]=tblSalaries[[#Headers],[Reporting]],tblSalaries[[#This Row],[Salary in USD]],"")</f>
        <v/>
      </c>
      <c r="AD150" s="13" t="str">
        <f>IF(tblSalaries[[#This Row],[Job Type]]=tblSalaries[[#Headers],[Specialist]],tblSalaries[[#This Row],[Salary in USD]],"")</f>
        <v/>
      </c>
    </row>
    <row r="151" spans="2:30" ht="15" customHeight="1" x14ac:dyDescent="0.25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 s="9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  <c r="N151" t="str">
        <f>IF(tblSalaries[[#This Row],[Years of Experience]]="","",IF(tblSalaries[[#This Row],[Years of Experience]]&lt;=2,1,""))</f>
        <v/>
      </c>
      <c r="O151" t="str">
        <f>IF(tblSalaries[[#This Row],[Years of Experience]]="","",IF(AND(tblSalaries[[#This Row],[Years of Experience]]&gt;2,tblSalaries[[#This Row],[Years of Experience]]&lt;=5),1,""))</f>
        <v/>
      </c>
      <c r="P151" t="str">
        <f>IF(tblSalaries[[#This Row],[Years of Experience]]="","",IF(AND(tblSalaries[[#This Row],[Years of Experience]]&gt;5,tblSalaries[[#This Row],[Years of Experience]]&lt;=10),1,""))</f>
        <v/>
      </c>
      <c r="Q151" t="str">
        <f>IF(tblSalaries[[#This Row],[Years of Experience]]="","",IF(AND(tblSalaries[[#This Row],[Years of Experience]]&gt;10,tblSalaries[[#This Row],[Years of Experience]]&lt;=15),1,""))</f>
        <v/>
      </c>
      <c r="R151" t="str">
        <f>IF(tblSalaries[[#This Row],[Years of Experience]]="","",IF(AND(tblSalaries[[#This Row],[Years of Experience]]&gt;16,tblSalaries[[#This Row],[Years of Experience]]&lt;=20),1,""))</f>
        <v/>
      </c>
      <c r="S151" t="str">
        <f>IF(tblSalaries[[#This Row],[Years of Experience]]="","",IF(tblSalaries[[#This Row],[Years of Experience]]&gt;20,1,""))</f>
        <v/>
      </c>
      <c r="T1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1" s="13" t="str">
        <f>IF(tblSalaries[[#This Row],[Job Type]]=tblSalaries[[#Headers],[Accountant]],tblSalaries[[#This Row],[Salary in USD]],"")</f>
        <v/>
      </c>
      <c r="V151" s="13" t="str">
        <f>IF(tblSalaries[[#This Row],[Job Type]]=tblSalaries[[#Headers],[Analyst]],tblSalaries[[#This Row],[Salary in USD]],"")</f>
        <v/>
      </c>
      <c r="W151" s="13">
        <f>IF(tblSalaries[[#This Row],[Job Type]]=tblSalaries[[#Headers],[Consultant]],tblSalaries[[#This Row],[Salary in USD]],"")</f>
        <v>69000</v>
      </c>
      <c r="X151" s="13" t="str">
        <f>IF(tblSalaries[[#This Row],[Job Type]]=tblSalaries[[#Headers],[Controller]],tblSalaries[[#This Row],[Salary in USD]],"")</f>
        <v/>
      </c>
      <c r="Y151" s="13" t="str">
        <f>IF(tblSalaries[[#This Row],[Job Type]]=tblSalaries[[#Headers],[CXO or Top Mgmt.]],tblSalaries[[#This Row],[clean Salary (in local currency)]],"")</f>
        <v/>
      </c>
      <c r="Z151" s="13" t="str">
        <f>IF(tblSalaries[[#This Row],[Job Type]]=tblSalaries[[#Headers],[Engineer]],tblSalaries[[#This Row],[Salary in USD]],"")</f>
        <v/>
      </c>
      <c r="AA151" s="13" t="str">
        <f>IF(tblSalaries[[#This Row],[Job Type]]=tblSalaries[[#Headers],[Manager]],tblSalaries[[#This Row],[Salary in USD]],"")</f>
        <v/>
      </c>
      <c r="AB151" s="13" t="str">
        <f>IF(tblSalaries[[#This Row],[Job Type]]=tblSalaries[[#Headers],[Misc.]],tblSalaries[[#This Row],[Salary in USD]],"")</f>
        <v/>
      </c>
      <c r="AC151" s="13" t="str">
        <f>IF(tblSalaries[[#This Row],[Job Type]]=tblSalaries[[#Headers],[Reporting]],tblSalaries[[#This Row],[Salary in USD]],"")</f>
        <v/>
      </c>
      <c r="AD151" s="13" t="str">
        <f>IF(tblSalaries[[#This Row],[Job Type]]=tblSalaries[[#Headers],[Specialist]],tblSalaries[[#This Row],[Salary in USD]],"")</f>
        <v/>
      </c>
    </row>
    <row r="152" spans="2:30" ht="15" customHeight="1" x14ac:dyDescent="0.25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 s="9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  <c r="N152" t="str">
        <f>IF(tblSalaries[[#This Row],[Years of Experience]]="","",IF(tblSalaries[[#This Row],[Years of Experience]]&lt;=2,1,""))</f>
        <v/>
      </c>
      <c r="O152" t="str">
        <f>IF(tblSalaries[[#This Row],[Years of Experience]]="","",IF(AND(tblSalaries[[#This Row],[Years of Experience]]&gt;2,tblSalaries[[#This Row],[Years of Experience]]&lt;=5),1,""))</f>
        <v/>
      </c>
      <c r="P152" t="str">
        <f>IF(tblSalaries[[#This Row],[Years of Experience]]="","",IF(AND(tblSalaries[[#This Row],[Years of Experience]]&gt;5,tblSalaries[[#This Row],[Years of Experience]]&lt;=10),1,""))</f>
        <v/>
      </c>
      <c r="Q152" t="str">
        <f>IF(tblSalaries[[#This Row],[Years of Experience]]="","",IF(AND(tblSalaries[[#This Row],[Years of Experience]]&gt;10,tblSalaries[[#This Row],[Years of Experience]]&lt;=15),1,""))</f>
        <v/>
      </c>
      <c r="R152" t="str">
        <f>IF(tblSalaries[[#This Row],[Years of Experience]]="","",IF(AND(tblSalaries[[#This Row],[Years of Experience]]&gt;16,tblSalaries[[#This Row],[Years of Experience]]&lt;=20),1,""))</f>
        <v/>
      </c>
      <c r="S152" t="str">
        <f>IF(tblSalaries[[#This Row],[Years of Experience]]="","",IF(tblSalaries[[#This Row],[Years of Experience]]&gt;20,1,""))</f>
        <v/>
      </c>
      <c r="T1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2" s="13" t="str">
        <f>IF(tblSalaries[[#This Row],[Job Type]]=tblSalaries[[#Headers],[Accountant]],tblSalaries[[#This Row],[Salary in USD]],"")</f>
        <v/>
      </c>
      <c r="V152" s="13">
        <f>IF(tblSalaries[[#This Row],[Job Type]]=tblSalaries[[#Headers],[Analyst]],tblSalaries[[#This Row],[Salary in USD]],"")</f>
        <v>50000</v>
      </c>
      <c r="W152" s="13" t="str">
        <f>IF(tblSalaries[[#This Row],[Job Type]]=tblSalaries[[#Headers],[Consultant]],tblSalaries[[#This Row],[Salary in USD]],"")</f>
        <v/>
      </c>
      <c r="X152" s="13" t="str">
        <f>IF(tblSalaries[[#This Row],[Job Type]]=tblSalaries[[#Headers],[Controller]],tblSalaries[[#This Row],[Salary in USD]],"")</f>
        <v/>
      </c>
      <c r="Y152" s="13" t="str">
        <f>IF(tblSalaries[[#This Row],[Job Type]]=tblSalaries[[#Headers],[CXO or Top Mgmt.]],tblSalaries[[#This Row],[clean Salary (in local currency)]],"")</f>
        <v/>
      </c>
      <c r="Z152" s="13" t="str">
        <f>IF(tblSalaries[[#This Row],[Job Type]]=tblSalaries[[#Headers],[Engineer]],tblSalaries[[#This Row],[Salary in USD]],"")</f>
        <v/>
      </c>
      <c r="AA152" s="13" t="str">
        <f>IF(tblSalaries[[#This Row],[Job Type]]=tblSalaries[[#Headers],[Manager]],tblSalaries[[#This Row],[Salary in USD]],"")</f>
        <v/>
      </c>
      <c r="AB152" s="13" t="str">
        <f>IF(tblSalaries[[#This Row],[Job Type]]=tblSalaries[[#Headers],[Misc.]],tblSalaries[[#This Row],[Salary in USD]],"")</f>
        <v/>
      </c>
      <c r="AC152" s="13" t="str">
        <f>IF(tblSalaries[[#This Row],[Job Type]]=tblSalaries[[#Headers],[Reporting]],tblSalaries[[#This Row],[Salary in USD]],"")</f>
        <v/>
      </c>
      <c r="AD152" s="13" t="str">
        <f>IF(tblSalaries[[#This Row],[Job Type]]=tblSalaries[[#Headers],[Specialist]],tblSalaries[[#This Row],[Salary in USD]],"")</f>
        <v/>
      </c>
    </row>
    <row r="153" spans="2:30" ht="15" customHeight="1" x14ac:dyDescent="0.25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 s="9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  <c r="N153" t="str">
        <f>IF(tblSalaries[[#This Row],[Years of Experience]]="","",IF(tblSalaries[[#This Row],[Years of Experience]]&lt;=2,1,""))</f>
        <v/>
      </c>
      <c r="O153" t="str">
        <f>IF(tblSalaries[[#This Row],[Years of Experience]]="","",IF(AND(tblSalaries[[#This Row],[Years of Experience]]&gt;2,tblSalaries[[#This Row],[Years of Experience]]&lt;=5),1,""))</f>
        <v/>
      </c>
      <c r="P153" t="str">
        <f>IF(tblSalaries[[#This Row],[Years of Experience]]="","",IF(AND(tblSalaries[[#This Row],[Years of Experience]]&gt;5,tblSalaries[[#This Row],[Years of Experience]]&lt;=10),1,""))</f>
        <v/>
      </c>
      <c r="Q153" t="str">
        <f>IF(tblSalaries[[#This Row],[Years of Experience]]="","",IF(AND(tblSalaries[[#This Row],[Years of Experience]]&gt;10,tblSalaries[[#This Row],[Years of Experience]]&lt;=15),1,""))</f>
        <v/>
      </c>
      <c r="R153" t="str">
        <f>IF(tblSalaries[[#This Row],[Years of Experience]]="","",IF(AND(tblSalaries[[#This Row],[Years of Experience]]&gt;16,tblSalaries[[#This Row],[Years of Experience]]&lt;=20),1,""))</f>
        <v/>
      </c>
      <c r="S153" t="str">
        <f>IF(tblSalaries[[#This Row],[Years of Experience]]="","",IF(tblSalaries[[#This Row],[Years of Experience]]&gt;20,1,""))</f>
        <v/>
      </c>
      <c r="T1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3" s="13" t="str">
        <f>IF(tblSalaries[[#This Row],[Job Type]]=tblSalaries[[#Headers],[Accountant]],tblSalaries[[#This Row],[Salary in USD]],"")</f>
        <v/>
      </c>
      <c r="V153" s="13" t="str">
        <f>IF(tblSalaries[[#This Row],[Job Type]]=tblSalaries[[#Headers],[Analyst]],tblSalaries[[#This Row],[Salary in USD]],"")</f>
        <v/>
      </c>
      <c r="W153" s="13" t="str">
        <f>IF(tblSalaries[[#This Row],[Job Type]]=tblSalaries[[#Headers],[Consultant]],tblSalaries[[#This Row],[Salary in USD]],"")</f>
        <v/>
      </c>
      <c r="X153" s="13" t="str">
        <f>IF(tblSalaries[[#This Row],[Job Type]]=tblSalaries[[#Headers],[Controller]],tblSalaries[[#This Row],[Salary in USD]],"")</f>
        <v/>
      </c>
      <c r="Y153" s="13" t="str">
        <f>IF(tblSalaries[[#This Row],[Job Type]]=tblSalaries[[#Headers],[CXO or Top Mgmt.]],tblSalaries[[#This Row],[clean Salary (in local currency)]],"")</f>
        <v/>
      </c>
      <c r="Z153" s="13" t="str">
        <f>IF(tblSalaries[[#This Row],[Job Type]]=tblSalaries[[#Headers],[Engineer]],tblSalaries[[#This Row],[Salary in USD]],"")</f>
        <v/>
      </c>
      <c r="AA153" s="13">
        <f>IF(tblSalaries[[#This Row],[Job Type]]=tblSalaries[[#Headers],[Manager]],tblSalaries[[#This Row],[Salary in USD]],"")</f>
        <v>35000</v>
      </c>
      <c r="AB153" s="13" t="str">
        <f>IF(tblSalaries[[#This Row],[Job Type]]=tblSalaries[[#Headers],[Misc.]],tblSalaries[[#This Row],[Salary in USD]],"")</f>
        <v/>
      </c>
      <c r="AC153" s="13" t="str">
        <f>IF(tblSalaries[[#This Row],[Job Type]]=tblSalaries[[#Headers],[Reporting]],tblSalaries[[#This Row],[Salary in USD]],"")</f>
        <v/>
      </c>
      <c r="AD153" s="13" t="str">
        <f>IF(tblSalaries[[#This Row],[Job Type]]=tblSalaries[[#Headers],[Specialist]],tblSalaries[[#This Row],[Salary in USD]],"")</f>
        <v/>
      </c>
    </row>
    <row r="154" spans="2:30" ht="15" customHeight="1" x14ac:dyDescent="0.25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 s="9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  <c r="N154" t="str">
        <f>IF(tblSalaries[[#This Row],[Years of Experience]]="","",IF(tblSalaries[[#This Row],[Years of Experience]]&lt;=2,1,""))</f>
        <v/>
      </c>
      <c r="O154" t="str">
        <f>IF(tblSalaries[[#This Row],[Years of Experience]]="","",IF(AND(tblSalaries[[#This Row],[Years of Experience]]&gt;2,tblSalaries[[#This Row],[Years of Experience]]&lt;=5),1,""))</f>
        <v/>
      </c>
      <c r="P154" t="str">
        <f>IF(tblSalaries[[#This Row],[Years of Experience]]="","",IF(AND(tblSalaries[[#This Row],[Years of Experience]]&gt;5,tblSalaries[[#This Row],[Years of Experience]]&lt;=10),1,""))</f>
        <v/>
      </c>
      <c r="Q154" t="str">
        <f>IF(tblSalaries[[#This Row],[Years of Experience]]="","",IF(AND(tblSalaries[[#This Row],[Years of Experience]]&gt;10,tblSalaries[[#This Row],[Years of Experience]]&lt;=15),1,""))</f>
        <v/>
      </c>
      <c r="R154" t="str">
        <f>IF(tblSalaries[[#This Row],[Years of Experience]]="","",IF(AND(tblSalaries[[#This Row],[Years of Experience]]&gt;16,tblSalaries[[#This Row],[Years of Experience]]&lt;=20),1,""))</f>
        <v/>
      </c>
      <c r="S154" t="str">
        <f>IF(tblSalaries[[#This Row],[Years of Experience]]="","",IF(tblSalaries[[#This Row],[Years of Experience]]&gt;20,1,""))</f>
        <v/>
      </c>
      <c r="T1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4" s="13" t="str">
        <f>IF(tblSalaries[[#This Row],[Job Type]]=tblSalaries[[#Headers],[Accountant]],tblSalaries[[#This Row],[Salary in USD]],"")</f>
        <v/>
      </c>
      <c r="V154" s="13">
        <f>IF(tblSalaries[[#This Row],[Job Type]]=tblSalaries[[#Headers],[Analyst]],tblSalaries[[#This Row],[Salary in USD]],"")</f>
        <v>96000</v>
      </c>
      <c r="W154" s="13" t="str">
        <f>IF(tblSalaries[[#This Row],[Job Type]]=tblSalaries[[#Headers],[Consultant]],tblSalaries[[#This Row],[Salary in USD]],"")</f>
        <v/>
      </c>
      <c r="X154" s="13" t="str">
        <f>IF(tblSalaries[[#This Row],[Job Type]]=tblSalaries[[#Headers],[Controller]],tblSalaries[[#This Row],[Salary in USD]],"")</f>
        <v/>
      </c>
      <c r="Y154" s="13" t="str">
        <f>IF(tblSalaries[[#This Row],[Job Type]]=tblSalaries[[#Headers],[CXO or Top Mgmt.]],tblSalaries[[#This Row],[clean Salary (in local currency)]],"")</f>
        <v/>
      </c>
      <c r="Z154" s="13" t="str">
        <f>IF(tblSalaries[[#This Row],[Job Type]]=tblSalaries[[#Headers],[Engineer]],tblSalaries[[#This Row],[Salary in USD]],"")</f>
        <v/>
      </c>
      <c r="AA154" s="13" t="str">
        <f>IF(tblSalaries[[#This Row],[Job Type]]=tblSalaries[[#Headers],[Manager]],tblSalaries[[#This Row],[Salary in USD]],"")</f>
        <v/>
      </c>
      <c r="AB154" s="13" t="str">
        <f>IF(tblSalaries[[#This Row],[Job Type]]=tblSalaries[[#Headers],[Misc.]],tblSalaries[[#This Row],[Salary in USD]],"")</f>
        <v/>
      </c>
      <c r="AC154" s="13" t="str">
        <f>IF(tblSalaries[[#This Row],[Job Type]]=tblSalaries[[#Headers],[Reporting]],tblSalaries[[#This Row],[Salary in USD]],"")</f>
        <v/>
      </c>
      <c r="AD154" s="13" t="str">
        <f>IF(tblSalaries[[#This Row],[Job Type]]=tblSalaries[[#Headers],[Specialist]],tblSalaries[[#This Row],[Salary in USD]],"")</f>
        <v/>
      </c>
    </row>
    <row r="155" spans="2:30" ht="15" customHeight="1" x14ac:dyDescent="0.25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 s="9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  <c r="N155" t="str">
        <f>IF(tblSalaries[[#This Row],[Years of Experience]]="","",IF(tblSalaries[[#This Row],[Years of Experience]]&lt;=2,1,""))</f>
        <v/>
      </c>
      <c r="O155" t="str">
        <f>IF(tblSalaries[[#This Row],[Years of Experience]]="","",IF(AND(tblSalaries[[#This Row],[Years of Experience]]&gt;2,tblSalaries[[#This Row],[Years of Experience]]&lt;=5),1,""))</f>
        <v/>
      </c>
      <c r="P155" t="str">
        <f>IF(tblSalaries[[#This Row],[Years of Experience]]="","",IF(AND(tblSalaries[[#This Row],[Years of Experience]]&gt;5,tblSalaries[[#This Row],[Years of Experience]]&lt;=10),1,""))</f>
        <v/>
      </c>
      <c r="Q155" t="str">
        <f>IF(tblSalaries[[#This Row],[Years of Experience]]="","",IF(AND(tblSalaries[[#This Row],[Years of Experience]]&gt;10,tblSalaries[[#This Row],[Years of Experience]]&lt;=15),1,""))</f>
        <v/>
      </c>
      <c r="R155" t="str">
        <f>IF(tblSalaries[[#This Row],[Years of Experience]]="","",IF(AND(tblSalaries[[#This Row],[Years of Experience]]&gt;16,tblSalaries[[#This Row],[Years of Experience]]&lt;=20),1,""))</f>
        <v/>
      </c>
      <c r="S155" t="str">
        <f>IF(tblSalaries[[#This Row],[Years of Experience]]="","",IF(tblSalaries[[#This Row],[Years of Experience]]&gt;20,1,""))</f>
        <v/>
      </c>
      <c r="T1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5" s="13">
        <f>IF(tblSalaries[[#This Row],[Job Type]]=tblSalaries[[#Headers],[Accountant]],tblSalaries[[#This Row],[Salary in USD]],"")</f>
        <v>65000</v>
      </c>
      <c r="V155" s="13" t="str">
        <f>IF(tblSalaries[[#This Row],[Job Type]]=tblSalaries[[#Headers],[Analyst]],tblSalaries[[#This Row],[Salary in USD]],"")</f>
        <v/>
      </c>
      <c r="W155" s="13" t="str">
        <f>IF(tblSalaries[[#This Row],[Job Type]]=tblSalaries[[#Headers],[Consultant]],tblSalaries[[#This Row],[Salary in USD]],"")</f>
        <v/>
      </c>
      <c r="X155" s="13" t="str">
        <f>IF(tblSalaries[[#This Row],[Job Type]]=tblSalaries[[#Headers],[Controller]],tblSalaries[[#This Row],[Salary in USD]],"")</f>
        <v/>
      </c>
      <c r="Y155" s="13" t="str">
        <f>IF(tblSalaries[[#This Row],[Job Type]]=tblSalaries[[#Headers],[CXO or Top Mgmt.]],tblSalaries[[#This Row],[clean Salary (in local currency)]],"")</f>
        <v/>
      </c>
      <c r="Z155" s="13" t="str">
        <f>IF(tblSalaries[[#This Row],[Job Type]]=tblSalaries[[#Headers],[Engineer]],tblSalaries[[#This Row],[Salary in USD]],"")</f>
        <v/>
      </c>
      <c r="AA155" s="13" t="str">
        <f>IF(tblSalaries[[#This Row],[Job Type]]=tblSalaries[[#Headers],[Manager]],tblSalaries[[#This Row],[Salary in USD]],"")</f>
        <v/>
      </c>
      <c r="AB155" s="13" t="str">
        <f>IF(tblSalaries[[#This Row],[Job Type]]=tblSalaries[[#Headers],[Misc.]],tblSalaries[[#This Row],[Salary in USD]],"")</f>
        <v/>
      </c>
      <c r="AC155" s="13" t="str">
        <f>IF(tblSalaries[[#This Row],[Job Type]]=tblSalaries[[#Headers],[Reporting]],tblSalaries[[#This Row],[Salary in USD]],"")</f>
        <v/>
      </c>
      <c r="AD155" s="13" t="str">
        <f>IF(tblSalaries[[#This Row],[Job Type]]=tblSalaries[[#Headers],[Specialist]],tblSalaries[[#This Row],[Salary in USD]],"")</f>
        <v/>
      </c>
    </row>
    <row r="156" spans="2:30" ht="15" customHeight="1" x14ac:dyDescent="0.25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 s="9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  <c r="N156" t="str">
        <f>IF(tblSalaries[[#This Row],[Years of Experience]]="","",IF(tblSalaries[[#This Row],[Years of Experience]]&lt;=2,1,""))</f>
        <v/>
      </c>
      <c r="O156" t="str">
        <f>IF(tblSalaries[[#This Row],[Years of Experience]]="","",IF(AND(tblSalaries[[#This Row],[Years of Experience]]&gt;2,tblSalaries[[#This Row],[Years of Experience]]&lt;=5),1,""))</f>
        <v/>
      </c>
      <c r="P156" t="str">
        <f>IF(tblSalaries[[#This Row],[Years of Experience]]="","",IF(AND(tblSalaries[[#This Row],[Years of Experience]]&gt;5,tblSalaries[[#This Row],[Years of Experience]]&lt;=10),1,""))</f>
        <v/>
      </c>
      <c r="Q156" t="str">
        <f>IF(tblSalaries[[#This Row],[Years of Experience]]="","",IF(AND(tblSalaries[[#This Row],[Years of Experience]]&gt;10,tblSalaries[[#This Row],[Years of Experience]]&lt;=15),1,""))</f>
        <v/>
      </c>
      <c r="R156" t="str">
        <f>IF(tblSalaries[[#This Row],[Years of Experience]]="","",IF(AND(tblSalaries[[#This Row],[Years of Experience]]&gt;16,tblSalaries[[#This Row],[Years of Experience]]&lt;=20),1,""))</f>
        <v/>
      </c>
      <c r="S156" t="str">
        <f>IF(tblSalaries[[#This Row],[Years of Experience]]="","",IF(tblSalaries[[#This Row],[Years of Experience]]&gt;20,1,""))</f>
        <v/>
      </c>
      <c r="T1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6" s="13" t="str">
        <f>IF(tblSalaries[[#This Row],[Job Type]]=tblSalaries[[#Headers],[Accountant]],tblSalaries[[#This Row],[Salary in USD]],"")</f>
        <v/>
      </c>
      <c r="V156" s="13">
        <f>IF(tblSalaries[[#This Row],[Job Type]]=tblSalaries[[#Headers],[Analyst]],tblSalaries[[#This Row],[Salary in USD]],"")</f>
        <v>37440</v>
      </c>
      <c r="W156" s="13" t="str">
        <f>IF(tblSalaries[[#This Row],[Job Type]]=tblSalaries[[#Headers],[Consultant]],tblSalaries[[#This Row],[Salary in USD]],"")</f>
        <v/>
      </c>
      <c r="X156" s="13" t="str">
        <f>IF(tblSalaries[[#This Row],[Job Type]]=tblSalaries[[#Headers],[Controller]],tblSalaries[[#This Row],[Salary in USD]],"")</f>
        <v/>
      </c>
      <c r="Y156" s="13" t="str">
        <f>IF(tblSalaries[[#This Row],[Job Type]]=tblSalaries[[#Headers],[CXO or Top Mgmt.]],tblSalaries[[#This Row],[clean Salary (in local currency)]],"")</f>
        <v/>
      </c>
      <c r="Z156" s="13" t="str">
        <f>IF(tblSalaries[[#This Row],[Job Type]]=tblSalaries[[#Headers],[Engineer]],tblSalaries[[#This Row],[Salary in USD]],"")</f>
        <v/>
      </c>
      <c r="AA156" s="13" t="str">
        <f>IF(tblSalaries[[#This Row],[Job Type]]=tblSalaries[[#Headers],[Manager]],tblSalaries[[#This Row],[Salary in USD]],"")</f>
        <v/>
      </c>
      <c r="AB156" s="13" t="str">
        <f>IF(tblSalaries[[#This Row],[Job Type]]=tblSalaries[[#Headers],[Misc.]],tblSalaries[[#This Row],[Salary in USD]],"")</f>
        <v/>
      </c>
      <c r="AC156" s="13" t="str">
        <f>IF(tblSalaries[[#This Row],[Job Type]]=tblSalaries[[#Headers],[Reporting]],tblSalaries[[#This Row],[Salary in USD]],"")</f>
        <v/>
      </c>
      <c r="AD156" s="13" t="str">
        <f>IF(tblSalaries[[#This Row],[Job Type]]=tblSalaries[[#Headers],[Specialist]],tblSalaries[[#This Row],[Salary in USD]],"")</f>
        <v/>
      </c>
    </row>
    <row r="157" spans="2:30" ht="15" customHeight="1" x14ac:dyDescent="0.25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 s="9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  <c r="N157" t="str">
        <f>IF(tblSalaries[[#This Row],[Years of Experience]]="","",IF(tblSalaries[[#This Row],[Years of Experience]]&lt;=2,1,""))</f>
        <v/>
      </c>
      <c r="O157" t="str">
        <f>IF(tblSalaries[[#This Row],[Years of Experience]]="","",IF(AND(tblSalaries[[#This Row],[Years of Experience]]&gt;2,tblSalaries[[#This Row],[Years of Experience]]&lt;=5),1,""))</f>
        <v/>
      </c>
      <c r="P157" t="str">
        <f>IF(tblSalaries[[#This Row],[Years of Experience]]="","",IF(AND(tblSalaries[[#This Row],[Years of Experience]]&gt;5,tblSalaries[[#This Row],[Years of Experience]]&lt;=10),1,""))</f>
        <v/>
      </c>
      <c r="Q157" t="str">
        <f>IF(tblSalaries[[#This Row],[Years of Experience]]="","",IF(AND(tblSalaries[[#This Row],[Years of Experience]]&gt;10,tblSalaries[[#This Row],[Years of Experience]]&lt;=15),1,""))</f>
        <v/>
      </c>
      <c r="R157" t="str">
        <f>IF(tblSalaries[[#This Row],[Years of Experience]]="","",IF(AND(tblSalaries[[#This Row],[Years of Experience]]&gt;16,tblSalaries[[#This Row],[Years of Experience]]&lt;=20),1,""))</f>
        <v/>
      </c>
      <c r="S157" t="str">
        <f>IF(tblSalaries[[#This Row],[Years of Experience]]="","",IF(tblSalaries[[#This Row],[Years of Experience]]&gt;20,1,""))</f>
        <v/>
      </c>
      <c r="T1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7" s="13">
        <f>IF(tblSalaries[[#This Row],[Job Type]]=tblSalaries[[#Headers],[Accountant]],tblSalaries[[#This Row],[Salary in USD]],"")</f>
        <v>15500</v>
      </c>
      <c r="V157" s="13" t="str">
        <f>IF(tblSalaries[[#This Row],[Job Type]]=tblSalaries[[#Headers],[Analyst]],tblSalaries[[#This Row],[Salary in USD]],"")</f>
        <v/>
      </c>
      <c r="W157" s="13" t="str">
        <f>IF(tblSalaries[[#This Row],[Job Type]]=tblSalaries[[#Headers],[Consultant]],tblSalaries[[#This Row],[Salary in USD]],"")</f>
        <v/>
      </c>
      <c r="X157" s="13" t="str">
        <f>IF(tblSalaries[[#This Row],[Job Type]]=tblSalaries[[#Headers],[Controller]],tblSalaries[[#This Row],[Salary in USD]],"")</f>
        <v/>
      </c>
      <c r="Y157" s="13" t="str">
        <f>IF(tblSalaries[[#This Row],[Job Type]]=tblSalaries[[#Headers],[CXO or Top Mgmt.]],tblSalaries[[#This Row],[clean Salary (in local currency)]],"")</f>
        <v/>
      </c>
      <c r="Z157" s="13" t="str">
        <f>IF(tblSalaries[[#This Row],[Job Type]]=tblSalaries[[#Headers],[Engineer]],tblSalaries[[#This Row],[Salary in USD]],"")</f>
        <v/>
      </c>
      <c r="AA157" s="13" t="str">
        <f>IF(tblSalaries[[#This Row],[Job Type]]=tblSalaries[[#Headers],[Manager]],tblSalaries[[#This Row],[Salary in USD]],"")</f>
        <v/>
      </c>
      <c r="AB157" s="13" t="str">
        <f>IF(tblSalaries[[#This Row],[Job Type]]=tblSalaries[[#Headers],[Misc.]],tblSalaries[[#This Row],[Salary in USD]],"")</f>
        <v/>
      </c>
      <c r="AC157" s="13" t="str">
        <f>IF(tblSalaries[[#This Row],[Job Type]]=tblSalaries[[#Headers],[Reporting]],tblSalaries[[#This Row],[Salary in USD]],"")</f>
        <v/>
      </c>
      <c r="AD157" s="13" t="str">
        <f>IF(tblSalaries[[#This Row],[Job Type]]=tblSalaries[[#Headers],[Specialist]],tblSalaries[[#This Row],[Salary in USD]],"")</f>
        <v/>
      </c>
    </row>
    <row r="158" spans="2:30" ht="15" customHeight="1" x14ac:dyDescent="0.25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 s="9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  <c r="N158" t="str">
        <f>IF(tblSalaries[[#This Row],[Years of Experience]]="","",IF(tblSalaries[[#This Row],[Years of Experience]]&lt;=2,1,""))</f>
        <v/>
      </c>
      <c r="O158" t="str">
        <f>IF(tblSalaries[[#This Row],[Years of Experience]]="","",IF(AND(tblSalaries[[#This Row],[Years of Experience]]&gt;2,tblSalaries[[#This Row],[Years of Experience]]&lt;=5),1,""))</f>
        <v/>
      </c>
      <c r="P158" t="str">
        <f>IF(tblSalaries[[#This Row],[Years of Experience]]="","",IF(AND(tblSalaries[[#This Row],[Years of Experience]]&gt;5,tblSalaries[[#This Row],[Years of Experience]]&lt;=10),1,""))</f>
        <v/>
      </c>
      <c r="Q158" t="str">
        <f>IF(tblSalaries[[#This Row],[Years of Experience]]="","",IF(AND(tblSalaries[[#This Row],[Years of Experience]]&gt;10,tblSalaries[[#This Row],[Years of Experience]]&lt;=15),1,""))</f>
        <v/>
      </c>
      <c r="R158" t="str">
        <f>IF(tblSalaries[[#This Row],[Years of Experience]]="","",IF(AND(tblSalaries[[#This Row],[Years of Experience]]&gt;16,tblSalaries[[#This Row],[Years of Experience]]&lt;=20),1,""))</f>
        <v/>
      </c>
      <c r="S158" t="str">
        <f>IF(tblSalaries[[#This Row],[Years of Experience]]="","",IF(tblSalaries[[#This Row],[Years of Experience]]&gt;20,1,""))</f>
        <v/>
      </c>
      <c r="T1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8" s="13" t="str">
        <f>IF(tblSalaries[[#This Row],[Job Type]]=tblSalaries[[#Headers],[Accountant]],tblSalaries[[#This Row],[Salary in USD]],"")</f>
        <v/>
      </c>
      <c r="V158" s="13">
        <f>IF(tblSalaries[[#This Row],[Job Type]]=tblSalaries[[#Headers],[Analyst]],tblSalaries[[#This Row],[Salary in USD]],"")</f>
        <v>90000</v>
      </c>
      <c r="W158" s="13" t="str">
        <f>IF(tblSalaries[[#This Row],[Job Type]]=tblSalaries[[#Headers],[Consultant]],tblSalaries[[#This Row],[Salary in USD]],"")</f>
        <v/>
      </c>
      <c r="X158" s="13" t="str">
        <f>IF(tblSalaries[[#This Row],[Job Type]]=tblSalaries[[#Headers],[Controller]],tblSalaries[[#This Row],[Salary in USD]],"")</f>
        <v/>
      </c>
      <c r="Y158" s="13" t="str">
        <f>IF(tblSalaries[[#This Row],[Job Type]]=tblSalaries[[#Headers],[CXO or Top Mgmt.]],tblSalaries[[#This Row],[clean Salary (in local currency)]],"")</f>
        <v/>
      </c>
      <c r="Z158" s="13" t="str">
        <f>IF(tblSalaries[[#This Row],[Job Type]]=tblSalaries[[#Headers],[Engineer]],tblSalaries[[#This Row],[Salary in USD]],"")</f>
        <v/>
      </c>
      <c r="AA158" s="13" t="str">
        <f>IF(tblSalaries[[#This Row],[Job Type]]=tblSalaries[[#Headers],[Manager]],tblSalaries[[#This Row],[Salary in USD]],"")</f>
        <v/>
      </c>
      <c r="AB158" s="13" t="str">
        <f>IF(tblSalaries[[#This Row],[Job Type]]=tblSalaries[[#Headers],[Misc.]],tblSalaries[[#This Row],[Salary in USD]],"")</f>
        <v/>
      </c>
      <c r="AC158" s="13" t="str">
        <f>IF(tblSalaries[[#This Row],[Job Type]]=tblSalaries[[#Headers],[Reporting]],tblSalaries[[#This Row],[Salary in USD]],"")</f>
        <v/>
      </c>
      <c r="AD158" s="13" t="str">
        <f>IF(tblSalaries[[#This Row],[Job Type]]=tblSalaries[[#Headers],[Specialist]],tblSalaries[[#This Row],[Salary in USD]],"")</f>
        <v/>
      </c>
    </row>
    <row r="159" spans="2:30" ht="15" customHeight="1" x14ac:dyDescent="0.25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 s="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  <c r="N159" t="str">
        <f>IF(tblSalaries[[#This Row],[Years of Experience]]="","",IF(tblSalaries[[#This Row],[Years of Experience]]&lt;=2,1,""))</f>
        <v/>
      </c>
      <c r="O159" t="str">
        <f>IF(tblSalaries[[#This Row],[Years of Experience]]="","",IF(AND(tblSalaries[[#This Row],[Years of Experience]]&gt;2,tblSalaries[[#This Row],[Years of Experience]]&lt;=5),1,""))</f>
        <v/>
      </c>
      <c r="P159" t="str">
        <f>IF(tblSalaries[[#This Row],[Years of Experience]]="","",IF(AND(tblSalaries[[#This Row],[Years of Experience]]&gt;5,tblSalaries[[#This Row],[Years of Experience]]&lt;=10),1,""))</f>
        <v/>
      </c>
      <c r="Q159" t="str">
        <f>IF(tblSalaries[[#This Row],[Years of Experience]]="","",IF(AND(tblSalaries[[#This Row],[Years of Experience]]&gt;10,tblSalaries[[#This Row],[Years of Experience]]&lt;=15),1,""))</f>
        <v/>
      </c>
      <c r="R159" t="str">
        <f>IF(tblSalaries[[#This Row],[Years of Experience]]="","",IF(AND(tblSalaries[[#This Row],[Years of Experience]]&gt;16,tblSalaries[[#This Row],[Years of Experience]]&lt;=20),1,""))</f>
        <v/>
      </c>
      <c r="S159" t="str">
        <f>IF(tblSalaries[[#This Row],[Years of Experience]]="","",IF(tblSalaries[[#This Row],[Years of Experience]]&gt;20,1,""))</f>
        <v/>
      </c>
      <c r="T1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9" s="13" t="str">
        <f>IF(tblSalaries[[#This Row],[Job Type]]=tblSalaries[[#Headers],[Accountant]],tblSalaries[[#This Row],[Salary in USD]],"")</f>
        <v/>
      </c>
      <c r="V159" s="13">
        <f>IF(tblSalaries[[#This Row],[Job Type]]=tblSalaries[[#Headers],[Analyst]],tblSalaries[[#This Row],[Salary in USD]],"")</f>
        <v>66500</v>
      </c>
      <c r="W159" s="13" t="str">
        <f>IF(tblSalaries[[#This Row],[Job Type]]=tblSalaries[[#Headers],[Consultant]],tblSalaries[[#This Row],[Salary in USD]],"")</f>
        <v/>
      </c>
      <c r="X159" s="13" t="str">
        <f>IF(tblSalaries[[#This Row],[Job Type]]=tblSalaries[[#Headers],[Controller]],tblSalaries[[#This Row],[Salary in USD]],"")</f>
        <v/>
      </c>
      <c r="Y159" s="13" t="str">
        <f>IF(tblSalaries[[#This Row],[Job Type]]=tblSalaries[[#Headers],[CXO or Top Mgmt.]],tblSalaries[[#This Row],[clean Salary (in local currency)]],"")</f>
        <v/>
      </c>
      <c r="Z159" s="13" t="str">
        <f>IF(tblSalaries[[#This Row],[Job Type]]=tblSalaries[[#Headers],[Engineer]],tblSalaries[[#This Row],[Salary in USD]],"")</f>
        <v/>
      </c>
      <c r="AA159" s="13" t="str">
        <f>IF(tblSalaries[[#This Row],[Job Type]]=tblSalaries[[#Headers],[Manager]],tblSalaries[[#This Row],[Salary in USD]],"")</f>
        <v/>
      </c>
      <c r="AB159" s="13" t="str">
        <f>IF(tblSalaries[[#This Row],[Job Type]]=tblSalaries[[#Headers],[Misc.]],tblSalaries[[#This Row],[Salary in USD]],"")</f>
        <v/>
      </c>
      <c r="AC159" s="13" t="str">
        <f>IF(tblSalaries[[#This Row],[Job Type]]=tblSalaries[[#Headers],[Reporting]],tblSalaries[[#This Row],[Salary in USD]],"")</f>
        <v/>
      </c>
      <c r="AD159" s="13" t="str">
        <f>IF(tblSalaries[[#This Row],[Job Type]]=tblSalaries[[#Headers],[Specialist]],tblSalaries[[#This Row],[Salary in USD]],"")</f>
        <v/>
      </c>
    </row>
    <row r="160" spans="2:30" ht="15" customHeight="1" x14ac:dyDescent="0.25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 s="9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  <c r="N160" t="str">
        <f>IF(tblSalaries[[#This Row],[Years of Experience]]="","",IF(tblSalaries[[#This Row],[Years of Experience]]&lt;=2,1,""))</f>
        <v/>
      </c>
      <c r="O160" t="str">
        <f>IF(tblSalaries[[#This Row],[Years of Experience]]="","",IF(AND(tblSalaries[[#This Row],[Years of Experience]]&gt;2,tblSalaries[[#This Row],[Years of Experience]]&lt;=5),1,""))</f>
        <v/>
      </c>
      <c r="P160" t="str">
        <f>IF(tblSalaries[[#This Row],[Years of Experience]]="","",IF(AND(tblSalaries[[#This Row],[Years of Experience]]&gt;5,tblSalaries[[#This Row],[Years of Experience]]&lt;=10),1,""))</f>
        <v/>
      </c>
      <c r="Q160" t="str">
        <f>IF(tblSalaries[[#This Row],[Years of Experience]]="","",IF(AND(tblSalaries[[#This Row],[Years of Experience]]&gt;10,tblSalaries[[#This Row],[Years of Experience]]&lt;=15),1,""))</f>
        <v/>
      </c>
      <c r="R160" t="str">
        <f>IF(tblSalaries[[#This Row],[Years of Experience]]="","",IF(AND(tblSalaries[[#This Row],[Years of Experience]]&gt;16,tblSalaries[[#This Row],[Years of Experience]]&lt;=20),1,""))</f>
        <v/>
      </c>
      <c r="S160" t="str">
        <f>IF(tblSalaries[[#This Row],[Years of Experience]]="","",IF(tblSalaries[[#This Row],[Years of Experience]]&gt;20,1,""))</f>
        <v/>
      </c>
      <c r="T1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0" s="13">
        <f>IF(tblSalaries[[#This Row],[Job Type]]=tblSalaries[[#Headers],[Accountant]],tblSalaries[[#This Row],[Salary in USD]],"")</f>
        <v>100000</v>
      </c>
      <c r="V160" s="13" t="str">
        <f>IF(tblSalaries[[#This Row],[Job Type]]=tblSalaries[[#Headers],[Analyst]],tblSalaries[[#This Row],[Salary in USD]],"")</f>
        <v/>
      </c>
      <c r="W160" s="13" t="str">
        <f>IF(tblSalaries[[#This Row],[Job Type]]=tblSalaries[[#Headers],[Consultant]],tblSalaries[[#This Row],[Salary in USD]],"")</f>
        <v/>
      </c>
      <c r="X160" s="13" t="str">
        <f>IF(tblSalaries[[#This Row],[Job Type]]=tblSalaries[[#Headers],[Controller]],tblSalaries[[#This Row],[Salary in USD]],"")</f>
        <v/>
      </c>
      <c r="Y160" s="13" t="str">
        <f>IF(tblSalaries[[#This Row],[Job Type]]=tblSalaries[[#Headers],[CXO or Top Mgmt.]],tblSalaries[[#This Row],[clean Salary (in local currency)]],"")</f>
        <v/>
      </c>
      <c r="Z160" s="13" t="str">
        <f>IF(tblSalaries[[#This Row],[Job Type]]=tblSalaries[[#Headers],[Engineer]],tblSalaries[[#This Row],[Salary in USD]],"")</f>
        <v/>
      </c>
      <c r="AA160" s="13" t="str">
        <f>IF(tblSalaries[[#This Row],[Job Type]]=tblSalaries[[#Headers],[Manager]],tblSalaries[[#This Row],[Salary in USD]],"")</f>
        <v/>
      </c>
      <c r="AB160" s="13" t="str">
        <f>IF(tblSalaries[[#This Row],[Job Type]]=tblSalaries[[#Headers],[Misc.]],tblSalaries[[#This Row],[Salary in USD]],"")</f>
        <v/>
      </c>
      <c r="AC160" s="13" t="str">
        <f>IF(tblSalaries[[#This Row],[Job Type]]=tblSalaries[[#Headers],[Reporting]],tblSalaries[[#This Row],[Salary in USD]],"")</f>
        <v/>
      </c>
      <c r="AD160" s="13" t="str">
        <f>IF(tblSalaries[[#This Row],[Job Type]]=tblSalaries[[#Headers],[Specialist]],tblSalaries[[#This Row],[Salary in USD]],"")</f>
        <v/>
      </c>
    </row>
    <row r="161" spans="2:30" ht="15" customHeight="1" x14ac:dyDescent="0.25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 s="9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  <c r="N161" t="str">
        <f>IF(tblSalaries[[#This Row],[Years of Experience]]="","",IF(tblSalaries[[#This Row],[Years of Experience]]&lt;=2,1,""))</f>
        <v/>
      </c>
      <c r="O161" t="str">
        <f>IF(tblSalaries[[#This Row],[Years of Experience]]="","",IF(AND(tblSalaries[[#This Row],[Years of Experience]]&gt;2,tblSalaries[[#This Row],[Years of Experience]]&lt;=5),1,""))</f>
        <v/>
      </c>
      <c r="P161" t="str">
        <f>IF(tblSalaries[[#This Row],[Years of Experience]]="","",IF(AND(tblSalaries[[#This Row],[Years of Experience]]&gt;5,tblSalaries[[#This Row],[Years of Experience]]&lt;=10),1,""))</f>
        <v/>
      </c>
      <c r="Q161" t="str">
        <f>IF(tblSalaries[[#This Row],[Years of Experience]]="","",IF(AND(tblSalaries[[#This Row],[Years of Experience]]&gt;10,tblSalaries[[#This Row],[Years of Experience]]&lt;=15),1,""))</f>
        <v/>
      </c>
      <c r="R161" t="str">
        <f>IF(tblSalaries[[#This Row],[Years of Experience]]="","",IF(AND(tblSalaries[[#This Row],[Years of Experience]]&gt;16,tblSalaries[[#This Row],[Years of Experience]]&lt;=20),1,""))</f>
        <v/>
      </c>
      <c r="S161" t="str">
        <f>IF(tblSalaries[[#This Row],[Years of Experience]]="","",IF(tblSalaries[[#This Row],[Years of Experience]]&gt;20,1,""))</f>
        <v/>
      </c>
      <c r="T1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1" s="13" t="str">
        <f>IF(tblSalaries[[#This Row],[Job Type]]=tblSalaries[[#Headers],[Accountant]],tblSalaries[[#This Row],[Salary in USD]],"")</f>
        <v/>
      </c>
      <c r="V161" s="13" t="str">
        <f>IF(tblSalaries[[#This Row],[Job Type]]=tblSalaries[[#Headers],[Analyst]],tblSalaries[[#This Row],[Salary in USD]],"")</f>
        <v/>
      </c>
      <c r="W161" s="13" t="str">
        <f>IF(tblSalaries[[#This Row],[Job Type]]=tblSalaries[[#Headers],[Consultant]],tblSalaries[[#This Row],[Salary in USD]],"")</f>
        <v/>
      </c>
      <c r="X161" s="13" t="str">
        <f>IF(tblSalaries[[#This Row],[Job Type]]=tblSalaries[[#Headers],[Controller]],tblSalaries[[#This Row],[Salary in USD]],"")</f>
        <v/>
      </c>
      <c r="Y161" s="13" t="str">
        <f>IF(tblSalaries[[#This Row],[Job Type]]=tblSalaries[[#Headers],[CXO or Top Mgmt.]],tblSalaries[[#This Row],[clean Salary (in local currency)]],"")</f>
        <v/>
      </c>
      <c r="Z161" s="13" t="str">
        <f>IF(tblSalaries[[#This Row],[Job Type]]=tblSalaries[[#Headers],[Engineer]],tblSalaries[[#This Row],[Salary in USD]],"")</f>
        <v/>
      </c>
      <c r="AA161" s="13">
        <f>IF(tblSalaries[[#This Row],[Job Type]]=tblSalaries[[#Headers],[Manager]],tblSalaries[[#This Row],[Salary in USD]],"")</f>
        <v>50831.74927416991</v>
      </c>
      <c r="AB161" s="13" t="str">
        <f>IF(tblSalaries[[#This Row],[Job Type]]=tblSalaries[[#Headers],[Misc.]],tblSalaries[[#This Row],[Salary in USD]],"")</f>
        <v/>
      </c>
      <c r="AC161" s="13" t="str">
        <f>IF(tblSalaries[[#This Row],[Job Type]]=tblSalaries[[#Headers],[Reporting]],tblSalaries[[#This Row],[Salary in USD]],"")</f>
        <v/>
      </c>
      <c r="AD161" s="13" t="str">
        <f>IF(tblSalaries[[#This Row],[Job Type]]=tblSalaries[[#Headers],[Specialist]],tblSalaries[[#This Row],[Salary in USD]],"")</f>
        <v/>
      </c>
    </row>
    <row r="162" spans="2:30" ht="15" customHeight="1" x14ac:dyDescent="0.25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 s="9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  <c r="N162" t="str">
        <f>IF(tblSalaries[[#This Row],[Years of Experience]]="","",IF(tblSalaries[[#This Row],[Years of Experience]]&lt;=2,1,""))</f>
        <v/>
      </c>
      <c r="O162" t="str">
        <f>IF(tblSalaries[[#This Row],[Years of Experience]]="","",IF(AND(tblSalaries[[#This Row],[Years of Experience]]&gt;2,tblSalaries[[#This Row],[Years of Experience]]&lt;=5),1,""))</f>
        <v/>
      </c>
      <c r="P162" t="str">
        <f>IF(tblSalaries[[#This Row],[Years of Experience]]="","",IF(AND(tblSalaries[[#This Row],[Years of Experience]]&gt;5,tblSalaries[[#This Row],[Years of Experience]]&lt;=10),1,""))</f>
        <v/>
      </c>
      <c r="Q162" t="str">
        <f>IF(tblSalaries[[#This Row],[Years of Experience]]="","",IF(AND(tblSalaries[[#This Row],[Years of Experience]]&gt;10,tblSalaries[[#This Row],[Years of Experience]]&lt;=15),1,""))</f>
        <v/>
      </c>
      <c r="R162" t="str">
        <f>IF(tblSalaries[[#This Row],[Years of Experience]]="","",IF(AND(tblSalaries[[#This Row],[Years of Experience]]&gt;16,tblSalaries[[#This Row],[Years of Experience]]&lt;=20),1,""))</f>
        <v/>
      </c>
      <c r="S162" t="str">
        <f>IF(tblSalaries[[#This Row],[Years of Experience]]="","",IF(tblSalaries[[#This Row],[Years of Experience]]&gt;20,1,""))</f>
        <v/>
      </c>
      <c r="T1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2" s="13" t="str">
        <f>IF(tblSalaries[[#This Row],[Job Type]]=tblSalaries[[#Headers],[Accountant]],tblSalaries[[#This Row],[Salary in USD]],"")</f>
        <v/>
      </c>
      <c r="V162" s="13" t="str">
        <f>IF(tblSalaries[[#This Row],[Job Type]]=tblSalaries[[#Headers],[Analyst]],tblSalaries[[#This Row],[Salary in USD]],"")</f>
        <v/>
      </c>
      <c r="W162" s="13" t="str">
        <f>IF(tblSalaries[[#This Row],[Job Type]]=tblSalaries[[#Headers],[Consultant]],tblSalaries[[#This Row],[Salary in USD]],"")</f>
        <v/>
      </c>
      <c r="X162" s="13" t="str">
        <f>IF(tblSalaries[[#This Row],[Job Type]]=tblSalaries[[#Headers],[Controller]],tblSalaries[[#This Row],[Salary in USD]],"")</f>
        <v/>
      </c>
      <c r="Y162" s="13" t="str">
        <f>IF(tblSalaries[[#This Row],[Job Type]]=tblSalaries[[#Headers],[CXO or Top Mgmt.]],tblSalaries[[#This Row],[clean Salary (in local currency)]],"")</f>
        <v/>
      </c>
      <c r="Z162" s="13" t="str">
        <f>IF(tblSalaries[[#This Row],[Job Type]]=tblSalaries[[#Headers],[Engineer]],tblSalaries[[#This Row],[Salary in USD]],"")</f>
        <v/>
      </c>
      <c r="AA162" s="13">
        <f>IF(tblSalaries[[#This Row],[Job Type]]=tblSalaries[[#Headers],[Manager]],tblSalaries[[#This Row],[Salary in USD]],"")</f>
        <v>7479.3250087258784</v>
      </c>
      <c r="AB162" s="13" t="str">
        <f>IF(tblSalaries[[#This Row],[Job Type]]=tblSalaries[[#Headers],[Misc.]],tblSalaries[[#This Row],[Salary in USD]],"")</f>
        <v/>
      </c>
      <c r="AC162" s="13" t="str">
        <f>IF(tblSalaries[[#This Row],[Job Type]]=tblSalaries[[#Headers],[Reporting]],tblSalaries[[#This Row],[Salary in USD]],"")</f>
        <v/>
      </c>
      <c r="AD162" s="13" t="str">
        <f>IF(tblSalaries[[#This Row],[Job Type]]=tblSalaries[[#Headers],[Specialist]],tblSalaries[[#This Row],[Salary in USD]],"")</f>
        <v/>
      </c>
    </row>
    <row r="163" spans="2:30" ht="15" customHeight="1" x14ac:dyDescent="0.25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 s="9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  <c r="N163" t="str">
        <f>IF(tblSalaries[[#This Row],[Years of Experience]]="","",IF(tblSalaries[[#This Row],[Years of Experience]]&lt;=2,1,""))</f>
        <v/>
      </c>
      <c r="O163" t="str">
        <f>IF(tblSalaries[[#This Row],[Years of Experience]]="","",IF(AND(tblSalaries[[#This Row],[Years of Experience]]&gt;2,tblSalaries[[#This Row],[Years of Experience]]&lt;=5),1,""))</f>
        <v/>
      </c>
      <c r="P163" t="str">
        <f>IF(tblSalaries[[#This Row],[Years of Experience]]="","",IF(AND(tblSalaries[[#This Row],[Years of Experience]]&gt;5,tblSalaries[[#This Row],[Years of Experience]]&lt;=10),1,""))</f>
        <v/>
      </c>
      <c r="Q163" t="str">
        <f>IF(tblSalaries[[#This Row],[Years of Experience]]="","",IF(AND(tblSalaries[[#This Row],[Years of Experience]]&gt;10,tblSalaries[[#This Row],[Years of Experience]]&lt;=15),1,""))</f>
        <v/>
      </c>
      <c r="R163" t="str">
        <f>IF(tblSalaries[[#This Row],[Years of Experience]]="","",IF(AND(tblSalaries[[#This Row],[Years of Experience]]&gt;16,tblSalaries[[#This Row],[Years of Experience]]&lt;=20),1,""))</f>
        <v/>
      </c>
      <c r="S163" t="str">
        <f>IF(tblSalaries[[#This Row],[Years of Experience]]="","",IF(tblSalaries[[#This Row],[Years of Experience]]&gt;20,1,""))</f>
        <v/>
      </c>
      <c r="T1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3" s="13" t="str">
        <f>IF(tblSalaries[[#This Row],[Job Type]]=tblSalaries[[#Headers],[Accountant]],tblSalaries[[#This Row],[Salary in USD]],"")</f>
        <v/>
      </c>
      <c r="V163" s="13">
        <f>IF(tblSalaries[[#This Row],[Job Type]]=tblSalaries[[#Headers],[Analyst]],tblSalaries[[#This Row],[Salary in USD]],"")</f>
        <v>75000</v>
      </c>
      <c r="W163" s="13" t="str">
        <f>IF(tblSalaries[[#This Row],[Job Type]]=tblSalaries[[#Headers],[Consultant]],tblSalaries[[#This Row],[Salary in USD]],"")</f>
        <v/>
      </c>
      <c r="X163" s="13" t="str">
        <f>IF(tblSalaries[[#This Row],[Job Type]]=tblSalaries[[#Headers],[Controller]],tblSalaries[[#This Row],[Salary in USD]],"")</f>
        <v/>
      </c>
      <c r="Y163" s="13" t="str">
        <f>IF(tblSalaries[[#This Row],[Job Type]]=tblSalaries[[#Headers],[CXO or Top Mgmt.]],tblSalaries[[#This Row],[clean Salary (in local currency)]],"")</f>
        <v/>
      </c>
      <c r="Z163" s="13" t="str">
        <f>IF(tblSalaries[[#This Row],[Job Type]]=tblSalaries[[#Headers],[Engineer]],tblSalaries[[#This Row],[Salary in USD]],"")</f>
        <v/>
      </c>
      <c r="AA163" s="13" t="str">
        <f>IF(tblSalaries[[#This Row],[Job Type]]=tblSalaries[[#Headers],[Manager]],tblSalaries[[#This Row],[Salary in USD]],"")</f>
        <v/>
      </c>
      <c r="AB163" s="13" t="str">
        <f>IF(tblSalaries[[#This Row],[Job Type]]=tblSalaries[[#Headers],[Misc.]],tblSalaries[[#This Row],[Salary in USD]],"")</f>
        <v/>
      </c>
      <c r="AC163" s="13" t="str">
        <f>IF(tblSalaries[[#This Row],[Job Type]]=tblSalaries[[#Headers],[Reporting]],tblSalaries[[#This Row],[Salary in USD]],"")</f>
        <v/>
      </c>
      <c r="AD163" s="13" t="str">
        <f>IF(tblSalaries[[#This Row],[Job Type]]=tblSalaries[[#Headers],[Specialist]],tblSalaries[[#This Row],[Salary in USD]],"")</f>
        <v/>
      </c>
    </row>
    <row r="164" spans="2:30" ht="15" customHeight="1" x14ac:dyDescent="0.25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 s="9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  <c r="N164" t="str">
        <f>IF(tblSalaries[[#This Row],[Years of Experience]]="","",IF(tblSalaries[[#This Row],[Years of Experience]]&lt;=2,1,""))</f>
        <v/>
      </c>
      <c r="O164" t="str">
        <f>IF(tblSalaries[[#This Row],[Years of Experience]]="","",IF(AND(tblSalaries[[#This Row],[Years of Experience]]&gt;2,tblSalaries[[#This Row],[Years of Experience]]&lt;=5),1,""))</f>
        <v/>
      </c>
      <c r="P164" t="str">
        <f>IF(tblSalaries[[#This Row],[Years of Experience]]="","",IF(AND(tblSalaries[[#This Row],[Years of Experience]]&gt;5,tblSalaries[[#This Row],[Years of Experience]]&lt;=10),1,""))</f>
        <v/>
      </c>
      <c r="Q164" t="str">
        <f>IF(tblSalaries[[#This Row],[Years of Experience]]="","",IF(AND(tblSalaries[[#This Row],[Years of Experience]]&gt;10,tblSalaries[[#This Row],[Years of Experience]]&lt;=15),1,""))</f>
        <v/>
      </c>
      <c r="R164" t="str">
        <f>IF(tblSalaries[[#This Row],[Years of Experience]]="","",IF(AND(tblSalaries[[#This Row],[Years of Experience]]&gt;16,tblSalaries[[#This Row],[Years of Experience]]&lt;=20),1,""))</f>
        <v/>
      </c>
      <c r="S164" t="str">
        <f>IF(tblSalaries[[#This Row],[Years of Experience]]="","",IF(tblSalaries[[#This Row],[Years of Experience]]&gt;20,1,""))</f>
        <v/>
      </c>
      <c r="T1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4" s="13" t="str">
        <f>IF(tblSalaries[[#This Row],[Job Type]]=tblSalaries[[#Headers],[Accountant]],tblSalaries[[#This Row],[Salary in USD]],"")</f>
        <v/>
      </c>
      <c r="V164" s="13" t="str">
        <f>IF(tblSalaries[[#This Row],[Job Type]]=tblSalaries[[#Headers],[Analyst]],tblSalaries[[#This Row],[Salary in USD]],"")</f>
        <v/>
      </c>
      <c r="W164" s="13" t="str">
        <f>IF(tblSalaries[[#This Row],[Job Type]]=tblSalaries[[#Headers],[Consultant]],tblSalaries[[#This Row],[Salary in USD]],"")</f>
        <v/>
      </c>
      <c r="X164" s="13" t="str">
        <f>IF(tblSalaries[[#This Row],[Job Type]]=tblSalaries[[#Headers],[Controller]],tblSalaries[[#This Row],[Salary in USD]],"")</f>
        <v/>
      </c>
      <c r="Y164" s="13" t="str">
        <f>IF(tblSalaries[[#This Row],[Job Type]]=tblSalaries[[#Headers],[CXO or Top Mgmt.]],tblSalaries[[#This Row],[clean Salary (in local currency)]],"")</f>
        <v/>
      </c>
      <c r="Z164" s="13" t="str">
        <f>IF(tblSalaries[[#This Row],[Job Type]]=tblSalaries[[#Headers],[Engineer]],tblSalaries[[#This Row],[Salary in USD]],"")</f>
        <v/>
      </c>
      <c r="AA164" s="13">
        <f>IF(tblSalaries[[#This Row],[Job Type]]=tblSalaries[[#Headers],[Manager]],tblSalaries[[#This Row],[Salary in USD]],"")</f>
        <v>58000</v>
      </c>
      <c r="AB164" s="13" t="str">
        <f>IF(tblSalaries[[#This Row],[Job Type]]=tblSalaries[[#Headers],[Misc.]],tblSalaries[[#This Row],[Salary in USD]],"")</f>
        <v/>
      </c>
      <c r="AC164" s="13" t="str">
        <f>IF(tblSalaries[[#This Row],[Job Type]]=tblSalaries[[#Headers],[Reporting]],tblSalaries[[#This Row],[Salary in USD]],"")</f>
        <v/>
      </c>
      <c r="AD164" s="13" t="str">
        <f>IF(tblSalaries[[#This Row],[Job Type]]=tblSalaries[[#Headers],[Specialist]],tblSalaries[[#This Row],[Salary in USD]],"")</f>
        <v/>
      </c>
    </row>
    <row r="165" spans="2:30" ht="15" customHeight="1" x14ac:dyDescent="0.25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 s="9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  <c r="N165" t="str">
        <f>IF(tblSalaries[[#This Row],[Years of Experience]]="","",IF(tblSalaries[[#This Row],[Years of Experience]]&lt;=2,1,""))</f>
        <v/>
      </c>
      <c r="O165" t="str">
        <f>IF(tblSalaries[[#This Row],[Years of Experience]]="","",IF(AND(tblSalaries[[#This Row],[Years of Experience]]&gt;2,tblSalaries[[#This Row],[Years of Experience]]&lt;=5),1,""))</f>
        <v/>
      </c>
      <c r="P165" t="str">
        <f>IF(tblSalaries[[#This Row],[Years of Experience]]="","",IF(AND(tblSalaries[[#This Row],[Years of Experience]]&gt;5,tblSalaries[[#This Row],[Years of Experience]]&lt;=10),1,""))</f>
        <v/>
      </c>
      <c r="Q165" t="str">
        <f>IF(tblSalaries[[#This Row],[Years of Experience]]="","",IF(AND(tblSalaries[[#This Row],[Years of Experience]]&gt;10,tblSalaries[[#This Row],[Years of Experience]]&lt;=15),1,""))</f>
        <v/>
      </c>
      <c r="R165" t="str">
        <f>IF(tblSalaries[[#This Row],[Years of Experience]]="","",IF(AND(tblSalaries[[#This Row],[Years of Experience]]&gt;16,tblSalaries[[#This Row],[Years of Experience]]&lt;=20),1,""))</f>
        <v/>
      </c>
      <c r="S165" t="str">
        <f>IF(tblSalaries[[#This Row],[Years of Experience]]="","",IF(tblSalaries[[#This Row],[Years of Experience]]&gt;20,1,""))</f>
        <v/>
      </c>
      <c r="T1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5" s="13" t="str">
        <f>IF(tblSalaries[[#This Row],[Job Type]]=tblSalaries[[#Headers],[Accountant]],tblSalaries[[#This Row],[Salary in USD]],"")</f>
        <v/>
      </c>
      <c r="V165" s="13" t="str">
        <f>IF(tblSalaries[[#This Row],[Job Type]]=tblSalaries[[#Headers],[Analyst]],tblSalaries[[#This Row],[Salary in USD]],"")</f>
        <v/>
      </c>
      <c r="W165" s="13" t="str">
        <f>IF(tblSalaries[[#This Row],[Job Type]]=tblSalaries[[#Headers],[Consultant]],tblSalaries[[#This Row],[Salary in USD]],"")</f>
        <v/>
      </c>
      <c r="X165" s="13" t="str">
        <f>IF(tblSalaries[[#This Row],[Job Type]]=tblSalaries[[#Headers],[Controller]],tblSalaries[[#This Row],[Salary in USD]],"")</f>
        <v/>
      </c>
      <c r="Y165" s="13" t="str">
        <f>IF(tblSalaries[[#This Row],[Job Type]]=tblSalaries[[#Headers],[CXO or Top Mgmt.]],tblSalaries[[#This Row],[clean Salary (in local currency)]],"")</f>
        <v/>
      </c>
      <c r="Z165" s="13" t="str">
        <f>IF(tblSalaries[[#This Row],[Job Type]]=tblSalaries[[#Headers],[Engineer]],tblSalaries[[#This Row],[Salary in USD]],"")</f>
        <v/>
      </c>
      <c r="AA165" s="13">
        <f>IF(tblSalaries[[#This Row],[Job Type]]=tblSalaries[[#Headers],[Manager]],tblSalaries[[#This Row],[Salary in USD]],"")</f>
        <v>55000</v>
      </c>
      <c r="AB165" s="13" t="str">
        <f>IF(tblSalaries[[#This Row],[Job Type]]=tblSalaries[[#Headers],[Misc.]],tblSalaries[[#This Row],[Salary in USD]],"")</f>
        <v/>
      </c>
      <c r="AC165" s="13" t="str">
        <f>IF(tblSalaries[[#This Row],[Job Type]]=tblSalaries[[#Headers],[Reporting]],tblSalaries[[#This Row],[Salary in USD]],"")</f>
        <v/>
      </c>
      <c r="AD165" s="13" t="str">
        <f>IF(tblSalaries[[#This Row],[Job Type]]=tblSalaries[[#Headers],[Specialist]],tblSalaries[[#This Row],[Salary in USD]],"")</f>
        <v/>
      </c>
    </row>
    <row r="166" spans="2:30" ht="15" customHeight="1" x14ac:dyDescent="0.25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 s="9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  <c r="N166" t="str">
        <f>IF(tblSalaries[[#This Row],[Years of Experience]]="","",IF(tblSalaries[[#This Row],[Years of Experience]]&lt;=2,1,""))</f>
        <v/>
      </c>
      <c r="O166" t="str">
        <f>IF(tblSalaries[[#This Row],[Years of Experience]]="","",IF(AND(tblSalaries[[#This Row],[Years of Experience]]&gt;2,tblSalaries[[#This Row],[Years of Experience]]&lt;=5),1,""))</f>
        <v/>
      </c>
      <c r="P166" t="str">
        <f>IF(tblSalaries[[#This Row],[Years of Experience]]="","",IF(AND(tblSalaries[[#This Row],[Years of Experience]]&gt;5,tblSalaries[[#This Row],[Years of Experience]]&lt;=10),1,""))</f>
        <v/>
      </c>
      <c r="Q166" t="str">
        <f>IF(tblSalaries[[#This Row],[Years of Experience]]="","",IF(AND(tblSalaries[[#This Row],[Years of Experience]]&gt;10,tblSalaries[[#This Row],[Years of Experience]]&lt;=15),1,""))</f>
        <v/>
      </c>
      <c r="R166" t="str">
        <f>IF(tblSalaries[[#This Row],[Years of Experience]]="","",IF(AND(tblSalaries[[#This Row],[Years of Experience]]&gt;16,tblSalaries[[#This Row],[Years of Experience]]&lt;=20),1,""))</f>
        <v/>
      </c>
      <c r="S166" t="str">
        <f>IF(tblSalaries[[#This Row],[Years of Experience]]="","",IF(tblSalaries[[#This Row],[Years of Experience]]&gt;20,1,""))</f>
        <v/>
      </c>
      <c r="T1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6" s="13" t="str">
        <f>IF(tblSalaries[[#This Row],[Job Type]]=tblSalaries[[#Headers],[Accountant]],tblSalaries[[#This Row],[Salary in USD]],"")</f>
        <v/>
      </c>
      <c r="V166" s="13">
        <f>IF(tblSalaries[[#This Row],[Job Type]]=tblSalaries[[#Headers],[Analyst]],tblSalaries[[#This Row],[Salary in USD]],"")</f>
        <v>60000</v>
      </c>
      <c r="W166" s="13" t="str">
        <f>IF(tblSalaries[[#This Row],[Job Type]]=tblSalaries[[#Headers],[Consultant]],tblSalaries[[#This Row],[Salary in USD]],"")</f>
        <v/>
      </c>
      <c r="X166" s="13" t="str">
        <f>IF(tblSalaries[[#This Row],[Job Type]]=tblSalaries[[#Headers],[Controller]],tblSalaries[[#This Row],[Salary in USD]],"")</f>
        <v/>
      </c>
      <c r="Y166" s="13" t="str">
        <f>IF(tblSalaries[[#This Row],[Job Type]]=tblSalaries[[#Headers],[CXO or Top Mgmt.]],tblSalaries[[#This Row],[clean Salary (in local currency)]],"")</f>
        <v/>
      </c>
      <c r="Z166" s="13" t="str">
        <f>IF(tblSalaries[[#This Row],[Job Type]]=tblSalaries[[#Headers],[Engineer]],tblSalaries[[#This Row],[Salary in USD]],"")</f>
        <v/>
      </c>
      <c r="AA166" s="13" t="str">
        <f>IF(tblSalaries[[#This Row],[Job Type]]=tblSalaries[[#Headers],[Manager]],tblSalaries[[#This Row],[Salary in USD]],"")</f>
        <v/>
      </c>
      <c r="AB166" s="13" t="str">
        <f>IF(tblSalaries[[#This Row],[Job Type]]=tblSalaries[[#Headers],[Misc.]],tblSalaries[[#This Row],[Salary in USD]],"")</f>
        <v/>
      </c>
      <c r="AC166" s="13" t="str">
        <f>IF(tblSalaries[[#This Row],[Job Type]]=tblSalaries[[#Headers],[Reporting]],tblSalaries[[#This Row],[Salary in USD]],"")</f>
        <v/>
      </c>
      <c r="AD166" s="13" t="str">
        <f>IF(tblSalaries[[#This Row],[Job Type]]=tblSalaries[[#Headers],[Specialist]],tblSalaries[[#This Row],[Salary in USD]],"")</f>
        <v/>
      </c>
    </row>
    <row r="167" spans="2:30" ht="15" customHeight="1" x14ac:dyDescent="0.25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 s="9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  <c r="N167" t="str">
        <f>IF(tblSalaries[[#This Row],[Years of Experience]]="","",IF(tblSalaries[[#This Row],[Years of Experience]]&lt;=2,1,""))</f>
        <v/>
      </c>
      <c r="O167" t="str">
        <f>IF(tblSalaries[[#This Row],[Years of Experience]]="","",IF(AND(tblSalaries[[#This Row],[Years of Experience]]&gt;2,tblSalaries[[#This Row],[Years of Experience]]&lt;=5),1,""))</f>
        <v/>
      </c>
      <c r="P167" t="str">
        <f>IF(tblSalaries[[#This Row],[Years of Experience]]="","",IF(AND(tblSalaries[[#This Row],[Years of Experience]]&gt;5,tblSalaries[[#This Row],[Years of Experience]]&lt;=10),1,""))</f>
        <v/>
      </c>
      <c r="Q167" t="str">
        <f>IF(tblSalaries[[#This Row],[Years of Experience]]="","",IF(AND(tblSalaries[[#This Row],[Years of Experience]]&gt;10,tblSalaries[[#This Row],[Years of Experience]]&lt;=15),1,""))</f>
        <v/>
      </c>
      <c r="R167" t="str">
        <f>IF(tblSalaries[[#This Row],[Years of Experience]]="","",IF(AND(tblSalaries[[#This Row],[Years of Experience]]&gt;16,tblSalaries[[#This Row],[Years of Experience]]&lt;=20),1,""))</f>
        <v/>
      </c>
      <c r="S167" t="str">
        <f>IF(tblSalaries[[#This Row],[Years of Experience]]="","",IF(tblSalaries[[#This Row],[Years of Experience]]&gt;20,1,""))</f>
        <v/>
      </c>
      <c r="T1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7" s="13" t="str">
        <f>IF(tblSalaries[[#This Row],[Job Type]]=tblSalaries[[#Headers],[Accountant]],tblSalaries[[#This Row],[Salary in USD]],"")</f>
        <v/>
      </c>
      <c r="V167" s="13" t="str">
        <f>IF(tblSalaries[[#This Row],[Job Type]]=tblSalaries[[#Headers],[Analyst]],tblSalaries[[#This Row],[Salary in USD]],"")</f>
        <v/>
      </c>
      <c r="W167" s="13" t="str">
        <f>IF(tblSalaries[[#This Row],[Job Type]]=tblSalaries[[#Headers],[Consultant]],tblSalaries[[#This Row],[Salary in USD]],"")</f>
        <v/>
      </c>
      <c r="X167" s="13" t="str">
        <f>IF(tblSalaries[[#This Row],[Job Type]]=tblSalaries[[#Headers],[Controller]],tblSalaries[[#This Row],[Salary in USD]],"")</f>
        <v/>
      </c>
      <c r="Y167" s="13" t="str">
        <f>IF(tblSalaries[[#This Row],[Job Type]]=tblSalaries[[#Headers],[CXO or Top Mgmt.]],tblSalaries[[#This Row],[clean Salary (in local currency)]],"")</f>
        <v/>
      </c>
      <c r="Z167" s="13" t="str">
        <f>IF(tblSalaries[[#This Row],[Job Type]]=tblSalaries[[#Headers],[Engineer]],tblSalaries[[#This Row],[Salary in USD]],"")</f>
        <v/>
      </c>
      <c r="AA167" s="13">
        <f>IF(tblSalaries[[#This Row],[Job Type]]=tblSalaries[[#Headers],[Manager]],tblSalaries[[#This Row],[Salary in USD]],"")</f>
        <v>23150.291693675339</v>
      </c>
      <c r="AB167" s="13" t="str">
        <f>IF(tblSalaries[[#This Row],[Job Type]]=tblSalaries[[#Headers],[Misc.]],tblSalaries[[#This Row],[Salary in USD]],"")</f>
        <v/>
      </c>
      <c r="AC167" s="13" t="str">
        <f>IF(tblSalaries[[#This Row],[Job Type]]=tblSalaries[[#Headers],[Reporting]],tblSalaries[[#This Row],[Salary in USD]],"")</f>
        <v/>
      </c>
      <c r="AD167" s="13" t="str">
        <f>IF(tblSalaries[[#This Row],[Job Type]]=tblSalaries[[#Headers],[Specialist]],tblSalaries[[#This Row],[Salary in USD]],"")</f>
        <v/>
      </c>
    </row>
    <row r="168" spans="2:30" ht="15" customHeight="1" x14ac:dyDescent="0.25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 s="9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  <c r="N168" t="str">
        <f>IF(tblSalaries[[#This Row],[Years of Experience]]="","",IF(tblSalaries[[#This Row],[Years of Experience]]&lt;=2,1,""))</f>
        <v/>
      </c>
      <c r="O168" t="str">
        <f>IF(tblSalaries[[#This Row],[Years of Experience]]="","",IF(AND(tblSalaries[[#This Row],[Years of Experience]]&gt;2,tblSalaries[[#This Row],[Years of Experience]]&lt;=5),1,""))</f>
        <v/>
      </c>
      <c r="P168" t="str">
        <f>IF(tblSalaries[[#This Row],[Years of Experience]]="","",IF(AND(tblSalaries[[#This Row],[Years of Experience]]&gt;5,tblSalaries[[#This Row],[Years of Experience]]&lt;=10),1,""))</f>
        <v/>
      </c>
      <c r="Q168" t="str">
        <f>IF(tblSalaries[[#This Row],[Years of Experience]]="","",IF(AND(tblSalaries[[#This Row],[Years of Experience]]&gt;10,tblSalaries[[#This Row],[Years of Experience]]&lt;=15),1,""))</f>
        <v/>
      </c>
      <c r="R168" t="str">
        <f>IF(tblSalaries[[#This Row],[Years of Experience]]="","",IF(AND(tblSalaries[[#This Row],[Years of Experience]]&gt;16,tblSalaries[[#This Row],[Years of Experience]]&lt;=20),1,""))</f>
        <v/>
      </c>
      <c r="S168" t="str">
        <f>IF(tblSalaries[[#This Row],[Years of Experience]]="","",IF(tblSalaries[[#This Row],[Years of Experience]]&gt;20,1,""))</f>
        <v/>
      </c>
      <c r="T1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8" s="13" t="str">
        <f>IF(tblSalaries[[#This Row],[Job Type]]=tblSalaries[[#Headers],[Accountant]],tblSalaries[[#This Row],[Salary in USD]],"")</f>
        <v/>
      </c>
      <c r="V168" s="13" t="str">
        <f>IF(tblSalaries[[#This Row],[Job Type]]=tblSalaries[[#Headers],[Analyst]],tblSalaries[[#This Row],[Salary in USD]],"")</f>
        <v/>
      </c>
      <c r="W168" s="13" t="str">
        <f>IF(tblSalaries[[#This Row],[Job Type]]=tblSalaries[[#Headers],[Consultant]],tblSalaries[[#This Row],[Salary in USD]],"")</f>
        <v/>
      </c>
      <c r="X168" s="13" t="str">
        <f>IF(tblSalaries[[#This Row],[Job Type]]=tblSalaries[[#Headers],[Controller]],tblSalaries[[#This Row],[Salary in USD]],"")</f>
        <v/>
      </c>
      <c r="Y168" s="13" t="str">
        <f>IF(tblSalaries[[#This Row],[Job Type]]=tblSalaries[[#Headers],[CXO or Top Mgmt.]],tblSalaries[[#This Row],[clean Salary (in local currency)]],"")</f>
        <v/>
      </c>
      <c r="Z168" s="13" t="str">
        <f>IF(tblSalaries[[#This Row],[Job Type]]=tblSalaries[[#Headers],[Engineer]],tblSalaries[[#This Row],[Salary in USD]],"")</f>
        <v/>
      </c>
      <c r="AA168" s="13">
        <f>IF(tblSalaries[[#This Row],[Job Type]]=tblSalaries[[#Headers],[Manager]],tblSalaries[[#This Row],[Salary in USD]],"")</f>
        <v>105219.68296424497</v>
      </c>
      <c r="AB168" s="13" t="str">
        <f>IF(tblSalaries[[#This Row],[Job Type]]=tblSalaries[[#Headers],[Misc.]],tblSalaries[[#This Row],[Salary in USD]],"")</f>
        <v/>
      </c>
      <c r="AC168" s="13" t="str">
        <f>IF(tblSalaries[[#This Row],[Job Type]]=tblSalaries[[#Headers],[Reporting]],tblSalaries[[#This Row],[Salary in USD]],"")</f>
        <v/>
      </c>
      <c r="AD168" s="13" t="str">
        <f>IF(tblSalaries[[#This Row],[Job Type]]=tblSalaries[[#Headers],[Specialist]],tblSalaries[[#This Row],[Salary in USD]],"")</f>
        <v/>
      </c>
    </row>
    <row r="169" spans="2:30" ht="15" customHeight="1" x14ac:dyDescent="0.25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 s="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  <c r="N169" t="str">
        <f>IF(tblSalaries[[#This Row],[Years of Experience]]="","",IF(tblSalaries[[#This Row],[Years of Experience]]&lt;=2,1,""))</f>
        <v/>
      </c>
      <c r="O169" t="str">
        <f>IF(tblSalaries[[#This Row],[Years of Experience]]="","",IF(AND(tblSalaries[[#This Row],[Years of Experience]]&gt;2,tblSalaries[[#This Row],[Years of Experience]]&lt;=5),1,""))</f>
        <v/>
      </c>
      <c r="P169" t="str">
        <f>IF(tblSalaries[[#This Row],[Years of Experience]]="","",IF(AND(tblSalaries[[#This Row],[Years of Experience]]&gt;5,tblSalaries[[#This Row],[Years of Experience]]&lt;=10),1,""))</f>
        <v/>
      </c>
      <c r="Q169" t="str">
        <f>IF(tblSalaries[[#This Row],[Years of Experience]]="","",IF(AND(tblSalaries[[#This Row],[Years of Experience]]&gt;10,tblSalaries[[#This Row],[Years of Experience]]&lt;=15),1,""))</f>
        <v/>
      </c>
      <c r="R169" t="str">
        <f>IF(tblSalaries[[#This Row],[Years of Experience]]="","",IF(AND(tblSalaries[[#This Row],[Years of Experience]]&gt;16,tblSalaries[[#This Row],[Years of Experience]]&lt;=20),1,""))</f>
        <v/>
      </c>
      <c r="S169" t="str">
        <f>IF(tblSalaries[[#This Row],[Years of Experience]]="","",IF(tblSalaries[[#This Row],[Years of Experience]]&gt;20,1,""))</f>
        <v/>
      </c>
      <c r="T1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9" s="13" t="str">
        <f>IF(tblSalaries[[#This Row],[Job Type]]=tblSalaries[[#Headers],[Accountant]],tblSalaries[[#This Row],[Salary in USD]],"")</f>
        <v/>
      </c>
      <c r="V169" s="13" t="str">
        <f>IF(tblSalaries[[#This Row],[Job Type]]=tblSalaries[[#Headers],[Analyst]],tblSalaries[[#This Row],[Salary in USD]],"")</f>
        <v/>
      </c>
      <c r="W169" s="13" t="str">
        <f>IF(tblSalaries[[#This Row],[Job Type]]=tblSalaries[[#Headers],[Consultant]],tblSalaries[[#This Row],[Salary in USD]],"")</f>
        <v/>
      </c>
      <c r="X169" s="13">
        <f>IF(tblSalaries[[#This Row],[Job Type]]=tblSalaries[[#Headers],[Controller]],tblSalaries[[#This Row],[Salary in USD]],"")</f>
        <v>145000</v>
      </c>
      <c r="Y169" s="13" t="str">
        <f>IF(tblSalaries[[#This Row],[Job Type]]=tblSalaries[[#Headers],[CXO or Top Mgmt.]],tblSalaries[[#This Row],[clean Salary (in local currency)]],"")</f>
        <v/>
      </c>
      <c r="Z169" s="13" t="str">
        <f>IF(tblSalaries[[#This Row],[Job Type]]=tblSalaries[[#Headers],[Engineer]],tblSalaries[[#This Row],[Salary in USD]],"")</f>
        <v/>
      </c>
      <c r="AA169" s="13" t="str">
        <f>IF(tblSalaries[[#This Row],[Job Type]]=tblSalaries[[#Headers],[Manager]],tblSalaries[[#This Row],[Salary in USD]],"")</f>
        <v/>
      </c>
      <c r="AB169" s="13" t="str">
        <f>IF(tblSalaries[[#This Row],[Job Type]]=tblSalaries[[#Headers],[Misc.]],tblSalaries[[#This Row],[Salary in USD]],"")</f>
        <v/>
      </c>
      <c r="AC169" s="13" t="str">
        <f>IF(tblSalaries[[#This Row],[Job Type]]=tblSalaries[[#Headers],[Reporting]],tblSalaries[[#This Row],[Salary in USD]],"")</f>
        <v/>
      </c>
      <c r="AD169" s="13" t="str">
        <f>IF(tblSalaries[[#This Row],[Job Type]]=tblSalaries[[#Headers],[Specialist]],tblSalaries[[#This Row],[Salary in USD]],"")</f>
        <v/>
      </c>
    </row>
    <row r="170" spans="2:30" ht="15" customHeight="1" x14ac:dyDescent="0.25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 s="9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  <c r="N170" t="str">
        <f>IF(tblSalaries[[#This Row],[Years of Experience]]="","",IF(tblSalaries[[#This Row],[Years of Experience]]&lt;=2,1,""))</f>
        <v/>
      </c>
      <c r="O170" t="str">
        <f>IF(tblSalaries[[#This Row],[Years of Experience]]="","",IF(AND(tblSalaries[[#This Row],[Years of Experience]]&gt;2,tblSalaries[[#This Row],[Years of Experience]]&lt;=5),1,""))</f>
        <v/>
      </c>
      <c r="P170" t="str">
        <f>IF(tblSalaries[[#This Row],[Years of Experience]]="","",IF(AND(tblSalaries[[#This Row],[Years of Experience]]&gt;5,tblSalaries[[#This Row],[Years of Experience]]&lt;=10),1,""))</f>
        <v/>
      </c>
      <c r="Q170" t="str">
        <f>IF(tblSalaries[[#This Row],[Years of Experience]]="","",IF(AND(tblSalaries[[#This Row],[Years of Experience]]&gt;10,tblSalaries[[#This Row],[Years of Experience]]&lt;=15),1,""))</f>
        <v/>
      </c>
      <c r="R170" t="str">
        <f>IF(tblSalaries[[#This Row],[Years of Experience]]="","",IF(AND(tblSalaries[[#This Row],[Years of Experience]]&gt;16,tblSalaries[[#This Row],[Years of Experience]]&lt;=20),1,""))</f>
        <v/>
      </c>
      <c r="S170" t="str">
        <f>IF(tblSalaries[[#This Row],[Years of Experience]]="","",IF(tblSalaries[[#This Row],[Years of Experience]]&gt;20,1,""))</f>
        <v/>
      </c>
      <c r="T1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0" s="13">
        <f>IF(tblSalaries[[#This Row],[Job Type]]=tblSalaries[[#Headers],[Accountant]],tblSalaries[[#This Row],[Salary in USD]],"")</f>
        <v>22880</v>
      </c>
      <c r="V170" s="13" t="str">
        <f>IF(tblSalaries[[#This Row],[Job Type]]=tblSalaries[[#Headers],[Analyst]],tblSalaries[[#This Row],[Salary in USD]],"")</f>
        <v/>
      </c>
      <c r="W170" s="13" t="str">
        <f>IF(tblSalaries[[#This Row],[Job Type]]=tblSalaries[[#Headers],[Consultant]],tblSalaries[[#This Row],[Salary in USD]],"")</f>
        <v/>
      </c>
      <c r="X170" s="13" t="str">
        <f>IF(tblSalaries[[#This Row],[Job Type]]=tblSalaries[[#Headers],[Controller]],tblSalaries[[#This Row],[Salary in USD]],"")</f>
        <v/>
      </c>
      <c r="Y170" s="13" t="str">
        <f>IF(tblSalaries[[#This Row],[Job Type]]=tblSalaries[[#Headers],[CXO or Top Mgmt.]],tblSalaries[[#This Row],[clean Salary (in local currency)]],"")</f>
        <v/>
      </c>
      <c r="Z170" s="13" t="str">
        <f>IF(tblSalaries[[#This Row],[Job Type]]=tblSalaries[[#Headers],[Engineer]],tblSalaries[[#This Row],[Salary in USD]],"")</f>
        <v/>
      </c>
      <c r="AA170" s="13" t="str">
        <f>IF(tblSalaries[[#This Row],[Job Type]]=tblSalaries[[#Headers],[Manager]],tblSalaries[[#This Row],[Salary in USD]],"")</f>
        <v/>
      </c>
      <c r="AB170" s="13" t="str">
        <f>IF(tblSalaries[[#This Row],[Job Type]]=tblSalaries[[#Headers],[Misc.]],tblSalaries[[#This Row],[Salary in USD]],"")</f>
        <v/>
      </c>
      <c r="AC170" s="13" t="str">
        <f>IF(tblSalaries[[#This Row],[Job Type]]=tblSalaries[[#Headers],[Reporting]],tblSalaries[[#This Row],[Salary in USD]],"")</f>
        <v/>
      </c>
      <c r="AD170" s="13" t="str">
        <f>IF(tblSalaries[[#This Row],[Job Type]]=tblSalaries[[#Headers],[Specialist]],tblSalaries[[#This Row],[Salary in USD]],"")</f>
        <v/>
      </c>
    </row>
    <row r="171" spans="2:30" ht="15" customHeight="1" x14ac:dyDescent="0.25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 s="9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  <c r="N171" t="str">
        <f>IF(tblSalaries[[#This Row],[Years of Experience]]="","",IF(tblSalaries[[#This Row],[Years of Experience]]&lt;=2,1,""))</f>
        <v/>
      </c>
      <c r="O171" t="str">
        <f>IF(tblSalaries[[#This Row],[Years of Experience]]="","",IF(AND(tblSalaries[[#This Row],[Years of Experience]]&gt;2,tblSalaries[[#This Row],[Years of Experience]]&lt;=5),1,""))</f>
        <v/>
      </c>
      <c r="P171" t="str">
        <f>IF(tblSalaries[[#This Row],[Years of Experience]]="","",IF(AND(tblSalaries[[#This Row],[Years of Experience]]&gt;5,tblSalaries[[#This Row],[Years of Experience]]&lt;=10),1,""))</f>
        <v/>
      </c>
      <c r="Q171" t="str">
        <f>IF(tblSalaries[[#This Row],[Years of Experience]]="","",IF(AND(tblSalaries[[#This Row],[Years of Experience]]&gt;10,tblSalaries[[#This Row],[Years of Experience]]&lt;=15),1,""))</f>
        <v/>
      </c>
      <c r="R171" t="str">
        <f>IF(tblSalaries[[#This Row],[Years of Experience]]="","",IF(AND(tblSalaries[[#This Row],[Years of Experience]]&gt;16,tblSalaries[[#This Row],[Years of Experience]]&lt;=20),1,""))</f>
        <v/>
      </c>
      <c r="S171" t="str">
        <f>IF(tblSalaries[[#This Row],[Years of Experience]]="","",IF(tblSalaries[[#This Row],[Years of Experience]]&gt;20,1,""))</f>
        <v/>
      </c>
      <c r="T1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1" s="13" t="str">
        <f>IF(tblSalaries[[#This Row],[Job Type]]=tblSalaries[[#Headers],[Accountant]],tblSalaries[[#This Row],[Salary in USD]],"")</f>
        <v/>
      </c>
      <c r="V171" s="13" t="str">
        <f>IF(tblSalaries[[#This Row],[Job Type]]=tblSalaries[[#Headers],[Analyst]],tblSalaries[[#This Row],[Salary in USD]],"")</f>
        <v/>
      </c>
      <c r="W171" s="13">
        <f>IF(tblSalaries[[#This Row],[Job Type]]=tblSalaries[[#Headers],[Consultant]],tblSalaries[[#This Row],[Salary in USD]],"")</f>
        <v>80000</v>
      </c>
      <c r="X171" s="13" t="str">
        <f>IF(tblSalaries[[#This Row],[Job Type]]=tblSalaries[[#Headers],[Controller]],tblSalaries[[#This Row],[Salary in USD]],"")</f>
        <v/>
      </c>
      <c r="Y171" s="13" t="str">
        <f>IF(tblSalaries[[#This Row],[Job Type]]=tblSalaries[[#Headers],[CXO or Top Mgmt.]],tblSalaries[[#This Row],[clean Salary (in local currency)]],"")</f>
        <v/>
      </c>
      <c r="Z171" s="13" t="str">
        <f>IF(tblSalaries[[#This Row],[Job Type]]=tblSalaries[[#Headers],[Engineer]],tblSalaries[[#This Row],[Salary in USD]],"")</f>
        <v/>
      </c>
      <c r="AA171" s="13" t="str">
        <f>IF(tblSalaries[[#This Row],[Job Type]]=tblSalaries[[#Headers],[Manager]],tblSalaries[[#This Row],[Salary in USD]],"")</f>
        <v/>
      </c>
      <c r="AB171" s="13" t="str">
        <f>IF(tblSalaries[[#This Row],[Job Type]]=tblSalaries[[#Headers],[Misc.]],tblSalaries[[#This Row],[Salary in USD]],"")</f>
        <v/>
      </c>
      <c r="AC171" s="13" t="str">
        <f>IF(tblSalaries[[#This Row],[Job Type]]=tblSalaries[[#Headers],[Reporting]],tblSalaries[[#This Row],[Salary in USD]],"")</f>
        <v/>
      </c>
      <c r="AD171" s="13" t="str">
        <f>IF(tblSalaries[[#This Row],[Job Type]]=tblSalaries[[#Headers],[Specialist]],tblSalaries[[#This Row],[Salary in USD]],"")</f>
        <v/>
      </c>
    </row>
    <row r="172" spans="2:30" ht="15" customHeight="1" x14ac:dyDescent="0.25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 s="9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  <c r="N172" t="str">
        <f>IF(tblSalaries[[#This Row],[Years of Experience]]="","",IF(tblSalaries[[#This Row],[Years of Experience]]&lt;=2,1,""))</f>
        <v/>
      </c>
      <c r="O172" t="str">
        <f>IF(tblSalaries[[#This Row],[Years of Experience]]="","",IF(AND(tblSalaries[[#This Row],[Years of Experience]]&gt;2,tblSalaries[[#This Row],[Years of Experience]]&lt;=5),1,""))</f>
        <v/>
      </c>
      <c r="P172" t="str">
        <f>IF(tblSalaries[[#This Row],[Years of Experience]]="","",IF(AND(tblSalaries[[#This Row],[Years of Experience]]&gt;5,tblSalaries[[#This Row],[Years of Experience]]&lt;=10),1,""))</f>
        <v/>
      </c>
      <c r="Q172" t="str">
        <f>IF(tblSalaries[[#This Row],[Years of Experience]]="","",IF(AND(tblSalaries[[#This Row],[Years of Experience]]&gt;10,tblSalaries[[#This Row],[Years of Experience]]&lt;=15),1,""))</f>
        <v/>
      </c>
      <c r="R172" t="str">
        <f>IF(tblSalaries[[#This Row],[Years of Experience]]="","",IF(AND(tblSalaries[[#This Row],[Years of Experience]]&gt;16,tblSalaries[[#This Row],[Years of Experience]]&lt;=20),1,""))</f>
        <v/>
      </c>
      <c r="S172" t="str">
        <f>IF(tblSalaries[[#This Row],[Years of Experience]]="","",IF(tblSalaries[[#This Row],[Years of Experience]]&gt;20,1,""))</f>
        <v/>
      </c>
      <c r="T1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2" s="13" t="str">
        <f>IF(tblSalaries[[#This Row],[Job Type]]=tblSalaries[[#Headers],[Accountant]],tblSalaries[[#This Row],[Salary in USD]],"")</f>
        <v/>
      </c>
      <c r="V172" s="13">
        <f>IF(tblSalaries[[#This Row],[Job Type]]=tblSalaries[[#Headers],[Analyst]],tblSalaries[[#This Row],[Salary in USD]],"")</f>
        <v>8903.9583437212841</v>
      </c>
      <c r="W172" s="13" t="str">
        <f>IF(tblSalaries[[#This Row],[Job Type]]=tblSalaries[[#Headers],[Consultant]],tblSalaries[[#This Row],[Salary in USD]],"")</f>
        <v/>
      </c>
      <c r="X172" s="13" t="str">
        <f>IF(tblSalaries[[#This Row],[Job Type]]=tblSalaries[[#Headers],[Controller]],tblSalaries[[#This Row],[Salary in USD]],"")</f>
        <v/>
      </c>
      <c r="Y172" s="13" t="str">
        <f>IF(tblSalaries[[#This Row],[Job Type]]=tblSalaries[[#Headers],[CXO or Top Mgmt.]],tblSalaries[[#This Row],[clean Salary (in local currency)]],"")</f>
        <v/>
      </c>
      <c r="Z172" s="13" t="str">
        <f>IF(tblSalaries[[#This Row],[Job Type]]=tblSalaries[[#Headers],[Engineer]],tblSalaries[[#This Row],[Salary in USD]],"")</f>
        <v/>
      </c>
      <c r="AA172" s="13" t="str">
        <f>IF(tblSalaries[[#This Row],[Job Type]]=tblSalaries[[#Headers],[Manager]],tblSalaries[[#This Row],[Salary in USD]],"")</f>
        <v/>
      </c>
      <c r="AB172" s="13" t="str">
        <f>IF(tblSalaries[[#This Row],[Job Type]]=tblSalaries[[#Headers],[Misc.]],tblSalaries[[#This Row],[Salary in USD]],"")</f>
        <v/>
      </c>
      <c r="AC172" s="13" t="str">
        <f>IF(tblSalaries[[#This Row],[Job Type]]=tblSalaries[[#Headers],[Reporting]],tblSalaries[[#This Row],[Salary in USD]],"")</f>
        <v/>
      </c>
      <c r="AD172" s="13" t="str">
        <f>IF(tblSalaries[[#This Row],[Job Type]]=tblSalaries[[#Headers],[Specialist]],tblSalaries[[#This Row],[Salary in USD]],"")</f>
        <v/>
      </c>
    </row>
    <row r="173" spans="2:30" ht="15" customHeight="1" x14ac:dyDescent="0.25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 s="9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  <c r="N173" t="str">
        <f>IF(tblSalaries[[#This Row],[Years of Experience]]="","",IF(tblSalaries[[#This Row],[Years of Experience]]&lt;=2,1,""))</f>
        <v/>
      </c>
      <c r="O173" t="str">
        <f>IF(tblSalaries[[#This Row],[Years of Experience]]="","",IF(AND(tblSalaries[[#This Row],[Years of Experience]]&gt;2,tblSalaries[[#This Row],[Years of Experience]]&lt;=5),1,""))</f>
        <v/>
      </c>
      <c r="P173" t="str">
        <f>IF(tblSalaries[[#This Row],[Years of Experience]]="","",IF(AND(tblSalaries[[#This Row],[Years of Experience]]&gt;5,tblSalaries[[#This Row],[Years of Experience]]&lt;=10),1,""))</f>
        <v/>
      </c>
      <c r="Q173" t="str">
        <f>IF(tblSalaries[[#This Row],[Years of Experience]]="","",IF(AND(tblSalaries[[#This Row],[Years of Experience]]&gt;10,tblSalaries[[#This Row],[Years of Experience]]&lt;=15),1,""))</f>
        <v/>
      </c>
      <c r="R173" t="str">
        <f>IF(tblSalaries[[#This Row],[Years of Experience]]="","",IF(AND(tblSalaries[[#This Row],[Years of Experience]]&gt;16,tblSalaries[[#This Row],[Years of Experience]]&lt;=20),1,""))</f>
        <v/>
      </c>
      <c r="S173" t="str">
        <f>IF(tblSalaries[[#This Row],[Years of Experience]]="","",IF(tblSalaries[[#This Row],[Years of Experience]]&gt;20,1,""))</f>
        <v/>
      </c>
      <c r="T1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3" s="13" t="str">
        <f>IF(tblSalaries[[#This Row],[Job Type]]=tblSalaries[[#Headers],[Accountant]],tblSalaries[[#This Row],[Salary in USD]],"")</f>
        <v/>
      </c>
      <c r="V173" s="13">
        <f>IF(tblSalaries[[#This Row],[Job Type]]=tblSalaries[[#Headers],[Analyst]],tblSalaries[[#This Row],[Salary in USD]],"")</f>
        <v>88502.537072729421</v>
      </c>
      <c r="W173" s="13" t="str">
        <f>IF(tblSalaries[[#This Row],[Job Type]]=tblSalaries[[#Headers],[Consultant]],tblSalaries[[#This Row],[Salary in USD]],"")</f>
        <v/>
      </c>
      <c r="X173" s="13" t="str">
        <f>IF(tblSalaries[[#This Row],[Job Type]]=tblSalaries[[#Headers],[Controller]],tblSalaries[[#This Row],[Salary in USD]],"")</f>
        <v/>
      </c>
      <c r="Y173" s="13" t="str">
        <f>IF(tblSalaries[[#This Row],[Job Type]]=tblSalaries[[#Headers],[CXO or Top Mgmt.]],tblSalaries[[#This Row],[clean Salary (in local currency)]],"")</f>
        <v/>
      </c>
      <c r="Z173" s="13" t="str">
        <f>IF(tblSalaries[[#This Row],[Job Type]]=tblSalaries[[#Headers],[Engineer]],tblSalaries[[#This Row],[Salary in USD]],"")</f>
        <v/>
      </c>
      <c r="AA173" s="13" t="str">
        <f>IF(tblSalaries[[#This Row],[Job Type]]=tblSalaries[[#Headers],[Manager]],tblSalaries[[#This Row],[Salary in USD]],"")</f>
        <v/>
      </c>
      <c r="AB173" s="13" t="str">
        <f>IF(tblSalaries[[#This Row],[Job Type]]=tblSalaries[[#Headers],[Misc.]],tblSalaries[[#This Row],[Salary in USD]],"")</f>
        <v/>
      </c>
      <c r="AC173" s="13" t="str">
        <f>IF(tblSalaries[[#This Row],[Job Type]]=tblSalaries[[#Headers],[Reporting]],tblSalaries[[#This Row],[Salary in USD]],"")</f>
        <v/>
      </c>
      <c r="AD173" s="13" t="str">
        <f>IF(tblSalaries[[#This Row],[Job Type]]=tblSalaries[[#Headers],[Specialist]],tblSalaries[[#This Row],[Salary in USD]],"")</f>
        <v/>
      </c>
    </row>
    <row r="174" spans="2:30" ht="15" customHeight="1" x14ac:dyDescent="0.25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 s="9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  <c r="N174" t="str">
        <f>IF(tblSalaries[[#This Row],[Years of Experience]]="","",IF(tblSalaries[[#This Row],[Years of Experience]]&lt;=2,1,""))</f>
        <v/>
      </c>
      <c r="O174" t="str">
        <f>IF(tblSalaries[[#This Row],[Years of Experience]]="","",IF(AND(tblSalaries[[#This Row],[Years of Experience]]&gt;2,tblSalaries[[#This Row],[Years of Experience]]&lt;=5),1,""))</f>
        <v/>
      </c>
      <c r="P174" t="str">
        <f>IF(tblSalaries[[#This Row],[Years of Experience]]="","",IF(AND(tblSalaries[[#This Row],[Years of Experience]]&gt;5,tblSalaries[[#This Row],[Years of Experience]]&lt;=10),1,""))</f>
        <v/>
      </c>
      <c r="Q174" t="str">
        <f>IF(tblSalaries[[#This Row],[Years of Experience]]="","",IF(AND(tblSalaries[[#This Row],[Years of Experience]]&gt;10,tblSalaries[[#This Row],[Years of Experience]]&lt;=15),1,""))</f>
        <v/>
      </c>
      <c r="R174" t="str">
        <f>IF(tblSalaries[[#This Row],[Years of Experience]]="","",IF(AND(tblSalaries[[#This Row],[Years of Experience]]&gt;16,tblSalaries[[#This Row],[Years of Experience]]&lt;=20),1,""))</f>
        <v/>
      </c>
      <c r="S174" t="str">
        <f>IF(tblSalaries[[#This Row],[Years of Experience]]="","",IF(tblSalaries[[#This Row],[Years of Experience]]&gt;20,1,""))</f>
        <v/>
      </c>
      <c r="T1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4" s="13" t="str">
        <f>IF(tblSalaries[[#This Row],[Job Type]]=tblSalaries[[#Headers],[Accountant]],tblSalaries[[#This Row],[Salary in USD]],"")</f>
        <v/>
      </c>
      <c r="V174" s="13">
        <f>IF(tblSalaries[[#This Row],[Job Type]]=tblSalaries[[#Headers],[Analyst]],tblSalaries[[#This Row],[Salary in USD]],"")</f>
        <v>3205.4250037396623</v>
      </c>
      <c r="W174" s="13" t="str">
        <f>IF(tblSalaries[[#This Row],[Job Type]]=tblSalaries[[#Headers],[Consultant]],tblSalaries[[#This Row],[Salary in USD]],"")</f>
        <v/>
      </c>
      <c r="X174" s="13" t="str">
        <f>IF(tblSalaries[[#This Row],[Job Type]]=tblSalaries[[#Headers],[Controller]],tblSalaries[[#This Row],[Salary in USD]],"")</f>
        <v/>
      </c>
      <c r="Y174" s="13" t="str">
        <f>IF(tblSalaries[[#This Row],[Job Type]]=tblSalaries[[#Headers],[CXO or Top Mgmt.]],tblSalaries[[#This Row],[clean Salary (in local currency)]],"")</f>
        <v/>
      </c>
      <c r="Z174" s="13" t="str">
        <f>IF(tblSalaries[[#This Row],[Job Type]]=tblSalaries[[#Headers],[Engineer]],tblSalaries[[#This Row],[Salary in USD]],"")</f>
        <v/>
      </c>
      <c r="AA174" s="13" t="str">
        <f>IF(tblSalaries[[#This Row],[Job Type]]=tblSalaries[[#Headers],[Manager]],tblSalaries[[#This Row],[Salary in USD]],"")</f>
        <v/>
      </c>
      <c r="AB174" s="13" t="str">
        <f>IF(tblSalaries[[#This Row],[Job Type]]=tblSalaries[[#Headers],[Misc.]],tblSalaries[[#This Row],[Salary in USD]],"")</f>
        <v/>
      </c>
      <c r="AC174" s="13" t="str">
        <f>IF(tblSalaries[[#This Row],[Job Type]]=tblSalaries[[#Headers],[Reporting]],tblSalaries[[#This Row],[Salary in USD]],"")</f>
        <v/>
      </c>
      <c r="AD174" s="13" t="str">
        <f>IF(tblSalaries[[#This Row],[Job Type]]=tblSalaries[[#Headers],[Specialist]],tblSalaries[[#This Row],[Salary in USD]],"")</f>
        <v/>
      </c>
    </row>
    <row r="175" spans="2:30" ht="15" customHeight="1" x14ac:dyDescent="0.25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 s="9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  <c r="N175" t="str">
        <f>IF(tblSalaries[[#This Row],[Years of Experience]]="","",IF(tblSalaries[[#This Row],[Years of Experience]]&lt;=2,1,""))</f>
        <v/>
      </c>
      <c r="O175" t="str">
        <f>IF(tblSalaries[[#This Row],[Years of Experience]]="","",IF(AND(tblSalaries[[#This Row],[Years of Experience]]&gt;2,tblSalaries[[#This Row],[Years of Experience]]&lt;=5),1,""))</f>
        <v/>
      </c>
      <c r="P175" t="str">
        <f>IF(tblSalaries[[#This Row],[Years of Experience]]="","",IF(AND(tblSalaries[[#This Row],[Years of Experience]]&gt;5,tblSalaries[[#This Row],[Years of Experience]]&lt;=10),1,""))</f>
        <v/>
      </c>
      <c r="Q175" t="str">
        <f>IF(tblSalaries[[#This Row],[Years of Experience]]="","",IF(AND(tblSalaries[[#This Row],[Years of Experience]]&gt;10,tblSalaries[[#This Row],[Years of Experience]]&lt;=15),1,""))</f>
        <v/>
      </c>
      <c r="R175" t="str">
        <f>IF(tblSalaries[[#This Row],[Years of Experience]]="","",IF(AND(tblSalaries[[#This Row],[Years of Experience]]&gt;16,tblSalaries[[#This Row],[Years of Experience]]&lt;=20),1,""))</f>
        <v/>
      </c>
      <c r="S175" t="str">
        <f>IF(tblSalaries[[#This Row],[Years of Experience]]="","",IF(tblSalaries[[#This Row],[Years of Experience]]&gt;20,1,""))</f>
        <v/>
      </c>
      <c r="T1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5" s="13" t="str">
        <f>IF(tblSalaries[[#This Row],[Job Type]]=tblSalaries[[#Headers],[Accountant]],tblSalaries[[#This Row],[Salary in USD]],"")</f>
        <v/>
      </c>
      <c r="V175" s="13">
        <f>IF(tblSalaries[[#This Row],[Job Type]]=tblSalaries[[#Headers],[Analyst]],tblSalaries[[#This Row],[Salary in USD]],"")</f>
        <v>46584</v>
      </c>
      <c r="W175" s="13" t="str">
        <f>IF(tblSalaries[[#This Row],[Job Type]]=tblSalaries[[#Headers],[Consultant]],tblSalaries[[#This Row],[Salary in USD]],"")</f>
        <v/>
      </c>
      <c r="X175" s="13" t="str">
        <f>IF(tblSalaries[[#This Row],[Job Type]]=tblSalaries[[#Headers],[Controller]],tblSalaries[[#This Row],[Salary in USD]],"")</f>
        <v/>
      </c>
      <c r="Y175" s="13" t="str">
        <f>IF(tblSalaries[[#This Row],[Job Type]]=tblSalaries[[#Headers],[CXO or Top Mgmt.]],tblSalaries[[#This Row],[clean Salary (in local currency)]],"")</f>
        <v/>
      </c>
      <c r="Z175" s="13" t="str">
        <f>IF(tblSalaries[[#This Row],[Job Type]]=tblSalaries[[#Headers],[Engineer]],tblSalaries[[#This Row],[Salary in USD]],"")</f>
        <v/>
      </c>
      <c r="AA175" s="13" t="str">
        <f>IF(tblSalaries[[#This Row],[Job Type]]=tblSalaries[[#Headers],[Manager]],tblSalaries[[#This Row],[Salary in USD]],"")</f>
        <v/>
      </c>
      <c r="AB175" s="13" t="str">
        <f>IF(tblSalaries[[#This Row],[Job Type]]=tblSalaries[[#Headers],[Misc.]],tblSalaries[[#This Row],[Salary in USD]],"")</f>
        <v/>
      </c>
      <c r="AC175" s="13" t="str">
        <f>IF(tblSalaries[[#This Row],[Job Type]]=tblSalaries[[#Headers],[Reporting]],tblSalaries[[#This Row],[Salary in USD]],"")</f>
        <v/>
      </c>
      <c r="AD175" s="13" t="str">
        <f>IF(tblSalaries[[#This Row],[Job Type]]=tblSalaries[[#Headers],[Specialist]],tblSalaries[[#This Row],[Salary in USD]],"")</f>
        <v/>
      </c>
    </row>
    <row r="176" spans="2:30" ht="15" customHeight="1" x14ac:dyDescent="0.25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 s="9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  <c r="N176" t="str">
        <f>IF(tblSalaries[[#This Row],[Years of Experience]]="","",IF(tblSalaries[[#This Row],[Years of Experience]]&lt;=2,1,""))</f>
        <v/>
      </c>
      <c r="O176" t="str">
        <f>IF(tblSalaries[[#This Row],[Years of Experience]]="","",IF(AND(tblSalaries[[#This Row],[Years of Experience]]&gt;2,tblSalaries[[#This Row],[Years of Experience]]&lt;=5),1,""))</f>
        <v/>
      </c>
      <c r="P176" t="str">
        <f>IF(tblSalaries[[#This Row],[Years of Experience]]="","",IF(AND(tblSalaries[[#This Row],[Years of Experience]]&gt;5,tblSalaries[[#This Row],[Years of Experience]]&lt;=10),1,""))</f>
        <v/>
      </c>
      <c r="Q176" t="str">
        <f>IF(tblSalaries[[#This Row],[Years of Experience]]="","",IF(AND(tblSalaries[[#This Row],[Years of Experience]]&gt;10,tblSalaries[[#This Row],[Years of Experience]]&lt;=15),1,""))</f>
        <v/>
      </c>
      <c r="R176" t="str">
        <f>IF(tblSalaries[[#This Row],[Years of Experience]]="","",IF(AND(tblSalaries[[#This Row],[Years of Experience]]&gt;16,tblSalaries[[#This Row],[Years of Experience]]&lt;=20),1,""))</f>
        <v/>
      </c>
      <c r="S176" t="str">
        <f>IF(tblSalaries[[#This Row],[Years of Experience]]="","",IF(tblSalaries[[#This Row],[Years of Experience]]&gt;20,1,""))</f>
        <v/>
      </c>
      <c r="T1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6" s="13" t="str">
        <f>IF(tblSalaries[[#This Row],[Job Type]]=tblSalaries[[#Headers],[Accountant]],tblSalaries[[#This Row],[Salary in USD]],"")</f>
        <v/>
      </c>
      <c r="V176" s="13">
        <f>IF(tblSalaries[[#This Row],[Job Type]]=tblSalaries[[#Headers],[Analyst]],tblSalaries[[#This Row],[Salary in USD]],"")</f>
        <v>67000</v>
      </c>
      <c r="W176" s="13" t="str">
        <f>IF(tblSalaries[[#This Row],[Job Type]]=tblSalaries[[#Headers],[Consultant]],tblSalaries[[#This Row],[Salary in USD]],"")</f>
        <v/>
      </c>
      <c r="X176" s="13" t="str">
        <f>IF(tblSalaries[[#This Row],[Job Type]]=tblSalaries[[#Headers],[Controller]],tblSalaries[[#This Row],[Salary in USD]],"")</f>
        <v/>
      </c>
      <c r="Y176" s="13" t="str">
        <f>IF(tblSalaries[[#This Row],[Job Type]]=tblSalaries[[#Headers],[CXO or Top Mgmt.]],tblSalaries[[#This Row],[clean Salary (in local currency)]],"")</f>
        <v/>
      </c>
      <c r="Z176" s="13" t="str">
        <f>IF(tblSalaries[[#This Row],[Job Type]]=tblSalaries[[#Headers],[Engineer]],tblSalaries[[#This Row],[Salary in USD]],"")</f>
        <v/>
      </c>
      <c r="AA176" s="13" t="str">
        <f>IF(tblSalaries[[#This Row],[Job Type]]=tblSalaries[[#Headers],[Manager]],tblSalaries[[#This Row],[Salary in USD]],"")</f>
        <v/>
      </c>
      <c r="AB176" s="13" t="str">
        <f>IF(tblSalaries[[#This Row],[Job Type]]=tblSalaries[[#Headers],[Misc.]],tblSalaries[[#This Row],[Salary in USD]],"")</f>
        <v/>
      </c>
      <c r="AC176" s="13" t="str">
        <f>IF(tblSalaries[[#This Row],[Job Type]]=tblSalaries[[#Headers],[Reporting]],tblSalaries[[#This Row],[Salary in USD]],"")</f>
        <v/>
      </c>
      <c r="AD176" s="13" t="str">
        <f>IF(tblSalaries[[#This Row],[Job Type]]=tblSalaries[[#Headers],[Specialist]],tblSalaries[[#This Row],[Salary in USD]],"")</f>
        <v/>
      </c>
    </row>
    <row r="177" spans="2:30" ht="15" customHeight="1" x14ac:dyDescent="0.25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 s="9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  <c r="N177" t="str">
        <f>IF(tblSalaries[[#This Row],[Years of Experience]]="","",IF(tblSalaries[[#This Row],[Years of Experience]]&lt;=2,1,""))</f>
        <v/>
      </c>
      <c r="O177" t="str">
        <f>IF(tblSalaries[[#This Row],[Years of Experience]]="","",IF(AND(tblSalaries[[#This Row],[Years of Experience]]&gt;2,tblSalaries[[#This Row],[Years of Experience]]&lt;=5),1,""))</f>
        <v/>
      </c>
      <c r="P177" t="str">
        <f>IF(tblSalaries[[#This Row],[Years of Experience]]="","",IF(AND(tblSalaries[[#This Row],[Years of Experience]]&gt;5,tblSalaries[[#This Row],[Years of Experience]]&lt;=10),1,""))</f>
        <v/>
      </c>
      <c r="Q177" t="str">
        <f>IF(tblSalaries[[#This Row],[Years of Experience]]="","",IF(AND(tblSalaries[[#This Row],[Years of Experience]]&gt;10,tblSalaries[[#This Row],[Years of Experience]]&lt;=15),1,""))</f>
        <v/>
      </c>
      <c r="R177" t="str">
        <f>IF(tblSalaries[[#This Row],[Years of Experience]]="","",IF(AND(tblSalaries[[#This Row],[Years of Experience]]&gt;16,tblSalaries[[#This Row],[Years of Experience]]&lt;=20),1,""))</f>
        <v/>
      </c>
      <c r="S177" t="str">
        <f>IF(tblSalaries[[#This Row],[Years of Experience]]="","",IF(tblSalaries[[#This Row],[Years of Experience]]&gt;20,1,""))</f>
        <v/>
      </c>
      <c r="T1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7" s="13" t="str">
        <f>IF(tblSalaries[[#This Row],[Job Type]]=tblSalaries[[#Headers],[Accountant]],tblSalaries[[#This Row],[Salary in USD]],"")</f>
        <v/>
      </c>
      <c r="V177" s="13" t="str">
        <f>IF(tblSalaries[[#This Row],[Job Type]]=tblSalaries[[#Headers],[Analyst]],tblSalaries[[#This Row],[Salary in USD]],"")</f>
        <v/>
      </c>
      <c r="W177" s="13" t="str">
        <f>IF(tblSalaries[[#This Row],[Job Type]]=tblSalaries[[#Headers],[Consultant]],tblSalaries[[#This Row],[Salary in USD]],"")</f>
        <v/>
      </c>
      <c r="X177" s="13" t="str">
        <f>IF(tblSalaries[[#This Row],[Job Type]]=tblSalaries[[#Headers],[Controller]],tblSalaries[[#This Row],[Salary in USD]],"")</f>
        <v/>
      </c>
      <c r="Y177" s="13" t="str">
        <f>IF(tblSalaries[[#This Row],[Job Type]]=tblSalaries[[#Headers],[CXO or Top Mgmt.]],tblSalaries[[#This Row],[clean Salary (in local currency)]],"")</f>
        <v/>
      </c>
      <c r="Z177" s="13" t="str">
        <f>IF(tblSalaries[[#This Row],[Job Type]]=tblSalaries[[#Headers],[Engineer]],tblSalaries[[#This Row],[Salary in USD]],"")</f>
        <v/>
      </c>
      <c r="AA177" s="13">
        <f>IF(tblSalaries[[#This Row],[Job Type]]=tblSalaries[[#Headers],[Manager]],tblSalaries[[#This Row],[Salary in USD]],"")</f>
        <v>19588.708356186824</v>
      </c>
      <c r="AB177" s="13" t="str">
        <f>IF(tblSalaries[[#This Row],[Job Type]]=tblSalaries[[#Headers],[Misc.]],tblSalaries[[#This Row],[Salary in USD]],"")</f>
        <v/>
      </c>
      <c r="AC177" s="13" t="str">
        <f>IF(tblSalaries[[#This Row],[Job Type]]=tblSalaries[[#Headers],[Reporting]],tblSalaries[[#This Row],[Salary in USD]],"")</f>
        <v/>
      </c>
      <c r="AD177" s="13" t="str">
        <f>IF(tblSalaries[[#This Row],[Job Type]]=tblSalaries[[#Headers],[Specialist]],tblSalaries[[#This Row],[Salary in USD]],"")</f>
        <v/>
      </c>
    </row>
    <row r="178" spans="2:30" ht="15" customHeight="1" x14ac:dyDescent="0.25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 s="9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  <c r="N178" t="str">
        <f>IF(tblSalaries[[#This Row],[Years of Experience]]="","",IF(tblSalaries[[#This Row],[Years of Experience]]&lt;=2,1,""))</f>
        <v/>
      </c>
      <c r="O178" t="str">
        <f>IF(tblSalaries[[#This Row],[Years of Experience]]="","",IF(AND(tblSalaries[[#This Row],[Years of Experience]]&gt;2,tblSalaries[[#This Row],[Years of Experience]]&lt;=5),1,""))</f>
        <v/>
      </c>
      <c r="P178" t="str">
        <f>IF(tblSalaries[[#This Row],[Years of Experience]]="","",IF(AND(tblSalaries[[#This Row],[Years of Experience]]&gt;5,tblSalaries[[#This Row],[Years of Experience]]&lt;=10),1,""))</f>
        <v/>
      </c>
      <c r="Q178" t="str">
        <f>IF(tblSalaries[[#This Row],[Years of Experience]]="","",IF(AND(tblSalaries[[#This Row],[Years of Experience]]&gt;10,tblSalaries[[#This Row],[Years of Experience]]&lt;=15),1,""))</f>
        <v/>
      </c>
      <c r="R178" t="str">
        <f>IF(tblSalaries[[#This Row],[Years of Experience]]="","",IF(AND(tblSalaries[[#This Row],[Years of Experience]]&gt;16,tblSalaries[[#This Row],[Years of Experience]]&lt;=20),1,""))</f>
        <v/>
      </c>
      <c r="S178" t="str">
        <f>IF(tblSalaries[[#This Row],[Years of Experience]]="","",IF(tblSalaries[[#This Row],[Years of Experience]]&gt;20,1,""))</f>
        <v/>
      </c>
      <c r="T1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8" s="13" t="str">
        <f>IF(tblSalaries[[#This Row],[Job Type]]=tblSalaries[[#Headers],[Accountant]],tblSalaries[[#This Row],[Salary in USD]],"")</f>
        <v/>
      </c>
      <c r="V178" s="13" t="str">
        <f>IF(tblSalaries[[#This Row],[Job Type]]=tblSalaries[[#Headers],[Analyst]],tblSalaries[[#This Row],[Salary in USD]],"")</f>
        <v/>
      </c>
      <c r="W178" s="13" t="str">
        <f>IF(tblSalaries[[#This Row],[Job Type]]=tblSalaries[[#Headers],[Consultant]],tblSalaries[[#This Row],[Salary in USD]],"")</f>
        <v/>
      </c>
      <c r="X178" s="13" t="str">
        <f>IF(tblSalaries[[#This Row],[Job Type]]=tblSalaries[[#Headers],[Controller]],tblSalaries[[#This Row],[Salary in USD]],"")</f>
        <v/>
      </c>
      <c r="Y178" s="13" t="str">
        <f>IF(tblSalaries[[#This Row],[Job Type]]=tblSalaries[[#Headers],[CXO or Top Mgmt.]],tblSalaries[[#This Row],[clean Salary (in local currency)]],"")</f>
        <v/>
      </c>
      <c r="Z178" s="13">
        <f>IF(tblSalaries[[#This Row],[Job Type]]=tblSalaries[[#Headers],[Engineer]],tblSalaries[[#This Row],[Salary in USD]],"")</f>
        <v>92000</v>
      </c>
      <c r="AA178" s="13" t="str">
        <f>IF(tblSalaries[[#This Row],[Job Type]]=tblSalaries[[#Headers],[Manager]],tblSalaries[[#This Row],[Salary in USD]],"")</f>
        <v/>
      </c>
      <c r="AB178" s="13" t="str">
        <f>IF(tblSalaries[[#This Row],[Job Type]]=tblSalaries[[#Headers],[Misc.]],tblSalaries[[#This Row],[Salary in USD]],"")</f>
        <v/>
      </c>
      <c r="AC178" s="13" t="str">
        <f>IF(tblSalaries[[#This Row],[Job Type]]=tblSalaries[[#Headers],[Reporting]],tblSalaries[[#This Row],[Salary in USD]],"")</f>
        <v/>
      </c>
      <c r="AD178" s="13" t="str">
        <f>IF(tblSalaries[[#This Row],[Job Type]]=tblSalaries[[#Headers],[Specialist]],tblSalaries[[#This Row],[Salary in USD]],"")</f>
        <v/>
      </c>
    </row>
    <row r="179" spans="2:30" ht="15" customHeight="1" x14ac:dyDescent="0.25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 s="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  <c r="N179" t="str">
        <f>IF(tblSalaries[[#This Row],[Years of Experience]]="","",IF(tblSalaries[[#This Row],[Years of Experience]]&lt;=2,1,""))</f>
        <v/>
      </c>
      <c r="O179" t="str">
        <f>IF(tblSalaries[[#This Row],[Years of Experience]]="","",IF(AND(tblSalaries[[#This Row],[Years of Experience]]&gt;2,tblSalaries[[#This Row],[Years of Experience]]&lt;=5),1,""))</f>
        <v/>
      </c>
      <c r="P179" t="str">
        <f>IF(tblSalaries[[#This Row],[Years of Experience]]="","",IF(AND(tblSalaries[[#This Row],[Years of Experience]]&gt;5,tblSalaries[[#This Row],[Years of Experience]]&lt;=10),1,""))</f>
        <v/>
      </c>
      <c r="Q179" t="str">
        <f>IF(tblSalaries[[#This Row],[Years of Experience]]="","",IF(AND(tblSalaries[[#This Row],[Years of Experience]]&gt;10,tblSalaries[[#This Row],[Years of Experience]]&lt;=15),1,""))</f>
        <v/>
      </c>
      <c r="R179" t="str">
        <f>IF(tblSalaries[[#This Row],[Years of Experience]]="","",IF(AND(tblSalaries[[#This Row],[Years of Experience]]&gt;16,tblSalaries[[#This Row],[Years of Experience]]&lt;=20),1,""))</f>
        <v/>
      </c>
      <c r="S179" t="str">
        <f>IF(tblSalaries[[#This Row],[Years of Experience]]="","",IF(tblSalaries[[#This Row],[Years of Experience]]&gt;20,1,""))</f>
        <v/>
      </c>
      <c r="T1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9" s="13" t="str">
        <f>IF(tblSalaries[[#This Row],[Job Type]]=tblSalaries[[#Headers],[Accountant]],tblSalaries[[#This Row],[Salary in USD]],"")</f>
        <v/>
      </c>
      <c r="V179" s="13" t="str">
        <f>IF(tblSalaries[[#This Row],[Job Type]]=tblSalaries[[#Headers],[Analyst]],tblSalaries[[#This Row],[Salary in USD]],"")</f>
        <v/>
      </c>
      <c r="W179" s="13" t="str">
        <f>IF(tblSalaries[[#This Row],[Job Type]]=tblSalaries[[#Headers],[Consultant]],tblSalaries[[#This Row],[Salary in USD]],"")</f>
        <v/>
      </c>
      <c r="X179" s="13" t="str">
        <f>IF(tblSalaries[[#This Row],[Job Type]]=tblSalaries[[#Headers],[Controller]],tblSalaries[[#This Row],[Salary in USD]],"")</f>
        <v/>
      </c>
      <c r="Y179" s="13" t="str">
        <f>IF(tblSalaries[[#This Row],[Job Type]]=tblSalaries[[#Headers],[CXO or Top Mgmt.]],tblSalaries[[#This Row],[clean Salary (in local currency)]],"")</f>
        <v/>
      </c>
      <c r="Z179" s="13" t="str">
        <f>IF(tblSalaries[[#This Row],[Job Type]]=tblSalaries[[#Headers],[Engineer]],tblSalaries[[#This Row],[Salary in USD]],"")</f>
        <v/>
      </c>
      <c r="AA179" s="13" t="str">
        <f>IF(tblSalaries[[#This Row],[Job Type]]=tblSalaries[[#Headers],[Manager]],tblSalaries[[#This Row],[Salary in USD]],"")</f>
        <v/>
      </c>
      <c r="AB179" s="13" t="str">
        <f>IF(tblSalaries[[#This Row],[Job Type]]=tblSalaries[[#Headers],[Misc.]],tblSalaries[[#This Row],[Salary in USD]],"")</f>
        <v/>
      </c>
      <c r="AC179" s="13" t="str">
        <f>IF(tblSalaries[[#This Row],[Job Type]]=tblSalaries[[#Headers],[Reporting]],tblSalaries[[#This Row],[Salary in USD]],"")</f>
        <v/>
      </c>
      <c r="AD179" s="13">
        <f>IF(tblSalaries[[#This Row],[Job Type]]=tblSalaries[[#Headers],[Specialist]],tblSalaries[[#This Row],[Salary in USD]],"")</f>
        <v>75000</v>
      </c>
    </row>
    <row r="180" spans="2:30" ht="15" customHeight="1" x14ac:dyDescent="0.25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 s="9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  <c r="N180" t="str">
        <f>IF(tblSalaries[[#This Row],[Years of Experience]]="","",IF(tblSalaries[[#This Row],[Years of Experience]]&lt;=2,1,""))</f>
        <v/>
      </c>
      <c r="O180" t="str">
        <f>IF(tblSalaries[[#This Row],[Years of Experience]]="","",IF(AND(tblSalaries[[#This Row],[Years of Experience]]&gt;2,tblSalaries[[#This Row],[Years of Experience]]&lt;=5),1,""))</f>
        <v/>
      </c>
      <c r="P180" t="str">
        <f>IF(tblSalaries[[#This Row],[Years of Experience]]="","",IF(AND(tblSalaries[[#This Row],[Years of Experience]]&gt;5,tblSalaries[[#This Row],[Years of Experience]]&lt;=10),1,""))</f>
        <v/>
      </c>
      <c r="Q180" t="str">
        <f>IF(tblSalaries[[#This Row],[Years of Experience]]="","",IF(AND(tblSalaries[[#This Row],[Years of Experience]]&gt;10,tblSalaries[[#This Row],[Years of Experience]]&lt;=15),1,""))</f>
        <v/>
      </c>
      <c r="R180" t="str">
        <f>IF(tblSalaries[[#This Row],[Years of Experience]]="","",IF(AND(tblSalaries[[#This Row],[Years of Experience]]&gt;16,tblSalaries[[#This Row],[Years of Experience]]&lt;=20),1,""))</f>
        <v/>
      </c>
      <c r="S180" t="str">
        <f>IF(tblSalaries[[#This Row],[Years of Experience]]="","",IF(tblSalaries[[#This Row],[Years of Experience]]&gt;20,1,""))</f>
        <v/>
      </c>
      <c r="T1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0" s="13" t="str">
        <f>IF(tblSalaries[[#This Row],[Job Type]]=tblSalaries[[#Headers],[Accountant]],tblSalaries[[#This Row],[Salary in USD]],"")</f>
        <v/>
      </c>
      <c r="V180" s="13">
        <f>IF(tblSalaries[[#This Row],[Job Type]]=tblSalaries[[#Headers],[Analyst]],tblSalaries[[#This Row],[Salary in USD]],"")</f>
        <v>3205.4250037396623</v>
      </c>
      <c r="W180" s="13" t="str">
        <f>IF(tblSalaries[[#This Row],[Job Type]]=tblSalaries[[#Headers],[Consultant]],tblSalaries[[#This Row],[Salary in USD]],"")</f>
        <v/>
      </c>
      <c r="X180" s="13" t="str">
        <f>IF(tblSalaries[[#This Row],[Job Type]]=tblSalaries[[#Headers],[Controller]],tblSalaries[[#This Row],[Salary in USD]],"")</f>
        <v/>
      </c>
      <c r="Y180" s="13" t="str">
        <f>IF(tblSalaries[[#This Row],[Job Type]]=tblSalaries[[#Headers],[CXO or Top Mgmt.]],tblSalaries[[#This Row],[clean Salary (in local currency)]],"")</f>
        <v/>
      </c>
      <c r="Z180" s="13" t="str">
        <f>IF(tblSalaries[[#This Row],[Job Type]]=tblSalaries[[#Headers],[Engineer]],tblSalaries[[#This Row],[Salary in USD]],"")</f>
        <v/>
      </c>
      <c r="AA180" s="13" t="str">
        <f>IF(tblSalaries[[#This Row],[Job Type]]=tblSalaries[[#Headers],[Manager]],tblSalaries[[#This Row],[Salary in USD]],"")</f>
        <v/>
      </c>
      <c r="AB180" s="13" t="str">
        <f>IF(tblSalaries[[#This Row],[Job Type]]=tblSalaries[[#Headers],[Misc.]],tblSalaries[[#This Row],[Salary in USD]],"")</f>
        <v/>
      </c>
      <c r="AC180" s="13" t="str">
        <f>IF(tblSalaries[[#This Row],[Job Type]]=tblSalaries[[#Headers],[Reporting]],tblSalaries[[#This Row],[Salary in USD]],"")</f>
        <v/>
      </c>
      <c r="AD180" s="13" t="str">
        <f>IF(tblSalaries[[#This Row],[Job Type]]=tblSalaries[[#Headers],[Specialist]],tblSalaries[[#This Row],[Salary in USD]],"")</f>
        <v/>
      </c>
    </row>
    <row r="181" spans="2:30" ht="15" customHeight="1" x14ac:dyDescent="0.25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 s="9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  <c r="N181" t="str">
        <f>IF(tblSalaries[[#This Row],[Years of Experience]]="","",IF(tblSalaries[[#This Row],[Years of Experience]]&lt;=2,1,""))</f>
        <v/>
      </c>
      <c r="O181" t="str">
        <f>IF(tblSalaries[[#This Row],[Years of Experience]]="","",IF(AND(tblSalaries[[#This Row],[Years of Experience]]&gt;2,tblSalaries[[#This Row],[Years of Experience]]&lt;=5),1,""))</f>
        <v/>
      </c>
      <c r="P181" t="str">
        <f>IF(tblSalaries[[#This Row],[Years of Experience]]="","",IF(AND(tblSalaries[[#This Row],[Years of Experience]]&gt;5,tblSalaries[[#This Row],[Years of Experience]]&lt;=10),1,""))</f>
        <v/>
      </c>
      <c r="Q181" t="str">
        <f>IF(tblSalaries[[#This Row],[Years of Experience]]="","",IF(AND(tblSalaries[[#This Row],[Years of Experience]]&gt;10,tblSalaries[[#This Row],[Years of Experience]]&lt;=15),1,""))</f>
        <v/>
      </c>
      <c r="R181" t="str">
        <f>IF(tblSalaries[[#This Row],[Years of Experience]]="","",IF(AND(tblSalaries[[#This Row],[Years of Experience]]&gt;16,tblSalaries[[#This Row],[Years of Experience]]&lt;=20),1,""))</f>
        <v/>
      </c>
      <c r="S181" t="str">
        <f>IF(tblSalaries[[#This Row],[Years of Experience]]="","",IF(tblSalaries[[#This Row],[Years of Experience]]&gt;20,1,""))</f>
        <v/>
      </c>
      <c r="T1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1" s="13" t="str">
        <f>IF(tblSalaries[[#This Row],[Job Type]]=tblSalaries[[#Headers],[Accountant]],tblSalaries[[#This Row],[Salary in USD]],"")</f>
        <v/>
      </c>
      <c r="V181" s="13" t="str">
        <f>IF(tblSalaries[[#This Row],[Job Type]]=tblSalaries[[#Headers],[Analyst]],tblSalaries[[#This Row],[Salary in USD]],"")</f>
        <v/>
      </c>
      <c r="W181" s="13" t="str">
        <f>IF(tblSalaries[[#This Row],[Job Type]]=tblSalaries[[#Headers],[Consultant]],tblSalaries[[#This Row],[Salary in USD]],"")</f>
        <v/>
      </c>
      <c r="X181" s="13" t="str">
        <f>IF(tblSalaries[[#This Row],[Job Type]]=tblSalaries[[#Headers],[Controller]],tblSalaries[[#This Row],[Salary in USD]],"")</f>
        <v/>
      </c>
      <c r="Y181" s="13" t="str">
        <f>IF(tblSalaries[[#This Row],[Job Type]]=tblSalaries[[#Headers],[CXO or Top Mgmt.]],tblSalaries[[#This Row],[clean Salary (in local currency)]],"")</f>
        <v/>
      </c>
      <c r="Z181" s="13" t="str">
        <f>IF(tblSalaries[[#This Row],[Job Type]]=tblSalaries[[#Headers],[Engineer]],tblSalaries[[#This Row],[Salary in USD]],"")</f>
        <v/>
      </c>
      <c r="AA181" s="13">
        <f>IF(tblSalaries[[#This Row],[Job Type]]=tblSalaries[[#Headers],[Manager]],tblSalaries[[#This Row],[Salary in USD]],"")</f>
        <v>29159.298033244755</v>
      </c>
      <c r="AB181" s="13" t="str">
        <f>IF(tblSalaries[[#This Row],[Job Type]]=tblSalaries[[#Headers],[Misc.]],tblSalaries[[#This Row],[Salary in USD]],"")</f>
        <v/>
      </c>
      <c r="AC181" s="13" t="str">
        <f>IF(tblSalaries[[#This Row],[Job Type]]=tblSalaries[[#Headers],[Reporting]],tblSalaries[[#This Row],[Salary in USD]],"")</f>
        <v/>
      </c>
      <c r="AD181" s="13" t="str">
        <f>IF(tblSalaries[[#This Row],[Job Type]]=tblSalaries[[#Headers],[Specialist]],tblSalaries[[#This Row],[Salary in USD]],"")</f>
        <v/>
      </c>
    </row>
    <row r="182" spans="2:30" ht="15" customHeight="1" x14ac:dyDescent="0.25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 s="9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  <c r="N182" t="str">
        <f>IF(tblSalaries[[#This Row],[Years of Experience]]="","",IF(tblSalaries[[#This Row],[Years of Experience]]&lt;=2,1,""))</f>
        <v/>
      </c>
      <c r="O182" t="str">
        <f>IF(tblSalaries[[#This Row],[Years of Experience]]="","",IF(AND(tblSalaries[[#This Row],[Years of Experience]]&gt;2,tblSalaries[[#This Row],[Years of Experience]]&lt;=5),1,""))</f>
        <v/>
      </c>
      <c r="P182" t="str">
        <f>IF(tblSalaries[[#This Row],[Years of Experience]]="","",IF(AND(tblSalaries[[#This Row],[Years of Experience]]&gt;5,tblSalaries[[#This Row],[Years of Experience]]&lt;=10),1,""))</f>
        <v/>
      </c>
      <c r="Q182" t="str">
        <f>IF(tblSalaries[[#This Row],[Years of Experience]]="","",IF(AND(tblSalaries[[#This Row],[Years of Experience]]&gt;10,tblSalaries[[#This Row],[Years of Experience]]&lt;=15),1,""))</f>
        <v/>
      </c>
      <c r="R182" t="str">
        <f>IF(tblSalaries[[#This Row],[Years of Experience]]="","",IF(AND(tblSalaries[[#This Row],[Years of Experience]]&gt;16,tblSalaries[[#This Row],[Years of Experience]]&lt;=20),1,""))</f>
        <v/>
      </c>
      <c r="S182" t="str">
        <f>IF(tblSalaries[[#This Row],[Years of Experience]]="","",IF(tblSalaries[[#This Row],[Years of Experience]]&gt;20,1,""))</f>
        <v/>
      </c>
      <c r="T1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2" s="13" t="str">
        <f>IF(tblSalaries[[#This Row],[Job Type]]=tblSalaries[[#Headers],[Accountant]],tblSalaries[[#This Row],[Salary in USD]],"")</f>
        <v/>
      </c>
      <c r="V182" s="13">
        <f>IF(tblSalaries[[#This Row],[Job Type]]=tblSalaries[[#Headers],[Analyst]],tblSalaries[[#This Row],[Salary in USD]],"")</f>
        <v>40000</v>
      </c>
      <c r="W182" s="13" t="str">
        <f>IF(tblSalaries[[#This Row],[Job Type]]=tblSalaries[[#Headers],[Consultant]],tblSalaries[[#This Row],[Salary in USD]],"")</f>
        <v/>
      </c>
      <c r="X182" s="13" t="str">
        <f>IF(tblSalaries[[#This Row],[Job Type]]=tblSalaries[[#Headers],[Controller]],tblSalaries[[#This Row],[Salary in USD]],"")</f>
        <v/>
      </c>
      <c r="Y182" s="13" t="str">
        <f>IF(tblSalaries[[#This Row],[Job Type]]=tblSalaries[[#Headers],[CXO or Top Mgmt.]],tblSalaries[[#This Row],[clean Salary (in local currency)]],"")</f>
        <v/>
      </c>
      <c r="Z182" s="13" t="str">
        <f>IF(tblSalaries[[#This Row],[Job Type]]=tblSalaries[[#Headers],[Engineer]],tblSalaries[[#This Row],[Salary in USD]],"")</f>
        <v/>
      </c>
      <c r="AA182" s="13" t="str">
        <f>IF(tblSalaries[[#This Row],[Job Type]]=tblSalaries[[#Headers],[Manager]],tblSalaries[[#This Row],[Salary in USD]],"")</f>
        <v/>
      </c>
      <c r="AB182" s="13" t="str">
        <f>IF(tblSalaries[[#This Row],[Job Type]]=tblSalaries[[#Headers],[Misc.]],tblSalaries[[#This Row],[Salary in USD]],"")</f>
        <v/>
      </c>
      <c r="AC182" s="13" t="str">
        <f>IF(tblSalaries[[#This Row],[Job Type]]=tblSalaries[[#Headers],[Reporting]],tblSalaries[[#This Row],[Salary in USD]],"")</f>
        <v/>
      </c>
      <c r="AD182" s="13" t="str">
        <f>IF(tblSalaries[[#This Row],[Job Type]]=tblSalaries[[#Headers],[Specialist]],tblSalaries[[#This Row],[Salary in USD]],"")</f>
        <v/>
      </c>
    </row>
    <row r="183" spans="2:30" ht="15" customHeight="1" x14ac:dyDescent="0.25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 s="9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  <c r="N183" t="str">
        <f>IF(tblSalaries[[#This Row],[Years of Experience]]="","",IF(tblSalaries[[#This Row],[Years of Experience]]&lt;=2,1,""))</f>
        <v/>
      </c>
      <c r="O183" t="str">
        <f>IF(tblSalaries[[#This Row],[Years of Experience]]="","",IF(AND(tblSalaries[[#This Row],[Years of Experience]]&gt;2,tblSalaries[[#This Row],[Years of Experience]]&lt;=5),1,""))</f>
        <v/>
      </c>
      <c r="P183" t="str">
        <f>IF(tblSalaries[[#This Row],[Years of Experience]]="","",IF(AND(tblSalaries[[#This Row],[Years of Experience]]&gt;5,tblSalaries[[#This Row],[Years of Experience]]&lt;=10),1,""))</f>
        <v/>
      </c>
      <c r="Q183" t="str">
        <f>IF(tblSalaries[[#This Row],[Years of Experience]]="","",IF(AND(tblSalaries[[#This Row],[Years of Experience]]&gt;10,tblSalaries[[#This Row],[Years of Experience]]&lt;=15),1,""))</f>
        <v/>
      </c>
      <c r="R183" t="str">
        <f>IF(tblSalaries[[#This Row],[Years of Experience]]="","",IF(AND(tblSalaries[[#This Row],[Years of Experience]]&gt;16,tblSalaries[[#This Row],[Years of Experience]]&lt;=20),1,""))</f>
        <v/>
      </c>
      <c r="S183" t="str">
        <f>IF(tblSalaries[[#This Row],[Years of Experience]]="","",IF(tblSalaries[[#This Row],[Years of Experience]]&gt;20,1,""))</f>
        <v/>
      </c>
      <c r="T1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3" s="13" t="str">
        <f>IF(tblSalaries[[#This Row],[Job Type]]=tblSalaries[[#Headers],[Accountant]],tblSalaries[[#This Row],[Salary in USD]],"")</f>
        <v/>
      </c>
      <c r="V183" s="13">
        <f>IF(tblSalaries[[#This Row],[Job Type]]=tblSalaries[[#Headers],[Analyst]],tblSalaries[[#This Row],[Salary in USD]],"")</f>
        <v>111680</v>
      </c>
      <c r="W183" s="13" t="str">
        <f>IF(tblSalaries[[#This Row],[Job Type]]=tblSalaries[[#Headers],[Consultant]],tblSalaries[[#This Row],[Salary in USD]],"")</f>
        <v/>
      </c>
      <c r="X183" s="13" t="str">
        <f>IF(tblSalaries[[#This Row],[Job Type]]=tblSalaries[[#Headers],[Controller]],tblSalaries[[#This Row],[Salary in USD]],"")</f>
        <v/>
      </c>
      <c r="Y183" s="13" t="str">
        <f>IF(tblSalaries[[#This Row],[Job Type]]=tblSalaries[[#Headers],[CXO or Top Mgmt.]],tblSalaries[[#This Row],[clean Salary (in local currency)]],"")</f>
        <v/>
      </c>
      <c r="Z183" s="13" t="str">
        <f>IF(tblSalaries[[#This Row],[Job Type]]=tblSalaries[[#Headers],[Engineer]],tblSalaries[[#This Row],[Salary in USD]],"")</f>
        <v/>
      </c>
      <c r="AA183" s="13" t="str">
        <f>IF(tblSalaries[[#This Row],[Job Type]]=tblSalaries[[#Headers],[Manager]],tblSalaries[[#This Row],[Salary in USD]],"")</f>
        <v/>
      </c>
      <c r="AB183" s="13" t="str">
        <f>IF(tblSalaries[[#This Row],[Job Type]]=tblSalaries[[#Headers],[Misc.]],tblSalaries[[#This Row],[Salary in USD]],"")</f>
        <v/>
      </c>
      <c r="AC183" s="13" t="str">
        <f>IF(tblSalaries[[#This Row],[Job Type]]=tblSalaries[[#Headers],[Reporting]],tblSalaries[[#This Row],[Salary in USD]],"")</f>
        <v/>
      </c>
      <c r="AD183" s="13" t="str">
        <f>IF(tblSalaries[[#This Row],[Job Type]]=tblSalaries[[#Headers],[Specialist]],tblSalaries[[#This Row],[Salary in USD]],"")</f>
        <v/>
      </c>
    </row>
    <row r="184" spans="2:30" ht="15" customHeight="1" x14ac:dyDescent="0.25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 s="9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  <c r="N184" t="str">
        <f>IF(tblSalaries[[#This Row],[Years of Experience]]="","",IF(tblSalaries[[#This Row],[Years of Experience]]&lt;=2,1,""))</f>
        <v/>
      </c>
      <c r="O184" t="str">
        <f>IF(tblSalaries[[#This Row],[Years of Experience]]="","",IF(AND(tblSalaries[[#This Row],[Years of Experience]]&gt;2,tblSalaries[[#This Row],[Years of Experience]]&lt;=5),1,""))</f>
        <v/>
      </c>
      <c r="P184" t="str">
        <f>IF(tblSalaries[[#This Row],[Years of Experience]]="","",IF(AND(tblSalaries[[#This Row],[Years of Experience]]&gt;5,tblSalaries[[#This Row],[Years of Experience]]&lt;=10),1,""))</f>
        <v/>
      </c>
      <c r="Q184" t="str">
        <f>IF(tblSalaries[[#This Row],[Years of Experience]]="","",IF(AND(tblSalaries[[#This Row],[Years of Experience]]&gt;10,tblSalaries[[#This Row],[Years of Experience]]&lt;=15),1,""))</f>
        <v/>
      </c>
      <c r="R184" t="str">
        <f>IF(tblSalaries[[#This Row],[Years of Experience]]="","",IF(AND(tblSalaries[[#This Row],[Years of Experience]]&gt;16,tblSalaries[[#This Row],[Years of Experience]]&lt;=20),1,""))</f>
        <v/>
      </c>
      <c r="S184" t="str">
        <f>IF(tblSalaries[[#This Row],[Years of Experience]]="","",IF(tblSalaries[[#This Row],[Years of Experience]]&gt;20,1,""))</f>
        <v/>
      </c>
      <c r="T1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4" s="13" t="str">
        <f>IF(tblSalaries[[#This Row],[Job Type]]=tblSalaries[[#Headers],[Accountant]],tblSalaries[[#This Row],[Salary in USD]],"")</f>
        <v/>
      </c>
      <c r="V184" s="13">
        <f>IF(tblSalaries[[#This Row],[Job Type]]=tblSalaries[[#Headers],[Analyst]],tblSalaries[[#This Row],[Salary in USD]],"")</f>
        <v>41406</v>
      </c>
      <c r="W184" s="13" t="str">
        <f>IF(tblSalaries[[#This Row],[Job Type]]=tblSalaries[[#Headers],[Consultant]],tblSalaries[[#This Row],[Salary in USD]],"")</f>
        <v/>
      </c>
      <c r="X184" s="13" t="str">
        <f>IF(tblSalaries[[#This Row],[Job Type]]=tblSalaries[[#Headers],[Controller]],tblSalaries[[#This Row],[Salary in USD]],"")</f>
        <v/>
      </c>
      <c r="Y184" s="13" t="str">
        <f>IF(tblSalaries[[#This Row],[Job Type]]=tblSalaries[[#Headers],[CXO or Top Mgmt.]],tblSalaries[[#This Row],[clean Salary (in local currency)]],"")</f>
        <v/>
      </c>
      <c r="Z184" s="13" t="str">
        <f>IF(tblSalaries[[#This Row],[Job Type]]=tblSalaries[[#Headers],[Engineer]],tblSalaries[[#This Row],[Salary in USD]],"")</f>
        <v/>
      </c>
      <c r="AA184" s="13" t="str">
        <f>IF(tblSalaries[[#This Row],[Job Type]]=tblSalaries[[#Headers],[Manager]],tblSalaries[[#This Row],[Salary in USD]],"")</f>
        <v/>
      </c>
      <c r="AB184" s="13" t="str">
        <f>IF(tblSalaries[[#This Row],[Job Type]]=tblSalaries[[#Headers],[Misc.]],tblSalaries[[#This Row],[Salary in USD]],"")</f>
        <v/>
      </c>
      <c r="AC184" s="13" t="str">
        <f>IF(tblSalaries[[#This Row],[Job Type]]=tblSalaries[[#Headers],[Reporting]],tblSalaries[[#This Row],[Salary in USD]],"")</f>
        <v/>
      </c>
      <c r="AD184" s="13" t="str">
        <f>IF(tblSalaries[[#This Row],[Job Type]]=tblSalaries[[#Headers],[Specialist]],tblSalaries[[#This Row],[Salary in USD]],"")</f>
        <v/>
      </c>
    </row>
    <row r="185" spans="2:30" ht="15" customHeight="1" x14ac:dyDescent="0.25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 s="9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  <c r="N185" t="str">
        <f>IF(tblSalaries[[#This Row],[Years of Experience]]="","",IF(tblSalaries[[#This Row],[Years of Experience]]&lt;=2,1,""))</f>
        <v/>
      </c>
      <c r="O185" t="str">
        <f>IF(tblSalaries[[#This Row],[Years of Experience]]="","",IF(AND(tblSalaries[[#This Row],[Years of Experience]]&gt;2,tblSalaries[[#This Row],[Years of Experience]]&lt;=5),1,""))</f>
        <v/>
      </c>
      <c r="P185" t="str">
        <f>IF(tblSalaries[[#This Row],[Years of Experience]]="","",IF(AND(tblSalaries[[#This Row],[Years of Experience]]&gt;5,tblSalaries[[#This Row],[Years of Experience]]&lt;=10),1,""))</f>
        <v/>
      </c>
      <c r="Q185" t="str">
        <f>IF(tblSalaries[[#This Row],[Years of Experience]]="","",IF(AND(tblSalaries[[#This Row],[Years of Experience]]&gt;10,tblSalaries[[#This Row],[Years of Experience]]&lt;=15),1,""))</f>
        <v/>
      </c>
      <c r="R185" t="str">
        <f>IF(tblSalaries[[#This Row],[Years of Experience]]="","",IF(AND(tblSalaries[[#This Row],[Years of Experience]]&gt;16,tblSalaries[[#This Row],[Years of Experience]]&lt;=20),1,""))</f>
        <v/>
      </c>
      <c r="S185" t="str">
        <f>IF(tblSalaries[[#This Row],[Years of Experience]]="","",IF(tblSalaries[[#This Row],[Years of Experience]]&gt;20,1,""))</f>
        <v/>
      </c>
      <c r="T1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5" s="13" t="str">
        <f>IF(tblSalaries[[#This Row],[Job Type]]=tblSalaries[[#Headers],[Accountant]],tblSalaries[[#This Row],[Salary in USD]],"")</f>
        <v/>
      </c>
      <c r="V185" s="13" t="str">
        <f>IF(tblSalaries[[#This Row],[Job Type]]=tblSalaries[[#Headers],[Analyst]],tblSalaries[[#This Row],[Salary in USD]],"")</f>
        <v/>
      </c>
      <c r="W185" s="13" t="str">
        <f>IF(tblSalaries[[#This Row],[Job Type]]=tblSalaries[[#Headers],[Consultant]],tblSalaries[[#This Row],[Salary in USD]],"")</f>
        <v/>
      </c>
      <c r="X185" s="13" t="str">
        <f>IF(tblSalaries[[#This Row],[Job Type]]=tblSalaries[[#Headers],[Controller]],tblSalaries[[#This Row],[Salary in USD]],"")</f>
        <v/>
      </c>
      <c r="Y185" s="13" t="str">
        <f>IF(tblSalaries[[#This Row],[Job Type]]=tblSalaries[[#Headers],[CXO or Top Mgmt.]],tblSalaries[[#This Row],[clean Salary (in local currency)]],"")</f>
        <v/>
      </c>
      <c r="Z185" s="13" t="str">
        <f>IF(tblSalaries[[#This Row],[Job Type]]=tblSalaries[[#Headers],[Engineer]],tblSalaries[[#This Row],[Salary in USD]],"")</f>
        <v/>
      </c>
      <c r="AA185" s="13">
        <f>IF(tblSalaries[[#This Row],[Job Type]]=tblSalaries[[#Headers],[Manager]],tblSalaries[[#This Row],[Salary in USD]],"")</f>
        <v>70000</v>
      </c>
      <c r="AB185" s="13" t="str">
        <f>IF(tblSalaries[[#This Row],[Job Type]]=tblSalaries[[#Headers],[Misc.]],tblSalaries[[#This Row],[Salary in USD]],"")</f>
        <v/>
      </c>
      <c r="AC185" s="13" t="str">
        <f>IF(tblSalaries[[#This Row],[Job Type]]=tblSalaries[[#Headers],[Reporting]],tblSalaries[[#This Row],[Salary in USD]],"")</f>
        <v/>
      </c>
      <c r="AD185" s="13" t="str">
        <f>IF(tblSalaries[[#This Row],[Job Type]]=tblSalaries[[#Headers],[Specialist]],tblSalaries[[#This Row],[Salary in USD]],"")</f>
        <v/>
      </c>
    </row>
    <row r="186" spans="2:30" ht="15" customHeight="1" x14ac:dyDescent="0.25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 s="9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  <c r="N186" t="str">
        <f>IF(tblSalaries[[#This Row],[Years of Experience]]="","",IF(tblSalaries[[#This Row],[Years of Experience]]&lt;=2,1,""))</f>
        <v/>
      </c>
      <c r="O186" t="str">
        <f>IF(tblSalaries[[#This Row],[Years of Experience]]="","",IF(AND(tblSalaries[[#This Row],[Years of Experience]]&gt;2,tblSalaries[[#This Row],[Years of Experience]]&lt;=5),1,""))</f>
        <v/>
      </c>
      <c r="P186" t="str">
        <f>IF(tblSalaries[[#This Row],[Years of Experience]]="","",IF(AND(tblSalaries[[#This Row],[Years of Experience]]&gt;5,tblSalaries[[#This Row],[Years of Experience]]&lt;=10),1,""))</f>
        <v/>
      </c>
      <c r="Q186" t="str">
        <f>IF(tblSalaries[[#This Row],[Years of Experience]]="","",IF(AND(tblSalaries[[#This Row],[Years of Experience]]&gt;10,tblSalaries[[#This Row],[Years of Experience]]&lt;=15),1,""))</f>
        <v/>
      </c>
      <c r="R186" t="str">
        <f>IF(tblSalaries[[#This Row],[Years of Experience]]="","",IF(AND(tblSalaries[[#This Row],[Years of Experience]]&gt;16,tblSalaries[[#This Row],[Years of Experience]]&lt;=20),1,""))</f>
        <v/>
      </c>
      <c r="S186" t="str">
        <f>IF(tblSalaries[[#This Row],[Years of Experience]]="","",IF(tblSalaries[[#This Row],[Years of Experience]]&gt;20,1,""))</f>
        <v/>
      </c>
      <c r="T1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6" s="13" t="str">
        <f>IF(tblSalaries[[#This Row],[Job Type]]=tblSalaries[[#Headers],[Accountant]],tblSalaries[[#This Row],[Salary in USD]],"")</f>
        <v/>
      </c>
      <c r="V186" s="13">
        <f>IF(tblSalaries[[#This Row],[Job Type]]=tblSalaries[[#Headers],[Analyst]],tblSalaries[[#This Row],[Salary in USD]],"")</f>
        <v>40700</v>
      </c>
      <c r="W186" s="13" t="str">
        <f>IF(tblSalaries[[#This Row],[Job Type]]=tblSalaries[[#Headers],[Consultant]],tblSalaries[[#This Row],[Salary in USD]],"")</f>
        <v/>
      </c>
      <c r="X186" s="13" t="str">
        <f>IF(tblSalaries[[#This Row],[Job Type]]=tblSalaries[[#Headers],[Controller]],tblSalaries[[#This Row],[Salary in USD]],"")</f>
        <v/>
      </c>
      <c r="Y186" s="13" t="str">
        <f>IF(tblSalaries[[#This Row],[Job Type]]=tblSalaries[[#Headers],[CXO or Top Mgmt.]],tblSalaries[[#This Row],[clean Salary (in local currency)]],"")</f>
        <v/>
      </c>
      <c r="Z186" s="13" t="str">
        <f>IF(tblSalaries[[#This Row],[Job Type]]=tblSalaries[[#Headers],[Engineer]],tblSalaries[[#This Row],[Salary in USD]],"")</f>
        <v/>
      </c>
      <c r="AA186" s="13" t="str">
        <f>IF(tblSalaries[[#This Row],[Job Type]]=tblSalaries[[#Headers],[Manager]],tblSalaries[[#This Row],[Salary in USD]],"")</f>
        <v/>
      </c>
      <c r="AB186" s="13" t="str">
        <f>IF(tblSalaries[[#This Row],[Job Type]]=tblSalaries[[#Headers],[Misc.]],tblSalaries[[#This Row],[Salary in USD]],"")</f>
        <v/>
      </c>
      <c r="AC186" s="13" t="str">
        <f>IF(tblSalaries[[#This Row],[Job Type]]=tblSalaries[[#Headers],[Reporting]],tblSalaries[[#This Row],[Salary in USD]],"")</f>
        <v/>
      </c>
      <c r="AD186" s="13" t="str">
        <f>IF(tblSalaries[[#This Row],[Job Type]]=tblSalaries[[#Headers],[Specialist]],tblSalaries[[#This Row],[Salary in USD]],"")</f>
        <v/>
      </c>
    </row>
    <row r="187" spans="2:30" ht="15" customHeight="1" x14ac:dyDescent="0.25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 s="9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  <c r="N187" t="str">
        <f>IF(tblSalaries[[#This Row],[Years of Experience]]="","",IF(tblSalaries[[#This Row],[Years of Experience]]&lt;=2,1,""))</f>
        <v/>
      </c>
      <c r="O187" t="str">
        <f>IF(tblSalaries[[#This Row],[Years of Experience]]="","",IF(AND(tblSalaries[[#This Row],[Years of Experience]]&gt;2,tblSalaries[[#This Row],[Years of Experience]]&lt;=5),1,""))</f>
        <v/>
      </c>
      <c r="P187" t="str">
        <f>IF(tblSalaries[[#This Row],[Years of Experience]]="","",IF(AND(tblSalaries[[#This Row],[Years of Experience]]&gt;5,tblSalaries[[#This Row],[Years of Experience]]&lt;=10),1,""))</f>
        <v/>
      </c>
      <c r="Q187" t="str">
        <f>IF(tblSalaries[[#This Row],[Years of Experience]]="","",IF(AND(tblSalaries[[#This Row],[Years of Experience]]&gt;10,tblSalaries[[#This Row],[Years of Experience]]&lt;=15),1,""))</f>
        <v/>
      </c>
      <c r="R187" t="str">
        <f>IF(tblSalaries[[#This Row],[Years of Experience]]="","",IF(AND(tblSalaries[[#This Row],[Years of Experience]]&gt;16,tblSalaries[[#This Row],[Years of Experience]]&lt;=20),1,""))</f>
        <v/>
      </c>
      <c r="S187" t="str">
        <f>IF(tblSalaries[[#This Row],[Years of Experience]]="","",IF(tblSalaries[[#This Row],[Years of Experience]]&gt;20,1,""))</f>
        <v/>
      </c>
      <c r="T1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7" s="13" t="str">
        <f>IF(tblSalaries[[#This Row],[Job Type]]=tblSalaries[[#Headers],[Accountant]],tblSalaries[[#This Row],[Salary in USD]],"")</f>
        <v/>
      </c>
      <c r="V187" s="13">
        <f>IF(tblSalaries[[#This Row],[Job Type]]=tblSalaries[[#Headers],[Analyst]],tblSalaries[[#This Row],[Salary in USD]],"")</f>
        <v>40000</v>
      </c>
      <c r="W187" s="13" t="str">
        <f>IF(tblSalaries[[#This Row],[Job Type]]=tblSalaries[[#Headers],[Consultant]],tblSalaries[[#This Row],[Salary in USD]],"")</f>
        <v/>
      </c>
      <c r="X187" s="13" t="str">
        <f>IF(tblSalaries[[#This Row],[Job Type]]=tblSalaries[[#Headers],[Controller]],tblSalaries[[#This Row],[Salary in USD]],"")</f>
        <v/>
      </c>
      <c r="Y187" s="13" t="str">
        <f>IF(tblSalaries[[#This Row],[Job Type]]=tblSalaries[[#Headers],[CXO or Top Mgmt.]],tblSalaries[[#This Row],[clean Salary (in local currency)]],"")</f>
        <v/>
      </c>
      <c r="Z187" s="13" t="str">
        <f>IF(tblSalaries[[#This Row],[Job Type]]=tblSalaries[[#Headers],[Engineer]],tblSalaries[[#This Row],[Salary in USD]],"")</f>
        <v/>
      </c>
      <c r="AA187" s="13" t="str">
        <f>IF(tblSalaries[[#This Row],[Job Type]]=tblSalaries[[#Headers],[Manager]],tblSalaries[[#This Row],[Salary in USD]],"")</f>
        <v/>
      </c>
      <c r="AB187" s="13" t="str">
        <f>IF(tblSalaries[[#This Row],[Job Type]]=tblSalaries[[#Headers],[Misc.]],tblSalaries[[#This Row],[Salary in USD]],"")</f>
        <v/>
      </c>
      <c r="AC187" s="13" t="str">
        <f>IF(tblSalaries[[#This Row],[Job Type]]=tblSalaries[[#Headers],[Reporting]],tblSalaries[[#This Row],[Salary in USD]],"")</f>
        <v/>
      </c>
      <c r="AD187" s="13" t="str">
        <f>IF(tblSalaries[[#This Row],[Job Type]]=tblSalaries[[#Headers],[Specialist]],tblSalaries[[#This Row],[Salary in USD]],"")</f>
        <v/>
      </c>
    </row>
    <row r="188" spans="2:30" ht="15" customHeight="1" x14ac:dyDescent="0.25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 s="9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  <c r="N188" t="str">
        <f>IF(tblSalaries[[#This Row],[Years of Experience]]="","",IF(tblSalaries[[#This Row],[Years of Experience]]&lt;=2,1,""))</f>
        <v/>
      </c>
      <c r="O188" t="str">
        <f>IF(tblSalaries[[#This Row],[Years of Experience]]="","",IF(AND(tblSalaries[[#This Row],[Years of Experience]]&gt;2,tblSalaries[[#This Row],[Years of Experience]]&lt;=5),1,""))</f>
        <v/>
      </c>
      <c r="P188" t="str">
        <f>IF(tblSalaries[[#This Row],[Years of Experience]]="","",IF(AND(tblSalaries[[#This Row],[Years of Experience]]&gt;5,tblSalaries[[#This Row],[Years of Experience]]&lt;=10),1,""))</f>
        <v/>
      </c>
      <c r="Q188" t="str">
        <f>IF(tblSalaries[[#This Row],[Years of Experience]]="","",IF(AND(tblSalaries[[#This Row],[Years of Experience]]&gt;10,tblSalaries[[#This Row],[Years of Experience]]&lt;=15),1,""))</f>
        <v/>
      </c>
      <c r="R188" t="str">
        <f>IF(tblSalaries[[#This Row],[Years of Experience]]="","",IF(AND(tblSalaries[[#This Row],[Years of Experience]]&gt;16,tblSalaries[[#This Row],[Years of Experience]]&lt;=20),1,""))</f>
        <v/>
      </c>
      <c r="S188" t="str">
        <f>IF(tblSalaries[[#This Row],[Years of Experience]]="","",IF(tblSalaries[[#This Row],[Years of Experience]]&gt;20,1,""))</f>
        <v/>
      </c>
      <c r="T1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8" s="13">
        <f>IF(tblSalaries[[#This Row],[Job Type]]=tblSalaries[[#Headers],[Accountant]],tblSalaries[[#This Row],[Salary in USD]],"")</f>
        <v>60000</v>
      </c>
      <c r="V188" s="13" t="str">
        <f>IF(tblSalaries[[#This Row],[Job Type]]=tblSalaries[[#Headers],[Analyst]],tblSalaries[[#This Row],[Salary in USD]],"")</f>
        <v/>
      </c>
      <c r="W188" s="13" t="str">
        <f>IF(tblSalaries[[#This Row],[Job Type]]=tblSalaries[[#Headers],[Consultant]],tblSalaries[[#This Row],[Salary in USD]],"")</f>
        <v/>
      </c>
      <c r="X188" s="13" t="str">
        <f>IF(tblSalaries[[#This Row],[Job Type]]=tblSalaries[[#Headers],[Controller]],tblSalaries[[#This Row],[Salary in USD]],"")</f>
        <v/>
      </c>
      <c r="Y188" s="13" t="str">
        <f>IF(tblSalaries[[#This Row],[Job Type]]=tblSalaries[[#Headers],[CXO or Top Mgmt.]],tblSalaries[[#This Row],[clean Salary (in local currency)]],"")</f>
        <v/>
      </c>
      <c r="Z188" s="13" t="str">
        <f>IF(tblSalaries[[#This Row],[Job Type]]=tblSalaries[[#Headers],[Engineer]],tblSalaries[[#This Row],[Salary in USD]],"")</f>
        <v/>
      </c>
      <c r="AA188" s="13" t="str">
        <f>IF(tblSalaries[[#This Row],[Job Type]]=tblSalaries[[#Headers],[Manager]],tblSalaries[[#This Row],[Salary in USD]],"")</f>
        <v/>
      </c>
      <c r="AB188" s="13" t="str">
        <f>IF(tblSalaries[[#This Row],[Job Type]]=tblSalaries[[#Headers],[Misc.]],tblSalaries[[#This Row],[Salary in USD]],"")</f>
        <v/>
      </c>
      <c r="AC188" s="13" t="str">
        <f>IF(tblSalaries[[#This Row],[Job Type]]=tblSalaries[[#Headers],[Reporting]],tblSalaries[[#This Row],[Salary in USD]],"")</f>
        <v/>
      </c>
      <c r="AD188" s="13" t="str">
        <f>IF(tblSalaries[[#This Row],[Job Type]]=tblSalaries[[#Headers],[Specialist]],tblSalaries[[#This Row],[Salary in USD]],"")</f>
        <v/>
      </c>
    </row>
    <row r="189" spans="2:30" ht="15" customHeight="1" x14ac:dyDescent="0.25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 s="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  <c r="N189" t="str">
        <f>IF(tblSalaries[[#This Row],[Years of Experience]]="","",IF(tblSalaries[[#This Row],[Years of Experience]]&lt;=2,1,""))</f>
        <v/>
      </c>
      <c r="O189" t="str">
        <f>IF(tblSalaries[[#This Row],[Years of Experience]]="","",IF(AND(tblSalaries[[#This Row],[Years of Experience]]&gt;2,tblSalaries[[#This Row],[Years of Experience]]&lt;=5),1,""))</f>
        <v/>
      </c>
      <c r="P189" t="str">
        <f>IF(tblSalaries[[#This Row],[Years of Experience]]="","",IF(AND(tblSalaries[[#This Row],[Years of Experience]]&gt;5,tblSalaries[[#This Row],[Years of Experience]]&lt;=10),1,""))</f>
        <v/>
      </c>
      <c r="Q189" t="str">
        <f>IF(tblSalaries[[#This Row],[Years of Experience]]="","",IF(AND(tblSalaries[[#This Row],[Years of Experience]]&gt;10,tblSalaries[[#This Row],[Years of Experience]]&lt;=15),1,""))</f>
        <v/>
      </c>
      <c r="R189" t="str">
        <f>IF(tblSalaries[[#This Row],[Years of Experience]]="","",IF(AND(tblSalaries[[#This Row],[Years of Experience]]&gt;16,tblSalaries[[#This Row],[Years of Experience]]&lt;=20),1,""))</f>
        <v/>
      </c>
      <c r="S189" t="str">
        <f>IF(tblSalaries[[#This Row],[Years of Experience]]="","",IF(tblSalaries[[#This Row],[Years of Experience]]&gt;20,1,""))</f>
        <v/>
      </c>
      <c r="T1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89" s="13" t="str">
        <f>IF(tblSalaries[[#This Row],[Job Type]]=tblSalaries[[#Headers],[Accountant]],tblSalaries[[#This Row],[Salary in USD]],"")</f>
        <v/>
      </c>
      <c r="V189" s="13" t="str">
        <f>IF(tblSalaries[[#This Row],[Job Type]]=tblSalaries[[#Headers],[Analyst]],tblSalaries[[#This Row],[Salary in USD]],"")</f>
        <v/>
      </c>
      <c r="W189" s="13">
        <f>IF(tblSalaries[[#This Row],[Job Type]]=tblSalaries[[#Headers],[Consultant]],tblSalaries[[#This Row],[Salary in USD]],"")</f>
        <v>90469.260118790073</v>
      </c>
      <c r="X189" s="13" t="str">
        <f>IF(tblSalaries[[#This Row],[Job Type]]=tblSalaries[[#Headers],[Controller]],tblSalaries[[#This Row],[Salary in USD]],"")</f>
        <v/>
      </c>
      <c r="Y189" s="13" t="str">
        <f>IF(tblSalaries[[#This Row],[Job Type]]=tblSalaries[[#Headers],[CXO or Top Mgmt.]],tblSalaries[[#This Row],[clean Salary (in local currency)]],"")</f>
        <v/>
      </c>
      <c r="Z189" s="13" t="str">
        <f>IF(tblSalaries[[#This Row],[Job Type]]=tblSalaries[[#Headers],[Engineer]],tblSalaries[[#This Row],[Salary in USD]],"")</f>
        <v/>
      </c>
      <c r="AA189" s="13" t="str">
        <f>IF(tblSalaries[[#This Row],[Job Type]]=tblSalaries[[#Headers],[Manager]],tblSalaries[[#This Row],[Salary in USD]],"")</f>
        <v/>
      </c>
      <c r="AB189" s="13" t="str">
        <f>IF(tblSalaries[[#This Row],[Job Type]]=tblSalaries[[#Headers],[Misc.]],tblSalaries[[#This Row],[Salary in USD]],"")</f>
        <v/>
      </c>
      <c r="AC189" s="13" t="str">
        <f>IF(tblSalaries[[#This Row],[Job Type]]=tblSalaries[[#Headers],[Reporting]],tblSalaries[[#This Row],[Salary in USD]],"")</f>
        <v/>
      </c>
      <c r="AD189" s="13" t="str">
        <f>IF(tblSalaries[[#This Row],[Job Type]]=tblSalaries[[#Headers],[Specialist]],tblSalaries[[#This Row],[Salary in USD]],"")</f>
        <v/>
      </c>
    </row>
    <row r="190" spans="2:30" ht="15" customHeight="1" x14ac:dyDescent="0.25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 s="9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  <c r="N190" t="str">
        <f>IF(tblSalaries[[#This Row],[Years of Experience]]="","",IF(tblSalaries[[#This Row],[Years of Experience]]&lt;=2,1,""))</f>
        <v/>
      </c>
      <c r="O190" t="str">
        <f>IF(tblSalaries[[#This Row],[Years of Experience]]="","",IF(AND(tblSalaries[[#This Row],[Years of Experience]]&gt;2,tblSalaries[[#This Row],[Years of Experience]]&lt;=5),1,""))</f>
        <v/>
      </c>
      <c r="P190" t="str">
        <f>IF(tblSalaries[[#This Row],[Years of Experience]]="","",IF(AND(tblSalaries[[#This Row],[Years of Experience]]&gt;5,tblSalaries[[#This Row],[Years of Experience]]&lt;=10),1,""))</f>
        <v/>
      </c>
      <c r="Q190" t="str">
        <f>IF(tblSalaries[[#This Row],[Years of Experience]]="","",IF(AND(tblSalaries[[#This Row],[Years of Experience]]&gt;10,tblSalaries[[#This Row],[Years of Experience]]&lt;=15),1,""))</f>
        <v/>
      </c>
      <c r="R190" t="str">
        <f>IF(tblSalaries[[#This Row],[Years of Experience]]="","",IF(AND(tblSalaries[[#This Row],[Years of Experience]]&gt;16,tblSalaries[[#This Row],[Years of Experience]]&lt;=20),1,""))</f>
        <v/>
      </c>
      <c r="S190" t="str">
        <f>IF(tblSalaries[[#This Row],[Years of Experience]]="","",IF(tblSalaries[[#This Row],[Years of Experience]]&gt;20,1,""))</f>
        <v/>
      </c>
      <c r="T1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0" s="13" t="str">
        <f>IF(tblSalaries[[#This Row],[Job Type]]=tblSalaries[[#Headers],[Accountant]],tblSalaries[[#This Row],[Salary in USD]],"")</f>
        <v/>
      </c>
      <c r="V190" s="13" t="str">
        <f>IF(tblSalaries[[#This Row],[Job Type]]=tblSalaries[[#Headers],[Analyst]],tblSalaries[[#This Row],[Salary in USD]],"")</f>
        <v/>
      </c>
      <c r="W190" s="13" t="str">
        <f>IF(tblSalaries[[#This Row],[Job Type]]=tblSalaries[[#Headers],[Consultant]],tblSalaries[[#This Row],[Salary in USD]],"")</f>
        <v/>
      </c>
      <c r="X190" s="13" t="str">
        <f>IF(tblSalaries[[#This Row],[Job Type]]=tblSalaries[[#Headers],[Controller]],tblSalaries[[#This Row],[Salary in USD]],"")</f>
        <v/>
      </c>
      <c r="Y190" s="13" t="str">
        <f>IF(tblSalaries[[#This Row],[Job Type]]=tblSalaries[[#Headers],[CXO or Top Mgmt.]],tblSalaries[[#This Row],[clean Salary (in local currency)]],"")</f>
        <v/>
      </c>
      <c r="Z190" s="13" t="str">
        <f>IF(tblSalaries[[#This Row],[Job Type]]=tblSalaries[[#Headers],[Engineer]],tblSalaries[[#This Row],[Salary in USD]],"")</f>
        <v/>
      </c>
      <c r="AA190" s="13">
        <f>IF(tblSalaries[[#This Row],[Job Type]]=tblSalaries[[#Headers],[Manager]],tblSalaries[[#This Row],[Salary in USD]],"")</f>
        <v>13636</v>
      </c>
      <c r="AB190" s="13" t="str">
        <f>IF(tblSalaries[[#This Row],[Job Type]]=tblSalaries[[#Headers],[Misc.]],tblSalaries[[#This Row],[Salary in USD]],"")</f>
        <v/>
      </c>
      <c r="AC190" s="13" t="str">
        <f>IF(tblSalaries[[#This Row],[Job Type]]=tblSalaries[[#Headers],[Reporting]],tblSalaries[[#This Row],[Salary in USD]],"")</f>
        <v/>
      </c>
      <c r="AD190" s="13" t="str">
        <f>IF(tblSalaries[[#This Row],[Job Type]]=tblSalaries[[#Headers],[Specialist]],tblSalaries[[#This Row],[Salary in USD]],"")</f>
        <v/>
      </c>
    </row>
    <row r="191" spans="2:30" ht="15" customHeight="1" x14ac:dyDescent="0.25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 s="9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  <c r="N191" t="str">
        <f>IF(tblSalaries[[#This Row],[Years of Experience]]="","",IF(tblSalaries[[#This Row],[Years of Experience]]&lt;=2,1,""))</f>
        <v/>
      </c>
      <c r="O191" t="str">
        <f>IF(tblSalaries[[#This Row],[Years of Experience]]="","",IF(AND(tblSalaries[[#This Row],[Years of Experience]]&gt;2,tblSalaries[[#This Row],[Years of Experience]]&lt;=5),1,""))</f>
        <v/>
      </c>
      <c r="P191" t="str">
        <f>IF(tblSalaries[[#This Row],[Years of Experience]]="","",IF(AND(tblSalaries[[#This Row],[Years of Experience]]&gt;5,tblSalaries[[#This Row],[Years of Experience]]&lt;=10),1,""))</f>
        <v/>
      </c>
      <c r="Q191" t="str">
        <f>IF(tblSalaries[[#This Row],[Years of Experience]]="","",IF(AND(tblSalaries[[#This Row],[Years of Experience]]&gt;10,tblSalaries[[#This Row],[Years of Experience]]&lt;=15),1,""))</f>
        <v/>
      </c>
      <c r="R191" t="str">
        <f>IF(tblSalaries[[#This Row],[Years of Experience]]="","",IF(AND(tblSalaries[[#This Row],[Years of Experience]]&gt;16,tblSalaries[[#This Row],[Years of Experience]]&lt;=20),1,""))</f>
        <v/>
      </c>
      <c r="S191" t="str">
        <f>IF(tblSalaries[[#This Row],[Years of Experience]]="","",IF(tblSalaries[[#This Row],[Years of Experience]]&gt;20,1,""))</f>
        <v/>
      </c>
      <c r="T1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1" s="13" t="str">
        <f>IF(tblSalaries[[#This Row],[Job Type]]=tblSalaries[[#Headers],[Accountant]],tblSalaries[[#This Row],[Salary in USD]],"")</f>
        <v/>
      </c>
      <c r="V191" s="13" t="str">
        <f>IF(tblSalaries[[#This Row],[Job Type]]=tblSalaries[[#Headers],[Analyst]],tblSalaries[[#This Row],[Salary in USD]],"")</f>
        <v/>
      </c>
      <c r="W191" s="13" t="str">
        <f>IF(tblSalaries[[#This Row],[Job Type]]=tblSalaries[[#Headers],[Consultant]],tblSalaries[[#This Row],[Salary in USD]],"")</f>
        <v/>
      </c>
      <c r="X191" s="13" t="str">
        <f>IF(tblSalaries[[#This Row],[Job Type]]=tblSalaries[[#Headers],[Controller]],tblSalaries[[#This Row],[Salary in USD]],"")</f>
        <v/>
      </c>
      <c r="Y191" s="13" t="str">
        <f>IF(tblSalaries[[#This Row],[Job Type]]=tblSalaries[[#Headers],[CXO or Top Mgmt.]],tblSalaries[[#This Row],[clean Salary (in local currency)]],"")</f>
        <v/>
      </c>
      <c r="Z191" s="13" t="str">
        <f>IF(tblSalaries[[#This Row],[Job Type]]=tblSalaries[[#Headers],[Engineer]],tblSalaries[[#This Row],[Salary in USD]],"")</f>
        <v/>
      </c>
      <c r="AA191" s="13">
        <f>IF(tblSalaries[[#This Row],[Job Type]]=tblSalaries[[#Headers],[Manager]],tblSalaries[[#This Row],[Salary in USD]],"")</f>
        <v>80000</v>
      </c>
      <c r="AB191" s="13" t="str">
        <f>IF(tblSalaries[[#This Row],[Job Type]]=tblSalaries[[#Headers],[Misc.]],tblSalaries[[#This Row],[Salary in USD]],"")</f>
        <v/>
      </c>
      <c r="AC191" s="13" t="str">
        <f>IF(tblSalaries[[#This Row],[Job Type]]=tblSalaries[[#Headers],[Reporting]],tblSalaries[[#This Row],[Salary in USD]],"")</f>
        <v/>
      </c>
      <c r="AD191" s="13" t="str">
        <f>IF(tblSalaries[[#This Row],[Job Type]]=tblSalaries[[#Headers],[Specialist]],tblSalaries[[#This Row],[Salary in USD]],"")</f>
        <v/>
      </c>
    </row>
    <row r="192" spans="2:30" ht="15" customHeight="1" x14ac:dyDescent="0.25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 s="9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  <c r="N192" t="str">
        <f>IF(tblSalaries[[#This Row],[Years of Experience]]="","",IF(tblSalaries[[#This Row],[Years of Experience]]&lt;=2,1,""))</f>
        <v/>
      </c>
      <c r="O192" t="str">
        <f>IF(tblSalaries[[#This Row],[Years of Experience]]="","",IF(AND(tblSalaries[[#This Row],[Years of Experience]]&gt;2,tblSalaries[[#This Row],[Years of Experience]]&lt;=5),1,""))</f>
        <v/>
      </c>
      <c r="P192" t="str">
        <f>IF(tblSalaries[[#This Row],[Years of Experience]]="","",IF(AND(tblSalaries[[#This Row],[Years of Experience]]&gt;5,tblSalaries[[#This Row],[Years of Experience]]&lt;=10),1,""))</f>
        <v/>
      </c>
      <c r="Q192" t="str">
        <f>IF(tblSalaries[[#This Row],[Years of Experience]]="","",IF(AND(tblSalaries[[#This Row],[Years of Experience]]&gt;10,tblSalaries[[#This Row],[Years of Experience]]&lt;=15),1,""))</f>
        <v/>
      </c>
      <c r="R192" t="str">
        <f>IF(tblSalaries[[#This Row],[Years of Experience]]="","",IF(AND(tblSalaries[[#This Row],[Years of Experience]]&gt;16,tblSalaries[[#This Row],[Years of Experience]]&lt;=20),1,""))</f>
        <v/>
      </c>
      <c r="S192" t="str">
        <f>IF(tblSalaries[[#This Row],[Years of Experience]]="","",IF(tblSalaries[[#This Row],[Years of Experience]]&gt;20,1,""))</f>
        <v/>
      </c>
      <c r="T1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2" s="13" t="str">
        <f>IF(tblSalaries[[#This Row],[Job Type]]=tblSalaries[[#Headers],[Accountant]],tblSalaries[[#This Row],[Salary in USD]],"")</f>
        <v/>
      </c>
      <c r="V192" s="13">
        <f>IF(tblSalaries[[#This Row],[Job Type]]=tblSalaries[[#Headers],[Analyst]],tblSalaries[[#This Row],[Salary in USD]],"")</f>
        <v>59001.691381819612</v>
      </c>
      <c r="W192" s="13" t="str">
        <f>IF(tblSalaries[[#This Row],[Job Type]]=tblSalaries[[#Headers],[Consultant]],tblSalaries[[#This Row],[Salary in USD]],"")</f>
        <v/>
      </c>
      <c r="X192" s="13" t="str">
        <f>IF(tblSalaries[[#This Row],[Job Type]]=tblSalaries[[#Headers],[Controller]],tblSalaries[[#This Row],[Salary in USD]],"")</f>
        <v/>
      </c>
      <c r="Y192" s="13" t="str">
        <f>IF(tblSalaries[[#This Row],[Job Type]]=tblSalaries[[#Headers],[CXO or Top Mgmt.]],tblSalaries[[#This Row],[clean Salary (in local currency)]],"")</f>
        <v/>
      </c>
      <c r="Z192" s="13" t="str">
        <f>IF(tblSalaries[[#This Row],[Job Type]]=tblSalaries[[#Headers],[Engineer]],tblSalaries[[#This Row],[Salary in USD]],"")</f>
        <v/>
      </c>
      <c r="AA192" s="13" t="str">
        <f>IF(tblSalaries[[#This Row],[Job Type]]=tblSalaries[[#Headers],[Manager]],tblSalaries[[#This Row],[Salary in USD]],"")</f>
        <v/>
      </c>
      <c r="AB192" s="13" t="str">
        <f>IF(tblSalaries[[#This Row],[Job Type]]=tblSalaries[[#Headers],[Misc.]],tblSalaries[[#This Row],[Salary in USD]],"")</f>
        <v/>
      </c>
      <c r="AC192" s="13" t="str">
        <f>IF(tblSalaries[[#This Row],[Job Type]]=tblSalaries[[#Headers],[Reporting]],tblSalaries[[#This Row],[Salary in USD]],"")</f>
        <v/>
      </c>
      <c r="AD192" s="13" t="str">
        <f>IF(tblSalaries[[#This Row],[Job Type]]=tblSalaries[[#Headers],[Specialist]],tblSalaries[[#This Row],[Salary in USD]],"")</f>
        <v/>
      </c>
    </row>
    <row r="193" spans="2:30" ht="15" customHeight="1" x14ac:dyDescent="0.25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 s="9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  <c r="N193" t="str">
        <f>IF(tblSalaries[[#This Row],[Years of Experience]]="","",IF(tblSalaries[[#This Row],[Years of Experience]]&lt;=2,1,""))</f>
        <v/>
      </c>
      <c r="O193" t="str">
        <f>IF(tblSalaries[[#This Row],[Years of Experience]]="","",IF(AND(tblSalaries[[#This Row],[Years of Experience]]&gt;2,tblSalaries[[#This Row],[Years of Experience]]&lt;=5),1,""))</f>
        <v/>
      </c>
      <c r="P193" t="str">
        <f>IF(tblSalaries[[#This Row],[Years of Experience]]="","",IF(AND(tblSalaries[[#This Row],[Years of Experience]]&gt;5,tblSalaries[[#This Row],[Years of Experience]]&lt;=10),1,""))</f>
        <v/>
      </c>
      <c r="Q193" t="str">
        <f>IF(tblSalaries[[#This Row],[Years of Experience]]="","",IF(AND(tblSalaries[[#This Row],[Years of Experience]]&gt;10,tblSalaries[[#This Row],[Years of Experience]]&lt;=15),1,""))</f>
        <v/>
      </c>
      <c r="R193" t="str">
        <f>IF(tblSalaries[[#This Row],[Years of Experience]]="","",IF(AND(tblSalaries[[#This Row],[Years of Experience]]&gt;16,tblSalaries[[#This Row],[Years of Experience]]&lt;=20),1,""))</f>
        <v/>
      </c>
      <c r="S193" t="str">
        <f>IF(tblSalaries[[#This Row],[Years of Experience]]="","",IF(tblSalaries[[#This Row],[Years of Experience]]&gt;20,1,""))</f>
        <v/>
      </c>
      <c r="T1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3" s="13" t="str">
        <f>IF(tblSalaries[[#This Row],[Job Type]]=tblSalaries[[#Headers],[Accountant]],tblSalaries[[#This Row],[Salary in USD]],"")</f>
        <v/>
      </c>
      <c r="V193" s="13">
        <f>IF(tblSalaries[[#This Row],[Job Type]]=tblSalaries[[#Headers],[Analyst]],tblSalaries[[#This Row],[Salary in USD]],"")</f>
        <v>28000</v>
      </c>
      <c r="W193" s="13" t="str">
        <f>IF(tblSalaries[[#This Row],[Job Type]]=tblSalaries[[#Headers],[Consultant]],tblSalaries[[#This Row],[Salary in USD]],"")</f>
        <v/>
      </c>
      <c r="X193" s="13" t="str">
        <f>IF(tblSalaries[[#This Row],[Job Type]]=tblSalaries[[#Headers],[Controller]],tblSalaries[[#This Row],[Salary in USD]],"")</f>
        <v/>
      </c>
      <c r="Y193" s="13" t="str">
        <f>IF(tblSalaries[[#This Row],[Job Type]]=tblSalaries[[#Headers],[CXO or Top Mgmt.]],tblSalaries[[#This Row],[clean Salary (in local currency)]],"")</f>
        <v/>
      </c>
      <c r="Z193" s="13" t="str">
        <f>IF(tblSalaries[[#This Row],[Job Type]]=tblSalaries[[#Headers],[Engineer]],tblSalaries[[#This Row],[Salary in USD]],"")</f>
        <v/>
      </c>
      <c r="AA193" s="13" t="str">
        <f>IF(tblSalaries[[#This Row],[Job Type]]=tblSalaries[[#Headers],[Manager]],tblSalaries[[#This Row],[Salary in USD]],"")</f>
        <v/>
      </c>
      <c r="AB193" s="13" t="str">
        <f>IF(tblSalaries[[#This Row],[Job Type]]=tblSalaries[[#Headers],[Misc.]],tblSalaries[[#This Row],[Salary in USD]],"")</f>
        <v/>
      </c>
      <c r="AC193" s="13" t="str">
        <f>IF(tblSalaries[[#This Row],[Job Type]]=tblSalaries[[#Headers],[Reporting]],tblSalaries[[#This Row],[Salary in USD]],"")</f>
        <v/>
      </c>
      <c r="AD193" s="13" t="str">
        <f>IF(tblSalaries[[#This Row],[Job Type]]=tblSalaries[[#Headers],[Specialist]],tblSalaries[[#This Row],[Salary in USD]],"")</f>
        <v/>
      </c>
    </row>
    <row r="194" spans="2:30" ht="15" customHeight="1" x14ac:dyDescent="0.25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 s="9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  <c r="N194" t="str">
        <f>IF(tblSalaries[[#This Row],[Years of Experience]]="","",IF(tblSalaries[[#This Row],[Years of Experience]]&lt;=2,1,""))</f>
        <v/>
      </c>
      <c r="O194" t="str">
        <f>IF(tblSalaries[[#This Row],[Years of Experience]]="","",IF(AND(tblSalaries[[#This Row],[Years of Experience]]&gt;2,tblSalaries[[#This Row],[Years of Experience]]&lt;=5),1,""))</f>
        <v/>
      </c>
      <c r="P194" t="str">
        <f>IF(tblSalaries[[#This Row],[Years of Experience]]="","",IF(AND(tblSalaries[[#This Row],[Years of Experience]]&gt;5,tblSalaries[[#This Row],[Years of Experience]]&lt;=10),1,""))</f>
        <v/>
      </c>
      <c r="Q194" t="str">
        <f>IF(tblSalaries[[#This Row],[Years of Experience]]="","",IF(AND(tblSalaries[[#This Row],[Years of Experience]]&gt;10,tblSalaries[[#This Row],[Years of Experience]]&lt;=15),1,""))</f>
        <v/>
      </c>
      <c r="R194" t="str">
        <f>IF(tblSalaries[[#This Row],[Years of Experience]]="","",IF(AND(tblSalaries[[#This Row],[Years of Experience]]&gt;16,tblSalaries[[#This Row],[Years of Experience]]&lt;=20),1,""))</f>
        <v/>
      </c>
      <c r="S194" t="str">
        <f>IF(tblSalaries[[#This Row],[Years of Experience]]="","",IF(tblSalaries[[#This Row],[Years of Experience]]&gt;20,1,""))</f>
        <v/>
      </c>
      <c r="T1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4" s="13" t="str">
        <f>IF(tblSalaries[[#This Row],[Job Type]]=tblSalaries[[#Headers],[Accountant]],tblSalaries[[#This Row],[Salary in USD]],"")</f>
        <v/>
      </c>
      <c r="V194" s="13">
        <f>IF(tblSalaries[[#This Row],[Job Type]]=tblSalaries[[#Headers],[Analyst]],tblSalaries[[#This Row],[Salary in USD]],"")</f>
        <v>60000</v>
      </c>
      <c r="W194" s="13" t="str">
        <f>IF(tblSalaries[[#This Row],[Job Type]]=tblSalaries[[#Headers],[Consultant]],tblSalaries[[#This Row],[Salary in USD]],"")</f>
        <v/>
      </c>
      <c r="X194" s="13" t="str">
        <f>IF(tblSalaries[[#This Row],[Job Type]]=tblSalaries[[#Headers],[Controller]],tblSalaries[[#This Row],[Salary in USD]],"")</f>
        <v/>
      </c>
      <c r="Y194" s="13" t="str">
        <f>IF(tblSalaries[[#This Row],[Job Type]]=tblSalaries[[#Headers],[CXO or Top Mgmt.]],tblSalaries[[#This Row],[clean Salary (in local currency)]],"")</f>
        <v/>
      </c>
      <c r="Z194" s="13" t="str">
        <f>IF(tblSalaries[[#This Row],[Job Type]]=tblSalaries[[#Headers],[Engineer]],tblSalaries[[#This Row],[Salary in USD]],"")</f>
        <v/>
      </c>
      <c r="AA194" s="13" t="str">
        <f>IF(tblSalaries[[#This Row],[Job Type]]=tblSalaries[[#Headers],[Manager]],tblSalaries[[#This Row],[Salary in USD]],"")</f>
        <v/>
      </c>
      <c r="AB194" s="13" t="str">
        <f>IF(tblSalaries[[#This Row],[Job Type]]=tblSalaries[[#Headers],[Misc.]],tblSalaries[[#This Row],[Salary in USD]],"")</f>
        <v/>
      </c>
      <c r="AC194" s="13" t="str">
        <f>IF(tblSalaries[[#This Row],[Job Type]]=tblSalaries[[#Headers],[Reporting]],tblSalaries[[#This Row],[Salary in USD]],"")</f>
        <v/>
      </c>
      <c r="AD194" s="13" t="str">
        <f>IF(tblSalaries[[#This Row],[Job Type]]=tblSalaries[[#Headers],[Specialist]],tblSalaries[[#This Row],[Salary in USD]],"")</f>
        <v/>
      </c>
    </row>
    <row r="195" spans="2:30" ht="15" customHeight="1" x14ac:dyDescent="0.25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 s="9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  <c r="N195" t="str">
        <f>IF(tblSalaries[[#This Row],[Years of Experience]]="","",IF(tblSalaries[[#This Row],[Years of Experience]]&lt;=2,1,""))</f>
        <v/>
      </c>
      <c r="O195" t="str">
        <f>IF(tblSalaries[[#This Row],[Years of Experience]]="","",IF(AND(tblSalaries[[#This Row],[Years of Experience]]&gt;2,tblSalaries[[#This Row],[Years of Experience]]&lt;=5),1,""))</f>
        <v/>
      </c>
      <c r="P195" t="str">
        <f>IF(tblSalaries[[#This Row],[Years of Experience]]="","",IF(AND(tblSalaries[[#This Row],[Years of Experience]]&gt;5,tblSalaries[[#This Row],[Years of Experience]]&lt;=10),1,""))</f>
        <v/>
      </c>
      <c r="Q195" t="str">
        <f>IF(tblSalaries[[#This Row],[Years of Experience]]="","",IF(AND(tblSalaries[[#This Row],[Years of Experience]]&gt;10,tblSalaries[[#This Row],[Years of Experience]]&lt;=15),1,""))</f>
        <v/>
      </c>
      <c r="R195" t="str">
        <f>IF(tblSalaries[[#This Row],[Years of Experience]]="","",IF(AND(tblSalaries[[#This Row],[Years of Experience]]&gt;16,tblSalaries[[#This Row],[Years of Experience]]&lt;=20),1,""))</f>
        <v/>
      </c>
      <c r="S195" t="str">
        <f>IF(tblSalaries[[#This Row],[Years of Experience]]="","",IF(tblSalaries[[#This Row],[Years of Experience]]&gt;20,1,""))</f>
        <v/>
      </c>
      <c r="T1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5" s="13" t="str">
        <f>IF(tblSalaries[[#This Row],[Job Type]]=tblSalaries[[#Headers],[Accountant]],tblSalaries[[#This Row],[Salary in USD]],"")</f>
        <v/>
      </c>
      <c r="V195" s="13" t="str">
        <f>IF(tblSalaries[[#This Row],[Job Type]]=tblSalaries[[#Headers],[Analyst]],tblSalaries[[#This Row],[Salary in USD]],"")</f>
        <v/>
      </c>
      <c r="W195" s="13" t="str">
        <f>IF(tblSalaries[[#This Row],[Job Type]]=tblSalaries[[#Headers],[Consultant]],tblSalaries[[#This Row],[Salary in USD]],"")</f>
        <v/>
      </c>
      <c r="X195" s="13" t="str">
        <f>IF(tblSalaries[[#This Row],[Job Type]]=tblSalaries[[#Headers],[Controller]],tblSalaries[[#This Row],[Salary in USD]],"")</f>
        <v/>
      </c>
      <c r="Y195" s="13" t="str">
        <f>IF(tblSalaries[[#This Row],[Job Type]]=tblSalaries[[#Headers],[CXO or Top Mgmt.]],tblSalaries[[#This Row],[clean Salary (in local currency)]],"")</f>
        <v/>
      </c>
      <c r="Z195" s="13" t="str">
        <f>IF(tblSalaries[[#This Row],[Job Type]]=tblSalaries[[#Headers],[Engineer]],tblSalaries[[#This Row],[Salary in USD]],"")</f>
        <v/>
      </c>
      <c r="AA195" s="13" t="str">
        <f>IF(tblSalaries[[#This Row],[Job Type]]=tblSalaries[[#Headers],[Manager]],tblSalaries[[#This Row],[Salary in USD]],"")</f>
        <v/>
      </c>
      <c r="AB195" s="13" t="str">
        <f>IF(tblSalaries[[#This Row],[Job Type]]=tblSalaries[[#Headers],[Misc.]],tblSalaries[[#This Row],[Salary in USD]],"")</f>
        <v/>
      </c>
      <c r="AC195" s="13" t="str">
        <f>IF(tblSalaries[[#This Row],[Job Type]]=tblSalaries[[#Headers],[Reporting]],tblSalaries[[#This Row],[Salary in USD]],"")</f>
        <v/>
      </c>
      <c r="AD195" s="13">
        <f>IF(tblSalaries[[#This Row],[Job Type]]=tblSalaries[[#Headers],[Specialist]],tblSalaries[[#This Row],[Salary in USD]],"")</f>
        <v>96000</v>
      </c>
    </row>
    <row r="196" spans="2:30" ht="15" customHeight="1" x14ac:dyDescent="0.25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 s="9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  <c r="N196" t="str">
        <f>IF(tblSalaries[[#This Row],[Years of Experience]]="","",IF(tblSalaries[[#This Row],[Years of Experience]]&lt;=2,1,""))</f>
        <v/>
      </c>
      <c r="O196" t="str">
        <f>IF(tblSalaries[[#This Row],[Years of Experience]]="","",IF(AND(tblSalaries[[#This Row],[Years of Experience]]&gt;2,tblSalaries[[#This Row],[Years of Experience]]&lt;=5),1,""))</f>
        <v/>
      </c>
      <c r="P196" t="str">
        <f>IF(tblSalaries[[#This Row],[Years of Experience]]="","",IF(AND(tblSalaries[[#This Row],[Years of Experience]]&gt;5,tblSalaries[[#This Row],[Years of Experience]]&lt;=10),1,""))</f>
        <v/>
      </c>
      <c r="Q196" t="str">
        <f>IF(tblSalaries[[#This Row],[Years of Experience]]="","",IF(AND(tblSalaries[[#This Row],[Years of Experience]]&gt;10,tblSalaries[[#This Row],[Years of Experience]]&lt;=15),1,""))</f>
        <v/>
      </c>
      <c r="R196" t="str">
        <f>IF(tblSalaries[[#This Row],[Years of Experience]]="","",IF(AND(tblSalaries[[#This Row],[Years of Experience]]&gt;16,tblSalaries[[#This Row],[Years of Experience]]&lt;=20),1,""))</f>
        <v/>
      </c>
      <c r="S196" t="str">
        <f>IF(tblSalaries[[#This Row],[Years of Experience]]="","",IF(tblSalaries[[#This Row],[Years of Experience]]&gt;20,1,""))</f>
        <v/>
      </c>
      <c r="T1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6" s="13" t="str">
        <f>IF(tblSalaries[[#This Row],[Job Type]]=tblSalaries[[#Headers],[Accountant]],tblSalaries[[#This Row],[Salary in USD]],"")</f>
        <v/>
      </c>
      <c r="V196" s="13">
        <f>IF(tblSalaries[[#This Row],[Job Type]]=tblSalaries[[#Headers],[Analyst]],tblSalaries[[#This Row],[Salary in USD]],"")</f>
        <v>67000</v>
      </c>
      <c r="W196" s="13" t="str">
        <f>IF(tblSalaries[[#This Row],[Job Type]]=tblSalaries[[#Headers],[Consultant]],tblSalaries[[#This Row],[Salary in USD]],"")</f>
        <v/>
      </c>
      <c r="X196" s="13" t="str">
        <f>IF(tblSalaries[[#This Row],[Job Type]]=tblSalaries[[#Headers],[Controller]],tblSalaries[[#This Row],[Salary in USD]],"")</f>
        <v/>
      </c>
      <c r="Y196" s="13" t="str">
        <f>IF(tblSalaries[[#This Row],[Job Type]]=tblSalaries[[#Headers],[CXO or Top Mgmt.]],tblSalaries[[#This Row],[clean Salary (in local currency)]],"")</f>
        <v/>
      </c>
      <c r="Z196" s="13" t="str">
        <f>IF(tblSalaries[[#This Row],[Job Type]]=tblSalaries[[#Headers],[Engineer]],tblSalaries[[#This Row],[Salary in USD]],"")</f>
        <v/>
      </c>
      <c r="AA196" s="13" t="str">
        <f>IF(tblSalaries[[#This Row],[Job Type]]=tblSalaries[[#Headers],[Manager]],tblSalaries[[#This Row],[Salary in USD]],"")</f>
        <v/>
      </c>
      <c r="AB196" s="13" t="str">
        <f>IF(tblSalaries[[#This Row],[Job Type]]=tblSalaries[[#Headers],[Misc.]],tblSalaries[[#This Row],[Salary in USD]],"")</f>
        <v/>
      </c>
      <c r="AC196" s="13" t="str">
        <f>IF(tblSalaries[[#This Row],[Job Type]]=tblSalaries[[#Headers],[Reporting]],tblSalaries[[#This Row],[Salary in USD]],"")</f>
        <v/>
      </c>
      <c r="AD196" s="13" t="str">
        <f>IF(tblSalaries[[#This Row],[Job Type]]=tblSalaries[[#Headers],[Specialist]],tblSalaries[[#This Row],[Salary in USD]],"")</f>
        <v/>
      </c>
    </row>
    <row r="197" spans="2:30" ht="15" customHeight="1" x14ac:dyDescent="0.25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 s="9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  <c r="N197" t="str">
        <f>IF(tblSalaries[[#This Row],[Years of Experience]]="","",IF(tblSalaries[[#This Row],[Years of Experience]]&lt;=2,1,""))</f>
        <v/>
      </c>
      <c r="O197" t="str">
        <f>IF(tblSalaries[[#This Row],[Years of Experience]]="","",IF(AND(tblSalaries[[#This Row],[Years of Experience]]&gt;2,tblSalaries[[#This Row],[Years of Experience]]&lt;=5),1,""))</f>
        <v/>
      </c>
      <c r="P197" t="str">
        <f>IF(tblSalaries[[#This Row],[Years of Experience]]="","",IF(AND(tblSalaries[[#This Row],[Years of Experience]]&gt;5,tblSalaries[[#This Row],[Years of Experience]]&lt;=10),1,""))</f>
        <v/>
      </c>
      <c r="Q197" t="str">
        <f>IF(tblSalaries[[#This Row],[Years of Experience]]="","",IF(AND(tblSalaries[[#This Row],[Years of Experience]]&gt;10,tblSalaries[[#This Row],[Years of Experience]]&lt;=15),1,""))</f>
        <v/>
      </c>
      <c r="R197" t="str">
        <f>IF(tblSalaries[[#This Row],[Years of Experience]]="","",IF(AND(tblSalaries[[#This Row],[Years of Experience]]&gt;16,tblSalaries[[#This Row],[Years of Experience]]&lt;=20),1,""))</f>
        <v/>
      </c>
      <c r="S197" t="str">
        <f>IF(tblSalaries[[#This Row],[Years of Experience]]="","",IF(tblSalaries[[#This Row],[Years of Experience]]&gt;20,1,""))</f>
        <v/>
      </c>
      <c r="T1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7" s="13" t="str">
        <f>IF(tblSalaries[[#This Row],[Job Type]]=tblSalaries[[#Headers],[Accountant]],tblSalaries[[#This Row],[Salary in USD]],"")</f>
        <v/>
      </c>
      <c r="V197" s="13">
        <f>IF(tblSalaries[[#This Row],[Job Type]]=tblSalaries[[#Headers],[Analyst]],tblSalaries[[#This Row],[Salary in USD]],"")</f>
        <v>70000</v>
      </c>
      <c r="W197" s="13" t="str">
        <f>IF(tblSalaries[[#This Row],[Job Type]]=tblSalaries[[#Headers],[Consultant]],tblSalaries[[#This Row],[Salary in USD]],"")</f>
        <v/>
      </c>
      <c r="X197" s="13" t="str">
        <f>IF(tblSalaries[[#This Row],[Job Type]]=tblSalaries[[#Headers],[Controller]],tblSalaries[[#This Row],[Salary in USD]],"")</f>
        <v/>
      </c>
      <c r="Y197" s="13" t="str">
        <f>IF(tblSalaries[[#This Row],[Job Type]]=tblSalaries[[#Headers],[CXO or Top Mgmt.]],tblSalaries[[#This Row],[clean Salary (in local currency)]],"")</f>
        <v/>
      </c>
      <c r="Z197" s="13" t="str">
        <f>IF(tblSalaries[[#This Row],[Job Type]]=tblSalaries[[#Headers],[Engineer]],tblSalaries[[#This Row],[Salary in USD]],"")</f>
        <v/>
      </c>
      <c r="AA197" s="13" t="str">
        <f>IF(tblSalaries[[#This Row],[Job Type]]=tblSalaries[[#Headers],[Manager]],tblSalaries[[#This Row],[Salary in USD]],"")</f>
        <v/>
      </c>
      <c r="AB197" s="13" t="str">
        <f>IF(tblSalaries[[#This Row],[Job Type]]=tblSalaries[[#Headers],[Misc.]],tblSalaries[[#This Row],[Salary in USD]],"")</f>
        <v/>
      </c>
      <c r="AC197" s="13" t="str">
        <f>IF(tblSalaries[[#This Row],[Job Type]]=tblSalaries[[#Headers],[Reporting]],tblSalaries[[#This Row],[Salary in USD]],"")</f>
        <v/>
      </c>
      <c r="AD197" s="13" t="str">
        <f>IF(tblSalaries[[#This Row],[Job Type]]=tblSalaries[[#Headers],[Specialist]],tblSalaries[[#This Row],[Salary in USD]],"")</f>
        <v/>
      </c>
    </row>
    <row r="198" spans="2:30" ht="15" customHeight="1" x14ac:dyDescent="0.25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 s="9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  <c r="N198" t="str">
        <f>IF(tblSalaries[[#This Row],[Years of Experience]]="","",IF(tblSalaries[[#This Row],[Years of Experience]]&lt;=2,1,""))</f>
        <v/>
      </c>
      <c r="O198" t="str">
        <f>IF(tblSalaries[[#This Row],[Years of Experience]]="","",IF(AND(tblSalaries[[#This Row],[Years of Experience]]&gt;2,tblSalaries[[#This Row],[Years of Experience]]&lt;=5),1,""))</f>
        <v/>
      </c>
      <c r="P198" t="str">
        <f>IF(tblSalaries[[#This Row],[Years of Experience]]="","",IF(AND(tblSalaries[[#This Row],[Years of Experience]]&gt;5,tblSalaries[[#This Row],[Years of Experience]]&lt;=10),1,""))</f>
        <v/>
      </c>
      <c r="Q198" t="str">
        <f>IF(tblSalaries[[#This Row],[Years of Experience]]="","",IF(AND(tblSalaries[[#This Row],[Years of Experience]]&gt;10,tblSalaries[[#This Row],[Years of Experience]]&lt;=15),1,""))</f>
        <v/>
      </c>
      <c r="R198" t="str">
        <f>IF(tblSalaries[[#This Row],[Years of Experience]]="","",IF(AND(tblSalaries[[#This Row],[Years of Experience]]&gt;16,tblSalaries[[#This Row],[Years of Experience]]&lt;=20),1,""))</f>
        <v/>
      </c>
      <c r="S198" t="str">
        <f>IF(tblSalaries[[#This Row],[Years of Experience]]="","",IF(tblSalaries[[#This Row],[Years of Experience]]&gt;20,1,""))</f>
        <v/>
      </c>
      <c r="T1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8" s="13" t="str">
        <f>IF(tblSalaries[[#This Row],[Job Type]]=tblSalaries[[#Headers],[Accountant]],tblSalaries[[#This Row],[Salary in USD]],"")</f>
        <v/>
      </c>
      <c r="V198" s="13" t="str">
        <f>IF(tblSalaries[[#This Row],[Job Type]]=tblSalaries[[#Headers],[Analyst]],tblSalaries[[#This Row],[Salary in USD]],"")</f>
        <v/>
      </c>
      <c r="W198" s="13" t="str">
        <f>IF(tblSalaries[[#This Row],[Job Type]]=tblSalaries[[#Headers],[Consultant]],tblSalaries[[#This Row],[Salary in USD]],"")</f>
        <v/>
      </c>
      <c r="X198" s="13" t="str">
        <f>IF(tblSalaries[[#This Row],[Job Type]]=tblSalaries[[#Headers],[Controller]],tblSalaries[[#This Row],[Salary in USD]],"")</f>
        <v/>
      </c>
      <c r="Y198" s="13" t="str">
        <f>IF(tblSalaries[[#This Row],[Job Type]]=tblSalaries[[#Headers],[CXO or Top Mgmt.]],tblSalaries[[#This Row],[clean Salary (in local currency)]],"")</f>
        <v/>
      </c>
      <c r="Z198" s="13" t="str">
        <f>IF(tblSalaries[[#This Row],[Job Type]]=tblSalaries[[#Headers],[Engineer]],tblSalaries[[#This Row],[Salary in USD]],"")</f>
        <v/>
      </c>
      <c r="AA198" s="13">
        <f>IF(tblSalaries[[#This Row],[Job Type]]=tblSalaries[[#Headers],[Manager]],tblSalaries[[#This Row],[Salary in USD]],"")</f>
        <v>4149.2445881741187</v>
      </c>
      <c r="AB198" s="13" t="str">
        <f>IF(tblSalaries[[#This Row],[Job Type]]=tblSalaries[[#Headers],[Misc.]],tblSalaries[[#This Row],[Salary in USD]],"")</f>
        <v/>
      </c>
      <c r="AC198" s="13" t="str">
        <f>IF(tblSalaries[[#This Row],[Job Type]]=tblSalaries[[#Headers],[Reporting]],tblSalaries[[#This Row],[Salary in USD]],"")</f>
        <v/>
      </c>
      <c r="AD198" s="13" t="str">
        <f>IF(tblSalaries[[#This Row],[Job Type]]=tblSalaries[[#Headers],[Specialist]],tblSalaries[[#This Row],[Salary in USD]],"")</f>
        <v/>
      </c>
    </row>
    <row r="199" spans="2:30" ht="15" customHeight="1" x14ac:dyDescent="0.25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 s="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  <c r="N199" t="str">
        <f>IF(tblSalaries[[#This Row],[Years of Experience]]="","",IF(tblSalaries[[#This Row],[Years of Experience]]&lt;=2,1,""))</f>
        <v/>
      </c>
      <c r="O199" t="str">
        <f>IF(tblSalaries[[#This Row],[Years of Experience]]="","",IF(AND(tblSalaries[[#This Row],[Years of Experience]]&gt;2,tblSalaries[[#This Row],[Years of Experience]]&lt;=5),1,""))</f>
        <v/>
      </c>
      <c r="P199" t="str">
        <f>IF(tblSalaries[[#This Row],[Years of Experience]]="","",IF(AND(tblSalaries[[#This Row],[Years of Experience]]&gt;5,tblSalaries[[#This Row],[Years of Experience]]&lt;=10),1,""))</f>
        <v/>
      </c>
      <c r="Q199" t="str">
        <f>IF(tblSalaries[[#This Row],[Years of Experience]]="","",IF(AND(tblSalaries[[#This Row],[Years of Experience]]&gt;10,tblSalaries[[#This Row],[Years of Experience]]&lt;=15),1,""))</f>
        <v/>
      </c>
      <c r="R199" t="str">
        <f>IF(tblSalaries[[#This Row],[Years of Experience]]="","",IF(AND(tblSalaries[[#This Row],[Years of Experience]]&gt;16,tblSalaries[[#This Row],[Years of Experience]]&lt;=20),1,""))</f>
        <v/>
      </c>
      <c r="S199" t="str">
        <f>IF(tblSalaries[[#This Row],[Years of Experience]]="","",IF(tblSalaries[[#This Row],[Years of Experience]]&gt;20,1,""))</f>
        <v/>
      </c>
      <c r="T1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99" s="13" t="str">
        <f>IF(tblSalaries[[#This Row],[Job Type]]=tblSalaries[[#Headers],[Accountant]],tblSalaries[[#This Row],[Salary in USD]],"")</f>
        <v/>
      </c>
      <c r="V199" s="13" t="str">
        <f>IF(tblSalaries[[#This Row],[Job Type]]=tblSalaries[[#Headers],[Analyst]],tblSalaries[[#This Row],[Salary in USD]],"")</f>
        <v/>
      </c>
      <c r="W199" s="13" t="str">
        <f>IF(tblSalaries[[#This Row],[Job Type]]=tblSalaries[[#Headers],[Consultant]],tblSalaries[[#This Row],[Salary in USD]],"")</f>
        <v/>
      </c>
      <c r="X199" s="13">
        <f>IF(tblSalaries[[#This Row],[Job Type]]=tblSalaries[[#Headers],[Controller]],tblSalaries[[#This Row],[Salary in USD]],"")</f>
        <v>99000</v>
      </c>
      <c r="Y199" s="13" t="str">
        <f>IF(tblSalaries[[#This Row],[Job Type]]=tblSalaries[[#Headers],[CXO or Top Mgmt.]],tblSalaries[[#This Row],[clean Salary (in local currency)]],"")</f>
        <v/>
      </c>
      <c r="Z199" s="13" t="str">
        <f>IF(tblSalaries[[#This Row],[Job Type]]=tblSalaries[[#Headers],[Engineer]],tblSalaries[[#This Row],[Salary in USD]],"")</f>
        <v/>
      </c>
      <c r="AA199" s="13" t="str">
        <f>IF(tblSalaries[[#This Row],[Job Type]]=tblSalaries[[#Headers],[Manager]],tblSalaries[[#This Row],[Salary in USD]],"")</f>
        <v/>
      </c>
      <c r="AB199" s="13" t="str">
        <f>IF(tblSalaries[[#This Row],[Job Type]]=tblSalaries[[#Headers],[Misc.]],tblSalaries[[#This Row],[Salary in USD]],"")</f>
        <v/>
      </c>
      <c r="AC199" s="13" t="str">
        <f>IF(tblSalaries[[#This Row],[Job Type]]=tblSalaries[[#Headers],[Reporting]],tblSalaries[[#This Row],[Salary in USD]],"")</f>
        <v/>
      </c>
      <c r="AD199" s="13" t="str">
        <f>IF(tblSalaries[[#This Row],[Job Type]]=tblSalaries[[#Headers],[Specialist]],tblSalaries[[#This Row],[Salary in USD]],"")</f>
        <v/>
      </c>
    </row>
    <row r="200" spans="2:30" ht="15" customHeight="1" x14ac:dyDescent="0.25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 s="9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  <c r="N200" t="str">
        <f>IF(tblSalaries[[#This Row],[Years of Experience]]="","",IF(tblSalaries[[#This Row],[Years of Experience]]&lt;=2,1,""))</f>
        <v/>
      </c>
      <c r="O200" t="str">
        <f>IF(tblSalaries[[#This Row],[Years of Experience]]="","",IF(AND(tblSalaries[[#This Row],[Years of Experience]]&gt;2,tblSalaries[[#This Row],[Years of Experience]]&lt;=5),1,""))</f>
        <v/>
      </c>
      <c r="P200" t="str">
        <f>IF(tblSalaries[[#This Row],[Years of Experience]]="","",IF(AND(tblSalaries[[#This Row],[Years of Experience]]&gt;5,tblSalaries[[#This Row],[Years of Experience]]&lt;=10),1,""))</f>
        <v/>
      </c>
      <c r="Q200" t="str">
        <f>IF(tblSalaries[[#This Row],[Years of Experience]]="","",IF(AND(tblSalaries[[#This Row],[Years of Experience]]&gt;10,tblSalaries[[#This Row],[Years of Experience]]&lt;=15),1,""))</f>
        <v/>
      </c>
      <c r="R200" t="str">
        <f>IF(tblSalaries[[#This Row],[Years of Experience]]="","",IF(AND(tblSalaries[[#This Row],[Years of Experience]]&gt;16,tblSalaries[[#This Row],[Years of Experience]]&lt;=20),1,""))</f>
        <v/>
      </c>
      <c r="S200" t="str">
        <f>IF(tblSalaries[[#This Row],[Years of Experience]]="","",IF(tblSalaries[[#This Row],[Years of Experience]]&gt;20,1,""))</f>
        <v/>
      </c>
      <c r="T2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0" s="13" t="str">
        <f>IF(tblSalaries[[#This Row],[Job Type]]=tblSalaries[[#Headers],[Accountant]],tblSalaries[[#This Row],[Salary in USD]],"")</f>
        <v/>
      </c>
      <c r="V200" s="13" t="str">
        <f>IF(tblSalaries[[#This Row],[Job Type]]=tblSalaries[[#Headers],[Analyst]],tblSalaries[[#This Row],[Salary in USD]],"")</f>
        <v/>
      </c>
      <c r="W200" s="13" t="str">
        <f>IF(tblSalaries[[#This Row],[Job Type]]=tblSalaries[[#Headers],[Consultant]],tblSalaries[[#This Row],[Salary in USD]],"")</f>
        <v/>
      </c>
      <c r="X200" s="13" t="str">
        <f>IF(tblSalaries[[#This Row],[Job Type]]=tblSalaries[[#Headers],[Controller]],tblSalaries[[#This Row],[Salary in USD]],"")</f>
        <v/>
      </c>
      <c r="Y200" s="13" t="str">
        <f>IF(tblSalaries[[#This Row],[Job Type]]=tblSalaries[[#Headers],[CXO or Top Mgmt.]],tblSalaries[[#This Row],[clean Salary (in local currency)]],"")</f>
        <v/>
      </c>
      <c r="Z200" s="13" t="str">
        <f>IF(tblSalaries[[#This Row],[Job Type]]=tblSalaries[[#Headers],[Engineer]],tblSalaries[[#This Row],[Salary in USD]],"")</f>
        <v/>
      </c>
      <c r="AA200" s="13">
        <f>IF(tblSalaries[[#This Row],[Job Type]]=tblSalaries[[#Headers],[Manager]],tblSalaries[[#This Row],[Salary in USD]],"")</f>
        <v>90000</v>
      </c>
      <c r="AB200" s="13" t="str">
        <f>IF(tblSalaries[[#This Row],[Job Type]]=tblSalaries[[#Headers],[Misc.]],tblSalaries[[#This Row],[Salary in USD]],"")</f>
        <v/>
      </c>
      <c r="AC200" s="13" t="str">
        <f>IF(tblSalaries[[#This Row],[Job Type]]=tblSalaries[[#Headers],[Reporting]],tblSalaries[[#This Row],[Salary in USD]],"")</f>
        <v/>
      </c>
      <c r="AD200" s="13" t="str">
        <f>IF(tblSalaries[[#This Row],[Job Type]]=tblSalaries[[#Headers],[Specialist]],tblSalaries[[#This Row],[Salary in USD]],"")</f>
        <v/>
      </c>
    </row>
    <row r="201" spans="2:30" ht="15" customHeight="1" x14ac:dyDescent="0.25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 s="9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  <c r="N201" t="str">
        <f>IF(tblSalaries[[#This Row],[Years of Experience]]="","",IF(tblSalaries[[#This Row],[Years of Experience]]&lt;=2,1,""))</f>
        <v/>
      </c>
      <c r="O201" t="str">
        <f>IF(tblSalaries[[#This Row],[Years of Experience]]="","",IF(AND(tblSalaries[[#This Row],[Years of Experience]]&gt;2,tblSalaries[[#This Row],[Years of Experience]]&lt;=5),1,""))</f>
        <v/>
      </c>
      <c r="P201" t="str">
        <f>IF(tblSalaries[[#This Row],[Years of Experience]]="","",IF(AND(tblSalaries[[#This Row],[Years of Experience]]&gt;5,tblSalaries[[#This Row],[Years of Experience]]&lt;=10),1,""))</f>
        <v/>
      </c>
      <c r="Q201" t="str">
        <f>IF(tblSalaries[[#This Row],[Years of Experience]]="","",IF(AND(tblSalaries[[#This Row],[Years of Experience]]&gt;10,tblSalaries[[#This Row],[Years of Experience]]&lt;=15),1,""))</f>
        <v/>
      </c>
      <c r="R201" t="str">
        <f>IF(tblSalaries[[#This Row],[Years of Experience]]="","",IF(AND(tblSalaries[[#This Row],[Years of Experience]]&gt;16,tblSalaries[[#This Row],[Years of Experience]]&lt;=20),1,""))</f>
        <v/>
      </c>
      <c r="S201" t="str">
        <f>IF(tblSalaries[[#This Row],[Years of Experience]]="","",IF(tblSalaries[[#This Row],[Years of Experience]]&gt;20,1,""))</f>
        <v/>
      </c>
      <c r="T2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1" s="13" t="str">
        <f>IF(tblSalaries[[#This Row],[Job Type]]=tblSalaries[[#Headers],[Accountant]],tblSalaries[[#This Row],[Salary in USD]],"")</f>
        <v/>
      </c>
      <c r="V201" s="13">
        <f>IF(tblSalaries[[#This Row],[Job Type]]=tblSalaries[[#Headers],[Analyst]],tblSalaries[[#This Row],[Salary in USD]],"")</f>
        <v>4897.177089046706</v>
      </c>
      <c r="W201" s="13" t="str">
        <f>IF(tblSalaries[[#This Row],[Job Type]]=tblSalaries[[#Headers],[Consultant]],tblSalaries[[#This Row],[Salary in USD]],"")</f>
        <v/>
      </c>
      <c r="X201" s="13" t="str">
        <f>IF(tblSalaries[[#This Row],[Job Type]]=tblSalaries[[#Headers],[Controller]],tblSalaries[[#This Row],[Salary in USD]],"")</f>
        <v/>
      </c>
      <c r="Y201" s="13" t="str">
        <f>IF(tblSalaries[[#This Row],[Job Type]]=tblSalaries[[#Headers],[CXO or Top Mgmt.]],tblSalaries[[#This Row],[clean Salary (in local currency)]],"")</f>
        <v/>
      </c>
      <c r="Z201" s="13" t="str">
        <f>IF(tblSalaries[[#This Row],[Job Type]]=tblSalaries[[#Headers],[Engineer]],tblSalaries[[#This Row],[Salary in USD]],"")</f>
        <v/>
      </c>
      <c r="AA201" s="13" t="str">
        <f>IF(tblSalaries[[#This Row],[Job Type]]=tblSalaries[[#Headers],[Manager]],tblSalaries[[#This Row],[Salary in USD]],"")</f>
        <v/>
      </c>
      <c r="AB201" s="13" t="str">
        <f>IF(tblSalaries[[#This Row],[Job Type]]=tblSalaries[[#Headers],[Misc.]],tblSalaries[[#This Row],[Salary in USD]],"")</f>
        <v/>
      </c>
      <c r="AC201" s="13" t="str">
        <f>IF(tblSalaries[[#This Row],[Job Type]]=tblSalaries[[#Headers],[Reporting]],tblSalaries[[#This Row],[Salary in USD]],"")</f>
        <v/>
      </c>
      <c r="AD201" s="13" t="str">
        <f>IF(tblSalaries[[#This Row],[Job Type]]=tblSalaries[[#Headers],[Specialist]],tblSalaries[[#This Row],[Salary in USD]],"")</f>
        <v/>
      </c>
    </row>
    <row r="202" spans="2:30" ht="15" customHeight="1" x14ac:dyDescent="0.25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 s="9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  <c r="N202" t="str">
        <f>IF(tblSalaries[[#This Row],[Years of Experience]]="","",IF(tblSalaries[[#This Row],[Years of Experience]]&lt;=2,1,""))</f>
        <v/>
      </c>
      <c r="O202" t="str">
        <f>IF(tblSalaries[[#This Row],[Years of Experience]]="","",IF(AND(tblSalaries[[#This Row],[Years of Experience]]&gt;2,tblSalaries[[#This Row],[Years of Experience]]&lt;=5),1,""))</f>
        <v/>
      </c>
      <c r="P202" t="str">
        <f>IF(tblSalaries[[#This Row],[Years of Experience]]="","",IF(AND(tblSalaries[[#This Row],[Years of Experience]]&gt;5,tblSalaries[[#This Row],[Years of Experience]]&lt;=10),1,""))</f>
        <v/>
      </c>
      <c r="Q202" t="str">
        <f>IF(tblSalaries[[#This Row],[Years of Experience]]="","",IF(AND(tblSalaries[[#This Row],[Years of Experience]]&gt;10,tblSalaries[[#This Row],[Years of Experience]]&lt;=15),1,""))</f>
        <v/>
      </c>
      <c r="R202" t="str">
        <f>IF(tblSalaries[[#This Row],[Years of Experience]]="","",IF(AND(tblSalaries[[#This Row],[Years of Experience]]&gt;16,tblSalaries[[#This Row],[Years of Experience]]&lt;=20),1,""))</f>
        <v/>
      </c>
      <c r="S202" t="str">
        <f>IF(tblSalaries[[#This Row],[Years of Experience]]="","",IF(tblSalaries[[#This Row],[Years of Experience]]&gt;20,1,""))</f>
        <v/>
      </c>
      <c r="T2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2" s="13" t="str">
        <f>IF(tblSalaries[[#This Row],[Job Type]]=tblSalaries[[#Headers],[Accountant]],tblSalaries[[#This Row],[Salary in USD]],"")</f>
        <v/>
      </c>
      <c r="V202" s="13">
        <f>IF(tblSalaries[[#This Row],[Job Type]]=tblSalaries[[#Headers],[Analyst]],tblSalaries[[#This Row],[Salary in USD]],"")</f>
        <v>3419.1200039889732</v>
      </c>
      <c r="W202" s="13" t="str">
        <f>IF(tblSalaries[[#This Row],[Job Type]]=tblSalaries[[#Headers],[Consultant]],tblSalaries[[#This Row],[Salary in USD]],"")</f>
        <v/>
      </c>
      <c r="X202" s="13" t="str">
        <f>IF(tblSalaries[[#This Row],[Job Type]]=tblSalaries[[#Headers],[Controller]],tblSalaries[[#This Row],[Salary in USD]],"")</f>
        <v/>
      </c>
      <c r="Y202" s="13" t="str">
        <f>IF(tblSalaries[[#This Row],[Job Type]]=tblSalaries[[#Headers],[CXO or Top Mgmt.]],tblSalaries[[#This Row],[clean Salary (in local currency)]],"")</f>
        <v/>
      </c>
      <c r="Z202" s="13" t="str">
        <f>IF(tblSalaries[[#This Row],[Job Type]]=tblSalaries[[#Headers],[Engineer]],tblSalaries[[#This Row],[Salary in USD]],"")</f>
        <v/>
      </c>
      <c r="AA202" s="13" t="str">
        <f>IF(tblSalaries[[#This Row],[Job Type]]=tblSalaries[[#Headers],[Manager]],tblSalaries[[#This Row],[Salary in USD]],"")</f>
        <v/>
      </c>
      <c r="AB202" s="13" t="str">
        <f>IF(tblSalaries[[#This Row],[Job Type]]=tblSalaries[[#Headers],[Misc.]],tblSalaries[[#This Row],[Salary in USD]],"")</f>
        <v/>
      </c>
      <c r="AC202" s="13" t="str">
        <f>IF(tblSalaries[[#This Row],[Job Type]]=tblSalaries[[#Headers],[Reporting]],tblSalaries[[#This Row],[Salary in USD]],"")</f>
        <v/>
      </c>
      <c r="AD202" s="13" t="str">
        <f>IF(tblSalaries[[#This Row],[Job Type]]=tblSalaries[[#Headers],[Specialist]],tblSalaries[[#This Row],[Salary in USD]],"")</f>
        <v/>
      </c>
    </row>
    <row r="203" spans="2:30" ht="15" customHeight="1" x14ac:dyDescent="0.25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 s="9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  <c r="N203" t="str">
        <f>IF(tblSalaries[[#This Row],[Years of Experience]]="","",IF(tblSalaries[[#This Row],[Years of Experience]]&lt;=2,1,""))</f>
        <v/>
      </c>
      <c r="O203" t="str">
        <f>IF(tblSalaries[[#This Row],[Years of Experience]]="","",IF(AND(tblSalaries[[#This Row],[Years of Experience]]&gt;2,tblSalaries[[#This Row],[Years of Experience]]&lt;=5),1,""))</f>
        <v/>
      </c>
      <c r="P203" t="str">
        <f>IF(tblSalaries[[#This Row],[Years of Experience]]="","",IF(AND(tblSalaries[[#This Row],[Years of Experience]]&gt;5,tblSalaries[[#This Row],[Years of Experience]]&lt;=10),1,""))</f>
        <v/>
      </c>
      <c r="Q203" t="str">
        <f>IF(tblSalaries[[#This Row],[Years of Experience]]="","",IF(AND(tblSalaries[[#This Row],[Years of Experience]]&gt;10,tblSalaries[[#This Row],[Years of Experience]]&lt;=15),1,""))</f>
        <v/>
      </c>
      <c r="R203" t="str">
        <f>IF(tblSalaries[[#This Row],[Years of Experience]]="","",IF(AND(tblSalaries[[#This Row],[Years of Experience]]&gt;16,tblSalaries[[#This Row],[Years of Experience]]&lt;=20),1,""))</f>
        <v/>
      </c>
      <c r="S203" t="str">
        <f>IF(tblSalaries[[#This Row],[Years of Experience]]="","",IF(tblSalaries[[#This Row],[Years of Experience]]&gt;20,1,""))</f>
        <v/>
      </c>
      <c r="T2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3" s="13" t="str">
        <f>IF(tblSalaries[[#This Row],[Job Type]]=tblSalaries[[#Headers],[Accountant]],tblSalaries[[#This Row],[Salary in USD]],"")</f>
        <v/>
      </c>
      <c r="V203" s="13" t="str">
        <f>IF(tblSalaries[[#This Row],[Job Type]]=tblSalaries[[#Headers],[Analyst]],tblSalaries[[#This Row],[Salary in USD]],"")</f>
        <v/>
      </c>
      <c r="W203" s="13" t="str">
        <f>IF(tblSalaries[[#This Row],[Job Type]]=tblSalaries[[#Headers],[Consultant]],tblSalaries[[#This Row],[Salary in USD]],"")</f>
        <v/>
      </c>
      <c r="X203" s="13" t="str">
        <f>IF(tblSalaries[[#This Row],[Job Type]]=tblSalaries[[#Headers],[Controller]],tblSalaries[[#This Row],[Salary in USD]],"")</f>
        <v/>
      </c>
      <c r="Y203" s="13" t="str">
        <f>IF(tblSalaries[[#This Row],[Job Type]]=tblSalaries[[#Headers],[CXO or Top Mgmt.]],tblSalaries[[#This Row],[clean Salary (in local currency)]],"")</f>
        <v/>
      </c>
      <c r="Z203" s="13" t="str">
        <f>IF(tblSalaries[[#This Row],[Job Type]]=tblSalaries[[#Headers],[Engineer]],tblSalaries[[#This Row],[Salary in USD]],"")</f>
        <v/>
      </c>
      <c r="AA203" s="13">
        <f>IF(tblSalaries[[#This Row],[Job Type]]=tblSalaries[[#Headers],[Manager]],tblSalaries[[#This Row],[Salary in USD]],"")</f>
        <v>51000</v>
      </c>
      <c r="AB203" s="13" t="str">
        <f>IF(tblSalaries[[#This Row],[Job Type]]=tblSalaries[[#Headers],[Misc.]],tblSalaries[[#This Row],[Salary in USD]],"")</f>
        <v/>
      </c>
      <c r="AC203" s="13" t="str">
        <f>IF(tblSalaries[[#This Row],[Job Type]]=tblSalaries[[#Headers],[Reporting]],tblSalaries[[#This Row],[Salary in USD]],"")</f>
        <v/>
      </c>
      <c r="AD203" s="13" t="str">
        <f>IF(tblSalaries[[#This Row],[Job Type]]=tblSalaries[[#Headers],[Specialist]],tblSalaries[[#This Row],[Salary in USD]],"")</f>
        <v/>
      </c>
    </row>
    <row r="204" spans="2:30" ht="15" customHeight="1" x14ac:dyDescent="0.25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 s="9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  <c r="N204" t="str">
        <f>IF(tblSalaries[[#This Row],[Years of Experience]]="","",IF(tblSalaries[[#This Row],[Years of Experience]]&lt;=2,1,""))</f>
        <v/>
      </c>
      <c r="O204" t="str">
        <f>IF(tblSalaries[[#This Row],[Years of Experience]]="","",IF(AND(tblSalaries[[#This Row],[Years of Experience]]&gt;2,tblSalaries[[#This Row],[Years of Experience]]&lt;=5),1,""))</f>
        <v/>
      </c>
      <c r="P204" t="str">
        <f>IF(tblSalaries[[#This Row],[Years of Experience]]="","",IF(AND(tblSalaries[[#This Row],[Years of Experience]]&gt;5,tblSalaries[[#This Row],[Years of Experience]]&lt;=10),1,""))</f>
        <v/>
      </c>
      <c r="Q204" t="str">
        <f>IF(tblSalaries[[#This Row],[Years of Experience]]="","",IF(AND(tblSalaries[[#This Row],[Years of Experience]]&gt;10,tblSalaries[[#This Row],[Years of Experience]]&lt;=15),1,""))</f>
        <v/>
      </c>
      <c r="R204" t="str">
        <f>IF(tblSalaries[[#This Row],[Years of Experience]]="","",IF(AND(tblSalaries[[#This Row],[Years of Experience]]&gt;16,tblSalaries[[#This Row],[Years of Experience]]&lt;=20),1,""))</f>
        <v/>
      </c>
      <c r="S204" t="str">
        <f>IF(tblSalaries[[#This Row],[Years of Experience]]="","",IF(tblSalaries[[#This Row],[Years of Experience]]&gt;20,1,""))</f>
        <v/>
      </c>
      <c r="T2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4" s="13" t="str">
        <f>IF(tblSalaries[[#This Row],[Job Type]]=tblSalaries[[#Headers],[Accountant]],tblSalaries[[#This Row],[Salary in USD]],"")</f>
        <v/>
      </c>
      <c r="V204" s="13" t="str">
        <f>IF(tblSalaries[[#This Row],[Job Type]]=tblSalaries[[#Headers],[Analyst]],tblSalaries[[#This Row],[Salary in USD]],"")</f>
        <v/>
      </c>
      <c r="W204" s="13" t="str">
        <f>IF(tblSalaries[[#This Row],[Job Type]]=tblSalaries[[#Headers],[Consultant]],tblSalaries[[#This Row],[Salary in USD]],"")</f>
        <v/>
      </c>
      <c r="X204" s="13" t="str">
        <f>IF(tblSalaries[[#This Row],[Job Type]]=tblSalaries[[#Headers],[Controller]],tblSalaries[[#This Row],[Salary in USD]],"")</f>
        <v/>
      </c>
      <c r="Y204" s="13" t="str">
        <f>IF(tblSalaries[[#This Row],[Job Type]]=tblSalaries[[#Headers],[CXO or Top Mgmt.]],tblSalaries[[#This Row],[clean Salary (in local currency)]],"")</f>
        <v/>
      </c>
      <c r="Z204" s="13" t="str">
        <f>IF(tblSalaries[[#This Row],[Job Type]]=tblSalaries[[#Headers],[Engineer]],tblSalaries[[#This Row],[Salary in USD]],"")</f>
        <v/>
      </c>
      <c r="AA204" s="13">
        <f>IF(tblSalaries[[#This Row],[Job Type]]=tblSalaries[[#Headers],[Manager]],tblSalaries[[#This Row],[Salary in USD]],"")</f>
        <v>100000</v>
      </c>
      <c r="AB204" s="13" t="str">
        <f>IF(tblSalaries[[#This Row],[Job Type]]=tblSalaries[[#Headers],[Misc.]],tblSalaries[[#This Row],[Salary in USD]],"")</f>
        <v/>
      </c>
      <c r="AC204" s="13" t="str">
        <f>IF(tblSalaries[[#This Row],[Job Type]]=tblSalaries[[#Headers],[Reporting]],tblSalaries[[#This Row],[Salary in USD]],"")</f>
        <v/>
      </c>
      <c r="AD204" s="13" t="str">
        <f>IF(tblSalaries[[#This Row],[Job Type]]=tblSalaries[[#Headers],[Specialist]],tblSalaries[[#This Row],[Salary in USD]],"")</f>
        <v/>
      </c>
    </row>
    <row r="205" spans="2:30" ht="15" customHeight="1" x14ac:dyDescent="0.25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 s="9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  <c r="N205" t="str">
        <f>IF(tblSalaries[[#This Row],[Years of Experience]]="","",IF(tblSalaries[[#This Row],[Years of Experience]]&lt;=2,1,""))</f>
        <v/>
      </c>
      <c r="O205" t="str">
        <f>IF(tblSalaries[[#This Row],[Years of Experience]]="","",IF(AND(tblSalaries[[#This Row],[Years of Experience]]&gt;2,tblSalaries[[#This Row],[Years of Experience]]&lt;=5),1,""))</f>
        <v/>
      </c>
      <c r="P205" t="str">
        <f>IF(tblSalaries[[#This Row],[Years of Experience]]="","",IF(AND(tblSalaries[[#This Row],[Years of Experience]]&gt;5,tblSalaries[[#This Row],[Years of Experience]]&lt;=10),1,""))</f>
        <v/>
      </c>
      <c r="Q205" t="str">
        <f>IF(tblSalaries[[#This Row],[Years of Experience]]="","",IF(AND(tblSalaries[[#This Row],[Years of Experience]]&gt;10,tblSalaries[[#This Row],[Years of Experience]]&lt;=15),1,""))</f>
        <v/>
      </c>
      <c r="R205" t="str">
        <f>IF(tblSalaries[[#This Row],[Years of Experience]]="","",IF(AND(tblSalaries[[#This Row],[Years of Experience]]&gt;16,tblSalaries[[#This Row],[Years of Experience]]&lt;=20),1,""))</f>
        <v/>
      </c>
      <c r="S205" t="str">
        <f>IF(tblSalaries[[#This Row],[Years of Experience]]="","",IF(tblSalaries[[#This Row],[Years of Experience]]&gt;20,1,""))</f>
        <v/>
      </c>
      <c r="T2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5" s="13" t="str">
        <f>IF(tblSalaries[[#This Row],[Job Type]]=tblSalaries[[#Headers],[Accountant]],tblSalaries[[#This Row],[Salary in USD]],"")</f>
        <v/>
      </c>
      <c r="V205" s="13" t="str">
        <f>IF(tblSalaries[[#This Row],[Job Type]]=tblSalaries[[#Headers],[Analyst]],tblSalaries[[#This Row],[Salary in USD]],"")</f>
        <v/>
      </c>
      <c r="W205" s="13" t="str">
        <f>IF(tblSalaries[[#This Row],[Job Type]]=tblSalaries[[#Headers],[Consultant]],tblSalaries[[#This Row],[Salary in USD]],"")</f>
        <v/>
      </c>
      <c r="X205" s="13" t="str">
        <f>IF(tblSalaries[[#This Row],[Job Type]]=tblSalaries[[#Headers],[Controller]],tblSalaries[[#This Row],[Salary in USD]],"")</f>
        <v/>
      </c>
      <c r="Y205" s="13" t="str">
        <f>IF(tblSalaries[[#This Row],[Job Type]]=tblSalaries[[#Headers],[CXO or Top Mgmt.]],tblSalaries[[#This Row],[clean Salary (in local currency)]],"")</f>
        <v/>
      </c>
      <c r="Z205" s="13" t="str">
        <f>IF(tblSalaries[[#This Row],[Job Type]]=tblSalaries[[#Headers],[Engineer]],tblSalaries[[#This Row],[Salary in USD]],"")</f>
        <v/>
      </c>
      <c r="AA205" s="13">
        <f>IF(tblSalaries[[#This Row],[Job Type]]=tblSalaries[[#Headers],[Manager]],tblSalaries[[#This Row],[Salary in USD]],"")</f>
        <v>32054.250037396621</v>
      </c>
      <c r="AB205" s="13" t="str">
        <f>IF(tblSalaries[[#This Row],[Job Type]]=tblSalaries[[#Headers],[Misc.]],tblSalaries[[#This Row],[Salary in USD]],"")</f>
        <v/>
      </c>
      <c r="AC205" s="13" t="str">
        <f>IF(tblSalaries[[#This Row],[Job Type]]=tblSalaries[[#Headers],[Reporting]],tblSalaries[[#This Row],[Salary in USD]],"")</f>
        <v/>
      </c>
      <c r="AD205" s="13" t="str">
        <f>IF(tblSalaries[[#This Row],[Job Type]]=tblSalaries[[#Headers],[Specialist]],tblSalaries[[#This Row],[Salary in USD]],"")</f>
        <v/>
      </c>
    </row>
    <row r="206" spans="2:30" ht="15" customHeight="1" x14ac:dyDescent="0.25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 s="9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  <c r="N206" t="str">
        <f>IF(tblSalaries[[#This Row],[Years of Experience]]="","",IF(tblSalaries[[#This Row],[Years of Experience]]&lt;=2,1,""))</f>
        <v/>
      </c>
      <c r="O206" t="str">
        <f>IF(tblSalaries[[#This Row],[Years of Experience]]="","",IF(AND(tblSalaries[[#This Row],[Years of Experience]]&gt;2,tblSalaries[[#This Row],[Years of Experience]]&lt;=5),1,""))</f>
        <v/>
      </c>
      <c r="P206" t="str">
        <f>IF(tblSalaries[[#This Row],[Years of Experience]]="","",IF(AND(tblSalaries[[#This Row],[Years of Experience]]&gt;5,tblSalaries[[#This Row],[Years of Experience]]&lt;=10),1,""))</f>
        <v/>
      </c>
      <c r="Q206" t="str">
        <f>IF(tblSalaries[[#This Row],[Years of Experience]]="","",IF(AND(tblSalaries[[#This Row],[Years of Experience]]&gt;10,tblSalaries[[#This Row],[Years of Experience]]&lt;=15),1,""))</f>
        <v/>
      </c>
      <c r="R206" t="str">
        <f>IF(tblSalaries[[#This Row],[Years of Experience]]="","",IF(AND(tblSalaries[[#This Row],[Years of Experience]]&gt;16,tblSalaries[[#This Row],[Years of Experience]]&lt;=20),1,""))</f>
        <v/>
      </c>
      <c r="S206" t="str">
        <f>IF(tblSalaries[[#This Row],[Years of Experience]]="","",IF(tblSalaries[[#This Row],[Years of Experience]]&gt;20,1,""))</f>
        <v/>
      </c>
      <c r="T2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6" s="13" t="str">
        <f>IF(tblSalaries[[#This Row],[Job Type]]=tblSalaries[[#Headers],[Accountant]],tblSalaries[[#This Row],[Salary in USD]],"")</f>
        <v/>
      </c>
      <c r="V206" s="13">
        <f>IF(tblSalaries[[#This Row],[Job Type]]=tblSalaries[[#Headers],[Analyst]],tblSalaries[[#This Row],[Salary in USD]],"")</f>
        <v>47285.348162018527</v>
      </c>
      <c r="W206" s="13" t="str">
        <f>IF(tblSalaries[[#This Row],[Job Type]]=tblSalaries[[#Headers],[Consultant]],tblSalaries[[#This Row],[Salary in USD]],"")</f>
        <v/>
      </c>
      <c r="X206" s="13" t="str">
        <f>IF(tblSalaries[[#This Row],[Job Type]]=tblSalaries[[#Headers],[Controller]],tblSalaries[[#This Row],[Salary in USD]],"")</f>
        <v/>
      </c>
      <c r="Y206" s="13" t="str">
        <f>IF(tblSalaries[[#This Row],[Job Type]]=tblSalaries[[#Headers],[CXO or Top Mgmt.]],tblSalaries[[#This Row],[clean Salary (in local currency)]],"")</f>
        <v/>
      </c>
      <c r="Z206" s="13" t="str">
        <f>IF(tblSalaries[[#This Row],[Job Type]]=tblSalaries[[#Headers],[Engineer]],tblSalaries[[#This Row],[Salary in USD]],"")</f>
        <v/>
      </c>
      <c r="AA206" s="13" t="str">
        <f>IF(tblSalaries[[#This Row],[Job Type]]=tblSalaries[[#Headers],[Manager]],tblSalaries[[#This Row],[Salary in USD]],"")</f>
        <v/>
      </c>
      <c r="AB206" s="13" t="str">
        <f>IF(tblSalaries[[#This Row],[Job Type]]=tblSalaries[[#Headers],[Misc.]],tblSalaries[[#This Row],[Salary in USD]],"")</f>
        <v/>
      </c>
      <c r="AC206" s="13" t="str">
        <f>IF(tblSalaries[[#This Row],[Job Type]]=tblSalaries[[#Headers],[Reporting]],tblSalaries[[#This Row],[Salary in USD]],"")</f>
        <v/>
      </c>
      <c r="AD206" s="13" t="str">
        <f>IF(tblSalaries[[#This Row],[Job Type]]=tblSalaries[[#Headers],[Specialist]],tblSalaries[[#This Row],[Salary in USD]],"")</f>
        <v/>
      </c>
    </row>
    <row r="207" spans="2:30" ht="15" customHeight="1" x14ac:dyDescent="0.25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 s="9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  <c r="N207" t="str">
        <f>IF(tblSalaries[[#This Row],[Years of Experience]]="","",IF(tblSalaries[[#This Row],[Years of Experience]]&lt;=2,1,""))</f>
        <v/>
      </c>
      <c r="O207" t="str">
        <f>IF(tblSalaries[[#This Row],[Years of Experience]]="","",IF(AND(tblSalaries[[#This Row],[Years of Experience]]&gt;2,tblSalaries[[#This Row],[Years of Experience]]&lt;=5),1,""))</f>
        <v/>
      </c>
      <c r="P207" t="str">
        <f>IF(tblSalaries[[#This Row],[Years of Experience]]="","",IF(AND(tblSalaries[[#This Row],[Years of Experience]]&gt;5,tblSalaries[[#This Row],[Years of Experience]]&lt;=10),1,""))</f>
        <v/>
      </c>
      <c r="Q207" t="str">
        <f>IF(tblSalaries[[#This Row],[Years of Experience]]="","",IF(AND(tblSalaries[[#This Row],[Years of Experience]]&gt;10,tblSalaries[[#This Row],[Years of Experience]]&lt;=15),1,""))</f>
        <v/>
      </c>
      <c r="R207" t="str">
        <f>IF(tblSalaries[[#This Row],[Years of Experience]]="","",IF(AND(tblSalaries[[#This Row],[Years of Experience]]&gt;16,tblSalaries[[#This Row],[Years of Experience]]&lt;=20),1,""))</f>
        <v/>
      </c>
      <c r="S207" t="str">
        <f>IF(tblSalaries[[#This Row],[Years of Experience]]="","",IF(tblSalaries[[#This Row],[Years of Experience]]&gt;20,1,""))</f>
        <v/>
      </c>
      <c r="T2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7" s="13" t="str">
        <f>IF(tblSalaries[[#This Row],[Job Type]]=tblSalaries[[#Headers],[Accountant]],tblSalaries[[#This Row],[Salary in USD]],"")</f>
        <v/>
      </c>
      <c r="V207" s="13">
        <f>IF(tblSalaries[[#This Row],[Job Type]]=tblSalaries[[#Headers],[Analyst]],tblSalaries[[#This Row],[Salary in USD]],"")</f>
        <v>63519.971949580387</v>
      </c>
      <c r="W207" s="13" t="str">
        <f>IF(tblSalaries[[#This Row],[Job Type]]=tblSalaries[[#Headers],[Consultant]],tblSalaries[[#This Row],[Salary in USD]],"")</f>
        <v/>
      </c>
      <c r="X207" s="13" t="str">
        <f>IF(tblSalaries[[#This Row],[Job Type]]=tblSalaries[[#Headers],[Controller]],tblSalaries[[#This Row],[Salary in USD]],"")</f>
        <v/>
      </c>
      <c r="Y207" s="13" t="str">
        <f>IF(tblSalaries[[#This Row],[Job Type]]=tblSalaries[[#Headers],[CXO or Top Mgmt.]],tblSalaries[[#This Row],[clean Salary (in local currency)]],"")</f>
        <v/>
      </c>
      <c r="Z207" s="13" t="str">
        <f>IF(tblSalaries[[#This Row],[Job Type]]=tblSalaries[[#Headers],[Engineer]],tblSalaries[[#This Row],[Salary in USD]],"")</f>
        <v/>
      </c>
      <c r="AA207" s="13" t="str">
        <f>IF(tblSalaries[[#This Row],[Job Type]]=tblSalaries[[#Headers],[Manager]],tblSalaries[[#This Row],[Salary in USD]],"")</f>
        <v/>
      </c>
      <c r="AB207" s="13" t="str">
        <f>IF(tblSalaries[[#This Row],[Job Type]]=tblSalaries[[#Headers],[Misc.]],tblSalaries[[#This Row],[Salary in USD]],"")</f>
        <v/>
      </c>
      <c r="AC207" s="13" t="str">
        <f>IF(tblSalaries[[#This Row],[Job Type]]=tblSalaries[[#Headers],[Reporting]],tblSalaries[[#This Row],[Salary in USD]],"")</f>
        <v/>
      </c>
      <c r="AD207" s="13" t="str">
        <f>IF(tblSalaries[[#This Row],[Job Type]]=tblSalaries[[#Headers],[Specialist]],tblSalaries[[#This Row],[Salary in USD]],"")</f>
        <v/>
      </c>
    </row>
    <row r="208" spans="2:30" ht="15" customHeight="1" x14ac:dyDescent="0.25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 s="9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  <c r="N208" t="str">
        <f>IF(tblSalaries[[#This Row],[Years of Experience]]="","",IF(tblSalaries[[#This Row],[Years of Experience]]&lt;=2,1,""))</f>
        <v/>
      </c>
      <c r="O208" t="str">
        <f>IF(tblSalaries[[#This Row],[Years of Experience]]="","",IF(AND(tblSalaries[[#This Row],[Years of Experience]]&gt;2,tblSalaries[[#This Row],[Years of Experience]]&lt;=5),1,""))</f>
        <v/>
      </c>
      <c r="P208" t="str">
        <f>IF(tblSalaries[[#This Row],[Years of Experience]]="","",IF(AND(tblSalaries[[#This Row],[Years of Experience]]&gt;5,tblSalaries[[#This Row],[Years of Experience]]&lt;=10),1,""))</f>
        <v/>
      </c>
      <c r="Q208" t="str">
        <f>IF(tblSalaries[[#This Row],[Years of Experience]]="","",IF(AND(tblSalaries[[#This Row],[Years of Experience]]&gt;10,tblSalaries[[#This Row],[Years of Experience]]&lt;=15),1,""))</f>
        <v/>
      </c>
      <c r="R208" t="str">
        <f>IF(tblSalaries[[#This Row],[Years of Experience]]="","",IF(AND(tblSalaries[[#This Row],[Years of Experience]]&gt;16,tblSalaries[[#This Row],[Years of Experience]]&lt;=20),1,""))</f>
        <v/>
      </c>
      <c r="S208" t="str">
        <f>IF(tblSalaries[[#This Row],[Years of Experience]]="","",IF(tblSalaries[[#This Row],[Years of Experience]]&gt;20,1,""))</f>
        <v/>
      </c>
      <c r="T2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8" s="13" t="str">
        <f>IF(tblSalaries[[#This Row],[Job Type]]=tblSalaries[[#Headers],[Accountant]],tblSalaries[[#This Row],[Salary in USD]],"")</f>
        <v/>
      </c>
      <c r="V208" s="13">
        <f>IF(tblSalaries[[#This Row],[Job Type]]=tblSalaries[[#Headers],[Analyst]],tblSalaries[[#This Row],[Salary in USD]],"")</f>
        <v>108160</v>
      </c>
      <c r="W208" s="13" t="str">
        <f>IF(tblSalaries[[#This Row],[Job Type]]=tblSalaries[[#Headers],[Consultant]],tblSalaries[[#This Row],[Salary in USD]],"")</f>
        <v/>
      </c>
      <c r="X208" s="13" t="str">
        <f>IF(tblSalaries[[#This Row],[Job Type]]=tblSalaries[[#Headers],[Controller]],tblSalaries[[#This Row],[Salary in USD]],"")</f>
        <v/>
      </c>
      <c r="Y208" s="13" t="str">
        <f>IF(tblSalaries[[#This Row],[Job Type]]=tblSalaries[[#Headers],[CXO or Top Mgmt.]],tblSalaries[[#This Row],[clean Salary (in local currency)]],"")</f>
        <v/>
      </c>
      <c r="Z208" s="13" t="str">
        <f>IF(tblSalaries[[#This Row],[Job Type]]=tblSalaries[[#Headers],[Engineer]],tblSalaries[[#This Row],[Salary in USD]],"")</f>
        <v/>
      </c>
      <c r="AA208" s="13" t="str">
        <f>IF(tblSalaries[[#This Row],[Job Type]]=tblSalaries[[#Headers],[Manager]],tblSalaries[[#This Row],[Salary in USD]],"")</f>
        <v/>
      </c>
      <c r="AB208" s="13" t="str">
        <f>IF(tblSalaries[[#This Row],[Job Type]]=tblSalaries[[#Headers],[Misc.]],tblSalaries[[#This Row],[Salary in USD]],"")</f>
        <v/>
      </c>
      <c r="AC208" s="13" t="str">
        <f>IF(tblSalaries[[#This Row],[Job Type]]=tblSalaries[[#Headers],[Reporting]],tblSalaries[[#This Row],[Salary in USD]],"")</f>
        <v/>
      </c>
      <c r="AD208" s="13" t="str">
        <f>IF(tblSalaries[[#This Row],[Job Type]]=tblSalaries[[#Headers],[Specialist]],tblSalaries[[#This Row],[Salary in USD]],"")</f>
        <v/>
      </c>
    </row>
    <row r="209" spans="2:30" ht="15" customHeight="1" x14ac:dyDescent="0.25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 s="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  <c r="N209" t="str">
        <f>IF(tblSalaries[[#This Row],[Years of Experience]]="","",IF(tblSalaries[[#This Row],[Years of Experience]]&lt;=2,1,""))</f>
        <v/>
      </c>
      <c r="O209" t="str">
        <f>IF(tblSalaries[[#This Row],[Years of Experience]]="","",IF(AND(tblSalaries[[#This Row],[Years of Experience]]&gt;2,tblSalaries[[#This Row],[Years of Experience]]&lt;=5),1,""))</f>
        <v/>
      </c>
      <c r="P209" t="str">
        <f>IF(tblSalaries[[#This Row],[Years of Experience]]="","",IF(AND(tblSalaries[[#This Row],[Years of Experience]]&gt;5,tblSalaries[[#This Row],[Years of Experience]]&lt;=10),1,""))</f>
        <v/>
      </c>
      <c r="Q209" t="str">
        <f>IF(tblSalaries[[#This Row],[Years of Experience]]="","",IF(AND(tblSalaries[[#This Row],[Years of Experience]]&gt;10,tblSalaries[[#This Row],[Years of Experience]]&lt;=15),1,""))</f>
        <v/>
      </c>
      <c r="R209" t="str">
        <f>IF(tblSalaries[[#This Row],[Years of Experience]]="","",IF(AND(tblSalaries[[#This Row],[Years of Experience]]&gt;16,tblSalaries[[#This Row],[Years of Experience]]&lt;=20),1,""))</f>
        <v/>
      </c>
      <c r="S209" t="str">
        <f>IF(tblSalaries[[#This Row],[Years of Experience]]="","",IF(tblSalaries[[#This Row],[Years of Experience]]&gt;20,1,""))</f>
        <v/>
      </c>
      <c r="T2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09" s="13" t="str">
        <f>IF(tblSalaries[[#This Row],[Job Type]]=tblSalaries[[#Headers],[Accountant]],tblSalaries[[#This Row],[Salary in USD]],"")</f>
        <v/>
      </c>
      <c r="V209" s="13" t="str">
        <f>IF(tblSalaries[[#This Row],[Job Type]]=tblSalaries[[#Headers],[Analyst]],tblSalaries[[#This Row],[Salary in USD]],"")</f>
        <v/>
      </c>
      <c r="W209" s="13" t="str">
        <f>IF(tblSalaries[[#This Row],[Job Type]]=tblSalaries[[#Headers],[Consultant]],tblSalaries[[#This Row],[Salary in USD]],"")</f>
        <v/>
      </c>
      <c r="X209" s="13" t="str">
        <f>IF(tblSalaries[[#This Row],[Job Type]]=tblSalaries[[#Headers],[Controller]],tblSalaries[[#This Row],[Salary in USD]],"")</f>
        <v/>
      </c>
      <c r="Y209" s="13" t="str">
        <f>IF(tblSalaries[[#This Row],[Job Type]]=tblSalaries[[#Headers],[CXO or Top Mgmt.]],tblSalaries[[#This Row],[clean Salary (in local currency)]],"")</f>
        <v/>
      </c>
      <c r="Z209" s="13" t="str">
        <f>IF(tblSalaries[[#This Row],[Job Type]]=tblSalaries[[#Headers],[Engineer]],tblSalaries[[#This Row],[Salary in USD]],"")</f>
        <v/>
      </c>
      <c r="AA209" s="13">
        <f>IF(tblSalaries[[#This Row],[Job Type]]=tblSalaries[[#Headers],[Manager]],tblSalaries[[#This Row],[Salary in USD]],"")</f>
        <v>50000</v>
      </c>
      <c r="AB209" s="13" t="str">
        <f>IF(tblSalaries[[#This Row],[Job Type]]=tblSalaries[[#Headers],[Misc.]],tblSalaries[[#This Row],[Salary in USD]],"")</f>
        <v/>
      </c>
      <c r="AC209" s="13" t="str">
        <f>IF(tblSalaries[[#This Row],[Job Type]]=tblSalaries[[#Headers],[Reporting]],tblSalaries[[#This Row],[Salary in USD]],"")</f>
        <v/>
      </c>
      <c r="AD209" s="13" t="str">
        <f>IF(tblSalaries[[#This Row],[Job Type]]=tblSalaries[[#Headers],[Specialist]],tblSalaries[[#This Row],[Salary in USD]],"")</f>
        <v/>
      </c>
    </row>
    <row r="210" spans="2:30" ht="15" customHeight="1" x14ac:dyDescent="0.25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 s="9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  <c r="N210" t="str">
        <f>IF(tblSalaries[[#This Row],[Years of Experience]]="","",IF(tblSalaries[[#This Row],[Years of Experience]]&lt;=2,1,""))</f>
        <v/>
      </c>
      <c r="O210" t="str">
        <f>IF(tblSalaries[[#This Row],[Years of Experience]]="","",IF(AND(tblSalaries[[#This Row],[Years of Experience]]&gt;2,tblSalaries[[#This Row],[Years of Experience]]&lt;=5),1,""))</f>
        <v/>
      </c>
      <c r="P210" t="str">
        <f>IF(tblSalaries[[#This Row],[Years of Experience]]="","",IF(AND(tblSalaries[[#This Row],[Years of Experience]]&gt;5,tblSalaries[[#This Row],[Years of Experience]]&lt;=10),1,""))</f>
        <v/>
      </c>
      <c r="Q210" t="str">
        <f>IF(tblSalaries[[#This Row],[Years of Experience]]="","",IF(AND(tblSalaries[[#This Row],[Years of Experience]]&gt;10,tblSalaries[[#This Row],[Years of Experience]]&lt;=15),1,""))</f>
        <v/>
      </c>
      <c r="R210" t="str">
        <f>IF(tblSalaries[[#This Row],[Years of Experience]]="","",IF(AND(tblSalaries[[#This Row],[Years of Experience]]&gt;16,tblSalaries[[#This Row],[Years of Experience]]&lt;=20),1,""))</f>
        <v/>
      </c>
      <c r="S210" t="str">
        <f>IF(tblSalaries[[#This Row],[Years of Experience]]="","",IF(tblSalaries[[#This Row],[Years of Experience]]&gt;20,1,""))</f>
        <v/>
      </c>
      <c r="T2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0" s="13" t="str">
        <f>IF(tblSalaries[[#This Row],[Job Type]]=tblSalaries[[#Headers],[Accountant]],tblSalaries[[#This Row],[Salary in USD]],"")</f>
        <v/>
      </c>
      <c r="V210" s="13" t="str">
        <f>IF(tblSalaries[[#This Row],[Job Type]]=tblSalaries[[#Headers],[Analyst]],tblSalaries[[#This Row],[Salary in USD]],"")</f>
        <v/>
      </c>
      <c r="W210" s="13" t="str">
        <f>IF(tblSalaries[[#This Row],[Job Type]]=tblSalaries[[#Headers],[Consultant]],tblSalaries[[#This Row],[Salary in USD]],"")</f>
        <v/>
      </c>
      <c r="X210" s="13" t="str">
        <f>IF(tblSalaries[[#This Row],[Job Type]]=tblSalaries[[#Headers],[Controller]],tblSalaries[[#This Row],[Salary in USD]],"")</f>
        <v/>
      </c>
      <c r="Y210" s="13" t="str">
        <f>IF(tblSalaries[[#This Row],[Job Type]]=tblSalaries[[#Headers],[CXO or Top Mgmt.]],tblSalaries[[#This Row],[clean Salary (in local currency)]],"")</f>
        <v/>
      </c>
      <c r="Z210" s="13" t="str">
        <f>IF(tblSalaries[[#This Row],[Job Type]]=tblSalaries[[#Headers],[Engineer]],tblSalaries[[#This Row],[Salary in USD]],"")</f>
        <v/>
      </c>
      <c r="AA210" s="13">
        <f>IF(tblSalaries[[#This Row],[Job Type]]=tblSalaries[[#Headers],[Manager]],tblSalaries[[#This Row],[Salary in USD]],"")</f>
        <v>400000</v>
      </c>
      <c r="AB210" s="13" t="str">
        <f>IF(tblSalaries[[#This Row],[Job Type]]=tblSalaries[[#Headers],[Misc.]],tblSalaries[[#This Row],[Salary in USD]],"")</f>
        <v/>
      </c>
      <c r="AC210" s="13" t="str">
        <f>IF(tblSalaries[[#This Row],[Job Type]]=tblSalaries[[#Headers],[Reporting]],tblSalaries[[#This Row],[Salary in USD]],"")</f>
        <v/>
      </c>
      <c r="AD210" s="13" t="str">
        <f>IF(tblSalaries[[#This Row],[Job Type]]=tblSalaries[[#Headers],[Specialist]],tblSalaries[[#This Row],[Salary in USD]],"")</f>
        <v/>
      </c>
    </row>
    <row r="211" spans="2:30" ht="15" customHeight="1" x14ac:dyDescent="0.25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 s="9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  <c r="N211" t="str">
        <f>IF(tblSalaries[[#This Row],[Years of Experience]]="","",IF(tblSalaries[[#This Row],[Years of Experience]]&lt;=2,1,""))</f>
        <v/>
      </c>
      <c r="O211" t="str">
        <f>IF(tblSalaries[[#This Row],[Years of Experience]]="","",IF(AND(tblSalaries[[#This Row],[Years of Experience]]&gt;2,tblSalaries[[#This Row],[Years of Experience]]&lt;=5),1,""))</f>
        <v/>
      </c>
      <c r="P211" t="str">
        <f>IF(tblSalaries[[#This Row],[Years of Experience]]="","",IF(AND(tblSalaries[[#This Row],[Years of Experience]]&gt;5,tblSalaries[[#This Row],[Years of Experience]]&lt;=10),1,""))</f>
        <v/>
      </c>
      <c r="Q211" t="str">
        <f>IF(tblSalaries[[#This Row],[Years of Experience]]="","",IF(AND(tblSalaries[[#This Row],[Years of Experience]]&gt;10,tblSalaries[[#This Row],[Years of Experience]]&lt;=15),1,""))</f>
        <v/>
      </c>
      <c r="R211" t="str">
        <f>IF(tblSalaries[[#This Row],[Years of Experience]]="","",IF(AND(tblSalaries[[#This Row],[Years of Experience]]&gt;16,tblSalaries[[#This Row],[Years of Experience]]&lt;=20),1,""))</f>
        <v/>
      </c>
      <c r="S211" t="str">
        <f>IF(tblSalaries[[#This Row],[Years of Experience]]="","",IF(tblSalaries[[#This Row],[Years of Experience]]&gt;20,1,""))</f>
        <v/>
      </c>
      <c r="T2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1" s="13" t="str">
        <f>IF(tblSalaries[[#This Row],[Job Type]]=tblSalaries[[#Headers],[Accountant]],tblSalaries[[#This Row],[Salary in USD]],"")</f>
        <v/>
      </c>
      <c r="V211" s="13">
        <f>IF(tblSalaries[[#This Row],[Job Type]]=tblSalaries[[#Headers],[Analyst]],tblSalaries[[#This Row],[Salary in USD]],"")</f>
        <v>43000</v>
      </c>
      <c r="W211" s="13" t="str">
        <f>IF(tblSalaries[[#This Row],[Job Type]]=tblSalaries[[#Headers],[Consultant]],tblSalaries[[#This Row],[Salary in USD]],"")</f>
        <v/>
      </c>
      <c r="X211" s="13" t="str">
        <f>IF(tblSalaries[[#This Row],[Job Type]]=tblSalaries[[#Headers],[Controller]],tblSalaries[[#This Row],[Salary in USD]],"")</f>
        <v/>
      </c>
      <c r="Y211" s="13" t="str">
        <f>IF(tblSalaries[[#This Row],[Job Type]]=tblSalaries[[#Headers],[CXO or Top Mgmt.]],tblSalaries[[#This Row],[clean Salary (in local currency)]],"")</f>
        <v/>
      </c>
      <c r="Z211" s="13" t="str">
        <f>IF(tblSalaries[[#This Row],[Job Type]]=tblSalaries[[#Headers],[Engineer]],tblSalaries[[#This Row],[Salary in USD]],"")</f>
        <v/>
      </c>
      <c r="AA211" s="13" t="str">
        <f>IF(tblSalaries[[#This Row],[Job Type]]=tblSalaries[[#Headers],[Manager]],tblSalaries[[#This Row],[Salary in USD]],"")</f>
        <v/>
      </c>
      <c r="AB211" s="13" t="str">
        <f>IF(tblSalaries[[#This Row],[Job Type]]=tblSalaries[[#Headers],[Misc.]],tblSalaries[[#This Row],[Salary in USD]],"")</f>
        <v/>
      </c>
      <c r="AC211" s="13" t="str">
        <f>IF(tblSalaries[[#This Row],[Job Type]]=tblSalaries[[#Headers],[Reporting]],tblSalaries[[#This Row],[Salary in USD]],"")</f>
        <v/>
      </c>
      <c r="AD211" s="13" t="str">
        <f>IF(tblSalaries[[#This Row],[Job Type]]=tblSalaries[[#Headers],[Specialist]],tblSalaries[[#This Row],[Salary in USD]],"")</f>
        <v/>
      </c>
    </row>
    <row r="212" spans="2:30" ht="15" customHeight="1" x14ac:dyDescent="0.25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 s="9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  <c r="N212" t="str">
        <f>IF(tblSalaries[[#This Row],[Years of Experience]]="","",IF(tblSalaries[[#This Row],[Years of Experience]]&lt;=2,1,""))</f>
        <v/>
      </c>
      <c r="O212" t="str">
        <f>IF(tblSalaries[[#This Row],[Years of Experience]]="","",IF(AND(tblSalaries[[#This Row],[Years of Experience]]&gt;2,tblSalaries[[#This Row],[Years of Experience]]&lt;=5),1,""))</f>
        <v/>
      </c>
      <c r="P212" t="str">
        <f>IF(tblSalaries[[#This Row],[Years of Experience]]="","",IF(AND(tblSalaries[[#This Row],[Years of Experience]]&gt;5,tblSalaries[[#This Row],[Years of Experience]]&lt;=10),1,""))</f>
        <v/>
      </c>
      <c r="Q212" t="str">
        <f>IF(tblSalaries[[#This Row],[Years of Experience]]="","",IF(AND(tblSalaries[[#This Row],[Years of Experience]]&gt;10,tblSalaries[[#This Row],[Years of Experience]]&lt;=15),1,""))</f>
        <v/>
      </c>
      <c r="R212" t="str">
        <f>IF(tblSalaries[[#This Row],[Years of Experience]]="","",IF(AND(tblSalaries[[#This Row],[Years of Experience]]&gt;16,tblSalaries[[#This Row],[Years of Experience]]&lt;=20),1,""))</f>
        <v/>
      </c>
      <c r="S212" t="str">
        <f>IF(tblSalaries[[#This Row],[Years of Experience]]="","",IF(tblSalaries[[#This Row],[Years of Experience]]&gt;20,1,""))</f>
        <v/>
      </c>
      <c r="T2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2" s="13" t="str">
        <f>IF(tblSalaries[[#This Row],[Job Type]]=tblSalaries[[#Headers],[Accountant]],tblSalaries[[#This Row],[Salary in USD]],"")</f>
        <v/>
      </c>
      <c r="V212" s="13">
        <f>IF(tblSalaries[[#This Row],[Job Type]]=tblSalaries[[#Headers],[Analyst]],tblSalaries[[#This Row],[Salary in USD]],"")</f>
        <v>27000</v>
      </c>
      <c r="W212" s="13" t="str">
        <f>IF(tblSalaries[[#This Row],[Job Type]]=tblSalaries[[#Headers],[Consultant]],tblSalaries[[#This Row],[Salary in USD]],"")</f>
        <v/>
      </c>
      <c r="X212" s="13" t="str">
        <f>IF(tblSalaries[[#This Row],[Job Type]]=tblSalaries[[#Headers],[Controller]],tblSalaries[[#This Row],[Salary in USD]],"")</f>
        <v/>
      </c>
      <c r="Y212" s="13" t="str">
        <f>IF(tblSalaries[[#This Row],[Job Type]]=tblSalaries[[#Headers],[CXO or Top Mgmt.]],tblSalaries[[#This Row],[clean Salary (in local currency)]],"")</f>
        <v/>
      </c>
      <c r="Z212" s="13" t="str">
        <f>IF(tblSalaries[[#This Row],[Job Type]]=tblSalaries[[#Headers],[Engineer]],tblSalaries[[#This Row],[Salary in USD]],"")</f>
        <v/>
      </c>
      <c r="AA212" s="13" t="str">
        <f>IF(tblSalaries[[#This Row],[Job Type]]=tblSalaries[[#Headers],[Manager]],tblSalaries[[#This Row],[Salary in USD]],"")</f>
        <v/>
      </c>
      <c r="AB212" s="13" t="str">
        <f>IF(tblSalaries[[#This Row],[Job Type]]=tblSalaries[[#Headers],[Misc.]],tblSalaries[[#This Row],[Salary in USD]],"")</f>
        <v/>
      </c>
      <c r="AC212" s="13" t="str">
        <f>IF(tblSalaries[[#This Row],[Job Type]]=tblSalaries[[#Headers],[Reporting]],tblSalaries[[#This Row],[Salary in USD]],"")</f>
        <v/>
      </c>
      <c r="AD212" s="13" t="str">
        <f>IF(tblSalaries[[#This Row],[Job Type]]=tblSalaries[[#Headers],[Specialist]],tblSalaries[[#This Row],[Salary in USD]],"")</f>
        <v/>
      </c>
    </row>
    <row r="213" spans="2:30" ht="15" customHeight="1" x14ac:dyDescent="0.25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 s="9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  <c r="N213" t="str">
        <f>IF(tblSalaries[[#This Row],[Years of Experience]]="","",IF(tblSalaries[[#This Row],[Years of Experience]]&lt;=2,1,""))</f>
        <v/>
      </c>
      <c r="O213" t="str">
        <f>IF(tblSalaries[[#This Row],[Years of Experience]]="","",IF(AND(tblSalaries[[#This Row],[Years of Experience]]&gt;2,tblSalaries[[#This Row],[Years of Experience]]&lt;=5),1,""))</f>
        <v/>
      </c>
      <c r="P213" t="str">
        <f>IF(tblSalaries[[#This Row],[Years of Experience]]="","",IF(AND(tblSalaries[[#This Row],[Years of Experience]]&gt;5,tblSalaries[[#This Row],[Years of Experience]]&lt;=10),1,""))</f>
        <v/>
      </c>
      <c r="Q213" t="str">
        <f>IF(tblSalaries[[#This Row],[Years of Experience]]="","",IF(AND(tblSalaries[[#This Row],[Years of Experience]]&gt;10,tblSalaries[[#This Row],[Years of Experience]]&lt;=15),1,""))</f>
        <v/>
      </c>
      <c r="R213" t="str">
        <f>IF(tblSalaries[[#This Row],[Years of Experience]]="","",IF(AND(tblSalaries[[#This Row],[Years of Experience]]&gt;16,tblSalaries[[#This Row],[Years of Experience]]&lt;=20),1,""))</f>
        <v/>
      </c>
      <c r="S213" t="str">
        <f>IF(tblSalaries[[#This Row],[Years of Experience]]="","",IF(tblSalaries[[#This Row],[Years of Experience]]&gt;20,1,""))</f>
        <v/>
      </c>
      <c r="T2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3" s="13" t="str">
        <f>IF(tblSalaries[[#This Row],[Job Type]]=tblSalaries[[#Headers],[Accountant]],tblSalaries[[#This Row],[Salary in USD]],"")</f>
        <v/>
      </c>
      <c r="V213" s="13" t="str">
        <f>IF(tblSalaries[[#This Row],[Job Type]]=tblSalaries[[#Headers],[Analyst]],tblSalaries[[#This Row],[Salary in USD]],"")</f>
        <v/>
      </c>
      <c r="W213" s="13" t="str">
        <f>IF(tblSalaries[[#This Row],[Job Type]]=tblSalaries[[#Headers],[Consultant]],tblSalaries[[#This Row],[Salary in USD]],"")</f>
        <v/>
      </c>
      <c r="X213" s="13" t="str">
        <f>IF(tblSalaries[[#This Row],[Job Type]]=tblSalaries[[#Headers],[Controller]],tblSalaries[[#This Row],[Salary in USD]],"")</f>
        <v/>
      </c>
      <c r="Y213" s="13" t="str">
        <f>IF(tblSalaries[[#This Row],[Job Type]]=tblSalaries[[#Headers],[CXO or Top Mgmt.]],tblSalaries[[#This Row],[clean Salary (in local currency)]],"")</f>
        <v/>
      </c>
      <c r="Z213" s="13" t="str">
        <f>IF(tblSalaries[[#This Row],[Job Type]]=tblSalaries[[#Headers],[Engineer]],tblSalaries[[#This Row],[Salary in USD]],"")</f>
        <v/>
      </c>
      <c r="AA213" s="13">
        <f>IF(tblSalaries[[#This Row],[Job Type]]=tblSalaries[[#Headers],[Manager]],tblSalaries[[#This Row],[Salary in USD]],"")</f>
        <v>41000</v>
      </c>
      <c r="AB213" s="13" t="str">
        <f>IF(tblSalaries[[#This Row],[Job Type]]=tblSalaries[[#Headers],[Misc.]],tblSalaries[[#This Row],[Salary in USD]],"")</f>
        <v/>
      </c>
      <c r="AC213" s="13" t="str">
        <f>IF(tblSalaries[[#This Row],[Job Type]]=tblSalaries[[#Headers],[Reporting]],tblSalaries[[#This Row],[Salary in USD]],"")</f>
        <v/>
      </c>
      <c r="AD213" s="13" t="str">
        <f>IF(tblSalaries[[#This Row],[Job Type]]=tblSalaries[[#Headers],[Specialist]],tblSalaries[[#This Row],[Salary in USD]],"")</f>
        <v/>
      </c>
    </row>
    <row r="214" spans="2:30" ht="15" customHeight="1" x14ac:dyDescent="0.25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 s="9">
        <f>tblSalaries[[#This Row],[clean Salary (in local currency)]]*VLOOKUP(tblSalaries[[#This Row],[Currency]],tblXrate[],2,FALSE)</f>
        <v>100000</v>
      </c>
      <c r="H214" t="s">
        <v>287</v>
      </c>
      <c r="I214" t="s">
        <v>4001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  <c r="N214" t="str">
        <f>IF(tblSalaries[[#This Row],[Years of Experience]]="","",IF(tblSalaries[[#This Row],[Years of Experience]]&lt;=2,1,""))</f>
        <v/>
      </c>
      <c r="O214" t="str">
        <f>IF(tblSalaries[[#This Row],[Years of Experience]]="","",IF(AND(tblSalaries[[#This Row],[Years of Experience]]&gt;2,tblSalaries[[#This Row],[Years of Experience]]&lt;=5),1,""))</f>
        <v/>
      </c>
      <c r="P214" t="str">
        <f>IF(tblSalaries[[#This Row],[Years of Experience]]="","",IF(AND(tblSalaries[[#This Row],[Years of Experience]]&gt;5,tblSalaries[[#This Row],[Years of Experience]]&lt;=10),1,""))</f>
        <v/>
      </c>
      <c r="Q214" t="str">
        <f>IF(tblSalaries[[#This Row],[Years of Experience]]="","",IF(AND(tblSalaries[[#This Row],[Years of Experience]]&gt;10,tblSalaries[[#This Row],[Years of Experience]]&lt;=15),1,""))</f>
        <v/>
      </c>
      <c r="R214" t="str">
        <f>IF(tblSalaries[[#This Row],[Years of Experience]]="","",IF(AND(tblSalaries[[#This Row],[Years of Experience]]&gt;16,tblSalaries[[#This Row],[Years of Experience]]&lt;=20),1,""))</f>
        <v/>
      </c>
      <c r="S214" t="str">
        <f>IF(tblSalaries[[#This Row],[Years of Experience]]="","",IF(tblSalaries[[#This Row],[Years of Experience]]&gt;20,1,""))</f>
        <v/>
      </c>
      <c r="T2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4" s="13" t="str">
        <f>IF(tblSalaries[[#This Row],[Job Type]]=tblSalaries[[#Headers],[Accountant]],tblSalaries[[#This Row],[Salary in USD]],"")</f>
        <v/>
      </c>
      <c r="V214" s="13" t="str">
        <f>IF(tblSalaries[[#This Row],[Job Type]]=tblSalaries[[#Headers],[Analyst]],tblSalaries[[#This Row],[Salary in USD]],"")</f>
        <v/>
      </c>
      <c r="W214" s="13" t="str">
        <f>IF(tblSalaries[[#This Row],[Job Type]]=tblSalaries[[#Headers],[Consultant]],tblSalaries[[#This Row],[Salary in USD]],"")</f>
        <v/>
      </c>
      <c r="X214" s="13" t="str">
        <f>IF(tblSalaries[[#This Row],[Job Type]]=tblSalaries[[#Headers],[Controller]],tblSalaries[[#This Row],[Salary in USD]],"")</f>
        <v/>
      </c>
      <c r="Y214" s="13">
        <f>IF(tblSalaries[[#This Row],[Job Type]]=tblSalaries[[#Headers],[CXO or Top Mgmt.]],tblSalaries[[#This Row],[clean Salary (in local currency)]],"")</f>
        <v>100000</v>
      </c>
      <c r="Z214" s="13" t="str">
        <f>IF(tblSalaries[[#This Row],[Job Type]]=tblSalaries[[#Headers],[Engineer]],tblSalaries[[#This Row],[Salary in USD]],"")</f>
        <v/>
      </c>
      <c r="AA214" s="13" t="str">
        <f>IF(tblSalaries[[#This Row],[Job Type]]=tblSalaries[[#Headers],[Manager]],tblSalaries[[#This Row],[Salary in USD]],"")</f>
        <v/>
      </c>
      <c r="AB214" s="13" t="str">
        <f>IF(tblSalaries[[#This Row],[Job Type]]=tblSalaries[[#Headers],[Misc.]],tblSalaries[[#This Row],[Salary in USD]],"")</f>
        <v/>
      </c>
      <c r="AC214" s="13" t="str">
        <f>IF(tblSalaries[[#This Row],[Job Type]]=tblSalaries[[#Headers],[Reporting]],tblSalaries[[#This Row],[Salary in USD]],"")</f>
        <v/>
      </c>
      <c r="AD214" s="13" t="str">
        <f>IF(tblSalaries[[#This Row],[Job Type]]=tblSalaries[[#Headers],[Specialist]],tblSalaries[[#This Row],[Salary in USD]],"")</f>
        <v/>
      </c>
    </row>
    <row r="215" spans="2:30" ht="15" customHeight="1" x14ac:dyDescent="0.25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 s="9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  <c r="N215" t="str">
        <f>IF(tblSalaries[[#This Row],[Years of Experience]]="","",IF(tblSalaries[[#This Row],[Years of Experience]]&lt;=2,1,""))</f>
        <v/>
      </c>
      <c r="O215" t="str">
        <f>IF(tblSalaries[[#This Row],[Years of Experience]]="","",IF(AND(tblSalaries[[#This Row],[Years of Experience]]&gt;2,tblSalaries[[#This Row],[Years of Experience]]&lt;=5),1,""))</f>
        <v/>
      </c>
      <c r="P215" t="str">
        <f>IF(tblSalaries[[#This Row],[Years of Experience]]="","",IF(AND(tblSalaries[[#This Row],[Years of Experience]]&gt;5,tblSalaries[[#This Row],[Years of Experience]]&lt;=10),1,""))</f>
        <v/>
      </c>
      <c r="Q215" t="str">
        <f>IF(tblSalaries[[#This Row],[Years of Experience]]="","",IF(AND(tblSalaries[[#This Row],[Years of Experience]]&gt;10,tblSalaries[[#This Row],[Years of Experience]]&lt;=15),1,""))</f>
        <v/>
      </c>
      <c r="R215" t="str">
        <f>IF(tblSalaries[[#This Row],[Years of Experience]]="","",IF(AND(tblSalaries[[#This Row],[Years of Experience]]&gt;16,tblSalaries[[#This Row],[Years of Experience]]&lt;=20),1,""))</f>
        <v/>
      </c>
      <c r="S215" t="str">
        <f>IF(tblSalaries[[#This Row],[Years of Experience]]="","",IF(tblSalaries[[#This Row],[Years of Experience]]&gt;20,1,""))</f>
        <v/>
      </c>
      <c r="T2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5" s="13" t="str">
        <f>IF(tblSalaries[[#This Row],[Job Type]]=tblSalaries[[#Headers],[Accountant]],tblSalaries[[#This Row],[Salary in USD]],"")</f>
        <v/>
      </c>
      <c r="V215" s="13">
        <f>IF(tblSalaries[[#This Row],[Job Type]]=tblSalaries[[#Headers],[Analyst]],tblSalaries[[#This Row],[Salary in USD]],"")</f>
        <v>42140</v>
      </c>
      <c r="W215" s="13" t="str">
        <f>IF(tblSalaries[[#This Row],[Job Type]]=tblSalaries[[#Headers],[Consultant]],tblSalaries[[#This Row],[Salary in USD]],"")</f>
        <v/>
      </c>
      <c r="X215" s="13" t="str">
        <f>IF(tblSalaries[[#This Row],[Job Type]]=tblSalaries[[#Headers],[Controller]],tblSalaries[[#This Row],[Salary in USD]],"")</f>
        <v/>
      </c>
      <c r="Y215" s="13" t="str">
        <f>IF(tblSalaries[[#This Row],[Job Type]]=tblSalaries[[#Headers],[CXO or Top Mgmt.]],tblSalaries[[#This Row],[clean Salary (in local currency)]],"")</f>
        <v/>
      </c>
      <c r="Z215" s="13" t="str">
        <f>IF(tblSalaries[[#This Row],[Job Type]]=tblSalaries[[#Headers],[Engineer]],tblSalaries[[#This Row],[Salary in USD]],"")</f>
        <v/>
      </c>
      <c r="AA215" s="13" t="str">
        <f>IF(tblSalaries[[#This Row],[Job Type]]=tblSalaries[[#Headers],[Manager]],tblSalaries[[#This Row],[Salary in USD]],"")</f>
        <v/>
      </c>
      <c r="AB215" s="13" t="str">
        <f>IF(tblSalaries[[#This Row],[Job Type]]=tblSalaries[[#Headers],[Misc.]],tblSalaries[[#This Row],[Salary in USD]],"")</f>
        <v/>
      </c>
      <c r="AC215" s="13" t="str">
        <f>IF(tblSalaries[[#This Row],[Job Type]]=tblSalaries[[#Headers],[Reporting]],tblSalaries[[#This Row],[Salary in USD]],"")</f>
        <v/>
      </c>
      <c r="AD215" s="13" t="str">
        <f>IF(tblSalaries[[#This Row],[Job Type]]=tblSalaries[[#Headers],[Specialist]],tblSalaries[[#This Row],[Salary in USD]],"")</f>
        <v/>
      </c>
    </row>
    <row r="216" spans="2:30" ht="15" customHeight="1" x14ac:dyDescent="0.25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 s="9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  <c r="N216" t="str">
        <f>IF(tblSalaries[[#This Row],[Years of Experience]]="","",IF(tblSalaries[[#This Row],[Years of Experience]]&lt;=2,1,""))</f>
        <v/>
      </c>
      <c r="O216" t="str">
        <f>IF(tblSalaries[[#This Row],[Years of Experience]]="","",IF(AND(tblSalaries[[#This Row],[Years of Experience]]&gt;2,tblSalaries[[#This Row],[Years of Experience]]&lt;=5),1,""))</f>
        <v/>
      </c>
      <c r="P216" t="str">
        <f>IF(tblSalaries[[#This Row],[Years of Experience]]="","",IF(AND(tblSalaries[[#This Row],[Years of Experience]]&gt;5,tblSalaries[[#This Row],[Years of Experience]]&lt;=10),1,""))</f>
        <v/>
      </c>
      <c r="Q216" t="str">
        <f>IF(tblSalaries[[#This Row],[Years of Experience]]="","",IF(AND(tblSalaries[[#This Row],[Years of Experience]]&gt;10,tblSalaries[[#This Row],[Years of Experience]]&lt;=15),1,""))</f>
        <v/>
      </c>
      <c r="R216" t="str">
        <f>IF(tblSalaries[[#This Row],[Years of Experience]]="","",IF(AND(tblSalaries[[#This Row],[Years of Experience]]&gt;16,tblSalaries[[#This Row],[Years of Experience]]&lt;=20),1,""))</f>
        <v/>
      </c>
      <c r="S216" t="str">
        <f>IF(tblSalaries[[#This Row],[Years of Experience]]="","",IF(tblSalaries[[#This Row],[Years of Experience]]&gt;20,1,""))</f>
        <v/>
      </c>
      <c r="T2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6" s="13" t="str">
        <f>IF(tblSalaries[[#This Row],[Job Type]]=tblSalaries[[#Headers],[Accountant]],tblSalaries[[#This Row],[Salary in USD]],"")</f>
        <v/>
      </c>
      <c r="V216" s="13">
        <f>IF(tblSalaries[[#This Row],[Job Type]]=tblSalaries[[#Headers],[Analyst]],tblSalaries[[#This Row],[Salary in USD]],"")</f>
        <v>80000</v>
      </c>
      <c r="W216" s="13" t="str">
        <f>IF(tblSalaries[[#This Row],[Job Type]]=tblSalaries[[#Headers],[Consultant]],tblSalaries[[#This Row],[Salary in USD]],"")</f>
        <v/>
      </c>
      <c r="X216" s="13" t="str">
        <f>IF(tblSalaries[[#This Row],[Job Type]]=tblSalaries[[#Headers],[Controller]],tblSalaries[[#This Row],[Salary in USD]],"")</f>
        <v/>
      </c>
      <c r="Y216" s="13" t="str">
        <f>IF(tblSalaries[[#This Row],[Job Type]]=tblSalaries[[#Headers],[CXO or Top Mgmt.]],tblSalaries[[#This Row],[clean Salary (in local currency)]],"")</f>
        <v/>
      </c>
      <c r="Z216" s="13" t="str">
        <f>IF(tblSalaries[[#This Row],[Job Type]]=tblSalaries[[#Headers],[Engineer]],tblSalaries[[#This Row],[Salary in USD]],"")</f>
        <v/>
      </c>
      <c r="AA216" s="13" t="str">
        <f>IF(tblSalaries[[#This Row],[Job Type]]=tblSalaries[[#Headers],[Manager]],tblSalaries[[#This Row],[Salary in USD]],"")</f>
        <v/>
      </c>
      <c r="AB216" s="13" t="str">
        <f>IF(tblSalaries[[#This Row],[Job Type]]=tblSalaries[[#Headers],[Misc.]],tblSalaries[[#This Row],[Salary in USD]],"")</f>
        <v/>
      </c>
      <c r="AC216" s="13" t="str">
        <f>IF(tblSalaries[[#This Row],[Job Type]]=tblSalaries[[#Headers],[Reporting]],tblSalaries[[#This Row],[Salary in USD]],"")</f>
        <v/>
      </c>
      <c r="AD216" s="13" t="str">
        <f>IF(tblSalaries[[#This Row],[Job Type]]=tblSalaries[[#Headers],[Specialist]],tblSalaries[[#This Row],[Salary in USD]],"")</f>
        <v/>
      </c>
    </row>
    <row r="217" spans="2:30" ht="15" customHeight="1" x14ac:dyDescent="0.25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 s="9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  <c r="N217" t="str">
        <f>IF(tblSalaries[[#This Row],[Years of Experience]]="","",IF(tblSalaries[[#This Row],[Years of Experience]]&lt;=2,1,""))</f>
        <v/>
      </c>
      <c r="O217" t="str">
        <f>IF(tblSalaries[[#This Row],[Years of Experience]]="","",IF(AND(tblSalaries[[#This Row],[Years of Experience]]&gt;2,tblSalaries[[#This Row],[Years of Experience]]&lt;=5),1,""))</f>
        <v/>
      </c>
      <c r="P217" t="str">
        <f>IF(tblSalaries[[#This Row],[Years of Experience]]="","",IF(AND(tblSalaries[[#This Row],[Years of Experience]]&gt;5,tblSalaries[[#This Row],[Years of Experience]]&lt;=10),1,""))</f>
        <v/>
      </c>
      <c r="Q217" t="str">
        <f>IF(tblSalaries[[#This Row],[Years of Experience]]="","",IF(AND(tblSalaries[[#This Row],[Years of Experience]]&gt;10,tblSalaries[[#This Row],[Years of Experience]]&lt;=15),1,""))</f>
        <v/>
      </c>
      <c r="R217" t="str">
        <f>IF(tblSalaries[[#This Row],[Years of Experience]]="","",IF(AND(tblSalaries[[#This Row],[Years of Experience]]&gt;16,tblSalaries[[#This Row],[Years of Experience]]&lt;=20),1,""))</f>
        <v/>
      </c>
      <c r="S217" t="str">
        <f>IF(tblSalaries[[#This Row],[Years of Experience]]="","",IF(tblSalaries[[#This Row],[Years of Experience]]&gt;20,1,""))</f>
        <v/>
      </c>
      <c r="T2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7" s="13" t="str">
        <f>IF(tblSalaries[[#This Row],[Job Type]]=tblSalaries[[#Headers],[Accountant]],tblSalaries[[#This Row],[Salary in USD]],"")</f>
        <v/>
      </c>
      <c r="V217" s="13" t="str">
        <f>IF(tblSalaries[[#This Row],[Job Type]]=tblSalaries[[#Headers],[Analyst]],tblSalaries[[#This Row],[Salary in USD]],"")</f>
        <v/>
      </c>
      <c r="W217" s="13" t="str">
        <f>IF(tblSalaries[[#This Row],[Job Type]]=tblSalaries[[#Headers],[Consultant]],tblSalaries[[#This Row],[Salary in USD]],"")</f>
        <v/>
      </c>
      <c r="X217" s="13" t="str">
        <f>IF(tblSalaries[[#This Row],[Job Type]]=tblSalaries[[#Headers],[Controller]],tblSalaries[[#This Row],[Salary in USD]],"")</f>
        <v/>
      </c>
      <c r="Y217" s="13" t="str">
        <f>IF(tblSalaries[[#This Row],[Job Type]]=tblSalaries[[#Headers],[CXO or Top Mgmt.]],tblSalaries[[#This Row],[clean Salary (in local currency)]],"")</f>
        <v/>
      </c>
      <c r="Z217" s="13" t="str">
        <f>IF(tblSalaries[[#This Row],[Job Type]]=tblSalaries[[#Headers],[Engineer]],tblSalaries[[#This Row],[Salary in USD]],"")</f>
        <v/>
      </c>
      <c r="AA217" s="13">
        <f>IF(tblSalaries[[#This Row],[Job Type]]=tblSalaries[[#Headers],[Manager]],tblSalaries[[#This Row],[Salary in USD]],"")</f>
        <v>41600</v>
      </c>
      <c r="AB217" s="13" t="str">
        <f>IF(tblSalaries[[#This Row],[Job Type]]=tblSalaries[[#Headers],[Misc.]],tblSalaries[[#This Row],[Salary in USD]],"")</f>
        <v/>
      </c>
      <c r="AC217" s="13" t="str">
        <f>IF(tblSalaries[[#This Row],[Job Type]]=tblSalaries[[#Headers],[Reporting]],tblSalaries[[#This Row],[Salary in USD]],"")</f>
        <v/>
      </c>
      <c r="AD217" s="13" t="str">
        <f>IF(tblSalaries[[#This Row],[Job Type]]=tblSalaries[[#Headers],[Specialist]],tblSalaries[[#This Row],[Salary in USD]],"")</f>
        <v/>
      </c>
    </row>
    <row r="218" spans="2:30" ht="15" customHeight="1" x14ac:dyDescent="0.25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 s="9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  <c r="N218" t="str">
        <f>IF(tblSalaries[[#This Row],[Years of Experience]]="","",IF(tblSalaries[[#This Row],[Years of Experience]]&lt;=2,1,""))</f>
        <v/>
      </c>
      <c r="O218" t="str">
        <f>IF(tblSalaries[[#This Row],[Years of Experience]]="","",IF(AND(tblSalaries[[#This Row],[Years of Experience]]&gt;2,tblSalaries[[#This Row],[Years of Experience]]&lt;=5),1,""))</f>
        <v/>
      </c>
      <c r="P218" t="str">
        <f>IF(tblSalaries[[#This Row],[Years of Experience]]="","",IF(AND(tblSalaries[[#This Row],[Years of Experience]]&gt;5,tblSalaries[[#This Row],[Years of Experience]]&lt;=10),1,""))</f>
        <v/>
      </c>
      <c r="Q218" t="str">
        <f>IF(tblSalaries[[#This Row],[Years of Experience]]="","",IF(AND(tblSalaries[[#This Row],[Years of Experience]]&gt;10,tblSalaries[[#This Row],[Years of Experience]]&lt;=15),1,""))</f>
        <v/>
      </c>
      <c r="R218" t="str">
        <f>IF(tblSalaries[[#This Row],[Years of Experience]]="","",IF(AND(tblSalaries[[#This Row],[Years of Experience]]&gt;16,tblSalaries[[#This Row],[Years of Experience]]&lt;=20),1,""))</f>
        <v/>
      </c>
      <c r="S218" t="str">
        <f>IF(tblSalaries[[#This Row],[Years of Experience]]="","",IF(tblSalaries[[#This Row],[Years of Experience]]&gt;20,1,""))</f>
        <v/>
      </c>
      <c r="T2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8" s="13">
        <f>IF(tblSalaries[[#This Row],[Job Type]]=tblSalaries[[#Headers],[Accountant]],tblSalaries[[#This Row],[Salary in USD]],"")</f>
        <v>45000</v>
      </c>
      <c r="V218" s="13" t="str">
        <f>IF(tblSalaries[[#This Row],[Job Type]]=tblSalaries[[#Headers],[Analyst]],tblSalaries[[#This Row],[Salary in USD]],"")</f>
        <v/>
      </c>
      <c r="W218" s="13" t="str">
        <f>IF(tblSalaries[[#This Row],[Job Type]]=tblSalaries[[#Headers],[Consultant]],tblSalaries[[#This Row],[Salary in USD]],"")</f>
        <v/>
      </c>
      <c r="X218" s="13" t="str">
        <f>IF(tblSalaries[[#This Row],[Job Type]]=tblSalaries[[#Headers],[Controller]],tblSalaries[[#This Row],[Salary in USD]],"")</f>
        <v/>
      </c>
      <c r="Y218" s="13" t="str">
        <f>IF(tblSalaries[[#This Row],[Job Type]]=tblSalaries[[#Headers],[CXO or Top Mgmt.]],tblSalaries[[#This Row],[clean Salary (in local currency)]],"")</f>
        <v/>
      </c>
      <c r="Z218" s="13" t="str">
        <f>IF(tblSalaries[[#This Row],[Job Type]]=tblSalaries[[#Headers],[Engineer]],tblSalaries[[#This Row],[Salary in USD]],"")</f>
        <v/>
      </c>
      <c r="AA218" s="13" t="str">
        <f>IF(tblSalaries[[#This Row],[Job Type]]=tblSalaries[[#Headers],[Manager]],tblSalaries[[#This Row],[Salary in USD]],"")</f>
        <v/>
      </c>
      <c r="AB218" s="13" t="str">
        <f>IF(tblSalaries[[#This Row],[Job Type]]=tblSalaries[[#Headers],[Misc.]],tblSalaries[[#This Row],[Salary in USD]],"")</f>
        <v/>
      </c>
      <c r="AC218" s="13" t="str">
        <f>IF(tblSalaries[[#This Row],[Job Type]]=tblSalaries[[#Headers],[Reporting]],tblSalaries[[#This Row],[Salary in USD]],"")</f>
        <v/>
      </c>
      <c r="AD218" s="13" t="str">
        <f>IF(tblSalaries[[#This Row],[Job Type]]=tblSalaries[[#Headers],[Specialist]],tblSalaries[[#This Row],[Salary in USD]],"")</f>
        <v/>
      </c>
    </row>
    <row r="219" spans="2:30" ht="15" customHeight="1" x14ac:dyDescent="0.25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 s="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  <c r="N219" t="str">
        <f>IF(tblSalaries[[#This Row],[Years of Experience]]="","",IF(tblSalaries[[#This Row],[Years of Experience]]&lt;=2,1,""))</f>
        <v/>
      </c>
      <c r="O219" t="str">
        <f>IF(tblSalaries[[#This Row],[Years of Experience]]="","",IF(AND(tblSalaries[[#This Row],[Years of Experience]]&gt;2,tblSalaries[[#This Row],[Years of Experience]]&lt;=5),1,""))</f>
        <v/>
      </c>
      <c r="P219" t="str">
        <f>IF(tblSalaries[[#This Row],[Years of Experience]]="","",IF(AND(tblSalaries[[#This Row],[Years of Experience]]&gt;5,tblSalaries[[#This Row],[Years of Experience]]&lt;=10),1,""))</f>
        <v/>
      </c>
      <c r="Q219" t="str">
        <f>IF(tblSalaries[[#This Row],[Years of Experience]]="","",IF(AND(tblSalaries[[#This Row],[Years of Experience]]&gt;10,tblSalaries[[#This Row],[Years of Experience]]&lt;=15),1,""))</f>
        <v/>
      </c>
      <c r="R219" t="str">
        <f>IF(tblSalaries[[#This Row],[Years of Experience]]="","",IF(AND(tblSalaries[[#This Row],[Years of Experience]]&gt;16,tblSalaries[[#This Row],[Years of Experience]]&lt;=20),1,""))</f>
        <v/>
      </c>
      <c r="S219" t="str">
        <f>IF(tblSalaries[[#This Row],[Years of Experience]]="","",IF(tblSalaries[[#This Row],[Years of Experience]]&gt;20,1,""))</f>
        <v/>
      </c>
      <c r="T2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19" s="13">
        <f>IF(tblSalaries[[#This Row],[Job Type]]=tblSalaries[[#Headers],[Accountant]],tblSalaries[[#This Row],[Salary in USD]],"")</f>
        <v>78000</v>
      </c>
      <c r="V219" s="13" t="str">
        <f>IF(tblSalaries[[#This Row],[Job Type]]=tblSalaries[[#Headers],[Analyst]],tblSalaries[[#This Row],[Salary in USD]],"")</f>
        <v/>
      </c>
      <c r="W219" s="13" t="str">
        <f>IF(tblSalaries[[#This Row],[Job Type]]=tblSalaries[[#Headers],[Consultant]],tblSalaries[[#This Row],[Salary in USD]],"")</f>
        <v/>
      </c>
      <c r="X219" s="13" t="str">
        <f>IF(tblSalaries[[#This Row],[Job Type]]=tblSalaries[[#Headers],[Controller]],tblSalaries[[#This Row],[Salary in USD]],"")</f>
        <v/>
      </c>
      <c r="Y219" s="13" t="str">
        <f>IF(tblSalaries[[#This Row],[Job Type]]=tblSalaries[[#Headers],[CXO or Top Mgmt.]],tblSalaries[[#This Row],[clean Salary (in local currency)]],"")</f>
        <v/>
      </c>
      <c r="Z219" s="13" t="str">
        <f>IF(tblSalaries[[#This Row],[Job Type]]=tblSalaries[[#Headers],[Engineer]],tblSalaries[[#This Row],[Salary in USD]],"")</f>
        <v/>
      </c>
      <c r="AA219" s="13" t="str">
        <f>IF(tblSalaries[[#This Row],[Job Type]]=tblSalaries[[#Headers],[Manager]],tblSalaries[[#This Row],[Salary in USD]],"")</f>
        <v/>
      </c>
      <c r="AB219" s="13" t="str">
        <f>IF(tblSalaries[[#This Row],[Job Type]]=tblSalaries[[#Headers],[Misc.]],tblSalaries[[#This Row],[Salary in USD]],"")</f>
        <v/>
      </c>
      <c r="AC219" s="13" t="str">
        <f>IF(tblSalaries[[#This Row],[Job Type]]=tblSalaries[[#Headers],[Reporting]],tblSalaries[[#This Row],[Salary in USD]],"")</f>
        <v/>
      </c>
      <c r="AD219" s="13" t="str">
        <f>IF(tblSalaries[[#This Row],[Job Type]]=tblSalaries[[#Headers],[Specialist]],tblSalaries[[#This Row],[Salary in USD]],"")</f>
        <v/>
      </c>
    </row>
    <row r="220" spans="2:30" ht="15" customHeight="1" x14ac:dyDescent="0.25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 s="9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  <c r="N220" t="str">
        <f>IF(tblSalaries[[#This Row],[Years of Experience]]="","",IF(tblSalaries[[#This Row],[Years of Experience]]&lt;=2,1,""))</f>
        <v/>
      </c>
      <c r="O220" t="str">
        <f>IF(tblSalaries[[#This Row],[Years of Experience]]="","",IF(AND(tblSalaries[[#This Row],[Years of Experience]]&gt;2,tblSalaries[[#This Row],[Years of Experience]]&lt;=5),1,""))</f>
        <v/>
      </c>
      <c r="P220" t="str">
        <f>IF(tblSalaries[[#This Row],[Years of Experience]]="","",IF(AND(tblSalaries[[#This Row],[Years of Experience]]&gt;5,tblSalaries[[#This Row],[Years of Experience]]&lt;=10),1,""))</f>
        <v/>
      </c>
      <c r="Q220" t="str">
        <f>IF(tblSalaries[[#This Row],[Years of Experience]]="","",IF(AND(tblSalaries[[#This Row],[Years of Experience]]&gt;10,tblSalaries[[#This Row],[Years of Experience]]&lt;=15),1,""))</f>
        <v/>
      </c>
      <c r="R220" t="str">
        <f>IF(tblSalaries[[#This Row],[Years of Experience]]="","",IF(AND(tblSalaries[[#This Row],[Years of Experience]]&gt;16,tblSalaries[[#This Row],[Years of Experience]]&lt;=20),1,""))</f>
        <v/>
      </c>
      <c r="S220" t="str">
        <f>IF(tblSalaries[[#This Row],[Years of Experience]]="","",IF(tblSalaries[[#This Row],[Years of Experience]]&gt;20,1,""))</f>
        <v/>
      </c>
      <c r="T2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0" s="13" t="str">
        <f>IF(tblSalaries[[#This Row],[Job Type]]=tblSalaries[[#Headers],[Accountant]],tblSalaries[[#This Row],[Salary in USD]],"")</f>
        <v/>
      </c>
      <c r="V220" s="13" t="str">
        <f>IF(tblSalaries[[#This Row],[Job Type]]=tblSalaries[[#Headers],[Analyst]],tblSalaries[[#This Row],[Salary in USD]],"")</f>
        <v/>
      </c>
      <c r="W220" s="13" t="str">
        <f>IF(tblSalaries[[#This Row],[Job Type]]=tblSalaries[[#Headers],[Consultant]],tblSalaries[[#This Row],[Salary in USD]],"")</f>
        <v/>
      </c>
      <c r="X220" s="13" t="str">
        <f>IF(tblSalaries[[#This Row],[Job Type]]=tblSalaries[[#Headers],[Controller]],tblSalaries[[#This Row],[Salary in USD]],"")</f>
        <v/>
      </c>
      <c r="Y220" s="13" t="str">
        <f>IF(tblSalaries[[#This Row],[Job Type]]=tblSalaries[[#Headers],[CXO or Top Mgmt.]],tblSalaries[[#This Row],[clean Salary (in local currency)]],"")</f>
        <v/>
      </c>
      <c r="Z220" s="13" t="str">
        <f>IF(tblSalaries[[#This Row],[Job Type]]=tblSalaries[[#Headers],[Engineer]],tblSalaries[[#This Row],[Salary in USD]],"")</f>
        <v/>
      </c>
      <c r="AA220" s="13">
        <f>IF(tblSalaries[[#This Row],[Job Type]]=tblSalaries[[#Headers],[Manager]],tblSalaries[[#This Row],[Salary in USD]],"")</f>
        <v>8903.9583437212841</v>
      </c>
      <c r="AB220" s="13" t="str">
        <f>IF(tblSalaries[[#This Row],[Job Type]]=tblSalaries[[#Headers],[Misc.]],tblSalaries[[#This Row],[Salary in USD]],"")</f>
        <v/>
      </c>
      <c r="AC220" s="13" t="str">
        <f>IF(tblSalaries[[#This Row],[Job Type]]=tblSalaries[[#Headers],[Reporting]],tblSalaries[[#This Row],[Salary in USD]],"")</f>
        <v/>
      </c>
      <c r="AD220" s="13" t="str">
        <f>IF(tblSalaries[[#This Row],[Job Type]]=tblSalaries[[#Headers],[Specialist]],tblSalaries[[#This Row],[Salary in USD]],"")</f>
        <v/>
      </c>
    </row>
    <row r="221" spans="2:30" ht="15" customHeight="1" x14ac:dyDescent="0.25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 s="9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  <c r="N221" t="str">
        <f>IF(tblSalaries[[#This Row],[Years of Experience]]="","",IF(tblSalaries[[#This Row],[Years of Experience]]&lt;=2,1,""))</f>
        <v/>
      </c>
      <c r="O221" t="str">
        <f>IF(tblSalaries[[#This Row],[Years of Experience]]="","",IF(AND(tblSalaries[[#This Row],[Years of Experience]]&gt;2,tblSalaries[[#This Row],[Years of Experience]]&lt;=5),1,""))</f>
        <v/>
      </c>
      <c r="P221" t="str">
        <f>IF(tblSalaries[[#This Row],[Years of Experience]]="","",IF(AND(tblSalaries[[#This Row],[Years of Experience]]&gt;5,tblSalaries[[#This Row],[Years of Experience]]&lt;=10),1,""))</f>
        <v/>
      </c>
      <c r="Q221" t="str">
        <f>IF(tblSalaries[[#This Row],[Years of Experience]]="","",IF(AND(tblSalaries[[#This Row],[Years of Experience]]&gt;10,tblSalaries[[#This Row],[Years of Experience]]&lt;=15),1,""))</f>
        <v/>
      </c>
      <c r="R221" t="str">
        <f>IF(tblSalaries[[#This Row],[Years of Experience]]="","",IF(AND(tblSalaries[[#This Row],[Years of Experience]]&gt;16,tblSalaries[[#This Row],[Years of Experience]]&lt;=20),1,""))</f>
        <v/>
      </c>
      <c r="S221" t="str">
        <f>IF(tblSalaries[[#This Row],[Years of Experience]]="","",IF(tblSalaries[[#This Row],[Years of Experience]]&gt;20,1,""))</f>
        <v/>
      </c>
      <c r="T2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1" s="13">
        <f>IF(tblSalaries[[#This Row],[Job Type]]=tblSalaries[[#Headers],[Accountant]],tblSalaries[[#This Row],[Salary in USD]],"")</f>
        <v>6232.7708406048987</v>
      </c>
      <c r="V221" s="13" t="str">
        <f>IF(tblSalaries[[#This Row],[Job Type]]=tblSalaries[[#Headers],[Analyst]],tblSalaries[[#This Row],[Salary in USD]],"")</f>
        <v/>
      </c>
      <c r="W221" s="13" t="str">
        <f>IF(tblSalaries[[#This Row],[Job Type]]=tblSalaries[[#Headers],[Consultant]],tblSalaries[[#This Row],[Salary in USD]],"")</f>
        <v/>
      </c>
      <c r="X221" s="13" t="str">
        <f>IF(tblSalaries[[#This Row],[Job Type]]=tblSalaries[[#Headers],[Controller]],tblSalaries[[#This Row],[Salary in USD]],"")</f>
        <v/>
      </c>
      <c r="Y221" s="13" t="str">
        <f>IF(tblSalaries[[#This Row],[Job Type]]=tblSalaries[[#Headers],[CXO or Top Mgmt.]],tblSalaries[[#This Row],[clean Salary (in local currency)]],"")</f>
        <v/>
      </c>
      <c r="Z221" s="13" t="str">
        <f>IF(tblSalaries[[#This Row],[Job Type]]=tblSalaries[[#Headers],[Engineer]],tblSalaries[[#This Row],[Salary in USD]],"")</f>
        <v/>
      </c>
      <c r="AA221" s="13" t="str">
        <f>IF(tblSalaries[[#This Row],[Job Type]]=tblSalaries[[#Headers],[Manager]],tblSalaries[[#This Row],[Salary in USD]],"")</f>
        <v/>
      </c>
      <c r="AB221" s="13" t="str">
        <f>IF(tblSalaries[[#This Row],[Job Type]]=tblSalaries[[#Headers],[Misc.]],tblSalaries[[#This Row],[Salary in USD]],"")</f>
        <v/>
      </c>
      <c r="AC221" s="13" t="str">
        <f>IF(tblSalaries[[#This Row],[Job Type]]=tblSalaries[[#Headers],[Reporting]],tblSalaries[[#This Row],[Salary in USD]],"")</f>
        <v/>
      </c>
      <c r="AD221" s="13" t="str">
        <f>IF(tblSalaries[[#This Row],[Job Type]]=tblSalaries[[#Headers],[Specialist]],tblSalaries[[#This Row],[Salary in USD]],"")</f>
        <v/>
      </c>
    </row>
    <row r="222" spans="2:30" ht="15" customHeight="1" x14ac:dyDescent="0.25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 s="9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  <c r="N222" t="str">
        <f>IF(tblSalaries[[#This Row],[Years of Experience]]="","",IF(tblSalaries[[#This Row],[Years of Experience]]&lt;=2,1,""))</f>
        <v/>
      </c>
      <c r="O222" t="str">
        <f>IF(tblSalaries[[#This Row],[Years of Experience]]="","",IF(AND(tblSalaries[[#This Row],[Years of Experience]]&gt;2,tblSalaries[[#This Row],[Years of Experience]]&lt;=5),1,""))</f>
        <v/>
      </c>
      <c r="P222" t="str">
        <f>IF(tblSalaries[[#This Row],[Years of Experience]]="","",IF(AND(tblSalaries[[#This Row],[Years of Experience]]&gt;5,tblSalaries[[#This Row],[Years of Experience]]&lt;=10),1,""))</f>
        <v/>
      </c>
      <c r="Q222" t="str">
        <f>IF(tblSalaries[[#This Row],[Years of Experience]]="","",IF(AND(tblSalaries[[#This Row],[Years of Experience]]&gt;10,tblSalaries[[#This Row],[Years of Experience]]&lt;=15),1,""))</f>
        <v/>
      </c>
      <c r="R222" t="str">
        <f>IF(tblSalaries[[#This Row],[Years of Experience]]="","",IF(AND(tblSalaries[[#This Row],[Years of Experience]]&gt;16,tblSalaries[[#This Row],[Years of Experience]]&lt;=20),1,""))</f>
        <v/>
      </c>
      <c r="S222" t="str">
        <f>IF(tblSalaries[[#This Row],[Years of Experience]]="","",IF(tblSalaries[[#This Row],[Years of Experience]]&gt;20,1,""))</f>
        <v/>
      </c>
      <c r="T2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2" s="13" t="str">
        <f>IF(tblSalaries[[#This Row],[Job Type]]=tblSalaries[[#Headers],[Accountant]],tblSalaries[[#This Row],[Salary in USD]],"")</f>
        <v/>
      </c>
      <c r="V222" s="13" t="str">
        <f>IF(tblSalaries[[#This Row],[Job Type]]=tblSalaries[[#Headers],[Analyst]],tblSalaries[[#This Row],[Salary in USD]],"")</f>
        <v/>
      </c>
      <c r="W222" s="13" t="str">
        <f>IF(tblSalaries[[#This Row],[Job Type]]=tblSalaries[[#Headers],[Consultant]],tblSalaries[[#This Row],[Salary in USD]],"")</f>
        <v/>
      </c>
      <c r="X222" s="13">
        <f>IF(tblSalaries[[#This Row],[Job Type]]=tblSalaries[[#Headers],[Controller]],tblSalaries[[#This Row],[Salary in USD]],"")</f>
        <v>72500</v>
      </c>
      <c r="Y222" s="13" t="str">
        <f>IF(tblSalaries[[#This Row],[Job Type]]=tblSalaries[[#Headers],[CXO or Top Mgmt.]],tblSalaries[[#This Row],[clean Salary (in local currency)]],"")</f>
        <v/>
      </c>
      <c r="Z222" s="13" t="str">
        <f>IF(tblSalaries[[#This Row],[Job Type]]=tblSalaries[[#Headers],[Engineer]],tblSalaries[[#This Row],[Salary in USD]],"")</f>
        <v/>
      </c>
      <c r="AA222" s="13" t="str">
        <f>IF(tblSalaries[[#This Row],[Job Type]]=tblSalaries[[#Headers],[Manager]],tblSalaries[[#This Row],[Salary in USD]],"")</f>
        <v/>
      </c>
      <c r="AB222" s="13" t="str">
        <f>IF(tblSalaries[[#This Row],[Job Type]]=tblSalaries[[#Headers],[Misc.]],tblSalaries[[#This Row],[Salary in USD]],"")</f>
        <v/>
      </c>
      <c r="AC222" s="13" t="str">
        <f>IF(tblSalaries[[#This Row],[Job Type]]=tblSalaries[[#Headers],[Reporting]],tblSalaries[[#This Row],[Salary in USD]],"")</f>
        <v/>
      </c>
      <c r="AD222" s="13" t="str">
        <f>IF(tblSalaries[[#This Row],[Job Type]]=tblSalaries[[#Headers],[Specialist]],tblSalaries[[#This Row],[Salary in USD]],"")</f>
        <v/>
      </c>
    </row>
    <row r="223" spans="2:30" ht="15" customHeight="1" x14ac:dyDescent="0.25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 s="9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  <c r="N223" t="str">
        <f>IF(tblSalaries[[#This Row],[Years of Experience]]="","",IF(tblSalaries[[#This Row],[Years of Experience]]&lt;=2,1,""))</f>
        <v/>
      </c>
      <c r="O223" t="str">
        <f>IF(tblSalaries[[#This Row],[Years of Experience]]="","",IF(AND(tblSalaries[[#This Row],[Years of Experience]]&gt;2,tblSalaries[[#This Row],[Years of Experience]]&lt;=5),1,""))</f>
        <v/>
      </c>
      <c r="P223" t="str">
        <f>IF(tblSalaries[[#This Row],[Years of Experience]]="","",IF(AND(tblSalaries[[#This Row],[Years of Experience]]&gt;5,tblSalaries[[#This Row],[Years of Experience]]&lt;=10),1,""))</f>
        <v/>
      </c>
      <c r="Q223" t="str">
        <f>IF(tblSalaries[[#This Row],[Years of Experience]]="","",IF(AND(tblSalaries[[#This Row],[Years of Experience]]&gt;10,tblSalaries[[#This Row],[Years of Experience]]&lt;=15),1,""))</f>
        <v/>
      </c>
      <c r="R223" t="str">
        <f>IF(tblSalaries[[#This Row],[Years of Experience]]="","",IF(AND(tblSalaries[[#This Row],[Years of Experience]]&gt;16,tblSalaries[[#This Row],[Years of Experience]]&lt;=20),1,""))</f>
        <v/>
      </c>
      <c r="S223" t="str">
        <f>IF(tblSalaries[[#This Row],[Years of Experience]]="","",IF(tblSalaries[[#This Row],[Years of Experience]]&gt;20,1,""))</f>
        <v/>
      </c>
      <c r="T2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3" s="13" t="str">
        <f>IF(tblSalaries[[#This Row],[Job Type]]=tblSalaries[[#Headers],[Accountant]],tblSalaries[[#This Row],[Salary in USD]],"")</f>
        <v/>
      </c>
      <c r="V223" s="13" t="str">
        <f>IF(tblSalaries[[#This Row],[Job Type]]=tblSalaries[[#Headers],[Analyst]],tblSalaries[[#This Row],[Salary in USD]],"")</f>
        <v/>
      </c>
      <c r="W223" s="13" t="str">
        <f>IF(tblSalaries[[#This Row],[Job Type]]=tblSalaries[[#Headers],[Consultant]],tblSalaries[[#This Row],[Salary in USD]],"")</f>
        <v/>
      </c>
      <c r="X223" s="13" t="str">
        <f>IF(tblSalaries[[#This Row],[Job Type]]=tblSalaries[[#Headers],[Controller]],tblSalaries[[#This Row],[Salary in USD]],"")</f>
        <v/>
      </c>
      <c r="Y223" s="13" t="str">
        <f>IF(tblSalaries[[#This Row],[Job Type]]=tblSalaries[[#Headers],[CXO or Top Mgmt.]],tblSalaries[[#This Row],[clean Salary (in local currency)]],"")</f>
        <v/>
      </c>
      <c r="Z223" s="13">
        <f>IF(tblSalaries[[#This Row],[Job Type]]=tblSalaries[[#Headers],[Engineer]],tblSalaries[[#This Row],[Salary in USD]],"")</f>
        <v>138000</v>
      </c>
      <c r="AA223" s="13" t="str">
        <f>IF(tblSalaries[[#This Row],[Job Type]]=tblSalaries[[#Headers],[Manager]],tblSalaries[[#This Row],[Salary in USD]],"")</f>
        <v/>
      </c>
      <c r="AB223" s="13" t="str">
        <f>IF(tblSalaries[[#This Row],[Job Type]]=tblSalaries[[#Headers],[Misc.]],tblSalaries[[#This Row],[Salary in USD]],"")</f>
        <v/>
      </c>
      <c r="AC223" s="13" t="str">
        <f>IF(tblSalaries[[#This Row],[Job Type]]=tblSalaries[[#Headers],[Reporting]],tblSalaries[[#This Row],[Salary in USD]],"")</f>
        <v/>
      </c>
      <c r="AD223" s="13" t="str">
        <f>IF(tblSalaries[[#This Row],[Job Type]]=tblSalaries[[#Headers],[Specialist]],tblSalaries[[#This Row],[Salary in USD]],"")</f>
        <v/>
      </c>
    </row>
    <row r="224" spans="2:30" ht="15" customHeight="1" x14ac:dyDescent="0.25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 s="9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  <c r="N224" t="str">
        <f>IF(tblSalaries[[#This Row],[Years of Experience]]="","",IF(tblSalaries[[#This Row],[Years of Experience]]&lt;=2,1,""))</f>
        <v/>
      </c>
      <c r="O224" t="str">
        <f>IF(tblSalaries[[#This Row],[Years of Experience]]="","",IF(AND(tblSalaries[[#This Row],[Years of Experience]]&gt;2,tblSalaries[[#This Row],[Years of Experience]]&lt;=5),1,""))</f>
        <v/>
      </c>
      <c r="P224" t="str">
        <f>IF(tblSalaries[[#This Row],[Years of Experience]]="","",IF(AND(tblSalaries[[#This Row],[Years of Experience]]&gt;5,tblSalaries[[#This Row],[Years of Experience]]&lt;=10),1,""))</f>
        <v/>
      </c>
      <c r="Q224" t="str">
        <f>IF(tblSalaries[[#This Row],[Years of Experience]]="","",IF(AND(tblSalaries[[#This Row],[Years of Experience]]&gt;10,tblSalaries[[#This Row],[Years of Experience]]&lt;=15),1,""))</f>
        <v/>
      </c>
      <c r="R224" t="str">
        <f>IF(tblSalaries[[#This Row],[Years of Experience]]="","",IF(AND(tblSalaries[[#This Row],[Years of Experience]]&gt;16,tblSalaries[[#This Row],[Years of Experience]]&lt;=20),1,""))</f>
        <v/>
      </c>
      <c r="S224" t="str">
        <f>IF(tblSalaries[[#This Row],[Years of Experience]]="","",IF(tblSalaries[[#This Row],[Years of Experience]]&gt;20,1,""))</f>
        <v/>
      </c>
      <c r="T2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4" s="13" t="str">
        <f>IF(tblSalaries[[#This Row],[Job Type]]=tblSalaries[[#Headers],[Accountant]],tblSalaries[[#This Row],[Salary in USD]],"")</f>
        <v/>
      </c>
      <c r="V224" s="13" t="str">
        <f>IF(tblSalaries[[#This Row],[Job Type]]=tblSalaries[[#Headers],[Analyst]],tblSalaries[[#This Row],[Salary in USD]],"")</f>
        <v/>
      </c>
      <c r="W224" s="13" t="str">
        <f>IF(tblSalaries[[#This Row],[Job Type]]=tblSalaries[[#Headers],[Consultant]],tblSalaries[[#This Row],[Salary in USD]],"")</f>
        <v/>
      </c>
      <c r="X224" s="13" t="str">
        <f>IF(tblSalaries[[#This Row],[Job Type]]=tblSalaries[[#Headers],[Controller]],tblSalaries[[#This Row],[Salary in USD]],"")</f>
        <v/>
      </c>
      <c r="Y224" s="13" t="str">
        <f>IF(tblSalaries[[#This Row],[Job Type]]=tblSalaries[[#Headers],[CXO or Top Mgmt.]],tblSalaries[[#This Row],[clean Salary (in local currency)]],"")</f>
        <v/>
      </c>
      <c r="Z224" s="13" t="str">
        <f>IF(tblSalaries[[#This Row],[Job Type]]=tblSalaries[[#Headers],[Engineer]],tblSalaries[[#This Row],[Salary in USD]],"")</f>
        <v/>
      </c>
      <c r="AA224" s="13">
        <f>IF(tblSalaries[[#This Row],[Job Type]]=tblSalaries[[#Headers],[Manager]],tblSalaries[[#This Row],[Salary in USD]],"")</f>
        <v>8547.8000099724322</v>
      </c>
      <c r="AB224" s="13" t="str">
        <f>IF(tblSalaries[[#This Row],[Job Type]]=tblSalaries[[#Headers],[Misc.]],tblSalaries[[#This Row],[Salary in USD]],"")</f>
        <v/>
      </c>
      <c r="AC224" s="13" t="str">
        <f>IF(tblSalaries[[#This Row],[Job Type]]=tblSalaries[[#Headers],[Reporting]],tblSalaries[[#This Row],[Salary in USD]],"")</f>
        <v/>
      </c>
      <c r="AD224" s="13" t="str">
        <f>IF(tblSalaries[[#This Row],[Job Type]]=tblSalaries[[#Headers],[Specialist]],tblSalaries[[#This Row],[Salary in USD]],"")</f>
        <v/>
      </c>
    </row>
    <row r="225" spans="2:30" ht="15" customHeight="1" x14ac:dyDescent="0.25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 s="9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  <c r="N225" t="str">
        <f>IF(tblSalaries[[#This Row],[Years of Experience]]="","",IF(tblSalaries[[#This Row],[Years of Experience]]&lt;=2,1,""))</f>
        <v/>
      </c>
      <c r="O225" t="str">
        <f>IF(tblSalaries[[#This Row],[Years of Experience]]="","",IF(AND(tblSalaries[[#This Row],[Years of Experience]]&gt;2,tblSalaries[[#This Row],[Years of Experience]]&lt;=5),1,""))</f>
        <v/>
      </c>
      <c r="P225" t="str">
        <f>IF(tblSalaries[[#This Row],[Years of Experience]]="","",IF(AND(tblSalaries[[#This Row],[Years of Experience]]&gt;5,tblSalaries[[#This Row],[Years of Experience]]&lt;=10),1,""))</f>
        <v/>
      </c>
      <c r="Q225" t="str">
        <f>IF(tblSalaries[[#This Row],[Years of Experience]]="","",IF(AND(tblSalaries[[#This Row],[Years of Experience]]&gt;10,tblSalaries[[#This Row],[Years of Experience]]&lt;=15),1,""))</f>
        <v/>
      </c>
      <c r="R225" t="str">
        <f>IF(tblSalaries[[#This Row],[Years of Experience]]="","",IF(AND(tblSalaries[[#This Row],[Years of Experience]]&gt;16,tblSalaries[[#This Row],[Years of Experience]]&lt;=20),1,""))</f>
        <v/>
      </c>
      <c r="S225" t="str">
        <f>IF(tblSalaries[[#This Row],[Years of Experience]]="","",IF(tblSalaries[[#This Row],[Years of Experience]]&gt;20,1,""))</f>
        <v/>
      </c>
      <c r="T2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5" s="13" t="str">
        <f>IF(tblSalaries[[#This Row],[Job Type]]=tblSalaries[[#Headers],[Accountant]],tblSalaries[[#This Row],[Salary in USD]],"")</f>
        <v/>
      </c>
      <c r="V225" s="13">
        <f>IF(tblSalaries[[#This Row],[Job Type]]=tblSalaries[[#Headers],[Analyst]],tblSalaries[[#This Row],[Salary in USD]],"")</f>
        <v>80000</v>
      </c>
      <c r="W225" s="13" t="str">
        <f>IF(tblSalaries[[#This Row],[Job Type]]=tblSalaries[[#Headers],[Consultant]],tblSalaries[[#This Row],[Salary in USD]],"")</f>
        <v/>
      </c>
      <c r="X225" s="13" t="str">
        <f>IF(tblSalaries[[#This Row],[Job Type]]=tblSalaries[[#Headers],[Controller]],tblSalaries[[#This Row],[Salary in USD]],"")</f>
        <v/>
      </c>
      <c r="Y225" s="13" t="str">
        <f>IF(tblSalaries[[#This Row],[Job Type]]=tblSalaries[[#Headers],[CXO or Top Mgmt.]],tblSalaries[[#This Row],[clean Salary (in local currency)]],"")</f>
        <v/>
      </c>
      <c r="Z225" s="13" t="str">
        <f>IF(tblSalaries[[#This Row],[Job Type]]=tblSalaries[[#Headers],[Engineer]],tblSalaries[[#This Row],[Salary in USD]],"")</f>
        <v/>
      </c>
      <c r="AA225" s="13" t="str">
        <f>IF(tblSalaries[[#This Row],[Job Type]]=tblSalaries[[#Headers],[Manager]],tblSalaries[[#This Row],[Salary in USD]],"")</f>
        <v/>
      </c>
      <c r="AB225" s="13" t="str">
        <f>IF(tblSalaries[[#This Row],[Job Type]]=tblSalaries[[#Headers],[Misc.]],tblSalaries[[#This Row],[Salary in USD]],"")</f>
        <v/>
      </c>
      <c r="AC225" s="13" t="str">
        <f>IF(tblSalaries[[#This Row],[Job Type]]=tblSalaries[[#Headers],[Reporting]],tblSalaries[[#This Row],[Salary in USD]],"")</f>
        <v/>
      </c>
      <c r="AD225" s="13" t="str">
        <f>IF(tblSalaries[[#This Row],[Job Type]]=tblSalaries[[#Headers],[Specialist]],tblSalaries[[#This Row],[Salary in USD]],"")</f>
        <v/>
      </c>
    </row>
    <row r="226" spans="2:30" ht="15" customHeight="1" x14ac:dyDescent="0.25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 s="9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  <c r="N226" t="str">
        <f>IF(tblSalaries[[#This Row],[Years of Experience]]="","",IF(tblSalaries[[#This Row],[Years of Experience]]&lt;=2,1,""))</f>
        <v/>
      </c>
      <c r="O226" t="str">
        <f>IF(tblSalaries[[#This Row],[Years of Experience]]="","",IF(AND(tblSalaries[[#This Row],[Years of Experience]]&gt;2,tblSalaries[[#This Row],[Years of Experience]]&lt;=5),1,""))</f>
        <v/>
      </c>
      <c r="P226" t="str">
        <f>IF(tblSalaries[[#This Row],[Years of Experience]]="","",IF(AND(tblSalaries[[#This Row],[Years of Experience]]&gt;5,tblSalaries[[#This Row],[Years of Experience]]&lt;=10),1,""))</f>
        <v/>
      </c>
      <c r="Q226" t="str">
        <f>IF(tblSalaries[[#This Row],[Years of Experience]]="","",IF(AND(tblSalaries[[#This Row],[Years of Experience]]&gt;10,tblSalaries[[#This Row],[Years of Experience]]&lt;=15),1,""))</f>
        <v/>
      </c>
      <c r="R226" t="str">
        <f>IF(tblSalaries[[#This Row],[Years of Experience]]="","",IF(AND(tblSalaries[[#This Row],[Years of Experience]]&gt;16,tblSalaries[[#This Row],[Years of Experience]]&lt;=20),1,""))</f>
        <v/>
      </c>
      <c r="S226" t="str">
        <f>IF(tblSalaries[[#This Row],[Years of Experience]]="","",IF(tblSalaries[[#This Row],[Years of Experience]]&gt;20,1,""))</f>
        <v/>
      </c>
      <c r="T2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6" s="13" t="str">
        <f>IF(tblSalaries[[#This Row],[Job Type]]=tblSalaries[[#Headers],[Accountant]],tblSalaries[[#This Row],[Salary in USD]],"")</f>
        <v/>
      </c>
      <c r="V226" s="13" t="str">
        <f>IF(tblSalaries[[#This Row],[Job Type]]=tblSalaries[[#Headers],[Analyst]],tblSalaries[[#This Row],[Salary in USD]],"")</f>
        <v/>
      </c>
      <c r="W226" s="13" t="str">
        <f>IF(tblSalaries[[#This Row],[Job Type]]=tblSalaries[[#Headers],[Consultant]],tblSalaries[[#This Row],[Salary in USD]],"")</f>
        <v/>
      </c>
      <c r="X226" s="13" t="str">
        <f>IF(tblSalaries[[#This Row],[Job Type]]=tblSalaries[[#Headers],[Controller]],tblSalaries[[#This Row],[Salary in USD]],"")</f>
        <v/>
      </c>
      <c r="Y226" s="13" t="str">
        <f>IF(tblSalaries[[#This Row],[Job Type]]=tblSalaries[[#Headers],[CXO or Top Mgmt.]],tblSalaries[[#This Row],[clean Salary (in local currency)]],"")</f>
        <v/>
      </c>
      <c r="Z226" s="13" t="str">
        <f>IF(tblSalaries[[#This Row],[Job Type]]=tblSalaries[[#Headers],[Engineer]],tblSalaries[[#This Row],[Salary in USD]],"")</f>
        <v/>
      </c>
      <c r="AA226" s="13">
        <f>IF(tblSalaries[[#This Row],[Job Type]]=tblSalaries[[#Headers],[Manager]],tblSalaries[[#This Row],[Salary in USD]],"")</f>
        <v>50000</v>
      </c>
      <c r="AB226" s="13" t="str">
        <f>IF(tblSalaries[[#This Row],[Job Type]]=tblSalaries[[#Headers],[Misc.]],tblSalaries[[#This Row],[Salary in USD]],"")</f>
        <v/>
      </c>
      <c r="AC226" s="13" t="str">
        <f>IF(tblSalaries[[#This Row],[Job Type]]=tblSalaries[[#Headers],[Reporting]],tblSalaries[[#This Row],[Salary in USD]],"")</f>
        <v/>
      </c>
      <c r="AD226" s="13" t="str">
        <f>IF(tblSalaries[[#This Row],[Job Type]]=tblSalaries[[#Headers],[Specialist]],tblSalaries[[#This Row],[Salary in USD]],"")</f>
        <v/>
      </c>
    </row>
    <row r="227" spans="2:30" ht="15" customHeight="1" x14ac:dyDescent="0.25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 s="9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  <c r="N227" t="str">
        <f>IF(tblSalaries[[#This Row],[Years of Experience]]="","",IF(tblSalaries[[#This Row],[Years of Experience]]&lt;=2,1,""))</f>
        <v/>
      </c>
      <c r="O227" t="str">
        <f>IF(tblSalaries[[#This Row],[Years of Experience]]="","",IF(AND(tblSalaries[[#This Row],[Years of Experience]]&gt;2,tblSalaries[[#This Row],[Years of Experience]]&lt;=5),1,""))</f>
        <v/>
      </c>
      <c r="P227" t="str">
        <f>IF(tblSalaries[[#This Row],[Years of Experience]]="","",IF(AND(tblSalaries[[#This Row],[Years of Experience]]&gt;5,tblSalaries[[#This Row],[Years of Experience]]&lt;=10),1,""))</f>
        <v/>
      </c>
      <c r="Q227" t="str">
        <f>IF(tblSalaries[[#This Row],[Years of Experience]]="","",IF(AND(tblSalaries[[#This Row],[Years of Experience]]&gt;10,tblSalaries[[#This Row],[Years of Experience]]&lt;=15),1,""))</f>
        <v/>
      </c>
      <c r="R227" t="str">
        <f>IF(tblSalaries[[#This Row],[Years of Experience]]="","",IF(AND(tblSalaries[[#This Row],[Years of Experience]]&gt;16,tblSalaries[[#This Row],[Years of Experience]]&lt;=20),1,""))</f>
        <v/>
      </c>
      <c r="S227" t="str">
        <f>IF(tblSalaries[[#This Row],[Years of Experience]]="","",IF(tblSalaries[[#This Row],[Years of Experience]]&gt;20,1,""))</f>
        <v/>
      </c>
      <c r="T2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7" s="13" t="str">
        <f>IF(tblSalaries[[#This Row],[Job Type]]=tblSalaries[[#Headers],[Accountant]],tblSalaries[[#This Row],[Salary in USD]],"")</f>
        <v/>
      </c>
      <c r="V227" s="13" t="str">
        <f>IF(tblSalaries[[#This Row],[Job Type]]=tblSalaries[[#Headers],[Analyst]],tblSalaries[[#This Row],[Salary in USD]],"")</f>
        <v/>
      </c>
      <c r="W227" s="13" t="str">
        <f>IF(tblSalaries[[#This Row],[Job Type]]=tblSalaries[[#Headers],[Consultant]],tblSalaries[[#This Row],[Salary in USD]],"")</f>
        <v/>
      </c>
      <c r="X227" s="13" t="str">
        <f>IF(tblSalaries[[#This Row],[Job Type]]=tblSalaries[[#Headers],[Controller]],tblSalaries[[#This Row],[Salary in USD]],"")</f>
        <v/>
      </c>
      <c r="Y227" s="13" t="str">
        <f>IF(tblSalaries[[#This Row],[Job Type]]=tblSalaries[[#Headers],[CXO or Top Mgmt.]],tblSalaries[[#This Row],[clean Salary (in local currency)]],"")</f>
        <v/>
      </c>
      <c r="Z227" s="13" t="str">
        <f>IF(tblSalaries[[#This Row],[Job Type]]=tblSalaries[[#Headers],[Engineer]],tblSalaries[[#This Row],[Salary in USD]],"")</f>
        <v/>
      </c>
      <c r="AA227" s="13" t="str">
        <f>IF(tblSalaries[[#This Row],[Job Type]]=tblSalaries[[#Headers],[Manager]],tblSalaries[[#This Row],[Salary in USD]],"")</f>
        <v/>
      </c>
      <c r="AB227" s="13" t="str">
        <f>IF(tblSalaries[[#This Row],[Job Type]]=tblSalaries[[#Headers],[Misc.]],tblSalaries[[#This Row],[Salary in USD]],"")</f>
        <v/>
      </c>
      <c r="AC227" s="13" t="str">
        <f>IF(tblSalaries[[#This Row],[Job Type]]=tblSalaries[[#Headers],[Reporting]],tblSalaries[[#This Row],[Salary in USD]],"")</f>
        <v/>
      </c>
      <c r="AD227" s="13">
        <f>IF(tblSalaries[[#This Row],[Job Type]]=tblSalaries[[#Headers],[Specialist]],tblSalaries[[#This Row],[Salary in USD]],"")</f>
        <v>44251.268536364711</v>
      </c>
    </row>
    <row r="228" spans="2:30" ht="15" customHeight="1" x14ac:dyDescent="0.25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 s="9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  <c r="N228" t="str">
        <f>IF(tblSalaries[[#This Row],[Years of Experience]]="","",IF(tblSalaries[[#This Row],[Years of Experience]]&lt;=2,1,""))</f>
        <v/>
      </c>
      <c r="O228" t="str">
        <f>IF(tblSalaries[[#This Row],[Years of Experience]]="","",IF(AND(tblSalaries[[#This Row],[Years of Experience]]&gt;2,tblSalaries[[#This Row],[Years of Experience]]&lt;=5),1,""))</f>
        <v/>
      </c>
      <c r="P228" t="str">
        <f>IF(tblSalaries[[#This Row],[Years of Experience]]="","",IF(AND(tblSalaries[[#This Row],[Years of Experience]]&gt;5,tblSalaries[[#This Row],[Years of Experience]]&lt;=10),1,""))</f>
        <v/>
      </c>
      <c r="Q228" t="str">
        <f>IF(tblSalaries[[#This Row],[Years of Experience]]="","",IF(AND(tblSalaries[[#This Row],[Years of Experience]]&gt;10,tblSalaries[[#This Row],[Years of Experience]]&lt;=15),1,""))</f>
        <v/>
      </c>
      <c r="R228" t="str">
        <f>IF(tblSalaries[[#This Row],[Years of Experience]]="","",IF(AND(tblSalaries[[#This Row],[Years of Experience]]&gt;16,tblSalaries[[#This Row],[Years of Experience]]&lt;=20),1,""))</f>
        <v/>
      </c>
      <c r="S228" t="str">
        <f>IF(tblSalaries[[#This Row],[Years of Experience]]="","",IF(tblSalaries[[#This Row],[Years of Experience]]&gt;20,1,""))</f>
        <v/>
      </c>
      <c r="T2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8" s="13" t="str">
        <f>IF(tblSalaries[[#This Row],[Job Type]]=tblSalaries[[#Headers],[Accountant]],tblSalaries[[#This Row],[Salary in USD]],"")</f>
        <v/>
      </c>
      <c r="V228" s="13" t="str">
        <f>IF(tblSalaries[[#This Row],[Job Type]]=tblSalaries[[#Headers],[Analyst]],tblSalaries[[#This Row],[Salary in USD]],"")</f>
        <v/>
      </c>
      <c r="W228" s="13" t="str">
        <f>IF(tblSalaries[[#This Row],[Job Type]]=tblSalaries[[#Headers],[Consultant]],tblSalaries[[#This Row],[Salary in USD]],"")</f>
        <v/>
      </c>
      <c r="X228" s="13" t="str">
        <f>IF(tblSalaries[[#This Row],[Job Type]]=tblSalaries[[#Headers],[Controller]],tblSalaries[[#This Row],[Salary in USD]],"")</f>
        <v/>
      </c>
      <c r="Y228" s="13" t="str">
        <f>IF(tblSalaries[[#This Row],[Job Type]]=tblSalaries[[#Headers],[CXO or Top Mgmt.]],tblSalaries[[#This Row],[clean Salary (in local currency)]],"")</f>
        <v/>
      </c>
      <c r="Z228" s="13" t="str">
        <f>IF(tblSalaries[[#This Row],[Job Type]]=tblSalaries[[#Headers],[Engineer]],tblSalaries[[#This Row],[Salary in USD]],"")</f>
        <v/>
      </c>
      <c r="AA228" s="13">
        <f>IF(tblSalaries[[#This Row],[Job Type]]=tblSalaries[[#Headers],[Manager]],tblSalaries[[#This Row],[Salary in USD]],"")</f>
        <v>67775.665698893223</v>
      </c>
      <c r="AB228" s="13" t="str">
        <f>IF(tblSalaries[[#This Row],[Job Type]]=tblSalaries[[#Headers],[Misc.]],tblSalaries[[#This Row],[Salary in USD]],"")</f>
        <v/>
      </c>
      <c r="AC228" s="13" t="str">
        <f>IF(tblSalaries[[#This Row],[Job Type]]=tblSalaries[[#Headers],[Reporting]],tblSalaries[[#This Row],[Salary in USD]],"")</f>
        <v/>
      </c>
      <c r="AD228" s="13" t="str">
        <f>IF(tblSalaries[[#This Row],[Job Type]]=tblSalaries[[#Headers],[Specialist]],tblSalaries[[#This Row],[Salary in USD]],"")</f>
        <v/>
      </c>
    </row>
    <row r="229" spans="2:30" ht="15" customHeight="1" x14ac:dyDescent="0.25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 s="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  <c r="N229" t="str">
        <f>IF(tblSalaries[[#This Row],[Years of Experience]]="","",IF(tblSalaries[[#This Row],[Years of Experience]]&lt;=2,1,""))</f>
        <v/>
      </c>
      <c r="O229" t="str">
        <f>IF(tblSalaries[[#This Row],[Years of Experience]]="","",IF(AND(tblSalaries[[#This Row],[Years of Experience]]&gt;2,tblSalaries[[#This Row],[Years of Experience]]&lt;=5),1,""))</f>
        <v/>
      </c>
      <c r="P229" t="str">
        <f>IF(tblSalaries[[#This Row],[Years of Experience]]="","",IF(AND(tblSalaries[[#This Row],[Years of Experience]]&gt;5,tblSalaries[[#This Row],[Years of Experience]]&lt;=10),1,""))</f>
        <v/>
      </c>
      <c r="Q229" t="str">
        <f>IF(tblSalaries[[#This Row],[Years of Experience]]="","",IF(AND(tblSalaries[[#This Row],[Years of Experience]]&gt;10,tblSalaries[[#This Row],[Years of Experience]]&lt;=15),1,""))</f>
        <v/>
      </c>
      <c r="R229" t="str">
        <f>IF(tblSalaries[[#This Row],[Years of Experience]]="","",IF(AND(tblSalaries[[#This Row],[Years of Experience]]&gt;16,tblSalaries[[#This Row],[Years of Experience]]&lt;=20),1,""))</f>
        <v/>
      </c>
      <c r="S229" t="str">
        <f>IF(tblSalaries[[#This Row],[Years of Experience]]="","",IF(tblSalaries[[#This Row],[Years of Experience]]&gt;20,1,""))</f>
        <v/>
      </c>
      <c r="T2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29" s="13" t="str">
        <f>IF(tblSalaries[[#This Row],[Job Type]]=tblSalaries[[#Headers],[Accountant]],tblSalaries[[#This Row],[Salary in USD]],"")</f>
        <v/>
      </c>
      <c r="V229" s="13">
        <f>IF(tblSalaries[[#This Row],[Job Type]]=tblSalaries[[#Headers],[Analyst]],tblSalaries[[#This Row],[Salary in USD]],"")</f>
        <v>3561.5833374885137</v>
      </c>
      <c r="W229" s="13" t="str">
        <f>IF(tblSalaries[[#This Row],[Job Type]]=tblSalaries[[#Headers],[Consultant]],tblSalaries[[#This Row],[Salary in USD]],"")</f>
        <v/>
      </c>
      <c r="X229" s="13" t="str">
        <f>IF(tblSalaries[[#This Row],[Job Type]]=tblSalaries[[#Headers],[Controller]],tblSalaries[[#This Row],[Salary in USD]],"")</f>
        <v/>
      </c>
      <c r="Y229" s="13" t="str">
        <f>IF(tblSalaries[[#This Row],[Job Type]]=tblSalaries[[#Headers],[CXO or Top Mgmt.]],tblSalaries[[#This Row],[clean Salary (in local currency)]],"")</f>
        <v/>
      </c>
      <c r="Z229" s="13" t="str">
        <f>IF(tblSalaries[[#This Row],[Job Type]]=tblSalaries[[#Headers],[Engineer]],tblSalaries[[#This Row],[Salary in USD]],"")</f>
        <v/>
      </c>
      <c r="AA229" s="13" t="str">
        <f>IF(tblSalaries[[#This Row],[Job Type]]=tblSalaries[[#Headers],[Manager]],tblSalaries[[#This Row],[Salary in USD]],"")</f>
        <v/>
      </c>
      <c r="AB229" s="13" t="str">
        <f>IF(tblSalaries[[#This Row],[Job Type]]=tblSalaries[[#Headers],[Misc.]],tblSalaries[[#This Row],[Salary in USD]],"")</f>
        <v/>
      </c>
      <c r="AC229" s="13" t="str">
        <f>IF(tblSalaries[[#This Row],[Job Type]]=tblSalaries[[#Headers],[Reporting]],tblSalaries[[#This Row],[Salary in USD]],"")</f>
        <v/>
      </c>
      <c r="AD229" s="13" t="str">
        <f>IF(tblSalaries[[#This Row],[Job Type]]=tblSalaries[[#Headers],[Specialist]],tblSalaries[[#This Row],[Salary in USD]],"")</f>
        <v/>
      </c>
    </row>
    <row r="230" spans="2:30" ht="15" customHeight="1" x14ac:dyDescent="0.25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 s="9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  <c r="N230" t="str">
        <f>IF(tblSalaries[[#This Row],[Years of Experience]]="","",IF(tblSalaries[[#This Row],[Years of Experience]]&lt;=2,1,""))</f>
        <v/>
      </c>
      <c r="O230" t="str">
        <f>IF(tblSalaries[[#This Row],[Years of Experience]]="","",IF(AND(tblSalaries[[#This Row],[Years of Experience]]&gt;2,tblSalaries[[#This Row],[Years of Experience]]&lt;=5),1,""))</f>
        <v/>
      </c>
      <c r="P230" t="str">
        <f>IF(tblSalaries[[#This Row],[Years of Experience]]="","",IF(AND(tblSalaries[[#This Row],[Years of Experience]]&gt;5,tblSalaries[[#This Row],[Years of Experience]]&lt;=10),1,""))</f>
        <v/>
      </c>
      <c r="Q230" t="str">
        <f>IF(tblSalaries[[#This Row],[Years of Experience]]="","",IF(AND(tblSalaries[[#This Row],[Years of Experience]]&gt;10,tblSalaries[[#This Row],[Years of Experience]]&lt;=15),1,""))</f>
        <v/>
      </c>
      <c r="R230" t="str">
        <f>IF(tblSalaries[[#This Row],[Years of Experience]]="","",IF(AND(tblSalaries[[#This Row],[Years of Experience]]&gt;16,tblSalaries[[#This Row],[Years of Experience]]&lt;=20),1,""))</f>
        <v/>
      </c>
      <c r="S230" t="str">
        <f>IF(tblSalaries[[#This Row],[Years of Experience]]="","",IF(tblSalaries[[#This Row],[Years of Experience]]&gt;20,1,""))</f>
        <v/>
      </c>
      <c r="T2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0" s="13" t="str">
        <f>IF(tblSalaries[[#This Row],[Job Type]]=tblSalaries[[#Headers],[Accountant]],tblSalaries[[#This Row],[Salary in USD]],"")</f>
        <v/>
      </c>
      <c r="V230" s="13" t="str">
        <f>IF(tblSalaries[[#This Row],[Job Type]]=tblSalaries[[#Headers],[Analyst]],tblSalaries[[#This Row],[Salary in USD]],"")</f>
        <v/>
      </c>
      <c r="W230" s="13" t="str">
        <f>IF(tblSalaries[[#This Row],[Job Type]]=tblSalaries[[#Headers],[Consultant]],tblSalaries[[#This Row],[Salary in USD]],"")</f>
        <v/>
      </c>
      <c r="X230" s="13" t="str">
        <f>IF(tblSalaries[[#This Row],[Job Type]]=tblSalaries[[#Headers],[Controller]],tblSalaries[[#This Row],[Salary in USD]],"")</f>
        <v/>
      </c>
      <c r="Y230" s="13" t="str">
        <f>IF(tblSalaries[[#This Row],[Job Type]]=tblSalaries[[#Headers],[CXO or Top Mgmt.]],tblSalaries[[#This Row],[clean Salary (in local currency)]],"")</f>
        <v/>
      </c>
      <c r="Z230" s="13" t="str">
        <f>IF(tblSalaries[[#This Row],[Job Type]]=tblSalaries[[#Headers],[Engineer]],tblSalaries[[#This Row],[Salary in USD]],"")</f>
        <v/>
      </c>
      <c r="AA230" s="13" t="str">
        <f>IF(tblSalaries[[#This Row],[Job Type]]=tblSalaries[[#Headers],[Manager]],tblSalaries[[#This Row],[Salary in USD]],"")</f>
        <v/>
      </c>
      <c r="AB230" s="13" t="str">
        <f>IF(tblSalaries[[#This Row],[Job Type]]=tblSalaries[[#Headers],[Misc.]],tblSalaries[[#This Row],[Salary in USD]],"")</f>
        <v/>
      </c>
      <c r="AC230" s="13" t="str">
        <f>IF(tblSalaries[[#This Row],[Job Type]]=tblSalaries[[#Headers],[Reporting]],tblSalaries[[#This Row],[Salary in USD]],"")</f>
        <v/>
      </c>
      <c r="AD230" s="13">
        <f>IF(tblSalaries[[#This Row],[Job Type]]=tblSalaries[[#Headers],[Specialist]],tblSalaries[[#This Row],[Salary in USD]],"")</f>
        <v>65000</v>
      </c>
    </row>
    <row r="231" spans="2:30" ht="15" customHeight="1" x14ac:dyDescent="0.25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 s="9">
        <f>tblSalaries[[#This Row],[clean Salary (in local currency)]]*VLOOKUP(tblSalaries[[#This Row],[Currency]],tblXrate[],2,FALSE)</f>
        <v>114000</v>
      </c>
      <c r="H231" t="s">
        <v>139</v>
      </c>
      <c r="I231" t="s">
        <v>4001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  <c r="N231" t="str">
        <f>IF(tblSalaries[[#This Row],[Years of Experience]]="","",IF(tblSalaries[[#This Row],[Years of Experience]]&lt;=2,1,""))</f>
        <v/>
      </c>
      <c r="O231" t="str">
        <f>IF(tblSalaries[[#This Row],[Years of Experience]]="","",IF(AND(tblSalaries[[#This Row],[Years of Experience]]&gt;2,tblSalaries[[#This Row],[Years of Experience]]&lt;=5),1,""))</f>
        <v/>
      </c>
      <c r="P231" t="str">
        <f>IF(tblSalaries[[#This Row],[Years of Experience]]="","",IF(AND(tblSalaries[[#This Row],[Years of Experience]]&gt;5,tblSalaries[[#This Row],[Years of Experience]]&lt;=10),1,""))</f>
        <v/>
      </c>
      <c r="Q231" t="str">
        <f>IF(tblSalaries[[#This Row],[Years of Experience]]="","",IF(AND(tblSalaries[[#This Row],[Years of Experience]]&gt;10,tblSalaries[[#This Row],[Years of Experience]]&lt;=15),1,""))</f>
        <v/>
      </c>
      <c r="R231" t="str">
        <f>IF(tblSalaries[[#This Row],[Years of Experience]]="","",IF(AND(tblSalaries[[#This Row],[Years of Experience]]&gt;16,tblSalaries[[#This Row],[Years of Experience]]&lt;=20),1,""))</f>
        <v/>
      </c>
      <c r="S231" t="str">
        <f>IF(tblSalaries[[#This Row],[Years of Experience]]="","",IF(tblSalaries[[#This Row],[Years of Experience]]&gt;20,1,""))</f>
        <v/>
      </c>
      <c r="T2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1" s="13" t="str">
        <f>IF(tblSalaries[[#This Row],[Job Type]]=tblSalaries[[#Headers],[Accountant]],tblSalaries[[#This Row],[Salary in USD]],"")</f>
        <v/>
      </c>
      <c r="V231" s="13" t="str">
        <f>IF(tblSalaries[[#This Row],[Job Type]]=tblSalaries[[#Headers],[Analyst]],tblSalaries[[#This Row],[Salary in USD]],"")</f>
        <v/>
      </c>
      <c r="W231" s="13" t="str">
        <f>IF(tblSalaries[[#This Row],[Job Type]]=tblSalaries[[#Headers],[Consultant]],tblSalaries[[#This Row],[Salary in USD]],"")</f>
        <v/>
      </c>
      <c r="X231" s="13" t="str">
        <f>IF(tblSalaries[[#This Row],[Job Type]]=tblSalaries[[#Headers],[Controller]],tblSalaries[[#This Row],[Salary in USD]],"")</f>
        <v/>
      </c>
      <c r="Y231" s="13">
        <f>IF(tblSalaries[[#This Row],[Job Type]]=tblSalaries[[#Headers],[CXO or Top Mgmt.]],tblSalaries[[#This Row],[clean Salary (in local currency)]],"")</f>
        <v>114000</v>
      </c>
      <c r="Z231" s="13" t="str">
        <f>IF(tblSalaries[[#This Row],[Job Type]]=tblSalaries[[#Headers],[Engineer]],tblSalaries[[#This Row],[Salary in USD]],"")</f>
        <v/>
      </c>
      <c r="AA231" s="13" t="str">
        <f>IF(tblSalaries[[#This Row],[Job Type]]=tblSalaries[[#Headers],[Manager]],tblSalaries[[#This Row],[Salary in USD]],"")</f>
        <v/>
      </c>
      <c r="AB231" s="13" t="str">
        <f>IF(tblSalaries[[#This Row],[Job Type]]=tblSalaries[[#Headers],[Misc.]],tblSalaries[[#This Row],[Salary in USD]],"")</f>
        <v/>
      </c>
      <c r="AC231" s="13" t="str">
        <f>IF(tblSalaries[[#This Row],[Job Type]]=tblSalaries[[#Headers],[Reporting]],tblSalaries[[#This Row],[Salary in USD]],"")</f>
        <v/>
      </c>
      <c r="AD231" s="13" t="str">
        <f>IF(tblSalaries[[#This Row],[Job Type]]=tblSalaries[[#Headers],[Specialist]],tblSalaries[[#This Row],[Salary in USD]],"")</f>
        <v/>
      </c>
    </row>
    <row r="232" spans="2:30" ht="15" customHeight="1" x14ac:dyDescent="0.25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 s="9">
        <f>tblSalaries[[#This Row],[clean Salary (in local currency)]]*VLOOKUP(tblSalaries[[#This Row],[Currency]],tblXrate[],2,FALSE)</f>
        <v>95000</v>
      </c>
      <c r="H232" t="s">
        <v>305</v>
      </c>
      <c r="I232" t="s">
        <v>4001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  <c r="N232" t="str">
        <f>IF(tblSalaries[[#This Row],[Years of Experience]]="","",IF(tblSalaries[[#This Row],[Years of Experience]]&lt;=2,1,""))</f>
        <v/>
      </c>
      <c r="O232" t="str">
        <f>IF(tblSalaries[[#This Row],[Years of Experience]]="","",IF(AND(tblSalaries[[#This Row],[Years of Experience]]&gt;2,tblSalaries[[#This Row],[Years of Experience]]&lt;=5),1,""))</f>
        <v/>
      </c>
      <c r="P232" t="str">
        <f>IF(tblSalaries[[#This Row],[Years of Experience]]="","",IF(AND(tblSalaries[[#This Row],[Years of Experience]]&gt;5,tblSalaries[[#This Row],[Years of Experience]]&lt;=10),1,""))</f>
        <v/>
      </c>
      <c r="Q232" t="str">
        <f>IF(tblSalaries[[#This Row],[Years of Experience]]="","",IF(AND(tblSalaries[[#This Row],[Years of Experience]]&gt;10,tblSalaries[[#This Row],[Years of Experience]]&lt;=15),1,""))</f>
        <v/>
      </c>
      <c r="R232" t="str">
        <f>IF(tblSalaries[[#This Row],[Years of Experience]]="","",IF(AND(tblSalaries[[#This Row],[Years of Experience]]&gt;16,tblSalaries[[#This Row],[Years of Experience]]&lt;=20),1,""))</f>
        <v/>
      </c>
      <c r="S232" t="str">
        <f>IF(tblSalaries[[#This Row],[Years of Experience]]="","",IF(tblSalaries[[#This Row],[Years of Experience]]&gt;20,1,""))</f>
        <v/>
      </c>
      <c r="T2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2" s="13" t="str">
        <f>IF(tblSalaries[[#This Row],[Job Type]]=tblSalaries[[#Headers],[Accountant]],tblSalaries[[#This Row],[Salary in USD]],"")</f>
        <v/>
      </c>
      <c r="V232" s="13" t="str">
        <f>IF(tblSalaries[[#This Row],[Job Type]]=tblSalaries[[#Headers],[Analyst]],tblSalaries[[#This Row],[Salary in USD]],"")</f>
        <v/>
      </c>
      <c r="W232" s="13" t="str">
        <f>IF(tblSalaries[[#This Row],[Job Type]]=tblSalaries[[#Headers],[Consultant]],tblSalaries[[#This Row],[Salary in USD]],"")</f>
        <v/>
      </c>
      <c r="X232" s="13" t="str">
        <f>IF(tblSalaries[[#This Row],[Job Type]]=tblSalaries[[#Headers],[Controller]],tblSalaries[[#This Row],[Salary in USD]],"")</f>
        <v/>
      </c>
      <c r="Y232" s="13">
        <f>IF(tblSalaries[[#This Row],[Job Type]]=tblSalaries[[#Headers],[CXO or Top Mgmt.]],tblSalaries[[#This Row],[clean Salary (in local currency)]],"")</f>
        <v>95000</v>
      </c>
      <c r="Z232" s="13" t="str">
        <f>IF(tblSalaries[[#This Row],[Job Type]]=tblSalaries[[#Headers],[Engineer]],tblSalaries[[#This Row],[Salary in USD]],"")</f>
        <v/>
      </c>
      <c r="AA232" s="13" t="str">
        <f>IF(tblSalaries[[#This Row],[Job Type]]=tblSalaries[[#Headers],[Manager]],tblSalaries[[#This Row],[Salary in USD]],"")</f>
        <v/>
      </c>
      <c r="AB232" s="13" t="str">
        <f>IF(tblSalaries[[#This Row],[Job Type]]=tblSalaries[[#Headers],[Misc.]],tblSalaries[[#This Row],[Salary in USD]],"")</f>
        <v/>
      </c>
      <c r="AC232" s="13" t="str">
        <f>IF(tblSalaries[[#This Row],[Job Type]]=tblSalaries[[#Headers],[Reporting]],tblSalaries[[#This Row],[Salary in USD]],"")</f>
        <v/>
      </c>
      <c r="AD232" s="13" t="str">
        <f>IF(tblSalaries[[#This Row],[Job Type]]=tblSalaries[[#Headers],[Specialist]],tblSalaries[[#This Row],[Salary in USD]],"")</f>
        <v/>
      </c>
    </row>
    <row r="233" spans="2:30" ht="15" customHeight="1" x14ac:dyDescent="0.25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 s="9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  <c r="N233" t="str">
        <f>IF(tblSalaries[[#This Row],[Years of Experience]]="","",IF(tblSalaries[[#This Row],[Years of Experience]]&lt;=2,1,""))</f>
        <v/>
      </c>
      <c r="O233" t="str">
        <f>IF(tblSalaries[[#This Row],[Years of Experience]]="","",IF(AND(tblSalaries[[#This Row],[Years of Experience]]&gt;2,tblSalaries[[#This Row],[Years of Experience]]&lt;=5),1,""))</f>
        <v/>
      </c>
      <c r="P233" t="str">
        <f>IF(tblSalaries[[#This Row],[Years of Experience]]="","",IF(AND(tblSalaries[[#This Row],[Years of Experience]]&gt;5,tblSalaries[[#This Row],[Years of Experience]]&lt;=10),1,""))</f>
        <v/>
      </c>
      <c r="Q233" t="str">
        <f>IF(tblSalaries[[#This Row],[Years of Experience]]="","",IF(AND(tblSalaries[[#This Row],[Years of Experience]]&gt;10,tblSalaries[[#This Row],[Years of Experience]]&lt;=15),1,""))</f>
        <v/>
      </c>
      <c r="R233" t="str">
        <f>IF(tblSalaries[[#This Row],[Years of Experience]]="","",IF(AND(tblSalaries[[#This Row],[Years of Experience]]&gt;16,tblSalaries[[#This Row],[Years of Experience]]&lt;=20),1,""))</f>
        <v/>
      </c>
      <c r="S233" t="str">
        <f>IF(tblSalaries[[#This Row],[Years of Experience]]="","",IF(tblSalaries[[#This Row],[Years of Experience]]&gt;20,1,""))</f>
        <v/>
      </c>
      <c r="T2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3" s="13" t="str">
        <f>IF(tblSalaries[[#This Row],[Job Type]]=tblSalaries[[#Headers],[Accountant]],tblSalaries[[#This Row],[Salary in USD]],"")</f>
        <v/>
      </c>
      <c r="V233" s="13">
        <f>IF(tblSalaries[[#This Row],[Job Type]]=tblSalaries[[#Headers],[Analyst]],tblSalaries[[#This Row],[Salary in USD]],"")</f>
        <v>52500</v>
      </c>
      <c r="W233" s="13" t="str">
        <f>IF(tblSalaries[[#This Row],[Job Type]]=tblSalaries[[#Headers],[Consultant]],tblSalaries[[#This Row],[Salary in USD]],"")</f>
        <v/>
      </c>
      <c r="X233" s="13" t="str">
        <f>IF(tblSalaries[[#This Row],[Job Type]]=tblSalaries[[#Headers],[Controller]],tblSalaries[[#This Row],[Salary in USD]],"")</f>
        <v/>
      </c>
      <c r="Y233" s="13" t="str">
        <f>IF(tblSalaries[[#This Row],[Job Type]]=tblSalaries[[#Headers],[CXO or Top Mgmt.]],tblSalaries[[#This Row],[clean Salary (in local currency)]],"")</f>
        <v/>
      </c>
      <c r="Z233" s="13" t="str">
        <f>IF(tblSalaries[[#This Row],[Job Type]]=tblSalaries[[#Headers],[Engineer]],tblSalaries[[#This Row],[Salary in USD]],"")</f>
        <v/>
      </c>
      <c r="AA233" s="13" t="str">
        <f>IF(tblSalaries[[#This Row],[Job Type]]=tblSalaries[[#Headers],[Manager]],tblSalaries[[#This Row],[Salary in USD]],"")</f>
        <v/>
      </c>
      <c r="AB233" s="13" t="str">
        <f>IF(tblSalaries[[#This Row],[Job Type]]=tblSalaries[[#Headers],[Misc.]],tblSalaries[[#This Row],[Salary in USD]],"")</f>
        <v/>
      </c>
      <c r="AC233" s="13" t="str">
        <f>IF(tblSalaries[[#This Row],[Job Type]]=tblSalaries[[#Headers],[Reporting]],tblSalaries[[#This Row],[Salary in USD]],"")</f>
        <v/>
      </c>
      <c r="AD233" s="13" t="str">
        <f>IF(tblSalaries[[#This Row],[Job Type]]=tblSalaries[[#Headers],[Specialist]],tblSalaries[[#This Row],[Salary in USD]],"")</f>
        <v/>
      </c>
    </row>
    <row r="234" spans="2:30" ht="15" customHeight="1" x14ac:dyDescent="0.25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 s="9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  <c r="N234" t="str">
        <f>IF(tblSalaries[[#This Row],[Years of Experience]]="","",IF(tblSalaries[[#This Row],[Years of Experience]]&lt;=2,1,""))</f>
        <v/>
      </c>
      <c r="O234" t="str">
        <f>IF(tblSalaries[[#This Row],[Years of Experience]]="","",IF(AND(tblSalaries[[#This Row],[Years of Experience]]&gt;2,tblSalaries[[#This Row],[Years of Experience]]&lt;=5),1,""))</f>
        <v/>
      </c>
      <c r="P234" t="str">
        <f>IF(tblSalaries[[#This Row],[Years of Experience]]="","",IF(AND(tblSalaries[[#This Row],[Years of Experience]]&gt;5,tblSalaries[[#This Row],[Years of Experience]]&lt;=10),1,""))</f>
        <v/>
      </c>
      <c r="Q234" t="str">
        <f>IF(tblSalaries[[#This Row],[Years of Experience]]="","",IF(AND(tblSalaries[[#This Row],[Years of Experience]]&gt;10,tblSalaries[[#This Row],[Years of Experience]]&lt;=15),1,""))</f>
        <v/>
      </c>
      <c r="R234" t="str">
        <f>IF(tblSalaries[[#This Row],[Years of Experience]]="","",IF(AND(tblSalaries[[#This Row],[Years of Experience]]&gt;16,tblSalaries[[#This Row],[Years of Experience]]&lt;=20),1,""))</f>
        <v/>
      </c>
      <c r="S234" t="str">
        <f>IF(tblSalaries[[#This Row],[Years of Experience]]="","",IF(tblSalaries[[#This Row],[Years of Experience]]&gt;20,1,""))</f>
        <v/>
      </c>
      <c r="T2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4" s="13" t="str">
        <f>IF(tblSalaries[[#This Row],[Job Type]]=tblSalaries[[#Headers],[Accountant]],tblSalaries[[#This Row],[Salary in USD]],"")</f>
        <v/>
      </c>
      <c r="V234" s="13" t="str">
        <f>IF(tblSalaries[[#This Row],[Job Type]]=tblSalaries[[#Headers],[Analyst]],tblSalaries[[#This Row],[Salary in USD]],"")</f>
        <v/>
      </c>
      <c r="W234" s="13" t="str">
        <f>IF(tblSalaries[[#This Row],[Job Type]]=tblSalaries[[#Headers],[Consultant]],tblSalaries[[#This Row],[Salary in USD]],"")</f>
        <v/>
      </c>
      <c r="X234" s="13" t="str">
        <f>IF(tblSalaries[[#This Row],[Job Type]]=tblSalaries[[#Headers],[Controller]],tblSalaries[[#This Row],[Salary in USD]],"")</f>
        <v/>
      </c>
      <c r="Y234" s="13" t="str">
        <f>IF(tblSalaries[[#This Row],[Job Type]]=tblSalaries[[#Headers],[CXO or Top Mgmt.]],tblSalaries[[#This Row],[clean Salary (in local currency)]],"")</f>
        <v/>
      </c>
      <c r="Z234" s="13" t="str">
        <f>IF(tblSalaries[[#This Row],[Job Type]]=tblSalaries[[#Headers],[Engineer]],tblSalaries[[#This Row],[Salary in USD]],"")</f>
        <v/>
      </c>
      <c r="AA234" s="13">
        <f>IF(tblSalaries[[#This Row],[Job Type]]=tblSalaries[[#Headers],[Manager]],tblSalaries[[#This Row],[Salary in USD]],"")</f>
        <v>70928.022243027779</v>
      </c>
      <c r="AB234" s="13" t="str">
        <f>IF(tblSalaries[[#This Row],[Job Type]]=tblSalaries[[#Headers],[Misc.]],tblSalaries[[#This Row],[Salary in USD]],"")</f>
        <v/>
      </c>
      <c r="AC234" s="13" t="str">
        <f>IF(tblSalaries[[#This Row],[Job Type]]=tblSalaries[[#Headers],[Reporting]],tblSalaries[[#This Row],[Salary in USD]],"")</f>
        <v/>
      </c>
      <c r="AD234" s="13" t="str">
        <f>IF(tblSalaries[[#This Row],[Job Type]]=tblSalaries[[#Headers],[Specialist]],tblSalaries[[#This Row],[Salary in USD]],"")</f>
        <v/>
      </c>
    </row>
    <row r="235" spans="2:30" ht="15" customHeight="1" x14ac:dyDescent="0.25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 s="9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  <c r="N235" t="str">
        <f>IF(tblSalaries[[#This Row],[Years of Experience]]="","",IF(tblSalaries[[#This Row],[Years of Experience]]&lt;=2,1,""))</f>
        <v/>
      </c>
      <c r="O235" t="str">
        <f>IF(tblSalaries[[#This Row],[Years of Experience]]="","",IF(AND(tblSalaries[[#This Row],[Years of Experience]]&gt;2,tblSalaries[[#This Row],[Years of Experience]]&lt;=5),1,""))</f>
        <v/>
      </c>
      <c r="P235" t="str">
        <f>IF(tblSalaries[[#This Row],[Years of Experience]]="","",IF(AND(tblSalaries[[#This Row],[Years of Experience]]&gt;5,tblSalaries[[#This Row],[Years of Experience]]&lt;=10),1,""))</f>
        <v/>
      </c>
      <c r="Q235" t="str">
        <f>IF(tblSalaries[[#This Row],[Years of Experience]]="","",IF(AND(tblSalaries[[#This Row],[Years of Experience]]&gt;10,tblSalaries[[#This Row],[Years of Experience]]&lt;=15),1,""))</f>
        <v/>
      </c>
      <c r="R235" t="str">
        <f>IF(tblSalaries[[#This Row],[Years of Experience]]="","",IF(AND(tblSalaries[[#This Row],[Years of Experience]]&gt;16,tblSalaries[[#This Row],[Years of Experience]]&lt;=20),1,""))</f>
        <v/>
      </c>
      <c r="S235" t="str">
        <f>IF(tblSalaries[[#This Row],[Years of Experience]]="","",IF(tblSalaries[[#This Row],[Years of Experience]]&gt;20,1,""))</f>
        <v/>
      </c>
      <c r="T2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5" s="13" t="str">
        <f>IF(tblSalaries[[#This Row],[Job Type]]=tblSalaries[[#Headers],[Accountant]],tblSalaries[[#This Row],[Salary in USD]],"")</f>
        <v/>
      </c>
      <c r="V235" s="13">
        <f>IF(tblSalaries[[#This Row],[Job Type]]=tblSalaries[[#Headers],[Analyst]],tblSalaries[[#This Row],[Salary in USD]],"")</f>
        <v>60000</v>
      </c>
      <c r="W235" s="13" t="str">
        <f>IF(tblSalaries[[#This Row],[Job Type]]=tblSalaries[[#Headers],[Consultant]],tblSalaries[[#This Row],[Salary in USD]],"")</f>
        <v/>
      </c>
      <c r="X235" s="13" t="str">
        <f>IF(tblSalaries[[#This Row],[Job Type]]=tblSalaries[[#Headers],[Controller]],tblSalaries[[#This Row],[Salary in USD]],"")</f>
        <v/>
      </c>
      <c r="Y235" s="13" t="str">
        <f>IF(tblSalaries[[#This Row],[Job Type]]=tblSalaries[[#Headers],[CXO or Top Mgmt.]],tblSalaries[[#This Row],[clean Salary (in local currency)]],"")</f>
        <v/>
      </c>
      <c r="Z235" s="13" t="str">
        <f>IF(tblSalaries[[#This Row],[Job Type]]=tblSalaries[[#Headers],[Engineer]],tblSalaries[[#This Row],[Salary in USD]],"")</f>
        <v/>
      </c>
      <c r="AA235" s="13" t="str">
        <f>IF(tblSalaries[[#This Row],[Job Type]]=tblSalaries[[#Headers],[Manager]],tblSalaries[[#This Row],[Salary in USD]],"")</f>
        <v/>
      </c>
      <c r="AB235" s="13" t="str">
        <f>IF(tblSalaries[[#This Row],[Job Type]]=tblSalaries[[#Headers],[Misc.]],tblSalaries[[#This Row],[Salary in USD]],"")</f>
        <v/>
      </c>
      <c r="AC235" s="13" t="str">
        <f>IF(tblSalaries[[#This Row],[Job Type]]=tblSalaries[[#Headers],[Reporting]],tblSalaries[[#This Row],[Salary in USD]],"")</f>
        <v/>
      </c>
      <c r="AD235" s="13" t="str">
        <f>IF(tblSalaries[[#This Row],[Job Type]]=tblSalaries[[#Headers],[Specialist]],tblSalaries[[#This Row],[Salary in USD]],"")</f>
        <v/>
      </c>
    </row>
    <row r="236" spans="2:30" ht="15" customHeight="1" x14ac:dyDescent="0.25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 s="9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  <c r="N236" t="str">
        <f>IF(tblSalaries[[#This Row],[Years of Experience]]="","",IF(tblSalaries[[#This Row],[Years of Experience]]&lt;=2,1,""))</f>
        <v/>
      </c>
      <c r="O236" t="str">
        <f>IF(tblSalaries[[#This Row],[Years of Experience]]="","",IF(AND(tblSalaries[[#This Row],[Years of Experience]]&gt;2,tblSalaries[[#This Row],[Years of Experience]]&lt;=5),1,""))</f>
        <v/>
      </c>
      <c r="P236" t="str">
        <f>IF(tblSalaries[[#This Row],[Years of Experience]]="","",IF(AND(tblSalaries[[#This Row],[Years of Experience]]&gt;5,tblSalaries[[#This Row],[Years of Experience]]&lt;=10),1,""))</f>
        <v/>
      </c>
      <c r="Q236" t="str">
        <f>IF(tblSalaries[[#This Row],[Years of Experience]]="","",IF(AND(tblSalaries[[#This Row],[Years of Experience]]&gt;10,tblSalaries[[#This Row],[Years of Experience]]&lt;=15),1,""))</f>
        <v/>
      </c>
      <c r="R236" t="str">
        <f>IF(tblSalaries[[#This Row],[Years of Experience]]="","",IF(AND(tblSalaries[[#This Row],[Years of Experience]]&gt;16,tblSalaries[[#This Row],[Years of Experience]]&lt;=20),1,""))</f>
        <v/>
      </c>
      <c r="S236" t="str">
        <f>IF(tblSalaries[[#This Row],[Years of Experience]]="","",IF(tblSalaries[[#This Row],[Years of Experience]]&gt;20,1,""))</f>
        <v/>
      </c>
      <c r="T2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6" s="13">
        <f>IF(tblSalaries[[#This Row],[Job Type]]=tblSalaries[[#Headers],[Accountant]],tblSalaries[[#This Row],[Salary in USD]],"")</f>
        <v>65250</v>
      </c>
      <c r="V236" s="13" t="str">
        <f>IF(tblSalaries[[#This Row],[Job Type]]=tblSalaries[[#Headers],[Analyst]],tblSalaries[[#This Row],[Salary in USD]],"")</f>
        <v/>
      </c>
      <c r="W236" s="13" t="str">
        <f>IF(tblSalaries[[#This Row],[Job Type]]=tblSalaries[[#Headers],[Consultant]],tblSalaries[[#This Row],[Salary in USD]],"")</f>
        <v/>
      </c>
      <c r="X236" s="13" t="str">
        <f>IF(tblSalaries[[#This Row],[Job Type]]=tblSalaries[[#Headers],[Controller]],tblSalaries[[#This Row],[Salary in USD]],"")</f>
        <v/>
      </c>
      <c r="Y236" s="13" t="str">
        <f>IF(tblSalaries[[#This Row],[Job Type]]=tblSalaries[[#Headers],[CXO or Top Mgmt.]],tblSalaries[[#This Row],[clean Salary (in local currency)]],"")</f>
        <v/>
      </c>
      <c r="Z236" s="13" t="str">
        <f>IF(tblSalaries[[#This Row],[Job Type]]=tblSalaries[[#Headers],[Engineer]],tblSalaries[[#This Row],[Salary in USD]],"")</f>
        <v/>
      </c>
      <c r="AA236" s="13" t="str">
        <f>IF(tblSalaries[[#This Row],[Job Type]]=tblSalaries[[#Headers],[Manager]],tblSalaries[[#This Row],[Salary in USD]],"")</f>
        <v/>
      </c>
      <c r="AB236" s="13" t="str">
        <f>IF(tblSalaries[[#This Row],[Job Type]]=tblSalaries[[#Headers],[Misc.]],tblSalaries[[#This Row],[Salary in USD]],"")</f>
        <v/>
      </c>
      <c r="AC236" s="13" t="str">
        <f>IF(tblSalaries[[#This Row],[Job Type]]=tblSalaries[[#Headers],[Reporting]],tblSalaries[[#This Row],[Salary in USD]],"")</f>
        <v/>
      </c>
      <c r="AD236" s="13" t="str">
        <f>IF(tblSalaries[[#This Row],[Job Type]]=tblSalaries[[#Headers],[Specialist]],tblSalaries[[#This Row],[Salary in USD]],"")</f>
        <v/>
      </c>
    </row>
    <row r="237" spans="2:30" ht="15" customHeight="1" x14ac:dyDescent="0.25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 s="9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  <c r="N237" t="str">
        <f>IF(tblSalaries[[#This Row],[Years of Experience]]="","",IF(tblSalaries[[#This Row],[Years of Experience]]&lt;=2,1,""))</f>
        <v/>
      </c>
      <c r="O237" t="str">
        <f>IF(tblSalaries[[#This Row],[Years of Experience]]="","",IF(AND(tblSalaries[[#This Row],[Years of Experience]]&gt;2,tblSalaries[[#This Row],[Years of Experience]]&lt;=5),1,""))</f>
        <v/>
      </c>
      <c r="P237" t="str">
        <f>IF(tblSalaries[[#This Row],[Years of Experience]]="","",IF(AND(tblSalaries[[#This Row],[Years of Experience]]&gt;5,tblSalaries[[#This Row],[Years of Experience]]&lt;=10),1,""))</f>
        <v/>
      </c>
      <c r="Q237" t="str">
        <f>IF(tblSalaries[[#This Row],[Years of Experience]]="","",IF(AND(tblSalaries[[#This Row],[Years of Experience]]&gt;10,tblSalaries[[#This Row],[Years of Experience]]&lt;=15),1,""))</f>
        <v/>
      </c>
      <c r="R237" t="str">
        <f>IF(tblSalaries[[#This Row],[Years of Experience]]="","",IF(AND(tblSalaries[[#This Row],[Years of Experience]]&gt;16,tblSalaries[[#This Row],[Years of Experience]]&lt;=20),1,""))</f>
        <v/>
      </c>
      <c r="S237" t="str">
        <f>IF(tblSalaries[[#This Row],[Years of Experience]]="","",IF(tblSalaries[[#This Row],[Years of Experience]]&gt;20,1,""))</f>
        <v/>
      </c>
      <c r="T2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7" s="13" t="str">
        <f>IF(tblSalaries[[#This Row],[Job Type]]=tblSalaries[[#Headers],[Accountant]],tblSalaries[[#This Row],[Salary in USD]],"")</f>
        <v/>
      </c>
      <c r="V237" s="13" t="str">
        <f>IF(tblSalaries[[#This Row],[Job Type]]=tblSalaries[[#Headers],[Analyst]],tblSalaries[[#This Row],[Salary in USD]],"")</f>
        <v/>
      </c>
      <c r="W237" s="13" t="str">
        <f>IF(tblSalaries[[#This Row],[Job Type]]=tblSalaries[[#Headers],[Consultant]],tblSalaries[[#This Row],[Salary in USD]],"")</f>
        <v/>
      </c>
      <c r="X237" s="13" t="str">
        <f>IF(tblSalaries[[#This Row],[Job Type]]=tblSalaries[[#Headers],[Controller]],tblSalaries[[#This Row],[Salary in USD]],"")</f>
        <v/>
      </c>
      <c r="Y237" s="13" t="str">
        <f>IF(tblSalaries[[#This Row],[Job Type]]=tblSalaries[[#Headers],[CXO or Top Mgmt.]],tblSalaries[[#This Row],[clean Salary (in local currency)]],"")</f>
        <v/>
      </c>
      <c r="Z237" s="13" t="str">
        <f>IF(tblSalaries[[#This Row],[Job Type]]=tblSalaries[[#Headers],[Engineer]],tblSalaries[[#This Row],[Salary in USD]],"")</f>
        <v/>
      </c>
      <c r="AA237" s="13">
        <f>IF(tblSalaries[[#This Row],[Job Type]]=tblSalaries[[#Headers],[Manager]],tblSalaries[[#This Row],[Salary in USD]],"")</f>
        <v>21369.500024931083</v>
      </c>
      <c r="AB237" s="13" t="str">
        <f>IF(tblSalaries[[#This Row],[Job Type]]=tblSalaries[[#Headers],[Misc.]],tblSalaries[[#This Row],[Salary in USD]],"")</f>
        <v/>
      </c>
      <c r="AC237" s="13" t="str">
        <f>IF(tblSalaries[[#This Row],[Job Type]]=tblSalaries[[#Headers],[Reporting]],tblSalaries[[#This Row],[Salary in USD]],"")</f>
        <v/>
      </c>
      <c r="AD237" s="13" t="str">
        <f>IF(tblSalaries[[#This Row],[Job Type]]=tblSalaries[[#Headers],[Specialist]],tblSalaries[[#This Row],[Salary in USD]],"")</f>
        <v/>
      </c>
    </row>
    <row r="238" spans="2:30" ht="15" customHeight="1" x14ac:dyDescent="0.25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 s="9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  <c r="N238" t="str">
        <f>IF(tblSalaries[[#This Row],[Years of Experience]]="","",IF(tblSalaries[[#This Row],[Years of Experience]]&lt;=2,1,""))</f>
        <v/>
      </c>
      <c r="O238" t="str">
        <f>IF(tblSalaries[[#This Row],[Years of Experience]]="","",IF(AND(tblSalaries[[#This Row],[Years of Experience]]&gt;2,tblSalaries[[#This Row],[Years of Experience]]&lt;=5),1,""))</f>
        <v/>
      </c>
      <c r="P238" t="str">
        <f>IF(tblSalaries[[#This Row],[Years of Experience]]="","",IF(AND(tblSalaries[[#This Row],[Years of Experience]]&gt;5,tblSalaries[[#This Row],[Years of Experience]]&lt;=10),1,""))</f>
        <v/>
      </c>
      <c r="Q238" t="str">
        <f>IF(tblSalaries[[#This Row],[Years of Experience]]="","",IF(AND(tblSalaries[[#This Row],[Years of Experience]]&gt;10,tblSalaries[[#This Row],[Years of Experience]]&lt;=15),1,""))</f>
        <v/>
      </c>
      <c r="R238" t="str">
        <f>IF(tblSalaries[[#This Row],[Years of Experience]]="","",IF(AND(tblSalaries[[#This Row],[Years of Experience]]&gt;16,tblSalaries[[#This Row],[Years of Experience]]&lt;=20),1,""))</f>
        <v/>
      </c>
      <c r="S238" t="str">
        <f>IF(tblSalaries[[#This Row],[Years of Experience]]="","",IF(tblSalaries[[#This Row],[Years of Experience]]&gt;20,1,""))</f>
        <v/>
      </c>
      <c r="T2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8" s="13" t="str">
        <f>IF(tblSalaries[[#This Row],[Job Type]]=tblSalaries[[#Headers],[Accountant]],tblSalaries[[#This Row],[Salary in USD]],"")</f>
        <v/>
      </c>
      <c r="V238" s="13" t="str">
        <f>IF(tblSalaries[[#This Row],[Job Type]]=tblSalaries[[#Headers],[Analyst]],tblSalaries[[#This Row],[Salary in USD]],"")</f>
        <v/>
      </c>
      <c r="W238" s="13" t="str">
        <f>IF(tblSalaries[[#This Row],[Job Type]]=tblSalaries[[#Headers],[Consultant]],tblSalaries[[#This Row],[Salary in USD]],"")</f>
        <v/>
      </c>
      <c r="X238" s="13" t="str">
        <f>IF(tblSalaries[[#This Row],[Job Type]]=tblSalaries[[#Headers],[Controller]],tblSalaries[[#This Row],[Salary in USD]],"")</f>
        <v/>
      </c>
      <c r="Y238" s="13" t="str">
        <f>IF(tblSalaries[[#This Row],[Job Type]]=tblSalaries[[#Headers],[CXO or Top Mgmt.]],tblSalaries[[#This Row],[clean Salary (in local currency)]],"")</f>
        <v/>
      </c>
      <c r="Z238" s="13" t="str">
        <f>IF(tblSalaries[[#This Row],[Job Type]]=tblSalaries[[#Headers],[Engineer]],tblSalaries[[#This Row],[Salary in USD]],"")</f>
        <v/>
      </c>
      <c r="AA238" s="13">
        <f>IF(tblSalaries[[#This Row],[Job Type]]=tblSalaries[[#Headers],[Manager]],tblSalaries[[#This Row],[Salary in USD]],"")</f>
        <v>98336.152303032693</v>
      </c>
      <c r="AB238" s="13" t="str">
        <f>IF(tblSalaries[[#This Row],[Job Type]]=tblSalaries[[#Headers],[Misc.]],tblSalaries[[#This Row],[Salary in USD]],"")</f>
        <v/>
      </c>
      <c r="AC238" s="13" t="str">
        <f>IF(tblSalaries[[#This Row],[Job Type]]=tblSalaries[[#Headers],[Reporting]],tblSalaries[[#This Row],[Salary in USD]],"")</f>
        <v/>
      </c>
      <c r="AD238" s="13" t="str">
        <f>IF(tblSalaries[[#This Row],[Job Type]]=tblSalaries[[#Headers],[Specialist]],tblSalaries[[#This Row],[Salary in USD]],"")</f>
        <v/>
      </c>
    </row>
    <row r="239" spans="2:30" ht="15" customHeight="1" x14ac:dyDescent="0.25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 s="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  <c r="N239" t="str">
        <f>IF(tblSalaries[[#This Row],[Years of Experience]]="","",IF(tblSalaries[[#This Row],[Years of Experience]]&lt;=2,1,""))</f>
        <v/>
      </c>
      <c r="O239" t="str">
        <f>IF(tblSalaries[[#This Row],[Years of Experience]]="","",IF(AND(tblSalaries[[#This Row],[Years of Experience]]&gt;2,tblSalaries[[#This Row],[Years of Experience]]&lt;=5),1,""))</f>
        <v/>
      </c>
      <c r="P239" t="str">
        <f>IF(tblSalaries[[#This Row],[Years of Experience]]="","",IF(AND(tblSalaries[[#This Row],[Years of Experience]]&gt;5,tblSalaries[[#This Row],[Years of Experience]]&lt;=10),1,""))</f>
        <v/>
      </c>
      <c r="Q239" t="str">
        <f>IF(tblSalaries[[#This Row],[Years of Experience]]="","",IF(AND(tblSalaries[[#This Row],[Years of Experience]]&gt;10,tblSalaries[[#This Row],[Years of Experience]]&lt;=15),1,""))</f>
        <v/>
      </c>
      <c r="R239" t="str">
        <f>IF(tblSalaries[[#This Row],[Years of Experience]]="","",IF(AND(tblSalaries[[#This Row],[Years of Experience]]&gt;16,tblSalaries[[#This Row],[Years of Experience]]&lt;=20),1,""))</f>
        <v/>
      </c>
      <c r="S239" t="str">
        <f>IF(tblSalaries[[#This Row],[Years of Experience]]="","",IF(tblSalaries[[#This Row],[Years of Experience]]&gt;20,1,""))</f>
        <v/>
      </c>
      <c r="T2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39" s="13" t="str">
        <f>IF(tblSalaries[[#This Row],[Job Type]]=tblSalaries[[#Headers],[Accountant]],tblSalaries[[#This Row],[Salary in USD]],"")</f>
        <v/>
      </c>
      <c r="V239" s="13" t="str">
        <f>IF(tblSalaries[[#This Row],[Job Type]]=tblSalaries[[#Headers],[Analyst]],tblSalaries[[#This Row],[Salary in USD]],"")</f>
        <v/>
      </c>
      <c r="W239" s="13" t="str">
        <f>IF(tblSalaries[[#This Row],[Job Type]]=tblSalaries[[#Headers],[Consultant]],tblSalaries[[#This Row],[Salary in USD]],"")</f>
        <v/>
      </c>
      <c r="X239" s="13" t="str">
        <f>IF(tblSalaries[[#This Row],[Job Type]]=tblSalaries[[#Headers],[Controller]],tblSalaries[[#This Row],[Salary in USD]],"")</f>
        <v/>
      </c>
      <c r="Y239" s="13" t="str">
        <f>IF(tblSalaries[[#This Row],[Job Type]]=tblSalaries[[#Headers],[CXO or Top Mgmt.]],tblSalaries[[#This Row],[clean Salary (in local currency)]],"")</f>
        <v/>
      </c>
      <c r="Z239" s="13" t="str">
        <f>IF(tblSalaries[[#This Row],[Job Type]]=tblSalaries[[#Headers],[Engineer]],tblSalaries[[#This Row],[Salary in USD]],"")</f>
        <v/>
      </c>
      <c r="AA239" s="13" t="str">
        <f>IF(tblSalaries[[#This Row],[Job Type]]=tblSalaries[[#Headers],[Manager]],tblSalaries[[#This Row],[Salary in USD]],"")</f>
        <v/>
      </c>
      <c r="AB239" s="13" t="str">
        <f>IF(tblSalaries[[#This Row],[Job Type]]=tblSalaries[[#Headers],[Misc.]],tblSalaries[[#This Row],[Salary in USD]],"")</f>
        <v/>
      </c>
      <c r="AC239" s="13" t="str">
        <f>IF(tblSalaries[[#This Row],[Job Type]]=tblSalaries[[#Headers],[Reporting]],tblSalaries[[#This Row],[Salary in USD]],"")</f>
        <v/>
      </c>
      <c r="AD239" s="13">
        <f>IF(tblSalaries[[#This Row],[Job Type]]=tblSalaries[[#Headers],[Specialist]],tblSalaries[[#This Row],[Salary in USD]],"")</f>
        <v>15244.793267899293</v>
      </c>
    </row>
    <row r="240" spans="2:30" ht="15" customHeight="1" x14ac:dyDescent="0.25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 s="9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  <c r="N240" t="str">
        <f>IF(tblSalaries[[#This Row],[Years of Experience]]="","",IF(tblSalaries[[#This Row],[Years of Experience]]&lt;=2,1,""))</f>
        <v/>
      </c>
      <c r="O240" t="str">
        <f>IF(tblSalaries[[#This Row],[Years of Experience]]="","",IF(AND(tblSalaries[[#This Row],[Years of Experience]]&gt;2,tblSalaries[[#This Row],[Years of Experience]]&lt;=5),1,""))</f>
        <v/>
      </c>
      <c r="P240" t="str">
        <f>IF(tblSalaries[[#This Row],[Years of Experience]]="","",IF(AND(tblSalaries[[#This Row],[Years of Experience]]&gt;5,tblSalaries[[#This Row],[Years of Experience]]&lt;=10),1,""))</f>
        <v/>
      </c>
      <c r="Q240" t="str">
        <f>IF(tblSalaries[[#This Row],[Years of Experience]]="","",IF(AND(tblSalaries[[#This Row],[Years of Experience]]&gt;10,tblSalaries[[#This Row],[Years of Experience]]&lt;=15),1,""))</f>
        <v/>
      </c>
      <c r="R240" t="str">
        <f>IF(tblSalaries[[#This Row],[Years of Experience]]="","",IF(AND(tblSalaries[[#This Row],[Years of Experience]]&gt;16,tblSalaries[[#This Row],[Years of Experience]]&lt;=20),1,""))</f>
        <v/>
      </c>
      <c r="S240" t="str">
        <f>IF(tblSalaries[[#This Row],[Years of Experience]]="","",IF(tblSalaries[[#This Row],[Years of Experience]]&gt;20,1,""))</f>
        <v/>
      </c>
      <c r="T2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0" s="13" t="str">
        <f>IF(tblSalaries[[#This Row],[Job Type]]=tblSalaries[[#Headers],[Accountant]],tblSalaries[[#This Row],[Salary in USD]],"")</f>
        <v/>
      </c>
      <c r="V240" s="13">
        <f>IF(tblSalaries[[#This Row],[Job Type]]=tblSalaries[[#Headers],[Analyst]],tblSalaries[[#This Row],[Salary in USD]],"")</f>
        <v>73000</v>
      </c>
      <c r="W240" s="13" t="str">
        <f>IF(tblSalaries[[#This Row],[Job Type]]=tblSalaries[[#Headers],[Consultant]],tblSalaries[[#This Row],[Salary in USD]],"")</f>
        <v/>
      </c>
      <c r="X240" s="13" t="str">
        <f>IF(tblSalaries[[#This Row],[Job Type]]=tblSalaries[[#Headers],[Controller]],tblSalaries[[#This Row],[Salary in USD]],"")</f>
        <v/>
      </c>
      <c r="Y240" s="13" t="str">
        <f>IF(tblSalaries[[#This Row],[Job Type]]=tblSalaries[[#Headers],[CXO or Top Mgmt.]],tblSalaries[[#This Row],[clean Salary (in local currency)]],"")</f>
        <v/>
      </c>
      <c r="Z240" s="13" t="str">
        <f>IF(tblSalaries[[#This Row],[Job Type]]=tblSalaries[[#Headers],[Engineer]],tblSalaries[[#This Row],[Salary in USD]],"")</f>
        <v/>
      </c>
      <c r="AA240" s="13" t="str">
        <f>IF(tblSalaries[[#This Row],[Job Type]]=tblSalaries[[#Headers],[Manager]],tblSalaries[[#This Row],[Salary in USD]],"")</f>
        <v/>
      </c>
      <c r="AB240" s="13" t="str">
        <f>IF(tblSalaries[[#This Row],[Job Type]]=tblSalaries[[#Headers],[Misc.]],tblSalaries[[#This Row],[Salary in USD]],"")</f>
        <v/>
      </c>
      <c r="AC240" s="13" t="str">
        <f>IF(tblSalaries[[#This Row],[Job Type]]=tblSalaries[[#Headers],[Reporting]],tblSalaries[[#This Row],[Salary in USD]],"")</f>
        <v/>
      </c>
      <c r="AD240" s="13" t="str">
        <f>IF(tblSalaries[[#This Row],[Job Type]]=tblSalaries[[#Headers],[Specialist]],tblSalaries[[#This Row],[Salary in USD]],"")</f>
        <v/>
      </c>
    </row>
    <row r="241" spans="2:30" ht="15" customHeight="1" x14ac:dyDescent="0.25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 s="9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  <c r="N241" t="str">
        <f>IF(tblSalaries[[#This Row],[Years of Experience]]="","",IF(tblSalaries[[#This Row],[Years of Experience]]&lt;=2,1,""))</f>
        <v/>
      </c>
      <c r="O241" t="str">
        <f>IF(tblSalaries[[#This Row],[Years of Experience]]="","",IF(AND(tblSalaries[[#This Row],[Years of Experience]]&gt;2,tblSalaries[[#This Row],[Years of Experience]]&lt;=5),1,""))</f>
        <v/>
      </c>
      <c r="P241" t="str">
        <f>IF(tblSalaries[[#This Row],[Years of Experience]]="","",IF(AND(tblSalaries[[#This Row],[Years of Experience]]&gt;5,tblSalaries[[#This Row],[Years of Experience]]&lt;=10),1,""))</f>
        <v/>
      </c>
      <c r="Q241" t="str">
        <f>IF(tblSalaries[[#This Row],[Years of Experience]]="","",IF(AND(tblSalaries[[#This Row],[Years of Experience]]&gt;10,tblSalaries[[#This Row],[Years of Experience]]&lt;=15),1,""))</f>
        <v/>
      </c>
      <c r="R241" t="str">
        <f>IF(tblSalaries[[#This Row],[Years of Experience]]="","",IF(AND(tblSalaries[[#This Row],[Years of Experience]]&gt;16,tblSalaries[[#This Row],[Years of Experience]]&lt;=20),1,""))</f>
        <v/>
      </c>
      <c r="S241" t="str">
        <f>IF(tblSalaries[[#This Row],[Years of Experience]]="","",IF(tblSalaries[[#This Row],[Years of Experience]]&gt;20,1,""))</f>
        <v/>
      </c>
      <c r="T2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1" s="13" t="str">
        <f>IF(tblSalaries[[#This Row],[Job Type]]=tblSalaries[[#Headers],[Accountant]],tblSalaries[[#This Row],[Salary in USD]],"")</f>
        <v/>
      </c>
      <c r="V241" s="13">
        <f>IF(tblSalaries[[#This Row],[Job Type]]=tblSalaries[[#Headers],[Analyst]],tblSalaries[[#This Row],[Salary in USD]],"")</f>
        <v>50000</v>
      </c>
      <c r="W241" s="13" t="str">
        <f>IF(tblSalaries[[#This Row],[Job Type]]=tblSalaries[[#Headers],[Consultant]],tblSalaries[[#This Row],[Salary in USD]],"")</f>
        <v/>
      </c>
      <c r="X241" s="13" t="str">
        <f>IF(tblSalaries[[#This Row],[Job Type]]=tblSalaries[[#Headers],[Controller]],tblSalaries[[#This Row],[Salary in USD]],"")</f>
        <v/>
      </c>
      <c r="Y241" s="13" t="str">
        <f>IF(tblSalaries[[#This Row],[Job Type]]=tblSalaries[[#Headers],[CXO or Top Mgmt.]],tblSalaries[[#This Row],[clean Salary (in local currency)]],"")</f>
        <v/>
      </c>
      <c r="Z241" s="13" t="str">
        <f>IF(tblSalaries[[#This Row],[Job Type]]=tblSalaries[[#Headers],[Engineer]],tblSalaries[[#This Row],[Salary in USD]],"")</f>
        <v/>
      </c>
      <c r="AA241" s="13" t="str">
        <f>IF(tblSalaries[[#This Row],[Job Type]]=tblSalaries[[#Headers],[Manager]],tblSalaries[[#This Row],[Salary in USD]],"")</f>
        <v/>
      </c>
      <c r="AB241" s="13" t="str">
        <f>IF(tblSalaries[[#This Row],[Job Type]]=tblSalaries[[#Headers],[Misc.]],tblSalaries[[#This Row],[Salary in USD]],"")</f>
        <v/>
      </c>
      <c r="AC241" s="13" t="str">
        <f>IF(tblSalaries[[#This Row],[Job Type]]=tblSalaries[[#Headers],[Reporting]],tblSalaries[[#This Row],[Salary in USD]],"")</f>
        <v/>
      </c>
      <c r="AD241" s="13" t="str">
        <f>IF(tblSalaries[[#This Row],[Job Type]]=tblSalaries[[#Headers],[Specialist]],tblSalaries[[#This Row],[Salary in USD]],"")</f>
        <v/>
      </c>
    </row>
    <row r="242" spans="2:30" ht="15" customHeight="1" x14ac:dyDescent="0.25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 s="9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  <c r="N242" t="str">
        <f>IF(tblSalaries[[#This Row],[Years of Experience]]="","",IF(tblSalaries[[#This Row],[Years of Experience]]&lt;=2,1,""))</f>
        <v/>
      </c>
      <c r="O242" t="str">
        <f>IF(tblSalaries[[#This Row],[Years of Experience]]="","",IF(AND(tblSalaries[[#This Row],[Years of Experience]]&gt;2,tblSalaries[[#This Row],[Years of Experience]]&lt;=5),1,""))</f>
        <v/>
      </c>
      <c r="P242" t="str">
        <f>IF(tblSalaries[[#This Row],[Years of Experience]]="","",IF(AND(tblSalaries[[#This Row],[Years of Experience]]&gt;5,tblSalaries[[#This Row],[Years of Experience]]&lt;=10),1,""))</f>
        <v/>
      </c>
      <c r="Q242" t="str">
        <f>IF(tblSalaries[[#This Row],[Years of Experience]]="","",IF(AND(tblSalaries[[#This Row],[Years of Experience]]&gt;10,tblSalaries[[#This Row],[Years of Experience]]&lt;=15),1,""))</f>
        <v/>
      </c>
      <c r="R242" t="str">
        <f>IF(tblSalaries[[#This Row],[Years of Experience]]="","",IF(AND(tblSalaries[[#This Row],[Years of Experience]]&gt;16,tblSalaries[[#This Row],[Years of Experience]]&lt;=20),1,""))</f>
        <v/>
      </c>
      <c r="S242" t="str">
        <f>IF(tblSalaries[[#This Row],[Years of Experience]]="","",IF(tblSalaries[[#This Row],[Years of Experience]]&gt;20,1,""))</f>
        <v/>
      </c>
      <c r="T2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2" s="13">
        <f>IF(tblSalaries[[#This Row],[Job Type]]=tblSalaries[[#Headers],[Accountant]],tblSalaries[[#This Row],[Salary in USD]],"")</f>
        <v>79000</v>
      </c>
      <c r="V242" s="13" t="str">
        <f>IF(tblSalaries[[#This Row],[Job Type]]=tblSalaries[[#Headers],[Analyst]],tblSalaries[[#This Row],[Salary in USD]],"")</f>
        <v/>
      </c>
      <c r="W242" s="13" t="str">
        <f>IF(tblSalaries[[#This Row],[Job Type]]=tblSalaries[[#Headers],[Consultant]],tblSalaries[[#This Row],[Salary in USD]],"")</f>
        <v/>
      </c>
      <c r="X242" s="13" t="str">
        <f>IF(tblSalaries[[#This Row],[Job Type]]=tblSalaries[[#Headers],[Controller]],tblSalaries[[#This Row],[Salary in USD]],"")</f>
        <v/>
      </c>
      <c r="Y242" s="13" t="str">
        <f>IF(tblSalaries[[#This Row],[Job Type]]=tblSalaries[[#Headers],[CXO or Top Mgmt.]],tblSalaries[[#This Row],[clean Salary (in local currency)]],"")</f>
        <v/>
      </c>
      <c r="Z242" s="13" t="str">
        <f>IF(tblSalaries[[#This Row],[Job Type]]=tblSalaries[[#Headers],[Engineer]],tblSalaries[[#This Row],[Salary in USD]],"")</f>
        <v/>
      </c>
      <c r="AA242" s="13" t="str">
        <f>IF(tblSalaries[[#This Row],[Job Type]]=tblSalaries[[#Headers],[Manager]],tblSalaries[[#This Row],[Salary in USD]],"")</f>
        <v/>
      </c>
      <c r="AB242" s="13" t="str">
        <f>IF(tblSalaries[[#This Row],[Job Type]]=tblSalaries[[#Headers],[Misc.]],tblSalaries[[#This Row],[Salary in USD]],"")</f>
        <v/>
      </c>
      <c r="AC242" s="13" t="str">
        <f>IF(tblSalaries[[#This Row],[Job Type]]=tblSalaries[[#Headers],[Reporting]],tblSalaries[[#This Row],[Salary in USD]],"")</f>
        <v/>
      </c>
      <c r="AD242" s="13" t="str">
        <f>IF(tblSalaries[[#This Row],[Job Type]]=tblSalaries[[#Headers],[Specialist]],tblSalaries[[#This Row],[Salary in USD]],"")</f>
        <v/>
      </c>
    </row>
    <row r="243" spans="2:30" ht="15" customHeight="1" x14ac:dyDescent="0.25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 s="9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  <c r="N243" t="str">
        <f>IF(tblSalaries[[#This Row],[Years of Experience]]="","",IF(tblSalaries[[#This Row],[Years of Experience]]&lt;=2,1,""))</f>
        <v/>
      </c>
      <c r="O243" t="str">
        <f>IF(tblSalaries[[#This Row],[Years of Experience]]="","",IF(AND(tblSalaries[[#This Row],[Years of Experience]]&gt;2,tblSalaries[[#This Row],[Years of Experience]]&lt;=5),1,""))</f>
        <v/>
      </c>
      <c r="P243" t="str">
        <f>IF(tblSalaries[[#This Row],[Years of Experience]]="","",IF(AND(tblSalaries[[#This Row],[Years of Experience]]&gt;5,tblSalaries[[#This Row],[Years of Experience]]&lt;=10),1,""))</f>
        <v/>
      </c>
      <c r="Q243" t="str">
        <f>IF(tblSalaries[[#This Row],[Years of Experience]]="","",IF(AND(tblSalaries[[#This Row],[Years of Experience]]&gt;10,tblSalaries[[#This Row],[Years of Experience]]&lt;=15),1,""))</f>
        <v/>
      </c>
      <c r="R243" t="str">
        <f>IF(tblSalaries[[#This Row],[Years of Experience]]="","",IF(AND(tblSalaries[[#This Row],[Years of Experience]]&gt;16,tblSalaries[[#This Row],[Years of Experience]]&lt;=20),1,""))</f>
        <v/>
      </c>
      <c r="S243" t="str">
        <f>IF(tblSalaries[[#This Row],[Years of Experience]]="","",IF(tblSalaries[[#This Row],[Years of Experience]]&gt;20,1,""))</f>
        <v/>
      </c>
      <c r="T2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3" s="13" t="str">
        <f>IF(tblSalaries[[#This Row],[Job Type]]=tblSalaries[[#Headers],[Accountant]],tblSalaries[[#This Row],[Salary in USD]],"")</f>
        <v/>
      </c>
      <c r="V243" s="13" t="str">
        <f>IF(tblSalaries[[#This Row],[Job Type]]=tblSalaries[[#Headers],[Analyst]],tblSalaries[[#This Row],[Salary in USD]],"")</f>
        <v/>
      </c>
      <c r="W243" s="13" t="str">
        <f>IF(tblSalaries[[#This Row],[Job Type]]=tblSalaries[[#Headers],[Consultant]],tblSalaries[[#This Row],[Salary in USD]],"")</f>
        <v/>
      </c>
      <c r="X243" s="13" t="str">
        <f>IF(tblSalaries[[#This Row],[Job Type]]=tblSalaries[[#Headers],[Controller]],tblSalaries[[#This Row],[Salary in USD]],"")</f>
        <v/>
      </c>
      <c r="Y243" s="13" t="str">
        <f>IF(tblSalaries[[#This Row],[Job Type]]=tblSalaries[[#Headers],[CXO or Top Mgmt.]],tblSalaries[[#This Row],[clean Salary (in local currency)]],"")</f>
        <v/>
      </c>
      <c r="Z243" s="13" t="str">
        <f>IF(tblSalaries[[#This Row],[Job Type]]=tblSalaries[[#Headers],[Engineer]],tblSalaries[[#This Row],[Salary in USD]],"")</f>
        <v/>
      </c>
      <c r="AA243" s="13">
        <f>IF(tblSalaries[[#This Row],[Job Type]]=tblSalaries[[#Headers],[Manager]],tblSalaries[[#This Row],[Salary in USD]],"")</f>
        <v>90000</v>
      </c>
      <c r="AB243" s="13" t="str">
        <f>IF(tblSalaries[[#This Row],[Job Type]]=tblSalaries[[#Headers],[Misc.]],tblSalaries[[#This Row],[Salary in USD]],"")</f>
        <v/>
      </c>
      <c r="AC243" s="13" t="str">
        <f>IF(tblSalaries[[#This Row],[Job Type]]=tblSalaries[[#Headers],[Reporting]],tblSalaries[[#This Row],[Salary in USD]],"")</f>
        <v/>
      </c>
      <c r="AD243" s="13" t="str">
        <f>IF(tblSalaries[[#This Row],[Job Type]]=tblSalaries[[#Headers],[Specialist]],tblSalaries[[#This Row],[Salary in USD]],"")</f>
        <v/>
      </c>
    </row>
    <row r="244" spans="2:30" ht="15" customHeight="1" x14ac:dyDescent="0.25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 s="9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  <c r="N244" t="str">
        <f>IF(tblSalaries[[#This Row],[Years of Experience]]="","",IF(tblSalaries[[#This Row],[Years of Experience]]&lt;=2,1,""))</f>
        <v/>
      </c>
      <c r="O244" t="str">
        <f>IF(tblSalaries[[#This Row],[Years of Experience]]="","",IF(AND(tblSalaries[[#This Row],[Years of Experience]]&gt;2,tblSalaries[[#This Row],[Years of Experience]]&lt;=5),1,""))</f>
        <v/>
      </c>
      <c r="P244" t="str">
        <f>IF(tblSalaries[[#This Row],[Years of Experience]]="","",IF(AND(tblSalaries[[#This Row],[Years of Experience]]&gt;5,tblSalaries[[#This Row],[Years of Experience]]&lt;=10),1,""))</f>
        <v/>
      </c>
      <c r="Q244" t="str">
        <f>IF(tblSalaries[[#This Row],[Years of Experience]]="","",IF(AND(tblSalaries[[#This Row],[Years of Experience]]&gt;10,tblSalaries[[#This Row],[Years of Experience]]&lt;=15),1,""))</f>
        <v/>
      </c>
      <c r="R244" t="str">
        <f>IF(tblSalaries[[#This Row],[Years of Experience]]="","",IF(AND(tblSalaries[[#This Row],[Years of Experience]]&gt;16,tblSalaries[[#This Row],[Years of Experience]]&lt;=20),1,""))</f>
        <v/>
      </c>
      <c r="S244" t="str">
        <f>IF(tblSalaries[[#This Row],[Years of Experience]]="","",IF(tblSalaries[[#This Row],[Years of Experience]]&gt;20,1,""))</f>
        <v/>
      </c>
      <c r="T2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4" s="13" t="str">
        <f>IF(tblSalaries[[#This Row],[Job Type]]=tblSalaries[[#Headers],[Accountant]],tblSalaries[[#This Row],[Salary in USD]],"")</f>
        <v/>
      </c>
      <c r="V244" s="13" t="str">
        <f>IF(tblSalaries[[#This Row],[Job Type]]=tblSalaries[[#Headers],[Analyst]],tblSalaries[[#This Row],[Salary in USD]],"")</f>
        <v/>
      </c>
      <c r="W244" s="13" t="str">
        <f>IF(tblSalaries[[#This Row],[Job Type]]=tblSalaries[[#Headers],[Consultant]],tblSalaries[[#This Row],[Salary in USD]],"")</f>
        <v/>
      </c>
      <c r="X244" s="13" t="str">
        <f>IF(tblSalaries[[#This Row],[Job Type]]=tblSalaries[[#Headers],[Controller]],tblSalaries[[#This Row],[Salary in USD]],"")</f>
        <v/>
      </c>
      <c r="Y244" s="13" t="str">
        <f>IF(tblSalaries[[#This Row],[Job Type]]=tblSalaries[[#Headers],[CXO or Top Mgmt.]],tblSalaries[[#This Row],[clean Salary (in local currency)]],"")</f>
        <v/>
      </c>
      <c r="Z244" s="13" t="str">
        <f>IF(tblSalaries[[#This Row],[Job Type]]=tblSalaries[[#Headers],[Engineer]],tblSalaries[[#This Row],[Salary in USD]],"")</f>
        <v/>
      </c>
      <c r="AA244" s="13">
        <f>IF(tblSalaries[[#This Row],[Job Type]]=tblSalaries[[#Headers],[Manager]],tblSalaries[[#This Row],[Salary in USD]],"")</f>
        <v>70000</v>
      </c>
      <c r="AB244" s="13" t="str">
        <f>IF(tblSalaries[[#This Row],[Job Type]]=tblSalaries[[#Headers],[Misc.]],tblSalaries[[#This Row],[Salary in USD]],"")</f>
        <v/>
      </c>
      <c r="AC244" s="13" t="str">
        <f>IF(tblSalaries[[#This Row],[Job Type]]=tblSalaries[[#Headers],[Reporting]],tblSalaries[[#This Row],[Salary in USD]],"")</f>
        <v/>
      </c>
      <c r="AD244" s="13" t="str">
        <f>IF(tblSalaries[[#This Row],[Job Type]]=tblSalaries[[#Headers],[Specialist]],tblSalaries[[#This Row],[Salary in USD]],"")</f>
        <v/>
      </c>
    </row>
    <row r="245" spans="2:30" ht="15" customHeight="1" x14ac:dyDescent="0.25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 s="9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  <c r="N245" t="str">
        <f>IF(tblSalaries[[#This Row],[Years of Experience]]="","",IF(tblSalaries[[#This Row],[Years of Experience]]&lt;=2,1,""))</f>
        <v/>
      </c>
      <c r="O245" t="str">
        <f>IF(tblSalaries[[#This Row],[Years of Experience]]="","",IF(AND(tblSalaries[[#This Row],[Years of Experience]]&gt;2,tblSalaries[[#This Row],[Years of Experience]]&lt;=5),1,""))</f>
        <v/>
      </c>
      <c r="P245" t="str">
        <f>IF(tblSalaries[[#This Row],[Years of Experience]]="","",IF(AND(tblSalaries[[#This Row],[Years of Experience]]&gt;5,tblSalaries[[#This Row],[Years of Experience]]&lt;=10),1,""))</f>
        <v/>
      </c>
      <c r="Q245" t="str">
        <f>IF(tblSalaries[[#This Row],[Years of Experience]]="","",IF(AND(tblSalaries[[#This Row],[Years of Experience]]&gt;10,tblSalaries[[#This Row],[Years of Experience]]&lt;=15),1,""))</f>
        <v/>
      </c>
      <c r="R245" t="str">
        <f>IF(tblSalaries[[#This Row],[Years of Experience]]="","",IF(AND(tblSalaries[[#This Row],[Years of Experience]]&gt;16,tblSalaries[[#This Row],[Years of Experience]]&lt;=20),1,""))</f>
        <v/>
      </c>
      <c r="S245" t="str">
        <f>IF(tblSalaries[[#This Row],[Years of Experience]]="","",IF(tblSalaries[[#This Row],[Years of Experience]]&gt;20,1,""))</f>
        <v/>
      </c>
      <c r="T2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5" s="13" t="str">
        <f>IF(tblSalaries[[#This Row],[Job Type]]=tblSalaries[[#Headers],[Accountant]],tblSalaries[[#This Row],[Salary in USD]],"")</f>
        <v/>
      </c>
      <c r="V245" s="13" t="str">
        <f>IF(tblSalaries[[#This Row],[Job Type]]=tblSalaries[[#Headers],[Analyst]],tblSalaries[[#This Row],[Salary in USD]],"")</f>
        <v/>
      </c>
      <c r="W245" s="13" t="str">
        <f>IF(tblSalaries[[#This Row],[Job Type]]=tblSalaries[[#Headers],[Consultant]],tblSalaries[[#This Row],[Salary in USD]],"")</f>
        <v/>
      </c>
      <c r="X245" s="13" t="str">
        <f>IF(tblSalaries[[#This Row],[Job Type]]=tblSalaries[[#Headers],[Controller]],tblSalaries[[#This Row],[Salary in USD]],"")</f>
        <v/>
      </c>
      <c r="Y245" s="13" t="str">
        <f>IF(tblSalaries[[#This Row],[Job Type]]=tblSalaries[[#Headers],[CXO or Top Mgmt.]],tblSalaries[[#This Row],[clean Salary (in local currency)]],"")</f>
        <v/>
      </c>
      <c r="Z245" s="13" t="str">
        <f>IF(tblSalaries[[#This Row],[Job Type]]=tblSalaries[[#Headers],[Engineer]],tblSalaries[[#This Row],[Salary in USD]],"")</f>
        <v/>
      </c>
      <c r="AA245" s="13">
        <f>IF(tblSalaries[[#This Row],[Job Type]]=tblSalaries[[#Headers],[Manager]],tblSalaries[[#This Row],[Salary in USD]],"")</f>
        <v>63918.498996971248</v>
      </c>
      <c r="AB245" s="13" t="str">
        <f>IF(tblSalaries[[#This Row],[Job Type]]=tblSalaries[[#Headers],[Misc.]],tblSalaries[[#This Row],[Salary in USD]],"")</f>
        <v/>
      </c>
      <c r="AC245" s="13" t="str">
        <f>IF(tblSalaries[[#This Row],[Job Type]]=tblSalaries[[#Headers],[Reporting]],tblSalaries[[#This Row],[Salary in USD]],"")</f>
        <v/>
      </c>
      <c r="AD245" s="13" t="str">
        <f>IF(tblSalaries[[#This Row],[Job Type]]=tblSalaries[[#Headers],[Specialist]],tblSalaries[[#This Row],[Salary in USD]],"")</f>
        <v/>
      </c>
    </row>
    <row r="246" spans="2:30" ht="15" customHeight="1" x14ac:dyDescent="0.25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 s="9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  <c r="N246" t="str">
        <f>IF(tblSalaries[[#This Row],[Years of Experience]]="","",IF(tblSalaries[[#This Row],[Years of Experience]]&lt;=2,1,""))</f>
        <v/>
      </c>
      <c r="O246" t="str">
        <f>IF(tblSalaries[[#This Row],[Years of Experience]]="","",IF(AND(tblSalaries[[#This Row],[Years of Experience]]&gt;2,tblSalaries[[#This Row],[Years of Experience]]&lt;=5),1,""))</f>
        <v/>
      </c>
      <c r="P246" t="str">
        <f>IF(tblSalaries[[#This Row],[Years of Experience]]="","",IF(AND(tblSalaries[[#This Row],[Years of Experience]]&gt;5,tblSalaries[[#This Row],[Years of Experience]]&lt;=10),1,""))</f>
        <v/>
      </c>
      <c r="Q246" t="str">
        <f>IF(tblSalaries[[#This Row],[Years of Experience]]="","",IF(AND(tblSalaries[[#This Row],[Years of Experience]]&gt;10,tblSalaries[[#This Row],[Years of Experience]]&lt;=15),1,""))</f>
        <v/>
      </c>
      <c r="R246" t="str">
        <f>IF(tblSalaries[[#This Row],[Years of Experience]]="","",IF(AND(tblSalaries[[#This Row],[Years of Experience]]&gt;16,tblSalaries[[#This Row],[Years of Experience]]&lt;=20),1,""))</f>
        <v/>
      </c>
      <c r="S246" t="str">
        <f>IF(tblSalaries[[#This Row],[Years of Experience]]="","",IF(tblSalaries[[#This Row],[Years of Experience]]&gt;20,1,""))</f>
        <v/>
      </c>
      <c r="T2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6" s="13" t="str">
        <f>IF(tblSalaries[[#This Row],[Job Type]]=tblSalaries[[#Headers],[Accountant]],tblSalaries[[#This Row],[Salary in USD]],"")</f>
        <v/>
      </c>
      <c r="V246" s="13">
        <f>IF(tblSalaries[[#This Row],[Job Type]]=tblSalaries[[#Headers],[Analyst]],tblSalaries[[#This Row],[Salary in USD]],"")</f>
        <v>80000</v>
      </c>
      <c r="W246" s="13" t="str">
        <f>IF(tblSalaries[[#This Row],[Job Type]]=tblSalaries[[#Headers],[Consultant]],tblSalaries[[#This Row],[Salary in USD]],"")</f>
        <v/>
      </c>
      <c r="X246" s="13" t="str">
        <f>IF(tblSalaries[[#This Row],[Job Type]]=tblSalaries[[#Headers],[Controller]],tblSalaries[[#This Row],[Salary in USD]],"")</f>
        <v/>
      </c>
      <c r="Y246" s="13" t="str">
        <f>IF(tblSalaries[[#This Row],[Job Type]]=tblSalaries[[#Headers],[CXO or Top Mgmt.]],tblSalaries[[#This Row],[clean Salary (in local currency)]],"")</f>
        <v/>
      </c>
      <c r="Z246" s="13" t="str">
        <f>IF(tblSalaries[[#This Row],[Job Type]]=tblSalaries[[#Headers],[Engineer]],tblSalaries[[#This Row],[Salary in USD]],"")</f>
        <v/>
      </c>
      <c r="AA246" s="13" t="str">
        <f>IF(tblSalaries[[#This Row],[Job Type]]=tblSalaries[[#Headers],[Manager]],tblSalaries[[#This Row],[Salary in USD]],"")</f>
        <v/>
      </c>
      <c r="AB246" s="13" t="str">
        <f>IF(tblSalaries[[#This Row],[Job Type]]=tblSalaries[[#Headers],[Misc.]],tblSalaries[[#This Row],[Salary in USD]],"")</f>
        <v/>
      </c>
      <c r="AC246" s="13" t="str">
        <f>IF(tblSalaries[[#This Row],[Job Type]]=tblSalaries[[#Headers],[Reporting]],tblSalaries[[#This Row],[Salary in USD]],"")</f>
        <v/>
      </c>
      <c r="AD246" s="13" t="str">
        <f>IF(tblSalaries[[#This Row],[Job Type]]=tblSalaries[[#Headers],[Specialist]],tblSalaries[[#This Row],[Salary in USD]],"")</f>
        <v/>
      </c>
    </row>
    <row r="247" spans="2:30" ht="15" customHeight="1" x14ac:dyDescent="0.25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 s="9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  <c r="N247" t="str">
        <f>IF(tblSalaries[[#This Row],[Years of Experience]]="","",IF(tblSalaries[[#This Row],[Years of Experience]]&lt;=2,1,""))</f>
        <v/>
      </c>
      <c r="O247" t="str">
        <f>IF(tblSalaries[[#This Row],[Years of Experience]]="","",IF(AND(tblSalaries[[#This Row],[Years of Experience]]&gt;2,tblSalaries[[#This Row],[Years of Experience]]&lt;=5),1,""))</f>
        <v/>
      </c>
      <c r="P247" t="str">
        <f>IF(tblSalaries[[#This Row],[Years of Experience]]="","",IF(AND(tblSalaries[[#This Row],[Years of Experience]]&gt;5,tblSalaries[[#This Row],[Years of Experience]]&lt;=10),1,""))</f>
        <v/>
      </c>
      <c r="Q247" t="str">
        <f>IF(tblSalaries[[#This Row],[Years of Experience]]="","",IF(AND(tblSalaries[[#This Row],[Years of Experience]]&gt;10,tblSalaries[[#This Row],[Years of Experience]]&lt;=15),1,""))</f>
        <v/>
      </c>
      <c r="R247" t="str">
        <f>IF(tblSalaries[[#This Row],[Years of Experience]]="","",IF(AND(tblSalaries[[#This Row],[Years of Experience]]&gt;16,tblSalaries[[#This Row],[Years of Experience]]&lt;=20),1,""))</f>
        <v/>
      </c>
      <c r="S247" t="str">
        <f>IF(tblSalaries[[#This Row],[Years of Experience]]="","",IF(tblSalaries[[#This Row],[Years of Experience]]&gt;20,1,""))</f>
        <v/>
      </c>
      <c r="T2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7" s="13" t="str">
        <f>IF(tblSalaries[[#This Row],[Job Type]]=tblSalaries[[#Headers],[Accountant]],tblSalaries[[#This Row],[Salary in USD]],"")</f>
        <v/>
      </c>
      <c r="V247" s="13" t="str">
        <f>IF(tblSalaries[[#This Row],[Job Type]]=tblSalaries[[#Headers],[Analyst]],tblSalaries[[#This Row],[Salary in USD]],"")</f>
        <v/>
      </c>
      <c r="W247" s="13" t="str">
        <f>IF(tblSalaries[[#This Row],[Job Type]]=tblSalaries[[#Headers],[Consultant]],tblSalaries[[#This Row],[Salary in USD]],"")</f>
        <v/>
      </c>
      <c r="X247" s="13" t="str">
        <f>IF(tblSalaries[[#This Row],[Job Type]]=tblSalaries[[#Headers],[Controller]],tblSalaries[[#This Row],[Salary in USD]],"")</f>
        <v/>
      </c>
      <c r="Y247" s="13" t="str">
        <f>IF(tblSalaries[[#This Row],[Job Type]]=tblSalaries[[#Headers],[CXO or Top Mgmt.]],tblSalaries[[#This Row],[clean Salary (in local currency)]],"")</f>
        <v/>
      </c>
      <c r="Z247" s="13" t="str">
        <f>IF(tblSalaries[[#This Row],[Job Type]]=tblSalaries[[#Headers],[Engineer]],tblSalaries[[#This Row],[Salary in USD]],"")</f>
        <v/>
      </c>
      <c r="AA247" s="13">
        <f>IF(tblSalaries[[#This Row],[Job Type]]=tblSalaries[[#Headers],[Manager]],tblSalaries[[#This Row],[Salary in USD]],"")</f>
        <v>140000</v>
      </c>
      <c r="AB247" s="13" t="str">
        <f>IF(tblSalaries[[#This Row],[Job Type]]=tblSalaries[[#Headers],[Misc.]],tblSalaries[[#This Row],[Salary in USD]],"")</f>
        <v/>
      </c>
      <c r="AC247" s="13" t="str">
        <f>IF(tblSalaries[[#This Row],[Job Type]]=tblSalaries[[#Headers],[Reporting]],tblSalaries[[#This Row],[Salary in USD]],"")</f>
        <v/>
      </c>
      <c r="AD247" s="13" t="str">
        <f>IF(tblSalaries[[#This Row],[Job Type]]=tblSalaries[[#Headers],[Specialist]],tblSalaries[[#This Row],[Salary in USD]],"")</f>
        <v/>
      </c>
    </row>
    <row r="248" spans="2:30" ht="15" customHeight="1" x14ac:dyDescent="0.25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 s="9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  <c r="N248" t="str">
        <f>IF(tblSalaries[[#This Row],[Years of Experience]]="","",IF(tblSalaries[[#This Row],[Years of Experience]]&lt;=2,1,""))</f>
        <v/>
      </c>
      <c r="O248" t="str">
        <f>IF(tblSalaries[[#This Row],[Years of Experience]]="","",IF(AND(tblSalaries[[#This Row],[Years of Experience]]&gt;2,tblSalaries[[#This Row],[Years of Experience]]&lt;=5),1,""))</f>
        <v/>
      </c>
      <c r="P248" t="str">
        <f>IF(tblSalaries[[#This Row],[Years of Experience]]="","",IF(AND(tblSalaries[[#This Row],[Years of Experience]]&gt;5,tblSalaries[[#This Row],[Years of Experience]]&lt;=10),1,""))</f>
        <v/>
      </c>
      <c r="Q248" t="str">
        <f>IF(tblSalaries[[#This Row],[Years of Experience]]="","",IF(AND(tblSalaries[[#This Row],[Years of Experience]]&gt;10,tblSalaries[[#This Row],[Years of Experience]]&lt;=15),1,""))</f>
        <v/>
      </c>
      <c r="R248" t="str">
        <f>IF(tblSalaries[[#This Row],[Years of Experience]]="","",IF(AND(tblSalaries[[#This Row],[Years of Experience]]&gt;16,tblSalaries[[#This Row],[Years of Experience]]&lt;=20),1,""))</f>
        <v/>
      </c>
      <c r="S248" t="str">
        <f>IF(tblSalaries[[#This Row],[Years of Experience]]="","",IF(tblSalaries[[#This Row],[Years of Experience]]&gt;20,1,""))</f>
        <v/>
      </c>
      <c r="T2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8" s="13" t="str">
        <f>IF(tblSalaries[[#This Row],[Job Type]]=tblSalaries[[#Headers],[Accountant]],tblSalaries[[#This Row],[Salary in USD]],"")</f>
        <v/>
      </c>
      <c r="V248" s="13" t="str">
        <f>IF(tblSalaries[[#This Row],[Job Type]]=tblSalaries[[#Headers],[Analyst]],tblSalaries[[#This Row],[Salary in USD]],"")</f>
        <v/>
      </c>
      <c r="W248" s="13">
        <f>IF(tblSalaries[[#This Row],[Job Type]]=tblSalaries[[#Headers],[Consultant]],tblSalaries[[#This Row],[Salary in USD]],"")</f>
        <v>96000</v>
      </c>
      <c r="X248" s="13" t="str">
        <f>IF(tblSalaries[[#This Row],[Job Type]]=tblSalaries[[#Headers],[Controller]],tblSalaries[[#This Row],[Salary in USD]],"")</f>
        <v/>
      </c>
      <c r="Y248" s="13" t="str">
        <f>IF(tblSalaries[[#This Row],[Job Type]]=tblSalaries[[#Headers],[CXO or Top Mgmt.]],tblSalaries[[#This Row],[clean Salary (in local currency)]],"")</f>
        <v/>
      </c>
      <c r="Z248" s="13" t="str">
        <f>IF(tblSalaries[[#This Row],[Job Type]]=tblSalaries[[#Headers],[Engineer]],tblSalaries[[#This Row],[Salary in USD]],"")</f>
        <v/>
      </c>
      <c r="AA248" s="13" t="str">
        <f>IF(tblSalaries[[#This Row],[Job Type]]=tblSalaries[[#Headers],[Manager]],tblSalaries[[#This Row],[Salary in USD]],"")</f>
        <v/>
      </c>
      <c r="AB248" s="13" t="str">
        <f>IF(tblSalaries[[#This Row],[Job Type]]=tblSalaries[[#Headers],[Misc.]],tblSalaries[[#This Row],[Salary in USD]],"")</f>
        <v/>
      </c>
      <c r="AC248" s="13" t="str">
        <f>IF(tblSalaries[[#This Row],[Job Type]]=tblSalaries[[#Headers],[Reporting]],tblSalaries[[#This Row],[Salary in USD]],"")</f>
        <v/>
      </c>
      <c r="AD248" s="13" t="str">
        <f>IF(tblSalaries[[#This Row],[Job Type]]=tblSalaries[[#Headers],[Specialist]],tblSalaries[[#This Row],[Salary in USD]],"")</f>
        <v/>
      </c>
    </row>
    <row r="249" spans="2:30" ht="15" customHeight="1" x14ac:dyDescent="0.25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 s="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  <c r="N249" t="str">
        <f>IF(tblSalaries[[#This Row],[Years of Experience]]="","",IF(tblSalaries[[#This Row],[Years of Experience]]&lt;=2,1,""))</f>
        <v/>
      </c>
      <c r="O249" t="str">
        <f>IF(tblSalaries[[#This Row],[Years of Experience]]="","",IF(AND(tblSalaries[[#This Row],[Years of Experience]]&gt;2,tblSalaries[[#This Row],[Years of Experience]]&lt;=5),1,""))</f>
        <v/>
      </c>
      <c r="P249" t="str">
        <f>IF(tblSalaries[[#This Row],[Years of Experience]]="","",IF(AND(tblSalaries[[#This Row],[Years of Experience]]&gt;5,tblSalaries[[#This Row],[Years of Experience]]&lt;=10),1,""))</f>
        <v/>
      </c>
      <c r="Q249" t="str">
        <f>IF(tblSalaries[[#This Row],[Years of Experience]]="","",IF(AND(tblSalaries[[#This Row],[Years of Experience]]&gt;10,tblSalaries[[#This Row],[Years of Experience]]&lt;=15),1,""))</f>
        <v/>
      </c>
      <c r="R249" t="str">
        <f>IF(tblSalaries[[#This Row],[Years of Experience]]="","",IF(AND(tblSalaries[[#This Row],[Years of Experience]]&gt;16,tblSalaries[[#This Row],[Years of Experience]]&lt;=20),1,""))</f>
        <v/>
      </c>
      <c r="S249" t="str">
        <f>IF(tblSalaries[[#This Row],[Years of Experience]]="","",IF(tblSalaries[[#This Row],[Years of Experience]]&gt;20,1,""))</f>
        <v/>
      </c>
      <c r="T2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49" s="13" t="str">
        <f>IF(tblSalaries[[#This Row],[Job Type]]=tblSalaries[[#Headers],[Accountant]],tblSalaries[[#This Row],[Salary in USD]],"")</f>
        <v/>
      </c>
      <c r="V249" s="13" t="str">
        <f>IF(tblSalaries[[#This Row],[Job Type]]=tblSalaries[[#Headers],[Analyst]],tblSalaries[[#This Row],[Salary in USD]],"")</f>
        <v/>
      </c>
      <c r="W249" s="13" t="str">
        <f>IF(tblSalaries[[#This Row],[Job Type]]=tblSalaries[[#Headers],[Consultant]],tblSalaries[[#This Row],[Salary in USD]],"")</f>
        <v/>
      </c>
      <c r="X249" s="13" t="str">
        <f>IF(tblSalaries[[#This Row],[Job Type]]=tblSalaries[[#Headers],[Controller]],tblSalaries[[#This Row],[Salary in USD]],"")</f>
        <v/>
      </c>
      <c r="Y249" s="13" t="str">
        <f>IF(tblSalaries[[#This Row],[Job Type]]=tblSalaries[[#Headers],[CXO or Top Mgmt.]],tblSalaries[[#This Row],[clean Salary (in local currency)]],"")</f>
        <v/>
      </c>
      <c r="Z249" s="13" t="str">
        <f>IF(tblSalaries[[#This Row],[Job Type]]=tblSalaries[[#Headers],[Engineer]],tblSalaries[[#This Row],[Salary in USD]],"")</f>
        <v/>
      </c>
      <c r="AA249" s="13">
        <f>IF(tblSalaries[[#This Row],[Job Type]]=tblSalaries[[#Headers],[Manager]],tblSalaries[[#This Row],[Salary in USD]],"")</f>
        <v>20000</v>
      </c>
      <c r="AB249" s="13" t="str">
        <f>IF(tblSalaries[[#This Row],[Job Type]]=tblSalaries[[#Headers],[Misc.]],tblSalaries[[#This Row],[Salary in USD]],"")</f>
        <v/>
      </c>
      <c r="AC249" s="13" t="str">
        <f>IF(tblSalaries[[#This Row],[Job Type]]=tblSalaries[[#Headers],[Reporting]],tblSalaries[[#This Row],[Salary in USD]],"")</f>
        <v/>
      </c>
      <c r="AD249" s="13" t="str">
        <f>IF(tblSalaries[[#This Row],[Job Type]]=tblSalaries[[#Headers],[Specialist]],tblSalaries[[#This Row],[Salary in USD]],"")</f>
        <v/>
      </c>
    </row>
    <row r="250" spans="2:30" ht="15" customHeight="1" x14ac:dyDescent="0.25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 s="9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  <c r="N250" t="str">
        <f>IF(tblSalaries[[#This Row],[Years of Experience]]="","",IF(tblSalaries[[#This Row],[Years of Experience]]&lt;=2,1,""))</f>
        <v/>
      </c>
      <c r="O250" t="str">
        <f>IF(tblSalaries[[#This Row],[Years of Experience]]="","",IF(AND(tblSalaries[[#This Row],[Years of Experience]]&gt;2,tblSalaries[[#This Row],[Years of Experience]]&lt;=5),1,""))</f>
        <v/>
      </c>
      <c r="P250" t="str">
        <f>IF(tblSalaries[[#This Row],[Years of Experience]]="","",IF(AND(tblSalaries[[#This Row],[Years of Experience]]&gt;5,tblSalaries[[#This Row],[Years of Experience]]&lt;=10),1,""))</f>
        <v/>
      </c>
      <c r="Q250" t="str">
        <f>IF(tblSalaries[[#This Row],[Years of Experience]]="","",IF(AND(tblSalaries[[#This Row],[Years of Experience]]&gt;10,tblSalaries[[#This Row],[Years of Experience]]&lt;=15),1,""))</f>
        <v/>
      </c>
      <c r="R250" t="str">
        <f>IF(tblSalaries[[#This Row],[Years of Experience]]="","",IF(AND(tblSalaries[[#This Row],[Years of Experience]]&gt;16,tblSalaries[[#This Row],[Years of Experience]]&lt;=20),1,""))</f>
        <v/>
      </c>
      <c r="S250" t="str">
        <f>IF(tblSalaries[[#This Row],[Years of Experience]]="","",IF(tblSalaries[[#This Row],[Years of Experience]]&gt;20,1,""))</f>
        <v/>
      </c>
      <c r="T2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0" s="13" t="str">
        <f>IF(tblSalaries[[#This Row],[Job Type]]=tblSalaries[[#Headers],[Accountant]],tblSalaries[[#This Row],[Salary in USD]],"")</f>
        <v/>
      </c>
      <c r="V250" s="13">
        <f>IF(tblSalaries[[#This Row],[Job Type]]=tblSalaries[[#Headers],[Analyst]],tblSalaries[[#This Row],[Salary in USD]],"")</f>
        <v>47700</v>
      </c>
      <c r="W250" s="13" t="str">
        <f>IF(tblSalaries[[#This Row],[Job Type]]=tblSalaries[[#Headers],[Consultant]],tblSalaries[[#This Row],[Salary in USD]],"")</f>
        <v/>
      </c>
      <c r="X250" s="13" t="str">
        <f>IF(tblSalaries[[#This Row],[Job Type]]=tblSalaries[[#Headers],[Controller]],tblSalaries[[#This Row],[Salary in USD]],"")</f>
        <v/>
      </c>
      <c r="Y250" s="13" t="str">
        <f>IF(tblSalaries[[#This Row],[Job Type]]=tblSalaries[[#Headers],[CXO or Top Mgmt.]],tblSalaries[[#This Row],[clean Salary (in local currency)]],"")</f>
        <v/>
      </c>
      <c r="Z250" s="13" t="str">
        <f>IF(tblSalaries[[#This Row],[Job Type]]=tblSalaries[[#Headers],[Engineer]],tblSalaries[[#This Row],[Salary in USD]],"")</f>
        <v/>
      </c>
      <c r="AA250" s="13" t="str">
        <f>IF(tblSalaries[[#This Row],[Job Type]]=tblSalaries[[#Headers],[Manager]],tblSalaries[[#This Row],[Salary in USD]],"")</f>
        <v/>
      </c>
      <c r="AB250" s="13" t="str">
        <f>IF(tblSalaries[[#This Row],[Job Type]]=tblSalaries[[#Headers],[Misc.]],tblSalaries[[#This Row],[Salary in USD]],"")</f>
        <v/>
      </c>
      <c r="AC250" s="13" t="str">
        <f>IF(tblSalaries[[#This Row],[Job Type]]=tblSalaries[[#Headers],[Reporting]],tblSalaries[[#This Row],[Salary in USD]],"")</f>
        <v/>
      </c>
      <c r="AD250" s="13" t="str">
        <f>IF(tblSalaries[[#This Row],[Job Type]]=tblSalaries[[#Headers],[Specialist]],tblSalaries[[#This Row],[Salary in USD]],"")</f>
        <v/>
      </c>
    </row>
    <row r="251" spans="2:30" ht="15" customHeight="1" x14ac:dyDescent="0.25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 s="9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  <c r="N251" t="str">
        <f>IF(tblSalaries[[#This Row],[Years of Experience]]="","",IF(tblSalaries[[#This Row],[Years of Experience]]&lt;=2,1,""))</f>
        <v/>
      </c>
      <c r="O251" t="str">
        <f>IF(tblSalaries[[#This Row],[Years of Experience]]="","",IF(AND(tblSalaries[[#This Row],[Years of Experience]]&gt;2,tblSalaries[[#This Row],[Years of Experience]]&lt;=5),1,""))</f>
        <v/>
      </c>
      <c r="P251" t="str">
        <f>IF(tblSalaries[[#This Row],[Years of Experience]]="","",IF(AND(tblSalaries[[#This Row],[Years of Experience]]&gt;5,tblSalaries[[#This Row],[Years of Experience]]&lt;=10),1,""))</f>
        <v/>
      </c>
      <c r="Q251" t="str">
        <f>IF(tblSalaries[[#This Row],[Years of Experience]]="","",IF(AND(tblSalaries[[#This Row],[Years of Experience]]&gt;10,tblSalaries[[#This Row],[Years of Experience]]&lt;=15),1,""))</f>
        <v/>
      </c>
      <c r="R251" t="str">
        <f>IF(tblSalaries[[#This Row],[Years of Experience]]="","",IF(AND(tblSalaries[[#This Row],[Years of Experience]]&gt;16,tblSalaries[[#This Row],[Years of Experience]]&lt;=20),1,""))</f>
        <v/>
      </c>
      <c r="S251" t="str">
        <f>IF(tblSalaries[[#This Row],[Years of Experience]]="","",IF(tblSalaries[[#This Row],[Years of Experience]]&gt;20,1,""))</f>
        <v/>
      </c>
      <c r="T2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1" s="13" t="str">
        <f>IF(tblSalaries[[#This Row],[Job Type]]=tblSalaries[[#Headers],[Accountant]],tblSalaries[[#This Row],[Salary in USD]],"")</f>
        <v/>
      </c>
      <c r="V251" s="13" t="str">
        <f>IF(tblSalaries[[#This Row],[Job Type]]=tblSalaries[[#Headers],[Analyst]],tblSalaries[[#This Row],[Salary in USD]],"")</f>
        <v/>
      </c>
      <c r="W251" s="13" t="str">
        <f>IF(tblSalaries[[#This Row],[Job Type]]=tblSalaries[[#Headers],[Consultant]],tblSalaries[[#This Row],[Salary in USD]],"")</f>
        <v/>
      </c>
      <c r="X251" s="13" t="str">
        <f>IF(tblSalaries[[#This Row],[Job Type]]=tblSalaries[[#Headers],[Controller]],tblSalaries[[#This Row],[Salary in USD]],"")</f>
        <v/>
      </c>
      <c r="Y251" s="13" t="str">
        <f>IF(tblSalaries[[#This Row],[Job Type]]=tblSalaries[[#Headers],[CXO or Top Mgmt.]],tblSalaries[[#This Row],[clean Salary (in local currency)]],"")</f>
        <v/>
      </c>
      <c r="Z251" s="13" t="str">
        <f>IF(tblSalaries[[#This Row],[Job Type]]=tblSalaries[[#Headers],[Engineer]],tblSalaries[[#This Row],[Salary in USD]],"")</f>
        <v/>
      </c>
      <c r="AA251" s="13">
        <f>IF(tblSalaries[[#This Row],[Job Type]]=tblSalaries[[#Headers],[Manager]],tblSalaries[[#This Row],[Salary in USD]],"")</f>
        <v>25000</v>
      </c>
      <c r="AB251" s="13" t="str">
        <f>IF(tblSalaries[[#This Row],[Job Type]]=tblSalaries[[#Headers],[Misc.]],tblSalaries[[#This Row],[Salary in USD]],"")</f>
        <v/>
      </c>
      <c r="AC251" s="13" t="str">
        <f>IF(tblSalaries[[#This Row],[Job Type]]=tblSalaries[[#Headers],[Reporting]],tblSalaries[[#This Row],[Salary in USD]],"")</f>
        <v/>
      </c>
      <c r="AD251" s="13" t="str">
        <f>IF(tblSalaries[[#This Row],[Job Type]]=tblSalaries[[#Headers],[Specialist]],tblSalaries[[#This Row],[Salary in USD]],"")</f>
        <v/>
      </c>
    </row>
    <row r="252" spans="2:30" ht="15" customHeight="1" x14ac:dyDescent="0.25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 s="9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  <c r="N252" t="str">
        <f>IF(tblSalaries[[#This Row],[Years of Experience]]="","",IF(tblSalaries[[#This Row],[Years of Experience]]&lt;=2,1,""))</f>
        <v/>
      </c>
      <c r="O252" t="str">
        <f>IF(tblSalaries[[#This Row],[Years of Experience]]="","",IF(AND(tblSalaries[[#This Row],[Years of Experience]]&gt;2,tblSalaries[[#This Row],[Years of Experience]]&lt;=5),1,""))</f>
        <v/>
      </c>
      <c r="P252" t="str">
        <f>IF(tblSalaries[[#This Row],[Years of Experience]]="","",IF(AND(tblSalaries[[#This Row],[Years of Experience]]&gt;5,tblSalaries[[#This Row],[Years of Experience]]&lt;=10),1,""))</f>
        <v/>
      </c>
      <c r="Q252" t="str">
        <f>IF(tblSalaries[[#This Row],[Years of Experience]]="","",IF(AND(tblSalaries[[#This Row],[Years of Experience]]&gt;10,tblSalaries[[#This Row],[Years of Experience]]&lt;=15),1,""))</f>
        <v/>
      </c>
      <c r="R252" t="str">
        <f>IF(tblSalaries[[#This Row],[Years of Experience]]="","",IF(AND(tblSalaries[[#This Row],[Years of Experience]]&gt;16,tblSalaries[[#This Row],[Years of Experience]]&lt;=20),1,""))</f>
        <v/>
      </c>
      <c r="S252" t="str">
        <f>IF(tblSalaries[[#This Row],[Years of Experience]]="","",IF(tblSalaries[[#This Row],[Years of Experience]]&gt;20,1,""))</f>
        <v/>
      </c>
      <c r="T2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2" s="13" t="str">
        <f>IF(tblSalaries[[#This Row],[Job Type]]=tblSalaries[[#Headers],[Accountant]],tblSalaries[[#This Row],[Salary in USD]],"")</f>
        <v/>
      </c>
      <c r="V252" s="13">
        <f>IF(tblSalaries[[#This Row],[Job Type]]=tblSalaries[[#Headers],[Analyst]],tblSalaries[[#This Row],[Salary in USD]],"")</f>
        <v>52500</v>
      </c>
      <c r="W252" s="13" t="str">
        <f>IF(tblSalaries[[#This Row],[Job Type]]=tblSalaries[[#Headers],[Consultant]],tblSalaries[[#This Row],[Salary in USD]],"")</f>
        <v/>
      </c>
      <c r="X252" s="13" t="str">
        <f>IF(tblSalaries[[#This Row],[Job Type]]=tblSalaries[[#Headers],[Controller]],tblSalaries[[#This Row],[Salary in USD]],"")</f>
        <v/>
      </c>
      <c r="Y252" s="13" t="str">
        <f>IF(tblSalaries[[#This Row],[Job Type]]=tblSalaries[[#Headers],[CXO or Top Mgmt.]],tblSalaries[[#This Row],[clean Salary (in local currency)]],"")</f>
        <v/>
      </c>
      <c r="Z252" s="13" t="str">
        <f>IF(tblSalaries[[#This Row],[Job Type]]=tblSalaries[[#Headers],[Engineer]],tblSalaries[[#This Row],[Salary in USD]],"")</f>
        <v/>
      </c>
      <c r="AA252" s="13" t="str">
        <f>IF(tblSalaries[[#This Row],[Job Type]]=tblSalaries[[#Headers],[Manager]],tblSalaries[[#This Row],[Salary in USD]],"")</f>
        <v/>
      </c>
      <c r="AB252" s="13" t="str">
        <f>IF(tblSalaries[[#This Row],[Job Type]]=tblSalaries[[#Headers],[Misc.]],tblSalaries[[#This Row],[Salary in USD]],"")</f>
        <v/>
      </c>
      <c r="AC252" s="13" t="str">
        <f>IF(tblSalaries[[#This Row],[Job Type]]=tblSalaries[[#Headers],[Reporting]],tblSalaries[[#This Row],[Salary in USD]],"")</f>
        <v/>
      </c>
      <c r="AD252" s="13" t="str">
        <f>IF(tblSalaries[[#This Row],[Job Type]]=tblSalaries[[#Headers],[Specialist]],tblSalaries[[#This Row],[Salary in USD]],"")</f>
        <v/>
      </c>
    </row>
    <row r="253" spans="2:30" ht="15" customHeight="1" x14ac:dyDescent="0.25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 s="9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  <c r="N253" t="str">
        <f>IF(tblSalaries[[#This Row],[Years of Experience]]="","",IF(tblSalaries[[#This Row],[Years of Experience]]&lt;=2,1,""))</f>
        <v/>
      </c>
      <c r="O253" t="str">
        <f>IF(tblSalaries[[#This Row],[Years of Experience]]="","",IF(AND(tblSalaries[[#This Row],[Years of Experience]]&gt;2,tblSalaries[[#This Row],[Years of Experience]]&lt;=5),1,""))</f>
        <v/>
      </c>
      <c r="P253" t="str">
        <f>IF(tblSalaries[[#This Row],[Years of Experience]]="","",IF(AND(tblSalaries[[#This Row],[Years of Experience]]&gt;5,tblSalaries[[#This Row],[Years of Experience]]&lt;=10),1,""))</f>
        <v/>
      </c>
      <c r="Q253" t="str">
        <f>IF(tblSalaries[[#This Row],[Years of Experience]]="","",IF(AND(tblSalaries[[#This Row],[Years of Experience]]&gt;10,tblSalaries[[#This Row],[Years of Experience]]&lt;=15),1,""))</f>
        <v/>
      </c>
      <c r="R253" t="str">
        <f>IF(tblSalaries[[#This Row],[Years of Experience]]="","",IF(AND(tblSalaries[[#This Row],[Years of Experience]]&gt;16,tblSalaries[[#This Row],[Years of Experience]]&lt;=20),1,""))</f>
        <v/>
      </c>
      <c r="S253" t="str">
        <f>IF(tblSalaries[[#This Row],[Years of Experience]]="","",IF(tblSalaries[[#This Row],[Years of Experience]]&gt;20,1,""))</f>
        <v/>
      </c>
      <c r="T2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3" s="13" t="str">
        <f>IF(tblSalaries[[#This Row],[Job Type]]=tblSalaries[[#Headers],[Accountant]],tblSalaries[[#This Row],[Salary in USD]],"")</f>
        <v/>
      </c>
      <c r="V253" s="13">
        <f>IF(tblSalaries[[#This Row],[Job Type]]=tblSalaries[[#Headers],[Analyst]],tblSalaries[[#This Row],[Salary in USD]],"")</f>
        <v>40000</v>
      </c>
      <c r="W253" s="13" t="str">
        <f>IF(tblSalaries[[#This Row],[Job Type]]=tblSalaries[[#Headers],[Consultant]],tblSalaries[[#This Row],[Salary in USD]],"")</f>
        <v/>
      </c>
      <c r="X253" s="13" t="str">
        <f>IF(tblSalaries[[#This Row],[Job Type]]=tblSalaries[[#Headers],[Controller]],tblSalaries[[#This Row],[Salary in USD]],"")</f>
        <v/>
      </c>
      <c r="Y253" s="13" t="str">
        <f>IF(tblSalaries[[#This Row],[Job Type]]=tblSalaries[[#Headers],[CXO or Top Mgmt.]],tblSalaries[[#This Row],[clean Salary (in local currency)]],"")</f>
        <v/>
      </c>
      <c r="Z253" s="13" t="str">
        <f>IF(tblSalaries[[#This Row],[Job Type]]=tblSalaries[[#Headers],[Engineer]],tblSalaries[[#This Row],[Salary in USD]],"")</f>
        <v/>
      </c>
      <c r="AA253" s="13" t="str">
        <f>IF(tblSalaries[[#This Row],[Job Type]]=tblSalaries[[#Headers],[Manager]],tblSalaries[[#This Row],[Salary in USD]],"")</f>
        <v/>
      </c>
      <c r="AB253" s="13" t="str">
        <f>IF(tblSalaries[[#This Row],[Job Type]]=tblSalaries[[#Headers],[Misc.]],tblSalaries[[#This Row],[Salary in USD]],"")</f>
        <v/>
      </c>
      <c r="AC253" s="13" t="str">
        <f>IF(tblSalaries[[#This Row],[Job Type]]=tblSalaries[[#Headers],[Reporting]],tblSalaries[[#This Row],[Salary in USD]],"")</f>
        <v/>
      </c>
      <c r="AD253" s="13" t="str">
        <f>IF(tblSalaries[[#This Row],[Job Type]]=tblSalaries[[#Headers],[Specialist]],tblSalaries[[#This Row],[Salary in USD]],"")</f>
        <v/>
      </c>
    </row>
    <row r="254" spans="2:30" ht="15" customHeight="1" x14ac:dyDescent="0.25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 s="9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  <c r="N254" t="str">
        <f>IF(tblSalaries[[#This Row],[Years of Experience]]="","",IF(tblSalaries[[#This Row],[Years of Experience]]&lt;=2,1,""))</f>
        <v/>
      </c>
      <c r="O254" t="str">
        <f>IF(tblSalaries[[#This Row],[Years of Experience]]="","",IF(AND(tblSalaries[[#This Row],[Years of Experience]]&gt;2,tblSalaries[[#This Row],[Years of Experience]]&lt;=5),1,""))</f>
        <v/>
      </c>
      <c r="P254" t="str">
        <f>IF(tblSalaries[[#This Row],[Years of Experience]]="","",IF(AND(tblSalaries[[#This Row],[Years of Experience]]&gt;5,tblSalaries[[#This Row],[Years of Experience]]&lt;=10),1,""))</f>
        <v/>
      </c>
      <c r="Q254" t="str">
        <f>IF(tblSalaries[[#This Row],[Years of Experience]]="","",IF(AND(tblSalaries[[#This Row],[Years of Experience]]&gt;10,tblSalaries[[#This Row],[Years of Experience]]&lt;=15),1,""))</f>
        <v/>
      </c>
      <c r="R254" t="str">
        <f>IF(tblSalaries[[#This Row],[Years of Experience]]="","",IF(AND(tblSalaries[[#This Row],[Years of Experience]]&gt;16,tblSalaries[[#This Row],[Years of Experience]]&lt;=20),1,""))</f>
        <v/>
      </c>
      <c r="S254" t="str">
        <f>IF(tblSalaries[[#This Row],[Years of Experience]]="","",IF(tblSalaries[[#This Row],[Years of Experience]]&gt;20,1,""))</f>
        <v/>
      </c>
      <c r="T2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4" s="13" t="str">
        <f>IF(tblSalaries[[#This Row],[Job Type]]=tblSalaries[[#Headers],[Accountant]],tblSalaries[[#This Row],[Salary in USD]],"")</f>
        <v/>
      </c>
      <c r="V254" s="13">
        <f>IF(tblSalaries[[#This Row],[Job Type]]=tblSalaries[[#Headers],[Analyst]],tblSalaries[[#This Row],[Salary in USD]],"")</f>
        <v>31000</v>
      </c>
      <c r="W254" s="13" t="str">
        <f>IF(tblSalaries[[#This Row],[Job Type]]=tblSalaries[[#Headers],[Consultant]],tblSalaries[[#This Row],[Salary in USD]],"")</f>
        <v/>
      </c>
      <c r="X254" s="13" t="str">
        <f>IF(tblSalaries[[#This Row],[Job Type]]=tblSalaries[[#Headers],[Controller]],tblSalaries[[#This Row],[Salary in USD]],"")</f>
        <v/>
      </c>
      <c r="Y254" s="13" t="str">
        <f>IF(tblSalaries[[#This Row],[Job Type]]=tblSalaries[[#Headers],[CXO or Top Mgmt.]],tblSalaries[[#This Row],[clean Salary (in local currency)]],"")</f>
        <v/>
      </c>
      <c r="Z254" s="13" t="str">
        <f>IF(tblSalaries[[#This Row],[Job Type]]=tblSalaries[[#Headers],[Engineer]],tblSalaries[[#This Row],[Salary in USD]],"")</f>
        <v/>
      </c>
      <c r="AA254" s="13" t="str">
        <f>IF(tblSalaries[[#This Row],[Job Type]]=tblSalaries[[#Headers],[Manager]],tblSalaries[[#This Row],[Salary in USD]],"")</f>
        <v/>
      </c>
      <c r="AB254" s="13" t="str">
        <f>IF(tblSalaries[[#This Row],[Job Type]]=tblSalaries[[#Headers],[Misc.]],tblSalaries[[#This Row],[Salary in USD]],"")</f>
        <v/>
      </c>
      <c r="AC254" s="13" t="str">
        <f>IF(tblSalaries[[#This Row],[Job Type]]=tblSalaries[[#Headers],[Reporting]],tblSalaries[[#This Row],[Salary in USD]],"")</f>
        <v/>
      </c>
      <c r="AD254" s="13" t="str">
        <f>IF(tblSalaries[[#This Row],[Job Type]]=tblSalaries[[#Headers],[Specialist]],tblSalaries[[#This Row],[Salary in USD]],"")</f>
        <v/>
      </c>
    </row>
    <row r="255" spans="2:30" ht="15" customHeight="1" x14ac:dyDescent="0.25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 s="9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  <c r="N255" t="str">
        <f>IF(tblSalaries[[#This Row],[Years of Experience]]="","",IF(tblSalaries[[#This Row],[Years of Experience]]&lt;=2,1,""))</f>
        <v/>
      </c>
      <c r="O255" t="str">
        <f>IF(tblSalaries[[#This Row],[Years of Experience]]="","",IF(AND(tblSalaries[[#This Row],[Years of Experience]]&gt;2,tblSalaries[[#This Row],[Years of Experience]]&lt;=5),1,""))</f>
        <v/>
      </c>
      <c r="P255" t="str">
        <f>IF(tblSalaries[[#This Row],[Years of Experience]]="","",IF(AND(tblSalaries[[#This Row],[Years of Experience]]&gt;5,tblSalaries[[#This Row],[Years of Experience]]&lt;=10),1,""))</f>
        <v/>
      </c>
      <c r="Q255" t="str">
        <f>IF(tblSalaries[[#This Row],[Years of Experience]]="","",IF(AND(tblSalaries[[#This Row],[Years of Experience]]&gt;10,tblSalaries[[#This Row],[Years of Experience]]&lt;=15),1,""))</f>
        <v/>
      </c>
      <c r="R255" t="str">
        <f>IF(tblSalaries[[#This Row],[Years of Experience]]="","",IF(AND(tblSalaries[[#This Row],[Years of Experience]]&gt;16,tblSalaries[[#This Row],[Years of Experience]]&lt;=20),1,""))</f>
        <v/>
      </c>
      <c r="S255" t="str">
        <f>IF(tblSalaries[[#This Row],[Years of Experience]]="","",IF(tblSalaries[[#This Row],[Years of Experience]]&gt;20,1,""))</f>
        <v/>
      </c>
      <c r="T2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5" s="13" t="str">
        <f>IF(tblSalaries[[#This Row],[Job Type]]=tblSalaries[[#Headers],[Accountant]],tblSalaries[[#This Row],[Salary in USD]],"")</f>
        <v/>
      </c>
      <c r="V255" s="13" t="str">
        <f>IF(tblSalaries[[#This Row],[Job Type]]=tblSalaries[[#Headers],[Analyst]],tblSalaries[[#This Row],[Salary in USD]],"")</f>
        <v/>
      </c>
      <c r="W255" s="13">
        <f>IF(tblSalaries[[#This Row],[Job Type]]=tblSalaries[[#Headers],[Consultant]],tblSalaries[[#This Row],[Salary in USD]],"")</f>
        <v>83033.071372504521</v>
      </c>
      <c r="X255" s="13" t="str">
        <f>IF(tblSalaries[[#This Row],[Job Type]]=tblSalaries[[#Headers],[Controller]],tblSalaries[[#This Row],[Salary in USD]],"")</f>
        <v/>
      </c>
      <c r="Y255" s="13" t="str">
        <f>IF(tblSalaries[[#This Row],[Job Type]]=tblSalaries[[#Headers],[CXO or Top Mgmt.]],tblSalaries[[#This Row],[clean Salary (in local currency)]],"")</f>
        <v/>
      </c>
      <c r="Z255" s="13" t="str">
        <f>IF(tblSalaries[[#This Row],[Job Type]]=tblSalaries[[#Headers],[Engineer]],tblSalaries[[#This Row],[Salary in USD]],"")</f>
        <v/>
      </c>
      <c r="AA255" s="13" t="str">
        <f>IF(tblSalaries[[#This Row],[Job Type]]=tblSalaries[[#Headers],[Manager]],tblSalaries[[#This Row],[Salary in USD]],"")</f>
        <v/>
      </c>
      <c r="AB255" s="13" t="str">
        <f>IF(tblSalaries[[#This Row],[Job Type]]=tblSalaries[[#Headers],[Misc.]],tblSalaries[[#This Row],[Salary in USD]],"")</f>
        <v/>
      </c>
      <c r="AC255" s="13" t="str">
        <f>IF(tblSalaries[[#This Row],[Job Type]]=tblSalaries[[#Headers],[Reporting]],tblSalaries[[#This Row],[Salary in USD]],"")</f>
        <v/>
      </c>
      <c r="AD255" s="13" t="str">
        <f>IF(tblSalaries[[#This Row],[Job Type]]=tblSalaries[[#Headers],[Specialist]],tblSalaries[[#This Row],[Salary in USD]],"")</f>
        <v/>
      </c>
    </row>
    <row r="256" spans="2:30" ht="15" customHeight="1" x14ac:dyDescent="0.25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 s="9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  <c r="N256" t="str">
        <f>IF(tblSalaries[[#This Row],[Years of Experience]]="","",IF(tblSalaries[[#This Row],[Years of Experience]]&lt;=2,1,""))</f>
        <v/>
      </c>
      <c r="O256" t="str">
        <f>IF(tblSalaries[[#This Row],[Years of Experience]]="","",IF(AND(tblSalaries[[#This Row],[Years of Experience]]&gt;2,tblSalaries[[#This Row],[Years of Experience]]&lt;=5),1,""))</f>
        <v/>
      </c>
      <c r="P256" t="str">
        <f>IF(tblSalaries[[#This Row],[Years of Experience]]="","",IF(AND(tblSalaries[[#This Row],[Years of Experience]]&gt;5,tblSalaries[[#This Row],[Years of Experience]]&lt;=10),1,""))</f>
        <v/>
      </c>
      <c r="Q256" t="str">
        <f>IF(tblSalaries[[#This Row],[Years of Experience]]="","",IF(AND(tblSalaries[[#This Row],[Years of Experience]]&gt;10,tblSalaries[[#This Row],[Years of Experience]]&lt;=15),1,""))</f>
        <v/>
      </c>
      <c r="R256" t="str">
        <f>IF(tblSalaries[[#This Row],[Years of Experience]]="","",IF(AND(tblSalaries[[#This Row],[Years of Experience]]&gt;16,tblSalaries[[#This Row],[Years of Experience]]&lt;=20),1,""))</f>
        <v/>
      </c>
      <c r="S256" t="str">
        <f>IF(tblSalaries[[#This Row],[Years of Experience]]="","",IF(tblSalaries[[#This Row],[Years of Experience]]&gt;20,1,""))</f>
        <v/>
      </c>
      <c r="T2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6" s="13" t="str">
        <f>IF(tblSalaries[[#This Row],[Job Type]]=tblSalaries[[#Headers],[Accountant]],tblSalaries[[#This Row],[Salary in USD]],"")</f>
        <v/>
      </c>
      <c r="V256" s="13" t="str">
        <f>IF(tblSalaries[[#This Row],[Job Type]]=tblSalaries[[#Headers],[Analyst]],tblSalaries[[#This Row],[Salary in USD]],"")</f>
        <v/>
      </c>
      <c r="W256" s="13" t="str">
        <f>IF(tblSalaries[[#This Row],[Job Type]]=tblSalaries[[#Headers],[Consultant]],tblSalaries[[#This Row],[Salary in USD]],"")</f>
        <v/>
      </c>
      <c r="X256" s="13" t="str">
        <f>IF(tblSalaries[[#This Row],[Job Type]]=tblSalaries[[#Headers],[Controller]],tblSalaries[[#This Row],[Salary in USD]],"")</f>
        <v/>
      </c>
      <c r="Y256" s="13" t="str">
        <f>IF(tblSalaries[[#This Row],[Job Type]]=tblSalaries[[#Headers],[CXO or Top Mgmt.]],tblSalaries[[#This Row],[clean Salary (in local currency)]],"")</f>
        <v/>
      </c>
      <c r="Z256" s="13" t="str">
        <f>IF(tblSalaries[[#This Row],[Job Type]]=tblSalaries[[#Headers],[Engineer]],tblSalaries[[#This Row],[Salary in USD]],"")</f>
        <v/>
      </c>
      <c r="AA256" s="13">
        <f>IF(tblSalaries[[#This Row],[Job Type]]=tblSalaries[[#Headers],[Manager]],tblSalaries[[#This Row],[Salary in USD]],"")</f>
        <v>130000</v>
      </c>
      <c r="AB256" s="13" t="str">
        <f>IF(tblSalaries[[#This Row],[Job Type]]=tblSalaries[[#Headers],[Misc.]],tblSalaries[[#This Row],[Salary in USD]],"")</f>
        <v/>
      </c>
      <c r="AC256" s="13" t="str">
        <f>IF(tblSalaries[[#This Row],[Job Type]]=tblSalaries[[#Headers],[Reporting]],tblSalaries[[#This Row],[Salary in USD]],"")</f>
        <v/>
      </c>
      <c r="AD256" s="13" t="str">
        <f>IF(tblSalaries[[#This Row],[Job Type]]=tblSalaries[[#Headers],[Specialist]],tblSalaries[[#This Row],[Salary in USD]],"")</f>
        <v/>
      </c>
    </row>
    <row r="257" spans="2:30" ht="15" customHeight="1" x14ac:dyDescent="0.25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 s="9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  <c r="N257" t="str">
        <f>IF(tblSalaries[[#This Row],[Years of Experience]]="","",IF(tblSalaries[[#This Row],[Years of Experience]]&lt;=2,1,""))</f>
        <v/>
      </c>
      <c r="O257" t="str">
        <f>IF(tblSalaries[[#This Row],[Years of Experience]]="","",IF(AND(tblSalaries[[#This Row],[Years of Experience]]&gt;2,tblSalaries[[#This Row],[Years of Experience]]&lt;=5),1,""))</f>
        <v/>
      </c>
      <c r="P257" t="str">
        <f>IF(tblSalaries[[#This Row],[Years of Experience]]="","",IF(AND(tblSalaries[[#This Row],[Years of Experience]]&gt;5,tblSalaries[[#This Row],[Years of Experience]]&lt;=10),1,""))</f>
        <v/>
      </c>
      <c r="Q257" t="str">
        <f>IF(tblSalaries[[#This Row],[Years of Experience]]="","",IF(AND(tblSalaries[[#This Row],[Years of Experience]]&gt;10,tblSalaries[[#This Row],[Years of Experience]]&lt;=15),1,""))</f>
        <v/>
      </c>
      <c r="R257" t="str">
        <f>IF(tblSalaries[[#This Row],[Years of Experience]]="","",IF(AND(tblSalaries[[#This Row],[Years of Experience]]&gt;16,tblSalaries[[#This Row],[Years of Experience]]&lt;=20),1,""))</f>
        <v/>
      </c>
      <c r="S257" t="str">
        <f>IF(tblSalaries[[#This Row],[Years of Experience]]="","",IF(tblSalaries[[#This Row],[Years of Experience]]&gt;20,1,""))</f>
        <v/>
      </c>
      <c r="T2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7" s="13" t="str">
        <f>IF(tblSalaries[[#This Row],[Job Type]]=tblSalaries[[#Headers],[Accountant]],tblSalaries[[#This Row],[Salary in USD]],"")</f>
        <v/>
      </c>
      <c r="V257" s="13">
        <f>IF(tblSalaries[[#This Row],[Job Type]]=tblSalaries[[#Headers],[Analyst]],tblSalaries[[#This Row],[Salary in USD]],"")</f>
        <v>8369.7208430980063</v>
      </c>
      <c r="W257" s="13" t="str">
        <f>IF(tblSalaries[[#This Row],[Job Type]]=tblSalaries[[#Headers],[Consultant]],tblSalaries[[#This Row],[Salary in USD]],"")</f>
        <v/>
      </c>
      <c r="X257" s="13" t="str">
        <f>IF(tblSalaries[[#This Row],[Job Type]]=tblSalaries[[#Headers],[Controller]],tblSalaries[[#This Row],[Salary in USD]],"")</f>
        <v/>
      </c>
      <c r="Y257" s="13" t="str">
        <f>IF(tblSalaries[[#This Row],[Job Type]]=tblSalaries[[#Headers],[CXO or Top Mgmt.]],tblSalaries[[#This Row],[clean Salary (in local currency)]],"")</f>
        <v/>
      </c>
      <c r="Z257" s="13" t="str">
        <f>IF(tblSalaries[[#This Row],[Job Type]]=tblSalaries[[#Headers],[Engineer]],tblSalaries[[#This Row],[Salary in USD]],"")</f>
        <v/>
      </c>
      <c r="AA257" s="13" t="str">
        <f>IF(tblSalaries[[#This Row],[Job Type]]=tblSalaries[[#Headers],[Manager]],tblSalaries[[#This Row],[Salary in USD]],"")</f>
        <v/>
      </c>
      <c r="AB257" s="13" t="str">
        <f>IF(tblSalaries[[#This Row],[Job Type]]=tblSalaries[[#Headers],[Misc.]],tblSalaries[[#This Row],[Salary in USD]],"")</f>
        <v/>
      </c>
      <c r="AC257" s="13" t="str">
        <f>IF(tblSalaries[[#This Row],[Job Type]]=tblSalaries[[#Headers],[Reporting]],tblSalaries[[#This Row],[Salary in USD]],"")</f>
        <v/>
      </c>
      <c r="AD257" s="13" t="str">
        <f>IF(tblSalaries[[#This Row],[Job Type]]=tblSalaries[[#Headers],[Specialist]],tblSalaries[[#This Row],[Salary in USD]],"")</f>
        <v/>
      </c>
    </row>
    <row r="258" spans="2:30" ht="15" customHeight="1" x14ac:dyDescent="0.25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 s="9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  <c r="N258" t="str">
        <f>IF(tblSalaries[[#This Row],[Years of Experience]]="","",IF(tblSalaries[[#This Row],[Years of Experience]]&lt;=2,1,""))</f>
        <v/>
      </c>
      <c r="O258" t="str">
        <f>IF(tblSalaries[[#This Row],[Years of Experience]]="","",IF(AND(tblSalaries[[#This Row],[Years of Experience]]&gt;2,tblSalaries[[#This Row],[Years of Experience]]&lt;=5),1,""))</f>
        <v/>
      </c>
      <c r="P258" t="str">
        <f>IF(tblSalaries[[#This Row],[Years of Experience]]="","",IF(AND(tblSalaries[[#This Row],[Years of Experience]]&gt;5,tblSalaries[[#This Row],[Years of Experience]]&lt;=10),1,""))</f>
        <v/>
      </c>
      <c r="Q258" t="str">
        <f>IF(tblSalaries[[#This Row],[Years of Experience]]="","",IF(AND(tblSalaries[[#This Row],[Years of Experience]]&gt;10,tblSalaries[[#This Row],[Years of Experience]]&lt;=15),1,""))</f>
        <v/>
      </c>
      <c r="R258" t="str">
        <f>IF(tblSalaries[[#This Row],[Years of Experience]]="","",IF(AND(tblSalaries[[#This Row],[Years of Experience]]&gt;16,tblSalaries[[#This Row],[Years of Experience]]&lt;=20),1,""))</f>
        <v/>
      </c>
      <c r="S258" t="str">
        <f>IF(tblSalaries[[#This Row],[Years of Experience]]="","",IF(tblSalaries[[#This Row],[Years of Experience]]&gt;20,1,""))</f>
        <v/>
      </c>
      <c r="T2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8" s="13" t="str">
        <f>IF(tblSalaries[[#This Row],[Job Type]]=tblSalaries[[#Headers],[Accountant]],tblSalaries[[#This Row],[Salary in USD]],"")</f>
        <v/>
      </c>
      <c r="V258" s="13">
        <f>IF(tblSalaries[[#This Row],[Job Type]]=tblSalaries[[#Headers],[Analyst]],tblSalaries[[#This Row],[Salary in USD]],"")</f>
        <v>51000</v>
      </c>
      <c r="W258" s="13" t="str">
        <f>IF(tblSalaries[[#This Row],[Job Type]]=tblSalaries[[#Headers],[Consultant]],tblSalaries[[#This Row],[Salary in USD]],"")</f>
        <v/>
      </c>
      <c r="X258" s="13" t="str">
        <f>IF(tblSalaries[[#This Row],[Job Type]]=tblSalaries[[#Headers],[Controller]],tblSalaries[[#This Row],[Salary in USD]],"")</f>
        <v/>
      </c>
      <c r="Y258" s="13" t="str">
        <f>IF(tblSalaries[[#This Row],[Job Type]]=tblSalaries[[#Headers],[CXO or Top Mgmt.]],tblSalaries[[#This Row],[clean Salary (in local currency)]],"")</f>
        <v/>
      </c>
      <c r="Z258" s="13" t="str">
        <f>IF(tblSalaries[[#This Row],[Job Type]]=tblSalaries[[#Headers],[Engineer]],tblSalaries[[#This Row],[Salary in USD]],"")</f>
        <v/>
      </c>
      <c r="AA258" s="13" t="str">
        <f>IF(tblSalaries[[#This Row],[Job Type]]=tblSalaries[[#Headers],[Manager]],tblSalaries[[#This Row],[Salary in USD]],"")</f>
        <v/>
      </c>
      <c r="AB258" s="13" t="str">
        <f>IF(tblSalaries[[#This Row],[Job Type]]=tblSalaries[[#Headers],[Misc.]],tblSalaries[[#This Row],[Salary in USD]],"")</f>
        <v/>
      </c>
      <c r="AC258" s="13" t="str">
        <f>IF(tblSalaries[[#This Row],[Job Type]]=tblSalaries[[#Headers],[Reporting]],tblSalaries[[#This Row],[Salary in USD]],"")</f>
        <v/>
      </c>
      <c r="AD258" s="13" t="str">
        <f>IF(tblSalaries[[#This Row],[Job Type]]=tblSalaries[[#Headers],[Specialist]],tblSalaries[[#This Row],[Salary in USD]],"")</f>
        <v/>
      </c>
    </row>
    <row r="259" spans="2:30" ht="15" customHeight="1" x14ac:dyDescent="0.25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 s="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  <c r="N259" t="str">
        <f>IF(tblSalaries[[#This Row],[Years of Experience]]="","",IF(tblSalaries[[#This Row],[Years of Experience]]&lt;=2,1,""))</f>
        <v/>
      </c>
      <c r="O259" t="str">
        <f>IF(tblSalaries[[#This Row],[Years of Experience]]="","",IF(AND(tblSalaries[[#This Row],[Years of Experience]]&gt;2,tblSalaries[[#This Row],[Years of Experience]]&lt;=5),1,""))</f>
        <v/>
      </c>
      <c r="P259" t="str">
        <f>IF(tblSalaries[[#This Row],[Years of Experience]]="","",IF(AND(tblSalaries[[#This Row],[Years of Experience]]&gt;5,tblSalaries[[#This Row],[Years of Experience]]&lt;=10),1,""))</f>
        <v/>
      </c>
      <c r="Q259" t="str">
        <f>IF(tblSalaries[[#This Row],[Years of Experience]]="","",IF(AND(tblSalaries[[#This Row],[Years of Experience]]&gt;10,tblSalaries[[#This Row],[Years of Experience]]&lt;=15),1,""))</f>
        <v/>
      </c>
      <c r="R259" t="str">
        <f>IF(tblSalaries[[#This Row],[Years of Experience]]="","",IF(AND(tblSalaries[[#This Row],[Years of Experience]]&gt;16,tblSalaries[[#This Row],[Years of Experience]]&lt;=20),1,""))</f>
        <v/>
      </c>
      <c r="S259" t="str">
        <f>IF(tblSalaries[[#This Row],[Years of Experience]]="","",IF(tblSalaries[[#This Row],[Years of Experience]]&gt;20,1,""))</f>
        <v/>
      </c>
      <c r="T2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59" s="13" t="str">
        <f>IF(tblSalaries[[#This Row],[Job Type]]=tblSalaries[[#Headers],[Accountant]],tblSalaries[[#This Row],[Salary in USD]],"")</f>
        <v/>
      </c>
      <c r="V259" s="13">
        <f>IF(tblSalaries[[#This Row],[Job Type]]=tblSalaries[[#Headers],[Analyst]],tblSalaries[[#This Row],[Salary in USD]],"")</f>
        <v>94570.696324037053</v>
      </c>
      <c r="W259" s="13" t="str">
        <f>IF(tblSalaries[[#This Row],[Job Type]]=tblSalaries[[#Headers],[Consultant]],tblSalaries[[#This Row],[Salary in USD]],"")</f>
        <v/>
      </c>
      <c r="X259" s="13" t="str">
        <f>IF(tblSalaries[[#This Row],[Job Type]]=tblSalaries[[#Headers],[Controller]],tblSalaries[[#This Row],[Salary in USD]],"")</f>
        <v/>
      </c>
      <c r="Y259" s="13" t="str">
        <f>IF(tblSalaries[[#This Row],[Job Type]]=tblSalaries[[#Headers],[CXO or Top Mgmt.]],tblSalaries[[#This Row],[clean Salary (in local currency)]],"")</f>
        <v/>
      </c>
      <c r="Z259" s="13" t="str">
        <f>IF(tblSalaries[[#This Row],[Job Type]]=tblSalaries[[#Headers],[Engineer]],tblSalaries[[#This Row],[Salary in USD]],"")</f>
        <v/>
      </c>
      <c r="AA259" s="13" t="str">
        <f>IF(tblSalaries[[#This Row],[Job Type]]=tblSalaries[[#Headers],[Manager]],tblSalaries[[#This Row],[Salary in USD]],"")</f>
        <v/>
      </c>
      <c r="AB259" s="13" t="str">
        <f>IF(tblSalaries[[#This Row],[Job Type]]=tblSalaries[[#Headers],[Misc.]],tblSalaries[[#This Row],[Salary in USD]],"")</f>
        <v/>
      </c>
      <c r="AC259" s="13" t="str">
        <f>IF(tblSalaries[[#This Row],[Job Type]]=tblSalaries[[#Headers],[Reporting]],tblSalaries[[#This Row],[Salary in USD]],"")</f>
        <v/>
      </c>
      <c r="AD259" s="13" t="str">
        <f>IF(tblSalaries[[#This Row],[Job Type]]=tblSalaries[[#Headers],[Specialist]],tblSalaries[[#This Row],[Salary in USD]],"")</f>
        <v/>
      </c>
    </row>
    <row r="260" spans="2:30" ht="15" customHeight="1" x14ac:dyDescent="0.25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 s="9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  <c r="N260" t="str">
        <f>IF(tblSalaries[[#This Row],[Years of Experience]]="","",IF(tblSalaries[[#This Row],[Years of Experience]]&lt;=2,1,""))</f>
        <v/>
      </c>
      <c r="O260" t="str">
        <f>IF(tblSalaries[[#This Row],[Years of Experience]]="","",IF(AND(tblSalaries[[#This Row],[Years of Experience]]&gt;2,tblSalaries[[#This Row],[Years of Experience]]&lt;=5),1,""))</f>
        <v/>
      </c>
      <c r="P260" t="str">
        <f>IF(tblSalaries[[#This Row],[Years of Experience]]="","",IF(AND(tblSalaries[[#This Row],[Years of Experience]]&gt;5,tblSalaries[[#This Row],[Years of Experience]]&lt;=10),1,""))</f>
        <v/>
      </c>
      <c r="Q260" t="str">
        <f>IF(tblSalaries[[#This Row],[Years of Experience]]="","",IF(AND(tblSalaries[[#This Row],[Years of Experience]]&gt;10,tblSalaries[[#This Row],[Years of Experience]]&lt;=15),1,""))</f>
        <v/>
      </c>
      <c r="R260" t="str">
        <f>IF(tblSalaries[[#This Row],[Years of Experience]]="","",IF(AND(tblSalaries[[#This Row],[Years of Experience]]&gt;16,tblSalaries[[#This Row],[Years of Experience]]&lt;=20),1,""))</f>
        <v/>
      </c>
      <c r="S260" t="str">
        <f>IF(tblSalaries[[#This Row],[Years of Experience]]="","",IF(tblSalaries[[#This Row],[Years of Experience]]&gt;20,1,""))</f>
        <v/>
      </c>
      <c r="T2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0" s="13" t="str">
        <f>IF(tblSalaries[[#This Row],[Job Type]]=tblSalaries[[#Headers],[Accountant]],tblSalaries[[#This Row],[Salary in USD]],"")</f>
        <v/>
      </c>
      <c r="V260" s="13" t="str">
        <f>IF(tblSalaries[[#This Row],[Job Type]]=tblSalaries[[#Headers],[Analyst]],tblSalaries[[#This Row],[Salary in USD]],"")</f>
        <v/>
      </c>
      <c r="W260" s="13" t="str">
        <f>IF(tblSalaries[[#This Row],[Job Type]]=tblSalaries[[#Headers],[Consultant]],tblSalaries[[#This Row],[Salary in USD]],"")</f>
        <v/>
      </c>
      <c r="X260" s="13" t="str">
        <f>IF(tblSalaries[[#This Row],[Job Type]]=tblSalaries[[#Headers],[Controller]],tblSalaries[[#This Row],[Salary in USD]],"")</f>
        <v/>
      </c>
      <c r="Y260" s="13" t="str">
        <f>IF(tblSalaries[[#This Row],[Job Type]]=tblSalaries[[#Headers],[CXO or Top Mgmt.]],tblSalaries[[#This Row],[clean Salary (in local currency)]],"")</f>
        <v/>
      </c>
      <c r="Z260" s="13" t="str">
        <f>IF(tblSalaries[[#This Row],[Job Type]]=tblSalaries[[#Headers],[Engineer]],tblSalaries[[#This Row],[Salary in USD]],"")</f>
        <v/>
      </c>
      <c r="AA260" s="13">
        <f>IF(tblSalaries[[#This Row],[Job Type]]=tblSalaries[[#Headers],[Manager]],tblSalaries[[#This Row],[Salary in USD]],"")</f>
        <v>34191.200039889729</v>
      </c>
      <c r="AB260" s="13" t="str">
        <f>IF(tblSalaries[[#This Row],[Job Type]]=tblSalaries[[#Headers],[Misc.]],tblSalaries[[#This Row],[Salary in USD]],"")</f>
        <v/>
      </c>
      <c r="AC260" s="13" t="str">
        <f>IF(tblSalaries[[#This Row],[Job Type]]=tblSalaries[[#Headers],[Reporting]],tblSalaries[[#This Row],[Salary in USD]],"")</f>
        <v/>
      </c>
      <c r="AD260" s="13" t="str">
        <f>IF(tblSalaries[[#This Row],[Job Type]]=tblSalaries[[#Headers],[Specialist]],tblSalaries[[#This Row],[Salary in USD]],"")</f>
        <v/>
      </c>
    </row>
    <row r="261" spans="2:30" ht="15" customHeight="1" x14ac:dyDescent="0.25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 s="9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  <c r="N261" t="str">
        <f>IF(tblSalaries[[#This Row],[Years of Experience]]="","",IF(tblSalaries[[#This Row],[Years of Experience]]&lt;=2,1,""))</f>
        <v/>
      </c>
      <c r="O261" t="str">
        <f>IF(tblSalaries[[#This Row],[Years of Experience]]="","",IF(AND(tblSalaries[[#This Row],[Years of Experience]]&gt;2,tblSalaries[[#This Row],[Years of Experience]]&lt;=5),1,""))</f>
        <v/>
      </c>
      <c r="P261" t="str">
        <f>IF(tblSalaries[[#This Row],[Years of Experience]]="","",IF(AND(tblSalaries[[#This Row],[Years of Experience]]&gt;5,tblSalaries[[#This Row],[Years of Experience]]&lt;=10),1,""))</f>
        <v/>
      </c>
      <c r="Q261" t="str">
        <f>IF(tblSalaries[[#This Row],[Years of Experience]]="","",IF(AND(tblSalaries[[#This Row],[Years of Experience]]&gt;10,tblSalaries[[#This Row],[Years of Experience]]&lt;=15),1,""))</f>
        <v/>
      </c>
      <c r="R261" t="str">
        <f>IF(tblSalaries[[#This Row],[Years of Experience]]="","",IF(AND(tblSalaries[[#This Row],[Years of Experience]]&gt;16,tblSalaries[[#This Row],[Years of Experience]]&lt;=20),1,""))</f>
        <v/>
      </c>
      <c r="S261" t="str">
        <f>IF(tblSalaries[[#This Row],[Years of Experience]]="","",IF(tblSalaries[[#This Row],[Years of Experience]]&gt;20,1,""))</f>
        <v/>
      </c>
      <c r="T2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1" s="13" t="str">
        <f>IF(tblSalaries[[#This Row],[Job Type]]=tblSalaries[[#Headers],[Accountant]],tblSalaries[[#This Row],[Salary in USD]],"")</f>
        <v/>
      </c>
      <c r="V261" s="13">
        <f>IF(tblSalaries[[#This Row],[Job Type]]=tblSalaries[[#Headers],[Analyst]],tblSalaries[[#This Row],[Salary in USD]],"")</f>
        <v>44132.991617883956</v>
      </c>
      <c r="W261" s="13" t="str">
        <f>IF(tblSalaries[[#This Row],[Job Type]]=tblSalaries[[#Headers],[Consultant]],tblSalaries[[#This Row],[Salary in USD]],"")</f>
        <v/>
      </c>
      <c r="X261" s="13" t="str">
        <f>IF(tblSalaries[[#This Row],[Job Type]]=tblSalaries[[#Headers],[Controller]],tblSalaries[[#This Row],[Salary in USD]],"")</f>
        <v/>
      </c>
      <c r="Y261" s="13" t="str">
        <f>IF(tblSalaries[[#This Row],[Job Type]]=tblSalaries[[#Headers],[CXO or Top Mgmt.]],tblSalaries[[#This Row],[clean Salary (in local currency)]],"")</f>
        <v/>
      </c>
      <c r="Z261" s="13" t="str">
        <f>IF(tblSalaries[[#This Row],[Job Type]]=tblSalaries[[#Headers],[Engineer]],tblSalaries[[#This Row],[Salary in USD]],"")</f>
        <v/>
      </c>
      <c r="AA261" s="13" t="str">
        <f>IF(tblSalaries[[#This Row],[Job Type]]=tblSalaries[[#Headers],[Manager]],tblSalaries[[#This Row],[Salary in USD]],"")</f>
        <v/>
      </c>
      <c r="AB261" s="13" t="str">
        <f>IF(tblSalaries[[#This Row],[Job Type]]=tblSalaries[[#Headers],[Misc.]],tblSalaries[[#This Row],[Salary in USD]],"")</f>
        <v/>
      </c>
      <c r="AC261" s="13" t="str">
        <f>IF(tblSalaries[[#This Row],[Job Type]]=tblSalaries[[#Headers],[Reporting]],tblSalaries[[#This Row],[Salary in USD]],"")</f>
        <v/>
      </c>
      <c r="AD261" s="13" t="str">
        <f>IF(tblSalaries[[#This Row],[Job Type]]=tblSalaries[[#Headers],[Specialist]],tblSalaries[[#This Row],[Salary in USD]],"")</f>
        <v/>
      </c>
    </row>
    <row r="262" spans="2:30" ht="15" customHeight="1" x14ac:dyDescent="0.25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 s="9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  <c r="N262" t="str">
        <f>IF(tblSalaries[[#This Row],[Years of Experience]]="","",IF(tblSalaries[[#This Row],[Years of Experience]]&lt;=2,1,""))</f>
        <v/>
      </c>
      <c r="O262" t="str">
        <f>IF(tblSalaries[[#This Row],[Years of Experience]]="","",IF(AND(tblSalaries[[#This Row],[Years of Experience]]&gt;2,tblSalaries[[#This Row],[Years of Experience]]&lt;=5),1,""))</f>
        <v/>
      </c>
      <c r="P262" t="str">
        <f>IF(tblSalaries[[#This Row],[Years of Experience]]="","",IF(AND(tblSalaries[[#This Row],[Years of Experience]]&gt;5,tblSalaries[[#This Row],[Years of Experience]]&lt;=10),1,""))</f>
        <v/>
      </c>
      <c r="Q262" t="str">
        <f>IF(tblSalaries[[#This Row],[Years of Experience]]="","",IF(AND(tblSalaries[[#This Row],[Years of Experience]]&gt;10,tblSalaries[[#This Row],[Years of Experience]]&lt;=15),1,""))</f>
        <v/>
      </c>
      <c r="R262" t="str">
        <f>IF(tblSalaries[[#This Row],[Years of Experience]]="","",IF(AND(tblSalaries[[#This Row],[Years of Experience]]&gt;16,tblSalaries[[#This Row],[Years of Experience]]&lt;=20),1,""))</f>
        <v/>
      </c>
      <c r="S262" t="str">
        <f>IF(tblSalaries[[#This Row],[Years of Experience]]="","",IF(tblSalaries[[#This Row],[Years of Experience]]&gt;20,1,""))</f>
        <v/>
      </c>
      <c r="T2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2" s="13" t="str">
        <f>IF(tblSalaries[[#This Row],[Job Type]]=tblSalaries[[#Headers],[Accountant]],tblSalaries[[#This Row],[Salary in USD]],"")</f>
        <v/>
      </c>
      <c r="V262" s="13" t="str">
        <f>IF(tblSalaries[[#This Row],[Job Type]]=tblSalaries[[#Headers],[Analyst]],tblSalaries[[#This Row],[Salary in USD]],"")</f>
        <v/>
      </c>
      <c r="W262" s="13" t="str">
        <f>IF(tblSalaries[[#This Row],[Job Type]]=tblSalaries[[#Headers],[Consultant]],tblSalaries[[#This Row],[Salary in USD]],"")</f>
        <v/>
      </c>
      <c r="X262" s="13" t="str">
        <f>IF(tblSalaries[[#This Row],[Job Type]]=tblSalaries[[#Headers],[Controller]],tblSalaries[[#This Row],[Salary in USD]],"")</f>
        <v/>
      </c>
      <c r="Y262" s="13" t="str">
        <f>IF(tblSalaries[[#This Row],[Job Type]]=tblSalaries[[#Headers],[CXO or Top Mgmt.]],tblSalaries[[#This Row],[clean Salary (in local currency)]],"")</f>
        <v/>
      </c>
      <c r="Z262" s="13" t="str">
        <f>IF(tblSalaries[[#This Row],[Job Type]]=tblSalaries[[#Headers],[Engineer]],tblSalaries[[#This Row],[Salary in USD]],"")</f>
        <v/>
      </c>
      <c r="AA262" s="13" t="str">
        <f>IF(tblSalaries[[#This Row],[Job Type]]=tblSalaries[[#Headers],[Manager]],tblSalaries[[#This Row],[Salary in USD]],"")</f>
        <v/>
      </c>
      <c r="AB262" s="13" t="str">
        <f>IF(tblSalaries[[#This Row],[Job Type]]=tblSalaries[[#Headers],[Misc.]],tblSalaries[[#This Row],[Salary in USD]],"")</f>
        <v/>
      </c>
      <c r="AC262" s="13" t="str">
        <f>IF(tblSalaries[[#This Row],[Job Type]]=tblSalaries[[#Headers],[Reporting]],tblSalaries[[#This Row],[Salary in USD]],"")</f>
        <v/>
      </c>
      <c r="AD262" s="13">
        <f>IF(tblSalaries[[#This Row],[Job Type]]=tblSalaries[[#Headers],[Specialist]],tblSalaries[[#This Row],[Salary in USD]],"")</f>
        <v>73000</v>
      </c>
    </row>
    <row r="263" spans="2:30" ht="15" customHeight="1" x14ac:dyDescent="0.25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 s="9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  <c r="N263" t="str">
        <f>IF(tblSalaries[[#This Row],[Years of Experience]]="","",IF(tblSalaries[[#This Row],[Years of Experience]]&lt;=2,1,""))</f>
        <v/>
      </c>
      <c r="O263" t="str">
        <f>IF(tblSalaries[[#This Row],[Years of Experience]]="","",IF(AND(tblSalaries[[#This Row],[Years of Experience]]&gt;2,tblSalaries[[#This Row],[Years of Experience]]&lt;=5),1,""))</f>
        <v/>
      </c>
      <c r="P263" t="str">
        <f>IF(tblSalaries[[#This Row],[Years of Experience]]="","",IF(AND(tblSalaries[[#This Row],[Years of Experience]]&gt;5,tblSalaries[[#This Row],[Years of Experience]]&lt;=10),1,""))</f>
        <v/>
      </c>
      <c r="Q263" t="str">
        <f>IF(tblSalaries[[#This Row],[Years of Experience]]="","",IF(AND(tblSalaries[[#This Row],[Years of Experience]]&gt;10,tblSalaries[[#This Row],[Years of Experience]]&lt;=15),1,""))</f>
        <v/>
      </c>
      <c r="R263" t="str">
        <f>IF(tblSalaries[[#This Row],[Years of Experience]]="","",IF(AND(tblSalaries[[#This Row],[Years of Experience]]&gt;16,tblSalaries[[#This Row],[Years of Experience]]&lt;=20),1,""))</f>
        <v/>
      </c>
      <c r="S263" t="str">
        <f>IF(tblSalaries[[#This Row],[Years of Experience]]="","",IF(tblSalaries[[#This Row],[Years of Experience]]&gt;20,1,""))</f>
        <v/>
      </c>
      <c r="T2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3" s="13">
        <f>IF(tblSalaries[[#This Row],[Job Type]]=tblSalaries[[#Headers],[Accountant]],tblSalaries[[#This Row],[Salary in USD]],"")</f>
        <v>62400</v>
      </c>
      <c r="V263" s="13" t="str">
        <f>IF(tblSalaries[[#This Row],[Job Type]]=tblSalaries[[#Headers],[Analyst]],tblSalaries[[#This Row],[Salary in USD]],"")</f>
        <v/>
      </c>
      <c r="W263" s="13" t="str">
        <f>IF(tblSalaries[[#This Row],[Job Type]]=tblSalaries[[#Headers],[Consultant]],tblSalaries[[#This Row],[Salary in USD]],"")</f>
        <v/>
      </c>
      <c r="X263" s="13" t="str">
        <f>IF(tblSalaries[[#This Row],[Job Type]]=tblSalaries[[#Headers],[Controller]],tblSalaries[[#This Row],[Salary in USD]],"")</f>
        <v/>
      </c>
      <c r="Y263" s="13" t="str">
        <f>IF(tblSalaries[[#This Row],[Job Type]]=tblSalaries[[#Headers],[CXO or Top Mgmt.]],tblSalaries[[#This Row],[clean Salary (in local currency)]],"")</f>
        <v/>
      </c>
      <c r="Z263" s="13" t="str">
        <f>IF(tblSalaries[[#This Row],[Job Type]]=tblSalaries[[#Headers],[Engineer]],tblSalaries[[#This Row],[Salary in USD]],"")</f>
        <v/>
      </c>
      <c r="AA263" s="13" t="str">
        <f>IF(tblSalaries[[#This Row],[Job Type]]=tblSalaries[[#Headers],[Manager]],tblSalaries[[#This Row],[Salary in USD]],"")</f>
        <v/>
      </c>
      <c r="AB263" s="13" t="str">
        <f>IF(tblSalaries[[#This Row],[Job Type]]=tblSalaries[[#Headers],[Misc.]],tblSalaries[[#This Row],[Salary in USD]],"")</f>
        <v/>
      </c>
      <c r="AC263" s="13" t="str">
        <f>IF(tblSalaries[[#This Row],[Job Type]]=tblSalaries[[#Headers],[Reporting]],tblSalaries[[#This Row],[Salary in USD]],"")</f>
        <v/>
      </c>
      <c r="AD263" s="13" t="str">
        <f>IF(tblSalaries[[#This Row],[Job Type]]=tblSalaries[[#Headers],[Specialist]],tblSalaries[[#This Row],[Salary in USD]],"")</f>
        <v/>
      </c>
    </row>
    <row r="264" spans="2:30" ht="15" customHeight="1" x14ac:dyDescent="0.25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 s="9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  <c r="N264" t="str">
        <f>IF(tblSalaries[[#This Row],[Years of Experience]]="","",IF(tblSalaries[[#This Row],[Years of Experience]]&lt;=2,1,""))</f>
        <v/>
      </c>
      <c r="O264" t="str">
        <f>IF(tblSalaries[[#This Row],[Years of Experience]]="","",IF(AND(tblSalaries[[#This Row],[Years of Experience]]&gt;2,tblSalaries[[#This Row],[Years of Experience]]&lt;=5),1,""))</f>
        <v/>
      </c>
      <c r="P264" t="str">
        <f>IF(tblSalaries[[#This Row],[Years of Experience]]="","",IF(AND(tblSalaries[[#This Row],[Years of Experience]]&gt;5,tblSalaries[[#This Row],[Years of Experience]]&lt;=10),1,""))</f>
        <v/>
      </c>
      <c r="Q264" t="str">
        <f>IF(tblSalaries[[#This Row],[Years of Experience]]="","",IF(AND(tblSalaries[[#This Row],[Years of Experience]]&gt;10,tblSalaries[[#This Row],[Years of Experience]]&lt;=15),1,""))</f>
        <v/>
      </c>
      <c r="R264" t="str">
        <f>IF(tblSalaries[[#This Row],[Years of Experience]]="","",IF(AND(tblSalaries[[#This Row],[Years of Experience]]&gt;16,tblSalaries[[#This Row],[Years of Experience]]&lt;=20),1,""))</f>
        <v/>
      </c>
      <c r="S264" t="str">
        <f>IF(tblSalaries[[#This Row],[Years of Experience]]="","",IF(tblSalaries[[#This Row],[Years of Experience]]&gt;20,1,""))</f>
        <v/>
      </c>
      <c r="T2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4" s="13" t="str">
        <f>IF(tblSalaries[[#This Row],[Job Type]]=tblSalaries[[#Headers],[Accountant]],tblSalaries[[#This Row],[Salary in USD]],"")</f>
        <v/>
      </c>
      <c r="V264" s="13" t="str">
        <f>IF(tblSalaries[[#This Row],[Job Type]]=tblSalaries[[#Headers],[Analyst]],tblSalaries[[#This Row],[Salary in USD]],"")</f>
        <v/>
      </c>
      <c r="W264" s="13">
        <f>IF(tblSalaries[[#This Row],[Job Type]]=tblSalaries[[#Headers],[Consultant]],tblSalaries[[#This Row],[Salary in USD]],"")</f>
        <v>27600</v>
      </c>
      <c r="X264" s="13" t="str">
        <f>IF(tblSalaries[[#This Row],[Job Type]]=tblSalaries[[#Headers],[Controller]],tblSalaries[[#This Row],[Salary in USD]],"")</f>
        <v/>
      </c>
      <c r="Y264" s="13" t="str">
        <f>IF(tblSalaries[[#This Row],[Job Type]]=tblSalaries[[#Headers],[CXO or Top Mgmt.]],tblSalaries[[#This Row],[clean Salary (in local currency)]],"")</f>
        <v/>
      </c>
      <c r="Z264" s="13" t="str">
        <f>IF(tblSalaries[[#This Row],[Job Type]]=tblSalaries[[#Headers],[Engineer]],tblSalaries[[#This Row],[Salary in USD]],"")</f>
        <v/>
      </c>
      <c r="AA264" s="13" t="str">
        <f>IF(tblSalaries[[#This Row],[Job Type]]=tblSalaries[[#Headers],[Manager]],tblSalaries[[#This Row],[Salary in USD]],"")</f>
        <v/>
      </c>
      <c r="AB264" s="13" t="str">
        <f>IF(tblSalaries[[#This Row],[Job Type]]=tblSalaries[[#Headers],[Misc.]],tblSalaries[[#This Row],[Salary in USD]],"")</f>
        <v/>
      </c>
      <c r="AC264" s="13" t="str">
        <f>IF(tblSalaries[[#This Row],[Job Type]]=tblSalaries[[#Headers],[Reporting]],tblSalaries[[#This Row],[Salary in USD]],"")</f>
        <v/>
      </c>
      <c r="AD264" s="13" t="str">
        <f>IF(tblSalaries[[#This Row],[Job Type]]=tblSalaries[[#Headers],[Specialist]],tblSalaries[[#This Row],[Salary in USD]],"")</f>
        <v/>
      </c>
    </row>
    <row r="265" spans="2:30" ht="15" customHeight="1" x14ac:dyDescent="0.25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 s="9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  <c r="N265" t="str">
        <f>IF(tblSalaries[[#This Row],[Years of Experience]]="","",IF(tblSalaries[[#This Row],[Years of Experience]]&lt;=2,1,""))</f>
        <v/>
      </c>
      <c r="O265" t="str">
        <f>IF(tblSalaries[[#This Row],[Years of Experience]]="","",IF(AND(tblSalaries[[#This Row],[Years of Experience]]&gt;2,tblSalaries[[#This Row],[Years of Experience]]&lt;=5),1,""))</f>
        <v/>
      </c>
      <c r="P265" t="str">
        <f>IF(tblSalaries[[#This Row],[Years of Experience]]="","",IF(AND(tblSalaries[[#This Row],[Years of Experience]]&gt;5,tblSalaries[[#This Row],[Years of Experience]]&lt;=10),1,""))</f>
        <v/>
      </c>
      <c r="Q265" t="str">
        <f>IF(tblSalaries[[#This Row],[Years of Experience]]="","",IF(AND(tblSalaries[[#This Row],[Years of Experience]]&gt;10,tblSalaries[[#This Row],[Years of Experience]]&lt;=15),1,""))</f>
        <v/>
      </c>
      <c r="R265" t="str">
        <f>IF(tblSalaries[[#This Row],[Years of Experience]]="","",IF(AND(tblSalaries[[#This Row],[Years of Experience]]&gt;16,tblSalaries[[#This Row],[Years of Experience]]&lt;=20),1,""))</f>
        <v/>
      </c>
      <c r="S265" t="str">
        <f>IF(tblSalaries[[#This Row],[Years of Experience]]="","",IF(tblSalaries[[#This Row],[Years of Experience]]&gt;20,1,""))</f>
        <v/>
      </c>
      <c r="T2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5" s="13" t="str">
        <f>IF(tblSalaries[[#This Row],[Job Type]]=tblSalaries[[#Headers],[Accountant]],tblSalaries[[#This Row],[Salary in USD]],"")</f>
        <v/>
      </c>
      <c r="V265" s="13" t="str">
        <f>IF(tblSalaries[[#This Row],[Job Type]]=tblSalaries[[#Headers],[Analyst]],tblSalaries[[#This Row],[Salary in USD]],"")</f>
        <v/>
      </c>
      <c r="W265" s="13" t="str">
        <f>IF(tblSalaries[[#This Row],[Job Type]]=tblSalaries[[#Headers],[Consultant]],tblSalaries[[#This Row],[Salary in USD]],"")</f>
        <v/>
      </c>
      <c r="X265" s="13" t="str">
        <f>IF(tblSalaries[[#This Row],[Job Type]]=tblSalaries[[#Headers],[Controller]],tblSalaries[[#This Row],[Salary in USD]],"")</f>
        <v/>
      </c>
      <c r="Y265" s="13" t="str">
        <f>IF(tblSalaries[[#This Row],[Job Type]]=tblSalaries[[#Headers],[CXO or Top Mgmt.]],tblSalaries[[#This Row],[clean Salary (in local currency)]],"")</f>
        <v/>
      </c>
      <c r="Z265" s="13" t="str">
        <f>IF(tblSalaries[[#This Row],[Job Type]]=tblSalaries[[#Headers],[Engineer]],tblSalaries[[#This Row],[Salary in USD]],"")</f>
        <v/>
      </c>
      <c r="AA265" s="13">
        <f>IF(tblSalaries[[#This Row],[Job Type]]=tblSalaries[[#Headers],[Manager]],tblSalaries[[#This Row],[Salary in USD]],"")</f>
        <v>54000</v>
      </c>
      <c r="AB265" s="13" t="str">
        <f>IF(tblSalaries[[#This Row],[Job Type]]=tblSalaries[[#Headers],[Misc.]],tblSalaries[[#This Row],[Salary in USD]],"")</f>
        <v/>
      </c>
      <c r="AC265" s="13" t="str">
        <f>IF(tblSalaries[[#This Row],[Job Type]]=tblSalaries[[#Headers],[Reporting]],tblSalaries[[#This Row],[Salary in USD]],"")</f>
        <v/>
      </c>
      <c r="AD265" s="13" t="str">
        <f>IF(tblSalaries[[#This Row],[Job Type]]=tblSalaries[[#Headers],[Specialist]],tblSalaries[[#This Row],[Salary in USD]],"")</f>
        <v/>
      </c>
    </row>
    <row r="266" spans="2:30" ht="15" customHeight="1" x14ac:dyDescent="0.25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 s="9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  <c r="N266" t="str">
        <f>IF(tblSalaries[[#This Row],[Years of Experience]]="","",IF(tblSalaries[[#This Row],[Years of Experience]]&lt;=2,1,""))</f>
        <v/>
      </c>
      <c r="O266" t="str">
        <f>IF(tblSalaries[[#This Row],[Years of Experience]]="","",IF(AND(tblSalaries[[#This Row],[Years of Experience]]&gt;2,tblSalaries[[#This Row],[Years of Experience]]&lt;=5),1,""))</f>
        <v/>
      </c>
      <c r="P266" t="str">
        <f>IF(tblSalaries[[#This Row],[Years of Experience]]="","",IF(AND(tblSalaries[[#This Row],[Years of Experience]]&gt;5,tblSalaries[[#This Row],[Years of Experience]]&lt;=10),1,""))</f>
        <v/>
      </c>
      <c r="Q266" t="str">
        <f>IF(tblSalaries[[#This Row],[Years of Experience]]="","",IF(AND(tblSalaries[[#This Row],[Years of Experience]]&gt;10,tblSalaries[[#This Row],[Years of Experience]]&lt;=15),1,""))</f>
        <v/>
      </c>
      <c r="R266" t="str">
        <f>IF(tblSalaries[[#This Row],[Years of Experience]]="","",IF(AND(tblSalaries[[#This Row],[Years of Experience]]&gt;16,tblSalaries[[#This Row],[Years of Experience]]&lt;=20),1,""))</f>
        <v/>
      </c>
      <c r="S266" t="str">
        <f>IF(tblSalaries[[#This Row],[Years of Experience]]="","",IF(tblSalaries[[#This Row],[Years of Experience]]&gt;20,1,""))</f>
        <v/>
      </c>
      <c r="T2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6" s="13" t="str">
        <f>IF(tblSalaries[[#This Row],[Job Type]]=tblSalaries[[#Headers],[Accountant]],tblSalaries[[#This Row],[Salary in USD]],"")</f>
        <v/>
      </c>
      <c r="V266" s="13">
        <f>IF(tblSalaries[[#This Row],[Job Type]]=tblSalaries[[#Headers],[Analyst]],tblSalaries[[#This Row],[Salary in USD]],"")</f>
        <v>4914.9850057341491</v>
      </c>
      <c r="W266" s="13" t="str">
        <f>IF(tblSalaries[[#This Row],[Job Type]]=tblSalaries[[#Headers],[Consultant]],tblSalaries[[#This Row],[Salary in USD]],"")</f>
        <v/>
      </c>
      <c r="X266" s="13" t="str">
        <f>IF(tblSalaries[[#This Row],[Job Type]]=tblSalaries[[#Headers],[Controller]],tblSalaries[[#This Row],[Salary in USD]],"")</f>
        <v/>
      </c>
      <c r="Y266" s="13" t="str">
        <f>IF(tblSalaries[[#This Row],[Job Type]]=tblSalaries[[#Headers],[CXO or Top Mgmt.]],tblSalaries[[#This Row],[clean Salary (in local currency)]],"")</f>
        <v/>
      </c>
      <c r="Z266" s="13" t="str">
        <f>IF(tblSalaries[[#This Row],[Job Type]]=tblSalaries[[#Headers],[Engineer]],tblSalaries[[#This Row],[Salary in USD]],"")</f>
        <v/>
      </c>
      <c r="AA266" s="13" t="str">
        <f>IF(tblSalaries[[#This Row],[Job Type]]=tblSalaries[[#Headers],[Manager]],tblSalaries[[#This Row],[Salary in USD]],"")</f>
        <v/>
      </c>
      <c r="AB266" s="13" t="str">
        <f>IF(tblSalaries[[#This Row],[Job Type]]=tblSalaries[[#Headers],[Misc.]],tblSalaries[[#This Row],[Salary in USD]],"")</f>
        <v/>
      </c>
      <c r="AC266" s="13" t="str">
        <f>IF(tblSalaries[[#This Row],[Job Type]]=tblSalaries[[#Headers],[Reporting]],tblSalaries[[#This Row],[Salary in USD]],"")</f>
        <v/>
      </c>
      <c r="AD266" s="13" t="str">
        <f>IF(tblSalaries[[#This Row],[Job Type]]=tblSalaries[[#Headers],[Specialist]],tblSalaries[[#This Row],[Salary in USD]],"")</f>
        <v/>
      </c>
    </row>
    <row r="267" spans="2:30" ht="15" customHeight="1" x14ac:dyDescent="0.25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 s="9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  <c r="N267" t="str">
        <f>IF(tblSalaries[[#This Row],[Years of Experience]]="","",IF(tblSalaries[[#This Row],[Years of Experience]]&lt;=2,1,""))</f>
        <v/>
      </c>
      <c r="O267" t="str">
        <f>IF(tblSalaries[[#This Row],[Years of Experience]]="","",IF(AND(tblSalaries[[#This Row],[Years of Experience]]&gt;2,tblSalaries[[#This Row],[Years of Experience]]&lt;=5),1,""))</f>
        <v/>
      </c>
      <c r="P267" t="str">
        <f>IF(tblSalaries[[#This Row],[Years of Experience]]="","",IF(AND(tblSalaries[[#This Row],[Years of Experience]]&gt;5,tblSalaries[[#This Row],[Years of Experience]]&lt;=10),1,""))</f>
        <v/>
      </c>
      <c r="Q267" t="str">
        <f>IF(tblSalaries[[#This Row],[Years of Experience]]="","",IF(AND(tblSalaries[[#This Row],[Years of Experience]]&gt;10,tblSalaries[[#This Row],[Years of Experience]]&lt;=15),1,""))</f>
        <v/>
      </c>
      <c r="R267" t="str">
        <f>IF(tblSalaries[[#This Row],[Years of Experience]]="","",IF(AND(tblSalaries[[#This Row],[Years of Experience]]&gt;16,tblSalaries[[#This Row],[Years of Experience]]&lt;=20),1,""))</f>
        <v/>
      </c>
      <c r="S267" t="str">
        <f>IF(tblSalaries[[#This Row],[Years of Experience]]="","",IF(tblSalaries[[#This Row],[Years of Experience]]&gt;20,1,""))</f>
        <v/>
      </c>
      <c r="T2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7" s="13">
        <f>IF(tblSalaries[[#This Row],[Job Type]]=tblSalaries[[#Headers],[Accountant]],tblSalaries[[#This Row],[Salary in USD]],"")</f>
        <v>77000</v>
      </c>
      <c r="V267" s="13" t="str">
        <f>IF(tblSalaries[[#This Row],[Job Type]]=tblSalaries[[#Headers],[Analyst]],tblSalaries[[#This Row],[Salary in USD]],"")</f>
        <v/>
      </c>
      <c r="W267" s="13" t="str">
        <f>IF(tblSalaries[[#This Row],[Job Type]]=tblSalaries[[#Headers],[Consultant]],tblSalaries[[#This Row],[Salary in USD]],"")</f>
        <v/>
      </c>
      <c r="X267" s="13" t="str">
        <f>IF(tblSalaries[[#This Row],[Job Type]]=tblSalaries[[#Headers],[Controller]],tblSalaries[[#This Row],[Salary in USD]],"")</f>
        <v/>
      </c>
      <c r="Y267" s="13" t="str">
        <f>IF(tblSalaries[[#This Row],[Job Type]]=tblSalaries[[#Headers],[CXO or Top Mgmt.]],tblSalaries[[#This Row],[clean Salary (in local currency)]],"")</f>
        <v/>
      </c>
      <c r="Z267" s="13" t="str">
        <f>IF(tblSalaries[[#This Row],[Job Type]]=tblSalaries[[#Headers],[Engineer]],tblSalaries[[#This Row],[Salary in USD]],"")</f>
        <v/>
      </c>
      <c r="AA267" s="13" t="str">
        <f>IF(tblSalaries[[#This Row],[Job Type]]=tblSalaries[[#Headers],[Manager]],tblSalaries[[#This Row],[Salary in USD]],"")</f>
        <v/>
      </c>
      <c r="AB267" s="13" t="str">
        <f>IF(tblSalaries[[#This Row],[Job Type]]=tblSalaries[[#Headers],[Misc.]],tblSalaries[[#This Row],[Salary in USD]],"")</f>
        <v/>
      </c>
      <c r="AC267" s="13" t="str">
        <f>IF(tblSalaries[[#This Row],[Job Type]]=tblSalaries[[#Headers],[Reporting]],tblSalaries[[#This Row],[Salary in USD]],"")</f>
        <v/>
      </c>
      <c r="AD267" s="13" t="str">
        <f>IF(tblSalaries[[#This Row],[Job Type]]=tblSalaries[[#Headers],[Specialist]],tblSalaries[[#This Row],[Salary in USD]],"")</f>
        <v/>
      </c>
    </row>
    <row r="268" spans="2:30" ht="15" customHeight="1" x14ac:dyDescent="0.25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 s="9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  <c r="N268" t="str">
        <f>IF(tblSalaries[[#This Row],[Years of Experience]]="","",IF(tblSalaries[[#This Row],[Years of Experience]]&lt;=2,1,""))</f>
        <v/>
      </c>
      <c r="O268" t="str">
        <f>IF(tblSalaries[[#This Row],[Years of Experience]]="","",IF(AND(tblSalaries[[#This Row],[Years of Experience]]&gt;2,tblSalaries[[#This Row],[Years of Experience]]&lt;=5),1,""))</f>
        <v/>
      </c>
      <c r="P268" t="str">
        <f>IF(tblSalaries[[#This Row],[Years of Experience]]="","",IF(AND(tblSalaries[[#This Row],[Years of Experience]]&gt;5,tblSalaries[[#This Row],[Years of Experience]]&lt;=10),1,""))</f>
        <v/>
      </c>
      <c r="Q268" t="str">
        <f>IF(tblSalaries[[#This Row],[Years of Experience]]="","",IF(AND(tblSalaries[[#This Row],[Years of Experience]]&gt;10,tblSalaries[[#This Row],[Years of Experience]]&lt;=15),1,""))</f>
        <v/>
      </c>
      <c r="R268" t="str">
        <f>IF(tblSalaries[[#This Row],[Years of Experience]]="","",IF(AND(tblSalaries[[#This Row],[Years of Experience]]&gt;16,tblSalaries[[#This Row],[Years of Experience]]&lt;=20),1,""))</f>
        <v/>
      </c>
      <c r="S268" t="str">
        <f>IF(tblSalaries[[#This Row],[Years of Experience]]="","",IF(tblSalaries[[#This Row],[Years of Experience]]&gt;20,1,""))</f>
        <v/>
      </c>
      <c r="T2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8" s="13" t="str">
        <f>IF(tblSalaries[[#This Row],[Job Type]]=tblSalaries[[#Headers],[Accountant]],tblSalaries[[#This Row],[Salary in USD]],"")</f>
        <v/>
      </c>
      <c r="V268" s="13" t="str">
        <f>IF(tblSalaries[[#This Row],[Job Type]]=tblSalaries[[#Headers],[Analyst]],tblSalaries[[#This Row],[Salary in USD]],"")</f>
        <v/>
      </c>
      <c r="W268" s="13" t="str">
        <f>IF(tblSalaries[[#This Row],[Job Type]]=tblSalaries[[#Headers],[Consultant]],tblSalaries[[#This Row],[Salary in USD]],"")</f>
        <v/>
      </c>
      <c r="X268" s="13" t="str">
        <f>IF(tblSalaries[[#This Row],[Job Type]]=tblSalaries[[#Headers],[Controller]],tblSalaries[[#This Row],[Salary in USD]],"")</f>
        <v/>
      </c>
      <c r="Y268" s="13" t="str">
        <f>IF(tblSalaries[[#This Row],[Job Type]]=tblSalaries[[#Headers],[CXO or Top Mgmt.]],tblSalaries[[#This Row],[clean Salary (in local currency)]],"")</f>
        <v/>
      </c>
      <c r="Z268" s="13" t="str">
        <f>IF(tblSalaries[[#This Row],[Job Type]]=tblSalaries[[#Headers],[Engineer]],tblSalaries[[#This Row],[Salary in USD]],"")</f>
        <v/>
      </c>
      <c r="AA268" s="13">
        <f>IF(tblSalaries[[#This Row],[Job Type]]=tblSalaries[[#Headers],[Manager]],tblSalaries[[#This Row],[Salary in USD]],"")</f>
        <v>76000</v>
      </c>
      <c r="AB268" s="13" t="str">
        <f>IF(tblSalaries[[#This Row],[Job Type]]=tblSalaries[[#Headers],[Misc.]],tblSalaries[[#This Row],[Salary in USD]],"")</f>
        <v/>
      </c>
      <c r="AC268" s="13" t="str">
        <f>IF(tblSalaries[[#This Row],[Job Type]]=tblSalaries[[#Headers],[Reporting]],tblSalaries[[#This Row],[Salary in USD]],"")</f>
        <v/>
      </c>
      <c r="AD268" s="13" t="str">
        <f>IF(tblSalaries[[#This Row],[Job Type]]=tblSalaries[[#Headers],[Specialist]],tblSalaries[[#This Row],[Salary in USD]],"")</f>
        <v/>
      </c>
    </row>
    <row r="269" spans="2:30" ht="15" customHeight="1" x14ac:dyDescent="0.25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 s="9">
        <f>tblSalaries[[#This Row],[clean Salary (in local currency)]]*VLOOKUP(tblSalaries[[#This Row],[Currency]],tblXrate[],2,FALSE)</f>
        <v>103000</v>
      </c>
      <c r="H269" t="s">
        <v>341</v>
      </c>
      <c r="I269" t="s">
        <v>4001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  <c r="N269" t="str">
        <f>IF(tblSalaries[[#This Row],[Years of Experience]]="","",IF(tblSalaries[[#This Row],[Years of Experience]]&lt;=2,1,""))</f>
        <v/>
      </c>
      <c r="O269" t="str">
        <f>IF(tblSalaries[[#This Row],[Years of Experience]]="","",IF(AND(tblSalaries[[#This Row],[Years of Experience]]&gt;2,tblSalaries[[#This Row],[Years of Experience]]&lt;=5),1,""))</f>
        <v/>
      </c>
      <c r="P269" t="str">
        <f>IF(tblSalaries[[#This Row],[Years of Experience]]="","",IF(AND(tblSalaries[[#This Row],[Years of Experience]]&gt;5,tblSalaries[[#This Row],[Years of Experience]]&lt;=10),1,""))</f>
        <v/>
      </c>
      <c r="Q269" t="str">
        <f>IF(tblSalaries[[#This Row],[Years of Experience]]="","",IF(AND(tblSalaries[[#This Row],[Years of Experience]]&gt;10,tblSalaries[[#This Row],[Years of Experience]]&lt;=15),1,""))</f>
        <v/>
      </c>
      <c r="R269" t="str">
        <f>IF(tblSalaries[[#This Row],[Years of Experience]]="","",IF(AND(tblSalaries[[#This Row],[Years of Experience]]&gt;16,tblSalaries[[#This Row],[Years of Experience]]&lt;=20),1,""))</f>
        <v/>
      </c>
      <c r="S269" t="str">
        <f>IF(tblSalaries[[#This Row],[Years of Experience]]="","",IF(tblSalaries[[#This Row],[Years of Experience]]&gt;20,1,""))</f>
        <v/>
      </c>
      <c r="T2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69" s="13" t="str">
        <f>IF(tblSalaries[[#This Row],[Job Type]]=tblSalaries[[#Headers],[Accountant]],tblSalaries[[#This Row],[Salary in USD]],"")</f>
        <v/>
      </c>
      <c r="V269" s="13" t="str">
        <f>IF(tblSalaries[[#This Row],[Job Type]]=tblSalaries[[#Headers],[Analyst]],tblSalaries[[#This Row],[Salary in USD]],"")</f>
        <v/>
      </c>
      <c r="W269" s="13" t="str">
        <f>IF(tblSalaries[[#This Row],[Job Type]]=tblSalaries[[#Headers],[Consultant]],tblSalaries[[#This Row],[Salary in USD]],"")</f>
        <v/>
      </c>
      <c r="X269" s="13" t="str">
        <f>IF(tblSalaries[[#This Row],[Job Type]]=tblSalaries[[#Headers],[Controller]],tblSalaries[[#This Row],[Salary in USD]],"")</f>
        <v/>
      </c>
      <c r="Y269" s="13">
        <f>IF(tblSalaries[[#This Row],[Job Type]]=tblSalaries[[#Headers],[CXO or Top Mgmt.]],tblSalaries[[#This Row],[clean Salary (in local currency)]],"")</f>
        <v>103000</v>
      </c>
      <c r="Z269" s="13" t="str">
        <f>IF(tblSalaries[[#This Row],[Job Type]]=tblSalaries[[#Headers],[Engineer]],tblSalaries[[#This Row],[Salary in USD]],"")</f>
        <v/>
      </c>
      <c r="AA269" s="13" t="str">
        <f>IF(tblSalaries[[#This Row],[Job Type]]=tblSalaries[[#Headers],[Manager]],tblSalaries[[#This Row],[Salary in USD]],"")</f>
        <v/>
      </c>
      <c r="AB269" s="13" t="str">
        <f>IF(tblSalaries[[#This Row],[Job Type]]=tblSalaries[[#Headers],[Misc.]],tblSalaries[[#This Row],[Salary in USD]],"")</f>
        <v/>
      </c>
      <c r="AC269" s="13" t="str">
        <f>IF(tblSalaries[[#This Row],[Job Type]]=tblSalaries[[#Headers],[Reporting]],tblSalaries[[#This Row],[Salary in USD]],"")</f>
        <v/>
      </c>
      <c r="AD269" s="13" t="str">
        <f>IF(tblSalaries[[#This Row],[Job Type]]=tblSalaries[[#Headers],[Specialist]],tblSalaries[[#This Row],[Salary in USD]],"")</f>
        <v/>
      </c>
    </row>
    <row r="270" spans="2:30" ht="15" customHeight="1" x14ac:dyDescent="0.25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 s="9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  <c r="N270" t="str">
        <f>IF(tblSalaries[[#This Row],[Years of Experience]]="","",IF(tblSalaries[[#This Row],[Years of Experience]]&lt;=2,1,""))</f>
        <v/>
      </c>
      <c r="O270" t="str">
        <f>IF(tblSalaries[[#This Row],[Years of Experience]]="","",IF(AND(tblSalaries[[#This Row],[Years of Experience]]&gt;2,tblSalaries[[#This Row],[Years of Experience]]&lt;=5),1,""))</f>
        <v/>
      </c>
      <c r="P270" t="str">
        <f>IF(tblSalaries[[#This Row],[Years of Experience]]="","",IF(AND(tblSalaries[[#This Row],[Years of Experience]]&gt;5,tblSalaries[[#This Row],[Years of Experience]]&lt;=10),1,""))</f>
        <v/>
      </c>
      <c r="Q270" t="str">
        <f>IF(tblSalaries[[#This Row],[Years of Experience]]="","",IF(AND(tblSalaries[[#This Row],[Years of Experience]]&gt;10,tblSalaries[[#This Row],[Years of Experience]]&lt;=15),1,""))</f>
        <v/>
      </c>
      <c r="R270" t="str">
        <f>IF(tblSalaries[[#This Row],[Years of Experience]]="","",IF(AND(tblSalaries[[#This Row],[Years of Experience]]&gt;16,tblSalaries[[#This Row],[Years of Experience]]&lt;=20),1,""))</f>
        <v/>
      </c>
      <c r="S270" t="str">
        <f>IF(tblSalaries[[#This Row],[Years of Experience]]="","",IF(tblSalaries[[#This Row],[Years of Experience]]&gt;20,1,""))</f>
        <v/>
      </c>
      <c r="T2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0" s="13" t="str">
        <f>IF(tblSalaries[[#This Row],[Job Type]]=tblSalaries[[#Headers],[Accountant]],tblSalaries[[#This Row],[Salary in USD]],"")</f>
        <v/>
      </c>
      <c r="V270" s="13" t="str">
        <f>IF(tblSalaries[[#This Row],[Job Type]]=tblSalaries[[#Headers],[Analyst]],tblSalaries[[#This Row],[Salary in USD]],"")</f>
        <v/>
      </c>
      <c r="W270" s="13" t="str">
        <f>IF(tblSalaries[[#This Row],[Job Type]]=tblSalaries[[#Headers],[Consultant]],tblSalaries[[#This Row],[Salary in USD]],"")</f>
        <v/>
      </c>
      <c r="X270" s="13" t="str">
        <f>IF(tblSalaries[[#This Row],[Job Type]]=tblSalaries[[#Headers],[Controller]],tblSalaries[[#This Row],[Salary in USD]],"")</f>
        <v/>
      </c>
      <c r="Y270" s="13" t="str">
        <f>IF(tblSalaries[[#This Row],[Job Type]]=tblSalaries[[#Headers],[CXO or Top Mgmt.]],tblSalaries[[#This Row],[clean Salary (in local currency)]],"")</f>
        <v/>
      </c>
      <c r="Z270" s="13" t="str">
        <f>IF(tblSalaries[[#This Row],[Job Type]]=tblSalaries[[#Headers],[Engineer]],tblSalaries[[#This Row],[Salary in USD]],"")</f>
        <v/>
      </c>
      <c r="AA270" s="13" t="str">
        <f>IF(tblSalaries[[#This Row],[Job Type]]=tblSalaries[[#Headers],[Manager]],tblSalaries[[#This Row],[Salary in USD]],"")</f>
        <v/>
      </c>
      <c r="AB270" s="13" t="str">
        <f>IF(tblSalaries[[#This Row],[Job Type]]=tblSalaries[[#Headers],[Misc.]],tblSalaries[[#This Row],[Salary in USD]],"")</f>
        <v/>
      </c>
      <c r="AC270" s="13" t="str">
        <f>IF(tblSalaries[[#This Row],[Job Type]]=tblSalaries[[#Headers],[Reporting]],tblSalaries[[#This Row],[Salary in USD]],"")</f>
        <v/>
      </c>
      <c r="AD270" s="13">
        <f>IF(tblSalaries[[#This Row],[Job Type]]=tblSalaries[[#Headers],[Specialist]],tblSalaries[[#This Row],[Salary in USD]],"")</f>
        <v>7600</v>
      </c>
    </row>
    <row r="271" spans="2:30" ht="15" customHeight="1" x14ac:dyDescent="0.25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 s="9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  <c r="N271" t="str">
        <f>IF(tblSalaries[[#This Row],[Years of Experience]]="","",IF(tblSalaries[[#This Row],[Years of Experience]]&lt;=2,1,""))</f>
        <v/>
      </c>
      <c r="O271" t="str">
        <f>IF(tblSalaries[[#This Row],[Years of Experience]]="","",IF(AND(tblSalaries[[#This Row],[Years of Experience]]&gt;2,tblSalaries[[#This Row],[Years of Experience]]&lt;=5),1,""))</f>
        <v/>
      </c>
      <c r="P271" t="str">
        <f>IF(tblSalaries[[#This Row],[Years of Experience]]="","",IF(AND(tblSalaries[[#This Row],[Years of Experience]]&gt;5,tblSalaries[[#This Row],[Years of Experience]]&lt;=10),1,""))</f>
        <v/>
      </c>
      <c r="Q271" t="str">
        <f>IF(tblSalaries[[#This Row],[Years of Experience]]="","",IF(AND(tblSalaries[[#This Row],[Years of Experience]]&gt;10,tblSalaries[[#This Row],[Years of Experience]]&lt;=15),1,""))</f>
        <v/>
      </c>
      <c r="R271" t="str">
        <f>IF(tblSalaries[[#This Row],[Years of Experience]]="","",IF(AND(tblSalaries[[#This Row],[Years of Experience]]&gt;16,tblSalaries[[#This Row],[Years of Experience]]&lt;=20),1,""))</f>
        <v/>
      </c>
      <c r="S271" t="str">
        <f>IF(tblSalaries[[#This Row],[Years of Experience]]="","",IF(tblSalaries[[#This Row],[Years of Experience]]&gt;20,1,""))</f>
        <v/>
      </c>
      <c r="T2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1" s="13" t="str">
        <f>IF(tblSalaries[[#This Row],[Job Type]]=tblSalaries[[#Headers],[Accountant]],tblSalaries[[#This Row],[Salary in USD]],"")</f>
        <v/>
      </c>
      <c r="V271" s="13">
        <f>IF(tblSalaries[[#This Row],[Job Type]]=tblSalaries[[#Headers],[Analyst]],tblSalaries[[#This Row],[Salary in USD]],"")</f>
        <v>40000</v>
      </c>
      <c r="W271" s="13" t="str">
        <f>IF(tblSalaries[[#This Row],[Job Type]]=tblSalaries[[#Headers],[Consultant]],tblSalaries[[#This Row],[Salary in USD]],"")</f>
        <v/>
      </c>
      <c r="X271" s="13" t="str">
        <f>IF(tblSalaries[[#This Row],[Job Type]]=tblSalaries[[#Headers],[Controller]],tblSalaries[[#This Row],[Salary in USD]],"")</f>
        <v/>
      </c>
      <c r="Y271" s="13" t="str">
        <f>IF(tblSalaries[[#This Row],[Job Type]]=tblSalaries[[#Headers],[CXO or Top Mgmt.]],tblSalaries[[#This Row],[clean Salary (in local currency)]],"")</f>
        <v/>
      </c>
      <c r="Z271" s="13" t="str">
        <f>IF(tblSalaries[[#This Row],[Job Type]]=tblSalaries[[#Headers],[Engineer]],tblSalaries[[#This Row],[Salary in USD]],"")</f>
        <v/>
      </c>
      <c r="AA271" s="13" t="str">
        <f>IF(tblSalaries[[#This Row],[Job Type]]=tblSalaries[[#Headers],[Manager]],tblSalaries[[#This Row],[Salary in USD]],"")</f>
        <v/>
      </c>
      <c r="AB271" s="13" t="str">
        <f>IF(tblSalaries[[#This Row],[Job Type]]=tblSalaries[[#Headers],[Misc.]],tblSalaries[[#This Row],[Salary in USD]],"")</f>
        <v/>
      </c>
      <c r="AC271" s="13" t="str">
        <f>IF(tblSalaries[[#This Row],[Job Type]]=tblSalaries[[#Headers],[Reporting]],tblSalaries[[#This Row],[Salary in USD]],"")</f>
        <v/>
      </c>
      <c r="AD271" s="13" t="str">
        <f>IF(tblSalaries[[#This Row],[Job Type]]=tblSalaries[[#Headers],[Specialist]],tblSalaries[[#This Row],[Salary in USD]],"")</f>
        <v/>
      </c>
    </row>
    <row r="272" spans="2:30" ht="15" customHeight="1" x14ac:dyDescent="0.25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 s="9">
        <f>tblSalaries[[#This Row],[clean Salary (in local currency)]]*VLOOKUP(tblSalaries[[#This Row],[Currency]],tblXrate[],2,FALSE)</f>
        <v>80000</v>
      </c>
      <c r="H272" t="s">
        <v>344</v>
      </c>
      <c r="I272" t="s">
        <v>4001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  <c r="N272" t="str">
        <f>IF(tblSalaries[[#This Row],[Years of Experience]]="","",IF(tblSalaries[[#This Row],[Years of Experience]]&lt;=2,1,""))</f>
        <v/>
      </c>
      <c r="O272" t="str">
        <f>IF(tblSalaries[[#This Row],[Years of Experience]]="","",IF(AND(tblSalaries[[#This Row],[Years of Experience]]&gt;2,tblSalaries[[#This Row],[Years of Experience]]&lt;=5),1,""))</f>
        <v/>
      </c>
      <c r="P272" t="str">
        <f>IF(tblSalaries[[#This Row],[Years of Experience]]="","",IF(AND(tblSalaries[[#This Row],[Years of Experience]]&gt;5,tblSalaries[[#This Row],[Years of Experience]]&lt;=10),1,""))</f>
        <v/>
      </c>
      <c r="Q272" t="str">
        <f>IF(tblSalaries[[#This Row],[Years of Experience]]="","",IF(AND(tblSalaries[[#This Row],[Years of Experience]]&gt;10,tblSalaries[[#This Row],[Years of Experience]]&lt;=15),1,""))</f>
        <v/>
      </c>
      <c r="R272" t="str">
        <f>IF(tblSalaries[[#This Row],[Years of Experience]]="","",IF(AND(tblSalaries[[#This Row],[Years of Experience]]&gt;16,tblSalaries[[#This Row],[Years of Experience]]&lt;=20),1,""))</f>
        <v/>
      </c>
      <c r="S272" t="str">
        <f>IF(tblSalaries[[#This Row],[Years of Experience]]="","",IF(tblSalaries[[#This Row],[Years of Experience]]&gt;20,1,""))</f>
        <v/>
      </c>
      <c r="T2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2" s="13" t="str">
        <f>IF(tblSalaries[[#This Row],[Job Type]]=tblSalaries[[#Headers],[Accountant]],tblSalaries[[#This Row],[Salary in USD]],"")</f>
        <v/>
      </c>
      <c r="V272" s="13" t="str">
        <f>IF(tblSalaries[[#This Row],[Job Type]]=tblSalaries[[#Headers],[Analyst]],tblSalaries[[#This Row],[Salary in USD]],"")</f>
        <v/>
      </c>
      <c r="W272" s="13" t="str">
        <f>IF(tblSalaries[[#This Row],[Job Type]]=tblSalaries[[#Headers],[Consultant]],tblSalaries[[#This Row],[Salary in USD]],"")</f>
        <v/>
      </c>
      <c r="X272" s="13" t="str">
        <f>IF(tblSalaries[[#This Row],[Job Type]]=tblSalaries[[#Headers],[Controller]],tblSalaries[[#This Row],[Salary in USD]],"")</f>
        <v/>
      </c>
      <c r="Y272" s="13">
        <f>IF(tblSalaries[[#This Row],[Job Type]]=tblSalaries[[#Headers],[CXO or Top Mgmt.]],tblSalaries[[#This Row],[clean Salary (in local currency)]],"")</f>
        <v>80000</v>
      </c>
      <c r="Z272" s="13" t="str">
        <f>IF(tblSalaries[[#This Row],[Job Type]]=tblSalaries[[#Headers],[Engineer]],tblSalaries[[#This Row],[Salary in USD]],"")</f>
        <v/>
      </c>
      <c r="AA272" s="13" t="str">
        <f>IF(tblSalaries[[#This Row],[Job Type]]=tblSalaries[[#Headers],[Manager]],tblSalaries[[#This Row],[Salary in USD]],"")</f>
        <v/>
      </c>
      <c r="AB272" s="13" t="str">
        <f>IF(tblSalaries[[#This Row],[Job Type]]=tblSalaries[[#Headers],[Misc.]],tblSalaries[[#This Row],[Salary in USD]],"")</f>
        <v/>
      </c>
      <c r="AC272" s="13" t="str">
        <f>IF(tblSalaries[[#This Row],[Job Type]]=tblSalaries[[#Headers],[Reporting]],tblSalaries[[#This Row],[Salary in USD]],"")</f>
        <v/>
      </c>
      <c r="AD272" s="13" t="str">
        <f>IF(tblSalaries[[#This Row],[Job Type]]=tblSalaries[[#Headers],[Specialist]],tblSalaries[[#This Row],[Salary in USD]],"")</f>
        <v/>
      </c>
    </row>
    <row r="273" spans="2:30" ht="15" customHeight="1" x14ac:dyDescent="0.25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 s="9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  <c r="N273" t="str">
        <f>IF(tblSalaries[[#This Row],[Years of Experience]]="","",IF(tblSalaries[[#This Row],[Years of Experience]]&lt;=2,1,""))</f>
        <v/>
      </c>
      <c r="O273" t="str">
        <f>IF(tblSalaries[[#This Row],[Years of Experience]]="","",IF(AND(tblSalaries[[#This Row],[Years of Experience]]&gt;2,tblSalaries[[#This Row],[Years of Experience]]&lt;=5),1,""))</f>
        <v/>
      </c>
      <c r="P273" t="str">
        <f>IF(tblSalaries[[#This Row],[Years of Experience]]="","",IF(AND(tblSalaries[[#This Row],[Years of Experience]]&gt;5,tblSalaries[[#This Row],[Years of Experience]]&lt;=10),1,""))</f>
        <v/>
      </c>
      <c r="Q273" t="str">
        <f>IF(tblSalaries[[#This Row],[Years of Experience]]="","",IF(AND(tblSalaries[[#This Row],[Years of Experience]]&gt;10,tblSalaries[[#This Row],[Years of Experience]]&lt;=15),1,""))</f>
        <v/>
      </c>
      <c r="R273" t="str">
        <f>IF(tblSalaries[[#This Row],[Years of Experience]]="","",IF(AND(tblSalaries[[#This Row],[Years of Experience]]&gt;16,tblSalaries[[#This Row],[Years of Experience]]&lt;=20),1,""))</f>
        <v/>
      </c>
      <c r="S273" t="str">
        <f>IF(tblSalaries[[#This Row],[Years of Experience]]="","",IF(tblSalaries[[#This Row],[Years of Experience]]&gt;20,1,""))</f>
        <v/>
      </c>
      <c r="T2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3" s="13" t="str">
        <f>IF(tblSalaries[[#This Row],[Job Type]]=tblSalaries[[#Headers],[Accountant]],tblSalaries[[#This Row],[Salary in USD]],"")</f>
        <v/>
      </c>
      <c r="V273" s="13">
        <f>IF(tblSalaries[[#This Row],[Job Type]]=tblSalaries[[#Headers],[Analyst]],tblSalaries[[#This Row],[Salary in USD]],"")</f>
        <v>55000</v>
      </c>
      <c r="W273" s="13" t="str">
        <f>IF(tblSalaries[[#This Row],[Job Type]]=tblSalaries[[#Headers],[Consultant]],tblSalaries[[#This Row],[Salary in USD]],"")</f>
        <v/>
      </c>
      <c r="X273" s="13" t="str">
        <f>IF(tblSalaries[[#This Row],[Job Type]]=tblSalaries[[#Headers],[Controller]],tblSalaries[[#This Row],[Salary in USD]],"")</f>
        <v/>
      </c>
      <c r="Y273" s="13" t="str">
        <f>IF(tblSalaries[[#This Row],[Job Type]]=tblSalaries[[#Headers],[CXO or Top Mgmt.]],tblSalaries[[#This Row],[clean Salary (in local currency)]],"")</f>
        <v/>
      </c>
      <c r="Z273" s="13" t="str">
        <f>IF(tblSalaries[[#This Row],[Job Type]]=tblSalaries[[#Headers],[Engineer]],tblSalaries[[#This Row],[Salary in USD]],"")</f>
        <v/>
      </c>
      <c r="AA273" s="13" t="str">
        <f>IF(tblSalaries[[#This Row],[Job Type]]=tblSalaries[[#Headers],[Manager]],tblSalaries[[#This Row],[Salary in USD]],"")</f>
        <v/>
      </c>
      <c r="AB273" s="13" t="str">
        <f>IF(tblSalaries[[#This Row],[Job Type]]=tblSalaries[[#Headers],[Misc.]],tblSalaries[[#This Row],[Salary in USD]],"")</f>
        <v/>
      </c>
      <c r="AC273" s="13" t="str">
        <f>IF(tblSalaries[[#This Row],[Job Type]]=tblSalaries[[#Headers],[Reporting]],tblSalaries[[#This Row],[Salary in USD]],"")</f>
        <v/>
      </c>
      <c r="AD273" s="13" t="str">
        <f>IF(tblSalaries[[#This Row],[Job Type]]=tblSalaries[[#Headers],[Specialist]],tblSalaries[[#This Row],[Salary in USD]],"")</f>
        <v/>
      </c>
    </row>
    <row r="274" spans="2:30" ht="15" customHeight="1" x14ac:dyDescent="0.25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 s="9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  <c r="N274" t="str">
        <f>IF(tblSalaries[[#This Row],[Years of Experience]]="","",IF(tblSalaries[[#This Row],[Years of Experience]]&lt;=2,1,""))</f>
        <v/>
      </c>
      <c r="O274" t="str">
        <f>IF(tblSalaries[[#This Row],[Years of Experience]]="","",IF(AND(tblSalaries[[#This Row],[Years of Experience]]&gt;2,tblSalaries[[#This Row],[Years of Experience]]&lt;=5),1,""))</f>
        <v/>
      </c>
      <c r="P274" t="str">
        <f>IF(tblSalaries[[#This Row],[Years of Experience]]="","",IF(AND(tblSalaries[[#This Row],[Years of Experience]]&gt;5,tblSalaries[[#This Row],[Years of Experience]]&lt;=10),1,""))</f>
        <v/>
      </c>
      <c r="Q274" t="str">
        <f>IF(tblSalaries[[#This Row],[Years of Experience]]="","",IF(AND(tblSalaries[[#This Row],[Years of Experience]]&gt;10,tblSalaries[[#This Row],[Years of Experience]]&lt;=15),1,""))</f>
        <v/>
      </c>
      <c r="R274" t="str">
        <f>IF(tblSalaries[[#This Row],[Years of Experience]]="","",IF(AND(tblSalaries[[#This Row],[Years of Experience]]&gt;16,tblSalaries[[#This Row],[Years of Experience]]&lt;=20),1,""))</f>
        <v/>
      </c>
      <c r="S274" t="str">
        <f>IF(tblSalaries[[#This Row],[Years of Experience]]="","",IF(tblSalaries[[#This Row],[Years of Experience]]&gt;20,1,""))</f>
        <v/>
      </c>
      <c r="T2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4" s="13" t="str">
        <f>IF(tblSalaries[[#This Row],[Job Type]]=tblSalaries[[#Headers],[Accountant]],tblSalaries[[#This Row],[Salary in USD]],"")</f>
        <v/>
      </c>
      <c r="V274" s="13">
        <f>IF(tblSalaries[[#This Row],[Job Type]]=tblSalaries[[#Headers],[Analyst]],tblSalaries[[#This Row],[Salary in USD]],"")</f>
        <v>99000</v>
      </c>
      <c r="W274" s="13" t="str">
        <f>IF(tblSalaries[[#This Row],[Job Type]]=tblSalaries[[#Headers],[Consultant]],tblSalaries[[#This Row],[Salary in USD]],"")</f>
        <v/>
      </c>
      <c r="X274" s="13" t="str">
        <f>IF(tblSalaries[[#This Row],[Job Type]]=tblSalaries[[#Headers],[Controller]],tblSalaries[[#This Row],[Salary in USD]],"")</f>
        <v/>
      </c>
      <c r="Y274" s="13" t="str">
        <f>IF(tblSalaries[[#This Row],[Job Type]]=tblSalaries[[#Headers],[CXO or Top Mgmt.]],tblSalaries[[#This Row],[clean Salary (in local currency)]],"")</f>
        <v/>
      </c>
      <c r="Z274" s="13" t="str">
        <f>IF(tblSalaries[[#This Row],[Job Type]]=tblSalaries[[#Headers],[Engineer]],tblSalaries[[#This Row],[Salary in USD]],"")</f>
        <v/>
      </c>
      <c r="AA274" s="13" t="str">
        <f>IF(tblSalaries[[#This Row],[Job Type]]=tblSalaries[[#Headers],[Manager]],tblSalaries[[#This Row],[Salary in USD]],"")</f>
        <v/>
      </c>
      <c r="AB274" s="13" t="str">
        <f>IF(tblSalaries[[#This Row],[Job Type]]=tblSalaries[[#Headers],[Misc.]],tblSalaries[[#This Row],[Salary in USD]],"")</f>
        <v/>
      </c>
      <c r="AC274" s="13" t="str">
        <f>IF(tblSalaries[[#This Row],[Job Type]]=tblSalaries[[#Headers],[Reporting]],tblSalaries[[#This Row],[Salary in USD]],"")</f>
        <v/>
      </c>
      <c r="AD274" s="13" t="str">
        <f>IF(tblSalaries[[#This Row],[Job Type]]=tblSalaries[[#Headers],[Specialist]],tblSalaries[[#This Row],[Salary in USD]],"")</f>
        <v/>
      </c>
    </row>
    <row r="275" spans="2:30" ht="15" customHeight="1" x14ac:dyDescent="0.25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 s="9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  <c r="N275" t="str">
        <f>IF(tblSalaries[[#This Row],[Years of Experience]]="","",IF(tblSalaries[[#This Row],[Years of Experience]]&lt;=2,1,""))</f>
        <v/>
      </c>
      <c r="O275" t="str">
        <f>IF(tblSalaries[[#This Row],[Years of Experience]]="","",IF(AND(tblSalaries[[#This Row],[Years of Experience]]&gt;2,tblSalaries[[#This Row],[Years of Experience]]&lt;=5),1,""))</f>
        <v/>
      </c>
      <c r="P275" t="str">
        <f>IF(tblSalaries[[#This Row],[Years of Experience]]="","",IF(AND(tblSalaries[[#This Row],[Years of Experience]]&gt;5,tblSalaries[[#This Row],[Years of Experience]]&lt;=10),1,""))</f>
        <v/>
      </c>
      <c r="Q275" t="str">
        <f>IF(tblSalaries[[#This Row],[Years of Experience]]="","",IF(AND(tblSalaries[[#This Row],[Years of Experience]]&gt;10,tblSalaries[[#This Row],[Years of Experience]]&lt;=15),1,""))</f>
        <v/>
      </c>
      <c r="R275" t="str">
        <f>IF(tblSalaries[[#This Row],[Years of Experience]]="","",IF(AND(tblSalaries[[#This Row],[Years of Experience]]&gt;16,tblSalaries[[#This Row],[Years of Experience]]&lt;=20),1,""))</f>
        <v/>
      </c>
      <c r="S275" t="str">
        <f>IF(tblSalaries[[#This Row],[Years of Experience]]="","",IF(tblSalaries[[#This Row],[Years of Experience]]&gt;20,1,""))</f>
        <v/>
      </c>
      <c r="T2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5" s="13" t="str">
        <f>IF(tblSalaries[[#This Row],[Job Type]]=tblSalaries[[#Headers],[Accountant]],tblSalaries[[#This Row],[Salary in USD]],"")</f>
        <v/>
      </c>
      <c r="V275" s="13" t="str">
        <f>IF(tblSalaries[[#This Row],[Job Type]]=tblSalaries[[#Headers],[Analyst]],tblSalaries[[#This Row],[Salary in USD]],"")</f>
        <v/>
      </c>
      <c r="W275" s="13" t="str">
        <f>IF(tblSalaries[[#This Row],[Job Type]]=tblSalaries[[#Headers],[Consultant]],tblSalaries[[#This Row],[Salary in USD]],"")</f>
        <v/>
      </c>
      <c r="X275" s="13" t="str">
        <f>IF(tblSalaries[[#This Row],[Job Type]]=tblSalaries[[#Headers],[Controller]],tblSalaries[[#This Row],[Salary in USD]],"")</f>
        <v/>
      </c>
      <c r="Y275" s="13" t="str">
        <f>IF(tblSalaries[[#This Row],[Job Type]]=tblSalaries[[#Headers],[CXO or Top Mgmt.]],tblSalaries[[#This Row],[clean Salary (in local currency)]],"")</f>
        <v/>
      </c>
      <c r="Z275" s="13" t="str">
        <f>IF(tblSalaries[[#This Row],[Job Type]]=tblSalaries[[#Headers],[Engineer]],tblSalaries[[#This Row],[Salary in USD]],"")</f>
        <v/>
      </c>
      <c r="AA275" s="13">
        <f>IF(tblSalaries[[#This Row],[Job Type]]=tblSalaries[[#Headers],[Manager]],tblSalaries[[#This Row],[Salary in USD]],"")</f>
        <v>9956.1219482708348</v>
      </c>
      <c r="AB275" s="13" t="str">
        <f>IF(tblSalaries[[#This Row],[Job Type]]=tblSalaries[[#Headers],[Misc.]],tblSalaries[[#This Row],[Salary in USD]],"")</f>
        <v/>
      </c>
      <c r="AC275" s="13" t="str">
        <f>IF(tblSalaries[[#This Row],[Job Type]]=tblSalaries[[#Headers],[Reporting]],tblSalaries[[#This Row],[Salary in USD]],"")</f>
        <v/>
      </c>
      <c r="AD275" s="13" t="str">
        <f>IF(tblSalaries[[#This Row],[Job Type]]=tblSalaries[[#Headers],[Specialist]],tblSalaries[[#This Row],[Salary in USD]],"")</f>
        <v/>
      </c>
    </row>
    <row r="276" spans="2:30" ht="15" customHeight="1" x14ac:dyDescent="0.25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 s="9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  <c r="N276" t="str">
        <f>IF(tblSalaries[[#This Row],[Years of Experience]]="","",IF(tblSalaries[[#This Row],[Years of Experience]]&lt;=2,1,""))</f>
        <v/>
      </c>
      <c r="O276" t="str">
        <f>IF(tblSalaries[[#This Row],[Years of Experience]]="","",IF(AND(tblSalaries[[#This Row],[Years of Experience]]&gt;2,tblSalaries[[#This Row],[Years of Experience]]&lt;=5),1,""))</f>
        <v/>
      </c>
      <c r="P276" t="str">
        <f>IF(tblSalaries[[#This Row],[Years of Experience]]="","",IF(AND(tblSalaries[[#This Row],[Years of Experience]]&gt;5,tblSalaries[[#This Row],[Years of Experience]]&lt;=10),1,""))</f>
        <v/>
      </c>
      <c r="Q276" t="str">
        <f>IF(tblSalaries[[#This Row],[Years of Experience]]="","",IF(AND(tblSalaries[[#This Row],[Years of Experience]]&gt;10,tblSalaries[[#This Row],[Years of Experience]]&lt;=15),1,""))</f>
        <v/>
      </c>
      <c r="R276" t="str">
        <f>IF(tblSalaries[[#This Row],[Years of Experience]]="","",IF(AND(tblSalaries[[#This Row],[Years of Experience]]&gt;16,tblSalaries[[#This Row],[Years of Experience]]&lt;=20),1,""))</f>
        <v/>
      </c>
      <c r="S276" t="str">
        <f>IF(tblSalaries[[#This Row],[Years of Experience]]="","",IF(tblSalaries[[#This Row],[Years of Experience]]&gt;20,1,""))</f>
        <v/>
      </c>
      <c r="T2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6" s="13" t="str">
        <f>IF(tblSalaries[[#This Row],[Job Type]]=tblSalaries[[#Headers],[Accountant]],tblSalaries[[#This Row],[Salary in USD]],"")</f>
        <v/>
      </c>
      <c r="V276" s="13">
        <f>IF(tblSalaries[[#This Row],[Job Type]]=tblSalaries[[#Headers],[Analyst]],tblSalaries[[#This Row],[Salary in USD]],"")</f>
        <v>75000</v>
      </c>
      <c r="W276" s="13" t="str">
        <f>IF(tblSalaries[[#This Row],[Job Type]]=tblSalaries[[#Headers],[Consultant]],tblSalaries[[#This Row],[Salary in USD]],"")</f>
        <v/>
      </c>
      <c r="X276" s="13" t="str">
        <f>IF(tblSalaries[[#This Row],[Job Type]]=tblSalaries[[#Headers],[Controller]],tblSalaries[[#This Row],[Salary in USD]],"")</f>
        <v/>
      </c>
      <c r="Y276" s="13" t="str">
        <f>IF(tblSalaries[[#This Row],[Job Type]]=tblSalaries[[#Headers],[CXO or Top Mgmt.]],tblSalaries[[#This Row],[clean Salary (in local currency)]],"")</f>
        <v/>
      </c>
      <c r="Z276" s="13" t="str">
        <f>IF(tblSalaries[[#This Row],[Job Type]]=tblSalaries[[#Headers],[Engineer]],tblSalaries[[#This Row],[Salary in USD]],"")</f>
        <v/>
      </c>
      <c r="AA276" s="13" t="str">
        <f>IF(tblSalaries[[#This Row],[Job Type]]=tblSalaries[[#Headers],[Manager]],tblSalaries[[#This Row],[Salary in USD]],"")</f>
        <v/>
      </c>
      <c r="AB276" s="13" t="str">
        <f>IF(tblSalaries[[#This Row],[Job Type]]=tblSalaries[[#Headers],[Misc.]],tblSalaries[[#This Row],[Salary in USD]],"")</f>
        <v/>
      </c>
      <c r="AC276" s="13" t="str">
        <f>IF(tblSalaries[[#This Row],[Job Type]]=tblSalaries[[#Headers],[Reporting]],tblSalaries[[#This Row],[Salary in USD]],"")</f>
        <v/>
      </c>
      <c r="AD276" s="13" t="str">
        <f>IF(tblSalaries[[#This Row],[Job Type]]=tblSalaries[[#Headers],[Specialist]],tblSalaries[[#This Row],[Salary in USD]],"")</f>
        <v/>
      </c>
    </row>
    <row r="277" spans="2:30" ht="15" customHeight="1" x14ac:dyDescent="0.25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 s="9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  <c r="N277" t="str">
        <f>IF(tblSalaries[[#This Row],[Years of Experience]]="","",IF(tblSalaries[[#This Row],[Years of Experience]]&lt;=2,1,""))</f>
        <v/>
      </c>
      <c r="O277" t="str">
        <f>IF(tblSalaries[[#This Row],[Years of Experience]]="","",IF(AND(tblSalaries[[#This Row],[Years of Experience]]&gt;2,tblSalaries[[#This Row],[Years of Experience]]&lt;=5),1,""))</f>
        <v/>
      </c>
      <c r="P277" t="str">
        <f>IF(tblSalaries[[#This Row],[Years of Experience]]="","",IF(AND(tblSalaries[[#This Row],[Years of Experience]]&gt;5,tblSalaries[[#This Row],[Years of Experience]]&lt;=10),1,""))</f>
        <v/>
      </c>
      <c r="Q277" t="str">
        <f>IF(tblSalaries[[#This Row],[Years of Experience]]="","",IF(AND(tblSalaries[[#This Row],[Years of Experience]]&gt;10,tblSalaries[[#This Row],[Years of Experience]]&lt;=15),1,""))</f>
        <v/>
      </c>
      <c r="R277" t="str">
        <f>IF(tblSalaries[[#This Row],[Years of Experience]]="","",IF(AND(tblSalaries[[#This Row],[Years of Experience]]&gt;16,tblSalaries[[#This Row],[Years of Experience]]&lt;=20),1,""))</f>
        <v/>
      </c>
      <c r="S277" t="str">
        <f>IF(tblSalaries[[#This Row],[Years of Experience]]="","",IF(tblSalaries[[#This Row],[Years of Experience]]&gt;20,1,""))</f>
        <v/>
      </c>
      <c r="T2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7" s="13" t="str">
        <f>IF(tblSalaries[[#This Row],[Job Type]]=tblSalaries[[#Headers],[Accountant]],tblSalaries[[#This Row],[Salary in USD]],"")</f>
        <v/>
      </c>
      <c r="V277" s="13" t="str">
        <f>IF(tblSalaries[[#This Row],[Job Type]]=tblSalaries[[#Headers],[Analyst]],tblSalaries[[#This Row],[Salary in USD]],"")</f>
        <v/>
      </c>
      <c r="W277" s="13" t="str">
        <f>IF(tblSalaries[[#This Row],[Job Type]]=tblSalaries[[#Headers],[Consultant]],tblSalaries[[#This Row],[Salary in USD]],"")</f>
        <v/>
      </c>
      <c r="X277" s="13" t="str">
        <f>IF(tblSalaries[[#This Row],[Job Type]]=tblSalaries[[#Headers],[Controller]],tblSalaries[[#This Row],[Salary in USD]],"")</f>
        <v/>
      </c>
      <c r="Y277" s="13" t="str">
        <f>IF(tblSalaries[[#This Row],[Job Type]]=tblSalaries[[#Headers],[CXO or Top Mgmt.]],tblSalaries[[#This Row],[clean Salary (in local currency)]],"")</f>
        <v/>
      </c>
      <c r="Z277" s="13" t="str">
        <f>IF(tblSalaries[[#This Row],[Job Type]]=tblSalaries[[#Headers],[Engineer]],tblSalaries[[#This Row],[Salary in USD]],"")</f>
        <v/>
      </c>
      <c r="AA277" s="13">
        <f>IF(tblSalaries[[#This Row],[Job Type]]=tblSalaries[[#Headers],[Manager]],tblSalaries[[#This Row],[Salary in USD]],"")</f>
        <v>80000</v>
      </c>
      <c r="AB277" s="13" t="str">
        <f>IF(tblSalaries[[#This Row],[Job Type]]=tblSalaries[[#Headers],[Misc.]],tblSalaries[[#This Row],[Salary in USD]],"")</f>
        <v/>
      </c>
      <c r="AC277" s="13" t="str">
        <f>IF(tblSalaries[[#This Row],[Job Type]]=tblSalaries[[#Headers],[Reporting]],tblSalaries[[#This Row],[Salary in USD]],"")</f>
        <v/>
      </c>
      <c r="AD277" s="13" t="str">
        <f>IF(tblSalaries[[#This Row],[Job Type]]=tblSalaries[[#Headers],[Specialist]],tblSalaries[[#This Row],[Salary in USD]],"")</f>
        <v/>
      </c>
    </row>
    <row r="278" spans="2:30" ht="15" customHeight="1" x14ac:dyDescent="0.25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 s="9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  <c r="N278" t="str">
        <f>IF(tblSalaries[[#This Row],[Years of Experience]]="","",IF(tblSalaries[[#This Row],[Years of Experience]]&lt;=2,1,""))</f>
        <v/>
      </c>
      <c r="O278" t="str">
        <f>IF(tblSalaries[[#This Row],[Years of Experience]]="","",IF(AND(tblSalaries[[#This Row],[Years of Experience]]&gt;2,tblSalaries[[#This Row],[Years of Experience]]&lt;=5),1,""))</f>
        <v/>
      </c>
      <c r="P278" t="str">
        <f>IF(tblSalaries[[#This Row],[Years of Experience]]="","",IF(AND(tblSalaries[[#This Row],[Years of Experience]]&gt;5,tblSalaries[[#This Row],[Years of Experience]]&lt;=10),1,""))</f>
        <v/>
      </c>
      <c r="Q278" t="str">
        <f>IF(tblSalaries[[#This Row],[Years of Experience]]="","",IF(AND(tblSalaries[[#This Row],[Years of Experience]]&gt;10,tblSalaries[[#This Row],[Years of Experience]]&lt;=15),1,""))</f>
        <v/>
      </c>
      <c r="R278" t="str">
        <f>IF(tblSalaries[[#This Row],[Years of Experience]]="","",IF(AND(tblSalaries[[#This Row],[Years of Experience]]&gt;16,tblSalaries[[#This Row],[Years of Experience]]&lt;=20),1,""))</f>
        <v/>
      </c>
      <c r="S278" t="str">
        <f>IF(tblSalaries[[#This Row],[Years of Experience]]="","",IF(tblSalaries[[#This Row],[Years of Experience]]&gt;20,1,""))</f>
        <v/>
      </c>
      <c r="T2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8" s="13" t="str">
        <f>IF(tblSalaries[[#This Row],[Job Type]]=tblSalaries[[#Headers],[Accountant]],tblSalaries[[#This Row],[Salary in USD]],"")</f>
        <v/>
      </c>
      <c r="V278" s="13">
        <f>IF(tblSalaries[[#This Row],[Job Type]]=tblSalaries[[#Headers],[Analyst]],tblSalaries[[#This Row],[Salary in USD]],"")</f>
        <v>20000</v>
      </c>
      <c r="W278" s="13" t="str">
        <f>IF(tblSalaries[[#This Row],[Job Type]]=tblSalaries[[#Headers],[Consultant]],tblSalaries[[#This Row],[Salary in USD]],"")</f>
        <v/>
      </c>
      <c r="X278" s="13" t="str">
        <f>IF(tblSalaries[[#This Row],[Job Type]]=tblSalaries[[#Headers],[Controller]],tblSalaries[[#This Row],[Salary in USD]],"")</f>
        <v/>
      </c>
      <c r="Y278" s="13" t="str">
        <f>IF(tblSalaries[[#This Row],[Job Type]]=tblSalaries[[#Headers],[CXO or Top Mgmt.]],tblSalaries[[#This Row],[clean Salary (in local currency)]],"")</f>
        <v/>
      </c>
      <c r="Z278" s="13" t="str">
        <f>IF(tblSalaries[[#This Row],[Job Type]]=tblSalaries[[#Headers],[Engineer]],tblSalaries[[#This Row],[Salary in USD]],"")</f>
        <v/>
      </c>
      <c r="AA278" s="13" t="str">
        <f>IF(tblSalaries[[#This Row],[Job Type]]=tblSalaries[[#Headers],[Manager]],tblSalaries[[#This Row],[Salary in USD]],"")</f>
        <v/>
      </c>
      <c r="AB278" s="13" t="str">
        <f>IF(tblSalaries[[#This Row],[Job Type]]=tblSalaries[[#Headers],[Misc.]],tblSalaries[[#This Row],[Salary in USD]],"")</f>
        <v/>
      </c>
      <c r="AC278" s="13" t="str">
        <f>IF(tblSalaries[[#This Row],[Job Type]]=tblSalaries[[#Headers],[Reporting]],tblSalaries[[#This Row],[Salary in USD]],"")</f>
        <v/>
      </c>
      <c r="AD278" s="13" t="str">
        <f>IF(tblSalaries[[#This Row],[Job Type]]=tblSalaries[[#Headers],[Specialist]],tblSalaries[[#This Row],[Salary in USD]],"")</f>
        <v/>
      </c>
    </row>
    <row r="279" spans="2:30" ht="15" customHeight="1" x14ac:dyDescent="0.25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 s="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  <c r="N279" t="str">
        <f>IF(tblSalaries[[#This Row],[Years of Experience]]="","",IF(tblSalaries[[#This Row],[Years of Experience]]&lt;=2,1,""))</f>
        <v/>
      </c>
      <c r="O279" t="str">
        <f>IF(tblSalaries[[#This Row],[Years of Experience]]="","",IF(AND(tblSalaries[[#This Row],[Years of Experience]]&gt;2,tblSalaries[[#This Row],[Years of Experience]]&lt;=5),1,""))</f>
        <v/>
      </c>
      <c r="P279" t="str">
        <f>IF(tblSalaries[[#This Row],[Years of Experience]]="","",IF(AND(tblSalaries[[#This Row],[Years of Experience]]&gt;5,tblSalaries[[#This Row],[Years of Experience]]&lt;=10),1,""))</f>
        <v/>
      </c>
      <c r="Q279" t="str">
        <f>IF(tblSalaries[[#This Row],[Years of Experience]]="","",IF(AND(tblSalaries[[#This Row],[Years of Experience]]&gt;10,tblSalaries[[#This Row],[Years of Experience]]&lt;=15),1,""))</f>
        <v/>
      </c>
      <c r="R279" t="str">
        <f>IF(tblSalaries[[#This Row],[Years of Experience]]="","",IF(AND(tblSalaries[[#This Row],[Years of Experience]]&gt;16,tblSalaries[[#This Row],[Years of Experience]]&lt;=20),1,""))</f>
        <v/>
      </c>
      <c r="S279" t="str">
        <f>IF(tblSalaries[[#This Row],[Years of Experience]]="","",IF(tblSalaries[[#This Row],[Years of Experience]]&gt;20,1,""))</f>
        <v/>
      </c>
      <c r="T2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79" s="13" t="str">
        <f>IF(tblSalaries[[#This Row],[Job Type]]=tblSalaries[[#Headers],[Accountant]],tblSalaries[[#This Row],[Salary in USD]],"")</f>
        <v/>
      </c>
      <c r="V279" s="13">
        <f>IF(tblSalaries[[#This Row],[Job Type]]=tblSalaries[[#Headers],[Analyst]],tblSalaries[[#This Row],[Salary in USD]],"")</f>
        <v>40000</v>
      </c>
      <c r="W279" s="13" t="str">
        <f>IF(tblSalaries[[#This Row],[Job Type]]=tblSalaries[[#Headers],[Consultant]],tblSalaries[[#This Row],[Salary in USD]],"")</f>
        <v/>
      </c>
      <c r="X279" s="13" t="str">
        <f>IF(tblSalaries[[#This Row],[Job Type]]=tblSalaries[[#Headers],[Controller]],tblSalaries[[#This Row],[Salary in USD]],"")</f>
        <v/>
      </c>
      <c r="Y279" s="13" t="str">
        <f>IF(tblSalaries[[#This Row],[Job Type]]=tblSalaries[[#Headers],[CXO or Top Mgmt.]],tblSalaries[[#This Row],[clean Salary (in local currency)]],"")</f>
        <v/>
      </c>
      <c r="Z279" s="13" t="str">
        <f>IF(tblSalaries[[#This Row],[Job Type]]=tblSalaries[[#Headers],[Engineer]],tblSalaries[[#This Row],[Salary in USD]],"")</f>
        <v/>
      </c>
      <c r="AA279" s="13" t="str">
        <f>IF(tblSalaries[[#This Row],[Job Type]]=tblSalaries[[#Headers],[Manager]],tblSalaries[[#This Row],[Salary in USD]],"")</f>
        <v/>
      </c>
      <c r="AB279" s="13" t="str">
        <f>IF(tblSalaries[[#This Row],[Job Type]]=tblSalaries[[#Headers],[Misc.]],tblSalaries[[#This Row],[Salary in USD]],"")</f>
        <v/>
      </c>
      <c r="AC279" s="13" t="str">
        <f>IF(tblSalaries[[#This Row],[Job Type]]=tblSalaries[[#Headers],[Reporting]],tblSalaries[[#This Row],[Salary in USD]],"")</f>
        <v/>
      </c>
      <c r="AD279" s="13" t="str">
        <f>IF(tblSalaries[[#This Row],[Job Type]]=tblSalaries[[#Headers],[Specialist]],tblSalaries[[#This Row],[Salary in USD]],"")</f>
        <v/>
      </c>
    </row>
    <row r="280" spans="2:30" ht="15" customHeight="1" x14ac:dyDescent="0.25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 s="9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  <c r="N280" t="str">
        <f>IF(tblSalaries[[#This Row],[Years of Experience]]="","",IF(tblSalaries[[#This Row],[Years of Experience]]&lt;=2,1,""))</f>
        <v/>
      </c>
      <c r="O280" t="str">
        <f>IF(tblSalaries[[#This Row],[Years of Experience]]="","",IF(AND(tblSalaries[[#This Row],[Years of Experience]]&gt;2,tblSalaries[[#This Row],[Years of Experience]]&lt;=5),1,""))</f>
        <v/>
      </c>
      <c r="P280" t="str">
        <f>IF(tblSalaries[[#This Row],[Years of Experience]]="","",IF(AND(tblSalaries[[#This Row],[Years of Experience]]&gt;5,tblSalaries[[#This Row],[Years of Experience]]&lt;=10),1,""))</f>
        <v/>
      </c>
      <c r="Q280" t="str">
        <f>IF(tblSalaries[[#This Row],[Years of Experience]]="","",IF(AND(tblSalaries[[#This Row],[Years of Experience]]&gt;10,tblSalaries[[#This Row],[Years of Experience]]&lt;=15),1,""))</f>
        <v/>
      </c>
      <c r="R280" t="str">
        <f>IF(tblSalaries[[#This Row],[Years of Experience]]="","",IF(AND(tblSalaries[[#This Row],[Years of Experience]]&gt;16,tblSalaries[[#This Row],[Years of Experience]]&lt;=20),1,""))</f>
        <v/>
      </c>
      <c r="S280" t="str">
        <f>IF(tblSalaries[[#This Row],[Years of Experience]]="","",IF(tblSalaries[[#This Row],[Years of Experience]]&gt;20,1,""))</f>
        <v/>
      </c>
      <c r="T2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0" s="13" t="str">
        <f>IF(tblSalaries[[#This Row],[Job Type]]=tblSalaries[[#Headers],[Accountant]],tblSalaries[[#This Row],[Salary in USD]],"")</f>
        <v/>
      </c>
      <c r="V280" s="13">
        <f>IF(tblSalaries[[#This Row],[Job Type]]=tblSalaries[[#Headers],[Analyst]],tblSalaries[[#This Row],[Salary in USD]],"")</f>
        <v>46000</v>
      </c>
      <c r="W280" s="13" t="str">
        <f>IF(tblSalaries[[#This Row],[Job Type]]=tblSalaries[[#Headers],[Consultant]],tblSalaries[[#This Row],[Salary in USD]],"")</f>
        <v/>
      </c>
      <c r="X280" s="13" t="str">
        <f>IF(tblSalaries[[#This Row],[Job Type]]=tblSalaries[[#Headers],[Controller]],tblSalaries[[#This Row],[Salary in USD]],"")</f>
        <v/>
      </c>
      <c r="Y280" s="13" t="str">
        <f>IF(tblSalaries[[#This Row],[Job Type]]=tblSalaries[[#Headers],[CXO or Top Mgmt.]],tblSalaries[[#This Row],[clean Salary (in local currency)]],"")</f>
        <v/>
      </c>
      <c r="Z280" s="13" t="str">
        <f>IF(tblSalaries[[#This Row],[Job Type]]=tblSalaries[[#Headers],[Engineer]],tblSalaries[[#This Row],[Salary in USD]],"")</f>
        <v/>
      </c>
      <c r="AA280" s="13" t="str">
        <f>IF(tblSalaries[[#This Row],[Job Type]]=tblSalaries[[#Headers],[Manager]],tblSalaries[[#This Row],[Salary in USD]],"")</f>
        <v/>
      </c>
      <c r="AB280" s="13" t="str">
        <f>IF(tblSalaries[[#This Row],[Job Type]]=tblSalaries[[#Headers],[Misc.]],tblSalaries[[#This Row],[Salary in USD]],"")</f>
        <v/>
      </c>
      <c r="AC280" s="13" t="str">
        <f>IF(tblSalaries[[#This Row],[Job Type]]=tblSalaries[[#Headers],[Reporting]],tblSalaries[[#This Row],[Salary in USD]],"")</f>
        <v/>
      </c>
      <c r="AD280" s="13" t="str">
        <f>IF(tblSalaries[[#This Row],[Job Type]]=tblSalaries[[#Headers],[Specialist]],tblSalaries[[#This Row],[Salary in USD]],"")</f>
        <v/>
      </c>
    </row>
    <row r="281" spans="2:30" ht="15" customHeight="1" x14ac:dyDescent="0.25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 s="9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  <c r="N281" t="str">
        <f>IF(tblSalaries[[#This Row],[Years of Experience]]="","",IF(tblSalaries[[#This Row],[Years of Experience]]&lt;=2,1,""))</f>
        <v/>
      </c>
      <c r="O281" t="str">
        <f>IF(tblSalaries[[#This Row],[Years of Experience]]="","",IF(AND(tblSalaries[[#This Row],[Years of Experience]]&gt;2,tblSalaries[[#This Row],[Years of Experience]]&lt;=5),1,""))</f>
        <v/>
      </c>
      <c r="P281" t="str">
        <f>IF(tblSalaries[[#This Row],[Years of Experience]]="","",IF(AND(tblSalaries[[#This Row],[Years of Experience]]&gt;5,tblSalaries[[#This Row],[Years of Experience]]&lt;=10),1,""))</f>
        <v/>
      </c>
      <c r="Q281" t="str">
        <f>IF(tblSalaries[[#This Row],[Years of Experience]]="","",IF(AND(tblSalaries[[#This Row],[Years of Experience]]&gt;10,tblSalaries[[#This Row],[Years of Experience]]&lt;=15),1,""))</f>
        <v/>
      </c>
      <c r="R281" t="str">
        <f>IF(tblSalaries[[#This Row],[Years of Experience]]="","",IF(AND(tblSalaries[[#This Row],[Years of Experience]]&gt;16,tblSalaries[[#This Row],[Years of Experience]]&lt;=20),1,""))</f>
        <v/>
      </c>
      <c r="S281" t="str">
        <f>IF(tblSalaries[[#This Row],[Years of Experience]]="","",IF(tblSalaries[[#This Row],[Years of Experience]]&gt;20,1,""))</f>
        <v/>
      </c>
      <c r="T2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1" s="13" t="str">
        <f>IF(tblSalaries[[#This Row],[Job Type]]=tblSalaries[[#Headers],[Accountant]],tblSalaries[[#This Row],[Salary in USD]],"")</f>
        <v/>
      </c>
      <c r="V281" s="13">
        <f>IF(tblSalaries[[#This Row],[Job Type]]=tblSalaries[[#Headers],[Analyst]],tblSalaries[[#This Row],[Salary in USD]],"")</f>
        <v>14000</v>
      </c>
      <c r="W281" s="13" t="str">
        <f>IF(tblSalaries[[#This Row],[Job Type]]=tblSalaries[[#Headers],[Consultant]],tblSalaries[[#This Row],[Salary in USD]],"")</f>
        <v/>
      </c>
      <c r="X281" s="13" t="str">
        <f>IF(tblSalaries[[#This Row],[Job Type]]=tblSalaries[[#Headers],[Controller]],tblSalaries[[#This Row],[Salary in USD]],"")</f>
        <v/>
      </c>
      <c r="Y281" s="13" t="str">
        <f>IF(tblSalaries[[#This Row],[Job Type]]=tblSalaries[[#Headers],[CXO or Top Mgmt.]],tblSalaries[[#This Row],[clean Salary (in local currency)]],"")</f>
        <v/>
      </c>
      <c r="Z281" s="13" t="str">
        <f>IF(tblSalaries[[#This Row],[Job Type]]=tblSalaries[[#Headers],[Engineer]],tblSalaries[[#This Row],[Salary in USD]],"")</f>
        <v/>
      </c>
      <c r="AA281" s="13" t="str">
        <f>IF(tblSalaries[[#This Row],[Job Type]]=tblSalaries[[#Headers],[Manager]],tblSalaries[[#This Row],[Salary in USD]],"")</f>
        <v/>
      </c>
      <c r="AB281" s="13" t="str">
        <f>IF(tblSalaries[[#This Row],[Job Type]]=tblSalaries[[#Headers],[Misc.]],tblSalaries[[#This Row],[Salary in USD]],"")</f>
        <v/>
      </c>
      <c r="AC281" s="13" t="str">
        <f>IF(tblSalaries[[#This Row],[Job Type]]=tblSalaries[[#Headers],[Reporting]],tblSalaries[[#This Row],[Salary in USD]],"")</f>
        <v/>
      </c>
      <c r="AD281" s="13" t="str">
        <f>IF(tblSalaries[[#This Row],[Job Type]]=tblSalaries[[#Headers],[Specialist]],tblSalaries[[#This Row],[Salary in USD]],"")</f>
        <v/>
      </c>
    </row>
    <row r="282" spans="2:30" ht="15" customHeight="1" x14ac:dyDescent="0.25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 s="9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  <c r="N282" t="str">
        <f>IF(tblSalaries[[#This Row],[Years of Experience]]="","",IF(tblSalaries[[#This Row],[Years of Experience]]&lt;=2,1,""))</f>
        <v/>
      </c>
      <c r="O282" t="str">
        <f>IF(tblSalaries[[#This Row],[Years of Experience]]="","",IF(AND(tblSalaries[[#This Row],[Years of Experience]]&gt;2,tblSalaries[[#This Row],[Years of Experience]]&lt;=5),1,""))</f>
        <v/>
      </c>
      <c r="P282" t="str">
        <f>IF(tblSalaries[[#This Row],[Years of Experience]]="","",IF(AND(tblSalaries[[#This Row],[Years of Experience]]&gt;5,tblSalaries[[#This Row],[Years of Experience]]&lt;=10),1,""))</f>
        <v/>
      </c>
      <c r="Q282" t="str">
        <f>IF(tblSalaries[[#This Row],[Years of Experience]]="","",IF(AND(tblSalaries[[#This Row],[Years of Experience]]&gt;10,tblSalaries[[#This Row],[Years of Experience]]&lt;=15),1,""))</f>
        <v/>
      </c>
      <c r="R282" t="str">
        <f>IF(tblSalaries[[#This Row],[Years of Experience]]="","",IF(AND(tblSalaries[[#This Row],[Years of Experience]]&gt;16,tblSalaries[[#This Row],[Years of Experience]]&lt;=20),1,""))</f>
        <v/>
      </c>
      <c r="S282" t="str">
        <f>IF(tblSalaries[[#This Row],[Years of Experience]]="","",IF(tblSalaries[[#This Row],[Years of Experience]]&gt;20,1,""))</f>
        <v/>
      </c>
      <c r="T2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2" s="13" t="str">
        <f>IF(tblSalaries[[#This Row],[Job Type]]=tblSalaries[[#Headers],[Accountant]],tblSalaries[[#This Row],[Salary in USD]],"")</f>
        <v/>
      </c>
      <c r="V282" s="13" t="str">
        <f>IF(tblSalaries[[#This Row],[Job Type]]=tblSalaries[[#Headers],[Analyst]],tblSalaries[[#This Row],[Salary in USD]],"")</f>
        <v/>
      </c>
      <c r="W282" s="13" t="str">
        <f>IF(tblSalaries[[#This Row],[Job Type]]=tblSalaries[[#Headers],[Consultant]],tblSalaries[[#This Row],[Salary in USD]],"")</f>
        <v/>
      </c>
      <c r="X282" s="13" t="str">
        <f>IF(tblSalaries[[#This Row],[Job Type]]=tblSalaries[[#Headers],[Controller]],tblSalaries[[#This Row],[Salary in USD]],"")</f>
        <v/>
      </c>
      <c r="Y282" s="13" t="str">
        <f>IF(tblSalaries[[#This Row],[Job Type]]=tblSalaries[[#Headers],[CXO or Top Mgmt.]],tblSalaries[[#This Row],[clean Salary (in local currency)]],"")</f>
        <v/>
      </c>
      <c r="Z282" s="13">
        <f>IF(tblSalaries[[#This Row],[Job Type]]=tblSalaries[[#Headers],[Engineer]],tblSalaries[[#This Row],[Salary in USD]],"")</f>
        <v>70000</v>
      </c>
      <c r="AA282" s="13" t="str">
        <f>IF(tblSalaries[[#This Row],[Job Type]]=tblSalaries[[#Headers],[Manager]],tblSalaries[[#This Row],[Salary in USD]],"")</f>
        <v/>
      </c>
      <c r="AB282" s="13" t="str">
        <f>IF(tblSalaries[[#This Row],[Job Type]]=tblSalaries[[#Headers],[Misc.]],tblSalaries[[#This Row],[Salary in USD]],"")</f>
        <v/>
      </c>
      <c r="AC282" s="13" t="str">
        <f>IF(tblSalaries[[#This Row],[Job Type]]=tblSalaries[[#Headers],[Reporting]],tblSalaries[[#This Row],[Salary in USD]],"")</f>
        <v/>
      </c>
      <c r="AD282" s="13" t="str">
        <f>IF(tblSalaries[[#This Row],[Job Type]]=tblSalaries[[#Headers],[Specialist]],tblSalaries[[#This Row],[Salary in USD]],"")</f>
        <v/>
      </c>
    </row>
    <row r="283" spans="2:30" ht="15" customHeight="1" x14ac:dyDescent="0.25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 s="9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  <c r="N283" t="str">
        <f>IF(tblSalaries[[#This Row],[Years of Experience]]="","",IF(tblSalaries[[#This Row],[Years of Experience]]&lt;=2,1,""))</f>
        <v/>
      </c>
      <c r="O283" t="str">
        <f>IF(tblSalaries[[#This Row],[Years of Experience]]="","",IF(AND(tblSalaries[[#This Row],[Years of Experience]]&gt;2,tblSalaries[[#This Row],[Years of Experience]]&lt;=5),1,""))</f>
        <v/>
      </c>
      <c r="P283" t="str">
        <f>IF(tblSalaries[[#This Row],[Years of Experience]]="","",IF(AND(tblSalaries[[#This Row],[Years of Experience]]&gt;5,tblSalaries[[#This Row],[Years of Experience]]&lt;=10),1,""))</f>
        <v/>
      </c>
      <c r="Q283" t="str">
        <f>IF(tblSalaries[[#This Row],[Years of Experience]]="","",IF(AND(tblSalaries[[#This Row],[Years of Experience]]&gt;10,tblSalaries[[#This Row],[Years of Experience]]&lt;=15),1,""))</f>
        <v/>
      </c>
      <c r="R283" t="str">
        <f>IF(tblSalaries[[#This Row],[Years of Experience]]="","",IF(AND(tblSalaries[[#This Row],[Years of Experience]]&gt;16,tblSalaries[[#This Row],[Years of Experience]]&lt;=20),1,""))</f>
        <v/>
      </c>
      <c r="S283" t="str">
        <f>IF(tblSalaries[[#This Row],[Years of Experience]]="","",IF(tblSalaries[[#This Row],[Years of Experience]]&gt;20,1,""))</f>
        <v/>
      </c>
      <c r="T2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3" s="13" t="str">
        <f>IF(tblSalaries[[#This Row],[Job Type]]=tblSalaries[[#Headers],[Accountant]],tblSalaries[[#This Row],[Salary in USD]],"")</f>
        <v/>
      </c>
      <c r="V283" s="13" t="str">
        <f>IF(tblSalaries[[#This Row],[Job Type]]=tblSalaries[[#Headers],[Analyst]],tblSalaries[[#This Row],[Salary in USD]],"")</f>
        <v/>
      </c>
      <c r="W283" s="13" t="str">
        <f>IF(tblSalaries[[#This Row],[Job Type]]=tblSalaries[[#Headers],[Consultant]],tblSalaries[[#This Row],[Salary in USD]],"")</f>
        <v/>
      </c>
      <c r="X283" s="13" t="str">
        <f>IF(tblSalaries[[#This Row],[Job Type]]=tblSalaries[[#Headers],[Controller]],tblSalaries[[#This Row],[Salary in USD]],"")</f>
        <v/>
      </c>
      <c r="Y283" s="13" t="str">
        <f>IF(tblSalaries[[#This Row],[Job Type]]=tblSalaries[[#Headers],[CXO or Top Mgmt.]],tblSalaries[[#This Row],[clean Salary (in local currency)]],"")</f>
        <v/>
      </c>
      <c r="Z283" s="13" t="str">
        <f>IF(tblSalaries[[#This Row],[Job Type]]=tblSalaries[[#Headers],[Engineer]],tblSalaries[[#This Row],[Salary in USD]],"")</f>
        <v/>
      </c>
      <c r="AA283" s="13" t="str">
        <f>IF(tblSalaries[[#This Row],[Job Type]]=tblSalaries[[#Headers],[Manager]],tblSalaries[[#This Row],[Salary in USD]],"")</f>
        <v/>
      </c>
      <c r="AB283" s="13" t="str">
        <f>IF(tblSalaries[[#This Row],[Job Type]]=tblSalaries[[#Headers],[Misc.]],tblSalaries[[#This Row],[Salary in USD]],"")</f>
        <v/>
      </c>
      <c r="AC283" s="13" t="str">
        <f>IF(tblSalaries[[#This Row],[Job Type]]=tblSalaries[[#Headers],[Reporting]],tblSalaries[[#This Row],[Salary in USD]],"")</f>
        <v/>
      </c>
      <c r="AD283" s="13">
        <f>IF(tblSalaries[[#This Row],[Job Type]]=tblSalaries[[#Headers],[Specialist]],tblSalaries[[#This Row],[Salary in USD]],"")</f>
        <v>36000</v>
      </c>
    </row>
    <row r="284" spans="2:30" ht="15" customHeight="1" x14ac:dyDescent="0.25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 s="9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  <c r="N284" t="str">
        <f>IF(tblSalaries[[#This Row],[Years of Experience]]="","",IF(tblSalaries[[#This Row],[Years of Experience]]&lt;=2,1,""))</f>
        <v/>
      </c>
      <c r="O284" t="str">
        <f>IF(tblSalaries[[#This Row],[Years of Experience]]="","",IF(AND(tblSalaries[[#This Row],[Years of Experience]]&gt;2,tblSalaries[[#This Row],[Years of Experience]]&lt;=5),1,""))</f>
        <v/>
      </c>
      <c r="P284" t="str">
        <f>IF(tblSalaries[[#This Row],[Years of Experience]]="","",IF(AND(tblSalaries[[#This Row],[Years of Experience]]&gt;5,tblSalaries[[#This Row],[Years of Experience]]&lt;=10),1,""))</f>
        <v/>
      </c>
      <c r="Q284" t="str">
        <f>IF(tblSalaries[[#This Row],[Years of Experience]]="","",IF(AND(tblSalaries[[#This Row],[Years of Experience]]&gt;10,tblSalaries[[#This Row],[Years of Experience]]&lt;=15),1,""))</f>
        <v/>
      </c>
      <c r="R284" t="str">
        <f>IF(tblSalaries[[#This Row],[Years of Experience]]="","",IF(AND(tblSalaries[[#This Row],[Years of Experience]]&gt;16,tblSalaries[[#This Row],[Years of Experience]]&lt;=20),1,""))</f>
        <v/>
      </c>
      <c r="S284" t="str">
        <f>IF(tblSalaries[[#This Row],[Years of Experience]]="","",IF(tblSalaries[[#This Row],[Years of Experience]]&gt;20,1,""))</f>
        <v/>
      </c>
      <c r="T2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4" s="13" t="str">
        <f>IF(tblSalaries[[#This Row],[Job Type]]=tblSalaries[[#Headers],[Accountant]],tblSalaries[[#This Row],[Salary in USD]],"")</f>
        <v/>
      </c>
      <c r="V284" s="13" t="str">
        <f>IF(tblSalaries[[#This Row],[Job Type]]=tblSalaries[[#Headers],[Analyst]],tblSalaries[[#This Row],[Salary in USD]],"")</f>
        <v/>
      </c>
      <c r="W284" s="13" t="str">
        <f>IF(tblSalaries[[#This Row],[Job Type]]=tblSalaries[[#Headers],[Consultant]],tblSalaries[[#This Row],[Salary in USD]],"")</f>
        <v/>
      </c>
      <c r="X284" s="13" t="str">
        <f>IF(tblSalaries[[#This Row],[Job Type]]=tblSalaries[[#Headers],[Controller]],tblSalaries[[#This Row],[Salary in USD]],"")</f>
        <v/>
      </c>
      <c r="Y284" s="13" t="str">
        <f>IF(tblSalaries[[#This Row],[Job Type]]=tblSalaries[[#Headers],[CXO or Top Mgmt.]],tblSalaries[[#This Row],[clean Salary (in local currency)]],"")</f>
        <v/>
      </c>
      <c r="Z284" s="13" t="str">
        <f>IF(tblSalaries[[#This Row],[Job Type]]=tblSalaries[[#Headers],[Engineer]],tblSalaries[[#This Row],[Salary in USD]],"")</f>
        <v/>
      </c>
      <c r="AA284" s="13">
        <f>IF(tblSalaries[[#This Row],[Job Type]]=tblSalaries[[#Headers],[Manager]],tblSalaries[[#This Row],[Salary in USD]],"")</f>
        <v>15000</v>
      </c>
      <c r="AB284" s="13" t="str">
        <f>IF(tblSalaries[[#This Row],[Job Type]]=tblSalaries[[#Headers],[Misc.]],tblSalaries[[#This Row],[Salary in USD]],"")</f>
        <v/>
      </c>
      <c r="AC284" s="13" t="str">
        <f>IF(tblSalaries[[#This Row],[Job Type]]=tblSalaries[[#Headers],[Reporting]],tblSalaries[[#This Row],[Salary in USD]],"")</f>
        <v/>
      </c>
      <c r="AD284" s="13" t="str">
        <f>IF(tblSalaries[[#This Row],[Job Type]]=tblSalaries[[#Headers],[Specialist]],tblSalaries[[#This Row],[Salary in USD]],"")</f>
        <v/>
      </c>
    </row>
    <row r="285" spans="2:30" ht="15" customHeight="1" x14ac:dyDescent="0.25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 s="9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  <c r="N285" t="str">
        <f>IF(tblSalaries[[#This Row],[Years of Experience]]="","",IF(tblSalaries[[#This Row],[Years of Experience]]&lt;=2,1,""))</f>
        <v/>
      </c>
      <c r="O285" t="str">
        <f>IF(tblSalaries[[#This Row],[Years of Experience]]="","",IF(AND(tblSalaries[[#This Row],[Years of Experience]]&gt;2,tblSalaries[[#This Row],[Years of Experience]]&lt;=5),1,""))</f>
        <v/>
      </c>
      <c r="P285" t="str">
        <f>IF(tblSalaries[[#This Row],[Years of Experience]]="","",IF(AND(tblSalaries[[#This Row],[Years of Experience]]&gt;5,tblSalaries[[#This Row],[Years of Experience]]&lt;=10),1,""))</f>
        <v/>
      </c>
      <c r="Q285" t="str">
        <f>IF(tblSalaries[[#This Row],[Years of Experience]]="","",IF(AND(tblSalaries[[#This Row],[Years of Experience]]&gt;10,tblSalaries[[#This Row],[Years of Experience]]&lt;=15),1,""))</f>
        <v/>
      </c>
      <c r="R285" t="str">
        <f>IF(tblSalaries[[#This Row],[Years of Experience]]="","",IF(AND(tblSalaries[[#This Row],[Years of Experience]]&gt;16,tblSalaries[[#This Row],[Years of Experience]]&lt;=20),1,""))</f>
        <v/>
      </c>
      <c r="S285" t="str">
        <f>IF(tblSalaries[[#This Row],[Years of Experience]]="","",IF(tblSalaries[[#This Row],[Years of Experience]]&gt;20,1,""))</f>
        <v/>
      </c>
      <c r="T2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5" s="13" t="str">
        <f>IF(tblSalaries[[#This Row],[Job Type]]=tblSalaries[[#Headers],[Accountant]],tblSalaries[[#This Row],[Salary in USD]],"")</f>
        <v/>
      </c>
      <c r="V285" s="13" t="str">
        <f>IF(tblSalaries[[#This Row],[Job Type]]=tblSalaries[[#Headers],[Analyst]],tblSalaries[[#This Row],[Salary in USD]],"")</f>
        <v/>
      </c>
      <c r="W285" s="13">
        <f>IF(tblSalaries[[#This Row],[Job Type]]=tblSalaries[[#Headers],[Consultant]],tblSalaries[[#This Row],[Salary in USD]],"")</f>
        <v>26711.875031163851</v>
      </c>
      <c r="X285" s="13" t="str">
        <f>IF(tblSalaries[[#This Row],[Job Type]]=tblSalaries[[#Headers],[Controller]],tblSalaries[[#This Row],[Salary in USD]],"")</f>
        <v/>
      </c>
      <c r="Y285" s="13" t="str">
        <f>IF(tblSalaries[[#This Row],[Job Type]]=tblSalaries[[#Headers],[CXO or Top Mgmt.]],tblSalaries[[#This Row],[clean Salary (in local currency)]],"")</f>
        <v/>
      </c>
      <c r="Z285" s="13" t="str">
        <f>IF(tblSalaries[[#This Row],[Job Type]]=tblSalaries[[#Headers],[Engineer]],tblSalaries[[#This Row],[Salary in USD]],"")</f>
        <v/>
      </c>
      <c r="AA285" s="13" t="str">
        <f>IF(tblSalaries[[#This Row],[Job Type]]=tblSalaries[[#Headers],[Manager]],tblSalaries[[#This Row],[Salary in USD]],"")</f>
        <v/>
      </c>
      <c r="AB285" s="13" t="str">
        <f>IF(tblSalaries[[#This Row],[Job Type]]=tblSalaries[[#Headers],[Misc.]],tblSalaries[[#This Row],[Salary in USD]],"")</f>
        <v/>
      </c>
      <c r="AC285" s="13" t="str">
        <f>IF(tblSalaries[[#This Row],[Job Type]]=tblSalaries[[#Headers],[Reporting]],tblSalaries[[#This Row],[Salary in USD]],"")</f>
        <v/>
      </c>
      <c r="AD285" s="13" t="str">
        <f>IF(tblSalaries[[#This Row],[Job Type]]=tblSalaries[[#Headers],[Specialist]],tblSalaries[[#This Row],[Salary in USD]],"")</f>
        <v/>
      </c>
    </row>
    <row r="286" spans="2:30" ht="15" customHeight="1" x14ac:dyDescent="0.25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 s="9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  <c r="N286" t="str">
        <f>IF(tblSalaries[[#This Row],[Years of Experience]]="","",IF(tblSalaries[[#This Row],[Years of Experience]]&lt;=2,1,""))</f>
        <v/>
      </c>
      <c r="O286" t="str">
        <f>IF(tblSalaries[[#This Row],[Years of Experience]]="","",IF(AND(tblSalaries[[#This Row],[Years of Experience]]&gt;2,tblSalaries[[#This Row],[Years of Experience]]&lt;=5),1,""))</f>
        <v/>
      </c>
      <c r="P286" t="str">
        <f>IF(tblSalaries[[#This Row],[Years of Experience]]="","",IF(AND(tblSalaries[[#This Row],[Years of Experience]]&gt;5,tblSalaries[[#This Row],[Years of Experience]]&lt;=10),1,""))</f>
        <v/>
      </c>
      <c r="Q286" t="str">
        <f>IF(tblSalaries[[#This Row],[Years of Experience]]="","",IF(AND(tblSalaries[[#This Row],[Years of Experience]]&gt;10,tblSalaries[[#This Row],[Years of Experience]]&lt;=15),1,""))</f>
        <v/>
      </c>
      <c r="R286" t="str">
        <f>IF(tblSalaries[[#This Row],[Years of Experience]]="","",IF(AND(tblSalaries[[#This Row],[Years of Experience]]&gt;16,tblSalaries[[#This Row],[Years of Experience]]&lt;=20),1,""))</f>
        <v/>
      </c>
      <c r="S286" t="str">
        <f>IF(tblSalaries[[#This Row],[Years of Experience]]="","",IF(tblSalaries[[#This Row],[Years of Experience]]&gt;20,1,""))</f>
        <v/>
      </c>
      <c r="T2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6" s="13">
        <f>IF(tblSalaries[[#This Row],[Job Type]]=tblSalaries[[#Headers],[Accountant]],tblSalaries[[#This Row],[Salary in USD]],"")</f>
        <v>27221.92126875931</v>
      </c>
      <c r="V286" s="13" t="str">
        <f>IF(tblSalaries[[#This Row],[Job Type]]=tblSalaries[[#Headers],[Analyst]],tblSalaries[[#This Row],[Salary in USD]],"")</f>
        <v/>
      </c>
      <c r="W286" s="13" t="str">
        <f>IF(tblSalaries[[#This Row],[Job Type]]=tblSalaries[[#Headers],[Consultant]],tblSalaries[[#This Row],[Salary in USD]],"")</f>
        <v/>
      </c>
      <c r="X286" s="13" t="str">
        <f>IF(tblSalaries[[#This Row],[Job Type]]=tblSalaries[[#Headers],[Controller]],tblSalaries[[#This Row],[Salary in USD]],"")</f>
        <v/>
      </c>
      <c r="Y286" s="13" t="str">
        <f>IF(tblSalaries[[#This Row],[Job Type]]=tblSalaries[[#Headers],[CXO or Top Mgmt.]],tblSalaries[[#This Row],[clean Salary (in local currency)]],"")</f>
        <v/>
      </c>
      <c r="Z286" s="13" t="str">
        <f>IF(tblSalaries[[#This Row],[Job Type]]=tblSalaries[[#Headers],[Engineer]],tblSalaries[[#This Row],[Salary in USD]],"")</f>
        <v/>
      </c>
      <c r="AA286" s="13" t="str">
        <f>IF(tblSalaries[[#This Row],[Job Type]]=tblSalaries[[#Headers],[Manager]],tblSalaries[[#This Row],[Salary in USD]],"")</f>
        <v/>
      </c>
      <c r="AB286" s="13" t="str">
        <f>IF(tblSalaries[[#This Row],[Job Type]]=tblSalaries[[#Headers],[Misc.]],tblSalaries[[#This Row],[Salary in USD]],"")</f>
        <v/>
      </c>
      <c r="AC286" s="13" t="str">
        <f>IF(tblSalaries[[#This Row],[Job Type]]=tblSalaries[[#Headers],[Reporting]],tblSalaries[[#This Row],[Salary in USD]],"")</f>
        <v/>
      </c>
      <c r="AD286" s="13" t="str">
        <f>IF(tblSalaries[[#This Row],[Job Type]]=tblSalaries[[#Headers],[Specialist]],tblSalaries[[#This Row],[Salary in USD]],"")</f>
        <v/>
      </c>
    </row>
    <row r="287" spans="2:30" ht="15" customHeight="1" x14ac:dyDescent="0.25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 s="9">
        <f>tblSalaries[[#This Row],[clean Salary (in local currency)]]*VLOOKUP(tblSalaries[[#This Row],[Currency]],tblXrate[],2,FALSE)</f>
        <v>22000</v>
      </c>
      <c r="H287" t="s">
        <v>360</v>
      </c>
      <c r="I287" t="s">
        <v>3999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  <c r="N287" t="str">
        <f>IF(tblSalaries[[#This Row],[Years of Experience]]="","",IF(tblSalaries[[#This Row],[Years of Experience]]&lt;=2,1,""))</f>
        <v/>
      </c>
      <c r="O287" t="str">
        <f>IF(tblSalaries[[#This Row],[Years of Experience]]="","",IF(AND(tblSalaries[[#This Row],[Years of Experience]]&gt;2,tblSalaries[[#This Row],[Years of Experience]]&lt;=5),1,""))</f>
        <v/>
      </c>
      <c r="P287" t="str">
        <f>IF(tblSalaries[[#This Row],[Years of Experience]]="","",IF(AND(tblSalaries[[#This Row],[Years of Experience]]&gt;5,tblSalaries[[#This Row],[Years of Experience]]&lt;=10),1,""))</f>
        <v/>
      </c>
      <c r="Q287" t="str">
        <f>IF(tblSalaries[[#This Row],[Years of Experience]]="","",IF(AND(tblSalaries[[#This Row],[Years of Experience]]&gt;10,tblSalaries[[#This Row],[Years of Experience]]&lt;=15),1,""))</f>
        <v/>
      </c>
      <c r="R287" t="str">
        <f>IF(tblSalaries[[#This Row],[Years of Experience]]="","",IF(AND(tblSalaries[[#This Row],[Years of Experience]]&gt;16,tblSalaries[[#This Row],[Years of Experience]]&lt;=20),1,""))</f>
        <v/>
      </c>
      <c r="S287" t="str">
        <f>IF(tblSalaries[[#This Row],[Years of Experience]]="","",IF(tblSalaries[[#This Row],[Years of Experience]]&gt;20,1,""))</f>
        <v/>
      </c>
      <c r="T2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7" s="13" t="str">
        <f>IF(tblSalaries[[#This Row],[Job Type]]=tblSalaries[[#Headers],[Accountant]],tblSalaries[[#This Row],[Salary in USD]],"")</f>
        <v/>
      </c>
      <c r="V287" s="13" t="str">
        <f>IF(tblSalaries[[#This Row],[Job Type]]=tblSalaries[[#Headers],[Analyst]],tblSalaries[[#This Row],[Salary in USD]],"")</f>
        <v/>
      </c>
      <c r="W287" s="13" t="str">
        <f>IF(tblSalaries[[#This Row],[Job Type]]=tblSalaries[[#Headers],[Consultant]],tblSalaries[[#This Row],[Salary in USD]],"")</f>
        <v/>
      </c>
      <c r="X287" s="13" t="str">
        <f>IF(tblSalaries[[#This Row],[Job Type]]=tblSalaries[[#Headers],[Controller]],tblSalaries[[#This Row],[Salary in USD]],"")</f>
        <v/>
      </c>
      <c r="Y287" s="13" t="str">
        <f>IF(tblSalaries[[#This Row],[Job Type]]=tblSalaries[[#Headers],[CXO or Top Mgmt.]],tblSalaries[[#This Row],[clean Salary (in local currency)]],"")</f>
        <v/>
      </c>
      <c r="Z287" s="13" t="str">
        <f>IF(tblSalaries[[#This Row],[Job Type]]=tblSalaries[[#Headers],[Engineer]],tblSalaries[[#This Row],[Salary in USD]],"")</f>
        <v/>
      </c>
      <c r="AA287" s="13" t="str">
        <f>IF(tblSalaries[[#This Row],[Job Type]]=tblSalaries[[#Headers],[Manager]],tblSalaries[[#This Row],[Salary in USD]],"")</f>
        <v/>
      </c>
      <c r="AB287" s="13" t="str">
        <f>IF(tblSalaries[[#This Row],[Job Type]]=tblSalaries[[#Headers],[Misc.]],tblSalaries[[#This Row],[Salary in USD]],"")</f>
        <v/>
      </c>
      <c r="AC287" s="13">
        <f>IF(tblSalaries[[#This Row],[Job Type]]=tblSalaries[[#Headers],[Reporting]],tblSalaries[[#This Row],[Salary in USD]],"")</f>
        <v>22000</v>
      </c>
      <c r="AD287" s="13" t="str">
        <f>IF(tblSalaries[[#This Row],[Job Type]]=tblSalaries[[#Headers],[Specialist]],tblSalaries[[#This Row],[Salary in USD]],"")</f>
        <v/>
      </c>
    </row>
    <row r="288" spans="2:30" ht="15" customHeight="1" x14ac:dyDescent="0.25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 s="9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  <c r="N288" t="str">
        <f>IF(tblSalaries[[#This Row],[Years of Experience]]="","",IF(tblSalaries[[#This Row],[Years of Experience]]&lt;=2,1,""))</f>
        <v/>
      </c>
      <c r="O288" t="str">
        <f>IF(tblSalaries[[#This Row],[Years of Experience]]="","",IF(AND(tblSalaries[[#This Row],[Years of Experience]]&gt;2,tblSalaries[[#This Row],[Years of Experience]]&lt;=5),1,""))</f>
        <v/>
      </c>
      <c r="P288" t="str">
        <f>IF(tblSalaries[[#This Row],[Years of Experience]]="","",IF(AND(tblSalaries[[#This Row],[Years of Experience]]&gt;5,tblSalaries[[#This Row],[Years of Experience]]&lt;=10),1,""))</f>
        <v/>
      </c>
      <c r="Q288" t="str">
        <f>IF(tblSalaries[[#This Row],[Years of Experience]]="","",IF(AND(tblSalaries[[#This Row],[Years of Experience]]&gt;10,tblSalaries[[#This Row],[Years of Experience]]&lt;=15),1,""))</f>
        <v/>
      </c>
      <c r="R288" t="str">
        <f>IF(tblSalaries[[#This Row],[Years of Experience]]="","",IF(AND(tblSalaries[[#This Row],[Years of Experience]]&gt;16,tblSalaries[[#This Row],[Years of Experience]]&lt;=20),1,""))</f>
        <v/>
      </c>
      <c r="S288" t="str">
        <f>IF(tblSalaries[[#This Row],[Years of Experience]]="","",IF(tblSalaries[[#This Row],[Years of Experience]]&gt;20,1,""))</f>
        <v/>
      </c>
      <c r="T2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8" s="13" t="str">
        <f>IF(tblSalaries[[#This Row],[Job Type]]=tblSalaries[[#Headers],[Accountant]],tblSalaries[[#This Row],[Salary in USD]],"")</f>
        <v/>
      </c>
      <c r="V288" s="13" t="str">
        <f>IF(tblSalaries[[#This Row],[Job Type]]=tblSalaries[[#Headers],[Analyst]],tblSalaries[[#This Row],[Salary in USD]],"")</f>
        <v/>
      </c>
      <c r="W288" s="13" t="str">
        <f>IF(tblSalaries[[#This Row],[Job Type]]=tblSalaries[[#Headers],[Consultant]],tblSalaries[[#This Row],[Salary in USD]],"")</f>
        <v/>
      </c>
      <c r="X288" s="13" t="str">
        <f>IF(tblSalaries[[#This Row],[Job Type]]=tblSalaries[[#Headers],[Controller]],tblSalaries[[#This Row],[Salary in USD]],"")</f>
        <v/>
      </c>
      <c r="Y288" s="13" t="str">
        <f>IF(tblSalaries[[#This Row],[Job Type]]=tblSalaries[[#Headers],[CXO or Top Mgmt.]],tblSalaries[[#This Row],[clean Salary (in local currency)]],"")</f>
        <v/>
      </c>
      <c r="Z288" s="13" t="str">
        <f>IF(tblSalaries[[#This Row],[Job Type]]=tblSalaries[[#Headers],[Engineer]],tblSalaries[[#This Row],[Salary in USD]],"")</f>
        <v/>
      </c>
      <c r="AA288" s="13">
        <f>IF(tblSalaries[[#This Row],[Job Type]]=tblSalaries[[#Headers],[Manager]],tblSalaries[[#This Row],[Salary in USD]],"")</f>
        <v>68000</v>
      </c>
      <c r="AB288" s="13" t="str">
        <f>IF(tblSalaries[[#This Row],[Job Type]]=tblSalaries[[#Headers],[Misc.]],tblSalaries[[#This Row],[Salary in USD]],"")</f>
        <v/>
      </c>
      <c r="AC288" s="13" t="str">
        <f>IF(tblSalaries[[#This Row],[Job Type]]=tblSalaries[[#Headers],[Reporting]],tblSalaries[[#This Row],[Salary in USD]],"")</f>
        <v/>
      </c>
      <c r="AD288" s="13" t="str">
        <f>IF(tblSalaries[[#This Row],[Job Type]]=tblSalaries[[#Headers],[Specialist]],tblSalaries[[#This Row],[Salary in USD]],"")</f>
        <v/>
      </c>
    </row>
    <row r="289" spans="2:30" ht="15" customHeight="1" x14ac:dyDescent="0.25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 s="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  <c r="N289" t="str">
        <f>IF(tblSalaries[[#This Row],[Years of Experience]]="","",IF(tblSalaries[[#This Row],[Years of Experience]]&lt;=2,1,""))</f>
        <v/>
      </c>
      <c r="O289" t="str">
        <f>IF(tblSalaries[[#This Row],[Years of Experience]]="","",IF(AND(tblSalaries[[#This Row],[Years of Experience]]&gt;2,tblSalaries[[#This Row],[Years of Experience]]&lt;=5),1,""))</f>
        <v/>
      </c>
      <c r="P289" t="str">
        <f>IF(tblSalaries[[#This Row],[Years of Experience]]="","",IF(AND(tblSalaries[[#This Row],[Years of Experience]]&gt;5,tblSalaries[[#This Row],[Years of Experience]]&lt;=10),1,""))</f>
        <v/>
      </c>
      <c r="Q289" t="str">
        <f>IF(tblSalaries[[#This Row],[Years of Experience]]="","",IF(AND(tblSalaries[[#This Row],[Years of Experience]]&gt;10,tblSalaries[[#This Row],[Years of Experience]]&lt;=15),1,""))</f>
        <v/>
      </c>
      <c r="R289" t="str">
        <f>IF(tblSalaries[[#This Row],[Years of Experience]]="","",IF(AND(tblSalaries[[#This Row],[Years of Experience]]&gt;16,tblSalaries[[#This Row],[Years of Experience]]&lt;=20),1,""))</f>
        <v/>
      </c>
      <c r="S289" t="str">
        <f>IF(tblSalaries[[#This Row],[Years of Experience]]="","",IF(tblSalaries[[#This Row],[Years of Experience]]&gt;20,1,""))</f>
        <v/>
      </c>
      <c r="T2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89" s="13" t="str">
        <f>IF(tblSalaries[[#This Row],[Job Type]]=tblSalaries[[#Headers],[Accountant]],tblSalaries[[#This Row],[Salary in USD]],"")</f>
        <v/>
      </c>
      <c r="V289" s="13">
        <f>IF(tblSalaries[[#This Row],[Job Type]]=tblSalaries[[#Headers],[Analyst]],tblSalaries[[#This Row],[Salary in USD]],"")</f>
        <v>97000</v>
      </c>
      <c r="W289" s="13" t="str">
        <f>IF(tblSalaries[[#This Row],[Job Type]]=tblSalaries[[#Headers],[Consultant]],tblSalaries[[#This Row],[Salary in USD]],"")</f>
        <v/>
      </c>
      <c r="X289" s="13" t="str">
        <f>IF(tblSalaries[[#This Row],[Job Type]]=tblSalaries[[#Headers],[Controller]],tblSalaries[[#This Row],[Salary in USD]],"")</f>
        <v/>
      </c>
      <c r="Y289" s="13" t="str">
        <f>IF(tblSalaries[[#This Row],[Job Type]]=tblSalaries[[#Headers],[CXO or Top Mgmt.]],tblSalaries[[#This Row],[clean Salary (in local currency)]],"")</f>
        <v/>
      </c>
      <c r="Z289" s="13" t="str">
        <f>IF(tblSalaries[[#This Row],[Job Type]]=tblSalaries[[#Headers],[Engineer]],tblSalaries[[#This Row],[Salary in USD]],"")</f>
        <v/>
      </c>
      <c r="AA289" s="13" t="str">
        <f>IF(tblSalaries[[#This Row],[Job Type]]=tblSalaries[[#Headers],[Manager]],tblSalaries[[#This Row],[Salary in USD]],"")</f>
        <v/>
      </c>
      <c r="AB289" s="13" t="str">
        <f>IF(tblSalaries[[#This Row],[Job Type]]=tblSalaries[[#Headers],[Misc.]],tblSalaries[[#This Row],[Salary in USD]],"")</f>
        <v/>
      </c>
      <c r="AC289" s="13" t="str">
        <f>IF(tblSalaries[[#This Row],[Job Type]]=tblSalaries[[#Headers],[Reporting]],tblSalaries[[#This Row],[Salary in USD]],"")</f>
        <v/>
      </c>
      <c r="AD289" s="13" t="str">
        <f>IF(tblSalaries[[#This Row],[Job Type]]=tblSalaries[[#Headers],[Specialist]],tblSalaries[[#This Row],[Salary in USD]],"")</f>
        <v/>
      </c>
    </row>
    <row r="290" spans="2:30" ht="15" customHeight="1" x14ac:dyDescent="0.25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 s="9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  <c r="N290" t="str">
        <f>IF(tblSalaries[[#This Row],[Years of Experience]]="","",IF(tblSalaries[[#This Row],[Years of Experience]]&lt;=2,1,""))</f>
        <v/>
      </c>
      <c r="O290" t="str">
        <f>IF(tblSalaries[[#This Row],[Years of Experience]]="","",IF(AND(tblSalaries[[#This Row],[Years of Experience]]&gt;2,tblSalaries[[#This Row],[Years of Experience]]&lt;=5),1,""))</f>
        <v/>
      </c>
      <c r="P290" t="str">
        <f>IF(tblSalaries[[#This Row],[Years of Experience]]="","",IF(AND(tblSalaries[[#This Row],[Years of Experience]]&gt;5,tblSalaries[[#This Row],[Years of Experience]]&lt;=10),1,""))</f>
        <v/>
      </c>
      <c r="Q290" t="str">
        <f>IF(tblSalaries[[#This Row],[Years of Experience]]="","",IF(AND(tblSalaries[[#This Row],[Years of Experience]]&gt;10,tblSalaries[[#This Row],[Years of Experience]]&lt;=15),1,""))</f>
        <v/>
      </c>
      <c r="R290" t="str">
        <f>IF(tblSalaries[[#This Row],[Years of Experience]]="","",IF(AND(tblSalaries[[#This Row],[Years of Experience]]&gt;16,tblSalaries[[#This Row],[Years of Experience]]&lt;=20),1,""))</f>
        <v/>
      </c>
      <c r="S290" t="str">
        <f>IF(tblSalaries[[#This Row],[Years of Experience]]="","",IF(tblSalaries[[#This Row],[Years of Experience]]&gt;20,1,""))</f>
        <v/>
      </c>
      <c r="T2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0" s="13" t="str">
        <f>IF(tblSalaries[[#This Row],[Job Type]]=tblSalaries[[#Headers],[Accountant]],tblSalaries[[#This Row],[Salary in USD]],"")</f>
        <v/>
      </c>
      <c r="V290" s="13" t="str">
        <f>IF(tblSalaries[[#This Row],[Job Type]]=tblSalaries[[#Headers],[Analyst]],tblSalaries[[#This Row],[Salary in USD]],"")</f>
        <v/>
      </c>
      <c r="W290" s="13" t="str">
        <f>IF(tblSalaries[[#This Row],[Job Type]]=tblSalaries[[#Headers],[Consultant]],tblSalaries[[#This Row],[Salary in USD]],"")</f>
        <v/>
      </c>
      <c r="X290" s="13" t="str">
        <f>IF(tblSalaries[[#This Row],[Job Type]]=tblSalaries[[#Headers],[Controller]],tblSalaries[[#This Row],[Salary in USD]],"")</f>
        <v/>
      </c>
      <c r="Y290" s="13" t="str">
        <f>IF(tblSalaries[[#This Row],[Job Type]]=tblSalaries[[#Headers],[CXO or Top Mgmt.]],tblSalaries[[#This Row],[clean Salary (in local currency)]],"")</f>
        <v/>
      </c>
      <c r="Z290" s="13">
        <f>IF(tblSalaries[[#This Row],[Job Type]]=tblSalaries[[#Headers],[Engineer]],tblSalaries[[#This Row],[Salary in USD]],"")</f>
        <v>48861.526434085805</v>
      </c>
      <c r="AA290" s="13" t="str">
        <f>IF(tblSalaries[[#This Row],[Job Type]]=tblSalaries[[#Headers],[Manager]],tblSalaries[[#This Row],[Salary in USD]],"")</f>
        <v/>
      </c>
      <c r="AB290" s="13" t="str">
        <f>IF(tblSalaries[[#This Row],[Job Type]]=tblSalaries[[#Headers],[Misc.]],tblSalaries[[#This Row],[Salary in USD]],"")</f>
        <v/>
      </c>
      <c r="AC290" s="13" t="str">
        <f>IF(tblSalaries[[#This Row],[Job Type]]=tblSalaries[[#Headers],[Reporting]],tblSalaries[[#This Row],[Salary in USD]],"")</f>
        <v/>
      </c>
      <c r="AD290" s="13" t="str">
        <f>IF(tblSalaries[[#This Row],[Job Type]]=tblSalaries[[#Headers],[Specialist]],tblSalaries[[#This Row],[Salary in USD]],"")</f>
        <v/>
      </c>
    </row>
    <row r="291" spans="2:30" ht="15" customHeight="1" x14ac:dyDescent="0.25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 s="9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  <c r="N291" t="str">
        <f>IF(tblSalaries[[#This Row],[Years of Experience]]="","",IF(tblSalaries[[#This Row],[Years of Experience]]&lt;=2,1,""))</f>
        <v/>
      </c>
      <c r="O291" t="str">
        <f>IF(tblSalaries[[#This Row],[Years of Experience]]="","",IF(AND(tblSalaries[[#This Row],[Years of Experience]]&gt;2,tblSalaries[[#This Row],[Years of Experience]]&lt;=5),1,""))</f>
        <v/>
      </c>
      <c r="P291" t="str">
        <f>IF(tblSalaries[[#This Row],[Years of Experience]]="","",IF(AND(tblSalaries[[#This Row],[Years of Experience]]&gt;5,tblSalaries[[#This Row],[Years of Experience]]&lt;=10),1,""))</f>
        <v/>
      </c>
      <c r="Q291" t="str">
        <f>IF(tblSalaries[[#This Row],[Years of Experience]]="","",IF(AND(tblSalaries[[#This Row],[Years of Experience]]&gt;10,tblSalaries[[#This Row],[Years of Experience]]&lt;=15),1,""))</f>
        <v/>
      </c>
      <c r="R291" t="str">
        <f>IF(tblSalaries[[#This Row],[Years of Experience]]="","",IF(AND(tblSalaries[[#This Row],[Years of Experience]]&gt;16,tblSalaries[[#This Row],[Years of Experience]]&lt;=20),1,""))</f>
        <v/>
      </c>
      <c r="S291" t="str">
        <f>IF(tblSalaries[[#This Row],[Years of Experience]]="","",IF(tblSalaries[[#This Row],[Years of Experience]]&gt;20,1,""))</f>
        <v/>
      </c>
      <c r="T2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1" s="13" t="str">
        <f>IF(tblSalaries[[#This Row],[Job Type]]=tblSalaries[[#Headers],[Accountant]],tblSalaries[[#This Row],[Salary in USD]],"")</f>
        <v/>
      </c>
      <c r="V291" s="13">
        <f>IF(tblSalaries[[#This Row],[Job Type]]=tblSalaries[[#Headers],[Analyst]],tblSalaries[[#This Row],[Salary in USD]],"")</f>
        <v>65000</v>
      </c>
      <c r="W291" s="13" t="str">
        <f>IF(tblSalaries[[#This Row],[Job Type]]=tblSalaries[[#Headers],[Consultant]],tblSalaries[[#This Row],[Salary in USD]],"")</f>
        <v/>
      </c>
      <c r="X291" s="13" t="str">
        <f>IF(tblSalaries[[#This Row],[Job Type]]=tblSalaries[[#Headers],[Controller]],tblSalaries[[#This Row],[Salary in USD]],"")</f>
        <v/>
      </c>
      <c r="Y291" s="13" t="str">
        <f>IF(tblSalaries[[#This Row],[Job Type]]=tblSalaries[[#Headers],[CXO or Top Mgmt.]],tblSalaries[[#This Row],[clean Salary (in local currency)]],"")</f>
        <v/>
      </c>
      <c r="Z291" s="13" t="str">
        <f>IF(tblSalaries[[#This Row],[Job Type]]=tblSalaries[[#Headers],[Engineer]],tblSalaries[[#This Row],[Salary in USD]],"")</f>
        <v/>
      </c>
      <c r="AA291" s="13" t="str">
        <f>IF(tblSalaries[[#This Row],[Job Type]]=tblSalaries[[#Headers],[Manager]],tblSalaries[[#This Row],[Salary in USD]],"")</f>
        <v/>
      </c>
      <c r="AB291" s="13" t="str">
        <f>IF(tblSalaries[[#This Row],[Job Type]]=tblSalaries[[#Headers],[Misc.]],tblSalaries[[#This Row],[Salary in USD]],"")</f>
        <v/>
      </c>
      <c r="AC291" s="13" t="str">
        <f>IF(tblSalaries[[#This Row],[Job Type]]=tblSalaries[[#Headers],[Reporting]],tblSalaries[[#This Row],[Salary in USD]],"")</f>
        <v/>
      </c>
      <c r="AD291" s="13" t="str">
        <f>IF(tblSalaries[[#This Row],[Job Type]]=tblSalaries[[#Headers],[Specialist]],tblSalaries[[#This Row],[Salary in USD]],"")</f>
        <v/>
      </c>
    </row>
    <row r="292" spans="2:30" ht="15" customHeight="1" x14ac:dyDescent="0.25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 s="9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  <c r="N292" t="str">
        <f>IF(tblSalaries[[#This Row],[Years of Experience]]="","",IF(tblSalaries[[#This Row],[Years of Experience]]&lt;=2,1,""))</f>
        <v/>
      </c>
      <c r="O292" t="str">
        <f>IF(tblSalaries[[#This Row],[Years of Experience]]="","",IF(AND(tblSalaries[[#This Row],[Years of Experience]]&gt;2,tblSalaries[[#This Row],[Years of Experience]]&lt;=5),1,""))</f>
        <v/>
      </c>
      <c r="P292" t="str">
        <f>IF(tblSalaries[[#This Row],[Years of Experience]]="","",IF(AND(tblSalaries[[#This Row],[Years of Experience]]&gt;5,tblSalaries[[#This Row],[Years of Experience]]&lt;=10),1,""))</f>
        <v/>
      </c>
      <c r="Q292" t="str">
        <f>IF(tblSalaries[[#This Row],[Years of Experience]]="","",IF(AND(tblSalaries[[#This Row],[Years of Experience]]&gt;10,tblSalaries[[#This Row],[Years of Experience]]&lt;=15),1,""))</f>
        <v/>
      </c>
      <c r="R292" t="str">
        <f>IF(tblSalaries[[#This Row],[Years of Experience]]="","",IF(AND(tblSalaries[[#This Row],[Years of Experience]]&gt;16,tblSalaries[[#This Row],[Years of Experience]]&lt;=20),1,""))</f>
        <v/>
      </c>
      <c r="S292" t="str">
        <f>IF(tblSalaries[[#This Row],[Years of Experience]]="","",IF(tblSalaries[[#This Row],[Years of Experience]]&gt;20,1,""))</f>
        <v/>
      </c>
      <c r="T2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2" s="13" t="str">
        <f>IF(tblSalaries[[#This Row],[Job Type]]=tblSalaries[[#Headers],[Accountant]],tblSalaries[[#This Row],[Salary in USD]],"")</f>
        <v/>
      </c>
      <c r="V292" s="13" t="str">
        <f>IF(tblSalaries[[#This Row],[Job Type]]=tblSalaries[[#Headers],[Analyst]],tblSalaries[[#This Row],[Salary in USD]],"")</f>
        <v/>
      </c>
      <c r="W292" s="13" t="str">
        <f>IF(tblSalaries[[#This Row],[Job Type]]=tblSalaries[[#Headers],[Consultant]],tblSalaries[[#This Row],[Salary in USD]],"")</f>
        <v/>
      </c>
      <c r="X292" s="13" t="str">
        <f>IF(tblSalaries[[#This Row],[Job Type]]=tblSalaries[[#Headers],[Controller]],tblSalaries[[#This Row],[Salary in USD]],"")</f>
        <v/>
      </c>
      <c r="Y292" s="13" t="str">
        <f>IF(tblSalaries[[#This Row],[Job Type]]=tblSalaries[[#Headers],[CXO or Top Mgmt.]],tblSalaries[[#This Row],[clean Salary (in local currency)]],"")</f>
        <v/>
      </c>
      <c r="Z292" s="13" t="str">
        <f>IF(tblSalaries[[#This Row],[Job Type]]=tblSalaries[[#Headers],[Engineer]],tblSalaries[[#This Row],[Salary in USD]],"")</f>
        <v/>
      </c>
      <c r="AA292" s="13">
        <f>IF(tblSalaries[[#This Row],[Job Type]]=tblSalaries[[#Headers],[Manager]],tblSalaries[[#This Row],[Salary in USD]],"")</f>
        <v>43200</v>
      </c>
      <c r="AB292" s="13" t="str">
        <f>IF(tblSalaries[[#This Row],[Job Type]]=tblSalaries[[#Headers],[Misc.]],tblSalaries[[#This Row],[Salary in USD]],"")</f>
        <v/>
      </c>
      <c r="AC292" s="13" t="str">
        <f>IF(tblSalaries[[#This Row],[Job Type]]=tblSalaries[[#Headers],[Reporting]],tblSalaries[[#This Row],[Salary in USD]],"")</f>
        <v/>
      </c>
      <c r="AD292" s="13" t="str">
        <f>IF(tblSalaries[[#This Row],[Job Type]]=tblSalaries[[#Headers],[Specialist]],tblSalaries[[#This Row],[Salary in USD]],"")</f>
        <v/>
      </c>
    </row>
    <row r="293" spans="2:30" ht="15" customHeight="1" x14ac:dyDescent="0.25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 s="9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  <c r="N293" t="str">
        <f>IF(tblSalaries[[#This Row],[Years of Experience]]="","",IF(tblSalaries[[#This Row],[Years of Experience]]&lt;=2,1,""))</f>
        <v/>
      </c>
      <c r="O293" t="str">
        <f>IF(tblSalaries[[#This Row],[Years of Experience]]="","",IF(AND(tblSalaries[[#This Row],[Years of Experience]]&gt;2,tblSalaries[[#This Row],[Years of Experience]]&lt;=5),1,""))</f>
        <v/>
      </c>
      <c r="P293" t="str">
        <f>IF(tblSalaries[[#This Row],[Years of Experience]]="","",IF(AND(tblSalaries[[#This Row],[Years of Experience]]&gt;5,tblSalaries[[#This Row],[Years of Experience]]&lt;=10),1,""))</f>
        <v/>
      </c>
      <c r="Q293" t="str">
        <f>IF(tblSalaries[[#This Row],[Years of Experience]]="","",IF(AND(tblSalaries[[#This Row],[Years of Experience]]&gt;10,tblSalaries[[#This Row],[Years of Experience]]&lt;=15),1,""))</f>
        <v/>
      </c>
      <c r="R293" t="str">
        <f>IF(tblSalaries[[#This Row],[Years of Experience]]="","",IF(AND(tblSalaries[[#This Row],[Years of Experience]]&gt;16,tblSalaries[[#This Row],[Years of Experience]]&lt;=20),1,""))</f>
        <v/>
      </c>
      <c r="S293" t="str">
        <f>IF(tblSalaries[[#This Row],[Years of Experience]]="","",IF(tblSalaries[[#This Row],[Years of Experience]]&gt;20,1,""))</f>
        <v/>
      </c>
      <c r="T2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3" s="13" t="str">
        <f>IF(tblSalaries[[#This Row],[Job Type]]=tblSalaries[[#Headers],[Accountant]],tblSalaries[[#This Row],[Salary in USD]],"")</f>
        <v/>
      </c>
      <c r="V293" s="13">
        <f>IF(tblSalaries[[#This Row],[Job Type]]=tblSalaries[[#Headers],[Analyst]],tblSalaries[[#This Row],[Salary in USD]],"")</f>
        <v>8013.5625093491553</v>
      </c>
      <c r="W293" s="13" t="str">
        <f>IF(tblSalaries[[#This Row],[Job Type]]=tblSalaries[[#Headers],[Consultant]],tblSalaries[[#This Row],[Salary in USD]],"")</f>
        <v/>
      </c>
      <c r="X293" s="13" t="str">
        <f>IF(tblSalaries[[#This Row],[Job Type]]=tblSalaries[[#Headers],[Controller]],tblSalaries[[#This Row],[Salary in USD]],"")</f>
        <v/>
      </c>
      <c r="Y293" s="13" t="str">
        <f>IF(tblSalaries[[#This Row],[Job Type]]=tblSalaries[[#Headers],[CXO or Top Mgmt.]],tblSalaries[[#This Row],[clean Salary (in local currency)]],"")</f>
        <v/>
      </c>
      <c r="Z293" s="13" t="str">
        <f>IF(tblSalaries[[#This Row],[Job Type]]=tblSalaries[[#Headers],[Engineer]],tblSalaries[[#This Row],[Salary in USD]],"")</f>
        <v/>
      </c>
      <c r="AA293" s="13" t="str">
        <f>IF(tblSalaries[[#This Row],[Job Type]]=tblSalaries[[#Headers],[Manager]],tblSalaries[[#This Row],[Salary in USD]],"")</f>
        <v/>
      </c>
      <c r="AB293" s="13" t="str">
        <f>IF(tblSalaries[[#This Row],[Job Type]]=tblSalaries[[#Headers],[Misc.]],tblSalaries[[#This Row],[Salary in USD]],"")</f>
        <v/>
      </c>
      <c r="AC293" s="13" t="str">
        <f>IF(tblSalaries[[#This Row],[Job Type]]=tblSalaries[[#Headers],[Reporting]],tblSalaries[[#This Row],[Salary in USD]],"")</f>
        <v/>
      </c>
      <c r="AD293" s="13" t="str">
        <f>IF(tblSalaries[[#This Row],[Job Type]]=tblSalaries[[#Headers],[Specialist]],tblSalaries[[#This Row],[Salary in USD]],"")</f>
        <v/>
      </c>
    </row>
    <row r="294" spans="2:30" ht="15" customHeight="1" x14ac:dyDescent="0.25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 s="9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  <c r="N294" t="str">
        <f>IF(tblSalaries[[#This Row],[Years of Experience]]="","",IF(tblSalaries[[#This Row],[Years of Experience]]&lt;=2,1,""))</f>
        <v/>
      </c>
      <c r="O294" t="str">
        <f>IF(tblSalaries[[#This Row],[Years of Experience]]="","",IF(AND(tblSalaries[[#This Row],[Years of Experience]]&gt;2,tblSalaries[[#This Row],[Years of Experience]]&lt;=5),1,""))</f>
        <v/>
      </c>
      <c r="P294" t="str">
        <f>IF(tblSalaries[[#This Row],[Years of Experience]]="","",IF(AND(tblSalaries[[#This Row],[Years of Experience]]&gt;5,tblSalaries[[#This Row],[Years of Experience]]&lt;=10),1,""))</f>
        <v/>
      </c>
      <c r="Q294" t="str">
        <f>IF(tblSalaries[[#This Row],[Years of Experience]]="","",IF(AND(tblSalaries[[#This Row],[Years of Experience]]&gt;10,tblSalaries[[#This Row],[Years of Experience]]&lt;=15),1,""))</f>
        <v/>
      </c>
      <c r="R294" t="str">
        <f>IF(tblSalaries[[#This Row],[Years of Experience]]="","",IF(AND(tblSalaries[[#This Row],[Years of Experience]]&gt;16,tblSalaries[[#This Row],[Years of Experience]]&lt;=20),1,""))</f>
        <v/>
      </c>
      <c r="S294" t="str">
        <f>IF(tblSalaries[[#This Row],[Years of Experience]]="","",IF(tblSalaries[[#This Row],[Years of Experience]]&gt;20,1,""))</f>
        <v/>
      </c>
      <c r="T2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4" s="13" t="str">
        <f>IF(tblSalaries[[#This Row],[Job Type]]=tblSalaries[[#Headers],[Accountant]],tblSalaries[[#This Row],[Salary in USD]],"")</f>
        <v/>
      </c>
      <c r="V294" s="13">
        <f>IF(tblSalaries[[#This Row],[Job Type]]=tblSalaries[[#Headers],[Analyst]],tblSalaries[[#This Row],[Salary in USD]],"")</f>
        <v>50000</v>
      </c>
      <c r="W294" s="13" t="str">
        <f>IF(tblSalaries[[#This Row],[Job Type]]=tblSalaries[[#Headers],[Consultant]],tblSalaries[[#This Row],[Salary in USD]],"")</f>
        <v/>
      </c>
      <c r="X294" s="13" t="str">
        <f>IF(tblSalaries[[#This Row],[Job Type]]=tblSalaries[[#Headers],[Controller]],tblSalaries[[#This Row],[Salary in USD]],"")</f>
        <v/>
      </c>
      <c r="Y294" s="13" t="str">
        <f>IF(tblSalaries[[#This Row],[Job Type]]=tblSalaries[[#Headers],[CXO or Top Mgmt.]],tblSalaries[[#This Row],[clean Salary (in local currency)]],"")</f>
        <v/>
      </c>
      <c r="Z294" s="13" t="str">
        <f>IF(tblSalaries[[#This Row],[Job Type]]=tblSalaries[[#Headers],[Engineer]],tblSalaries[[#This Row],[Salary in USD]],"")</f>
        <v/>
      </c>
      <c r="AA294" s="13" t="str">
        <f>IF(tblSalaries[[#This Row],[Job Type]]=tblSalaries[[#Headers],[Manager]],tblSalaries[[#This Row],[Salary in USD]],"")</f>
        <v/>
      </c>
      <c r="AB294" s="13" t="str">
        <f>IF(tblSalaries[[#This Row],[Job Type]]=tblSalaries[[#Headers],[Misc.]],tblSalaries[[#This Row],[Salary in USD]],"")</f>
        <v/>
      </c>
      <c r="AC294" s="13" t="str">
        <f>IF(tblSalaries[[#This Row],[Job Type]]=tblSalaries[[#Headers],[Reporting]],tblSalaries[[#This Row],[Salary in USD]],"")</f>
        <v/>
      </c>
      <c r="AD294" s="13" t="str">
        <f>IF(tblSalaries[[#This Row],[Job Type]]=tblSalaries[[#Headers],[Specialist]],tblSalaries[[#This Row],[Salary in USD]],"")</f>
        <v/>
      </c>
    </row>
    <row r="295" spans="2:30" ht="15" customHeight="1" x14ac:dyDescent="0.25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 s="9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  <c r="N295" t="str">
        <f>IF(tblSalaries[[#This Row],[Years of Experience]]="","",IF(tblSalaries[[#This Row],[Years of Experience]]&lt;=2,1,""))</f>
        <v/>
      </c>
      <c r="O295" t="str">
        <f>IF(tblSalaries[[#This Row],[Years of Experience]]="","",IF(AND(tblSalaries[[#This Row],[Years of Experience]]&gt;2,tblSalaries[[#This Row],[Years of Experience]]&lt;=5),1,""))</f>
        <v/>
      </c>
      <c r="P295" t="str">
        <f>IF(tblSalaries[[#This Row],[Years of Experience]]="","",IF(AND(tblSalaries[[#This Row],[Years of Experience]]&gt;5,tblSalaries[[#This Row],[Years of Experience]]&lt;=10),1,""))</f>
        <v/>
      </c>
      <c r="Q295" t="str">
        <f>IF(tblSalaries[[#This Row],[Years of Experience]]="","",IF(AND(tblSalaries[[#This Row],[Years of Experience]]&gt;10,tblSalaries[[#This Row],[Years of Experience]]&lt;=15),1,""))</f>
        <v/>
      </c>
      <c r="R295" t="str">
        <f>IF(tblSalaries[[#This Row],[Years of Experience]]="","",IF(AND(tblSalaries[[#This Row],[Years of Experience]]&gt;16,tblSalaries[[#This Row],[Years of Experience]]&lt;=20),1,""))</f>
        <v/>
      </c>
      <c r="S295" t="str">
        <f>IF(tblSalaries[[#This Row],[Years of Experience]]="","",IF(tblSalaries[[#This Row],[Years of Experience]]&gt;20,1,""))</f>
        <v/>
      </c>
      <c r="T2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5" s="13" t="str">
        <f>IF(tblSalaries[[#This Row],[Job Type]]=tblSalaries[[#Headers],[Accountant]],tblSalaries[[#This Row],[Salary in USD]],"")</f>
        <v/>
      </c>
      <c r="V295" s="13">
        <f>IF(tblSalaries[[#This Row],[Job Type]]=tblSalaries[[#Headers],[Analyst]],tblSalaries[[#This Row],[Salary in USD]],"")</f>
        <v>45000</v>
      </c>
      <c r="W295" s="13" t="str">
        <f>IF(tblSalaries[[#This Row],[Job Type]]=tblSalaries[[#Headers],[Consultant]],tblSalaries[[#This Row],[Salary in USD]],"")</f>
        <v/>
      </c>
      <c r="X295" s="13" t="str">
        <f>IF(tblSalaries[[#This Row],[Job Type]]=tblSalaries[[#Headers],[Controller]],tblSalaries[[#This Row],[Salary in USD]],"")</f>
        <v/>
      </c>
      <c r="Y295" s="13" t="str">
        <f>IF(tblSalaries[[#This Row],[Job Type]]=tblSalaries[[#Headers],[CXO or Top Mgmt.]],tblSalaries[[#This Row],[clean Salary (in local currency)]],"")</f>
        <v/>
      </c>
      <c r="Z295" s="13" t="str">
        <f>IF(tblSalaries[[#This Row],[Job Type]]=tblSalaries[[#Headers],[Engineer]],tblSalaries[[#This Row],[Salary in USD]],"")</f>
        <v/>
      </c>
      <c r="AA295" s="13" t="str">
        <f>IF(tblSalaries[[#This Row],[Job Type]]=tblSalaries[[#Headers],[Manager]],tblSalaries[[#This Row],[Salary in USD]],"")</f>
        <v/>
      </c>
      <c r="AB295" s="13" t="str">
        <f>IF(tblSalaries[[#This Row],[Job Type]]=tblSalaries[[#Headers],[Misc.]],tblSalaries[[#This Row],[Salary in USD]],"")</f>
        <v/>
      </c>
      <c r="AC295" s="13" t="str">
        <f>IF(tblSalaries[[#This Row],[Job Type]]=tblSalaries[[#Headers],[Reporting]],tblSalaries[[#This Row],[Salary in USD]],"")</f>
        <v/>
      </c>
      <c r="AD295" s="13" t="str">
        <f>IF(tblSalaries[[#This Row],[Job Type]]=tblSalaries[[#Headers],[Specialist]],tblSalaries[[#This Row],[Salary in USD]],"")</f>
        <v/>
      </c>
    </row>
    <row r="296" spans="2:30" ht="15" customHeight="1" x14ac:dyDescent="0.25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 s="9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  <c r="N296" t="str">
        <f>IF(tblSalaries[[#This Row],[Years of Experience]]="","",IF(tblSalaries[[#This Row],[Years of Experience]]&lt;=2,1,""))</f>
        <v/>
      </c>
      <c r="O296" t="str">
        <f>IF(tblSalaries[[#This Row],[Years of Experience]]="","",IF(AND(tblSalaries[[#This Row],[Years of Experience]]&gt;2,tblSalaries[[#This Row],[Years of Experience]]&lt;=5),1,""))</f>
        <v/>
      </c>
      <c r="P296" t="str">
        <f>IF(tblSalaries[[#This Row],[Years of Experience]]="","",IF(AND(tblSalaries[[#This Row],[Years of Experience]]&gt;5,tblSalaries[[#This Row],[Years of Experience]]&lt;=10),1,""))</f>
        <v/>
      </c>
      <c r="Q296" t="str">
        <f>IF(tblSalaries[[#This Row],[Years of Experience]]="","",IF(AND(tblSalaries[[#This Row],[Years of Experience]]&gt;10,tblSalaries[[#This Row],[Years of Experience]]&lt;=15),1,""))</f>
        <v/>
      </c>
      <c r="R296" t="str">
        <f>IF(tblSalaries[[#This Row],[Years of Experience]]="","",IF(AND(tblSalaries[[#This Row],[Years of Experience]]&gt;16,tblSalaries[[#This Row],[Years of Experience]]&lt;=20),1,""))</f>
        <v/>
      </c>
      <c r="S296" t="str">
        <f>IF(tblSalaries[[#This Row],[Years of Experience]]="","",IF(tblSalaries[[#This Row],[Years of Experience]]&gt;20,1,""))</f>
        <v/>
      </c>
      <c r="T2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6" s="13" t="str">
        <f>IF(tblSalaries[[#This Row],[Job Type]]=tblSalaries[[#Headers],[Accountant]],tblSalaries[[#This Row],[Salary in USD]],"")</f>
        <v/>
      </c>
      <c r="V296" s="13" t="str">
        <f>IF(tblSalaries[[#This Row],[Job Type]]=tblSalaries[[#Headers],[Analyst]],tblSalaries[[#This Row],[Salary in USD]],"")</f>
        <v/>
      </c>
      <c r="W296" s="13" t="str">
        <f>IF(tblSalaries[[#This Row],[Job Type]]=tblSalaries[[#Headers],[Consultant]],tblSalaries[[#This Row],[Salary in USD]],"")</f>
        <v/>
      </c>
      <c r="X296" s="13" t="str">
        <f>IF(tblSalaries[[#This Row],[Job Type]]=tblSalaries[[#Headers],[Controller]],tblSalaries[[#This Row],[Salary in USD]],"")</f>
        <v/>
      </c>
      <c r="Y296" s="13" t="str">
        <f>IF(tblSalaries[[#This Row],[Job Type]]=tblSalaries[[#Headers],[CXO or Top Mgmt.]],tblSalaries[[#This Row],[clean Salary (in local currency)]],"")</f>
        <v/>
      </c>
      <c r="Z296" s="13" t="str">
        <f>IF(tblSalaries[[#This Row],[Job Type]]=tblSalaries[[#Headers],[Engineer]],tblSalaries[[#This Row],[Salary in USD]],"")</f>
        <v/>
      </c>
      <c r="AA296" s="13">
        <f>IF(tblSalaries[[#This Row],[Job Type]]=tblSalaries[[#Headers],[Manager]],tblSalaries[[#This Row],[Salary in USD]],"")</f>
        <v>3205.4250037396623</v>
      </c>
      <c r="AB296" s="13" t="str">
        <f>IF(tblSalaries[[#This Row],[Job Type]]=tblSalaries[[#Headers],[Misc.]],tblSalaries[[#This Row],[Salary in USD]],"")</f>
        <v/>
      </c>
      <c r="AC296" s="13" t="str">
        <f>IF(tblSalaries[[#This Row],[Job Type]]=tblSalaries[[#Headers],[Reporting]],tblSalaries[[#This Row],[Salary in USD]],"")</f>
        <v/>
      </c>
      <c r="AD296" s="13" t="str">
        <f>IF(tblSalaries[[#This Row],[Job Type]]=tblSalaries[[#Headers],[Specialist]],tblSalaries[[#This Row],[Salary in USD]],"")</f>
        <v/>
      </c>
    </row>
    <row r="297" spans="2:30" ht="15" customHeight="1" x14ac:dyDescent="0.25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 s="9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  <c r="N297" t="str">
        <f>IF(tblSalaries[[#This Row],[Years of Experience]]="","",IF(tblSalaries[[#This Row],[Years of Experience]]&lt;=2,1,""))</f>
        <v/>
      </c>
      <c r="O297" t="str">
        <f>IF(tblSalaries[[#This Row],[Years of Experience]]="","",IF(AND(tblSalaries[[#This Row],[Years of Experience]]&gt;2,tblSalaries[[#This Row],[Years of Experience]]&lt;=5),1,""))</f>
        <v/>
      </c>
      <c r="P297" t="str">
        <f>IF(tblSalaries[[#This Row],[Years of Experience]]="","",IF(AND(tblSalaries[[#This Row],[Years of Experience]]&gt;5,tblSalaries[[#This Row],[Years of Experience]]&lt;=10),1,""))</f>
        <v/>
      </c>
      <c r="Q297" t="str">
        <f>IF(tblSalaries[[#This Row],[Years of Experience]]="","",IF(AND(tblSalaries[[#This Row],[Years of Experience]]&gt;10,tblSalaries[[#This Row],[Years of Experience]]&lt;=15),1,""))</f>
        <v/>
      </c>
      <c r="R297" t="str">
        <f>IF(tblSalaries[[#This Row],[Years of Experience]]="","",IF(AND(tblSalaries[[#This Row],[Years of Experience]]&gt;16,tblSalaries[[#This Row],[Years of Experience]]&lt;=20),1,""))</f>
        <v/>
      </c>
      <c r="S297" t="str">
        <f>IF(tblSalaries[[#This Row],[Years of Experience]]="","",IF(tblSalaries[[#This Row],[Years of Experience]]&gt;20,1,""))</f>
        <v/>
      </c>
      <c r="T2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7" s="13" t="str">
        <f>IF(tblSalaries[[#This Row],[Job Type]]=tblSalaries[[#Headers],[Accountant]],tblSalaries[[#This Row],[Salary in USD]],"")</f>
        <v/>
      </c>
      <c r="V297" s="13" t="str">
        <f>IF(tblSalaries[[#This Row],[Job Type]]=tblSalaries[[#Headers],[Analyst]],tblSalaries[[#This Row],[Salary in USD]],"")</f>
        <v/>
      </c>
      <c r="W297" s="13" t="str">
        <f>IF(tblSalaries[[#This Row],[Job Type]]=tblSalaries[[#Headers],[Consultant]],tblSalaries[[#This Row],[Salary in USD]],"")</f>
        <v/>
      </c>
      <c r="X297" s="13" t="str">
        <f>IF(tblSalaries[[#This Row],[Job Type]]=tblSalaries[[#Headers],[Controller]],tblSalaries[[#This Row],[Salary in USD]],"")</f>
        <v/>
      </c>
      <c r="Y297" s="13" t="str">
        <f>IF(tblSalaries[[#This Row],[Job Type]]=tblSalaries[[#Headers],[CXO or Top Mgmt.]],tblSalaries[[#This Row],[clean Salary (in local currency)]],"")</f>
        <v/>
      </c>
      <c r="Z297" s="13" t="str">
        <f>IF(tblSalaries[[#This Row],[Job Type]]=tblSalaries[[#Headers],[Engineer]],tblSalaries[[#This Row],[Salary in USD]],"")</f>
        <v/>
      </c>
      <c r="AA297" s="13">
        <f>IF(tblSalaries[[#This Row],[Job Type]]=tblSalaries[[#Headers],[Manager]],tblSalaries[[#This Row],[Salary in USD]],"")</f>
        <v>60000</v>
      </c>
      <c r="AB297" s="13" t="str">
        <f>IF(tblSalaries[[#This Row],[Job Type]]=tblSalaries[[#Headers],[Misc.]],tblSalaries[[#This Row],[Salary in USD]],"")</f>
        <v/>
      </c>
      <c r="AC297" s="13" t="str">
        <f>IF(tblSalaries[[#This Row],[Job Type]]=tblSalaries[[#Headers],[Reporting]],tblSalaries[[#This Row],[Salary in USD]],"")</f>
        <v/>
      </c>
      <c r="AD297" s="13" t="str">
        <f>IF(tblSalaries[[#This Row],[Job Type]]=tblSalaries[[#Headers],[Specialist]],tblSalaries[[#This Row],[Salary in USD]],"")</f>
        <v/>
      </c>
    </row>
    <row r="298" spans="2:30" ht="15" customHeight="1" x14ac:dyDescent="0.25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 s="9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  <c r="N298" t="str">
        <f>IF(tblSalaries[[#This Row],[Years of Experience]]="","",IF(tblSalaries[[#This Row],[Years of Experience]]&lt;=2,1,""))</f>
        <v/>
      </c>
      <c r="O298" t="str">
        <f>IF(tblSalaries[[#This Row],[Years of Experience]]="","",IF(AND(tblSalaries[[#This Row],[Years of Experience]]&gt;2,tblSalaries[[#This Row],[Years of Experience]]&lt;=5),1,""))</f>
        <v/>
      </c>
      <c r="P298" t="str">
        <f>IF(tblSalaries[[#This Row],[Years of Experience]]="","",IF(AND(tblSalaries[[#This Row],[Years of Experience]]&gt;5,tblSalaries[[#This Row],[Years of Experience]]&lt;=10),1,""))</f>
        <v/>
      </c>
      <c r="Q298" t="str">
        <f>IF(tblSalaries[[#This Row],[Years of Experience]]="","",IF(AND(tblSalaries[[#This Row],[Years of Experience]]&gt;10,tblSalaries[[#This Row],[Years of Experience]]&lt;=15),1,""))</f>
        <v/>
      </c>
      <c r="R298" t="str">
        <f>IF(tblSalaries[[#This Row],[Years of Experience]]="","",IF(AND(tblSalaries[[#This Row],[Years of Experience]]&gt;16,tblSalaries[[#This Row],[Years of Experience]]&lt;=20),1,""))</f>
        <v/>
      </c>
      <c r="S298" t="str">
        <f>IF(tblSalaries[[#This Row],[Years of Experience]]="","",IF(tblSalaries[[#This Row],[Years of Experience]]&gt;20,1,""))</f>
        <v/>
      </c>
      <c r="T2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8" s="13" t="str">
        <f>IF(tblSalaries[[#This Row],[Job Type]]=tblSalaries[[#Headers],[Accountant]],tblSalaries[[#This Row],[Salary in USD]],"")</f>
        <v/>
      </c>
      <c r="V298" s="13" t="str">
        <f>IF(tblSalaries[[#This Row],[Job Type]]=tblSalaries[[#Headers],[Analyst]],tblSalaries[[#This Row],[Salary in USD]],"")</f>
        <v/>
      </c>
      <c r="W298" s="13" t="str">
        <f>IF(tblSalaries[[#This Row],[Job Type]]=tblSalaries[[#Headers],[Consultant]],tblSalaries[[#This Row],[Salary in USD]],"")</f>
        <v/>
      </c>
      <c r="X298" s="13" t="str">
        <f>IF(tblSalaries[[#This Row],[Job Type]]=tblSalaries[[#Headers],[Controller]],tblSalaries[[#This Row],[Salary in USD]],"")</f>
        <v/>
      </c>
      <c r="Y298" s="13" t="str">
        <f>IF(tblSalaries[[#This Row],[Job Type]]=tblSalaries[[#Headers],[CXO or Top Mgmt.]],tblSalaries[[#This Row],[clean Salary (in local currency)]],"")</f>
        <v/>
      </c>
      <c r="Z298" s="13" t="str">
        <f>IF(tblSalaries[[#This Row],[Job Type]]=tblSalaries[[#Headers],[Engineer]],tblSalaries[[#This Row],[Salary in USD]],"")</f>
        <v/>
      </c>
      <c r="AA298" s="13" t="str">
        <f>IF(tblSalaries[[#This Row],[Job Type]]=tblSalaries[[#Headers],[Manager]],tblSalaries[[#This Row],[Salary in USD]],"")</f>
        <v/>
      </c>
      <c r="AB298" s="13" t="str">
        <f>IF(tblSalaries[[#This Row],[Job Type]]=tblSalaries[[#Headers],[Misc.]],tblSalaries[[#This Row],[Salary in USD]],"")</f>
        <v/>
      </c>
      <c r="AC298" s="13" t="str">
        <f>IF(tblSalaries[[#This Row],[Job Type]]=tblSalaries[[#Headers],[Reporting]],tblSalaries[[#This Row],[Salary in USD]],"")</f>
        <v/>
      </c>
      <c r="AD298" s="13">
        <f>IF(tblSalaries[[#This Row],[Job Type]]=tblSalaries[[#Headers],[Specialist]],tblSalaries[[#This Row],[Salary in USD]],"")</f>
        <v>31000</v>
      </c>
    </row>
    <row r="299" spans="2:30" ht="15" customHeight="1" x14ac:dyDescent="0.25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 s="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  <c r="N299" t="str">
        <f>IF(tblSalaries[[#This Row],[Years of Experience]]="","",IF(tblSalaries[[#This Row],[Years of Experience]]&lt;=2,1,""))</f>
        <v/>
      </c>
      <c r="O299" t="str">
        <f>IF(tblSalaries[[#This Row],[Years of Experience]]="","",IF(AND(tblSalaries[[#This Row],[Years of Experience]]&gt;2,tblSalaries[[#This Row],[Years of Experience]]&lt;=5),1,""))</f>
        <v/>
      </c>
      <c r="P299" t="str">
        <f>IF(tblSalaries[[#This Row],[Years of Experience]]="","",IF(AND(tblSalaries[[#This Row],[Years of Experience]]&gt;5,tblSalaries[[#This Row],[Years of Experience]]&lt;=10),1,""))</f>
        <v/>
      </c>
      <c r="Q299" t="str">
        <f>IF(tblSalaries[[#This Row],[Years of Experience]]="","",IF(AND(tblSalaries[[#This Row],[Years of Experience]]&gt;10,tblSalaries[[#This Row],[Years of Experience]]&lt;=15),1,""))</f>
        <v/>
      </c>
      <c r="R299" t="str">
        <f>IF(tblSalaries[[#This Row],[Years of Experience]]="","",IF(AND(tblSalaries[[#This Row],[Years of Experience]]&gt;16,tblSalaries[[#This Row],[Years of Experience]]&lt;=20),1,""))</f>
        <v/>
      </c>
      <c r="S299" t="str">
        <f>IF(tblSalaries[[#This Row],[Years of Experience]]="","",IF(tblSalaries[[#This Row],[Years of Experience]]&gt;20,1,""))</f>
        <v/>
      </c>
      <c r="T2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299" s="13" t="str">
        <f>IF(tblSalaries[[#This Row],[Job Type]]=tblSalaries[[#Headers],[Accountant]],tblSalaries[[#This Row],[Salary in USD]],"")</f>
        <v/>
      </c>
      <c r="V299" s="13">
        <f>IF(tblSalaries[[#This Row],[Job Type]]=tblSalaries[[#Headers],[Analyst]],tblSalaries[[#This Row],[Salary in USD]],"")</f>
        <v>75000</v>
      </c>
      <c r="W299" s="13" t="str">
        <f>IF(tblSalaries[[#This Row],[Job Type]]=tblSalaries[[#Headers],[Consultant]],tblSalaries[[#This Row],[Salary in USD]],"")</f>
        <v/>
      </c>
      <c r="X299" s="13" t="str">
        <f>IF(tblSalaries[[#This Row],[Job Type]]=tblSalaries[[#Headers],[Controller]],tblSalaries[[#This Row],[Salary in USD]],"")</f>
        <v/>
      </c>
      <c r="Y299" s="13" t="str">
        <f>IF(tblSalaries[[#This Row],[Job Type]]=tblSalaries[[#Headers],[CXO or Top Mgmt.]],tblSalaries[[#This Row],[clean Salary (in local currency)]],"")</f>
        <v/>
      </c>
      <c r="Z299" s="13" t="str">
        <f>IF(tblSalaries[[#This Row],[Job Type]]=tblSalaries[[#Headers],[Engineer]],tblSalaries[[#This Row],[Salary in USD]],"")</f>
        <v/>
      </c>
      <c r="AA299" s="13" t="str">
        <f>IF(tblSalaries[[#This Row],[Job Type]]=tblSalaries[[#Headers],[Manager]],tblSalaries[[#This Row],[Salary in USD]],"")</f>
        <v/>
      </c>
      <c r="AB299" s="13" t="str">
        <f>IF(tblSalaries[[#This Row],[Job Type]]=tblSalaries[[#Headers],[Misc.]],tblSalaries[[#This Row],[Salary in USD]],"")</f>
        <v/>
      </c>
      <c r="AC299" s="13" t="str">
        <f>IF(tblSalaries[[#This Row],[Job Type]]=tblSalaries[[#Headers],[Reporting]],tblSalaries[[#This Row],[Salary in USD]],"")</f>
        <v/>
      </c>
      <c r="AD299" s="13" t="str">
        <f>IF(tblSalaries[[#This Row],[Job Type]]=tblSalaries[[#Headers],[Specialist]],tblSalaries[[#This Row],[Salary in USD]],"")</f>
        <v/>
      </c>
    </row>
    <row r="300" spans="2:30" ht="15" customHeight="1" x14ac:dyDescent="0.25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 s="9">
        <f>tblSalaries[[#This Row],[clean Salary (in local currency)]]*VLOOKUP(tblSalaries[[#This Row],[Currency]],tblXrate[],2,FALSE)</f>
        <v>16000</v>
      </c>
      <c r="H300" t="s">
        <v>374</v>
      </c>
      <c r="I300" t="s">
        <v>4001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  <c r="N300" t="str">
        <f>IF(tblSalaries[[#This Row],[Years of Experience]]="","",IF(tblSalaries[[#This Row],[Years of Experience]]&lt;=2,1,""))</f>
        <v/>
      </c>
      <c r="O300" t="str">
        <f>IF(tblSalaries[[#This Row],[Years of Experience]]="","",IF(AND(tblSalaries[[#This Row],[Years of Experience]]&gt;2,tblSalaries[[#This Row],[Years of Experience]]&lt;=5),1,""))</f>
        <v/>
      </c>
      <c r="P300" t="str">
        <f>IF(tblSalaries[[#This Row],[Years of Experience]]="","",IF(AND(tblSalaries[[#This Row],[Years of Experience]]&gt;5,tblSalaries[[#This Row],[Years of Experience]]&lt;=10),1,""))</f>
        <v/>
      </c>
      <c r="Q300" t="str">
        <f>IF(tblSalaries[[#This Row],[Years of Experience]]="","",IF(AND(tblSalaries[[#This Row],[Years of Experience]]&gt;10,tblSalaries[[#This Row],[Years of Experience]]&lt;=15),1,""))</f>
        <v/>
      </c>
      <c r="R300" t="str">
        <f>IF(tblSalaries[[#This Row],[Years of Experience]]="","",IF(AND(tblSalaries[[#This Row],[Years of Experience]]&gt;16,tblSalaries[[#This Row],[Years of Experience]]&lt;=20),1,""))</f>
        <v/>
      </c>
      <c r="S300" t="str">
        <f>IF(tblSalaries[[#This Row],[Years of Experience]]="","",IF(tblSalaries[[#This Row],[Years of Experience]]&gt;20,1,""))</f>
        <v/>
      </c>
      <c r="T3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0" s="13" t="str">
        <f>IF(tblSalaries[[#This Row],[Job Type]]=tblSalaries[[#Headers],[Accountant]],tblSalaries[[#This Row],[Salary in USD]],"")</f>
        <v/>
      </c>
      <c r="V300" s="13" t="str">
        <f>IF(tblSalaries[[#This Row],[Job Type]]=tblSalaries[[#Headers],[Analyst]],tblSalaries[[#This Row],[Salary in USD]],"")</f>
        <v/>
      </c>
      <c r="W300" s="13" t="str">
        <f>IF(tblSalaries[[#This Row],[Job Type]]=tblSalaries[[#Headers],[Consultant]],tblSalaries[[#This Row],[Salary in USD]],"")</f>
        <v/>
      </c>
      <c r="X300" s="13" t="str">
        <f>IF(tblSalaries[[#This Row],[Job Type]]=tblSalaries[[#Headers],[Controller]],tblSalaries[[#This Row],[Salary in USD]],"")</f>
        <v/>
      </c>
      <c r="Y300" s="13">
        <f>IF(tblSalaries[[#This Row],[Job Type]]=tblSalaries[[#Headers],[CXO or Top Mgmt.]],tblSalaries[[#This Row],[clean Salary (in local currency)]],"")</f>
        <v>16000</v>
      </c>
      <c r="Z300" s="13" t="str">
        <f>IF(tblSalaries[[#This Row],[Job Type]]=tblSalaries[[#Headers],[Engineer]],tblSalaries[[#This Row],[Salary in USD]],"")</f>
        <v/>
      </c>
      <c r="AA300" s="13" t="str">
        <f>IF(tblSalaries[[#This Row],[Job Type]]=tblSalaries[[#Headers],[Manager]],tblSalaries[[#This Row],[Salary in USD]],"")</f>
        <v/>
      </c>
      <c r="AB300" s="13" t="str">
        <f>IF(tblSalaries[[#This Row],[Job Type]]=tblSalaries[[#Headers],[Misc.]],tblSalaries[[#This Row],[Salary in USD]],"")</f>
        <v/>
      </c>
      <c r="AC300" s="13" t="str">
        <f>IF(tblSalaries[[#This Row],[Job Type]]=tblSalaries[[#Headers],[Reporting]],tblSalaries[[#This Row],[Salary in USD]],"")</f>
        <v/>
      </c>
      <c r="AD300" s="13" t="str">
        <f>IF(tblSalaries[[#This Row],[Job Type]]=tblSalaries[[#Headers],[Specialist]],tblSalaries[[#This Row],[Salary in USD]],"")</f>
        <v/>
      </c>
    </row>
    <row r="301" spans="2:30" ht="15" customHeight="1" x14ac:dyDescent="0.25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 s="9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  <c r="N301" t="str">
        <f>IF(tblSalaries[[#This Row],[Years of Experience]]="","",IF(tblSalaries[[#This Row],[Years of Experience]]&lt;=2,1,""))</f>
        <v/>
      </c>
      <c r="O301" t="str">
        <f>IF(tblSalaries[[#This Row],[Years of Experience]]="","",IF(AND(tblSalaries[[#This Row],[Years of Experience]]&gt;2,tblSalaries[[#This Row],[Years of Experience]]&lt;=5),1,""))</f>
        <v/>
      </c>
      <c r="P301" t="str">
        <f>IF(tblSalaries[[#This Row],[Years of Experience]]="","",IF(AND(tblSalaries[[#This Row],[Years of Experience]]&gt;5,tblSalaries[[#This Row],[Years of Experience]]&lt;=10),1,""))</f>
        <v/>
      </c>
      <c r="Q301" t="str">
        <f>IF(tblSalaries[[#This Row],[Years of Experience]]="","",IF(AND(tblSalaries[[#This Row],[Years of Experience]]&gt;10,tblSalaries[[#This Row],[Years of Experience]]&lt;=15),1,""))</f>
        <v/>
      </c>
      <c r="R301" t="str">
        <f>IF(tblSalaries[[#This Row],[Years of Experience]]="","",IF(AND(tblSalaries[[#This Row],[Years of Experience]]&gt;16,tblSalaries[[#This Row],[Years of Experience]]&lt;=20),1,""))</f>
        <v/>
      </c>
      <c r="S301" t="str">
        <f>IF(tblSalaries[[#This Row],[Years of Experience]]="","",IF(tblSalaries[[#This Row],[Years of Experience]]&gt;20,1,""))</f>
        <v/>
      </c>
      <c r="T3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1" s="13" t="str">
        <f>IF(tblSalaries[[#This Row],[Job Type]]=tblSalaries[[#Headers],[Accountant]],tblSalaries[[#This Row],[Salary in USD]],"")</f>
        <v/>
      </c>
      <c r="V301" s="13">
        <f>IF(tblSalaries[[#This Row],[Job Type]]=tblSalaries[[#Headers],[Analyst]],tblSalaries[[#This Row],[Salary in USD]],"")</f>
        <v>36000</v>
      </c>
      <c r="W301" s="13" t="str">
        <f>IF(tblSalaries[[#This Row],[Job Type]]=tblSalaries[[#Headers],[Consultant]],tblSalaries[[#This Row],[Salary in USD]],"")</f>
        <v/>
      </c>
      <c r="X301" s="13" t="str">
        <f>IF(tblSalaries[[#This Row],[Job Type]]=tblSalaries[[#Headers],[Controller]],tblSalaries[[#This Row],[Salary in USD]],"")</f>
        <v/>
      </c>
      <c r="Y301" s="13" t="str">
        <f>IF(tblSalaries[[#This Row],[Job Type]]=tblSalaries[[#Headers],[CXO or Top Mgmt.]],tblSalaries[[#This Row],[clean Salary (in local currency)]],"")</f>
        <v/>
      </c>
      <c r="Z301" s="13" t="str">
        <f>IF(tblSalaries[[#This Row],[Job Type]]=tblSalaries[[#Headers],[Engineer]],tblSalaries[[#This Row],[Salary in USD]],"")</f>
        <v/>
      </c>
      <c r="AA301" s="13" t="str">
        <f>IF(tblSalaries[[#This Row],[Job Type]]=tblSalaries[[#Headers],[Manager]],tblSalaries[[#This Row],[Salary in USD]],"")</f>
        <v/>
      </c>
      <c r="AB301" s="13" t="str">
        <f>IF(tblSalaries[[#This Row],[Job Type]]=tblSalaries[[#Headers],[Misc.]],tblSalaries[[#This Row],[Salary in USD]],"")</f>
        <v/>
      </c>
      <c r="AC301" s="13" t="str">
        <f>IF(tblSalaries[[#This Row],[Job Type]]=tblSalaries[[#Headers],[Reporting]],tblSalaries[[#This Row],[Salary in USD]],"")</f>
        <v/>
      </c>
      <c r="AD301" s="13" t="str">
        <f>IF(tblSalaries[[#This Row],[Job Type]]=tblSalaries[[#Headers],[Specialist]],tblSalaries[[#This Row],[Salary in USD]],"")</f>
        <v/>
      </c>
    </row>
    <row r="302" spans="2:30" ht="15" customHeight="1" x14ac:dyDescent="0.25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 s="9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  <c r="N302" t="str">
        <f>IF(tblSalaries[[#This Row],[Years of Experience]]="","",IF(tblSalaries[[#This Row],[Years of Experience]]&lt;=2,1,""))</f>
        <v/>
      </c>
      <c r="O302" t="str">
        <f>IF(tblSalaries[[#This Row],[Years of Experience]]="","",IF(AND(tblSalaries[[#This Row],[Years of Experience]]&gt;2,tblSalaries[[#This Row],[Years of Experience]]&lt;=5),1,""))</f>
        <v/>
      </c>
      <c r="P302" t="str">
        <f>IF(tblSalaries[[#This Row],[Years of Experience]]="","",IF(AND(tblSalaries[[#This Row],[Years of Experience]]&gt;5,tblSalaries[[#This Row],[Years of Experience]]&lt;=10),1,""))</f>
        <v/>
      </c>
      <c r="Q302" t="str">
        <f>IF(tblSalaries[[#This Row],[Years of Experience]]="","",IF(AND(tblSalaries[[#This Row],[Years of Experience]]&gt;10,tblSalaries[[#This Row],[Years of Experience]]&lt;=15),1,""))</f>
        <v/>
      </c>
      <c r="R302" t="str">
        <f>IF(tblSalaries[[#This Row],[Years of Experience]]="","",IF(AND(tblSalaries[[#This Row],[Years of Experience]]&gt;16,tblSalaries[[#This Row],[Years of Experience]]&lt;=20),1,""))</f>
        <v/>
      </c>
      <c r="S302" t="str">
        <f>IF(tblSalaries[[#This Row],[Years of Experience]]="","",IF(tblSalaries[[#This Row],[Years of Experience]]&gt;20,1,""))</f>
        <v/>
      </c>
      <c r="T3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2" s="13" t="str">
        <f>IF(tblSalaries[[#This Row],[Job Type]]=tblSalaries[[#Headers],[Accountant]],tblSalaries[[#This Row],[Salary in USD]],"")</f>
        <v/>
      </c>
      <c r="V302" s="13">
        <f>IF(tblSalaries[[#This Row],[Job Type]]=tblSalaries[[#Headers],[Analyst]],tblSalaries[[#This Row],[Salary in USD]],"")</f>
        <v>41301.183967273726</v>
      </c>
      <c r="W302" s="13" t="str">
        <f>IF(tblSalaries[[#This Row],[Job Type]]=tblSalaries[[#Headers],[Consultant]],tblSalaries[[#This Row],[Salary in USD]],"")</f>
        <v/>
      </c>
      <c r="X302" s="13" t="str">
        <f>IF(tblSalaries[[#This Row],[Job Type]]=tblSalaries[[#Headers],[Controller]],tblSalaries[[#This Row],[Salary in USD]],"")</f>
        <v/>
      </c>
      <c r="Y302" s="13" t="str">
        <f>IF(tblSalaries[[#This Row],[Job Type]]=tblSalaries[[#Headers],[CXO or Top Mgmt.]],tblSalaries[[#This Row],[clean Salary (in local currency)]],"")</f>
        <v/>
      </c>
      <c r="Z302" s="13" t="str">
        <f>IF(tblSalaries[[#This Row],[Job Type]]=tblSalaries[[#Headers],[Engineer]],tblSalaries[[#This Row],[Salary in USD]],"")</f>
        <v/>
      </c>
      <c r="AA302" s="13" t="str">
        <f>IF(tblSalaries[[#This Row],[Job Type]]=tblSalaries[[#Headers],[Manager]],tblSalaries[[#This Row],[Salary in USD]],"")</f>
        <v/>
      </c>
      <c r="AB302" s="13" t="str">
        <f>IF(tblSalaries[[#This Row],[Job Type]]=tblSalaries[[#Headers],[Misc.]],tblSalaries[[#This Row],[Salary in USD]],"")</f>
        <v/>
      </c>
      <c r="AC302" s="13" t="str">
        <f>IF(tblSalaries[[#This Row],[Job Type]]=tblSalaries[[#Headers],[Reporting]],tblSalaries[[#This Row],[Salary in USD]],"")</f>
        <v/>
      </c>
      <c r="AD302" s="13" t="str">
        <f>IF(tblSalaries[[#This Row],[Job Type]]=tblSalaries[[#Headers],[Specialist]],tblSalaries[[#This Row],[Salary in USD]],"")</f>
        <v/>
      </c>
    </row>
    <row r="303" spans="2:30" ht="15" customHeight="1" x14ac:dyDescent="0.25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 s="9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  <c r="N303" t="str">
        <f>IF(tblSalaries[[#This Row],[Years of Experience]]="","",IF(tblSalaries[[#This Row],[Years of Experience]]&lt;=2,1,""))</f>
        <v/>
      </c>
      <c r="O303" t="str">
        <f>IF(tblSalaries[[#This Row],[Years of Experience]]="","",IF(AND(tblSalaries[[#This Row],[Years of Experience]]&gt;2,tblSalaries[[#This Row],[Years of Experience]]&lt;=5),1,""))</f>
        <v/>
      </c>
      <c r="P303" t="str">
        <f>IF(tblSalaries[[#This Row],[Years of Experience]]="","",IF(AND(tblSalaries[[#This Row],[Years of Experience]]&gt;5,tblSalaries[[#This Row],[Years of Experience]]&lt;=10),1,""))</f>
        <v/>
      </c>
      <c r="Q303" t="str">
        <f>IF(tblSalaries[[#This Row],[Years of Experience]]="","",IF(AND(tblSalaries[[#This Row],[Years of Experience]]&gt;10,tblSalaries[[#This Row],[Years of Experience]]&lt;=15),1,""))</f>
        <v/>
      </c>
      <c r="R303" t="str">
        <f>IF(tblSalaries[[#This Row],[Years of Experience]]="","",IF(AND(tblSalaries[[#This Row],[Years of Experience]]&gt;16,tblSalaries[[#This Row],[Years of Experience]]&lt;=20),1,""))</f>
        <v/>
      </c>
      <c r="S303" t="str">
        <f>IF(tblSalaries[[#This Row],[Years of Experience]]="","",IF(tblSalaries[[#This Row],[Years of Experience]]&gt;20,1,""))</f>
        <v/>
      </c>
      <c r="T3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3" s="13" t="str">
        <f>IF(tblSalaries[[#This Row],[Job Type]]=tblSalaries[[#Headers],[Accountant]],tblSalaries[[#This Row],[Salary in USD]],"")</f>
        <v/>
      </c>
      <c r="V303" s="13">
        <f>IF(tblSalaries[[#This Row],[Job Type]]=tblSalaries[[#Headers],[Analyst]],tblSalaries[[#This Row],[Salary in USD]],"")</f>
        <v>53000</v>
      </c>
      <c r="W303" s="13" t="str">
        <f>IF(tblSalaries[[#This Row],[Job Type]]=tblSalaries[[#Headers],[Consultant]],tblSalaries[[#This Row],[Salary in USD]],"")</f>
        <v/>
      </c>
      <c r="X303" s="13" t="str">
        <f>IF(tblSalaries[[#This Row],[Job Type]]=tblSalaries[[#Headers],[Controller]],tblSalaries[[#This Row],[Salary in USD]],"")</f>
        <v/>
      </c>
      <c r="Y303" s="13" t="str">
        <f>IF(tblSalaries[[#This Row],[Job Type]]=tblSalaries[[#Headers],[CXO or Top Mgmt.]],tblSalaries[[#This Row],[clean Salary (in local currency)]],"")</f>
        <v/>
      </c>
      <c r="Z303" s="13" t="str">
        <f>IF(tblSalaries[[#This Row],[Job Type]]=tblSalaries[[#Headers],[Engineer]],tblSalaries[[#This Row],[Salary in USD]],"")</f>
        <v/>
      </c>
      <c r="AA303" s="13" t="str">
        <f>IF(tblSalaries[[#This Row],[Job Type]]=tblSalaries[[#Headers],[Manager]],tblSalaries[[#This Row],[Salary in USD]],"")</f>
        <v/>
      </c>
      <c r="AB303" s="13" t="str">
        <f>IF(tblSalaries[[#This Row],[Job Type]]=tblSalaries[[#Headers],[Misc.]],tblSalaries[[#This Row],[Salary in USD]],"")</f>
        <v/>
      </c>
      <c r="AC303" s="13" t="str">
        <f>IF(tblSalaries[[#This Row],[Job Type]]=tblSalaries[[#Headers],[Reporting]],tblSalaries[[#This Row],[Salary in USD]],"")</f>
        <v/>
      </c>
      <c r="AD303" s="13" t="str">
        <f>IF(tblSalaries[[#This Row],[Job Type]]=tblSalaries[[#Headers],[Specialist]],tblSalaries[[#This Row],[Salary in USD]],"")</f>
        <v/>
      </c>
    </row>
    <row r="304" spans="2:30" ht="15" customHeight="1" x14ac:dyDescent="0.25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 s="9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  <c r="N304" t="str">
        <f>IF(tblSalaries[[#This Row],[Years of Experience]]="","",IF(tblSalaries[[#This Row],[Years of Experience]]&lt;=2,1,""))</f>
        <v/>
      </c>
      <c r="O304" t="str">
        <f>IF(tblSalaries[[#This Row],[Years of Experience]]="","",IF(AND(tblSalaries[[#This Row],[Years of Experience]]&gt;2,tblSalaries[[#This Row],[Years of Experience]]&lt;=5),1,""))</f>
        <v/>
      </c>
      <c r="P304" t="str">
        <f>IF(tblSalaries[[#This Row],[Years of Experience]]="","",IF(AND(tblSalaries[[#This Row],[Years of Experience]]&gt;5,tblSalaries[[#This Row],[Years of Experience]]&lt;=10),1,""))</f>
        <v/>
      </c>
      <c r="Q304" t="str">
        <f>IF(tblSalaries[[#This Row],[Years of Experience]]="","",IF(AND(tblSalaries[[#This Row],[Years of Experience]]&gt;10,tblSalaries[[#This Row],[Years of Experience]]&lt;=15),1,""))</f>
        <v/>
      </c>
      <c r="R304" t="str">
        <f>IF(tblSalaries[[#This Row],[Years of Experience]]="","",IF(AND(tblSalaries[[#This Row],[Years of Experience]]&gt;16,tblSalaries[[#This Row],[Years of Experience]]&lt;=20),1,""))</f>
        <v/>
      </c>
      <c r="S304" t="str">
        <f>IF(tblSalaries[[#This Row],[Years of Experience]]="","",IF(tblSalaries[[#This Row],[Years of Experience]]&gt;20,1,""))</f>
        <v/>
      </c>
      <c r="T3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4" s="13" t="str">
        <f>IF(tblSalaries[[#This Row],[Job Type]]=tblSalaries[[#Headers],[Accountant]],tblSalaries[[#This Row],[Salary in USD]],"")</f>
        <v/>
      </c>
      <c r="V304" s="13" t="str">
        <f>IF(tblSalaries[[#This Row],[Job Type]]=tblSalaries[[#Headers],[Analyst]],tblSalaries[[#This Row],[Salary in USD]],"")</f>
        <v/>
      </c>
      <c r="W304" s="13" t="str">
        <f>IF(tblSalaries[[#This Row],[Job Type]]=tblSalaries[[#Headers],[Consultant]],tblSalaries[[#This Row],[Salary in USD]],"")</f>
        <v/>
      </c>
      <c r="X304" s="13">
        <f>IF(tblSalaries[[#This Row],[Job Type]]=tblSalaries[[#Headers],[Controller]],tblSalaries[[#This Row],[Salary in USD]],"")</f>
        <v>82575.963534454509</v>
      </c>
      <c r="Y304" s="13" t="str">
        <f>IF(tblSalaries[[#This Row],[Job Type]]=tblSalaries[[#Headers],[CXO or Top Mgmt.]],tblSalaries[[#This Row],[clean Salary (in local currency)]],"")</f>
        <v/>
      </c>
      <c r="Z304" s="13" t="str">
        <f>IF(tblSalaries[[#This Row],[Job Type]]=tblSalaries[[#Headers],[Engineer]],tblSalaries[[#This Row],[Salary in USD]],"")</f>
        <v/>
      </c>
      <c r="AA304" s="13" t="str">
        <f>IF(tblSalaries[[#This Row],[Job Type]]=tblSalaries[[#Headers],[Manager]],tblSalaries[[#This Row],[Salary in USD]],"")</f>
        <v/>
      </c>
      <c r="AB304" s="13" t="str">
        <f>IF(tblSalaries[[#This Row],[Job Type]]=tblSalaries[[#Headers],[Misc.]],tblSalaries[[#This Row],[Salary in USD]],"")</f>
        <v/>
      </c>
      <c r="AC304" s="13" t="str">
        <f>IF(tblSalaries[[#This Row],[Job Type]]=tblSalaries[[#Headers],[Reporting]],tblSalaries[[#This Row],[Salary in USD]],"")</f>
        <v/>
      </c>
      <c r="AD304" s="13" t="str">
        <f>IF(tblSalaries[[#This Row],[Job Type]]=tblSalaries[[#Headers],[Specialist]],tblSalaries[[#This Row],[Salary in USD]],"")</f>
        <v/>
      </c>
    </row>
    <row r="305" spans="2:30" ht="15" customHeight="1" x14ac:dyDescent="0.25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 s="9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  <c r="N305" t="str">
        <f>IF(tblSalaries[[#This Row],[Years of Experience]]="","",IF(tblSalaries[[#This Row],[Years of Experience]]&lt;=2,1,""))</f>
        <v/>
      </c>
      <c r="O305" t="str">
        <f>IF(tblSalaries[[#This Row],[Years of Experience]]="","",IF(AND(tblSalaries[[#This Row],[Years of Experience]]&gt;2,tblSalaries[[#This Row],[Years of Experience]]&lt;=5),1,""))</f>
        <v/>
      </c>
      <c r="P305" t="str">
        <f>IF(tblSalaries[[#This Row],[Years of Experience]]="","",IF(AND(tblSalaries[[#This Row],[Years of Experience]]&gt;5,tblSalaries[[#This Row],[Years of Experience]]&lt;=10),1,""))</f>
        <v/>
      </c>
      <c r="Q305" t="str">
        <f>IF(tblSalaries[[#This Row],[Years of Experience]]="","",IF(AND(tblSalaries[[#This Row],[Years of Experience]]&gt;10,tblSalaries[[#This Row],[Years of Experience]]&lt;=15),1,""))</f>
        <v/>
      </c>
      <c r="R305" t="str">
        <f>IF(tblSalaries[[#This Row],[Years of Experience]]="","",IF(AND(tblSalaries[[#This Row],[Years of Experience]]&gt;16,tblSalaries[[#This Row],[Years of Experience]]&lt;=20),1,""))</f>
        <v/>
      </c>
      <c r="S305" t="str">
        <f>IF(tblSalaries[[#This Row],[Years of Experience]]="","",IF(tblSalaries[[#This Row],[Years of Experience]]&gt;20,1,""))</f>
        <v/>
      </c>
      <c r="T3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5" s="13" t="str">
        <f>IF(tblSalaries[[#This Row],[Job Type]]=tblSalaries[[#Headers],[Accountant]],tblSalaries[[#This Row],[Salary in USD]],"")</f>
        <v/>
      </c>
      <c r="V305" s="13">
        <f>IF(tblSalaries[[#This Row],[Job Type]]=tblSalaries[[#Headers],[Analyst]],tblSalaries[[#This Row],[Salary in USD]],"")</f>
        <v>67000</v>
      </c>
      <c r="W305" s="13" t="str">
        <f>IF(tblSalaries[[#This Row],[Job Type]]=tblSalaries[[#Headers],[Consultant]],tblSalaries[[#This Row],[Salary in USD]],"")</f>
        <v/>
      </c>
      <c r="X305" s="13" t="str">
        <f>IF(tblSalaries[[#This Row],[Job Type]]=tblSalaries[[#Headers],[Controller]],tblSalaries[[#This Row],[Salary in USD]],"")</f>
        <v/>
      </c>
      <c r="Y305" s="13" t="str">
        <f>IF(tblSalaries[[#This Row],[Job Type]]=tblSalaries[[#Headers],[CXO or Top Mgmt.]],tblSalaries[[#This Row],[clean Salary (in local currency)]],"")</f>
        <v/>
      </c>
      <c r="Z305" s="13" t="str">
        <f>IF(tblSalaries[[#This Row],[Job Type]]=tblSalaries[[#Headers],[Engineer]],tblSalaries[[#This Row],[Salary in USD]],"")</f>
        <v/>
      </c>
      <c r="AA305" s="13" t="str">
        <f>IF(tblSalaries[[#This Row],[Job Type]]=tblSalaries[[#Headers],[Manager]],tblSalaries[[#This Row],[Salary in USD]],"")</f>
        <v/>
      </c>
      <c r="AB305" s="13" t="str">
        <f>IF(tblSalaries[[#This Row],[Job Type]]=tblSalaries[[#Headers],[Misc.]],tblSalaries[[#This Row],[Salary in USD]],"")</f>
        <v/>
      </c>
      <c r="AC305" s="13" t="str">
        <f>IF(tblSalaries[[#This Row],[Job Type]]=tblSalaries[[#Headers],[Reporting]],tblSalaries[[#This Row],[Salary in USD]],"")</f>
        <v/>
      </c>
      <c r="AD305" s="13" t="str">
        <f>IF(tblSalaries[[#This Row],[Job Type]]=tblSalaries[[#Headers],[Specialist]],tblSalaries[[#This Row],[Salary in USD]],"")</f>
        <v/>
      </c>
    </row>
    <row r="306" spans="2:30" ht="15" customHeight="1" x14ac:dyDescent="0.25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 s="9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  <c r="N306" t="str">
        <f>IF(tblSalaries[[#This Row],[Years of Experience]]="","",IF(tblSalaries[[#This Row],[Years of Experience]]&lt;=2,1,""))</f>
        <v/>
      </c>
      <c r="O306" t="str">
        <f>IF(tblSalaries[[#This Row],[Years of Experience]]="","",IF(AND(tblSalaries[[#This Row],[Years of Experience]]&gt;2,tblSalaries[[#This Row],[Years of Experience]]&lt;=5),1,""))</f>
        <v/>
      </c>
      <c r="P306" t="str">
        <f>IF(tblSalaries[[#This Row],[Years of Experience]]="","",IF(AND(tblSalaries[[#This Row],[Years of Experience]]&gt;5,tblSalaries[[#This Row],[Years of Experience]]&lt;=10),1,""))</f>
        <v/>
      </c>
      <c r="Q306" t="str">
        <f>IF(tblSalaries[[#This Row],[Years of Experience]]="","",IF(AND(tblSalaries[[#This Row],[Years of Experience]]&gt;10,tblSalaries[[#This Row],[Years of Experience]]&lt;=15),1,""))</f>
        <v/>
      </c>
      <c r="R306" t="str">
        <f>IF(tblSalaries[[#This Row],[Years of Experience]]="","",IF(AND(tblSalaries[[#This Row],[Years of Experience]]&gt;16,tblSalaries[[#This Row],[Years of Experience]]&lt;=20),1,""))</f>
        <v/>
      </c>
      <c r="S306" t="str">
        <f>IF(tblSalaries[[#This Row],[Years of Experience]]="","",IF(tblSalaries[[#This Row],[Years of Experience]]&gt;20,1,""))</f>
        <v/>
      </c>
      <c r="T3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6" s="13" t="str">
        <f>IF(tblSalaries[[#This Row],[Job Type]]=tblSalaries[[#Headers],[Accountant]],tblSalaries[[#This Row],[Salary in USD]],"")</f>
        <v/>
      </c>
      <c r="V306" s="13">
        <f>IF(tblSalaries[[#This Row],[Job Type]]=tblSalaries[[#Headers],[Analyst]],tblSalaries[[#This Row],[Salary in USD]],"")</f>
        <v>12000</v>
      </c>
      <c r="W306" s="13" t="str">
        <f>IF(tblSalaries[[#This Row],[Job Type]]=tblSalaries[[#Headers],[Consultant]],tblSalaries[[#This Row],[Salary in USD]],"")</f>
        <v/>
      </c>
      <c r="X306" s="13" t="str">
        <f>IF(tblSalaries[[#This Row],[Job Type]]=tblSalaries[[#Headers],[Controller]],tblSalaries[[#This Row],[Salary in USD]],"")</f>
        <v/>
      </c>
      <c r="Y306" s="13" t="str">
        <f>IF(tblSalaries[[#This Row],[Job Type]]=tblSalaries[[#Headers],[CXO or Top Mgmt.]],tblSalaries[[#This Row],[clean Salary (in local currency)]],"")</f>
        <v/>
      </c>
      <c r="Z306" s="13" t="str">
        <f>IF(tblSalaries[[#This Row],[Job Type]]=tblSalaries[[#Headers],[Engineer]],tblSalaries[[#This Row],[Salary in USD]],"")</f>
        <v/>
      </c>
      <c r="AA306" s="13" t="str">
        <f>IF(tblSalaries[[#This Row],[Job Type]]=tblSalaries[[#Headers],[Manager]],tblSalaries[[#This Row],[Salary in USD]],"")</f>
        <v/>
      </c>
      <c r="AB306" s="13" t="str">
        <f>IF(tblSalaries[[#This Row],[Job Type]]=tblSalaries[[#Headers],[Misc.]],tblSalaries[[#This Row],[Salary in USD]],"")</f>
        <v/>
      </c>
      <c r="AC306" s="13" t="str">
        <f>IF(tblSalaries[[#This Row],[Job Type]]=tblSalaries[[#Headers],[Reporting]],tblSalaries[[#This Row],[Salary in USD]],"")</f>
        <v/>
      </c>
      <c r="AD306" s="13" t="str">
        <f>IF(tblSalaries[[#This Row],[Job Type]]=tblSalaries[[#Headers],[Specialist]],tblSalaries[[#This Row],[Salary in USD]],"")</f>
        <v/>
      </c>
    </row>
    <row r="307" spans="2:30" ht="15" customHeight="1" x14ac:dyDescent="0.25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 s="9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  <c r="N307" t="str">
        <f>IF(tblSalaries[[#This Row],[Years of Experience]]="","",IF(tblSalaries[[#This Row],[Years of Experience]]&lt;=2,1,""))</f>
        <v/>
      </c>
      <c r="O307" t="str">
        <f>IF(tblSalaries[[#This Row],[Years of Experience]]="","",IF(AND(tblSalaries[[#This Row],[Years of Experience]]&gt;2,tblSalaries[[#This Row],[Years of Experience]]&lt;=5),1,""))</f>
        <v/>
      </c>
      <c r="P307" t="str">
        <f>IF(tblSalaries[[#This Row],[Years of Experience]]="","",IF(AND(tblSalaries[[#This Row],[Years of Experience]]&gt;5,tblSalaries[[#This Row],[Years of Experience]]&lt;=10),1,""))</f>
        <v/>
      </c>
      <c r="Q307" t="str">
        <f>IF(tblSalaries[[#This Row],[Years of Experience]]="","",IF(AND(tblSalaries[[#This Row],[Years of Experience]]&gt;10,tblSalaries[[#This Row],[Years of Experience]]&lt;=15),1,""))</f>
        <v/>
      </c>
      <c r="R307" t="str">
        <f>IF(tblSalaries[[#This Row],[Years of Experience]]="","",IF(AND(tblSalaries[[#This Row],[Years of Experience]]&gt;16,tblSalaries[[#This Row],[Years of Experience]]&lt;=20),1,""))</f>
        <v/>
      </c>
      <c r="S307" t="str">
        <f>IF(tblSalaries[[#This Row],[Years of Experience]]="","",IF(tblSalaries[[#This Row],[Years of Experience]]&gt;20,1,""))</f>
        <v/>
      </c>
      <c r="T3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7" s="13" t="str">
        <f>IF(tblSalaries[[#This Row],[Job Type]]=tblSalaries[[#Headers],[Accountant]],tblSalaries[[#This Row],[Salary in USD]],"")</f>
        <v/>
      </c>
      <c r="V307" s="13" t="str">
        <f>IF(tblSalaries[[#This Row],[Job Type]]=tblSalaries[[#Headers],[Analyst]],tblSalaries[[#This Row],[Salary in USD]],"")</f>
        <v/>
      </c>
      <c r="W307" s="13" t="str">
        <f>IF(tblSalaries[[#This Row],[Job Type]]=tblSalaries[[#Headers],[Consultant]],tblSalaries[[#This Row],[Salary in USD]],"")</f>
        <v/>
      </c>
      <c r="X307" s="13">
        <f>IF(tblSalaries[[#This Row],[Job Type]]=tblSalaries[[#Headers],[Controller]],tblSalaries[[#This Row],[Salary in USD]],"")</f>
        <v>85000</v>
      </c>
      <c r="Y307" s="13" t="str">
        <f>IF(tblSalaries[[#This Row],[Job Type]]=tblSalaries[[#Headers],[CXO or Top Mgmt.]],tblSalaries[[#This Row],[clean Salary (in local currency)]],"")</f>
        <v/>
      </c>
      <c r="Z307" s="13" t="str">
        <f>IF(tblSalaries[[#This Row],[Job Type]]=tblSalaries[[#Headers],[Engineer]],tblSalaries[[#This Row],[Salary in USD]],"")</f>
        <v/>
      </c>
      <c r="AA307" s="13" t="str">
        <f>IF(tblSalaries[[#This Row],[Job Type]]=tblSalaries[[#Headers],[Manager]],tblSalaries[[#This Row],[Salary in USD]],"")</f>
        <v/>
      </c>
      <c r="AB307" s="13" t="str">
        <f>IF(tblSalaries[[#This Row],[Job Type]]=tblSalaries[[#Headers],[Misc.]],tblSalaries[[#This Row],[Salary in USD]],"")</f>
        <v/>
      </c>
      <c r="AC307" s="13" t="str">
        <f>IF(tblSalaries[[#This Row],[Job Type]]=tblSalaries[[#Headers],[Reporting]],tblSalaries[[#This Row],[Salary in USD]],"")</f>
        <v/>
      </c>
      <c r="AD307" s="13" t="str">
        <f>IF(tblSalaries[[#This Row],[Job Type]]=tblSalaries[[#Headers],[Specialist]],tblSalaries[[#This Row],[Salary in USD]],"")</f>
        <v/>
      </c>
    </row>
    <row r="308" spans="2:30" ht="15" customHeight="1" x14ac:dyDescent="0.25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 s="9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3999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  <c r="N308" t="str">
        <f>IF(tblSalaries[[#This Row],[Years of Experience]]="","",IF(tblSalaries[[#This Row],[Years of Experience]]&lt;=2,1,""))</f>
        <v/>
      </c>
      <c r="O308" t="str">
        <f>IF(tblSalaries[[#This Row],[Years of Experience]]="","",IF(AND(tblSalaries[[#This Row],[Years of Experience]]&gt;2,tblSalaries[[#This Row],[Years of Experience]]&lt;=5),1,""))</f>
        <v/>
      </c>
      <c r="P308" t="str">
        <f>IF(tblSalaries[[#This Row],[Years of Experience]]="","",IF(AND(tblSalaries[[#This Row],[Years of Experience]]&gt;5,tblSalaries[[#This Row],[Years of Experience]]&lt;=10),1,""))</f>
        <v/>
      </c>
      <c r="Q308" t="str">
        <f>IF(tblSalaries[[#This Row],[Years of Experience]]="","",IF(AND(tblSalaries[[#This Row],[Years of Experience]]&gt;10,tblSalaries[[#This Row],[Years of Experience]]&lt;=15),1,""))</f>
        <v/>
      </c>
      <c r="R308" t="str">
        <f>IF(tblSalaries[[#This Row],[Years of Experience]]="","",IF(AND(tblSalaries[[#This Row],[Years of Experience]]&gt;16,tblSalaries[[#This Row],[Years of Experience]]&lt;=20),1,""))</f>
        <v/>
      </c>
      <c r="S308" t="str">
        <f>IF(tblSalaries[[#This Row],[Years of Experience]]="","",IF(tblSalaries[[#This Row],[Years of Experience]]&gt;20,1,""))</f>
        <v/>
      </c>
      <c r="T3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8" s="13" t="str">
        <f>IF(tblSalaries[[#This Row],[Job Type]]=tblSalaries[[#Headers],[Accountant]],tblSalaries[[#This Row],[Salary in USD]],"")</f>
        <v/>
      </c>
      <c r="V308" s="13" t="str">
        <f>IF(tblSalaries[[#This Row],[Job Type]]=tblSalaries[[#Headers],[Analyst]],tblSalaries[[#This Row],[Salary in USD]],"")</f>
        <v/>
      </c>
      <c r="W308" s="13" t="str">
        <f>IF(tblSalaries[[#This Row],[Job Type]]=tblSalaries[[#Headers],[Consultant]],tblSalaries[[#This Row],[Salary in USD]],"")</f>
        <v/>
      </c>
      <c r="X308" s="13" t="str">
        <f>IF(tblSalaries[[#This Row],[Job Type]]=tblSalaries[[#Headers],[Controller]],tblSalaries[[#This Row],[Salary in USD]],"")</f>
        <v/>
      </c>
      <c r="Y308" s="13" t="str">
        <f>IF(tblSalaries[[#This Row],[Job Type]]=tblSalaries[[#Headers],[CXO or Top Mgmt.]],tblSalaries[[#This Row],[clean Salary (in local currency)]],"")</f>
        <v/>
      </c>
      <c r="Z308" s="13" t="str">
        <f>IF(tblSalaries[[#This Row],[Job Type]]=tblSalaries[[#Headers],[Engineer]],tblSalaries[[#This Row],[Salary in USD]],"")</f>
        <v/>
      </c>
      <c r="AA308" s="13" t="str">
        <f>IF(tblSalaries[[#This Row],[Job Type]]=tblSalaries[[#Headers],[Manager]],tblSalaries[[#This Row],[Salary in USD]],"")</f>
        <v/>
      </c>
      <c r="AB308" s="13" t="str">
        <f>IF(tblSalaries[[#This Row],[Job Type]]=tblSalaries[[#Headers],[Misc.]],tblSalaries[[#This Row],[Salary in USD]],"")</f>
        <v/>
      </c>
      <c r="AC308" s="13">
        <f>IF(tblSalaries[[#This Row],[Job Type]]=tblSalaries[[#Headers],[Reporting]],tblSalaries[[#This Row],[Salary in USD]],"")</f>
        <v>254079.88779832155</v>
      </c>
      <c r="AD308" s="13" t="str">
        <f>IF(tblSalaries[[#This Row],[Job Type]]=tblSalaries[[#Headers],[Specialist]],tblSalaries[[#This Row],[Salary in USD]],"")</f>
        <v/>
      </c>
    </row>
    <row r="309" spans="2:30" ht="15" customHeight="1" x14ac:dyDescent="0.25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 s="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  <c r="N309" t="str">
        <f>IF(tblSalaries[[#This Row],[Years of Experience]]="","",IF(tblSalaries[[#This Row],[Years of Experience]]&lt;=2,1,""))</f>
        <v/>
      </c>
      <c r="O309" t="str">
        <f>IF(tblSalaries[[#This Row],[Years of Experience]]="","",IF(AND(tblSalaries[[#This Row],[Years of Experience]]&gt;2,tblSalaries[[#This Row],[Years of Experience]]&lt;=5),1,""))</f>
        <v/>
      </c>
      <c r="P309" t="str">
        <f>IF(tblSalaries[[#This Row],[Years of Experience]]="","",IF(AND(tblSalaries[[#This Row],[Years of Experience]]&gt;5,tblSalaries[[#This Row],[Years of Experience]]&lt;=10),1,""))</f>
        <v/>
      </c>
      <c r="Q309" t="str">
        <f>IF(tblSalaries[[#This Row],[Years of Experience]]="","",IF(AND(tblSalaries[[#This Row],[Years of Experience]]&gt;10,tblSalaries[[#This Row],[Years of Experience]]&lt;=15),1,""))</f>
        <v/>
      </c>
      <c r="R309" t="str">
        <f>IF(tblSalaries[[#This Row],[Years of Experience]]="","",IF(AND(tblSalaries[[#This Row],[Years of Experience]]&gt;16,tblSalaries[[#This Row],[Years of Experience]]&lt;=20),1,""))</f>
        <v/>
      </c>
      <c r="S309" t="str">
        <f>IF(tblSalaries[[#This Row],[Years of Experience]]="","",IF(tblSalaries[[#This Row],[Years of Experience]]&gt;20,1,""))</f>
        <v/>
      </c>
      <c r="T3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09" s="13" t="str">
        <f>IF(tblSalaries[[#This Row],[Job Type]]=tblSalaries[[#Headers],[Accountant]],tblSalaries[[#This Row],[Salary in USD]],"")</f>
        <v/>
      </c>
      <c r="V309" s="13" t="str">
        <f>IF(tblSalaries[[#This Row],[Job Type]]=tblSalaries[[#Headers],[Analyst]],tblSalaries[[#This Row],[Salary in USD]],"")</f>
        <v/>
      </c>
      <c r="W309" s="13" t="str">
        <f>IF(tblSalaries[[#This Row],[Job Type]]=tblSalaries[[#Headers],[Consultant]],tblSalaries[[#This Row],[Salary in USD]],"")</f>
        <v/>
      </c>
      <c r="X309" s="13" t="str">
        <f>IF(tblSalaries[[#This Row],[Job Type]]=tblSalaries[[#Headers],[Controller]],tblSalaries[[#This Row],[Salary in USD]],"")</f>
        <v/>
      </c>
      <c r="Y309" s="13" t="str">
        <f>IF(tblSalaries[[#This Row],[Job Type]]=tblSalaries[[#Headers],[CXO or Top Mgmt.]],tblSalaries[[#This Row],[clean Salary (in local currency)]],"")</f>
        <v/>
      </c>
      <c r="Z309" s="13" t="str">
        <f>IF(tblSalaries[[#This Row],[Job Type]]=tblSalaries[[#Headers],[Engineer]],tblSalaries[[#This Row],[Salary in USD]],"")</f>
        <v/>
      </c>
      <c r="AA309" s="13">
        <f>IF(tblSalaries[[#This Row],[Job Type]]=tblSalaries[[#Headers],[Manager]],tblSalaries[[#This Row],[Salary in USD]],"")</f>
        <v>40000</v>
      </c>
      <c r="AB309" s="13" t="str">
        <f>IF(tblSalaries[[#This Row],[Job Type]]=tblSalaries[[#Headers],[Misc.]],tblSalaries[[#This Row],[Salary in USD]],"")</f>
        <v/>
      </c>
      <c r="AC309" s="13" t="str">
        <f>IF(tblSalaries[[#This Row],[Job Type]]=tblSalaries[[#Headers],[Reporting]],tblSalaries[[#This Row],[Salary in USD]],"")</f>
        <v/>
      </c>
      <c r="AD309" s="13" t="str">
        <f>IF(tblSalaries[[#This Row],[Job Type]]=tblSalaries[[#Headers],[Specialist]],tblSalaries[[#This Row],[Salary in USD]],"")</f>
        <v/>
      </c>
    </row>
    <row r="310" spans="2:30" ht="15" customHeight="1" x14ac:dyDescent="0.25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 s="9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  <c r="N310" t="str">
        <f>IF(tblSalaries[[#This Row],[Years of Experience]]="","",IF(tblSalaries[[#This Row],[Years of Experience]]&lt;=2,1,""))</f>
        <v/>
      </c>
      <c r="O310" t="str">
        <f>IF(tblSalaries[[#This Row],[Years of Experience]]="","",IF(AND(tblSalaries[[#This Row],[Years of Experience]]&gt;2,tblSalaries[[#This Row],[Years of Experience]]&lt;=5),1,""))</f>
        <v/>
      </c>
      <c r="P310" t="str">
        <f>IF(tblSalaries[[#This Row],[Years of Experience]]="","",IF(AND(tblSalaries[[#This Row],[Years of Experience]]&gt;5,tblSalaries[[#This Row],[Years of Experience]]&lt;=10),1,""))</f>
        <v/>
      </c>
      <c r="Q310" t="str">
        <f>IF(tblSalaries[[#This Row],[Years of Experience]]="","",IF(AND(tblSalaries[[#This Row],[Years of Experience]]&gt;10,tblSalaries[[#This Row],[Years of Experience]]&lt;=15),1,""))</f>
        <v/>
      </c>
      <c r="R310" t="str">
        <f>IF(tblSalaries[[#This Row],[Years of Experience]]="","",IF(AND(tblSalaries[[#This Row],[Years of Experience]]&gt;16,tblSalaries[[#This Row],[Years of Experience]]&lt;=20),1,""))</f>
        <v/>
      </c>
      <c r="S310" t="str">
        <f>IF(tblSalaries[[#This Row],[Years of Experience]]="","",IF(tblSalaries[[#This Row],[Years of Experience]]&gt;20,1,""))</f>
        <v/>
      </c>
      <c r="T3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0" s="13" t="str">
        <f>IF(tblSalaries[[#This Row],[Job Type]]=tblSalaries[[#Headers],[Accountant]],tblSalaries[[#This Row],[Salary in USD]],"")</f>
        <v/>
      </c>
      <c r="V310" s="13" t="str">
        <f>IF(tblSalaries[[#This Row],[Job Type]]=tblSalaries[[#Headers],[Analyst]],tblSalaries[[#This Row],[Salary in USD]],"")</f>
        <v/>
      </c>
      <c r="W310" s="13" t="str">
        <f>IF(tblSalaries[[#This Row],[Job Type]]=tblSalaries[[#Headers],[Consultant]],tblSalaries[[#This Row],[Salary in USD]],"")</f>
        <v/>
      </c>
      <c r="X310" s="13" t="str">
        <f>IF(tblSalaries[[#This Row],[Job Type]]=tblSalaries[[#Headers],[Controller]],tblSalaries[[#This Row],[Salary in USD]],"")</f>
        <v/>
      </c>
      <c r="Y310" s="13" t="str">
        <f>IF(tblSalaries[[#This Row],[Job Type]]=tblSalaries[[#Headers],[CXO or Top Mgmt.]],tblSalaries[[#This Row],[clean Salary (in local currency)]],"")</f>
        <v/>
      </c>
      <c r="Z310" s="13">
        <f>IF(tblSalaries[[#This Row],[Job Type]]=tblSalaries[[#Headers],[Engineer]],tblSalaries[[#This Row],[Salary in USD]],"")</f>
        <v>31523.565441345683</v>
      </c>
      <c r="AA310" s="13" t="str">
        <f>IF(tblSalaries[[#This Row],[Job Type]]=tblSalaries[[#Headers],[Manager]],tblSalaries[[#This Row],[Salary in USD]],"")</f>
        <v/>
      </c>
      <c r="AB310" s="13" t="str">
        <f>IF(tblSalaries[[#This Row],[Job Type]]=tblSalaries[[#Headers],[Misc.]],tblSalaries[[#This Row],[Salary in USD]],"")</f>
        <v/>
      </c>
      <c r="AC310" s="13" t="str">
        <f>IF(tblSalaries[[#This Row],[Job Type]]=tblSalaries[[#Headers],[Reporting]],tblSalaries[[#This Row],[Salary in USD]],"")</f>
        <v/>
      </c>
      <c r="AD310" s="13" t="str">
        <f>IF(tblSalaries[[#This Row],[Job Type]]=tblSalaries[[#Headers],[Specialist]],tblSalaries[[#This Row],[Salary in USD]],"")</f>
        <v/>
      </c>
    </row>
    <row r="311" spans="2:30" ht="15" customHeight="1" x14ac:dyDescent="0.25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 s="9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  <c r="N311" t="str">
        <f>IF(tblSalaries[[#This Row],[Years of Experience]]="","",IF(tblSalaries[[#This Row],[Years of Experience]]&lt;=2,1,""))</f>
        <v/>
      </c>
      <c r="O311" t="str">
        <f>IF(tblSalaries[[#This Row],[Years of Experience]]="","",IF(AND(tblSalaries[[#This Row],[Years of Experience]]&gt;2,tblSalaries[[#This Row],[Years of Experience]]&lt;=5),1,""))</f>
        <v/>
      </c>
      <c r="P311" t="str">
        <f>IF(tblSalaries[[#This Row],[Years of Experience]]="","",IF(AND(tblSalaries[[#This Row],[Years of Experience]]&gt;5,tblSalaries[[#This Row],[Years of Experience]]&lt;=10),1,""))</f>
        <v/>
      </c>
      <c r="Q311" t="str">
        <f>IF(tblSalaries[[#This Row],[Years of Experience]]="","",IF(AND(tblSalaries[[#This Row],[Years of Experience]]&gt;10,tblSalaries[[#This Row],[Years of Experience]]&lt;=15),1,""))</f>
        <v/>
      </c>
      <c r="R311" t="str">
        <f>IF(tblSalaries[[#This Row],[Years of Experience]]="","",IF(AND(tblSalaries[[#This Row],[Years of Experience]]&gt;16,tblSalaries[[#This Row],[Years of Experience]]&lt;=20),1,""))</f>
        <v/>
      </c>
      <c r="S311" t="str">
        <f>IF(tblSalaries[[#This Row],[Years of Experience]]="","",IF(tblSalaries[[#This Row],[Years of Experience]]&gt;20,1,""))</f>
        <v/>
      </c>
      <c r="T3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1" s="13" t="str">
        <f>IF(tblSalaries[[#This Row],[Job Type]]=tblSalaries[[#Headers],[Accountant]],tblSalaries[[#This Row],[Salary in USD]],"")</f>
        <v/>
      </c>
      <c r="V311" s="13">
        <f>IF(tblSalaries[[#This Row],[Job Type]]=tblSalaries[[#Headers],[Analyst]],tblSalaries[[#This Row],[Salary in USD]],"")</f>
        <v>41000</v>
      </c>
      <c r="W311" s="13" t="str">
        <f>IF(tblSalaries[[#This Row],[Job Type]]=tblSalaries[[#Headers],[Consultant]],tblSalaries[[#This Row],[Salary in USD]],"")</f>
        <v/>
      </c>
      <c r="X311" s="13" t="str">
        <f>IF(tblSalaries[[#This Row],[Job Type]]=tblSalaries[[#Headers],[Controller]],tblSalaries[[#This Row],[Salary in USD]],"")</f>
        <v/>
      </c>
      <c r="Y311" s="13" t="str">
        <f>IF(tblSalaries[[#This Row],[Job Type]]=tblSalaries[[#Headers],[CXO or Top Mgmt.]],tblSalaries[[#This Row],[clean Salary (in local currency)]],"")</f>
        <v/>
      </c>
      <c r="Z311" s="13" t="str">
        <f>IF(tblSalaries[[#This Row],[Job Type]]=tblSalaries[[#Headers],[Engineer]],tblSalaries[[#This Row],[Salary in USD]],"")</f>
        <v/>
      </c>
      <c r="AA311" s="13" t="str">
        <f>IF(tblSalaries[[#This Row],[Job Type]]=tblSalaries[[#Headers],[Manager]],tblSalaries[[#This Row],[Salary in USD]],"")</f>
        <v/>
      </c>
      <c r="AB311" s="13" t="str">
        <f>IF(tblSalaries[[#This Row],[Job Type]]=tblSalaries[[#Headers],[Misc.]],tblSalaries[[#This Row],[Salary in USD]],"")</f>
        <v/>
      </c>
      <c r="AC311" s="13" t="str">
        <f>IF(tblSalaries[[#This Row],[Job Type]]=tblSalaries[[#Headers],[Reporting]],tblSalaries[[#This Row],[Salary in USD]],"")</f>
        <v/>
      </c>
      <c r="AD311" s="13" t="str">
        <f>IF(tblSalaries[[#This Row],[Job Type]]=tblSalaries[[#Headers],[Specialist]],tblSalaries[[#This Row],[Salary in USD]],"")</f>
        <v/>
      </c>
    </row>
    <row r="312" spans="2:30" ht="15" customHeight="1" x14ac:dyDescent="0.25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 s="9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  <c r="N312" t="str">
        <f>IF(tblSalaries[[#This Row],[Years of Experience]]="","",IF(tblSalaries[[#This Row],[Years of Experience]]&lt;=2,1,""))</f>
        <v/>
      </c>
      <c r="O312" t="str">
        <f>IF(tblSalaries[[#This Row],[Years of Experience]]="","",IF(AND(tblSalaries[[#This Row],[Years of Experience]]&gt;2,tblSalaries[[#This Row],[Years of Experience]]&lt;=5),1,""))</f>
        <v/>
      </c>
      <c r="P312" t="str">
        <f>IF(tblSalaries[[#This Row],[Years of Experience]]="","",IF(AND(tblSalaries[[#This Row],[Years of Experience]]&gt;5,tblSalaries[[#This Row],[Years of Experience]]&lt;=10),1,""))</f>
        <v/>
      </c>
      <c r="Q312" t="str">
        <f>IF(tblSalaries[[#This Row],[Years of Experience]]="","",IF(AND(tblSalaries[[#This Row],[Years of Experience]]&gt;10,tblSalaries[[#This Row],[Years of Experience]]&lt;=15),1,""))</f>
        <v/>
      </c>
      <c r="R312" t="str">
        <f>IF(tblSalaries[[#This Row],[Years of Experience]]="","",IF(AND(tblSalaries[[#This Row],[Years of Experience]]&gt;16,tblSalaries[[#This Row],[Years of Experience]]&lt;=20),1,""))</f>
        <v/>
      </c>
      <c r="S312" t="str">
        <f>IF(tblSalaries[[#This Row],[Years of Experience]]="","",IF(tblSalaries[[#This Row],[Years of Experience]]&gt;20,1,""))</f>
        <v/>
      </c>
      <c r="T3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2" s="13" t="str">
        <f>IF(tblSalaries[[#This Row],[Job Type]]=tblSalaries[[#Headers],[Accountant]],tblSalaries[[#This Row],[Salary in USD]],"")</f>
        <v/>
      </c>
      <c r="V312" s="13" t="str">
        <f>IF(tblSalaries[[#This Row],[Job Type]]=tblSalaries[[#Headers],[Analyst]],tblSalaries[[#This Row],[Salary in USD]],"")</f>
        <v/>
      </c>
      <c r="W312" s="13" t="str">
        <f>IF(tblSalaries[[#This Row],[Job Type]]=tblSalaries[[#Headers],[Consultant]],tblSalaries[[#This Row],[Salary in USD]],"")</f>
        <v/>
      </c>
      <c r="X312" s="13" t="str">
        <f>IF(tblSalaries[[#This Row],[Job Type]]=tblSalaries[[#Headers],[Controller]],tblSalaries[[#This Row],[Salary in USD]],"")</f>
        <v/>
      </c>
      <c r="Y312" s="13" t="str">
        <f>IF(tblSalaries[[#This Row],[Job Type]]=tblSalaries[[#Headers],[CXO or Top Mgmt.]],tblSalaries[[#This Row],[clean Salary (in local currency)]],"")</f>
        <v/>
      </c>
      <c r="Z312" s="13" t="str">
        <f>IF(tblSalaries[[#This Row],[Job Type]]=tblSalaries[[#Headers],[Engineer]],tblSalaries[[#This Row],[Salary in USD]],"")</f>
        <v/>
      </c>
      <c r="AA312" s="13">
        <f>IF(tblSalaries[[#This Row],[Job Type]]=tblSalaries[[#Headers],[Manager]],tblSalaries[[#This Row],[Salary in USD]],"")</f>
        <v>24931.083362419595</v>
      </c>
      <c r="AB312" s="13" t="str">
        <f>IF(tblSalaries[[#This Row],[Job Type]]=tblSalaries[[#Headers],[Misc.]],tblSalaries[[#This Row],[Salary in USD]],"")</f>
        <v/>
      </c>
      <c r="AC312" s="13" t="str">
        <f>IF(tblSalaries[[#This Row],[Job Type]]=tblSalaries[[#Headers],[Reporting]],tblSalaries[[#This Row],[Salary in USD]],"")</f>
        <v/>
      </c>
      <c r="AD312" s="13" t="str">
        <f>IF(tblSalaries[[#This Row],[Job Type]]=tblSalaries[[#Headers],[Specialist]],tblSalaries[[#This Row],[Salary in USD]],"")</f>
        <v/>
      </c>
    </row>
    <row r="313" spans="2:30" ht="15" customHeight="1" x14ac:dyDescent="0.25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 s="9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  <c r="N313" t="str">
        <f>IF(tblSalaries[[#This Row],[Years of Experience]]="","",IF(tblSalaries[[#This Row],[Years of Experience]]&lt;=2,1,""))</f>
        <v/>
      </c>
      <c r="O313" t="str">
        <f>IF(tblSalaries[[#This Row],[Years of Experience]]="","",IF(AND(tblSalaries[[#This Row],[Years of Experience]]&gt;2,tblSalaries[[#This Row],[Years of Experience]]&lt;=5),1,""))</f>
        <v/>
      </c>
      <c r="P313" t="str">
        <f>IF(tblSalaries[[#This Row],[Years of Experience]]="","",IF(AND(tblSalaries[[#This Row],[Years of Experience]]&gt;5,tblSalaries[[#This Row],[Years of Experience]]&lt;=10),1,""))</f>
        <v/>
      </c>
      <c r="Q313" t="str">
        <f>IF(tblSalaries[[#This Row],[Years of Experience]]="","",IF(AND(tblSalaries[[#This Row],[Years of Experience]]&gt;10,tblSalaries[[#This Row],[Years of Experience]]&lt;=15),1,""))</f>
        <v/>
      </c>
      <c r="R313" t="str">
        <f>IF(tblSalaries[[#This Row],[Years of Experience]]="","",IF(AND(tblSalaries[[#This Row],[Years of Experience]]&gt;16,tblSalaries[[#This Row],[Years of Experience]]&lt;=20),1,""))</f>
        <v/>
      </c>
      <c r="S313" t="str">
        <f>IF(tblSalaries[[#This Row],[Years of Experience]]="","",IF(tblSalaries[[#This Row],[Years of Experience]]&gt;20,1,""))</f>
        <v/>
      </c>
      <c r="T3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3" s="13" t="str">
        <f>IF(tblSalaries[[#This Row],[Job Type]]=tblSalaries[[#Headers],[Accountant]],tblSalaries[[#This Row],[Salary in USD]],"")</f>
        <v/>
      </c>
      <c r="V313" s="13" t="str">
        <f>IF(tblSalaries[[#This Row],[Job Type]]=tblSalaries[[#Headers],[Analyst]],tblSalaries[[#This Row],[Salary in USD]],"")</f>
        <v/>
      </c>
      <c r="W313" s="13" t="str">
        <f>IF(tblSalaries[[#This Row],[Job Type]]=tblSalaries[[#Headers],[Consultant]],tblSalaries[[#This Row],[Salary in USD]],"")</f>
        <v/>
      </c>
      <c r="X313" s="13" t="str">
        <f>IF(tblSalaries[[#This Row],[Job Type]]=tblSalaries[[#Headers],[Controller]],tblSalaries[[#This Row],[Salary in USD]],"")</f>
        <v/>
      </c>
      <c r="Y313" s="13" t="str">
        <f>IF(tblSalaries[[#This Row],[Job Type]]=tblSalaries[[#Headers],[CXO or Top Mgmt.]],tblSalaries[[#This Row],[clean Salary (in local currency)]],"")</f>
        <v/>
      </c>
      <c r="Z313" s="13" t="str">
        <f>IF(tblSalaries[[#This Row],[Job Type]]=tblSalaries[[#Headers],[Engineer]],tblSalaries[[#This Row],[Salary in USD]],"")</f>
        <v/>
      </c>
      <c r="AA313" s="13">
        <f>IF(tblSalaries[[#This Row],[Job Type]]=tblSalaries[[#Headers],[Manager]],tblSalaries[[#This Row],[Salary in USD]],"")</f>
        <v>125000</v>
      </c>
      <c r="AB313" s="13" t="str">
        <f>IF(tblSalaries[[#This Row],[Job Type]]=tblSalaries[[#Headers],[Misc.]],tblSalaries[[#This Row],[Salary in USD]],"")</f>
        <v/>
      </c>
      <c r="AC313" s="13" t="str">
        <f>IF(tblSalaries[[#This Row],[Job Type]]=tblSalaries[[#Headers],[Reporting]],tblSalaries[[#This Row],[Salary in USD]],"")</f>
        <v/>
      </c>
      <c r="AD313" s="13" t="str">
        <f>IF(tblSalaries[[#This Row],[Job Type]]=tblSalaries[[#Headers],[Specialist]],tblSalaries[[#This Row],[Salary in USD]],"")</f>
        <v/>
      </c>
    </row>
    <row r="314" spans="2:30" ht="15" customHeight="1" x14ac:dyDescent="0.25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 s="9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  <c r="N314" t="str">
        <f>IF(tblSalaries[[#This Row],[Years of Experience]]="","",IF(tblSalaries[[#This Row],[Years of Experience]]&lt;=2,1,""))</f>
        <v/>
      </c>
      <c r="O314" t="str">
        <f>IF(tblSalaries[[#This Row],[Years of Experience]]="","",IF(AND(tblSalaries[[#This Row],[Years of Experience]]&gt;2,tblSalaries[[#This Row],[Years of Experience]]&lt;=5),1,""))</f>
        <v/>
      </c>
      <c r="P314" t="str">
        <f>IF(tblSalaries[[#This Row],[Years of Experience]]="","",IF(AND(tblSalaries[[#This Row],[Years of Experience]]&gt;5,tblSalaries[[#This Row],[Years of Experience]]&lt;=10),1,""))</f>
        <v/>
      </c>
      <c r="Q314" t="str">
        <f>IF(tblSalaries[[#This Row],[Years of Experience]]="","",IF(AND(tblSalaries[[#This Row],[Years of Experience]]&gt;10,tblSalaries[[#This Row],[Years of Experience]]&lt;=15),1,""))</f>
        <v/>
      </c>
      <c r="R314" t="str">
        <f>IF(tblSalaries[[#This Row],[Years of Experience]]="","",IF(AND(tblSalaries[[#This Row],[Years of Experience]]&gt;16,tblSalaries[[#This Row],[Years of Experience]]&lt;=20),1,""))</f>
        <v/>
      </c>
      <c r="S314" t="str">
        <f>IF(tblSalaries[[#This Row],[Years of Experience]]="","",IF(tblSalaries[[#This Row],[Years of Experience]]&gt;20,1,""))</f>
        <v/>
      </c>
      <c r="T3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4" s="13" t="str">
        <f>IF(tblSalaries[[#This Row],[Job Type]]=tblSalaries[[#Headers],[Accountant]],tblSalaries[[#This Row],[Salary in USD]],"")</f>
        <v/>
      </c>
      <c r="V314" s="13">
        <f>IF(tblSalaries[[#This Row],[Job Type]]=tblSalaries[[#Headers],[Analyst]],tblSalaries[[#This Row],[Salary in USD]],"")</f>
        <v>59001.691381819612</v>
      </c>
      <c r="W314" s="13" t="str">
        <f>IF(tblSalaries[[#This Row],[Job Type]]=tblSalaries[[#Headers],[Consultant]],tblSalaries[[#This Row],[Salary in USD]],"")</f>
        <v/>
      </c>
      <c r="X314" s="13" t="str">
        <f>IF(tblSalaries[[#This Row],[Job Type]]=tblSalaries[[#Headers],[Controller]],tblSalaries[[#This Row],[Salary in USD]],"")</f>
        <v/>
      </c>
      <c r="Y314" s="13" t="str">
        <f>IF(tblSalaries[[#This Row],[Job Type]]=tblSalaries[[#Headers],[CXO or Top Mgmt.]],tblSalaries[[#This Row],[clean Salary (in local currency)]],"")</f>
        <v/>
      </c>
      <c r="Z314" s="13" t="str">
        <f>IF(tblSalaries[[#This Row],[Job Type]]=tblSalaries[[#Headers],[Engineer]],tblSalaries[[#This Row],[Salary in USD]],"")</f>
        <v/>
      </c>
      <c r="AA314" s="13" t="str">
        <f>IF(tblSalaries[[#This Row],[Job Type]]=tblSalaries[[#Headers],[Manager]],tblSalaries[[#This Row],[Salary in USD]],"")</f>
        <v/>
      </c>
      <c r="AB314" s="13" t="str">
        <f>IF(tblSalaries[[#This Row],[Job Type]]=tblSalaries[[#Headers],[Misc.]],tblSalaries[[#This Row],[Salary in USD]],"")</f>
        <v/>
      </c>
      <c r="AC314" s="13" t="str">
        <f>IF(tblSalaries[[#This Row],[Job Type]]=tblSalaries[[#Headers],[Reporting]],tblSalaries[[#This Row],[Salary in USD]],"")</f>
        <v/>
      </c>
      <c r="AD314" s="13" t="str">
        <f>IF(tblSalaries[[#This Row],[Job Type]]=tblSalaries[[#Headers],[Specialist]],tblSalaries[[#This Row],[Salary in USD]],"")</f>
        <v/>
      </c>
    </row>
    <row r="315" spans="2:30" ht="15" customHeight="1" x14ac:dyDescent="0.25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 s="9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  <c r="N315" t="str">
        <f>IF(tblSalaries[[#This Row],[Years of Experience]]="","",IF(tblSalaries[[#This Row],[Years of Experience]]&lt;=2,1,""))</f>
        <v/>
      </c>
      <c r="O315" t="str">
        <f>IF(tblSalaries[[#This Row],[Years of Experience]]="","",IF(AND(tblSalaries[[#This Row],[Years of Experience]]&gt;2,tblSalaries[[#This Row],[Years of Experience]]&lt;=5),1,""))</f>
        <v/>
      </c>
      <c r="P315" t="str">
        <f>IF(tblSalaries[[#This Row],[Years of Experience]]="","",IF(AND(tblSalaries[[#This Row],[Years of Experience]]&gt;5,tblSalaries[[#This Row],[Years of Experience]]&lt;=10),1,""))</f>
        <v/>
      </c>
      <c r="Q315" t="str">
        <f>IF(tblSalaries[[#This Row],[Years of Experience]]="","",IF(AND(tblSalaries[[#This Row],[Years of Experience]]&gt;10,tblSalaries[[#This Row],[Years of Experience]]&lt;=15),1,""))</f>
        <v/>
      </c>
      <c r="R315" t="str">
        <f>IF(tblSalaries[[#This Row],[Years of Experience]]="","",IF(AND(tblSalaries[[#This Row],[Years of Experience]]&gt;16,tblSalaries[[#This Row],[Years of Experience]]&lt;=20),1,""))</f>
        <v/>
      </c>
      <c r="S315" t="str">
        <f>IF(tblSalaries[[#This Row],[Years of Experience]]="","",IF(tblSalaries[[#This Row],[Years of Experience]]&gt;20,1,""))</f>
        <v/>
      </c>
      <c r="T3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5" s="13" t="str">
        <f>IF(tblSalaries[[#This Row],[Job Type]]=tblSalaries[[#Headers],[Accountant]],tblSalaries[[#This Row],[Salary in USD]],"")</f>
        <v/>
      </c>
      <c r="V315" s="13">
        <f>IF(tblSalaries[[#This Row],[Job Type]]=tblSalaries[[#Headers],[Analyst]],tblSalaries[[#This Row],[Salary in USD]],"")</f>
        <v>10956.982885192734</v>
      </c>
      <c r="W315" s="13" t="str">
        <f>IF(tblSalaries[[#This Row],[Job Type]]=tblSalaries[[#Headers],[Consultant]],tblSalaries[[#This Row],[Salary in USD]],"")</f>
        <v/>
      </c>
      <c r="X315" s="13" t="str">
        <f>IF(tblSalaries[[#This Row],[Job Type]]=tblSalaries[[#Headers],[Controller]],tblSalaries[[#This Row],[Salary in USD]],"")</f>
        <v/>
      </c>
      <c r="Y315" s="13" t="str">
        <f>IF(tblSalaries[[#This Row],[Job Type]]=tblSalaries[[#Headers],[CXO or Top Mgmt.]],tblSalaries[[#This Row],[clean Salary (in local currency)]],"")</f>
        <v/>
      </c>
      <c r="Z315" s="13" t="str">
        <f>IF(tblSalaries[[#This Row],[Job Type]]=tblSalaries[[#Headers],[Engineer]],tblSalaries[[#This Row],[Salary in USD]],"")</f>
        <v/>
      </c>
      <c r="AA315" s="13" t="str">
        <f>IF(tblSalaries[[#This Row],[Job Type]]=tblSalaries[[#Headers],[Manager]],tblSalaries[[#This Row],[Salary in USD]],"")</f>
        <v/>
      </c>
      <c r="AB315" s="13" t="str">
        <f>IF(tblSalaries[[#This Row],[Job Type]]=tblSalaries[[#Headers],[Misc.]],tblSalaries[[#This Row],[Salary in USD]],"")</f>
        <v/>
      </c>
      <c r="AC315" s="13" t="str">
        <f>IF(tblSalaries[[#This Row],[Job Type]]=tblSalaries[[#Headers],[Reporting]],tblSalaries[[#This Row],[Salary in USD]],"")</f>
        <v/>
      </c>
      <c r="AD315" s="13" t="str">
        <f>IF(tblSalaries[[#This Row],[Job Type]]=tblSalaries[[#Headers],[Specialist]],tblSalaries[[#This Row],[Salary in USD]],"")</f>
        <v/>
      </c>
    </row>
    <row r="316" spans="2:30" ht="15" customHeight="1" x14ac:dyDescent="0.25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 s="9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  <c r="N316" t="str">
        <f>IF(tblSalaries[[#This Row],[Years of Experience]]="","",IF(tblSalaries[[#This Row],[Years of Experience]]&lt;=2,1,""))</f>
        <v/>
      </c>
      <c r="O316" t="str">
        <f>IF(tblSalaries[[#This Row],[Years of Experience]]="","",IF(AND(tblSalaries[[#This Row],[Years of Experience]]&gt;2,tblSalaries[[#This Row],[Years of Experience]]&lt;=5),1,""))</f>
        <v/>
      </c>
      <c r="P316" t="str">
        <f>IF(tblSalaries[[#This Row],[Years of Experience]]="","",IF(AND(tblSalaries[[#This Row],[Years of Experience]]&gt;5,tblSalaries[[#This Row],[Years of Experience]]&lt;=10),1,""))</f>
        <v/>
      </c>
      <c r="Q316" t="str">
        <f>IF(tblSalaries[[#This Row],[Years of Experience]]="","",IF(AND(tblSalaries[[#This Row],[Years of Experience]]&gt;10,tblSalaries[[#This Row],[Years of Experience]]&lt;=15),1,""))</f>
        <v/>
      </c>
      <c r="R316" t="str">
        <f>IF(tblSalaries[[#This Row],[Years of Experience]]="","",IF(AND(tblSalaries[[#This Row],[Years of Experience]]&gt;16,tblSalaries[[#This Row],[Years of Experience]]&lt;=20),1,""))</f>
        <v/>
      </c>
      <c r="S316" t="str">
        <f>IF(tblSalaries[[#This Row],[Years of Experience]]="","",IF(tblSalaries[[#This Row],[Years of Experience]]&gt;20,1,""))</f>
        <v/>
      </c>
      <c r="T3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6" s="13" t="str">
        <f>IF(tblSalaries[[#This Row],[Job Type]]=tblSalaries[[#Headers],[Accountant]],tblSalaries[[#This Row],[Salary in USD]],"")</f>
        <v/>
      </c>
      <c r="V316" s="13">
        <f>IF(tblSalaries[[#This Row],[Job Type]]=tblSalaries[[#Headers],[Analyst]],tblSalaries[[#This Row],[Salary in USD]],"")</f>
        <v>70000</v>
      </c>
      <c r="W316" s="13" t="str">
        <f>IF(tblSalaries[[#This Row],[Job Type]]=tblSalaries[[#Headers],[Consultant]],tblSalaries[[#This Row],[Salary in USD]],"")</f>
        <v/>
      </c>
      <c r="X316" s="13" t="str">
        <f>IF(tblSalaries[[#This Row],[Job Type]]=tblSalaries[[#Headers],[Controller]],tblSalaries[[#This Row],[Salary in USD]],"")</f>
        <v/>
      </c>
      <c r="Y316" s="13" t="str">
        <f>IF(tblSalaries[[#This Row],[Job Type]]=tblSalaries[[#Headers],[CXO or Top Mgmt.]],tblSalaries[[#This Row],[clean Salary (in local currency)]],"")</f>
        <v/>
      </c>
      <c r="Z316" s="13" t="str">
        <f>IF(tblSalaries[[#This Row],[Job Type]]=tblSalaries[[#Headers],[Engineer]],tblSalaries[[#This Row],[Salary in USD]],"")</f>
        <v/>
      </c>
      <c r="AA316" s="13" t="str">
        <f>IF(tblSalaries[[#This Row],[Job Type]]=tblSalaries[[#Headers],[Manager]],tblSalaries[[#This Row],[Salary in USD]],"")</f>
        <v/>
      </c>
      <c r="AB316" s="13" t="str">
        <f>IF(tblSalaries[[#This Row],[Job Type]]=tblSalaries[[#Headers],[Misc.]],tblSalaries[[#This Row],[Salary in USD]],"")</f>
        <v/>
      </c>
      <c r="AC316" s="13" t="str">
        <f>IF(tblSalaries[[#This Row],[Job Type]]=tblSalaries[[#Headers],[Reporting]],tblSalaries[[#This Row],[Salary in USD]],"")</f>
        <v/>
      </c>
      <c r="AD316" s="13" t="str">
        <f>IF(tblSalaries[[#This Row],[Job Type]]=tblSalaries[[#Headers],[Specialist]],tblSalaries[[#This Row],[Salary in USD]],"")</f>
        <v/>
      </c>
    </row>
    <row r="317" spans="2:30" ht="15" customHeight="1" x14ac:dyDescent="0.25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 s="9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  <c r="N317" t="str">
        <f>IF(tblSalaries[[#This Row],[Years of Experience]]="","",IF(tblSalaries[[#This Row],[Years of Experience]]&lt;=2,1,""))</f>
        <v/>
      </c>
      <c r="O317" t="str">
        <f>IF(tblSalaries[[#This Row],[Years of Experience]]="","",IF(AND(tblSalaries[[#This Row],[Years of Experience]]&gt;2,tblSalaries[[#This Row],[Years of Experience]]&lt;=5),1,""))</f>
        <v/>
      </c>
      <c r="P317" t="str">
        <f>IF(tblSalaries[[#This Row],[Years of Experience]]="","",IF(AND(tblSalaries[[#This Row],[Years of Experience]]&gt;5,tblSalaries[[#This Row],[Years of Experience]]&lt;=10),1,""))</f>
        <v/>
      </c>
      <c r="Q317" t="str">
        <f>IF(tblSalaries[[#This Row],[Years of Experience]]="","",IF(AND(tblSalaries[[#This Row],[Years of Experience]]&gt;10,tblSalaries[[#This Row],[Years of Experience]]&lt;=15),1,""))</f>
        <v/>
      </c>
      <c r="R317" t="str">
        <f>IF(tblSalaries[[#This Row],[Years of Experience]]="","",IF(AND(tblSalaries[[#This Row],[Years of Experience]]&gt;16,tblSalaries[[#This Row],[Years of Experience]]&lt;=20),1,""))</f>
        <v/>
      </c>
      <c r="S317" t="str">
        <f>IF(tblSalaries[[#This Row],[Years of Experience]]="","",IF(tblSalaries[[#This Row],[Years of Experience]]&gt;20,1,""))</f>
        <v/>
      </c>
      <c r="T3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7" s="13" t="str">
        <f>IF(tblSalaries[[#This Row],[Job Type]]=tblSalaries[[#Headers],[Accountant]],tblSalaries[[#This Row],[Salary in USD]],"")</f>
        <v/>
      </c>
      <c r="V317" s="13" t="str">
        <f>IF(tblSalaries[[#This Row],[Job Type]]=tblSalaries[[#Headers],[Analyst]],tblSalaries[[#This Row],[Salary in USD]],"")</f>
        <v/>
      </c>
      <c r="W317" s="13" t="str">
        <f>IF(tblSalaries[[#This Row],[Job Type]]=tblSalaries[[#Headers],[Consultant]],tblSalaries[[#This Row],[Salary in USD]],"")</f>
        <v/>
      </c>
      <c r="X317" s="13" t="str">
        <f>IF(tblSalaries[[#This Row],[Job Type]]=tblSalaries[[#Headers],[Controller]],tblSalaries[[#This Row],[Salary in USD]],"")</f>
        <v/>
      </c>
      <c r="Y317" s="13" t="str">
        <f>IF(tblSalaries[[#This Row],[Job Type]]=tblSalaries[[#Headers],[CXO or Top Mgmt.]],tblSalaries[[#This Row],[clean Salary (in local currency)]],"")</f>
        <v/>
      </c>
      <c r="Z317" s="13" t="str">
        <f>IF(tblSalaries[[#This Row],[Job Type]]=tblSalaries[[#Headers],[Engineer]],tblSalaries[[#This Row],[Salary in USD]],"")</f>
        <v/>
      </c>
      <c r="AA317" s="13" t="str">
        <f>IF(tblSalaries[[#This Row],[Job Type]]=tblSalaries[[#Headers],[Manager]],tblSalaries[[#This Row],[Salary in USD]],"")</f>
        <v/>
      </c>
      <c r="AB317" s="13" t="str">
        <f>IF(tblSalaries[[#This Row],[Job Type]]=tblSalaries[[#Headers],[Misc.]],tblSalaries[[#This Row],[Salary in USD]],"")</f>
        <v/>
      </c>
      <c r="AC317" s="13" t="str">
        <f>IF(tblSalaries[[#This Row],[Job Type]]=tblSalaries[[#Headers],[Reporting]],tblSalaries[[#This Row],[Salary in USD]],"")</f>
        <v/>
      </c>
      <c r="AD317" s="13">
        <f>IF(tblSalaries[[#This Row],[Job Type]]=tblSalaries[[#Headers],[Specialist]],tblSalaries[[#This Row],[Salary in USD]],"")</f>
        <v>400000</v>
      </c>
    </row>
    <row r="318" spans="2:30" ht="15" customHeight="1" x14ac:dyDescent="0.25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 s="9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  <c r="N318" t="str">
        <f>IF(tblSalaries[[#This Row],[Years of Experience]]="","",IF(tblSalaries[[#This Row],[Years of Experience]]&lt;=2,1,""))</f>
        <v/>
      </c>
      <c r="O318" t="str">
        <f>IF(tblSalaries[[#This Row],[Years of Experience]]="","",IF(AND(tblSalaries[[#This Row],[Years of Experience]]&gt;2,tblSalaries[[#This Row],[Years of Experience]]&lt;=5),1,""))</f>
        <v/>
      </c>
      <c r="P318" t="str">
        <f>IF(tblSalaries[[#This Row],[Years of Experience]]="","",IF(AND(tblSalaries[[#This Row],[Years of Experience]]&gt;5,tblSalaries[[#This Row],[Years of Experience]]&lt;=10),1,""))</f>
        <v/>
      </c>
      <c r="Q318" t="str">
        <f>IF(tblSalaries[[#This Row],[Years of Experience]]="","",IF(AND(tblSalaries[[#This Row],[Years of Experience]]&gt;10,tblSalaries[[#This Row],[Years of Experience]]&lt;=15),1,""))</f>
        <v/>
      </c>
      <c r="R318" t="str">
        <f>IF(tblSalaries[[#This Row],[Years of Experience]]="","",IF(AND(tblSalaries[[#This Row],[Years of Experience]]&gt;16,tblSalaries[[#This Row],[Years of Experience]]&lt;=20),1,""))</f>
        <v/>
      </c>
      <c r="S318" t="str">
        <f>IF(tblSalaries[[#This Row],[Years of Experience]]="","",IF(tblSalaries[[#This Row],[Years of Experience]]&gt;20,1,""))</f>
        <v/>
      </c>
      <c r="T3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8" s="13" t="str">
        <f>IF(tblSalaries[[#This Row],[Job Type]]=tblSalaries[[#Headers],[Accountant]],tblSalaries[[#This Row],[Salary in USD]],"")</f>
        <v/>
      </c>
      <c r="V318" s="13">
        <f>IF(tblSalaries[[#This Row],[Job Type]]=tblSalaries[[#Headers],[Analyst]],tblSalaries[[#This Row],[Salary in USD]],"")</f>
        <v>55000</v>
      </c>
      <c r="W318" s="13" t="str">
        <f>IF(tblSalaries[[#This Row],[Job Type]]=tblSalaries[[#Headers],[Consultant]],tblSalaries[[#This Row],[Salary in USD]],"")</f>
        <v/>
      </c>
      <c r="X318" s="13" t="str">
        <f>IF(tblSalaries[[#This Row],[Job Type]]=tblSalaries[[#Headers],[Controller]],tblSalaries[[#This Row],[Salary in USD]],"")</f>
        <v/>
      </c>
      <c r="Y318" s="13" t="str">
        <f>IF(tblSalaries[[#This Row],[Job Type]]=tblSalaries[[#Headers],[CXO or Top Mgmt.]],tblSalaries[[#This Row],[clean Salary (in local currency)]],"")</f>
        <v/>
      </c>
      <c r="Z318" s="13" t="str">
        <f>IF(tblSalaries[[#This Row],[Job Type]]=tblSalaries[[#Headers],[Engineer]],tblSalaries[[#This Row],[Salary in USD]],"")</f>
        <v/>
      </c>
      <c r="AA318" s="13" t="str">
        <f>IF(tblSalaries[[#This Row],[Job Type]]=tblSalaries[[#Headers],[Manager]],tblSalaries[[#This Row],[Salary in USD]],"")</f>
        <v/>
      </c>
      <c r="AB318" s="13" t="str">
        <f>IF(tblSalaries[[#This Row],[Job Type]]=tblSalaries[[#Headers],[Misc.]],tblSalaries[[#This Row],[Salary in USD]],"")</f>
        <v/>
      </c>
      <c r="AC318" s="13" t="str">
        <f>IF(tblSalaries[[#This Row],[Job Type]]=tblSalaries[[#Headers],[Reporting]],tblSalaries[[#This Row],[Salary in USD]],"")</f>
        <v/>
      </c>
      <c r="AD318" s="13" t="str">
        <f>IF(tblSalaries[[#This Row],[Job Type]]=tblSalaries[[#Headers],[Specialist]],tblSalaries[[#This Row],[Salary in USD]],"")</f>
        <v/>
      </c>
    </row>
    <row r="319" spans="2:30" ht="15" customHeight="1" x14ac:dyDescent="0.25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 s="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  <c r="N319" t="str">
        <f>IF(tblSalaries[[#This Row],[Years of Experience]]="","",IF(tblSalaries[[#This Row],[Years of Experience]]&lt;=2,1,""))</f>
        <v/>
      </c>
      <c r="O319" t="str">
        <f>IF(tblSalaries[[#This Row],[Years of Experience]]="","",IF(AND(tblSalaries[[#This Row],[Years of Experience]]&gt;2,tblSalaries[[#This Row],[Years of Experience]]&lt;=5),1,""))</f>
        <v/>
      </c>
      <c r="P319" t="str">
        <f>IF(tblSalaries[[#This Row],[Years of Experience]]="","",IF(AND(tblSalaries[[#This Row],[Years of Experience]]&gt;5,tblSalaries[[#This Row],[Years of Experience]]&lt;=10),1,""))</f>
        <v/>
      </c>
      <c r="Q319" t="str">
        <f>IF(tblSalaries[[#This Row],[Years of Experience]]="","",IF(AND(tblSalaries[[#This Row],[Years of Experience]]&gt;10,tblSalaries[[#This Row],[Years of Experience]]&lt;=15),1,""))</f>
        <v/>
      </c>
      <c r="R319" t="str">
        <f>IF(tblSalaries[[#This Row],[Years of Experience]]="","",IF(AND(tblSalaries[[#This Row],[Years of Experience]]&gt;16,tblSalaries[[#This Row],[Years of Experience]]&lt;=20),1,""))</f>
        <v/>
      </c>
      <c r="S319" t="str">
        <f>IF(tblSalaries[[#This Row],[Years of Experience]]="","",IF(tblSalaries[[#This Row],[Years of Experience]]&gt;20,1,""))</f>
        <v/>
      </c>
      <c r="T3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19" s="13" t="str">
        <f>IF(tblSalaries[[#This Row],[Job Type]]=tblSalaries[[#Headers],[Accountant]],tblSalaries[[#This Row],[Salary in USD]],"")</f>
        <v/>
      </c>
      <c r="V319" s="13">
        <f>IF(tblSalaries[[#This Row],[Job Type]]=tblSalaries[[#Headers],[Analyst]],tblSalaries[[#This Row],[Salary in USD]],"")</f>
        <v>60000</v>
      </c>
      <c r="W319" s="13" t="str">
        <f>IF(tblSalaries[[#This Row],[Job Type]]=tblSalaries[[#Headers],[Consultant]],tblSalaries[[#This Row],[Salary in USD]],"")</f>
        <v/>
      </c>
      <c r="X319" s="13" t="str">
        <f>IF(tblSalaries[[#This Row],[Job Type]]=tblSalaries[[#Headers],[Controller]],tblSalaries[[#This Row],[Salary in USD]],"")</f>
        <v/>
      </c>
      <c r="Y319" s="13" t="str">
        <f>IF(tblSalaries[[#This Row],[Job Type]]=tblSalaries[[#Headers],[CXO or Top Mgmt.]],tblSalaries[[#This Row],[clean Salary (in local currency)]],"")</f>
        <v/>
      </c>
      <c r="Z319" s="13" t="str">
        <f>IF(tblSalaries[[#This Row],[Job Type]]=tblSalaries[[#Headers],[Engineer]],tblSalaries[[#This Row],[Salary in USD]],"")</f>
        <v/>
      </c>
      <c r="AA319" s="13" t="str">
        <f>IF(tblSalaries[[#This Row],[Job Type]]=tblSalaries[[#Headers],[Manager]],tblSalaries[[#This Row],[Salary in USD]],"")</f>
        <v/>
      </c>
      <c r="AB319" s="13" t="str">
        <f>IF(tblSalaries[[#This Row],[Job Type]]=tblSalaries[[#Headers],[Misc.]],tblSalaries[[#This Row],[Salary in USD]],"")</f>
        <v/>
      </c>
      <c r="AC319" s="13" t="str">
        <f>IF(tblSalaries[[#This Row],[Job Type]]=tblSalaries[[#Headers],[Reporting]],tblSalaries[[#This Row],[Salary in USD]],"")</f>
        <v/>
      </c>
      <c r="AD319" s="13" t="str">
        <f>IF(tblSalaries[[#This Row],[Job Type]]=tblSalaries[[#Headers],[Specialist]],tblSalaries[[#This Row],[Salary in USD]],"")</f>
        <v/>
      </c>
    </row>
    <row r="320" spans="2:30" ht="15" customHeight="1" x14ac:dyDescent="0.25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 s="9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  <c r="N320" t="str">
        <f>IF(tblSalaries[[#This Row],[Years of Experience]]="","",IF(tblSalaries[[#This Row],[Years of Experience]]&lt;=2,1,""))</f>
        <v/>
      </c>
      <c r="O320" t="str">
        <f>IF(tblSalaries[[#This Row],[Years of Experience]]="","",IF(AND(tblSalaries[[#This Row],[Years of Experience]]&gt;2,tblSalaries[[#This Row],[Years of Experience]]&lt;=5),1,""))</f>
        <v/>
      </c>
      <c r="P320" t="str">
        <f>IF(tblSalaries[[#This Row],[Years of Experience]]="","",IF(AND(tblSalaries[[#This Row],[Years of Experience]]&gt;5,tblSalaries[[#This Row],[Years of Experience]]&lt;=10),1,""))</f>
        <v/>
      </c>
      <c r="Q320" t="str">
        <f>IF(tblSalaries[[#This Row],[Years of Experience]]="","",IF(AND(tblSalaries[[#This Row],[Years of Experience]]&gt;10,tblSalaries[[#This Row],[Years of Experience]]&lt;=15),1,""))</f>
        <v/>
      </c>
      <c r="R320" t="str">
        <f>IF(tblSalaries[[#This Row],[Years of Experience]]="","",IF(AND(tblSalaries[[#This Row],[Years of Experience]]&gt;16,tblSalaries[[#This Row],[Years of Experience]]&lt;=20),1,""))</f>
        <v/>
      </c>
      <c r="S320" t="str">
        <f>IF(tblSalaries[[#This Row],[Years of Experience]]="","",IF(tblSalaries[[#This Row],[Years of Experience]]&gt;20,1,""))</f>
        <v/>
      </c>
      <c r="T3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0" s="13" t="str">
        <f>IF(tblSalaries[[#This Row],[Job Type]]=tblSalaries[[#Headers],[Accountant]],tblSalaries[[#This Row],[Salary in USD]],"")</f>
        <v/>
      </c>
      <c r="V320" s="13" t="str">
        <f>IF(tblSalaries[[#This Row],[Job Type]]=tblSalaries[[#Headers],[Analyst]],tblSalaries[[#This Row],[Salary in USD]],"")</f>
        <v/>
      </c>
      <c r="W320" s="13" t="str">
        <f>IF(tblSalaries[[#This Row],[Job Type]]=tblSalaries[[#Headers],[Consultant]],tblSalaries[[#This Row],[Salary in USD]],"")</f>
        <v/>
      </c>
      <c r="X320" s="13" t="str">
        <f>IF(tblSalaries[[#This Row],[Job Type]]=tblSalaries[[#Headers],[Controller]],tblSalaries[[#This Row],[Salary in USD]],"")</f>
        <v/>
      </c>
      <c r="Y320" s="13" t="str">
        <f>IF(tblSalaries[[#This Row],[Job Type]]=tblSalaries[[#Headers],[CXO or Top Mgmt.]],tblSalaries[[#This Row],[clean Salary (in local currency)]],"")</f>
        <v/>
      </c>
      <c r="Z320" s="13" t="str">
        <f>IF(tblSalaries[[#This Row],[Job Type]]=tblSalaries[[#Headers],[Engineer]],tblSalaries[[#This Row],[Salary in USD]],"")</f>
        <v/>
      </c>
      <c r="AA320" s="13">
        <f>IF(tblSalaries[[#This Row],[Job Type]]=tblSalaries[[#Headers],[Manager]],tblSalaries[[#This Row],[Salary in USD]],"")</f>
        <v>17807.916687442568</v>
      </c>
      <c r="AB320" s="13" t="str">
        <f>IF(tblSalaries[[#This Row],[Job Type]]=tblSalaries[[#Headers],[Misc.]],tblSalaries[[#This Row],[Salary in USD]],"")</f>
        <v/>
      </c>
      <c r="AC320" s="13" t="str">
        <f>IF(tblSalaries[[#This Row],[Job Type]]=tblSalaries[[#Headers],[Reporting]],tblSalaries[[#This Row],[Salary in USD]],"")</f>
        <v/>
      </c>
      <c r="AD320" s="13" t="str">
        <f>IF(tblSalaries[[#This Row],[Job Type]]=tblSalaries[[#Headers],[Specialist]],tblSalaries[[#This Row],[Salary in USD]],"")</f>
        <v/>
      </c>
    </row>
    <row r="321" spans="2:30" ht="15" customHeight="1" x14ac:dyDescent="0.25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 s="9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  <c r="N321" t="str">
        <f>IF(tblSalaries[[#This Row],[Years of Experience]]="","",IF(tblSalaries[[#This Row],[Years of Experience]]&lt;=2,1,""))</f>
        <v/>
      </c>
      <c r="O321" t="str">
        <f>IF(tblSalaries[[#This Row],[Years of Experience]]="","",IF(AND(tblSalaries[[#This Row],[Years of Experience]]&gt;2,tblSalaries[[#This Row],[Years of Experience]]&lt;=5),1,""))</f>
        <v/>
      </c>
      <c r="P321" t="str">
        <f>IF(tblSalaries[[#This Row],[Years of Experience]]="","",IF(AND(tblSalaries[[#This Row],[Years of Experience]]&gt;5,tblSalaries[[#This Row],[Years of Experience]]&lt;=10),1,""))</f>
        <v/>
      </c>
      <c r="Q321" t="str">
        <f>IF(tblSalaries[[#This Row],[Years of Experience]]="","",IF(AND(tblSalaries[[#This Row],[Years of Experience]]&gt;10,tblSalaries[[#This Row],[Years of Experience]]&lt;=15),1,""))</f>
        <v/>
      </c>
      <c r="R321" t="str">
        <f>IF(tblSalaries[[#This Row],[Years of Experience]]="","",IF(AND(tblSalaries[[#This Row],[Years of Experience]]&gt;16,tblSalaries[[#This Row],[Years of Experience]]&lt;=20),1,""))</f>
        <v/>
      </c>
      <c r="S321" t="str">
        <f>IF(tblSalaries[[#This Row],[Years of Experience]]="","",IF(tblSalaries[[#This Row],[Years of Experience]]&gt;20,1,""))</f>
        <v/>
      </c>
      <c r="T3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1" s="13" t="str">
        <f>IF(tblSalaries[[#This Row],[Job Type]]=tblSalaries[[#Headers],[Accountant]],tblSalaries[[#This Row],[Salary in USD]],"")</f>
        <v/>
      </c>
      <c r="V321" s="13" t="str">
        <f>IF(tblSalaries[[#This Row],[Job Type]]=tblSalaries[[#Headers],[Analyst]],tblSalaries[[#This Row],[Salary in USD]],"")</f>
        <v/>
      </c>
      <c r="W321" s="13" t="str">
        <f>IF(tblSalaries[[#This Row],[Job Type]]=tblSalaries[[#Headers],[Consultant]],tblSalaries[[#This Row],[Salary in USD]],"")</f>
        <v/>
      </c>
      <c r="X321" s="13" t="str">
        <f>IF(tblSalaries[[#This Row],[Job Type]]=tblSalaries[[#Headers],[Controller]],tblSalaries[[#This Row],[Salary in USD]],"")</f>
        <v/>
      </c>
      <c r="Y321" s="13" t="str">
        <f>IF(tblSalaries[[#This Row],[Job Type]]=tblSalaries[[#Headers],[CXO or Top Mgmt.]],tblSalaries[[#This Row],[clean Salary (in local currency)]],"")</f>
        <v/>
      </c>
      <c r="Z321" s="13" t="str">
        <f>IF(tblSalaries[[#This Row],[Job Type]]=tblSalaries[[#Headers],[Engineer]],tblSalaries[[#This Row],[Salary in USD]],"")</f>
        <v/>
      </c>
      <c r="AA321" s="13">
        <f>IF(tblSalaries[[#This Row],[Job Type]]=tblSalaries[[#Headers],[Manager]],tblSalaries[[#This Row],[Salary in USD]],"")</f>
        <v>40000</v>
      </c>
      <c r="AB321" s="13" t="str">
        <f>IF(tblSalaries[[#This Row],[Job Type]]=tblSalaries[[#Headers],[Misc.]],tblSalaries[[#This Row],[Salary in USD]],"")</f>
        <v/>
      </c>
      <c r="AC321" s="13" t="str">
        <f>IF(tblSalaries[[#This Row],[Job Type]]=tblSalaries[[#Headers],[Reporting]],tblSalaries[[#This Row],[Salary in USD]],"")</f>
        <v/>
      </c>
      <c r="AD321" s="13" t="str">
        <f>IF(tblSalaries[[#This Row],[Job Type]]=tblSalaries[[#Headers],[Specialist]],tblSalaries[[#This Row],[Salary in USD]],"")</f>
        <v/>
      </c>
    </row>
    <row r="322" spans="2:30" ht="15" customHeight="1" x14ac:dyDescent="0.25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 s="9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  <c r="N322" t="str">
        <f>IF(tblSalaries[[#This Row],[Years of Experience]]="","",IF(tblSalaries[[#This Row],[Years of Experience]]&lt;=2,1,""))</f>
        <v/>
      </c>
      <c r="O322" t="str">
        <f>IF(tblSalaries[[#This Row],[Years of Experience]]="","",IF(AND(tblSalaries[[#This Row],[Years of Experience]]&gt;2,tblSalaries[[#This Row],[Years of Experience]]&lt;=5),1,""))</f>
        <v/>
      </c>
      <c r="P322" t="str">
        <f>IF(tblSalaries[[#This Row],[Years of Experience]]="","",IF(AND(tblSalaries[[#This Row],[Years of Experience]]&gt;5,tblSalaries[[#This Row],[Years of Experience]]&lt;=10),1,""))</f>
        <v/>
      </c>
      <c r="Q322" t="str">
        <f>IF(tblSalaries[[#This Row],[Years of Experience]]="","",IF(AND(tblSalaries[[#This Row],[Years of Experience]]&gt;10,tblSalaries[[#This Row],[Years of Experience]]&lt;=15),1,""))</f>
        <v/>
      </c>
      <c r="R322" t="str">
        <f>IF(tblSalaries[[#This Row],[Years of Experience]]="","",IF(AND(tblSalaries[[#This Row],[Years of Experience]]&gt;16,tblSalaries[[#This Row],[Years of Experience]]&lt;=20),1,""))</f>
        <v/>
      </c>
      <c r="S322" t="str">
        <f>IF(tblSalaries[[#This Row],[Years of Experience]]="","",IF(tblSalaries[[#This Row],[Years of Experience]]&gt;20,1,""))</f>
        <v/>
      </c>
      <c r="T3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2" s="13" t="str">
        <f>IF(tblSalaries[[#This Row],[Job Type]]=tblSalaries[[#Headers],[Accountant]],tblSalaries[[#This Row],[Salary in USD]],"")</f>
        <v/>
      </c>
      <c r="V322" s="13">
        <f>IF(tblSalaries[[#This Row],[Job Type]]=tblSalaries[[#Headers],[Analyst]],tblSalaries[[#This Row],[Salary in USD]],"")</f>
        <v>137500</v>
      </c>
      <c r="W322" s="13" t="str">
        <f>IF(tblSalaries[[#This Row],[Job Type]]=tblSalaries[[#Headers],[Consultant]],tblSalaries[[#This Row],[Salary in USD]],"")</f>
        <v/>
      </c>
      <c r="X322" s="13" t="str">
        <f>IF(tblSalaries[[#This Row],[Job Type]]=tblSalaries[[#Headers],[Controller]],tblSalaries[[#This Row],[Salary in USD]],"")</f>
        <v/>
      </c>
      <c r="Y322" s="13" t="str">
        <f>IF(tblSalaries[[#This Row],[Job Type]]=tblSalaries[[#Headers],[CXO or Top Mgmt.]],tblSalaries[[#This Row],[clean Salary (in local currency)]],"")</f>
        <v/>
      </c>
      <c r="Z322" s="13" t="str">
        <f>IF(tblSalaries[[#This Row],[Job Type]]=tblSalaries[[#Headers],[Engineer]],tblSalaries[[#This Row],[Salary in USD]],"")</f>
        <v/>
      </c>
      <c r="AA322" s="13" t="str">
        <f>IF(tblSalaries[[#This Row],[Job Type]]=tblSalaries[[#Headers],[Manager]],tblSalaries[[#This Row],[Salary in USD]],"")</f>
        <v/>
      </c>
      <c r="AB322" s="13" t="str">
        <f>IF(tblSalaries[[#This Row],[Job Type]]=tblSalaries[[#Headers],[Misc.]],tblSalaries[[#This Row],[Salary in USD]],"")</f>
        <v/>
      </c>
      <c r="AC322" s="13" t="str">
        <f>IF(tblSalaries[[#This Row],[Job Type]]=tblSalaries[[#Headers],[Reporting]],tblSalaries[[#This Row],[Salary in USD]],"")</f>
        <v/>
      </c>
      <c r="AD322" s="13" t="str">
        <f>IF(tblSalaries[[#This Row],[Job Type]]=tblSalaries[[#Headers],[Specialist]],tblSalaries[[#This Row],[Salary in USD]],"")</f>
        <v/>
      </c>
    </row>
    <row r="323" spans="2:30" ht="15" customHeight="1" x14ac:dyDescent="0.25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 s="9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Brazil</v>
      </c>
      <c r="L323" t="s">
        <v>13</v>
      </c>
      <c r="N323" t="str">
        <f>IF(tblSalaries[[#This Row],[Years of Experience]]="","",IF(tblSalaries[[#This Row],[Years of Experience]]&lt;=2,1,""))</f>
        <v/>
      </c>
      <c r="O323" t="str">
        <f>IF(tblSalaries[[#This Row],[Years of Experience]]="","",IF(AND(tblSalaries[[#This Row],[Years of Experience]]&gt;2,tblSalaries[[#This Row],[Years of Experience]]&lt;=5),1,""))</f>
        <v/>
      </c>
      <c r="P323" t="str">
        <f>IF(tblSalaries[[#This Row],[Years of Experience]]="","",IF(AND(tblSalaries[[#This Row],[Years of Experience]]&gt;5,tblSalaries[[#This Row],[Years of Experience]]&lt;=10),1,""))</f>
        <v/>
      </c>
      <c r="Q323" t="str">
        <f>IF(tblSalaries[[#This Row],[Years of Experience]]="","",IF(AND(tblSalaries[[#This Row],[Years of Experience]]&gt;10,tblSalaries[[#This Row],[Years of Experience]]&lt;=15),1,""))</f>
        <v/>
      </c>
      <c r="R323" t="str">
        <f>IF(tblSalaries[[#This Row],[Years of Experience]]="","",IF(AND(tblSalaries[[#This Row],[Years of Experience]]&gt;16,tblSalaries[[#This Row],[Years of Experience]]&lt;=20),1,""))</f>
        <v/>
      </c>
      <c r="S323" t="str">
        <f>IF(tblSalaries[[#This Row],[Years of Experience]]="","",IF(tblSalaries[[#This Row],[Years of Experience]]&gt;20,1,""))</f>
        <v/>
      </c>
      <c r="T3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3" s="13" t="str">
        <f>IF(tblSalaries[[#This Row],[Job Type]]=tblSalaries[[#Headers],[Accountant]],tblSalaries[[#This Row],[Salary in USD]],"")</f>
        <v/>
      </c>
      <c r="V323" s="13">
        <f>IF(tblSalaries[[#This Row],[Job Type]]=tblSalaries[[#Headers],[Analyst]],tblSalaries[[#This Row],[Salary in USD]],"")</f>
        <v>4545</v>
      </c>
      <c r="W323" s="13" t="str">
        <f>IF(tblSalaries[[#This Row],[Job Type]]=tblSalaries[[#Headers],[Consultant]],tblSalaries[[#This Row],[Salary in USD]],"")</f>
        <v/>
      </c>
      <c r="X323" s="13" t="str">
        <f>IF(tblSalaries[[#This Row],[Job Type]]=tblSalaries[[#Headers],[Controller]],tblSalaries[[#This Row],[Salary in USD]],"")</f>
        <v/>
      </c>
      <c r="Y323" s="13" t="str">
        <f>IF(tblSalaries[[#This Row],[Job Type]]=tblSalaries[[#Headers],[CXO or Top Mgmt.]],tblSalaries[[#This Row],[clean Salary (in local currency)]],"")</f>
        <v/>
      </c>
      <c r="Z323" s="13" t="str">
        <f>IF(tblSalaries[[#This Row],[Job Type]]=tblSalaries[[#Headers],[Engineer]],tblSalaries[[#This Row],[Salary in USD]],"")</f>
        <v/>
      </c>
      <c r="AA323" s="13" t="str">
        <f>IF(tblSalaries[[#This Row],[Job Type]]=tblSalaries[[#Headers],[Manager]],tblSalaries[[#This Row],[Salary in USD]],"")</f>
        <v/>
      </c>
      <c r="AB323" s="13" t="str">
        <f>IF(tblSalaries[[#This Row],[Job Type]]=tblSalaries[[#Headers],[Misc.]],tblSalaries[[#This Row],[Salary in USD]],"")</f>
        <v/>
      </c>
      <c r="AC323" s="13" t="str">
        <f>IF(tblSalaries[[#This Row],[Job Type]]=tblSalaries[[#Headers],[Reporting]],tblSalaries[[#This Row],[Salary in USD]],"")</f>
        <v/>
      </c>
      <c r="AD323" s="13" t="str">
        <f>IF(tblSalaries[[#This Row],[Job Type]]=tblSalaries[[#Headers],[Specialist]],tblSalaries[[#This Row],[Salary in USD]],"")</f>
        <v/>
      </c>
    </row>
    <row r="324" spans="2:30" ht="15" customHeight="1" x14ac:dyDescent="0.25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 s="9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  <c r="N324" t="str">
        <f>IF(tblSalaries[[#This Row],[Years of Experience]]="","",IF(tblSalaries[[#This Row],[Years of Experience]]&lt;=2,1,""))</f>
        <v/>
      </c>
      <c r="O324" t="str">
        <f>IF(tblSalaries[[#This Row],[Years of Experience]]="","",IF(AND(tblSalaries[[#This Row],[Years of Experience]]&gt;2,tblSalaries[[#This Row],[Years of Experience]]&lt;=5),1,""))</f>
        <v/>
      </c>
      <c r="P324" t="str">
        <f>IF(tblSalaries[[#This Row],[Years of Experience]]="","",IF(AND(tblSalaries[[#This Row],[Years of Experience]]&gt;5,tblSalaries[[#This Row],[Years of Experience]]&lt;=10),1,""))</f>
        <v/>
      </c>
      <c r="Q324" t="str">
        <f>IF(tblSalaries[[#This Row],[Years of Experience]]="","",IF(AND(tblSalaries[[#This Row],[Years of Experience]]&gt;10,tblSalaries[[#This Row],[Years of Experience]]&lt;=15),1,""))</f>
        <v/>
      </c>
      <c r="R324" t="str">
        <f>IF(tblSalaries[[#This Row],[Years of Experience]]="","",IF(AND(tblSalaries[[#This Row],[Years of Experience]]&gt;16,tblSalaries[[#This Row],[Years of Experience]]&lt;=20),1,""))</f>
        <v/>
      </c>
      <c r="S324" t="str">
        <f>IF(tblSalaries[[#This Row],[Years of Experience]]="","",IF(tblSalaries[[#This Row],[Years of Experience]]&gt;20,1,""))</f>
        <v/>
      </c>
      <c r="T3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4" s="13" t="str">
        <f>IF(tblSalaries[[#This Row],[Job Type]]=tblSalaries[[#Headers],[Accountant]],tblSalaries[[#This Row],[Salary in USD]],"")</f>
        <v/>
      </c>
      <c r="V324" s="13">
        <f>IF(tblSalaries[[#This Row],[Job Type]]=tblSalaries[[#Headers],[Analyst]],tblSalaries[[#This Row],[Salary in USD]],"")</f>
        <v>45709.169889951241</v>
      </c>
      <c r="W324" s="13" t="str">
        <f>IF(tblSalaries[[#This Row],[Job Type]]=tblSalaries[[#Headers],[Consultant]],tblSalaries[[#This Row],[Salary in USD]],"")</f>
        <v/>
      </c>
      <c r="X324" s="13" t="str">
        <f>IF(tblSalaries[[#This Row],[Job Type]]=tblSalaries[[#Headers],[Controller]],tblSalaries[[#This Row],[Salary in USD]],"")</f>
        <v/>
      </c>
      <c r="Y324" s="13" t="str">
        <f>IF(tblSalaries[[#This Row],[Job Type]]=tblSalaries[[#Headers],[CXO or Top Mgmt.]],tblSalaries[[#This Row],[clean Salary (in local currency)]],"")</f>
        <v/>
      </c>
      <c r="Z324" s="13" t="str">
        <f>IF(tblSalaries[[#This Row],[Job Type]]=tblSalaries[[#Headers],[Engineer]],tblSalaries[[#This Row],[Salary in USD]],"")</f>
        <v/>
      </c>
      <c r="AA324" s="13" t="str">
        <f>IF(tblSalaries[[#This Row],[Job Type]]=tblSalaries[[#Headers],[Manager]],tblSalaries[[#This Row],[Salary in USD]],"")</f>
        <v/>
      </c>
      <c r="AB324" s="13" t="str">
        <f>IF(tblSalaries[[#This Row],[Job Type]]=tblSalaries[[#Headers],[Misc.]],tblSalaries[[#This Row],[Salary in USD]],"")</f>
        <v/>
      </c>
      <c r="AC324" s="13" t="str">
        <f>IF(tblSalaries[[#This Row],[Job Type]]=tblSalaries[[#Headers],[Reporting]],tblSalaries[[#This Row],[Salary in USD]],"")</f>
        <v/>
      </c>
      <c r="AD324" s="13" t="str">
        <f>IF(tblSalaries[[#This Row],[Job Type]]=tblSalaries[[#Headers],[Specialist]],tblSalaries[[#This Row],[Salary in USD]],"")</f>
        <v/>
      </c>
    </row>
    <row r="325" spans="2:30" ht="15" customHeight="1" x14ac:dyDescent="0.25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 s="9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  <c r="N325" t="str">
        <f>IF(tblSalaries[[#This Row],[Years of Experience]]="","",IF(tblSalaries[[#This Row],[Years of Experience]]&lt;=2,1,""))</f>
        <v/>
      </c>
      <c r="O325" t="str">
        <f>IF(tblSalaries[[#This Row],[Years of Experience]]="","",IF(AND(tblSalaries[[#This Row],[Years of Experience]]&gt;2,tblSalaries[[#This Row],[Years of Experience]]&lt;=5),1,""))</f>
        <v/>
      </c>
      <c r="P325" t="str">
        <f>IF(tblSalaries[[#This Row],[Years of Experience]]="","",IF(AND(tblSalaries[[#This Row],[Years of Experience]]&gt;5,tblSalaries[[#This Row],[Years of Experience]]&lt;=10),1,""))</f>
        <v/>
      </c>
      <c r="Q325" t="str">
        <f>IF(tblSalaries[[#This Row],[Years of Experience]]="","",IF(AND(tblSalaries[[#This Row],[Years of Experience]]&gt;10,tblSalaries[[#This Row],[Years of Experience]]&lt;=15),1,""))</f>
        <v/>
      </c>
      <c r="R325" t="str">
        <f>IF(tblSalaries[[#This Row],[Years of Experience]]="","",IF(AND(tblSalaries[[#This Row],[Years of Experience]]&gt;16,tblSalaries[[#This Row],[Years of Experience]]&lt;=20),1,""))</f>
        <v/>
      </c>
      <c r="S325" t="str">
        <f>IF(tblSalaries[[#This Row],[Years of Experience]]="","",IF(tblSalaries[[#This Row],[Years of Experience]]&gt;20,1,""))</f>
        <v/>
      </c>
      <c r="T3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5" s="13" t="str">
        <f>IF(tblSalaries[[#This Row],[Job Type]]=tblSalaries[[#Headers],[Accountant]],tblSalaries[[#This Row],[Salary in USD]],"")</f>
        <v/>
      </c>
      <c r="V325" s="13" t="str">
        <f>IF(tblSalaries[[#This Row],[Job Type]]=tblSalaries[[#Headers],[Analyst]],tblSalaries[[#This Row],[Salary in USD]],"")</f>
        <v/>
      </c>
      <c r="W325" s="13" t="str">
        <f>IF(tblSalaries[[#This Row],[Job Type]]=tblSalaries[[#Headers],[Consultant]],tblSalaries[[#This Row],[Salary in USD]],"")</f>
        <v/>
      </c>
      <c r="X325" s="13" t="str">
        <f>IF(tblSalaries[[#This Row],[Job Type]]=tblSalaries[[#Headers],[Controller]],tblSalaries[[#This Row],[Salary in USD]],"")</f>
        <v/>
      </c>
      <c r="Y325" s="13" t="str">
        <f>IF(tblSalaries[[#This Row],[Job Type]]=tblSalaries[[#Headers],[CXO or Top Mgmt.]],tblSalaries[[#This Row],[clean Salary (in local currency)]],"")</f>
        <v/>
      </c>
      <c r="Z325" s="13" t="str">
        <f>IF(tblSalaries[[#This Row],[Job Type]]=tblSalaries[[#Headers],[Engineer]],tblSalaries[[#This Row],[Salary in USD]],"")</f>
        <v/>
      </c>
      <c r="AA325" s="13" t="str">
        <f>IF(tblSalaries[[#This Row],[Job Type]]=tblSalaries[[#Headers],[Manager]],tblSalaries[[#This Row],[Salary in USD]],"")</f>
        <v/>
      </c>
      <c r="AB325" s="13" t="str">
        <f>IF(tblSalaries[[#This Row],[Job Type]]=tblSalaries[[#Headers],[Misc.]],tblSalaries[[#This Row],[Salary in USD]],"")</f>
        <v/>
      </c>
      <c r="AC325" s="13" t="str">
        <f>IF(tblSalaries[[#This Row],[Job Type]]=tblSalaries[[#Headers],[Reporting]],tblSalaries[[#This Row],[Salary in USD]],"")</f>
        <v/>
      </c>
      <c r="AD325" s="13">
        <f>IF(tblSalaries[[#This Row],[Job Type]]=tblSalaries[[#Headers],[Specialist]],tblSalaries[[#This Row],[Salary in USD]],"")</f>
        <v>47000</v>
      </c>
    </row>
    <row r="326" spans="2:30" ht="15" customHeight="1" x14ac:dyDescent="0.25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 s="9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  <c r="N326" t="str">
        <f>IF(tblSalaries[[#This Row],[Years of Experience]]="","",IF(tblSalaries[[#This Row],[Years of Experience]]&lt;=2,1,""))</f>
        <v/>
      </c>
      <c r="O326" t="str">
        <f>IF(tblSalaries[[#This Row],[Years of Experience]]="","",IF(AND(tblSalaries[[#This Row],[Years of Experience]]&gt;2,tblSalaries[[#This Row],[Years of Experience]]&lt;=5),1,""))</f>
        <v/>
      </c>
      <c r="P326" t="str">
        <f>IF(tblSalaries[[#This Row],[Years of Experience]]="","",IF(AND(tblSalaries[[#This Row],[Years of Experience]]&gt;5,tblSalaries[[#This Row],[Years of Experience]]&lt;=10),1,""))</f>
        <v/>
      </c>
      <c r="Q326" t="str">
        <f>IF(tblSalaries[[#This Row],[Years of Experience]]="","",IF(AND(tblSalaries[[#This Row],[Years of Experience]]&gt;10,tblSalaries[[#This Row],[Years of Experience]]&lt;=15),1,""))</f>
        <v/>
      </c>
      <c r="R326" t="str">
        <f>IF(tblSalaries[[#This Row],[Years of Experience]]="","",IF(AND(tblSalaries[[#This Row],[Years of Experience]]&gt;16,tblSalaries[[#This Row],[Years of Experience]]&lt;=20),1,""))</f>
        <v/>
      </c>
      <c r="S326" t="str">
        <f>IF(tblSalaries[[#This Row],[Years of Experience]]="","",IF(tblSalaries[[#This Row],[Years of Experience]]&gt;20,1,""))</f>
        <v/>
      </c>
      <c r="T3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6" s="13" t="str">
        <f>IF(tblSalaries[[#This Row],[Job Type]]=tblSalaries[[#Headers],[Accountant]],tblSalaries[[#This Row],[Salary in USD]],"")</f>
        <v/>
      </c>
      <c r="V326" s="13">
        <f>IF(tblSalaries[[#This Row],[Job Type]]=tblSalaries[[#Headers],[Analyst]],tblSalaries[[#This Row],[Salary in USD]],"")</f>
        <v>65000</v>
      </c>
      <c r="W326" s="13" t="str">
        <f>IF(tblSalaries[[#This Row],[Job Type]]=tblSalaries[[#Headers],[Consultant]],tblSalaries[[#This Row],[Salary in USD]],"")</f>
        <v/>
      </c>
      <c r="X326" s="13" t="str">
        <f>IF(tblSalaries[[#This Row],[Job Type]]=tblSalaries[[#Headers],[Controller]],tblSalaries[[#This Row],[Salary in USD]],"")</f>
        <v/>
      </c>
      <c r="Y326" s="13" t="str">
        <f>IF(tblSalaries[[#This Row],[Job Type]]=tblSalaries[[#Headers],[CXO or Top Mgmt.]],tblSalaries[[#This Row],[clean Salary (in local currency)]],"")</f>
        <v/>
      </c>
      <c r="Z326" s="13" t="str">
        <f>IF(tblSalaries[[#This Row],[Job Type]]=tblSalaries[[#Headers],[Engineer]],tblSalaries[[#This Row],[Salary in USD]],"")</f>
        <v/>
      </c>
      <c r="AA326" s="13" t="str">
        <f>IF(tblSalaries[[#This Row],[Job Type]]=tblSalaries[[#Headers],[Manager]],tblSalaries[[#This Row],[Salary in USD]],"")</f>
        <v/>
      </c>
      <c r="AB326" s="13" t="str">
        <f>IF(tblSalaries[[#This Row],[Job Type]]=tblSalaries[[#Headers],[Misc.]],tblSalaries[[#This Row],[Salary in USD]],"")</f>
        <v/>
      </c>
      <c r="AC326" s="13" t="str">
        <f>IF(tblSalaries[[#This Row],[Job Type]]=tblSalaries[[#Headers],[Reporting]],tblSalaries[[#This Row],[Salary in USD]],"")</f>
        <v/>
      </c>
      <c r="AD326" s="13" t="str">
        <f>IF(tblSalaries[[#This Row],[Job Type]]=tblSalaries[[#Headers],[Specialist]],tblSalaries[[#This Row],[Salary in USD]],"")</f>
        <v/>
      </c>
    </row>
    <row r="327" spans="2:30" ht="15" customHeight="1" x14ac:dyDescent="0.25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 s="9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3999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  <c r="N327" t="str">
        <f>IF(tblSalaries[[#This Row],[Years of Experience]]="","",IF(tblSalaries[[#This Row],[Years of Experience]]&lt;=2,1,""))</f>
        <v/>
      </c>
      <c r="O327" t="str">
        <f>IF(tblSalaries[[#This Row],[Years of Experience]]="","",IF(AND(tblSalaries[[#This Row],[Years of Experience]]&gt;2,tblSalaries[[#This Row],[Years of Experience]]&lt;=5),1,""))</f>
        <v/>
      </c>
      <c r="P327" t="str">
        <f>IF(tblSalaries[[#This Row],[Years of Experience]]="","",IF(AND(tblSalaries[[#This Row],[Years of Experience]]&gt;5,tblSalaries[[#This Row],[Years of Experience]]&lt;=10),1,""))</f>
        <v/>
      </c>
      <c r="Q327" t="str">
        <f>IF(tblSalaries[[#This Row],[Years of Experience]]="","",IF(AND(tblSalaries[[#This Row],[Years of Experience]]&gt;10,tblSalaries[[#This Row],[Years of Experience]]&lt;=15),1,""))</f>
        <v/>
      </c>
      <c r="R327" t="str">
        <f>IF(tblSalaries[[#This Row],[Years of Experience]]="","",IF(AND(tblSalaries[[#This Row],[Years of Experience]]&gt;16,tblSalaries[[#This Row],[Years of Experience]]&lt;=20),1,""))</f>
        <v/>
      </c>
      <c r="S327" t="str">
        <f>IF(tblSalaries[[#This Row],[Years of Experience]]="","",IF(tblSalaries[[#This Row],[Years of Experience]]&gt;20,1,""))</f>
        <v/>
      </c>
      <c r="T3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7" s="13" t="str">
        <f>IF(tblSalaries[[#This Row],[Job Type]]=tblSalaries[[#Headers],[Accountant]],tblSalaries[[#This Row],[Salary in USD]],"")</f>
        <v/>
      </c>
      <c r="V327" s="13" t="str">
        <f>IF(tblSalaries[[#This Row],[Job Type]]=tblSalaries[[#Headers],[Analyst]],tblSalaries[[#This Row],[Salary in USD]],"")</f>
        <v/>
      </c>
      <c r="W327" s="13" t="str">
        <f>IF(tblSalaries[[#This Row],[Job Type]]=tblSalaries[[#Headers],[Consultant]],tblSalaries[[#This Row],[Salary in USD]],"")</f>
        <v/>
      </c>
      <c r="X327" s="13" t="str">
        <f>IF(tblSalaries[[#This Row],[Job Type]]=tblSalaries[[#Headers],[Controller]],tblSalaries[[#This Row],[Salary in USD]],"")</f>
        <v/>
      </c>
      <c r="Y327" s="13" t="str">
        <f>IF(tblSalaries[[#This Row],[Job Type]]=tblSalaries[[#Headers],[CXO or Top Mgmt.]],tblSalaries[[#This Row],[clean Salary (in local currency)]],"")</f>
        <v/>
      </c>
      <c r="Z327" s="13" t="str">
        <f>IF(tblSalaries[[#This Row],[Job Type]]=tblSalaries[[#Headers],[Engineer]],tblSalaries[[#This Row],[Salary in USD]],"")</f>
        <v/>
      </c>
      <c r="AA327" s="13" t="str">
        <f>IF(tblSalaries[[#This Row],[Job Type]]=tblSalaries[[#Headers],[Manager]],tblSalaries[[#This Row],[Salary in USD]],"")</f>
        <v/>
      </c>
      <c r="AB327" s="13" t="str">
        <f>IF(tblSalaries[[#This Row],[Job Type]]=tblSalaries[[#Headers],[Misc.]],tblSalaries[[#This Row],[Salary in USD]],"")</f>
        <v/>
      </c>
      <c r="AC327" s="13">
        <f>IF(tblSalaries[[#This Row],[Job Type]]=tblSalaries[[#Headers],[Reporting]],tblSalaries[[#This Row],[Salary in USD]],"")</f>
        <v>10809.503829551191</v>
      </c>
      <c r="AD327" s="13" t="str">
        <f>IF(tblSalaries[[#This Row],[Job Type]]=tblSalaries[[#Headers],[Specialist]],tblSalaries[[#This Row],[Salary in USD]],"")</f>
        <v/>
      </c>
    </row>
    <row r="328" spans="2:30" ht="15" customHeight="1" x14ac:dyDescent="0.25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 s="9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  <c r="N328" t="str">
        <f>IF(tblSalaries[[#This Row],[Years of Experience]]="","",IF(tblSalaries[[#This Row],[Years of Experience]]&lt;=2,1,""))</f>
        <v/>
      </c>
      <c r="O328" t="str">
        <f>IF(tblSalaries[[#This Row],[Years of Experience]]="","",IF(AND(tblSalaries[[#This Row],[Years of Experience]]&gt;2,tblSalaries[[#This Row],[Years of Experience]]&lt;=5),1,""))</f>
        <v/>
      </c>
      <c r="P328" t="str">
        <f>IF(tblSalaries[[#This Row],[Years of Experience]]="","",IF(AND(tblSalaries[[#This Row],[Years of Experience]]&gt;5,tblSalaries[[#This Row],[Years of Experience]]&lt;=10),1,""))</f>
        <v/>
      </c>
      <c r="Q328" t="str">
        <f>IF(tblSalaries[[#This Row],[Years of Experience]]="","",IF(AND(tblSalaries[[#This Row],[Years of Experience]]&gt;10,tblSalaries[[#This Row],[Years of Experience]]&lt;=15),1,""))</f>
        <v/>
      </c>
      <c r="R328" t="str">
        <f>IF(tblSalaries[[#This Row],[Years of Experience]]="","",IF(AND(tblSalaries[[#This Row],[Years of Experience]]&gt;16,tblSalaries[[#This Row],[Years of Experience]]&lt;=20),1,""))</f>
        <v/>
      </c>
      <c r="S328" t="str">
        <f>IF(tblSalaries[[#This Row],[Years of Experience]]="","",IF(tblSalaries[[#This Row],[Years of Experience]]&gt;20,1,""))</f>
        <v/>
      </c>
      <c r="T3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8" s="13" t="str">
        <f>IF(tblSalaries[[#This Row],[Job Type]]=tblSalaries[[#Headers],[Accountant]],tblSalaries[[#This Row],[Salary in USD]],"")</f>
        <v/>
      </c>
      <c r="V328" s="13" t="str">
        <f>IF(tblSalaries[[#This Row],[Job Type]]=tblSalaries[[#Headers],[Analyst]],tblSalaries[[#This Row],[Salary in USD]],"")</f>
        <v/>
      </c>
      <c r="W328" s="13" t="str">
        <f>IF(tblSalaries[[#This Row],[Job Type]]=tblSalaries[[#Headers],[Consultant]],tblSalaries[[#This Row],[Salary in USD]],"")</f>
        <v/>
      </c>
      <c r="X328" s="13" t="str">
        <f>IF(tblSalaries[[#This Row],[Job Type]]=tblSalaries[[#Headers],[Controller]],tblSalaries[[#This Row],[Salary in USD]],"")</f>
        <v/>
      </c>
      <c r="Y328" s="13" t="str">
        <f>IF(tblSalaries[[#This Row],[Job Type]]=tblSalaries[[#Headers],[CXO or Top Mgmt.]],tblSalaries[[#This Row],[clean Salary (in local currency)]],"")</f>
        <v/>
      </c>
      <c r="Z328" s="13" t="str">
        <f>IF(tblSalaries[[#This Row],[Job Type]]=tblSalaries[[#Headers],[Engineer]],tblSalaries[[#This Row],[Salary in USD]],"")</f>
        <v/>
      </c>
      <c r="AA328" s="13">
        <f>IF(tblSalaries[[#This Row],[Job Type]]=tblSalaries[[#Headers],[Manager]],tblSalaries[[#This Row],[Salary in USD]],"")</f>
        <v>92000</v>
      </c>
      <c r="AB328" s="13" t="str">
        <f>IF(tblSalaries[[#This Row],[Job Type]]=tblSalaries[[#Headers],[Misc.]],tblSalaries[[#This Row],[Salary in USD]],"")</f>
        <v/>
      </c>
      <c r="AC328" s="13" t="str">
        <f>IF(tblSalaries[[#This Row],[Job Type]]=tblSalaries[[#Headers],[Reporting]],tblSalaries[[#This Row],[Salary in USD]],"")</f>
        <v/>
      </c>
      <c r="AD328" s="13" t="str">
        <f>IF(tblSalaries[[#This Row],[Job Type]]=tblSalaries[[#Headers],[Specialist]],tblSalaries[[#This Row],[Salary in USD]],"")</f>
        <v/>
      </c>
    </row>
    <row r="329" spans="2:30" ht="15" customHeight="1" x14ac:dyDescent="0.25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 s="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  <c r="N329" t="str">
        <f>IF(tblSalaries[[#This Row],[Years of Experience]]="","",IF(tblSalaries[[#This Row],[Years of Experience]]&lt;=2,1,""))</f>
        <v/>
      </c>
      <c r="O329" t="str">
        <f>IF(tblSalaries[[#This Row],[Years of Experience]]="","",IF(AND(tblSalaries[[#This Row],[Years of Experience]]&gt;2,tblSalaries[[#This Row],[Years of Experience]]&lt;=5),1,""))</f>
        <v/>
      </c>
      <c r="P329" t="str">
        <f>IF(tblSalaries[[#This Row],[Years of Experience]]="","",IF(AND(tblSalaries[[#This Row],[Years of Experience]]&gt;5,tblSalaries[[#This Row],[Years of Experience]]&lt;=10),1,""))</f>
        <v/>
      </c>
      <c r="Q329" t="str">
        <f>IF(tblSalaries[[#This Row],[Years of Experience]]="","",IF(AND(tblSalaries[[#This Row],[Years of Experience]]&gt;10,tblSalaries[[#This Row],[Years of Experience]]&lt;=15),1,""))</f>
        <v/>
      </c>
      <c r="R329" t="str">
        <f>IF(tblSalaries[[#This Row],[Years of Experience]]="","",IF(AND(tblSalaries[[#This Row],[Years of Experience]]&gt;16,tblSalaries[[#This Row],[Years of Experience]]&lt;=20),1,""))</f>
        <v/>
      </c>
      <c r="S329" t="str">
        <f>IF(tblSalaries[[#This Row],[Years of Experience]]="","",IF(tblSalaries[[#This Row],[Years of Experience]]&gt;20,1,""))</f>
        <v/>
      </c>
      <c r="T3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29" s="13" t="str">
        <f>IF(tblSalaries[[#This Row],[Job Type]]=tblSalaries[[#Headers],[Accountant]],tblSalaries[[#This Row],[Salary in USD]],"")</f>
        <v/>
      </c>
      <c r="V329" s="13" t="str">
        <f>IF(tblSalaries[[#This Row],[Job Type]]=tblSalaries[[#Headers],[Analyst]],tblSalaries[[#This Row],[Salary in USD]],"")</f>
        <v/>
      </c>
      <c r="W329" s="13" t="str">
        <f>IF(tblSalaries[[#This Row],[Job Type]]=tblSalaries[[#Headers],[Consultant]],tblSalaries[[#This Row],[Salary in USD]],"")</f>
        <v/>
      </c>
      <c r="X329" s="13" t="str">
        <f>IF(tblSalaries[[#This Row],[Job Type]]=tblSalaries[[#Headers],[Controller]],tblSalaries[[#This Row],[Salary in USD]],"")</f>
        <v/>
      </c>
      <c r="Y329" s="13" t="str">
        <f>IF(tblSalaries[[#This Row],[Job Type]]=tblSalaries[[#Headers],[CXO or Top Mgmt.]],tblSalaries[[#This Row],[clean Salary (in local currency)]],"")</f>
        <v/>
      </c>
      <c r="Z329" s="13" t="str">
        <f>IF(tblSalaries[[#This Row],[Job Type]]=tblSalaries[[#Headers],[Engineer]],tblSalaries[[#This Row],[Salary in USD]],"")</f>
        <v/>
      </c>
      <c r="AA329" s="13">
        <f>IF(tblSalaries[[#This Row],[Job Type]]=tblSalaries[[#Headers],[Manager]],tblSalaries[[#This Row],[Salary in USD]],"")</f>
        <v>22000</v>
      </c>
      <c r="AB329" s="13" t="str">
        <f>IF(tblSalaries[[#This Row],[Job Type]]=tblSalaries[[#Headers],[Misc.]],tblSalaries[[#This Row],[Salary in USD]],"")</f>
        <v/>
      </c>
      <c r="AC329" s="13" t="str">
        <f>IF(tblSalaries[[#This Row],[Job Type]]=tblSalaries[[#Headers],[Reporting]],tblSalaries[[#This Row],[Salary in USD]],"")</f>
        <v/>
      </c>
      <c r="AD329" s="13" t="str">
        <f>IF(tblSalaries[[#This Row],[Job Type]]=tblSalaries[[#Headers],[Specialist]],tblSalaries[[#This Row],[Salary in USD]],"")</f>
        <v/>
      </c>
    </row>
    <row r="330" spans="2:30" ht="15" customHeight="1" x14ac:dyDescent="0.25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 s="9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  <c r="N330" t="str">
        <f>IF(tblSalaries[[#This Row],[Years of Experience]]="","",IF(tblSalaries[[#This Row],[Years of Experience]]&lt;=2,1,""))</f>
        <v/>
      </c>
      <c r="O330" t="str">
        <f>IF(tblSalaries[[#This Row],[Years of Experience]]="","",IF(AND(tblSalaries[[#This Row],[Years of Experience]]&gt;2,tblSalaries[[#This Row],[Years of Experience]]&lt;=5),1,""))</f>
        <v/>
      </c>
      <c r="P330" t="str">
        <f>IF(tblSalaries[[#This Row],[Years of Experience]]="","",IF(AND(tblSalaries[[#This Row],[Years of Experience]]&gt;5,tblSalaries[[#This Row],[Years of Experience]]&lt;=10),1,""))</f>
        <v/>
      </c>
      <c r="Q330" t="str">
        <f>IF(tblSalaries[[#This Row],[Years of Experience]]="","",IF(AND(tblSalaries[[#This Row],[Years of Experience]]&gt;10,tblSalaries[[#This Row],[Years of Experience]]&lt;=15),1,""))</f>
        <v/>
      </c>
      <c r="R330" t="str">
        <f>IF(tblSalaries[[#This Row],[Years of Experience]]="","",IF(AND(tblSalaries[[#This Row],[Years of Experience]]&gt;16,tblSalaries[[#This Row],[Years of Experience]]&lt;=20),1,""))</f>
        <v/>
      </c>
      <c r="S330" t="str">
        <f>IF(tblSalaries[[#This Row],[Years of Experience]]="","",IF(tblSalaries[[#This Row],[Years of Experience]]&gt;20,1,""))</f>
        <v/>
      </c>
      <c r="T3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0" s="13" t="str">
        <f>IF(tblSalaries[[#This Row],[Job Type]]=tblSalaries[[#Headers],[Accountant]],tblSalaries[[#This Row],[Salary in USD]],"")</f>
        <v/>
      </c>
      <c r="V330" s="13" t="str">
        <f>IF(tblSalaries[[#This Row],[Job Type]]=tblSalaries[[#Headers],[Analyst]],tblSalaries[[#This Row],[Salary in USD]],"")</f>
        <v/>
      </c>
      <c r="W330" s="13" t="str">
        <f>IF(tblSalaries[[#This Row],[Job Type]]=tblSalaries[[#Headers],[Consultant]],tblSalaries[[#This Row],[Salary in USD]],"")</f>
        <v/>
      </c>
      <c r="X330" s="13" t="str">
        <f>IF(tblSalaries[[#This Row],[Job Type]]=tblSalaries[[#Headers],[Controller]],tblSalaries[[#This Row],[Salary in USD]],"")</f>
        <v/>
      </c>
      <c r="Y330" s="13" t="str">
        <f>IF(tblSalaries[[#This Row],[Job Type]]=tblSalaries[[#Headers],[CXO or Top Mgmt.]],tblSalaries[[#This Row],[clean Salary (in local currency)]],"")</f>
        <v/>
      </c>
      <c r="Z330" s="13" t="str">
        <f>IF(tblSalaries[[#This Row],[Job Type]]=tblSalaries[[#Headers],[Engineer]],tblSalaries[[#This Row],[Salary in USD]],"")</f>
        <v/>
      </c>
      <c r="AA330" s="13">
        <f>IF(tblSalaries[[#This Row],[Job Type]]=tblSalaries[[#Headers],[Manager]],tblSalaries[[#This Row],[Salary in USD]],"")</f>
        <v>108000</v>
      </c>
      <c r="AB330" s="13" t="str">
        <f>IF(tblSalaries[[#This Row],[Job Type]]=tblSalaries[[#Headers],[Misc.]],tblSalaries[[#This Row],[Salary in USD]],"")</f>
        <v/>
      </c>
      <c r="AC330" s="13" t="str">
        <f>IF(tblSalaries[[#This Row],[Job Type]]=tblSalaries[[#Headers],[Reporting]],tblSalaries[[#This Row],[Salary in USD]],"")</f>
        <v/>
      </c>
      <c r="AD330" s="13" t="str">
        <f>IF(tblSalaries[[#This Row],[Job Type]]=tblSalaries[[#Headers],[Specialist]],tblSalaries[[#This Row],[Salary in USD]],"")</f>
        <v/>
      </c>
    </row>
    <row r="331" spans="2:30" ht="15" customHeight="1" x14ac:dyDescent="0.25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 s="9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  <c r="N331" t="str">
        <f>IF(tblSalaries[[#This Row],[Years of Experience]]="","",IF(tblSalaries[[#This Row],[Years of Experience]]&lt;=2,1,""))</f>
        <v/>
      </c>
      <c r="O331" t="str">
        <f>IF(tblSalaries[[#This Row],[Years of Experience]]="","",IF(AND(tblSalaries[[#This Row],[Years of Experience]]&gt;2,tblSalaries[[#This Row],[Years of Experience]]&lt;=5),1,""))</f>
        <v/>
      </c>
      <c r="P331" t="str">
        <f>IF(tblSalaries[[#This Row],[Years of Experience]]="","",IF(AND(tblSalaries[[#This Row],[Years of Experience]]&gt;5,tblSalaries[[#This Row],[Years of Experience]]&lt;=10),1,""))</f>
        <v/>
      </c>
      <c r="Q331" t="str">
        <f>IF(tblSalaries[[#This Row],[Years of Experience]]="","",IF(AND(tblSalaries[[#This Row],[Years of Experience]]&gt;10,tblSalaries[[#This Row],[Years of Experience]]&lt;=15),1,""))</f>
        <v/>
      </c>
      <c r="R331" t="str">
        <f>IF(tblSalaries[[#This Row],[Years of Experience]]="","",IF(AND(tblSalaries[[#This Row],[Years of Experience]]&gt;16,tblSalaries[[#This Row],[Years of Experience]]&lt;=20),1,""))</f>
        <v/>
      </c>
      <c r="S331" t="str">
        <f>IF(tblSalaries[[#This Row],[Years of Experience]]="","",IF(tblSalaries[[#This Row],[Years of Experience]]&gt;20,1,""))</f>
        <v/>
      </c>
      <c r="T3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1" s="13" t="str">
        <f>IF(tblSalaries[[#This Row],[Job Type]]=tblSalaries[[#Headers],[Accountant]],tblSalaries[[#This Row],[Salary in USD]],"")</f>
        <v/>
      </c>
      <c r="V331" s="13">
        <f>IF(tblSalaries[[#This Row],[Job Type]]=tblSalaries[[#Headers],[Analyst]],tblSalaries[[#This Row],[Salary in USD]],"")</f>
        <v>61000</v>
      </c>
      <c r="W331" s="13" t="str">
        <f>IF(tblSalaries[[#This Row],[Job Type]]=tblSalaries[[#Headers],[Consultant]],tblSalaries[[#This Row],[Salary in USD]],"")</f>
        <v/>
      </c>
      <c r="X331" s="13" t="str">
        <f>IF(tblSalaries[[#This Row],[Job Type]]=tblSalaries[[#Headers],[Controller]],tblSalaries[[#This Row],[Salary in USD]],"")</f>
        <v/>
      </c>
      <c r="Y331" s="13" t="str">
        <f>IF(tblSalaries[[#This Row],[Job Type]]=tblSalaries[[#Headers],[CXO or Top Mgmt.]],tblSalaries[[#This Row],[clean Salary (in local currency)]],"")</f>
        <v/>
      </c>
      <c r="Z331" s="13" t="str">
        <f>IF(tblSalaries[[#This Row],[Job Type]]=tblSalaries[[#Headers],[Engineer]],tblSalaries[[#This Row],[Salary in USD]],"")</f>
        <v/>
      </c>
      <c r="AA331" s="13" t="str">
        <f>IF(tblSalaries[[#This Row],[Job Type]]=tblSalaries[[#Headers],[Manager]],tblSalaries[[#This Row],[Salary in USD]],"")</f>
        <v/>
      </c>
      <c r="AB331" s="13" t="str">
        <f>IF(tblSalaries[[#This Row],[Job Type]]=tblSalaries[[#Headers],[Misc.]],tblSalaries[[#This Row],[Salary in USD]],"")</f>
        <v/>
      </c>
      <c r="AC331" s="13" t="str">
        <f>IF(tblSalaries[[#This Row],[Job Type]]=tblSalaries[[#Headers],[Reporting]],tblSalaries[[#This Row],[Salary in USD]],"")</f>
        <v/>
      </c>
      <c r="AD331" s="13" t="str">
        <f>IF(tblSalaries[[#This Row],[Job Type]]=tblSalaries[[#Headers],[Specialist]],tblSalaries[[#This Row],[Salary in USD]],"")</f>
        <v/>
      </c>
    </row>
    <row r="332" spans="2:30" ht="15" customHeight="1" x14ac:dyDescent="0.25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 s="9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  <c r="N332" t="str">
        <f>IF(tblSalaries[[#This Row],[Years of Experience]]="","",IF(tblSalaries[[#This Row],[Years of Experience]]&lt;=2,1,""))</f>
        <v/>
      </c>
      <c r="O332" t="str">
        <f>IF(tblSalaries[[#This Row],[Years of Experience]]="","",IF(AND(tblSalaries[[#This Row],[Years of Experience]]&gt;2,tblSalaries[[#This Row],[Years of Experience]]&lt;=5),1,""))</f>
        <v/>
      </c>
      <c r="P332" t="str">
        <f>IF(tblSalaries[[#This Row],[Years of Experience]]="","",IF(AND(tblSalaries[[#This Row],[Years of Experience]]&gt;5,tblSalaries[[#This Row],[Years of Experience]]&lt;=10),1,""))</f>
        <v/>
      </c>
      <c r="Q332" t="str">
        <f>IF(tblSalaries[[#This Row],[Years of Experience]]="","",IF(AND(tblSalaries[[#This Row],[Years of Experience]]&gt;10,tblSalaries[[#This Row],[Years of Experience]]&lt;=15),1,""))</f>
        <v/>
      </c>
      <c r="R332" t="str">
        <f>IF(tblSalaries[[#This Row],[Years of Experience]]="","",IF(AND(tblSalaries[[#This Row],[Years of Experience]]&gt;16,tblSalaries[[#This Row],[Years of Experience]]&lt;=20),1,""))</f>
        <v/>
      </c>
      <c r="S332" t="str">
        <f>IF(tblSalaries[[#This Row],[Years of Experience]]="","",IF(tblSalaries[[#This Row],[Years of Experience]]&gt;20,1,""))</f>
        <v/>
      </c>
      <c r="T3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2" s="13" t="str">
        <f>IF(tblSalaries[[#This Row],[Job Type]]=tblSalaries[[#Headers],[Accountant]],tblSalaries[[#This Row],[Salary in USD]],"")</f>
        <v/>
      </c>
      <c r="V332" s="13" t="str">
        <f>IF(tblSalaries[[#This Row],[Job Type]]=tblSalaries[[#Headers],[Analyst]],tblSalaries[[#This Row],[Salary in USD]],"")</f>
        <v/>
      </c>
      <c r="W332" s="13" t="str">
        <f>IF(tblSalaries[[#This Row],[Job Type]]=tblSalaries[[#Headers],[Consultant]],tblSalaries[[#This Row],[Salary in USD]],"")</f>
        <v/>
      </c>
      <c r="X332" s="13" t="str">
        <f>IF(tblSalaries[[#This Row],[Job Type]]=tblSalaries[[#Headers],[Controller]],tblSalaries[[#This Row],[Salary in USD]],"")</f>
        <v/>
      </c>
      <c r="Y332" s="13" t="str">
        <f>IF(tblSalaries[[#This Row],[Job Type]]=tblSalaries[[#Headers],[CXO or Top Mgmt.]],tblSalaries[[#This Row],[clean Salary (in local currency)]],"")</f>
        <v/>
      </c>
      <c r="Z332" s="13" t="str">
        <f>IF(tblSalaries[[#This Row],[Job Type]]=tblSalaries[[#Headers],[Engineer]],tblSalaries[[#This Row],[Salary in USD]],"")</f>
        <v/>
      </c>
      <c r="AA332" s="13">
        <f>IF(tblSalaries[[#This Row],[Job Type]]=tblSalaries[[#Headers],[Manager]],tblSalaries[[#This Row],[Salary in USD]],"")</f>
        <v>63918.498996971248</v>
      </c>
      <c r="AB332" s="13" t="str">
        <f>IF(tblSalaries[[#This Row],[Job Type]]=tblSalaries[[#Headers],[Misc.]],tblSalaries[[#This Row],[Salary in USD]],"")</f>
        <v/>
      </c>
      <c r="AC332" s="13" t="str">
        <f>IF(tblSalaries[[#This Row],[Job Type]]=tblSalaries[[#Headers],[Reporting]],tblSalaries[[#This Row],[Salary in USD]],"")</f>
        <v/>
      </c>
      <c r="AD332" s="13" t="str">
        <f>IF(tblSalaries[[#This Row],[Job Type]]=tblSalaries[[#Headers],[Specialist]],tblSalaries[[#This Row],[Salary in USD]],"")</f>
        <v/>
      </c>
    </row>
    <row r="333" spans="2:30" ht="15" customHeight="1" x14ac:dyDescent="0.25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 s="9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  <c r="N333" t="str">
        <f>IF(tblSalaries[[#This Row],[Years of Experience]]="","",IF(tblSalaries[[#This Row],[Years of Experience]]&lt;=2,1,""))</f>
        <v/>
      </c>
      <c r="O333" t="str">
        <f>IF(tblSalaries[[#This Row],[Years of Experience]]="","",IF(AND(tblSalaries[[#This Row],[Years of Experience]]&gt;2,tblSalaries[[#This Row],[Years of Experience]]&lt;=5),1,""))</f>
        <v/>
      </c>
      <c r="P333" t="str">
        <f>IF(tblSalaries[[#This Row],[Years of Experience]]="","",IF(AND(tblSalaries[[#This Row],[Years of Experience]]&gt;5,tblSalaries[[#This Row],[Years of Experience]]&lt;=10),1,""))</f>
        <v/>
      </c>
      <c r="Q333" t="str">
        <f>IF(tblSalaries[[#This Row],[Years of Experience]]="","",IF(AND(tblSalaries[[#This Row],[Years of Experience]]&gt;10,tblSalaries[[#This Row],[Years of Experience]]&lt;=15),1,""))</f>
        <v/>
      </c>
      <c r="R333" t="str">
        <f>IF(tblSalaries[[#This Row],[Years of Experience]]="","",IF(AND(tblSalaries[[#This Row],[Years of Experience]]&gt;16,tblSalaries[[#This Row],[Years of Experience]]&lt;=20),1,""))</f>
        <v/>
      </c>
      <c r="S333" t="str">
        <f>IF(tblSalaries[[#This Row],[Years of Experience]]="","",IF(tblSalaries[[#This Row],[Years of Experience]]&gt;20,1,""))</f>
        <v/>
      </c>
      <c r="T3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3" s="13" t="str">
        <f>IF(tblSalaries[[#This Row],[Job Type]]=tblSalaries[[#Headers],[Accountant]],tblSalaries[[#This Row],[Salary in USD]],"")</f>
        <v/>
      </c>
      <c r="V333" s="13">
        <f>IF(tblSalaries[[#This Row],[Job Type]]=tblSalaries[[#Headers],[Analyst]],tblSalaries[[#This Row],[Salary in USD]],"")</f>
        <v>50000</v>
      </c>
      <c r="W333" s="13" t="str">
        <f>IF(tblSalaries[[#This Row],[Job Type]]=tblSalaries[[#Headers],[Consultant]],tblSalaries[[#This Row],[Salary in USD]],"")</f>
        <v/>
      </c>
      <c r="X333" s="13" t="str">
        <f>IF(tblSalaries[[#This Row],[Job Type]]=tblSalaries[[#Headers],[Controller]],tblSalaries[[#This Row],[Salary in USD]],"")</f>
        <v/>
      </c>
      <c r="Y333" s="13" t="str">
        <f>IF(tblSalaries[[#This Row],[Job Type]]=tblSalaries[[#Headers],[CXO or Top Mgmt.]],tblSalaries[[#This Row],[clean Salary (in local currency)]],"")</f>
        <v/>
      </c>
      <c r="Z333" s="13" t="str">
        <f>IF(tblSalaries[[#This Row],[Job Type]]=tblSalaries[[#Headers],[Engineer]],tblSalaries[[#This Row],[Salary in USD]],"")</f>
        <v/>
      </c>
      <c r="AA333" s="13" t="str">
        <f>IF(tblSalaries[[#This Row],[Job Type]]=tblSalaries[[#Headers],[Manager]],tblSalaries[[#This Row],[Salary in USD]],"")</f>
        <v/>
      </c>
      <c r="AB333" s="13" t="str">
        <f>IF(tblSalaries[[#This Row],[Job Type]]=tblSalaries[[#Headers],[Misc.]],tblSalaries[[#This Row],[Salary in USD]],"")</f>
        <v/>
      </c>
      <c r="AC333" s="13" t="str">
        <f>IF(tblSalaries[[#This Row],[Job Type]]=tblSalaries[[#Headers],[Reporting]],tblSalaries[[#This Row],[Salary in USD]],"")</f>
        <v/>
      </c>
      <c r="AD333" s="13" t="str">
        <f>IF(tblSalaries[[#This Row],[Job Type]]=tblSalaries[[#Headers],[Specialist]],tblSalaries[[#This Row],[Salary in USD]],"")</f>
        <v/>
      </c>
    </row>
    <row r="334" spans="2:30" ht="15" customHeight="1" x14ac:dyDescent="0.25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 s="9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  <c r="N334" t="str">
        <f>IF(tblSalaries[[#This Row],[Years of Experience]]="","",IF(tblSalaries[[#This Row],[Years of Experience]]&lt;=2,1,""))</f>
        <v/>
      </c>
      <c r="O334" t="str">
        <f>IF(tblSalaries[[#This Row],[Years of Experience]]="","",IF(AND(tblSalaries[[#This Row],[Years of Experience]]&gt;2,tblSalaries[[#This Row],[Years of Experience]]&lt;=5),1,""))</f>
        <v/>
      </c>
      <c r="P334" t="str">
        <f>IF(tblSalaries[[#This Row],[Years of Experience]]="","",IF(AND(tblSalaries[[#This Row],[Years of Experience]]&gt;5,tblSalaries[[#This Row],[Years of Experience]]&lt;=10),1,""))</f>
        <v/>
      </c>
      <c r="Q334" t="str">
        <f>IF(tblSalaries[[#This Row],[Years of Experience]]="","",IF(AND(tblSalaries[[#This Row],[Years of Experience]]&gt;10,tblSalaries[[#This Row],[Years of Experience]]&lt;=15),1,""))</f>
        <v/>
      </c>
      <c r="R334" t="str">
        <f>IF(tblSalaries[[#This Row],[Years of Experience]]="","",IF(AND(tblSalaries[[#This Row],[Years of Experience]]&gt;16,tblSalaries[[#This Row],[Years of Experience]]&lt;=20),1,""))</f>
        <v/>
      </c>
      <c r="S334" t="str">
        <f>IF(tblSalaries[[#This Row],[Years of Experience]]="","",IF(tblSalaries[[#This Row],[Years of Experience]]&gt;20,1,""))</f>
        <v/>
      </c>
      <c r="T3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4" s="13">
        <f>IF(tblSalaries[[#This Row],[Job Type]]=tblSalaries[[#Headers],[Accountant]],tblSalaries[[#This Row],[Salary in USD]],"")</f>
        <v>150000</v>
      </c>
      <c r="V334" s="13" t="str">
        <f>IF(tblSalaries[[#This Row],[Job Type]]=tblSalaries[[#Headers],[Analyst]],tblSalaries[[#This Row],[Salary in USD]],"")</f>
        <v/>
      </c>
      <c r="W334" s="13" t="str">
        <f>IF(tblSalaries[[#This Row],[Job Type]]=tblSalaries[[#Headers],[Consultant]],tblSalaries[[#This Row],[Salary in USD]],"")</f>
        <v/>
      </c>
      <c r="X334" s="13" t="str">
        <f>IF(tblSalaries[[#This Row],[Job Type]]=tblSalaries[[#Headers],[Controller]],tblSalaries[[#This Row],[Salary in USD]],"")</f>
        <v/>
      </c>
      <c r="Y334" s="13" t="str">
        <f>IF(tblSalaries[[#This Row],[Job Type]]=tblSalaries[[#Headers],[CXO or Top Mgmt.]],tblSalaries[[#This Row],[clean Salary (in local currency)]],"")</f>
        <v/>
      </c>
      <c r="Z334" s="13" t="str">
        <f>IF(tblSalaries[[#This Row],[Job Type]]=tblSalaries[[#Headers],[Engineer]],tblSalaries[[#This Row],[Salary in USD]],"")</f>
        <v/>
      </c>
      <c r="AA334" s="13" t="str">
        <f>IF(tblSalaries[[#This Row],[Job Type]]=tblSalaries[[#Headers],[Manager]],tblSalaries[[#This Row],[Salary in USD]],"")</f>
        <v/>
      </c>
      <c r="AB334" s="13" t="str">
        <f>IF(tblSalaries[[#This Row],[Job Type]]=tblSalaries[[#Headers],[Misc.]],tblSalaries[[#This Row],[Salary in USD]],"")</f>
        <v/>
      </c>
      <c r="AC334" s="13" t="str">
        <f>IF(tblSalaries[[#This Row],[Job Type]]=tblSalaries[[#Headers],[Reporting]],tblSalaries[[#This Row],[Salary in USD]],"")</f>
        <v/>
      </c>
      <c r="AD334" s="13" t="str">
        <f>IF(tblSalaries[[#This Row],[Job Type]]=tblSalaries[[#Headers],[Specialist]],tblSalaries[[#This Row],[Salary in USD]],"")</f>
        <v/>
      </c>
    </row>
    <row r="335" spans="2:30" ht="15" customHeight="1" x14ac:dyDescent="0.25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 s="9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  <c r="N335" t="str">
        <f>IF(tblSalaries[[#This Row],[Years of Experience]]="","",IF(tblSalaries[[#This Row],[Years of Experience]]&lt;=2,1,""))</f>
        <v/>
      </c>
      <c r="O335" t="str">
        <f>IF(tblSalaries[[#This Row],[Years of Experience]]="","",IF(AND(tblSalaries[[#This Row],[Years of Experience]]&gt;2,tblSalaries[[#This Row],[Years of Experience]]&lt;=5),1,""))</f>
        <v/>
      </c>
      <c r="P335" t="str">
        <f>IF(tblSalaries[[#This Row],[Years of Experience]]="","",IF(AND(tblSalaries[[#This Row],[Years of Experience]]&gt;5,tblSalaries[[#This Row],[Years of Experience]]&lt;=10),1,""))</f>
        <v/>
      </c>
      <c r="Q335" t="str">
        <f>IF(tblSalaries[[#This Row],[Years of Experience]]="","",IF(AND(tblSalaries[[#This Row],[Years of Experience]]&gt;10,tblSalaries[[#This Row],[Years of Experience]]&lt;=15),1,""))</f>
        <v/>
      </c>
      <c r="R335" t="str">
        <f>IF(tblSalaries[[#This Row],[Years of Experience]]="","",IF(AND(tblSalaries[[#This Row],[Years of Experience]]&gt;16,tblSalaries[[#This Row],[Years of Experience]]&lt;=20),1,""))</f>
        <v/>
      </c>
      <c r="S335" t="str">
        <f>IF(tblSalaries[[#This Row],[Years of Experience]]="","",IF(tblSalaries[[#This Row],[Years of Experience]]&gt;20,1,""))</f>
        <v/>
      </c>
      <c r="T3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5" s="13" t="str">
        <f>IF(tblSalaries[[#This Row],[Job Type]]=tblSalaries[[#Headers],[Accountant]],tblSalaries[[#This Row],[Salary in USD]],"")</f>
        <v/>
      </c>
      <c r="V335" s="13">
        <f>IF(tblSalaries[[#This Row],[Job Type]]=tblSalaries[[#Headers],[Analyst]],tblSalaries[[#This Row],[Salary in USD]],"")</f>
        <v>7123.1666749770275</v>
      </c>
      <c r="W335" s="13" t="str">
        <f>IF(tblSalaries[[#This Row],[Job Type]]=tblSalaries[[#Headers],[Consultant]],tblSalaries[[#This Row],[Salary in USD]],"")</f>
        <v/>
      </c>
      <c r="X335" s="13" t="str">
        <f>IF(tblSalaries[[#This Row],[Job Type]]=tblSalaries[[#Headers],[Controller]],tblSalaries[[#This Row],[Salary in USD]],"")</f>
        <v/>
      </c>
      <c r="Y335" s="13" t="str">
        <f>IF(tblSalaries[[#This Row],[Job Type]]=tblSalaries[[#Headers],[CXO or Top Mgmt.]],tblSalaries[[#This Row],[clean Salary (in local currency)]],"")</f>
        <v/>
      </c>
      <c r="Z335" s="13" t="str">
        <f>IF(tblSalaries[[#This Row],[Job Type]]=tblSalaries[[#Headers],[Engineer]],tblSalaries[[#This Row],[Salary in USD]],"")</f>
        <v/>
      </c>
      <c r="AA335" s="13" t="str">
        <f>IF(tblSalaries[[#This Row],[Job Type]]=tblSalaries[[#Headers],[Manager]],tblSalaries[[#This Row],[Salary in USD]],"")</f>
        <v/>
      </c>
      <c r="AB335" s="13" t="str">
        <f>IF(tblSalaries[[#This Row],[Job Type]]=tblSalaries[[#Headers],[Misc.]],tblSalaries[[#This Row],[Salary in USD]],"")</f>
        <v/>
      </c>
      <c r="AC335" s="13" t="str">
        <f>IF(tblSalaries[[#This Row],[Job Type]]=tblSalaries[[#Headers],[Reporting]],tblSalaries[[#This Row],[Salary in USD]],"")</f>
        <v/>
      </c>
      <c r="AD335" s="13" t="str">
        <f>IF(tblSalaries[[#This Row],[Job Type]]=tblSalaries[[#Headers],[Specialist]],tblSalaries[[#This Row],[Salary in USD]],"")</f>
        <v/>
      </c>
    </row>
    <row r="336" spans="2:30" ht="15" customHeight="1" x14ac:dyDescent="0.25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 s="9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  <c r="N336" t="str">
        <f>IF(tblSalaries[[#This Row],[Years of Experience]]="","",IF(tblSalaries[[#This Row],[Years of Experience]]&lt;=2,1,""))</f>
        <v/>
      </c>
      <c r="O336" t="str">
        <f>IF(tblSalaries[[#This Row],[Years of Experience]]="","",IF(AND(tblSalaries[[#This Row],[Years of Experience]]&gt;2,tblSalaries[[#This Row],[Years of Experience]]&lt;=5),1,""))</f>
        <v/>
      </c>
      <c r="P336" t="str">
        <f>IF(tblSalaries[[#This Row],[Years of Experience]]="","",IF(AND(tblSalaries[[#This Row],[Years of Experience]]&gt;5,tblSalaries[[#This Row],[Years of Experience]]&lt;=10),1,""))</f>
        <v/>
      </c>
      <c r="Q336" t="str">
        <f>IF(tblSalaries[[#This Row],[Years of Experience]]="","",IF(AND(tblSalaries[[#This Row],[Years of Experience]]&gt;10,tblSalaries[[#This Row],[Years of Experience]]&lt;=15),1,""))</f>
        <v/>
      </c>
      <c r="R336" t="str">
        <f>IF(tblSalaries[[#This Row],[Years of Experience]]="","",IF(AND(tblSalaries[[#This Row],[Years of Experience]]&gt;16,tblSalaries[[#This Row],[Years of Experience]]&lt;=20),1,""))</f>
        <v/>
      </c>
      <c r="S336" t="str">
        <f>IF(tblSalaries[[#This Row],[Years of Experience]]="","",IF(tblSalaries[[#This Row],[Years of Experience]]&gt;20,1,""))</f>
        <v/>
      </c>
      <c r="T3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6" s="13" t="str">
        <f>IF(tblSalaries[[#This Row],[Job Type]]=tblSalaries[[#Headers],[Accountant]],tblSalaries[[#This Row],[Salary in USD]],"")</f>
        <v/>
      </c>
      <c r="V336" s="13" t="str">
        <f>IF(tblSalaries[[#This Row],[Job Type]]=tblSalaries[[#Headers],[Analyst]],tblSalaries[[#This Row],[Salary in USD]],"")</f>
        <v/>
      </c>
      <c r="W336" s="13" t="str">
        <f>IF(tblSalaries[[#This Row],[Job Type]]=tblSalaries[[#Headers],[Consultant]],tblSalaries[[#This Row],[Salary in USD]],"")</f>
        <v/>
      </c>
      <c r="X336" s="13" t="str">
        <f>IF(tblSalaries[[#This Row],[Job Type]]=tblSalaries[[#Headers],[Controller]],tblSalaries[[#This Row],[Salary in USD]],"")</f>
        <v/>
      </c>
      <c r="Y336" s="13" t="str">
        <f>IF(tblSalaries[[#This Row],[Job Type]]=tblSalaries[[#Headers],[CXO or Top Mgmt.]],tblSalaries[[#This Row],[clean Salary (in local currency)]],"")</f>
        <v/>
      </c>
      <c r="Z336" s="13" t="str">
        <f>IF(tblSalaries[[#This Row],[Job Type]]=tblSalaries[[#Headers],[Engineer]],tblSalaries[[#This Row],[Salary in USD]],"")</f>
        <v/>
      </c>
      <c r="AA336" s="13">
        <f>IF(tblSalaries[[#This Row],[Job Type]]=tblSalaries[[#Headers],[Manager]],tblSalaries[[#This Row],[Salary in USD]],"")</f>
        <v>150000</v>
      </c>
      <c r="AB336" s="13" t="str">
        <f>IF(tblSalaries[[#This Row],[Job Type]]=tblSalaries[[#Headers],[Misc.]],tblSalaries[[#This Row],[Salary in USD]],"")</f>
        <v/>
      </c>
      <c r="AC336" s="13" t="str">
        <f>IF(tblSalaries[[#This Row],[Job Type]]=tblSalaries[[#Headers],[Reporting]],tblSalaries[[#This Row],[Salary in USD]],"")</f>
        <v/>
      </c>
      <c r="AD336" s="13" t="str">
        <f>IF(tblSalaries[[#This Row],[Job Type]]=tblSalaries[[#Headers],[Specialist]],tblSalaries[[#This Row],[Salary in USD]],"")</f>
        <v/>
      </c>
    </row>
    <row r="337" spans="2:30" ht="15" customHeight="1" x14ac:dyDescent="0.25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 s="9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  <c r="N337" t="str">
        <f>IF(tblSalaries[[#This Row],[Years of Experience]]="","",IF(tblSalaries[[#This Row],[Years of Experience]]&lt;=2,1,""))</f>
        <v/>
      </c>
      <c r="O337" t="str">
        <f>IF(tblSalaries[[#This Row],[Years of Experience]]="","",IF(AND(tblSalaries[[#This Row],[Years of Experience]]&gt;2,tblSalaries[[#This Row],[Years of Experience]]&lt;=5),1,""))</f>
        <v/>
      </c>
      <c r="P337" t="str">
        <f>IF(tblSalaries[[#This Row],[Years of Experience]]="","",IF(AND(tblSalaries[[#This Row],[Years of Experience]]&gt;5,tblSalaries[[#This Row],[Years of Experience]]&lt;=10),1,""))</f>
        <v/>
      </c>
      <c r="Q337" t="str">
        <f>IF(tblSalaries[[#This Row],[Years of Experience]]="","",IF(AND(tblSalaries[[#This Row],[Years of Experience]]&gt;10,tblSalaries[[#This Row],[Years of Experience]]&lt;=15),1,""))</f>
        <v/>
      </c>
      <c r="R337" t="str">
        <f>IF(tblSalaries[[#This Row],[Years of Experience]]="","",IF(AND(tblSalaries[[#This Row],[Years of Experience]]&gt;16,tblSalaries[[#This Row],[Years of Experience]]&lt;=20),1,""))</f>
        <v/>
      </c>
      <c r="S337" t="str">
        <f>IF(tblSalaries[[#This Row],[Years of Experience]]="","",IF(tblSalaries[[#This Row],[Years of Experience]]&gt;20,1,""))</f>
        <v/>
      </c>
      <c r="T3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7" s="13" t="str">
        <f>IF(tblSalaries[[#This Row],[Job Type]]=tblSalaries[[#Headers],[Accountant]],tblSalaries[[#This Row],[Salary in USD]],"")</f>
        <v/>
      </c>
      <c r="V337" s="13" t="str">
        <f>IF(tblSalaries[[#This Row],[Job Type]]=tblSalaries[[#Headers],[Analyst]],tblSalaries[[#This Row],[Salary in USD]],"")</f>
        <v/>
      </c>
      <c r="W337" s="13" t="str">
        <f>IF(tblSalaries[[#This Row],[Job Type]]=tblSalaries[[#Headers],[Consultant]],tblSalaries[[#This Row],[Salary in USD]],"")</f>
        <v/>
      </c>
      <c r="X337" s="13" t="str">
        <f>IF(tblSalaries[[#This Row],[Job Type]]=tblSalaries[[#Headers],[Controller]],tblSalaries[[#This Row],[Salary in USD]],"")</f>
        <v/>
      </c>
      <c r="Y337" s="13" t="str">
        <f>IF(tblSalaries[[#This Row],[Job Type]]=tblSalaries[[#Headers],[CXO or Top Mgmt.]],tblSalaries[[#This Row],[clean Salary (in local currency)]],"")</f>
        <v/>
      </c>
      <c r="Z337" s="13" t="str">
        <f>IF(tblSalaries[[#This Row],[Job Type]]=tblSalaries[[#Headers],[Engineer]],tblSalaries[[#This Row],[Salary in USD]],"")</f>
        <v/>
      </c>
      <c r="AA337" s="13" t="str">
        <f>IF(tblSalaries[[#This Row],[Job Type]]=tblSalaries[[#Headers],[Manager]],tblSalaries[[#This Row],[Salary in USD]],"")</f>
        <v/>
      </c>
      <c r="AB337" s="13" t="str">
        <f>IF(tblSalaries[[#This Row],[Job Type]]=tblSalaries[[#Headers],[Misc.]],tblSalaries[[#This Row],[Salary in USD]],"")</f>
        <v/>
      </c>
      <c r="AC337" s="13" t="str">
        <f>IF(tblSalaries[[#This Row],[Job Type]]=tblSalaries[[#Headers],[Reporting]],tblSalaries[[#This Row],[Salary in USD]],"")</f>
        <v/>
      </c>
      <c r="AD337" s="13">
        <f>IF(tblSalaries[[#This Row],[Job Type]]=tblSalaries[[#Headers],[Specialist]],tblSalaries[[#This Row],[Salary in USD]],"")</f>
        <v>45000</v>
      </c>
    </row>
    <row r="338" spans="2:30" ht="15" customHeight="1" x14ac:dyDescent="0.25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 s="9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  <c r="N338" t="str">
        <f>IF(tblSalaries[[#This Row],[Years of Experience]]="","",IF(tblSalaries[[#This Row],[Years of Experience]]&lt;=2,1,""))</f>
        <v/>
      </c>
      <c r="O338" t="str">
        <f>IF(tblSalaries[[#This Row],[Years of Experience]]="","",IF(AND(tblSalaries[[#This Row],[Years of Experience]]&gt;2,tblSalaries[[#This Row],[Years of Experience]]&lt;=5),1,""))</f>
        <v/>
      </c>
      <c r="P338" t="str">
        <f>IF(tblSalaries[[#This Row],[Years of Experience]]="","",IF(AND(tblSalaries[[#This Row],[Years of Experience]]&gt;5,tblSalaries[[#This Row],[Years of Experience]]&lt;=10),1,""))</f>
        <v/>
      </c>
      <c r="Q338" t="str">
        <f>IF(tblSalaries[[#This Row],[Years of Experience]]="","",IF(AND(tblSalaries[[#This Row],[Years of Experience]]&gt;10,tblSalaries[[#This Row],[Years of Experience]]&lt;=15),1,""))</f>
        <v/>
      </c>
      <c r="R338" t="str">
        <f>IF(tblSalaries[[#This Row],[Years of Experience]]="","",IF(AND(tblSalaries[[#This Row],[Years of Experience]]&gt;16,tblSalaries[[#This Row],[Years of Experience]]&lt;=20),1,""))</f>
        <v/>
      </c>
      <c r="S338" t="str">
        <f>IF(tblSalaries[[#This Row],[Years of Experience]]="","",IF(tblSalaries[[#This Row],[Years of Experience]]&gt;20,1,""))</f>
        <v/>
      </c>
      <c r="T3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8" s="13" t="str">
        <f>IF(tblSalaries[[#This Row],[Job Type]]=tblSalaries[[#Headers],[Accountant]],tblSalaries[[#This Row],[Salary in USD]],"")</f>
        <v/>
      </c>
      <c r="V338" s="13" t="str">
        <f>IF(tblSalaries[[#This Row],[Job Type]]=tblSalaries[[#Headers],[Analyst]],tblSalaries[[#This Row],[Salary in USD]],"")</f>
        <v/>
      </c>
      <c r="W338" s="13" t="str">
        <f>IF(tblSalaries[[#This Row],[Job Type]]=tblSalaries[[#Headers],[Consultant]],tblSalaries[[#This Row],[Salary in USD]],"")</f>
        <v/>
      </c>
      <c r="X338" s="13" t="str">
        <f>IF(tblSalaries[[#This Row],[Job Type]]=tblSalaries[[#Headers],[Controller]],tblSalaries[[#This Row],[Salary in USD]],"")</f>
        <v/>
      </c>
      <c r="Y338" s="13" t="str">
        <f>IF(tblSalaries[[#This Row],[Job Type]]=tblSalaries[[#Headers],[CXO or Top Mgmt.]],tblSalaries[[#This Row],[clean Salary (in local currency)]],"")</f>
        <v/>
      </c>
      <c r="Z338" s="13" t="str">
        <f>IF(tblSalaries[[#This Row],[Job Type]]=tblSalaries[[#Headers],[Engineer]],tblSalaries[[#This Row],[Salary in USD]],"")</f>
        <v/>
      </c>
      <c r="AA338" s="13">
        <f>IF(tblSalaries[[#This Row],[Job Type]]=tblSalaries[[#Headers],[Manager]],tblSalaries[[#This Row],[Salary in USD]],"")</f>
        <v>135000</v>
      </c>
      <c r="AB338" s="13" t="str">
        <f>IF(tblSalaries[[#This Row],[Job Type]]=tblSalaries[[#Headers],[Misc.]],tblSalaries[[#This Row],[Salary in USD]],"")</f>
        <v/>
      </c>
      <c r="AC338" s="13" t="str">
        <f>IF(tblSalaries[[#This Row],[Job Type]]=tblSalaries[[#Headers],[Reporting]],tblSalaries[[#This Row],[Salary in USD]],"")</f>
        <v/>
      </c>
      <c r="AD338" s="13" t="str">
        <f>IF(tblSalaries[[#This Row],[Job Type]]=tblSalaries[[#Headers],[Specialist]],tblSalaries[[#This Row],[Salary in USD]],"")</f>
        <v/>
      </c>
    </row>
    <row r="339" spans="2:30" ht="15" customHeight="1" x14ac:dyDescent="0.25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 s="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  <c r="N339" t="str">
        <f>IF(tblSalaries[[#This Row],[Years of Experience]]="","",IF(tblSalaries[[#This Row],[Years of Experience]]&lt;=2,1,""))</f>
        <v/>
      </c>
      <c r="O339" t="str">
        <f>IF(tblSalaries[[#This Row],[Years of Experience]]="","",IF(AND(tblSalaries[[#This Row],[Years of Experience]]&gt;2,tblSalaries[[#This Row],[Years of Experience]]&lt;=5),1,""))</f>
        <v/>
      </c>
      <c r="P339" t="str">
        <f>IF(tblSalaries[[#This Row],[Years of Experience]]="","",IF(AND(tblSalaries[[#This Row],[Years of Experience]]&gt;5,tblSalaries[[#This Row],[Years of Experience]]&lt;=10),1,""))</f>
        <v/>
      </c>
      <c r="Q339" t="str">
        <f>IF(tblSalaries[[#This Row],[Years of Experience]]="","",IF(AND(tblSalaries[[#This Row],[Years of Experience]]&gt;10,tblSalaries[[#This Row],[Years of Experience]]&lt;=15),1,""))</f>
        <v/>
      </c>
      <c r="R339" t="str">
        <f>IF(tblSalaries[[#This Row],[Years of Experience]]="","",IF(AND(tblSalaries[[#This Row],[Years of Experience]]&gt;16,tblSalaries[[#This Row],[Years of Experience]]&lt;=20),1,""))</f>
        <v/>
      </c>
      <c r="S339" t="str">
        <f>IF(tblSalaries[[#This Row],[Years of Experience]]="","",IF(tblSalaries[[#This Row],[Years of Experience]]&gt;20,1,""))</f>
        <v/>
      </c>
      <c r="T3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39" s="13" t="str">
        <f>IF(tblSalaries[[#This Row],[Job Type]]=tblSalaries[[#Headers],[Accountant]],tblSalaries[[#This Row],[Salary in USD]],"")</f>
        <v/>
      </c>
      <c r="V339" s="13">
        <f>IF(tblSalaries[[#This Row],[Job Type]]=tblSalaries[[#Headers],[Analyst]],tblSalaries[[#This Row],[Salary in USD]],"")</f>
        <v>6410.8500074793246</v>
      </c>
      <c r="W339" s="13" t="str">
        <f>IF(tblSalaries[[#This Row],[Job Type]]=tblSalaries[[#Headers],[Consultant]],tblSalaries[[#This Row],[Salary in USD]],"")</f>
        <v/>
      </c>
      <c r="X339" s="13" t="str">
        <f>IF(tblSalaries[[#This Row],[Job Type]]=tblSalaries[[#Headers],[Controller]],tblSalaries[[#This Row],[Salary in USD]],"")</f>
        <v/>
      </c>
      <c r="Y339" s="13" t="str">
        <f>IF(tblSalaries[[#This Row],[Job Type]]=tblSalaries[[#Headers],[CXO or Top Mgmt.]],tblSalaries[[#This Row],[clean Salary (in local currency)]],"")</f>
        <v/>
      </c>
      <c r="Z339" s="13" t="str">
        <f>IF(tblSalaries[[#This Row],[Job Type]]=tblSalaries[[#Headers],[Engineer]],tblSalaries[[#This Row],[Salary in USD]],"")</f>
        <v/>
      </c>
      <c r="AA339" s="13" t="str">
        <f>IF(tblSalaries[[#This Row],[Job Type]]=tblSalaries[[#Headers],[Manager]],tblSalaries[[#This Row],[Salary in USD]],"")</f>
        <v/>
      </c>
      <c r="AB339" s="13" t="str">
        <f>IF(tblSalaries[[#This Row],[Job Type]]=tblSalaries[[#Headers],[Misc.]],tblSalaries[[#This Row],[Salary in USD]],"")</f>
        <v/>
      </c>
      <c r="AC339" s="13" t="str">
        <f>IF(tblSalaries[[#This Row],[Job Type]]=tblSalaries[[#Headers],[Reporting]],tblSalaries[[#This Row],[Salary in USD]],"")</f>
        <v/>
      </c>
      <c r="AD339" s="13" t="str">
        <f>IF(tblSalaries[[#This Row],[Job Type]]=tblSalaries[[#Headers],[Specialist]],tblSalaries[[#This Row],[Salary in USD]],"")</f>
        <v/>
      </c>
    </row>
    <row r="340" spans="2:30" ht="15" customHeight="1" x14ac:dyDescent="0.25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 s="9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  <c r="N340" t="str">
        <f>IF(tblSalaries[[#This Row],[Years of Experience]]="","",IF(tblSalaries[[#This Row],[Years of Experience]]&lt;=2,1,""))</f>
        <v/>
      </c>
      <c r="O340" t="str">
        <f>IF(tblSalaries[[#This Row],[Years of Experience]]="","",IF(AND(tblSalaries[[#This Row],[Years of Experience]]&gt;2,tblSalaries[[#This Row],[Years of Experience]]&lt;=5),1,""))</f>
        <v/>
      </c>
      <c r="P340" t="str">
        <f>IF(tblSalaries[[#This Row],[Years of Experience]]="","",IF(AND(tblSalaries[[#This Row],[Years of Experience]]&gt;5,tblSalaries[[#This Row],[Years of Experience]]&lt;=10),1,""))</f>
        <v/>
      </c>
      <c r="Q340" t="str">
        <f>IF(tblSalaries[[#This Row],[Years of Experience]]="","",IF(AND(tblSalaries[[#This Row],[Years of Experience]]&gt;10,tblSalaries[[#This Row],[Years of Experience]]&lt;=15),1,""))</f>
        <v/>
      </c>
      <c r="R340" t="str">
        <f>IF(tblSalaries[[#This Row],[Years of Experience]]="","",IF(AND(tblSalaries[[#This Row],[Years of Experience]]&gt;16,tblSalaries[[#This Row],[Years of Experience]]&lt;=20),1,""))</f>
        <v/>
      </c>
      <c r="S340" t="str">
        <f>IF(tblSalaries[[#This Row],[Years of Experience]]="","",IF(tblSalaries[[#This Row],[Years of Experience]]&gt;20,1,""))</f>
        <v/>
      </c>
      <c r="T3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0" s="13" t="str">
        <f>IF(tblSalaries[[#This Row],[Job Type]]=tblSalaries[[#Headers],[Accountant]],tblSalaries[[#This Row],[Salary in USD]],"")</f>
        <v/>
      </c>
      <c r="V340" s="13" t="str">
        <f>IF(tblSalaries[[#This Row],[Job Type]]=tblSalaries[[#Headers],[Analyst]],tblSalaries[[#This Row],[Salary in USD]],"")</f>
        <v/>
      </c>
      <c r="W340" s="13" t="str">
        <f>IF(tblSalaries[[#This Row],[Job Type]]=tblSalaries[[#Headers],[Consultant]],tblSalaries[[#This Row],[Salary in USD]],"")</f>
        <v/>
      </c>
      <c r="X340" s="13" t="str">
        <f>IF(tblSalaries[[#This Row],[Job Type]]=tblSalaries[[#Headers],[Controller]],tblSalaries[[#This Row],[Salary in USD]],"")</f>
        <v/>
      </c>
      <c r="Y340" s="13" t="str">
        <f>IF(tblSalaries[[#This Row],[Job Type]]=tblSalaries[[#Headers],[CXO or Top Mgmt.]],tblSalaries[[#This Row],[clean Salary (in local currency)]],"")</f>
        <v/>
      </c>
      <c r="Z340" s="13" t="str">
        <f>IF(tblSalaries[[#This Row],[Job Type]]=tblSalaries[[#Headers],[Engineer]],tblSalaries[[#This Row],[Salary in USD]],"")</f>
        <v/>
      </c>
      <c r="AA340" s="13">
        <f>IF(tblSalaries[[#This Row],[Job Type]]=tblSalaries[[#Headers],[Manager]],tblSalaries[[#This Row],[Salary in USD]],"")</f>
        <v>29000</v>
      </c>
      <c r="AB340" s="13" t="str">
        <f>IF(tblSalaries[[#This Row],[Job Type]]=tblSalaries[[#Headers],[Misc.]],tblSalaries[[#This Row],[Salary in USD]],"")</f>
        <v/>
      </c>
      <c r="AC340" s="13" t="str">
        <f>IF(tblSalaries[[#This Row],[Job Type]]=tblSalaries[[#Headers],[Reporting]],tblSalaries[[#This Row],[Salary in USD]],"")</f>
        <v/>
      </c>
      <c r="AD340" s="13" t="str">
        <f>IF(tblSalaries[[#This Row],[Job Type]]=tblSalaries[[#Headers],[Specialist]],tblSalaries[[#This Row],[Salary in USD]],"")</f>
        <v/>
      </c>
    </row>
    <row r="341" spans="2:30" ht="15" customHeight="1" x14ac:dyDescent="0.25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 s="9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  <c r="N341" t="str">
        <f>IF(tblSalaries[[#This Row],[Years of Experience]]="","",IF(tblSalaries[[#This Row],[Years of Experience]]&lt;=2,1,""))</f>
        <v/>
      </c>
      <c r="O341" t="str">
        <f>IF(tblSalaries[[#This Row],[Years of Experience]]="","",IF(AND(tblSalaries[[#This Row],[Years of Experience]]&gt;2,tblSalaries[[#This Row],[Years of Experience]]&lt;=5),1,""))</f>
        <v/>
      </c>
      <c r="P341" t="str">
        <f>IF(tblSalaries[[#This Row],[Years of Experience]]="","",IF(AND(tblSalaries[[#This Row],[Years of Experience]]&gt;5,tblSalaries[[#This Row],[Years of Experience]]&lt;=10),1,""))</f>
        <v/>
      </c>
      <c r="Q341" t="str">
        <f>IF(tblSalaries[[#This Row],[Years of Experience]]="","",IF(AND(tblSalaries[[#This Row],[Years of Experience]]&gt;10,tblSalaries[[#This Row],[Years of Experience]]&lt;=15),1,""))</f>
        <v/>
      </c>
      <c r="R341" t="str">
        <f>IF(tblSalaries[[#This Row],[Years of Experience]]="","",IF(AND(tblSalaries[[#This Row],[Years of Experience]]&gt;16,tblSalaries[[#This Row],[Years of Experience]]&lt;=20),1,""))</f>
        <v/>
      </c>
      <c r="S341" t="str">
        <f>IF(tblSalaries[[#This Row],[Years of Experience]]="","",IF(tblSalaries[[#This Row],[Years of Experience]]&gt;20,1,""))</f>
        <v/>
      </c>
      <c r="T3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1" s="13" t="str">
        <f>IF(tblSalaries[[#This Row],[Job Type]]=tblSalaries[[#Headers],[Accountant]],tblSalaries[[#This Row],[Salary in USD]],"")</f>
        <v/>
      </c>
      <c r="V341" s="13" t="str">
        <f>IF(tblSalaries[[#This Row],[Job Type]]=tblSalaries[[#Headers],[Analyst]],tblSalaries[[#This Row],[Salary in USD]],"")</f>
        <v/>
      </c>
      <c r="W341" s="13" t="str">
        <f>IF(tblSalaries[[#This Row],[Job Type]]=tblSalaries[[#Headers],[Consultant]],tblSalaries[[#This Row],[Salary in USD]],"")</f>
        <v/>
      </c>
      <c r="X341" s="13" t="str">
        <f>IF(tblSalaries[[#This Row],[Job Type]]=tblSalaries[[#Headers],[Controller]],tblSalaries[[#This Row],[Salary in USD]],"")</f>
        <v/>
      </c>
      <c r="Y341" s="13" t="str">
        <f>IF(tblSalaries[[#This Row],[Job Type]]=tblSalaries[[#Headers],[CXO or Top Mgmt.]],tblSalaries[[#This Row],[clean Salary (in local currency)]],"")</f>
        <v/>
      </c>
      <c r="Z341" s="13" t="str">
        <f>IF(tblSalaries[[#This Row],[Job Type]]=tblSalaries[[#Headers],[Engineer]],tblSalaries[[#This Row],[Salary in USD]],"")</f>
        <v/>
      </c>
      <c r="AA341" s="13">
        <f>IF(tblSalaries[[#This Row],[Job Type]]=tblSalaries[[#Headers],[Manager]],tblSalaries[[#This Row],[Salary in USD]],"")</f>
        <v>13000</v>
      </c>
      <c r="AB341" s="13" t="str">
        <f>IF(tblSalaries[[#This Row],[Job Type]]=tblSalaries[[#Headers],[Misc.]],tblSalaries[[#This Row],[Salary in USD]],"")</f>
        <v/>
      </c>
      <c r="AC341" s="13" t="str">
        <f>IF(tblSalaries[[#This Row],[Job Type]]=tblSalaries[[#Headers],[Reporting]],tblSalaries[[#This Row],[Salary in USD]],"")</f>
        <v/>
      </c>
      <c r="AD341" s="13" t="str">
        <f>IF(tblSalaries[[#This Row],[Job Type]]=tblSalaries[[#Headers],[Specialist]],tblSalaries[[#This Row],[Salary in USD]],"")</f>
        <v/>
      </c>
    </row>
    <row r="342" spans="2:30" ht="15" customHeight="1" x14ac:dyDescent="0.25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 s="9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  <c r="N342" t="str">
        <f>IF(tblSalaries[[#This Row],[Years of Experience]]="","",IF(tblSalaries[[#This Row],[Years of Experience]]&lt;=2,1,""))</f>
        <v/>
      </c>
      <c r="O342" t="str">
        <f>IF(tblSalaries[[#This Row],[Years of Experience]]="","",IF(AND(tblSalaries[[#This Row],[Years of Experience]]&gt;2,tblSalaries[[#This Row],[Years of Experience]]&lt;=5),1,""))</f>
        <v/>
      </c>
      <c r="P342" t="str">
        <f>IF(tblSalaries[[#This Row],[Years of Experience]]="","",IF(AND(tblSalaries[[#This Row],[Years of Experience]]&gt;5,tblSalaries[[#This Row],[Years of Experience]]&lt;=10),1,""))</f>
        <v/>
      </c>
      <c r="Q342" t="str">
        <f>IF(tblSalaries[[#This Row],[Years of Experience]]="","",IF(AND(tblSalaries[[#This Row],[Years of Experience]]&gt;10,tblSalaries[[#This Row],[Years of Experience]]&lt;=15),1,""))</f>
        <v/>
      </c>
      <c r="R342" t="str">
        <f>IF(tblSalaries[[#This Row],[Years of Experience]]="","",IF(AND(tblSalaries[[#This Row],[Years of Experience]]&gt;16,tblSalaries[[#This Row],[Years of Experience]]&lt;=20),1,""))</f>
        <v/>
      </c>
      <c r="S342" t="str">
        <f>IF(tblSalaries[[#This Row],[Years of Experience]]="","",IF(tblSalaries[[#This Row],[Years of Experience]]&gt;20,1,""))</f>
        <v/>
      </c>
      <c r="T3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2" s="13" t="str">
        <f>IF(tblSalaries[[#This Row],[Job Type]]=tblSalaries[[#Headers],[Accountant]],tblSalaries[[#This Row],[Salary in USD]],"")</f>
        <v/>
      </c>
      <c r="V342" s="13">
        <f>IF(tblSalaries[[#This Row],[Job Type]]=tblSalaries[[#Headers],[Analyst]],tblSalaries[[#This Row],[Salary in USD]],"")</f>
        <v>63000</v>
      </c>
      <c r="W342" s="13" t="str">
        <f>IF(tblSalaries[[#This Row],[Job Type]]=tblSalaries[[#Headers],[Consultant]],tblSalaries[[#This Row],[Salary in USD]],"")</f>
        <v/>
      </c>
      <c r="X342" s="13" t="str">
        <f>IF(tblSalaries[[#This Row],[Job Type]]=tblSalaries[[#Headers],[Controller]],tblSalaries[[#This Row],[Salary in USD]],"")</f>
        <v/>
      </c>
      <c r="Y342" s="13" t="str">
        <f>IF(tblSalaries[[#This Row],[Job Type]]=tblSalaries[[#Headers],[CXO or Top Mgmt.]],tblSalaries[[#This Row],[clean Salary (in local currency)]],"")</f>
        <v/>
      </c>
      <c r="Z342" s="13" t="str">
        <f>IF(tblSalaries[[#This Row],[Job Type]]=tblSalaries[[#Headers],[Engineer]],tblSalaries[[#This Row],[Salary in USD]],"")</f>
        <v/>
      </c>
      <c r="AA342" s="13" t="str">
        <f>IF(tblSalaries[[#This Row],[Job Type]]=tblSalaries[[#Headers],[Manager]],tblSalaries[[#This Row],[Salary in USD]],"")</f>
        <v/>
      </c>
      <c r="AB342" s="13" t="str">
        <f>IF(tblSalaries[[#This Row],[Job Type]]=tblSalaries[[#Headers],[Misc.]],tblSalaries[[#This Row],[Salary in USD]],"")</f>
        <v/>
      </c>
      <c r="AC342" s="13" t="str">
        <f>IF(tblSalaries[[#This Row],[Job Type]]=tblSalaries[[#Headers],[Reporting]],tblSalaries[[#This Row],[Salary in USD]],"")</f>
        <v/>
      </c>
      <c r="AD342" s="13" t="str">
        <f>IF(tblSalaries[[#This Row],[Job Type]]=tblSalaries[[#Headers],[Specialist]],tblSalaries[[#This Row],[Salary in USD]],"")</f>
        <v/>
      </c>
    </row>
    <row r="343" spans="2:30" ht="15" customHeight="1" x14ac:dyDescent="0.25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 s="9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  <c r="N343" t="str">
        <f>IF(tblSalaries[[#This Row],[Years of Experience]]="","",IF(tblSalaries[[#This Row],[Years of Experience]]&lt;=2,1,""))</f>
        <v/>
      </c>
      <c r="O343" t="str">
        <f>IF(tblSalaries[[#This Row],[Years of Experience]]="","",IF(AND(tblSalaries[[#This Row],[Years of Experience]]&gt;2,tblSalaries[[#This Row],[Years of Experience]]&lt;=5),1,""))</f>
        <v/>
      </c>
      <c r="P343" t="str">
        <f>IF(tblSalaries[[#This Row],[Years of Experience]]="","",IF(AND(tblSalaries[[#This Row],[Years of Experience]]&gt;5,tblSalaries[[#This Row],[Years of Experience]]&lt;=10),1,""))</f>
        <v/>
      </c>
      <c r="Q343" t="str">
        <f>IF(tblSalaries[[#This Row],[Years of Experience]]="","",IF(AND(tblSalaries[[#This Row],[Years of Experience]]&gt;10,tblSalaries[[#This Row],[Years of Experience]]&lt;=15),1,""))</f>
        <v/>
      </c>
      <c r="R343" t="str">
        <f>IF(tblSalaries[[#This Row],[Years of Experience]]="","",IF(AND(tblSalaries[[#This Row],[Years of Experience]]&gt;16,tblSalaries[[#This Row],[Years of Experience]]&lt;=20),1,""))</f>
        <v/>
      </c>
      <c r="S343" t="str">
        <f>IF(tblSalaries[[#This Row],[Years of Experience]]="","",IF(tblSalaries[[#This Row],[Years of Experience]]&gt;20,1,""))</f>
        <v/>
      </c>
      <c r="T3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3" s="13" t="str">
        <f>IF(tblSalaries[[#This Row],[Job Type]]=tblSalaries[[#Headers],[Accountant]],tblSalaries[[#This Row],[Salary in USD]],"")</f>
        <v/>
      </c>
      <c r="V343" s="13">
        <f>IF(tblSalaries[[#This Row],[Job Type]]=tblSalaries[[#Headers],[Analyst]],tblSalaries[[#This Row],[Salary in USD]],"")</f>
        <v>95000</v>
      </c>
      <c r="W343" s="13" t="str">
        <f>IF(tblSalaries[[#This Row],[Job Type]]=tblSalaries[[#Headers],[Consultant]],tblSalaries[[#This Row],[Salary in USD]],"")</f>
        <v/>
      </c>
      <c r="X343" s="13" t="str">
        <f>IF(tblSalaries[[#This Row],[Job Type]]=tblSalaries[[#Headers],[Controller]],tblSalaries[[#This Row],[Salary in USD]],"")</f>
        <v/>
      </c>
      <c r="Y343" s="13" t="str">
        <f>IF(tblSalaries[[#This Row],[Job Type]]=tblSalaries[[#Headers],[CXO or Top Mgmt.]],tblSalaries[[#This Row],[clean Salary (in local currency)]],"")</f>
        <v/>
      </c>
      <c r="Z343" s="13" t="str">
        <f>IF(tblSalaries[[#This Row],[Job Type]]=tblSalaries[[#Headers],[Engineer]],tblSalaries[[#This Row],[Salary in USD]],"")</f>
        <v/>
      </c>
      <c r="AA343" s="13" t="str">
        <f>IF(tblSalaries[[#This Row],[Job Type]]=tblSalaries[[#Headers],[Manager]],tblSalaries[[#This Row],[Salary in USD]],"")</f>
        <v/>
      </c>
      <c r="AB343" s="13" t="str">
        <f>IF(tblSalaries[[#This Row],[Job Type]]=tblSalaries[[#Headers],[Misc.]],tblSalaries[[#This Row],[Salary in USD]],"")</f>
        <v/>
      </c>
      <c r="AC343" s="13" t="str">
        <f>IF(tblSalaries[[#This Row],[Job Type]]=tblSalaries[[#Headers],[Reporting]],tblSalaries[[#This Row],[Salary in USD]],"")</f>
        <v/>
      </c>
      <c r="AD343" s="13" t="str">
        <f>IF(tblSalaries[[#This Row],[Job Type]]=tblSalaries[[#Headers],[Specialist]],tblSalaries[[#This Row],[Salary in USD]],"")</f>
        <v/>
      </c>
    </row>
    <row r="344" spans="2:30" ht="15" customHeight="1" x14ac:dyDescent="0.25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 s="9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  <c r="N344" t="str">
        <f>IF(tblSalaries[[#This Row],[Years of Experience]]="","",IF(tblSalaries[[#This Row],[Years of Experience]]&lt;=2,1,""))</f>
        <v/>
      </c>
      <c r="O344" t="str">
        <f>IF(tblSalaries[[#This Row],[Years of Experience]]="","",IF(AND(tblSalaries[[#This Row],[Years of Experience]]&gt;2,tblSalaries[[#This Row],[Years of Experience]]&lt;=5),1,""))</f>
        <v/>
      </c>
      <c r="P344" t="str">
        <f>IF(tblSalaries[[#This Row],[Years of Experience]]="","",IF(AND(tblSalaries[[#This Row],[Years of Experience]]&gt;5,tblSalaries[[#This Row],[Years of Experience]]&lt;=10),1,""))</f>
        <v/>
      </c>
      <c r="Q344" t="str">
        <f>IF(tblSalaries[[#This Row],[Years of Experience]]="","",IF(AND(tblSalaries[[#This Row],[Years of Experience]]&gt;10,tblSalaries[[#This Row],[Years of Experience]]&lt;=15),1,""))</f>
        <v/>
      </c>
      <c r="R344" t="str">
        <f>IF(tblSalaries[[#This Row],[Years of Experience]]="","",IF(AND(tblSalaries[[#This Row],[Years of Experience]]&gt;16,tblSalaries[[#This Row],[Years of Experience]]&lt;=20),1,""))</f>
        <v/>
      </c>
      <c r="S344" t="str">
        <f>IF(tblSalaries[[#This Row],[Years of Experience]]="","",IF(tblSalaries[[#This Row],[Years of Experience]]&gt;20,1,""))</f>
        <v/>
      </c>
      <c r="T3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4" s="13" t="str">
        <f>IF(tblSalaries[[#This Row],[Job Type]]=tblSalaries[[#Headers],[Accountant]],tblSalaries[[#This Row],[Salary in USD]],"")</f>
        <v/>
      </c>
      <c r="V344" s="13">
        <f>IF(tblSalaries[[#This Row],[Job Type]]=tblSalaries[[#Headers],[Analyst]],tblSalaries[[#This Row],[Salary in USD]],"")</f>
        <v>100000</v>
      </c>
      <c r="W344" s="13" t="str">
        <f>IF(tblSalaries[[#This Row],[Job Type]]=tblSalaries[[#Headers],[Consultant]],tblSalaries[[#This Row],[Salary in USD]],"")</f>
        <v/>
      </c>
      <c r="X344" s="13" t="str">
        <f>IF(tblSalaries[[#This Row],[Job Type]]=tblSalaries[[#Headers],[Controller]],tblSalaries[[#This Row],[Salary in USD]],"")</f>
        <v/>
      </c>
      <c r="Y344" s="13" t="str">
        <f>IF(tblSalaries[[#This Row],[Job Type]]=tblSalaries[[#Headers],[CXO or Top Mgmt.]],tblSalaries[[#This Row],[clean Salary (in local currency)]],"")</f>
        <v/>
      </c>
      <c r="Z344" s="13" t="str">
        <f>IF(tblSalaries[[#This Row],[Job Type]]=tblSalaries[[#Headers],[Engineer]],tblSalaries[[#This Row],[Salary in USD]],"")</f>
        <v/>
      </c>
      <c r="AA344" s="13" t="str">
        <f>IF(tblSalaries[[#This Row],[Job Type]]=tblSalaries[[#Headers],[Manager]],tblSalaries[[#This Row],[Salary in USD]],"")</f>
        <v/>
      </c>
      <c r="AB344" s="13" t="str">
        <f>IF(tblSalaries[[#This Row],[Job Type]]=tblSalaries[[#Headers],[Misc.]],tblSalaries[[#This Row],[Salary in USD]],"")</f>
        <v/>
      </c>
      <c r="AC344" s="13" t="str">
        <f>IF(tblSalaries[[#This Row],[Job Type]]=tblSalaries[[#Headers],[Reporting]],tblSalaries[[#This Row],[Salary in USD]],"")</f>
        <v/>
      </c>
      <c r="AD344" s="13" t="str">
        <f>IF(tblSalaries[[#This Row],[Job Type]]=tblSalaries[[#Headers],[Specialist]],tblSalaries[[#This Row],[Salary in USD]],"")</f>
        <v/>
      </c>
    </row>
    <row r="345" spans="2:30" ht="15" customHeight="1" x14ac:dyDescent="0.25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 s="9">
        <f>tblSalaries[[#This Row],[clean Salary (in local currency)]]*VLOOKUP(tblSalaries[[#This Row],[Currency]],tblXrate[],2,FALSE)</f>
        <v>3800</v>
      </c>
      <c r="H345" t="s">
        <v>429</v>
      </c>
      <c r="I345" t="s">
        <v>3999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  <c r="N345" t="str">
        <f>IF(tblSalaries[[#This Row],[Years of Experience]]="","",IF(tblSalaries[[#This Row],[Years of Experience]]&lt;=2,1,""))</f>
        <v/>
      </c>
      <c r="O345" t="str">
        <f>IF(tblSalaries[[#This Row],[Years of Experience]]="","",IF(AND(tblSalaries[[#This Row],[Years of Experience]]&gt;2,tblSalaries[[#This Row],[Years of Experience]]&lt;=5),1,""))</f>
        <v/>
      </c>
      <c r="P345" t="str">
        <f>IF(tblSalaries[[#This Row],[Years of Experience]]="","",IF(AND(tblSalaries[[#This Row],[Years of Experience]]&gt;5,tblSalaries[[#This Row],[Years of Experience]]&lt;=10),1,""))</f>
        <v/>
      </c>
      <c r="Q345" t="str">
        <f>IF(tblSalaries[[#This Row],[Years of Experience]]="","",IF(AND(tblSalaries[[#This Row],[Years of Experience]]&gt;10,tblSalaries[[#This Row],[Years of Experience]]&lt;=15),1,""))</f>
        <v/>
      </c>
      <c r="R345" t="str">
        <f>IF(tblSalaries[[#This Row],[Years of Experience]]="","",IF(AND(tblSalaries[[#This Row],[Years of Experience]]&gt;16,tblSalaries[[#This Row],[Years of Experience]]&lt;=20),1,""))</f>
        <v/>
      </c>
      <c r="S345" t="str">
        <f>IF(tblSalaries[[#This Row],[Years of Experience]]="","",IF(tblSalaries[[#This Row],[Years of Experience]]&gt;20,1,""))</f>
        <v/>
      </c>
      <c r="T3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5" s="13" t="str">
        <f>IF(tblSalaries[[#This Row],[Job Type]]=tblSalaries[[#Headers],[Accountant]],tblSalaries[[#This Row],[Salary in USD]],"")</f>
        <v/>
      </c>
      <c r="V345" s="13" t="str">
        <f>IF(tblSalaries[[#This Row],[Job Type]]=tblSalaries[[#Headers],[Analyst]],tblSalaries[[#This Row],[Salary in USD]],"")</f>
        <v/>
      </c>
      <c r="W345" s="13" t="str">
        <f>IF(tblSalaries[[#This Row],[Job Type]]=tblSalaries[[#Headers],[Consultant]],tblSalaries[[#This Row],[Salary in USD]],"")</f>
        <v/>
      </c>
      <c r="X345" s="13" t="str">
        <f>IF(tblSalaries[[#This Row],[Job Type]]=tblSalaries[[#Headers],[Controller]],tblSalaries[[#This Row],[Salary in USD]],"")</f>
        <v/>
      </c>
      <c r="Y345" s="13" t="str">
        <f>IF(tblSalaries[[#This Row],[Job Type]]=tblSalaries[[#Headers],[CXO or Top Mgmt.]],tblSalaries[[#This Row],[clean Salary (in local currency)]],"")</f>
        <v/>
      </c>
      <c r="Z345" s="13" t="str">
        <f>IF(tblSalaries[[#This Row],[Job Type]]=tblSalaries[[#Headers],[Engineer]],tblSalaries[[#This Row],[Salary in USD]],"")</f>
        <v/>
      </c>
      <c r="AA345" s="13" t="str">
        <f>IF(tblSalaries[[#This Row],[Job Type]]=tblSalaries[[#Headers],[Manager]],tblSalaries[[#This Row],[Salary in USD]],"")</f>
        <v/>
      </c>
      <c r="AB345" s="13" t="str">
        <f>IF(tblSalaries[[#This Row],[Job Type]]=tblSalaries[[#Headers],[Misc.]],tblSalaries[[#This Row],[Salary in USD]],"")</f>
        <v/>
      </c>
      <c r="AC345" s="13">
        <f>IF(tblSalaries[[#This Row],[Job Type]]=tblSalaries[[#Headers],[Reporting]],tblSalaries[[#This Row],[Salary in USD]],"")</f>
        <v>3800</v>
      </c>
      <c r="AD345" s="13" t="str">
        <f>IF(tblSalaries[[#This Row],[Job Type]]=tblSalaries[[#Headers],[Specialist]],tblSalaries[[#This Row],[Salary in USD]],"")</f>
        <v/>
      </c>
    </row>
    <row r="346" spans="2:30" ht="15" customHeight="1" x14ac:dyDescent="0.25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 s="9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  <c r="N346" t="str">
        <f>IF(tblSalaries[[#This Row],[Years of Experience]]="","",IF(tblSalaries[[#This Row],[Years of Experience]]&lt;=2,1,""))</f>
        <v/>
      </c>
      <c r="O346" t="str">
        <f>IF(tblSalaries[[#This Row],[Years of Experience]]="","",IF(AND(tblSalaries[[#This Row],[Years of Experience]]&gt;2,tblSalaries[[#This Row],[Years of Experience]]&lt;=5),1,""))</f>
        <v/>
      </c>
      <c r="P346" t="str">
        <f>IF(tblSalaries[[#This Row],[Years of Experience]]="","",IF(AND(tblSalaries[[#This Row],[Years of Experience]]&gt;5,tblSalaries[[#This Row],[Years of Experience]]&lt;=10),1,""))</f>
        <v/>
      </c>
      <c r="Q346" t="str">
        <f>IF(tblSalaries[[#This Row],[Years of Experience]]="","",IF(AND(tblSalaries[[#This Row],[Years of Experience]]&gt;10,tblSalaries[[#This Row],[Years of Experience]]&lt;=15),1,""))</f>
        <v/>
      </c>
      <c r="R346" t="str">
        <f>IF(tblSalaries[[#This Row],[Years of Experience]]="","",IF(AND(tblSalaries[[#This Row],[Years of Experience]]&gt;16,tblSalaries[[#This Row],[Years of Experience]]&lt;=20),1,""))</f>
        <v/>
      </c>
      <c r="S346" t="str">
        <f>IF(tblSalaries[[#This Row],[Years of Experience]]="","",IF(tblSalaries[[#This Row],[Years of Experience]]&gt;20,1,""))</f>
        <v/>
      </c>
      <c r="T3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6" s="13" t="str">
        <f>IF(tblSalaries[[#This Row],[Job Type]]=tblSalaries[[#Headers],[Accountant]],tblSalaries[[#This Row],[Salary in USD]],"")</f>
        <v/>
      </c>
      <c r="V346" s="13" t="str">
        <f>IF(tblSalaries[[#This Row],[Job Type]]=tblSalaries[[#Headers],[Analyst]],tblSalaries[[#This Row],[Salary in USD]],"")</f>
        <v/>
      </c>
      <c r="W346" s="13">
        <f>IF(tblSalaries[[#This Row],[Job Type]]=tblSalaries[[#Headers],[Consultant]],tblSalaries[[#This Row],[Salary in USD]],"")</f>
        <v>11400</v>
      </c>
      <c r="X346" s="13" t="str">
        <f>IF(tblSalaries[[#This Row],[Job Type]]=tblSalaries[[#Headers],[Controller]],tblSalaries[[#This Row],[Salary in USD]],"")</f>
        <v/>
      </c>
      <c r="Y346" s="13" t="str">
        <f>IF(tblSalaries[[#This Row],[Job Type]]=tblSalaries[[#Headers],[CXO or Top Mgmt.]],tblSalaries[[#This Row],[clean Salary (in local currency)]],"")</f>
        <v/>
      </c>
      <c r="Z346" s="13" t="str">
        <f>IF(tblSalaries[[#This Row],[Job Type]]=tblSalaries[[#Headers],[Engineer]],tblSalaries[[#This Row],[Salary in USD]],"")</f>
        <v/>
      </c>
      <c r="AA346" s="13" t="str">
        <f>IF(tblSalaries[[#This Row],[Job Type]]=tblSalaries[[#Headers],[Manager]],tblSalaries[[#This Row],[Salary in USD]],"")</f>
        <v/>
      </c>
      <c r="AB346" s="13" t="str">
        <f>IF(tblSalaries[[#This Row],[Job Type]]=tblSalaries[[#Headers],[Misc.]],tblSalaries[[#This Row],[Salary in USD]],"")</f>
        <v/>
      </c>
      <c r="AC346" s="13" t="str">
        <f>IF(tblSalaries[[#This Row],[Job Type]]=tblSalaries[[#Headers],[Reporting]],tblSalaries[[#This Row],[Salary in USD]],"")</f>
        <v/>
      </c>
      <c r="AD346" s="13" t="str">
        <f>IF(tblSalaries[[#This Row],[Job Type]]=tblSalaries[[#Headers],[Specialist]],tblSalaries[[#This Row],[Salary in USD]],"")</f>
        <v/>
      </c>
    </row>
    <row r="347" spans="2:30" ht="15" customHeight="1" x14ac:dyDescent="0.25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 s="9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  <c r="N347" t="str">
        <f>IF(tblSalaries[[#This Row],[Years of Experience]]="","",IF(tblSalaries[[#This Row],[Years of Experience]]&lt;=2,1,""))</f>
        <v/>
      </c>
      <c r="O347" t="str">
        <f>IF(tblSalaries[[#This Row],[Years of Experience]]="","",IF(AND(tblSalaries[[#This Row],[Years of Experience]]&gt;2,tblSalaries[[#This Row],[Years of Experience]]&lt;=5),1,""))</f>
        <v/>
      </c>
      <c r="P347" t="str">
        <f>IF(tblSalaries[[#This Row],[Years of Experience]]="","",IF(AND(tblSalaries[[#This Row],[Years of Experience]]&gt;5,tblSalaries[[#This Row],[Years of Experience]]&lt;=10),1,""))</f>
        <v/>
      </c>
      <c r="Q347" t="str">
        <f>IF(tblSalaries[[#This Row],[Years of Experience]]="","",IF(AND(tblSalaries[[#This Row],[Years of Experience]]&gt;10,tblSalaries[[#This Row],[Years of Experience]]&lt;=15),1,""))</f>
        <v/>
      </c>
      <c r="R347" t="str">
        <f>IF(tblSalaries[[#This Row],[Years of Experience]]="","",IF(AND(tblSalaries[[#This Row],[Years of Experience]]&gt;16,tblSalaries[[#This Row],[Years of Experience]]&lt;=20),1,""))</f>
        <v/>
      </c>
      <c r="S347" t="str">
        <f>IF(tblSalaries[[#This Row],[Years of Experience]]="","",IF(tblSalaries[[#This Row],[Years of Experience]]&gt;20,1,""))</f>
        <v/>
      </c>
      <c r="T3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7" s="13" t="str">
        <f>IF(tblSalaries[[#This Row],[Job Type]]=tblSalaries[[#Headers],[Accountant]],tblSalaries[[#This Row],[Salary in USD]],"")</f>
        <v/>
      </c>
      <c r="V347" s="13">
        <f>IF(tblSalaries[[#This Row],[Job Type]]=tblSalaries[[#Headers],[Analyst]],tblSalaries[[#This Row],[Salary in USD]],"")</f>
        <v>55068.245289698301</v>
      </c>
      <c r="W347" s="13" t="str">
        <f>IF(tblSalaries[[#This Row],[Job Type]]=tblSalaries[[#Headers],[Consultant]],tblSalaries[[#This Row],[Salary in USD]],"")</f>
        <v/>
      </c>
      <c r="X347" s="13" t="str">
        <f>IF(tblSalaries[[#This Row],[Job Type]]=tblSalaries[[#Headers],[Controller]],tblSalaries[[#This Row],[Salary in USD]],"")</f>
        <v/>
      </c>
      <c r="Y347" s="13" t="str">
        <f>IF(tblSalaries[[#This Row],[Job Type]]=tblSalaries[[#Headers],[CXO or Top Mgmt.]],tblSalaries[[#This Row],[clean Salary (in local currency)]],"")</f>
        <v/>
      </c>
      <c r="Z347" s="13" t="str">
        <f>IF(tblSalaries[[#This Row],[Job Type]]=tblSalaries[[#Headers],[Engineer]],tblSalaries[[#This Row],[Salary in USD]],"")</f>
        <v/>
      </c>
      <c r="AA347" s="13" t="str">
        <f>IF(tblSalaries[[#This Row],[Job Type]]=tblSalaries[[#Headers],[Manager]],tblSalaries[[#This Row],[Salary in USD]],"")</f>
        <v/>
      </c>
      <c r="AB347" s="13" t="str">
        <f>IF(tblSalaries[[#This Row],[Job Type]]=tblSalaries[[#Headers],[Misc.]],tblSalaries[[#This Row],[Salary in USD]],"")</f>
        <v/>
      </c>
      <c r="AC347" s="13" t="str">
        <f>IF(tblSalaries[[#This Row],[Job Type]]=tblSalaries[[#Headers],[Reporting]],tblSalaries[[#This Row],[Salary in USD]],"")</f>
        <v/>
      </c>
      <c r="AD347" s="13" t="str">
        <f>IF(tblSalaries[[#This Row],[Job Type]]=tblSalaries[[#Headers],[Specialist]],tblSalaries[[#This Row],[Salary in USD]],"")</f>
        <v/>
      </c>
    </row>
    <row r="348" spans="2:30" ht="15" customHeight="1" x14ac:dyDescent="0.25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 s="9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  <c r="N348" t="str">
        <f>IF(tblSalaries[[#This Row],[Years of Experience]]="","",IF(tblSalaries[[#This Row],[Years of Experience]]&lt;=2,1,""))</f>
        <v/>
      </c>
      <c r="O348" t="str">
        <f>IF(tblSalaries[[#This Row],[Years of Experience]]="","",IF(AND(tblSalaries[[#This Row],[Years of Experience]]&gt;2,tblSalaries[[#This Row],[Years of Experience]]&lt;=5),1,""))</f>
        <v/>
      </c>
      <c r="P348" t="str">
        <f>IF(tblSalaries[[#This Row],[Years of Experience]]="","",IF(AND(tblSalaries[[#This Row],[Years of Experience]]&gt;5,tblSalaries[[#This Row],[Years of Experience]]&lt;=10),1,""))</f>
        <v/>
      </c>
      <c r="Q348" t="str">
        <f>IF(tblSalaries[[#This Row],[Years of Experience]]="","",IF(AND(tblSalaries[[#This Row],[Years of Experience]]&gt;10,tblSalaries[[#This Row],[Years of Experience]]&lt;=15),1,""))</f>
        <v/>
      </c>
      <c r="R348" t="str">
        <f>IF(tblSalaries[[#This Row],[Years of Experience]]="","",IF(AND(tblSalaries[[#This Row],[Years of Experience]]&gt;16,tblSalaries[[#This Row],[Years of Experience]]&lt;=20),1,""))</f>
        <v/>
      </c>
      <c r="S348" t="str">
        <f>IF(tblSalaries[[#This Row],[Years of Experience]]="","",IF(tblSalaries[[#This Row],[Years of Experience]]&gt;20,1,""))</f>
        <v/>
      </c>
      <c r="T3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8" s="13" t="str">
        <f>IF(tblSalaries[[#This Row],[Job Type]]=tblSalaries[[#Headers],[Accountant]],tblSalaries[[#This Row],[Salary in USD]],"")</f>
        <v/>
      </c>
      <c r="V348" s="13" t="str">
        <f>IF(tblSalaries[[#This Row],[Job Type]]=tblSalaries[[#Headers],[Analyst]],tblSalaries[[#This Row],[Salary in USD]],"")</f>
        <v/>
      </c>
      <c r="W348" s="13" t="str">
        <f>IF(tblSalaries[[#This Row],[Job Type]]=tblSalaries[[#Headers],[Consultant]],tblSalaries[[#This Row],[Salary in USD]],"")</f>
        <v/>
      </c>
      <c r="X348" s="13" t="str">
        <f>IF(tblSalaries[[#This Row],[Job Type]]=tblSalaries[[#Headers],[Controller]],tblSalaries[[#This Row],[Salary in USD]],"")</f>
        <v/>
      </c>
      <c r="Y348" s="13" t="str">
        <f>IF(tblSalaries[[#This Row],[Job Type]]=tblSalaries[[#Headers],[CXO or Top Mgmt.]],tblSalaries[[#This Row],[clean Salary (in local currency)]],"")</f>
        <v/>
      </c>
      <c r="Z348" s="13" t="str">
        <f>IF(tblSalaries[[#This Row],[Job Type]]=tblSalaries[[#Headers],[Engineer]],tblSalaries[[#This Row],[Salary in USD]],"")</f>
        <v/>
      </c>
      <c r="AA348" s="13">
        <f>IF(tblSalaries[[#This Row],[Job Type]]=tblSalaries[[#Headers],[Manager]],tblSalaries[[#This Row],[Salary in USD]],"")</f>
        <v>53000</v>
      </c>
      <c r="AB348" s="13" t="str">
        <f>IF(tblSalaries[[#This Row],[Job Type]]=tblSalaries[[#Headers],[Misc.]],tblSalaries[[#This Row],[Salary in USD]],"")</f>
        <v/>
      </c>
      <c r="AC348" s="13" t="str">
        <f>IF(tblSalaries[[#This Row],[Job Type]]=tblSalaries[[#Headers],[Reporting]],tblSalaries[[#This Row],[Salary in USD]],"")</f>
        <v/>
      </c>
      <c r="AD348" s="13" t="str">
        <f>IF(tblSalaries[[#This Row],[Job Type]]=tblSalaries[[#Headers],[Specialist]],tblSalaries[[#This Row],[Salary in USD]],"")</f>
        <v/>
      </c>
    </row>
    <row r="349" spans="2:30" ht="15" customHeight="1" x14ac:dyDescent="0.25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 s="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  <c r="N349" t="str">
        <f>IF(tblSalaries[[#This Row],[Years of Experience]]="","",IF(tblSalaries[[#This Row],[Years of Experience]]&lt;=2,1,""))</f>
        <v/>
      </c>
      <c r="O349" t="str">
        <f>IF(tblSalaries[[#This Row],[Years of Experience]]="","",IF(AND(tblSalaries[[#This Row],[Years of Experience]]&gt;2,tblSalaries[[#This Row],[Years of Experience]]&lt;=5),1,""))</f>
        <v/>
      </c>
      <c r="P349" t="str">
        <f>IF(tblSalaries[[#This Row],[Years of Experience]]="","",IF(AND(tblSalaries[[#This Row],[Years of Experience]]&gt;5,tblSalaries[[#This Row],[Years of Experience]]&lt;=10),1,""))</f>
        <v/>
      </c>
      <c r="Q349" t="str">
        <f>IF(tblSalaries[[#This Row],[Years of Experience]]="","",IF(AND(tblSalaries[[#This Row],[Years of Experience]]&gt;10,tblSalaries[[#This Row],[Years of Experience]]&lt;=15),1,""))</f>
        <v/>
      </c>
      <c r="R349" t="str">
        <f>IF(tblSalaries[[#This Row],[Years of Experience]]="","",IF(AND(tblSalaries[[#This Row],[Years of Experience]]&gt;16,tblSalaries[[#This Row],[Years of Experience]]&lt;=20),1,""))</f>
        <v/>
      </c>
      <c r="S349" t="str">
        <f>IF(tblSalaries[[#This Row],[Years of Experience]]="","",IF(tblSalaries[[#This Row],[Years of Experience]]&gt;20,1,""))</f>
        <v/>
      </c>
      <c r="T3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49" s="13" t="str">
        <f>IF(tblSalaries[[#This Row],[Job Type]]=tblSalaries[[#Headers],[Accountant]],tblSalaries[[#This Row],[Salary in USD]],"")</f>
        <v/>
      </c>
      <c r="V349" s="13" t="str">
        <f>IF(tblSalaries[[#This Row],[Job Type]]=tblSalaries[[#Headers],[Analyst]],tblSalaries[[#This Row],[Salary in USD]],"")</f>
        <v/>
      </c>
      <c r="W349" s="13" t="str">
        <f>IF(tblSalaries[[#This Row],[Job Type]]=tblSalaries[[#Headers],[Consultant]],tblSalaries[[#This Row],[Salary in USD]],"")</f>
        <v/>
      </c>
      <c r="X349" s="13" t="str">
        <f>IF(tblSalaries[[#This Row],[Job Type]]=tblSalaries[[#Headers],[Controller]],tblSalaries[[#This Row],[Salary in USD]],"")</f>
        <v/>
      </c>
      <c r="Y349" s="13" t="str">
        <f>IF(tblSalaries[[#This Row],[Job Type]]=tblSalaries[[#Headers],[CXO or Top Mgmt.]],tblSalaries[[#This Row],[clean Salary (in local currency)]],"")</f>
        <v/>
      </c>
      <c r="Z349" s="13">
        <f>IF(tblSalaries[[#This Row],[Job Type]]=tblSalaries[[#Headers],[Engineer]],tblSalaries[[#This Row],[Salary in USD]],"")</f>
        <v>130000</v>
      </c>
      <c r="AA349" s="13" t="str">
        <f>IF(tblSalaries[[#This Row],[Job Type]]=tblSalaries[[#Headers],[Manager]],tblSalaries[[#This Row],[Salary in USD]],"")</f>
        <v/>
      </c>
      <c r="AB349" s="13" t="str">
        <f>IF(tblSalaries[[#This Row],[Job Type]]=tblSalaries[[#Headers],[Misc.]],tblSalaries[[#This Row],[Salary in USD]],"")</f>
        <v/>
      </c>
      <c r="AC349" s="13" t="str">
        <f>IF(tblSalaries[[#This Row],[Job Type]]=tblSalaries[[#Headers],[Reporting]],tblSalaries[[#This Row],[Salary in USD]],"")</f>
        <v/>
      </c>
      <c r="AD349" s="13" t="str">
        <f>IF(tblSalaries[[#This Row],[Job Type]]=tblSalaries[[#Headers],[Specialist]],tblSalaries[[#This Row],[Salary in USD]],"")</f>
        <v/>
      </c>
    </row>
    <row r="350" spans="2:30" ht="15" customHeight="1" x14ac:dyDescent="0.25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 s="9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  <c r="N350" t="str">
        <f>IF(tblSalaries[[#This Row],[Years of Experience]]="","",IF(tblSalaries[[#This Row],[Years of Experience]]&lt;=2,1,""))</f>
        <v/>
      </c>
      <c r="O350" t="str">
        <f>IF(tblSalaries[[#This Row],[Years of Experience]]="","",IF(AND(tblSalaries[[#This Row],[Years of Experience]]&gt;2,tblSalaries[[#This Row],[Years of Experience]]&lt;=5),1,""))</f>
        <v/>
      </c>
      <c r="P350" t="str">
        <f>IF(tblSalaries[[#This Row],[Years of Experience]]="","",IF(AND(tblSalaries[[#This Row],[Years of Experience]]&gt;5,tblSalaries[[#This Row],[Years of Experience]]&lt;=10),1,""))</f>
        <v/>
      </c>
      <c r="Q350" t="str">
        <f>IF(tblSalaries[[#This Row],[Years of Experience]]="","",IF(AND(tblSalaries[[#This Row],[Years of Experience]]&gt;10,tblSalaries[[#This Row],[Years of Experience]]&lt;=15),1,""))</f>
        <v/>
      </c>
      <c r="R350" t="str">
        <f>IF(tblSalaries[[#This Row],[Years of Experience]]="","",IF(AND(tblSalaries[[#This Row],[Years of Experience]]&gt;16,tblSalaries[[#This Row],[Years of Experience]]&lt;=20),1,""))</f>
        <v/>
      </c>
      <c r="S350" t="str">
        <f>IF(tblSalaries[[#This Row],[Years of Experience]]="","",IF(tblSalaries[[#This Row],[Years of Experience]]&gt;20,1,""))</f>
        <v/>
      </c>
      <c r="T3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0" s="13" t="str">
        <f>IF(tblSalaries[[#This Row],[Job Type]]=tblSalaries[[#Headers],[Accountant]],tblSalaries[[#This Row],[Salary in USD]],"")</f>
        <v/>
      </c>
      <c r="V350" s="13">
        <f>IF(tblSalaries[[#This Row],[Job Type]]=tblSalaries[[#Headers],[Analyst]],tblSalaries[[#This Row],[Salary in USD]],"")</f>
        <v>6588.9291743537506</v>
      </c>
      <c r="W350" s="13" t="str">
        <f>IF(tblSalaries[[#This Row],[Job Type]]=tblSalaries[[#Headers],[Consultant]],tblSalaries[[#This Row],[Salary in USD]],"")</f>
        <v/>
      </c>
      <c r="X350" s="13" t="str">
        <f>IF(tblSalaries[[#This Row],[Job Type]]=tblSalaries[[#Headers],[Controller]],tblSalaries[[#This Row],[Salary in USD]],"")</f>
        <v/>
      </c>
      <c r="Y350" s="13" t="str">
        <f>IF(tblSalaries[[#This Row],[Job Type]]=tblSalaries[[#Headers],[CXO or Top Mgmt.]],tblSalaries[[#This Row],[clean Salary (in local currency)]],"")</f>
        <v/>
      </c>
      <c r="Z350" s="13" t="str">
        <f>IF(tblSalaries[[#This Row],[Job Type]]=tblSalaries[[#Headers],[Engineer]],tblSalaries[[#This Row],[Salary in USD]],"")</f>
        <v/>
      </c>
      <c r="AA350" s="13" t="str">
        <f>IF(tblSalaries[[#This Row],[Job Type]]=tblSalaries[[#Headers],[Manager]],tblSalaries[[#This Row],[Salary in USD]],"")</f>
        <v/>
      </c>
      <c r="AB350" s="13" t="str">
        <f>IF(tblSalaries[[#This Row],[Job Type]]=tblSalaries[[#Headers],[Misc.]],tblSalaries[[#This Row],[Salary in USD]],"")</f>
        <v/>
      </c>
      <c r="AC350" s="13" t="str">
        <f>IF(tblSalaries[[#This Row],[Job Type]]=tblSalaries[[#Headers],[Reporting]],tblSalaries[[#This Row],[Salary in USD]],"")</f>
        <v/>
      </c>
      <c r="AD350" s="13" t="str">
        <f>IF(tblSalaries[[#This Row],[Job Type]]=tblSalaries[[#Headers],[Specialist]],tblSalaries[[#This Row],[Salary in USD]],"")</f>
        <v/>
      </c>
    </row>
    <row r="351" spans="2:30" ht="15" customHeight="1" x14ac:dyDescent="0.25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 s="9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  <c r="N351" t="str">
        <f>IF(tblSalaries[[#This Row],[Years of Experience]]="","",IF(tblSalaries[[#This Row],[Years of Experience]]&lt;=2,1,""))</f>
        <v/>
      </c>
      <c r="O351" t="str">
        <f>IF(tblSalaries[[#This Row],[Years of Experience]]="","",IF(AND(tblSalaries[[#This Row],[Years of Experience]]&gt;2,tblSalaries[[#This Row],[Years of Experience]]&lt;=5),1,""))</f>
        <v/>
      </c>
      <c r="P351" t="str">
        <f>IF(tblSalaries[[#This Row],[Years of Experience]]="","",IF(AND(tblSalaries[[#This Row],[Years of Experience]]&gt;5,tblSalaries[[#This Row],[Years of Experience]]&lt;=10),1,""))</f>
        <v/>
      </c>
      <c r="Q351" t="str">
        <f>IF(tblSalaries[[#This Row],[Years of Experience]]="","",IF(AND(tblSalaries[[#This Row],[Years of Experience]]&gt;10,tblSalaries[[#This Row],[Years of Experience]]&lt;=15),1,""))</f>
        <v/>
      </c>
      <c r="R351" t="str">
        <f>IF(tblSalaries[[#This Row],[Years of Experience]]="","",IF(AND(tblSalaries[[#This Row],[Years of Experience]]&gt;16,tblSalaries[[#This Row],[Years of Experience]]&lt;=20),1,""))</f>
        <v/>
      </c>
      <c r="S351" t="str">
        <f>IF(tblSalaries[[#This Row],[Years of Experience]]="","",IF(tblSalaries[[#This Row],[Years of Experience]]&gt;20,1,""))</f>
        <v/>
      </c>
      <c r="T3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1" s="13" t="str">
        <f>IF(tblSalaries[[#This Row],[Job Type]]=tblSalaries[[#Headers],[Accountant]],tblSalaries[[#This Row],[Salary in USD]],"")</f>
        <v/>
      </c>
      <c r="V351" s="13" t="str">
        <f>IF(tblSalaries[[#This Row],[Job Type]]=tblSalaries[[#Headers],[Analyst]],tblSalaries[[#This Row],[Salary in USD]],"")</f>
        <v/>
      </c>
      <c r="W351" s="13">
        <f>IF(tblSalaries[[#This Row],[Job Type]]=tblSalaries[[#Headers],[Consultant]],tblSalaries[[#This Row],[Salary in USD]],"")</f>
        <v>157337.8436848523</v>
      </c>
      <c r="X351" s="13" t="str">
        <f>IF(tblSalaries[[#This Row],[Job Type]]=tblSalaries[[#Headers],[Controller]],tblSalaries[[#This Row],[Salary in USD]],"")</f>
        <v/>
      </c>
      <c r="Y351" s="13" t="str">
        <f>IF(tblSalaries[[#This Row],[Job Type]]=tblSalaries[[#Headers],[CXO or Top Mgmt.]],tblSalaries[[#This Row],[clean Salary (in local currency)]],"")</f>
        <v/>
      </c>
      <c r="Z351" s="13" t="str">
        <f>IF(tblSalaries[[#This Row],[Job Type]]=tblSalaries[[#Headers],[Engineer]],tblSalaries[[#This Row],[Salary in USD]],"")</f>
        <v/>
      </c>
      <c r="AA351" s="13" t="str">
        <f>IF(tblSalaries[[#This Row],[Job Type]]=tblSalaries[[#Headers],[Manager]],tblSalaries[[#This Row],[Salary in USD]],"")</f>
        <v/>
      </c>
      <c r="AB351" s="13" t="str">
        <f>IF(tblSalaries[[#This Row],[Job Type]]=tblSalaries[[#Headers],[Misc.]],tblSalaries[[#This Row],[Salary in USD]],"")</f>
        <v/>
      </c>
      <c r="AC351" s="13" t="str">
        <f>IF(tblSalaries[[#This Row],[Job Type]]=tblSalaries[[#Headers],[Reporting]],tblSalaries[[#This Row],[Salary in USD]],"")</f>
        <v/>
      </c>
      <c r="AD351" s="13" t="str">
        <f>IF(tblSalaries[[#This Row],[Job Type]]=tblSalaries[[#Headers],[Specialist]],tblSalaries[[#This Row],[Salary in USD]],"")</f>
        <v/>
      </c>
    </row>
    <row r="352" spans="2:30" ht="15" customHeight="1" x14ac:dyDescent="0.25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 s="9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  <c r="N352" t="str">
        <f>IF(tblSalaries[[#This Row],[Years of Experience]]="","",IF(tblSalaries[[#This Row],[Years of Experience]]&lt;=2,1,""))</f>
        <v/>
      </c>
      <c r="O352" t="str">
        <f>IF(tblSalaries[[#This Row],[Years of Experience]]="","",IF(AND(tblSalaries[[#This Row],[Years of Experience]]&gt;2,tblSalaries[[#This Row],[Years of Experience]]&lt;=5),1,""))</f>
        <v/>
      </c>
      <c r="P352" t="str">
        <f>IF(tblSalaries[[#This Row],[Years of Experience]]="","",IF(AND(tblSalaries[[#This Row],[Years of Experience]]&gt;5,tblSalaries[[#This Row],[Years of Experience]]&lt;=10),1,""))</f>
        <v/>
      </c>
      <c r="Q352" t="str">
        <f>IF(tblSalaries[[#This Row],[Years of Experience]]="","",IF(AND(tblSalaries[[#This Row],[Years of Experience]]&gt;10,tblSalaries[[#This Row],[Years of Experience]]&lt;=15),1,""))</f>
        <v/>
      </c>
      <c r="R352" t="str">
        <f>IF(tblSalaries[[#This Row],[Years of Experience]]="","",IF(AND(tblSalaries[[#This Row],[Years of Experience]]&gt;16,tblSalaries[[#This Row],[Years of Experience]]&lt;=20),1,""))</f>
        <v/>
      </c>
      <c r="S352" t="str">
        <f>IF(tblSalaries[[#This Row],[Years of Experience]]="","",IF(tblSalaries[[#This Row],[Years of Experience]]&gt;20,1,""))</f>
        <v/>
      </c>
      <c r="T3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2" s="13" t="str">
        <f>IF(tblSalaries[[#This Row],[Job Type]]=tblSalaries[[#Headers],[Accountant]],tblSalaries[[#This Row],[Salary in USD]],"")</f>
        <v/>
      </c>
      <c r="V352" s="13">
        <f>IF(tblSalaries[[#This Row],[Job Type]]=tblSalaries[[#Headers],[Analyst]],tblSalaries[[#This Row],[Salary in USD]],"")</f>
        <v>44200</v>
      </c>
      <c r="W352" s="13" t="str">
        <f>IF(tblSalaries[[#This Row],[Job Type]]=tblSalaries[[#Headers],[Consultant]],tblSalaries[[#This Row],[Salary in USD]],"")</f>
        <v/>
      </c>
      <c r="X352" s="13" t="str">
        <f>IF(tblSalaries[[#This Row],[Job Type]]=tblSalaries[[#Headers],[Controller]],tblSalaries[[#This Row],[Salary in USD]],"")</f>
        <v/>
      </c>
      <c r="Y352" s="13" t="str">
        <f>IF(tblSalaries[[#This Row],[Job Type]]=tblSalaries[[#Headers],[CXO or Top Mgmt.]],tblSalaries[[#This Row],[clean Salary (in local currency)]],"")</f>
        <v/>
      </c>
      <c r="Z352" s="13" t="str">
        <f>IF(tblSalaries[[#This Row],[Job Type]]=tblSalaries[[#Headers],[Engineer]],tblSalaries[[#This Row],[Salary in USD]],"")</f>
        <v/>
      </c>
      <c r="AA352" s="13" t="str">
        <f>IF(tblSalaries[[#This Row],[Job Type]]=tblSalaries[[#Headers],[Manager]],tblSalaries[[#This Row],[Salary in USD]],"")</f>
        <v/>
      </c>
      <c r="AB352" s="13" t="str">
        <f>IF(tblSalaries[[#This Row],[Job Type]]=tblSalaries[[#Headers],[Misc.]],tblSalaries[[#This Row],[Salary in USD]],"")</f>
        <v/>
      </c>
      <c r="AC352" s="13" t="str">
        <f>IF(tblSalaries[[#This Row],[Job Type]]=tblSalaries[[#Headers],[Reporting]],tblSalaries[[#This Row],[Salary in USD]],"")</f>
        <v/>
      </c>
      <c r="AD352" s="13" t="str">
        <f>IF(tblSalaries[[#This Row],[Job Type]]=tblSalaries[[#Headers],[Specialist]],tblSalaries[[#This Row],[Salary in USD]],"")</f>
        <v/>
      </c>
    </row>
    <row r="353" spans="2:30" ht="15" customHeight="1" x14ac:dyDescent="0.25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 s="9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  <c r="N353" t="str">
        <f>IF(tblSalaries[[#This Row],[Years of Experience]]="","",IF(tblSalaries[[#This Row],[Years of Experience]]&lt;=2,1,""))</f>
        <v/>
      </c>
      <c r="O353" t="str">
        <f>IF(tblSalaries[[#This Row],[Years of Experience]]="","",IF(AND(tblSalaries[[#This Row],[Years of Experience]]&gt;2,tblSalaries[[#This Row],[Years of Experience]]&lt;=5),1,""))</f>
        <v/>
      </c>
      <c r="P353" t="str">
        <f>IF(tblSalaries[[#This Row],[Years of Experience]]="","",IF(AND(tblSalaries[[#This Row],[Years of Experience]]&gt;5,tblSalaries[[#This Row],[Years of Experience]]&lt;=10),1,""))</f>
        <v/>
      </c>
      <c r="Q353" t="str">
        <f>IF(tblSalaries[[#This Row],[Years of Experience]]="","",IF(AND(tblSalaries[[#This Row],[Years of Experience]]&gt;10,tblSalaries[[#This Row],[Years of Experience]]&lt;=15),1,""))</f>
        <v/>
      </c>
      <c r="R353" t="str">
        <f>IF(tblSalaries[[#This Row],[Years of Experience]]="","",IF(AND(tblSalaries[[#This Row],[Years of Experience]]&gt;16,tblSalaries[[#This Row],[Years of Experience]]&lt;=20),1,""))</f>
        <v/>
      </c>
      <c r="S353" t="str">
        <f>IF(tblSalaries[[#This Row],[Years of Experience]]="","",IF(tblSalaries[[#This Row],[Years of Experience]]&gt;20,1,""))</f>
        <v/>
      </c>
      <c r="T3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3" s="13" t="str">
        <f>IF(tblSalaries[[#This Row],[Job Type]]=tblSalaries[[#Headers],[Accountant]],tblSalaries[[#This Row],[Salary in USD]],"")</f>
        <v/>
      </c>
      <c r="V353" s="13" t="str">
        <f>IF(tblSalaries[[#This Row],[Job Type]]=tblSalaries[[#Headers],[Analyst]],tblSalaries[[#This Row],[Salary in USD]],"")</f>
        <v/>
      </c>
      <c r="W353" s="13" t="str">
        <f>IF(tblSalaries[[#This Row],[Job Type]]=tblSalaries[[#Headers],[Consultant]],tblSalaries[[#This Row],[Salary in USD]],"")</f>
        <v/>
      </c>
      <c r="X353" s="13" t="str">
        <f>IF(tblSalaries[[#This Row],[Job Type]]=tblSalaries[[#Headers],[Controller]],tblSalaries[[#This Row],[Salary in USD]],"")</f>
        <v/>
      </c>
      <c r="Y353" s="13" t="str">
        <f>IF(tblSalaries[[#This Row],[Job Type]]=tblSalaries[[#Headers],[CXO or Top Mgmt.]],tblSalaries[[#This Row],[clean Salary (in local currency)]],"")</f>
        <v/>
      </c>
      <c r="Z353" s="13" t="str">
        <f>IF(tblSalaries[[#This Row],[Job Type]]=tblSalaries[[#Headers],[Engineer]],tblSalaries[[#This Row],[Salary in USD]],"")</f>
        <v/>
      </c>
      <c r="AA353" s="13">
        <f>IF(tblSalaries[[#This Row],[Job Type]]=tblSalaries[[#Headers],[Manager]],tblSalaries[[#This Row],[Salary in USD]],"")</f>
        <v>56000</v>
      </c>
      <c r="AB353" s="13" t="str">
        <f>IF(tblSalaries[[#This Row],[Job Type]]=tblSalaries[[#Headers],[Misc.]],tblSalaries[[#This Row],[Salary in USD]],"")</f>
        <v/>
      </c>
      <c r="AC353" s="13" t="str">
        <f>IF(tblSalaries[[#This Row],[Job Type]]=tblSalaries[[#Headers],[Reporting]],tblSalaries[[#This Row],[Salary in USD]],"")</f>
        <v/>
      </c>
      <c r="AD353" s="13" t="str">
        <f>IF(tblSalaries[[#This Row],[Job Type]]=tblSalaries[[#Headers],[Specialist]],tblSalaries[[#This Row],[Salary in USD]],"")</f>
        <v/>
      </c>
    </row>
    <row r="354" spans="2:30" ht="15" customHeight="1" x14ac:dyDescent="0.25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 s="9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  <c r="N354" t="str">
        <f>IF(tblSalaries[[#This Row],[Years of Experience]]="","",IF(tblSalaries[[#This Row],[Years of Experience]]&lt;=2,1,""))</f>
        <v/>
      </c>
      <c r="O354" t="str">
        <f>IF(tblSalaries[[#This Row],[Years of Experience]]="","",IF(AND(tblSalaries[[#This Row],[Years of Experience]]&gt;2,tblSalaries[[#This Row],[Years of Experience]]&lt;=5),1,""))</f>
        <v/>
      </c>
      <c r="P354" t="str">
        <f>IF(tblSalaries[[#This Row],[Years of Experience]]="","",IF(AND(tblSalaries[[#This Row],[Years of Experience]]&gt;5,tblSalaries[[#This Row],[Years of Experience]]&lt;=10),1,""))</f>
        <v/>
      </c>
      <c r="Q354" t="str">
        <f>IF(tblSalaries[[#This Row],[Years of Experience]]="","",IF(AND(tblSalaries[[#This Row],[Years of Experience]]&gt;10,tblSalaries[[#This Row],[Years of Experience]]&lt;=15),1,""))</f>
        <v/>
      </c>
      <c r="R354" t="str">
        <f>IF(tblSalaries[[#This Row],[Years of Experience]]="","",IF(AND(tblSalaries[[#This Row],[Years of Experience]]&gt;16,tblSalaries[[#This Row],[Years of Experience]]&lt;=20),1,""))</f>
        <v/>
      </c>
      <c r="S354" t="str">
        <f>IF(tblSalaries[[#This Row],[Years of Experience]]="","",IF(tblSalaries[[#This Row],[Years of Experience]]&gt;20,1,""))</f>
        <v/>
      </c>
      <c r="T3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4" s="13" t="str">
        <f>IF(tblSalaries[[#This Row],[Job Type]]=tblSalaries[[#Headers],[Accountant]],tblSalaries[[#This Row],[Salary in USD]],"")</f>
        <v/>
      </c>
      <c r="V354" s="13" t="str">
        <f>IF(tblSalaries[[#This Row],[Job Type]]=tblSalaries[[#Headers],[Analyst]],tblSalaries[[#This Row],[Salary in USD]],"")</f>
        <v/>
      </c>
      <c r="W354" s="13" t="str">
        <f>IF(tblSalaries[[#This Row],[Job Type]]=tblSalaries[[#Headers],[Consultant]],tblSalaries[[#This Row],[Salary in USD]],"")</f>
        <v/>
      </c>
      <c r="X354" s="13" t="str">
        <f>IF(tblSalaries[[#This Row],[Job Type]]=tblSalaries[[#Headers],[Controller]],tblSalaries[[#This Row],[Salary in USD]],"")</f>
        <v/>
      </c>
      <c r="Y354" s="13" t="str">
        <f>IF(tblSalaries[[#This Row],[Job Type]]=tblSalaries[[#Headers],[CXO or Top Mgmt.]],tblSalaries[[#This Row],[clean Salary (in local currency)]],"")</f>
        <v/>
      </c>
      <c r="Z354" s="13">
        <f>IF(tblSalaries[[#This Row],[Job Type]]=tblSalaries[[#Headers],[Engineer]],tblSalaries[[#This Row],[Salary in USD]],"")</f>
        <v>72500</v>
      </c>
      <c r="AA354" s="13" t="str">
        <f>IF(tblSalaries[[#This Row],[Job Type]]=tblSalaries[[#Headers],[Manager]],tblSalaries[[#This Row],[Salary in USD]],"")</f>
        <v/>
      </c>
      <c r="AB354" s="13" t="str">
        <f>IF(tblSalaries[[#This Row],[Job Type]]=tblSalaries[[#Headers],[Misc.]],tblSalaries[[#This Row],[Salary in USD]],"")</f>
        <v/>
      </c>
      <c r="AC354" s="13" t="str">
        <f>IF(tblSalaries[[#This Row],[Job Type]]=tblSalaries[[#Headers],[Reporting]],tblSalaries[[#This Row],[Salary in USD]],"")</f>
        <v/>
      </c>
      <c r="AD354" s="13" t="str">
        <f>IF(tblSalaries[[#This Row],[Job Type]]=tblSalaries[[#Headers],[Specialist]],tblSalaries[[#This Row],[Salary in USD]],"")</f>
        <v/>
      </c>
    </row>
    <row r="355" spans="2:30" ht="15" customHeight="1" x14ac:dyDescent="0.25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 s="9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  <c r="N355" t="str">
        <f>IF(tblSalaries[[#This Row],[Years of Experience]]="","",IF(tblSalaries[[#This Row],[Years of Experience]]&lt;=2,1,""))</f>
        <v/>
      </c>
      <c r="O355" t="str">
        <f>IF(tblSalaries[[#This Row],[Years of Experience]]="","",IF(AND(tblSalaries[[#This Row],[Years of Experience]]&gt;2,tblSalaries[[#This Row],[Years of Experience]]&lt;=5),1,""))</f>
        <v/>
      </c>
      <c r="P355" t="str">
        <f>IF(tblSalaries[[#This Row],[Years of Experience]]="","",IF(AND(tblSalaries[[#This Row],[Years of Experience]]&gt;5,tblSalaries[[#This Row],[Years of Experience]]&lt;=10),1,""))</f>
        <v/>
      </c>
      <c r="Q355" t="str">
        <f>IF(tblSalaries[[#This Row],[Years of Experience]]="","",IF(AND(tblSalaries[[#This Row],[Years of Experience]]&gt;10,tblSalaries[[#This Row],[Years of Experience]]&lt;=15),1,""))</f>
        <v/>
      </c>
      <c r="R355" t="str">
        <f>IF(tblSalaries[[#This Row],[Years of Experience]]="","",IF(AND(tblSalaries[[#This Row],[Years of Experience]]&gt;16,tblSalaries[[#This Row],[Years of Experience]]&lt;=20),1,""))</f>
        <v/>
      </c>
      <c r="S355" t="str">
        <f>IF(tblSalaries[[#This Row],[Years of Experience]]="","",IF(tblSalaries[[#This Row],[Years of Experience]]&gt;20,1,""))</f>
        <v/>
      </c>
      <c r="T3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5" s="13" t="str">
        <f>IF(tblSalaries[[#This Row],[Job Type]]=tblSalaries[[#Headers],[Accountant]],tblSalaries[[#This Row],[Salary in USD]],"")</f>
        <v/>
      </c>
      <c r="V355" s="13">
        <f>IF(tblSalaries[[#This Row],[Job Type]]=tblSalaries[[#Headers],[Analyst]],tblSalaries[[#This Row],[Salary in USD]],"")</f>
        <v>73752.11422727452</v>
      </c>
      <c r="W355" s="13" t="str">
        <f>IF(tblSalaries[[#This Row],[Job Type]]=tblSalaries[[#Headers],[Consultant]],tblSalaries[[#This Row],[Salary in USD]],"")</f>
        <v/>
      </c>
      <c r="X355" s="13" t="str">
        <f>IF(tblSalaries[[#This Row],[Job Type]]=tblSalaries[[#Headers],[Controller]],tblSalaries[[#This Row],[Salary in USD]],"")</f>
        <v/>
      </c>
      <c r="Y355" s="13" t="str">
        <f>IF(tblSalaries[[#This Row],[Job Type]]=tblSalaries[[#Headers],[CXO or Top Mgmt.]],tblSalaries[[#This Row],[clean Salary (in local currency)]],"")</f>
        <v/>
      </c>
      <c r="Z355" s="13" t="str">
        <f>IF(tblSalaries[[#This Row],[Job Type]]=tblSalaries[[#Headers],[Engineer]],tblSalaries[[#This Row],[Salary in USD]],"")</f>
        <v/>
      </c>
      <c r="AA355" s="13" t="str">
        <f>IF(tblSalaries[[#This Row],[Job Type]]=tblSalaries[[#Headers],[Manager]],tblSalaries[[#This Row],[Salary in USD]],"")</f>
        <v/>
      </c>
      <c r="AB355" s="13" t="str">
        <f>IF(tblSalaries[[#This Row],[Job Type]]=tblSalaries[[#Headers],[Misc.]],tblSalaries[[#This Row],[Salary in USD]],"")</f>
        <v/>
      </c>
      <c r="AC355" s="13" t="str">
        <f>IF(tblSalaries[[#This Row],[Job Type]]=tblSalaries[[#Headers],[Reporting]],tblSalaries[[#This Row],[Salary in USD]],"")</f>
        <v/>
      </c>
      <c r="AD355" s="13" t="str">
        <f>IF(tblSalaries[[#This Row],[Job Type]]=tblSalaries[[#Headers],[Specialist]],tblSalaries[[#This Row],[Salary in USD]],"")</f>
        <v/>
      </c>
    </row>
    <row r="356" spans="2:30" ht="15" customHeight="1" x14ac:dyDescent="0.25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 s="9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  <c r="N356" t="str">
        <f>IF(tblSalaries[[#This Row],[Years of Experience]]="","",IF(tblSalaries[[#This Row],[Years of Experience]]&lt;=2,1,""))</f>
        <v/>
      </c>
      <c r="O356" t="str">
        <f>IF(tblSalaries[[#This Row],[Years of Experience]]="","",IF(AND(tblSalaries[[#This Row],[Years of Experience]]&gt;2,tblSalaries[[#This Row],[Years of Experience]]&lt;=5),1,""))</f>
        <v/>
      </c>
      <c r="P356" t="str">
        <f>IF(tblSalaries[[#This Row],[Years of Experience]]="","",IF(AND(tblSalaries[[#This Row],[Years of Experience]]&gt;5,tblSalaries[[#This Row],[Years of Experience]]&lt;=10),1,""))</f>
        <v/>
      </c>
      <c r="Q356" t="str">
        <f>IF(tblSalaries[[#This Row],[Years of Experience]]="","",IF(AND(tblSalaries[[#This Row],[Years of Experience]]&gt;10,tblSalaries[[#This Row],[Years of Experience]]&lt;=15),1,""))</f>
        <v/>
      </c>
      <c r="R356" t="str">
        <f>IF(tblSalaries[[#This Row],[Years of Experience]]="","",IF(AND(tblSalaries[[#This Row],[Years of Experience]]&gt;16,tblSalaries[[#This Row],[Years of Experience]]&lt;=20),1,""))</f>
        <v/>
      </c>
      <c r="S356" t="str">
        <f>IF(tblSalaries[[#This Row],[Years of Experience]]="","",IF(tblSalaries[[#This Row],[Years of Experience]]&gt;20,1,""))</f>
        <v/>
      </c>
      <c r="T3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6" s="13" t="str">
        <f>IF(tblSalaries[[#This Row],[Job Type]]=tblSalaries[[#Headers],[Accountant]],tblSalaries[[#This Row],[Salary in USD]],"")</f>
        <v/>
      </c>
      <c r="V356" s="13">
        <f>IF(tblSalaries[[#This Row],[Job Type]]=tblSalaries[[#Headers],[Analyst]],tblSalaries[[#This Row],[Salary in USD]],"")</f>
        <v>170000</v>
      </c>
      <c r="W356" s="13" t="str">
        <f>IF(tblSalaries[[#This Row],[Job Type]]=tblSalaries[[#Headers],[Consultant]],tblSalaries[[#This Row],[Salary in USD]],"")</f>
        <v/>
      </c>
      <c r="X356" s="13" t="str">
        <f>IF(tblSalaries[[#This Row],[Job Type]]=tblSalaries[[#Headers],[Controller]],tblSalaries[[#This Row],[Salary in USD]],"")</f>
        <v/>
      </c>
      <c r="Y356" s="13" t="str">
        <f>IF(tblSalaries[[#This Row],[Job Type]]=tblSalaries[[#Headers],[CXO or Top Mgmt.]],tblSalaries[[#This Row],[clean Salary (in local currency)]],"")</f>
        <v/>
      </c>
      <c r="Z356" s="13" t="str">
        <f>IF(tblSalaries[[#This Row],[Job Type]]=tblSalaries[[#Headers],[Engineer]],tblSalaries[[#This Row],[Salary in USD]],"")</f>
        <v/>
      </c>
      <c r="AA356" s="13" t="str">
        <f>IF(tblSalaries[[#This Row],[Job Type]]=tblSalaries[[#Headers],[Manager]],tblSalaries[[#This Row],[Salary in USD]],"")</f>
        <v/>
      </c>
      <c r="AB356" s="13" t="str">
        <f>IF(tblSalaries[[#This Row],[Job Type]]=tblSalaries[[#Headers],[Misc.]],tblSalaries[[#This Row],[Salary in USD]],"")</f>
        <v/>
      </c>
      <c r="AC356" s="13" t="str">
        <f>IF(tblSalaries[[#This Row],[Job Type]]=tblSalaries[[#Headers],[Reporting]],tblSalaries[[#This Row],[Salary in USD]],"")</f>
        <v/>
      </c>
      <c r="AD356" s="13" t="str">
        <f>IF(tblSalaries[[#This Row],[Job Type]]=tblSalaries[[#Headers],[Specialist]],tblSalaries[[#This Row],[Salary in USD]],"")</f>
        <v/>
      </c>
    </row>
    <row r="357" spans="2:30" ht="15" customHeight="1" x14ac:dyDescent="0.25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 s="9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  <c r="N357" t="str">
        <f>IF(tblSalaries[[#This Row],[Years of Experience]]="","",IF(tblSalaries[[#This Row],[Years of Experience]]&lt;=2,1,""))</f>
        <v/>
      </c>
      <c r="O357" t="str">
        <f>IF(tblSalaries[[#This Row],[Years of Experience]]="","",IF(AND(tblSalaries[[#This Row],[Years of Experience]]&gt;2,tblSalaries[[#This Row],[Years of Experience]]&lt;=5),1,""))</f>
        <v/>
      </c>
      <c r="P357" t="str">
        <f>IF(tblSalaries[[#This Row],[Years of Experience]]="","",IF(AND(tblSalaries[[#This Row],[Years of Experience]]&gt;5,tblSalaries[[#This Row],[Years of Experience]]&lt;=10),1,""))</f>
        <v/>
      </c>
      <c r="Q357" t="str">
        <f>IF(tblSalaries[[#This Row],[Years of Experience]]="","",IF(AND(tblSalaries[[#This Row],[Years of Experience]]&gt;10,tblSalaries[[#This Row],[Years of Experience]]&lt;=15),1,""))</f>
        <v/>
      </c>
      <c r="R357" t="str">
        <f>IF(tblSalaries[[#This Row],[Years of Experience]]="","",IF(AND(tblSalaries[[#This Row],[Years of Experience]]&gt;16,tblSalaries[[#This Row],[Years of Experience]]&lt;=20),1,""))</f>
        <v/>
      </c>
      <c r="S357" t="str">
        <f>IF(tblSalaries[[#This Row],[Years of Experience]]="","",IF(tblSalaries[[#This Row],[Years of Experience]]&gt;20,1,""))</f>
        <v/>
      </c>
      <c r="T3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7" s="13" t="str">
        <f>IF(tblSalaries[[#This Row],[Job Type]]=tblSalaries[[#Headers],[Accountant]],tblSalaries[[#This Row],[Salary in USD]],"")</f>
        <v/>
      </c>
      <c r="V357" s="13" t="str">
        <f>IF(tblSalaries[[#This Row],[Job Type]]=tblSalaries[[#Headers],[Analyst]],tblSalaries[[#This Row],[Salary in USD]],"")</f>
        <v/>
      </c>
      <c r="W357" s="13" t="str">
        <f>IF(tblSalaries[[#This Row],[Job Type]]=tblSalaries[[#Headers],[Consultant]],tblSalaries[[#This Row],[Salary in USD]],"")</f>
        <v/>
      </c>
      <c r="X357" s="13" t="str">
        <f>IF(tblSalaries[[#This Row],[Job Type]]=tblSalaries[[#Headers],[Controller]],tblSalaries[[#This Row],[Salary in USD]],"")</f>
        <v/>
      </c>
      <c r="Y357" s="13" t="str">
        <f>IF(tblSalaries[[#This Row],[Job Type]]=tblSalaries[[#Headers],[CXO or Top Mgmt.]],tblSalaries[[#This Row],[clean Salary (in local currency)]],"")</f>
        <v/>
      </c>
      <c r="Z357" s="13" t="str">
        <f>IF(tblSalaries[[#This Row],[Job Type]]=tblSalaries[[#Headers],[Engineer]],tblSalaries[[#This Row],[Salary in USD]],"")</f>
        <v/>
      </c>
      <c r="AA357" s="13">
        <f>IF(tblSalaries[[#This Row],[Job Type]]=tblSalaries[[#Headers],[Manager]],tblSalaries[[#This Row],[Salary in USD]],"")</f>
        <v>68000</v>
      </c>
      <c r="AB357" s="13" t="str">
        <f>IF(tblSalaries[[#This Row],[Job Type]]=tblSalaries[[#Headers],[Misc.]],tblSalaries[[#This Row],[Salary in USD]],"")</f>
        <v/>
      </c>
      <c r="AC357" s="13" t="str">
        <f>IF(tblSalaries[[#This Row],[Job Type]]=tblSalaries[[#Headers],[Reporting]],tblSalaries[[#This Row],[Salary in USD]],"")</f>
        <v/>
      </c>
      <c r="AD357" s="13" t="str">
        <f>IF(tblSalaries[[#This Row],[Job Type]]=tblSalaries[[#Headers],[Specialist]],tblSalaries[[#This Row],[Salary in USD]],"")</f>
        <v/>
      </c>
    </row>
    <row r="358" spans="2:30" ht="15" customHeight="1" x14ac:dyDescent="0.25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 s="9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  <c r="N358" t="str">
        <f>IF(tblSalaries[[#This Row],[Years of Experience]]="","",IF(tblSalaries[[#This Row],[Years of Experience]]&lt;=2,1,""))</f>
        <v/>
      </c>
      <c r="O358" t="str">
        <f>IF(tblSalaries[[#This Row],[Years of Experience]]="","",IF(AND(tblSalaries[[#This Row],[Years of Experience]]&gt;2,tblSalaries[[#This Row],[Years of Experience]]&lt;=5),1,""))</f>
        <v/>
      </c>
      <c r="P358" t="str">
        <f>IF(tblSalaries[[#This Row],[Years of Experience]]="","",IF(AND(tblSalaries[[#This Row],[Years of Experience]]&gt;5,tblSalaries[[#This Row],[Years of Experience]]&lt;=10),1,""))</f>
        <v/>
      </c>
      <c r="Q358" t="str">
        <f>IF(tblSalaries[[#This Row],[Years of Experience]]="","",IF(AND(tblSalaries[[#This Row],[Years of Experience]]&gt;10,tblSalaries[[#This Row],[Years of Experience]]&lt;=15),1,""))</f>
        <v/>
      </c>
      <c r="R358" t="str">
        <f>IF(tblSalaries[[#This Row],[Years of Experience]]="","",IF(AND(tblSalaries[[#This Row],[Years of Experience]]&gt;16,tblSalaries[[#This Row],[Years of Experience]]&lt;=20),1,""))</f>
        <v/>
      </c>
      <c r="S358" t="str">
        <f>IF(tblSalaries[[#This Row],[Years of Experience]]="","",IF(tblSalaries[[#This Row],[Years of Experience]]&gt;20,1,""))</f>
        <v/>
      </c>
      <c r="T3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8" s="13" t="str">
        <f>IF(tblSalaries[[#This Row],[Job Type]]=tblSalaries[[#Headers],[Accountant]],tblSalaries[[#This Row],[Salary in USD]],"")</f>
        <v/>
      </c>
      <c r="V358" s="13">
        <f>IF(tblSalaries[[#This Row],[Job Type]]=tblSalaries[[#Headers],[Analyst]],tblSalaries[[#This Row],[Salary in USD]],"")</f>
        <v>75000</v>
      </c>
      <c r="W358" s="13" t="str">
        <f>IF(tblSalaries[[#This Row],[Job Type]]=tblSalaries[[#Headers],[Consultant]],tblSalaries[[#This Row],[Salary in USD]],"")</f>
        <v/>
      </c>
      <c r="X358" s="13" t="str">
        <f>IF(tblSalaries[[#This Row],[Job Type]]=tblSalaries[[#Headers],[Controller]],tblSalaries[[#This Row],[Salary in USD]],"")</f>
        <v/>
      </c>
      <c r="Y358" s="13" t="str">
        <f>IF(tblSalaries[[#This Row],[Job Type]]=tblSalaries[[#Headers],[CXO or Top Mgmt.]],tblSalaries[[#This Row],[clean Salary (in local currency)]],"")</f>
        <v/>
      </c>
      <c r="Z358" s="13" t="str">
        <f>IF(tblSalaries[[#This Row],[Job Type]]=tblSalaries[[#Headers],[Engineer]],tblSalaries[[#This Row],[Salary in USD]],"")</f>
        <v/>
      </c>
      <c r="AA358" s="13" t="str">
        <f>IF(tblSalaries[[#This Row],[Job Type]]=tblSalaries[[#Headers],[Manager]],tblSalaries[[#This Row],[Salary in USD]],"")</f>
        <v/>
      </c>
      <c r="AB358" s="13" t="str">
        <f>IF(tblSalaries[[#This Row],[Job Type]]=tblSalaries[[#Headers],[Misc.]],tblSalaries[[#This Row],[Salary in USD]],"")</f>
        <v/>
      </c>
      <c r="AC358" s="13" t="str">
        <f>IF(tblSalaries[[#This Row],[Job Type]]=tblSalaries[[#Headers],[Reporting]],tblSalaries[[#This Row],[Salary in USD]],"")</f>
        <v/>
      </c>
      <c r="AD358" s="13" t="str">
        <f>IF(tblSalaries[[#This Row],[Job Type]]=tblSalaries[[#Headers],[Specialist]],tblSalaries[[#This Row],[Salary in USD]],"")</f>
        <v/>
      </c>
    </row>
    <row r="359" spans="2:30" ht="15" customHeight="1" x14ac:dyDescent="0.25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 s="9">
        <f>tblSalaries[[#This Row],[clean Salary (in local currency)]]*VLOOKUP(tblSalaries[[#This Row],[Currency]],tblXrate[],2,FALSE)</f>
        <v>62500</v>
      </c>
      <c r="H359" t="s">
        <v>443</v>
      </c>
      <c r="I359" t="s">
        <v>4001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  <c r="N359" t="str">
        <f>IF(tblSalaries[[#This Row],[Years of Experience]]="","",IF(tblSalaries[[#This Row],[Years of Experience]]&lt;=2,1,""))</f>
        <v/>
      </c>
      <c r="O359" t="str">
        <f>IF(tblSalaries[[#This Row],[Years of Experience]]="","",IF(AND(tblSalaries[[#This Row],[Years of Experience]]&gt;2,tblSalaries[[#This Row],[Years of Experience]]&lt;=5),1,""))</f>
        <v/>
      </c>
      <c r="P359" t="str">
        <f>IF(tblSalaries[[#This Row],[Years of Experience]]="","",IF(AND(tblSalaries[[#This Row],[Years of Experience]]&gt;5,tblSalaries[[#This Row],[Years of Experience]]&lt;=10),1,""))</f>
        <v/>
      </c>
      <c r="Q359" t="str">
        <f>IF(tblSalaries[[#This Row],[Years of Experience]]="","",IF(AND(tblSalaries[[#This Row],[Years of Experience]]&gt;10,tblSalaries[[#This Row],[Years of Experience]]&lt;=15),1,""))</f>
        <v/>
      </c>
      <c r="R359" t="str">
        <f>IF(tblSalaries[[#This Row],[Years of Experience]]="","",IF(AND(tblSalaries[[#This Row],[Years of Experience]]&gt;16,tblSalaries[[#This Row],[Years of Experience]]&lt;=20),1,""))</f>
        <v/>
      </c>
      <c r="S359" t="str">
        <f>IF(tblSalaries[[#This Row],[Years of Experience]]="","",IF(tblSalaries[[#This Row],[Years of Experience]]&gt;20,1,""))</f>
        <v/>
      </c>
      <c r="T3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59" s="13" t="str">
        <f>IF(tblSalaries[[#This Row],[Job Type]]=tblSalaries[[#Headers],[Accountant]],tblSalaries[[#This Row],[Salary in USD]],"")</f>
        <v/>
      </c>
      <c r="V359" s="13" t="str">
        <f>IF(tblSalaries[[#This Row],[Job Type]]=tblSalaries[[#Headers],[Analyst]],tblSalaries[[#This Row],[Salary in USD]],"")</f>
        <v/>
      </c>
      <c r="W359" s="13" t="str">
        <f>IF(tblSalaries[[#This Row],[Job Type]]=tblSalaries[[#Headers],[Consultant]],tblSalaries[[#This Row],[Salary in USD]],"")</f>
        <v/>
      </c>
      <c r="X359" s="13" t="str">
        <f>IF(tblSalaries[[#This Row],[Job Type]]=tblSalaries[[#Headers],[Controller]],tblSalaries[[#This Row],[Salary in USD]],"")</f>
        <v/>
      </c>
      <c r="Y359" s="13">
        <f>IF(tblSalaries[[#This Row],[Job Type]]=tblSalaries[[#Headers],[CXO or Top Mgmt.]],tblSalaries[[#This Row],[clean Salary (in local currency)]],"")</f>
        <v>62500</v>
      </c>
      <c r="Z359" s="13" t="str">
        <f>IF(tblSalaries[[#This Row],[Job Type]]=tblSalaries[[#Headers],[Engineer]],tblSalaries[[#This Row],[Salary in USD]],"")</f>
        <v/>
      </c>
      <c r="AA359" s="13" t="str">
        <f>IF(tblSalaries[[#This Row],[Job Type]]=tblSalaries[[#Headers],[Manager]],tblSalaries[[#This Row],[Salary in USD]],"")</f>
        <v/>
      </c>
      <c r="AB359" s="13" t="str">
        <f>IF(tblSalaries[[#This Row],[Job Type]]=tblSalaries[[#Headers],[Misc.]],tblSalaries[[#This Row],[Salary in USD]],"")</f>
        <v/>
      </c>
      <c r="AC359" s="13" t="str">
        <f>IF(tblSalaries[[#This Row],[Job Type]]=tblSalaries[[#Headers],[Reporting]],tblSalaries[[#This Row],[Salary in USD]],"")</f>
        <v/>
      </c>
      <c r="AD359" s="13" t="str">
        <f>IF(tblSalaries[[#This Row],[Job Type]]=tblSalaries[[#Headers],[Specialist]],tblSalaries[[#This Row],[Salary in USD]],"")</f>
        <v/>
      </c>
    </row>
    <row r="360" spans="2:30" ht="15" customHeight="1" x14ac:dyDescent="0.25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 s="9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  <c r="N360" t="str">
        <f>IF(tblSalaries[[#This Row],[Years of Experience]]="","",IF(tblSalaries[[#This Row],[Years of Experience]]&lt;=2,1,""))</f>
        <v/>
      </c>
      <c r="O360" t="str">
        <f>IF(tblSalaries[[#This Row],[Years of Experience]]="","",IF(AND(tblSalaries[[#This Row],[Years of Experience]]&gt;2,tblSalaries[[#This Row],[Years of Experience]]&lt;=5),1,""))</f>
        <v/>
      </c>
      <c r="P360" t="str">
        <f>IF(tblSalaries[[#This Row],[Years of Experience]]="","",IF(AND(tblSalaries[[#This Row],[Years of Experience]]&gt;5,tblSalaries[[#This Row],[Years of Experience]]&lt;=10),1,""))</f>
        <v/>
      </c>
      <c r="Q360" t="str">
        <f>IF(tblSalaries[[#This Row],[Years of Experience]]="","",IF(AND(tblSalaries[[#This Row],[Years of Experience]]&gt;10,tblSalaries[[#This Row],[Years of Experience]]&lt;=15),1,""))</f>
        <v/>
      </c>
      <c r="R360" t="str">
        <f>IF(tblSalaries[[#This Row],[Years of Experience]]="","",IF(AND(tblSalaries[[#This Row],[Years of Experience]]&gt;16,tblSalaries[[#This Row],[Years of Experience]]&lt;=20),1,""))</f>
        <v/>
      </c>
      <c r="S360" t="str">
        <f>IF(tblSalaries[[#This Row],[Years of Experience]]="","",IF(tblSalaries[[#This Row],[Years of Experience]]&gt;20,1,""))</f>
        <v/>
      </c>
      <c r="T3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0" s="13" t="str">
        <f>IF(tblSalaries[[#This Row],[Job Type]]=tblSalaries[[#Headers],[Accountant]],tblSalaries[[#This Row],[Salary in USD]],"")</f>
        <v/>
      </c>
      <c r="V360" s="13" t="str">
        <f>IF(tblSalaries[[#This Row],[Job Type]]=tblSalaries[[#Headers],[Analyst]],tblSalaries[[#This Row],[Salary in USD]],"")</f>
        <v/>
      </c>
      <c r="W360" s="13" t="str">
        <f>IF(tblSalaries[[#This Row],[Job Type]]=tblSalaries[[#Headers],[Consultant]],tblSalaries[[#This Row],[Salary in USD]],"")</f>
        <v/>
      </c>
      <c r="X360" s="13" t="str">
        <f>IF(tblSalaries[[#This Row],[Job Type]]=tblSalaries[[#Headers],[Controller]],tblSalaries[[#This Row],[Salary in USD]],"")</f>
        <v/>
      </c>
      <c r="Y360" s="13" t="str">
        <f>IF(tblSalaries[[#This Row],[Job Type]]=tblSalaries[[#Headers],[CXO or Top Mgmt.]],tblSalaries[[#This Row],[clean Salary (in local currency)]],"")</f>
        <v/>
      </c>
      <c r="Z360" s="13" t="str">
        <f>IF(tblSalaries[[#This Row],[Job Type]]=tblSalaries[[#Headers],[Engineer]],tblSalaries[[#This Row],[Salary in USD]],"")</f>
        <v/>
      </c>
      <c r="AA360" s="13">
        <f>IF(tblSalaries[[#This Row],[Job Type]]=tblSalaries[[#Headers],[Manager]],tblSalaries[[#This Row],[Salary in USD]],"")</f>
        <v>25000</v>
      </c>
      <c r="AB360" s="13" t="str">
        <f>IF(tblSalaries[[#This Row],[Job Type]]=tblSalaries[[#Headers],[Misc.]],tblSalaries[[#This Row],[Salary in USD]],"")</f>
        <v/>
      </c>
      <c r="AC360" s="13" t="str">
        <f>IF(tblSalaries[[#This Row],[Job Type]]=tblSalaries[[#Headers],[Reporting]],tblSalaries[[#This Row],[Salary in USD]],"")</f>
        <v/>
      </c>
      <c r="AD360" s="13" t="str">
        <f>IF(tblSalaries[[#This Row],[Job Type]]=tblSalaries[[#Headers],[Specialist]],tblSalaries[[#This Row],[Salary in USD]],"")</f>
        <v/>
      </c>
    </row>
    <row r="361" spans="2:30" ht="15" customHeight="1" x14ac:dyDescent="0.25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 s="9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  <c r="N361" t="str">
        <f>IF(tblSalaries[[#This Row],[Years of Experience]]="","",IF(tblSalaries[[#This Row],[Years of Experience]]&lt;=2,1,""))</f>
        <v/>
      </c>
      <c r="O361" t="str">
        <f>IF(tblSalaries[[#This Row],[Years of Experience]]="","",IF(AND(tblSalaries[[#This Row],[Years of Experience]]&gt;2,tblSalaries[[#This Row],[Years of Experience]]&lt;=5),1,""))</f>
        <v/>
      </c>
      <c r="P361" t="str">
        <f>IF(tblSalaries[[#This Row],[Years of Experience]]="","",IF(AND(tblSalaries[[#This Row],[Years of Experience]]&gt;5,tblSalaries[[#This Row],[Years of Experience]]&lt;=10),1,""))</f>
        <v/>
      </c>
      <c r="Q361" t="str">
        <f>IF(tblSalaries[[#This Row],[Years of Experience]]="","",IF(AND(tblSalaries[[#This Row],[Years of Experience]]&gt;10,tblSalaries[[#This Row],[Years of Experience]]&lt;=15),1,""))</f>
        <v/>
      </c>
      <c r="R361" t="str">
        <f>IF(tblSalaries[[#This Row],[Years of Experience]]="","",IF(AND(tblSalaries[[#This Row],[Years of Experience]]&gt;16,tblSalaries[[#This Row],[Years of Experience]]&lt;=20),1,""))</f>
        <v/>
      </c>
      <c r="S361" t="str">
        <f>IF(tblSalaries[[#This Row],[Years of Experience]]="","",IF(tblSalaries[[#This Row],[Years of Experience]]&gt;20,1,""))</f>
        <v/>
      </c>
      <c r="T3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1" s="13" t="str">
        <f>IF(tblSalaries[[#This Row],[Job Type]]=tblSalaries[[#Headers],[Accountant]],tblSalaries[[#This Row],[Salary in USD]],"")</f>
        <v/>
      </c>
      <c r="V361" s="13" t="str">
        <f>IF(tblSalaries[[#This Row],[Job Type]]=tblSalaries[[#Headers],[Analyst]],tblSalaries[[#This Row],[Salary in USD]],"")</f>
        <v/>
      </c>
      <c r="W361" s="13">
        <f>IF(tblSalaries[[#This Row],[Job Type]]=tblSalaries[[#Headers],[Consultant]],tblSalaries[[#This Row],[Salary in USD]],"")</f>
        <v>68954.520184280962</v>
      </c>
      <c r="X361" s="13" t="str">
        <f>IF(tblSalaries[[#This Row],[Job Type]]=tblSalaries[[#Headers],[Controller]],tblSalaries[[#This Row],[Salary in USD]],"")</f>
        <v/>
      </c>
      <c r="Y361" s="13" t="str">
        <f>IF(tblSalaries[[#This Row],[Job Type]]=tblSalaries[[#Headers],[CXO or Top Mgmt.]],tblSalaries[[#This Row],[clean Salary (in local currency)]],"")</f>
        <v/>
      </c>
      <c r="Z361" s="13" t="str">
        <f>IF(tblSalaries[[#This Row],[Job Type]]=tblSalaries[[#Headers],[Engineer]],tblSalaries[[#This Row],[Salary in USD]],"")</f>
        <v/>
      </c>
      <c r="AA361" s="13" t="str">
        <f>IF(tblSalaries[[#This Row],[Job Type]]=tblSalaries[[#Headers],[Manager]],tblSalaries[[#This Row],[Salary in USD]],"")</f>
        <v/>
      </c>
      <c r="AB361" s="13" t="str">
        <f>IF(tblSalaries[[#This Row],[Job Type]]=tblSalaries[[#Headers],[Misc.]],tblSalaries[[#This Row],[Salary in USD]],"")</f>
        <v/>
      </c>
      <c r="AC361" s="13" t="str">
        <f>IF(tblSalaries[[#This Row],[Job Type]]=tblSalaries[[#Headers],[Reporting]],tblSalaries[[#This Row],[Salary in USD]],"")</f>
        <v/>
      </c>
      <c r="AD361" s="13" t="str">
        <f>IF(tblSalaries[[#This Row],[Job Type]]=tblSalaries[[#Headers],[Specialist]],tblSalaries[[#This Row],[Salary in USD]],"")</f>
        <v/>
      </c>
    </row>
    <row r="362" spans="2:30" ht="15" customHeight="1" x14ac:dyDescent="0.25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 s="9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  <c r="N362" t="str">
        <f>IF(tblSalaries[[#This Row],[Years of Experience]]="","",IF(tblSalaries[[#This Row],[Years of Experience]]&lt;=2,1,""))</f>
        <v/>
      </c>
      <c r="O362" t="str">
        <f>IF(tblSalaries[[#This Row],[Years of Experience]]="","",IF(AND(tblSalaries[[#This Row],[Years of Experience]]&gt;2,tblSalaries[[#This Row],[Years of Experience]]&lt;=5),1,""))</f>
        <v/>
      </c>
      <c r="P362" t="str">
        <f>IF(tblSalaries[[#This Row],[Years of Experience]]="","",IF(AND(tblSalaries[[#This Row],[Years of Experience]]&gt;5,tblSalaries[[#This Row],[Years of Experience]]&lt;=10),1,""))</f>
        <v/>
      </c>
      <c r="Q362" t="str">
        <f>IF(tblSalaries[[#This Row],[Years of Experience]]="","",IF(AND(tblSalaries[[#This Row],[Years of Experience]]&gt;10,tblSalaries[[#This Row],[Years of Experience]]&lt;=15),1,""))</f>
        <v/>
      </c>
      <c r="R362" t="str">
        <f>IF(tblSalaries[[#This Row],[Years of Experience]]="","",IF(AND(tblSalaries[[#This Row],[Years of Experience]]&gt;16,tblSalaries[[#This Row],[Years of Experience]]&lt;=20),1,""))</f>
        <v/>
      </c>
      <c r="S362" t="str">
        <f>IF(tblSalaries[[#This Row],[Years of Experience]]="","",IF(tblSalaries[[#This Row],[Years of Experience]]&gt;20,1,""))</f>
        <v/>
      </c>
      <c r="T3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2" s="13" t="str">
        <f>IF(tblSalaries[[#This Row],[Job Type]]=tblSalaries[[#Headers],[Accountant]],tblSalaries[[#This Row],[Salary in USD]],"")</f>
        <v/>
      </c>
      <c r="V362" s="13">
        <f>IF(tblSalaries[[#This Row],[Job Type]]=tblSalaries[[#Headers],[Analyst]],tblSalaries[[#This Row],[Salary in USD]],"")</f>
        <v>85000</v>
      </c>
      <c r="W362" s="13" t="str">
        <f>IF(tblSalaries[[#This Row],[Job Type]]=tblSalaries[[#Headers],[Consultant]],tblSalaries[[#This Row],[Salary in USD]],"")</f>
        <v/>
      </c>
      <c r="X362" s="13" t="str">
        <f>IF(tblSalaries[[#This Row],[Job Type]]=tblSalaries[[#Headers],[Controller]],tblSalaries[[#This Row],[Salary in USD]],"")</f>
        <v/>
      </c>
      <c r="Y362" s="13" t="str">
        <f>IF(tblSalaries[[#This Row],[Job Type]]=tblSalaries[[#Headers],[CXO or Top Mgmt.]],tblSalaries[[#This Row],[clean Salary (in local currency)]],"")</f>
        <v/>
      </c>
      <c r="Z362" s="13" t="str">
        <f>IF(tblSalaries[[#This Row],[Job Type]]=tblSalaries[[#Headers],[Engineer]],tblSalaries[[#This Row],[Salary in USD]],"")</f>
        <v/>
      </c>
      <c r="AA362" s="13" t="str">
        <f>IF(tblSalaries[[#This Row],[Job Type]]=tblSalaries[[#Headers],[Manager]],tblSalaries[[#This Row],[Salary in USD]],"")</f>
        <v/>
      </c>
      <c r="AB362" s="13" t="str">
        <f>IF(tblSalaries[[#This Row],[Job Type]]=tblSalaries[[#Headers],[Misc.]],tblSalaries[[#This Row],[Salary in USD]],"")</f>
        <v/>
      </c>
      <c r="AC362" s="13" t="str">
        <f>IF(tblSalaries[[#This Row],[Job Type]]=tblSalaries[[#Headers],[Reporting]],tblSalaries[[#This Row],[Salary in USD]],"")</f>
        <v/>
      </c>
      <c r="AD362" s="13" t="str">
        <f>IF(tblSalaries[[#This Row],[Job Type]]=tblSalaries[[#Headers],[Specialist]],tblSalaries[[#This Row],[Salary in USD]],"")</f>
        <v/>
      </c>
    </row>
    <row r="363" spans="2:30" ht="15" customHeight="1" x14ac:dyDescent="0.25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 s="9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  <c r="N363" t="str">
        <f>IF(tblSalaries[[#This Row],[Years of Experience]]="","",IF(tblSalaries[[#This Row],[Years of Experience]]&lt;=2,1,""))</f>
        <v/>
      </c>
      <c r="O363" t="str">
        <f>IF(tblSalaries[[#This Row],[Years of Experience]]="","",IF(AND(tblSalaries[[#This Row],[Years of Experience]]&gt;2,tblSalaries[[#This Row],[Years of Experience]]&lt;=5),1,""))</f>
        <v/>
      </c>
      <c r="P363" t="str">
        <f>IF(tblSalaries[[#This Row],[Years of Experience]]="","",IF(AND(tblSalaries[[#This Row],[Years of Experience]]&gt;5,tblSalaries[[#This Row],[Years of Experience]]&lt;=10),1,""))</f>
        <v/>
      </c>
      <c r="Q363" t="str">
        <f>IF(tblSalaries[[#This Row],[Years of Experience]]="","",IF(AND(tblSalaries[[#This Row],[Years of Experience]]&gt;10,tblSalaries[[#This Row],[Years of Experience]]&lt;=15),1,""))</f>
        <v/>
      </c>
      <c r="R363" t="str">
        <f>IF(tblSalaries[[#This Row],[Years of Experience]]="","",IF(AND(tblSalaries[[#This Row],[Years of Experience]]&gt;16,tblSalaries[[#This Row],[Years of Experience]]&lt;=20),1,""))</f>
        <v/>
      </c>
      <c r="S363" t="str">
        <f>IF(tblSalaries[[#This Row],[Years of Experience]]="","",IF(tblSalaries[[#This Row],[Years of Experience]]&gt;20,1,""))</f>
        <v/>
      </c>
      <c r="T3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3" s="13" t="str">
        <f>IF(tblSalaries[[#This Row],[Job Type]]=tblSalaries[[#Headers],[Accountant]],tblSalaries[[#This Row],[Salary in USD]],"")</f>
        <v/>
      </c>
      <c r="V363" s="13" t="str">
        <f>IF(tblSalaries[[#This Row],[Job Type]]=tblSalaries[[#Headers],[Analyst]],tblSalaries[[#This Row],[Salary in USD]],"")</f>
        <v/>
      </c>
      <c r="W363" s="13" t="str">
        <f>IF(tblSalaries[[#This Row],[Job Type]]=tblSalaries[[#Headers],[Consultant]],tblSalaries[[#This Row],[Salary in USD]],"")</f>
        <v/>
      </c>
      <c r="X363" s="13" t="str">
        <f>IF(tblSalaries[[#This Row],[Job Type]]=tblSalaries[[#Headers],[Controller]],tblSalaries[[#This Row],[Salary in USD]],"")</f>
        <v/>
      </c>
      <c r="Y363" s="13" t="str">
        <f>IF(tblSalaries[[#This Row],[Job Type]]=tblSalaries[[#Headers],[CXO or Top Mgmt.]],tblSalaries[[#This Row],[clean Salary (in local currency)]],"")</f>
        <v/>
      </c>
      <c r="Z363" s="13" t="str">
        <f>IF(tblSalaries[[#This Row],[Job Type]]=tblSalaries[[#Headers],[Engineer]],tblSalaries[[#This Row],[Salary in USD]],"")</f>
        <v/>
      </c>
      <c r="AA363" s="13">
        <f>IF(tblSalaries[[#This Row],[Job Type]]=tblSalaries[[#Headers],[Manager]],tblSalaries[[#This Row],[Salary in USD]],"")</f>
        <v>67775.665698893223</v>
      </c>
      <c r="AB363" s="13" t="str">
        <f>IF(tblSalaries[[#This Row],[Job Type]]=tblSalaries[[#Headers],[Misc.]],tblSalaries[[#This Row],[Salary in USD]],"")</f>
        <v/>
      </c>
      <c r="AC363" s="13" t="str">
        <f>IF(tblSalaries[[#This Row],[Job Type]]=tblSalaries[[#Headers],[Reporting]],tblSalaries[[#This Row],[Salary in USD]],"")</f>
        <v/>
      </c>
      <c r="AD363" s="13" t="str">
        <f>IF(tblSalaries[[#This Row],[Job Type]]=tblSalaries[[#Headers],[Specialist]],tblSalaries[[#This Row],[Salary in USD]],"")</f>
        <v/>
      </c>
    </row>
    <row r="364" spans="2:30" ht="15" customHeight="1" x14ac:dyDescent="0.25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 s="9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  <c r="N364" t="str">
        <f>IF(tblSalaries[[#This Row],[Years of Experience]]="","",IF(tblSalaries[[#This Row],[Years of Experience]]&lt;=2,1,""))</f>
        <v/>
      </c>
      <c r="O364" t="str">
        <f>IF(tblSalaries[[#This Row],[Years of Experience]]="","",IF(AND(tblSalaries[[#This Row],[Years of Experience]]&gt;2,tblSalaries[[#This Row],[Years of Experience]]&lt;=5),1,""))</f>
        <v/>
      </c>
      <c r="P364" t="str">
        <f>IF(tblSalaries[[#This Row],[Years of Experience]]="","",IF(AND(tblSalaries[[#This Row],[Years of Experience]]&gt;5,tblSalaries[[#This Row],[Years of Experience]]&lt;=10),1,""))</f>
        <v/>
      </c>
      <c r="Q364" t="str">
        <f>IF(tblSalaries[[#This Row],[Years of Experience]]="","",IF(AND(tblSalaries[[#This Row],[Years of Experience]]&gt;10,tblSalaries[[#This Row],[Years of Experience]]&lt;=15),1,""))</f>
        <v/>
      </c>
      <c r="R364" t="str">
        <f>IF(tblSalaries[[#This Row],[Years of Experience]]="","",IF(AND(tblSalaries[[#This Row],[Years of Experience]]&gt;16,tblSalaries[[#This Row],[Years of Experience]]&lt;=20),1,""))</f>
        <v/>
      </c>
      <c r="S364" t="str">
        <f>IF(tblSalaries[[#This Row],[Years of Experience]]="","",IF(tblSalaries[[#This Row],[Years of Experience]]&gt;20,1,""))</f>
        <v/>
      </c>
      <c r="T3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4" s="13" t="str">
        <f>IF(tblSalaries[[#This Row],[Job Type]]=tblSalaries[[#Headers],[Accountant]],tblSalaries[[#This Row],[Salary in USD]],"")</f>
        <v/>
      </c>
      <c r="V364" s="13" t="str">
        <f>IF(tblSalaries[[#This Row],[Job Type]]=tblSalaries[[#Headers],[Analyst]],tblSalaries[[#This Row],[Salary in USD]],"")</f>
        <v/>
      </c>
      <c r="W364" s="13" t="str">
        <f>IF(tblSalaries[[#This Row],[Job Type]]=tblSalaries[[#Headers],[Consultant]],tblSalaries[[#This Row],[Salary in USD]],"")</f>
        <v/>
      </c>
      <c r="X364" s="13" t="str">
        <f>IF(tblSalaries[[#This Row],[Job Type]]=tblSalaries[[#Headers],[Controller]],tblSalaries[[#This Row],[Salary in USD]],"")</f>
        <v/>
      </c>
      <c r="Y364" s="13" t="str">
        <f>IF(tblSalaries[[#This Row],[Job Type]]=tblSalaries[[#Headers],[CXO or Top Mgmt.]],tblSalaries[[#This Row],[clean Salary (in local currency)]],"")</f>
        <v/>
      </c>
      <c r="Z364" s="13" t="str">
        <f>IF(tblSalaries[[#This Row],[Job Type]]=tblSalaries[[#Headers],[Engineer]],tblSalaries[[#This Row],[Salary in USD]],"")</f>
        <v/>
      </c>
      <c r="AA364" s="13">
        <f>IF(tblSalaries[[#This Row],[Job Type]]=tblSalaries[[#Headers],[Manager]],tblSalaries[[#This Row],[Salary in USD]],"")</f>
        <v>89000</v>
      </c>
      <c r="AB364" s="13" t="str">
        <f>IF(tblSalaries[[#This Row],[Job Type]]=tblSalaries[[#Headers],[Misc.]],tblSalaries[[#This Row],[Salary in USD]],"")</f>
        <v/>
      </c>
      <c r="AC364" s="13" t="str">
        <f>IF(tblSalaries[[#This Row],[Job Type]]=tblSalaries[[#Headers],[Reporting]],tblSalaries[[#This Row],[Salary in USD]],"")</f>
        <v/>
      </c>
      <c r="AD364" s="13" t="str">
        <f>IF(tblSalaries[[#This Row],[Job Type]]=tblSalaries[[#Headers],[Specialist]],tblSalaries[[#This Row],[Salary in USD]],"")</f>
        <v/>
      </c>
    </row>
    <row r="365" spans="2:30" ht="15" customHeight="1" x14ac:dyDescent="0.25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 s="9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Brazil</v>
      </c>
      <c r="L365" t="s">
        <v>13</v>
      </c>
      <c r="N365" t="str">
        <f>IF(tblSalaries[[#This Row],[Years of Experience]]="","",IF(tblSalaries[[#This Row],[Years of Experience]]&lt;=2,1,""))</f>
        <v/>
      </c>
      <c r="O365" t="str">
        <f>IF(tblSalaries[[#This Row],[Years of Experience]]="","",IF(AND(tblSalaries[[#This Row],[Years of Experience]]&gt;2,tblSalaries[[#This Row],[Years of Experience]]&lt;=5),1,""))</f>
        <v/>
      </c>
      <c r="P365" t="str">
        <f>IF(tblSalaries[[#This Row],[Years of Experience]]="","",IF(AND(tblSalaries[[#This Row],[Years of Experience]]&gt;5,tblSalaries[[#This Row],[Years of Experience]]&lt;=10),1,""))</f>
        <v/>
      </c>
      <c r="Q365" t="str">
        <f>IF(tblSalaries[[#This Row],[Years of Experience]]="","",IF(AND(tblSalaries[[#This Row],[Years of Experience]]&gt;10,tblSalaries[[#This Row],[Years of Experience]]&lt;=15),1,""))</f>
        <v/>
      </c>
      <c r="R365" t="str">
        <f>IF(tblSalaries[[#This Row],[Years of Experience]]="","",IF(AND(tblSalaries[[#This Row],[Years of Experience]]&gt;16,tblSalaries[[#This Row],[Years of Experience]]&lt;=20),1,""))</f>
        <v/>
      </c>
      <c r="S365" t="str">
        <f>IF(tblSalaries[[#This Row],[Years of Experience]]="","",IF(tblSalaries[[#This Row],[Years of Experience]]&gt;20,1,""))</f>
        <v/>
      </c>
      <c r="T3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5" s="13" t="str">
        <f>IF(tblSalaries[[#This Row],[Job Type]]=tblSalaries[[#Headers],[Accountant]],tblSalaries[[#This Row],[Salary in USD]],"")</f>
        <v/>
      </c>
      <c r="V365" s="13">
        <f>IF(tblSalaries[[#This Row],[Job Type]]=tblSalaries[[#Headers],[Analyst]],tblSalaries[[#This Row],[Salary in USD]],"")</f>
        <v>35000</v>
      </c>
      <c r="W365" s="13" t="str">
        <f>IF(tblSalaries[[#This Row],[Job Type]]=tblSalaries[[#Headers],[Consultant]],tblSalaries[[#This Row],[Salary in USD]],"")</f>
        <v/>
      </c>
      <c r="X365" s="13" t="str">
        <f>IF(tblSalaries[[#This Row],[Job Type]]=tblSalaries[[#Headers],[Controller]],tblSalaries[[#This Row],[Salary in USD]],"")</f>
        <v/>
      </c>
      <c r="Y365" s="13" t="str">
        <f>IF(tblSalaries[[#This Row],[Job Type]]=tblSalaries[[#Headers],[CXO or Top Mgmt.]],tblSalaries[[#This Row],[clean Salary (in local currency)]],"")</f>
        <v/>
      </c>
      <c r="Z365" s="13" t="str">
        <f>IF(tblSalaries[[#This Row],[Job Type]]=tblSalaries[[#Headers],[Engineer]],tblSalaries[[#This Row],[Salary in USD]],"")</f>
        <v/>
      </c>
      <c r="AA365" s="13" t="str">
        <f>IF(tblSalaries[[#This Row],[Job Type]]=tblSalaries[[#Headers],[Manager]],tblSalaries[[#This Row],[Salary in USD]],"")</f>
        <v/>
      </c>
      <c r="AB365" s="13" t="str">
        <f>IF(tblSalaries[[#This Row],[Job Type]]=tblSalaries[[#Headers],[Misc.]],tblSalaries[[#This Row],[Salary in USD]],"")</f>
        <v/>
      </c>
      <c r="AC365" s="13" t="str">
        <f>IF(tblSalaries[[#This Row],[Job Type]]=tblSalaries[[#Headers],[Reporting]],tblSalaries[[#This Row],[Salary in USD]],"")</f>
        <v/>
      </c>
      <c r="AD365" s="13" t="str">
        <f>IF(tblSalaries[[#This Row],[Job Type]]=tblSalaries[[#Headers],[Specialist]],tblSalaries[[#This Row],[Salary in USD]],"")</f>
        <v/>
      </c>
    </row>
    <row r="366" spans="2:30" ht="15" customHeight="1" x14ac:dyDescent="0.25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 s="9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  <c r="N366" t="str">
        <f>IF(tblSalaries[[#This Row],[Years of Experience]]="","",IF(tblSalaries[[#This Row],[Years of Experience]]&lt;=2,1,""))</f>
        <v/>
      </c>
      <c r="O366" t="str">
        <f>IF(tblSalaries[[#This Row],[Years of Experience]]="","",IF(AND(tblSalaries[[#This Row],[Years of Experience]]&gt;2,tblSalaries[[#This Row],[Years of Experience]]&lt;=5),1,""))</f>
        <v/>
      </c>
      <c r="P366" t="str">
        <f>IF(tblSalaries[[#This Row],[Years of Experience]]="","",IF(AND(tblSalaries[[#This Row],[Years of Experience]]&gt;5,tblSalaries[[#This Row],[Years of Experience]]&lt;=10),1,""))</f>
        <v/>
      </c>
      <c r="Q366" t="str">
        <f>IF(tblSalaries[[#This Row],[Years of Experience]]="","",IF(AND(tblSalaries[[#This Row],[Years of Experience]]&gt;10,tblSalaries[[#This Row],[Years of Experience]]&lt;=15),1,""))</f>
        <v/>
      </c>
      <c r="R366" t="str">
        <f>IF(tblSalaries[[#This Row],[Years of Experience]]="","",IF(AND(tblSalaries[[#This Row],[Years of Experience]]&gt;16,tblSalaries[[#This Row],[Years of Experience]]&lt;=20),1,""))</f>
        <v/>
      </c>
      <c r="S366" t="str">
        <f>IF(tblSalaries[[#This Row],[Years of Experience]]="","",IF(tblSalaries[[#This Row],[Years of Experience]]&gt;20,1,""))</f>
        <v/>
      </c>
      <c r="T3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6" s="13" t="str">
        <f>IF(tblSalaries[[#This Row],[Job Type]]=tblSalaries[[#Headers],[Accountant]],tblSalaries[[#This Row],[Salary in USD]],"")</f>
        <v/>
      </c>
      <c r="V366" s="13" t="str">
        <f>IF(tblSalaries[[#This Row],[Job Type]]=tblSalaries[[#Headers],[Analyst]],tblSalaries[[#This Row],[Salary in USD]],"")</f>
        <v/>
      </c>
      <c r="W366" s="13" t="str">
        <f>IF(tblSalaries[[#This Row],[Job Type]]=tblSalaries[[#Headers],[Consultant]],tblSalaries[[#This Row],[Salary in USD]],"")</f>
        <v/>
      </c>
      <c r="X366" s="13" t="str">
        <f>IF(tblSalaries[[#This Row],[Job Type]]=tblSalaries[[#Headers],[Controller]],tblSalaries[[#This Row],[Salary in USD]],"")</f>
        <v/>
      </c>
      <c r="Y366" s="13" t="str">
        <f>IF(tblSalaries[[#This Row],[Job Type]]=tblSalaries[[#Headers],[CXO or Top Mgmt.]],tblSalaries[[#This Row],[clean Salary (in local currency)]],"")</f>
        <v/>
      </c>
      <c r="Z366" s="13" t="str">
        <f>IF(tblSalaries[[#This Row],[Job Type]]=tblSalaries[[#Headers],[Engineer]],tblSalaries[[#This Row],[Salary in USD]],"")</f>
        <v/>
      </c>
      <c r="AA366" s="13">
        <f>IF(tblSalaries[[#This Row],[Job Type]]=tblSalaries[[#Headers],[Manager]],tblSalaries[[#This Row],[Salary in USD]],"")</f>
        <v>47500</v>
      </c>
      <c r="AB366" s="13" t="str">
        <f>IF(tblSalaries[[#This Row],[Job Type]]=tblSalaries[[#Headers],[Misc.]],tblSalaries[[#This Row],[Salary in USD]],"")</f>
        <v/>
      </c>
      <c r="AC366" s="13" t="str">
        <f>IF(tblSalaries[[#This Row],[Job Type]]=tblSalaries[[#Headers],[Reporting]],tblSalaries[[#This Row],[Salary in USD]],"")</f>
        <v/>
      </c>
      <c r="AD366" s="13" t="str">
        <f>IF(tblSalaries[[#This Row],[Job Type]]=tblSalaries[[#Headers],[Specialist]],tblSalaries[[#This Row],[Salary in USD]],"")</f>
        <v/>
      </c>
    </row>
    <row r="367" spans="2:30" ht="15" customHeight="1" x14ac:dyDescent="0.25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 s="9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  <c r="N367" t="str">
        <f>IF(tblSalaries[[#This Row],[Years of Experience]]="","",IF(tblSalaries[[#This Row],[Years of Experience]]&lt;=2,1,""))</f>
        <v/>
      </c>
      <c r="O367" t="str">
        <f>IF(tblSalaries[[#This Row],[Years of Experience]]="","",IF(AND(tblSalaries[[#This Row],[Years of Experience]]&gt;2,tblSalaries[[#This Row],[Years of Experience]]&lt;=5),1,""))</f>
        <v/>
      </c>
      <c r="P367" t="str">
        <f>IF(tblSalaries[[#This Row],[Years of Experience]]="","",IF(AND(tblSalaries[[#This Row],[Years of Experience]]&gt;5,tblSalaries[[#This Row],[Years of Experience]]&lt;=10),1,""))</f>
        <v/>
      </c>
      <c r="Q367" t="str">
        <f>IF(tblSalaries[[#This Row],[Years of Experience]]="","",IF(AND(tblSalaries[[#This Row],[Years of Experience]]&gt;10,tblSalaries[[#This Row],[Years of Experience]]&lt;=15),1,""))</f>
        <v/>
      </c>
      <c r="R367" t="str">
        <f>IF(tblSalaries[[#This Row],[Years of Experience]]="","",IF(AND(tblSalaries[[#This Row],[Years of Experience]]&gt;16,tblSalaries[[#This Row],[Years of Experience]]&lt;=20),1,""))</f>
        <v/>
      </c>
      <c r="S367" t="str">
        <f>IF(tblSalaries[[#This Row],[Years of Experience]]="","",IF(tblSalaries[[#This Row],[Years of Experience]]&gt;20,1,""))</f>
        <v/>
      </c>
      <c r="T3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7" s="13" t="str">
        <f>IF(tblSalaries[[#This Row],[Job Type]]=tblSalaries[[#Headers],[Accountant]],tblSalaries[[#This Row],[Salary in USD]],"")</f>
        <v/>
      </c>
      <c r="V367" s="13" t="str">
        <f>IF(tblSalaries[[#This Row],[Job Type]]=tblSalaries[[#Headers],[Analyst]],tblSalaries[[#This Row],[Salary in USD]],"")</f>
        <v/>
      </c>
      <c r="W367" s="13" t="str">
        <f>IF(tblSalaries[[#This Row],[Job Type]]=tblSalaries[[#Headers],[Consultant]],tblSalaries[[#This Row],[Salary in USD]],"")</f>
        <v/>
      </c>
      <c r="X367" s="13" t="str">
        <f>IF(tblSalaries[[#This Row],[Job Type]]=tblSalaries[[#Headers],[Controller]],tblSalaries[[#This Row],[Salary in USD]],"")</f>
        <v/>
      </c>
      <c r="Y367" s="13" t="str">
        <f>IF(tblSalaries[[#This Row],[Job Type]]=tblSalaries[[#Headers],[CXO or Top Mgmt.]],tblSalaries[[#This Row],[clean Salary (in local currency)]],"")</f>
        <v/>
      </c>
      <c r="Z367" s="13" t="str">
        <f>IF(tblSalaries[[#This Row],[Job Type]]=tblSalaries[[#Headers],[Engineer]],tblSalaries[[#This Row],[Salary in USD]],"")</f>
        <v/>
      </c>
      <c r="AA367" s="13">
        <f>IF(tblSalaries[[#This Row],[Job Type]]=tblSalaries[[#Headers],[Manager]],tblSalaries[[#This Row],[Salary in USD]],"")</f>
        <v>130000</v>
      </c>
      <c r="AB367" s="13" t="str">
        <f>IF(tblSalaries[[#This Row],[Job Type]]=tblSalaries[[#Headers],[Misc.]],tblSalaries[[#This Row],[Salary in USD]],"")</f>
        <v/>
      </c>
      <c r="AC367" s="13" t="str">
        <f>IF(tblSalaries[[#This Row],[Job Type]]=tblSalaries[[#Headers],[Reporting]],tblSalaries[[#This Row],[Salary in USD]],"")</f>
        <v/>
      </c>
      <c r="AD367" s="13" t="str">
        <f>IF(tblSalaries[[#This Row],[Job Type]]=tblSalaries[[#Headers],[Specialist]],tblSalaries[[#This Row],[Salary in USD]],"")</f>
        <v/>
      </c>
    </row>
    <row r="368" spans="2:30" ht="15" customHeight="1" x14ac:dyDescent="0.25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 s="9">
        <f>tblSalaries[[#This Row],[clean Salary (in local currency)]]*VLOOKUP(tblSalaries[[#This Row],[Currency]],tblXrate[],2,FALSE)</f>
        <v>18000</v>
      </c>
      <c r="H368" t="s">
        <v>452</v>
      </c>
      <c r="I368" t="s">
        <v>4001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  <c r="N368" t="str">
        <f>IF(tblSalaries[[#This Row],[Years of Experience]]="","",IF(tblSalaries[[#This Row],[Years of Experience]]&lt;=2,1,""))</f>
        <v/>
      </c>
      <c r="O368" t="str">
        <f>IF(tblSalaries[[#This Row],[Years of Experience]]="","",IF(AND(tblSalaries[[#This Row],[Years of Experience]]&gt;2,tblSalaries[[#This Row],[Years of Experience]]&lt;=5),1,""))</f>
        <v/>
      </c>
      <c r="P368" t="str">
        <f>IF(tblSalaries[[#This Row],[Years of Experience]]="","",IF(AND(tblSalaries[[#This Row],[Years of Experience]]&gt;5,tblSalaries[[#This Row],[Years of Experience]]&lt;=10),1,""))</f>
        <v/>
      </c>
      <c r="Q368" t="str">
        <f>IF(tblSalaries[[#This Row],[Years of Experience]]="","",IF(AND(tblSalaries[[#This Row],[Years of Experience]]&gt;10,tblSalaries[[#This Row],[Years of Experience]]&lt;=15),1,""))</f>
        <v/>
      </c>
      <c r="R368" t="str">
        <f>IF(tblSalaries[[#This Row],[Years of Experience]]="","",IF(AND(tblSalaries[[#This Row],[Years of Experience]]&gt;16,tblSalaries[[#This Row],[Years of Experience]]&lt;=20),1,""))</f>
        <v/>
      </c>
      <c r="S368" t="str">
        <f>IF(tblSalaries[[#This Row],[Years of Experience]]="","",IF(tblSalaries[[#This Row],[Years of Experience]]&gt;20,1,""))</f>
        <v/>
      </c>
      <c r="T3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8" s="13" t="str">
        <f>IF(tblSalaries[[#This Row],[Job Type]]=tblSalaries[[#Headers],[Accountant]],tblSalaries[[#This Row],[Salary in USD]],"")</f>
        <v/>
      </c>
      <c r="V368" s="13" t="str">
        <f>IF(tblSalaries[[#This Row],[Job Type]]=tblSalaries[[#Headers],[Analyst]],tblSalaries[[#This Row],[Salary in USD]],"")</f>
        <v/>
      </c>
      <c r="W368" s="13" t="str">
        <f>IF(tblSalaries[[#This Row],[Job Type]]=tblSalaries[[#Headers],[Consultant]],tblSalaries[[#This Row],[Salary in USD]],"")</f>
        <v/>
      </c>
      <c r="X368" s="13" t="str">
        <f>IF(tblSalaries[[#This Row],[Job Type]]=tblSalaries[[#Headers],[Controller]],tblSalaries[[#This Row],[Salary in USD]],"")</f>
        <v/>
      </c>
      <c r="Y368" s="13">
        <f>IF(tblSalaries[[#This Row],[Job Type]]=tblSalaries[[#Headers],[CXO or Top Mgmt.]],tblSalaries[[#This Row],[clean Salary (in local currency)]],"")</f>
        <v>18000</v>
      </c>
      <c r="Z368" s="13" t="str">
        <f>IF(tblSalaries[[#This Row],[Job Type]]=tblSalaries[[#Headers],[Engineer]],tblSalaries[[#This Row],[Salary in USD]],"")</f>
        <v/>
      </c>
      <c r="AA368" s="13" t="str">
        <f>IF(tblSalaries[[#This Row],[Job Type]]=tblSalaries[[#Headers],[Manager]],tblSalaries[[#This Row],[Salary in USD]],"")</f>
        <v/>
      </c>
      <c r="AB368" s="13" t="str">
        <f>IF(tblSalaries[[#This Row],[Job Type]]=tblSalaries[[#Headers],[Misc.]],tblSalaries[[#This Row],[Salary in USD]],"")</f>
        <v/>
      </c>
      <c r="AC368" s="13" t="str">
        <f>IF(tblSalaries[[#This Row],[Job Type]]=tblSalaries[[#Headers],[Reporting]],tblSalaries[[#This Row],[Salary in USD]],"")</f>
        <v/>
      </c>
      <c r="AD368" s="13" t="str">
        <f>IF(tblSalaries[[#This Row],[Job Type]]=tblSalaries[[#Headers],[Specialist]],tblSalaries[[#This Row],[Salary in USD]],"")</f>
        <v/>
      </c>
    </row>
    <row r="369" spans="2:30" ht="15" customHeight="1" x14ac:dyDescent="0.25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 s="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  <c r="N369" t="str">
        <f>IF(tblSalaries[[#This Row],[Years of Experience]]="","",IF(tblSalaries[[#This Row],[Years of Experience]]&lt;=2,1,""))</f>
        <v/>
      </c>
      <c r="O369" t="str">
        <f>IF(tblSalaries[[#This Row],[Years of Experience]]="","",IF(AND(tblSalaries[[#This Row],[Years of Experience]]&gt;2,tblSalaries[[#This Row],[Years of Experience]]&lt;=5),1,""))</f>
        <v/>
      </c>
      <c r="P369" t="str">
        <f>IF(tblSalaries[[#This Row],[Years of Experience]]="","",IF(AND(tblSalaries[[#This Row],[Years of Experience]]&gt;5,tblSalaries[[#This Row],[Years of Experience]]&lt;=10),1,""))</f>
        <v/>
      </c>
      <c r="Q369" t="str">
        <f>IF(tblSalaries[[#This Row],[Years of Experience]]="","",IF(AND(tblSalaries[[#This Row],[Years of Experience]]&gt;10,tblSalaries[[#This Row],[Years of Experience]]&lt;=15),1,""))</f>
        <v/>
      </c>
      <c r="R369" t="str">
        <f>IF(tblSalaries[[#This Row],[Years of Experience]]="","",IF(AND(tblSalaries[[#This Row],[Years of Experience]]&gt;16,tblSalaries[[#This Row],[Years of Experience]]&lt;=20),1,""))</f>
        <v/>
      </c>
      <c r="S369" t="str">
        <f>IF(tblSalaries[[#This Row],[Years of Experience]]="","",IF(tblSalaries[[#This Row],[Years of Experience]]&gt;20,1,""))</f>
        <v/>
      </c>
      <c r="T3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69" s="13" t="str">
        <f>IF(tblSalaries[[#This Row],[Job Type]]=tblSalaries[[#Headers],[Accountant]],tblSalaries[[#This Row],[Salary in USD]],"")</f>
        <v/>
      </c>
      <c r="V369" s="13" t="str">
        <f>IF(tblSalaries[[#This Row],[Job Type]]=tblSalaries[[#Headers],[Analyst]],tblSalaries[[#This Row],[Salary in USD]],"")</f>
        <v/>
      </c>
      <c r="W369" s="13" t="str">
        <f>IF(tblSalaries[[#This Row],[Job Type]]=tblSalaries[[#Headers],[Consultant]],tblSalaries[[#This Row],[Salary in USD]],"")</f>
        <v/>
      </c>
      <c r="X369" s="13" t="str">
        <f>IF(tblSalaries[[#This Row],[Job Type]]=tblSalaries[[#Headers],[Controller]],tblSalaries[[#This Row],[Salary in USD]],"")</f>
        <v/>
      </c>
      <c r="Y369" s="13" t="str">
        <f>IF(tblSalaries[[#This Row],[Job Type]]=tblSalaries[[#Headers],[CXO or Top Mgmt.]],tblSalaries[[#This Row],[clean Salary (in local currency)]],"")</f>
        <v/>
      </c>
      <c r="Z369" s="13" t="str">
        <f>IF(tblSalaries[[#This Row],[Job Type]]=tblSalaries[[#Headers],[Engineer]],tblSalaries[[#This Row],[Salary in USD]],"")</f>
        <v/>
      </c>
      <c r="AA369" s="13">
        <f>IF(tblSalaries[[#This Row],[Job Type]]=tblSalaries[[#Headers],[Manager]],tblSalaries[[#This Row],[Salary in USD]],"")</f>
        <v>8547.8000099724322</v>
      </c>
      <c r="AB369" s="13" t="str">
        <f>IF(tblSalaries[[#This Row],[Job Type]]=tblSalaries[[#Headers],[Misc.]],tblSalaries[[#This Row],[Salary in USD]],"")</f>
        <v/>
      </c>
      <c r="AC369" s="13" t="str">
        <f>IF(tblSalaries[[#This Row],[Job Type]]=tblSalaries[[#Headers],[Reporting]],tblSalaries[[#This Row],[Salary in USD]],"")</f>
        <v/>
      </c>
      <c r="AD369" s="13" t="str">
        <f>IF(tblSalaries[[#This Row],[Job Type]]=tblSalaries[[#Headers],[Specialist]],tblSalaries[[#This Row],[Salary in USD]],"")</f>
        <v/>
      </c>
    </row>
    <row r="370" spans="2:30" ht="15" customHeight="1" x14ac:dyDescent="0.25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 s="9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  <c r="N370" t="str">
        <f>IF(tblSalaries[[#This Row],[Years of Experience]]="","",IF(tblSalaries[[#This Row],[Years of Experience]]&lt;=2,1,""))</f>
        <v/>
      </c>
      <c r="O370" t="str">
        <f>IF(tblSalaries[[#This Row],[Years of Experience]]="","",IF(AND(tblSalaries[[#This Row],[Years of Experience]]&gt;2,tblSalaries[[#This Row],[Years of Experience]]&lt;=5),1,""))</f>
        <v/>
      </c>
      <c r="P370" t="str">
        <f>IF(tblSalaries[[#This Row],[Years of Experience]]="","",IF(AND(tblSalaries[[#This Row],[Years of Experience]]&gt;5,tblSalaries[[#This Row],[Years of Experience]]&lt;=10),1,""))</f>
        <v/>
      </c>
      <c r="Q370" t="str">
        <f>IF(tblSalaries[[#This Row],[Years of Experience]]="","",IF(AND(tblSalaries[[#This Row],[Years of Experience]]&gt;10,tblSalaries[[#This Row],[Years of Experience]]&lt;=15),1,""))</f>
        <v/>
      </c>
      <c r="R370" t="str">
        <f>IF(tblSalaries[[#This Row],[Years of Experience]]="","",IF(AND(tblSalaries[[#This Row],[Years of Experience]]&gt;16,tblSalaries[[#This Row],[Years of Experience]]&lt;=20),1,""))</f>
        <v/>
      </c>
      <c r="S370" t="str">
        <f>IF(tblSalaries[[#This Row],[Years of Experience]]="","",IF(tblSalaries[[#This Row],[Years of Experience]]&gt;20,1,""))</f>
        <v/>
      </c>
      <c r="T3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0" s="13" t="str">
        <f>IF(tblSalaries[[#This Row],[Job Type]]=tblSalaries[[#Headers],[Accountant]],tblSalaries[[#This Row],[Salary in USD]],"")</f>
        <v/>
      </c>
      <c r="V370" s="13" t="str">
        <f>IF(tblSalaries[[#This Row],[Job Type]]=tblSalaries[[#Headers],[Analyst]],tblSalaries[[#This Row],[Salary in USD]],"")</f>
        <v/>
      </c>
      <c r="W370" s="13" t="str">
        <f>IF(tblSalaries[[#This Row],[Job Type]]=tblSalaries[[#Headers],[Consultant]],tblSalaries[[#This Row],[Salary in USD]],"")</f>
        <v/>
      </c>
      <c r="X370" s="13" t="str">
        <f>IF(tblSalaries[[#This Row],[Job Type]]=tblSalaries[[#Headers],[Controller]],tblSalaries[[#This Row],[Salary in USD]],"")</f>
        <v/>
      </c>
      <c r="Y370" s="13" t="str">
        <f>IF(tblSalaries[[#This Row],[Job Type]]=tblSalaries[[#Headers],[CXO or Top Mgmt.]],tblSalaries[[#This Row],[clean Salary (in local currency)]],"")</f>
        <v/>
      </c>
      <c r="Z370" s="13" t="str">
        <f>IF(tblSalaries[[#This Row],[Job Type]]=tblSalaries[[#Headers],[Engineer]],tblSalaries[[#This Row],[Salary in USD]],"")</f>
        <v/>
      </c>
      <c r="AA370" s="13">
        <f>IF(tblSalaries[[#This Row],[Job Type]]=tblSalaries[[#Headers],[Manager]],tblSalaries[[#This Row],[Salary in USD]],"")</f>
        <v>41932</v>
      </c>
      <c r="AB370" s="13" t="str">
        <f>IF(tblSalaries[[#This Row],[Job Type]]=tblSalaries[[#Headers],[Misc.]],tblSalaries[[#This Row],[Salary in USD]],"")</f>
        <v/>
      </c>
      <c r="AC370" s="13" t="str">
        <f>IF(tblSalaries[[#This Row],[Job Type]]=tblSalaries[[#Headers],[Reporting]],tblSalaries[[#This Row],[Salary in USD]],"")</f>
        <v/>
      </c>
      <c r="AD370" s="13" t="str">
        <f>IF(tblSalaries[[#This Row],[Job Type]]=tblSalaries[[#Headers],[Specialist]],tblSalaries[[#This Row],[Salary in USD]],"")</f>
        <v/>
      </c>
    </row>
    <row r="371" spans="2:30" ht="15" customHeight="1" x14ac:dyDescent="0.25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 s="9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  <c r="N371" t="str">
        <f>IF(tblSalaries[[#This Row],[Years of Experience]]="","",IF(tblSalaries[[#This Row],[Years of Experience]]&lt;=2,1,""))</f>
        <v/>
      </c>
      <c r="O371" t="str">
        <f>IF(tblSalaries[[#This Row],[Years of Experience]]="","",IF(AND(tblSalaries[[#This Row],[Years of Experience]]&gt;2,tblSalaries[[#This Row],[Years of Experience]]&lt;=5),1,""))</f>
        <v/>
      </c>
      <c r="P371" t="str">
        <f>IF(tblSalaries[[#This Row],[Years of Experience]]="","",IF(AND(tblSalaries[[#This Row],[Years of Experience]]&gt;5,tblSalaries[[#This Row],[Years of Experience]]&lt;=10),1,""))</f>
        <v/>
      </c>
      <c r="Q371" t="str">
        <f>IF(tblSalaries[[#This Row],[Years of Experience]]="","",IF(AND(tblSalaries[[#This Row],[Years of Experience]]&gt;10,tblSalaries[[#This Row],[Years of Experience]]&lt;=15),1,""))</f>
        <v/>
      </c>
      <c r="R371" t="str">
        <f>IF(tblSalaries[[#This Row],[Years of Experience]]="","",IF(AND(tblSalaries[[#This Row],[Years of Experience]]&gt;16,tblSalaries[[#This Row],[Years of Experience]]&lt;=20),1,""))</f>
        <v/>
      </c>
      <c r="S371" t="str">
        <f>IF(tblSalaries[[#This Row],[Years of Experience]]="","",IF(tblSalaries[[#This Row],[Years of Experience]]&gt;20,1,""))</f>
        <v/>
      </c>
      <c r="T3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1" s="13" t="str">
        <f>IF(tblSalaries[[#This Row],[Job Type]]=tblSalaries[[#Headers],[Accountant]],tblSalaries[[#This Row],[Salary in USD]],"")</f>
        <v/>
      </c>
      <c r="V371" s="13" t="str">
        <f>IF(tblSalaries[[#This Row],[Job Type]]=tblSalaries[[#Headers],[Analyst]],tblSalaries[[#This Row],[Salary in USD]],"")</f>
        <v/>
      </c>
      <c r="W371" s="13">
        <f>IF(tblSalaries[[#This Row],[Job Type]]=tblSalaries[[#Headers],[Consultant]],tblSalaries[[#This Row],[Salary in USD]],"")</f>
        <v>220700</v>
      </c>
      <c r="X371" s="13" t="str">
        <f>IF(tblSalaries[[#This Row],[Job Type]]=tblSalaries[[#Headers],[Controller]],tblSalaries[[#This Row],[Salary in USD]],"")</f>
        <v/>
      </c>
      <c r="Y371" s="13" t="str">
        <f>IF(tblSalaries[[#This Row],[Job Type]]=tblSalaries[[#Headers],[CXO or Top Mgmt.]],tblSalaries[[#This Row],[clean Salary (in local currency)]],"")</f>
        <v/>
      </c>
      <c r="Z371" s="13" t="str">
        <f>IF(tblSalaries[[#This Row],[Job Type]]=tblSalaries[[#Headers],[Engineer]],tblSalaries[[#This Row],[Salary in USD]],"")</f>
        <v/>
      </c>
      <c r="AA371" s="13" t="str">
        <f>IF(tblSalaries[[#This Row],[Job Type]]=tblSalaries[[#Headers],[Manager]],tblSalaries[[#This Row],[Salary in USD]],"")</f>
        <v/>
      </c>
      <c r="AB371" s="13" t="str">
        <f>IF(tblSalaries[[#This Row],[Job Type]]=tblSalaries[[#Headers],[Misc.]],tblSalaries[[#This Row],[Salary in USD]],"")</f>
        <v/>
      </c>
      <c r="AC371" s="13" t="str">
        <f>IF(tblSalaries[[#This Row],[Job Type]]=tblSalaries[[#Headers],[Reporting]],tblSalaries[[#This Row],[Salary in USD]],"")</f>
        <v/>
      </c>
      <c r="AD371" s="13" t="str">
        <f>IF(tblSalaries[[#This Row],[Job Type]]=tblSalaries[[#Headers],[Specialist]],tblSalaries[[#This Row],[Salary in USD]],"")</f>
        <v/>
      </c>
    </row>
    <row r="372" spans="2:30" ht="15" customHeight="1" x14ac:dyDescent="0.25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 s="9">
        <f>tblSalaries[[#This Row],[clean Salary (in local currency)]]*VLOOKUP(tblSalaries[[#This Row],[Currency]],tblXrate[],2,FALSE)</f>
        <v>194000</v>
      </c>
      <c r="H372" t="s">
        <v>456</v>
      </c>
      <c r="I372" t="s">
        <v>4001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  <c r="N372" t="str">
        <f>IF(tblSalaries[[#This Row],[Years of Experience]]="","",IF(tblSalaries[[#This Row],[Years of Experience]]&lt;=2,1,""))</f>
        <v/>
      </c>
      <c r="O372" t="str">
        <f>IF(tblSalaries[[#This Row],[Years of Experience]]="","",IF(AND(tblSalaries[[#This Row],[Years of Experience]]&gt;2,tblSalaries[[#This Row],[Years of Experience]]&lt;=5),1,""))</f>
        <v/>
      </c>
      <c r="P372" t="str">
        <f>IF(tblSalaries[[#This Row],[Years of Experience]]="","",IF(AND(tblSalaries[[#This Row],[Years of Experience]]&gt;5,tblSalaries[[#This Row],[Years of Experience]]&lt;=10),1,""))</f>
        <v/>
      </c>
      <c r="Q372" t="str">
        <f>IF(tblSalaries[[#This Row],[Years of Experience]]="","",IF(AND(tblSalaries[[#This Row],[Years of Experience]]&gt;10,tblSalaries[[#This Row],[Years of Experience]]&lt;=15),1,""))</f>
        <v/>
      </c>
      <c r="R372" t="str">
        <f>IF(tblSalaries[[#This Row],[Years of Experience]]="","",IF(AND(tblSalaries[[#This Row],[Years of Experience]]&gt;16,tblSalaries[[#This Row],[Years of Experience]]&lt;=20),1,""))</f>
        <v/>
      </c>
      <c r="S372" t="str">
        <f>IF(tblSalaries[[#This Row],[Years of Experience]]="","",IF(tblSalaries[[#This Row],[Years of Experience]]&gt;20,1,""))</f>
        <v/>
      </c>
      <c r="T3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2" s="13" t="str">
        <f>IF(tblSalaries[[#This Row],[Job Type]]=tblSalaries[[#Headers],[Accountant]],tblSalaries[[#This Row],[Salary in USD]],"")</f>
        <v/>
      </c>
      <c r="V372" s="13" t="str">
        <f>IF(tblSalaries[[#This Row],[Job Type]]=tblSalaries[[#Headers],[Analyst]],tblSalaries[[#This Row],[Salary in USD]],"")</f>
        <v/>
      </c>
      <c r="W372" s="13" t="str">
        <f>IF(tblSalaries[[#This Row],[Job Type]]=tblSalaries[[#Headers],[Consultant]],tblSalaries[[#This Row],[Salary in USD]],"")</f>
        <v/>
      </c>
      <c r="X372" s="13" t="str">
        <f>IF(tblSalaries[[#This Row],[Job Type]]=tblSalaries[[#Headers],[Controller]],tblSalaries[[#This Row],[Salary in USD]],"")</f>
        <v/>
      </c>
      <c r="Y372" s="13">
        <f>IF(tblSalaries[[#This Row],[Job Type]]=tblSalaries[[#Headers],[CXO or Top Mgmt.]],tblSalaries[[#This Row],[clean Salary (in local currency)]],"")</f>
        <v>194000</v>
      </c>
      <c r="Z372" s="13" t="str">
        <f>IF(tblSalaries[[#This Row],[Job Type]]=tblSalaries[[#Headers],[Engineer]],tblSalaries[[#This Row],[Salary in USD]],"")</f>
        <v/>
      </c>
      <c r="AA372" s="13" t="str">
        <f>IF(tblSalaries[[#This Row],[Job Type]]=tblSalaries[[#Headers],[Manager]],tblSalaries[[#This Row],[Salary in USD]],"")</f>
        <v/>
      </c>
      <c r="AB372" s="13" t="str">
        <f>IF(tblSalaries[[#This Row],[Job Type]]=tblSalaries[[#Headers],[Misc.]],tblSalaries[[#This Row],[Salary in USD]],"")</f>
        <v/>
      </c>
      <c r="AC372" s="13" t="str">
        <f>IF(tblSalaries[[#This Row],[Job Type]]=tblSalaries[[#Headers],[Reporting]],tblSalaries[[#This Row],[Salary in USD]],"")</f>
        <v/>
      </c>
      <c r="AD372" s="13" t="str">
        <f>IF(tblSalaries[[#This Row],[Job Type]]=tblSalaries[[#Headers],[Specialist]],tblSalaries[[#This Row],[Salary in USD]],"")</f>
        <v/>
      </c>
    </row>
    <row r="373" spans="2:30" ht="15" customHeight="1" x14ac:dyDescent="0.25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 s="9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  <c r="N373" t="str">
        <f>IF(tblSalaries[[#This Row],[Years of Experience]]="","",IF(tblSalaries[[#This Row],[Years of Experience]]&lt;=2,1,""))</f>
        <v/>
      </c>
      <c r="O373" t="str">
        <f>IF(tblSalaries[[#This Row],[Years of Experience]]="","",IF(AND(tblSalaries[[#This Row],[Years of Experience]]&gt;2,tblSalaries[[#This Row],[Years of Experience]]&lt;=5),1,""))</f>
        <v/>
      </c>
      <c r="P373" t="str">
        <f>IF(tblSalaries[[#This Row],[Years of Experience]]="","",IF(AND(tblSalaries[[#This Row],[Years of Experience]]&gt;5,tblSalaries[[#This Row],[Years of Experience]]&lt;=10),1,""))</f>
        <v/>
      </c>
      <c r="Q373" t="str">
        <f>IF(tblSalaries[[#This Row],[Years of Experience]]="","",IF(AND(tblSalaries[[#This Row],[Years of Experience]]&gt;10,tblSalaries[[#This Row],[Years of Experience]]&lt;=15),1,""))</f>
        <v/>
      </c>
      <c r="R373" t="str">
        <f>IF(tblSalaries[[#This Row],[Years of Experience]]="","",IF(AND(tblSalaries[[#This Row],[Years of Experience]]&gt;16,tblSalaries[[#This Row],[Years of Experience]]&lt;=20),1,""))</f>
        <v/>
      </c>
      <c r="S373" t="str">
        <f>IF(tblSalaries[[#This Row],[Years of Experience]]="","",IF(tblSalaries[[#This Row],[Years of Experience]]&gt;20,1,""))</f>
        <v/>
      </c>
      <c r="T3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3" s="13" t="str">
        <f>IF(tblSalaries[[#This Row],[Job Type]]=tblSalaries[[#Headers],[Accountant]],tblSalaries[[#This Row],[Salary in USD]],"")</f>
        <v/>
      </c>
      <c r="V373" s="13">
        <f>IF(tblSalaries[[#This Row],[Job Type]]=tblSalaries[[#Headers],[Analyst]],tblSalaries[[#This Row],[Salary in USD]],"")</f>
        <v>160271.25018698312</v>
      </c>
      <c r="W373" s="13" t="str">
        <f>IF(tblSalaries[[#This Row],[Job Type]]=tblSalaries[[#Headers],[Consultant]],tblSalaries[[#This Row],[Salary in USD]],"")</f>
        <v/>
      </c>
      <c r="X373" s="13" t="str">
        <f>IF(tblSalaries[[#This Row],[Job Type]]=tblSalaries[[#Headers],[Controller]],tblSalaries[[#This Row],[Salary in USD]],"")</f>
        <v/>
      </c>
      <c r="Y373" s="13" t="str">
        <f>IF(tblSalaries[[#This Row],[Job Type]]=tblSalaries[[#Headers],[CXO or Top Mgmt.]],tblSalaries[[#This Row],[clean Salary (in local currency)]],"")</f>
        <v/>
      </c>
      <c r="Z373" s="13" t="str">
        <f>IF(tblSalaries[[#This Row],[Job Type]]=tblSalaries[[#Headers],[Engineer]],tblSalaries[[#This Row],[Salary in USD]],"")</f>
        <v/>
      </c>
      <c r="AA373" s="13" t="str">
        <f>IF(tblSalaries[[#This Row],[Job Type]]=tblSalaries[[#Headers],[Manager]],tblSalaries[[#This Row],[Salary in USD]],"")</f>
        <v/>
      </c>
      <c r="AB373" s="13" t="str">
        <f>IF(tblSalaries[[#This Row],[Job Type]]=tblSalaries[[#Headers],[Misc.]],tblSalaries[[#This Row],[Salary in USD]],"")</f>
        <v/>
      </c>
      <c r="AC373" s="13" t="str">
        <f>IF(tblSalaries[[#This Row],[Job Type]]=tblSalaries[[#Headers],[Reporting]],tblSalaries[[#This Row],[Salary in USD]],"")</f>
        <v/>
      </c>
      <c r="AD373" s="13" t="str">
        <f>IF(tblSalaries[[#This Row],[Job Type]]=tblSalaries[[#Headers],[Specialist]],tblSalaries[[#This Row],[Salary in USD]],"")</f>
        <v/>
      </c>
    </row>
    <row r="374" spans="2:30" ht="15" customHeight="1" x14ac:dyDescent="0.25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 s="9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  <c r="N374" t="str">
        <f>IF(tblSalaries[[#This Row],[Years of Experience]]="","",IF(tblSalaries[[#This Row],[Years of Experience]]&lt;=2,1,""))</f>
        <v/>
      </c>
      <c r="O374" t="str">
        <f>IF(tblSalaries[[#This Row],[Years of Experience]]="","",IF(AND(tblSalaries[[#This Row],[Years of Experience]]&gt;2,tblSalaries[[#This Row],[Years of Experience]]&lt;=5),1,""))</f>
        <v/>
      </c>
      <c r="P374" t="str">
        <f>IF(tblSalaries[[#This Row],[Years of Experience]]="","",IF(AND(tblSalaries[[#This Row],[Years of Experience]]&gt;5,tblSalaries[[#This Row],[Years of Experience]]&lt;=10),1,""))</f>
        <v/>
      </c>
      <c r="Q374" t="str">
        <f>IF(tblSalaries[[#This Row],[Years of Experience]]="","",IF(AND(tblSalaries[[#This Row],[Years of Experience]]&gt;10,tblSalaries[[#This Row],[Years of Experience]]&lt;=15),1,""))</f>
        <v/>
      </c>
      <c r="R374" t="str">
        <f>IF(tblSalaries[[#This Row],[Years of Experience]]="","",IF(AND(tblSalaries[[#This Row],[Years of Experience]]&gt;16,tblSalaries[[#This Row],[Years of Experience]]&lt;=20),1,""))</f>
        <v/>
      </c>
      <c r="S374" t="str">
        <f>IF(tblSalaries[[#This Row],[Years of Experience]]="","",IF(tblSalaries[[#This Row],[Years of Experience]]&gt;20,1,""))</f>
        <v/>
      </c>
      <c r="T3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4" s="13" t="str">
        <f>IF(tblSalaries[[#This Row],[Job Type]]=tblSalaries[[#Headers],[Accountant]],tblSalaries[[#This Row],[Salary in USD]],"")</f>
        <v/>
      </c>
      <c r="V374" s="13" t="str">
        <f>IF(tblSalaries[[#This Row],[Job Type]]=tblSalaries[[#Headers],[Analyst]],tblSalaries[[#This Row],[Salary in USD]],"")</f>
        <v/>
      </c>
      <c r="W374" s="13" t="str">
        <f>IF(tblSalaries[[#This Row],[Job Type]]=tblSalaries[[#Headers],[Consultant]],tblSalaries[[#This Row],[Salary in USD]],"")</f>
        <v/>
      </c>
      <c r="X374" s="13" t="str">
        <f>IF(tblSalaries[[#This Row],[Job Type]]=tblSalaries[[#Headers],[Controller]],tblSalaries[[#This Row],[Salary in USD]],"")</f>
        <v/>
      </c>
      <c r="Y374" s="13" t="str">
        <f>IF(tblSalaries[[#This Row],[Job Type]]=tblSalaries[[#Headers],[CXO or Top Mgmt.]],tblSalaries[[#This Row],[clean Salary (in local currency)]],"")</f>
        <v/>
      </c>
      <c r="Z374" s="13" t="str">
        <f>IF(tblSalaries[[#This Row],[Job Type]]=tblSalaries[[#Headers],[Engineer]],tblSalaries[[#This Row],[Salary in USD]],"")</f>
        <v/>
      </c>
      <c r="AA374" s="13">
        <f>IF(tblSalaries[[#This Row],[Job Type]]=tblSalaries[[#Headers],[Manager]],tblSalaries[[#This Row],[Salary in USD]],"")</f>
        <v>8903.9583437212841</v>
      </c>
      <c r="AB374" s="13" t="str">
        <f>IF(tblSalaries[[#This Row],[Job Type]]=tblSalaries[[#Headers],[Misc.]],tblSalaries[[#This Row],[Salary in USD]],"")</f>
        <v/>
      </c>
      <c r="AC374" s="13" t="str">
        <f>IF(tblSalaries[[#This Row],[Job Type]]=tblSalaries[[#Headers],[Reporting]],tblSalaries[[#This Row],[Salary in USD]],"")</f>
        <v/>
      </c>
      <c r="AD374" s="13" t="str">
        <f>IF(tblSalaries[[#This Row],[Job Type]]=tblSalaries[[#Headers],[Specialist]],tblSalaries[[#This Row],[Salary in USD]],"")</f>
        <v/>
      </c>
    </row>
    <row r="375" spans="2:30" ht="15" customHeight="1" x14ac:dyDescent="0.25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 s="9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  <c r="N375" t="str">
        <f>IF(tblSalaries[[#This Row],[Years of Experience]]="","",IF(tblSalaries[[#This Row],[Years of Experience]]&lt;=2,1,""))</f>
        <v/>
      </c>
      <c r="O375" t="str">
        <f>IF(tblSalaries[[#This Row],[Years of Experience]]="","",IF(AND(tblSalaries[[#This Row],[Years of Experience]]&gt;2,tblSalaries[[#This Row],[Years of Experience]]&lt;=5),1,""))</f>
        <v/>
      </c>
      <c r="P375" t="str">
        <f>IF(tblSalaries[[#This Row],[Years of Experience]]="","",IF(AND(tblSalaries[[#This Row],[Years of Experience]]&gt;5,tblSalaries[[#This Row],[Years of Experience]]&lt;=10),1,""))</f>
        <v/>
      </c>
      <c r="Q375" t="str">
        <f>IF(tblSalaries[[#This Row],[Years of Experience]]="","",IF(AND(tblSalaries[[#This Row],[Years of Experience]]&gt;10,tblSalaries[[#This Row],[Years of Experience]]&lt;=15),1,""))</f>
        <v/>
      </c>
      <c r="R375" t="str">
        <f>IF(tblSalaries[[#This Row],[Years of Experience]]="","",IF(AND(tblSalaries[[#This Row],[Years of Experience]]&gt;16,tblSalaries[[#This Row],[Years of Experience]]&lt;=20),1,""))</f>
        <v/>
      </c>
      <c r="S375" t="str">
        <f>IF(tblSalaries[[#This Row],[Years of Experience]]="","",IF(tblSalaries[[#This Row],[Years of Experience]]&gt;20,1,""))</f>
        <v/>
      </c>
      <c r="T3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5" s="13" t="str">
        <f>IF(tblSalaries[[#This Row],[Job Type]]=tblSalaries[[#Headers],[Accountant]],tblSalaries[[#This Row],[Salary in USD]],"")</f>
        <v/>
      </c>
      <c r="V375" s="13">
        <f>IF(tblSalaries[[#This Row],[Job Type]]=tblSalaries[[#Headers],[Analyst]],tblSalaries[[#This Row],[Salary in USD]],"")</f>
        <v>78668.921842426149</v>
      </c>
      <c r="W375" s="13" t="str">
        <f>IF(tblSalaries[[#This Row],[Job Type]]=tblSalaries[[#Headers],[Consultant]],tblSalaries[[#This Row],[Salary in USD]],"")</f>
        <v/>
      </c>
      <c r="X375" s="13" t="str">
        <f>IF(tblSalaries[[#This Row],[Job Type]]=tblSalaries[[#Headers],[Controller]],tblSalaries[[#This Row],[Salary in USD]],"")</f>
        <v/>
      </c>
      <c r="Y375" s="13" t="str">
        <f>IF(tblSalaries[[#This Row],[Job Type]]=tblSalaries[[#Headers],[CXO or Top Mgmt.]],tblSalaries[[#This Row],[clean Salary (in local currency)]],"")</f>
        <v/>
      </c>
      <c r="Z375" s="13" t="str">
        <f>IF(tblSalaries[[#This Row],[Job Type]]=tblSalaries[[#Headers],[Engineer]],tblSalaries[[#This Row],[Salary in USD]],"")</f>
        <v/>
      </c>
      <c r="AA375" s="13" t="str">
        <f>IF(tblSalaries[[#This Row],[Job Type]]=tblSalaries[[#Headers],[Manager]],tblSalaries[[#This Row],[Salary in USD]],"")</f>
        <v/>
      </c>
      <c r="AB375" s="13" t="str">
        <f>IF(tblSalaries[[#This Row],[Job Type]]=tblSalaries[[#Headers],[Misc.]],tblSalaries[[#This Row],[Salary in USD]],"")</f>
        <v/>
      </c>
      <c r="AC375" s="13" t="str">
        <f>IF(tblSalaries[[#This Row],[Job Type]]=tblSalaries[[#Headers],[Reporting]],tblSalaries[[#This Row],[Salary in USD]],"")</f>
        <v/>
      </c>
      <c r="AD375" s="13" t="str">
        <f>IF(tblSalaries[[#This Row],[Job Type]]=tblSalaries[[#Headers],[Specialist]],tblSalaries[[#This Row],[Salary in USD]],"")</f>
        <v/>
      </c>
    </row>
    <row r="376" spans="2:30" ht="15" customHeight="1" x14ac:dyDescent="0.25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 s="9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  <c r="N376" t="str">
        <f>IF(tblSalaries[[#This Row],[Years of Experience]]="","",IF(tblSalaries[[#This Row],[Years of Experience]]&lt;=2,1,""))</f>
        <v/>
      </c>
      <c r="O376" t="str">
        <f>IF(tblSalaries[[#This Row],[Years of Experience]]="","",IF(AND(tblSalaries[[#This Row],[Years of Experience]]&gt;2,tblSalaries[[#This Row],[Years of Experience]]&lt;=5),1,""))</f>
        <v/>
      </c>
      <c r="P376" t="str">
        <f>IF(tblSalaries[[#This Row],[Years of Experience]]="","",IF(AND(tblSalaries[[#This Row],[Years of Experience]]&gt;5,tblSalaries[[#This Row],[Years of Experience]]&lt;=10),1,""))</f>
        <v/>
      </c>
      <c r="Q376" t="str">
        <f>IF(tblSalaries[[#This Row],[Years of Experience]]="","",IF(AND(tblSalaries[[#This Row],[Years of Experience]]&gt;10,tblSalaries[[#This Row],[Years of Experience]]&lt;=15),1,""))</f>
        <v/>
      </c>
      <c r="R376" t="str">
        <f>IF(tblSalaries[[#This Row],[Years of Experience]]="","",IF(AND(tblSalaries[[#This Row],[Years of Experience]]&gt;16,tblSalaries[[#This Row],[Years of Experience]]&lt;=20),1,""))</f>
        <v/>
      </c>
      <c r="S376" t="str">
        <f>IF(tblSalaries[[#This Row],[Years of Experience]]="","",IF(tblSalaries[[#This Row],[Years of Experience]]&gt;20,1,""))</f>
        <v/>
      </c>
      <c r="T3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6" s="13" t="str">
        <f>IF(tblSalaries[[#This Row],[Job Type]]=tblSalaries[[#Headers],[Accountant]],tblSalaries[[#This Row],[Salary in USD]],"")</f>
        <v/>
      </c>
      <c r="V376" s="13" t="str">
        <f>IF(tblSalaries[[#This Row],[Job Type]]=tblSalaries[[#Headers],[Analyst]],tblSalaries[[#This Row],[Salary in USD]],"")</f>
        <v/>
      </c>
      <c r="W376" s="13" t="str">
        <f>IF(tblSalaries[[#This Row],[Job Type]]=tblSalaries[[#Headers],[Consultant]],tblSalaries[[#This Row],[Salary in USD]],"")</f>
        <v/>
      </c>
      <c r="X376" s="13" t="str">
        <f>IF(tblSalaries[[#This Row],[Job Type]]=tblSalaries[[#Headers],[Controller]],tblSalaries[[#This Row],[Salary in USD]],"")</f>
        <v/>
      </c>
      <c r="Y376" s="13" t="str">
        <f>IF(tblSalaries[[#This Row],[Job Type]]=tblSalaries[[#Headers],[CXO or Top Mgmt.]],tblSalaries[[#This Row],[clean Salary (in local currency)]],"")</f>
        <v/>
      </c>
      <c r="Z376" s="13" t="str">
        <f>IF(tblSalaries[[#This Row],[Job Type]]=tblSalaries[[#Headers],[Engineer]],tblSalaries[[#This Row],[Salary in USD]],"")</f>
        <v/>
      </c>
      <c r="AA376" s="13">
        <f>IF(tblSalaries[[#This Row],[Job Type]]=tblSalaries[[#Headers],[Manager]],tblSalaries[[#This Row],[Salary in USD]],"")</f>
        <v>22867.189901848938</v>
      </c>
      <c r="AB376" s="13" t="str">
        <f>IF(tblSalaries[[#This Row],[Job Type]]=tblSalaries[[#Headers],[Misc.]],tblSalaries[[#This Row],[Salary in USD]],"")</f>
        <v/>
      </c>
      <c r="AC376" s="13" t="str">
        <f>IF(tblSalaries[[#This Row],[Job Type]]=tblSalaries[[#Headers],[Reporting]],tblSalaries[[#This Row],[Salary in USD]],"")</f>
        <v/>
      </c>
      <c r="AD376" s="13" t="str">
        <f>IF(tblSalaries[[#This Row],[Job Type]]=tblSalaries[[#Headers],[Specialist]],tblSalaries[[#This Row],[Salary in USD]],"")</f>
        <v/>
      </c>
    </row>
    <row r="377" spans="2:30" ht="15" customHeight="1" x14ac:dyDescent="0.25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 s="9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4001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  <c r="N377" t="str">
        <f>IF(tblSalaries[[#This Row],[Years of Experience]]="","",IF(tblSalaries[[#This Row],[Years of Experience]]&lt;=2,1,""))</f>
        <v/>
      </c>
      <c r="O377" t="str">
        <f>IF(tblSalaries[[#This Row],[Years of Experience]]="","",IF(AND(tblSalaries[[#This Row],[Years of Experience]]&gt;2,tblSalaries[[#This Row],[Years of Experience]]&lt;=5),1,""))</f>
        <v/>
      </c>
      <c r="P377" t="str">
        <f>IF(tblSalaries[[#This Row],[Years of Experience]]="","",IF(AND(tblSalaries[[#This Row],[Years of Experience]]&gt;5,tblSalaries[[#This Row],[Years of Experience]]&lt;=10),1,""))</f>
        <v/>
      </c>
      <c r="Q377" t="str">
        <f>IF(tblSalaries[[#This Row],[Years of Experience]]="","",IF(AND(tblSalaries[[#This Row],[Years of Experience]]&gt;10,tblSalaries[[#This Row],[Years of Experience]]&lt;=15),1,""))</f>
        <v/>
      </c>
      <c r="R377" t="str">
        <f>IF(tblSalaries[[#This Row],[Years of Experience]]="","",IF(AND(tblSalaries[[#This Row],[Years of Experience]]&gt;16,tblSalaries[[#This Row],[Years of Experience]]&lt;=20),1,""))</f>
        <v/>
      </c>
      <c r="S377" t="str">
        <f>IF(tblSalaries[[#This Row],[Years of Experience]]="","",IF(tblSalaries[[#This Row],[Years of Experience]]&gt;20,1,""))</f>
        <v/>
      </c>
      <c r="T3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7" s="13" t="str">
        <f>IF(tblSalaries[[#This Row],[Job Type]]=tblSalaries[[#Headers],[Accountant]],tblSalaries[[#This Row],[Salary in USD]],"")</f>
        <v/>
      </c>
      <c r="V377" s="13" t="str">
        <f>IF(tblSalaries[[#This Row],[Job Type]]=tblSalaries[[#Headers],[Analyst]],tblSalaries[[#This Row],[Salary in USD]],"")</f>
        <v/>
      </c>
      <c r="W377" s="13" t="str">
        <f>IF(tblSalaries[[#This Row],[Job Type]]=tblSalaries[[#Headers],[Consultant]],tblSalaries[[#This Row],[Salary in USD]],"")</f>
        <v/>
      </c>
      <c r="X377" s="13" t="str">
        <f>IF(tblSalaries[[#This Row],[Job Type]]=tblSalaries[[#Headers],[Controller]],tblSalaries[[#This Row],[Salary in USD]],"")</f>
        <v/>
      </c>
      <c r="Y377" s="13">
        <f>IF(tblSalaries[[#This Row],[Job Type]]=tblSalaries[[#Headers],[CXO or Top Mgmt.]],tblSalaries[[#This Row],[clean Salary (in local currency)]],"")</f>
        <v>60000</v>
      </c>
      <c r="Z377" s="13" t="str">
        <f>IF(tblSalaries[[#This Row],[Job Type]]=tblSalaries[[#Headers],[Engineer]],tblSalaries[[#This Row],[Salary in USD]],"")</f>
        <v/>
      </c>
      <c r="AA377" s="13" t="str">
        <f>IF(tblSalaries[[#This Row],[Job Type]]=tblSalaries[[#Headers],[Manager]],tblSalaries[[#This Row],[Salary in USD]],"")</f>
        <v/>
      </c>
      <c r="AB377" s="13" t="str">
        <f>IF(tblSalaries[[#This Row],[Job Type]]=tblSalaries[[#Headers],[Misc.]],tblSalaries[[#This Row],[Salary in USD]],"")</f>
        <v/>
      </c>
      <c r="AC377" s="13" t="str">
        <f>IF(tblSalaries[[#This Row],[Job Type]]=tblSalaries[[#Headers],[Reporting]],tblSalaries[[#This Row],[Salary in USD]],"")</f>
        <v/>
      </c>
      <c r="AD377" s="13" t="str">
        <f>IF(tblSalaries[[#This Row],[Job Type]]=tblSalaries[[#Headers],[Specialist]],tblSalaries[[#This Row],[Salary in USD]],"")</f>
        <v/>
      </c>
    </row>
    <row r="378" spans="2:30" ht="15" customHeight="1" x14ac:dyDescent="0.25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 s="9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  <c r="N378" t="str">
        <f>IF(tblSalaries[[#This Row],[Years of Experience]]="","",IF(tblSalaries[[#This Row],[Years of Experience]]&lt;=2,1,""))</f>
        <v/>
      </c>
      <c r="O378" t="str">
        <f>IF(tblSalaries[[#This Row],[Years of Experience]]="","",IF(AND(tblSalaries[[#This Row],[Years of Experience]]&gt;2,tblSalaries[[#This Row],[Years of Experience]]&lt;=5),1,""))</f>
        <v/>
      </c>
      <c r="P378" t="str">
        <f>IF(tblSalaries[[#This Row],[Years of Experience]]="","",IF(AND(tblSalaries[[#This Row],[Years of Experience]]&gt;5,tblSalaries[[#This Row],[Years of Experience]]&lt;=10),1,""))</f>
        <v/>
      </c>
      <c r="Q378" t="str">
        <f>IF(tblSalaries[[#This Row],[Years of Experience]]="","",IF(AND(tblSalaries[[#This Row],[Years of Experience]]&gt;10,tblSalaries[[#This Row],[Years of Experience]]&lt;=15),1,""))</f>
        <v/>
      </c>
      <c r="R378" t="str">
        <f>IF(tblSalaries[[#This Row],[Years of Experience]]="","",IF(AND(tblSalaries[[#This Row],[Years of Experience]]&gt;16,tblSalaries[[#This Row],[Years of Experience]]&lt;=20),1,""))</f>
        <v/>
      </c>
      <c r="S378" t="str">
        <f>IF(tblSalaries[[#This Row],[Years of Experience]]="","",IF(tblSalaries[[#This Row],[Years of Experience]]&gt;20,1,""))</f>
        <v/>
      </c>
      <c r="T3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8" s="13" t="str">
        <f>IF(tblSalaries[[#This Row],[Job Type]]=tblSalaries[[#Headers],[Accountant]],tblSalaries[[#This Row],[Salary in USD]],"")</f>
        <v/>
      </c>
      <c r="V378" s="13">
        <f>IF(tblSalaries[[#This Row],[Job Type]]=tblSalaries[[#Headers],[Analyst]],tblSalaries[[#This Row],[Salary in USD]],"")</f>
        <v>95000</v>
      </c>
      <c r="W378" s="13" t="str">
        <f>IF(tblSalaries[[#This Row],[Job Type]]=tblSalaries[[#Headers],[Consultant]],tblSalaries[[#This Row],[Salary in USD]],"")</f>
        <v/>
      </c>
      <c r="X378" s="13" t="str">
        <f>IF(tblSalaries[[#This Row],[Job Type]]=tblSalaries[[#Headers],[Controller]],tblSalaries[[#This Row],[Salary in USD]],"")</f>
        <v/>
      </c>
      <c r="Y378" s="13" t="str">
        <f>IF(tblSalaries[[#This Row],[Job Type]]=tblSalaries[[#Headers],[CXO or Top Mgmt.]],tblSalaries[[#This Row],[clean Salary (in local currency)]],"")</f>
        <v/>
      </c>
      <c r="Z378" s="13" t="str">
        <f>IF(tblSalaries[[#This Row],[Job Type]]=tblSalaries[[#Headers],[Engineer]],tblSalaries[[#This Row],[Salary in USD]],"")</f>
        <v/>
      </c>
      <c r="AA378" s="13" t="str">
        <f>IF(tblSalaries[[#This Row],[Job Type]]=tblSalaries[[#Headers],[Manager]],tblSalaries[[#This Row],[Salary in USD]],"")</f>
        <v/>
      </c>
      <c r="AB378" s="13" t="str">
        <f>IF(tblSalaries[[#This Row],[Job Type]]=tblSalaries[[#Headers],[Misc.]],tblSalaries[[#This Row],[Salary in USD]],"")</f>
        <v/>
      </c>
      <c r="AC378" s="13" t="str">
        <f>IF(tblSalaries[[#This Row],[Job Type]]=tblSalaries[[#Headers],[Reporting]],tblSalaries[[#This Row],[Salary in USD]],"")</f>
        <v/>
      </c>
      <c r="AD378" s="13" t="str">
        <f>IF(tblSalaries[[#This Row],[Job Type]]=tblSalaries[[#Headers],[Specialist]],tblSalaries[[#This Row],[Salary in USD]],"")</f>
        <v/>
      </c>
    </row>
    <row r="379" spans="2:30" ht="15" customHeight="1" x14ac:dyDescent="0.25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 s="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  <c r="N379" t="str">
        <f>IF(tblSalaries[[#This Row],[Years of Experience]]="","",IF(tblSalaries[[#This Row],[Years of Experience]]&lt;=2,1,""))</f>
        <v/>
      </c>
      <c r="O379" t="str">
        <f>IF(tblSalaries[[#This Row],[Years of Experience]]="","",IF(AND(tblSalaries[[#This Row],[Years of Experience]]&gt;2,tblSalaries[[#This Row],[Years of Experience]]&lt;=5),1,""))</f>
        <v/>
      </c>
      <c r="P379" t="str">
        <f>IF(tblSalaries[[#This Row],[Years of Experience]]="","",IF(AND(tblSalaries[[#This Row],[Years of Experience]]&gt;5,tblSalaries[[#This Row],[Years of Experience]]&lt;=10),1,""))</f>
        <v/>
      </c>
      <c r="Q379" t="str">
        <f>IF(tblSalaries[[#This Row],[Years of Experience]]="","",IF(AND(tblSalaries[[#This Row],[Years of Experience]]&gt;10,tblSalaries[[#This Row],[Years of Experience]]&lt;=15),1,""))</f>
        <v/>
      </c>
      <c r="R379" t="str">
        <f>IF(tblSalaries[[#This Row],[Years of Experience]]="","",IF(AND(tblSalaries[[#This Row],[Years of Experience]]&gt;16,tblSalaries[[#This Row],[Years of Experience]]&lt;=20),1,""))</f>
        <v/>
      </c>
      <c r="S379" t="str">
        <f>IF(tblSalaries[[#This Row],[Years of Experience]]="","",IF(tblSalaries[[#This Row],[Years of Experience]]&gt;20,1,""))</f>
        <v/>
      </c>
      <c r="T3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79" s="13" t="str">
        <f>IF(tblSalaries[[#This Row],[Job Type]]=tblSalaries[[#Headers],[Accountant]],tblSalaries[[#This Row],[Salary in USD]],"")</f>
        <v/>
      </c>
      <c r="V379" s="13" t="str">
        <f>IF(tblSalaries[[#This Row],[Job Type]]=tblSalaries[[#Headers],[Analyst]],tblSalaries[[#This Row],[Salary in USD]],"")</f>
        <v/>
      </c>
      <c r="W379" s="13" t="str">
        <f>IF(tblSalaries[[#This Row],[Job Type]]=tblSalaries[[#Headers],[Consultant]],tblSalaries[[#This Row],[Salary in USD]],"")</f>
        <v/>
      </c>
      <c r="X379" s="13" t="str">
        <f>IF(tblSalaries[[#This Row],[Job Type]]=tblSalaries[[#Headers],[Controller]],tblSalaries[[#This Row],[Salary in USD]],"")</f>
        <v/>
      </c>
      <c r="Y379" s="13" t="str">
        <f>IF(tblSalaries[[#This Row],[Job Type]]=tblSalaries[[#Headers],[CXO or Top Mgmt.]],tblSalaries[[#This Row],[clean Salary (in local currency)]],"")</f>
        <v/>
      </c>
      <c r="Z379" s="13">
        <f>IF(tblSalaries[[#This Row],[Job Type]]=tblSalaries[[#Headers],[Engineer]],tblSalaries[[#This Row],[Salary in USD]],"")</f>
        <v>9616.275011218986</v>
      </c>
      <c r="AA379" s="13" t="str">
        <f>IF(tblSalaries[[#This Row],[Job Type]]=tblSalaries[[#Headers],[Manager]],tblSalaries[[#This Row],[Salary in USD]],"")</f>
        <v/>
      </c>
      <c r="AB379" s="13" t="str">
        <f>IF(tblSalaries[[#This Row],[Job Type]]=tblSalaries[[#Headers],[Misc.]],tblSalaries[[#This Row],[Salary in USD]],"")</f>
        <v/>
      </c>
      <c r="AC379" s="13" t="str">
        <f>IF(tblSalaries[[#This Row],[Job Type]]=tblSalaries[[#Headers],[Reporting]],tblSalaries[[#This Row],[Salary in USD]],"")</f>
        <v/>
      </c>
      <c r="AD379" s="13" t="str">
        <f>IF(tblSalaries[[#This Row],[Job Type]]=tblSalaries[[#Headers],[Specialist]],tblSalaries[[#This Row],[Salary in USD]],"")</f>
        <v/>
      </c>
    </row>
    <row r="380" spans="2:30" ht="15" customHeight="1" x14ac:dyDescent="0.25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 s="9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  <c r="N380" t="str">
        <f>IF(tblSalaries[[#This Row],[Years of Experience]]="","",IF(tblSalaries[[#This Row],[Years of Experience]]&lt;=2,1,""))</f>
        <v/>
      </c>
      <c r="O380" t="str">
        <f>IF(tblSalaries[[#This Row],[Years of Experience]]="","",IF(AND(tblSalaries[[#This Row],[Years of Experience]]&gt;2,tblSalaries[[#This Row],[Years of Experience]]&lt;=5),1,""))</f>
        <v/>
      </c>
      <c r="P380" t="str">
        <f>IF(tblSalaries[[#This Row],[Years of Experience]]="","",IF(AND(tblSalaries[[#This Row],[Years of Experience]]&gt;5,tblSalaries[[#This Row],[Years of Experience]]&lt;=10),1,""))</f>
        <v/>
      </c>
      <c r="Q380" t="str">
        <f>IF(tblSalaries[[#This Row],[Years of Experience]]="","",IF(AND(tblSalaries[[#This Row],[Years of Experience]]&gt;10,tblSalaries[[#This Row],[Years of Experience]]&lt;=15),1,""))</f>
        <v/>
      </c>
      <c r="R380" t="str">
        <f>IF(tblSalaries[[#This Row],[Years of Experience]]="","",IF(AND(tblSalaries[[#This Row],[Years of Experience]]&gt;16,tblSalaries[[#This Row],[Years of Experience]]&lt;=20),1,""))</f>
        <v/>
      </c>
      <c r="S380" t="str">
        <f>IF(tblSalaries[[#This Row],[Years of Experience]]="","",IF(tblSalaries[[#This Row],[Years of Experience]]&gt;20,1,""))</f>
        <v/>
      </c>
      <c r="T3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0" s="13" t="str">
        <f>IF(tblSalaries[[#This Row],[Job Type]]=tblSalaries[[#Headers],[Accountant]],tblSalaries[[#This Row],[Salary in USD]],"")</f>
        <v/>
      </c>
      <c r="V380" s="13">
        <f>IF(tblSalaries[[#This Row],[Job Type]]=tblSalaries[[#Headers],[Analyst]],tblSalaries[[#This Row],[Salary in USD]],"")</f>
        <v>48000</v>
      </c>
      <c r="W380" s="13" t="str">
        <f>IF(tblSalaries[[#This Row],[Job Type]]=tblSalaries[[#Headers],[Consultant]],tblSalaries[[#This Row],[Salary in USD]],"")</f>
        <v/>
      </c>
      <c r="X380" s="13" t="str">
        <f>IF(tblSalaries[[#This Row],[Job Type]]=tblSalaries[[#Headers],[Controller]],tblSalaries[[#This Row],[Salary in USD]],"")</f>
        <v/>
      </c>
      <c r="Y380" s="13" t="str">
        <f>IF(tblSalaries[[#This Row],[Job Type]]=tblSalaries[[#Headers],[CXO or Top Mgmt.]],tblSalaries[[#This Row],[clean Salary (in local currency)]],"")</f>
        <v/>
      </c>
      <c r="Z380" s="13" t="str">
        <f>IF(tblSalaries[[#This Row],[Job Type]]=tblSalaries[[#Headers],[Engineer]],tblSalaries[[#This Row],[Salary in USD]],"")</f>
        <v/>
      </c>
      <c r="AA380" s="13" t="str">
        <f>IF(tblSalaries[[#This Row],[Job Type]]=tblSalaries[[#Headers],[Manager]],tblSalaries[[#This Row],[Salary in USD]],"")</f>
        <v/>
      </c>
      <c r="AB380" s="13" t="str">
        <f>IF(tblSalaries[[#This Row],[Job Type]]=tblSalaries[[#Headers],[Misc.]],tblSalaries[[#This Row],[Salary in USD]],"")</f>
        <v/>
      </c>
      <c r="AC380" s="13" t="str">
        <f>IF(tblSalaries[[#This Row],[Job Type]]=tblSalaries[[#Headers],[Reporting]],tblSalaries[[#This Row],[Salary in USD]],"")</f>
        <v/>
      </c>
      <c r="AD380" s="13" t="str">
        <f>IF(tblSalaries[[#This Row],[Job Type]]=tblSalaries[[#Headers],[Specialist]],tblSalaries[[#This Row],[Salary in USD]],"")</f>
        <v/>
      </c>
    </row>
    <row r="381" spans="2:30" ht="15" customHeight="1" x14ac:dyDescent="0.25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 s="9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  <c r="N381" t="str">
        <f>IF(tblSalaries[[#This Row],[Years of Experience]]="","",IF(tblSalaries[[#This Row],[Years of Experience]]&lt;=2,1,""))</f>
        <v/>
      </c>
      <c r="O381" t="str">
        <f>IF(tblSalaries[[#This Row],[Years of Experience]]="","",IF(AND(tblSalaries[[#This Row],[Years of Experience]]&gt;2,tblSalaries[[#This Row],[Years of Experience]]&lt;=5),1,""))</f>
        <v/>
      </c>
      <c r="P381" t="str">
        <f>IF(tblSalaries[[#This Row],[Years of Experience]]="","",IF(AND(tblSalaries[[#This Row],[Years of Experience]]&gt;5,tblSalaries[[#This Row],[Years of Experience]]&lt;=10),1,""))</f>
        <v/>
      </c>
      <c r="Q381" t="str">
        <f>IF(tblSalaries[[#This Row],[Years of Experience]]="","",IF(AND(tblSalaries[[#This Row],[Years of Experience]]&gt;10,tblSalaries[[#This Row],[Years of Experience]]&lt;=15),1,""))</f>
        <v/>
      </c>
      <c r="R381" t="str">
        <f>IF(tblSalaries[[#This Row],[Years of Experience]]="","",IF(AND(tblSalaries[[#This Row],[Years of Experience]]&gt;16,tblSalaries[[#This Row],[Years of Experience]]&lt;=20),1,""))</f>
        <v/>
      </c>
      <c r="S381" t="str">
        <f>IF(tblSalaries[[#This Row],[Years of Experience]]="","",IF(tblSalaries[[#This Row],[Years of Experience]]&gt;20,1,""))</f>
        <v/>
      </c>
      <c r="T3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1" s="13" t="str">
        <f>IF(tblSalaries[[#This Row],[Job Type]]=tblSalaries[[#Headers],[Accountant]],tblSalaries[[#This Row],[Salary in USD]],"")</f>
        <v/>
      </c>
      <c r="V381" s="13">
        <f>IF(tblSalaries[[#This Row],[Job Type]]=tblSalaries[[#Headers],[Analyst]],tblSalaries[[#This Row],[Salary in USD]],"")</f>
        <v>46000</v>
      </c>
      <c r="W381" s="13" t="str">
        <f>IF(tblSalaries[[#This Row],[Job Type]]=tblSalaries[[#Headers],[Consultant]],tblSalaries[[#This Row],[Salary in USD]],"")</f>
        <v/>
      </c>
      <c r="X381" s="13" t="str">
        <f>IF(tblSalaries[[#This Row],[Job Type]]=tblSalaries[[#Headers],[Controller]],tblSalaries[[#This Row],[Salary in USD]],"")</f>
        <v/>
      </c>
      <c r="Y381" s="13" t="str">
        <f>IF(tblSalaries[[#This Row],[Job Type]]=tblSalaries[[#Headers],[CXO or Top Mgmt.]],tblSalaries[[#This Row],[clean Salary (in local currency)]],"")</f>
        <v/>
      </c>
      <c r="Z381" s="13" t="str">
        <f>IF(tblSalaries[[#This Row],[Job Type]]=tblSalaries[[#Headers],[Engineer]],tblSalaries[[#This Row],[Salary in USD]],"")</f>
        <v/>
      </c>
      <c r="AA381" s="13" t="str">
        <f>IF(tblSalaries[[#This Row],[Job Type]]=tblSalaries[[#Headers],[Manager]],tblSalaries[[#This Row],[Salary in USD]],"")</f>
        <v/>
      </c>
      <c r="AB381" s="13" t="str">
        <f>IF(tblSalaries[[#This Row],[Job Type]]=tblSalaries[[#Headers],[Misc.]],tblSalaries[[#This Row],[Salary in USD]],"")</f>
        <v/>
      </c>
      <c r="AC381" s="13" t="str">
        <f>IF(tblSalaries[[#This Row],[Job Type]]=tblSalaries[[#Headers],[Reporting]],tblSalaries[[#This Row],[Salary in USD]],"")</f>
        <v/>
      </c>
      <c r="AD381" s="13" t="str">
        <f>IF(tblSalaries[[#This Row],[Job Type]]=tblSalaries[[#Headers],[Specialist]],tblSalaries[[#This Row],[Salary in USD]],"")</f>
        <v/>
      </c>
    </row>
    <row r="382" spans="2:30" ht="15" customHeight="1" x14ac:dyDescent="0.25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 s="9">
        <f>tblSalaries[[#This Row],[clean Salary (in local currency)]]*VLOOKUP(tblSalaries[[#This Row],[Currency]],tblXrate[],2,FALSE)</f>
        <v>15000</v>
      </c>
      <c r="H382" t="s">
        <v>467</v>
      </c>
      <c r="I382" t="s">
        <v>3999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  <c r="N382" t="str">
        <f>IF(tblSalaries[[#This Row],[Years of Experience]]="","",IF(tblSalaries[[#This Row],[Years of Experience]]&lt;=2,1,""))</f>
        <v/>
      </c>
      <c r="O382" t="str">
        <f>IF(tblSalaries[[#This Row],[Years of Experience]]="","",IF(AND(tblSalaries[[#This Row],[Years of Experience]]&gt;2,tblSalaries[[#This Row],[Years of Experience]]&lt;=5),1,""))</f>
        <v/>
      </c>
      <c r="P382" t="str">
        <f>IF(tblSalaries[[#This Row],[Years of Experience]]="","",IF(AND(tblSalaries[[#This Row],[Years of Experience]]&gt;5,tblSalaries[[#This Row],[Years of Experience]]&lt;=10),1,""))</f>
        <v/>
      </c>
      <c r="Q382" t="str">
        <f>IF(tblSalaries[[#This Row],[Years of Experience]]="","",IF(AND(tblSalaries[[#This Row],[Years of Experience]]&gt;10,tblSalaries[[#This Row],[Years of Experience]]&lt;=15),1,""))</f>
        <v/>
      </c>
      <c r="R382" t="str">
        <f>IF(tblSalaries[[#This Row],[Years of Experience]]="","",IF(AND(tblSalaries[[#This Row],[Years of Experience]]&gt;16,tblSalaries[[#This Row],[Years of Experience]]&lt;=20),1,""))</f>
        <v/>
      </c>
      <c r="S382" t="str">
        <f>IF(tblSalaries[[#This Row],[Years of Experience]]="","",IF(tblSalaries[[#This Row],[Years of Experience]]&gt;20,1,""))</f>
        <v/>
      </c>
      <c r="T3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2" s="13" t="str">
        <f>IF(tblSalaries[[#This Row],[Job Type]]=tblSalaries[[#Headers],[Accountant]],tblSalaries[[#This Row],[Salary in USD]],"")</f>
        <v/>
      </c>
      <c r="V382" s="13" t="str">
        <f>IF(tblSalaries[[#This Row],[Job Type]]=tblSalaries[[#Headers],[Analyst]],tblSalaries[[#This Row],[Salary in USD]],"")</f>
        <v/>
      </c>
      <c r="W382" s="13" t="str">
        <f>IF(tblSalaries[[#This Row],[Job Type]]=tblSalaries[[#Headers],[Consultant]],tblSalaries[[#This Row],[Salary in USD]],"")</f>
        <v/>
      </c>
      <c r="X382" s="13" t="str">
        <f>IF(tblSalaries[[#This Row],[Job Type]]=tblSalaries[[#Headers],[Controller]],tblSalaries[[#This Row],[Salary in USD]],"")</f>
        <v/>
      </c>
      <c r="Y382" s="13" t="str">
        <f>IF(tblSalaries[[#This Row],[Job Type]]=tblSalaries[[#Headers],[CXO or Top Mgmt.]],tblSalaries[[#This Row],[clean Salary (in local currency)]],"")</f>
        <v/>
      </c>
      <c r="Z382" s="13" t="str">
        <f>IF(tblSalaries[[#This Row],[Job Type]]=tblSalaries[[#Headers],[Engineer]],tblSalaries[[#This Row],[Salary in USD]],"")</f>
        <v/>
      </c>
      <c r="AA382" s="13" t="str">
        <f>IF(tblSalaries[[#This Row],[Job Type]]=tblSalaries[[#Headers],[Manager]],tblSalaries[[#This Row],[Salary in USD]],"")</f>
        <v/>
      </c>
      <c r="AB382" s="13" t="str">
        <f>IF(tblSalaries[[#This Row],[Job Type]]=tblSalaries[[#Headers],[Misc.]],tblSalaries[[#This Row],[Salary in USD]],"")</f>
        <v/>
      </c>
      <c r="AC382" s="13">
        <f>IF(tblSalaries[[#This Row],[Job Type]]=tblSalaries[[#Headers],[Reporting]],tblSalaries[[#This Row],[Salary in USD]],"")</f>
        <v>15000</v>
      </c>
      <c r="AD382" s="13" t="str">
        <f>IF(tblSalaries[[#This Row],[Job Type]]=tblSalaries[[#Headers],[Specialist]],tblSalaries[[#This Row],[Salary in USD]],"")</f>
        <v/>
      </c>
    </row>
    <row r="383" spans="2:30" ht="15" customHeight="1" x14ac:dyDescent="0.25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 s="9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  <c r="N383" t="str">
        <f>IF(tblSalaries[[#This Row],[Years of Experience]]="","",IF(tblSalaries[[#This Row],[Years of Experience]]&lt;=2,1,""))</f>
        <v/>
      </c>
      <c r="O383" t="str">
        <f>IF(tblSalaries[[#This Row],[Years of Experience]]="","",IF(AND(tblSalaries[[#This Row],[Years of Experience]]&gt;2,tblSalaries[[#This Row],[Years of Experience]]&lt;=5),1,""))</f>
        <v/>
      </c>
      <c r="P383" t="str">
        <f>IF(tblSalaries[[#This Row],[Years of Experience]]="","",IF(AND(tblSalaries[[#This Row],[Years of Experience]]&gt;5,tblSalaries[[#This Row],[Years of Experience]]&lt;=10),1,""))</f>
        <v/>
      </c>
      <c r="Q383" t="str">
        <f>IF(tblSalaries[[#This Row],[Years of Experience]]="","",IF(AND(tblSalaries[[#This Row],[Years of Experience]]&gt;10,tblSalaries[[#This Row],[Years of Experience]]&lt;=15),1,""))</f>
        <v/>
      </c>
      <c r="R383" t="str">
        <f>IF(tblSalaries[[#This Row],[Years of Experience]]="","",IF(AND(tblSalaries[[#This Row],[Years of Experience]]&gt;16,tblSalaries[[#This Row],[Years of Experience]]&lt;=20),1,""))</f>
        <v/>
      </c>
      <c r="S383" t="str">
        <f>IF(tblSalaries[[#This Row],[Years of Experience]]="","",IF(tblSalaries[[#This Row],[Years of Experience]]&gt;20,1,""))</f>
        <v/>
      </c>
      <c r="T3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3" s="13" t="str">
        <f>IF(tblSalaries[[#This Row],[Job Type]]=tblSalaries[[#Headers],[Accountant]],tblSalaries[[#This Row],[Salary in USD]],"")</f>
        <v/>
      </c>
      <c r="V383" s="13" t="str">
        <f>IF(tblSalaries[[#This Row],[Job Type]]=tblSalaries[[#Headers],[Analyst]],tblSalaries[[#This Row],[Salary in USD]],"")</f>
        <v/>
      </c>
      <c r="W383" s="13" t="str">
        <f>IF(tblSalaries[[#This Row],[Job Type]]=tblSalaries[[#Headers],[Consultant]],tblSalaries[[#This Row],[Salary in USD]],"")</f>
        <v/>
      </c>
      <c r="X383" s="13" t="str">
        <f>IF(tblSalaries[[#This Row],[Job Type]]=tblSalaries[[#Headers],[Controller]],tblSalaries[[#This Row],[Salary in USD]],"")</f>
        <v/>
      </c>
      <c r="Y383" s="13" t="str">
        <f>IF(tblSalaries[[#This Row],[Job Type]]=tblSalaries[[#Headers],[CXO or Top Mgmt.]],tblSalaries[[#This Row],[clean Salary (in local currency)]],"")</f>
        <v/>
      </c>
      <c r="Z383" s="13" t="str">
        <f>IF(tblSalaries[[#This Row],[Job Type]]=tblSalaries[[#Headers],[Engineer]],tblSalaries[[#This Row],[Salary in USD]],"")</f>
        <v/>
      </c>
      <c r="AA383" s="13">
        <f>IF(tblSalaries[[#This Row],[Job Type]]=tblSalaries[[#Headers],[Manager]],tblSalaries[[#This Row],[Salary in USD]],"")</f>
        <v>11040.908346214392</v>
      </c>
      <c r="AB383" s="13" t="str">
        <f>IF(tblSalaries[[#This Row],[Job Type]]=tblSalaries[[#Headers],[Misc.]],tblSalaries[[#This Row],[Salary in USD]],"")</f>
        <v/>
      </c>
      <c r="AC383" s="13" t="str">
        <f>IF(tblSalaries[[#This Row],[Job Type]]=tblSalaries[[#Headers],[Reporting]],tblSalaries[[#This Row],[Salary in USD]],"")</f>
        <v/>
      </c>
      <c r="AD383" s="13" t="str">
        <f>IF(tblSalaries[[#This Row],[Job Type]]=tblSalaries[[#Headers],[Specialist]],tblSalaries[[#This Row],[Salary in USD]],"")</f>
        <v/>
      </c>
    </row>
    <row r="384" spans="2:30" ht="15" customHeight="1" x14ac:dyDescent="0.25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 s="9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  <c r="N384" t="str">
        <f>IF(tblSalaries[[#This Row],[Years of Experience]]="","",IF(tblSalaries[[#This Row],[Years of Experience]]&lt;=2,1,""))</f>
        <v/>
      </c>
      <c r="O384" t="str">
        <f>IF(tblSalaries[[#This Row],[Years of Experience]]="","",IF(AND(tblSalaries[[#This Row],[Years of Experience]]&gt;2,tblSalaries[[#This Row],[Years of Experience]]&lt;=5),1,""))</f>
        <v/>
      </c>
      <c r="P384" t="str">
        <f>IF(tblSalaries[[#This Row],[Years of Experience]]="","",IF(AND(tblSalaries[[#This Row],[Years of Experience]]&gt;5,tblSalaries[[#This Row],[Years of Experience]]&lt;=10),1,""))</f>
        <v/>
      </c>
      <c r="Q384" t="str">
        <f>IF(tblSalaries[[#This Row],[Years of Experience]]="","",IF(AND(tblSalaries[[#This Row],[Years of Experience]]&gt;10,tblSalaries[[#This Row],[Years of Experience]]&lt;=15),1,""))</f>
        <v/>
      </c>
      <c r="R384" t="str">
        <f>IF(tblSalaries[[#This Row],[Years of Experience]]="","",IF(AND(tblSalaries[[#This Row],[Years of Experience]]&gt;16,tblSalaries[[#This Row],[Years of Experience]]&lt;=20),1,""))</f>
        <v/>
      </c>
      <c r="S384" t="str">
        <f>IF(tblSalaries[[#This Row],[Years of Experience]]="","",IF(tblSalaries[[#This Row],[Years of Experience]]&gt;20,1,""))</f>
        <v/>
      </c>
      <c r="T3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4" s="13" t="str">
        <f>IF(tblSalaries[[#This Row],[Job Type]]=tblSalaries[[#Headers],[Accountant]],tblSalaries[[#This Row],[Salary in USD]],"")</f>
        <v/>
      </c>
      <c r="V384" s="13" t="str">
        <f>IF(tblSalaries[[#This Row],[Job Type]]=tblSalaries[[#Headers],[Analyst]],tblSalaries[[#This Row],[Salary in USD]],"")</f>
        <v/>
      </c>
      <c r="W384" s="13" t="str">
        <f>IF(tblSalaries[[#This Row],[Job Type]]=tblSalaries[[#Headers],[Consultant]],tblSalaries[[#This Row],[Salary in USD]],"")</f>
        <v/>
      </c>
      <c r="X384" s="13" t="str">
        <f>IF(tblSalaries[[#This Row],[Job Type]]=tblSalaries[[#Headers],[Controller]],tblSalaries[[#This Row],[Salary in USD]],"")</f>
        <v/>
      </c>
      <c r="Y384" s="13" t="str">
        <f>IF(tblSalaries[[#This Row],[Job Type]]=tblSalaries[[#Headers],[CXO or Top Mgmt.]],tblSalaries[[#This Row],[clean Salary (in local currency)]],"")</f>
        <v/>
      </c>
      <c r="Z384" s="13" t="str">
        <f>IF(tblSalaries[[#This Row],[Job Type]]=tblSalaries[[#Headers],[Engineer]],tblSalaries[[#This Row],[Salary in USD]],"")</f>
        <v/>
      </c>
      <c r="AA384" s="13">
        <f>IF(tblSalaries[[#This Row],[Job Type]]=tblSalaries[[#Headers],[Manager]],tblSalaries[[#This Row],[Salary in USD]],"")</f>
        <v>44132.991617883956</v>
      </c>
      <c r="AB384" s="13" t="str">
        <f>IF(tblSalaries[[#This Row],[Job Type]]=tblSalaries[[#Headers],[Misc.]],tblSalaries[[#This Row],[Salary in USD]],"")</f>
        <v/>
      </c>
      <c r="AC384" s="13" t="str">
        <f>IF(tblSalaries[[#This Row],[Job Type]]=tblSalaries[[#Headers],[Reporting]],tblSalaries[[#This Row],[Salary in USD]],"")</f>
        <v/>
      </c>
      <c r="AD384" s="13" t="str">
        <f>IF(tblSalaries[[#This Row],[Job Type]]=tblSalaries[[#Headers],[Specialist]],tblSalaries[[#This Row],[Salary in USD]],"")</f>
        <v/>
      </c>
    </row>
    <row r="385" spans="2:30" ht="15" customHeight="1" x14ac:dyDescent="0.25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 s="9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  <c r="N385" t="str">
        <f>IF(tblSalaries[[#This Row],[Years of Experience]]="","",IF(tblSalaries[[#This Row],[Years of Experience]]&lt;=2,1,""))</f>
        <v/>
      </c>
      <c r="O385" t="str">
        <f>IF(tblSalaries[[#This Row],[Years of Experience]]="","",IF(AND(tblSalaries[[#This Row],[Years of Experience]]&gt;2,tblSalaries[[#This Row],[Years of Experience]]&lt;=5),1,""))</f>
        <v/>
      </c>
      <c r="P385" t="str">
        <f>IF(tblSalaries[[#This Row],[Years of Experience]]="","",IF(AND(tblSalaries[[#This Row],[Years of Experience]]&gt;5,tblSalaries[[#This Row],[Years of Experience]]&lt;=10),1,""))</f>
        <v/>
      </c>
      <c r="Q385" t="str">
        <f>IF(tblSalaries[[#This Row],[Years of Experience]]="","",IF(AND(tblSalaries[[#This Row],[Years of Experience]]&gt;10,tblSalaries[[#This Row],[Years of Experience]]&lt;=15),1,""))</f>
        <v/>
      </c>
      <c r="R385" t="str">
        <f>IF(tblSalaries[[#This Row],[Years of Experience]]="","",IF(AND(tblSalaries[[#This Row],[Years of Experience]]&gt;16,tblSalaries[[#This Row],[Years of Experience]]&lt;=20),1,""))</f>
        <v/>
      </c>
      <c r="S385" t="str">
        <f>IF(tblSalaries[[#This Row],[Years of Experience]]="","",IF(tblSalaries[[#This Row],[Years of Experience]]&gt;20,1,""))</f>
        <v/>
      </c>
      <c r="T3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5" s="13" t="str">
        <f>IF(tblSalaries[[#This Row],[Job Type]]=tblSalaries[[#Headers],[Accountant]],tblSalaries[[#This Row],[Salary in USD]],"")</f>
        <v/>
      </c>
      <c r="V385" s="13" t="str">
        <f>IF(tblSalaries[[#This Row],[Job Type]]=tblSalaries[[#Headers],[Analyst]],tblSalaries[[#This Row],[Salary in USD]],"")</f>
        <v/>
      </c>
      <c r="W385" s="13" t="str">
        <f>IF(tblSalaries[[#This Row],[Job Type]]=tblSalaries[[#Headers],[Consultant]],tblSalaries[[#This Row],[Salary in USD]],"")</f>
        <v/>
      </c>
      <c r="X385" s="13" t="str">
        <f>IF(tblSalaries[[#This Row],[Job Type]]=tblSalaries[[#Headers],[Controller]],tblSalaries[[#This Row],[Salary in USD]],"")</f>
        <v/>
      </c>
      <c r="Y385" s="13" t="str">
        <f>IF(tblSalaries[[#This Row],[Job Type]]=tblSalaries[[#Headers],[CXO or Top Mgmt.]],tblSalaries[[#This Row],[clean Salary (in local currency)]],"")</f>
        <v/>
      </c>
      <c r="Z385" s="13" t="str">
        <f>IF(tblSalaries[[#This Row],[Job Type]]=tblSalaries[[#Headers],[Engineer]],tblSalaries[[#This Row],[Salary in USD]],"")</f>
        <v/>
      </c>
      <c r="AA385" s="13">
        <f>IF(tblSalaries[[#This Row],[Job Type]]=tblSalaries[[#Headers],[Manager]],tblSalaries[[#This Row],[Salary in USD]],"")</f>
        <v>47000</v>
      </c>
      <c r="AB385" s="13" t="str">
        <f>IF(tblSalaries[[#This Row],[Job Type]]=tblSalaries[[#Headers],[Misc.]],tblSalaries[[#This Row],[Salary in USD]],"")</f>
        <v/>
      </c>
      <c r="AC385" s="13" t="str">
        <f>IF(tblSalaries[[#This Row],[Job Type]]=tblSalaries[[#Headers],[Reporting]],tblSalaries[[#This Row],[Salary in USD]],"")</f>
        <v/>
      </c>
      <c r="AD385" s="13" t="str">
        <f>IF(tblSalaries[[#This Row],[Job Type]]=tblSalaries[[#Headers],[Specialist]],tblSalaries[[#This Row],[Salary in USD]],"")</f>
        <v/>
      </c>
    </row>
    <row r="386" spans="2:30" ht="15" customHeight="1" x14ac:dyDescent="0.25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 s="9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  <c r="N386" t="str">
        <f>IF(tblSalaries[[#This Row],[Years of Experience]]="","",IF(tblSalaries[[#This Row],[Years of Experience]]&lt;=2,1,""))</f>
        <v/>
      </c>
      <c r="O386" t="str">
        <f>IF(tblSalaries[[#This Row],[Years of Experience]]="","",IF(AND(tblSalaries[[#This Row],[Years of Experience]]&gt;2,tblSalaries[[#This Row],[Years of Experience]]&lt;=5),1,""))</f>
        <v/>
      </c>
      <c r="P386" t="str">
        <f>IF(tblSalaries[[#This Row],[Years of Experience]]="","",IF(AND(tblSalaries[[#This Row],[Years of Experience]]&gt;5,tblSalaries[[#This Row],[Years of Experience]]&lt;=10),1,""))</f>
        <v/>
      </c>
      <c r="Q386" t="str">
        <f>IF(tblSalaries[[#This Row],[Years of Experience]]="","",IF(AND(tblSalaries[[#This Row],[Years of Experience]]&gt;10,tblSalaries[[#This Row],[Years of Experience]]&lt;=15),1,""))</f>
        <v/>
      </c>
      <c r="R386" t="str">
        <f>IF(tblSalaries[[#This Row],[Years of Experience]]="","",IF(AND(tblSalaries[[#This Row],[Years of Experience]]&gt;16,tblSalaries[[#This Row],[Years of Experience]]&lt;=20),1,""))</f>
        <v/>
      </c>
      <c r="S386" t="str">
        <f>IF(tblSalaries[[#This Row],[Years of Experience]]="","",IF(tblSalaries[[#This Row],[Years of Experience]]&gt;20,1,""))</f>
        <v/>
      </c>
      <c r="T3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6" s="13" t="str">
        <f>IF(tblSalaries[[#This Row],[Job Type]]=tblSalaries[[#Headers],[Accountant]],tblSalaries[[#This Row],[Salary in USD]],"")</f>
        <v/>
      </c>
      <c r="V386" s="13">
        <f>IF(tblSalaries[[#This Row],[Job Type]]=tblSalaries[[#Headers],[Analyst]],tblSalaries[[#This Row],[Salary in USD]],"")</f>
        <v>44000</v>
      </c>
      <c r="W386" s="13" t="str">
        <f>IF(tblSalaries[[#This Row],[Job Type]]=tblSalaries[[#Headers],[Consultant]],tblSalaries[[#This Row],[Salary in USD]],"")</f>
        <v/>
      </c>
      <c r="X386" s="13" t="str">
        <f>IF(tblSalaries[[#This Row],[Job Type]]=tblSalaries[[#Headers],[Controller]],tblSalaries[[#This Row],[Salary in USD]],"")</f>
        <v/>
      </c>
      <c r="Y386" s="13" t="str">
        <f>IF(tblSalaries[[#This Row],[Job Type]]=tblSalaries[[#Headers],[CXO or Top Mgmt.]],tblSalaries[[#This Row],[clean Salary (in local currency)]],"")</f>
        <v/>
      </c>
      <c r="Z386" s="13" t="str">
        <f>IF(tblSalaries[[#This Row],[Job Type]]=tblSalaries[[#Headers],[Engineer]],tblSalaries[[#This Row],[Salary in USD]],"")</f>
        <v/>
      </c>
      <c r="AA386" s="13" t="str">
        <f>IF(tblSalaries[[#This Row],[Job Type]]=tblSalaries[[#Headers],[Manager]],tblSalaries[[#This Row],[Salary in USD]],"")</f>
        <v/>
      </c>
      <c r="AB386" s="13" t="str">
        <f>IF(tblSalaries[[#This Row],[Job Type]]=tblSalaries[[#Headers],[Misc.]],tblSalaries[[#This Row],[Salary in USD]],"")</f>
        <v/>
      </c>
      <c r="AC386" s="13" t="str">
        <f>IF(tblSalaries[[#This Row],[Job Type]]=tblSalaries[[#Headers],[Reporting]],tblSalaries[[#This Row],[Salary in USD]],"")</f>
        <v/>
      </c>
      <c r="AD386" s="13" t="str">
        <f>IF(tblSalaries[[#This Row],[Job Type]]=tblSalaries[[#Headers],[Specialist]],tblSalaries[[#This Row],[Salary in USD]],"")</f>
        <v/>
      </c>
    </row>
    <row r="387" spans="2:30" ht="15" customHeight="1" x14ac:dyDescent="0.25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 s="9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  <c r="N387" t="str">
        <f>IF(tblSalaries[[#This Row],[Years of Experience]]="","",IF(tblSalaries[[#This Row],[Years of Experience]]&lt;=2,1,""))</f>
        <v/>
      </c>
      <c r="O387" t="str">
        <f>IF(tblSalaries[[#This Row],[Years of Experience]]="","",IF(AND(tblSalaries[[#This Row],[Years of Experience]]&gt;2,tblSalaries[[#This Row],[Years of Experience]]&lt;=5),1,""))</f>
        <v/>
      </c>
      <c r="P387" t="str">
        <f>IF(tblSalaries[[#This Row],[Years of Experience]]="","",IF(AND(tblSalaries[[#This Row],[Years of Experience]]&gt;5,tblSalaries[[#This Row],[Years of Experience]]&lt;=10),1,""))</f>
        <v/>
      </c>
      <c r="Q387" t="str">
        <f>IF(tblSalaries[[#This Row],[Years of Experience]]="","",IF(AND(tblSalaries[[#This Row],[Years of Experience]]&gt;10,tblSalaries[[#This Row],[Years of Experience]]&lt;=15),1,""))</f>
        <v/>
      </c>
      <c r="R387" t="str">
        <f>IF(tblSalaries[[#This Row],[Years of Experience]]="","",IF(AND(tblSalaries[[#This Row],[Years of Experience]]&gt;16,tblSalaries[[#This Row],[Years of Experience]]&lt;=20),1,""))</f>
        <v/>
      </c>
      <c r="S387" t="str">
        <f>IF(tblSalaries[[#This Row],[Years of Experience]]="","",IF(tblSalaries[[#This Row],[Years of Experience]]&gt;20,1,""))</f>
        <v/>
      </c>
      <c r="T3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7" s="13">
        <f>IF(tblSalaries[[#This Row],[Job Type]]=tblSalaries[[#Headers],[Accountant]],tblSalaries[[#This Row],[Salary in USD]],"")</f>
        <v>55000</v>
      </c>
      <c r="V387" s="13" t="str">
        <f>IF(tblSalaries[[#This Row],[Job Type]]=tblSalaries[[#Headers],[Analyst]],tblSalaries[[#This Row],[Salary in USD]],"")</f>
        <v/>
      </c>
      <c r="W387" s="13" t="str">
        <f>IF(tblSalaries[[#This Row],[Job Type]]=tblSalaries[[#Headers],[Consultant]],tblSalaries[[#This Row],[Salary in USD]],"")</f>
        <v/>
      </c>
      <c r="X387" s="13" t="str">
        <f>IF(tblSalaries[[#This Row],[Job Type]]=tblSalaries[[#Headers],[Controller]],tblSalaries[[#This Row],[Salary in USD]],"")</f>
        <v/>
      </c>
      <c r="Y387" s="13" t="str">
        <f>IF(tblSalaries[[#This Row],[Job Type]]=tblSalaries[[#Headers],[CXO or Top Mgmt.]],tblSalaries[[#This Row],[clean Salary (in local currency)]],"")</f>
        <v/>
      </c>
      <c r="Z387" s="13" t="str">
        <f>IF(tblSalaries[[#This Row],[Job Type]]=tblSalaries[[#Headers],[Engineer]],tblSalaries[[#This Row],[Salary in USD]],"")</f>
        <v/>
      </c>
      <c r="AA387" s="13" t="str">
        <f>IF(tblSalaries[[#This Row],[Job Type]]=tblSalaries[[#Headers],[Manager]],tblSalaries[[#This Row],[Salary in USD]],"")</f>
        <v/>
      </c>
      <c r="AB387" s="13" t="str">
        <f>IF(tblSalaries[[#This Row],[Job Type]]=tblSalaries[[#Headers],[Misc.]],tblSalaries[[#This Row],[Salary in USD]],"")</f>
        <v/>
      </c>
      <c r="AC387" s="13" t="str">
        <f>IF(tblSalaries[[#This Row],[Job Type]]=tblSalaries[[#Headers],[Reporting]],tblSalaries[[#This Row],[Salary in USD]],"")</f>
        <v/>
      </c>
      <c r="AD387" s="13" t="str">
        <f>IF(tblSalaries[[#This Row],[Job Type]]=tblSalaries[[#Headers],[Specialist]],tblSalaries[[#This Row],[Salary in USD]],"")</f>
        <v/>
      </c>
    </row>
    <row r="388" spans="2:30" ht="15" customHeight="1" x14ac:dyDescent="0.25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 s="9">
        <f>tblSalaries[[#This Row],[clean Salary (in local currency)]]*VLOOKUP(tblSalaries[[#This Row],[Currency]],tblXrate[],2,FALSE)</f>
        <v>12000</v>
      </c>
      <c r="H388" t="s">
        <v>474</v>
      </c>
      <c r="I388" t="s">
        <v>3999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  <c r="N388" t="str">
        <f>IF(tblSalaries[[#This Row],[Years of Experience]]="","",IF(tblSalaries[[#This Row],[Years of Experience]]&lt;=2,1,""))</f>
        <v/>
      </c>
      <c r="O388" t="str">
        <f>IF(tblSalaries[[#This Row],[Years of Experience]]="","",IF(AND(tblSalaries[[#This Row],[Years of Experience]]&gt;2,tblSalaries[[#This Row],[Years of Experience]]&lt;=5),1,""))</f>
        <v/>
      </c>
      <c r="P388" t="str">
        <f>IF(tblSalaries[[#This Row],[Years of Experience]]="","",IF(AND(tblSalaries[[#This Row],[Years of Experience]]&gt;5,tblSalaries[[#This Row],[Years of Experience]]&lt;=10),1,""))</f>
        <v/>
      </c>
      <c r="Q388" t="str">
        <f>IF(tblSalaries[[#This Row],[Years of Experience]]="","",IF(AND(tblSalaries[[#This Row],[Years of Experience]]&gt;10,tblSalaries[[#This Row],[Years of Experience]]&lt;=15),1,""))</f>
        <v/>
      </c>
      <c r="R388" t="str">
        <f>IF(tblSalaries[[#This Row],[Years of Experience]]="","",IF(AND(tblSalaries[[#This Row],[Years of Experience]]&gt;16,tblSalaries[[#This Row],[Years of Experience]]&lt;=20),1,""))</f>
        <v/>
      </c>
      <c r="S388" t="str">
        <f>IF(tblSalaries[[#This Row],[Years of Experience]]="","",IF(tblSalaries[[#This Row],[Years of Experience]]&gt;20,1,""))</f>
        <v/>
      </c>
      <c r="T3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8" s="13" t="str">
        <f>IF(tblSalaries[[#This Row],[Job Type]]=tblSalaries[[#Headers],[Accountant]],tblSalaries[[#This Row],[Salary in USD]],"")</f>
        <v/>
      </c>
      <c r="V388" s="13" t="str">
        <f>IF(tblSalaries[[#This Row],[Job Type]]=tblSalaries[[#Headers],[Analyst]],tblSalaries[[#This Row],[Salary in USD]],"")</f>
        <v/>
      </c>
      <c r="W388" s="13" t="str">
        <f>IF(tblSalaries[[#This Row],[Job Type]]=tblSalaries[[#Headers],[Consultant]],tblSalaries[[#This Row],[Salary in USD]],"")</f>
        <v/>
      </c>
      <c r="X388" s="13" t="str">
        <f>IF(tblSalaries[[#This Row],[Job Type]]=tblSalaries[[#Headers],[Controller]],tblSalaries[[#This Row],[Salary in USD]],"")</f>
        <v/>
      </c>
      <c r="Y388" s="13" t="str">
        <f>IF(tblSalaries[[#This Row],[Job Type]]=tblSalaries[[#Headers],[CXO or Top Mgmt.]],tblSalaries[[#This Row],[clean Salary (in local currency)]],"")</f>
        <v/>
      </c>
      <c r="Z388" s="13" t="str">
        <f>IF(tblSalaries[[#This Row],[Job Type]]=tblSalaries[[#Headers],[Engineer]],tblSalaries[[#This Row],[Salary in USD]],"")</f>
        <v/>
      </c>
      <c r="AA388" s="13" t="str">
        <f>IF(tblSalaries[[#This Row],[Job Type]]=tblSalaries[[#Headers],[Manager]],tblSalaries[[#This Row],[Salary in USD]],"")</f>
        <v/>
      </c>
      <c r="AB388" s="13" t="str">
        <f>IF(tblSalaries[[#This Row],[Job Type]]=tblSalaries[[#Headers],[Misc.]],tblSalaries[[#This Row],[Salary in USD]],"")</f>
        <v/>
      </c>
      <c r="AC388" s="13">
        <f>IF(tblSalaries[[#This Row],[Job Type]]=tblSalaries[[#Headers],[Reporting]],tblSalaries[[#This Row],[Salary in USD]],"")</f>
        <v>12000</v>
      </c>
      <c r="AD388" s="13" t="str">
        <f>IF(tblSalaries[[#This Row],[Job Type]]=tblSalaries[[#Headers],[Specialist]],tblSalaries[[#This Row],[Salary in USD]],"")</f>
        <v/>
      </c>
    </row>
    <row r="389" spans="2:30" ht="15" customHeight="1" x14ac:dyDescent="0.25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 s="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  <c r="N389" t="str">
        <f>IF(tblSalaries[[#This Row],[Years of Experience]]="","",IF(tblSalaries[[#This Row],[Years of Experience]]&lt;=2,1,""))</f>
        <v/>
      </c>
      <c r="O389" t="str">
        <f>IF(tblSalaries[[#This Row],[Years of Experience]]="","",IF(AND(tblSalaries[[#This Row],[Years of Experience]]&gt;2,tblSalaries[[#This Row],[Years of Experience]]&lt;=5),1,""))</f>
        <v/>
      </c>
      <c r="P389" t="str">
        <f>IF(tblSalaries[[#This Row],[Years of Experience]]="","",IF(AND(tblSalaries[[#This Row],[Years of Experience]]&gt;5,tblSalaries[[#This Row],[Years of Experience]]&lt;=10),1,""))</f>
        <v/>
      </c>
      <c r="Q389" t="str">
        <f>IF(tblSalaries[[#This Row],[Years of Experience]]="","",IF(AND(tblSalaries[[#This Row],[Years of Experience]]&gt;10,tblSalaries[[#This Row],[Years of Experience]]&lt;=15),1,""))</f>
        <v/>
      </c>
      <c r="R389" t="str">
        <f>IF(tblSalaries[[#This Row],[Years of Experience]]="","",IF(AND(tblSalaries[[#This Row],[Years of Experience]]&gt;16,tblSalaries[[#This Row],[Years of Experience]]&lt;=20),1,""))</f>
        <v/>
      </c>
      <c r="S389" t="str">
        <f>IF(tblSalaries[[#This Row],[Years of Experience]]="","",IF(tblSalaries[[#This Row],[Years of Experience]]&gt;20,1,""))</f>
        <v/>
      </c>
      <c r="T3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89" s="13" t="str">
        <f>IF(tblSalaries[[#This Row],[Job Type]]=tblSalaries[[#Headers],[Accountant]],tblSalaries[[#This Row],[Salary in USD]],"")</f>
        <v/>
      </c>
      <c r="V389" s="13" t="str">
        <f>IF(tblSalaries[[#This Row],[Job Type]]=tblSalaries[[#Headers],[Analyst]],tblSalaries[[#This Row],[Salary in USD]],"")</f>
        <v/>
      </c>
      <c r="W389" s="13" t="str">
        <f>IF(tblSalaries[[#This Row],[Job Type]]=tblSalaries[[#Headers],[Consultant]],tblSalaries[[#This Row],[Salary in USD]],"")</f>
        <v/>
      </c>
      <c r="X389" s="13" t="str">
        <f>IF(tblSalaries[[#This Row],[Job Type]]=tblSalaries[[#Headers],[Controller]],tblSalaries[[#This Row],[Salary in USD]],"")</f>
        <v/>
      </c>
      <c r="Y389" s="13" t="str">
        <f>IF(tblSalaries[[#This Row],[Job Type]]=tblSalaries[[#Headers],[CXO or Top Mgmt.]],tblSalaries[[#This Row],[clean Salary (in local currency)]],"")</f>
        <v/>
      </c>
      <c r="Z389" s="13" t="str">
        <f>IF(tblSalaries[[#This Row],[Job Type]]=tblSalaries[[#Headers],[Engineer]],tblSalaries[[#This Row],[Salary in USD]],"")</f>
        <v/>
      </c>
      <c r="AA389" s="13">
        <f>IF(tblSalaries[[#This Row],[Job Type]]=tblSalaries[[#Headers],[Manager]],tblSalaries[[#This Row],[Salary in USD]],"")</f>
        <v>50000</v>
      </c>
      <c r="AB389" s="13" t="str">
        <f>IF(tblSalaries[[#This Row],[Job Type]]=tblSalaries[[#Headers],[Misc.]],tblSalaries[[#This Row],[Salary in USD]],"")</f>
        <v/>
      </c>
      <c r="AC389" s="13" t="str">
        <f>IF(tblSalaries[[#This Row],[Job Type]]=tblSalaries[[#Headers],[Reporting]],tblSalaries[[#This Row],[Salary in USD]],"")</f>
        <v/>
      </c>
      <c r="AD389" s="13" t="str">
        <f>IF(tblSalaries[[#This Row],[Job Type]]=tblSalaries[[#Headers],[Specialist]],tblSalaries[[#This Row],[Salary in USD]],"")</f>
        <v/>
      </c>
    </row>
    <row r="390" spans="2:30" ht="15" customHeight="1" x14ac:dyDescent="0.25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 s="9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  <c r="N390" t="str">
        <f>IF(tblSalaries[[#This Row],[Years of Experience]]="","",IF(tblSalaries[[#This Row],[Years of Experience]]&lt;=2,1,""))</f>
        <v/>
      </c>
      <c r="O390" t="str">
        <f>IF(tblSalaries[[#This Row],[Years of Experience]]="","",IF(AND(tblSalaries[[#This Row],[Years of Experience]]&gt;2,tblSalaries[[#This Row],[Years of Experience]]&lt;=5),1,""))</f>
        <v/>
      </c>
      <c r="P390" t="str">
        <f>IF(tblSalaries[[#This Row],[Years of Experience]]="","",IF(AND(tblSalaries[[#This Row],[Years of Experience]]&gt;5,tblSalaries[[#This Row],[Years of Experience]]&lt;=10),1,""))</f>
        <v/>
      </c>
      <c r="Q390" t="str">
        <f>IF(tblSalaries[[#This Row],[Years of Experience]]="","",IF(AND(tblSalaries[[#This Row],[Years of Experience]]&gt;10,tblSalaries[[#This Row],[Years of Experience]]&lt;=15),1,""))</f>
        <v/>
      </c>
      <c r="R390" t="str">
        <f>IF(tblSalaries[[#This Row],[Years of Experience]]="","",IF(AND(tblSalaries[[#This Row],[Years of Experience]]&gt;16,tblSalaries[[#This Row],[Years of Experience]]&lt;=20),1,""))</f>
        <v/>
      </c>
      <c r="S390" t="str">
        <f>IF(tblSalaries[[#This Row],[Years of Experience]]="","",IF(tblSalaries[[#This Row],[Years of Experience]]&gt;20,1,""))</f>
        <v/>
      </c>
      <c r="T3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0" s="13" t="str">
        <f>IF(tblSalaries[[#This Row],[Job Type]]=tblSalaries[[#Headers],[Accountant]],tblSalaries[[#This Row],[Salary in USD]],"")</f>
        <v/>
      </c>
      <c r="V390" s="13">
        <f>IF(tblSalaries[[#This Row],[Job Type]]=tblSalaries[[#Headers],[Analyst]],tblSalaries[[#This Row],[Salary in USD]],"")</f>
        <v>13355.937515581925</v>
      </c>
      <c r="W390" s="13" t="str">
        <f>IF(tblSalaries[[#This Row],[Job Type]]=tblSalaries[[#Headers],[Consultant]],tblSalaries[[#This Row],[Salary in USD]],"")</f>
        <v/>
      </c>
      <c r="X390" s="13" t="str">
        <f>IF(tblSalaries[[#This Row],[Job Type]]=tblSalaries[[#Headers],[Controller]],tblSalaries[[#This Row],[Salary in USD]],"")</f>
        <v/>
      </c>
      <c r="Y390" s="13" t="str">
        <f>IF(tblSalaries[[#This Row],[Job Type]]=tblSalaries[[#Headers],[CXO or Top Mgmt.]],tblSalaries[[#This Row],[clean Salary (in local currency)]],"")</f>
        <v/>
      </c>
      <c r="Z390" s="13" t="str">
        <f>IF(tblSalaries[[#This Row],[Job Type]]=tblSalaries[[#Headers],[Engineer]],tblSalaries[[#This Row],[Salary in USD]],"")</f>
        <v/>
      </c>
      <c r="AA390" s="13" t="str">
        <f>IF(tblSalaries[[#This Row],[Job Type]]=tblSalaries[[#Headers],[Manager]],tblSalaries[[#This Row],[Salary in USD]],"")</f>
        <v/>
      </c>
      <c r="AB390" s="13" t="str">
        <f>IF(tblSalaries[[#This Row],[Job Type]]=tblSalaries[[#Headers],[Misc.]],tblSalaries[[#This Row],[Salary in USD]],"")</f>
        <v/>
      </c>
      <c r="AC390" s="13" t="str">
        <f>IF(tblSalaries[[#This Row],[Job Type]]=tblSalaries[[#Headers],[Reporting]],tblSalaries[[#This Row],[Salary in USD]],"")</f>
        <v/>
      </c>
      <c r="AD390" s="13" t="str">
        <f>IF(tblSalaries[[#This Row],[Job Type]]=tblSalaries[[#Headers],[Specialist]],tblSalaries[[#This Row],[Salary in USD]],"")</f>
        <v/>
      </c>
    </row>
    <row r="391" spans="2:30" ht="15" customHeight="1" x14ac:dyDescent="0.25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 s="9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  <c r="N391" t="str">
        <f>IF(tblSalaries[[#This Row],[Years of Experience]]="","",IF(tblSalaries[[#This Row],[Years of Experience]]&lt;=2,1,""))</f>
        <v/>
      </c>
      <c r="O391" t="str">
        <f>IF(tblSalaries[[#This Row],[Years of Experience]]="","",IF(AND(tblSalaries[[#This Row],[Years of Experience]]&gt;2,tblSalaries[[#This Row],[Years of Experience]]&lt;=5),1,""))</f>
        <v/>
      </c>
      <c r="P391" t="str">
        <f>IF(tblSalaries[[#This Row],[Years of Experience]]="","",IF(AND(tblSalaries[[#This Row],[Years of Experience]]&gt;5,tblSalaries[[#This Row],[Years of Experience]]&lt;=10),1,""))</f>
        <v/>
      </c>
      <c r="Q391" t="str">
        <f>IF(tblSalaries[[#This Row],[Years of Experience]]="","",IF(AND(tblSalaries[[#This Row],[Years of Experience]]&gt;10,tblSalaries[[#This Row],[Years of Experience]]&lt;=15),1,""))</f>
        <v/>
      </c>
      <c r="R391" t="str">
        <f>IF(tblSalaries[[#This Row],[Years of Experience]]="","",IF(AND(tblSalaries[[#This Row],[Years of Experience]]&gt;16,tblSalaries[[#This Row],[Years of Experience]]&lt;=20),1,""))</f>
        <v/>
      </c>
      <c r="S391" t="str">
        <f>IF(tblSalaries[[#This Row],[Years of Experience]]="","",IF(tblSalaries[[#This Row],[Years of Experience]]&gt;20,1,""))</f>
        <v/>
      </c>
      <c r="T3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1" s="13" t="str">
        <f>IF(tblSalaries[[#This Row],[Job Type]]=tblSalaries[[#Headers],[Accountant]],tblSalaries[[#This Row],[Salary in USD]],"")</f>
        <v/>
      </c>
      <c r="V391" s="13" t="str">
        <f>IF(tblSalaries[[#This Row],[Job Type]]=tblSalaries[[#Headers],[Analyst]],tblSalaries[[#This Row],[Salary in USD]],"")</f>
        <v/>
      </c>
      <c r="W391" s="13" t="str">
        <f>IF(tblSalaries[[#This Row],[Job Type]]=tblSalaries[[#Headers],[Consultant]],tblSalaries[[#This Row],[Salary in USD]],"")</f>
        <v/>
      </c>
      <c r="X391" s="13" t="str">
        <f>IF(tblSalaries[[#This Row],[Job Type]]=tblSalaries[[#Headers],[Controller]],tblSalaries[[#This Row],[Salary in USD]],"")</f>
        <v/>
      </c>
      <c r="Y391" s="13" t="str">
        <f>IF(tblSalaries[[#This Row],[Job Type]]=tblSalaries[[#Headers],[CXO or Top Mgmt.]],tblSalaries[[#This Row],[clean Salary (in local currency)]],"")</f>
        <v/>
      </c>
      <c r="Z391" s="13" t="str">
        <f>IF(tblSalaries[[#This Row],[Job Type]]=tblSalaries[[#Headers],[Engineer]],tblSalaries[[#This Row],[Salary in USD]],"")</f>
        <v/>
      </c>
      <c r="AA391" s="13" t="str">
        <f>IF(tblSalaries[[#This Row],[Job Type]]=tblSalaries[[#Headers],[Manager]],tblSalaries[[#This Row],[Salary in USD]],"")</f>
        <v/>
      </c>
      <c r="AB391" s="13" t="str">
        <f>IF(tblSalaries[[#This Row],[Job Type]]=tblSalaries[[#Headers],[Misc.]],tblSalaries[[#This Row],[Salary in USD]],"")</f>
        <v/>
      </c>
      <c r="AC391" s="13" t="str">
        <f>IF(tblSalaries[[#This Row],[Job Type]]=tblSalaries[[#Headers],[Reporting]],tblSalaries[[#This Row],[Salary in USD]],"")</f>
        <v/>
      </c>
      <c r="AD391" s="13">
        <f>IF(tblSalaries[[#This Row],[Job Type]]=tblSalaries[[#Headers],[Specialist]],tblSalaries[[#This Row],[Salary in USD]],"")</f>
        <v>99147</v>
      </c>
    </row>
    <row r="392" spans="2:30" ht="15" customHeight="1" x14ac:dyDescent="0.25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 s="9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  <c r="N392" t="str">
        <f>IF(tblSalaries[[#This Row],[Years of Experience]]="","",IF(tblSalaries[[#This Row],[Years of Experience]]&lt;=2,1,""))</f>
        <v/>
      </c>
      <c r="O392" t="str">
        <f>IF(tblSalaries[[#This Row],[Years of Experience]]="","",IF(AND(tblSalaries[[#This Row],[Years of Experience]]&gt;2,tblSalaries[[#This Row],[Years of Experience]]&lt;=5),1,""))</f>
        <v/>
      </c>
      <c r="P392" t="str">
        <f>IF(tblSalaries[[#This Row],[Years of Experience]]="","",IF(AND(tblSalaries[[#This Row],[Years of Experience]]&gt;5,tblSalaries[[#This Row],[Years of Experience]]&lt;=10),1,""))</f>
        <v/>
      </c>
      <c r="Q392" t="str">
        <f>IF(tblSalaries[[#This Row],[Years of Experience]]="","",IF(AND(tblSalaries[[#This Row],[Years of Experience]]&gt;10,tblSalaries[[#This Row],[Years of Experience]]&lt;=15),1,""))</f>
        <v/>
      </c>
      <c r="R392" t="str">
        <f>IF(tblSalaries[[#This Row],[Years of Experience]]="","",IF(AND(tblSalaries[[#This Row],[Years of Experience]]&gt;16,tblSalaries[[#This Row],[Years of Experience]]&lt;=20),1,""))</f>
        <v/>
      </c>
      <c r="S392" t="str">
        <f>IF(tblSalaries[[#This Row],[Years of Experience]]="","",IF(tblSalaries[[#This Row],[Years of Experience]]&gt;20,1,""))</f>
        <v/>
      </c>
      <c r="T3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2" s="13" t="str">
        <f>IF(tblSalaries[[#This Row],[Job Type]]=tblSalaries[[#Headers],[Accountant]],tblSalaries[[#This Row],[Salary in USD]],"")</f>
        <v/>
      </c>
      <c r="V392" s="13" t="str">
        <f>IF(tblSalaries[[#This Row],[Job Type]]=tblSalaries[[#Headers],[Analyst]],tblSalaries[[#This Row],[Salary in USD]],"")</f>
        <v/>
      </c>
      <c r="W392" s="13" t="str">
        <f>IF(tblSalaries[[#This Row],[Job Type]]=tblSalaries[[#Headers],[Consultant]],tblSalaries[[#This Row],[Salary in USD]],"")</f>
        <v/>
      </c>
      <c r="X392" s="13" t="str">
        <f>IF(tblSalaries[[#This Row],[Job Type]]=tblSalaries[[#Headers],[Controller]],tblSalaries[[#This Row],[Salary in USD]],"")</f>
        <v/>
      </c>
      <c r="Y392" s="13" t="str">
        <f>IF(tblSalaries[[#This Row],[Job Type]]=tblSalaries[[#Headers],[CXO or Top Mgmt.]],tblSalaries[[#This Row],[clean Salary (in local currency)]],"")</f>
        <v/>
      </c>
      <c r="Z392" s="13" t="str">
        <f>IF(tblSalaries[[#This Row],[Job Type]]=tblSalaries[[#Headers],[Engineer]],tblSalaries[[#This Row],[Salary in USD]],"")</f>
        <v/>
      </c>
      <c r="AA392" s="13">
        <f>IF(tblSalaries[[#This Row],[Job Type]]=tblSalaries[[#Headers],[Manager]],tblSalaries[[#This Row],[Salary in USD]],"")</f>
        <v>45880</v>
      </c>
      <c r="AB392" s="13" t="str">
        <f>IF(tblSalaries[[#This Row],[Job Type]]=tblSalaries[[#Headers],[Misc.]],tblSalaries[[#This Row],[Salary in USD]],"")</f>
        <v/>
      </c>
      <c r="AC392" s="13" t="str">
        <f>IF(tblSalaries[[#This Row],[Job Type]]=tblSalaries[[#Headers],[Reporting]],tblSalaries[[#This Row],[Salary in USD]],"")</f>
        <v/>
      </c>
      <c r="AD392" s="13" t="str">
        <f>IF(tblSalaries[[#This Row],[Job Type]]=tblSalaries[[#Headers],[Specialist]],tblSalaries[[#This Row],[Salary in USD]],"")</f>
        <v/>
      </c>
    </row>
    <row r="393" spans="2:30" ht="15" customHeight="1" x14ac:dyDescent="0.25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 s="9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  <c r="N393" t="str">
        <f>IF(tblSalaries[[#This Row],[Years of Experience]]="","",IF(tblSalaries[[#This Row],[Years of Experience]]&lt;=2,1,""))</f>
        <v/>
      </c>
      <c r="O393" t="str">
        <f>IF(tblSalaries[[#This Row],[Years of Experience]]="","",IF(AND(tblSalaries[[#This Row],[Years of Experience]]&gt;2,tblSalaries[[#This Row],[Years of Experience]]&lt;=5),1,""))</f>
        <v/>
      </c>
      <c r="P393" t="str">
        <f>IF(tblSalaries[[#This Row],[Years of Experience]]="","",IF(AND(tblSalaries[[#This Row],[Years of Experience]]&gt;5,tblSalaries[[#This Row],[Years of Experience]]&lt;=10),1,""))</f>
        <v/>
      </c>
      <c r="Q393" t="str">
        <f>IF(tblSalaries[[#This Row],[Years of Experience]]="","",IF(AND(tblSalaries[[#This Row],[Years of Experience]]&gt;10,tblSalaries[[#This Row],[Years of Experience]]&lt;=15),1,""))</f>
        <v/>
      </c>
      <c r="R393" t="str">
        <f>IF(tblSalaries[[#This Row],[Years of Experience]]="","",IF(AND(tblSalaries[[#This Row],[Years of Experience]]&gt;16,tblSalaries[[#This Row],[Years of Experience]]&lt;=20),1,""))</f>
        <v/>
      </c>
      <c r="S393" t="str">
        <f>IF(tblSalaries[[#This Row],[Years of Experience]]="","",IF(tblSalaries[[#This Row],[Years of Experience]]&gt;20,1,""))</f>
        <v/>
      </c>
      <c r="T3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3" s="13" t="str">
        <f>IF(tblSalaries[[#This Row],[Job Type]]=tblSalaries[[#Headers],[Accountant]],tblSalaries[[#This Row],[Salary in USD]],"")</f>
        <v/>
      </c>
      <c r="V393" s="13" t="str">
        <f>IF(tblSalaries[[#This Row],[Job Type]]=tblSalaries[[#Headers],[Analyst]],tblSalaries[[#This Row],[Salary in USD]],"")</f>
        <v/>
      </c>
      <c r="W393" s="13" t="str">
        <f>IF(tblSalaries[[#This Row],[Job Type]]=tblSalaries[[#Headers],[Consultant]],tblSalaries[[#This Row],[Salary in USD]],"")</f>
        <v/>
      </c>
      <c r="X393" s="13" t="str">
        <f>IF(tblSalaries[[#This Row],[Job Type]]=tblSalaries[[#Headers],[Controller]],tblSalaries[[#This Row],[Salary in USD]],"")</f>
        <v/>
      </c>
      <c r="Y393" s="13" t="str">
        <f>IF(tblSalaries[[#This Row],[Job Type]]=tblSalaries[[#Headers],[CXO or Top Mgmt.]],tblSalaries[[#This Row],[clean Salary (in local currency)]],"")</f>
        <v/>
      </c>
      <c r="Z393" s="13" t="str">
        <f>IF(tblSalaries[[#This Row],[Job Type]]=tblSalaries[[#Headers],[Engineer]],tblSalaries[[#This Row],[Salary in USD]],"")</f>
        <v/>
      </c>
      <c r="AA393" s="13">
        <f>IF(tblSalaries[[#This Row],[Job Type]]=tblSalaries[[#Headers],[Manager]],tblSalaries[[#This Row],[Salary in USD]],"")</f>
        <v>70000</v>
      </c>
      <c r="AB393" s="13" t="str">
        <f>IF(tblSalaries[[#This Row],[Job Type]]=tblSalaries[[#Headers],[Misc.]],tblSalaries[[#This Row],[Salary in USD]],"")</f>
        <v/>
      </c>
      <c r="AC393" s="13" t="str">
        <f>IF(tblSalaries[[#This Row],[Job Type]]=tblSalaries[[#Headers],[Reporting]],tblSalaries[[#This Row],[Salary in USD]],"")</f>
        <v/>
      </c>
      <c r="AD393" s="13" t="str">
        <f>IF(tblSalaries[[#This Row],[Job Type]]=tblSalaries[[#Headers],[Specialist]],tblSalaries[[#This Row],[Salary in USD]],"")</f>
        <v/>
      </c>
    </row>
    <row r="394" spans="2:30" ht="15" customHeight="1" x14ac:dyDescent="0.25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 s="9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  <c r="N394" t="str">
        <f>IF(tblSalaries[[#This Row],[Years of Experience]]="","",IF(tblSalaries[[#This Row],[Years of Experience]]&lt;=2,1,""))</f>
        <v/>
      </c>
      <c r="O394" t="str">
        <f>IF(tblSalaries[[#This Row],[Years of Experience]]="","",IF(AND(tblSalaries[[#This Row],[Years of Experience]]&gt;2,tblSalaries[[#This Row],[Years of Experience]]&lt;=5),1,""))</f>
        <v/>
      </c>
      <c r="P394" t="str">
        <f>IF(tblSalaries[[#This Row],[Years of Experience]]="","",IF(AND(tblSalaries[[#This Row],[Years of Experience]]&gt;5,tblSalaries[[#This Row],[Years of Experience]]&lt;=10),1,""))</f>
        <v/>
      </c>
      <c r="Q394" t="str">
        <f>IF(tblSalaries[[#This Row],[Years of Experience]]="","",IF(AND(tblSalaries[[#This Row],[Years of Experience]]&gt;10,tblSalaries[[#This Row],[Years of Experience]]&lt;=15),1,""))</f>
        <v/>
      </c>
      <c r="R394" t="str">
        <f>IF(tblSalaries[[#This Row],[Years of Experience]]="","",IF(AND(tblSalaries[[#This Row],[Years of Experience]]&gt;16,tblSalaries[[#This Row],[Years of Experience]]&lt;=20),1,""))</f>
        <v/>
      </c>
      <c r="S394" t="str">
        <f>IF(tblSalaries[[#This Row],[Years of Experience]]="","",IF(tblSalaries[[#This Row],[Years of Experience]]&gt;20,1,""))</f>
        <v/>
      </c>
      <c r="T3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4" s="13" t="str">
        <f>IF(tblSalaries[[#This Row],[Job Type]]=tblSalaries[[#Headers],[Accountant]],tblSalaries[[#This Row],[Salary in USD]],"")</f>
        <v/>
      </c>
      <c r="V394" s="13">
        <f>IF(tblSalaries[[#This Row],[Job Type]]=tblSalaries[[#Headers],[Analyst]],tblSalaries[[#This Row],[Salary in USD]],"")</f>
        <v>100000</v>
      </c>
      <c r="W394" s="13" t="str">
        <f>IF(tblSalaries[[#This Row],[Job Type]]=tblSalaries[[#Headers],[Consultant]],tblSalaries[[#This Row],[Salary in USD]],"")</f>
        <v/>
      </c>
      <c r="X394" s="13" t="str">
        <f>IF(tblSalaries[[#This Row],[Job Type]]=tblSalaries[[#Headers],[Controller]],tblSalaries[[#This Row],[Salary in USD]],"")</f>
        <v/>
      </c>
      <c r="Y394" s="13" t="str">
        <f>IF(tblSalaries[[#This Row],[Job Type]]=tblSalaries[[#Headers],[CXO or Top Mgmt.]],tblSalaries[[#This Row],[clean Salary (in local currency)]],"")</f>
        <v/>
      </c>
      <c r="Z394" s="13" t="str">
        <f>IF(tblSalaries[[#This Row],[Job Type]]=tblSalaries[[#Headers],[Engineer]],tblSalaries[[#This Row],[Salary in USD]],"")</f>
        <v/>
      </c>
      <c r="AA394" s="13" t="str">
        <f>IF(tblSalaries[[#This Row],[Job Type]]=tblSalaries[[#Headers],[Manager]],tblSalaries[[#This Row],[Salary in USD]],"")</f>
        <v/>
      </c>
      <c r="AB394" s="13" t="str">
        <f>IF(tblSalaries[[#This Row],[Job Type]]=tblSalaries[[#Headers],[Misc.]],tblSalaries[[#This Row],[Salary in USD]],"")</f>
        <v/>
      </c>
      <c r="AC394" s="13" t="str">
        <f>IF(tblSalaries[[#This Row],[Job Type]]=tblSalaries[[#Headers],[Reporting]],tblSalaries[[#This Row],[Salary in USD]],"")</f>
        <v/>
      </c>
      <c r="AD394" s="13" t="str">
        <f>IF(tblSalaries[[#This Row],[Job Type]]=tblSalaries[[#Headers],[Specialist]],tblSalaries[[#This Row],[Salary in USD]],"")</f>
        <v/>
      </c>
    </row>
    <row r="395" spans="2:30" ht="15" customHeight="1" x14ac:dyDescent="0.25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 s="9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  <c r="N395" t="str">
        <f>IF(tblSalaries[[#This Row],[Years of Experience]]="","",IF(tblSalaries[[#This Row],[Years of Experience]]&lt;=2,1,""))</f>
        <v/>
      </c>
      <c r="O395" t="str">
        <f>IF(tblSalaries[[#This Row],[Years of Experience]]="","",IF(AND(tblSalaries[[#This Row],[Years of Experience]]&gt;2,tblSalaries[[#This Row],[Years of Experience]]&lt;=5),1,""))</f>
        <v/>
      </c>
      <c r="P395" t="str">
        <f>IF(tblSalaries[[#This Row],[Years of Experience]]="","",IF(AND(tblSalaries[[#This Row],[Years of Experience]]&gt;5,tblSalaries[[#This Row],[Years of Experience]]&lt;=10),1,""))</f>
        <v/>
      </c>
      <c r="Q395" t="str">
        <f>IF(tblSalaries[[#This Row],[Years of Experience]]="","",IF(AND(tblSalaries[[#This Row],[Years of Experience]]&gt;10,tblSalaries[[#This Row],[Years of Experience]]&lt;=15),1,""))</f>
        <v/>
      </c>
      <c r="R395" t="str">
        <f>IF(tblSalaries[[#This Row],[Years of Experience]]="","",IF(AND(tblSalaries[[#This Row],[Years of Experience]]&gt;16,tblSalaries[[#This Row],[Years of Experience]]&lt;=20),1,""))</f>
        <v/>
      </c>
      <c r="S395" t="str">
        <f>IF(tblSalaries[[#This Row],[Years of Experience]]="","",IF(tblSalaries[[#This Row],[Years of Experience]]&gt;20,1,""))</f>
        <v/>
      </c>
      <c r="T3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5" s="13" t="str">
        <f>IF(tblSalaries[[#This Row],[Job Type]]=tblSalaries[[#Headers],[Accountant]],tblSalaries[[#This Row],[Salary in USD]],"")</f>
        <v/>
      </c>
      <c r="V395" s="13">
        <f>IF(tblSalaries[[#This Row],[Job Type]]=tblSalaries[[#Headers],[Analyst]],tblSalaries[[#This Row],[Salary in USD]],"")</f>
        <v>17598.017290051986</v>
      </c>
      <c r="W395" s="13" t="str">
        <f>IF(tblSalaries[[#This Row],[Job Type]]=tblSalaries[[#Headers],[Consultant]],tblSalaries[[#This Row],[Salary in USD]],"")</f>
        <v/>
      </c>
      <c r="X395" s="13" t="str">
        <f>IF(tblSalaries[[#This Row],[Job Type]]=tblSalaries[[#Headers],[Controller]],tblSalaries[[#This Row],[Salary in USD]],"")</f>
        <v/>
      </c>
      <c r="Y395" s="13" t="str">
        <f>IF(tblSalaries[[#This Row],[Job Type]]=tblSalaries[[#Headers],[CXO or Top Mgmt.]],tblSalaries[[#This Row],[clean Salary (in local currency)]],"")</f>
        <v/>
      </c>
      <c r="Z395" s="13" t="str">
        <f>IF(tblSalaries[[#This Row],[Job Type]]=tblSalaries[[#Headers],[Engineer]],tblSalaries[[#This Row],[Salary in USD]],"")</f>
        <v/>
      </c>
      <c r="AA395" s="13" t="str">
        <f>IF(tblSalaries[[#This Row],[Job Type]]=tblSalaries[[#Headers],[Manager]],tblSalaries[[#This Row],[Salary in USD]],"")</f>
        <v/>
      </c>
      <c r="AB395" s="13" t="str">
        <f>IF(tblSalaries[[#This Row],[Job Type]]=tblSalaries[[#Headers],[Misc.]],tblSalaries[[#This Row],[Salary in USD]],"")</f>
        <v/>
      </c>
      <c r="AC395" s="13" t="str">
        <f>IF(tblSalaries[[#This Row],[Job Type]]=tblSalaries[[#Headers],[Reporting]],tblSalaries[[#This Row],[Salary in USD]],"")</f>
        <v/>
      </c>
      <c r="AD395" s="13" t="str">
        <f>IF(tblSalaries[[#This Row],[Job Type]]=tblSalaries[[#Headers],[Specialist]],tblSalaries[[#This Row],[Salary in USD]],"")</f>
        <v/>
      </c>
    </row>
    <row r="396" spans="2:30" ht="15" customHeight="1" x14ac:dyDescent="0.25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 s="9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  <c r="N396" t="str">
        <f>IF(tblSalaries[[#This Row],[Years of Experience]]="","",IF(tblSalaries[[#This Row],[Years of Experience]]&lt;=2,1,""))</f>
        <v/>
      </c>
      <c r="O396" t="str">
        <f>IF(tblSalaries[[#This Row],[Years of Experience]]="","",IF(AND(tblSalaries[[#This Row],[Years of Experience]]&gt;2,tblSalaries[[#This Row],[Years of Experience]]&lt;=5),1,""))</f>
        <v/>
      </c>
      <c r="P396" t="str">
        <f>IF(tblSalaries[[#This Row],[Years of Experience]]="","",IF(AND(tblSalaries[[#This Row],[Years of Experience]]&gt;5,tblSalaries[[#This Row],[Years of Experience]]&lt;=10),1,""))</f>
        <v/>
      </c>
      <c r="Q396" t="str">
        <f>IF(tblSalaries[[#This Row],[Years of Experience]]="","",IF(AND(tblSalaries[[#This Row],[Years of Experience]]&gt;10,tblSalaries[[#This Row],[Years of Experience]]&lt;=15),1,""))</f>
        <v/>
      </c>
      <c r="R396" t="str">
        <f>IF(tblSalaries[[#This Row],[Years of Experience]]="","",IF(AND(tblSalaries[[#This Row],[Years of Experience]]&gt;16,tblSalaries[[#This Row],[Years of Experience]]&lt;=20),1,""))</f>
        <v/>
      </c>
      <c r="S396" t="str">
        <f>IF(tblSalaries[[#This Row],[Years of Experience]]="","",IF(tblSalaries[[#This Row],[Years of Experience]]&gt;20,1,""))</f>
        <v/>
      </c>
      <c r="T3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6" s="13" t="str">
        <f>IF(tblSalaries[[#This Row],[Job Type]]=tblSalaries[[#Headers],[Accountant]],tblSalaries[[#This Row],[Salary in USD]],"")</f>
        <v/>
      </c>
      <c r="V396" s="13" t="str">
        <f>IF(tblSalaries[[#This Row],[Job Type]]=tblSalaries[[#Headers],[Analyst]],tblSalaries[[#This Row],[Salary in USD]],"")</f>
        <v/>
      </c>
      <c r="W396" s="13" t="str">
        <f>IF(tblSalaries[[#This Row],[Job Type]]=tblSalaries[[#Headers],[Consultant]],tblSalaries[[#This Row],[Salary in USD]],"")</f>
        <v/>
      </c>
      <c r="X396" s="13" t="str">
        <f>IF(tblSalaries[[#This Row],[Job Type]]=tblSalaries[[#Headers],[Controller]],tblSalaries[[#This Row],[Salary in USD]],"")</f>
        <v/>
      </c>
      <c r="Y396" s="13" t="str">
        <f>IF(tblSalaries[[#This Row],[Job Type]]=tblSalaries[[#Headers],[CXO or Top Mgmt.]],tblSalaries[[#This Row],[clean Salary (in local currency)]],"")</f>
        <v/>
      </c>
      <c r="Z396" s="13">
        <f>IF(tblSalaries[[#This Row],[Job Type]]=tblSalaries[[#Headers],[Engineer]],tblSalaries[[#This Row],[Salary in USD]],"")</f>
        <v>85000</v>
      </c>
      <c r="AA396" s="13" t="str">
        <f>IF(tblSalaries[[#This Row],[Job Type]]=tblSalaries[[#Headers],[Manager]],tblSalaries[[#This Row],[Salary in USD]],"")</f>
        <v/>
      </c>
      <c r="AB396" s="13" t="str">
        <f>IF(tblSalaries[[#This Row],[Job Type]]=tblSalaries[[#Headers],[Misc.]],tblSalaries[[#This Row],[Salary in USD]],"")</f>
        <v/>
      </c>
      <c r="AC396" s="13" t="str">
        <f>IF(tblSalaries[[#This Row],[Job Type]]=tblSalaries[[#Headers],[Reporting]],tblSalaries[[#This Row],[Salary in USD]],"")</f>
        <v/>
      </c>
      <c r="AD396" s="13" t="str">
        <f>IF(tblSalaries[[#This Row],[Job Type]]=tblSalaries[[#Headers],[Specialist]],tblSalaries[[#This Row],[Salary in USD]],"")</f>
        <v/>
      </c>
    </row>
    <row r="397" spans="2:30" ht="15" customHeight="1" x14ac:dyDescent="0.25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 s="9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  <c r="N397" t="str">
        <f>IF(tblSalaries[[#This Row],[Years of Experience]]="","",IF(tblSalaries[[#This Row],[Years of Experience]]&lt;=2,1,""))</f>
        <v/>
      </c>
      <c r="O397" t="str">
        <f>IF(tblSalaries[[#This Row],[Years of Experience]]="","",IF(AND(tblSalaries[[#This Row],[Years of Experience]]&gt;2,tblSalaries[[#This Row],[Years of Experience]]&lt;=5),1,""))</f>
        <v/>
      </c>
      <c r="P397" t="str">
        <f>IF(tblSalaries[[#This Row],[Years of Experience]]="","",IF(AND(tblSalaries[[#This Row],[Years of Experience]]&gt;5,tblSalaries[[#This Row],[Years of Experience]]&lt;=10),1,""))</f>
        <v/>
      </c>
      <c r="Q397" t="str">
        <f>IF(tblSalaries[[#This Row],[Years of Experience]]="","",IF(AND(tblSalaries[[#This Row],[Years of Experience]]&gt;10,tblSalaries[[#This Row],[Years of Experience]]&lt;=15),1,""))</f>
        <v/>
      </c>
      <c r="R397" t="str">
        <f>IF(tblSalaries[[#This Row],[Years of Experience]]="","",IF(AND(tblSalaries[[#This Row],[Years of Experience]]&gt;16,tblSalaries[[#This Row],[Years of Experience]]&lt;=20),1,""))</f>
        <v/>
      </c>
      <c r="S397" t="str">
        <f>IF(tblSalaries[[#This Row],[Years of Experience]]="","",IF(tblSalaries[[#This Row],[Years of Experience]]&gt;20,1,""))</f>
        <v/>
      </c>
      <c r="T3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7" s="13" t="str">
        <f>IF(tblSalaries[[#This Row],[Job Type]]=tblSalaries[[#Headers],[Accountant]],tblSalaries[[#This Row],[Salary in USD]],"")</f>
        <v/>
      </c>
      <c r="V397" s="13" t="str">
        <f>IF(tblSalaries[[#This Row],[Job Type]]=tblSalaries[[#Headers],[Analyst]],tblSalaries[[#This Row],[Salary in USD]],"")</f>
        <v/>
      </c>
      <c r="W397" s="13" t="str">
        <f>IF(tblSalaries[[#This Row],[Job Type]]=tblSalaries[[#Headers],[Consultant]],tblSalaries[[#This Row],[Salary in USD]],"")</f>
        <v/>
      </c>
      <c r="X397" s="13" t="str">
        <f>IF(tblSalaries[[#This Row],[Job Type]]=tblSalaries[[#Headers],[Controller]],tblSalaries[[#This Row],[Salary in USD]],"")</f>
        <v/>
      </c>
      <c r="Y397" s="13" t="str">
        <f>IF(tblSalaries[[#This Row],[Job Type]]=tblSalaries[[#Headers],[CXO or Top Mgmt.]],tblSalaries[[#This Row],[clean Salary (in local currency)]],"")</f>
        <v/>
      </c>
      <c r="Z397" s="13" t="str">
        <f>IF(tblSalaries[[#This Row],[Job Type]]=tblSalaries[[#Headers],[Engineer]],tblSalaries[[#This Row],[Salary in USD]],"")</f>
        <v/>
      </c>
      <c r="AA397" s="13">
        <f>IF(tblSalaries[[#This Row],[Job Type]]=tblSalaries[[#Headers],[Manager]],tblSalaries[[#This Row],[Salary in USD]],"")</f>
        <v>47000</v>
      </c>
      <c r="AB397" s="13" t="str">
        <f>IF(tblSalaries[[#This Row],[Job Type]]=tblSalaries[[#Headers],[Misc.]],tblSalaries[[#This Row],[Salary in USD]],"")</f>
        <v/>
      </c>
      <c r="AC397" s="13" t="str">
        <f>IF(tblSalaries[[#This Row],[Job Type]]=tblSalaries[[#Headers],[Reporting]],tblSalaries[[#This Row],[Salary in USD]],"")</f>
        <v/>
      </c>
      <c r="AD397" s="13" t="str">
        <f>IF(tblSalaries[[#This Row],[Job Type]]=tblSalaries[[#Headers],[Specialist]],tblSalaries[[#This Row],[Salary in USD]],"")</f>
        <v/>
      </c>
    </row>
    <row r="398" spans="2:30" ht="15" customHeight="1" x14ac:dyDescent="0.25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 s="9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  <c r="N398" t="str">
        <f>IF(tblSalaries[[#This Row],[Years of Experience]]="","",IF(tblSalaries[[#This Row],[Years of Experience]]&lt;=2,1,""))</f>
        <v/>
      </c>
      <c r="O398" t="str">
        <f>IF(tblSalaries[[#This Row],[Years of Experience]]="","",IF(AND(tblSalaries[[#This Row],[Years of Experience]]&gt;2,tblSalaries[[#This Row],[Years of Experience]]&lt;=5),1,""))</f>
        <v/>
      </c>
      <c r="P398" t="str">
        <f>IF(tblSalaries[[#This Row],[Years of Experience]]="","",IF(AND(tblSalaries[[#This Row],[Years of Experience]]&gt;5,tblSalaries[[#This Row],[Years of Experience]]&lt;=10),1,""))</f>
        <v/>
      </c>
      <c r="Q398" t="str">
        <f>IF(tblSalaries[[#This Row],[Years of Experience]]="","",IF(AND(tblSalaries[[#This Row],[Years of Experience]]&gt;10,tblSalaries[[#This Row],[Years of Experience]]&lt;=15),1,""))</f>
        <v/>
      </c>
      <c r="R398" t="str">
        <f>IF(tblSalaries[[#This Row],[Years of Experience]]="","",IF(AND(tblSalaries[[#This Row],[Years of Experience]]&gt;16,tblSalaries[[#This Row],[Years of Experience]]&lt;=20),1,""))</f>
        <v/>
      </c>
      <c r="S398" t="str">
        <f>IF(tblSalaries[[#This Row],[Years of Experience]]="","",IF(tblSalaries[[#This Row],[Years of Experience]]&gt;20,1,""))</f>
        <v/>
      </c>
      <c r="T3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8" s="13" t="str">
        <f>IF(tblSalaries[[#This Row],[Job Type]]=tblSalaries[[#Headers],[Accountant]],tblSalaries[[#This Row],[Salary in USD]],"")</f>
        <v/>
      </c>
      <c r="V398" s="13" t="str">
        <f>IF(tblSalaries[[#This Row],[Job Type]]=tblSalaries[[#Headers],[Analyst]],tblSalaries[[#This Row],[Salary in USD]],"")</f>
        <v/>
      </c>
      <c r="W398" s="13" t="str">
        <f>IF(tblSalaries[[#This Row],[Job Type]]=tblSalaries[[#Headers],[Consultant]],tblSalaries[[#This Row],[Salary in USD]],"")</f>
        <v/>
      </c>
      <c r="X398" s="13" t="str">
        <f>IF(tblSalaries[[#This Row],[Job Type]]=tblSalaries[[#Headers],[Controller]],tblSalaries[[#This Row],[Salary in USD]],"")</f>
        <v/>
      </c>
      <c r="Y398" s="13" t="str">
        <f>IF(tblSalaries[[#This Row],[Job Type]]=tblSalaries[[#Headers],[CXO or Top Mgmt.]],tblSalaries[[#This Row],[clean Salary (in local currency)]],"")</f>
        <v/>
      </c>
      <c r="Z398" s="13" t="str">
        <f>IF(tblSalaries[[#This Row],[Job Type]]=tblSalaries[[#Headers],[Engineer]],tblSalaries[[#This Row],[Salary in USD]],"")</f>
        <v/>
      </c>
      <c r="AA398" s="13">
        <f>IF(tblSalaries[[#This Row],[Job Type]]=tblSalaries[[#Headers],[Manager]],tblSalaries[[#This Row],[Salary in USD]],"")</f>
        <v>40000</v>
      </c>
      <c r="AB398" s="13" t="str">
        <f>IF(tblSalaries[[#This Row],[Job Type]]=tblSalaries[[#Headers],[Misc.]],tblSalaries[[#This Row],[Salary in USD]],"")</f>
        <v/>
      </c>
      <c r="AC398" s="13" t="str">
        <f>IF(tblSalaries[[#This Row],[Job Type]]=tblSalaries[[#Headers],[Reporting]],tblSalaries[[#This Row],[Salary in USD]],"")</f>
        <v/>
      </c>
      <c r="AD398" s="13" t="str">
        <f>IF(tblSalaries[[#This Row],[Job Type]]=tblSalaries[[#Headers],[Specialist]],tblSalaries[[#This Row],[Salary in USD]],"")</f>
        <v/>
      </c>
    </row>
    <row r="399" spans="2:30" ht="15" customHeight="1" x14ac:dyDescent="0.25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 s="9">
        <f>tblSalaries[[#This Row],[clean Salary (in local currency)]]*VLOOKUP(tblSalaries[[#This Row],[Currency]],tblXrate[],2,FALSE)</f>
        <v>30000</v>
      </c>
      <c r="H399" t="s">
        <v>452</v>
      </c>
      <c r="I399" t="s">
        <v>4001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  <c r="N399" t="str">
        <f>IF(tblSalaries[[#This Row],[Years of Experience]]="","",IF(tblSalaries[[#This Row],[Years of Experience]]&lt;=2,1,""))</f>
        <v/>
      </c>
      <c r="O399" t="str">
        <f>IF(tblSalaries[[#This Row],[Years of Experience]]="","",IF(AND(tblSalaries[[#This Row],[Years of Experience]]&gt;2,tblSalaries[[#This Row],[Years of Experience]]&lt;=5),1,""))</f>
        <v/>
      </c>
      <c r="P399" t="str">
        <f>IF(tblSalaries[[#This Row],[Years of Experience]]="","",IF(AND(tblSalaries[[#This Row],[Years of Experience]]&gt;5,tblSalaries[[#This Row],[Years of Experience]]&lt;=10),1,""))</f>
        <v/>
      </c>
      <c r="Q399" t="str">
        <f>IF(tblSalaries[[#This Row],[Years of Experience]]="","",IF(AND(tblSalaries[[#This Row],[Years of Experience]]&gt;10,tblSalaries[[#This Row],[Years of Experience]]&lt;=15),1,""))</f>
        <v/>
      </c>
      <c r="R399" t="str">
        <f>IF(tblSalaries[[#This Row],[Years of Experience]]="","",IF(AND(tblSalaries[[#This Row],[Years of Experience]]&gt;16,tblSalaries[[#This Row],[Years of Experience]]&lt;=20),1,""))</f>
        <v/>
      </c>
      <c r="S399" t="str">
        <f>IF(tblSalaries[[#This Row],[Years of Experience]]="","",IF(tblSalaries[[#This Row],[Years of Experience]]&gt;20,1,""))</f>
        <v/>
      </c>
      <c r="T3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399" s="13" t="str">
        <f>IF(tblSalaries[[#This Row],[Job Type]]=tblSalaries[[#Headers],[Accountant]],tblSalaries[[#This Row],[Salary in USD]],"")</f>
        <v/>
      </c>
      <c r="V399" s="13" t="str">
        <f>IF(tblSalaries[[#This Row],[Job Type]]=tblSalaries[[#Headers],[Analyst]],tblSalaries[[#This Row],[Salary in USD]],"")</f>
        <v/>
      </c>
      <c r="W399" s="13" t="str">
        <f>IF(tblSalaries[[#This Row],[Job Type]]=tblSalaries[[#Headers],[Consultant]],tblSalaries[[#This Row],[Salary in USD]],"")</f>
        <v/>
      </c>
      <c r="X399" s="13" t="str">
        <f>IF(tblSalaries[[#This Row],[Job Type]]=tblSalaries[[#Headers],[Controller]],tblSalaries[[#This Row],[Salary in USD]],"")</f>
        <v/>
      </c>
      <c r="Y399" s="13">
        <f>IF(tblSalaries[[#This Row],[Job Type]]=tblSalaries[[#Headers],[CXO or Top Mgmt.]],tblSalaries[[#This Row],[clean Salary (in local currency)]],"")</f>
        <v>30000</v>
      </c>
      <c r="Z399" s="13" t="str">
        <f>IF(tblSalaries[[#This Row],[Job Type]]=tblSalaries[[#Headers],[Engineer]],tblSalaries[[#This Row],[Salary in USD]],"")</f>
        <v/>
      </c>
      <c r="AA399" s="13" t="str">
        <f>IF(tblSalaries[[#This Row],[Job Type]]=tblSalaries[[#Headers],[Manager]],tblSalaries[[#This Row],[Salary in USD]],"")</f>
        <v/>
      </c>
      <c r="AB399" s="13" t="str">
        <f>IF(tblSalaries[[#This Row],[Job Type]]=tblSalaries[[#Headers],[Misc.]],tblSalaries[[#This Row],[Salary in USD]],"")</f>
        <v/>
      </c>
      <c r="AC399" s="13" t="str">
        <f>IF(tblSalaries[[#This Row],[Job Type]]=tblSalaries[[#Headers],[Reporting]],tblSalaries[[#This Row],[Salary in USD]],"")</f>
        <v/>
      </c>
      <c r="AD399" s="13" t="str">
        <f>IF(tblSalaries[[#This Row],[Job Type]]=tblSalaries[[#Headers],[Specialist]],tblSalaries[[#This Row],[Salary in USD]],"")</f>
        <v/>
      </c>
    </row>
    <row r="400" spans="2:30" ht="15" customHeight="1" x14ac:dyDescent="0.25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 s="9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  <c r="N400" t="str">
        <f>IF(tblSalaries[[#This Row],[Years of Experience]]="","",IF(tblSalaries[[#This Row],[Years of Experience]]&lt;=2,1,""))</f>
        <v/>
      </c>
      <c r="O400" t="str">
        <f>IF(tblSalaries[[#This Row],[Years of Experience]]="","",IF(AND(tblSalaries[[#This Row],[Years of Experience]]&gt;2,tblSalaries[[#This Row],[Years of Experience]]&lt;=5),1,""))</f>
        <v/>
      </c>
      <c r="P400" t="str">
        <f>IF(tblSalaries[[#This Row],[Years of Experience]]="","",IF(AND(tblSalaries[[#This Row],[Years of Experience]]&gt;5,tblSalaries[[#This Row],[Years of Experience]]&lt;=10),1,""))</f>
        <v/>
      </c>
      <c r="Q400" t="str">
        <f>IF(tblSalaries[[#This Row],[Years of Experience]]="","",IF(AND(tblSalaries[[#This Row],[Years of Experience]]&gt;10,tblSalaries[[#This Row],[Years of Experience]]&lt;=15),1,""))</f>
        <v/>
      </c>
      <c r="R400" t="str">
        <f>IF(tblSalaries[[#This Row],[Years of Experience]]="","",IF(AND(tblSalaries[[#This Row],[Years of Experience]]&gt;16,tblSalaries[[#This Row],[Years of Experience]]&lt;=20),1,""))</f>
        <v/>
      </c>
      <c r="S400" t="str">
        <f>IF(tblSalaries[[#This Row],[Years of Experience]]="","",IF(tblSalaries[[#This Row],[Years of Experience]]&gt;20,1,""))</f>
        <v/>
      </c>
      <c r="T4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0" s="13" t="str">
        <f>IF(tblSalaries[[#This Row],[Job Type]]=tblSalaries[[#Headers],[Accountant]],tblSalaries[[#This Row],[Salary in USD]],"")</f>
        <v/>
      </c>
      <c r="V400" s="13" t="str">
        <f>IF(tblSalaries[[#This Row],[Job Type]]=tblSalaries[[#Headers],[Analyst]],tblSalaries[[#This Row],[Salary in USD]],"")</f>
        <v/>
      </c>
      <c r="W400" s="13" t="str">
        <f>IF(tblSalaries[[#This Row],[Job Type]]=tblSalaries[[#Headers],[Consultant]],tblSalaries[[#This Row],[Salary in USD]],"")</f>
        <v/>
      </c>
      <c r="X400" s="13">
        <f>IF(tblSalaries[[#This Row],[Job Type]]=tblSalaries[[#Headers],[Controller]],tblSalaries[[#This Row],[Salary in USD]],"")</f>
        <v>70802.029658183528</v>
      </c>
      <c r="Y400" s="13" t="str">
        <f>IF(tblSalaries[[#This Row],[Job Type]]=tblSalaries[[#Headers],[CXO or Top Mgmt.]],tblSalaries[[#This Row],[clean Salary (in local currency)]],"")</f>
        <v/>
      </c>
      <c r="Z400" s="13" t="str">
        <f>IF(tblSalaries[[#This Row],[Job Type]]=tblSalaries[[#Headers],[Engineer]],tblSalaries[[#This Row],[Salary in USD]],"")</f>
        <v/>
      </c>
      <c r="AA400" s="13" t="str">
        <f>IF(tblSalaries[[#This Row],[Job Type]]=tblSalaries[[#Headers],[Manager]],tblSalaries[[#This Row],[Salary in USD]],"")</f>
        <v/>
      </c>
      <c r="AB400" s="13" t="str">
        <f>IF(tblSalaries[[#This Row],[Job Type]]=tblSalaries[[#Headers],[Misc.]],tblSalaries[[#This Row],[Salary in USD]],"")</f>
        <v/>
      </c>
      <c r="AC400" s="13" t="str">
        <f>IF(tblSalaries[[#This Row],[Job Type]]=tblSalaries[[#Headers],[Reporting]],tblSalaries[[#This Row],[Salary in USD]],"")</f>
        <v/>
      </c>
      <c r="AD400" s="13" t="str">
        <f>IF(tblSalaries[[#This Row],[Job Type]]=tblSalaries[[#Headers],[Specialist]],tblSalaries[[#This Row],[Salary in USD]],"")</f>
        <v/>
      </c>
    </row>
    <row r="401" spans="2:30" ht="15" customHeight="1" x14ac:dyDescent="0.25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 s="9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  <c r="N401" t="str">
        <f>IF(tblSalaries[[#This Row],[Years of Experience]]="","",IF(tblSalaries[[#This Row],[Years of Experience]]&lt;=2,1,""))</f>
        <v/>
      </c>
      <c r="O401" t="str">
        <f>IF(tblSalaries[[#This Row],[Years of Experience]]="","",IF(AND(tblSalaries[[#This Row],[Years of Experience]]&gt;2,tblSalaries[[#This Row],[Years of Experience]]&lt;=5),1,""))</f>
        <v/>
      </c>
      <c r="P401" t="str">
        <f>IF(tblSalaries[[#This Row],[Years of Experience]]="","",IF(AND(tblSalaries[[#This Row],[Years of Experience]]&gt;5,tblSalaries[[#This Row],[Years of Experience]]&lt;=10),1,""))</f>
        <v/>
      </c>
      <c r="Q401" t="str">
        <f>IF(tblSalaries[[#This Row],[Years of Experience]]="","",IF(AND(tblSalaries[[#This Row],[Years of Experience]]&gt;10,tblSalaries[[#This Row],[Years of Experience]]&lt;=15),1,""))</f>
        <v/>
      </c>
      <c r="R401" t="str">
        <f>IF(tblSalaries[[#This Row],[Years of Experience]]="","",IF(AND(tblSalaries[[#This Row],[Years of Experience]]&gt;16,tblSalaries[[#This Row],[Years of Experience]]&lt;=20),1,""))</f>
        <v/>
      </c>
      <c r="S401" t="str">
        <f>IF(tblSalaries[[#This Row],[Years of Experience]]="","",IF(tblSalaries[[#This Row],[Years of Experience]]&gt;20,1,""))</f>
        <v/>
      </c>
      <c r="T4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1" s="13" t="str">
        <f>IF(tblSalaries[[#This Row],[Job Type]]=tblSalaries[[#Headers],[Accountant]],tblSalaries[[#This Row],[Salary in USD]],"")</f>
        <v/>
      </c>
      <c r="V401" s="13">
        <f>IF(tblSalaries[[#This Row],[Job Type]]=tblSalaries[[#Headers],[Analyst]],tblSalaries[[#This Row],[Salary in USD]],"")</f>
        <v>34000</v>
      </c>
      <c r="W401" s="13" t="str">
        <f>IF(tblSalaries[[#This Row],[Job Type]]=tblSalaries[[#Headers],[Consultant]],tblSalaries[[#This Row],[Salary in USD]],"")</f>
        <v/>
      </c>
      <c r="X401" s="13" t="str">
        <f>IF(tblSalaries[[#This Row],[Job Type]]=tblSalaries[[#Headers],[Controller]],tblSalaries[[#This Row],[Salary in USD]],"")</f>
        <v/>
      </c>
      <c r="Y401" s="13" t="str">
        <f>IF(tblSalaries[[#This Row],[Job Type]]=tblSalaries[[#Headers],[CXO or Top Mgmt.]],tblSalaries[[#This Row],[clean Salary (in local currency)]],"")</f>
        <v/>
      </c>
      <c r="Z401" s="13" t="str">
        <f>IF(tblSalaries[[#This Row],[Job Type]]=tblSalaries[[#Headers],[Engineer]],tblSalaries[[#This Row],[Salary in USD]],"")</f>
        <v/>
      </c>
      <c r="AA401" s="13" t="str">
        <f>IF(tblSalaries[[#This Row],[Job Type]]=tblSalaries[[#Headers],[Manager]],tblSalaries[[#This Row],[Salary in USD]],"")</f>
        <v/>
      </c>
      <c r="AB401" s="13" t="str">
        <f>IF(tblSalaries[[#This Row],[Job Type]]=tblSalaries[[#Headers],[Misc.]],tblSalaries[[#This Row],[Salary in USD]],"")</f>
        <v/>
      </c>
      <c r="AC401" s="13" t="str">
        <f>IF(tblSalaries[[#This Row],[Job Type]]=tblSalaries[[#Headers],[Reporting]],tblSalaries[[#This Row],[Salary in USD]],"")</f>
        <v/>
      </c>
      <c r="AD401" s="13" t="str">
        <f>IF(tblSalaries[[#This Row],[Job Type]]=tblSalaries[[#Headers],[Specialist]],tblSalaries[[#This Row],[Salary in USD]],"")</f>
        <v/>
      </c>
    </row>
    <row r="402" spans="2:30" ht="15" customHeight="1" x14ac:dyDescent="0.25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 s="9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  <c r="N402" t="str">
        <f>IF(tblSalaries[[#This Row],[Years of Experience]]="","",IF(tblSalaries[[#This Row],[Years of Experience]]&lt;=2,1,""))</f>
        <v/>
      </c>
      <c r="O402" t="str">
        <f>IF(tblSalaries[[#This Row],[Years of Experience]]="","",IF(AND(tblSalaries[[#This Row],[Years of Experience]]&gt;2,tblSalaries[[#This Row],[Years of Experience]]&lt;=5),1,""))</f>
        <v/>
      </c>
      <c r="P402" t="str">
        <f>IF(tblSalaries[[#This Row],[Years of Experience]]="","",IF(AND(tblSalaries[[#This Row],[Years of Experience]]&gt;5,tblSalaries[[#This Row],[Years of Experience]]&lt;=10),1,""))</f>
        <v/>
      </c>
      <c r="Q402" t="str">
        <f>IF(tblSalaries[[#This Row],[Years of Experience]]="","",IF(AND(tblSalaries[[#This Row],[Years of Experience]]&gt;10,tblSalaries[[#This Row],[Years of Experience]]&lt;=15),1,""))</f>
        <v/>
      </c>
      <c r="R402" t="str">
        <f>IF(tblSalaries[[#This Row],[Years of Experience]]="","",IF(AND(tblSalaries[[#This Row],[Years of Experience]]&gt;16,tblSalaries[[#This Row],[Years of Experience]]&lt;=20),1,""))</f>
        <v/>
      </c>
      <c r="S402" t="str">
        <f>IF(tblSalaries[[#This Row],[Years of Experience]]="","",IF(tblSalaries[[#This Row],[Years of Experience]]&gt;20,1,""))</f>
        <v/>
      </c>
      <c r="T4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2" s="13" t="str">
        <f>IF(tblSalaries[[#This Row],[Job Type]]=tblSalaries[[#Headers],[Accountant]],tblSalaries[[#This Row],[Salary in USD]],"")</f>
        <v/>
      </c>
      <c r="V402" s="13">
        <f>IF(tblSalaries[[#This Row],[Job Type]]=tblSalaries[[#Headers],[Analyst]],tblSalaries[[#This Row],[Salary in USD]],"")</f>
        <v>52000</v>
      </c>
      <c r="W402" s="13" t="str">
        <f>IF(tblSalaries[[#This Row],[Job Type]]=tblSalaries[[#Headers],[Consultant]],tblSalaries[[#This Row],[Salary in USD]],"")</f>
        <v/>
      </c>
      <c r="X402" s="13" t="str">
        <f>IF(tblSalaries[[#This Row],[Job Type]]=tblSalaries[[#Headers],[Controller]],tblSalaries[[#This Row],[Salary in USD]],"")</f>
        <v/>
      </c>
      <c r="Y402" s="13" t="str">
        <f>IF(tblSalaries[[#This Row],[Job Type]]=tblSalaries[[#Headers],[CXO or Top Mgmt.]],tblSalaries[[#This Row],[clean Salary (in local currency)]],"")</f>
        <v/>
      </c>
      <c r="Z402" s="13" t="str">
        <f>IF(tblSalaries[[#This Row],[Job Type]]=tblSalaries[[#Headers],[Engineer]],tblSalaries[[#This Row],[Salary in USD]],"")</f>
        <v/>
      </c>
      <c r="AA402" s="13" t="str">
        <f>IF(tblSalaries[[#This Row],[Job Type]]=tblSalaries[[#Headers],[Manager]],tblSalaries[[#This Row],[Salary in USD]],"")</f>
        <v/>
      </c>
      <c r="AB402" s="13" t="str">
        <f>IF(tblSalaries[[#This Row],[Job Type]]=tblSalaries[[#Headers],[Misc.]],tblSalaries[[#This Row],[Salary in USD]],"")</f>
        <v/>
      </c>
      <c r="AC402" s="13" t="str">
        <f>IF(tblSalaries[[#This Row],[Job Type]]=tblSalaries[[#Headers],[Reporting]],tblSalaries[[#This Row],[Salary in USD]],"")</f>
        <v/>
      </c>
      <c r="AD402" s="13" t="str">
        <f>IF(tblSalaries[[#This Row],[Job Type]]=tblSalaries[[#Headers],[Specialist]],tblSalaries[[#This Row],[Salary in USD]],"")</f>
        <v/>
      </c>
    </row>
    <row r="403" spans="2:30" ht="15" customHeight="1" x14ac:dyDescent="0.25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 s="9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  <c r="N403" t="str">
        <f>IF(tblSalaries[[#This Row],[Years of Experience]]="","",IF(tblSalaries[[#This Row],[Years of Experience]]&lt;=2,1,""))</f>
        <v/>
      </c>
      <c r="O403" t="str">
        <f>IF(tblSalaries[[#This Row],[Years of Experience]]="","",IF(AND(tblSalaries[[#This Row],[Years of Experience]]&gt;2,tblSalaries[[#This Row],[Years of Experience]]&lt;=5),1,""))</f>
        <v/>
      </c>
      <c r="P403" t="str">
        <f>IF(tblSalaries[[#This Row],[Years of Experience]]="","",IF(AND(tblSalaries[[#This Row],[Years of Experience]]&gt;5,tblSalaries[[#This Row],[Years of Experience]]&lt;=10),1,""))</f>
        <v/>
      </c>
      <c r="Q403" t="str">
        <f>IF(tblSalaries[[#This Row],[Years of Experience]]="","",IF(AND(tblSalaries[[#This Row],[Years of Experience]]&gt;10,tblSalaries[[#This Row],[Years of Experience]]&lt;=15),1,""))</f>
        <v/>
      </c>
      <c r="R403" t="str">
        <f>IF(tblSalaries[[#This Row],[Years of Experience]]="","",IF(AND(tblSalaries[[#This Row],[Years of Experience]]&gt;16,tblSalaries[[#This Row],[Years of Experience]]&lt;=20),1,""))</f>
        <v/>
      </c>
      <c r="S403" t="str">
        <f>IF(tblSalaries[[#This Row],[Years of Experience]]="","",IF(tblSalaries[[#This Row],[Years of Experience]]&gt;20,1,""))</f>
        <v/>
      </c>
      <c r="T4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3" s="13" t="str">
        <f>IF(tblSalaries[[#This Row],[Job Type]]=tblSalaries[[#Headers],[Accountant]],tblSalaries[[#This Row],[Salary in USD]],"")</f>
        <v/>
      </c>
      <c r="V403" s="13" t="str">
        <f>IF(tblSalaries[[#This Row],[Job Type]]=tblSalaries[[#Headers],[Analyst]],tblSalaries[[#This Row],[Salary in USD]],"")</f>
        <v/>
      </c>
      <c r="W403" s="13" t="str">
        <f>IF(tblSalaries[[#This Row],[Job Type]]=tblSalaries[[#Headers],[Consultant]],tblSalaries[[#This Row],[Salary in USD]],"")</f>
        <v/>
      </c>
      <c r="X403" s="13" t="str">
        <f>IF(tblSalaries[[#This Row],[Job Type]]=tblSalaries[[#Headers],[Controller]],tblSalaries[[#This Row],[Salary in USD]],"")</f>
        <v/>
      </c>
      <c r="Y403" s="13" t="str">
        <f>IF(tblSalaries[[#This Row],[Job Type]]=tblSalaries[[#Headers],[CXO or Top Mgmt.]],tblSalaries[[#This Row],[clean Salary (in local currency)]],"")</f>
        <v/>
      </c>
      <c r="Z403" s="13">
        <f>IF(tblSalaries[[#This Row],[Job Type]]=tblSalaries[[#Headers],[Engineer]],tblSalaries[[#This Row],[Salary in USD]],"")</f>
        <v>5342.3750062327708</v>
      </c>
      <c r="AA403" s="13" t="str">
        <f>IF(tblSalaries[[#This Row],[Job Type]]=tblSalaries[[#Headers],[Manager]],tblSalaries[[#This Row],[Salary in USD]],"")</f>
        <v/>
      </c>
      <c r="AB403" s="13" t="str">
        <f>IF(tblSalaries[[#This Row],[Job Type]]=tblSalaries[[#Headers],[Misc.]],tblSalaries[[#This Row],[Salary in USD]],"")</f>
        <v/>
      </c>
      <c r="AC403" s="13" t="str">
        <f>IF(tblSalaries[[#This Row],[Job Type]]=tblSalaries[[#Headers],[Reporting]],tblSalaries[[#This Row],[Salary in USD]],"")</f>
        <v/>
      </c>
      <c r="AD403" s="13" t="str">
        <f>IF(tblSalaries[[#This Row],[Job Type]]=tblSalaries[[#Headers],[Specialist]],tblSalaries[[#This Row],[Salary in USD]],"")</f>
        <v/>
      </c>
    </row>
    <row r="404" spans="2:30" ht="15" customHeight="1" x14ac:dyDescent="0.25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 s="9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  <c r="N404" t="str">
        <f>IF(tblSalaries[[#This Row],[Years of Experience]]="","",IF(tblSalaries[[#This Row],[Years of Experience]]&lt;=2,1,""))</f>
        <v/>
      </c>
      <c r="O404" t="str">
        <f>IF(tblSalaries[[#This Row],[Years of Experience]]="","",IF(AND(tblSalaries[[#This Row],[Years of Experience]]&gt;2,tblSalaries[[#This Row],[Years of Experience]]&lt;=5),1,""))</f>
        <v/>
      </c>
      <c r="P404" t="str">
        <f>IF(tblSalaries[[#This Row],[Years of Experience]]="","",IF(AND(tblSalaries[[#This Row],[Years of Experience]]&gt;5,tblSalaries[[#This Row],[Years of Experience]]&lt;=10),1,""))</f>
        <v/>
      </c>
      <c r="Q404" t="str">
        <f>IF(tblSalaries[[#This Row],[Years of Experience]]="","",IF(AND(tblSalaries[[#This Row],[Years of Experience]]&gt;10,tblSalaries[[#This Row],[Years of Experience]]&lt;=15),1,""))</f>
        <v/>
      </c>
      <c r="R404" t="str">
        <f>IF(tblSalaries[[#This Row],[Years of Experience]]="","",IF(AND(tblSalaries[[#This Row],[Years of Experience]]&gt;16,tblSalaries[[#This Row],[Years of Experience]]&lt;=20),1,""))</f>
        <v/>
      </c>
      <c r="S404" t="str">
        <f>IF(tblSalaries[[#This Row],[Years of Experience]]="","",IF(tblSalaries[[#This Row],[Years of Experience]]&gt;20,1,""))</f>
        <v/>
      </c>
      <c r="T4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4" s="13" t="str">
        <f>IF(tblSalaries[[#This Row],[Job Type]]=tblSalaries[[#Headers],[Accountant]],tblSalaries[[#This Row],[Salary in USD]],"")</f>
        <v/>
      </c>
      <c r="V404" s="13">
        <f>IF(tblSalaries[[#This Row],[Job Type]]=tblSalaries[[#Headers],[Analyst]],tblSalaries[[#This Row],[Salary in USD]],"")</f>
        <v>7123.1666749770275</v>
      </c>
      <c r="W404" s="13" t="str">
        <f>IF(tblSalaries[[#This Row],[Job Type]]=tblSalaries[[#Headers],[Consultant]],tblSalaries[[#This Row],[Salary in USD]],"")</f>
        <v/>
      </c>
      <c r="X404" s="13" t="str">
        <f>IF(tblSalaries[[#This Row],[Job Type]]=tblSalaries[[#Headers],[Controller]],tblSalaries[[#This Row],[Salary in USD]],"")</f>
        <v/>
      </c>
      <c r="Y404" s="13" t="str">
        <f>IF(tblSalaries[[#This Row],[Job Type]]=tblSalaries[[#Headers],[CXO or Top Mgmt.]],tblSalaries[[#This Row],[clean Salary (in local currency)]],"")</f>
        <v/>
      </c>
      <c r="Z404" s="13" t="str">
        <f>IF(tblSalaries[[#This Row],[Job Type]]=tblSalaries[[#Headers],[Engineer]],tblSalaries[[#This Row],[Salary in USD]],"")</f>
        <v/>
      </c>
      <c r="AA404" s="13" t="str">
        <f>IF(tblSalaries[[#This Row],[Job Type]]=tblSalaries[[#Headers],[Manager]],tblSalaries[[#This Row],[Salary in USD]],"")</f>
        <v/>
      </c>
      <c r="AB404" s="13" t="str">
        <f>IF(tblSalaries[[#This Row],[Job Type]]=tblSalaries[[#Headers],[Misc.]],tblSalaries[[#This Row],[Salary in USD]],"")</f>
        <v/>
      </c>
      <c r="AC404" s="13" t="str">
        <f>IF(tblSalaries[[#This Row],[Job Type]]=tblSalaries[[#Headers],[Reporting]],tblSalaries[[#This Row],[Salary in USD]],"")</f>
        <v/>
      </c>
      <c r="AD404" s="13" t="str">
        <f>IF(tblSalaries[[#This Row],[Job Type]]=tblSalaries[[#Headers],[Specialist]],tblSalaries[[#This Row],[Salary in USD]],"")</f>
        <v/>
      </c>
    </row>
    <row r="405" spans="2:30" ht="15" customHeight="1" x14ac:dyDescent="0.25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 s="9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  <c r="N405" t="str">
        <f>IF(tblSalaries[[#This Row],[Years of Experience]]="","",IF(tblSalaries[[#This Row],[Years of Experience]]&lt;=2,1,""))</f>
        <v/>
      </c>
      <c r="O405" t="str">
        <f>IF(tblSalaries[[#This Row],[Years of Experience]]="","",IF(AND(tblSalaries[[#This Row],[Years of Experience]]&gt;2,tblSalaries[[#This Row],[Years of Experience]]&lt;=5),1,""))</f>
        <v/>
      </c>
      <c r="P405" t="str">
        <f>IF(tblSalaries[[#This Row],[Years of Experience]]="","",IF(AND(tblSalaries[[#This Row],[Years of Experience]]&gt;5,tblSalaries[[#This Row],[Years of Experience]]&lt;=10),1,""))</f>
        <v/>
      </c>
      <c r="Q405" t="str">
        <f>IF(tblSalaries[[#This Row],[Years of Experience]]="","",IF(AND(tblSalaries[[#This Row],[Years of Experience]]&gt;10,tblSalaries[[#This Row],[Years of Experience]]&lt;=15),1,""))</f>
        <v/>
      </c>
      <c r="R405" t="str">
        <f>IF(tblSalaries[[#This Row],[Years of Experience]]="","",IF(AND(tblSalaries[[#This Row],[Years of Experience]]&gt;16,tblSalaries[[#This Row],[Years of Experience]]&lt;=20),1,""))</f>
        <v/>
      </c>
      <c r="S405" t="str">
        <f>IF(tblSalaries[[#This Row],[Years of Experience]]="","",IF(tblSalaries[[#This Row],[Years of Experience]]&gt;20,1,""))</f>
        <v/>
      </c>
      <c r="T4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5" s="13" t="str">
        <f>IF(tblSalaries[[#This Row],[Job Type]]=tblSalaries[[#Headers],[Accountant]],tblSalaries[[#This Row],[Salary in USD]],"")</f>
        <v/>
      </c>
      <c r="V405" s="13" t="str">
        <f>IF(tblSalaries[[#This Row],[Job Type]]=tblSalaries[[#Headers],[Analyst]],tblSalaries[[#This Row],[Salary in USD]],"")</f>
        <v/>
      </c>
      <c r="W405" s="13" t="str">
        <f>IF(tblSalaries[[#This Row],[Job Type]]=tblSalaries[[#Headers],[Consultant]],tblSalaries[[#This Row],[Salary in USD]],"")</f>
        <v/>
      </c>
      <c r="X405" s="13" t="str">
        <f>IF(tblSalaries[[#This Row],[Job Type]]=tblSalaries[[#Headers],[Controller]],tblSalaries[[#This Row],[Salary in USD]],"")</f>
        <v/>
      </c>
      <c r="Y405" s="13" t="str">
        <f>IF(tblSalaries[[#This Row],[Job Type]]=tblSalaries[[#Headers],[CXO or Top Mgmt.]],tblSalaries[[#This Row],[clean Salary (in local currency)]],"")</f>
        <v/>
      </c>
      <c r="Z405" s="13" t="str">
        <f>IF(tblSalaries[[#This Row],[Job Type]]=tblSalaries[[#Headers],[Engineer]],tblSalaries[[#This Row],[Salary in USD]],"")</f>
        <v/>
      </c>
      <c r="AA405" s="13">
        <f>IF(tblSalaries[[#This Row],[Job Type]]=tblSalaries[[#Headers],[Manager]],tblSalaries[[#This Row],[Salary in USD]],"")</f>
        <v>63586</v>
      </c>
      <c r="AB405" s="13" t="str">
        <f>IF(tblSalaries[[#This Row],[Job Type]]=tblSalaries[[#Headers],[Misc.]],tblSalaries[[#This Row],[Salary in USD]],"")</f>
        <v/>
      </c>
      <c r="AC405" s="13" t="str">
        <f>IF(tblSalaries[[#This Row],[Job Type]]=tblSalaries[[#Headers],[Reporting]],tblSalaries[[#This Row],[Salary in USD]],"")</f>
        <v/>
      </c>
      <c r="AD405" s="13" t="str">
        <f>IF(tblSalaries[[#This Row],[Job Type]]=tblSalaries[[#Headers],[Specialist]],tblSalaries[[#This Row],[Salary in USD]],"")</f>
        <v/>
      </c>
    </row>
    <row r="406" spans="2:30" ht="15" customHeight="1" x14ac:dyDescent="0.25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 s="9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  <c r="N406" t="str">
        <f>IF(tblSalaries[[#This Row],[Years of Experience]]="","",IF(tblSalaries[[#This Row],[Years of Experience]]&lt;=2,1,""))</f>
        <v/>
      </c>
      <c r="O406" t="str">
        <f>IF(tblSalaries[[#This Row],[Years of Experience]]="","",IF(AND(tblSalaries[[#This Row],[Years of Experience]]&gt;2,tblSalaries[[#This Row],[Years of Experience]]&lt;=5),1,""))</f>
        <v/>
      </c>
      <c r="P406" t="str">
        <f>IF(tblSalaries[[#This Row],[Years of Experience]]="","",IF(AND(tblSalaries[[#This Row],[Years of Experience]]&gt;5,tblSalaries[[#This Row],[Years of Experience]]&lt;=10),1,""))</f>
        <v/>
      </c>
      <c r="Q406" t="str">
        <f>IF(tblSalaries[[#This Row],[Years of Experience]]="","",IF(AND(tblSalaries[[#This Row],[Years of Experience]]&gt;10,tblSalaries[[#This Row],[Years of Experience]]&lt;=15),1,""))</f>
        <v/>
      </c>
      <c r="R406" t="str">
        <f>IF(tblSalaries[[#This Row],[Years of Experience]]="","",IF(AND(tblSalaries[[#This Row],[Years of Experience]]&gt;16,tblSalaries[[#This Row],[Years of Experience]]&lt;=20),1,""))</f>
        <v/>
      </c>
      <c r="S406" t="str">
        <f>IF(tblSalaries[[#This Row],[Years of Experience]]="","",IF(tblSalaries[[#This Row],[Years of Experience]]&gt;20,1,""))</f>
        <v/>
      </c>
      <c r="T4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6" s="13">
        <f>IF(tblSalaries[[#This Row],[Job Type]]=tblSalaries[[#Headers],[Accountant]],tblSalaries[[#This Row],[Salary in USD]],"")</f>
        <v>55166.239522354947</v>
      </c>
      <c r="V406" s="13" t="str">
        <f>IF(tblSalaries[[#This Row],[Job Type]]=tblSalaries[[#Headers],[Analyst]],tblSalaries[[#This Row],[Salary in USD]],"")</f>
        <v/>
      </c>
      <c r="W406" s="13" t="str">
        <f>IF(tblSalaries[[#This Row],[Job Type]]=tblSalaries[[#Headers],[Consultant]],tblSalaries[[#This Row],[Salary in USD]],"")</f>
        <v/>
      </c>
      <c r="X406" s="13" t="str">
        <f>IF(tblSalaries[[#This Row],[Job Type]]=tblSalaries[[#Headers],[Controller]],tblSalaries[[#This Row],[Salary in USD]],"")</f>
        <v/>
      </c>
      <c r="Y406" s="13" t="str">
        <f>IF(tblSalaries[[#This Row],[Job Type]]=tblSalaries[[#Headers],[CXO or Top Mgmt.]],tblSalaries[[#This Row],[clean Salary (in local currency)]],"")</f>
        <v/>
      </c>
      <c r="Z406" s="13" t="str">
        <f>IF(tblSalaries[[#This Row],[Job Type]]=tblSalaries[[#Headers],[Engineer]],tblSalaries[[#This Row],[Salary in USD]],"")</f>
        <v/>
      </c>
      <c r="AA406" s="13" t="str">
        <f>IF(tblSalaries[[#This Row],[Job Type]]=tblSalaries[[#Headers],[Manager]],tblSalaries[[#This Row],[Salary in USD]],"")</f>
        <v/>
      </c>
      <c r="AB406" s="13" t="str">
        <f>IF(tblSalaries[[#This Row],[Job Type]]=tblSalaries[[#Headers],[Misc.]],tblSalaries[[#This Row],[Salary in USD]],"")</f>
        <v/>
      </c>
      <c r="AC406" s="13" t="str">
        <f>IF(tblSalaries[[#This Row],[Job Type]]=tblSalaries[[#Headers],[Reporting]],tblSalaries[[#This Row],[Salary in USD]],"")</f>
        <v/>
      </c>
      <c r="AD406" s="13" t="str">
        <f>IF(tblSalaries[[#This Row],[Job Type]]=tblSalaries[[#Headers],[Specialist]],tblSalaries[[#This Row],[Salary in USD]],"")</f>
        <v/>
      </c>
    </row>
    <row r="407" spans="2:30" ht="15" customHeight="1" x14ac:dyDescent="0.25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 s="9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  <c r="N407" t="str">
        <f>IF(tblSalaries[[#This Row],[Years of Experience]]="","",IF(tblSalaries[[#This Row],[Years of Experience]]&lt;=2,1,""))</f>
        <v/>
      </c>
      <c r="O407" t="str">
        <f>IF(tblSalaries[[#This Row],[Years of Experience]]="","",IF(AND(tblSalaries[[#This Row],[Years of Experience]]&gt;2,tblSalaries[[#This Row],[Years of Experience]]&lt;=5),1,""))</f>
        <v/>
      </c>
      <c r="P407" t="str">
        <f>IF(tblSalaries[[#This Row],[Years of Experience]]="","",IF(AND(tblSalaries[[#This Row],[Years of Experience]]&gt;5,tblSalaries[[#This Row],[Years of Experience]]&lt;=10),1,""))</f>
        <v/>
      </c>
      <c r="Q407" t="str">
        <f>IF(tblSalaries[[#This Row],[Years of Experience]]="","",IF(AND(tblSalaries[[#This Row],[Years of Experience]]&gt;10,tblSalaries[[#This Row],[Years of Experience]]&lt;=15),1,""))</f>
        <v/>
      </c>
      <c r="R407" t="str">
        <f>IF(tblSalaries[[#This Row],[Years of Experience]]="","",IF(AND(tblSalaries[[#This Row],[Years of Experience]]&gt;16,tblSalaries[[#This Row],[Years of Experience]]&lt;=20),1,""))</f>
        <v/>
      </c>
      <c r="S407" t="str">
        <f>IF(tblSalaries[[#This Row],[Years of Experience]]="","",IF(tblSalaries[[#This Row],[Years of Experience]]&gt;20,1,""))</f>
        <v/>
      </c>
      <c r="T4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7" s="13" t="str">
        <f>IF(tblSalaries[[#This Row],[Job Type]]=tblSalaries[[#Headers],[Accountant]],tblSalaries[[#This Row],[Salary in USD]],"")</f>
        <v/>
      </c>
      <c r="V407" s="13">
        <f>IF(tblSalaries[[#This Row],[Job Type]]=tblSalaries[[#Headers],[Analyst]],tblSalaries[[#This Row],[Salary in USD]],"")</f>
        <v>60000</v>
      </c>
      <c r="W407" s="13" t="str">
        <f>IF(tblSalaries[[#This Row],[Job Type]]=tblSalaries[[#Headers],[Consultant]],tblSalaries[[#This Row],[Salary in USD]],"")</f>
        <v/>
      </c>
      <c r="X407" s="13" t="str">
        <f>IF(tblSalaries[[#This Row],[Job Type]]=tblSalaries[[#Headers],[Controller]],tblSalaries[[#This Row],[Salary in USD]],"")</f>
        <v/>
      </c>
      <c r="Y407" s="13" t="str">
        <f>IF(tblSalaries[[#This Row],[Job Type]]=tblSalaries[[#Headers],[CXO or Top Mgmt.]],tblSalaries[[#This Row],[clean Salary (in local currency)]],"")</f>
        <v/>
      </c>
      <c r="Z407" s="13" t="str">
        <f>IF(tblSalaries[[#This Row],[Job Type]]=tblSalaries[[#Headers],[Engineer]],tblSalaries[[#This Row],[Salary in USD]],"")</f>
        <v/>
      </c>
      <c r="AA407" s="13" t="str">
        <f>IF(tblSalaries[[#This Row],[Job Type]]=tblSalaries[[#Headers],[Manager]],tblSalaries[[#This Row],[Salary in USD]],"")</f>
        <v/>
      </c>
      <c r="AB407" s="13" t="str">
        <f>IF(tblSalaries[[#This Row],[Job Type]]=tblSalaries[[#Headers],[Misc.]],tblSalaries[[#This Row],[Salary in USD]],"")</f>
        <v/>
      </c>
      <c r="AC407" s="13" t="str">
        <f>IF(tblSalaries[[#This Row],[Job Type]]=tblSalaries[[#Headers],[Reporting]],tblSalaries[[#This Row],[Salary in USD]],"")</f>
        <v/>
      </c>
      <c r="AD407" s="13" t="str">
        <f>IF(tblSalaries[[#This Row],[Job Type]]=tblSalaries[[#Headers],[Specialist]],tblSalaries[[#This Row],[Salary in USD]],"")</f>
        <v/>
      </c>
    </row>
    <row r="408" spans="2:30" ht="15" customHeight="1" x14ac:dyDescent="0.25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 s="9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  <c r="N408" t="str">
        <f>IF(tblSalaries[[#This Row],[Years of Experience]]="","",IF(tblSalaries[[#This Row],[Years of Experience]]&lt;=2,1,""))</f>
        <v/>
      </c>
      <c r="O408" t="str">
        <f>IF(tblSalaries[[#This Row],[Years of Experience]]="","",IF(AND(tblSalaries[[#This Row],[Years of Experience]]&gt;2,tblSalaries[[#This Row],[Years of Experience]]&lt;=5),1,""))</f>
        <v/>
      </c>
      <c r="P408" t="str">
        <f>IF(tblSalaries[[#This Row],[Years of Experience]]="","",IF(AND(tblSalaries[[#This Row],[Years of Experience]]&gt;5,tblSalaries[[#This Row],[Years of Experience]]&lt;=10),1,""))</f>
        <v/>
      </c>
      <c r="Q408" t="str">
        <f>IF(tblSalaries[[#This Row],[Years of Experience]]="","",IF(AND(tblSalaries[[#This Row],[Years of Experience]]&gt;10,tblSalaries[[#This Row],[Years of Experience]]&lt;=15),1,""))</f>
        <v/>
      </c>
      <c r="R408" t="str">
        <f>IF(tblSalaries[[#This Row],[Years of Experience]]="","",IF(AND(tblSalaries[[#This Row],[Years of Experience]]&gt;16,tblSalaries[[#This Row],[Years of Experience]]&lt;=20),1,""))</f>
        <v/>
      </c>
      <c r="S408" t="str">
        <f>IF(tblSalaries[[#This Row],[Years of Experience]]="","",IF(tblSalaries[[#This Row],[Years of Experience]]&gt;20,1,""))</f>
        <v/>
      </c>
      <c r="T4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8" s="13" t="str">
        <f>IF(tblSalaries[[#This Row],[Job Type]]=tblSalaries[[#Headers],[Accountant]],tblSalaries[[#This Row],[Salary in USD]],"")</f>
        <v/>
      </c>
      <c r="V408" s="13" t="str">
        <f>IF(tblSalaries[[#This Row],[Job Type]]=tblSalaries[[#Headers],[Analyst]],tblSalaries[[#This Row],[Salary in USD]],"")</f>
        <v/>
      </c>
      <c r="W408" s="13" t="str">
        <f>IF(tblSalaries[[#This Row],[Job Type]]=tblSalaries[[#Headers],[Consultant]],tblSalaries[[#This Row],[Salary in USD]],"")</f>
        <v/>
      </c>
      <c r="X408" s="13" t="str">
        <f>IF(tblSalaries[[#This Row],[Job Type]]=tblSalaries[[#Headers],[Controller]],tblSalaries[[#This Row],[Salary in USD]],"")</f>
        <v/>
      </c>
      <c r="Y408" s="13" t="str">
        <f>IF(tblSalaries[[#This Row],[Job Type]]=tblSalaries[[#Headers],[CXO or Top Mgmt.]],tblSalaries[[#This Row],[clean Salary (in local currency)]],"")</f>
        <v/>
      </c>
      <c r="Z408" s="13" t="str">
        <f>IF(tblSalaries[[#This Row],[Job Type]]=tblSalaries[[#Headers],[Engineer]],tblSalaries[[#This Row],[Salary in USD]],"")</f>
        <v/>
      </c>
      <c r="AA408" s="13">
        <f>IF(tblSalaries[[#This Row],[Job Type]]=tblSalaries[[#Headers],[Manager]],tblSalaries[[#This Row],[Salary in USD]],"")</f>
        <v>19200</v>
      </c>
      <c r="AB408" s="13" t="str">
        <f>IF(tblSalaries[[#This Row],[Job Type]]=tblSalaries[[#Headers],[Misc.]],tblSalaries[[#This Row],[Salary in USD]],"")</f>
        <v/>
      </c>
      <c r="AC408" s="13" t="str">
        <f>IF(tblSalaries[[#This Row],[Job Type]]=tblSalaries[[#Headers],[Reporting]],tblSalaries[[#This Row],[Salary in USD]],"")</f>
        <v/>
      </c>
      <c r="AD408" s="13" t="str">
        <f>IF(tblSalaries[[#This Row],[Job Type]]=tblSalaries[[#Headers],[Specialist]],tblSalaries[[#This Row],[Salary in USD]],"")</f>
        <v/>
      </c>
    </row>
    <row r="409" spans="2:30" ht="15" customHeight="1" x14ac:dyDescent="0.25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 s="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  <c r="N409" t="str">
        <f>IF(tblSalaries[[#This Row],[Years of Experience]]="","",IF(tblSalaries[[#This Row],[Years of Experience]]&lt;=2,1,""))</f>
        <v/>
      </c>
      <c r="O409" t="str">
        <f>IF(tblSalaries[[#This Row],[Years of Experience]]="","",IF(AND(tblSalaries[[#This Row],[Years of Experience]]&gt;2,tblSalaries[[#This Row],[Years of Experience]]&lt;=5),1,""))</f>
        <v/>
      </c>
      <c r="P409" t="str">
        <f>IF(tblSalaries[[#This Row],[Years of Experience]]="","",IF(AND(tblSalaries[[#This Row],[Years of Experience]]&gt;5,tblSalaries[[#This Row],[Years of Experience]]&lt;=10),1,""))</f>
        <v/>
      </c>
      <c r="Q409" t="str">
        <f>IF(tblSalaries[[#This Row],[Years of Experience]]="","",IF(AND(tblSalaries[[#This Row],[Years of Experience]]&gt;10,tblSalaries[[#This Row],[Years of Experience]]&lt;=15),1,""))</f>
        <v/>
      </c>
      <c r="R409" t="str">
        <f>IF(tblSalaries[[#This Row],[Years of Experience]]="","",IF(AND(tblSalaries[[#This Row],[Years of Experience]]&gt;16,tblSalaries[[#This Row],[Years of Experience]]&lt;=20),1,""))</f>
        <v/>
      </c>
      <c r="S409" t="str">
        <f>IF(tblSalaries[[#This Row],[Years of Experience]]="","",IF(tblSalaries[[#This Row],[Years of Experience]]&gt;20,1,""))</f>
        <v/>
      </c>
      <c r="T4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09" s="13" t="str">
        <f>IF(tblSalaries[[#This Row],[Job Type]]=tblSalaries[[#Headers],[Accountant]],tblSalaries[[#This Row],[Salary in USD]],"")</f>
        <v/>
      </c>
      <c r="V409" s="13">
        <f>IF(tblSalaries[[#This Row],[Job Type]]=tblSalaries[[#Headers],[Analyst]],tblSalaries[[#This Row],[Salary in USD]],"")</f>
        <v>28109.627547434993</v>
      </c>
      <c r="W409" s="13" t="str">
        <f>IF(tblSalaries[[#This Row],[Job Type]]=tblSalaries[[#Headers],[Consultant]],tblSalaries[[#This Row],[Salary in USD]],"")</f>
        <v/>
      </c>
      <c r="X409" s="13" t="str">
        <f>IF(tblSalaries[[#This Row],[Job Type]]=tblSalaries[[#Headers],[Controller]],tblSalaries[[#This Row],[Salary in USD]],"")</f>
        <v/>
      </c>
      <c r="Y409" s="13" t="str">
        <f>IF(tblSalaries[[#This Row],[Job Type]]=tblSalaries[[#Headers],[CXO or Top Mgmt.]],tblSalaries[[#This Row],[clean Salary (in local currency)]],"")</f>
        <v/>
      </c>
      <c r="Z409" s="13" t="str">
        <f>IF(tblSalaries[[#This Row],[Job Type]]=tblSalaries[[#Headers],[Engineer]],tblSalaries[[#This Row],[Salary in USD]],"")</f>
        <v/>
      </c>
      <c r="AA409" s="13" t="str">
        <f>IF(tblSalaries[[#This Row],[Job Type]]=tblSalaries[[#Headers],[Manager]],tblSalaries[[#This Row],[Salary in USD]],"")</f>
        <v/>
      </c>
      <c r="AB409" s="13" t="str">
        <f>IF(tblSalaries[[#This Row],[Job Type]]=tblSalaries[[#Headers],[Misc.]],tblSalaries[[#This Row],[Salary in USD]],"")</f>
        <v/>
      </c>
      <c r="AC409" s="13" t="str">
        <f>IF(tblSalaries[[#This Row],[Job Type]]=tblSalaries[[#Headers],[Reporting]],tblSalaries[[#This Row],[Salary in USD]],"")</f>
        <v/>
      </c>
      <c r="AD409" s="13" t="str">
        <f>IF(tblSalaries[[#This Row],[Job Type]]=tblSalaries[[#Headers],[Specialist]],tblSalaries[[#This Row],[Salary in USD]],"")</f>
        <v/>
      </c>
    </row>
    <row r="410" spans="2:30" ht="15" customHeight="1" x14ac:dyDescent="0.25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 s="9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  <c r="N410" t="str">
        <f>IF(tblSalaries[[#This Row],[Years of Experience]]="","",IF(tblSalaries[[#This Row],[Years of Experience]]&lt;=2,1,""))</f>
        <v/>
      </c>
      <c r="O410" t="str">
        <f>IF(tblSalaries[[#This Row],[Years of Experience]]="","",IF(AND(tblSalaries[[#This Row],[Years of Experience]]&gt;2,tblSalaries[[#This Row],[Years of Experience]]&lt;=5),1,""))</f>
        <v/>
      </c>
      <c r="P410" t="str">
        <f>IF(tblSalaries[[#This Row],[Years of Experience]]="","",IF(AND(tblSalaries[[#This Row],[Years of Experience]]&gt;5,tblSalaries[[#This Row],[Years of Experience]]&lt;=10),1,""))</f>
        <v/>
      </c>
      <c r="Q410" t="str">
        <f>IF(tblSalaries[[#This Row],[Years of Experience]]="","",IF(AND(tblSalaries[[#This Row],[Years of Experience]]&gt;10,tblSalaries[[#This Row],[Years of Experience]]&lt;=15),1,""))</f>
        <v/>
      </c>
      <c r="R410" t="str">
        <f>IF(tblSalaries[[#This Row],[Years of Experience]]="","",IF(AND(tblSalaries[[#This Row],[Years of Experience]]&gt;16,tblSalaries[[#This Row],[Years of Experience]]&lt;=20),1,""))</f>
        <v/>
      </c>
      <c r="S410" t="str">
        <f>IF(tblSalaries[[#This Row],[Years of Experience]]="","",IF(tblSalaries[[#This Row],[Years of Experience]]&gt;20,1,""))</f>
        <v/>
      </c>
      <c r="T4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0" s="13" t="str">
        <f>IF(tblSalaries[[#This Row],[Job Type]]=tblSalaries[[#Headers],[Accountant]],tblSalaries[[#This Row],[Salary in USD]],"")</f>
        <v/>
      </c>
      <c r="V410" s="13">
        <f>IF(tblSalaries[[#This Row],[Job Type]]=tblSalaries[[#Headers],[Analyst]],tblSalaries[[#This Row],[Salary in USD]],"")</f>
        <v>56000</v>
      </c>
      <c r="W410" s="13" t="str">
        <f>IF(tblSalaries[[#This Row],[Job Type]]=tblSalaries[[#Headers],[Consultant]],tblSalaries[[#This Row],[Salary in USD]],"")</f>
        <v/>
      </c>
      <c r="X410" s="13" t="str">
        <f>IF(tblSalaries[[#This Row],[Job Type]]=tblSalaries[[#Headers],[Controller]],tblSalaries[[#This Row],[Salary in USD]],"")</f>
        <v/>
      </c>
      <c r="Y410" s="13" t="str">
        <f>IF(tblSalaries[[#This Row],[Job Type]]=tblSalaries[[#Headers],[CXO or Top Mgmt.]],tblSalaries[[#This Row],[clean Salary (in local currency)]],"")</f>
        <v/>
      </c>
      <c r="Z410" s="13" t="str">
        <f>IF(tblSalaries[[#This Row],[Job Type]]=tblSalaries[[#Headers],[Engineer]],tblSalaries[[#This Row],[Salary in USD]],"")</f>
        <v/>
      </c>
      <c r="AA410" s="13" t="str">
        <f>IF(tblSalaries[[#This Row],[Job Type]]=tblSalaries[[#Headers],[Manager]],tblSalaries[[#This Row],[Salary in USD]],"")</f>
        <v/>
      </c>
      <c r="AB410" s="13" t="str">
        <f>IF(tblSalaries[[#This Row],[Job Type]]=tblSalaries[[#Headers],[Misc.]],tblSalaries[[#This Row],[Salary in USD]],"")</f>
        <v/>
      </c>
      <c r="AC410" s="13" t="str">
        <f>IF(tblSalaries[[#This Row],[Job Type]]=tblSalaries[[#Headers],[Reporting]],tblSalaries[[#This Row],[Salary in USD]],"")</f>
        <v/>
      </c>
      <c r="AD410" s="13" t="str">
        <f>IF(tblSalaries[[#This Row],[Job Type]]=tblSalaries[[#Headers],[Specialist]],tblSalaries[[#This Row],[Salary in USD]],"")</f>
        <v/>
      </c>
    </row>
    <row r="411" spans="2:30" ht="15" customHeight="1" x14ac:dyDescent="0.25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 s="9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  <c r="N411" t="str">
        <f>IF(tblSalaries[[#This Row],[Years of Experience]]="","",IF(tblSalaries[[#This Row],[Years of Experience]]&lt;=2,1,""))</f>
        <v/>
      </c>
      <c r="O411" t="str">
        <f>IF(tblSalaries[[#This Row],[Years of Experience]]="","",IF(AND(tblSalaries[[#This Row],[Years of Experience]]&gt;2,tblSalaries[[#This Row],[Years of Experience]]&lt;=5),1,""))</f>
        <v/>
      </c>
      <c r="P411" t="str">
        <f>IF(tblSalaries[[#This Row],[Years of Experience]]="","",IF(AND(tblSalaries[[#This Row],[Years of Experience]]&gt;5,tblSalaries[[#This Row],[Years of Experience]]&lt;=10),1,""))</f>
        <v/>
      </c>
      <c r="Q411" t="str">
        <f>IF(tblSalaries[[#This Row],[Years of Experience]]="","",IF(AND(tblSalaries[[#This Row],[Years of Experience]]&gt;10,tblSalaries[[#This Row],[Years of Experience]]&lt;=15),1,""))</f>
        <v/>
      </c>
      <c r="R411" t="str">
        <f>IF(tblSalaries[[#This Row],[Years of Experience]]="","",IF(AND(tblSalaries[[#This Row],[Years of Experience]]&gt;16,tblSalaries[[#This Row],[Years of Experience]]&lt;=20),1,""))</f>
        <v/>
      </c>
      <c r="S411" t="str">
        <f>IF(tblSalaries[[#This Row],[Years of Experience]]="","",IF(tblSalaries[[#This Row],[Years of Experience]]&gt;20,1,""))</f>
        <v/>
      </c>
      <c r="T4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1" s="13">
        <f>IF(tblSalaries[[#This Row],[Job Type]]=tblSalaries[[#Headers],[Accountant]],tblSalaries[[#This Row],[Salary in USD]],"")</f>
        <v>52000</v>
      </c>
      <c r="V411" s="13" t="str">
        <f>IF(tblSalaries[[#This Row],[Job Type]]=tblSalaries[[#Headers],[Analyst]],tblSalaries[[#This Row],[Salary in USD]],"")</f>
        <v/>
      </c>
      <c r="W411" s="13" t="str">
        <f>IF(tblSalaries[[#This Row],[Job Type]]=tblSalaries[[#Headers],[Consultant]],tblSalaries[[#This Row],[Salary in USD]],"")</f>
        <v/>
      </c>
      <c r="X411" s="13" t="str">
        <f>IF(tblSalaries[[#This Row],[Job Type]]=tblSalaries[[#Headers],[Controller]],tblSalaries[[#This Row],[Salary in USD]],"")</f>
        <v/>
      </c>
      <c r="Y411" s="13" t="str">
        <f>IF(tblSalaries[[#This Row],[Job Type]]=tblSalaries[[#Headers],[CXO or Top Mgmt.]],tblSalaries[[#This Row],[clean Salary (in local currency)]],"")</f>
        <v/>
      </c>
      <c r="Z411" s="13" t="str">
        <f>IF(tblSalaries[[#This Row],[Job Type]]=tblSalaries[[#Headers],[Engineer]],tblSalaries[[#This Row],[Salary in USD]],"")</f>
        <v/>
      </c>
      <c r="AA411" s="13" t="str">
        <f>IF(tblSalaries[[#This Row],[Job Type]]=tblSalaries[[#Headers],[Manager]],tblSalaries[[#This Row],[Salary in USD]],"")</f>
        <v/>
      </c>
      <c r="AB411" s="13" t="str">
        <f>IF(tblSalaries[[#This Row],[Job Type]]=tblSalaries[[#Headers],[Misc.]],tblSalaries[[#This Row],[Salary in USD]],"")</f>
        <v/>
      </c>
      <c r="AC411" s="13" t="str">
        <f>IF(tblSalaries[[#This Row],[Job Type]]=tblSalaries[[#Headers],[Reporting]],tblSalaries[[#This Row],[Salary in USD]],"")</f>
        <v/>
      </c>
      <c r="AD411" s="13" t="str">
        <f>IF(tblSalaries[[#This Row],[Job Type]]=tblSalaries[[#Headers],[Specialist]],tblSalaries[[#This Row],[Salary in USD]],"")</f>
        <v/>
      </c>
    </row>
    <row r="412" spans="2:30" ht="15" customHeight="1" x14ac:dyDescent="0.25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 s="9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  <c r="N412" t="str">
        <f>IF(tblSalaries[[#This Row],[Years of Experience]]="","",IF(tblSalaries[[#This Row],[Years of Experience]]&lt;=2,1,""))</f>
        <v/>
      </c>
      <c r="O412" t="str">
        <f>IF(tblSalaries[[#This Row],[Years of Experience]]="","",IF(AND(tblSalaries[[#This Row],[Years of Experience]]&gt;2,tblSalaries[[#This Row],[Years of Experience]]&lt;=5),1,""))</f>
        <v/>
      </c>
      <c r="P412" t="str">
        <f>IF(tblSalaries[[#This Row],[Years of Experience]]="","",IF(AND(tblSalaries[[#This Row],[Years of Experience]]&gt;5,tblSalaries[[#This Row],[Years of Experience]]&lt;=10),1,""))</f>
        <v/>
      </c>
      <c r="Q412" t="str">
        <f>IF(tblSalaries[[#This Row],[Years of Experience]]="","",IF(AND(tblSalaries[[#This Row],[Years of Experience]]&gt;10,tblSalaries[[#This Row],[Years of Experience]]&lt;=15),1,""))</f>
        <v/>
      </c>
      <c r="R412" t="str">
        <f>IF(tblSalaries[[#This Row],[Years of Experience]]="","",IF(AND(tblSalaries[[#This Row],[Years of Experience]]&gt;16,tblSalaries[[#This Row],[Years of Experience]]&lt;=20),1,""))</f>
        <v/>
      </c>
      <c r="S412" t="str">
        <f>IF(tblSalaries[[#This Row],[Years of Experience]]="","",IF(tblSalaries[[#This Row],[Years of Experience]]&gt;20,1,""))</f>
        <v/>
      </c>
      <c r="T4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2" s="13" t="str">
        <f>IF(tblSalaries[[#This Row],[Job Type]]=tblSalaries[[#Headers],[Accountant]],tblSalaries[[#This Row],[Salary in USD]],"")</f>
        <v/>
      </c>
      <c r="V412" s="13">
        <f>IF(tblSalaries[[#This Row],[Job Type]]=tblSalaries[[#Headers],[Analyst]],tblSalaries[[#This Row],[Salary in USD]],"")</f>
        <v>51613</v>
      </c>
      <c r="W412" s="13" t="str">
        <f>IF(tblSalaries[[#This Row],[Job Type]]=tblSalaries[[#Headers],[Consultant]],tblSalaries[[#This Row],[Salary in USD]],"")</f>
        <v/>
      </c>
      <c r="X412" s="13" t="str">
        <f>IF(tblSalaries[[#This Row],[Job Type]]=tblSalaries[[#Headers],[Controller]],tblSalaries[[#This Row],[Salary in USD]],"")</f>
        <v/>
      </c>
      <c r="Y412" s="13" t="str">
        <f>IF(tblSalaries[[#This Row],[Job Type]]=tblSalaries[[#Headers],[CXO or Top Mgmt.]],tblSalaries[[#This Row],[clean Salary (in local currency)]],"")</f>
        <v/>
      </c>
      <c r="Z412" s="13" t="str">
        <f>IF(tblSalaries[[#This Row],[Job Type]]=tblSalaries[[#Headers],[Engineer]],tblSalaries[[#This Row],[Salary in USD]],"")</f>
        <v/>
      </c>
      <c r="AA412" s="13" t="str">
        <f>IF(tblSalaries[[#This Row],[Job Type]]=tblSalaries[[#Headers],[Manager]],tblSalaries[[#This Row],[Salary in USD]],"")</f>
        <v/>
      </c>
      <c r="AB412" s="13" t="str">
        <f>IF(tblSalaries[[#This Row],[Job Type]]=tblSalaries[[#Headers],[Misc.]],tblSalaries[[#This Row],[Salary in USD]],"")</f>
        <v/>
      </c>
      <c r="AC412" s="13" t="str">
        <f>IF(tblSalaries[[#This Row],[Job Type]]=tblSalaries[[#Headers],[Reporting]],tblSalaries[[#This Row],[Salary in USD]],"")</f>
        <v/>
      </c>
      <c r="AD412" s="13" t="str">
        <f>IF(tblSalaries[[#This Row],[Job Type]]=tblSalaries[[#Headers],[Specialist]],tblSalaries[[#This Row],[Salary in USD]],"")</f>
        <v/>
      </c>
    </row>
    <row r="413" spans="2:30" ht="15" customHeight="1" x14ac:dyDescent="0.25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 s="9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  <c r="N413" t="str">
        <f>IF(tblSalaries[[#This Row],[Years of Experience]]="","",IF(tblSalaries[[#This Row],[Years of Experience]]&lt;=2,1,""))</f>
        <v/>
      </c>
      <c r="O413" t="str">
        <f>IF(tblSalaries[[#This Row],[Years of Experience]]="","",IF(AND(tblSalaries[[#This Row],[Years of Experience]]&gt;2,tblSalaries[[#This Row],[Years of Experience]]&lt;=5),1,""))</f>
        <v/>
      </c>
      <c r="P413" t="str">
        <f>IF(tblSalaries[[#This Row],[Years of Experience]]="","",IF(AND(tblSalaries[[#This Row],[Years of Experience]]&gt;5,tblSalaries[[#This Row],[Years of Experience]]&lt;=10),1,""))</f>
        <v/>
      </c>
      <c r="Q413" t="str">
        <f>IF(tblSalaries[[#This Row],[Years of Experience]]="","",IF(AND(tblSalaries[[#This Row],[Years of Experience]]&gt;10,tblSalaries[[#This Row],[Years of Experience]]&lt;=15),1,""))</f>
        <v/>
      </c>
      <c r="R413" t="str">
        <f>IF(tblSalaries[[#This Row],[Years of Experience]]="","",IF(AND(tblSalaries[[#This Row],[Years of Experience]]&gt;16,tblSalaries[[#This Row],[Years of Experience]]&lt;=20),1,""))</f>
        <v/>
      </c>
      <c r="S413" t="str">
        <f>IF(tblSalaries[[#This Row],[Years of Experience]]="","",IF(tblSalaries[[#This Row],[Years of Experience]]&gt;20,1,""))</f>
        <v/>
      </c>
      <c r="T4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3" s="13" t="str">
        <f>IF(tblSalaries[[#This Row],[Job Type]]=tblSalaries[[#Headers],[Accountant]],tblSalaries[[#This Row],[Salary in USD]],"")</f>
        <v/>
      </c>
      <c r="V413" s="13">
        <f>IF(tblSalaries[[#This Row],[Job Type]]=tblSalaries[[#Headers],[Analyst]],tblSalaries[[#This Row],[Salary in USD]],"")</f>
        <v>35000</v>
      </c>
      <c r="W413" s="13" t="str">
        <f>IF(tblSalaries[[#This Row],[Job Type]]=tblSalaries[[#Headers],[Consultant]],tblSalaries[[#This Row],[Salary in USD]],"")</f>
        <v/>
      </c>
      <c r="X413" s="13" t="str">
        <f>IF(tblSalaries[[#This Row],[Job Type]]=tblSalaries[[#Headers],[Controller]],tblSalaries[[#This Row],[Salary in USD]],"")</f>
        <v/>
      </c>
      <c r="Y413" s="13" t="str">
        <f>IF(tblSalaries[[#This Row],[Job Type]]=tblSalaries[[#Headers],[CXO or Top Mgmt.]],tblSalaries[[#This Row],[clean Salary (in local currency)]],"")</f>
        <v/>
      </c>
      <c r="Z413" s="13" t="str">
        <f>IF(tblSalaries[[#This Row],[Job Type]]=tblSalaries[[#Headers],[Engineer]],tblSalaries[[#This Row],[Salary in USD]],"")</f>
        <v/>
      </c>
      <c r="AA413" s="13" t="str">
        <f>IF(tblSalaries[[#This Row],[Job Type]]=tblSalaries[[#Headers],[Manager]],tblSalaries[[#This Row],[Salary in USD]],"")</f>
        <v/>
      </c>
      <c r="AB413" s="13" t="str">
        <f>IF(tblSalaries[[#This Row],[Job Type]]=tblSalaries[[#Headers],[Misc.]],tblSalaries[[#This Row],[Salary in USD]],"")</f>
        <v/>
      </c>
      <c r="AC413" s="13" t="str">
        <f>IF(tblSalaries[[#This Row],[Job Type]]=tblSalaries[[#Headers],[Reporting]],tblSalaries[[#This Row],[Salary in USD]],"")</f>
        <v/>
      </c>
      <c r="AD413" s="13" t="str">
        <f>IF(tblSalaries[[#This Row],[Job Type]]=tblSalaries[[#Headers],[Specialist]],tblSalaries[[#This Row],[Salary in USD]],"")</f>
        <v/>
      </c>
    </row>
    <row r="414" spans="2:30" ht="15" customHeight="1" x14ac:dyDescent="0.25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 s="9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  <c r="N414" t="str">
        <f>IF(tblSalaries[[#This Row],[Years of Experience]]="","",IF(tblSalaries[[#This Row],[Years of Experience]]&lt;=2,1,""))</f>
        <v/>
      </c>
      <c r="O414" t="str">
        <f>IF(tblSalaries[[#This Row],[Years of Experience]]="","",IF(AND(tblSalaries[[#This Row],[Years of Experience]]&gt;2,tblSalaries[[#This Row],[Years of Experience]]&lt;=5),1,""))</f>
        <v/>
      </c>
      <c r="P414" t="str">
        <f>IF(tblSalaries[[#This Row],[Years of Experience]]="","",IF(AND(tblSalaries[[#This Row],[Years of Experience]]&gt;5,tblSalaries[[#This Row],[Years of Experience]]&lt;=10),1,""))</f>
        <v/>
      </c>
      <c r="Q414" t="str">
        <f>IF(tblSalaries[[#This Row],[Years of Experience]]="","",IF(AND(tblSalaries[[#This Row],[Years of Experience]]&gt;10,tblSalaries[[#This Row],[Years of Experience]]&lt;=15),1,""))</f>
        <v/>
      </c>
      <c r="R414" t="str">
        <f>IF(tblSalaries[[#This Row],[Years of Experience]]="","",IF(AND(tblSalaries[[#This Row],[Years of Experience]]&gt;16,tblSalaries[[#This Row],[Years of Experience]]&lt;=20),1,""))</f>
        <v/>
      </c>
      <c r="S414" t="str">
        <f>IF(tblSalaries[[#This Row],[Years of Experience]]="","",IF(tblSalaries[[#This Row],[Years of Experience]]&gt;20,1,""))</f>
        <v/>
      </c>
      <c r="T4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4" s="13" t="str">
        <f>IF(tblSalaries[[#This Row],[Job Type]]=tblSalaries[[#Headers],[Accountant]],tblSalaries[[#This Row],[Salary in USD]],"")</f>
        <v/>
      </c>
      <c r="V414" s="13" t="str">
        <f>IF(tblSalaries[[#This Row],[Job Type]]=tblSalaries[[#Headers],[Analyst]],tblSalaries[[#This Row],[Salary in USD]],"")</f>
        <v/>
      </c>
      <c r="W414" s="13" t="str">
        <f>IF(tblSalaries[[#This Row],[Job Type]]=tblSalaries[[#Headers],[Consultant]],tblSalaries[[#This Row],[Salary in USD]],"")</f>
        <v/>
      </c>
      <c r="X414" s="13" t="str">
        <f>IF(tblSalaries[[#This Row],[Job Type]]=tblSalaries[[#Headers],[Controller]],tblSalaries[[#This Row],[Salary in USD]],"")</f>
        <v/>
      </c>
      <c r="Y414" s="13" t="str">
        <f>IF(tblSalaries[[#This Row],[Job Type]]=tblSalaries[[#Headers],[CXO or Top Mgmt.]],tblSalaries[[#This Row],[clean Salary (in local currency)]],"")</f>
        <v/>
      </c>
      <c r="Z414" s="13" t="str">
        <f>IF(tblSalaries[[#This Row],[Job Type]]=tblSalaries[[#Headers],[Engineer]],tblSalaries[[#This Row],[Salary in USD]],"")</f>
        <v/>
      </c>
      <c r="AA414" s="13">
        <f>IF(tblSalaries[[#This Row],[Job Type]]=tblSalaries[[#Headers],[Manager]],tblSalaries[[#This Row],[Salary in USD]],"")</f>
        <v>56000</v>
      </c>
      <c r="AB414" s="13" t="str">
        <f>IF(tblSalaries[[#This Row],[Job Type]]=tblSalaries[[#Headers],[Misc.]],tblSalaries[[#This Row],[Salary in USD]],"")</f>
        <v/>
      </c>
      <c r="AC414" s="13" t="str">
        <f>IF(tblSalaries[[#This Row],[Job Type]]=tblSalaries[[#Headers],[Reporting]],tblSalaries[[#This Row],[Salary in USD]],"")</f>
        <v/>
      </c>
      <c r="AD414" s="13" t="str">
        <f>IF(tblSalaries[[#This Row],[Job Type]]=tblSalaries[[#Headers],[Specialist]],tblSalaries[[#This Row],[Salary in USD]],"")</f>
        <v/>
      </c>
    </row>
    <row r="415" spans="2:30" ht="15" customHeight="1" x14ac:dyDescent="0.25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 s="9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  <c r="N415" t="str">
        <f>IF(tblSalaries[[#This Row],[Years of Experience]]="","",IF(tblSalaries[[#This Row],[Years of Experience]]&lt;=2,1,""))</f>
        <v/>
      </c>
      <c r="O415" t="str">
        <f>IF(tblSalaries[[#This Row],[Years of Experience]]="","",IF(AND(tblSalaries[[#This Row],[Years of Experience]]&gt;2,tblSalaries[[#This Row],[Years of Experience]]&lt;=5),1,""))</f>
        <v/>
      </c>
      <c r="P415" t="str">
        <f>IF(tblSalaries[[#This Row],[Years of Experience]]="","",IF(AND(tblSalaries[[#This Row],[Years of Experience]]&gt;5,tblSalaries[[#This Row],[Years of Experience]]&lt;=10),1,""))</f>
        <v/>
      </c>
      <c r="Q415" t="str">
        <f>IF(tblSalaries[[#This Row],[Years of Experience]]="","",IF(AND(tblSalaries[[#This Row],[Years of Experience]]&gt;10,tblSalaries[[#This Row],[Years of Experience]]&lt;=15),1,""))</f>
        <v/>
      </c>
      <c r="R415" t="str">
        <f>IF(tblSalaries[[#This Row],[Years of Experience]]="","",IF(AND(tblSalaries[[#This Row],[Years of Experience]]&gt;16,tblSalaries[[#This Row],[Years of Experience]]&lt;=20),1,""))</f>
        <v/>
      </c>
      <c r="S415" t="str">
        <f>IF(tblSalaries[[#This Row],[Years of Experience]]="","",IF(tblSalaries[[#This Row],[Years of Experience]]&gt;20,1,""))</f>
        <v/>
      </c>
      <c r="T4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5" s="13" t="str">
        <f>IF(tblSalaries[[#This Row],[Job Type]]=tblSalaries[[#Headers],[Accountant]],tblSalaries[[#This Row],[Salary in USD]],"")</f>
        <v/>
      </c>
      <c r="V415" s="13" t="str">
        <f>IF(tblSalaries[[#This Row],[Job Type]]=tblSalaries[[#Headers],[Analyst]],tblSalaries[[#This Row],[Salary in USD]],"")</f>
        <v/>
      </c>
      <c r="W415" s="13">
        <f>IF(tblSalaries[[#This Row],[Job Type]]=tblSalaries[[#Headers],[Consultant]],tblSalaries[[#This Row],[Salary in USD]],"")</f>
        <v>115000</v>
      </c>
      <c r="X415" s="13" t="str">
        <f>IF(tblSalaries[[#This Row],[Job Type]]=tblSalaries[[#Headers],[Controller]],tblSalaries[[#This Row],[Salary in USD]],"")</f>
        <v/>
      </c>
      <c r="Y415" s="13" t="str">
        <f>IF(tblSalaries[[#This Row],[Job Type]]=tblSalaries[[#Headers],[CXO or Top Mgmt.]],tblSalaries[[#This Row],[clean Salary (in local currency)]],"")</f>
        <v/>
      </c>
      <c r="Z415" s="13" t="str">
        <f>IF(tblSalaries[[#This Row],[Job Type]]=tblSalaries[[#Headers],[Engineer]],tblSalaries[[#This Row],[Salary in USD]],"")</f>
        <v/>
      </c>
      <c r="AA415" s="13" t="str">
        <f>IF(tblSalaries[[#This Row],[Job Type]]=tblSalaries[[#Headers],[Manager]],tblSalaries[[#This Row],[Salary in USD]],"")</f>
        <v/>
      </c>
      <c r="AB415" s="13" t="str">
        <f>IF(tblSalaries[[#This Row],[Job Type]]=tblSalaries[[#Headers],[Misc.]],tblSalaries[[#This Row],[Salary in USD]],"")</f>
        <v/>
      </c>
      <c r="AC415" s="13" t="str">
        <f>IF(tblSalaries[[#This Row],[Job Type]]=tblSalaries[[#Headers],[Reporting]],tblSalaries[[#This Row],[Salary in USD]],"")</f>
        <v/>
      </c>
      <c r="AD415" s="13" t="str">
        <f>IF(tblSalaries[[#This Row],[Job Type]]=tblSalaries[[#Headers],[Specialist]],tblSalaries[[#This Row],[Salary in USD]],"")</f>
        <v/>
      </c>
    </row>
    <row r="416" spans="2:30" ht="15" customHeight="1" x14ac:dyDescent="0.25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 s="9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  <c r="N416" t="str">
        <f>IF(tblSalaries[[#This Row],[Years of Experience]]="","",IF(tblSalaries[[#This Row],[Years of Experience]]&lt;=2,1,""))</f>
        <v/>
      </c>
      <c r="O416" t="str">
        <f>IF(tblSalaries[[#This Row],[Years of Experience]]="","",IF(AND(tblSalaries[[#This Row],[Years of Experience]]&gt;2,tblSalaries[[#This Row],[Years of Experience]]&lt;=5),1,""))</f>
        <v/>
      </c>
      <c r="P416" t="str">
        <f>IF(tblSalaries[[#This Row],[Years of Experience]]="","",IF(AND(tblSalaries[[#This Row],[Years of Experience]]&gt;5,tblSalaries[[#This Row],[Years of Experience]]&lt;=10),1,""))</f>
        <v/>
      </c>
      <c r="Q416" t="str">
        <f>IF(tblSalaries[[#This Row],[Years of Experience]]="","",IF(AND(tblSalaries[[#This Row],[Years of Experience]]&gt;10,tblSalaries[[#This Row],[Years of Experience]]&lt;=15),1,""))</f>
        <v/>
      </c>
      <c r="R416" t="str">
        <f>IF(tblSalaries[[#This Row],[Years of Experience]]="","",IF(AND(tblSalaries[[#This Row],[Years of Experience]]&gt;16,tblSalaries[[#This Row],[Years of Experience]]&lt;=20),1,""))</f>
        <v/>
      </c>
      <c r="S416" t="str">
        <f>IF(tblSalaries[[#This Row],[Years of Experience]]="","",IF(tblSalaries[[#This Row],[Years of Experience]]&gt;20,1,""))</f>
        <v/>
      </c>
      <c r="T4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6" s="13" t="str">
        <f>IF(tblSalaries[[#This Row],[Job Type]]=tblSalaries[[#Headers],[Accountant]],tblSalaries[[#This Row],[Salary in USD]],"")</f>
        <v/>
      </c>
      <c r="V416" s="13" t="str">
        <f>IF(tblSalaries[[#This Row],[Job Type]]=tblSalaries[[#Headers],[Analyst]],tblSalaries[[#This Row],[Salary in USD]],"")</f>
        <v/>
      </c>
      <c r="W416" s="13" t="str">
        <f>IF(tblSalaries[[#This Row],[Job Type]]=tblSalaries[[#Headers],[Consultant]],tblSalaries[[#This Row],[Salary in USD]],"")</f>
        <v/>
      </c>
      <c r="X416" s="13" t="str">
        <f>IF(tblSalaries[[#This Row],[Job Type]]=tblSalaries[[#Headers],[Controller]],tblSalaries[[#This Row],[Salary in USD]],"")</f>
        <v/>
      </c>
      <c r="Y416" s="13" t="str">
        <f>IF(tblSalaries[[#This Row],[Job Type]]=tblSalaries[[#Headers],[CXO or Top Mgmt.]],tblSalaries[[#This Row],[clean Salary (in local currency)]],"")</f>
        <v/>
      </c>
      <c r="Z416" s="13" t="str">
        <f>IF(tblSalaries[[#This Row],[Job Type]]=tblSalaries[[#Headers],[Engineer]],tblSalaries[[#This Row],[Salary in USD]],"")</f>
        <v/>
      </c>
      <c r="AA416" s="13">
        <f>IF(tblSalaries[[#This Row],[Job Type]]=tblSalaries[[#Headers],[Manager]],tblSalaries[[#This Row],[Salary in USD]],"")</f>
        <v>104027.76595644075</v>
      </c>
      <c r="AB416" s="13" t="str">
        <f>IF(tblSalaries[[#This Row],[Job Type]]=tblSalaries[[#Headers],[Misc.]],tblSalaries[[#This Row],[Salary in USD]],"")</f>
        <v/>
      </c>
      <c r="AC416" s="13" t="str">
        <f>IF(tblSalaries[[#This Row],[Job Type]]=tblSalaries[[#Headers],[Reporting]],tblSalaries[[#This Row],[Salary in USD]],"")</f>
        <v/>
      </c>
      <c r="AD416" s="13" t="str">
        <f>IF(tblSalaries[[#This Row],[Job Type]]=tblSalaries[[#Headers],[Specialist]],tblSalaries[[#This Row],[Salary in USD]],"")</f>
        <v/>
      </c>
    </row>
    <row r="417" spans="2:30" ht="15" customHeight="1" x14ac:dyDescent="0.25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 s="9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  <c r="N417" t="str">
        <f>IF(tblSalaries[[#This Row],[Years of Experience]]="","",IF(tblSalaries[[#This Row],[Years of Experience]]&lt;=2,1,""))</f>
        <v/>
      </c>
      <c r="O417" t="str">
        <f>IF(tblSalaries[[#This Row],[Years of Experience]]="","",IF(AND(tblSalaries[[#This Row],[Years of Experience]]&gt;2,tblSalaries[[#This Row],[Years of Experience]]&lt;=5),1,""))</f>
        <v/>
      </c>
      <c r="P417" t="str">
        <f>IF(tblSalaries[[#This Row],[Years of Experience]]="","",IF(AND(tblSalaries[[#This Row],[Years of Experience]]&gt;5,tblSalaries[[#This Row],[Years of Experience]]&lt;=10),1,""))</f>
        <v/>
      </c>
      <c r="Q417" t="str">
        <f>IF(tblSalaries[[#This Row],[Years of Experience]]="","",IF(AND(tblSalaries[[#This Row],[Years of Experience]]&gt;10,tblSalaries[[#This Row],[Years of Experience]]&lt;=15),1,""))</f>
        <v/>
      </c>
      <c r="R417" t="str">
        <f>IF(tblSalaries[[#This Row],[Years of Experience]]="","",IF(AND(tblSalaries[[#This Row],[Years of Experience]]&gt;16,tblSalaries[[#This Row],[Years of Experience]]&lt;=20),1,""))</f>
        <v/>
      </c>
      <c r="S417" t="str">
        <f>IF(tblSalaries[[#This Row],[Years of Experience]]="","",IF(tblSalaries[[#This Row],[Years of Experience]]&gt;20,1,""))</f>
        <v/>
      </c>
      <c r="T4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7" s="13" t="str">
        <f>IF(tblSalaries[[#This Row],[Job Type]]=tblSalaries[[#Headers],[Accountant]],tblSalaries[[#This Row],[Salary in USD]],"")</f>
        <v/>
      </c>
      <c r="V417" s="13" t="str">
        <f>IF(tblSalaries[[#This Row],[Job Type]]=tblSalaries[[#Headers],[Analyst]],tblSalaries[[#This Row],[Salary in USD]],"")</f>
        <v/>
      </c>
      <c r="W417" s="13">
        <f>IF(tblSalaries[[#This Row],[Job Type]]=tblSalaries[[#Headers],[Consultant]],tblSalaries[[#This Row],[Salary in USD]],"")</f>
        <v>3561.5833374885137</v>
      </c>
      <c r="X417" s="13" t="str">
        <f>IF(tblSalaries[[#This Row],[Job Type]]=tblSalaries[[#Headers],[Controller]],tblSalaries[[#This Row],[Salary in USD]],"")</f>
        <v/>
      </c>
      <c r="Y417" s="13" t="str">
        <f>IF(tblSalaries[[#This Row],[Job Type]]=tblSalaries[[#Headers],[CXO or Top Mgmt.]],tblSalaries[[#This Row],[clean Salary (in local currency)]],"")</f>
        <v/>
      </c>
      <c r="Z417" s="13" t="str">
        <f>IF(tblSalaries[[#This Row],[Job Type]]=tblSalaries[[#Headers],[Engineer]],tblSalaries[[#This Row],[Salary in USD]],"")</f>
        <v/>
      </c>
      <c r="AA417" s="13" t="str">
        <f>IF(tblSalaries[[#This Row],[Job Type]]=tblSalaries[[#Headers],[Manager]],tblSalaries[[#This Row],[Salary in USD]],"")</f>
        <v/>
      </c>
      <c r="AB417" s="13" t="str">
        <f>IF(tblSalaries[[#This Row],[Job Type]]=tblSalaries[[#Headers],[Misc.]],tblSalaries[[#This Row],[Salary in USD]],"")</f>
        <v/>
      </c>
      <c r="AC417" s="13" t="str">
        <f>IF(tblSalaries[[#This Row],[Job Type]]=tblSalaries[[#Headers],[Reporting]],tblSalaries[[#This Row],[Salary in USD]],"")</f>
        <v/>
      </c>
      <c r="AD417" s="13" t="str">
        <f>IF(tblSalaries[[#This Row],[Job Type]]=tblSalaries[[#Headers],[Specialist]],tblSalaries[[#This Row],[Salary in USD]],"")</f>
        <v/>
      </c>
    </row>
    <row r="418" spans="2:30" ht="15" customHeight="1" x14ac:dyDescent="0.25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 s="9">
        <f>tblSalaries[[#This Row],[clean Salary (in local currency)]]*VLOOKUP(tblSalaries[[#This Row],[Currency]],tblXrate[],2,FALSE)</f>
        <v>72000</v>
      </c>
      <c r="H418" t="s">
        <v>509</v>
      </c>
      <c r="I418" t="s">
        <v>4001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  <c r="N418" t="str">
        <f>IF(tblSalaries[[#This Row],[Years of Experience]]="","",IF(tblSalaries[[#This Row],[Years of Experience]]&lt;=2,1,""))</f>
        <v/>
      </c>
      <c r="O418" t="str">
        <f>IF(tblSalaries[[#This Row],[Years of Experience]]="","",IF(AND(tblSalaries[[#This Row],[Years of Experience]]&gt;2,tblSalaries[[#This Row],[Years of Experience]]&lt;=5),1,""))</f>
        <v/>
      </c>
      <c r="P418" t="str">
        <f>IF(tblSalaries[[#This Row],[Years of Experience]]="","",IF(AND(tblSalaries[[#This Row],[Years of Experience]]&gt;5,tblSalaries[[#This Row],[Years of Experience]]&lt;=10),1,""))</f>
        <v/>
      </c>
      <c r="Q418" t="str">
        <f>IF(tblSalaries[[#This Row],[Years of Experience]]="","",IF(AND(tblSalaries[[#This Row],[Years of Experience]]&gt;10,tblSalaries[[#This Row],[Years of Experience]]&lt;=15),1,""))</f>
        <v/>
      </c>
      <c r="R418" t="str">
        <f>IF(tblSalaries[[#This Row],[Years of Experience]]="","",IF(AND(tblSalaries[[#This Row],[Years of Experience]]&gt;16,tblSalaries[[#This Row],[Years of Experience]]&lt;=20),1,""))</f>
        <v/>
      </c>
      <c r="S418" t="str">
        <f>IF(tblSalaries[[#This Row],[Years of Experience]]="","",IF(tblSalaries[[#This Row],[Years of Experience]]&gt;20,1,""))</f>
        <v/>
      </c>
      <c r="T4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8" s="13" t="str">
        <f>IF(tblSalaries[[#This Row],[Job Type]]=tblSalaries[[#Headers],[Accountant]],tblSalaries[[#This Row],[Salary in USD]],"")</f>
        <v/>
      </c>
      <c r="V418" s="13" t="str">
        <f>IF(tblSalaries[[#This Row],[Job Type]]=tblSalaries[[#Headers],[Analyst]],tblSalaries[[#This Row],[Salary in USD]],"")</f>
        <v/>
      </c>
      <c r="W418" s="13" t="str">
        <f>IF(tblSalaries[[#This Row],[Job Type]]=tblSalaries[[#Headers],[Consultant]],tblSalaries[[#This Row],[Salary in USD]],"")</f>
        <v/>
      </c>
      <c r="X418" s="13" t="str">
        <f>IF(tblSalaries[[#This Row],[Job Type]]=tblSalaries[[#Headers],[Controller]],tblSalaries[[#This Row],[Salary in USD]],"")</f>
        <v/>
      </c>
      <c r="Y418" s="13">
        <f>IF(tblSalaries[[#This Row],[Job Type]]=tblSalaries[[#Headers],[CXO or Top Mgmt.]],tblSalaries[[#This Row],[clean Salary (in local currency)]],"")</f>
        <v>72000</v>
      </c>
      <c r="Z418" s="13" t="str">
        <f>IF(tblSalaries[[#This Row],[Job Type]]=tblSalaries[[#Headers],[Engineer]],tblSalaries[[#This Row],[Salary in USD]],"")</f>
        <v/>
      </c>
      <c r="AA418" s="13" t="str">
        <f>IF(tblSalaries[[#This Row],[Job Type]]=tblSalaries[[#Headers],[Manager]],tblSalaries[[#This Row],[Salary in USD]],"")</f>
        <v/>
      </c>
      <c r="AB418" s="13" t="str">
        <f>IF(tblSalaries[[#This Row],[Job Type]]=tblSalaries[[#Headers],[Misc.]],tblSalaries[[#This Row],[Salary in USD]],"")</f>
        <v/>
      </c>
      <c r="AC418" s="13" t="str">
        <f>IF(tblSalaries[[#This Row],[Job Type]]=tblSalaries[[#Headers],[Reporting]],tblSalaries[[#This Row],[Salary in USD]],"")</f>
        <v/>
      </c>
      <c r="AD418" s="13" t="str">
        <f>IF(tblSalaries[[#This Row],[Job Type]]=tblSalaries[[#Headers],[Specialist]],tblSalaries[[#This Row],[Salary in USD]],"")</f>
        <v/>
      </c>
    </row>
    <row r="419" spans="2:30" ht="15" customHeight="1" x14ac:dyDescent="0.25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 s="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  <c r="N419" t="str">
        <f>IF(tblSalaries[[#This Row],[Years of Experience]]="","",IF(tblSalaries[[#This Row],[Years of Experience]]&lt;=2,1,""))</f>
        <v/>
      </c>
      <c r="O419" t="str">
        <f>IF(tblSalaries[[#This Row],[Years of Experience]]="","",IF(AND(tblSalaries[[#This Row],[Years of Experience]]&gt;2,tblSalaries[[#This Row],[Years of Experience]]&lt;=5),1,""))</f>
        <v/>
      </c>
      <c r="P419" t="str">
        <f>IF(tblSalaries[[#This Row],[Years of Experience]]="","",IF(AND(tblSalaries[[#This Row],[Years of Experience]]&gt;5,tblSalaries[[#This Row],[Years of Experience]]&lt;=10),1,""))</f>
        <v/>
      </c>
      <c r="Q419" t="str">
        <f>IF(tblSalaries[[#This Row],[Years of Experience]]="","",IF(AND(tblSalaries[[#This Row],[Years of Experience]]&gt;10,tblSalaries[[#This Row],[Years of Experience]]&lt;=15),1,""))</f>
        <v/>
      </c>
      <c r="R419" t="str">
        <f>IF(tblSalaries[[#This Row],[Years of Experience]]="","",IF(AND(tblSalaries[[#This Row],[Years of Experience]]&gt;16,tblSalaries[[#This Row],[Years of Experience]]&lt;=20),1,""))</f>
        <v/>
      </c>
      <c r="S419" t="str">
        <f>IF(tblSalaries[[#This Row],[Years of Experience]]="","",IF(tblSalaries[[#This Row],[Years of Experience]]&gt;20,1,""))</f>
        <v/>
      </c>
      <c r="T4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19" s="13" t="str">
        <f>IF(tblSalaries[[#This Row],[Job Type]]=tblSalaries[[#Headers],[Accountant]],tblSalaries[[#This Row],[Salary in USD]],"")</f>
        <v/>
      </c>
      <c r="V419" s="13">
        <f>IF(tblSalaries[[#This Row],[Job Type]]=tblSalaries[[#Headers],[Analyst]],tblSalaries[[#This Row],[Salary in USD]],"")</f>
        <v>90000</v>
      </c>
      <c r="W419" s="13" t="str">
        <f>IF(tblSalaries[[#This Row],[Job Type]]=tblSalaries[[#Headers],[Consultant]],tblSalaries[[#This Row],[Salary in USD]],"")</f>
        <v/>
      </c>
      <c r="X419" s="13" t="str">
        <f>IF(tblSalaries[[#This Row],[Job Type]]=tblSalaries[[#Headers],[Controller]],tblSalaries[[#This Row],[Salary in USD]],"")</f>
        <v/>
      </c>
      <c r="Y419" s="13" t="str">
        <f>IF(tblSalaries[[#This Row],[Job Type]]=tblSalaries[[#Headers],[CXO or Top Mgmt.]],tblSalaries[[#This Row],[clean Salary (in local currency)]],"")</f>
        <v/>
      </c>
      <c r="Z419" s="13" t="str">
        <f>IF(tblSalaries[[#This Row],[Job Type]]=tblSalaries[[#Headers],[Engineer]],tblSalaries[[#This Row],[Salary in USD]],"")</f>
        <v/>
      </c>
      <c r="AA419" s="13" t="str">
        <f>IF(tblSalaries[[#This Row],[Job Type]]=tblSalaries[[#Headers],[Manager]],tblSalaries[[#This Row],[Salary in USD]],"")</f>
        <v/>
      </c>
      <c r="AB419" s="13" t="str">
        <f>IF(tblSalaries[[#This Row],[Job Type]]=tblSalaries[[#Headers],[Misc.]],tblSalaries[[#This Row],[Salary in USD]],"")</f>
        <v/>
      </c>
      <c r="AC419" s="13" t="str">
        <f>IF(tblSalaries[[#This Row],[Job Type]]=tblSalaries[[#Headers],[Reporting]],tblSalaries[[#This Row],[Salary in USD]],"")</f>
        <v/>
      </c>
      <c r="AD419" s="13" t="str">
        <f>IF(tblSalaries[[#This Row],[Job Type]]=tblSalaries[[#Headers],[Specialist]],tblSalaries[[#This Row],[Salary in USD]],"")</f>
        <v/>
      </c>
    </row>
    <row r="420" spans="2:30" ht="15" customHeight="1" x14ac:dyDescent="0.25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 s="9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  <c r="N420" t="str">
        <f>IF(tblSalaries[[#This Row],[Years of Experience]]="","",IF(tblSalaries[[#This Row],[Years of Experience]]&lt;=2,1,""))</f>
        <v/>
      </c>
      <c r="O420" t="str">
        <f>IF(tblSalaries[[#This Row],[Years of Experience]]="","",IF(AND(tblSalaries[[#This Row],[Years of Experience]]&gt;2,tblSalaries[[#This Row],[Years of Experience]]&lt;=5),1,""))</f>
        <v/>
      </c>
      <c r="P420" t="str">
        <f>IF(tblSalaries[[#This Row],[Years of Experience]]="","",IF(AND(tblSalaries[[#This Row],[Years of Experience]]&gt;5,tblSalaries[[#This Row],[Years of Experience]]&lt;=10),1,""))</f>
        <v/>
      </c>
      <c r="Q420" t="str">
        <f>IF(tblSalaries[[#This Row],[Years of Experience]]="","",IF(AND(tblSalaries[[#This Row],[Years of Experience]]&gt;10,tblSalaries[[#This Row],[Years of Experience]]&lt;=15),1,""))</f>
        <v/>
      </c>
      <c r="R420" t="str">
        <f>IF(tblSalaries[[#This Row],[Years of Experience]]="","",IF(AND(tblSalaries[[#This Row],[Years of Experience]]&gt;16,tblSalaries[[#This Row],[Years of Experience]]&lt;=20),1,""))</f>
        <v/>
      </c>
      <c r="S420" t="str">
        <f>IF(tblSalaries[[#This Row],[Years of Experience]]="","",IF(tblSalaries[[#This Row],[Years of Experience]]&gt;20,1,""))</f>
        <v/>
      </c>
      <c r="T4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0" s="13">
        <f>IF(tblSalaries[[#This Row],[Job Type]]=tblSalaries[[#Headers],[Accountant]],tblSalaries[[#This Row],[Salary in USD]],"")</f>
        <v>8500</v>
      </c>
      <c r="V420" s="13" t="str">
        <f>IF(tblSalaries[[#This Row],[Job Type]]=tblSalaries[[#Headers],[Analyst]],tblSalaries[[#This Row],[Salary in USD]],"")</f>
        <v/>
      </c>
      <c r="W420" s="13" t="str">
        <f>IF(tblSalaries[[#This Row],[Job Type]]=tblSalaries[[#Headers],[Consultant]],tblSalaries[[#This Row],[Salary in USD]],"")</f>
        <v/>
      </c>
      <c r="X420" s="13" t="str">
        <f>IF(tblSalaries[[#This Row],[Job Type]]=tblSalaries[[#Headers],[Controller]],tblSalaries[[#This Row],[Salary in USD]],"")</f>
        <v/>
      </c>
      <c r="Y420" s="13" t="str">
        <f>IF(tblSalaries[[#This Row],[Job Type]]=tblSalaries[[#Headers],[CXO or Top Mgmt.]],tblSalaries[[#This Row],[clean Salary (in local currency)]],"")</f>
        <v/>
      </c>
      <c r="Z420" s="13" t="str">
        <f>IF(tblSalaries[[#This Row],[Job Type]]=tblSalaries[[#Headers],[Engineer]],tblSalaries[[#This Row],[Salary in USD]],"")</f>
        <v/>
      </c>
      <c r="AA420" s="13" t="str">
        <f>IF(tblSalaries[[#This Row],[Job Type]]=tblSalaries[[#Headers],[Manager]],tblSalaries[[#This Row],[Salary in USD]],"")</f>
        <v/>
      </c>
      <c r="AB420" s="13" t="str">
        <f>IF(tblSalaries[[#This Row],[Job Type]]=tblSalaries[[#Headers],[Misc.]],tblSalaries[[#This Row],[Salary in USD]],"")</f>
        <v/>
      </c>
      <c r="AC420" s="13" t="str">
        <f>IF(tblSalaries[[#This Row],[Job Type]]=tblSalaries[[#Headers],[Reporting]],tblSalaries[[#This Row],[Salary in USD]],"")</f>
        <v/>
      </c>
      <c r="AD420" s="13" t="str">
        <f>IF(tblSalaries[[#This Row],[Job Type]]=tblSalaries[[#Headers],[Specialist]],tblSalaries[[#This Row],[Salary in USD]],"")</f>
        <v/>
      </c>
    </row>
    <row r="421" spans="2:30" ht="15" customHeight="1" x14ac:dyDescent="0.25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 s="9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512</v>
      </c>
      <c r="K421" t="str">
        <f>VLOOKUP(tblSalaries[[#This Row],[Where do you work]],tblCountries[[Actual]:[Mapping]],2,FALSE)</f>
        <v>Iran</v>
      </c>
      <c r="L421" t="s">
        <v>18</v>
      </c>
      <c r="N421" t="str">
        <f>IF(tblSalaries[[#This Row],[Years of Experience]]="","",IF(tblSalaries[[#This Row],[Years of Experience]]&lt;=2,1,""))</f>
        <v/>
      </c>
      <c r="O421" t="str">
        <f>IF(tblSalaries[[#This Row],[Years of Experience]]="","",IF(AND(tblSalaries[[#This Row],[Years of Experience]]&gt;2,tblSalaries[[#This Row],[Years of Experience]]&lt;=5),1,""))</f>
        <v/>
      </c>
      <c r="P421" t="str">
        <f>IF(tblSalaries[[#This Row],[Years of Experience]]="","",IF(AND(tblSalaries[[#This Row],[Years of Experience]]&gt;5,tblSalaries[[#This Row],[Years of Experience]]&lt;=10),1,""))</f>
        <v/>
      </c>
      <c r="Q421" t="str">
        <f>IF(tblSalaries[[#This Row],[Years of Experience]]="","",IF(AND(tblSalaries[[#This Row],[Years of Experience]]&gt;10,tblSalaries[[#This Row],[Years of Experience]]&lt;=15),1,""))</f>
        <v/>
      </c>
      <c r="R421" t="str">
        <f>IF(tblSalaries[[#This Row],[Years of Experience]]="","",IF(AND(tblSalaries[[#This Row],[Years of Experience]]&gt;16,tblSalaries[[#This Row],[Years of Experience]]&lt;=20),1,""))</f>
        <v/>
      </c>
      <c r="S421" t="str">
        <f>IF(tblSalaries[[#This Row],[Years of Experience]]="","",IF(tblSalaries[[#This Row],[Years of Experience]]&gt;20,1,""))</f>
        <v/>
      </c>
      <c r="T4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1" s="13" t="str">
        <f>IF(tblSalaries[[#This Row],[Job Type]]=tblSalaries[[#Headers],[Accountant]],tblSalaries[[#This Row],[Salary in USD]],"")</f>
        <v/>
      </c>
      <c r="V421" s="13">
        <f>IF(tblSalaries[[#This Row],[Job Type]]=tblSalaries[[#Headers],[Analyst]],tblSalaries[[#This Row],[Salary in USD]],"")</f>
        <v>12000</v>
      </c>
      <c r="W421" s="13" t="str">
        <f>IF(tblSalaries[[#This Row],[Job Type]]=tblSalaries[[#Headers],[Consultant]],tblSalaries[[#This Row],[Salary in USD]],"")</f>
        <v/>
      </c>
      <c r="X421" s="13" t="str">
        <f>IF(tblSalaries[[#This Row],[Job Type]]=tblSalaries[[#Headers],[Controller]],tblSalaries[[#This Row],[Salary in USD]],"")</f>
        <v/>
      </c>
      <c r="Y421" s="13" t="str">
        <f>IF(tblSalaries[[#This Row],[Job Type]]=tblSalaries[[#Headers],[CXO or Top Mgmt.]],tblSalaries[[#This Row],[clean Salary (in local currency)]],"")</f>
        <v/>
      </c>
      <c r="Z421" s="13" t="str">
        <f>IF(tblSalaries[[#This Row],[Job Type]]=tblSalaries[[#Headers],[Engineer]],tblSalaries[[#This Row],[Salary in USD]],"")</f>
        <v/>
      </c>
      <c r="AA421" s="13" t="str">
        <f>IF(tblSalaries[[#This Row],[Job Type]]=tblSalaries[[#Headers],[Manager]],tblSalaries[[#This Row],[Salary in USD]],"")</f>
        <v/>
      </c>
      <c r="AB421" s="13" t="str">
        <f>IF(tblSalaries[[#This Row],[Job Type]]=tblSalaries[[#Headers],[Misc.]],tblSalaries[[#This Row],[Salary in USD]],"")</f>
        <v/>
      </c>
      <c r="AC421" s="13" t="str">
        <f>IF(tblSalaries[[#This Row],[Job Type]]=tblSalaries[[#Headers],[Reporting]],tblSalaries[[#This Row],[Salary in USD]],"")</f>
        <v/>
      </c>
      <c r="AD421" s="13" t="str">
        <f>IF(tblSalaries[[#This Row],[Job Type]]=tblSalaries[[#Headers],[Specialist]],tblSalaries[[#This Row],[Salary in USD]],"")</f>
        <v/>
      </c>
    </row>
    <row r="422" spans="2:30" ht="15" customHeight="1" x14ac:dyDescent="0.25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 s="9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  <c r="N422" t="str">
        <f>IF(tblSalaries[[#This Row],[Years of Experience]]="","",IF(tblSalaries[[#This Row],[Years of Experience]]&lt;=2,1,""))</f>
        <v/>
      </c>
      <c r="O422" t="str">
        <f>IF(tblSalaries[[#This Row],[Years of Experience]]="","",IF(AND(tblSalaries[[#This Row],[Years of Experience]]&gt;2,tblSalaries[[#This Row],[Years of Experience]]&lt;=5),1,""))</f>
        <v/>
      </c>
      <c r="P422" t="str">
        <f>IF(tblSalaries[[#This Row],[Years of Experience]]="","",IF(AND(tblSalaries[[#This Row],[Years of Experience]]&gt;5,tblSalaries[[#This Row],[Years of Experience]]&lt;=10),1,""))</f>
        <v/>
      </c>
      <c r="Q422" t="str">
        <f>IF(tblSalaries[[#This Row],[Years of Experience]]="","",IF(AND(tblSalaries[[#This Row],[Years of Experience]]&gt;10,tblSalaries[[#This Row],[Years of Experience]]&lt;=15),1,""))</f>
        <v/>
      </c>
      <c r="R422" t="str">
        <f>IF(tblSalaries[[#This Row],[Years of Experience]]="","",IF(AND(tblSalaries[[#This Row],[Years of Experience]]&gt;16,tblSalaries[[#This Row],[Years of Experience]]&lt;=20),1,""))</f>
        <v/>
      </c>
      <c r="S422" t="str">
        <f>IF(tblSalaries[[#This Row],[Years of Experience]]="","",IF(tblSalaries[[#This Row],[Years of Experience]]&gt;20,1,""))</f>
        <v/>
      </c>
      <c r="T4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2" s="13" t="str">
        <f>IF(tblSalaries[[#This Row],[Job Type]]=tblSalaries[[#Headers],[Accountant]],tblSalaries[[#This Row],[Salary in USD]],"")</f>
        <v/>
      </c>
      <c r="V422" s="13" t="str">
        <f>IF(tblSalaries[[#This Row],[Job Type]]=tblSalaries[[#Headers],[Analyst]],tblSalaries[[#This Row],[Salary in USD]],"")</f>
        <v/>
      </c>
      <c r="W422" s="13">
        <f>IF(tblSalaries[[#This Row],[Job Type]]=tblSalaries[[#Headers],[Consultant]],tblSalaries[[#This Row],[Salary in USD]],"")</f>
        <v>250000</v>
      </c>
      <c r="X422" s="13" t="str">
        <f>IF(tblSalaries[[#This Row],[Job Type]]=tblSalaries[[#Headers],[Controller]],tblSalaries[[#This Row],[Salary in USD]],"")</f>
        <v/>
      </c>
      <c r="Y422" s="13" t="str">
        <f>IF(tblSalaries[[#This Row],[Job Type]]=tblSalaries[[#Headers],[CXO or Top Mgmt.]],tblSalaries[[#This Row],[clean Salary (in local currency)]],"")</f>
        <v/>
      </c>
      <c r="Z422" s="13" t="str">
        <f>IF(tblSalaries[[#This Row],[Job Type]]=tblSalaries[[#Headers],[Engineer]],tblSalaries[[#This Row],[Salary in USD]],"")</f>
        <v/>
      </c>
      <c r="AA422" s="13" t="str">
        <f>IF(tblSalaries[[#This Row],[Job Type]]=tblSalaries[[#Headers],[Manager]],tblSalaries[[#This Row],[Salary in USD]],"")</f>
        <v/>
      </c>
      <c r="AB422" s="13" t="str">
        <f>IF(tblSalaries[[#This Row],[Job Type]]=tblSalaries[[#Headers],[Misc.]],tblSalaries[[#This Row],[Salary in USD]],"")</f>
        <v/>
      </c>
      <c r="AC422" s="13" t="str">
        <f>IF(tblSalaries[[#This Row],[Job Type]]=tblSalaries[[#Headers],[Reporting]],tblSalaries[[#This Row],[Salary in USD]],"")</f>
        <v/>
      </c>
      <c r="AD422" s="13" t="str">
        <f>IF(tblSalaries[[#This Row],[Job Type]]=tblSalaries[[#Headers],[Specialist]],tblSalaries[[#This Row],[Salary in USD]],"")</f>
        <v/>
      </c>
    </row>
    <row r="423" spans="2:30" ht="15" customHeight="1" x14ac:dyDescent="0.25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 s="9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  <c r="N423" t="str">
        <f>IF(tblSalaries[[#This Row],[Years of Experience]]="","",IF(tblSalaries[[#This Row],[Years of Experience]]&lt;=2,1,""))</f>
        <v/>
      </c>
      <c r="O423" t="str">
        <f>IF(tblSalaries[[#This Row],[Years of Experience]]="","",IF(AND(tblSalaries[[#This Row],[Years of Experience]]&gt;2,tblSalaries[[#This Row],[Years of Experience]]&lt;=5),1,""))</f>
        <v/>
      </c>
      <c r="P423" t="str">
        <f>IF(tblSalaries[[#This Row],[Years of Experience]]="","",IF(AND(tblSalaries[[#This Row],[Years of Experience]]&gt;5,tblSalaries[[#This Row],[Years of Experience]]&lt;=10),1,""))</f>
        <v/>
      </c>
      <c r="Q423" t="str">
        <f>IF(tblSalaries[[#This Row],[Years of Experience]]="","",IF(AND(tblSalaries[[#This Row],[Years of Experience]]&gt;10,tblSalaries[[#This Row],[Years of Experience]]&lt;=15),1,""))</f>
        <v/>
      </c>
      <c r="R423" t="str">
        <f>IF(tblSalaries[[#This Row],[Years of Experience]]="","",IF(AND(tblSalaries[[#This Row],[Years of Experience]]&gt;16,tblSalaries[[#This Row],[Years of Experience]]&lt;=20),1,""))</f>
        <v/>
      </c>
      <c r="S423" t="str">
        <f>IF(tblSalaries[[#This Row],[Years of Experience]]="","",IF(tblSalaries[[#This Row],[Years of Experience]]&gt;20,1,""))</f>
        <v/>
      </c>
      <c r="T4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3" s="13" t="str">
        <f>IF(tblSalaries[[#This Row],[Job Type]]=tblSalaries[[#Headers],[Accountant]],tblSalaries[[#This Row],[Salary in USD]],"")</f>
        <v/>
      </c>
      <c r="V423" s="13">
        <f>IF(tblSalaries[[#This Row],[Job Type]]=tblSalaries[[#Headers],[Analyst]],tblSalaries[[#This Row],[Salary in USD]],"")</f>
        <v>89944.280280605832</v>
      </c>
      <c r="W423" s="13" t="str">
        <f>IF(tblSalaries[[#This Row],[Job Type]]=tblSalaries[[#Headers],[Consultant]],tblSalaries[[#This Row],[Salary in USD]],"")</f>
        <v/>
      </c>
      <c r="X423" s="13" t="str">
        <f>IF(tblSalaries[[#This Row],[Job Type]]=tblSalaries[[#Headers],[Controller]],tblSalaries[[#This Row],[Salary in USD]],"")</f>
        <v/>
      </c>
      <c r="Y423" s="13" t="str">
        <f>IF(tblSalaries[[#This Row],[Job Type]]=tblSalaries[[#Headers],[CXO or Top Mgmt.]],tblSalaries[[#This Row],[clean Salary (in local currency)]],"")</f>
        <v/>
      </c>
      <c r="Z423" s="13" t="str">
        <f>IF(tblSalaries[[#This Row],[Job Type]]=tblSalaries[[#Headers],[Engineer]],tblSalaries[[#This Row],[Salary in USD]],"")</f>
        <v/>
      </c>
      <c r="AA423" s="13" t="str">
        <f>IF(tblSalaries[[#This Row],[Job Type]]=tblSalaries[[#Headers],[Manager]],tblSalaries[[#This Row],[Salary in USD]],"")</f>
        <v/>
      </c>
      <c r="AB423" s="13" t="str">
        <f>IF(tblSalaries[[#This Row],[Job Type]]=tblSalaries[[#Headers],[Misc.]],tblSalaries[[#This Row],[Salary in USD]],"")</f>
        <v/>
      </c>
      <c r="AC423" s="13" t="str">
        <f>IF(tblSalaries[[#This Row],[Job Type]]=tblSalaries[[#Headers],[Reporting]],tblSalaries[[#This Row],[Salary in USD]],"")</f>
        <v/>
      </c>
      <c r="AD423" s="13" t="str">
        <f>IF(tblSalaries[[#This Row],[Job Type]]=tblSalaries[[#Headers],[Specialist]],tblSalaries[[#This Row],[Salary in USD]],"")</f>
        <v/>
      </c>
    </row>
    <row r="424" spans="2:30" ht="15" customHeight="1" x14ac:dyDescent="0.25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 s="9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  <c r="N424" t="str">
        <f>IF(tblSalaries[[#This Row],[Years of Experience]]="","",IF(tblSalaries[[#This Row],[Years of Experience]]&lt;=2,1,""))</f>
        <v/>
      </c>
      <c r="O424" t="str">
        <f>IF(tblSalaries[[#This Row],[Years of Experience]]="","",IF(AND(tblSalaries[[#This Row],[Years of Experience]]&gt;2,tblSalaries[[#This Row],[Years of Experience]]&lt;=5),1,""))</f>
        <v/>
      </c>
      <c r="P424" t="str">
        <f>IF(tblSalaries[[#This Row],[Years of Experience]]="","",IF(AND(tblSalaries[[#This Row],[Years of Experience]]&gt;5,tblSalaries[[#This Row],[Years of Experience]]&lt;=10),1,""))</f>
        <v/>
      </c>
      <c r="Q424" t="str">
        <f>IF(tblSalaries[[#This Row],[Years of Experience]]="","",IF(AND(tblSalaries[[#This Row],[Years of Experience]]&gt;10,tblSalaries[[#This Row],[Years of Experience]]&lt;=15),1,""))</f>
        <v/>
      </c>
      <c r="R424" t="str">
        <f>IF(tblSalaries[[#This Row],[Years of Experience]]="","",IF(AND(tblSalaries[[#This Row],[Years of Experience]]&gt;16,tblSalaries[[#This Row],[Years of Experience]]&lt;=20),1,""))</f>
        <v/>
      </c>
      <c r="S424" t="str">
        <f>IF(tblSalaries[[#This Row],[Years of Experience]]="","",IF(tblSalaries[[#This Row],[Years of Experience]]&gt;20,1,""))</f>
        <v/>
      </c>
      <c r="T4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4" s="13" t="str">
        <f>IF(tblSalaries[[#This Row],[Job Type]]=tblSalaries[[#Headers],[Accountant]],tblSalaries[[#This Row],[Salary in USD]],"")</f>
        <v/>
      </c>
      <c r="V424" s="13" t="str">
        <f>IF(tblSalaries[[#This Row],[Job Type]]=tblSalaries[[#Headers],[Analyst]],tblSalaries[[#This Row],[Salary in USD]],"")</f>
        <v/>
      </c>
      <c r="W424" s="13" t="str">
        <f>IF(tblSalaries[[#This Row],[Job Type]]=tblSalaries[[#Headers],[Consultant]],tblSalaries[[#This Row],[Salary in USD]],"")</f>
        <v/>
      </c>
      <c r="X424" s="13" t="str">
        <f>IF(tblSalaries[[#This Row],[Job Type]]=tblSalaries[[#Headers],[Controller]],tblSalaries[[#This Row],[Salary in USD]],"")</f>
        <v/>
      </c>
      <c r="Y424" s="13" t="str">
        <f>IF(tblSalaries[[#This Row],[Job Type]]=tblSalaries[[#Headers],[CXO or Top Mgmt.]],tblSalaries[[#This Row],[clean Salary (in local currency)]],"")</f>
        <v/>
      </c>
      <c r="Z424" s="13" t="str">
        <f>IF(tblSalaries[[#This Row],[Job Type]]=tblSalaries[[#Headers],[Engineer]],tblSalaries[[#This Row],[Salary in USD]],"")</f>
        <v/>
      </c>
      <c r="AA424" s="13">
        <f>IF(tblSalaries[[#This Row],[Job Type]]=tblSalaries[[#Headers],[Manager]],tblSalaries[[#This Row],[Salary in USD]],"")</f>
        <v>4273.9000049862161</v>
      </c>
      <c r="AB424" s="13" t="str">
        <f>IF(tblSalaries[[#This Row],[Job Type]]=tblSalaries[[#Headers],[Misc.]],tblSalaries[[#This Row],[Salary in USD]],"")</f>
        <v/>
      </c>
      <c r="AC424" s="13" t="str">
        <f>IF(tblSalaries[[#This Row],[Job Type]]=tblSalaries[[#Headers],[Reporting]],tblSalaries[[#This Row],[Salary in USD]],"")</f>
        <v/>
      </c>
      <c r="AD424" s="13" t="str">
        <f>IF(tblSalaries[[#This Row],[Job Type]]=tblSalaries[[#Headers],[Specialist]],tblSalaries[[#This Row],[Salary in USD]],"")</f>
        <v/>
      </c>
    </row>
    <row r="425" spans="2:30" ht="15" customHeight="1" x14ac:dyDescent="0.25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 s="9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  <c r="N425" t="str">
        <f>IF(tblSalaries[[#This Row],[Years of Experience]]="","",IF(tblSalaries[[#This Row],[Years of Experience]]&lt;=2,1,""))</f>
        <v/>
      </c>
      <c r="O425" t="str">
        <f>IF(tblSalaries[[#This Row],[Years of Experience]]="","",IF(AND(tblSalaries[[#This Row],[Years of Experience]]&gt;2,tblSalaries[[#This Row],[Years of Experience]]&lt;=5),1,""))</f>
        <v/>
      </c>
      <c r="P425" t="str">
        <f>IF(tblSalaries[[#This Row],[Years of Experience]]="","",IF(AND(tblSalaries[[#This Row],[Years of Experience]]&gt;5,tblSalaries[[#This Row],[Years of Experience]]&lt;=10),1,""))</f>
        <v/>
      </c>
      <c r="Q425" t="str">
        <f>IF(tblSalaries[[#This Row],[Years of Experience]]="","",IF(AND(tblSalaries[[#This Row],[Years of Experience]]&gt;10,tblSalaries[[#This Row],[Years of Experience]]&lt;=15),1,""))</f>
        <v/>
      </c>
      <c r="R425" t="str">
        <f>IF(tblSalaries[[#This Row],[Years of Experience]]="","",IF(AND(tblSalaries[[#This Row],[Years of Experience]]&gt;16,tblSalaries[[#This Row],[Years of Experience]]&lt;=20),1,""))</f>
        <v/>
      </c>
      <c r="S425" t="str">
        <f>IF(tblSalaries[[#This Row],[Years of Experience]]="","",IF(tblSalaries[[#This Row],[Years of Experience]]&gt;20,1,""))</f>
        <v/>
      </c>
      <c r="T4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5" s="13" t="str">
        <f>IF(tblSalaries[[#This Row],[Job Type]]=tblSalaries[[#Headers],[Accountant]],tblSalaries[[#This Row],[Salary in USD]],"")</f>
        <v/>
      </c>
      <c r="V425" s="13" t="str">
        <f>IF(tblSalaries[[#This Row],[Job Type]]=tblSalaries[[#Headers],[Analyst]],tblSalaries[[#This Row],[Salary in USD]],"")</f>
        <v/>
      </c>
      <c r="W425" s="13" t="str">
        <f>IF(tblSalaries[[#This Row],[Job Type]]=tblSalaries[[#Headers],[Consultant]],tblSalaries[[#This Row],[Salary in USD]],"")</f>
        <v/>
      </c>
      <c r="X425" s="13" t="str">
        <f>IF(tblSalaries[[#This Row],[Job Type]]=tblSalaries[[#Headers],[Controller]],tblSalaries[[#This Row],[Salary in USD]],"")</f>
        <v/>
      </c>
      <c r="Y425" s="13" t="str">
        <f>IF(tblSalaries[[#This Row],[Job Type]]=tblSalaries[[#Headers],[CXO or Top Mgmt.]],tblSalaries[[#This Row],[clean Salary (in local currency)]],"")</f>
        <v/>
      </c>
      <c r="Z425" s="13" t="str">
        <f>IF(tblSalaries[[#This Row],[Job Type]]=tblSalaries[[#Headers],[Engineer]],tblSalaries[[#This Row],[Salary in USD]],"")</f>
        <v/>
      </c>
      <c r="AA425" s="13">
        <f>IF(tblSalaries[[#This Row],[Job Type]]=tblSalaries[[#Headers],[Manager]],tblSalaries[[#This Row],[Salary in USD]],"")</f>
        <v>30000</v>
      </c>
      <c r="AB425" s="13" t="str">
        <f>IF(tblSalaries[[#This Row],[Job Type]]=tblSalaries[[#Headers],[Misc.]],tblSalaries[[#This Row],[Salary in USD]],"")</f>
        <v/>
      </c>
      <c r="AC425" s="13" t="str">
        <f>IF(tblSalaries[[#This Row],[Job Type]]=tblSalaries[[#Headers],[Reporting]],tblSalaries[[#This Row],[Salary in USD]],"")</f>
        <v/>
      </c>
      <c r="AD425" s="13" t="str">
        <f>IF(tblSalaries[[#This Row],[Job Type]]=tblSalaries[[#Headers],[Specialist]],tblSalaries[[#This Row],[Salary in USD]],"")</f>
        <v/>
      </c>
    </row>
    <row r="426" spans="2:30" ht="15" customHeight="1" x14ac:dyDescent="0.25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 s="9">
        <f>tblSalaries[[#This Row],[clean Salary (in local currency)]]*VLOOKUP(tblSalaries[[#This Row],[Currency]],tblXrate[],2,FALSE)</f>
        <v>30000</v>
      </c>
      <c r="H426" t="s">
        <v>521</v>
      </c>
      <c r="I426" t="s">
        <v>3999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  <c r="N426" t="str">
        <f>IF(tblSalaries[[#This Row],[Years of Experience]]="","",IF(tblSalaries[[#This Row],[Years of Experience]]&lt;=2,1,""))</f>
        <v/>
      </c>
      <c r="O426" t="str">
        <f>IF(tblSalaries[[#This Row],[Years of Experience]]="","",IF(AND(tblSalaries[[#This Row],[Years of Experience]]&gt;2,tblSalaries[[#This Row],[Years of Experience]]&lt;=5),1,""))</f>
        <v/>
      </c>
      <c r="P426" t="str">
        <f>IF(tblSalaries[[#This Row],[Years of Experience]]="","",IF(AND(tblSalaries[[#This Row],[Years of Experience]]&gt;5,tblSalaries[[#This Row],[Years of Experience]]&lt;=10),1,""))</f>
        <v/>
      </c>
      <c r="Q426" t="str">
        <f>IF(tblSalaries[[#This Row],[Years of Experience]]="","",IF(AND(tblSalaries[[#This Row],[Years of Experience]]&gt;10,tblSalaries[[#This Row],[Years of Experience]]&lt;=15),1,""))</f>
        <v/>
      </c>
      <c r="R426" t="str">
        <f>IF(tblSalaries[[#This Row],[Years of Experience]]="","",IF(AND(tblSalaries[[#This Row],[Years of Experience]]&gt;16,tblSalaries[[#This Row],[Years of Experience]]&lt;=20),1,""))</f>
        <v/>
      </c>
      <c r="S426" t="str">
        <f>IF(tblSalaries[[#This Row],[Years of Experience]]="","",IF(tblSalaries[[#This Row],[Years of Experience]]&gt;20,1,""))</f>
        <v/>
      </c>
      <c r="T4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6" s="13" t="str">
        <f>IF(tblSalaries[[#This Row],[Job Type]]=tblSalaries[[#Headers],[Accountant]],tblSalaries[[#This Row],[Salary in USD]],"")</f>
        <v/>
      </c>
      <c r="V426" s="13" t="str">
        <f>IF(tblSalaries[[#This Row],[Job Type]]=tblSalaries[[#Headers],[Analyst]],tblSalaries[[#This Row],[Salary in USD]],"")</f>
        <v/>
      </c>
      <c r="W426" s="13" t="str">
        <f>IF(tblSalaries[[#This Row],[Job Type]]=tblSalaries[[#Headers],[Consultant]],tblSalaries[[#This Row],[Salary in USD]],"")</f>
        <v/>
      </c>
      <c r="X426" s="13" t="str">
        <f>IF(tblSalaries[[#This Row],[Job Type]]=tblSalaries[[#Headers],[Controller]],tblSalaries[[#This Row],[Salary in USD]],"")</f>
        <v/>
      </c>
      <c r="Y426" s="13" t="str">
        <f>IF(tblSalaries[[#This Row],[Job Type]]=tblSalaries[[#Headers],[CXO or Top Mgmt.]],tblSalaries[[#This Row],[clean Salary (in local currency)]],"")</f>
        <v/>
      </c>
      <c r="Z426" s="13" t="str">
        <f>IF(tblSalaries[[#This Row],[Job Type]]=tblSalaries[[#Headers],[Engineer]],tblSalaries[[#This Row],[Salary in USD]],"")</f>
        <v/>
      </c>
      <c r="AA426" s="13" t="str">
        <f>IF(tblSalaries[[#This Row],[Job Type]]=tblSalaries[[#Headers],[Manager]],tblSalaries[[#This Row],[Salary in USD]],"")</f>
        <v/>
      </c>
      <c r="AB426" s="13" t="str">
        <f>IF(tblSalaries[[#This Row],[Job Type]]=tblSalaries[[#Headers],[Misc.]],tblSalaries[[#This Row],[Salary in USD]],"")</f>
        <v/>
      </c>
      <c r="AC426" s="13">
        <f>IF(tblSalaries[[#This Row],[Job Type]]=tblSalaries[[#Headers],[Reporting]],tblSalaries[[#This Row],[Salary in USD]],"")</f>
        <v>30000</v>
      </c>
      <c r="AD426" s="13" t="str">
        <f>IF(tblSalaries[[#This Row],[Job Type]]=tblSalaries[[#Headers],[Specialist]],tblSalaries[[#This Row],[Salary in USD]],"")</f>
        <v/>
      </c>
    </row>
    <row r="427" spans="2:30" ht="15" customHeight="1" x14ac:dyDescent="0.25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 s="9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  <c r="N427" t="str">
        <f>IF(tblSalaries[[#This Row],[Years of Experience]]="","",IF(tblSalaries[[#This Row],[Years of Experience]]&lt;=2,1,""))</f>
        <v/>
      </c>
      <c r="O427" t="str">
        <f>IF(tblSalaries[[#This Row],[Years of Experience]]="","",IF(AND(tblSalaries[[#This Row],[Years of Experience]]&gt;2,tblSalaries[[#This Row],[Years of Experience]]&lt;=5),1,""))</f>
        <v/>
      </c>
      <c r="P427" t="str">
        <f>IF(tblSalaries[[#This Row],[Years of Experience]]="","",IF(AND(tblSalaries[[#This Row],[Years of Experience]]&gt;5,tblSalaries[[#This Row],[Years of Experience]]&lt;=10),1,""))</f>
        <v/>
      </c>
      <c r="Q427" t="str">
        <f>IF(tblSalaries[[#This Row],[Years of Experience]]="","",IF(AND(tblSalaries[[#This Row],[Years of Experience]]&gt;10,tblSalaries[[#This Row],[Years of Experience]]&lt;=15),1,""))</f>
        <v/>
      </c>
      <c r="R427" t="str">
        <f>IF(tblSalaries[[#This Row],[Years of Experience]]="","",IF(AND(tblSalaries[[#This Row],[Years of Experience]]&gt;16,tblSalaries[[#This Row],[Years of Experience]]&lt;=20),1,""))</f>
        <v/>
      </c>
      <c r="S427" t="str">
        <f>IF(tblSalaries[[#This Row],[Years of Experience]]="","",IF(tblSalaries[[#This Row],[Years of Experience]]&gt;20,1,""))</f>
        <v/>
      </c>
      <c r="T4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7" s="13" t="str">
        <f>IF(tblSalaries[[#This Row],[Job Type]]=tblSalaries[[#Headers],[Accountant]],tblSalaries[[#This Row],[Salary in USD]],"")</f>
        <v/>
      </c>
      <c r="V427" s="13" t="str">
        <f>IF(tblSalaries[[#This Row],[Job Type]]=tblSalaries[[#Headers],[Analyst]],tblSalaries[[#This Row],[Salary in USD]],"")</f>
        <v/>
      </c>
      <c r="W427" s="13" t="str">
        <f>IF(tblSalaries[[#This Row],[Job Type]]=tblSalaries[[#Headers],[Consultant]],tblSalaries[[#This Row],[Salary in USD]],"")</f>
        <v/>
      </c>
      <c r="X427" s="13" t="str">
        <f>IF(tblSalaries[[#This Row],[Job Type]]=tblSalaries[[#Headers],[Controller]],tblSalaries[[#This Row],[Salary in USD]],"")</f>
        <v/>
      </c>
      <c r="Y427" s="13" t="str">
        <f>IF(tblSalaries[[#This Row],[Job Type]]=tblSalaries[[#Headers],[CXO or Top Mgmt.]],tblSalaries[[#This Row],[clean Salary (in local currency)]],"")</f>
        <v/>
      </c>
      <c r="Z427" s="13">
        <f>IF(tblSalaries[[#This Row],[Job Type]]=tblSalaries[[#Headers],[Engineer]],tblSalaries[[#This Row],[Salary in USD]],"")</f>
        <v>24000</v>
      </c>
      <c r="AA427" s="13" t="str">
        <f>IF(tblSalaries[[#This Row],[Job Type]]=tblSalaries[[#Headers],[Manager]],tblSalaries[[#This Row],[Salary in USD]],"")</f>
        <v/>
      </c>
      <c r="AB427" s="13" t="str">
        <f>IF(tblSalaries[[#This Row],[Job Type]]=tblSalaries[[#Headers],[Misc.]],tblSalaries[[#This Row],[Salary in USD]],"")</f>
        <v/>
      </c>
      <c r="AC427" s="13" t="str">
        <f>IF(tblSalaries[[#This Row],[Job Type]]=tblSalaries[[#Headers],[Reporting]],tblSalaries[[#This Row],[Salary in USD]],"")</f>
        <v/>
      </c>
      <c r="AD427" s="13" t="str">
        <f>IF(tblSalaries[[#This Row],[Job Type]]=tblSalaries[[#Headers],[Specialist]],tblSalaries[[#This Row],[Salary in USD]],"")</f>
        <v/>
      </c>
    </row>
    <row r="428" spans="2:30" ht="15" customHeight="1" x14ac:dyDescent="0.25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 s="9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  <c r="N428" t="str">
        <f>IF(tblSalaries[[#This Row],[Years of Experience]]="","",IF(tblSalaries[[#This Row],[Years of Experience]]&lt;=2,1,""))</f>
        <v/>
      </c>
      <c r="O428" t="str">
        <f>IF(tblSalaries[[#This Row],[Years of Experience]]="","",IF(AND(tblSalaries[[#This Row],[Years of Experience]]&gt;2,tblSalaries[[#This Row],[Years of Experience]]&lt;=5),1,""))</f>
        <v/>
      </c>
      <c r="P428" t="str">
        <f>IF(tblSalaries[[#This Row],[Years of Experience]]="","",IF(AND(tblSalaries[[#This Row],[Years of Experience]]&gt;5,tblSalaries[[#This Row],[Years of Experience]]&lt;=10),1,""))</f>
        <v/>
      </c>
      <c r="Q428" t="str">
        <f>IF(tblSalaries[[#This Row],[Years of Experience]]="","",IF(AND(tblSalaries[[#This Row],[Years of Experience]]&gt;10,tblSalaries[[#This Row],[Years of Experience]]&lt;=15),1,""))</f>
        <v/>
      </c>
      <c r="R428" t="str">
        <f>IF(tblSalaries[[#This Row],[Years of Experience]]="","",IF(AND(tblSalaries[[#This Row],[Years of Experience]]&gt;16,tblSalaries[[#This Row],[Years of Experience]]&lt;=20),1,""))</f>
        <v/>
      </c>
      <c r="S428" t="str">
        <f>IF(tblSalaries[[#This Row],[Years of Experience]]="","",IF(tblSalaries[[#This Row],[Years of Experience]]&gt;20,1,""))</f>
        <v/>
      </c>
      <c r="T4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8" s="13" t="str">
        <f>IF(tblSalaries[[#This Row],[Job Type]]=tblSalaries[[#Headers],[Accountant]],tblSalaries[[#This Row],[Salary in USD]],"")</f>
        <v/>
      </c>
      <c r="V428" s="13" t="str">
        <f>IF(tblSalaries[[#This Row],[Job Type]]=tblSalaries[[#Headers],[Analyst]],tblSalaries[[#This Row],[Salary in USD]],"")</f>
        <v/>
      </c>
      <c r="W428" s="13" t="str">
        <f>IF(tblSalaries[[#This Row],[Job Type]]=tblSalaries[[#Headers],[Consultant]],tblSalaries[[#This Row],[Salary in USD]],"")</f>
        <v/>
      </c>
      <c r="X428" s="13" t="str">
        <f>IF(tblSalaries[[#This Row],[Job Type]]=tblSalaries[[#Headers],[Controller]],tblSalaries[[#This Row],[Salary in USD]],"")</f>
        <v/>
      </c>
      <c r="Y428" s="13" t="str">
        <f>IF(tblSalaries[[#This Row],[Job Type]]=tblSalaries[[#Headers],[CXO or Top Mgmt.]],tblSalaries[[#This Row],[clean Salary (in local currency)]],"")</f>
        <v/>
      </c>
      <c r="Z428" s="13" t="str">
        <f>IF(tblSalaries[[#This Row],[Job Type]]=tblSalaries[[#Headers],[Engineer]],tblSalaries[[#This Row],[Salary in USD]],"")</f>
        <v/>
      </c>
      <c r="AA428" s="13">
        <f>IF(tblSalaries[[#This Row],[Job Type]]=tblSalaries[[#Headers],[Manager]],tblSalaries[[#This Row],[Salary in USD]],"")</f>
        <v>60000</v>
      </c>
      <c r="AB428" s="13" t="str">
        <f>IF(tblSalaries[[#This Row],[Job Type]]=tblSalaries[[#Headers],[Misc.]],tblSalaries[[#This Row],[Salary in USD]],"")</f>
        <v/>
      </c>
      <c r="AC428" s="13" t="str">
        <f>IF(tblSalaries[[#This Row],[Job Type]]=tblSalaries[[#Headers],[Reporting]],tblSalaries[[#This Row],[Salary in USD]],"")</f>
        <v/>
      </c>
      <c r="AD428" s="13" t="str">
        <f>IF(tblSalaries[[#This Row],[Job Type]]=tblSalaries[[#Headers],[Specialist]],tblSalaries[[#This Row],[Salary in USD]],"")</f>
        <v/>
      </c>
    </row>
    <row r="429" spans="2:30" ht="15" customHeight="1" x14ac:dyDescent="0.25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 s="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  <c r="N429" t="str">
        <f>IF(tblSalaries[[#This Row],[Years of Experience]]="","",IF(tblSalaries[[#This Row],[Years of Experience]]&lt;=2,1,""))</f>
        <v/>
      </c>
      <c r="O429" t="str">
        <f>IF(tblSalaries[[#This Row],[Years of Experience]]="","",IF(AND(tblSalaries[[#This Row],[Years of Experience]]&gt;2,tblSalaries[[#This Row],[Years of Experience]]&lt;=5),1,""))</f>
        <v/>
      </c>
      <c r="P429" t="str">
        <f>IF(tblSalaries[[#This Row],[Years of Experience]]="","",IF(AND(tblSalaries[[#This Row],[Years of Experience]]&gt;5,tblSalaries[[#This Row],[Years of Experience]]&lt;=10),1,""))</f>
        <v/>
      </c>
      <c r="Q429" t="str">
        <f>IF(tblSalaries[[#This Row],[Years of Experience]]="","",IF(AND(tblSalaries[[#This Row],[Years of Experience]]&gt;10,tblSalaries[[#This Row],[Years of Experience]]&lt;=15),1,""))</f>
        <v/>
      </c>
      <c r="R429" t="str">
        <f>IF(tblSalaries[[#This Row],[Years of Experience]]="","",IF(AND(tblSalaries[[#This Row],[Years of Experience]]&gt;16,tblSalaries[[#This Row],[Years of Experience]]&lt;=20),1,""))</f>
        <v/>
      </c>
      <c r="S429" t="str">
        <f>IF(tblSalaries[[#This Row],[Years of Experience]]="","",IF(tblSalaries[[#This Row],[Years of Experience]]&gt;20,1,""))</f>
        <v/>
      </c>
      <c r="T4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29" s="13" t="str">
        <f>IF(tblSalaries[[#This Row],[Job Type]]=tblSalaries[[#Headers],[Accountant]],tblSalaries[[#This Row],[Salary in USD]],"")</f>
        <v/>
      </c>
      <c r="V429" s="13">
        <f>IF(tblSalaries[[#This Row],[Job Type]]=tblSalaries[[#Headers],[Analyst]],tblSalaries[[#This Row],[Salary in USD]],"")</f>
        <v>76600</v>
      </c>
      <c r="W429" s="13" t="str">
        <f>IF(tblSalaries[[#This Row],[Job Type]]=tblSalaries[[#Headers],[Consultant]],tblSalaries[[#This Row],[Salary in USD]],"")</f>
        <v/>
      </c>
      <c r="X429" s="13" t="str">
        <f>IF(tblSalaries[[#This Row],[Job Type]]=tblSalaries[[#Headers],[Controller]],tblSalaries[[#This Row],[Salary in USD]],"")</f>
        <v/>
      </c>
      <c r="Y429" s="13" t="str">
        <f>IF(tblSalaries[[#This Row],[Job Type]]=tblSalaries[[#Headers],[CXO or Top Mgmt.]],tblSalaries[[#This Row],[clean Salary (in local currency)]],"")</f>
        <v/>
      </c>
      <c r="Z429" s="13" t="str">
        <f>IF(tblSalaries[[#This Row],[Job Type]]=tblSalaries[[#Headers],[Engineer]],tblSalaries[[#This Row],[Salary in USD]],"")</f>
        <v/>
      </c>
      <c r="AA429" s="13" t="str">
        <f>IF(tblSalaries[[#This Row],[Job Type]]=tblSalaries[[#Headers],[Manager]],tblSalaries[[#This Row],[Salary in USD]],"")</f>
        <v/>
      </c>
      <c r="AB429" s="13" t="str">
        <f>IF(tblSalaries[[#This Row],[Job Type]]=tblSalaries[[#Headers],[Misc.]],tblSalaries[[#This Row],[Salary in USD]],"")</f>
        <v/>
      </c>
      <c r="AC429" s="13" t="str">
        <f>IF(tblSalaries[[#This Row],[Job Type]]=tblSalaries[[#Headers],[Reporting]],tblSalaries[[#This Row],[Salary in USD]],"")</f>
        <v/>
      </c>
      <c r="AD429" s="13" t="str">
        <f>IF(tblSalaries[[#This Row],[Job Type]]=tblSalaries[[#Headers],[Specialist]],tblSalaries[[#This Row],[Salary in USD]],"")</f>
        <v/>
      </c>
    </row>
    <row r="430" spans="2:30" ht="15" customHeight="1" x14ac:dyDescent="0.25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 s="9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  <c r="N430" t="str">
        <f>IF(tblSalaries[[#This Row],[Years of Experience]]="","",IF(tblSalaries[[#This Row],[Years of Experience]]&lt;=2,1,""))</f>
        <v/>
      </c>
      <c r="O430" t="str">
        <f>IF(tblSalaries[[#This Row],[Years of Experience]]="","",IF(AND(tblSalaries[[#This Row],[Years of Experience]]&gt;2,tblSalaries[[#This Row],[Years of Experience]]&lt;=5),1,""))</f>
        <v/>
      </c>
      <c r="P430" t="str">
        <f>IF(tblSalaries[[#This Row],[Years of Experience]]="","",IF(AND(tblSalaries[[#This Row],[Years of Experience]]&gt;5,tblSalaries[[#This Row],[Years of Experience]]&lt;=10),1,""))</f>
        <v/>
      </c>
      <c r="Q430" t="str">
        <f>IF(tblSalaries[[#This Row],[Years of Experience]]="","",IF(AND(tblSalaries[[#This Row],[Years of Experience]]&gt;10,tblSalaries[[#This Row],[Years of Experience]]&lt;=15),1,""))</f>
        <v/>
      </c>
      <c r="R430" t="str">
        <f>IF(tblSalaries[[#This Row],[Years of Experience]]="","",IF(AND(tblSalaries[[#This Row],[Years of Experience]]&gt;16,tblSalaries[[#This Row],[Years of Experience]]&lt;=20),1,""))</f>
        <v/>
      </c>
      <c r="S430" t="str">
        <f>IF(tblSalaries[[#This Row],[Years of Experience]]="","",IF(tblSalaries[[#This Row],[Years of Experience]]&gt;20,1,""))</f>
        <v/>
      </c>
      <c r="T4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0" s="13" t="str">
        <f>IF(tblSalaries[[#This Row],[Job Type]]=tblSalaries[[#Headers],[Accountant]],tblSalaries[[#This Row],[Salary in USD]],"")</f>
        <v/>
      </c>
      <c r="V430" s="13" t="str">
        <f>IF(tblSalaries[[#This Row],[Job Type]]=tblSalaries[[#Headers],[Analyst]],tblSalaries[[#This Row],[Salary in USD]],"")</f>
        <v/>
      </c>
      <c r="W430" s="13" t="str">
        <f>IF(tblSalaries[[#This Row],[Job Type]]=tblSalaries[[#Headers],[Consultant]],tblSalaries[[#This Row],[Salary in USD]],"")</f>
        <v/>
      </c>
      <c r="X430" s="13">
        <f>IF(tblSalaries[[#This Row],[Job Type]]=tblSalaries[[#Headers],[Controller]],tblSalaries[[#This Row],[Salary in USD]],"")</f>
        <v>102451.58768437347</v>
      </c>
      <c r="Y430" s="13" t="str">
        <f>IF(tblSalaries[[#This Row],[Job Type]]=tblSalaries[[#Headers],[CXO or Top Mgmt.]],tblSalaries[[#This Row],[clean Salary (in local currency)]],"")</f>
        <v/>
      </c>
      <c r="Z430" s="13" t="str">
        <f>IF(tblSalaries[[#This Row],[Job Type]]=tblSalaries[[#Headers],[Engineer]],tblSalaries[[#This Row],[Salary in USD]],"")</f>
        <v/>
      </c>
      <c r="AA430" s="13" t="str">
        <f>IF(tblSalaries[[#This Row],[Job Type]]=tblSalaries[[#Headers],[Manager]],tblSalaries[[#This Row],[Salary in USD]],"")</f>
        <v/>
      </c>
      <c r="AB430" s="13" t="str">
        <f>IF(tblSalaries[[#This Row],[Job Type]]=tblSalaries[[#Headers],[Misc.]],tblSalaries[[#This Row],[Salary in USD]],"")</f>
        <v/>
      </c>
      <c r="AC430" s="13" t="str">
        <f>IF(tblSalaries[[#This Row],[Job Type]]=tblSalaries[[#Headers],[Reporting]],tblSalaries[[#This Row],[Salary in USD]],"")</f>
        <v/>
      </c>
      <c r="AD430" s="13" t="str">
        <f>IF(tblSalaries[[#This Row],[Job Type]]=tblSalaries[[#Headers],[Specialist]],tblSalaries[[#This Row],[Salary in USD]],"")</f>
        <v/>
      </c>
    </row>
    <row r="431" spans="2:30" ht="15" customHeight="1" x14ac:dyDescent="0.25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 s="9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  <c r="N431" t="str">
        <f>IF(tblSalaries[[#This Row],[Years of Experience]]="","",IF(tblSalaries[[#This Row],[Years of Experience]]&lt;=2,1,""))</f>
        <v/>
      </c>
      <c r="O431" t="str">
        <f>IF(tblSalaries[[#This Row],[Years of Experience]]="","",IF(AND(tblSalaries[[#This Row],[Years of Experience]]&gt;2,tblSalaries[[#This Row],[Years of Experience]]&lt;=5),1,""))</f>
        <v/>
      </c>
      <c r="P431" t="str">
        <f>IF(tblSalaries[[#This Row],[Years of Experience]]="","",IF(AND(tblSalaries[[#This Row],[Years of Experience]]&gt;5,tblSalaries[[#This Row],[Years of Experience]]&lt;=10),1,""))</f>
        <v/>
      </c>
      <c r="Q431" t="str">
        <f>IF(tblSalaries[[#This Row],[Years of Experience]]="","",IF(AND(tblSalaries[[#This Row],[Years of Experience]]&gt;10,tblSalaries[[#This Row],[Years of Experience]]&lt;=15),1,""))</f>
        <v/>
      </c>
      <c r="R431" t="str">
        <f>IF(tblSalaries[[#This Row],[Years of Experience]]="","",IF(AND(tblSalaries[[#This Row],[Years of Experience]]&gt;16,tblSalaries[[#This Row],[Years of Experience]]&lt;=20),1,""))</f>
        <v/>
      </c>
      <c r="S431" t="str">
        <f>IF(tblSalaries[[#This Row],[Years of Experience]]="","",IF(tblSalaries[[#This Row],[Years of Experience]]&gt;20,1,""))</f>
        <v/>
      </c>
      <c r="T4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1" s="13" t="str">
        <f>IF(tblSalaries[[#This Row],[Job Type]]=tblSalaries[[#Headers],[Accountant]],tblSalaries[[#This Row],[Salary in USD]],"")</f>
        <v/>
      </c>
      <c r="V431" s="13" t="str">
        <f>IF(tblSalaries[[#This Row],[Job Type]]=tblSalaries[[#Headers],[Analyst]],tblSalaries[[#This Row],[Salary in USD]],"")</f>
        <v/>
      </c>
      <c r="W431" s="13" t="str">
        <f>IF(tblSalaries[[#This Row],[Job Type]]=tblSalaries[[#Headers],[Consultant]],tblSalaries[[#This Row],[Salary in USD]],"")</f>
        <v/>
      </c>
      <c r="X431" s="13" t="str">
        <f>IF(tblSalaries[[#This Row],[Job Type]]=tblSalaries[[#Headers],[Controller]],tblSalaries[[#This Row],[Salary in USD]],"")</f>
        <v/>
      </c>
      <c r="Y431" s="13" t="str">
        <f>IF(tblSalaries[[#This Row],[Job Type]]=tblSalaries[[#Headers],[CXO or Top Mgmt.]],tblSalaries[[#This Row],[clean Salary (in local currency)]],"")</f>
        <v/>
      </c>
      <c r="Z431" s="13">
        <f>IF(tblSalaries[[#This Row],[Job Type]]=tblSalaries[[#Headers],[Engineer]],tblSalaries[[#This Row],[Salary in USD]],"")</f>
        <v>6629</v>
      </c>
      <c r="AA431" s="13" t="str">
        <f>IF(tblSalaries[[#This Row],[Job Type]]=tblSalaries[[#Headers],[Manager]],tblSalaries[[#This Row],[Salary in USD]],"")</f>
        <v/>
      </c>
      <c r="AB431" s="13" t="str">
        <f>IF(tblSalaries[[#This Row],[Job Type]]=tblSalaries[[#Headers],[Misc.]],tblSalaries[[#This Row],[Salary in USD]],"")</f>
        <v/>
      </c>
      <c r="AC431" s="13" t="str">
        <f>IF(tblSalaries[[#This Row],[Job Type]]=tblSalaries[[#Headers],[Reporting]],tblSalaries[[#This Row],[Salary in USD]],"")</f>
        <v/>
      </c>
      <c r="AD431" s="13" t="str">
        <f>IF(tblSalaries[[#This Row],[Job Type]]=tblSalaries[[#Headers],[Specialist]],tblSalaries[[#This Row],[Salary in USD]],"")</f>
        <v/>
      </c>
    </row>
    <row r="432" spans="2:30" ht="15" customHeight="1" x14ac:dyDescent="0.25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 s="9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  <c r="N432" t="str">
        <f>IF(tblSalaries[[#This Row],[Years of Experience]]="","",IF(tblSalaries[[#This Row],[Years of Experience]]&lt;=2,1,""))</f>
        <v/>
      </c>
      <c r="O432" t="str">
        <f>IF(tblSalaries[[#This Row],[Years of Experience]]="","",IF(AND(tblSalaries[[#This Row],[Years of Experience]]&gt;2,tblSalaries[[#This Row],[Years of Experience]]&lt;=5),1,""))</f>
        <v/>
      </c>
      <c r="P432" t="str">
        <f>IF(tblSalaries[[#This Row],[Years of Experience]]="","",IF(AND(tblSalaries[[#This Row],[Years of Experience]]&gt;5,tblSalaries[[#This Row],[Years of Experience]]&lt;=10),1,""))</f>
        <v/>
      </c>
      <c r="Q432" t="str">
        <f>IF(tblSalaries[[#This Row],[Years of Experience]]="","",IF(AND(tblSalaries[[#This Row],[Years of Experience]]&gt;10,tblSalaries[[#This Row],[Years of Experience]]&lt;=15),1,""))</f>
        <v/>
      </c>
      <c r="R432" t="str">
        <f>IF(tblSalaries[[#This Row],[Years of Experience]]="","",IF(AND(tblSalaries[[#This Row],[Years of Experience]]&gt;16,tblSalaries[[#This Row],[Years of Experience]]&lt;=20),1,""))</f>
        <v/>
      </c>
      <c r="S432" t="str">
        <f>IF(tblSalaries[[#This Row],[Years of Experience]]="","",IF(tblSalaries[[#This Row],[Years of Experience]]&gt;20,1,""))</f>
        <v/>
      </c>
      <c r="T4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2" s="13" t="str">
        <f>IF(tblSalaries[[#This Row],[Job Type]]=tblSalaries[[#Headers],[Accountant]],tblSalaries[[#This Row],[Salary in USD]],"")</f>
        <v/>
      </c>
      <c r="V432" s="13">
        <f>IF(tblSalaries[[#This Row],[Job Type]]=tblSalaries[[#Headers],[Analyst]],tblSalaries[[#This Row],[Salary in USD]],"")</f>
        <v>90000</v>
      </c>
      <c r="W432" s="13" t="str">
        <f>IF(tblSalaries[[#This Row],[Job Type]]=tblSalaries[[#Headers],[Consultant]],tblSalaries[[#This Row],[Salary in USD]],"")</f>
        <v/>
      </c>
      <c r="X432" s="13" t="str">
        <f>IF(tblSalaries[[#This Row],[Job Type]]=tblSalaries[[#Headers],[Controller]],tblSalaries[[#This Row],[Salary in USD]],"")</f>
        <v/>
      </c>
      <c r="Y432" s="13" t="str">
        <f>IF(tblSalaries[[#This Row],[Job Type]]=tblSalaries[[#Headers],[CXO or Top Mgmt.]],tblSalaries[[#This Row],[clean Salary (in local currency)]],"")</f>
        <v/>
      </c>
      <c r="Z432" s="13" t="str">
        <f>IF(tblSalaries[[#This Row],[Job Type]]=tblSalaries[[#Headers],[Engineer]],tblSalaries[[#This Row],[Salary in USD]],"")</f>
        <v/>
      </c>
      <c r="AA432" s="13" t="str">
        <f>IF(tblSalaries[[#This Row],[Job Type]]=tblSalaries[[#Headers],[Manager]],tblSalaries[[#This Row],[Salary in USD]],"")</f>
        <v/>
      </c>
      <c r="AB432" s="13" t="str">
        <f>IF(tblSalaries[[#This Row],[Job Type]]=tblSalaries[[#Headers],[Misc.]],tblSalaries[[#This Row],[Salary in USD]],"")</f>
        <v/>
      </c>
      <c r="AC432" s="13" t="str">
        <f>IF(tblSalaries[[#This Row],[Job Type]]=tblSalaries[[#Headers],[Reporting]],tblSalaries[[#This Row],[Salary in USD]],"")</f>
        <v/>
      </c>
      <c r="AD432" s="13" t="str">
        <f>IF(tblSalaries[[#This Row],[Job Type]]=tblSalaries[[#Headers],[Specialist]],tblSalaries[[#This Row],[Salary in USD]],"")</f>
        <v/>
      </c>
    </row>
    <row r="433" spans="2:30" ht="15" customHeight="1" x14ac:dyDescent="0.25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 s="9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  <c r="N433" t="str">
        <f>IF(tblSalaries[[#This Row],[Years of Experience]]="","",IF(tblSalaries[[#This Row],[Years of Experience]]&lt;=2,1,""))</f>
        <v/>
      </c>
      <c r="O433" t="str">
        <f>IF(tblSalaries[[#This Row],[Years of Experience]]="","",IF(AND(tblSalaries[[#This Row],[Years of Experience]]&gt;2,tblSalaries[[#This Row],[Years of Experience]]&lt;=5),1,""))</f>
        <v/>
      </c>
      <c r="P433" t="str">
        <f>IF(tblSalaries[[#This Row],[Years of Experience]]="","",IF(AND(tblSalaries[[#This Row],[Years of Experience]]&gt;5,tblSalaries[[#This Row],[Years of Experience]]&lt;=10),1,""))</f>
        <v/>
      </c>
      <c r="Q433" t="str">
        <f>IF(tblSalaries[[#This Row],[Years of Experience]]="","",IF(AND(tblSalaries[[#This Row],[Years of Experience]]&gt;10,tblSalaries[[#This Row],[Years of Experience]]&lt;=15),1,""))</f>
        <v/>
      </c>
      <c r="R433" t="str">
        <f>IF(tblSalaries[[#This Row],[Years of Experience]]="","",IF(AND(tblSalaries[[#This Row],[Years of Experience]]&gt;16,tblSalaries[[#This Row],[Years of Experience]]&lt;=20),1,""))</f>
        <v/>
      </c>
      <c r="S433" t="str">
        <f>IF(tblSalaries[[#This Row],[Years of Experience]]="","",IF(tblSalaries[[#This Row],[Years of Experience]]&gt;20,1,""))</f>
        <v/>
      </c>
      <c r="T4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3" s="13" t="str">
        <f>IF(tblSalaries[[#This Row],[Job Type]]=tblSalaries[[#Headers],[Accountant]],tblSalaries[[#This Row],[Salary in USD]],"")</f>
        <v/>
      </c>
      <c r="V433" s="13">
        <f>IF(tblSalaries[[#This Row],[Job Type]]=tblSalaries[[#Headers],[Analyst]],tblSalaries[[#This Row],[Salary in USD]],"")</f>
        <v>8500</v>
      </c>
      <c r="W433" s="13" t="str">
        <f>IF(tblSalaries[[#This Row],[Job Type]]=tblSalaries[[#Headers],[Consultant]],tblSalaries[[#This Row],[Salary in USD]],"")</f>
        <v/>
      </c>
      <c r="X433" s="13" t="str">
        <f>IF(tblSalaries[[#This Row],[Job Type]]=tblSalaries[[#Headers],[Controller]],tblSalaries[[#This Row],[Salary in USD]],"")</f>
        <v/>
      </c>
      <c r="Y433" s="13" t="str">
        <f>IF(tblSalaries[[#This Row],[Job Type]]=tblSalaries[[#Headers],[CXO or Top Mgmt.]],tblSalaries[[#This Row],[clean Salary (in local currency)]],"")</f>
        <v/>
      </c>
      <c r="Z433" s="13" t="str">
        <f>IF(tblSalaries[[#This Row],[Job Type]]=tblSalaries[[#Headers],[Engineer]],tblSalaries[[#This Row],[Salary in USD]],"")</f>
        <v/>
      </c>
      <c r="AA433" s="13" t="str">
        <f>IF(tblSalaries[[#This Row],[Job Type]]=tblSalaries[[#Headers],[Manager]],tblSalaries[[#This Row],[Salary in USD]],"")</f>
        <v/>
      </c>
      <c r="AB433" s="13" t="str">
        <f>IF(tblSalaries[[#This Row],[Job Type]]=tblSalaries[[#Headers],[Misc.]],tblSalaries[[#This Row],[Salary in USD]],"")</f>
        <v/>
      </c>
      <c r="AC433" s="13" t="str">
        <f>IF(tblSalaries[[#This Row],[Job Type]]=tblSalaries[[#Headers],[Reporting]],tblSalaries[[#This Row],[Salary in USD]],"")</f>
        <v/>
      </c>
      <c r="AD433" s="13" t="str">
        <f>IF(tblSalaries[[#This Row],[Job Type]]=tblSalaries[[#Headers],[Specialist]],tblSalaries[[#This Row],[Salary in USD]],"")</f>
        <v/>
      </c>
    </row>
    <row r="434" spans="2:30" ht="15" customHeight="1" x14ac:dyDescent="0.25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 s="9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  <c r="N434" t="str">
        <f>IF(tblSalaries[[#This Row],[Years of Experience]]="","",IF(tblSalaries[[#This Row],[Years of Experience]]&lt;=2,1,""))</f>
        <v/>
      </c>
      <c r="O434" t="str">
        <f>IF(tblSalaries[[#This Row],[Years of Experience]]="","",IF(AND(tblSalaries[[#This Row],[Years of Experience]]&gt;2,tblSalaries[[#This Row],[Years of Experience]]&lt;=5),1,""))</f>
        <v/>
      </c>
      <c r="P434" t="str">
        <f>IF(tblSalaries[[#This Row],[Years of Experience]]="","",IF(AND(tblSalaries[[#This Row],[Years of Experience]]&gt;5,tblSalaries[[#This Row],[Years of Experience]]&lt;=10),1,""))</f>
        <v/>
      </c>
      <c r="Q434" t="str">
        <f>IF(tblSalaries[[#This Row],[Years of Experience]]="","",IF(AND(tblSalaries[[#This Row],[Years of Experience]]&gt;10,tblSalaries[[#This Row],[Years of Experience]]&lt;=15),1,""))</f>
        <v/>
      </c>
      <c r="R434" t="str">
        <f>IF(tblSalaries[[#This Row],[Years of Experience]]="","",IF(AND(tblSalaries[[#This Row],[Years of Experience]]&gt;16,tblSalaries[[#This Row],[Years of Experience]]&lt;=20),1,""))</f>
        <v/>
      </c>
      <c r="S434" t="str">
        <f>IF(tblSalaries[[#This Row],[Years of Experience]]="","",IF(tblSalaries[[#This Row],[Years of Experience]]&gt;20,1,""))</f>
        <v/>
      </c>
      <c r="T4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4" s="13" t="str">
        <f>IF(tblSalaries[[#This Row],[Job Type]]=tblSalaries[[#Headers],[Accountant]],tblSalaries[[#This Row],[Salary in USD]],"")</f>
        <v/>
      </c>
      <c r="V434" s="13">
        <f>IF(tblSalaries[[#This Row],[Job Type]]=tblSalaries[[#Headers],[Analyst]],tblSalaries[[#This Row],[Salary in USD]],"")</f>
        <v>75000</v>
      </c>
      <c r="W434" s="13" t="str">
        <f>IF(tblSalaries[[#This Row],[Job Type]]=tblSalaries[[#Headers],[Consultant]],tblSalaries[[#This Row],[Salary in USD]],"")</f>
        <v/>
      </c>
      <c r="X434" s="13" t="str">
        <f>IF(tblSalaries[[#This Row],[Job Type]]=tblSalaries[[#Headers],[Controller]],tblSalaries[[#This Row],[Salary in USD]],"")</f>
        <v/>
      </c>
      <c r="Y434" s="13" t="str">
        <f>IF(tblSalaries[[#This Row],[Job Type]]=tblSalaries[[#Headers],[CXO or Top Mgmt.]],tblSalaries[[#This Row],[clean Salary (in local currency)]],"")</f>
        <v/>
      </c>
      <c r="Z434" s="13" t="str">
        <f>IF(tblSalaries[[#This Row],[Job Type]]=tblSalaries[[#Headers],[Engineer]],tblSalaries[[#This Row],[Salary in USD]],"")</f>
        <v/>
      </c>
      <c r="AA434" s="13" t="str">
        <f>IF(tblSalaries[[#This Row],[Job Type]]=tblSalaries[[#Headers],[Manager]],tblSalaries[[#This Row],[Salary in USD]],"")</f>
        <v/>
      </c>
      <c r="AB434" s="13" t="str">
        <f>IF(tblSalaries[[#This Row],[Job Type]]=tblSalaries[[#Headers],[Misc.]],tblSalaries[[#This Row],[Salary in USD]],"")</f>
        <v/>
      </c>
      <c r="AC434" s="13" t="str">
        <f>IF(tblSalaries[[#This Row],[Job Type]]=tblSalaries[[#Headers],[Reporting]],tblSalaries[[#This Row],[Salary in USD]],"")</f>
        <v/>
      </c>
      <c r="AD434" s="13" t="str">
        <f>IF(tblSalaries[[#This Row],[Job Type]]=tblSalaries[[#Headers],[Specialist]],tblSalaries[[#This Row],[Salary in USD]],"")</f>
        <v/>
      </c>
    </row>
    <row r="435" spans="2:30" ht="15" customHeight="1" x14ac:dyDescent="0.25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 s="9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  <c r="N435" t="str">
        <f>IF(tblSalaries[[#This Row],[Years of Experience]]="","",IF(tblSalaries[[#This Row],[Years of Experience]]&lt;=2,1,""))</f>
        <v/>
      </c>
      <c r="O435" t="str">
        <f>IF(tblSalaries[[#This Row],[Years of Experience]]="","",IF(AND(tblSalaries[[#This Row],[Years of Experience]]&gt;2,tblSalaries[[#This Row],[Years of Experience]]&lt;=5),1,""))</f>
        <v/>
      </c>
      <c r="P435" t="str">
        <f>IF(tblSalaries[[#This Row],[Years of Experience]]="","",IF(AND(tblSalaries[[#This Row],[Years of Experience]]&gt;5,tblSalaries[[#This Row],[Years of Experience]]&lt;=10),1,""))</f>
        <v/>
      </c>
      <c r="Q435" t="str">
        <f>IF(tblSalaries[[#This Row],[Years of Experience]]="","",IF(AND(tblSalaries[[#This Row],[Years of Experience]]&gt;10,tblSalaries[[#This Row],[Years of Experience]]&lt;=15),1,""))</f>
        <v/>
      </c>
      <c r="R435" t="str">
        <f>IF(tblSalaries[[#This Row],[Years of Experience]]="","",IF(AND(tblSalaries[[#This Row],[Years of Experience]]&gt;16,tblSalaries[[#This Row],[Years of Experience]]&lt;=20),1,""))</f>
        <v/>
      </c>
      <c r="S435" t="str">
        <f>IF(tblSalaries[[#This Row],[Years of Experience]]="","",IF(tblSalaries[[#This Row],[Years of Experience]]&gt;20,1,""))</f>
        <v/>
      </c>
      <c r="T4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5" s="13" t="str">
        <f>IF(tblSalaries[[#This Row],[Job Type]]=tblSalaries[[#Headers],[Accountant]],tblSalaries[[#This Row],[Salary in USD]],"")</f>
        <v/>
      </c>
      <c r="V435" s="13">
        <f>IF(tblSalaries[[#This Row],[Job Type]]=tblSalaries[[#Headers],[Analyst]],tblSalaries[[#This Row],[Salary in USD]],"")</f>
        <v>72000</v>
      </c>
      <c r="W435" s="13" t="str">
        <f>IF(tblSalaries[[#This Row],[Job Type]]=tblSalaries[[#Headers],[Consultant]],tblSalaries[[#This Row],[Salary in USD]],"")</f>
        <v/>
      </c>
      <c r="X435" s="13" t="str">
        <f>IF(tblSalaries[[#This Row],[Job Type]]=tblSalaries[[#Headers],[Controller]],tblSalaries[[#This Row],[Salary in USD]],"")</f>
        <v/>
      </c>
      <c r="Y435" s="13" t="str">
        <f>IF(tblSalaries[[#This Row],[Job Type]]=tblSalaries[[#Headers],[CXO or Top Mgmt.]],tblSalaries[[#This Row],[clean Salary (in local currency)]],"")</f>
        <v/>
      </c>
      <c r="Z435" s="13" t="str">
        <f>IF(tblSalaries[[#This Row],[Job Type]]=tblSalaries[[#Headers],[Engineer]],tblSalaries[[#This Row],[Salary in USD]],"")</f>
        <v/>
      </c>
      <c r="AA435" s="13" t="str">
        <f>IF(tblSalaries[[#This Row],[Job Type]]=tblSalaries[[#Headers],[Manager]],tblSalaries[[#This Row],[Salary in USD]],"")</f>
        <v/>
      </c>
      <c r="AB435" s="13" t="str">
        <f>IF(tblSalaries[[#This Row],[Job Type]]=tblSalaries[[#Headers],[Misc.]],tblSalaries[[#This Row],[Salary in USD]],"")</f>
        <v/>
      </c>
      <c r="AC435" s="13" t="str">
        <f>IF(tblSalaries[[#This Row],[Job Type]]=tblSalaries[[#Headers],[Reporting]],tblSalaries[[#This Row],[Salary in USD]],"")</f>
        <v/>
      </c>
      <c r="AD435" s="13" t="str">
        <f>IF(tblSalaries[[#This Row],[Job Type]]=tblSalaries[[#Headers],[Specialist]],tblSalaries[[#This Row],[Salary in USD]],"")</f>
        <v/>
      </c>
    </row>
    <row r="436" spans="2:30" ht="15" customHeight="1" x14ac:dyDescent="0.25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 s="9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  <c r="N436" t="str">
        <f>IF(tblSalaries[[#This Row],[Years of Experience]]="","",IF(tblSalaries[[#This Row],[Years of Experience]]&lt;=2,1,""))</f>
        <v/>
      </c>
      <c r="O436" t="str">
        <f>IF(tblSalaries[[#This Row],[Years of Experience]]="","",IF(AND(tblSalaries[[#This Row],[Years of Experience]]&gt;2,tblSalaries[[#This Row],[Years of Experience]]&lt;=5),1,""))</f>
        <v/>
      </c>
      <c r="P436" t="str">
        <f>IF(tblSalaries[[#This Row],[Years of Experience]]="","",IF(AND(tblSalaries[[#This Row],[Years of Experience]]&gt;5,tblSalaries[[#This Row],[Years of Experience]]&lt;=10),1,""))</f>
        <v/>
      </c>
      <c r="Q436" t="str">
        <f>IF(tblSalaries[[#This Row],[Years of Experience]]="","",IF(AND(tblSalaries[[#This Row],[Years of Experience]]&gt;10,tblSalaries[[#This Row],[Years of Experience]]&lt;=15),1,""))</f>
        <v/>
      </c>
      <c r="R436" t="str">
        <f>IF(tblSalaries[[#This Row],[Years of Experience]]="","",IF(AND(tblSalaries[[#This Row],[Years of Experience]]&gt;16,tblSalaries[[#This Row],[Years of Experience]]&lt;=20),1,""))</f>
        <v/>
      </c>
      <c r="S436" t="str">
        <f>IF(tblSalaries[[#This Row],[Years of Experience]]="","",IF(tblSalaries[[#This Row],[Years of Experience]]&gt;20,1,""))</f>
        <v/>
      </c>
      <c r="T4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6" s="13" t="str">
        <f>IF(tblSalaries[[#This Row],[Job Type]]=tblSalaries[[#Headers],[Accountant]],tblSalaries[[#This Row],[Salary in USD]],"")</f>
        <v/>
      </c>
      <c r="V436" s="13">
        <f>IF(tblSalaries[[#This Row],[Job Type]]=tblSalaries[[#Headers],[Analyst]],tblSalaries[[#This Row],[Salary in USD]],"")</f>
        <v>65000</v>
      </c>
      <c r="W436" s="13" t="str">
        <f>IF(tblSalaries[[#This Row],[Job Type]]=tblSalaries[[#Headers],[Consultant]],tblSalaries[[#This Row],[Salary in USD]],"")</f>
        <v/>
      </c>
      <c r="X436" s="13" t="str">
        <f>IF(tblSalaries[[#This Row],[Job Type]]=tblSalaries[[#Headers],[Controller]],tblSalaries[[#This Row],[Salary in USD]],"")</f>
        <v/>
      </c>
      <c r="Y436" s="13" t="str">
        <f>IF(tblSalaries[[#This Row],[Job Type]]=tblSalaries[[#Headers],[CXO or Top Mgmt.]],tblSalaries[[#This Row],[clean Salary (in local currency)]],"")</f>
        <v/>
      </c>
      <c r="Z436" s="13" t="str">
        <f>IF(tblSalaries[[#This Row],[Job Type]]=tblSalaries[[#Headers],[Engineer]],tblSalaries[[#This Row],[Salary in USD]],"")</f>
        <v/>
      </c>
      <c r="AA436" s="13" t="str">
        <f>IF(tblSalaries[[#This Row],[Job Type]]=tblSalaries[[#Headers],[Manager]],tblSalaries[[#This Row],[Salary in USD]],"")</f>
        <v/>
      </c>
      <c r="AB436" s="13" t="str">
        <f>IF(tblSalaries[[#This Row],[Job Type]]=tblSalaries[[#Headers],[Misc.]],tblSalaries[[#This Row],[Salary in USD]],"")</f>
        <v/>
      </c>
      <c r="AC436" s="13" t="str">
        <f>IF(tblSalaries[[#This Row],[Job Type]]=tblSalaries[[#Headers],[Reporting]],tblSalaries[[#This Row],[Salary in USD]],"")</f>
        <v/>
      </c>
      <c r="AD436" s="13" t="str">
        <f>IF(tblSalaries[[#This Row],[Job Type]]=tblSalaries[[#Headers],[Specialist]],tblSalaries[[#This Row],[Salary in USD]],"")</f>
        <v/>
      </c>
    </row>
    <row r="437" spans="2:30" ht="15" customHeight="1" x14ac:dyDescent="0.25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 s="9">
        <f>tblSalaries[[#This Row],[clean Salary (in local currency)]]*VLOOKUP(tblSalaries[[#This Row],[Currency]],tblXrate[],2,FALSE)</f>
        <v>120000</v>
      </c>
      <c r="H437" t="s">
        <v>139</v>
      </c>
      <c r="I437" t="s">
        <v>4001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  <c r="N437" t="str">
        <f>IF(tblSalaries[[#This Row],[Years of Experience]]="","",IF(tblSalaries[[#This Row],[Years of Experience]]&lt;=2,1,""))</f>
        <v/>
      </c>
      <c r="O437" t="str">
        <f>IF(tblSalaries[[#This Row],[Years of Experience]]="","",IF(AND(tblSalaries[[#This Row],[Years of Experience]]&gt;2,tblSalaries[[#This Row],[Years of Experience]]&lt;=5),1,""))</f>
        <v/>
      </c>
      <c r="P437" t="str">
        <f>IF(tblSalaries[[#This Row],[Years of Experience]]="","",IF(AND(tblSalaries[[#This Row],[Years of Experience]]&gt;5,tblSalaries[[#This Row],[Years of Experience]]&lt;=10),1,""))</f>
        <v/>
      </c>
      <c r="Q437" t="str">
        <f>IF(tblSalaries[[#This Row],[Years of Experience]]="","",IF(AND(tblSalaries[[#This Row],[Years of Experience]]&gt;10,tblSalaries[[#This Row],[Years of Experience]]&lt;=15),1,""))</f>
        <v/>
      </c>
      <c r="R437" t="str">
        <f>IF(tblSalaries[[#This Row],[Years of Experience]]="","",IF(AND(tblSalaries[[#This Row],[Years of Experience]]&gt;16,tblSalaries[[#This Row],[Years of Experience]]&lt;=20),1,""))</f>
        <v/>
      </c>
      <c r="S437" t="str">
        <f>IF(tblSalaries[[#This Row],[Years of Experience]]="","",IF(tblSalaries[[#This Row],[Years of Experience]]&gt;20,1,""))</f>
        <v/>
      </c>
      <c r="T4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7" s="13" t="str">
        <f>IF(tblSalaries[[#This Row],[Job Type]]=tblSalaries[[#Headers],[Accountant]],tblSalaries[[#This Row],[Salary in USD]],"")</f>
        <v/>
      </c>
      <c r="V437" s="13" t="str">
        <f>IF(tblSalaries[[#This Row],[Job Type]]=tblSalaries[[#Headers],[Analyst]],tblSalaries[[#This Row],[Salary in USD]],"")</f>
        <v/>
      </c>
      <c r="W437" s="13" t="str">
        <f>IF(tblSalaries[[#This Row],[Job Type]]=tblSalaries[[#Headers],[Consultant]],tblSalaries[[#This Row],[Salary in USD]],"")</f>
        <v/>
      </c>
      <c r="X437" s="13" t="str">
        <f>IF(tblSalaries[[#This Row],[Job Type]]=tblSalaries[[#Headers],[Controller]],tblSalaries[[#This Row],[Salary in USD]],"")</f>
        <v/>
      </c>
      <c r="Y437" s="13">
        <f>IF(tblSalaries[[#This Row],[Job Type]]=tblSalaries[[#Headers],[CXO or Top Mgmt.]],tblSalaries[[#This Row],[clean Salary (in local currency)]],"")</f>
        <v>120000</v>
      </c>
      <c r="Z437" s="13" t="str">
        <f>IF(tblSalaries[[#This Row],[Job Type]]=tblSalaries[[#Headers],[Engineer]],tblSalaries[[#This Row],[Salary in USD]],"")</f>
        <v/>
      </c>
      <c r="AA437" s="13" t="str">
        <f>IF(tblSalaries[[#This Row],[Job Type]]=tblSalaries[[#Headers],[Manager]],tblSalaries[[#This Row],[Salary in USD]],"")</f>
        <v/>
      </c>
      <c r="AB437" s="13" t="str">
        <f>IF(tblSalaries[[#This Row],[Job Type]]=tblSalaries[[#Headers],[Misc.]],tblSalaries[[#This Row],[Salary in USD]],"")</f>
        <v/>
      </c>
      <c r="AC437" s="13" t="str">
        <f>IF(tblSalaries[[#This Row],[Job Type]]=tblSalaries[[#Headers],[Reporting]],tblSalaries[[#This Row],[Salary in USD]],"")</f>
        <v/>
      </c>
      <c r="AD437" s="13" t="str">
        <f>IF(tblSalaries[[#This Row],[Job Type]]=tblSalaries[[#Headers],[Specialist]],tblSalaries[[#This Row],[Salary in USD]],"")</f>
        <v/>
      </c>
    </row>
    <row r="438" spans="2:30" ht="15" customHeight="1" x14ac:dyDescent="0.25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 s="9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  <c r="N438" t="str">
        <f>IF(tblSalaries[[#This Row],[Years of Experience]]="","",IF(tblSalaries[[#This Row],[Years of Experience]]&lt;=2,1,""))</f>
        <v/>
      </c>
      <c r="O438" t="str">
        <f>IF(tblSalaries[[#This Row],[Years of Experience]]="","",IF(AND(tblSalaries[[#This Row],[Years of Experience]]&gt;2,tblSalaries[[#This Row],[Years of Experience]]&lt;=5),1,""))</f>
        <v/>
      </c>
      <c r="P438" t="str">
        <f>IF(tblSalaries[[#This Row],[Years of Experience]]="","",IF(AND(tblSalaries[[#This Row],[Years of Experience]]&gt;5,tblSalaries[[#This Row],[Years of Experience]]&lt;=10),1,""))</f>
        <v/>
      </c>
      <c r="Q438" t="str">
        <f>IF(tblSalaries[[#This Row],[Years of Experience]]="","",IF(AND(tblSalaries[[#This Row],[Years of Experience]]&gt;10,tblSalaries[[#This Row],[Years of Experience]]&lt;=15),1,""))</f>
        <v/>
      </c>
      <c r="R438" t="str">
        <f>IF(tblSalaries[[#This Row],[Years of Experience]]="","",IF(AND(tblSalaries[[#This Row],[Years of Experience]]&gt;16,tblSalaries[[#This Row],[Years of Experience]]&lt;=20),1,""))</f>
        <v/>
      </c>
      <c r="S438" t="str">
        <f>IF(tblSalaries[[#This Row],[Years of Experience]]="","",IF(tblSalaries[[#This Row],[Years of Experience]]&gt;20,1,""))</f>
        <v/>
      </c>
      <c r="T4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8" s="13">
        <f>IF(tblSalaries[[#This Row],[Job Type]]=tblSalaries[[#Headers],[Accountant]],tblSalaries[[#This Row],[Salary in USD]],"")</f>
        <v>71231.666749770273</v>
      </c>
      <c r="V438" s="13" t="str">
        <f>IF(tblSalaries[[#This Row],[Job Type]]=tblSalaries[[#Headers],[Analyst]],tblSalaries[[#This Row],[Salary in USD]],"")</f>
        <v/>
      </c>
      <c r="W438" s="13" t="str">
        <f>IF(tblSalaries[[#This Row],[Job Type]]=tblSalaries[[#Headers],[Consultant]],tblSalaries[[#This Row],[Salary in USD]],"")</f>
        <v/>
      </c>
      <c r="X438" s="13" t="str">
        <f>IF(tblSalaries[[#This Row],[Job Type]]=tblSalaries[[#Headers],[Controller]],tblSalaries[[#This Row],[Salary in USD]],"")</f>
        <v/>
      </c>
      <c r="Y438" s="13" t="str">
        <f>IF(tblSalaries[[#This Row],[Job Type]]=tblSalaries[[#Headers],[CXO or Top Mgmt.]],tblSalaries[[#This Row],[clean Salary (in local currency)]],"")</f>
        <v/>
      </c>
      <c r="Z438" s="13" t="str">
        <f>IF(tblSalaries[[#This Row],[Job Type]]=tblSalaries[[#Headers],[Engineer]],tblSalaries[[#This Row],[Salary in USD]],"")</f>
        <v/>
      </c>
      <c r="AA438" s="13" t="str">
        <f>IF(tblSalaries[[#This Row],[Job Type]]=tblSalaries[[#Headers],[Manager]],tblSalaries[[#This Row],[Salary in USD]],"")</f>
        <v/>
      </c>
      <c r="AB438" s="13" t="str">
        <f>IF(tblSalaries[[#This Row],[Job Type]]=tblSalaries[[#Headers],[Misc.]],tblSalaries[[#This Row],[Salary in USD]],"")</f>
        <v/>
      </c>
      <c r="AC438" s="13" t="str">
        <f>IF(tblSalaries[[#This Row],[Job Type]]=tblSalaries[[#Headers],[Reporting]],tblSalaries[[#This Row],[Salary in USD]],"")</f>
        <v/>
      </c>
      <c r="AD438" s="13" t="str">
        <f>IF(tblSalaries[[#This Row],[Job Type]]=tblSalaries[[#Headers],[Specialist]],tblSalaries[[#This Row],[Salary in USD]],"")</f>
        <v/>
      </c>
    </row>
    <row r="439" spans="2:30" ht="15" customHeight="1" x14ac:dyDescent="0.25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 s="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  <c r="N439" t="str">
        <f>IF(tblSalaries[[#This Row],[Years of Experience]]="","",IF(tblSalaries[[#This Row],[Years of Experience]]&lt;=2,1,""))</f>
        <v/>
      </c>
      <c r="O439" t="str">
        <f>IF(tblSalaries[[#This Row],[Years of Experience]]="","",IF(AND(tblSalaries[[#This Row],[Years of Experience]]&gt;2,tblSalaries[[#This Row],[Years of Experience]]&lt;=5),1,""))</f>
        <v/>
      </c>
      <c r="P439" t="str">
        <f>IF(tblSalaries[[#This Row],[Years of Experience]]="","",IF(AND(tblSalaries[[#This Row],[Years of Experience]]&gt;5,tblSalaries[[#This Row],[Years of Experience]]&lt;=10),1,""))</f>
        <v/>
      </c>
      <c r="Q439" t="str">
        <f>IF(tblSalaries[[#This Row],[Years of Experience]]="","",IF(AND(tblSalaries[[#This Row],[Years of Experience]]&gt;10,tblSalaries[[#This Row],[Years of Experience]]&lt;=15),1,""))</f>
        <v/>
      </c>
      <c r="R439" t="str">
        <f>IF(tblSalaries[[#This Row],[Years of Experience]]="","",IF(AND(tblSalaries[[#This Row],[Years of Experience]]&gt;16,tblSalaries[[#This Row],[Years of Experience]]&lt;=20),1,""))</f>
        <v/>
      </c>
      <c r="S439" t="str">
        <f>IF(tblSalaries[[#This Row],[Years of Experience]]="","",IF(tblSalaries[[#This Row],[Years of Experience]]&gt;20,1,""))</f>
        <v/>
      </c>
      <c r="T4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39" s="13" t="str">
        <f>IF(tblSalaries[[#This Row],[Job Type]]=tblSalaries[[#Headers],[Accountant]],tblSalaries[[#This Row],[Salary in USD]],"")</f>
        <v/>
      </c>
      <c r="V439" s="13" t="str">
        <f>IF(tblSalaries[[#This Row],[Job Type]]=tblSalaries[[#Headers],[Analyst]],tblSalaries[[#This Row],[Salary in USD]],"")</f>
        <v/>
      </c>
      <c r="W439" s="13" t="str">
        <f>IF(tblSalaries[[#This Row],[Job Type]]=tblSalaries[[#Headers],[Consultant]],tblSalaries[[#This Row],[Salary in USD]],"")</f>
        <v/>
      </c>
      <c r="X439" s="13" t="str">
        <f>IF(tblSalaries[[#This Row],[Job Type]]=tblSalaries[[#Headers],[Controller]],tblSalaries[[#This Row],[Salary in USD]],"")</f>
        <v/>
      </c>
      <c r="Y439" s="13" t="str">
        <f>IF(tblSalaries[[#This Row],[Job Type]]=tblSalaries[[#Headers],[CXO or Top Mgmt.]],tblSalaries[[#This Row],[clean Salary (in local currency)]],"")</f>
        <v/>
      </c>
      <c r="Z439" s="13" t="str">
        <f>IF(tblSalaries[[#This Row],[Job Type]]=tblSalaries[[#Headers],[Engineer]],tblSalaries[[#This Row],[Salary in USD]],"")</f>
        <v/>
      </c>
      <c r="AA439" s="13">
        <f>IF(tblSalaries[[#This Row],[Job Type]]=tblSalaries[[#Headers],[Manager]],tblSalaries[[#This Row],[Salary in USD]],"")</f>
        <v>5342.3750062327708</v>
      </c>
      <c r="AB439" s="13" t="str">
        <f>IF(tblSalaries[[#This Row],[Job Type]]=tblSalaries[[#Headers],[Misc.]],tblSalaries[[#This Row],[Salary in USD]],"")</f>
        <v/>
      </c>
      <c r="AC439" s="13" t="str">
        <f>IF(tblSalaries[[#This Row],[Job Type]]=tblSalaries[[#Headers],[Reporting]],tblSalaries[[#This Row],[Salary in USD]],"")</f>
        <v/>
      </c>
      <c r="AD439" s="13" t="str">
        <f>IF(tblSalaries[[#This Row],[Job Type]]=tblSalaries[[#Headers],[Specialist]],tblSalaries[[#This Row],[Salary in USD]],"")</f>
        <v/>
      </c>
    </row>
    <row r="440" spans="2:30" ht="15" customHeight="1" x14ac:dyDescent="0.25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 s="9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  <c r="N440" t="str">
        <f>IF(tblSalaries[[#This Row],[Years of Experience]]="","",IF(tblSalaries[[#This Row],[Years of Experience]]&lt;=2,1,""))</f>
        <v/>
      </c>
      <c r="O440" t="str">
        <f>IF(tblSalaries[[#This Row],[Years of Experience]]="","",IF(AND(tblSalaries[[#This Row],[Years of Experience]]&gt;2,tblSalaries[[#This Row],[Years of Experience]]&lt;=5),1,""))</f>
        <v/>
      </c>
      <c r="P440" t="str">
        <f>IF(tblSalaries[[#This Row],[Years of Experience]]="","",IF(AND(tblSalaries[[#This Row],[Years of Experience]]&gt;5,tblSalaries[[#This Row],[Years of Experience]]&lt;=10),1,""))</f>
        <v/>
      </c>
      <c r="Q440" t="str">
        <f>IF(tblSalaries[[#This Row],[Years of Experience]]="","",IF(AND(tblSalaries[[#This Row],[Years of Experience]]&gt;10,tblSalaries[[#This Row],[Years of Experience]]&lt;=15),1,""))</f>
        <v/>
      </c>
      <c r="R440" t="str">
        <f>IF(tblSalaries[[#This Row],[Years of Experience]]="","",IF(AND(tblSalaries[[#This Row],[Years of Experience]]&gt;16,tblSalaries[[#This Row],[Years of Experience]]&lt;=20),1,""))</f>
        <v/>
      </c>
      <c r="S440" t="str">
        <f>IF(tblSalaries[[#This Row],[Years of Experience]]="","",IF(tblSalaries[[#This Row],[Years of Experience]]&gt;20,1,""))</f>
        <v/>
      </c>
      <c r="T4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0" s="13" t="str">
        <f>IF(tblSalaries[[#This Row],[Job Type]]=tblSalaries[[#Headers],[Accountant]],tblSalaries[[#This Row],[Salary in USD]],"")</f>
        <v/>
      </c>
      <c r="V440" s="13" t="str">
        <f>IF(tblSalaries[[#This Row],[Job Type]]=tblSalaries[[#Headers],[Analyst]],tblSalaries[[#This Row],[Salary in USD]],"")</f>
        <v/>
      </c>
      <c r="W440" s="13" t="str">
        <f>IF(tblSalaries[[#This Row],[Job Type]]=tblSalaries[[#Headers],[Consultant]],tblSalaries[[#This Row],[Salary in USD]],"")</f>
        <v/>
      </c>
      <c r="X440" s="13" t="str">
        <f>IF(tblSalaries[[#This Row],[Job Type]]=tblSalaries[[#Headers],[Controller]],tblSalaries[[#This Row],[Salary in USD]],"")</f>
        <v/>
      </c>
      <c r="Y440" s="13" t="str">
        <f>IF(tblSalaries[[#This Row],[Job Type]]=tblSalaries[[#Headers],[CXO or Top Mgmt.]],tblSalaries[[#This Row],[clean Salary (in local currency)]],"")</f>
        <v/>
      </c>
      <c r="Z440" s="13" t="str">
        <f>IF(tblSalaries[[#This Row],[Job Type]]=tblSalaries[[#Headers],[Engineer]],tblSalaries[[#This Row],[Salary in USD]],"")</f>
        <v/>
      </c>
      <c r="AA440" s="13">
        <f>IF(tblSalaries[[#This Row],[Job Type]]=tblSalaries[[#Headers],[Manager]],tblSalaries[[#This Row],[Salary in USD]],"")</f>
        <v>19588.708356186824</v>
      </c>
      <c r="AB440" s="13" t="str">
        <f>IF(tblSalaries[[#This Row],[Job Type]]=tblSalaries[[#Headers],[Misc.]],tblSalaries[[#This Row],[Salary in USD]],"")</f>
        <v/>
      </c>
      <c r="AC440" s="13" t="str">
        <f>IF(tblSalaries[[#This Row],[Job Type]]=tblSalaries[[#Headers],[Reporting]],tblSalaries[[#This Row],[Salary in USD]],"")</f>
        <v/>
      </c>
      <c r="AD440" s="13" t="str">
        <f>IF(tblSalaries[[#This Row],[Job Type]]=tblSalaries[[#Headers],[Specialist]],tblSalaries[[#This Row],[Salary in USD]],"")</f>
        <v/>
      </c>
    </row>
    <row r="441" spans="2:30" ht="15" customHeight="1" x14ac:dyDescent="0.25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 s="9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  <c r="N441" t="str">
        <f>IF(tblSalaries[[#This Row],[Years of Experience]]="","",IF(tblSalaries[[#This Row],[Years of Experience]]&lt;=2,1,""))</f>
        <v/>
      </c>
      <c r="O441" t="str">
        <f>IF(tblSalaries[[#This Row],[Years of Experience]]="","",IF(AND(tblSalaries[[#This Row],[Years of Experience]]&gt;2,tblSalaries[[#This Row],[Years of Experience]]&lt;=5),1,""))</f>
        <v/>
      </c>
      <c r="P441" t="str">
        <f>IF(tblSalaries[[#This Row],[Years of Experience]]="","",IF(AND(tblSalaries[[#This Row],[Years of Experience]]&gt;5,tblSalaries[[#This Row],[Years of Experience]]&lt;=10),1,""))</f>
        <v/>
      </c>
      <c r="Q441" t="str">
        <f>IF(tblSalaries[[#This Row],[Years of Experience]]="","",IF(AND(tblSalaries[[#This Row],[Years of Experience]]&gt;10,tblSalaries[[#This Row],[Years of Experience]]&lt;=15),1,""))</f>
        <v/>
      </c>
      <c r="R441" t="str">
        <f>IF(tblSalaries[[#This Row],[Years of Experience]]="","",IF(AND(tblSalaries[[#This Row],[Years of Experience]]&gt;16,tblSalaries[[#This Row],[Years of Experience]]&lt;=20),1,""))</f>
        <v/>
      </c>
      <c r="S441" t="str">
        <f>IF(tblSalaries[[#This Row],[Years of Experience]]="","",IF(tblSalaries[[#This Row],[Years of Experience]]&gt;20,1,""))</f>
        <v/>
      </c>
      <c r="T4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1" s="13" t="str">
        <f>IF(tblSalaries[[#This Row],[Job Type]]=tblSalaries[[#Headers],[Accountant]],tblSalaries[[#This Row],[Salary in USD]],"")</f>
        <v/>
      </c>
      <c r="V441" s="13">
        <f>IF(tblSalaries[[#This Row],[Job Type]]=tblSalaries[[#Headers],[Analyst]],tblSalaries[[#This Row],[Salary in USD]],"")</f>
        <v>80000</v>
      </c>
      <c r="W441" s="13" t="str">
        <f>IF(tblSalaries[[#This Row],[Job Type]]=tblSalaries[[#Headers],[Consultant]],tblSalaries[[#This Row],[Salary in USD]],"")</f>
        <v/>
      </c>
      <c r="X441" s="13" t="str">
        <f>IF(tblSalaries[[#This Row],[Job Type]]=tblSalaries[[#Headers],[Controller]],tblSalaries[[#This Row],[Salary in USD]],"")</f>
        <v/>
      </c>
      <c r="Y441" s="13" t="str">
        <f>IF(tblSalaries[[#This Row],[Job Type]]=tblSalaries[[#Headers],[CXO or Top Mgmt.]],tblSalaries[[#This Row],[clean Salary (in local currency)]],"")</f>
        <v/>
      </c>
      <c r="Z441" s="13" t="str">
        <f>IF(tblSalaries[[#This Row],[Job Type]]=tblSalaries[[#Headers],[Engineer]],tblSalaries[[#This Row],[Salary in USD]],"")</f>
        <v/>
      </c>
      <c r="AA441" s="13" t="str">
        <f>IF(tblSalaries[[#This Row],[Job Type]]=tblSalaries[[#Headers],[Manager]],tblSalaries[[#This Row],[Salary in USD]],"")</f>
        <v/>
      </c>
      <c r="AB441" s="13" t="str">
        <f>IF(tblSalaries[[#This Row],[Job Type]]=tblSalaries[[#Headers],[Misc.]],tblSalaries[[#This Row],[Salary in USD]],"")</f>
        <v/>
      </c>
      <c r="AC441" s="13" t="str">
        <f>IF(tblSalaries[[#This Row],[Job Type]]=tblSalaries[[#Headers],[Reporting]],tblSalaries[[#This Row],[Salary in USD]],"")</f>
        <v/>
      </c>
      <c r="AD441" s="13" t="str">
        <f>IF(tblSalaries[[#This Row],[Job Type]]=tblSalaries[[#Headers],[Specialist]],tblSalaries[[#This Row],[Salary in USD]],"")</f>
        <v/>
      </c>
    </row>
    <row r="442" spans="2:30" ht="15" customHeight="1" x14ac:dyDescent="0.25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 s="9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  <c r="N442" t="str">
        <f>IF(tblSalaries[[#This Row],[Years of Experience]]="","",IF(tblSalaries[[#This Row],[Years of Experience]]&lt;=2,1,""))</f>
        <v/>
      </c>
      <c r="O442" t="str">
        <f>IF(tblSalaries[[#This Row],[Years of Experience]]="","",IF(AND(tblSalaries[[#This Row],[Years of Experience]]&gt;2,tblSalaries[[#This Row],[Years of Experience]]&lt;=5),1,""))</f>
        <v/>
      </c>
      <c r="P442" t="str">
        <f>IF(tblSalaries[[#This Row],[Years of Experience]]="","",IF(AND(tblSalaries[[#This Row],[Years of Experience]]&gt;5,tblSalaries[[#This Row],[Years of Experience]]&lt;=10),1,""))</f>
        <v/>
      </c>
      <c r="Q442" t="str">
        <f>IF(tblSalaries[[#This Row],[Years of Experience]]="","",IF(AND(tblSalaries[[#This Row],[Years of Experience]]&gt;10,tblSalaries[[#This Row],[Years of Experience]]&lt;=15),1,""))</f>
        <v/>
      </c>
      <c r="R442" t="str">
        <f>IF(tblSalaries[[#This Row],[Years of Experience]]="","",IF(AND(tblSalaries[[#This Row],[Years of Experience]]&gt;16,tblSalaries[[#This Row],[Years of Experience]]&lt;=20),1,""))</f>
        <v/>
      </c>
      <c r="S442" t="str">
        <f>IF(tblSalaries[[#This Row],[Years of Experience]]="","",IF(tblSalaries[[#This Row],[Years of Experience]]&gt;20,1,""))</f>
        <v/>
      </c>
      <c r="T4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2" s="13" t="str">
        <f>IF(tblSalaries[[#This Row],[Job Type]]=tblSalaries[[#Headers],[Accountant]],tblSalaries[[#This Row],[Salary in USD]],"")</f>
        <v/>
      </c>
      <c r="V442" s="13" t="str">
        <f>IF(tblSalaries[[#This Row],[Job Type]]=tblSalaries[[#Headers],[Analyst]],tblSalaries[[#This Row],[Salary in USD]],"")</f>
        <v/>
      </c>
      <c r="W442" s="13" t="str">
        <f>IF(tblSalaries[[#This Row],[Job Type]]=tblSalaries[[#Headers],[Consultant]],tblSalaries[[#This Row],[Salary in USD]],"")</f>
        <v/>
      </c>
      <c r="X442" s="13" t="str">
        <f>IF(tblSalaries[[#This Row],[Job Type]]=tblSalaries[[#Headers],[Controller]],tblSalaries[[#This Row],[Salary in USD]],"")</f>
        <v/>
      </c>
      <c r="Y442" s="13" t="str">
        <f>IF(tblSalaries[[#This Row],[Job Type]]=tblSalaries[[#Headers],[CXO or Top Mgmt.]],tblSalaries[[#This Row],[clean Salary (in local currency)]],"")</f>
        <v/>
      </c>
      <c r="Z442" s="13" t="str">
        <f>IF(tblSalaries[[#This Row],[Job Type]]=tblSalaries[[#Headers],[Engineer]],tblSalaries[[#This Row],[Salary in USD]],"")</f>
        <v/>
      </c>
      <c r="AA442" s="13">
        <f>IF(tblSalaries[[#This Row],[Job Type]]=tblSalaries[[#Headers],[Manager]],tblSalaries[[#This Row],[Salary in USD]],"")</f>
        <v>53423.750062327701</v>
      </c>
      <c r="AB442" s="13" t="str">
        <f>IF(tblSalaries[[#This Row],[Job Type]]=tblSalaries[[#Headers],[Misc.]],tblSalaries[[#This Row],[Salary in USD]],"")</f>
        <v/>
      </c>
      <c r="AC442" s="13" t="str">
        <f>IF(tblSalaries[[#This Row],[Job Type]]=tblSalaries[[#Headers],[Reporting]],tblSalaries[[#This Row],[Salary in USD]],"")</f>
        <v/>
      </c>
      <c r="AD442" s="13" t="str">
        <f>IF(tblSalaries[[#This Row],[Job Type]]=tblSalaries[[#Headers],[Specialist]],tblSalaries[[#This Row],[Salary in USD]],"")</f>
        <v/>
      </c>
    </row>
    <row r="443" spans="2:30" ht="15" customHeight="1" x14ac:dyDescent="0.25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 s="9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  <c r="N443" t="str">
        <f>IF(tblSalaries[[#This Row],[Years of Experience]]="","",IF(tblSalaries[[#This Row],[Years of Experience]]&lt;=2,1,""))</f>
        <v/>
      </c>
      <c r="O443" t="str">
        <f>IF(tblSalaries[[#This Row],[Years of Experience]]="","",IF(AND(tblSalaries[[#This Row],[Years of Experience]]&gt;2,tblSalaries[[#This Row],[Years of Experience]]&lt;=5),1,""))</f>
        <v/>
      </c>
      <c r="P443" t="str">
        <f>IF(tblSalaries[[#This Row],[Years of Experience]]="","",IF(AND(tblSalaries[[#This Row],[Years of Experience]]&gt;5,tblSalaries[[#This Row],[Years of Experience]]&lt;=10),1,""))</f>
        <v/>
      </c>
      <c r="Q443" t="str">
        <f>IF(tblSalaries[[#This Row],[Years of Experience]]="","",IF(AND(tblSalaries[[#This Row],[Years of Experience]]&gt;10,tblSalaries[[#This Row],[Years of Experience]]&lt;=15),1,""))</f>
        <v/>
      </c>
      <c r="R443" t="str">
        <f>IF(tblSalaries[[#This Row],[Years of Experience]]="","",IF(AND(tblSalaries[[#This Row],[Years of Experience]]&gt;16,tblSalaries[[#This Row],[Years of Experience]]&lt;=20),1,""))</f>
        <v/>
      </c>
      <c r="S443" t="str">
        <f>IF(tblSalaries[[#This Row],[Years of Experience]]="","",IF(tblSalaries[[#This Row],[Years of Experience]]&gt;20,1,""))</f>
        <v/>
      </c>
      <c r="T4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3" s="13" t="str">
        <f>IF(tblSalaries[[#This Row],[Job Type]]=tblSalaries[[#Headers],[Accountant]],tblSalaries[[#This Row],[Salary in USD]],"")</f>
        <v/>
      </c>
      <c r="V443" s="13" t="str">
        <f>IF(tblSalaries[[#This Row],[Job Type]]=tblSalaries[[#Headers],[Analyst]],tblSalaries[[#This Row],[Salary in USD]],"")</f>
        <v/>
      </c>
      <c r="W443" s="13" t="str">
        <f>IF(tblSalaries[[#This Row],[Job Type]]=tblSalaries[[#Headers],[Consultant]],tblSalaries[[#This Row],[Salary in USD]],"")</f>
        <v/>
      </c>
      <c r="X443" s="13">
        <f>IF(tblSalaries[[#This Row],[Job Type]]=tblSalaries[[#Headers],[Controller]],tblSalaries[[#This Row],[Salary in USD]],"")</f>
        <v>108169.76753333595</v>
      </c>
      <c r="Y443" s="13" t="str">
        <f>IF(tblSalaries[[#This Row],[Job Type]]=tblSalaries[[#Headers],[CXO or Top Mgmt.]],tblSalaries[[#This Row],[clean Salary (in local currency)]],"")</f>
        <v/>
      </c>
      <c r="Z443" s="13" t="str">
        <f>IF(tblSalaries[[#This Row],[Job Type]]=tblSalaries[[#Headers],[Engineer]],tblSalaries[[#This Row],[Salary in USD]],"")</f>
        <v/>
      </c>
      <c r="AA443" s="13" t="str">
        <f>IF(tblSalaries[[#This Row],[Job Type]]=tblSalaries[[#Headers],[Manager]],tblSalaries[[#This Row],[Salary in USD]],"")</f>
        <v/>
      </c>
      <c r="AB443" s="13" t="str">
        <f>IF(tblSalaries[[#This Row],[Job Type]]=tblSalaries[[#Headers],[Misc.]],tblSalaries[[#This Row],[Salary in USD]],"")</f>
        <v/>
      </c>
      <c r="AC443" s="13" t="str">
        <f>IF(tblSalaries[[#This Row],[Job Type]]=tblSalaries[[#Headers],[Reporting]],tblSalaries[[#This Row],[Salary in USD]],"")</f>
        <v/>
      </c>
      <c r="AD443" s="13" t="str">
        <f>IF(tblSalaries[[#This Row],[Job Type]]=tblSalaries[[#Headers],[Specialist]],tblSalaries[[#This Row],[Salary in USD]],"")</f>
        <v/>
      </c>
    </row>
    <row r="444" spans="2:30" ht="15" customHeight="1" x14ac:dyDescent="0.25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 s="9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  <c r="N444" t="str">
        <f>IF(tblSalaries[[#This Row],[Years of Experience]]="","",IF(tblSalaries[[#This Row],[Years of Experience]]&lt;=2,1,""))</f>
        <v/>
      </c>
      <c r="O444" t="str">
        <f>IF(tblSalaries[[#This Row],[Years of Experience]]="","",IF(AND(tblSalaries[[#This Row],[Years of Experience]]&gt;2,tblSalaries[[#This Row],[Years of Experience]]&lt;=5),1,""))</f>
        <v/>
      </c>
      <c r="P444" t="str">
        <f>IF(tblSalaries[[#This Row],[Years of Experience]]="","",IF(AND(tblSalaries[[#This Row],[Years of Experience]]&gt;5,tblSalaries[[#This Row],[Years of Experience]]&lt;=10),1,""))</f>
        <v/>
      </c>
      <c r="Q444" t="str">
        <f>IF(tblSalaries[[#This Row],[Years of Experience]]="","",IF(AND(tblSalaries[[#This Row],[Years of Experience]]&gt;10,tblSalaries[[#This Row],[Years of Experience]]&lt;=15),1,""))</f>
        <v/>
      </c>
      <c r="R444" t="str">
        <f>IF(tblSalaries[[#This Row],[Years of Experience]]="","",IF(AND(tblSalaries[[#This Row],[Years of Experience]]&gt;16,tblSalaries[[#This Row],[Years of Experience]]&lt;=20),1,""))</f>
        <v/>
      </c>
      <c r="S444" t="str">
        <f>IF(tblSalaries[[#This Row],[Years of Experience]]="","",IF(tblSalaries[[#This Row],[Years of Experience]]&gt;20,1,""))</f>
        <v/>
      </c>
      <c r="T4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4" s="13" t="str">
        <f>IF(tblSalaries[[#This Row],[Job Type]]=tblSalaries[[#Headers],[Accountant]],tblSalaries[[#This Row],[Salary in USD]],"")</f>
        <v/>
      </c>
      <c r="V444" s="13" t="str">
        <f>IF(tblSalaries[[#This Row],[Job Type]]=tblSalaries[[#Headers],[Analyst]],tblSalaries[[#This Row],[Salary in USD]],"")</f>
        <v/>
      </c>
      <c r="W444" s="13" t="str">
        <f>IF(tblSalaries[[#This Row],[Job Type]]=tblSalaries[[#Headers],[Consultant]],tblSalaries[[#This Row],[Salary in USD]],"")</f>
        <v/>
      </c>
      <c r="X444" s="13" t="str">
        <f>IF(tblSalaries[[#This Row],[Job Type]]=tblSalaries[[#Headers],[Controller]],tblSalaries[[#This Row],[Salary in USD]],"")</f>
        <v/>
      </c>
      <c r="Y444" s="13" t="str">
        <f>IF(tblSalaries[[#This Row],[Job Type]]=tblSalaries[[#Headers],[CXO or Top Mgmt.]],tblSalaries[[#This Row],[clean Salary (in local currency)]],"")</f>
        <v/>
      </c>
      <c r="Z444" s="13" t="str">
        <f>IF(tblSalaries[[#This Row],[Job Type]]=tblSalaries[[#Headers],[Engineer]],tblSalaries[[#This Row],[Salary in USD]],"")</f>
        <v/>
      </c>
      <c r="AA444" s="13">
        <f>IF(tblSalaries[[#This Row],[Job Type]]=tblSalaries[[#Headers],[Manager]],tblSalaries[[#This Row],[Salary in USD]],"")</f>
        <v>51000</v>
      </c>
      <c r="AB444" s="13" t="str">
        <f>IF(tblSalaries[[#This Row],[Job Type]]=tblSalaries[[#Headers],[Misc.]],tblSalaries[[#This Row],[Salary in USD]],"")</f>
        <v/>
      </c>
      <c r="AC444" s="13" t="str">
        <f>IF(tblSalaries[[#This Row],[Job Type]]=tblSalaries[[#Headers],[Reporting]],tblSalaries[[#This Row],[Salary in USD]],"")</f>
        <v/>
      </c>
      <c r="AD444" s="13" t="str">
        <f>IF(tblSalaries[[#This Row],[Job Type]]=tblSalaries[[#Headers],[Specialist]],tblSalaries[[#This Row],[Salary in USD]],"")</f>
        <v/>
      </c>
    </row>
    <row r="445" spans="2:30" ht="15" customHeight="1" x14ac:dyDescent="0.25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 s="9">
        <f>tblSalaries[[#This Row],[clean Salary (in local currency)]]*VLOOKUP(tblSalaries[[#This Row],[Currency]],tblXrate[],2,FALSE)</f>
        <v>5000</v>
      </c>
      <c r="H445" t="s">
        <v>544</v>
      </c>
      <c r="I445" t="s">
        <v>3999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  <c r="N445" t="str">
        <f>IF(tblSalaries[[#This Row],[Years of Experience]]="","",IF(tblSalaries[[#This Row],[Years of Experience]]&lt;=2,1,""))</f>
        <v/>
      </c>
      <c r="O445" t="str">
        <f>IF(tblSalaries[[#This Row],[Years of Experience]]="","",IF(AND(tblSalaries[[#This Row],[Years of Experience]]&gt;2,tblSalaries[[#This Row],[Years of Experience]]&lt;=5),1,""))</f>
        <v/>
      </c>
      <c r="P445" t="str">
        <f>IF(tblSalaries[[#This Row],[Years of Experience]]="","",IF(AND(tblSalaries[[#This Row],[Years of Experience]]&gt;5,tblSalaries[[#This Row],[Years of Experience]]&lt;=10),1,""))</f>
        <v/>
      </c>
      <c r="Q445" t="str">
        <f>IF(tblSalaries[[#This Row],[Years of Experience]]="","",IF(AND(tblSalaries[[#This Row],[Years of Experience]]&gt;10,tblSalaries[[#This Row],[Years of Experience]]&lt;=15),1,""))</f>
        <v/>
      </c>
      <c r="R445" t="str">
        <f>IF(tblSalaries[[#This Row],[Years of Experience]]="","",IF(AND(tblSalaries[[#This Row],[Years of Experience]]&gt;16,tblSalaries[[#This Row],[Years of Experience]]&lt;=20),1,""))</f>
        <v/>
      </c>
      <c r="S445" t="str">
        <f>IF(tblSalaries[[#This Row],[Years of Experience]]="","",IF(tblSalaries[[#This Row],[Years of Experience]]&gt;20,1,""))</f>
        <v/>
      </c>
      <c r="T4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5" s="13" t="str">
        <f>IF(tblSalaries[[#This Row],[Job Type]]=tblSalaries[[#Headers],[Accountant]],tblSalaries[[#This Row],[Salary in USD]],"")</f>
        <v/>
      </c>
      <c r="V445" s="13" t="str">
        <f>IF(tblSalaries[[#This Row],[Job Type]]=tblSalaries[[#Headers],[Analyst]],tblSalaries[[#This Row],[Salary in USD]],"")</f>
        <v/>
      </c>
      <c r="W445" s="13" t="str">
        <f>IF(tblSalaries[[#This Row],[Job Type]]=tblSalaries[[#Headers],[Consultant]],tblSalaries[[#This Row],[Salary in USD]],"")</f>
        <v/>
      </c>
      <c r="X445" s="13" t="str">
        <f>IF(tblSalaries[[#This Row],[Job Type]]=tblSalaries[[#Headers],[Controller]],tblSalaries[[#This Row],[Salary in USD]],"")</f>
        <v/>
      </c>
      <c r="Y445" s="13" t="str">
        <f>IF(tblSalaries[[#This Row],[Job Type]]=tblSalaries[[#Headers],[CXO or Top Mgmt.]],tblSalaries[[#This Row],[clean Salary (in local currency)]],"")</f>
        <v/>
      </c>
      <c r="Z445" s="13" t="str">
        <f>IF(tblSalaries[[#This Row],[Job Type]]=tblSalaries[[#Headers],[Engineer]],tblSalaries[[#This Row],[Salary in USD]],"")</f>
        <v/>
      </c>
      <c r="AA445" s="13" t="str">
        <f>IF(tblSalaries[[#This Row],[Job Type]]=tblSalaries[[#Headers],[Manager]],tblSalaries[[#This Row],[Salary in USD]],"")</f>
        <v/>
      </c>
      <c r="AB445" s="13" t="str">
        <f>IF(tblSalaries[[#This Row],[Job Type]]=tblSalaries[[#Headers],[Misc.]],tblSalaries[[#This Row],[Salary in USD]],"")</f>
        <v/>
      </c>
      <c r="AC445" s="13">
        <f>IF(tblSalaries[[#This Row],[Job Type]]=tblSalaries[[#Headers],[Reporting]],tblSalaries[[#This Row],[Salary in USD]],"")</f>
        <v>5000</v>
      </c>
      <c r="AD445" s="13" t="str">
        <f>IF(tblSalaries[[#This Row],[Job Type]]=tblSalaries[[#Headers],[Specialist]],tblSalaries[[#This Row],[Salary in USD]],"")</f>
        <v/>
      </c>
    </row>
    <row r="446" spans="2:30" ht="15" customHeight="1" x14ac:dyDescent="0.25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 s="9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  <c r="N446" t="str">
        <f>IF(tblSalaries[[#This Row],[Years of Experience]]="","",IF(tblSalaries[[#This Row],[Years of Experience]]&lt;=2,1,""))</f>
        <v/>
      </c>
      <c r="O446" t="str">
        <f>IF(tblSalaries[[#This Row],[Years of Experience]]="","",IF(AND(tblSalaries[[#This Row],[Years of Experience]]&gt;2,tblSalaries[[#This Row],[Years of Experience]]&lt;=5),1,""))</f>
        <v/>
      </c>
      <c r="P446" t="str">
        <f>IF(tblSalaries[[#This Row],[Years of Experience]]="","",IF(AND(tblSalaries[[#This Row],[Years of Experience]]&gt;5,tblSalaries[[#This Row],[Years of Experience]]&lt;=10),1,""))</f>
        <v/>
      </c>
      <c r="Q446" t="str">
        <f>IF(tblSalaries[[#This Row],[Years of Experience]]="","",IF(AND(tblSalaries[[#This Row],[Years of Experience]]&gt;10,tblSalaries[[#This Row],[Years of Experience]]&lt;=15),1,""))</f>
        <v/>
      </c>
      <c r="R446" t="str">
        <f>IF(tblSalaries[[#This Row],[Years of Experience]]="","",IF(AND(tblSalaries[[#This Row],[Years of Experience]]&gt;16,tblSalaries[[#This Row],[Years of Experience]]&lt;=20),1,""))</f>
        <v/>
      </c>
      <c r="S446" t="str">
        <f>IF(tblSalaries[[#This Row],[Years of Experience]]="","",IF(tblSalaries[[#This Row],[Years of Experience]]&gt;20,1,""))</f>
        <v/>
      </c>
      <c r="T4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6" s="13" t="str">
        <f>IF(tblSalaries[[#This Row],[Job Type]]=tblSalaries[[#Headers],[Accountant]],tblSalaries[[#This Row],[Salary in USD]],"")</f>
        <v/>
      </c>
      <c r="V446" s="13" t="str">
        <f>IF(tblSalaries[[#This Row],[Job Type]]=tblSalaries[[#Headers],[Analyst]],tblSalaries[[#This Row],[Salary in USD]],"")</f>
        <v/>
      </c>
      <c r="W446" s="13" t="str">
        <f>IF(tblSalaries[[#This Row],[Job Type]]=tblSalaries[[#Headers],[Consultant]],tblSalaries[[#This Row],[Salary in USD]],"")</f>
        <v/>
      </c>
      <c r="X446" s="13" t="str">
        <f>IF(tblSalaries[[#This Row],[Job Type]]=tblSalaries[[#Headers],[Controller]],tblSalaries[[#This Row],[Salary in USD]],"")</f>
        <v/>
      </c>
      <c r="Y446" s="13" t="str">
        <f>IF(tblSalaries[[#This Row],[Job Type]]=tblSalaries[[#Headers],[CXO or Top Mgmt.]],tblSalaries[[#This Row],[clean Salary (in local currency)]],"")</f>
        <v/>
      </c>
      <c r="Z446" s="13">
        <f>IF(tblSalaries[[#This Row],[Job Type]]=tblSalaries[[#Headers],[Engineer]],tblSalaries[[#This Row],[Salary in USD]],"")</f>
        <v>74000</v>
      </c>
      <c r="AA446" s="13" t="str">
        <f>IF(tblSalaries[[#This Row],[Job Type]]=tblSalaries[[#Headers],[Manager]],tblSalaries[[#This Row],[Salary in USD]],"")</f>
        <v/>
      </c>
      <c r="AB446" s="13" t="str">
        <f>IF(tblSalaries[[#This Row],[Job Type]]=tblSalaries[[#Headers],[Misc.]],tblSalaries[[#This Row],[Salary in USD]],"")</f>
        <v/>
      </c>
      <c r="AC446" s="13" t="str">
        <f>IF(tblSalaries[[#This Row],[Job Type]]=tblSalaries[[#Headers],[Reporting]],tblSalaries[[#This Row],[Salary in USD]],"")</f>
        <v/>
      </c>
      <c r="AD446" s="13" t="str">
        <f>IF(tblSalaries[[#This Row],[Job Type]]=tblSalaries[[#Headers],[Specialist]],tblSalaries[[#This Row],[Salary in USD]],"")</f>
        <v/>
      </c>
    </row>
    <row r="447" spans="2:30" ht="15" customHeight="1" x14ac:dyDescent="0.25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 s="9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  <c r="N447" t="str">
        <f>IF(tblSalaries[[#This Row],[Years of Experience]]="","",IF(tblSalaries[[#This Row],[Years of Experience]]&lt;=2,1,""))</f>
        <v/>
      </c>
      <c r="O447" t="str">
        <f>IF(tblSalaries[[#This Row],[Years of Experience]]="","",IF(AND(tblSalaries[[#This Row],[Years of Experience]]&gt;2,tblSalaries[[#This Row],[Years of Experience]]&lt;=5),1,""))</f>
        <v/>
      </c>
      <c r="P447" t="str">
        <f>IF(tblSalaries[[#This Row],[Years of Experience]]="","",IF(AND(tblSalaries[[#This Row],[Years of Experience]]&gt;5,tblSalaries[[#This Row],[Years of Experience]]&lt;=10),1,""))</f>
        <v/>
      </c>
      <c r="Q447" t="str">
        <f>IF(tblSalaries[[#This Row],[Years of Experience]]="","",IF(AND(tblSalaries[[#This Row],[Years of Experience]]&gt;10,tblSalaries[[#This Row],[Years of Experience]]&lt;=15),1,""))</f>
        <v/>
      </c>
      <c r="R447" t="str">
        <f>IF(tblSalaries[[#This Row],[Years of Experience]]="","",IF(AND(tblSalaries[[#This Row],[Years of Experience]]&gt;16,tblSalaries[[#This Row],[Years of Experience]]&lt;=20),1,""))</f>
        <v/>
      </c>
      <c r="S447" t="str">
        <f>IF(tblSalaries[[#This Row],[Years of Experience]]="","",IF(tblSalaries[[#This Row],[Years of Experience]]&gt;20,1,""))</f>
        <v/>
      </c>
      <c r="T4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7" s="13" t="str">
        <f>IF(tblSalaries[[#This Row],[Job Type]]=tblSalaries[[#Headers],[Accountant]],tblSalaries[[#This Row],[Salary in USD]],"")</f>
        <v/>
      </c>
      <c r="V447" s="13" t="str">
        <f>IF(tblSalaries[[#This Row],[Job Type]]=tblSalaries[[#Headers],[Analyst]],tblSalaries[[#This Row],[Salary in USD]],"")</f>
        <v/>
      </c>
      <c r="W447" s="13">
        <f>IF(tblSalaries[[#This Row],[Job Type]]=tblSalaries[[#Headers],[Consultant]],tblSalaries[[#This Row],[Salary in USD]],"")</f>
        <v>94570.696324037053</v>
      </c>
      <c r="X447" s="13" t="str">
        <f>IF(tblSalaries[[#This Row],[Job Type]]=tblSalaries[[#Headers],[Controller]],tblSalaries[[#This Row],[Salary in USD]],"")</f>
        <v/>
      </c>
      <c r="Y447" s="13" t="str">
        <f>IF(tblSalaries[[#This Row],[Job Type]]=tblSalaries[[#Headers],[CXO or Top Mgmt.]],tblSalaries[[#This Row],[clean Salary (in local currency)]],"")</f>
        <v/>
      </c>
      <c r="Z447" s="13" t="str">
        <f>IF(tblSalaries[[#This Row],[Job Type]]=tblSalaries[[#Headers],[Engineer]],tblSalaries[[#This Row],[Salary in USD]],"")</f>
        <v/>
      </c>
      <c r="AA447" s="13" t="str">
        <f>IF(tblSalaries[[#This Row],[Job Type]]=tblSalaries[[#Headers],[Manager]],tblSalaries[[#This Row],[Salary in USD]],"")</f>
        <v/>
      </c>
      <c r="AB447" s="13" t="str">
        <f>IF(tblSalaries[[#This Row],[Job Type]]=tblSalaries[[#Headers],[Misc.]],tblSalaries[[#This Row],[Salary in USD]],"")</f>
        <v/>
      </c>
      <c r="AC447" s="13" t="str">
        <f>IF(tblSalaries[[#This Row],[Job Type]]=tblSalaries[[#Headers],[Reporting]],tblSalaries[[#This Row],[Salary in USD]],"")</f>
        <v/>
      </c>
      <c r="AD447" s="13" t="str">
        <f>IF(tblSalaries[[#This Row],[Job Type]]=tblSalaries[[#Headers],[Specialist]],tblSalaries[[#This Row],[Salary in USD]],"")</f>
        <v/>
      </c>
    </row>
    <row r="448" spans="2:30" ht="15" customHeight="1" x14ac:dyDescent="0.25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 s="9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  <c r="N448" t="str">
        <f>IF(tblSalaries[[#This Row],[Years of Experience]]="","",IF(tblSalaries[[#This Row],[Years of Experience]]&lt;=2,1,""))</f>
        <v/>
      </c>
      <c r="O448" t="str">
        <f>IF(tblSalaries[[#This Row],[Years of Experience]]="","",IF(AND(tblSalaries[[#This Row],[Years of Experience]]&gt;2,tblSalaries[[#This Row],[Years of Experience]]&lt;=5),1,""))</f>
        <v/>
      </c>
      <c r="P448" t="str">
        <f>IF(tblSalaries[[#This Row],[Years of Experience]]="","",IF(AND(tblSalaries[[#This Row],[Years of Experience]]&gt;5,tblSalaries[[#This Row],[Years of Experience]]&lt;=10),1,""))</f>
        <v/>
      </c>
      <c r="Q448" t="str">
        <f>IF(tblSalaries[[#This Row],[Years of Experience]]="","",IF(AND(tblSalaries[[#This Row],[Years of Experience]]&gt;10,tblSalaries[[#This Row],[Years of Experience]]&lt;=15),1,""))</f>
        <v/>
      </c>
      <c r="R448" t="str">
        <f>IF(tblSalaries[[#This Row],[Years of Experience]]="","",IF(AND(tblSalaries[[#This Row],[Years of Experience]]&gt;16,tblSalaries[[#This Row],[Years of Experience]]&lt;=20),1,""))</f>
        <v/>
      </c>
      <c r="S448" t="str">
        <f>IF(tblSalaries[[#This Row],[Years of Experience]]="","",IF(tblSalaries[[#This Row],[Years of Experience]]&gt;20,1,""))</f>
        <v/>
      </c>
      <c r="T4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8" s="13" t="str">
        <f>IF(tblSalaries[[#This Row],[Job Type]]=tblSalaries[[#Headers],[Accountant]],tblSalaries[[#This Row],[Salary in USD]],"")</f>
        <v/>
      </c>
      <c r="V448" s="13">
        <f>IF(tblSalaries[[#This Row],[Job Type]]=tblSalaries[[#Headers],[Analyst]],tblSalaries[[#This Row],[Salary in USD]],"")</f>
        <v>50000</v>
      </c>
      <c r="W448" s="13" t="str">
        <f>IF(tblSalaries[[#This Row],[Job Type]]=tblSalaries[[#Headers],[Consultant]],tblSalaries[[#This Row],[Salary in USD]],"")</f>
        <v/>
      </c>
      <c r="X448" s="13" t="str">
        <f>IF(tblSalaries[[#This Row],[Job Type]]=tblSalaries[[#Headers],[Controller]],tblSalaries[[#This Row],[Salary in USD]],"")</f>
        <v/>
      </c>
      <c r="Y448" s="13" t="str">
        <f>IF(tblSalaries[[#This Row],[Job Type]]=tblSalaries[[#Headers],[CXO or Top Mgmt.]],tblSalaries[[#This Row],[clean Salary (in local currency)]],"")</f>
        <v/>
      </c>
      <c r="Z448" s="13" t="str">
        <f>IF(tblSalaries[[#This Row],[Job Type]]=tblSalaries[[#Headers],[Engineer]],tblSalaries[[#This Row],[Salary in USD]],"")</f>
        <v/>
      </c>
      <c r="AA448" s="13" t="str">
        <f>IF(tblSalaries[[#This Row],[Job Type]]=tblSalaries[[#Headers],[Manager]],tblSalaries[[#This Row],[Salary in USD]],"")</f>
        <v/>
      </c>
      <c r="AB448" s="13" t="str">
        <f>IF(tblSalaries[[#This Row],[Job Type]]=tblSalaries[[#Headers],[Misc.]],tblSalaries[[#This Row],[Salary in USD]],"")</f>
        <v/>
      </c>
      <c r="AC448" s="13" t="str">
        <f>IF(tblSalaries[[#This Row],[Job Type]]=tblSalaries[[#Headers],[Reporting]],tblSalaries[[#This Row],[Salary in USD]],"")</f>
        <v/>
      </c>
      <c r="AD448" s="13" t="str">
        <f>IF(tblSalaries[[#This Row],[Job Type]]=tblSalaries[[#Headers],[Specialist]],tblSalaries[[#This Row],[Salary in USD]],"")</f>
        <v/>
      </c>
    </row>
    <row r="449" spans="2:30" ht="15" customHeight="1" x14ac:dyDescent="0.25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 s="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  <c r="N449" t="str">
        <f>IF(tblSalaries[[#This Row],[Years of Experience]]="","",IF(tblSalaries[[#This Row],[Years of Experience]]&lt;=2,1,""))</f>
        <v/>
      </c>
      <c r="O449" t="str">
        <f>IF(tblSalaries[[#This Row],[Years of Experience]]="","",IF(AND(tblSalaries[[#This Row],[Years of Experience]]&gt;2,tblSalaries[[#This Row],[Years of Experience]]&lt;=5),1,""))</f>
        <v/>
      </c>
      <c r="P449" t="str">
        <f>IF(tblSalaries[[#This Row],[Years of Experience]]="","",IF(AND(tblSalaries[[#This Row],[Years of Experience]]&gt;5,tblSalaries[[#This Row],[Years of Experience]]&lt;=10),1,""))</f>
        <v/>
      </c>
      <c r="Q449" t="str">
        <f>IF(tblSalaries[[#This Row],[Years of Experience]]="","",IF(AND(tblSalaries[[#This Row],[Years of Experience]]&gt;10,tblSalaries[[#This Row],[Years of Experience]]&lt;=15),1,""))</f>
        <v/>
      </c>
      <c r="R449" t="str">
        <f>IF(tblSalaries[[#This Row],[Years of Experience]]="","",IF(AND(tblSalaries[[#This Row],[Years of Experience]]&gt;16,tblSalaries[[#This Row],[Years of Experience]]&lt;=20),1,""))</f>
        <v/>
      </c>
      <c r="S449" t="str">
        <f>IF(tblSalaries[[#This Row],[Years of Experience]]="","",IF(tblSalaries[[#This Row],[Years of Experience]]&gt;20,1,""))</f>
        <v/>
      </c>
      <c r="T4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49" s="13" t="str">
        <f>IF(tblSalaries[[#This Row],[Job Type]]=tblSalaries[[#Headers],[Accountant]],tblSalaries[[#This Row],[Salary in USD]],"")</f>
        <v/>
      </c>
      <c r="V449" s="13">
        <f>IF(tblSalaries[[#This Row],[Job Type]]=tblSalaries[[#Headers],[Analyst]],tblSalaries[[#This Row],[Salary in USD]],"")</f>
        <v>8903.9583437212841</v>
      </c>
      <c r="W449" s="13" t="str">
        <f>IF(tblSalaries[[#This Row],[Job Type]]=tblSalaries[[#Headers],[Consultant]],tblSalaries[[#This Row],[Salary in USD]],"")</f>
        <v/>
      </c>
      <c r="X449" s="13" t="str">
        <f>IF(tblSalaries[[#This Row],[Job Type]]=tblSalaries[[#Headers],[Controller]],tblSalaries[[#This Row],[Salary in USD]],"")</f>
        <v/>
      </c>
      <c r="Y449" s="13" t="str">
        <f>IF(tblSalaries[[#This Row],[Job Type]]=tblSalaries[[#Headers],[CXO or Top Mgmt.]],tblSalaries[[#This Row],[clean Salary (in local currency)]],"")</f>
        <v/>
      </c>
      <c r="Z449" s="13" t="str">
        <f>IF(tblSalaries[[#This Row],[Job Type]]=tblSalaries[[#Headers],[Engineer]],tblSalaries[[#This Row],[Salary in USD]],"")</f>
        <v/>
      </c>
      <c r="AA449" s="13" t="str">
        <f>IF(tblSalaries[[#This Row],[Job Type]]=tblSalaries[[#Headers],[Manager]],tblSalaries[[#This Row],[Salary in USD]],"")</f>
        <v/>
      </c>
      <c r="AB449" s="13" t="str">
        <f>IF(tblSalaries[[#This Row],[Job Type]]=tblSalaries[[#Headers],[Misc.]],tblSalaries[[#This Row],[Salary in USD]],"")</f>
        <v/>
      </c>
      <c r="AC449" s="13" t="str">
        <f>IF(tblSalaries[[#This Row],[Job Type]]=tblSalaries[[#Headers],[Reporting]],tblSalaries[[#This Row],[Salary in USD]],"")</f>
        <v/>
      </c>
      <c r="AD449" s="13" t="str">
        <f>IF(tblSalaries[[#This Row],[Job Type]]=tblSalaries[[#Headers],[Specialist]],tblSalaries[[#This Row],[Salary in USD]],"")</f>
        <v/>
      </c>
    </row>
    <row r="450" spans="2:30" ht="15" customHeight="1" x14ac:dyDescent="0.25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 s="9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  <c r="N450" t="str">
        <f>IF(tblSalaries[[#This Row],[Years of Experience]]="","",IF(tblSalaries[[#This Row],[Years of Experience]]&lt;=2,1,""))</f>
        <v/>
      </c>
      <c r="O450" t="str">
        <f>IF(tblSalaries[[#This Row],[Years of Experience]]="","",IF(AND(tblSalaries[[#This Row],[Years of Experience]]&gt;2,tblSalaries[[#This Row],[Years of Experience]]&lt;=5),1,""))</f>
        <v/>
      </c>
      <c r="P450" t="str">
        <f>IF(tblSalaries[[#This Row],[Years of Experience]]="","",IF(AND(tblSalaries[[#This Row],[Years of Experience]]&gt;5,tblSalaries[[#This Row],[Years of Experience]]&lt;=10),1,""))</f>
        <v/>
      </c>
      <c r="Q450" t="str">
        <f>IF(tblSalaries[[#This Row],[Years of Experience]]="","",IF(AND(tblSalaries[[#This Row],[Years of Experience]]&gt;10,tblSalaries[[#This Row],[Years of Experience]]&lt;=15),1,""))</f>
        <v/>
      </c>
      <c r="R450" t="str">
        <f>IF(tblSalaries[[#This Row],[Years of Experience]]="","",IF(AND(tblSalaries[[#This Row],[Years of Experience]]&gt;16,tblSalaries[[#This Row],[Years of Experience]]&lt;=20),1,""))</f>
        <v/>
      </c>
      <c r="S450" t="str">
        <f>IF(tblSalaries[[#This Row],[Years of Experience]]="","",IF(tblSalaries[[#This Row],[Years of Experience]]&gt;20,1,""))</f>
        <v/>
      </c>
      <c r="T4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0" s="13" t="str">
        <f>IF(tblSalaries[[#This Row],[Job Type]]=tblSalaries[[#Headers],[Accountant]],tblSalaries[[#This Row],[Salary in USD]],"")</f>
        <v/>
      </c>
      <c r="V450" s="13" t="str">
        <f>IF(tblSalaries[[#This Row],[Job Type]]=tblSalaries[[#Headers],[Analyst]],tblSalaries[[#This Row],[Salary in USD]],"")</f>
        <v/>
      </c>
      <c r="W450" s="13" t="str">
        <f>IF(tblSalaries[[#This Row],[Job Type]]=tblSalaries[[#Headers],[Consultant]],tblSalaries[[#This Row],[Salary in USD]],"")</f>
        <v/>
      </c>
      <c r="X450" s="13" t="str">
        <f>IF(tblSalaries[[#This Row],[Job Type]]=tblSalaries[[#Headers],[Controller]],tblSalaries[[#This Row],[Salary in USD]],"")</f>
        <v/>
      </c>
      <c r="Y450" s="13" t="str">
        <f>IF(tblSalaries[[#This Row],[Job Type]]=tblSalaries[[#Headers],[CXO or Top Mgmt.]],tblSalaries[[#This Row],[clean Salary (in local currency)]],"")</f>
        <v/>
      </c>
      <c r="Z450" s="13" t="str">
        <f>IF(tblSalaries[[#This Row],[Job Type]]=tblSalaries[[#Headers],[Engineer]],tblSalaries[[#This Row],[Salary in USD]],"")</f>
        <v/>
      </c>
      <c r="AA450" s="13">
        <f>IF(tblSalaries[[#This Row],[Job Type]]=tblSalaries[[#Headers],[Manager]],tblSalaries[[#This Row],[Salary in USD]],"")</f>
        <v>78000</v>
      </c>
      <c r="AB450" s="13" t="str">
        <f>IF(tblSalaries[[#This Row],[Job Type]]=tblSalaries[[#Headers],[Misc.]],tblSalaries[[#This Row],[Salary in USD]],"")</f>
        <v/>
      </c>
      <c r="AC450" s="13" t="str">
        <f>IF(tblSalaries[[#This Row],[Job Type]]=tblSalaries[[#Headers],[Reporting]],tblSalaries[[#This Row],[Salary in USD]],"")</f>
        <v/>
      </c>
      <c r="AD450" s="13" t="str">
        <f>IF(tblSalaries[[#This Row],[Job Type]]=tblSalaries[[#Headers],[Specialist]],tblSalaries[[#This Row],[Salary in USD]],"")</f>
        <v/>
      </c>
    </row>
    <row r="451" spans="2:30" ht="15" customHeight="1" x14ac:dyDescent="0.25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 s="9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  <c r="N451" t="str">
        <f>IF(tblSalaries[[#This Row],[Years of Experience]]="","",IF(tblSalaries[[#This Row],[Years of Experience]]&lt;=2,1,""))</f>
        <v/>
      </c>
      <c r="O451" t="str">
        <f>IF(tblSalaries[[#This Row],[Years of Experience]]="","",IF(AND(tblSalaries[[#This Row],[Years of Experience]]&gt;2,tblSalaries[[#This Row],[Years of Experience]]&lt;=5),1,""))</f>
        <v/>
      </c>
      <c r="P451" t="str">
        <f>IF(tblSalaries[[#This Row],[Years of Experience]]="","",IF(AND(tblSalaries[[#This Row],[Years of Experience]]&gt;5,tblSalaries[[#This Row],[Years of Experience]]&lt;=10),1,""))</f>
        <v/>
      </c>
      <c r="Q451" t="str">
        <f>IF(tblSalaries[[#This Row],[Years of Experience]]="","",IF(AND(tblSalaries[[#This Row],[Years of Experience]]&gt;10,tblSalaries[[#This Row],[Years of Experience]]&lt;=15),1,""))</f>
        <v/>
      </c>
      <c r="R451" t="str">
        <f>IF(tblSalaries[[#This Row],[Years of Experience]]="","",IF(AND(tblSalaries[[#This Row],[Years of Experience]]&gt;16,tblSalaries[[#This Row],[Years of Experience]]&lt;=20),1,""))</f>
        <v/>
      </c>
      <c r="S451" t="str">
        <f>IF(tblSalaries[[#This Row],[Years of Experience]]="","",IF(tblSalaries[[#This Row],[Years of Experience]]&gt;20,1,""))</f>
        <v/>
      </c>
      <c r="T4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1" s="13" t="str">
        <f>IF(tblSalaries[[#This Row],[Job Type]]=tblSalaries[[#Headers],[Accountant]],tblSalaries[[#This Row],[Salary in USD]],"")</f>
        <v/>
      </c>
      <c r="V451" s="13" t="str">
        <f>IF(tblSalaries[[#This Row],[Job Type]]=tblSalaries[[#Headers],[Analyst]],tblSalaries[[#This Row],[Salary in USD]],"")</f>
        <v/>
      </c>
      <c r="W451" s="13" t="str">
        <f>IF(tblSalaries[[#This Row],[Job Type]]=tblSalaries[[#Headers],[Consultant]],tblSalaries[[#This Row],[Salary in USD]],"")</f>
        <v/>
      </c>
      <c r="X451" s="13" t="str">
        <f>IF(tblSalaries[[#This Row],[Job Type]]=tblSalaries[[#Headers],[Controller]],tblSalaries[[#This Row],[Salary in USD]],"")</f>
        <v/>
      </c>
      <c r="Y451" s="13" t="str">
        <f>IF(tblSalaries[[#This Row],[Job Type]]=tblSalaries[[#Headers],[CXO or Top Mgmt.]],tblSalaries[[#This Row],[clean Salary (in local currency)]],"")</f>
        <v/>
      </c>
      <c r="Z451" s="13" t="str">
        <f>IF(tblSalaries[[#This Row],[Job Type]]=tblSalaries[[#Headers],[Engineer]],tblSalaries[[#This Row],[Salary in USD]],"")</f>
        <v/>
      </c>
      <c r="AA451" s="13">
        <f>IF(tblSalaries[[#This Row],[Job Type]]=tblSalaries[[#Headers],[Manager]],tblSalaries[[#This Row],[Salary in USD]],"")</f>
        <v>16027.125018698311</v>
      </c>
      <c r="AB451" s="13" t="str">
        <f>IF(tblSalaries[[#This Row],[Job Type]]=tblSalaries[[#Headers],[Misc.]],tblSalaries[[#This Row],[Salary in USD]],"")</f>
        <v/>
      </c>
      <c r="AC451" s="13" t="str">
        <f>IF(tblSalaries[[#This Row],[Job Type]]=tblSalaries[[#Headers],[Reporting]],tblSalaries[[#This Row],[Salary in USD]],"")</f>
        <v/>
      </c>
      <c r="AD451" s="13" t="str">
        <f>IF(tblSalaries[[#This Row],[Job Type]]=tblSalaries[[#Headers],[Specialist]],tblSalaries[[#This Row],[Salary in USD]],"")</f>
        <v/>
      </c>
    </row>
    <row r="452" spans="2:30" ht="15" customHeight="1" x14ac:dyDescent="0.25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 s="9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  <c r="N452" t="str">
        <f>IF(tblSalaries[[#This Row],[Years of Experience]]="","",IF(tblSalaries[[#This Row],[Years of Experience]]&lt;=2,1,""))</f>
        <v/>
      </c>
      <c r="O452" t="str">
        <f>IF(tblSalaries[[#This Row],[Years of Experience]]="","",IF(AND(tblSalaries[[#This Row],[Years of Experience]]&gt;2,tblSalaries[[#This Row],[Years of Experience]]&lt;=5),1,""))</f>
        <v/>
      </c>
      <c r="P452" t="str">
        <f>IF(tblSalaries[[#This Row],[Years of Experience]]="","",IF(AND(tblSalaries[[#This Row],[Years of Experience]]&gt;5,tblSalaries[[#This Row],[Years of Experience]]&lt;=10),1,""))</f>
        <v/>
      </c>
      <c r="Q452" t="str">
        <f>IF(tblSalaries[[#This Row],[Years of Experience]]="","",IF(AND(tblSalaries[[#This Row],[Years of Experience]]&gt;10,tblSalaries[[#This Row],[Years of Experience]]&lt;=15),1,""))</f>
        <v/>
      </c>
      <c r="R452" t="str">
        <f>IF(tblSalaries[[#This Row],[Years of Experience]]="","",IF(AND(tblSalaries[[#This Row],[Years of Experience]]&gt;16,tblSalaries[[#This Row],[Years of Experience]]&lt;=20),1,""))</f>
        <v/>
      </c>
      <c r="S452" t="str">
        <f>IF(tblSalaries[[#This Row],[Years of Experience]]="","",IF(tblSalaries[[#This Row],[Years of Experience]]&gt;20,1,""))</f>
        <v/>
      </c>
      <c r="T4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2" s="13" t="str">
        <f>IF(tblSalaries[[#This Row],[Job Type]]=tblSalaries[[#Headers],[Accountant]],tblSalaries[[#This Row],[Salary in USD]],"")</f>
        <v/>
      </c>
      <c r="V452" s="13">
        <f>IF(tblSalaries[[#This Row],[Job Type]]=tblSalaries[[#Headers],[Analyst]],tblSalaries[[#This Row],[Salary in USD]],"")</f>
        <v>7500</v>
      </c>
      <c r="W452" s="13" t="str">
        <f>IF(tblSalaries[[#This Row],[Job Type]]=tblSalaries[[#Headers],[Consultant]],tblSalaries[[#This Row],[Salary in USD]],"")</f>
        <v/>
      </c>
      <c r="X452" s="13" t="str">
        <f>IF(tblSalaries[[#This Row],[Job Type]]=tblSalaries[[#Headers],[Controller]],tblSalaries[[#This Row],[Salary in USD]],"")</f>
        <v/>
      </c>
      <c r="Y452" s="13" t="str">
        <f>IF(tblSalaries[[#This Row],[Job Type]]=tblSalaries[[#Headers],[CXO or Top Mgmt.]],tblSalaries[[#This Row],[clean Salary (in local currency)]],"")</f>
        <v/>
      </c>
      <c r="Z452" s="13" t="str">
        <f>IF(tblSalaries[[#This Row],[Job Type]]=tblSalaries[[#Headers],[Engineer]],tblSalaries[[#This Row],[Salary in USD]],"")</f>
        <v/>
      </c>
      <c r="AA452" s="13" t="str">
        <f>IF(tblSalaries[[#This Row],[Job Type]]=tblSalaries[[#Headers],[Manager]],tblSalaries[[#This Row],[Salary in USD]],"")</f>
        <v/>
      </c>
      <c r="AB452" s="13" t="str">
        <f>IF(tblSalaries[[#This Row],[Job Type]]=tblSalaries[[#Headers],[Misc.]],tblSalaries[[#This Row],[Salary in USD]],"")</f>
        <v/>
      </c>
      <c r="AC452" s="13" t="str">
        <f>IF(tblSalaries[[#This Row],[Job Type]]=tblSalaries[[#Headers],[Reporting]],tblSalaries[[#This Row],[Salary in USD]],"")</f>
        <v/>
      </c>
      <c r="AD452" s="13" t="str">
        <f>IF(tblSalaries[[#This Row],[Job Type]]=tblSalaries[[#Headers],[Specialist]],tblSalaries[[#This Row],[Salary in USD]],"")</f>
        <v/>
      </c>
    </row>
    <row r="453" spans="2:30" ht="15" customHeight="1" x14ac:dyDescent="0.25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 s="9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  <c r="N453" t="str">
        <f>IF(tblSalaries[[#This Row],[Years of Experience]]="","",IF(tblSalaries[[#This Row],[Years of Experience]]&lt;=2,1,""))</f>
        <v/>
      </c>
      <c r="O453" t="str">
        <f>IF(tblSalaries[[#This Row],[Years of Experience]]="","",IF(AND(tblSalaries[[#This Row],[Years of Experience]]&gt;2,tblSalaries[[#This Row],[Years of Experience]]&lt;=5),1,""))</f>
        <v/>
      </c>
      <c r="P453" t="str">
        <f>IF(tblSalaries[[#This Row],[Years of Experience]]="","",IF(AND(tblSalaries[[#This Row],[Years of Experience]]&gt;5,tblSalaries[[#This Row],[Years of Experience]]&lt;=10),1,""))</f>
        <v/>
      </c>
      <c r="Q453" t="str">
        <f>IF(tblSalaries[[#This Row],[Years of Experience]]="","",IF(AND(tblSalaries[[#This Row],[Years of Experience]]&gt;10,tblSalaries[[#This Row],[Years of Experience]]&lt;=15),1,""))</f>
        <v/>
      </c>
      <c r="R453" t="str">
        <f>IF(tblSalaries[[#This Row],[Years of Experience]]="","",IF(AND(tblSalaries[[#This Row],[Years of Experience]]&gt;16,tblSalaries[[#This Row],[Years of Experience]]&lt;=20),1,""))</f>
        <v/>
      </c>
      <c r="S453" t="str">
        <f>IF(tblSalaries[[#This Row],[Years of Experience]]="","",IF(tblSalaries[[#This Row],[Years of Experience]]&gt;20,1,""))</f>
        <v/>
      </c>
      <c r="T4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3" s="13" t="str">
        <f>IF(tblSalaries[[#This Row],[Job Type]]=tblSalaries[[#Headers],[Accountant]],tblSalaries[[#This Row],[Salary in USD]],"")</f>
        <v/>
      </c>
      <c r="V453" s="13">
        <f>IF(tblSalaries[[#This Row],[Job Type]]=tblSalaries[[#Headers],[Analyst]],tblSalaries[[#This Row],[Salary in USD]],"")</f>
        <v>60000</v>
      </c>
      <c r="W453" s="13" t="str">
        <f>IF(tblSalaries[[#This Row],[Job Type]]=tblSalaries[[#Headers],[Consultant]],tblSalaries[[#This Row],[Salary in USD]],"")</f>
        <v/>
      </c>
      <c r="X453" s="13" t="str">
        <f>IF(tblSalaries[[#This Row],[Job Type]]=tblSalaries[[#Headers],[Controller]],tblSalaries[[#This Row],[Salary in USD]],"")</f>
        <v/>
      </c>
      <c r="Y453" s="13" t="str">
        <f>IF(tblSalaries[[#This Row],[Job Type]]=tblSalaries[[#Headers],[CXO or Top Mgmt.]],tblSalaries[[#This Row],[clean Salary (in local currency)]],"")</f>
        <v/>
      </c>
      <c r="Z453" s="13" t="str">
        <f>IF(tblSalaries[[#This Row],[Job Type]]=tblSalaries[[#Headers],[Engineer]],tblSalaries[[#This Row],[Salary in USD]],"")</f>
        <v/>
      </c>
      <c r="AA453" s="13" t="str">
        <f>IF(tblSalaries[[#This Row],[Job Type]]=tblSalaries[[#Headers],[Manager]],tblSalaries[[#This Row],[Salary in USD]],"")</f>
        <v/>
      </c>
      <c r="AB453" s="13" t="str">
        <f>IF(tblSalaries[[#This Row],[Job Type]]=tblSalaries[[#Headers],[Misc.]],tblSalaries[[#This Row],[Salary in USD]],"")</f>
        <v/>
      </c>
      <c r="AC453" s="13" t="str">
        <f>IF(tblSalaries[[#This Row],[Job Type]]=tblSalaries[[#Headers],[Reporting]],tblSalaries[[#This Row],[Salary in USD]],"")</f>
        <v/>
      </c>
      <c r="AD453" s="13" t="str">
        <f>IF(tblSalaries[[#This Row],[Job Type]]=tblSalaries[[#Headers],[Specialist]],tblSalaries[[#This Row],[Salary in USD]],"")</f>
        <v/>
      </c>
    </row>
    <row r="454" spans="2:30" ht="15" customHeight="1" x14ac:dyDescent="0.25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 s="9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4001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  <c r="N454" t="str">
        <f>IF(tblSalaries[[#This Row],[Years of Experience]]="","",IF(tblSalaries[[#This Row],[Years of Experience]]&lt;=2,1,""))</f>
        <v/>
      </c>
      <c r="O454" t="str">
        <f>IF(tblSalaries[[#This Row],[Years of Experience]]="","",IF(AND(tblSalaries[[#This Row],[Years of Experience]]&gt;2,tblSalaries[[#This Row],[Years of Experience]]&lt;=5),1,""))</f>
        <v/>
      </c>
      <c r="P454" t="str">
        <f>IF(tblSalaries[[#This Row],[Years of Experience]]="","",IF(AND(tblSalaries[[#This Row],[Years of Experience]]&gt;5,tblSalaries[[#This Row],[Years of Experience]]&lt;=10),1,""))</f>
        <v/>
      </c>
      <c r="Q454" t="str">
        <f>IF(tblSalaries[[#This Row],[Years of Experience]]="","",IF(AND(tblSalaries[[#This Row],[Years of Experience]]&gt;10,tblSalaries[[#This Row],[Years of Experience]]&lt;=15),1,""))</f>
        <v/>
      </c>
      <c r="R454" t="str">
        <f>IF(tblSalaries[[#This Row],[Years of Experience]]="","",IF(AND(tblSalaries[[#This Row],[Years of Experience]]&gt;16,tblSalaries[[#This Row],[Years of Experience]]&lt;=20),1,""))</f>
        <v/>
      </c>
      <c r="S454" t="str">
        <f>IF(tblSalaries[[#This Row],[Years of Experience]]="","",IF(tblSalaries[[#This Row],[Years of Experience]]&gt;20,1,""))</f>
        <v/>
      </c>
      <c r="T4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4" s="13" t="str">
        <f>IF(tblSalaries[[#This Row],[Job Type]]=tblSalaries[[#Headers],[Accountant]],tblSalaries[[#This Row],[Salary in USD]],"")</f>
        <v/>
      </c>
      <c r="V454" s="13" t="str">
        <f>IF(tblSalaries[[#This Row],[Job Type]]=tblSalaries[[#Headers],[Analyst]],tblSalaries[[#This Row],[Salary in USD]],"")</f>
        <v/>
      </c>
      <c r="W454" s="13" t="str">
        <f>IF(tblSalaries[[#This Row],[Job Type]]=tblSalaries[[#Headers],[Consultant]],tblSalaries[[#This Row],[Salary in USD]],"")</f>
        <v/>
      </c>
      <c r="X454" s="13" t="str">
        <f>IF(tblSalaries[[#This Row],[Job Type]]=tblSalaries[[#Headers],[Controller]],tblSalaries[[#This Row],[Salary in USD]],"")</f>
        <v/>
      </c>
      <c r="Y454" s="13">
        <f>IF(tblSalaries[[#This Row],[Job Type]]=tblSalaries[[#Headers],[CXO or Top Mgmt.]],tblSalaries[[#This Row],[clean Salary (in local currency)]],"")</f>
        <v>800000</v>
      </c>
      <c r="Z454" s="13" t="str">
        <f>IF(tblSalaries[[#This Row],[Job Type]]=tblSalaries[[#Headers],[Engineer]],tblSalaries[[#This Row],[Salary in USD]],"")</f>
        <v/>
      </c>
      <c r="AA454" s="13" t="str">
        <f>IF(tblSalaries[[#This Row],[Job Type]]=tblSalaries[[#Headers],[Manager]],tblSalaries[[#This Row],[Salary in USD]],"")</f>
        <v/>
      </c>
      <c r="AB454" s="13" t="str">
        <f>IF(tblSalaries[[#This Row],[Job Type]]=tblSalaries[[#Headers],[Misc.]],tblSalaries[[#This Row],[Salary in USD]],"")</f>
        <v/>
      </c>
      <c r="AC454" s="13" t="str">
        <f>IF(tblSalaries[[#This Row],[Job Type]]=tblSalaries[[#Headers],[Reporting]],tblSalaries[[#This Row],[Salary in USD]],"")</f>
        <v/>
      </c>
      <c r="AD454" s="13" t="str">
        <f>IF(tblSalaries[[#This Row],[Job Type]]=tblSalaries[[#Headers],[Specialist]],tblSalaries[[#This Row],[Salary in USD]],"")</f>
        <v/>
      </c>
    </row>
    <row r="455" spans="2:30" ht="15" customHeight="1" x14ac:dyDescent="0.25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 s="9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  <c r="N455" t="str">
        <f>IF(tblSalaries[[#This Row],[Years of Experience]]="","",IF(tblSalaries[[#This Row],[Years of Experience]]&lt;=2,1,""))</f>
        <v/>
      </c>
      <c r="O455" t="str">
        <f>IF(tblSalaries[[#This Row],[Years of Experience]]="","",IF(AND(tblSalaries[[#This Row],[Years of Experience]]&gt;2,tblSalaries[[#This Row],[Years of Experience]]&lt;=5),1,""))</f>
        <v/>
      </c>
      <c r="P455" t="str">
        <f>IF(tblSalaries[[#This Row],[Years of Experience]]="","",IF(AND(tblSalaries[[#This Row],[Years of Experience]]&gt;5,tblSalaries[[#This Row],[Years of Experience]]&lt;=10),1,""))</f>
        <v/>
      </c>
      <c r="Q455" t="str">
        <f>IF(tblSalaries[[#This Row],[Years of Experience]]="","",IF(AND(tblSalaries[[#This Row],[Years of Experience]]&gt;10,tblSalaries[[#This Row],[Years of Experience]]&lt;=15),1,""))</f>
        <v/>
      </c>
      <c r="R455" t="str">
        <f>IF(tblSalaries[[#This Row],[Years of Experience]]="","",IF(AND(tblSalaries[[#This Row],[Years of Experience]]&gt;16,tblSalaries[[#This Row],[Years of Experience]]&lt;=20),1,""))</f>
        <v/>
      </c>
      <c r="S455" t="str">
        <f>IF(tblSalaries[[#This Row],[Years of Experience]]="","",IF(tblSalaries[[#This Row],[Years of Experience]]&gt;20,1,""))</f>
        <v/>
      </c>
      <c r="T4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5" s="13" t="str">
        <f>IF(tblSalaries[[#This Row],[Job Type]]=tblSalaries[[#Headers],[Accountant]],tblSalaries[[#This Row],[Salary in USD]],"")</f>
        <v/>
      </c>
      <c r="V455" s="13" t="str">
        <f>IF(tblSalaries[[#This Row],[Job Type]]=tblSalaries[[#Headers],[Analyst]],tblSalaries[[#This Row],[Salary in USD]],"")</f>
        <v/>
      </c>
      <c r="W455" s="13" t="str">
        <f>IF(tblSalaries[[#This Row],[Job Type]]=tblSalaries[[#Headers],[Consultant]],tblSalaries[[#This Row],[Salary in USD]],"")</f>
        <v/>
      </c>
      <c r="X455" s="13" t="str">
        <f>IF(tblSalaries[[#This Row],[Job Type]]=tblSalaries[[#Headers],[Controller]],tblSalaries[[#This Row],[Salary in USD]],"")</f>
        <v/>
      </c>
      <c r="Y455" s="13" t="str">
        <f>IF(tblSalaries[[#This Row],[Job Type]]=tblSalaries[[#Headers],[CXO or Top Mgmt.]],tblSalaries[[#This Row],[clean Salary (in local currency)]],"")</f>
        <v/>
      </c>
      <c r="Z455" s="13" t="str">
        <f>IF(tblSalaries[[#This Row],[Job Type]]=tblSalaries[[#Headers],[Engineer]],tblSalaries[[#This Row],[Salary in USD]],"")</f>
        <v/>
      </c>
      <c r="AA455" s="13">
        <f>IF(tblSalaries[[#This Row],[Job Type]]=tblSalaries[[#Headers],[Manager]],tblSalaries[[#This Row],[Salary in USD]],"")</f>
        <v>80000</v>
      </c>
      <c r="AB455" s="13" t="str">
        <f>IF(tblSalaries[[#This Row],[Job Type]]=tblSalaries[[#Headers],[Misc.]],tblSalaries[[#This Row],[Salary in USD]],"")</f>
        <v/>
      </c>
      <c r="AC455" s="13" t="str">
        <f>IF(tblSalaries[[#This Row],[Job Type]]=tblSalaries[[#Headers],[Reporting]],tblSalaries[[#This Row],[Salary in USD]],"")</f>
        <v/>
      </c>
      <c r="AD455" s="13" t="str">
        <f>IF(tblSalaries[[#This Row],[Job Type]]=tblSalaries[[#Headers],[Specialist]],tblSalaries[[#This Row],[Salary in USD]],"")</f>
        <v/>
      </c>
    </row>
    <row r="456" spans="2:30" ht="15" customHeight="1" x14ac:dyDescent="0.25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 s="9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  <c r="N456" t="str">
        <f>IF(tblSalaries[[#This Row],[Years of Experience]]="","",IF(tblSalaries[[#This Row],[Years of Experience]]&lt;=2,1,""))</f>
        <v/>
      </c>
      <c r="O456" t="str">
        <f>IF(tblSalaries[[#This Row],[Years of Experience]]="","",IF(AND(tblSalaries[[#This Row],[Years of Experience]]&gt;2,tblSalaries[[#This Row],[Years of Experience]]&lt;=5),1,""))</f>
        <v/>
      </c>
      <c r="P456" t="str">
        <f>IF(tblSalaries[[#This Row],[Years of Experience]]="","",IF(AND(tblSalaries[[#This Row],[Years of Experience]]&gt;5,tblSalaries[[#This Row],[Years of Experience]]&lt;=10),1,""))</f>
        <v/>
      </c>
      <c r="Q456" t="str">
        <f>IF(tblSalaries[[#This Row],[Years of Experience]]="","",IF(AND(tblSalaries[[#This Row],[Years of Experience]]&gt;10,tblSalaries[[#This Row],[Years of Experience]]&lt;=15),1,""))</f>
        <v/>
      </c>
      <c r="R456" t="str">
        <f>IF(tblSalaries[[#This Row],[Years of Experience]]="","",IF(AND(tblSalaries[[#This Row],[Years of Experience]]&gt;16,tblSalaries[[#This Row],[Years of Experience]]&lt;=20),1,""))</f>
        <v/>
      </c>
      <c r="S456" t="str">
        <f>IF(tblSalaries[[#This Row],[Years of Experience]]="","",IF(tblSalaries[[#This Row],[Years of Experience]]&gt;20,1,""))</f>
        <v/>
      </c>
      <c r="T4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6" s="13">
        <f>IF(tblSalaries[[#This Row],[Job Type]]=tblSalaries[[#Headers],[Accountant]],tblSalaries[[#This Row],[Salary in USD]],"")</f>
        <v>59894.774338556796</v>
      </c>
      <c r="V456" s="13" t="str">
        <f>IF(tblSalaries[[#This Row],[Job Type]]=tblSalaries[[#Headers],[Analyst]],tblSalaries[[#This Row],[Salary in USD]],"")</f>
        <v/>
      </c>
      <c r="W456" s="13" t="str">
        <f>IF(tblSalaries[[#This Row],[Job Type]]=tblSalaries[[#Headers],[Consultant]],tblSalaries[[#This Row],[Salary in USD]],"")</f>
        <v/>
      </c>
      <c r="X456" s="13" t="str">
        <f>IF(tblSalaries[[#This Row],[Job Type]]=tblSalaries[[#Headers],[Controller]],tblSalaries[[#This Row],[Salary in USD]],"")</f>
        <v/>
      </c>
      <c r="Y456" s="13" t="str">
        <f>IF(tblSalaries[[#This Row],[Job Type]]=tblSalaries[[#Headers],[CXO or Top Mgmt.]],tblSalaries[[#This Row],[clean Salary (in local currency)]],"")</f>
        <v/>
      </c>
      <c r="Z456" s="13" t="str">
        <f>IF(tblSalaries[[#This Row],[Job Type]]=tblSalaries[[#Headers],[Engineer]],tblSalaries[[#This Row],[Salary in USD]],"")</f>
        <v/>
      </c>
      <c r="AA456" s="13" t="str">
        <f>IF(tblSalaries[[#This Row],[Job Type]]=tblSalaries[[#Headers],[Manager]],tblSalaries[[#This Row],[Salary in USD]],"")</f>
        <v/>
      </c>
      <c r="AB456" s="13" t="str">
        <f>IF(tblSalaries[[#This Row],[Job Type]]=tblSalaries[[#Headers],[Misc.]],tblSalaries[[#This Row],[Salary in USD]],"")</f>
        <v/>
      </c>
      <c r="AC456" s="13" t="str">
        <f>IF(tblSalaries[[#This Row],[Job Type]]=tblSalaries[[#Headers],[Reporting]],tblSalaries[[#This Row],[Salary in USD]],"")</f>
        <v/>
      </c>
      <c r="AD456" s="13" t="str">
        <f>IF(tblSalaries[[#This Row],[Job Type]]=tblSalaries[[#Headers],[Specialist]],tblSalaries[[#This Row],[Salary in USD]],"")</f>
        <v/>
      </c>
    </row>
    <row r="457" spans="2:30" ht="15" customHeight="1" x14ac:dyDescent="0.25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 s="9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  <c r="N457" t="str">
        <f>IF(tblSalaries[[#This Row],[Years of Experience]]="","",IF(tblSalaries[[#This Row],[Years of Experience]]&lt;=2,1,""))</f>
        <v/>
      </c>
      <c r="O457" t="str">
        <f>IF(tblSalaries[[#This Row],[Years of Experience]]="","",IF(AND(tblSalaries[[#This Row],[Years of Experience]]&gt;2,tblSalaries[[#This Row],[Years of Experience]]&lt;=5),1,""))</f>
        <v/>
      </c>
      <c r="P457" t="str">
        <f>IF(tblSalaries[[#This Row],[Years of Experience]]="","",IF(AND(tblSalaries[[#This Row],[Years of Experience]]&gt;5,tblSalaries[[#This Row],[Years of Experience]]&lt;=10),1,""))</f>
        <v/>
      </c>
      <c r="Q457" t="str">
        <f>IF(tblSalaries[[#This Row],[Years of Experience]]="","",IF(AND(tblSalaries[[#This Row],[Years of Experience]]&gt;10,tblSalaries[[#This Row],[Years of Experience]]&lt;=15),1,""))</f>
        <v/>
      </c>
      <c r="R457" t="str">
        <f>IF(tblSalaries[[#This Row],[Years of Experience]]="","",IF(AND(tblSalaries[[#This Row],[Years of Experience]]&gt;16,tblSalaries[[#This Row],[Years of Experience]]&lt;=20),1,""))</f>
        <v/>
      </c>
      <c r="S457" t="str">
        <f>IF(tblSalaries[[#This Row],[Years of Experience]]="","",IF(tblSalaries[[#This Row],[Years of Experience]]&gt;20,1,""))</f>
        <v/>
      </c>
      <c r="T4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7" s="13" t="str">
        <f>IF(tblSalaries[[#This Row],[Job Type]]=tblSalaries[[#Headers],[Accountant]],tblSalaries[[#This Row],[Salary in USD]],"")</f>
        <v/>
      </c>
      <c r="V457" s="13" t="str">
        <f>IF(tblSalaries[[#This Row],[Job Type]]=tblSalaries[[#Headers],[Analyst]],tblSalaries[[#This Row],[Salary in USD]],"")</f>
        <v/>
      </c>
      <c r="W457" s="13" t="str">
        <f>IF(tblSalaries[[#This Row],[Job Type]]=tblSalaries[[#Headers],[Consultant]],tblSalaries[[#This Row],[Salary in USD]],"")</f>
        <v/>
      </c>
      <c r="X457" s="13" t="str">
        <f>IF(tblSalaries[[#This Row],[Job Type]]=tblSalaries[[#Headers],[Controller]],tblSalaries[[#This Row],[Salary in USD]],"")</f>
        <v/>
      </c>
      <c r="Y457" s="13" t="str">
        <f>IF(tblSalaries[[#This Row],[Job Type]]=tblSalaries[[#Headers],[CXO or Top Mgmt.]],tblSalaries[[#This Row],[clean Salary (in local currency)]],"")</f>
        <v/>
      </c>
      <c r="Z457" s="13" t="str">
        <f>IF(tblSalaries[[#This Row],[Job Type]]=tblSalaries[[#Headers],[Engineer]],tblSalaries[[#This Row],[Salary in USD]],"")</f>
        <v/>
      </c>
      <c r="AA457" s="13">
        <f>IF(tblSalaries[[#This Row],[Job Type]]=tblSalaries[[#Headers],[Manager]],tblSalaries[[#This Row],[Salary in USD]],"")</f>
        <v>51134.799197576998</v>
      </c>
      <c r="AB457" s="13" t="str">
        <f>IF(tblSalaries[[#This Row],[Job Type]]=tblSalaries[[#Headers],[Misc.]],tblSalaries[[#This Row],[Salary in USD]],"")</f>
        <v/>
      </c>
      <c r="AC457" s="13" t="str">
        <f>IF(tblSalaries[[#This Row],[Job Type]]=tblSalaries[[#Headers],[Reporting]],tblSalaries[[#This Row],[Salary in USD]],"")</f>
        <v/>
      </c>
      <c r="AD457" s="13" t="str">
        <f>IF(tblSalaries[[#This Row],[Job Type]]=tblSalaries[[#Headers],[Specialist]],tblSalaries[[#This Row],[Salary in USD]],"")</f>
        <v/>
      </c>
    </row>
    <row r="458" spans="2:30" ht="15" customHeight="1" x14ac:dyDescent="0.25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 s="9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  <c r="N458" t="str">
        <f>IF(tblSalaries[[#This Row],[Years of Experience]]="","",IF(tblSalaries[[#This Row],[Years of Experience]]&lt;=2,1,""))</f>
        <v/>
      </c>
      <c r="O458" t="str">
        <f>IF(tblSalaries[[#This Row],[Years of Experience]]="","",IF(AND(tblSalaries[[#This Row],[Years of Experience]]&gt;2,tblSalaries[[#This Row],[Years of Experience]]&lt;=5),1,""))</f>
        <v/>
      </c>
      <c r="P458" t="str">
        <f>IF(tblSalaries[[#This Row],[Years of Experience]]="","",IF(AND(tblSalaries[[#This Row],[Years of Experience]]&gt;5,tblSalaries[[#This Row],[Years of Experience]]&lt;=10),1,""))</f>
        <v/>
      </c>
      <c r="Q458" t="str">
        <f>IF(tblSalaries[[#This Row],[Years of Experience]]="","",IF(AND(tblSalaries[[#This Row],[Years of Experience]]&gt;10,tblSalaries[[#This Row],[Years of Experience]]&lt;=15),1,""))</f>
        <v/>
      </c>
      <c r="R458" t="str">
        <f>IF(tblSalaries[[#This Row],[Years of Experience]]="","",IF(AND(tblSalaries[[#This Row],[Years of Experience]]&gt;16,tblSalaries[[#This Row],[Years of Experience]]&lt;=20),1,""))</f>
        <v/>
      </c>
      <c r="S458" t="str">
        <f>IF(tblSalaries[[#This Row],[Years of Experience]]="","",IF(tblSalaries[[#This Row],[Years of Experience]]&gt;20,1,""))</f>
        <v/>
      </c>
      <c r="T4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8" s="13" t="str">
        <f>IF(tblSalaries[[#This Row],[Job Type]]=tblSalaries[[#Headers],[Accountant]],tblSalaries[[#This Row],[Salary in USD]],"")</f>
        <v/>
      </c>
      <c r="V458" s="13" t="str">
        <f>IF(tblSalaries[[#This Row],[Job Type]]=tblSalaries[[#Headers],[Analyst]],tblSalaries[[#This Row],[Salary in USD]],"")</f>
        <v/>
      </c>
      <c r="W458" s="13" t="str">
        <f>IF(tblSalaries[[#This Row],[Job Type]]=tblSalaries[[#Headers],[Consultant]],tblSalaries[[#This Row],[Salary in USD]],"")</f>
        <v/>
      </c>
      <c r="X458" s="13" t="str">
        <f>IF(tblSalaries[[#This Row],[Job Type]]=tblSalaries[[#Headers],[Controller]],tblSalaries[[#This Row],[Salary in USD]],"")</f>
        <v/>
      </c>
      <c r="Y458" s="13" t="str">
        <f>IF(tblSalaries[[#This Row],[Job Type]]=tblSalaries[[#Headers],[CXO or Top Mgmt.]],tblSalaries[[#This Row],[clean Salary (in local currency)]],"")</f>
        <v/>
      </c>
      <c r="Z458" s="13" t="str">
        <f>IF(tblSalaries[[#This Row],[Job Type]]=tblSalaries[[#Headers],[Engineer]],tblSalaries[[#This Row],[Salary in USD]],"")</f>
        <v/>
      </c>
      <c r="AA458" s="13">
        <f>IF(tblSalaries[[#This Row],[Job Type]]=tblSalaries[[#Headers],[Manager]],tblSalaries[[#This Row],[Salary in USD]],"")</f>
        <v>125000</v>
      </c>
      <c r="AB458" s="13" t="str">
        <f>IF(tblSalaries[[#This Row],[Job Type]]=tblSalaries[[#Headers],[Misc.]],tblSalaries[[#This Row],[Salary in USD]],"")</f>
        <v/>
      </c>
      <c r="AC458" s="13" t="str">
        <f>IF(tblSalaries[[#This Row],[Job Type]]=tblSalaries[[#Headers],[Reporting]],tblSalaries[[#This Row],[Salary in USD]],"")</f>
        <v/>
      </c>
      <c r="AD458" s="13" t="str">
        <f>IF(tblSalaries[[#This Row],[Job Type]]=tblSalaries[[#Headers],[Specialist]],tblSalaries[[#This Row],[Salary in USD]],"")</f>
        <v/>
      </c>
    </row>
    <row r="459" spans="2:30" ht="15" customHeight="1" x14ac:dyDescent="0.25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 s="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  <c r="N459" t="str">
        <f>IF(tblSalaries[[#This Row],[Years of Experience]]="","",IF(tblSalaries[[#This Row],[Years of Experience]]&lt;=2,1,""))</f>
        <v/>
      </c>
      <c r="O459" t="str">
        <f>IF(tblSalaries[[#This Row],[Years of Experience]]="","",IF(AND(tblSalaries[[#This Row],[Years of Experience]]&gt;2,tblSalaries[[#This Row],[Years of Experience]]&lt;=5),1,""))</f>
        <v/>
      </c>
      <c r="P459" t="str">
        <f>IF(tblSalaries[[#This Row],[Years of Experience]]="","",IF(AND(tblSalaries[[#This Row],[Years of Experience]]&gt;5,tblSalaries[[#This Row],[Years of Experience]]&lt;=10),1,""))</f>
        <v/>
      </c>
      <c r="Q459" t="str">
        <f>IF(tblSalaries[[#This Row],[Years of Experience]]="","",IF(AND(tblSalaries[[#This Row],[Years of Experience]]&gt;10,tblSalaries[[#This Row],[Years of Experience]]&lt;=15),1,""))</f>
        <v/>
      </c>
      <c r="R459" t="str">
        <f>IF(tblSalaries[[#This Row],[Years of Experience]]="","",IF(AND(tblSalaries[[#This Row],[Years of Experience]]&gt;16,tblSalaries[[#This Row],[Years of Experience]]&lt;=20),1,""))</f>
        <v/>
      </c>
      <c r="S459" t="str">
        <f>IF(tblSalaries[[#This Row],[Years of Experience]]="","",IF(tblSalaries[[#This Row],[Years of Experience]]&gt;20,1,""))</f>
        <v/>
      </c>
      <c r="T4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59" s="13" t="str">
        <f>IF(tblSalaries[[#This Row],[Job Type]]=tblSalaries[[#Headers],[Accountant]],tblSalaries[[#This Row],[Salary in USD]],"")</f>
        <v/>
      </c>
      <c r="V459" s="13">
        <f>IF(tblSalaries[[#This Row],[Job Type]]=tblSalaries[[#Headers],[Analyst]],tblSalaries[[#This Row],[Salary in USD]],"")</f>
        <v>52000</v>
      </c>
      <c r="W459" s="13" t="str">
        <f>IF(tblSalaries[[#This Row],[Job Type]]=tblSalaries[[#Headers],[Consultant]],tblSalaries[[#This Row],[Salary in USD]],"")</f>
        <v/>
      </c>
      <c r="X459" s="13" t="str">
        <f>IF(tblSalaries[[#This Row],[Job Type]]=tblSalaries[[#Headers],[Controller]],tblSalaries[[#This Row],[Salary in USD]],"")</f>
        <v/>
      </c>
      <c r="Y459" s="13" t="str">
        <f>IF(tblSalaries[[#This Row],[Job Type]]=tblSalaries[[#Headers],[CXO or Top Mgmt.]],tblSalaries[[#This Row],[clean Salary (in local currency)]],"")</f>
        <v/>
      </c>
      <c r="Z459" s="13" t="str">
        <f>IF(tblSalaries[[#This Row],[Job Type]]=tblSalaries[[#Headers],[Engineer]],tblSalaries[[#This Row],[Salary in USD]],"")</f>
        <v/>
      </c>
      <c r="AA459" s="13" t="str">
        <f>IF(tblSalaries[[#This Row],[Job Type]]=tblSalaries[[#Headers],[Manager]],tblSalaries[[#This Row],[Salary in USD]],"")</f>
        <v/>
      </c>
      <c r="AB459" s="13" t="str">
        <f>IF(tblSalaries[[#This Row],[Job Type]]=tblSalaries[[#Headers],[Misc.]],tblSalaries[[#This Row],[Salary in USD]],"")</f>
        <v/>
      </c>
      <c r="AC459" s="13" t="str">
        <f>IF(tblSalaries[[#This Row],[Job Type]]=tblSalaries[[#Headers],[Reporting]],tblSalaries[[#This Row],[Salary in USD]],"")</f>
        <v/>
      </c>
      <c r="AD459" s="13" t="str">
        <f>IF(tblSalaries[[#This Row],[Job Type]]=tblSalaries[[#Headers],[Specialist]],tblSalaries[[#This Row],[Salary in USD]],"")</f>
        <v/>
      </c>
    </row>
    <row r="460" spans="2:30" ht="15" customHeight="1" x14ac:dyDescent="0.25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 s="9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  <c r="N460" t="str">
        <f>IF(tblSalaries[[#This Row],[Years of Experience]]="","",IF(tblSalaries[[#This Row],[Years of Experience]]&lt;=2,1,""))</f>
        <v/>
      </c>
      <c r="O460" t="str">
        <f>IF(tblSalaries[[#This Row],[Years of Experience]]="","",IF(AND(tblSalaries[[#This Row],[Years of Experience]]&gt;2,tblSalaries[[#This Row],[Years of Experience]]&lt;=5),1,""))</f>
        <v/>
      </c>
      <c r="P460" t="str">
        <f>IF(tblSalaries[[#This Row],[Years of Experience]]="","",IF(AND(tblSalaries[[#This Row],[Years of Experience]]&gt;5,tblSalaries[[#This Row],[Years of Experience]]&lt;=10),1,""))</f>
        <v/>
      </c>
      <c r="Q460" t="str">
        <f>IF(tblSalaries[[#This Row],[Years of Experience]]="","",IF(AND(tblSalaries[[#This Row],[Years of Experience]]&gt;10,tblSalaries[[#This Row],[Years of Experience]]&lt;=15),1,""))</f>
        <v/>
      </c>
      <c r="R460" t="str">
        <f>IF(tblSalaries[[#This Row],[Years of Experience]]="","",IF(AND(tblSalaries[[#This Row],[Years of Experience]]&gt;16,tblSalaries[[#This Row],[Years of Experience]]&lt;=20),1,""))</f>
        <v/>
      </c>
      <c r="S460" t="str">
        <f>IF(tblSalaries[[#This Row],[Years of Experience]]="","",IF(tblSalaries[[#This Row],[Years of Experience]]&gt;20,1,""))</f>
        <v/>
      </c>
      <c r="T4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0" s="13" t="str">
        <f>IF(tblSalaries[[#This Row],[Job Type]]=tblSalaries[[#Headers],[Accountant]],tblSalaries[[#This Row],[Salary in USD]],"")</f>
        <v/>
      </c>
      <c r="V460" s="13">
        <f>IF(tblSalaries[[#This Row],[Job Type]]=tblSalaries[[#Headers],[Analyst]],tblSalaries[[#This Row],[Salary in USD]],"")</f>
        <v>45000</v>
      </c>
      <c r="W460" s="13" t="str">
        <f>IF(tblSalaries[[#This Row],[Job Type]]=tblSalaries[[#Headers],[Consultant]],tblSalaries[[#This Row],[Salary in USD]],"")</f>
        <v/>
      </c>
      <c r="X460" s="13" t="str">
        <f>IF(tblSalaries[[#This Row],[Job Type]]=tblSalaries[[#Headers],[Controller]],tblSalaries[[#This Row],[Salary in USD]],"")</f>
        <v/>
      </c>
      <c r="Y460" s="13" t="str">
        <f>IF(tblSalaries[[#This Row],[Job Type]]=tblSalaries[[#Headers],[CXO or Top Mgmt.]],tblSalaries[[#This Row],[clean Salary (in local currency)]],"")</f>
        <v/>
      </c>
      <c r="Z460" s="13" t="str">
        <f>IF(tblSalaries[[#This Row],[Job Type]]=tblSalaries[[#Headers],[Engineer]],tblSalaries[[#This Row],[Salary in USD]],"")</f>
        <v/>
      </c>
      <c r="AA460" s="13" t="str">
        <f>IF(tblSalaries[[#This Row],[Job Type]]=tblSalaries[[#Headers],[Manager]],tblSalaries[[#This Row],[Salary in USD]],"")</f>
        <v/>
      </c>
      <c r="AB460" s="13" t="str">
        <f>IF(tblSalaries[[#This Row],[Job Type]]=tblSalaries[[#Headers],[Misc.]],tblSalaries[[#This Row],[Salary in USD]],"")</f>
        <v/>
      </c>
      <c r="AC460" s="13" t="str">
        <f>IF(tblSalaries[[#This Row],[Job Type]]=tblSalaries[[#Headers],[Reporting]],tblSalaries[[#This Row],[Salary in USD]],"")</f>
        <v/>
      </c>
      <c r="AD460" s="13" t="str">
        <f>IF(tblSalaries[[#This Row],[Job Type]]=tblSalaries[[#Headers],[Specialist]],tblSalaries[[#This Row],[Salary in USD]],"")</f>
        <v/>
      </c>
    </row>
    <row r="461" spans="2:30" ht="15" customHeight="1" x14ac:dyDescent="0.25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 s="9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  <c r="N461" t="str">
        <f>IF(tblSalaries[[#This Row],[Years of Experience]]="","",IF(tblSalaries[[#This Row],[Years of Experience]]&lt;=2,1,""))</f>
        <v/>
      </c>
      <c r="O461" t="str">
        <f>IF(tblSalaries[[#This Row],[Years of Experience]]="","",IF(AND(tblSalaries[[#This Row],[Years of Experience]]&gt;2,tblSalaries[[#This Row],[Years of Experience]]&lt;=5),1,""))</f>
        <v/>
      </c>
      <c r="P461" t="str">
        <f>IF(tblSalaries[[#This Row],[Years of Experience]]="","",IF(AND(tblSalaries[[#This Row],[Years of Experience]]&gt;5,tblSalaries[[#This Row],[Years of Experience]]&lt;=10),1,""))</f>
        <v/>
      </c>
      <c r="Q461" t="str">
        <f>IF(tblSalaries[[#This Row],[Years of Experience]]="","",IF(AND(tblSalaries[[#This Row],[Years of Experience]]&gt;10,tblSalaries[[#This Row],[Years of Experience]]&lt;=15),1,""))</f>
        <v/>
      </c>
      <c r="R461" t="str">
        <f>IF(tblSalaries[[#This Row],[Years of Experience]]="","",IF(AND(tblSalaries[[#This Row],[Years of Experience]]&gt;16,tblSalaries[[#This Row],[Years of Experience]]&lt;=20),1,""))</f>
        <v/>
      </c>
      <c r="S461" t="str">
        <f>IF(tblSalaries[[#This Row],[Years of Experience]]="","",IF(tblSalaries[[#This Row],[Years of Experience]]&gt;20,1,""))</f>
        <v/>
      </c>
      <c r="T4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1" s="13" t="str">
        <f>IF(tblSalaries[[#This Row],[Job Type]]=tblSalaries[[#Headers],[Accountant]],tblSalaries[[#This Row],[Salary in USD]],"")</f>
        <v/>
      </c>
      <c r="V461" s="13">
        <f>IF(tblSalaries[[#This Row],[Job Type]]=tblSalaries[[#Headers],[Analyst]],tblSalaries[[#This Row],[Salary in USD]],"")</f>
        <v>39404.456801682099</v>
      </c>
      <c r="W461" s="13" t="str">
        <f>IF(tblSalaries[[#This Row],[Job Type]]=tblSalaries[[#Headers],[Consultant]],tblSalaries[[#This Row],[Salary in USD]],"")</f>
        <v/>
      </c>
      <c r="X461" s="13" t="str">
        <f>IF(tblSalaries[[#This Row],[Job Type]]=tblSalaries[[#Headers],[Controller]],tblSalaries[[#This Row],[Salary in USD]],"")</f>
        <v/>
      </c>
      <c r="Y461" s="13" t="str">
        <f>IF(tblSalaries[[#This Row],[Job Type]]=tblSalaries[[#Headers],[CXO or Top Mgmt.]],tblSalaries[[#This Row],[clean Salary (in local currency)]],"")</f>
        <v/>
      </c>
      <c r="Z461" s="13" t="str">
        <f>IF(tblSalaries[[#This Row],[Job Type]]=tblSalaries[[#Headers],[Engineer]],tblSalaries[[#This Row],[Salary in USD]],"")</f>
        <v/>
      </c>
      <c r="AA461" s="13" t="str">
        <f>IF(tblSalaries[[#This Row],[Job Type]]=tblSalaries[[#Headers],[Manager]],tblSalaries[[#This Row],[Salary in USD]],"")</f>
        <v/>
      </c>
      <c r="AB461" s="13" t="str">
        <f>IF(tblSalaries[[#This Row],[Job Type]]=tblSalaries[[#Headers],[Misc.]],tblSalaries[[#This Row],[Salary in USD]],"")</f>
        <v/>
      </c>
      <c r="AC461" s="13" t="str">
        <f>IF(tblSalaries[[#This Row],[Job Type]]=tblSalaries[[#Headers],[Reporting]],tblSalaries[[#This Row],[Salary in USD]],"")</f>
        <v/>
      </c>
      <c r="AD461" s="13" t="str">
        <f>IF(tblSalaries[[#This Row],[Job Type]]=tblSalaries[[#Headers],[Specialist]],tblSalaries[[#This Row],[Salary in USD]],"")</f>
        <v/>
      </c>
    </row>
    <row r="462" spans="2:30" ht="15" customHeight="1" x14ac:dyDescent="0.25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 s="9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  <c r="N462" t="str">
        <f>IF(tblSalaries[[#This Row],[Years of Experience]]="","",IF(tblSalaries[[#This Row],[Years of Experience]]&lt;=2,1,""))</f>
        <v/>
      </c>
      <c r="O462" t="str">
        <f>IF(tblSalaries[[#This Row],[Years of Experience]]="","",IF(AND(tblSalaries[[#This Row],[Years of Experience]]&gt;2,tblSalaries[[#This Row],[Years of Experience]]&lt;=5),1,""))</f>
        <v/>
      </c>
      <c r="P462" t="str">
        <f>IF(tblSalaries[[#This Row],[Years of Experience]]="","",IF(AND(tblSalaries[[#This Row],[Years of Experience]]&gt;5,tblSalaries[[#This Row],[Years of Experience]]&lt;=10),1,""))</f>
        <v/>
      </c>
      <c r="Q462" t="str">
        <f>IF(tblSalaries[[#This Row],[Years of Experience]]="","",IF(AND(tblSalaries[[#This Row],[Years of Experience]]&gt;10,tblSalaries[[#This Row],[Years of Experience]]&lt;=15),1,""))</f>
        <v/>
      </c>
      <c r="R462" t="str">
        <f>IF(tblSalaries[[#This Row],[Years of Experience]]="","",IF(AND(tblSalaries[[#This Row],[Years of Experience]]&gt;16,tblSalaries[[#This Row],[Years of Experience]]&lt;=20),1,""))</f>
        <v/>
      </c>
      <c r="S462" t="str">
        <f>IF(tblSalaries[[#This Row],[Years of Experience]]="","",IF(tblSalaries[[#This Row],[Years of Experience]]&gt;20,1,""))</f>
        <v/>
      </c>
      <c r="T4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2" s="13" t="str">
        <f>IF(tblSalaries[[#This Row],[Job Type]]=tblSalaries[[#Headers],[Accountant]],tblSalaries[[#This Row],[Salary in USD]],"")</f>
        <v/>
      </c>
      <c r="V462" s="13" t="str">
        <f>IF(tblSalaries[[#This Row],[Job Type]]=tblSalaries[[#Headers],[Analyst]],tblSalaries[[#This Row],[Salary in USD]],"")</f>
        <v/>
      </c>
      <c r="W462" s="13" t="str">
        <f>IF(tblSalaries[[#This Row],[Job Type]]=tblSalaries[[#Headers],[Consultant]],tblSalaries[[#This Row],[Salary in USD]],"")</f>
        <v/>
      </c>
      <c r="X462" s="13" t="str">
        <f>IF(tblSalaries[[#This Row],[Job Type]]=tblSalaries[[#Headers],[Controller]],tblSalaries[[#This Row],[Salary in USD]],"")</f>
        <v/>
      </c>
      <c r="Y462" s="13" t="str">
        <f>IF(tblSalaries[[#This Row],[Job Type]]=tblSalaries[[#Headers],[CXO or Top Mgmt.]],tblSalaries[[#This Row],[clean Salary (in local currency)]],"")</f>
        <v/>
      </c>
      <c r="Z462" s="13" t="str">
        <f>IF(tblSalaries[[#This Row],[Job Type]]=tblSalaries[[#Headers],[Engineer]],tblSalaries[[#This Row],[Salary in USD]],"")</f>
        <v/>
      </c>
      <c r="AA462" s="13">
        <f>IF(tblSalaries[[#This Row],[Job Type]]=tblSalaries[[#Headers],[Manager]],tblSalaries[[#This Row],[Salary in USD]],"")</f>
        <v>60000</v>
      </c>
      <c r="AB462" s="13" t="str">
        <f>IF(tblSalaries[[#This Row],[Job Type]]=tblSalaries[[#Headers],[Misc.]],tblSalaries[[#This Row],[Salary in USD]],"")</f>
        <v/>
      </c>
      <c r="AC462" s="13" t="str">
        <f>IF(tblSalaries[[#This Row],[Job Type]]=tblSalaries[[#Headers],[Reporting]],tblSalaries[[#This Row],[Salary in USD]],"")</f>
        <v/>
      </c>
      <c r="AD462" s="13" t="str">
        <f>IF(tblSalaries[[#This Row],[Job Type]]=tblSalaries[[#Headers],[Specialist]],tblSalaries[[#This Row],[Salary in USD]],"")</f>
        <v/>
      </c>
    </row>
    <row r="463" spans="2:30" ht="15" customHeight="1" x14ac:dyDescent="0.25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 s="9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  <c r="N463" t="str">
        <f>IF(tblSalaries[[#This Row],[Years of Experience]]="","",IF(tblSalaries[[#This Row],[Years of Experience]]&lt;=2,1,""))</f>
        <v/>
      </c>
      <c r="O463" t="str">
        <f>IF(tblSalaries[[#This Row],[Years of Experience]]="","",IF(AND(tblSalaries[[#This Row],[Years of Experience]]&gt;2,tblSalaries[[#This Row],[Years of Experience]]&lt;=5),1,""))</f>
        <v/>
      </c>
      <c r="P463" t="str">
        <f>IF(tblSalaries[[#This Row],[Years of Experience]]="","",IF(AND(tblSalaries[[#This Row],[Years of Experience]]&gt;5,tblSalaries[[#This Row],[Years of Experience]]&lt;=10),1,""))</f>
        <v/>
      </c>
      <c r="Q463" t="str">
        <f>IF(tblSalaries[[#This Row],[Years of Experience]]="","",IF(AND(tblSalaries[[#This Row],[Years of Experience]]&gt;10,tblSalaries[[#This Row],[Years of Experience]]&lt;=15),1,""))</f>
        <v/>
      </c>
      <c r="R463" t="str">
        <f>IF(tblSalaries[[#This Row],[Years of Experience]]="","",IF(AND(tblSalaries[[#This Row],[Years of Experience]]&gt;16,tblSalaries[[#This Row],[Years of Experience]]&lt;=20),1,""))</f>
        <v/>
      </c>
      <c r="S463" t="str">
        <f>IF(tblSalaries[[#This Row],[Years of Experience]]="","",IF(tblSalaries[[#This Row],[Years of Experience]]&gt;20,1,""))</f>
        <v/>
      </c>
      <c r="T4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3" s="13" t="str">
        <f>IF(tblSalaries[[#This Row],[Job Type]]=tblSalaries[[#Headers],[Accountant]],tblSalaries[[#This Row],[Salary in USD]],"")</f>
        <v/>
      </c>
      <c r="V463" s="13" t="str">
        <f>IF(tblSalaries[[#This Row],[Job Type]]=tblSalaries[[#Headers],[Analyst]],tblSalaries[[#This Row],[Salary in USD]],"")</f>
        <v/>
      </c>
      <c r="W463" s="13" t="str">
        <f>IF(tblSalaries[[#This Row],[Job Type]]=tblSalaries[[#Headers],[Consultant]],tblSalaries[[#This Row],[Salary in USD]],"")</f>
        <v/>
      </c>
      <c r="X463" s="13" t="str">
        <f>IF(tblSalaries[[#This Row],[Job Type]]=tblSalaries[[#Headers],[Controller]],tblSalaries[[#This Row],[Salary in USD]],"")</f>
        <v/>
      </c>
      <c r="Y463" s="13" t="str">
        <f>IF(tblSalaries[[#This Row],[Job Type]]=tblSalaries[[#Headers],[CXO or Top Mgmt.]],tblSalaries[[#This Row],[clean Salary (in local currency)]],"")</f>
        <v/>
      </c>
      <c r="Z463" s="13" t="str">
        <f>IF(tblSalaries[[#This Row],[Job Type]]=tblSalaries[[#Headers],[Engineer]],tblSalaries[[#This Row],[Salary in USD]],"")</f>
        <v/>
      </c>
      <c r="AA463" s="13">
        <f>IF(tblSalaries[[#This Row],[Job Type]]=tblSalaries[[#Headers],[Manager]],tblSalaries[[#This Row],[Salary in USD]],"")</f>
        <v>68835.306612122877</v>
      </c>
      <c r="AB463" s="13" t="str">
        <f>IF(tblSalaries[[#This Row],[Job Type]]=tblSalaries[[#Headers],[Misc.]],tblSalaries[[#This Row],[Salary in USD]],"")</f>
        <v/>
      </c>
      <c r="AC463" s="13" t="str">
        <f>IF(tblSalaries[[#This Row],[Job Type]]=tblSalaries[[#Headers],[Reporting]],tblSalaries[[#This Row],[Salary in USD]],"")</f>
        <v/>
      </c>
      <c r="AD463" s="13" t="str">
        <f>IF(tblSalaries[[#This Row],[Job Type]]=tblSalaries[[#Headers],[Specialist]],tblSalaries[[#This Row],[Salary in USD]],"")</f>
        <v/>
      </c>
    </row>
    <row r="464" spans="2:30" ht="15" customHeight="1" x14ac:dyDescent="0.25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 s="9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  <c r="N464" t="str">
        <f>IF(tblSalaries[[#This Row],[Years of Experience]]="","",IF(tblSalaries[[#This Row],[Years of Experience]]&lt;=2,1,""))</f>
        <v/>
      </c>
      <c r="O464" t="str">
        <f>IF(tblSalaries[[#This Row],[Years of Experience]]="","",IF(AND(tblSalaries[[#This Row],[Years of Experience]]&gt;2,tblSalaries[[#This Row],[Years of Experience]]&lt;=5),1,""))</f>
        <v/>
      </c>
      <c r="P464" t="str">
        <f>IF(tblSalaries[[#This Row],[Years of Experience]]="","",IF(AND(tblSalaries[[#This Row],[Years of Experience]]&gt;5,tblSalaries[[#This Row],[Years of Experience]]&lt;=10),1,""))</f>
        <v/>
      </c>
      <c r="Q464" t="str">
        <f>IF(tblSalaries[[#This Row],[Years of Experience]]="","",IF(AND(tblSalaries[[#This Row],[Years of Experience]]&gt;10,tblSalaries[[#This Row],[Years of Experience]]&lt;=15),1,""))</f>
        <v/>
      </c>
      <c r="R464" t="str">
        <f>IF(tblSalaries[[#This Row],[Years of Experience]]="","",IF(AND(tblSalaries[[#This Row],[Years of Experience]]&gt;16,tblSalaries[[#This Row],[Years of Experience]]&lt;=20),1,""))</f>
        <v/>
      </c>
      <c r="S464" t="str">
        <f>IF(tblSalaries[[#This Row],[Years of Experience]]="","",IF(tblSalaries[[#This Row],[Years of Experience]]&gt;20,1,""))</f>
        <v/>
      </c>
      <c r="T4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4" s="13" t="str">
        <f>IF(tblSalaries[[#This Row],[Job Type]]=tblSalaries[[#Headers],[Accountant]],tblSalaries[[#This Row],[Salary in USD]],"")</f>
        <v/>
      </c>
      <c r="V464" s="13" t="str">
        <f>IF(tblSalaries[[#This Row],[Job Type]]=tblSalaries[[#Headers],[Analyst]],tblSalaries[[#This Row],[Salary in USD]],"")</f>
        <v/>
      </c>
      <c r="W464" s="13" t="str">
        <f>IF(tblSalaries[[#This Row],[Job Type]]=tblSalaries[[#Headers],[Consultant]],tblSalaries[[#This Row],[Salary in USD]],"")</f>
        <v/>
      </c>
      <c r="X464" s="13" t="str">
        <f>IF(tblSalaries[[#This Row],[Job Type]]=tblSalaries[[#Headers],[Controller]],tblSalaries[[#This Row],[Salary in USD]],"")</f>
        <v/>
      </c>
      <c r="Y464" s="13" t="str">
        <f>IF(tblSalaries[[#This Row],[Job Type]]=tblSalaries[[#Headers],[CXO or Top Mgmt.]],tblSalaries[[#This Row],[clean Salary (in local currency)]],"")</f>
        <v/>
      </c>
      <c r="Z464" s="13" t="str">
        <f>IF(tblSalaries[[#This Row],[Job Type]]=tblSalaries[[#Headers],[Engineer]],tblSalaries[[#This Row],[Salary in USD]],"")</f>
        <v/>
      </c>
      <c r="AA464" s="13" t="str">
        <f>IF(tblSalaries[[#This Row],[Job Type]]=tblSalaries[[#Headers],[Manager]],tblSalaries[[#This Row],[Salary in USD]],"")</f>
        <v/>
      </c>
      <c r="AB464" s="13" t="str">
        <f>IF(tblSalaries[[#This Row],[Job Type]]=tblSalaries[[#Headers],[Misc.]],tblSalaries[[#This Row],[Salary in USD]],"")</f>
        <v/>
      </c>
      <c r="AC464" s="13" t="str">
        <f>IF(tblSalaries[[#This Row],[Job Type]]=tblSalaries[[#Headers],[Reporting]],tblSalaries[[#This Row],[Salary in USD]],"")</f>
        <v/>
      </c>
      <c r="AD464" s="13">
        <f>IF(tblSalaries[[#This Row],[Job Type]]=tblSalaries[[#Headers],[Specialist]],tblSalaries[[#This Row],[Salary in USD]],"")</f>
        <v>5250</v>
      </c>
    </row>
    <row r="465" spans="2:30" ht="15" customHeight="1" x14ac:dyDescent="0.25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 s="9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  <c r="N465" t="str">
        <f>IF(tblSalaries[[#This Row],[Years of Experience]]="","",IF(tblSalaries[[#This Row],[Years of Experience]]&lt;=2,1,""))</f>
        <v/>
      </c>
      <c r="O465" t="str">
        <f>IF(tblSalaries[[#This Row],[Years of Experience]]="","",IF(AND(tblSalaries[[#This Row],[Years of Experience]]&gt;2,tblSalaries[[#This Row],[Years of Experience]]&lt;=5),1,""))</f>
        <v/>
      </c>
      <c r="P465" t="str">
        <f>IF(tblSalaries[[#This Row],[Years of Experience]]="","",IF(AND(tblSalaries[[#This Row],[Years of Experience]]&gt;5,tblSalaries[[#This Row],[Years of Experience]]&lt;=10),1,""))</f>
        <v/>
      </c>
      <c r="Q465" t="str">
        <f>IF(tblSalaries[[#This Row],[Years of Experience]]="","",IF(AND(tblSalaries[[#This Row],[Years of Experience]]&gt;10,tblSalaries[[#This Row],[Years of Experience]]&lt;=15),1,""))</f>
        <v/>
      </c>
      <c r="R465" t="str">
        <f>IF(tblSalaries[[#This Row],[Years of Experience]]="","",IF(AND(tblSalaries[[#This Row],[Years of Experience]]&gt;16,tblSalaries[[#This Row],[Years of Experience]]&lt;=20),1,""))</f>
        <v/>
      </c>
      <c r="S465" t="str">
        <f>IF(tblSalaries[[#This Row],[Years of Experience]]="","",IF(tblSalaries[[#This Row],[Years of Experience]]&gt;20,1,""))</f>
        <v/>
      </c>
      <c r="T4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5" s="13" t="str">
        <f>IF(tblSalaries[[#This Row],[Job Type]]=tblSalaries[[#Headers],[Accountant]],tblSalaries[[#This Row],[Salary in USD]],"")</f>
        <v/>
      </c>
      <c r="V465" s="13" t="str">
        <f>IF(tblSalaries[[#This Row],[Job Type]]=tblSalaries[[#Headers],[Analyst]],tblSalaries[[#This Row],[Salary in USD]],"")</f>
        <v/>
      </c>
      <c r="W465" s="13" t="str">
        <f>IF(tblSalaries[[#This Row],[Job Type]]=tblSalaries[[#Headers],[Consultant]],tblSalaries[[#This Row],[Salary in USD]],"")</f>
        <v/>
      </c>
      <c r="X465" s="13" t="str">
        <f>IF(tblSalaries[[#This Row],[Job Type]]=tblSalaries[[#Headers],[Controller]],tblSalaries[[#This Row],[Salary in USD]],"")</f>
        <v/>
      </c>
      <c r="Y465" s="13" t="str">
        <f>IF(tblSalaries[[#This Row],[Job Type]]=tblSalaries[[#Headers],[CXO or Top Mgmt.]],tblSalaries[[#This Row],[clean Salary (in local currency)]],"")</f>
        <v/>
      </c>
      <c r="Z465" s="13" t="str">
        <f>IF(tblSalaries[[#This Row],[Job Type]]=tblSalaries[[#Headers],[Engineer]],tblSalaries[[#This Row],[Salary in USD]],"")</f>
        <v/>
      </c>
      <c r="AA465" s="13">
        <f>IF(tblSalaries[[#This Row],[Job Type]]=tblSalaries[[#Headers],[Manager]],tblSalaries[[#This Row],[Salary in USD]],"")</f>
        <v>85552.452503638444</v>
      </c>
      <c r="AB465" s="13" t="str">
        <f>IF(tblSalaries[[#This Row],[Job Type]]=tblSalaries[[#Headers],[Misc.]],tblSalaries[[#This Row],[Salary in USD]],"")</f>
        <v/>
      </c>
      <c r="AC465" s="13" t="str">
        <f>IF(tblSalaries[[#This Row],[Job Type]]=tblSalaries[[#Headers],[Reporting]],tblSalaries[[#This Row],[Salary in USD]],"")</f>
        <v/>
      </c>
      <c r="AD465" s="13" t="str">
        <f>IF(tblSalaries[[#This Row],[Job Type]]=tblSalaries[[#Headers],[Specialist]],tblSalaries[[#This Row],[Salary in USD]],"")</f>
        <v/>
      </c>
    </row>
    <row r="466" spans="2:30" ht="15" customHeight="1" x14ac:dyDescent="0.25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 s="9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  <c r="N466" t="str">
        <f>IF(tblSalaries[[#This Row],[Years of Experience]]="","",IF(tblSalaries[[#This Row],[Years of Experience]]&lt;=2,1,""))</f>
        <v/>
      </c>
      <c r="O466" t="str">
        <f>IF(tblSalaries[[#This Row],[Years of Experience]]="","",IF(AND(tblSalaries[[#This Row],[Years of Experience]]&gt;2,tblSalaries[[#This Row],[Years of Experience]]&lt;=5),1,""))</f>
        <v/>
      </c>
      <c r="P466" t="str">
        <f>IF(tblSalaries[[#This Row],[Years of Experience]]="","",IF(AND(tblSalaries[[#This Row],[Years of Experience]]&gt;5,tblSalaries[[#This Row],[Years of Experience]]&lt;=10),1,""))</f>
        <v/>
      </c>
      <c r="Q466" t="str">
        <f>IF(tblSalaries[[#This Row],[Years of Experience]]="","",IF(AND(tblSalaries[[#This Row],[Years of Experience]]&gt;10,tblSalaries[[#This Row],[Years of Experience]]&lt;=15),1,""))</f>
        <v/>
      </c>
      <c r="R466" t="str">
        <f>IF(tblSalaries[[#This Row],[Years of Experience]]="","",IF(AND(tblSalaries[[#This Row],[Years of Experience]]&gt;16,tblSalaries[[#This Row],[Years of Experience]]&lt;=20),1,""))</f>
        <v/>
      </c>
      <c r="S466" t="str">
        <f>IF(tblSalaries[[#This Row],[Years of Experience]]="","",IF(tblSalaries[[#This Row],[Years of Experience]]&gt;20,1,""))</f>
        <v/>
      </c>
      <c r="T4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6" s="13" t="str">
        <f>IF(tblSalaries[[#This Row],[Job Type]]=tblSalaries[[#Headers],[Accountant]],tblSalaries[[#This Row],[Salary in USD]],"")</f>
        <v/>
      </c>
      <c r="V466" s="13">
        <f>IF(tblSalaries[[#This Row],[Job Type]]=tblSalaries[[#Headers],[Analyst]],tblSalaries[[#This Row],[Salary in USD]],"")</f>
        <v>2225.989585930321</v>
      </c>
      <c r="W466" s="13" t="str">
        <f>IF(tblSalaries[[#This Row],[Job Type]]=tblSalaries[[#Headers],[Consultant]],tblSalaries[[#This Row],[Salary in USD]],"")</f>
        <v/>
      </c>
      <c r="X466" s="13" t="str">
        <f>IF(tblSalaries[[#This Row],[Job Type]]=tblSalaries[[#Headers],[Controller]],tblSalaries[[#This Row],[Salary in USD]],"")</f>
        <v/>
      </c>
      <c r="Y466" s="13" t="str">
        <f>IF(tblSalaries[[#This Row],[Job Type]]=tblSalaries[[#Headers],[CXO or Top Mgmt.]],tblSalaries[[#This Row],[clean Salary (in local currency)]],"")</f>
        <v/>
      </c>
      <c r="Z466" s="13" t="str">
        <f>IF(tblSalaries[[#This Row],[Job Type]]=tblSalaries[[#Headers],[Engineer]],tblSalaries[[#This Row],[Salary in USD]],"")</f>
        <v/>
      </c>
      <c r="AA466" s="13" t="str">
        <f>IF(tblSalaries[[#This Row],[Job Type]]=tblSalaries[[#Headers],[Manager]],tblSalaries[[#This Row],[Salary in USD]],"")</f>
        <v/>
      </c>
      <c r="AB466" s="13" t="str">
        <f>IF(tblSalaries[[#This Row],[Job Type]]=tblSalaries[[#Headers],[Misc.]],tblSalaries[[#This Row],[Salary in USD]],"")</f>
        <v/>
      </c>
      <c r="AC466" s="13" t="str">
        <f>IF(tblSalaries[[#This Row],[Job Type]]=tblSalaries[[#Headers],[Reporting]],tblSalaries[[#This Row],[Salary in USD]],"")</f>
        <v/>
      </c>
      <c r="AD466" s="13" t="str">
        <f>IF(tblSalaries[[#This Row],[Job Type]]=tblSalaries[[#Headers],[Specialist]],tblSalaries[[#This Row],[Salary in USD]],"")</f>
        <v/>
      </c>
    </row>
    <row r="467" spans="2:30" ht="15" customHeight="1" x14ac:dyDescent="0.25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 s="9">
        <f>tblSalaries[[#This Row],[clean Salary (in local currency)]]*VLOOKUP(tblSalaries[[#This Row],[Currency]],tblXrate[],2,FALSE)</f>
        <v>150000</v>
      </c>
      <c r="H467" t="s">
        <v>29</v>
      </c>
      <c r="I467" t="s">
        <v>4001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  <c r="N467" t="str">
        <f>IF(tblSalaries[[#This Row],[Years of Experience]]="","",IF(tblSalaries[[#This Row],[Years of Experience]]&lt;=2,1,""))</f>
        <v/>
      </c>
      <c r="O467" t="str">
        <f>IF(tblSalaries[[#This Row],[Years of Experience]]="","",IF(AND(tblSalaries[[#This Row],[Years of Experience]]&gt;2,tblSalaries[[#This Row],[Years of Experience]]&lt;=5),1,""))</f>
        <v/>
      </c>
      <c r="P467" t="str">
        <f>IF(tblSalaries[[#This Row],[Years of Experience]]="","",IF(AND(tblSalaries[[#This Row],[Years of Experience]]&gt;5,tblSalaries[[#This Row],[Years of Experience]]&lt;=10),1,""))</f>
        <v/>
      </c>
      <c r="Q467" t="str">
        <f>IF(tblSalaries[[#This Row],[Years of Experience]]="","",IF(AND(tblSalaries[[#This Row],[Years of Experience]]&gt;10,tblSalaries[[#This Row],[Years of Experience]]&lt;=15),1,""))</f>
        <v/>
      </c>
      <c r="R467" t="str">
        <f>IF(tblSalaries[[#This Row],[Years of Experience]]="","",IF(AND(tblSalaries[[#This Row],[Years of Experience]]&gt;16,tblSalaries[[#This Row],[Years of Experience]]&lt;=20),1,""))</f>
        <v/>
      </c>
      <c r="S467" t="str">
        <f>IF(tblSalaries[[#This Row],[Years of Experience]]="","",IF(tblSalaries[[#This Row],[Years of Experience]]&gt;20,1,""))</f>
        <v/>
      </c>
      <c r="T4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7" s="13" t="str">
        <f>IF(tblSalaries[[#This Row],[Job Type]]=tblSalaries[[#Headers],[Accountant]],tblSalaries[[#This Row],[Salary in USD]],"")</f>
        <v/>
      </c>
      <c r="V467" s="13" t="str">
        <f>IF(tblSalaries[[#This Row],[Job Type]]=tblSalaries[[#Headers],[Analyst]],tblSalaries[[#This Row],[Salary in USD]],"")</f>
        <v/>
      </c>
      <c r="W467" s="13" t="str">
        <f>IF(tblSalaries[[#This Row],[Job Type]]=tblSalaries[[#Headers],[Consultant]],tblSalaries[[#This Row],[Salary in USD]],"")</f>
        <v/>
      </c>
      <c r="X467" s="13" t="str">
        <f>IF(tblSalaries[[#This Row],[Job Type]]=tblSalaries[[#Headers],[Controller]],tblSalaries[[#This Row],[Salary in USD]],"")</f>
        <v/>
      </c>
      <c r="Y467" s="13">
        <f>IF(tblSalaries[[#This Row],[Job Type]]=tblSalaries[[#Headers],[CXO or Top Mgmt.]],tblSalaries[[#This Row],[clean Salary (in local currency)]],"")</f>
        <v>150000</v>
      </c>
      <c r="Z467" s="13" t="str">
        <f>IF(tblSalaries[[#This Row],[Job Type]]=tblSalaries[[#Headers],[Engineer]],tblSalaries[[#This Row],[Salary in USD]],"")</f>
        <v/>
      </c>
      <c r="AA467" s="13" t="str">
        <f>IF(tblSalaries[[#This Row],[Job Type]]=tblSalaries[[#Headers],[Manager]],tblSalaries[[#This Row],[Salary in USD]],"")</f>
        <v/>
      </c>
      <c r="AB467" s="13" t="str">
        <f>IF(tblSalaries[[#This Row],[Job Type]]=tblSalaries[[#Headers],[Misc.]],tblSalaries[[#This Row],[Salary in USD]],"")</f>
        <v/>
      </c>
      <c r="AC467" s="13" t="str">
        <f>IF(tblSalaries[[#This Row],[Job Type]]=tblSalaries[[#Headers],[Reporting]],tblSalaries[[#This Row],[Salary in USD]],"")</f>
        <v/>
      </c>
      <c r="AD467" s="13" t="str">
        <f>IF(tblSalaries[[#This Row],[Job Type]]=tblSalaries[[#Headers],[Specialist]],tblSalaries[[#This Row],[Salary in USD]],"")</f>
        <v/>
      </c>
    </row>
    <row r="468" spans="2:30" ht="15" customHeight="1" x14ac:dyDescent="0.25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 s="9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  <c r="N468" t="str">
        <f>IF(tblSalaries[[#This Row],[Years of Experience]]="","",IF(tblSalaries[[#This Row],[Years of Experience]]&lt;=2,1,""))</f>
        <v/>
      </c>
      <c r="O468" t="str">
        <f>IF(tblSalaries[[#This Row],[Years of Experience]]="","",IF(AND(tblSalaries[[#This Row],[Years of Experience]]&gt;2,tblSalaries[[#This Row],[Years of Experience]]&lt;=5),1,""))</f>
        <v/>
      </c>
      <c r="P468" t="str">
        <f>IF(tblSalaries[[#This Row],[Years of Experience]]="","",IF(AND(tblSalaries[[#This Row],[Years of Experience]]&gt;5,tblSalaries[[#This Row],[Years of Experience]]&lt;=10),1,""))</f>
        <v/>
      </c>
      <c r="Q468" t="str">
        <f>IF(tblSalaries[[#This Row],[Years of Experience]]="","",IF(AND(tblSalaries[[#This Row],[Years of Experience]]&gt;10,tblSalaries[[#This Row],[Years of Experience]]&lt;=15),1,""))</f>
        <v/>
      </c>
      <c r="R468" t="str">
        <f>IF(tblSalaries[[#This Row],[Years of Experience]]="","",IF(AND(tblSalaries[[#This Row],[Years of Experience]]&gt;16,tblSalaries[[#This Row],[Years of Experience]]&lt;=20),1,""))</f>
        <v/>
      </c>
      <c r="S468" t="str">
        <f>IF(tblSalaries[[#This Row],[Years of Experience]]="","",IF(tblSalaries[[#This Row],[Years of Experience]]&gt;20,1,""))</f>
        <v/>
      </c>
      <c r="T4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8" s="13" t="str">
        <f>IF(tblSalaries[[#This Row],[Job Type]]=tblSalaries[[#Headers],[Accountant]],tblSalaries[[#This Row],[Salary in USD]],"")</f>
        <v/>
      </c>
      <c r="V468" s="13">
        <f>IF(tblSalaries[[#This Row],[Job Type]]=tblSalaries[[#Headers],[Analyst]],tblSalaries[[#This Row],[Salary in USD]],"")</f>
        <v>50000</v>
      </c>
      <c r="W468" s="13" t="str">
        <f>IF(tblSalaries[[#This Row],[Job Type]]=tblSalaries[[#Headers],[Consultant]],tblSalaries[[#This Row],[Salary in USD]],"")</f>
        <v/>
      </c>
      <c r="X468" s="13" t="str">
        <f>IF(tblSalaries[[#This Row],[Job Type]]=tblSalaries[[#Headers],[Controller]],tblSalaries[[#This Row],[Salary in USD]],"")</f>
        <v/>
      </c>
      <c r="Y468" s="13" t="str">
        <f>IF(tblSalaries[[#This Row],[Job Type]]=tblSalaries[[#Headers],[CXO or Top Mgmt.]],tblSalaries[[#This Row],[clean Salary (in local currency)]],"")</f>
        <v/>
      </c>
      <c r="Z468" s="13" t="str">
        <f>IF(tblSalaries[[#This Row],[Job Type]]=tblSalaries[[#Headers],[Engineer]],tblSalaries[[#This Row],[Salary in USD]],"")</f>
        <v/>
      </c>
      <c r="AA468" s="13" t="str">
        <f>IF(tblSalaries[[#This Row],[Job Type]]=tblSalaries[[#Headers],[Manager]],tblSalaries[[#This Row],[Salary in USD]],"")</f>
        <v/>
      </c>
      <c r="AB468" s="13" t="str">
        <f>IF(tblSalaries[[#This Row],[Job Type]]=tblSalaries[[#Headers],[Misc.]],tblSalaries[[#This Row],[Salary in USD]],"")</f>
        <v/>
      </c>
      <c r="AC468" s="13" t="str">
        <f>IF(tblSalaries[[#This Row],[Job Type]]=tblSalaries[[#Headers],[Reporting]],tblSalaries[[#This Row],[Salary in USD]],"")</f>
        <v/>
      </c>
      <c r="AD468" s="13" t="str">
        <f>IF(tblSalaries[[#This Row],[Job Type]]=tblSalaries[[#Headers],[Specialist]],tblSalaries[[#This Row],[Salary in USD]],"")</f>
        <v/>
      </c>
    </row>
    <row r="469" spans="2:30" ht="15" customHeight="1" x14ac:dyDescent="0.25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 s="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  <c r="N469" t="str">
        <f>IF(tblSalaries[[#This Row],[Years of Experience]]="","",IF(tblSalaries[[#This Row],[Years of Experience]]&lt;=2,1,""))</f>
        <v/>
      </c>
      <c r="O469" t="str">
        <f>IF(tblSalaries[[#This Row],[Years of Experience]]="","",IF(AND(tblSalaries[[#This Row],[Years of Experience]]&gt;2,tblSalaries[[#This Row],[Years of Experience]]&lt;=5),1,""))</f>
        <v/>
      </c>
      <c r="P469" t="str">
        <f>IF(tblSalaries[[#This Row],[Years of Experience]]="","",IF(AND(tblSalaries[[#This Row],[Years of Experience]]&gt;5,tblSalaries[[#This Row],[Years of Experience]]&lt;=10),1,""))</f>
        <v/>
      </c>
      <c r="Q469" t="str">
        <f>IF(tblSalaries[[#This Row],[Years of Experience]]="","",IF(AND(tblSalaries[[#This Row],[Years of Experience]]&gt;10,tblSalaries[[#This Row],[Years of Experience]]&lt;=15),1,""))</f>
        <v/>
      </c>
      <c r="R469" t="str">
        <f>IF(tblSalaries[[#This Row],[Years of Experience]]="","",IF(AND(tblSalaries[[#This Row],[Years of Experience]]&gt;16,tblSalaries[[#This Row],[Years of Experience]]&lt;=20),1,""))</f>
        <v/>
      </c>
      <c r="S469" t="str">
        <f>IF(tblSalaries[[#This Row],[Years of Experience]]="","",IF(tblSalaries[[#This Row],[Years of Experience]]&gt;20,1,""))</f>
        <v/>
      </c>
      <c r="T4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69" s="13" t="str">
        <f>IF(tblSalaries[[#This Row],[Job Type]]=tblSalaries[[#Headers],[Accountant]],tblSalaries[[#This Row],[Salary in USD]],"")</f>
        <v/>
      </c>
      <c r="V469" s="13">
        <f>IF(tblSalaries[[#This Row],[Job Type]]=tblSalaries[[#Headers],[Analyst]],tblSalaries[[#This Row],[Salary in USD]],"")</f>
        <v>70000</v>
      </c>
      <c r="W469" s="13" t="str">
        <f>IF(tblSalaries[[#This Row],[Job Type]]=tblSalaries[[#Headers],[Consultant]],tblSalaries[[#This Row],[Salary in USD]],"")</f>
        <v/>
      </c>
      <c r="X469" s="13" t="str">
        <f>IF(tblSalaries[[#This Row],[Job Type]]=tblSalaries[[#Headers],[Controller]],tblSalaries[[#This Row],[Salary in USD]],"")</f>
        <v/>
      </c>
      <c r="Y469" s="13" t="str">
        <f>IF(tblSalaries[[#This Row],[Job Type]]=tblSalaries[[#Headers],[CXO or Top Mgmt.]],tblSalaries[[#This Row],[clean Salary (in local currency)]],"")</f>
        <v/>
      </c>
      <c r="Z469" s="13" t="str">
        <f>IF(tblSalaries[[#This Row],[Job Type]]=tblSalaries[[#Headers],[Engineer]],tblSalaries[[#This Row],[Salary in USD]],"")</f>
        <v/>
      </c>
      <c r="AA469" s="13" t="str">
        <f>IF(tblSalaries[[#This Row],[Job Type]]=tblSalaries[[#Headers],[Manager]],tblSalaries[[#This Row],[Salary in USD]],"")</f>
        <v/>
      </c>
      <c r="AB469" s="13" t="str">
        <f>IF(tblSalaries[[#This Row],[Job Type]]=tblSalaries[[#Headers],[Misc.]],tblSalaries[[#This Row],[Salary in USD]],"")</f>
        <v/>
      </c>
      <c r="AC469" s="13" t="str">
        <f>IF(tblSalaries[[#This Row],[Job Type]]=tblSalaries[[#Headers],[Reporting]],tblSalaries[[#This Row],[Salary in USD]],"")</f>
        <v/>
      </c>
      <c r="AD469" s="13" t="str">
        <f>IF(tblSalaries[[#This Row],[Job Type]]=tblSalaries[[#Headers],[Specialist]],tblSalaries[[#This Row],[Salary in USD]],"")</f>
        <v/>
      </c>
    </row>
    <row r="470" spans="2:30" ht="15" customHeight="1" x14ac:dyDescent="0.25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 s="9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  <c r="N470" t="str">
        <f>IF(tblSalaries[[#This Row],[Years of Experience]]="","",IF(tblSalaries[[#This Row],[Years of Experience]]&lt;=2,1,""))</f>
        <v/>
      </c>
      <c r="O470" t="str">
        <f>IF(tblSalaries[[#This Row],[Years of Experience]]="","",IF(AND(tblSalaries[[#This Row],[Years of Experience]]&gt;2,tblSalaries[[#This Row],[Years of Experience]]&lt;=5),1,""))</f>
        <v/>
      </c>
      <c r="P470" t="str">
        <f>IF(tblSalaries[[#This Row],[Years of Experience]]="","",IF(AND(tblSalaries[[#This Row],[Years of Experience]]&gt;5,tblSalaries[[#This Row],[Years of Experience]]&lt;=10),1,""))</f>
        <v/>
      </c>
      <c r="Q470" t="str">
        <f>IF(tblSalaries[[#This Row],[Years of Experience]]="","",IF(AND(tblSalaries[[#This Row],[Years of Experience]]&gt;10,tblSalaries[[#This Row],[Years of Experience]]&lt;=15),1,""))</f>
        <v/>
      </c>
      <c r="R470" t="str">
        <f>IF(tblSalaries[[#This Row],[Years of Experience]]="","",IF(AND(tblSalaries[[#This Row],[Years of Experience]]&gt;16,tblSalaries[[#This Row],[Years of Experience]]&lt;=20),1,""))</f>
        <v/>
      </c>
      <c r="S470" t="str">
        <f>IF(tblSalaries[[#This Row],[Years of Experience]]="","",IF(tblSalaries[[#This Row],[Years of Experience]]&gt;20,1,""))</f>
        <v/>
      </c>
      <c r="T4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0" s="13" t="str">
        <f>IF(tblSalaries[[#This Row],[Job Type]]=tblSalaries[[#Headers],[Accountant]],tblSalaries[[#This Row],[Salary in USD]],"")</f>
        <v/>
      </c>
      <c r="V470" s="13" t="str">
        <f>IF(tblSalaries[[#This Row],[Job Type]]=tblSalaries[[#Headers],[Analyst]],tblSalaries[[#This Row],[Salary in USD]],"")</f>
        <v/>
      </c>
      <c r="W470" s="13" t="str">
        <f>IF(tblSalaries[[#This Row],[Job Type]]=tblSalaries[[#Headers],[Consultant]],tblSalaries[[#This Row],[Salary in USD]],"")</f>
        <v/>
      </c>
      <c r="X470" s="13" t="str">
        <f>IF(tblSalaries[[#This Row],[Job Type]]=tblSalaries[[#Headers],[Controller]],tblSalaries[[#This Row],[Salary in USD]],"")</f>
        <v/>
      </c>
      <c r="Y470" s="13" t="str">
        <f>IF(tblSalaries[[#This Row],[Job Type]]=tblSalaries[[#Headers],[CXO or Top Mgmt.]],tblSalaries[[#This Row],[clean Salary (in local currency)]],"")</f>
        <v/>
      </c>
      <c r="Z470" s="13" t="str">
        <f>IF(tblSalaries[[#This Row],[Job Type]]=tblSalaries[[#Headers],[Engineer]],tblSalaries[[#This Row],[Salary in USD]],"")</f>
        <v/>
      </c>
      <c r="AA470" s="13">
        <f>IF(tblSalaries[[#This Row],[Job Type]]=tblSalaries[[#Headers],[Manager]],tblSalaries[[#This Row],[Salary in USD]],"")</f>
        <v>44921.080753917595</v>
      </c>
      <c r="AB470" s="13" t="str">
        <f>IF(tblSalaries[[#This Row],[Job Type]]=tblSalaries[[#Headers],[Misc.]],tblSalaries[[#This Row],[Salary in USD]],"")</f>
        <v/>
      </c>
      <c r="AC470" s="13" t="str">
        <f>IF(tblSalaries[[#This Row],[Job Type]]=tblSalaries[[#Headers],[Reporting]],tblSalaries[[#This Row],[Salary in USD]],"")</f>
        <v/>
      </c>
      <c r="AD470" s="13" t="str">
        <f>IF(tblSalaries[[#This Row],[Job Type]]=tblSalaries[[#Headers],[Specialist]],tblSalaries[[#This Row],[Salary in USD]],"")</f>
        <v/>
      </c>
    </row>
    <row r="471" spans="2:30" ht="15" customHeight="1" x14ac:dyDescent="0.25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 s="9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  <c r="N471" t="str">
        <f>IF(tblSalaries[[#This Row],[Years of Experience]]="","",IF(tblSalaries[[#This Row],[Years of Experience]]&lt;=2,1,""))</f>
        <v/>
      </c>
      <c r="O471" t="str">
        <f>IF(tblSalaries[[#This Row],[Years of Experience]]="","",IF(AND(tblSalaries[[#This Row],[Years of Experience]]&gt;2,tblSalaries[[#This Row],[Years of Experience]]&lt;=5),1,""))</f>
        <v/>
      </c>
      <c r="P471" t="str">
        <f>IF(tblSalaries[[#This Row],[Years of Experience]]="","",IF(AND(tblSalaries[[#This Row],[Years of Experience]]&gt;5,tblSalaries[[#This Row],[Years of Experience]]&lt;=10),1,""))</f>
        <v/>
      </c>
      <c r="Q471" t="str">
        <f>IF(tblSalaries[[#This Row],[Years of Experience]]="","",IF(AND(tblSalaries[[#This Row],[Years of Experience]]&gt;10,tblSalaries[[#This Row],[Years of Experience]]&lt;=15),1,""))</f>
        <v/>
      </c>
      <c r="R471" t="str">
        <f>IF(tblSalaries[[#This Row],[Years of Experience]]="","",IF(AND(tblSalaries[[#This Row],[Years of Experience]]&gt;16,tblSalaries[[#This Row],[Years of Experience]]&lt;=20),1,""))</f>
        <v/>
      </c>
      <c r="S471" t="str">
        <f>IF(tblSalaries[[#This Row],[Years of Experience]]="","",IF(tblSalaries[[#This Row],[Years of Experience]]&gt;20,1,""))</f>
        <v/>
      </c>
      <c r="T4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1" s="13" t="str">
        <f>IF(tblSalaries[[#This Row],[Job Type]]=tblSalaries[[#Headers],[Accountant]],tblSalaries[[#This Row],[Salary in USD]],"")</f>
        <v/>
      </c>
      <c r="V471" s="13" t="str">
        <f>IF(tblSalaries[[#This Row],[Job Type]]=tblSalaries[[#Headers],[Analyst]],tblSalaries[[#This Row],[Salary in USD]],"")</f>
        <v/>
      </c>
      <c r="W471" s="13" t="str">
        <f>IF(tblSalaries[[#This Row],[Job Type]]=tblSalaries[[#Headers],[Consultant]],tblSalaries[[#This Row],[Salary in USD]],"")</f>
        <v/>
      </c>
      <c r="X471" s="13" t="str">
        <f>IF(tblSalaries[[#This Row],[Job Type]]=tblSalaries[[#Headers],[Controller]],tblSalaries[[#This Row],[Salary in USD]],"")</f>
        <v/>
      </c>
      <c r="Y471" s="13" t="str">
        <f>IF(tblSalaries[[#This Row],[Job Type]]=tblSalaries[[#Headers],[CXO or Top Mgmt.]],tblSalaries[[#This Row],[clean Salary (in local currency)]],"")</f>
        <v/>
      </c>
      <c r="Z471" s="13" t="str">
        <f>IF(tblSalaries[[#This Row],[Job Type]]=tblSalaries[[#Headers],[Engineer]],tblSalaries[[#This Row],[Salary in USD]],"")</f>
        <v/>
      </c>
      <c r="AA471" s="13" t="str">
        <f>IF(tblSalaries[[#This Row],[Job Type]]=tblSalaries[[#Headers],[Manager]],tblSalaries[[#This Row],[Salary in USD]],"")</f>
        <v/>
      </c>
      <c r="AB471" s="13" t="str">
        <f>IF(tblSalaries[[#This Row],[Job Type]]=tblSalaries[[#Headers],[Misc.]],tblSalaries[[#This Row],[Salary in USD]],"")</f>
        <v/>
      </c>
      <c r="AC471" s="13" t="str">
        <f>IF(tblSalaries[[#This Row],[Job Type]]=tblSalaries[[#Headers],[Reporting]],tblSalaries[[#This Row],[Salary in USD]],"")</f>
        <v/>
      </c>
      <c r="AD471" s="13">
        <f>IF(tblSalaries[[#This Row],[Job Type]]=tblSalaries[[#Headers],[Specialist]],tblSalaries[[#This Row],[Salary in USD]],"")</f>
        <v>20000</v>
      </c>
    </row>
    <row r="472" spans="2:30" ht="15" customHeight="1" x14ac:dyDescent="0.25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 s="9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  <c r="N472" t="str">
        <f>IF(tblSalaries[[#This Row],[Years of Experience]]="","",IF(tblSalaries[[#This Row],[Years of Experience]]&lt;=2,1,""))</f>
        <v/>
      </c>
      <c r="O472" t="str">
        <f>IF(tblSalaries[[#This Row],[Years of Experience]]="","",IF(AND(tblSalaries[[#This Row],[Years of Experience]]&gt;2,tblSalaries[[#This Row],[Years of Experience]]&lt;=5),1,""))</f>
        <v/>
      </c>
      <c r="P472" t="str">
        <f>IF(tblSalaries[[#This Row],[Years of Experience]]="","",IF(AND(tblSalaries[[#This Row],[Years of Experience]]&gt;5,tblSalaries[[#This Row],[Years of Experience]]&lt;=10),1,""))</f>
        <v/>
      </c>
      <c r="Q472" t="str">
        <f>IF(tblSalaries[[#This Row],[Years of Experience]]="","",IF(AND(tblSalaries[[#This Row],[Years of Experience]]&gt;10,tblSalaries[[#This Row],[Years of Experience]]&lt;=15),1,""))</f>
        <v/>
      </c>
      <c r="R472" t="str">
        <f>IF(tblSalaries[[#This Row],[Years of Experience]]="","",IF(AND(tblSalaries[[#This Row],[Years of Experience]]&gt;16,tblSalaries[[#This Row],[Years of Experience]]&lt;=20),1,""))</f>
        <v/>
      </c>
      <c r="S472" t="str">
        <f>IF(tblSalaries[[#This Row],[Years of Experience]]="","",IF(tblSalaries[[#This Row],[Years of Experience]]&gt;20,1,""))</f>
        <v/>
      </c>
      <c r="T4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2" s="13" t="str">
        <f>IF(tblSalaries[[#This Row],[Job Type]]=tblSalaries[[#Headers],[Accountant]],tblSalaries[[#This Row],[Salary in USD]],"")</f>
        <v/>
      </c>
      <c r="V472" s="13">
        <f>IF(tblSalaries[[#This Row],[Job Type]]=tblSalaries[[#Headers],[Analyst]],tblSalaries[[#This Row],[Salary in USD]],"")</f>
        <v>12000</v>
      </c>
      <c r="W472" s="13" t="str">
        <f>IF(tblSalaries[[#This Row],[Job Type]]=tblSalaries[[#Headers],[Consultant]],tblSalaries[[#This Row],[Salary in USD]],"")</f>
        <v/>
      </c>
      <c r="X472" s="13" t="str">
        <f>IF(tblSalaries[[#This Row],[Job Type]]=tblSalaries[[#Headers],[Controller]],tblSalaries[[#This Row],[Salary in USD]],"")</f>
        <v/>
      </c>
      <c r="Y472" s="13" t="str">
        <f>IF(tblSalaries[[#This Row],[Job Type]]=tblSalaries[[#Headers],[CXO or Top Mgmt.]],tblSalaries[[#This Row],[clean Salary (in local currency)]],"")</f>
        <v/>
      </c>
      <c r="Z472" s="13" t="str">
        <f>IF(tblSalaries[[#This Row],[Job Type]]=tblSalaries[[#Headers],[Engineer]],tblSalaries[[#This Row],[Salary in USD]],"")</f>
        <v/>
      </c>
      <c r="AA472" s="13" t="str">
        <f>IF(tblSalaries[[#This Row],[Job Type]]=tblSalaries[[#Headers],[Manager]],tblSalaries[[#This Row],[Salary in USD]],"")</f>
        <v/>
      </c>
      <c r="AB472" s="13" t="str">
        <f>IF(tblSalaries[[#This Row],[Job Type]]=tblSalaries[[#Headers],[Misc.]],tblSalaries[[#This Row],[Salary in USD]],"")</f>
        <v/>
      </c>
      <c r="AC472" s="13" t="str">
        <f>IF(tblSalaries[[#This Row],[Job Type]]=tblSalaries[[#Headers],[Reporting]],tblSalaries[[#This Row],[Salary in USD]],"")</f>
        <v/>
      </c>
      <c r="AD472" s="13" t="str">
        <f>IF(tblSalaries[[#This Row],[Job Type]]=tblSalaries[[#Headers],[Specialist]],tblSalaries[[#This Row],[Salary in USD]],"")</f>
        <v/>
      </c>
    </row>
    <row r="473" spans="2:30" ht="15" customHeight="1" x14ac:dyDescent="0.25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 s="9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  <c r="N473" t="str">
        <f>IF(tblSalaries[[#This Row],[Years of Experience]]="","",IF(tblSalaries[[#This Row],[Years of Experience]]&lt;=2,1,""))</f>
        <v/>
      </c>
      <c r="O473" t="str">
        <f>IF(tblSalaries[[#This Row],[Years of Experience]]="","",IF(AND(tblSalaries[[#This Row],[Years of Experience]]&gt;2,tblSalaries[[#This Row],[Years of Experience]]&lt;=5),1,""))</f>
        <v/>
      </c>
      <c r="P473" t="str">
        <f>IF(tblSalaries[[#This Row],[Years of Experience]]="","",IF(AND(tblSalaries[[#This Row],[Years of Experience]]&gt;5,tblSalaries[[#This Row],[Years of Experience]]&lt;=10),1,""))</f>
        <v/>
      </c>
      <c r="Q473" t="str">
        <f>IF(tblSalaries[[#This Row],[Years of Experience]]="","",IF(AND(tblSalaries[[#This Row],[Years of Experience]]&gt;10,tblSalaries[[#This Row],[Years of Experience]]&lt;=15),1,""))</f>
        <v/>
      </c>
      <c r="R473" t="str">
        <f>IF(tblSalaries[[#This Row],[Years of Experience]]="","",IF(AND(tblSalaries[[#This Row],[Years of Experience]]&gt;16,tblSalaries[[#This Row],[Years of Experience]]&lt;=20),1,""))</f>
        <v/>
      </c>
      <c r="S473" t="str">
        <f>IF(tblSalaries[[#This Row],[Years of Experience]]="","",IF(tblSalaries[[#This Row],[Years of Experience]]&gt;20,1,""))</f>
        <v/>
      </c>
      <c r="T4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3" s="13">
        <f>IF(tblSalaries[[#This Row],[Job Type]]=tblSalaries[[#Headers],[Accountant]],tblSalaries[[#This Row],[Salary in USD]],"")</f>
        <v>1229201.9037879086</v>
      </c>
      <c r="V473" s="13" t="str">
        <f>IF(tblSalaries[[#This Row],[Job Type]]=tblSalaries[[#Headers],[Analyst]],tblSalaries[[#This Row],[Salary in USD]],"")</f>
        <v/>
      </c>
      <c r="W473" s="13" t="str">
        <f>IF(tblSalaries[[#This Row],[Job Type]]=tblSalaries[[#Headers],[Consultant]],tblSalaries[[#This Row],[Salary in USD]],"")</f>
        <v/>
      </c>
      <c r="X473" s="13" t="str">
        <f>IF(tblSalaries[[#This Row],[Job Type]]=tblSalaries[[#Headers],[Controller]],tblSalaries[[#This Row],[Salary in USD]],"")</f>
        <v/>
      </c>
      <c r="Y473" s="13" t="str">
        <f>IF(tblSalaries[[#This Row],[Job Type]]=tblSalaries[[#Headers],[CXO or Top Mgmt.]],tblSalaries[[#This Row],[clean Salary (in local currency)]],"")</f>
        <v/>
      </c>
      <c r="Z473" s="13" t="str">
        <f>IF(tblSalaries[[#This Row],[Job Type]]=tblSalaries[[#Headers],[Engineer]],tblSalaries[[#This Row],[Salary in USD]],"")</f>
        <v/>
      </c>
      <c r="AA473" s="13" t="str">
        <f>IF(tblSalaries[[#This Row],[Job Type]]=tblSalaries[[#Headers],[Manager]],tblSalaries[[#This Row],[Salary in USD]],"")</f>
        <v/>
      </c>
      <c r="AB473" s="13" t="str">
        <f>IF(tblSalaries[[#This Row],[Job Type]]=tblSalaries[[#Headers],[Misc.]],tblSalaries[[#This Row],[Salary in USD]],"")</f>
        <v/>
      </c>
      <c r="AC473" s="13" t="str">
        <f>IF(tblSalaries[[#This Row],[Job Type]]=tblSalaries[[#Headers],[Reporting]],tblSalaries[[#This Row],[Salary in USD]],"")</f>
        <v/>
      </c>
      <c r="AD473" s="13" t="str">
        <f>IF(tblSalaries[[#This Row],[Job Type]]=tblSalaries[[#Headers],[Specialist]],tblSalaries[[#This Row],[Salary in USD]],"")</f>
        <v/>
      </c>
    </row>
    <row r="474" spans="2:30" ht="15" customHeight="1" x14ac:dyDescent="0.25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 s="9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  <c r="N474" t="str">
        <f>IF(tblSalaries[[#This Row],[Years of Experience]]="","",IF(tblSalaries[[#This Row],[Years of Experience]]&lt;=2,1,""))</f>
        <v/>
      </c>
      <c r="O474" t="str">
        <f>IF(tblSalaries[[#This Row],[Years of Experience]]="","",IF(AND(tblSalaries[[#This Row],[Years of Experience]]&gt;2,tblSalaries[[#This Row],[Years of Experience]]&lt;=5),1,""))</f>
        <v/>
      </c>
      <c r="P474" t="str">
        <f>IF(tblSalaries[[#This Row],[Years of Experience]]="","",IF(AND(tblSalaries[[#This Row],[Years of Experience]]&gt;5,tblSalaries[[#This Row],[Years of Experience]]&lt;=10),1,""))</f>
        <v/>
      </c>
      <c r="Q474" t="str">
        <f>IF(tblSalaries[[#This Row],[Years of Experience]]="","",IF(AND(tblSalaries[[#This Row],[Years of Experience]]&gt;10,tblSalaries[[#This Row],[Years of Experience]]&lt;=15),1,""))</f>
        <v/>
      </c>
      <c r="R474" t="str">
        <f>IF(tblSalaries[[#This Row],[Years of Experience]]="","",IF(AND(tblSalaries[[#This Row],[Years of Experience]]&gt;16,tblSalaries[[#This Row],[Years of Experience]]&lt;=20),1,""))</f>
        <v/>
      </c>
      <c r="S474" t="str">
        <f>IF(tblSalaries[[#This Row],[Years of Experience]]="","",IF(tblSalaries[[#This Row],[Years of Experience]]&gt;20,1,""))</f>
        <v/>
      </c>
      <c r="T4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4" s="13" t="str">
        <f>IF(tblSalaries[[#This Row],[Job Type]]=tblSalaries[[#Headers],[Accountant]],tblSalaries[[#This Row],[Salary in USD]],"")</f>
        <v/>
      </c>
      <c r="V474" s="13">
        <f>IF(tblSalaries[[#This Row],[Job Type]]=tblSalaries[[#Headers],[Analyst]],tblSalaries[[#This Row],[Salary in USD]],"")</f>
        <v>30000</v>
      </c>
      <c r="W474" s="13" t="str">
        <f>IF(tblSalaries[[#This Row],[Job Type]]=tblSalaries[[#Headers],[Consultant]],tblSalaries[[#This Row],[Salary in USD]],"")</f>
        <v/>
      </c>
      <c r="X474" s="13" t="str">
        <f>IF(tblSalaries[[#This Row],[Job Type]]=tblSalaries[[#Headers],[Controller]],tblSalaries[[#This Row],[Salary in USD]],"")</f>
        <v/>
      </c>
      <c r="Y474" s="13" t="str">
        <f>IF(tblSalaries[[#This Row],[Job Type]]=tblSalaries[[#Headers],[CXO or Top Mgmt.]],tblSalaries[[#This Row],[clean Salary (in local currency)]],"")</f>
        <v/>
      </c>
      <c r="Z474" s="13" t="str">
        <f>IF(tblSalaries[[#This Row],[Job Type]]=tblSalaries[[#Headers],[Engineer]],tblSalaries[[#This Row],[Salary in USD]],"")</f>
        <v/>
      </c>
      <c r="AA474" s="13" t="str">
        <f>IF(tblSalaries[[#This Row],[Job Type]]=tblSalaries[[#Headers],[Manager]],tblSalaries[[#This Row],[Salary in USD]],"")</f>
        <v/>
      </c>
      <c r="AB474" s="13" t="str">
        <f>IF(tblSalaries[[#This Row],[Job Type]]=tblSalaries[[#Headers],[Misc.]],tblSalaries[[#This Row],[Salary in USD]],"")</f>
        <v/>
      </c>
      <c r="AC474" s="13" t="str">
        <f>IF(tblSalaries[[#This Row],[Job Type]]=tblSalaries[[#Headers],[Reporting]],tblSalaries[[#This Row],[Salary in USD]],"")</f>
        <v/>
      </c>
      <c r="AD474" s="13" t="str">
        <f>IF(tblSalaries[[#This Row],[Job Type]]=tblSalaries[[#Headers],[Specialist]],tblSalaries[[#This Row],[Salary in USD]],"")</f>
        <v/>
      </c>
    </row>
    <row r="475" spans="2:30" ht="15" customHeight="1" x14ac:dyDescent="0.25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 s="9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577</v>
      </c>
      <c r="K475" t="str">
        <f>VLOOKUP(tblSalaries[[#This Row],[Where do you work]],tblCountries[[Actual]:[Mapping]],2,FALSE)</f>
        <v>mozambique</v>
      </c>
      <c r="L475" t="s">
        <v>18</v>
      </c>
      <c r="N475" t="str">
        <f>IF(tblSalaries[[#This Row],[Years of Experience]]="","",IF(tblSalaries[[#This Row],[Years of Experience]]&lt;=2,1,""))</f>
        <v/>
      </c>
      <c r="O475" t="str">
        <f>IF(tblSalaries[[#This Row],[Years of Experience]]="","",IF(AND(tblSalaries[[#This Row],[Years of Experience]]&gt;2,tblSalaries[[#This Row],[Years of Experience]]&lt;=5),1,""))</f>
        <v/>
      </c>
      <c r="P475" t="str">
        <f>IF(tblSalaries[[#This Row],[Years of Experience]]="","",IF(AND(tblSalaries[[#This Row],[Years of Experience]]&gt;5,tblSalaries[[#This Row],[Years of Experience]]&lt;=10),1,""))</f>
        <v/>
      </c>
      <c r="Q475" t="str">
        <f>IF(tblSalaries[[#This Row],[Years of Experience]]="","",IF(AND(tblSalaries[[#This Row],[Years of Experience]]&gt;10,tblSalaries[[#This Row],[Years of Experience]]&lt;=15),1,""))</f>
        <v/>
      </c>
      <c r="R475" t="str">
        <f>IF(tblSalaries[[#This Row],[Years of Experience]]="","",IF(AND(tblSalaries[[#This Row],[Years of Experience]]&gt;16,tblSalaries[[#This Row],[Years of Experience]]&lt;=20),1,""))</f>
        <v/>
      </c>
      <c r="S475" t="str">
        <f>IF(tblSalaries[[#This Row],[Years of Experience]]="","",IF(tblSalaries[[#This Row],[Years of Experience]]&gt;20,1,""))</f>
        <v/>
      </c>
      <c r="T4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5" s="13" t="str">
        <f>IF(tblSalaries[[#This Row],[Job Type]]=tblSalaries[[#Headers],[Accountant]],tblSalaries[[#This Row],[Salary in USD]],"")</f>
        <v/>
      </c>
      <c r="V475" s="13" t="str">
        <f>IF(tblSalaries[[#This Row],[Job Type]]=tblSalaries[[#Headers],[Analyst]],tblSalaries[[#This Row],[Salary in USD]],"")</f>
        <v/>
      </c>
      <c r="W475" s="13" t="str">
        <f>IF(tblSalaries[[#This Row],[Job Type]]=tblSalaries[[#Headers],[Consultant]],tblSalaries[[#This Row],[Salary in USD]],"")</f>
        <v/>
      </c>
      <c r="X475" s="13" t="str">
        <f>IF(tblSalaries[[#This Row],[Job Type]]=tblSalaries[[#Headers],[Controller]],tblSalaries[[#This Row],[Salary in USD]],"")</f>
        <v/>
      </c>
      <c r="Y475" s="13" t="str">
        <f>IF(tblSalaries[[#This Row],[Job Type]]=tblSalaries[[#Headers],[CXO or Top Mgmt.]],tblSalaries[[#This Row],[clean Salary (in local currency)]],"")</f>
        <v/>
      </c>
      <c r="Z475" s="13">
        <f>IF(tblSalaries[[#This Row],[Job Type]]=tblSalaries[[#Headers],[Engineer]],tblSalaries[[#This Row],[Salary in USD]],"")</f>
        <v>24000</v>
      </c>
      <c r="AA475" s="13" t="str">
        <f>IF(tblSalaries[[#This Row],[Job Type]]=tblSalaries[[#Headers],[Manager]],tblSalaries[[#This Row],[Salary in USD]],"")</f>
        <v/>
      </c>
      <c r="AB475" s="13" t="str">
        <f>IF(tblSalaries[[#This Row],[Job Type]]=tblSalaries[[#Headers],[Misc.]],tblSalaries[[#This Row],[Salary in USD]],"")</f>
        <v/>
      </c>
      <c r="AC475" s="13" t="str">
        <f>IF(tblSalaries[[#This Row],[Job Type]]=tblSalaries[[#Headers],[Reporting]],tblSalaries[[#This Row],[Salary in USD]],"")</f>
        <v/>
      </c>
      <c r="AD475" s="13" t="str">
        <f>IF(tblSalaries[[#This Row],[Job Type]]=tblSalaries[[#Headers],[Specialist]],tblSalaries[[#This Row],[Salary in USD]],"")</f>
        <v/>
      </c>
    </row>
    <row r="476" spans="2:30" ht="15" customHeight="1" x14ac:dyDescent="0.25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 s="9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  <c r="N476" t="str">
        <f>IF(tblSalaries[[#This Row],[Years of Experience]]="","",IF(tblSalaries[[#This Row],[Years of Experience]]&lt;=2,1,""))</f>
        <v/>
      </c>
      <c r="O476" t="str">
        <f>IF(tblSalaries[[#This Row],[Years of Experience]]="","",IF(AND(tblSalaries[[#This Row],[Years of Experience]]&gt;2,tblSalaries[[#This Row],[Years of Experience]]&lt;=5),1,""))</f>
        <v/>
      </c>
      <c r="P476" t="str">
        <f>IF(tblSalaries[[#This Row],[Years of Experience]]="","",IF(AND(tblSalaries[[#This Row],[Years of Experience]]&gt;5,tblSalaries[[#This Row],[Years of Experience]]&lt;=10),1,""))</f>
        <v/>
      </c>
      <c r="Q476" t="str">
        <f>IF(tblSalaries[[#This Row],[Years of Experience]]="","",IF(AND(tblSalaries[[#This Row],[Years of Experience]]&gt;10,tblSalaries[[#This Row],[Years of Experience]]&lt;=15),1,""))</f>
        <v/>
      </c>
      <c r="R476" t="str">
        <f>IF(tblSalaries[[#This Row],[Years of Experience]]="","",IF(AND(tblSalaries[[#This Row],[Years of Experience]]&gt;16,tblSalaries[[#This Row],[Years of Experience]]&lt;=20),1,""))</f>
        <v/>
      </c>
      <c r="S476" t="str">
        <f>IF(tblSalaries[[#This Row],[Years of Experience]]="","",IF(tblSalaries[[#This Row],[Years of Experience]]&gt;20,1,""))</f>
        <v/>
      </c>
      <c r="T4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6" s="13" t="str">
        <f>IF(tblSalaries[[#This Row],[Job Type]]=tblSalaries[[#Headers],[Accountant]],tblSalaries[[#This Row],[Salary in USD]],"")</f>
        <v/>
      </c>
      <c r="V476" s="13" t="str">
        <f>IF(tblSalaries[[#This Row],[Job Type]]=tblSalaries[[#Headers],[Analyst]],tblSalaries[[#This Row],[Salary in USD]],"")</f>
        <v/>
      </c>
      <c r="W476" s="13" t="str">
        <f>IF(tblSalaries[[#This Row],[Job Type]]=tblSalaries[[#Headers],[Consultant]],tblSalaries[[#This Row],[Salary in USD]],"")</f>
        <v/>
      </c>
      <c r="X476" s="13" t="str">
        <f>IF(tblSalaries[[#This Row],[Job Type]]=tblSalaries[[#Headers],[Controller]],tblSalaries[[#This Row],[Salary in USD]],"")</f>
        <v/>
      </c>
      <c r="Y476" s="13" t="str">
        <f>IF(tblSalaries[[#This Row],[Job Type]]=tblSalaries[[#Headers],[CXO or Top Mgmt.]],tblSalaries[[#This Row],[clean Salary (in local currency)]],"")</f>
        <v/>
      </c>
      <c r="Z476" s="13">
        <f>IF(tblSalaries[[#This Row],[Job Type]]=tblSalaries[[#Headers],[Engineer]],tblSalaries[[#This Row],[Salary in USD]],"")</f>
        <v>92000</v>
      </c>
      <c r="AA476" s="13" t="str">
        <f>IF(tblSalaries[[#This Row],[Job Type]]=tblSalaries[[#Headers],[Manager]],tblSalaries[[#This Row],[Salary in USD]],"")</f>
        <v/>
      </c>
      <c r="AB476" s="13" t="str">
        <f>IF(tblSalaries[[#This Row],[Job Type]]=tblSalaries[[#Headers],[Misc.]],tblSalaries[[#This Row],[Salary in USD]],"")</f>
        <v/>
      </c>
      <c r="AC476" s="13" t="str">
        <f>IF(tblSalaries[[#This Row],[Job Type]]=tblSalaries[[#Headers],[Reporting]],tblSalaries[[#This Row],[Salary in USD]],"")</f>
        <v/>
      </c>
      <c r="AD476" s="13" t="str">
        <f>IF(tblSalaries[[#This Row],[Job Type]]=tblSalaries[[#Headers],[Specialist]],tblSalaries[[#This Row],[Salary in USD]],"")</f>
        <v/>
      </c>
    </row>
    <row r="477" spans="2:30" ht="15" customHeight="1" x14ac:dyDescent="0.25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 s="9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  <c r="N477" t="str">
        <f>IF(tblSalaries[[#This Row],[Years of Experience]]="","",IF(tblSalaries[[#This Row],[Years of Experience]]&lt;=2,1,""))</f>
        <v/>
      </c>
      <c r="O477" t="str">
        <f>IF(tblSalaries[[#This Row],[Years of Experience]]="","",IF(AND(tblSalaries[[#This Row],[Years of Experience]]&gt;2,tblSalaries[[#This Row],[Years of Experience]]&lt;=5),1,""))</f>
        <v/>
      </c>
      <c r="P477" t="str">
        <f>IF(tblSalaries[[#This Row],[Years of Experience]]="","",IF(AND(tblSalaries[[#This Row],[Years of Experience]]&gt;5,tblSalaries[[#This Row],[Years of Experience]]&lt;=10),1,""))</f>
        <v/>
      </c>
      <c r="Q477" t="str">
        <f>IF(tblSalaries[[#This Row],[Years of Experience]]="","",IF(AND(tblSalaries[[#This Row],[Years of Experience]]&gt;10,tblSalaries[[#This Row],[Years of Experience]]&lt;=15),1,""))</f>
        <v/>
      </c>
      <c r="R477" t="str">
        <f>IF(tblSalaries[[#This Row],[Years of Experience]]="","",IF(AND(tblSalaries[[#This Row],[Years of Experience]]&gt;16,tblSalaries[[#This Row],[Years of Experience]]&lt;=20),1,""))</f>
        <v/>
      </c>
      <c r="S477" t="str">
        <f>IF(tblSalaries[[#This Row],[Years of Experience]]="","",IF(tblSalaries[[#This Row],[Years of Experience]]&gt;20,1,""))</f>
        <v/>
      </c>
      <c r="T4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7" s="13" t="str">
        <f>IF(tblSalaries[[#This Row],[Job Type]]=tblSalaries[[#Headers],[Accountant]],tblSalaries[[#This Row],[Salary in USD]],"")</f>
        <v/>
      </c>
      <c r="V477" s="13">
        <f>IF(tblSalaries[[#This Row],[Job Type]]=tblSalaries[[#Headers],[Analyst]],tblSalaries[[#This Row],[Salary in USD]],"")</f>
        <v>52000</v>
      </c>
      <c r="W477" s="13" t="str">
        <f>IF(tblSalaries[[#This Row],[Job Type]]=tblSalaries[[#Headers],[Consultant]],tblSalaries[[#This Row],[Salary in USD]],"")</f>
        <v/>
      </c>
      <c r="X477" s="13" t="str">
        <f>IF(tblSalaries[[#This Row],[Job Type]]=tblSalaries[[#Headers],[Controller]],tblSalaries[[#This Row],[Salary in USD]],"")</f>
        <v/>
      </c>
      <c r="Y477" s="13" t="str">
        <f>IF(tblSalaries[[#This Row],[Job Type]]=tblSalaries[[#Headers],[CXO or Top Mgmt.]],tblSalaries[[#This Row],[clean Salary (in local currency)]],"")</f>
        <v/>
      </c>
      <c r="Z477" s="13" t="str">
        <f>IF(tblSalaries[[#This Row],[Job Type]]=tblSalaries[[#Headers],[Engineer]],tblSalaries[[#This Row],[Salary in USD]],"")</f>
        <v/>
      </c>
      <c r="AA477" s="13" t="str">
        <f>IF(tblSalaries[[#This Row],[Job Type]]=tblSalaries[[#Headers],[Manager]],tblSalaries[[#This Row],[Salary in USD]],"")</f>
        <v/>
      </c>
      <c r="AB477" s="13" t="str">
        <f>IF(tblSalaries[[#This Row],[Job Type]]=tblSalaries[[#Headers],[Misc.]],tblSalaries[[#This Row],[Salary in USD]],"")</f>
        <v/>
      </c>
      <c r="AC477" s="13" t="str">
        <f>IF(tblSalaries[[#This Row],[Job Type]]=tblSalaries[[#Headers],[Reporting]],tblSalaries[[#This Row],[Salary in USD]],"")</f>
        <v/>
      </c>
      <c r="AD477" s="13" t="str">
        <f>IF(tblSalaries[[#This Row],[Job Type]]=tblSalaries[[#Headers],[Specialist]],tblSalaries[[#This Row],[Salary in USD]],"")</f>
        <v/>
      </c>
    </row>
    <row r="478" spans="2:30" ht="15" customHeight="1" x14ac:dyDescent="0.25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 s="9">
        <f>tblSalaries[[#This Row],[clean Salary (in local currency)]]*VLOOKUP(tblSalaries[[#This Row],[Currency]],tblXrate[],2,FALSE)</f>
        <v>169000</v>
      </c>
      <c r="H478" t="s">
        <v>581</v>
      </c>
      <c r="I478" t="s">
        <v>4001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  <c r="N478" t="str">
        <f>IF(tblSalaries[[#This Row],[Years of Experience]]="","",IF(tblSalaries[[#This Row],[Years of Experience]]&lt;=2,1,""))</f>
        <v/>
      </c>
      <c r="O478" t="str">
        <f>IF(tblSalaries[[#This Row],[Years of Experience]]="","",IF(AND(tblSalaries[[#This Row],[Years of Experience]]&gt;2,tblSalaries[[#This Row],[Years of Experience]]&lt;=5),1,""))</f>
        <v/>
      </c>
      <c r="P478" t="str">
        <f>IF(tblSalaries[[#This Row],[Years of Experience]]="","",IF(AND(tblSalaries[[#This Row],[Years of Experience]]&gt;5,tblSalaries[[#This Row],[Years of Experience]]&lt;=10),1,""))</f>
        <v/>
      </c>
      <c r="Q478" t="str">
        <f>IF(tblSalaries[[#This Row],[Years of Experience]]="","",IF(AND(tblSalaries[[#This Row],[Years of Experience]]&gt;10,tblSalaries[[#This Row],[Years of Experience]]&lt;=15),1,""))</f>
        <v/>
      </c>
      <c r="R478" t="str">
        <f>IF(tblSalaries[[#This Row],[Years of Experience]]="","",IF(AND(tblSalaries[[#This Row],[Years of Experience]]&gt;16,tblSalaries[[#This Row],[Years of Experience]]&lt;=20),1,""))</f>
        <v/>
      </c>
      <c r="S478" t="str">
        <f>IF(tblSalaries[[#This Row],[Years of Experience]]="","",IF(tblSalaries[[#This Row],[Years of Experience]]&gt;20,1,""))</f>
        <v/>
      </c>
      <c r="T4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8" s="13" t="str">
        <f>IF(tblSalaries[[#This Row],[Job Type]]=tblSalaries[[#Headers],[Accountant]],tblSalaries[[#This Row],[Salary in USD]],"")</f>
        <v/>
      </c>
      <c r="V478" s="13" t="str">
        <f>IF(tblSalaries[[#This Row],[Job Type]]=tblSalaries[[#Headers],[Analyst]],tblSalaries[[#This Row],[Salary in USD]],"")</f>
        <v/>
      </c>
      <c r="W478" s="13" t="str">
        <f>IF(tblSalaries[[#This Row],[Job Type]]=tblSalaries[[#Headers],[Consultant]],tblSalaries[[#This Row],[Salary in USD]],"")</f>
        <v/>
      </c>
      <c r="X478" s="13" t="str">
        <f>IF(tblSalaries[[#This Row],[Job Type]]=tblSalaries[[#Headers],[Controller]],tblSalaries[[#This Row],[Salary in USD]],"")</f>
        <v/>
      </c>
      <c r="Y478" s="13">
        <f>IF(tblSalaries[[#This Row],[Job Type]]=tblSalaries[[#Headers],[CXO or Top Mgmt.]],tblSalaries[[#This Row],[clean Salary (in local currency)]],"")</f>
        <v>169000</v>
      </c>
      <c r="Z478" s="13" t="str">
        <f>IF(tblSalaries[[#This Row],[Job Type]]=tblSalaries[[#Headers],[Engineer]],tblSalaries[[#This Row],[Salary in USD]],"")</f>
        <v/>
      </c>
      <c r="AA478" s="13" t="str">
        <f>IF(tblSalaries[[#This Row],[Job Type]]=tblSalaries[[#Headers],[Manager]],tblSalaries[[#This Row],[Salary in USD]],"")</f>
        <v/>
      </c>
      <c r="AB478" s="13" t="str">
        <f>IF(tblSalaries[[#This Row],[Job Type]]=tblSalaries[[#Headers],[Misc.]],tblSalaries[[#This Row],[Salary in USD]],"")</f>
        <v/>
      </c>
      <c r="AC478" s="13" t="str">
        <f>IF(tblSalaries[[#This Row],[Job Type]]=tblSalaries[[#Headers],[Reporting]],tblSalaries[[#This Row],[Salary in USD]],"")</f>
        <v/>
      </c>
      <c r="AD478" s="13" t="str">
        <f>IF(tblSalaries[[#This Row],[Job Type]]=tblSalaries[[#Headers],[Specialist]],tblSalaries[[#This Row],[Salary in USD]],"")</f>
        <v/>
      </c>
    </row>
    <row r="479" spans="2:30" ht="15" customHeight="1" x14ac:dyDescent="0.25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 s="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  <c r="N479" t="str">
        <f>IF(tblSalaries[[#This Row],[Years of Experience]]="","",IF(tblSalaries[[#This Row],[Years of Experience]]&lt;=2,1,""))</f>
        <v/>
      </c>
      <c r="O479" t="str">
        <f>IF(tblSalaries[[#This Row],[Years of Experience]]="","",IF(AND(tblSalaries[[#This Row],[Years of Experience]]&gt;2,tblSalaries[[#This Row],[Years of Experience]]&lt;=5),1,""))</f>
        <v/>
      </c>
      <c r="P479" t="str">
        <f>IF(tblSalaries[[#This Row],[Years of Experience]]="","",IF(AND(tblSalaries[[#This Row],[Years of Experience]]&gt;5,tblSalaries[[#This Row],[Years of Experience]]&lt;=10),1,""))</f>
        <v/>
      </c>
      <c r="Q479" t="str">
        <f>IF(tblSalaries[[#This Row],[Years of Experience]]="","",IF(AND(tblSalaries[[#This Row],[Years of Experience]]&gt;10,tblSalaries[[#This Row],[Years of Experience]]&lt;=15),1,""))</f>
        <v/>
      </c>
      <c r="R479" t="str">
        <f>IF(tblSalaries[[#This Row],[Years of Experience]]="","",IF(AND(tblSalaries[[#This Row],[Years of Experience]]&gt;16,tblSalaries[[#This Row],[Years of Experience]]&lt;=20),1,""))</f>
        <v/>
      </c>
      <c r="S479" t="str">
        <f>IF(tblSalaries[[#This Row],[Years of Experience]]="","",IF(tblSalaries[[#This Row],[Years of Experience]]&gt;20,1,""))</f>
        <v/>
      </c>
      <c r="T4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79" s="13">
        <f>IF(tblSalaries[[#This Row],[Job Type]]=tblSalaries[[#Headers],[Accountant]],tblSalaries[[#This Row],[Salary in USD]],"")</f>
        <v>110000</v>
      </c>
      <c r="V479" s="13" t="str">
        <f>IF(tblSalaries[[#This Row],[Job Type]]=tblSalaries[[#Headers],[Analyst]],tblSalaries[[#This Row],[Salary in USD]],"")</f>
        <v/>
      </c>
      <c r="W479" s="13" t="str">
        <f>IF(tblSalaries[[#This Row],[Job Type]]=tblSalaries[[#Headers],[Consultant]],tblSalaries[[#This Row],[Salary in USD]],"")</f>
        <v/>
      </c>
      <c r="X479" s="13" t="str">
        <f>IF(tblSalaries[[#This Row],[Job Type]]=tblSalaries[[#Headers],[Controller]],tblSalaries[[#This Row],[Salary in USD]],"")</f>
        <v/>
      </c>
      <c r="Y479" s="13" t="str">
        <f>IF(tblSalaries[[#This Row],[Job Type]]=tblSalaries[[#Headers],[CXO or Top Mgmt.]],tblSalaries[[#This Row],[clean Salary (in local currency)]],"")</f>
        <v/>
      </c>
      <c r="Z479" s="13" t="str">
        <f>IF(tblSalaries[[#This Row],[Job Type]]=tblSalaries[[#Headers],[Engineer]],tblSalaries[[#This Row],[Salary in USD]],"")</f>
        <v/>
      </c>
      <c r="AA479" s="13" t="str">
        <f>IF(tblSalaries[[#This Row],[Job Type]]=tblSalaries[[#Headers],[Manager]],tblSalaries[[#This Row],[Salary in USD]],"")</f>
        <v/>
      </c>
      <c r="AB479" s="13" t="str">
        <f>IF(tblSalaries[[#This Row],[Job Type]]=tblSalaries[[#Headers],[Misc.]],tblSalaries[[#This Row],[Salary in USD]],"")</f>
        <v/>
      </c>
      <c r="AC479" s="13" t="str">
        <f>IF(tblSalaries[[#This Row],[Job Type]]=tblSalaries[[#Headers],[Reporting]],tblSalaries[[#This Row],[Salary in USD]],"")</f>
        <v/>
      </c>
      <c r="AD479" s="13" t="str">
        <f>IF(tblSalaries[[#This Row],[Job Type]]=tblSalaries[[#Headers],[Specialist]],tblSalaries[[#This Row],[Salary in USD]],"")</f>
        <v/>
      </c>
    </row>
    <row r="480" spans="2:30" ht="15" customHeight="1" x14ac:dyDescent="0.25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 s="9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  <c r="N480" t="str">
        <f>IF(tblSalaries[[#This Row],[Years of Experience]]="","",IF(tblSalaries[[#This Row],[Years of Experience]]&lt;=2,1,""))</f>
        <v/>
      </c>
      <c r="O480" t="str">
        <f>IF(tblSalaries[[#This Row],[Years of Experience]]="","",IF(AND(tblSalaries[[#This Row],[Years of Experience]]&gt;2,tblSalaries[[#This Row],[Years of Experience]]&lt;=5),1,""))</f>
        <v/>
      </c>
      <c r="P480" t="str">
        <f>IF(tblSalaries[[#This Row],[Years of Experience]]="","",IF(AND(tblSalaries[[#This Row],[Years of Experience]]&gt;5,tblSalaries[[#This Row],[Years of Experience]]&lt;=10),1,""))</f>
        <v/>
      </c>
      <c r="Q480" t="str">
        <f>IF(tblSalaries[[#This Row],[Years of Experience]]="","",IF(AND(tblSalaries[[#This Row],[Years of Experience]]&gt;10,tblSalaries[[#This Row],[Years of Experience]]&lt;=15),1,""))</f>
        <v/>
      </c>
      <c r="R480" t="str">
        <f>IF(tblSalaries[[#This Row],[Years of Experience]]="","",IF(AND(tblSalaries[[#This Row],[Years of Experience]]&gt;16,tblSalaries[[#This Row],[Years of Experience]]&lt;=20),1,""))</f>
        <v/>
      </c>
      <c r="S480" t="str">
        <f>IF(tblSalaries[[#This Row],[Years of Experience]]="","",IF(tblSalaries[[#This Row],[Years of Experience]]&gt;20,1,""))</f>
        <v/>
      </c>
      <c r="T4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0" s="13" t="str">
        <f>IF(tblSalaries[[#This Row],[Job Type]]=tblSalaries[[#Headers],[Accountant]],tblSalaries[[#This Row],[Salary in USD]],"")</f>
        <v/>
      </c>
      <c r="V480" s="13" t="str">
        <f>IF(tblSalaries[[#This Row],[Job Type]]=tblSalaries[[#Headers],[Analyst]],tblSalaries[[#This Row],[Salary in USD]],"")</f>
        <v/>
      </c>
      <c r="W480" s="13" t="str">
        <f>IF(tblSalaries[[#This Row],[Job Type]]=tblSalaries[[#Headers],[Consultant]],tblSalaries[[#This Row],[Salary in USD]],"")</f>
        <v/>
      </c>
      <c r="X480" s="13" t="str">
        <f>IF(tblSalaries[[#This Row],[Job Type]]=tblSalaries[[#Headers],[Controller]],tblSalaries[[#This Row],[Salary in USD]],"")</f>
        <v/>
      </c>
      <c r="Y480" s="13" t="str">
        <f>IF(tblSalaries[[#This Row],[Job Type]]=tblSalaries[[#Headers],[CXO or Top Mgmt.]],tblSalaries[[#This Row],[clean Salary (in local currency)]],"")</f>
        <v/>
      </c>
      <c r="Z480" s="13" t="str">
        <f>IF(tblSalaries[[#This Row],[Job Type]]=tblSalaries[[#Headers],[Engineer]],tblSalaries[[#This Row],[Salary in USD]],"")</f>
        <v/>
      </c>
      <c r="AA480" s="13">
        <f>IF(tblSalaries[[#This Row],[Job Type]]=tblSalaries[[#Headers],[Manager]],tblSalaries[[#This Row],[Salary in USD]],"")</f>
        <v>131675.52225194403</v>
      </c>
      <c r="AB480" s="13" t="str">
        <f>IF(tblSalaries[[#This Row],[Job Type]]=tblSalaries[[#Headers],[Misc.]],tblSalaries[[#This Row],[Salary in USD]],"")</f>
        <v/>
      </c>
      <c r="AC480" s="13" t="str">
        <f>IF(tblSalaries[[#This Row],[Job Type]]=tblSalaries[[#Headers],[Reporting]],tblSalaries[[#This Row],[Salary in USD]],"")</f>
        <v/>
      </c>
      <c r="AD480" s="13" t="str">
        <f>IF(tblSalaries[[#This Row],[Job Type]]=tblSalaries[[#Headers],[Specialist]],tblSalaries[[#This Row],[Salary in USD]],"")</f>
        <v/>
      </c>
    </row>
    <row r="481" spans="2:30" ht="15" customHeight="1" x14ac:dyDescent="0.25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 s="9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  <c r="N481" t="str">
        <f>IF(tblSalaries[[#This Row],[Years of Experience]]="","",IF(tblSalaries[[#This Row],[Years of Experience]]&lt;=2,1,""))</f>
        <v/>
      </c>
      <c r="O481" t="str">
        <f>IF(tblSalaries[[#This Row],[Years of Experience]]="","",IF(AND(tblSalaries[[#This Row],[Years of Experience]]&gt;2,tblSalaries[[#This Row],[Years of Experience]]&lt;=5),1,""))</f>
        <v/>
      </c>
      <c r="P481" t="str">
        <f>IF(tblSalaries[[#This Row],[Years of Experience]]="","",IF(AND(tblSalaries[[#This Row],[Years of Experience]]&gt;5,tblSalaries[[#This Row],[Years of Experience]]&lt;=10),1,""))</f>
        <v/>
      </c>
      <c r="Q481" t="str">
        <f>IF(tblSalaries[[#This Row],[Years of Experience]]="","",IF(AND(tblSalaries[[#This Row],[Years of Experience]]&gt;10,tblSalaries[[#This Row],[Years of Experience]]&lt;=15),1,""))</f>
        <v/>
      </c>
      <c r="R481" t="str">
        <f>IF(tblSalaries[[#This Row],[Years of Experience]]="","",IF(AND(tblSalaries[[#This Row],[Years of Experience]]&gt;16,tblSalaries[[#This Row],[Years of Experience]]&lt;=20),1,""))</f>
        <v/>
      </c>
      <c r="S481" t="str">
        <f>IF(tblSalaries[[#This Row],[Years of Experience]]="","",IF(tblSalaries[[#This Row],[Years of Experience]]&gt;20,1,""))</f>
        <v/>
      </c>
      <c r="T4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1" s="13" t="str">
        <f>IF(tblSalaries[[#This Row],[Job Type]]=tblSalaries[[#Headers],[Accountant]],tblSalaries[[#This Row],[Salary in USD]],"")</f>
        <v/>
      </c>
      <c r="V481" s="13" t="str">
        <f>IF(tblSalaries[[#This Row],[Job Type]]=tblSalaries[[#Headers],[Analyst]],tblSalaries[[#This Row],[Salary in USD]],"")</f>
        <v/>
      </c>
      <c r="W481" s="13">
        <f>IF(tblSalaries[[#This Row],[Job Type]]=tblSalaries[[#Headers],[Consultant]],tblSalaries[[#This Row],[Salary in USD]],"")</f>
        <v>92994.518051969761</v>
      </c>
      <c r="X481" s="13" t="str">
        <f>IF(tblSalaries[[#This Row],[Job Type]]=tblSalaries[[#Headers],[Controller]],tblSalaries[[#This Row],[Salary in USD]],"")</f>
        <v/>
      </c>
      <c r="Y481" s="13" t="str">
        <f>IF(tblSalaries[[#This Row],[Job Type]]=tblSalaries[[#Headers],[CXO or Top Mgmt.]],tblSalaries[[#This Row],[clean Salary (in local currency)]],"")</f>
        <v/>
      </c>
      <c r="Z481" s="13" t="str">
        <f>IF(tblSalaries[[#This Row],[Job Type]]=tblSalaries[[#Headers],[Engineer]],tblSalaries[[#This Row],[Salary in USD]],"")</f>
        <v/>
      </c>
      <c r="AA481" s="13" t="str">
        <f>IF(tblSalaries[[#This Row],[Job Type]]=tblSalaries[[#Headers],[Manager]],tblSalaries[[#This Row],[Salary in USD]],"")</f>
        <v/>
      </c>
      <c r="AB481" s="13" t="str">
        <f>IF(tblSalaries[[#This Row],[Job Type]]=tblSalaries[[#Headers],[Misc.]],tblSalaries[[#This Row],[Salary in USD]],"")</f>
        <v/>
      </c>
      <c r="AC481" s="13" t="str">
        <f>IF(tblSalaries[[#This Row],[Job Type]]=tblSalaries[[#Headers],[Reporting]],tblSalaries[[#This Row],[Salary in USD]],"")</f>
        <v/>
      </c>
      <c r="AD481" s="13" t="str">
        <f>IF(tblSalaries[[#This Row],[Job Type]]=tblSalaries[[#Headers],[Specialist]],tblSalaries[[#This Row],[Salary in USD]],"")</f>
        <v/>
      </c>
    </row>
    <row r="482" spans="2:30" ht="15" customHeight="1" x14ac:dyDescent="0.25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 s="9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  <c r="N482" t="str">
        <f>IF(tblSalaries[[#This Row],[Years of Experience]]="","",IF(tblSalaries[[#This Row],[Years of Experience]]&lt;=2,1,""))</f>
        <v/>
      </c>
      <c r="O482" t="str">
        <f>IF(tblSalaries[[#This Row],[Years of Experience]]="","",IF(AND(tblSalaries[[#This Row],[Years of Experience]]&gt;2,tblSalaries[[#This Row],[Years of Experience]]&lt;=5),1,""))</f>
        <v/>
      </c>
      <c r="P482" t="str">
        <f>IF(tblSalaries[[#This Row],[Years of Experience]]="","",IF(AND(tblSalaries[[#This Row],[Years of Experience]]&gt;5,tblSalaries[[#This Row],[Years of Experience]]&lt;=10),1,""))</f>
        <v/>
      </c>
      <c r="Q482" t="str">
        <f>IF(tblSalaries[[#This Row],[Years of Experience]]="","",IF(AND(tblSalaries[[#This Row],[Years of Experience]]&gt;10,tblSalaries[[#This Row],[Years of Experience]]&lt;=15),1,""))</f>
        <v/>
      </c>
      <c r="R482" t="str">
        <f>IF(tblSalaries[[#This Row],[Years of Experience]]="","",IF(AND(tblSalaries[[#This Row],[Years of Experience]]&gt;16,tblSalaries[[#This Row],[Years of Experience]]&lt;=20),1,""))</f>
        <v/>
      </c>
      <c r="S482" t="str">
        <f>IF(tblSalaries[[#This Row],[Years of Experience]]="","",IF(tblSalaries[[#This Row],[Years of Experience]]&gt;20,1,""))</f>
        <v/>
      </c>
      <c r="T4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2" s="13" t="str">
        <f>IF(tblSalaries[[#This Row],[Job Type]]=tblSalaries[[#Headers],[Accountant]],tblSalaries[[#This Row],[Salary in USD]],"")</f>
        <v/>
      </c>
      <c r="V482" s="13">
        <f>IF(tblSalaries[[#This Row],[Job Type]]=tblSalaries[[#Headers],[Analyst]],tblSalaries[[#This Row],[Salary in USD]],"")</f>
        <v>50000</v>
      </c>
      <c r="W482" s="13" t="str">
        <f>IF(tblSalaries[[#This Row],[Job Type]]=tblSalaries[[#Headers],[Consultant]],tblSalaries[[#This Row],[Salary in USD]],"")</f>
        <v/>
      </c>
      <c r="X482" s="13" t="str">
        <f>IF(tblSalaries[[#This Row],[Job Type]]=tblSalaries[[#Headers],[Controller]],tblSalaries[[#This Row],[Salary in USD]],"")</f>
        <v/>
      </c>
      <c r="Y482" s="13" t="str">
        <f>IF(tblSalaries[[#This Row],[Job Type]]=tblSalaries[[#Headers],[CXO or Top Mgmt.]],tblSalaries[[#This Row],[clean Salary (in local currency)]],"")</f>
        <v/>
      </c>
      <c r="Z482" s="13" t="str">
        <f>IF(tblSalaries[[#This Row],[Job Type]]=tblSalaries[[#Headers],[Engineer]],tblSalaries[[#This Row],[Salary in USD]],"")</f>
        <v/>
      </c>
      <c r="AA482" s="13" t="str">
        <f>IF(tblSalaries[[#This Row],[Job Type]]=tblSalaries[[#Headers],[Manager]],tblSalaries[[#This Row],[Salary in USD]],"")</f>
        <v/>
      </c>
      <c r="AB482" s="13" t="str">
        <f>IF(tblSalaries[[#This Row],[Job Type]]=tblSalaries[[#Headers],[Misc.]],tblSalaries[[#This Row],[Salary in USD]],"")</f>
        <v/>
      </c>
      <c r="AC482" s="13" t="str">
        <f>IF(tblSalaries[[#This Row],[Job Type]]=tblSalaries[[#Headers],[Reporting]],tblSalaries[[#This Row],[Salary in USD]],"")</f>
        <v/>
      </c>
      <c r="AD482" s="13" t="str">
        <f>IF(tblSalaries[[#This Row],[Job Type]]=tblSalaries[[#Headers],[Specialist]],tblSalaries[[#This Row],[Salary in USD]],"")</f>
        <v/>
      </c>
    </row>
    <row r="483" spans="2:30" ht="15" customHeight="1" x14ac:dyDescent="0.25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 s="9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  <c r="N483" t="str">
        <f>IF(tblSalaries[[#This Row],[Years of Experience]]="","",IF(tblSalaries[[#This Row],[Years of Experience]]&lt;=2,1,""))</f>
        <v/>
      </c>
      <c r="O483" t="str">
        <f>IF(tblSalaries[[#This Row],[Years of Experience]]="","",IF(AND(tblSalaries[[#This Row],[Years of Experience]]&gt;2,tblSalaries[[#This Row],[Years of Experience]]&lt;=5),1,""))</f>
        <v/>
      </c>
      <c r="P483" t="str">
        <f>IF(tblSalaries[[#This Row],[Years of Experience]]="","",IF(AND(tblSalaries[[#This Row],[Years of Experience]]&gt;5,tblSalaries[[#This Row],[Years of Experience]]&lt;=10),1,""))</f>
        <v/>
      </c>
      <c r="Q483" t="str">
        <f>IF(tblSalaries[[#This Row],[Years of Experience]]="","",IF(AND(tblSalaries[[#This Row],[Years of Experience]]&gt;10,tblSalaries[[#This Row],[Years of Experience]]&lt;=15),1,""))</f>
        <v/>
      </c>
      <c r="R483" t="str">
        <f>IF(tblSalaries[[#This Row],[Years of Experience]]="","",IF(AND(tblSalaries[[#This Row],[Years of Experience]]&gt;16,tblSalaries[[#This Row],[Years of Experience]]&lt;=20),1,""))</f>
        <v/>
      </c>
      <c r="S483" t="str">
        <f>IF(tblSalaries[[#This Row],[Years of Experience]]="","",IF(tblSalaries[[#This Row],[Years of Experience]]&gt;20,1,""))</f>
        <v/>
      </c>
      <c r="T4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3" s="13" t="str">
        <f>IF(tblSalaries[[#This Row],[Job Type]]=tblSalaries[[#Headers],[Accountant]],tblSalaries[[#This Row],[Salary in USD]],"")</f>
        <v/>
      </c>
      <c r="V483" s="13">
        <f>IF(tblSalaries[[#This Row],[Job Type]]=tblSalaries[[#Headers],[Analyst]],tblSalaries[[#This Row],[Salary in USD]],"")</f>
        <v>65000</v>
      </c>
      <c r="W483" s="13" t="str">
        <f>IF(tblSalaries[[#This Row],[Job Type]]=tblSalaries[[#Headers],[Consultant]],tblSalaries[[#This Row],[Salary in USD]],"")</f>
        <v/>
      </c>
      <c r="X483" s="13" t="str">
        <f>IF(tblSalaries[[#This Row],[Job Type]]=tblSalaries[[#Headers],[Controller]],tblSalaries[[#This Row],[Salary in USD]],"")</f>
        <v/>
      </c>
      <c r="Y483" s="13" t="str">
        <f>IF(tblSalaries[[#This Row],[Job Type]]=tblSalaries[[#Headers],[CXO or Top Mgmt.]],tblSalaries[[#This Row],[clean Salary (in local currency)]],"")</f>
        <v/>
      </c>
      <c r="Z483" s="13" t="str">
        <f>IF(tblSalaries[[#This Row],[Job Type]]=tblSalaries[[#Headers],[Engineer]],tblSalaries[[#This Row],[Salary in USD]],"")</f>
        <v/>
      </c>
      <c r="AA483" s="13" t="str">
        <f>IF(tblSalaries[[#This Row],[Job Type]]=tblSalaries[[#Headers],[Manager]],tblSalaries[[#This Row],[Salary in USD]],"")</f>
        <v/>
      </c>
      <c r="AB483" s="13" t="str">
        <f>IF(tblSalaries[[#This Row],[Job Type]]=tblSalaries[[#Headers],[Misc.]],tblSalaries[[#This Row],[Salary in USD]],"")</f>
        <v/>
      </c>
      <c r="AC483" s="13" t="str">
        <f>IF(tblSalaries[[#This Row],[Job Type]]=tblSalaries[[#Headers],[Reporting]],tblSalaries[[#This Row],[Salary in USD]],"")</f>
        <v/>
      </c>
      <c r="AD483" s="13" t="str">
        <f>IF(tblSalaries[[#This Row],[Job Type]]=tblSalaries[[#Headers],[Specialist]],tblSalaries[[#This Row],[Salary in USD]],"")</f>
        <v/>
      </c>
    </row>
    <row r="484" spans="2:30" ht="15" customHeight="1" x14ac:dyDescent="0.25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 s="9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  <c r="N484" t="str">
        <f>IF(tblSalaries[[#This Row],[Years of Experience]]="","",IF(tblSalaries[[#This Row],[Years of Experience]]&lt;=2,1,""))</f>
        <v/>
      </c>
      <c r="O484" t="str">
        <f>IF(tblSalaries[[#This Row],[Years of Experience]]="","",IF(AND(tblSalaries[[#This Row],[Years of Experience]]&gt;2,tblSalaries[[#This Row],[Years of Experience]]&lt;=5),1,""))</f>
        <v/>
      </c>
      <c r="P484" t="str">
        <f>IF(tblSalaries[[#This Row],[Years of Experience]]="","",IF(AND(tblSalaries[[#This Row],[Years of Experience]]&gt;5,tblSalaries[[#This Row],[Years of Experience]]&lt;=10),1,""))</f>
        <v/>
      </c>
      <c r="Q484" t="str">
        <f>IF(tblSalaries[[#This Row],[Years of Experience]]="","",IF(AND(tblSalaries[[#This Row],[Years of Experience]]&gt;10,tblSalaries[[#This Row],[Years of Experience]]&lt;=15),1,""))</f>
        <v/>
      </c>
      <c r="R484" t="str">
        <f>IF(tblSalaries[[#This Row],[Years of Experience]]="","",IF(AND(tblSalaries[[#This Row],[Years of Experience]]&gt;16,tblSalaries[[#This Row],[Years of Experience]]&lt;=20),1,""))</f>
        <v/>
      </c>
      <c r="S484" t="str">
        <f>IF(tblSalaries[[#This Row],[Years of Experience]]="","",IF(tblSalaries[[#This Row],[Years of Experience]]&gt;20,1,""))</f>
        <v/>
      </c>
      <c r="T4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4" s="13" t="str">
        <f>IF(tblSalaries[[#This Row],[Job Type]]=tblSalaries[[#Headers],[Accountant]],tblSalaries[[#This Row],[Salary in USD]],"")</f>
        <v/>
      </c>
      <c r="V484" s="13">
        <f>IF(tblSalaries[[#This Row],[Job Type]]=tblSalaries[[#Headers],[Analyst]],tblSalaries[[#This Row],[Salary in USD]],"")</f>
        <v>45234.630059395036</v>
      </c>
      <c r="W484" s="13" t="str">
        <f>IF(tblSalaries[[#This Row],[Job Type]]=tblSalaries[[#Headers],[Consultant]],tblSalaries[[#This Row],[Salary in USD]],"")</f>
        <v/>
      </c>
      <c r="X484" s="13" t="str">
        <f>IF(tblSalaries[[#This Row],[Job Type]]=tblSalaries[[#Headers],[Controller]],tblSalaries[[#This Row],[Salary in USD]],"")</f>
        <v/>
      </c>
      <c r="Y484" s="13" t="str">
        <f>IF(tblSalaries[[#This Row],[Job Type]]=tblSalaries[[#Headers],[CXO or Top Mgmt.]],tblSalaries[[#This Row],[clean Salary (in local currency)]],"")</f>
        <v/>
      </c>
      <c r="Z484" s="13" t="str">
        <f>IF(tblSalaries[[#This Row],[Job Type]]=tblSalaries[[#Headers],[Engineer]],tblSalaries[[#This Row],[Salary in USD]],"")</f>
        <v/>
      </c>
      <c r="AA484" s="13" t="str">
        <f>IF(tblSalaries[[#This Row],[Job Type]]=tblSalaries[[#Headers],[Manager]],tblSalaries[[#This Row],[Salary in USD]],"")</f>
        <v/>
      </c>
      <c r="AB484" s="13" t="str">
        <f>IF(tblSalaries[[#This Row],[Job Type]]=tblSalaries[[#Headers],[Misc.]],tblSalaries[[#This Row],[Salary in USD]],"")</f>
        <v/>
      </c>
      <c r="AC484" s="13" t="str">
        <f>IF(tblSalaries[[#This Row],[Job Type]]=tblSalaries[[#Headers],[Reporting]],tblSalaries[[#This Row],[Salary in USD]],"")</f>
        <v/>
      </c>
      <c r="AD484" s="13" t="str">
        <f>IF(tblSalaries[[#This Row],[Job Type]]=tblSalaries[[#Headers],[Specialist]],tblSalaries[[#This Row],[Salary in USD]],"")</f>
        <v/>
      </c>
    </row>
    <row r="485" spans="2:30" ht="15" customHeight="1" x14ac:dyDescent="0.25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 s="9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  <c r="N485" t="str">
        <f>IF(tblSalaries[[#This Row],[Years of Experience]]="","",IF(tblSalaries[[#This Row],[Years of Experience]]&lt;=2,1,""))</f>
        <v/>
      </c>
      <c r="O485" t="str">
        <f>IF(tblSalaries[[#This Row],[Years of Experience]]="","",IF(AND(tblSalaries[[#This Row],[Years of Experience]]&gt;2,tblSalaries[[#This Row],[Years of Experience]]&lt;=5),1,""))</f>
        <v/>
      </c>
      <c r="P485" t="str">
        <f>IF(tblSalaries[[#This Row],[Years of Experience]]="","",IF(AND(tblSalaries[[#This Row],[Years of Experience]]&gt;5,tblSalaries[[#This Row],[Years of Experience]]&lt;=10),1,""))</f>
        <v/>
      </c>
      <c r="Q485" t="str">
        <f>IF(tblSalaries[[#This Row],[Years of Experience]]="","",IF(AND(tblSalaries[[#This Row],[Years of Experience]]&gt;10,tblSalaries[[#This Row],[Years of Experience]]&lt;=15),1,""))</f>
        <v/>
      </c>
      <c r="R485" t="str">
        <f>IF(tblSalaries[[#This Row],[Years of Experience]]="","",IF(AND(tblSalaries[[#This Row],[Years of Experience]]&gt;16,tblSalaries[[#This Row],[Years of Experience]]&lt;=20),1,""))</f>
        <v/>
      </c>
      <c r="S485" t="str">
        <f>IF(tblSalaries[[#This Row],[Years of Experience]]="","",IF(tblSalaries[[#This Row],[Years of Experience]]&gt;20,1,""))</f>
        <v/>
      </c>
      <c r="T4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5" s="13" t="str">
        <f>IF(tblSalaries[[#This Row],[Job Type]]=tblSalaries[[#Headers],[Accountant]],tblSalaries[[#This Row],[Salary in USD]],"")</f>
        <v/>
      </c>
      <c r="V485" s="13">
        <f>IF(tblSalaries[[#This Row],[Job Type]]=tblSalaries[[#Headers],[Analyst]],tblSalaries[[#This Row],[Salary in USD]],"")</f>
        <v>55000</v>
      </c>
      <c r="W485" s="13" t="str">
        <f>IF(tblSalaries[[#This Row],[Job Type]]=tblSalaries[[#Headers],[Consultant]],tblSalaries[[#This Row],[Salary in USD]],"")</f>
        <v/>
      </c>
      <c r="X485" s="13" t="str">
        <f>IF(tblSalaries[[#This Row],[Job Type]]=tblSalaries[[#Headers],[Controller]],tblSalaries[[#This Row],[Salary in USD]],"")</f>
        <v/>
      </c>
      <c r="Y485" s="13" t="str">
        <f>IF(tblSalaries[[#This Row],[Job Type]]=tblSalaries[[#Headers],[CXO or Top Mgmt.]],tblSalaries[[#This Row],[clean Salary (in local currency)]],"")</f>
        <v/>
      </c>
      <c r="Z485" s="13" t="str">
        <f>IF(tblSalaries[[#This Row],[Job Type]]=tblSalaries[[#Headers],[Engineer]],tblSalaries[[#This Row],[Salary in USD]],"")</f>
        <v/>
      </c>
      <c r="AA485" s="13" t="str">
        <f>IF(tblSalaries[[#This Row],[Job Type]]=tblSalaries[[#Headers],[Manager]],tblSalaries[[#This Row],[Salary in USD]],"")</f>
        <v/>
      </c>
      <c r="AB485" s="13" t="str">
        <f>IF(tblSalaries[[#This Row],[Job Type]]=tblSalaries[[#Headers],[Misc.]],tblSalaries[[#This Row],[Salary in USD]],"")</f>
        <v/>
      </c>
      <c r="AC485" s="13" t="str">
        <f>IF(tblSalaries[[#This Row],[Job Type]]=tblSalaries[[#Headers],[Reporting]],tblSalaries[[#This Row],[Salary in USD]],"")</f>
        <v/>
      </c>
      <c r="AD485" s="13" t="str">
        <f>IF(tblSalaries[[#This Row],[Job Type]]=tblSalaries[[#Headers],[Specialist]],tblSalaries[[#This Row],[Salary in USD]],"")</f>
        <v/>
      </c>
    </row>
    <row r="486" spans="2:30" ht="15" customHeight="1" x14ac:dyDescent="0.25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 s="9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  <c r="N486" t="str">
        <f>IF(tblSalaries[[#This Row],[Years of Experience]]="","",IF(tblSalaries[[#This Row],[Years of Experience]]&lt;=2,1,""))</f>
        <v/>
      </c>
      <c r="O486" t="str">
        <f>IF(tblSalaries[[#This Row],[Years of Experience]]="","",IF(AND(tblSalaries[[#This Row],[Years of Experience]]&gt;2,tblSalaries[[#This Row],[Years of Experience]]&lt;=5),1,""))</f>
        <v/>
      </c>
      <c r="P486" t="str">
        <f>IF(tblSalaries[[#This Row],[Years of Experience]]="","",IF(AND(tblSalaries[[#This Row],[Years of Experience]]&gt;5,tblSalaries[[#This Row],[Years of Experience]]&lt;=10),1,""))</f>
        <v/>
      </c>
      <c r="Q486" t="str">
        <f>IF(tblSalaries[[#This Row],[Years of Experience]]="","",IF(AND(tblSalaries[[#This Row],[Years of Experience]]&gt;10,tblSalaries[[#This Row],[Years of Experience]]&lt;=15),1,""))</f>
        <v/>
      </c>
      <c r="R486" t="str">
        <f>IF(tblSalaries[[#This Row],[Years of Experience]]="","",IF(AND(tblSalaries[[#This Row],[Years of Experience]]&gt;16,tblSalaries[[#This Row],[Years of Experience]]&lt;=20),1,""))</f>
        <v/>
      </c>
      <c r="S486" t="str">
        <f>IF(tblSalaries[[#This Row],[Years of Experience]]="","",IF(tblSalaries[[#This Row],[Years of Experience]]&gt;20,1,""))</f>
        <v/>
      </c>
      <c r="T4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6" s="13" t="str">
        <f>IF(tblSalaries[[#This Row],[Job Type]]=tblSalaries[[#Headers],[Accountant]],tblSalaries[[#This Row],[Salary in USD]],"")</f>
        <v/>
      </c>
      <c r="V486" s="13" t="str">
        <f>IF(tblSalaries[[#This Row],[Job Type]]=tblSalaries[[#Headers],[Analyst]],tblSalaries[[#This Row],[Salary in USD]],"")</f>
        <v/>
      </c>
      <c r="W486" s="13">
        <f>IF(tblSalaries[[#This Row],[Job Type]]=tblSalaries[[#Headers],[Consultant]],tblSalaries[[#This Row],[Salary in USD]],"")</f>
        <v>20000</v>
      </c>
      <c r="X486" s="13" t="str">
        <f>IF(tblSalaries[[#This Row],[Job Type]]=tblSalaries[[#Headers],[Controller]],tblSalaries[[#This Row],[Salary in USD]],"")</f>
        <v/>
      </c>
      <c r="Y486" s="13" t="str">
        <f>IF(tblSalaries[[#This Row],[Job Type]]=tblSalaries[[#Headers],[CXO or Top Mgmt.]],tblSalaries[[#This Row],[clean Salary (in local currency)]],"")</f>
        <v/>
      </c>
      <c r="Z486" s="13" t="str">
        <f>IF(tblSalaries[[#This Row],[Job Type]]=tblSalaries[[#Headers],[Engineer]],tblSalaries[[#This Row],[Salary in USD]],"")</f>
        <v/>
      </c>
      <c r="AA486" s="13" t="str">
        <f>IF(tblSalaries[[#This Row],[Job Type]]=tblSalaries[[#Headers],[Manager]],tblSalaries[[#This Row],[Salary in USD]],"")</f>
        <v/>
      </c>
      <c r="AB486" s="13" t="str">
        <f>IF(tblSalaries[[#This Row],[Job Type]]=tblSalaries[[#Headers],[Misc.]],tblSalaries[[#This Row],[Salary in USD]],"")</f>
        <v/>
      </c>
      <c r="AC486" s="13" t="str">
        <f>IF(tblSalaries[[#This Row],[Job Type]]=tblSalaries[[#Headers],[Reporting]],tblSalaries[[#This Row],[Salary in USD]],"")</f>
        <v/>
      </c>
      <c r="AD486" s="13" t="str">
        <f>IF(tblSalaries[[#This Row],[Job Type]]=tblSalaries[[#Headers],[Specialist]],tblSalaries[[#This Row],[Salary in USD]],"")</f>
        <v/>
      </c>
    </row>
    <row r="487" spans="2:30" ht="15" customHeight="1" x14ac:dyDescent="0.25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 s="9">
        <f>tblSalaries[[#This Row],[clean Salary (in local currency)]]*VLOOKUP(tblSalaries[[#This Row],[Currency]],tblXrate[],2,FALSE)</f>
        <v>6000</v>
      </c>
      <c r="H487" t="s">
        <v>360</v>
      </c>
      <c r="I487" t="s">
        <v>3999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  <c r="N487" t="str">
        <f>IF(tblSalaries[[#This Row],[Years of Experience]]="","",IF(tblSalaries[[#This Row],[Years of Experience]]&lt;=2,1,""))</f>
        <v/>
      </c>
      <c r="O487" t="str">
        <f>IF(tblSalaries[[#This Row],[Years of Experience]]="","",IF(AND(tblSalaries[[#This Row],[Years of Experience]]&gt;2,tblSalaries[[#This Row],[Years of Experience]]&lt;=5),1,""))</f>
        <v/>
      </c>
      <c r="P487" t="str">
        <f>IF(tblSalaries[[#This Row],[Years of Experience]]="","",IF(AND(tblSalaries[[#This Row],[Years of Experience]]&gt;5,tblSalaries[[#This Row],[Years of Experience]]&lt;=10),1,""))</f>
        <v/>
      </c>
      <c r="Q487" t="str">
        <f>IF(tblSalaries[[#This Row],[Years of Experience]]="","",IF(AND(tblSalaries[[#This Row],[Years of Experience]]&gt;10,tblSalaries[[#This Row],[Years of Experience]]&lt;=15),1,""))</f>
        <v/>
      </c>
      <c r="R487" t="str">
        <f>IF(tblSalaries[[#This Row],[Years of Experience]]="","",IF(AND(tblSalaries[[#This Row],[Years of Experience]]&gt;16,tblSalaries[[#This Row],[Years of Experience]]&lt;=20),1,""))</f>
        <v/>
      </c>
      <c r="S487" t="str">
        <f>IF(tblSalaries[[#This Row],[Years of Experience]]="","",IF(tblSalaries[[#This Row],[Years of Experience]]&gt;20,1,""))</f>
        <v/>
      </c>
      <c r="T4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7" s="13" t="str">
        <f>IF(tblSalaries[[#This Row],[Job Type]]=tblSalaries[[#Headers],[Accountant]],tblSalaries[[#This Row],[Salary in USD]],"")</f>
        <v/>
      </c>
      <c r="V487" s="13" t="str">
        <f>IF(tblSalaries[[#This Row],[Job Type]]=tblSalaries[[#Headers],[Analyst]],tblSalaries[[#This Row],[Salary in USD]],"")</f>
        <v/>
      </c>
      <c r="W487" s="13" t="str">
        <f>IF(tblSalaries[[#This Row],[Job Type]]=tblSalaries[[#Headers],[Consultant]],tblSalaries[[#This Row],[Salary in USD]],"")</f>
        <v/>
      </c>
      <c r="X487" s="13" t="str">
        <f>IF(tblSalaries[[#This Row],[Job Type]]=tblSalaries[[#Headers],[Controller]],tblSalaries[[#This Row],[Salary in USD]],"")</f>
        <v/>
      </c>
      <c r="Y487" s="13" t="str">
        <f>IF(tblSalaries[[#This Row],[Job Type]]=tblSalaries[[#Headers],[CXO or Top Mgmt.]],tblSalaries[[#This Row],[clean Salary (in local currency)]],"")</f>
        <v/>
      </c>
      <c r="Z487" s="13" t="str">
        <f>IF(tblSalaries[[#This Row],[Job Type]]=tblSalaries[[#Headers],[Engineer]],tblSalaries[[#This Row],[Salary in USD]],"")</f>
        <v/>
      </c>
      <c r="AA487" s="13" t="str">
        <f>IF(tblSalaries[[#This Row],[Job Type]]=tblSalaries[[#Headers],[Manager]],tblSalaries[[#This Row],[Salary in USD]],"")</f>
        <v/>
      </c>
      <c r="AB487" s="13" t="str">
        <f>IF(tblSalaries[[#This Row],[Job Type]]=tblSalaries[[#Headers],[Misc.]],tblSalaries[[#This Row],[Salary in USD]],"")</f>
        <v/>
      </c>
      <c r="AC487" s="13">
        <f>IF(tblSalaries[[#This Row],[Job Type]]=tblSalaries[[#Headers],[Reporting]],tblSalaries[[#This Row],[Salary in USD]],"")</f>
        <v>6000</v>
      </c>
      <c r="AD487" s="13" t="str">
        <f>IF(tblSalaries[[#This Row],[Job Type]]=tblSalaries[[#Headers],[Specialist]],tblSalaries[[#This Row],[Salary in USD]],"")</f>
        <v/>
      </c>
    </row>
    <row r="488" spans="2:30" ht="15" customHeight="1" x14ac:dyDescent="0.25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 s="9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4001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  <c r="N488" t="str">
        <f>IF(tblSalaries[[#This Row],[Years of Experience]]="","",IF(tblSalaries[[#This Row],[Years of Experience]]&lt;=2,1,""))</f>
        <v/>
      </c>
      <c r="O488" t="str">
        <f>IF(tblSalaries[[#This Row],[Years of Experience]]="","",IF(AND(tblSalaries[[#This Row],[Years of Experience]]&gt;2,tblSalaries[[#This Row],[Years of Experience]]&lt;=5),1,""))</f>
        <v/>
      </c>
      <c r="P488" t="str">
        <f>IF(tblSalaries[[#This Row],[Years of Experience]]="","",IF(AND(tblSalaries[[#This Row],[Years of Experience]]&gt;5,tblSalaries[[#This Row],[Years of Experience]]&lt;=10),1,""))</f>
        <v/>
      </c>
      <c r="Q488" t="str">
        <f>IF(tblSalaries[[#This Row],[Years of Experience]]="","",IF(AND(tblSalaries[[#This Row],[Years of Experience]]&gt;10,tblSalaries[[#This Row],[Years of Experience]]&lt;=15),1,""))</f>
        <v/>
      </c>
      <c r="R488" t="str">
        <f>IF(tblSalaries[[#This Row],[Years of Experience]]="","",IF(AND(tblSalaries[[#This Row],[Years of Experience]]&gt;16,tblSalaries[[#This Row],[Years of Experience]]&lt;=20),1,""))</f>
        <v/>
      </c>
      <c r="S488" t="str">
        <f>IF(tblSalaries[[#This Row],[Years of Experience]]="","",IF(tblSalaries[[#This Row],[Years of Experience]]&gt;20,1,""))</f>
        <v/>
      </c>
      <c r="T4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8" s="13" t="str">
        <f>IF(tblSalaries[[#This Row],[Job Type]]=tblSalaries[[#Headers],[Accountant]],tblSalaries[[#This Row],[Salary in USD]],"")</f>
        <v/>
      </c>
      <c r="V488" s="13" t="str">
        <f>IF(tblSalaries[[#This Row],[Job Type]]=tblSalaries[[#Headers],[Analyst]],tblSalaries[[#This Row],[Salary in USD]],"")</f>
        <v/>
      </c>
      <c r="W488" s="13" t="str">
        <f>IF(tblSalaries[[#This Row],[Job Type]]=tblSalaries[[#Headers],[Consultant]],tblSalaries[[#This Row],[Salary in USD]],"")</f>
        <v/>
      </c>
      <c r="X488" s="13" t="str">
        <f>IF(tblSalaries[[#This Row],[Job Type]]=tblSalaries[[#Headers],[Controller]],tblSalaries[[#This Row],[Salary in USD]],"")</f>
        <v/>
      </c>
      <c r="Y488" s="13">
        <f>IF(tblSalaries[[#This Row],[Job Type]]=tblSalaries[[#Headers],[CXO or Top Mgmt.]],tblSalaries[[#This Row],[clean Salary (in local currency)]],"")</f>
        <v>190000</v>
      </c>
      <c r="Z488" s="13" t="str">
        <f>IF(tblSalaries[[#This Row],[Job Type]]=tblSalaries[[#Headers],[Engineer]],tblSalaries[[#This Row],[Salary in USD]],"")</f>
        <v/>
      </c>
      <c r="AA488" s="13" t="str">
        <f>IF(tblSalaries[[#This Row],[Job Type]]=tblSalaries[[#Headers],[Manager]],tblSalaries[[#This Row],[Salary in USD]],"")</f>
        <v/>
      </c>
      <c r="AB488" s="13" t="str">
        <f>IF(tblSalaries[[#This Row],[Job Type]]=tblSalaries[[#Headers],[Misc.]],tblSalaries[[#This Row],[Salary in USD]],"")</f>
        <v/>
      </c>
      <c r="AC488" s="13" t="str">
        <f>IF(tblSalaries[[#This Row],[Job Type]]=tblSalaries[[#Headers],[Reporting]],tblSalaries[[#This Row],[Salary in USD]],"")</f>
        <v/>
      </c>
      <c r="AD488" s="13" t="str">
        <f>IF(tblSalaries[[#This Row],[Job Type]]=tblSalaries[[#Headers],[Specialist]],tblSalaries[[#This Row],[Salary in USD]],"")</f>
        <v/>
      </c>
    </row>
    <row r="489" spans="2:30" ht="15" customHeight="1" x14ac:dyDescent="0.25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 s="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  <c r="N489" t="str">
        <f>IF(tblSalaries[[#This Row],[Years of Experience]]="","",IF(tblSalaries[[#This Row],[Years of Experience]]&lt;=2,1,""))</f>
        <v/>
      </c>
      <c r="O489" t="str">
        <f>IF(tblSalaries[[#This Row],[Years of Experience]]="","",IF(AND(tblSalaries[[#This Row],[Years of Experience]]&gt;2,tblSalaries[[#This Row],[Years of Experience]]&lt;=5),1,""))</f>
        <v/>
      </c>
      <c r="P489" t="str">
        <f>IF(tblSalaries[[#This Row],[Years of Experience]]="","",IF(AND(tblSalaries[[#This Row],[Years of Experience]]&gt;5,tblSalaries[[#This Row],[Years of Experience]]&lt;=10),1,""))</f>
        <v/>
      </c>
      <c r="Q489" t="str">
        <f>IF(tblSalaries[[#This Row],[Years of Experience]]="","",IF(AND(tblSalaries[[#This Row],[Years of Experience]]&gt;10,tblSalaries[[#This Row],[Years of Experience]]&lt;=15),1,""))</f>
        <v/>
      </c>
      <c r="R489" t="str">
        <f>IF(tblSalaries[[#This Row],[Years of Experience]]="","",IF(AND(tblSalaries[[#This Row],[Years of Experience]]&gt;16,tblSalaries[[#This Row],[Years of Experience]]&lt;=20),1,""))</f>
        <v/>
      </c>
      <c r="S489" t="str">
        <f>IF(tblSalaries[[#This Row],[Years of Experience]]="","",IF(tblSalaries[[#This Row],[Years of Experience]]&gt;20,1,""))</f>
        <v/>
      </c>
      <c r="T4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89" s="13" t="str">
        <f>IF(tblSalaries[[#This Row],[Job Type]]=tblSalaries[[#Headers],[Accountant]],tblSalaries[[#This Row],[Salary in USD]],"")</f>
        <v/>
      </c>
      <c r="V489" s="13" t="str">
        <f>IF(tblSalaries[[#This Row],[Job Type]]=tblSalaries[[#Headers],[Analyst]],tblSalaries[[#This Row],[Salary in USD]],"")</f>
        <v/>
      </c>
      <c r="W489" s="13" t="str">
        <f>IF(tblSalaries[[#This Row],[Job Type]]=tblSalaries[[#Headers],[Consultant]],tblSalaries[[#This Row],[Salary in USD]],"")</f>
        <v/>
      </c>
      <c r="X489" s="13" t="str">
        <f>IF(tblSalaries[[#This Row],[Job Type]]=tblSalaries[[#Headers],[Controller]],tblSalaries[[#This Row],[Salary in USD]],"")</f>
        <v/>
      </c>
      <c r="Y489" s="13" t="str">
        <f>IF(tblSalaries[[#This Row],[Job Type]]=tblSalaries[[#Headers],[CXO or Top Mgmt.]],tblSalaries[[#This Row],[clean Salary (in local currency)]],"")</f>
        <v/>
      </c>
      <c r="Z489" s="13" t="str">
        <f>IF(tblSalaries[[#This Row],[Job Type]]=tblSalaries[[#Headers],[Engineer]],tblSalaries[[#This Row],[Salary in USD]],"")</f>
        <v/>
      </c>
      <c r="AA489" s="13">
        <f>IF(tblSalaries[[#This Row],[Job Type]]=tblSalaries[[#Headers],[Manager]],tblSalaries[[#This Row],[Salary in USD]],"")</f>
        <v>44391.484854502989</v>
      </c>
      <c r="AB489" s="13" t="str">
        <f>IF(tblSalaries[[#This Row],[Job Type]]=tblSalaries[[#Headers],[Misc.]],tblSalaries[[#This Row],[Salary in USD]],"")</f>
        <v/>
      </c>
      <c r="AC489" s="13" t="str">
        <f>IF(tblSalaries[[#This Row],[Job Type]]=tblSalaries[[#Headers],[Reporting]],tblSalaries[[#This Row],[Salary in USD]],"")</f>
        <v/>
      </c>
      <c r="AD489" s="13" t="str">
        <f>IF(tblSalaries[[#This Row],[Job Type]]=tblSalaries[[#Headers],[Specialist]],tblSalaries[[#This Row],[Salary in USD]],"")</f>
        <v/>
      </c>
    </row>
    <row r="490" spans="2:30" ht="15" customHeight="1" x14ac:dyDescent="0.25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 s="9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  <c r="N490" t="str">
        <f>IF(tblSalaries[[#This Row],[Years of Experience]]="","",IF(tblSalaries[[#This Row],[Years of Experience]]&lt;=2,1,""))</f>
        <v/>
      </c>
      <c r="O490" t="str">
        <f>IF(tblSalaries[[#This Row],[Years of Experience]]="","",IF(AND(tblSalaries[[#This Row],[Years of Experience]]&gt;2,tblSalaries[[#This Row],[Years of Experience]]&lt;=5),1,""))</f>
        <v/>
      </c>
      <c r="P490" t="str">
        <f>IF(tblSalaries[[#This Row],[Years of Experience]]="","",IF(AND(tblSalaries[[#This Row],[Years of Experience]]&gt;5,tblSalaries[[#This Row],[Years of Experience]]&lt;=10),1,""))</f>
        <v/>
      </c>
      <c r="Q490" t="str">
        <f>IF(tblSalaries[[#This Row],[Years of Experience]]="","",IF(AND(tblSalaries[[#This Row],[Years of Experience]]&gt;10,tblSalaries[[#This Row],[Years of Experience]]&lt;=15),1,""))</f>
        <v/>
      </c>
      <c r="R490" t="str">
        <f>IF(tblSalaries[[#This Row],[Years of Experience]]="","",IF(AND(tblSalaries[[#This Row],[Years of Experience]]&gt;16,tblSalaries[[#This Row],[Years of Experience]]&lt;=20),1,""))</f>
        <v/>
      </c>
      <c r="S490" t="str">
        <f>IF(tblSalaries[[#This Row],[Years of Experience]]="","",IF(tblSalaries[[#This Row],[Years of Experience]]&gt;20,1,""))</f>
        <v/>
      </c>
      <c r="T4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0" s="13" t="str">
        <f>IF(tblSalaries[[#This Row],[Job Type]]=tblSalaries[[#Headers],[Accountant]],tblSalaries[[#This Row],[Salary in USD]],"")</f>
        <v/>
      </c>
      <c r="V490" s="13">
        <f>IF(tblSalaries[[#This Row],[Job Type]]=tblSalaries[[#Headers],[Analyst]],tblSalaries[[#This Row],[Salary in USD]],"")</f>
        <v>40000</v>
      </c>
      <c r="W490" s="13" t="str">
        <f>IF(tblSalaries[[#This Row],[Job Type]]=tblSalaries[[#Headers],[Consultant]],tblSalaries[[#This Row],[Salary in USD]],"")</f>
        <v/>
      </c>
      <c r="X490" s="13" t="str">
        <f>IF(tblSalaries[[#This Row],[Job Type]]=tblSalaries[[#Headers],[Controller]],tblSalaries[[#This Row],[Salary in USD]],"")</f>
        <v/>
      </c>
      <c r="Y490" s="13" t="str">
        <f>IF(tblSalaries[[#This Row],[Job Type]]=tblSalaries[[#Headers],[CXO or Top Mgmt.]],tblSalaries[[#This Row],[clean Salary (in local currency)]],"")</f>
        <v/>
      </c>
      <c r="Z490" s="13" t="str">
        <f>IF(tblSalaries[[#This Row],[Job Type]]=tblSalaries[[#Headers],[Engineer]],tblSalaries[[#This Row],[Salary in USD]],"")</f>
        <v/>
      </c>
      <c r="AA490" s="13" t="str">
        <f>IF(tblSalaries[[#This Row],[Job Type]]=tblSalaries[[#Headers],[Manager]],tblSalaries[[#This Row],[Salary in USD]],"")</f>
        <v/>
      </c>
      <c r="AB490" s="13" t="str">
        <f>IF(tblSalaries[[#This Row],[Job Type]]=tblSalaries[[#Headers],[Misc.]],tblSalaries[[#This Row],[Salary in USD]],"")</f>
        <v/>
      </c>
      <c r="AC490" s="13" t="str">
        <f>IF(tblSalaries[[#This Row],[Job Type]]=tblSalaries[[#Headers],[Reporting]],tblSalaries[[#This Row],[Salary in USD]],"")</f>
        <v/>
      </c>
      <c r="AD490" s="13" t="str">
        <f>IF(tblSalaries[[#This Row],[Job Type]]=tblSalaries[[#Headers],[Specialist]],tblSalaries[[#This Row],[Salary in USD]],"")</f>
        <v/>
      </c>
    </row>
    <row r="491" spans="2:30" ht="15" customHeight="1" x14ac:dyDescent="0.25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 s="9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  <c r="N491" t="str">
        <f>IF(tblSalaries[[#This Row],[Years of Experience]]="","",IF(tblSalaries[[#This Row],[Years of Experience]]&lt;=2,1,""))</f>
        <v/>
      </c>
      <c r="O491" t="str">
        <f>IF(tblSalaries[[#This Row],[Years of Experience]]="","",IF(AND(tblSalaries[[#This Row],[Years of Experience]]&gt;2,tblSalaries[[#This Row],[Years of Experience]]&lt;=5),1,""))</f>
        <v/>
      </c>
      <c r="P491" t="str">
        <f>IF(tblSalaries[[#This Row],[Years of Experience]]="","",IF(AND(tblSalaries[[#This Row],[Years of Experience]]&gt;5,tblSalaries[[#This Row],[Years of Experience]]&lt;=10),1,""))</f>
        <v/>
      </c>
      <c r="Q491" t="str">
        <f>IF(tblSalaries[[#This Row],[Years of Experience]]="","",IF(AND(tblSalaries[[#This Row],[Years of Experience]]&gt;10,tblSalaries[[#This Row],[Years of Experience]]&lt;=15),1,""))</f>
        <v/>
      </c>
      <c r="R491" t="str">
        <f>IF(tblSalaries[[#This Row],[Years of Experience]]="","",IF(AND(tblSalaries[[#This Row],[Years of Experience]]&gt;16,tblSalaries[[#This Row],[Years of Experience]]&lt;=20),1,""))</f>
        <v/>
      </c>
      <c r="S491" t="str">
        <f>IF(tblSalaries[[#This Row],[Years of Experience]]="","",IF(tblSalaries[[#This Row],[Years of Experience]]&gt;20,1,""))</f>
        <v/>
      </c>
      <c r="T4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1" s="13" t="str">
        <f>IF(tblSalaries[[#This Row],[Job Type]]=tblSalaries[[#Headers],[Accountant]],tblSalaries[[#This Row],[Salary in USD]],"")</f>
        <v/>
      </c>
      <c r="V491" s="13" t="str">
        <f>IF(tblSalaries[[#This Row],[Job Type]]=tblSalaries[[#Headers],[Analyst]],tblSalaries[[#This Row],[Salary in USD]],"")</f>
        <v/>
      </c>
      <c r="W491" s="13" t="str">
        <f>IF(tblSalaries[[#This Row],[Job Type]]=tblSalaries[[#Headers],[Consultant]],tblSalaries[[#This Row],[Salary in USD]],"")</f>
        <v/>
      </c>
      <c r="X491" s="13" t="str">
        <f>IF(tblSalaries[[#This Row],[Job Type]]=tblSalaries[[#Headers],[Controller]],tblSalaries[[#This Row],[Salary in USD]],"")</f>
        <v/>
      </c>
      <c r="Y491" s="13" t="str">
        <f>IF(tblSalaries[[#This Row],[Job Type]]=tblSalaries[[#Headers],[CXO or Top Mgmt.]],tblSalaries[[#This Row],[clean Salary (in local currency)]],"")</f>
        <v/>
      </c>
      <c r="Z491" s="13" t="str">
        <f>IF(tblSalaries[[#This Row],[Job Type]]=tblSalaries[[#Headers],[Engineer]],tblSalaries[[#This Row],[Salary in USD]],"")</f>
        <v/>
      </c>
      <c r="AA491" s="13">
        <f>IF(tblSalaries[[#This Row],[Job Type]]=tblSalaries[[#Headers],[Manager]],tblSalaries[[#This Row],[Salary in USD]],"")</f>
        <v>108000</v>
      </c>
      <c r="AB491" s="13" t="str">
        <f>IF(tblSalaries[[#This Row],[Job Type]]=tblSalaries[[#Headers],[Misc.]],tblSalaries[[#This Row],[Salary in USD]],"")</f>
        <v/>
      </c>
      <c r="AC491" s="13" t="str">
        <f>IF(tblSalaries[[#This Row],[Job Type]]=tblSalaries[[#Headers],[Reporting]],tblSalaries[[#This Row],[Salary in USD]],"")</f>
        <v/>
      </c>
      <c r="AD491" s="13" t="str">
        <f>IF(tblSalaries[[#This Row],[Job Type]]=tblSalaries[[#Headers],[Specialist]],tblSalaries[[#This Row],[Salary in USD]],"")</f>
        <v/>
      </c>
    </row>
    <row r="492" spans="2:30" ht="15" customHeight="1" x14ac:dyDescent="0.25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 s="9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  <c r="N492" t="str">
        <f>IF(tblSalaries[[#This Row],[Years of Experience]]="","",IF(tblSalaries[[#This Row],[Years of Experience]]&lt;=2,1,""))</f>
        <v/>
      </c>
      <c r="O492" t="str">
        <f>IF(tblSalaries[[#This Row],[Years of Experience]]="","",IF(AND(tblSalaries[[#This Row],[Years of Experience]]&gt;2,tblSalaries[[#This Row],[Years of Experience]]&lt;=5),1,""))</f>
        <v/>
      </c>
      <c r="P492" t="str">
        <f>IF(tblSalaries[[#This Row],[Years of Experience]]="","",IF(AND(tblSalaries[[#This Row],[Years of Experience]]&gt;5,tblSalaries[[#This Row],[Years of Experience]]&lt;=10),1,""))</f>
        <v/>
      </c>
      <c r="Q492" t="str">
        <f>IF(tblSalaries[[#This Row],[Years of Experience]]="","",IF(AND(tblSalaries[[#This Row],[Years of Experience]]&gt;10,tblSalaries[[#This Row],[Years of Experience]]&lt;=15),1,""))</f>
        <v/>
      </c>
      <c r="R492" t="str">
        <f>IF(tblSalaries[[#This Row],[Years of Experience]]="","",IF(AND(tblSalaries[[#This Row],[Years of Experience]]&gt;16,tblSalaries[[#This Row],[Years of Experience]]&lt;=20),1,""))</f>
        <v/>
      </c>
      <c r="S492" t="str">
        <f>IF(tblSalaries[[#This Row],[Years of Experience]]="","",IF(tblSalaries[[#This Row],[Years of Experience]]&gt;20,1,""))</f>
        <v/>
      </c>
      <c r="T4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2" s="13" t="str">
        <f>IF(tblSalaries[[#This Row],[Job Type]]=tblSalaries[[#Headers],[Accountant]],tblSalaries[[#This Row],[Salary in USD]],"")</f>
        <v/>
      </c>
      <c r="V492" s="13">
        <f>IF(tblSalaries[[#This Row],[Job Type]]=tblSalaries[[#Headers],[Analyst]],tblSalaries[[#This Row],[Salary in USD]],"")</f>
        <v>3561.5833374885137</v>
      </c>
      <c r="W492" s="13" t="str">
        <f>IF(tblSalaries[[#This Row],[Job Type]]=tblSalaries[[#Headers],[Consultant]],tblSalaries[[#This Row],[Salary in USD]],"")</f>
        <v/>
      </c>
      <c r="X492" s="13" t="str">
        <f>IF(tblSalaries[[#This Row],[Job Type]]=tblSalaries[[#Headers],[Controller]],tblSalaries[[#This Row],[Salary in USD]],"")</f>
        <v/>
      </c>
      <c r="Y492" s="13" t="str">
        <f>IF(tblSalaries[[#This Row],[Job Type]]=tblSalaries[[#Headers],[CXO or Top Mgmt.]],tblSalaries[[#This Row],[clean Salary (in local currency)]],"")</f>
        <v/>
      </c>
      <c r="Z492" s="13" t="str">
        <f>IF(tblSalaries[[#This Row],[Job Type]]=tblSalaries[[#Headers],[Engineer]],tblSalaries[[#This Row],[Salary in USD]],"")</f>
        <v/>
      </c>
      <c r="AA492" s="13" t="str">
        <f>IF(tblSalaries[[#This Row],[Job Type]]=tblSalaries[[#Headers],[Manager]],tblSalaries[[#This Row],[Salary in USD]],"")</f>
        <v/>
      </c>
      <c r="AB492" s="13" t="str">
        <f>IF(tblSalaries[[#This Row],[Job Type]]=tblSalaries[[#Headers],[Misc.]],tblSalaries[[#This Row],[Salary in USD]],"")</f>
        <v/>
      </c>
      <c r="AC492" s="13" t="str">
        <f>IF(tblSalaries[[#This Row],[Job Type]]=tblSalaries[[#Headers],[Reporting]],tblSalaries[[#This Row],[Salary in USD]],"")</f>
        <v/>
      </c>
      <c r="AD492" s="13" t="str">
        <f>IF(tblSalaries[[#This Row],[Job Type]]=tblSalaries[[#Headers],[Specialist]],tblSalaries[[#This Row],[Salary in USD]],"")</f>
        <v/>
      </c>
    </row>
    <row r="493" spans="2:30" ht="15" customHeight="1" x14ac:dyDescent="0.25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 s="9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  <c r="N493" t="str">
        <f>IF(tblSalaries[[#This Row],[Years of Experience]]="","",IF(tblSalaries[[#This Row],[Years of Experience]]&lt;=2,1,""))</f>
        <v/>
      </c>
      <c r="O493" t="str">
        <f>IF(tblSalaries[[#This Row],[Years of Experience]]="","",IF(AND(tblSalaries[[#This Row],[Years of Experience]]&gt;2,tblSalaries[[#This Row],[Years of Experience]]&lt;=5),1,""))</f>
        <v/>
      </c>
      <c r="P493" t="str">
        <f>IF(tblSalaries[[#This Row],[Years of Experience]]="","",IF(AND(tblSalaries[[#This Row],[Years of Experience]]&gt;5,tblSalaries[[#This Row],[Years of Experience]]&lt;=10),1,""))</f>
        <v/>
      </c>
      <c r="Q493" t="str">
        <f>IF(tblSalaries[[#This Row],[Years of Experience]]="","",IF(AND(tblSalaries[[#This Row],[Years of Experience]]&gt;10,tblSalaries[[#This Row],[Years of Experience]]&lt;=15),1,""))</f>
        <v/>
      </c>
      <c r="R493" t="str">
        <f>IF(tblSalaries[[#This Row],[Years of Experience]]="","",IF(AND(tblSalaries[[#This Row],[Years of Experience]]&gt;16,tblSalaries[[#This Row],[Years of Experience]]&lt;=20),1,""))</f>
        <v/>
      </c>
      <c r="S493" t="str">
        <f>IF(tblSalaries[[#This Row],[Years of Experience]]="","",IF(tblSalaries[[#This Row],[Years of Experience]]&gt;20,1,""))</f>
        <v/>
      </c>
      <c r="T4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3" s="13" t="str">
        <f>IF(tblSalaries[[#This Row],[Job Type]]=tblSalaries[[#Headers],[Accountant]],tblSalaries[[#This Row],[Salary in USD]],"")</f>
        <v/>
      </c>
      <c r="V493" s="13">
        <f>IF(tblSalaries[[#This Row],[Job Type]]=tblSalaries[[#Headers],[Analyst]],tblSalaries[[#This Row],[Salary in USD]],"")</f>
        <v>84000</v>
      </c>
      <c r="W493" s="13" t="str">
        <f>IF(tblSalaries[[#This Row],[Job Type]]=tblSalaries[[#Headers],[Consultant]],tblSalaries[[#This Row],[Salary in USD]],"")</f>
        <v/>
      </c>
      <c r="X493" s="13" t="str">
        <f>IF(tblSalaries[[#This Row],[Job Type]]=tblSalaries[[#Headers],[Controller]],tblSalaries[[#This Row],[Salary in USD]],"")</f>
        <v/>
      </c>
      <c r="Y493" s="13" t="str">
        <f>IF(tblSalaries[[#This Row],[Job Type]]=tblSalaries[[#Headers],[CXO or Top Mgmt.]],tblSalaries[[#This Row],[clean Salary (in local currency)]],"")</f>
        <v/>
      </c>
      <c r="Z493" s="13" t="str">
        <f>IF(tblSalaries[[#This Row],[Job Type]]=tblSalaries[[#Headers],[Engineer]],tblSalaries[[#This Row],[Salary in USD]],"")</f>
        <v/>
      </c>
      <c r="AA493" s="13" t="str">
        <f>IF(tblSalaries[[#This Row],[Job Type]]=tblSalaries[[#Headers],[Manager]],tblSalaries[[#This Row],[Salary in USD]],"")</f>
        <v/>
      </c>
      <c r="AB493" s="13" t="str">
        <f>IF(tblSalaries[[#This Row],[Job Type]]=tblSalaries[[#Headers],[Misc.]],tblSalaries[[#This Row],[Salary in USD]],"")</f>
        <v/>
      </c>
      <c r="AC493" s="13" t="str">
        <f>IF(tblSalaries[[#This Row],[Job Type]]=tblSalaries[[#Headers],[Reporting]],tblSalaries[[#This Row],[Salary in USD]],"")</f>
        <v/>
      </c>
      <c r="AD493" s="13" t="str">
        <f>IF(tblSalaries[[#This Row],[Job Type]]=tblSalaries[[#Headers],[Specialist]],tblSalaries[[#This Row],[Salary in USD]],"")</f>
        <v/>
      </c>
    </row>
    <row r="494" spans="2:30" ht="15" customHeight="1" x14ac:dyDescent="0.25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 s="9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  <c r="N494" t="str">
        <f>IF(tblSalaries[[#This Row],[Years of Experience]]="","",IF(tblSalaries[[#This Row],[Years of Experience]]&lt;=2,1,""))</f>
        <v/>
      </c>
      <c r="O494" t="str">
        <f>IF(tblSalaries[[#This Row],[Years of Experience]]="","",IF(AND(tblSalaries[[#This Row],[Years of Experience]]&gt;2,tblSalaries[[#This Row],[Years of Experience]]&lt;=5),1,""))</f>
        <v/>
      </c>
      <c r="P494" t="str">
        <f>IF(tblSalaries[[#This Row],[Years of Experience]]="","",IF(AND(tblSalaries[[#This Row],[Years of Experience]]&gt;5,tblSalaries[[#This Row],[Years of Experience]]&lt;=10),1,""))</f>
        <v/>
      </c>
      <c r="Q494" t="str">
        <f>IF(tblSalaries[[#This Row],[Years of Experience]]="","",IF(AND(tblSalaries[[#This Row],[Years of Experience]]&gt;10,tblSalaries[[#This Row],[Years of Experience]]&lt;=15),1,""))</f>
        <v/>
      </c>
      <c r="R494" t="str">
        <f>IF(tblSalaries[[#This Row],[Years of Experience]]="","",IF(AND(tblSalaries[[#This Row],[Years of Experience]]&gt;16,tblSalaries[[#This Row],[Years of Experience]]&lt;=20),1,""))</f>
        <v/>
      </c>
      <c r="S494" t="str">
        <f>IF(tblSalaries[[#This Row],[Years of Experience]]="","",IF(tblSalaries[[#This Row],[Years of Experience]]&gt;20,1,""))</f>
        <v/>
      </c>
      <c r="T4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4" s="13" t="str">
        <f>IF(tblSalaries[[#This Row],[Job Type]]=tblSalaries[[#Headers],[Accountant]],tblSalaries[[#This Row],[Salary in USD]],"")</f>
        <v/>
      </c>
      <c r="V494" s="13" t="str">
        <f>IF(tblSalaries[[#This Row],[Job Type]]=tblSalaries[[#Headers],[Analyst]],tblSalaries[[#This Row],[Salary in USD]],"")</f>
        <v/>
      </c>
      <c r="W494" s="13" t="str">
        <f>IF(tblSalaries[[#This Row],[Job Type]]=tblSalaries[[#Headers],[Consultant]],tblSalaries[[#This Row],[Salary in USD]],"")</f>
        <v/>
      </c>
      <c r="X494" s="13" t="str">
        <f>IF(tblSalaries[[#This Row],[Job Type]]=tblSalaries[[#Headers],[Controller]],tblSalaries[[#This Row],[Salary in USD]],"")</f>
        <v/>
      </c>
      <c r="Y494" s="13" t="str">
        <f>IF(tblSalaries[[#This Row],[Job Type]]=tblSalaries[[#Headers],[CXO or Top Mgmt.]],tblSalaries[[#This Row],[clean Salary (in local currency)]],"")</f>
        <v/>
      </c>
      <c r="Z494" s="13" t="str">
        <f>IF(tblSalaries[[#This Row],[Job Type]]=tblSalaries[[#Headers],[Engineer]],tblSalaries[[#This Row],[Salary in USD]],"")</f>
        <v/>
      </c>
      <c r="AA494" s="13">
        <f>IF(tblSalaries[[#This Row],[Job Type]]=tblSalaries[[#Headers],[Manager]],tblSalaries[[#This Row],[Salary in USD]],"")</f>
        <v>52013.882978220376</v>
      </c>
      <c r="AB494" s="13" t="str">
        <f>IF(tblSalaries[[#This Row],[Job Type]]=tblSalaries[[#Headers],[Misc.]],tblSalaries[[#This Row],[Salary in USD]],"")</f>
        <v/>
      </c>
      <c r="AC494" s="13" t="str">
        <f>IF(tblSalaries[[#This Row],[Job Type]]=tblSalaries[[#Headers],[Reporting]],tblSalaries[[#This Row],[Salary in USD]],"")</f>
        <v/>
      </c>
      <c r="AD494" s="13" t="str">
        <f>IF(tblSalaries[[#This Row],[Job Type]]=tblSalaries[[#Headers],[Specialist]],tblSalaries[[#This Row],[Salary in USD]],"")</f>
        <v/>
      </c>
    </row>
    <row r="495" spans="2:30" ht="15" customHeight="1" x14ac:dyDescent="0.25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 s="9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  <c r="N495" t="str">
        <f>IF(tblSalaries[[#This Row],[Years of Experience]]="","",IF(tblSalaries[[#This Row],[Years of Experience]]&lt;=2,1,""))</f>
        <v/>
      </c>
      <c r="O495" t="str">
        <f>IF(tblSalaries[[#This Row],[Years of Experience]]="","",IF(AND(tblSalaries[[#This Row],[Years of Experience]]&gt;2,tblSalaries[[#This Row],[Years of Experience]]&lt;=5),1,""))</f>
        <v/>
      </c>
      <c r="P495" t="str">
        <f>IF(tblSalaries[[#This Row],[Years of Experience]]="","",IF(AND(tblSalaries[[#This Row],[Years of Experience]]&gt;5,tblSalaries[[#This Row],[Years of Experience]]&lt;=10),1,""))</f>
        <v/>
      </c>
      <c r="Q495" t="str">
        <f>IF(tblSalaries[[#This Row],[Years of Experience]]="","",IF(AND(tblSalaries[[#This Row],[Years of Experience]]&gt;10,tblSalaries[[#This Row],[Years of Experience]]&lt;=15),1,""))</f>
        <v/>
      </c>
      <c r="R495" t="str">
        <f>IF(tblSalaries[[#This Row],[Years of Experience]]="","",IF(AND(tblSalaries[[#This Row],[Years of Experience]]&gt;16,tblSalaries[[#This Row],[Years of Experience]]&lt;=20),1,""))</f>
        <v/>
      </c>
      <c r="S495" t="str">
        <f>IF(tblSalaries[[#This Row],[Years of Experience]]="","",IF(tblSalaries[[#This Row],[Years of Experience]]&gt;20,1,""))</f>
        <v/>
      </c>
      <c r="T4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5" s="13" t="str">
        <f>IF(tblSalaries[[#This Row],[Job Type]]=tblSalaries[[#Headers],[Accountant]],tblSalaries[[#This Row],[Salary in USD]],"")</f>
        <v/>
      </c>
      <c r="V495" s="13" t="str">
        <f>IF(tblSalaries[[#This Row],[Job Type]]=tblSalaries[[#Headers],[Analyst]],tblSalaries[[#This Row],[Salary in USD]],"")</f>
        <v/>
      </c>
      <c r="W495" s="13" t="str">
        <f>IF(tblSalaries[[#This Row],[Job Type]]=tblSalaries[[#Headers],[Consultant]],tblSalaries[[#This Row],[Salary in USD]],"")</f>
        <v/>
      </c>
      <c r="X495" s="13" t="str">
        <f>IF(tblSalaries[[#This Row],[Job Type]]=tblSalaries[[#Headers],[Controller]],tblSalaries[[#This Row],[Salary in USD]],"")</f>
        <v/>
      </c>
      <c r="Y495" s="13" t="str">
        <f>IF(tblSalaries[[#This Row],[Job Type]]=tblSalaries[[#Headers],[CXO or Top Mgmt.]],tblSalaries[[#This Row],[clean Salary (in local currency)]],"")</f>
        <v/>
      </c>
      <c r="Z495" s="13" t="str">
        <f>IF(tblSalaries[[#This Row],[Job Type]]=tblSalaries[[#Headers],[Engineer]],tblSalaries[[#This Row],[Salary in USD]],"")</f>
        <v/>
      </c>
      <c r="AA495" s="13">
        <f>IF(tblSalaries[[#This Row],[Job Type]]=tblSalaries[[#Headers],[Manager]],tblSalaries[[#This Row],[Salary in USD]],"")</f>
        <v>12821.700014958649</v>
      </c>
      <c r="AB495" s="13" t="str">
        <f>IF(tblSalaries[[#This Row],[Job Type]]=tblSalaries[[#Headers],[Misc.]],tblSalaries[[#This Row],[Salary in USD]],"")</f>
        <v/>
      </c>
      <c r="AC495" s="13" t="str">
        <f>IF(tblSalaries[[#This Row],[Job Type]]=tblSalaries[[#Headers],[Reporting]],tblSalaries[[#This Row],[Salary in USD]],"")</f>
        <v/>
      </c>
      <c r="AD495" s="13" t="str">
        <f>IF(tblSalaries[[#This Row],[Job Type]]=tblSalaries[[#Headers],[Specialist]],tblSalaries[[#This Row],[Salary in USD]],"")</f>
        <v/>
      </c>
    </row>
    <row r="496" spans="2:30" ht="15" customHeight="1" x14ac:dyDescent="0.25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 s="9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  <c r="N496" t="str">
        <f>IF(tblSalaries[[#This Row],[Years of Experience]]="","",IF(tblSalaries[[#This Row],[Years of Experience]]&lt;=2,1,""))</f>
        <v/>
      </c>
      <c r="O496" t="str">
        <f>IF(tblSalaries[[#This Row],[Years of Experience]]="","",IF(AND(tblSalaries[[#This Row],[Years of Experience]]&gt;2,tblSalaries[[#This Row],[Years of Experience]]&lt;=5),1,""))</f>
        <v/>
      </c>
      <c r="P496" t="str">
        <f>IF(tblSalaries[[#This Row],[Years of Experience]]="","",IF(AND(tblSalaries[[#This Row],[Years of Experience]]&gt;5,tblSalaries[[#This Row],[Years of Experience]]&lt;=10),1,""))</f>
        <v/>
      </c>
      <c r="Q496" t="str">
        <f>IF(tblSalaries[[#This Row],[Years of Experience]]="","",IF(AND(tblSalaries[[#This Row],[Years of Experience]]&gt;10,tblSalaries[[#This Row],[Years of Experience]]&lt;=15),1,""))</f>
        <v/>
      </c>
      <c r="R496" t="str">
        <f>IF(tblSalaries[[#This Row],[Years of Experience]]="","",IF(AND(tblSalaries[[#This Row],[Years of Experience]]&gt;16,tblSalaries[[#This Row],[Years of Experience]]&lt;=20),1,""))</f>
        <v/>
      </c>
      <c r="S496" t="str">
        <f>IF(tblSalaries[[#This Row],[Years of Experience]]="","",IF(tblSalaries[[#This Row],[Years of Experience]]&gt;20,1,""))</f>
        <v/>
      </c>
      <c r="T4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6" s="13" t="str">
        <f>IF(tblSalaries[[#This Row],[Job Type]]=tblSalaries[[#Headers],[Accountant]],tblSalaries[[#This Row],[Salary in USD]],"")</f>
        <v/>
      </c>
      <c r="V496" s="13">
        <f>IF(tblSalaries[[#This Row],[Job Type]]=tblSalaries[[#Headers],[Analyst]],tblSalaries[[#This Row],[Salary in USD]],"")</f>
        <v>67360.264327577388</v>
      </c>
      <c r="W496" s="13" t="str">
        <f>IF(tblSalaries[[#This Row],[Job Type]]=tblSalaries[[#Headers],[Consultant]],tblSalaries[[#This Row],[Salary in USD]],"")</f>
        <v/>
      </c>
      <c r="X496" s="13" t="str">
        <f>IF(tblSalaries[[#This Row],[Job Type]]=tblSalaries[[#Headers],[Controller]],tblSalaries[[#This Row],[Salary in USD]],"")</f>
        <v/>
      </c>
      <c r="Y496" s="13" t="str">
        <f>IF(tblSalaries[[#This Row],[Job Type]]=tblSalaries[[#Headers],[CXO or Top Mgmt.]],tblSalaries[[#This Row],[clean Salary (in local currency)]],"")</f>
        <v/>
      </c>
      <c r="Z496" s="13" t="str">
        <f>IF(tblSalaries[[#This Row],[Job Type]]=tblSalaries[[#Headers],[Engineer]],tblSalaries[[#This Row],[Salary in USD]],"")</f>
        <v/>
      </c>
      <c r="AA496" s="13" t="str">
        <f>IF(tblSalaries[[#This Row],[Job Type]]=tblSalaries[[#Headers],[Manager]],tblSalaries[[#This Row],[Salary in USD]],"")</f>
        <v/>
      </c>
      <c r="AB496" s="13" t="str">
        <f>IF(tblSalaries[[#This Row],[Job Type]]=tblSalaries[[#Headers],[Misc.]],tblSalaries[[#This Row],[Salary in USD]],"")</f>
        <v/>
      </c>
      <c r="AC496" s="13" t="str">
        <f>IF(tblSalaries[[#This Row],[Job Type]]=tblSalaries[[#Headers],[Reporting]],tblSalaries[[#This Row],[Salary in USD]],"")</f>
        <v/>
      </c>
      <c r="AD496" s="13" t="str">
        <f>IF(tblSalaries[[#This Row],[Job Type]]=tblSalaries[[#Headers],[Specialist]],tblSalaries[[#This Row],[Salary in USD]],"")</f>
        <v/>
      </c>
    </row>
    <row r="497" spans="2:30" ht="15" customHeight="1" x14ac:dyDescent="0.25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 s="9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  <c r="N497" t="str">
        <f>IF(tblSalaries[[#This Row],[Years of Experience]]="","",IF(tblSalaries[[#This Row],[Years of Experience]]&lt;=2,1,""))</f>
        <v/>
      </c>
      <c r="O497" t="str">
        <f>IF(tblSalaries[[#This Row],[Years of Experience]]="","",IF(AND(tblSalaries[[#This Row],[Years of Experience]]&gt;2,tblSalaries[[#This Row],[Years of Experience]]&lt;=5),1,""))</f>
        <v/>
      </c>
      <c r="P497" t="str">
        <f>IF(tblSalaries[[#This Row],[Years of Experience]]="","",IF(AND(tblSalaries[[#This Row],[Years of Experience]]&gt;5,tblSalaries[[#This Row],[Years of Experience]]&lt;=10),1,""))</f>
        <v/>
      </c>
      <c r="Q497" t="str">
        <f>IF(tblSalaries[[#This Row],[Years of Experience]]="","",IF(AND(tblSalaries[[#This Row],[Years of Experience]]&gt;10,tblSalaries[[#This Row],[Years of Experience]]&lt;=15),1,""))</f>
        <v/>
      </c>
      <c r="R497" t="str">
        <f>IF(tblSalaries[[#This Row],[Years of Experience]]="","",IF(AND(tblSalaries[[#This Row],[Years of Experience]]&gt;16,tblSalaries[[#This Row],[Years of Experience]]&lt;=20),1,""))</f>
        <v/>
      </c>
      <c r="S497" t="str">
        <f>IF(tblSalaries[[#This Row],[Years of Experience]]="","",IF(tblSalaries[[#This Row],[Years of Experience]]&gt;20,1,""))</f>
        <v/>
      </c>
      <c r="T4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7" s="13" t="str">
        <f>IF(tblSalaries[[#This Row],[Job Type]]=tblSalaries[[#Headers],[Accountant]],tblSalaries[[#This Row],[Salary in USD]],"")</f>
        <v/>
      </c>
      <c r="V497" s="13" t="str">
        <f>IF(tblSalaries[[#This Row],[Job Type]]=tblSalaries[[#Headers],[Analyst]],tblSalaries[[#This Row],[Salary in USD]],"")</f>
        <v/>
      </c>
      <c r="W497" s="13" t="str">
        <f>IF(tblSalaries[[#This Row],[Job Type]]=tblSalaries[[#Headers],[Consultant]],tblSalaries[[#This Row],[Salary in USD]],"")</f>
        <v/>
      </c>
      <c r="X497" s="13" t="str">
        <f>IF(tblSalaries[[#This Row],[Job Type]]=tblSalaries[[#Headers],[Controller]],tblSalaries[[#This Row],[Salary in USD]],"")</f>
        <v/>
      </c>
      <c r="Y497" s="13" t="str">
        <f>IF(tblSalaries[[#This Row],[Job Type]]=tblSalaries[[#Headers],[CXO or Top Mgmt.]],tblSalaries[[#This Row],[clean Salary (in local currency)]],"")</f>
        <v/>
      </c>
      <c r="Z497" s="13" t="str">
        <f>IF(tblSalaries[[#This Row],[Job Type]]=tblSalaries[[#Headers],[Engineer]],tblSalaries[[#This Row],[Salary in USD]],"")</f>
        <v/>
      </c>
      <c r="AA497" s="13">
        <f>IF(tblSalaries[[#This Row],[Job Type]]=tblSalaries[[#Headers],[Manager]],tblSalaries[[#This Row],[Salary in USD]],"")</f>
        <v>23000</v>
      </c>
      <c r="AB497" s="13" t="str">
        <f>IF(tblSalaries[[#This Row],[Job Type]]=tblSalaries[[#Headers],[Misc.]],tblSalaries[[#This Row],[Salary in USD]],"")</f>
        <v/>
      </c>
      <c r="AC497" s="13" t="str">
        <f>IF(tblSalaries[[#This Row],[Job Type]]=tblSalaries[[#Headers],[Reporting]],tblSalaries[[#This Row],[Salary in USD]],"")</f>
        <v/>
      </c>
      <c r="AD497" s="13" t="str">
        <f>IF(tblSalaries[[#This Row],[Job Type]]=tblSalaries[[#Headers],[Specialist]],tblSalaries[[#This Row],[Salary in USD]],"")</f>
        <v/>
      </c>
    </row>
    <row r="498" spans="2:30" ht="15" customHeight="1" x14ac:dyDescent="0.25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 s="9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  <c r="N498" t="str">
        <f>IF(tblSalaries[[#This Row],[Years of Experience]]="","",IF(tblSalaries[[#This Row],[Years of Experience]]&lt;=2,1,""))</f>
        <v/>
      </c>
      <c r="O498" t="str">
        <f>IF(tblSalaries[[#This Row],[Years of Experience]]="","",IF(AND(tblSalaries[[#This Row],[Years of Experience]]&gt;2,tblSalaries[[#This Row],[Years of Experience]]&lt;=5),1,""))</f>
        <v/>
      </c>
      <c r="P498" t="str">
        <f>IF(tblSalaries[[#This Row],[Years of Experience]]="","",IF(AND(tblSalaries[[#This Row],[Years of Experience]]&gt;5,tblSalaries[[#This Row],[Years of Experience]]&lt;=10),1,""))</f>
        <v/>
      </c>
      <c r="Q498" t="str">
        <f>IF(tblSalaries[[#This Row],[Years of Experience]]="","",IF(AND(tblSalaries[[#This Row],[Years of Experience]]&gt;10,tblSalaries[[#This Row],[Years of Experience]]&lt;=15),1,""))</f>
        <v/>
      </c>
      <c r="R498" t="str">
        <f>IF(tblSalaries[[#This Row],[Years of Experience]]="","",IF(AND(tblSalaries[[#This Row],[Years of Experience]]&gt;16,tblSalaries[[#This Row],[Years of Experience]]&lt;=20),1,""))</f>
        <v/>
      </c>
      <c r="S498" t="str">
        <f>IF(tblSalaries[[#This Row],[Years of Experience]]="","",IF(tblSalaries[[#This Row],[Years of Experience]]&gt;20,1,""))</f>
        <v/>
      </c>
      <c r="T4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8" s="13" t="str">
        <f>IF(tblSalaries[[#This Row],[Job Type]]=tblSalaries[[#Headers],[Accountant]],tblSalaries[[#This Row],[Salary in USD]],"")</f>
        <v/>
      </c>
      <c r="V498" s="13" t="str">
        <f>IF(tblSalaries[[#This Row],[Job Type]]=tblSalaries[[#Headers],[Analyst]],tblSalaries[[#This Row],[Salary in USD]],"")</f>
        <v/>
      </c>
      <c r="W498" s="13" t="str">
        <f>IF(tblSalaries[[#This Row],[Job Type]]=tblSalaries[[#Headers],[Consultant]],tblSalaries[[#This Row],[Salary in USD]],"")</f>
        <v/>
      </c>
      <c r="X498" s="13" t="str">
        <f>IF(tblSalaries[[#This Row],[Job Type]]=tblSalaries[[#Headers],[Controller]],tblSalaries[[#This Row],[Salary in USD]],"")</f>
        <v/>
      </c>
      <c r="Y498" s="13" t="str">
        <f>IF(tblSalaries[[#This Row],[Job Type]]=tblSalaries[[#Headers],[CXO or Top Mgmt.]],tblSalaries[[#This Row],[clean Salary (in local currency)]],"")</f>
        <v/>
      </c>
      <c r="Z498" s="13" t="str">
        <f>IF(tblSalaries[[#This Row],[Job Type]]=tblSalaries[[#Headers],[Engineer]],tblSalaries[[#This Row],[Salary in USD]],"")</f>
        <v/>
      </c>
      <c r="AA498" s="13">
        <f>IF(tblSalaries[[#This Row],[Job Type]]=tblSalaries[[#Headers],[Manager]],tblSalaries[[#This Row],[Salary in USD]],"")</f>
        <v>91418.339779902482</v>
      </c>
      <c r="AB498" s="13" t="str">
        <f>IF(tblSalaries[[#This Row],[Job Type]]=tblSalaries[[#Headers],[Misc.]],tblSalaries[[#This Row],[Salary in USD]],"")</f>
        <v/>
      </c>
      <c r="AC498" s="13" t="str">
        <f>IF(tblSalaries[[#This Row],[Job Type]]=tblSalaries[[#Headers],[Reporting]],tblSalaries[[#This Row],[Salary in USD]],"")</f>
        <v/>
      </c>
      <c r="AD498" s="13" t="str">
        <f>IF(tblSalaries[[#This Row],[Job Type]]=tblSalaries[[#Headers],[Specialist]],tblSalaries[[#This Row],[Salary in USD]],"")</f>
        <v/>
      </c>
    </row>
    <row r="499" spans="2:30" ht="15" customHeight="1" x14ac:dyDescent="0.25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 s="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  <c r="N499" t="str">
        <f>IF(tblSalaries[[#This Row],[Years of Experience]]="","",IF(tblSalaries[[#This Row],[Years of Experience]]&lt;=2,1,""))</f>
        <v/>
      </c>
      <c r="O499" t="str">
        <f>IF(tblSalaries[[#This Row],[Years of Experience]]="","",IF(AND(tblSalaries[[#This Row],[Years of Experience]]&gt;2,tblSalaries[[#This Row],[Years of Experience]]&lt;=5),1,""))</f>
        <v/>
      </c>
      <c r="P499" t="str">
        <f>IF(tblSalaries[[#This Row],[Years of Experience]]="","",IF(AND(tblSalaries[[#This Row],[Years of Experience]]&gt;5,tblSalaries[[#This Row],[Years of Experience]]&lt;=10),1,""))</f>
        <v/>
      </c>
      <c r="Q499" t="str">
        <f>IF(tblSalaries[[#This Row],[Years of Experience]]="","",IF(AND(tblSalaries[[#This Row],[Years of Experience]]&gt;10,tblSalaries[[#This Row],[Years of Experience]]&lt;=15),1,""))</f>
        <v/>
      </c>
      <c r="R499" t="str">
        <f>IF(tblSalaries[[#This Row],[Years of Experience]]="","",IF(AND(tblSalaries[[#This Row],[Years of Experience]]&gt;16,tblSalaries[[#This Row],[Years of Experience]]&lt;=20),1,""))</f>
        <v/>
      </c>
      <c r="S499" t="str">
        <f>IF(tblSalaries[[#This Row],[Years of Experience]]="","",IF(tblSalaries[[#This Row],[Years of Experience]]&gt;20,1,""))</f>
        <v/>
      </c>
      <c r="T4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499" s="13" t="str">
        <f>IF(tblSalaries[[#This Row],[Job Type]]=tblSalaries[[#Headers],[Accountant]],tblSalaries[[#This Row],[Salary in USD]],"")</f>
        <v/>
      </c>
      <c r="V499" s="13">
        <f>IF(tblSalaries[[#This Row],[Job Type]]=tblSalaries[[#Headers],[Analyst]],tblSalaries[[#This Row],[Salary in USD]],"")</f>
        <v>77000</v>
      </c>
      <c r="W499" s="13" t="str">
        <f>IF(tblSalaries[[#This Row],[Job Type]]=tblSalaries[[#Headers],[Consultant]],tblSalaries[[#This Row],[Salary in USD]],"")</f>
        <v/>
      </c>
      <c r="X499" s="13" t="str">
        <f>IF(tblSalaries[[#This Row],[Job Type]]=tblSalaries[[#Headers],[Controller]],tblSalaries[[#This Row],[Salary in USD]],"")</f>
        <v/>
      </c>
      <c r="Y499" s="13" t="str">
        <f>IF(tblSalaries[[#This Row],[Job Type]]=tblSalaries[[#Headers],[CXO or Top Mgmt.]],tblSalaries[[#This Row],[clean Salary (in local currency)]],"")</f>
        <v/>
      </c>
      <c r="Z499" s="13" t="str">
        <f>IF(tblSalaries[[#This Row],[Job Type]]=tblSalaries[[#Headers],[Engineer]],tblSalaries[[#This Row],[Salary in USD]],"")</f>
        <v/>
      </c>
      <c r="AA499" s="13" t="str">
        <f>IF(tblSalaries[[#This Row],[Job Type]]=tblSalaries[[#Headers],[Manager]],tblSalaries[[#This Row],[Salary in USD]],"")</f>
        <v/>
      </c>
      <c r="AB499" s="13" t="str">
        <f>IF(tblSalaries[[#This Row],[Job Type]]=tblSalaries[[#Headers],[Misc.]],tblSalaries[[#This Row],[Salary in USD]],"")</f>
        <v/>
      </c>
      <c r="AC499" s="13" t="str">
        <f>IF(tblSalaries[[#This Row],[Job Type]]=tblSalaries[[#Headers],[Reporting]],tblSalaries[[#This Row],[Salary in USD]],"")</f>
        <v/>
      </c>
      <c r="AD499" s="13" t="str">
        <f>IF(tblSalaries[[#This Row],[Job Type]]=tblSalaries[[#Headers],[Specialist]],tblSalaries[[#This Row],[Salary in USD]],"")</f>
        <v/>
      </c>
    </row>
    <row r="500" spans="2:30" ht="15" customHeight="1" x14ac:dyDescent="0.25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 s="9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  <c r="N500" t="str">
        <f>IF(tblSalaries[[#This Row],[Years of Experience]]="","",IF(tblSalaries[[#This Row],[Years of Experience]]&lt;=2,1,""))</f>
        <v/>
      </c>
      <c r="O500" t="str">
        <f>IF(tblSalaries[[#This Row],[Years of Experience]]="","",IF(AND(tblSalaries[[#This Row],[Years of Experience]]&gt;2,tblSalaries[[#This Row],[Years of Experience]]&lt;=5),1,""))</f>
        <v/>
      </c>
      <c r="P500" t="str">
        <f>IF(tblSalaries[[#This Row],[Years of Experience]]="","",IF(AND(tblSalaries[[#This Row],[Years of Experience]]&gt;5,tblSalaries[[#This Row],[Years of Experience]]&lt;=10),1,""))</f>
        <v/>
      </c>
      <c r="Q500" t="str">
        <f>IF(tblSalaries[[#This Row],[Years of Experience]]="","",IF(AND(tblSalaries[[#This Row],[Years of Experience]]&gt;10,tblSalaries[[#This Row],[Years of Experience]]&lt;=15),1,""))</f>
        <v/>
      </c>
      <c r="R500" t="str">
        <f>IF(tblSalaries[[#This Row],[Years of Experience]]="","",IF(AND(tblSalaries[[#This Row],[Years of Experience]]&gt;16,tblSalaries[[#This Row],[Years of Experience]]&lt;=20),1,""))</f>
        <v/>
      </c>
      <c r="S500" t="str">
        <f>IF(tblSalaries[[#This Row],[Years of Experience]]="","",IF(tblSalaries[[#This Row],[Years of Experience]]&gt;20,1,""))</f>
        <v/>
      </c>
      <c r="T5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0" s="13" t="str">
        <f>IF(tblSalaries[[#This Row],[Job Type]]=tblSalaries[[#Headers],[Accountant]],tblSalaries[[#This Row],[Salary in USD]],"")</f>
        <v/>
      </c>
      <c r="V500" s="13">
        <f>IF(tblSalaries[[#This Row],[Job Type]]=tblSalaries[[#Headers],[Analyst]],tblSalaries[[#This Row],[Salary in USD]],"")</f>
        <v>100000</v>
      </c>
      <c r="W500" s="13" t="str">
        <f>IF(tblSalaries[[#This Row],[Job Type]]=tblSalaries[[#Headers],[Consultant]],tblSalaries[[#This Row],[Salary in USD]],"")</f>
        <v/>
      </c>
      <c r="X500" s="13" t="str">
        <f>IF(tblSalaries[[#This Row],[Job Type]]=tblSalaries[[#Headers],[Controller]],tblSalaries[[#This Row],[Salary in USD]],"")</f>
        <v/>
      </c>
      <c r="Y500" s="13" t="str">
        <f>IF(tblSalaries[[#This Row],[Job Type]]=tblSalaries[[#Headers],[CXO or Top Mgmt.]],tblSalaries[[#This Row],[clean Salary (in local currency)]],"")</f>
        <v/>
      </c>
      <c r="Z500" s="13" t="str">
        <f>IF(tblSalaries[[#This Row],[Job Type]]=tblSalaries[[#Headers],[Engineer]],tblSalaries[[#This Row],[Salary in USD]],"")</f>
        <v/>
      </c>
      <c r="AA500" s="13" t="str">
        <f>IF(tblSalaries[[#This Row],[Job Type]]=tblSalaries[[#Headers],[Manager]],tblSalaries[[#This Row],[Salary in USD]],"")</f>
        <v/>
      </c>
      <c r="AB500" s="13" t="str">
        <f>IF(tblSalaries[[#This Row],[Job Type]]=tblSalaries[[#Headers],[Misc.]],tblSalaries[[#This Row],[Salary in USD]],"")</f>
        <v/>
      </c>
      <c r="AC500" s="13" t="str">
        <f>IF(tblSalaries[[#This Row],[Job Type]]=tblSalaries[[#Headers],[Reporting]],tblSalaries[[#This Row],[Salary in USD]],"")</f>
        <v/>
      </c>
      <c r="AD500" s="13" t="str">
        <f>IF(tblSalaries[[#This Row],[Job Type]]=tblSalaries[[#Headers],[Specialist]],tblSalaries[[#This Row],[Salary in USD]],"")</f>
        <v/>
      </c>
    </row>
    <row r="501" spans="2:30" ht="15" customHeight="1" x14ac:dyDescent="0.25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 s="9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  <c r="N501" t="str">
        <f>IF(tblSalaries[[#This Row],[Years of Experience]]="","",IF(tblSalaries[[#This Row],[Years of Experience]]&lt;=2,1,""))</f>
        <v/>
      </c>
      <c r="O501" t="str">
        <f>IF(tblSalaries[[#This Row],[Years of Experience]]="","",IF(AND(tblSalaries[[#This Row],[Years of Experience]]&gt;2,tblSalaries[[#This Row],[Years of Experience]]&lt;=5),1,""))</f>
        <v/>
      </c>
      <c r="P501" t="str">
        <f>IF(tblSalaries[[#This Row],[Years of Experience]]="","",IF(AND(tblSalaries[[#This Row],[Years of Experience]]&gt;5,tblSalaries[[#This Row],[Years of Experience]]&lt;=10),1,""))</f>
        <v/>
      </c>
      <c r="Q501" t="str">
        <f>IF(tblSalaries[[#This Row],[Years of Experience]]="","",IF(AND(tblSalaries[[#This Row],[Years of Experience]]&gt;10,tblSalaries[[#This Row],[Years of Experience]]&lt;=15),1,""))</f>
        <v/>
      </c>
      <c r="R501" t="str">
        <f>IF(tblSalaries[[#This Row],[Years of Experience]]="","",IF(AND(tblSalaries[[#This Row],[Years of Experience]]&gt;16,tblSalaries[[#This Row],[Years of Experience]]&lt;=20),1,""))</f>
        <v/>
      </c>
      <c r="S501" t="str">
        <f>IF(tblSalaries[[#This Row],[Years of Experience]]="","",IF(tblSalaries[[#This Row],[Years of Experience]]&gt;20,1,""))</f>
        <v/>
      </c>
      <c r="T5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1" s="13" t="str">
        <f>IF(tblSalaries[[#This Row],[Job Type]]=tblSalaries[[#Headers],[Accountant]],tblSalaries[[#This Row],[Salary in USD]],"")</f>
        <v/>
      </c>
      <c r="V501" s="13" t="str">
        <f>IF(tblSalaries[[#This Row],[Job Type]]=tblSalaries[[#Headers],[Analyst]],tblSalaries[[#This Row],[Salary in USD]],"")</f>
        <v/>
      </c>
      <c r="W501" s="13" t="str">
        <f>IF(tblSalaries[[#This Row],[Job Type]]=tblSalaries[[#Headers],[Consultant]],tblSalaries[[#This Row],[Salary in USD]],"")</f>
        <v/>
      </c>
      <c r="X501" s="13">
        <f>IF(tblSalaries[[#This Row],[Job Type]]=tblSalaries[[#Headers],[Controller]],tblSalaries[[#This Row],[Salary in USD]],"")</f>
        <v>55500</v>
      </c>
      <c r="Y501" s="13" t="str">
        <f>IF(tblSalaries[[#This Row],[Job Type]]=tblSalaries[[#Headers],[CXO or Top Mgmt.]],tblSalaries[[#This Row],[clean Salary (in local currency)]],"")</f>
        <v/>
      </c>
      <c r="Z501" s="13" t="str">
        <f>IF(tblSalaries[[#This Row],[Job Type]]=tblSalaries[[#Headers],[Engineer]],tblSalaries[[#This Row],[Salary in USD]],"")</f>
        <v/>
      </c>
      <c r="AA501" s="13" t="str">
        <f>IF(tblSalaries[[#This Row],[Job Type]]=tblSalaries[[#Headers],[Manager]],tblSalaries[[#This Row],[Salary in USD]],"")</f>
        <v/>
      </c>
      <c r="AB501" s="13" t="str">
        <f>IF(tblSalaries[[#This Row],[Job Type]]=tblSalaries[[#Headers],[Misc.]],tblSalaries[[#This Row],[Salary in USD]],"")</f>
        <v/>
      </c>
      <c r="AC501" s="13" t="str">
        <f>IF(tblSalaries[[#This Row],[Job Type]]=tblSalaries[[#Headers],[Reporting]],tblSalaries[[#This Row],[Salary in USD]],"")</f>
        <v/>
      </c>
      <c r="AD501" s="13" t="str">
        <f>IF(tblSalaries[[#This Row],[Job Type]]=tblSalaries[[#Headers],[Specialist]],tblSalaries[[#This Row],[Salary in USD]],"")</f>
        <v/>
      </c>
    </row>
    <row r="502" spans="2:30" ht="15" customHeight="1" x14ac:dyDescent="0.25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 s="9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  <c r="N502" t="str">
        <f>IF(tblSalaries[[#This Row],[Years of Experience]]="","",IF(tblSalaries[[#This Row],[Years of Experience]]&lt;=2,1,""))</f>
        <v/>
      </c>
      <c r="O502" t="str">
        <f>IF(tblSalaries[[#This Row],[Years of Experience]]="","",IF(AND(tblSalaries[[#This Row],[Years of Experience]]&gt;2,tblSalaries[[#This Row],[Years of Experience]]&lt;=5),1,""))</f>
        <v/>
      </c>
      <c r="P502" t="str">
        <f>IF(tblSalaries[[#This Row],[Years of Experience]]="","",IF(AND(tblSalaries[[#This Row],[Years of Experience]]&gt;5,tblSalaries[[#This Row],[Years of Experience]]&lt;=10),1,""))</f>
        <v/>
      </c>
      <c r="Q502" t="str">
        <f>IF(tblSalaries[[#This Row],[Years of Experience]]="","",IF(AND(tblSalaries[[#This Row],[Years of Experience]]&gt;10,tblSalaries[[#This Row],[Years of Experience]]&lt;=15),1,""))</f>
        <v/>
      </c>
      <c r="R502" t="str">
        <f>IF(tblSalaries[[#This Row],[Years of Experience]]="","",IF(AND(tblSalaries[[#This Row],[Years of Experience]]&gt;16,tblSalaries[[#This Row],[Years of Experience]]&lt;=20),1,""))</f>
        <v/>
      </c>
      <c r="S502" t="str">
        <f>IF(tblSalaries[[#This Row],[Years of Experience]]="","",IF(tblSalaries[[#This Row],[Years of Experience]]&gt;20,1,""))</f>
        <v/>
      </c>
      <c r="T5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2" s="13" t="str">
        <f>IF(tblSalaries[[#This Row],[Job Type]]=tblSalaries[[#Headers],[Accountant]],tblSalaries[[#This Row],[Salary in USD]],"")</f>
        <v/>
      </c>
      <c r="V502" s="13">
        <f>IF(tblSalaries[[#This Row],[Job Type]]=tblSalaries[[#Headers],[Analyst]],tblSalaries[[#This Row],[Salary in USD]],"")</f>
        <v>19055.991584874118</v>
      </c>
      <c r="W502" s="13" t="str">
        <f>IF(tblSalaries[[#This Row],[Job Type]]=tblSalaries[[#Headers],[Consultant]],tblSalaries[[#This Row],[Salary in USD]],"")</f>
        <v/>
      </c>
      <c r="X502" s="13" t="str">
        <f>IF(tblSalaries[[#This Row],[Job Type]]=tblSalaries[[#Headers],[Controller]],tblSalaries[[#This Row],[Salary in USD]],"")</f>
        <v/>
      </c>
      <c r="Y502" s="13" t="str">
        <f>IF(tblSalaries[[#This Row],[Job Type]]=tblSalaries[[#Headers],[CXO or Top Mgmt.]],tblSalaries[[#This Row],[clean Salary (in local currency)]],"")</f>
        <v/>
      </c>
      <c r="Z502" s="13" t="str">
        <f>IF(tblSalaries[[#This Row],[Job Type]]=tblSalaries[[#Headers],[Engineer]],tblSalaries[[#This Row],[Salary in USD]],"")</f>
        <v/>
      </c>
      <c r="AA502" s="13" t="str">
        <f>IF(tblSalaries[[#This Row],[Job Type]]=tblSalaries[[#Headers],[Manager]],tblSalaries[[#This Row],[Salary in USD]],"")</f>
        <v/>
      </c>
      <c r="AB502" s="13" t="str">
        <f>IF(tblSalaries[[#This Row],[Job Type]]=tblSalaries[[#Headers],[Misc.]],tblSalaries[[#This Row],[Salary in USD]],"")</f>
        <v/>
      </c>
      <c r="AC502" s="13" t="str">
        <f>IF(tblSalaries[[#This Row],[Job Type]]=tblSalaries[[#Headers],[Reporting]],tblSalaries[[#This Row],[Salary in USD]],"")</f>
        <v/>
      </c>
      <c r="AD502" s="13" t="str">
        <f>IF(tblSalaries[[#This Row],[Job Type]]=tblSalaries[[#Headers],[Specialist]],tblSalaries[[#This Row],[Salary in USD]],"")</f>
        <v/>
      </c>
    </row>
    <row r="503" spans="2:30" ht="15" customHeight="1" x14ac:dyDescent="0.25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 s="9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  <c r="N503" t="str">
        <f>IF(tblSalaries[[#This Row],[Years of Experience]]="","",IF(tblSalaries[[#This Row],[Years of Experience]]&lt;=2,1,""))</f>
        <v/>
      </c>
      <c r="O503" t="str">
        <f>IF(tblSalaries[[#This Row],[Years of Experience]]="","",IF(AND(tblSalaries[[#This Row],[Years of Experience]]&gt;2,tblSalaries[[#This Row],[Years of Experience]]&lt;=5),1,""))</f>
        <v/>
      </c>
      <c r="P503" t="str">
        <f>IF(tblSalaries[[#This Row],[Years of Experience]]="","",IF(AND(tblSalaries[[#This Row],[Years of Experience]]&gt;5,tblSalaries[[#This Row],[Years of Experience]]&lt;=10),1,""))</f>
        <v/>
      </c>
      <c r="Q503" t="str">
        <f>IF(tblSalaries[[#This Row],[Years of Experience]]="","",IF(AND(tblSalaries[[#This Row],[Years of Experience]]&gt;10,tblSalaries[[#This Row],[Years of Experience]]&lt;=15),1,""))</f>
        <v/>
      </c>
      <c r="R503" t="str">
        <f>IF(tblSalaries[[#This Row],[Years of Experience]]="","",IF(AND(tblSalaries[[#This Row],[Years of Experience]]&gt;16,tblSalaries[[#This Row],[Years of Experience]]&lt;=20),1,""))</f>
        <v/>
      </c>
      <c r="S503" t="str">
        <f>IF(tblSalaries[[#This Row],[Years of Experience]]="","",IF(tblSalaries[[#This Row],[Years of Experience]]&gt;20,1,""))</f>
        <v/>
      </c>
      <c r="T5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3" s="13" t="str">
        <f>IF(tblSalaries[[#This Row],[Job Type]]=tblSalaries[[#Headers],[Accountant]],tblSalaries[[#This Row],[Salary in USD]],"")</f>
        <v/>
      </c>
      <c r="V503" s="13" t="str">
        <f>IF(tblSalaries[[#This Row],[Job Type]]=tblSalaries[[#Headers],[Analyst]],tblSalaries[[#This Row],[Salary in USD]],"")</f>
        <v/>
      </c>
      <c r="W503" s="13" t="str">
        <f>IF(tblSalaries[[#This Row],[Job Type]]=tblSalaries[[#Headers],[Consultant]],tblSalaries[[#This Row],[Salary in USD]],"")</f>
        <v/>
      </c>
      <c r="X503" s="13" t="str">
        <f>IF(tblSalaries[[#This Row],[Job Type]]=tblSalaries[[#Headers],[Controller]],tblSalaries[[#This Row],[Salary in USD]],"")</f>
        <v/>
      </c>
      <c r="Y503" s="13" t="str">
        <f>IF(tblSalaries[[#This Row],[Job Type]]=tblSalaries[[#Headers],[CXO or Top Mgmt.]],tblSalaries[[#This Row],[clean Salary (in local currency)]],"")</f>
        <v/>
      </c>
      <c r="Z503" s="13" t="str">
        <f>IF(tblSalaries[[#This Row],[Job Type]]=tblSalaries[[#Headers],[Engineer]],tblSalaries[[#This Row],[Salary in USD]],"")</f>
        <v/>
      </c>
      <c r="AA503" s="13">
        <f>IF(tblSalaries[[#This Row],[Job Type]]=tblSalaries[[#Headers],[Manager]],tblSalaries[[#This Row],[Salary in USD]],"")</f>
        <v>10684.750012465542</v>
      </c>
      <c r="AB503" s="13" t="str">
        <f>IF(tblSalaries[[#This Row],[Job Type]]=tblSalaries[[#Headers],[Misc.]],tblSalaries[[#This Row],[Salary in USD]],"")</f>
        <v/>
      </c>
      <c r="AC503" s="13" t="str">
        <f>IF(tblSalaries[[#This Row],[Job Type]]=tblSalaries[[#Headers],[Reporting]],tblSalaries[[#This Row],[Salary in USD]],"")</f>
        <v/>
      </c>
      <c r="AD503" s="13" t="str">
        <f>IF(tblSalaries[[#This Row],[Job Type]]=tblSalaries[[#Headers],[Specialist]],tblSalaries[[#This Row],[Salary in USD]],"")</f>
        <v/>
      </c>
    </row>
    <row r="504" spans="2:30" ht="15" customHeight="1" x14ac:dyDescent="0.25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 s="9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  <c r="N504" t="str">
        <f>IF(tblSalaries[[#This Row],[Years of Experience]]="","",IF(tblSalaries[[#This Row],[Years of Experience]]&lt;=2,1,""))</f>
        <v/>
      </c>
      <c r="O504" t="str">
        <f>IF(tblSalaries[[#This Row],[Years of Experience]]="","",IF(AND(tblSalaries[[#This Row],[Years of Experience]]&gt;2,tblSalaries[[#This Row],[Years of Experience]]&lt;=5),1,""))</f>
        <v/>
      </c>
      <c r="P504" t="str">
        <f>IF(tblSalaries[[#This Row],[Years of Experience]]="","",IF(AND(tblSalaries[[#This Row],[Years of Experience]]&gt;5,tblSalaries[[#This Row],[Years of Experience]]&lt;=10),1,""))</f>
        <v/>
      </c>
      <c r="Q504" t="str">
        <f>IF(tblSalaries[[#This Row],[Years of Experience]]="","",IF(AND(tblSalaries[[#This Row],[Years of Experience]]&gt;10,tblSalaries[[#This Row],[Years of Experience]]&lt;=15),1,""))</f>
        <v/>
      </c>
      <c r="R504" t="str">
        <f>IF(tblSalaries[[#This Row],[Years of Experience]]="","",IF(AND(tblSalaries[[#This Row],[Years of Experience]]&gt;16,tblSalaries[[#This Row],[Years of Experience]]&lt;=20),1,""))</f>
        <v/>
      </c>
      <c r="S504" t="str">
        <f>IF(tblSalaries[[#This Row],[Years of Experience]]="","",IF(tblSalaries[[#This Row],[Years of Experience]]&gt;20,1,""))</f>
        <v/>
      </c>
      <c r="T5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4" s="13" t="str">
        <f>IF(tblSalaries[[#This Row],[Job Type]]=tblSalaries[[#Headers],[Accountant]],tblSalaries[[#This Row],[Salary in USD]],"")</f>
        <v/>
      </c>
      <c r="V504" s="13" t="str">
        <f>IF(tblSalaries[[#This Row],[Job Type]]=tblSalaries[[#Headers],[Analyst]],tblSalaries[[#This Row],[Salary in USD]],"")</f>
        <v/>
      </c>
      <c r="W504" s="13" t="str">
        <f>IF(tblSalaries[[#This Row],[Job Type]]=tblSalaries[[#Headers],[Consultant]],tblSalaries[[#This Row],[Salary in USD]],"")</f>
        <v/>
      </c>
      <c r="X504" s="13" t="str">
        <f>IF(tblSalaries[[#This Row],[Job Type]]=tblSalaries[[#Headers],[Controller]],tblSalaries[[#This Row],[Salary in USD]],"")</f>
        <v/>
      </c>
      <c r="Y504" s="13" t="str">
        <f>IF(tblSalaries[[#This Row],[Job Type]]=tblSalaries[[#Headers],[CXO or Top Mgmt.]],tblSalaries[[#This Row],[clean Salary (in local currency)]],"")</f>
        <v/>
      </c>
      <c r="Z504" s="13" t="str">
        <f>IF(tblSalaries[[#This Row],[Job Type]]=tblSalaries[[#Headers],[Engineer]],tblSalaries[[#This Row],[Salary in USD]],"")</f>
        <v/>
      </c>
      <c r="AA504" s="13">
        <f>IF(tblSalaries[[#This Row],[Job Type]]=tblSalaries[[#Headers],[Manager]],tblSalaries[[#This Row],[Salary in USD]],"")</f>
        <v>8400</v>
      </c>
      <c r="AB504" s="13" t="str">
        <f>IF(tblSalaries[[#This Row],[Job Type]]=tblSalaries[[#Headers],[Misc.]],tblSalaries[[#This Row],[Salary in USD]],"")</f>
        <v/>
      </c>
      <c r="AC504" s="13" t="str">
        <f>IF(tblSalaries[[#This Row],[Job Type]]=tblSalaries[[#Headers],[Reporting]],tblSalaries[[#This Row],[Salary in USD]],"")</f>
        <v/>
      </c>
      <c r="AD504" s="13" t="str">
        <f>IF(tblSalaries[[#This Row],[Job Type]]=tblSalaries[[#Headers],[Specialist]],tblSalaries[[#This Row],[Salary in USD]],"")</f>
        <v/>
      </c>
    </row>
    <row r="505" spans="2:30" ht="15" customHeight="1" x14ac:dyDescent="0.25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 s="9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  <c r="N505" t="str">
        <f>IF(tblSalaries[[#This Row],[Years of Experience]]="","",IF(tblSalaries[[#This Row],[Years of Experience]]&lt;=2,1,""))</f>
        <v/>
      </c>
      <c r="O505" t="str">
        <f>IF(tblSalaries[[#This Row],[Years of Experience]]="","",IF(AND(tblSalaries[[#This Row],[Years of Experience]]&gt;2,tblSalaries[[#This Row],[Years of Experience]]&lt;=5),1,""))</f>
        <v/>
      </c>
      <c r="P505" t="str">
        <f>IF(tblSalaries[[#This Row],[Years of Experience]]="","",IF(AND(tblSalaries[[#This Row],[Years of Experience]]&gt;5,tblSalaries[[#This Row],[Years of Experience]]&lt;=10),1,""))</f>
        <v/>
      </c>
      <c r="Q505" t="str">
        <f>IF(tblSalaries[[#This Row],[Years of Experience]]="","",IF(AND(tblSalaries[[#This Row],[Years of Experience]]&gt;10,tblSalaries[[#This Row],[Years of Experience]]&lt;=15),1,""))</f>
        <v/>
      </c>
      <c r="R505" t="str">
        <f>IF(tblSalaries[[#This Row],[Years of Experience]]="","",IF(AND(tblSalaries[[#This Row],[Years of Experience]]&gt;16,tblSalaries[[#This Row],[Years of Experience]]&lt;=20),1,""))</f>
        <v/>
      </c>
      <c r="S505" t="str">
        <f>IF(tblSalaries[[#This Row],[Years of Experience]]="","",IF(tblSalaries[[#This Row],[Years of Experience]]&gt;20,1,""))</f>
        <v/>
      </c>
      <c r="T5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5" s="13" t="str">
        <f>IF(tblSalaries[[#This Row],[Job Type]]=tblSalaries[[#Headers],[Accountant]],tblSalaries[[#This Row],[Salary in USD]],"")</f>
        <v/>
      </c>
      <c r="V505" s="13" t="str">
        <f>IF(tblSalaries[[#This Row],[Job Type]]=tblSalaries[[#Headers],[Analyst]],tblSalaries[[#This Row],[Salary in USD]],"")</f>
        <v/>
      </c>
      <c r="W505" s="13" t="str">
        <f>IF(tblSalaries[[#This Row],[Job Type]]=tblSalaries[[#Headers],[Consultant]],tblSalaries[[#This Row],[Salary in USD]],"")</f>
        <v/>
      </c>
      <c r="X505" s="13" t="str">
        <f>IF(tblSalaries[[#This Row],[Job Type]]=tblSalaries[[#Headers],[Controller]],tblSalaries[[#This Row],[Salary in USD]],"")</f>
        <v/>
      </c>
      <c r="Y505" s="13" t="str">
        <f>IF(tblSalaries[[#This Row],[Job Type]]=tblSalaries[[#Headers],[CXO or Top Mgmt.]],tblSalaries[[#This Row],[clean Salary (in local currency)]],"")</f>
        <v/>
      </c>
      <c r="Z505" s="13" t="str">
        <f>IF(tblSalaries[[#This Row],[Job Type]]=tblSalaries[[#Headers],[Engineer]],tblSalaries[[#This Row],[Salary in USD]],"")</f>
        <v/>
      </c>
      <c r="AA505" s="13">
        <f>IF(tblSalaries[[#This Row],[Job Type]]=tblSalaries[[#Headers],[Manager]],tblSalaries[[#This Row],[Salary in USD]],"")</f>
        <v>8903.9583437212841</v>
      </c>
      <c r="AB505" s="13" t="str">
        <f>IF(tblSalaries[[#This Row],[Job Type]]=tblSalaries[[#Headers],[Misc.]],tblSalaries[[#This Row],[Salary in USD]],"")</f>
        <v/>
      </c>
      <c r="AC505" s="13" t="str">
        <f>IF(tblSalaries[[#This Row],[Job Type]]=tblSalaries[[#Headers],[Reporting]],tblSalaries[[#This Row],[Salary in USD]],"")</f>
        <v/>
      </c>
      <c r="AD505" s="13" t="str">
        <f>IF(tblSalaries[[#This Row],[Job Type]]=tblSalaries[[#Headers],[Specialist]],tblSalaries[[#This Row],[Salary in USD]],"")</f>
        <v/>
      </c>
    </row>
    <row r="506" spans="2:30" ht="15" customHeight="1" x14ac:dyDescent="0.25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 s="9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  <c r="N506" t="str">
        <f>IF(tblSalaries[[#This Row],[Years of Experience]]="","",IF(tblSalaries[[#This Row],[Years of Experience]]&lt;=2,1,""))</f>
        <v/>
      </c>
      <c r="O506" t="str">
        <f>IF(tblSalaries[[#This Row],[Years of Experience]]="","",IF(AND(tblSalaries[[#This Row],[Years of Experience]]&gt;2,tblSalaries[[#This Row],[Years of Experience]]&lt;=5),1,""))</f>
        <v/>
      </c>
      <c r="P506" t="str">
        <f>IF(tblSalaries[[#This Row],[Years of Experience]]="","",IF(AND(tblSalaries[[#This Row],[Years of Experience]]&gt;5,tblSalaries[[#This Row],[Years of Experience]]&lt;=10),1,""))</f>
        <v/>
      </c>
      <c r="Q506" t="str">
        <f>IF(tblSalaries[[#This Row],[Years of Experience]]="","",IF(AND(tblSalaries[[#This Row],[Years of Experience]]&gt;10,tblSalaries[[#This Row],[Years of Experience]]&lt;=15),1,""))</f>
        <v/>
      </c>
      <c r="R506" t="str">
        <f>IF(tblSalaries[[#This Row],[Years of Experience]]="","",IF(AND(tblSalaries[[#This Row],[Years of Experience]]&gt;16,tblSalaries[[#This Row],[Years of Experience]]&lt;=20),1,""))</f>
        <v/>
      </c>
      <c r="S506" t="str">
        <f>IF(tblSalaries[[#This Row],[Years of Experience]]="","",IF(tblSalaries[[#This Row],[Years of Experience]]&gt;20,1,""))</f>
        <v/>
      </c>
      <c r="T5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6" s="13" t="str">
        <f>IF(tblSalaries[[#This Row],[Job Type]]=tblSalaries[[#Headers],[Accountant]],tblSalaries[[#This Row],[Salary in USD]],"")</f>
        <v/>
      </c>
      <c r="V506" s="13">
        <f>IF(tblSalaries[[#This Row],[Job Type]]=tblSalaries[[#Headers],[Analyst]],tblSalaries[[#This Row],[Salary in USD]],"")</f>
        <v>12000</v>
      </c>
      <c r="W506" s="13" t="str">
        <f>IF(tblSalaries[[#This Row],[Job Type]]=tblSalaries[[#Headers],[Consultant]],tblSalaries[[#This Row],[Salary in USD]],"")</f>
        <v/>
      </c>
      <c r="X506" s="13" t="str">
        <f>IF(tblSalaries[[#This Row],[Job Type]]=tblSalaries[[#Headers],[Controller]],tblSalaries[[#This Row],[Salary in USD]],"")</f>
        <v/>
      </c>
      <c r="Y506" s="13" t="str">
        <f>IF(tblSalaries[[#This Row],[Job Type]]=tblSalaries[[#Headers],[CXO or Top Mgmt.]],tblSalaries[[#This Row],[clean Salary (in local currency)]],"")</f>
        <v/>
      </c>
      <c r="Z506" s="13" t="str">
        <f>IF(tblSalaries[[#This Row],[Job Type]]=tblSalaries[[#Headers],[Engineer]],tblSalaries[[#This Row],[Salary in USD]],"")</f>
        <v/>
      </c>
      <c r="AA506" s="13" t="str">
        <f>IF(tblSalaries[[#This Row],[Job Type]]=tblSalaries[[#Headers],[Manager]],tblSalaries[[#This Row],[Salary in USD]],"")</f>
        <v/>
      </c>
      <c r="AB506" s="13" t="str">
        <f>IF(tblSalaries[[#This Row],[Job Type]]=tblSalaries[[#Headers],[Misc.]],tblSalaries[[#This Row],[Salary in USD]],"")</f>
        <v/>
      </c>
      <c r="AC506" s="13" t="str">
        <f>IF(tblSalaries[[#This Row],[Job Type]]=tblSalaries[[#Headers],[Reporting]],tblSalaries[[#This Row],[Salary in USD]],"")</f>
        <v/>
      </c>
      <c r="AD506" s="13" t="str">
        <f>IF(tblSalaries[[#This Row],[Job Type]]=tblSalaries[[#Headers],[Specialist]],tblSalaries[[#This Row],[Salary in USD]],"")</f>
        <v/>
      </c>
    </row>
    <row r="507" spans="2:30" ht="15" customHeight="1" x14ac:dyDescent="0.25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 s="9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  <c r="N507" t="str">
        <f>IF(tblSalaries[[#This Row],[Years of Experience]]="","",IF(tblSalaries[[#This Row],[Years of Experience]]&lt;=2,1,""))</f>
        <v/>
      </c>
      <c r="O507" t="str">
        <f>IF(tblSalaries[[#This Row],[Years of Experience]]="","",IF(AND(tblSalaries[[#This Row],[Years of Experience]]&gt;2,tblSalaries[[#This Row],[Years of Experience]]&lt;=5),1,""))</f>
        <v/>
      </c>
      <c r="P507" t="str">
        <f>IF(tblSalaries[[#This Row],[Years of Experience]]="","",IF(AND(tblSalaries[[#This Row],[Years of Experience]]&gt;5,tblSalaries[[#This Row],[Years of Experience]]&lt;=10),1,""))</f>
        <v/>
      </c>
      <c r="Q507" t="str">
        <f>IF(tblSalaries[[#This Row],[Years of Experience]]="","",IF(AND(tblSalaries[[#This Row],[Years of Experience]]&gt;10,tblSalaries[[#This Row],[Years of Experience]]&lt;=15),1,""))</f>
        <v/>
      </c>
      <c r="R507" t="str">
        <f>IF(tblSalaries[[#This Row],[Years of Experience]]="","",IF(AND(tblSalaries[[#This Row],[Years of Experience]]&gt;16,tblSalaries[[#This Row],[Years of Experience]]&lt;=20),1,""))</f>
        <v/>
      </c>
      <c r="S507" t="str">
        <f>IF(tblSalaries[[#This Row],[Years of Experience]]="","",IF(tblSalaries[[#This Row],[Years of Experience]]&gt;20,1,""))</f>
        <v/>
      </c>
      <c r="T5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7" s="13" t="str">
        <f>IF(tblSalaries[[#This Row],[Job Type]]=tblSalaries[[#Headers],[Accountant]],tblSalaries[[#This Row],[Salary in USD]],"")</f>
        <v/>
      </c>
      <c r="V507" s="13" t="str">
        <f>IF(tblSalaries[[#This Row],[Job Type]]=tblSalaries[[#Headers],[Analyst]],tblSalaries[[#This Row],[Salary in USD]],"")</f>
        <v/>
      </c>
      <c r="W507" s="13" t="str">
        <f>IF(tblSalaries[[#This Row],[Job Type]]=tblSalaries[[#Headers],[Consultant]],tblSalaries[[#This Row],[Salary in USD]],"")</f>
        <v/>
      </c>
      <c r="X507" s="13" t="str">
        <f>IF(tblSalaries[[#This Row],[Job Type]]=tblSalaries[[#Headers],[Controller]],tblSalaries[[#This Row],[Salary in USD]],"")</f>
        <v/>
      </c>
      <c r="Y507" s="13" t="str">
        <f>IF(tblSalaries[[#This Row],[Job Type]]=tblSalaries[[#Headers],[CXO or Top Mgmt.]],tblSalaries[[#This Row],[clean Salary (in local currency)]],"")</f>
        <v/>
      </c>
      <c r="Z507" s="13" t="str">
        <f>IF(tblSalaries[[#This Row],[Job Type]]=tblSalaries[[#Headers],[Engineer]],tblSalaries[[#This Row],[Salary in USD]],"")</f>
        <v/>
      </c>
      <c r="AA507" s="13">
        <f>IF(tblSalaries[[#This Row],[Job Type]]=tblSalaries[[#Headers],[Manager]],tblSalaries[[#This Row],[Salary in USD]],"")</f>
        <v>65000</v>
      </c>
      <c r="AB507" s="13" t="str">
        <f>IF(tblSalaries[[#This Row],[Job Type]]=tblSalaries[[#Headers],[Misc.]],tblSalaries[[#This Row],[Salary in USD]],"")</f>
        <v/>
      </c>
      <c r="AC507" s="13" t="str">
        <f>IF(tblSalaries[[#This Row],[Job Type]]=tblSalaries[[#Headers],[Reporting]],tblSalaries[[#This Row],[Salary in USD]],"")</f>
        <v/>
      </c>
      <c r="AD507" s="13" t="str">
        <f>IF(tblSalaries[[#This Row],[Job Type]]=tblSalaries[[#Headers],[Specialist]],tblSalaries[[#This Row],[Salary in USD]],"")</f>
        <v/>
      </c>
    </row>
    <row r="508" spans="2:30" ht="15" customHeight="1" x14ac:dyDescent="0.25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 s="9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  <c r="N508" t="str">
        <f>IF(tblSalaries[[#This Row],[Years of Experience]]="","",IF(tblSalaries[[#This Row],[Years of Experience]]&lt;=2,1,""))</f>
        <v/>
      </c>
      <c r="O508" t="str">
        <f>IF(tblSalaries[[#This Row],[Years of Experience]]="","",IF(AND(tblSalaries[[#This Row],[Years of Experience]]&gt;2,tblSalaries[[#This Row],[Years of Experience]]&lt;=5),1,""))</f>
        <v/>
      </c>
      <c r="P508" t="str">
        <f>IF(tblSalaries[[#This Row],[Years of Experience]]="","",IF(AND(tblSalaries[[#This Row],[Years of Experience]]&gt;5,tblSalaries[[#This Row],[Years of Experience]]&lt;=10),1,""))</f>
        <v/>
      </c>
      <c r="Q508" t="str">
        <f>IF(tblSalaries[[#This Row],[Years of Experience]]="","",IF(AND(tblSalaries[[#This Row],[Years of Experience]]&gt;10,tblSalaries[[#This Row],[Years of Experience]]&lt;=15),1,""))</f>
        <v/>
      </c>
      <c r="R508" t="str">
        <f>IF(tblSalaries[[#This Row],[Years of Experience]]="","",IF(AND(tblSalaries[[#This Row],[Years of Experience]]&gt;16,tblSalaries[[#This Row],[Years of Experience]]&lt;=20),1,""))</f>
        <v/>
      </c>
      <c r="S508" t="str">
        <f>IF(tblSalaries[[#This Row],[Years of Experience]]="","",IF(tblSalaries[[#This Row],[Years of Experience]]&gt;20,1,""))</f>
        <v/>
      </c>
      <c r="T5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8" s="13" t="str">
        <f>IF(tblSalaries[[#This Row],[Job Type]]=tblSalaries[[#Headers],[Accountant]],tblSalaries[[#This Row],[Salary in USD]],"")</f>
        <v/>
      </c>
      <c r="V508" s="13">
        <f>IF(tblSalaries[[#This Row],[Job Type]]=tblSalaries[[#Headers],[Analyst]],tblSalaries[[#This Row],[Salary in USD]],"")</f>
        <v>25849.323661903458</v>
      </c>
      <c r="W508" s="13" t="str">
        <f>IF(tblSalaries[[#This Row],[Job Type]]=tblSalaries[[#Headers],[Consultant]],tblSalaries[[#This Row],[Salary in USD]],"")</f>
        <v/>
      </c>
      <c r="X508" s="13" t="str">
        <f>IF(tblSalaries[[#This Row],[Job Type]]=tblSalaries[[#Headers],[Controller]],tblSalaries[[#This Row],[Salary in USD]],"")</f>
        <v/>
      </c>
      <c r="Y508" s="13" t="str">
        <f>IF(tblSalaries[[#This Row],[Job Type]]=tblSalaries[[#Headers],[CXO or Top Mgmt.]],tblSalaries[[#This Row],[clean Salary (in local currency)]],"")</f>
        <v/>
      </c>
      <c r="Z508" s="13" t="str">
        <f>IF(tblSalaries[[#This Row],[Job Type]]=tblSalaries[[#Headers],[Engineer]],tblSalaries[[#This Row],[Salary in USD]],"")</f>
        <v/>
      </c>
      <c r="AA508" s="13" t="str">
        <f>IF(tblSalaries[[#This Row],[Job Type]]=tblSalaries[[#Headers],[Manager]],tblSalaries[[#This Row],[Salary in USD]],"")</f>
        <v/>
      </c>
      <c r="AB508" s="13" t="str">
        <f>IF(tblSalaries[[#This Row],[Job Type]]=tblSalaries[[#Headers],[Misc.]],tblSalaries[[#This Row],[Salary in USD]],"")</f>
        <v/>
      </c>
      <c r="AC508" s="13" t="str">
        <f>IF(tblSalaries[[#This Row],[Job Type]]=tblSalaries[[#Headers],[Reporting]],tblSalaries[[#This Row],[Salary in USD]],"")</f>
        <v/>
      </c>
      <c r="AD508" s="13" t="str">
        <f>IF(tblSalaries[[#This Row],[Job Type]]=tblSalaries[[#Headers],[Specialist]],tblSalaries[[#This Row],[Salary in USD]],"")</f>
        <v/>
      </c>
    </row>
    <row r="509" spans="2:30" ht="15" customHeight="1" x14ac:dyDescent="0.25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 s="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  <c r="N509" t="str">
        <f>IF(tblSalaries[[#This Row],[Years of Experience]]="","",IF(tblSalaries[[#This Row],[Years of Experience]]&lt;=2,1,""))</f>
        <v/>
      </c>
      <c r="O509" t="str">
        <f>IF(tblSalaries[[#This Row],[Years of Experience]]="","",IF(AND(tblSalaries[[#This Row],[Years of Experience]]&gt;2,tblSalaries[[#This Row],[Years of Experience]]&lt;=5),1,""))</f>
        <v/>
      </c>
      <c r="P509" t="str">
        <f>IF(tblSalaries[[#This Row],[Years of Experience]]="","",IF(AND(tblSalaries[[#This Row],[Years of Experience]]&gt;5,tblSalaries[[#This Row],[Years of Experience]]&lt;=10),1,""))</f>
        <v/>
      </c>
      <c r="Q509" t="str">
        <f>IF(tblSalaries[[#This Row],[Years of Experience]]="","",IF(AND(tblSalaries[[#This Row],[Years of Experience]]&gt;10,tblSalaries[[#This Row],[Years of Experience]]&lt;=15),1,""))</f>
        <v/>
      </c>
      <c r="R509" t="str">
        <f>IF(tblSalaries[[#This Row],[Years of Experience]]="","",IF(AND(tblSalaries[[#This Row],[Years of Experience]]&gt;16,tblSalaries[[#This Row],[Years of Experience]]&lt;=20),1,""))</f>
        <v/>
      </c>
      <c r="S509" t="str">
        <f>IF(tblSalaries[[#This Row],[Years of Experience]]="","",IF(tblSalaries[[#This Row],[Years of Experience]]&gt;20,1,""))</f>
        <v/>
      </c>
      <c r="T5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09" s="13" t="str">
        <f>IF(tblSalaries[[#This Row],[Job Type]]=tblSalaries[[#Headers],[Accountant]],tblSalaries[[#This Row],[Salary in USD]],"")</f>
        <v/>
      </c>
      <c r="V509" s="13">
        <f>IF(tblSalaries[[#This Row],[Job Type]]=tblSalaries[[#Headers],[Analyst]],tblSalaries[[#This Row],[Salary in USD]],"")</f>
        <v>122941.90522124816</v>
      </c>
      <c r="W509" s="13" t="str">
        <f>IF(tblSalaries[[#This Row],[Job Type]]=tblSalaries[[#Headers],[Consultant]],tblSalaries[[#This Row],[Salary in USD]],"")</f>
        <v/>
      </c>
      <c r="X509" s="13" t="str">
        <f>IF(tblSalaries[[#This Row],[Job Type]]=tblSalaries[[#Headers],[Controller]],tblSalaries[[#This Row],[Salary in USD]],"")</f>
        <v/>
      </c>
      <c r="Y509" s="13" t="str">
        <f>IF(tblSalaries[[#This Row],[Job Type]]=tblSalaries[[#Headers],[CXO or Top Mgmt.]],tblSalaries[[#This Row],[clean Salary (in local currency)]],"")</f>
        <v/>
      </c>
      <c r="Z509" s="13" t="str">
        <f>IF(tblSalaries[[#This Row],[Job Type]]=tblSalaries[[#Headers],[Engineer]],tblSalaries[[#This Row],[Salary in USD]],"")</f>
        <v/>
      </c>
      <c r="AA509" s="13" t="str">
        <f>IF(tblSalaries[[#This Row],[Job Type]]=tblSalaries[[#Headers],[Manager]],tblSalaries[[#This Row],[Salary in USD]],"")</f>
        <v/>
      </c>
      <c r="AB509" s="13" t="str">
        <f>IF(tblSalaries[[#This Row],[Job Type]]=tblSalaries[[#Headers],[Misc.]],tblSalaries[[#This Row],[Salary in USD]],"")</f>
        <v/>
      </c>
      <c r="AC509" s="13" t="str">
        <f>IF(tblSalaries[[#This Row],[Job Type]]=tblSalaries[[#Headers],[Reporting]],tblSalaries[[#This Row],[Salary in USD]],"")</f>
        <v/>
      </c>
      <c r="AD509" s="13" t="str">
        <f>IF(tblSalaries[[#This Row],[Job Type]]=tblSalaries[[#Headers],[Specialist]],tblSalaries[[#This Row],[Salary in USD]],"")</f>
        <v/>
      </c>
    </row>
    <row r="510" spans="2:30" ht="15" customHeight="1" x14ac:dyDescent="0.25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 s="9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  <c r="N510" t="str">
        <f>IF(tblSalaries[[#This Row],[Years of Experience]]="","",IF(tblSalaries[[#This Row],[Years of Experience]]&lt;=2,1,""))</f>
        <v/>
      </c>
      <c r="O510" t="str">
        <f>IF(tblSalaries[[#This Row],[Years of Experience]]="","",IF(AND(tblSalaries[[#This Row],[Years of Experience]]&gt;2,tblSalaries[[#This Row],[Years of Experience]]&lt;=5),1,""))</f>
        <v/>
      </c>
      <c r="P510" t="str">
        <f>IF(tblSalaries[[#This Row],[Years of Experience]]="","",IF(AND(tblSalaries[[#This Row],[Years of Experience]]&gt;5,tblSalaries[[#This Row],[Years of Experience]]&lt;=10),1,""))</f>
        <v/>
      </c>
      <c r="Q510" t="str">
        <f>IF(tblSalaries[[#This Row],[Years of Experience]]="","",IF(AND(tblSalaries[[#This Row],[Years of Experience]]&gt;10,tblSalaries[[#This Row],[Years of Experience]]&lt;=15),1,""))</f>
        <v/>
      </c>
      <c r="R510" t="str">
        <f>IF(tblSalaries[[#This Row],[Years of Experience]]="","",IF(AND(tblSalaries[[#This Row],[Years of Experience]]&gt;16,tblSalaries[[#This Row],[Years of Experience]]&lt;=20),1,""))</f>
        <v/>
      </c>
      <c r="S510" t="str">
        <f>IF(tblSalaries[[#This Row],[Years of Experience]]="","",IF(tblSalaries[[#This Row],[Years of Experience]]&gt;20,1,""))</f>
        <v/>
      </c>
      <c r="T5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0" s="13" t="str">
        <f>IF(tblSalaries[[#This Row],[Job Type]]=tblSalaries[[#Headers],[Accountant]],tblSalaries[[#This Row],[Salary in USD]],"")</f>
        <v/>
      </c>
      <c r="V510" s="13" t="str">
        <f>IF(tblSalaries[[#This Row],[Job Type]]=tblSalaries[[#Headers],[Analyst]],tblSalaries[[#This Row],[Salary in USD]],"")</f>
        <v/>
      </c>
      <c r="W510" s="13" t="str">
        <f>IF(tblSalaries[[#This Row],[Job Type]]=tblSalaries[[#Headers],[Consultant]],tblSalaries[[#This Row],[Salary in USD]],"")</f>
        <v/>
      </c>
      <c r="X510" s="13" t="str">
        <f>IF(tblSalaries[[#This Row],[Job Type]]=tblSalaries[[#Headers],[Controller]],tblSalaries[[#This Row],[Salary in USD]],"")</f>
        <v/>
      </c>
      <c r="Y510" s="13" t="str">
        <f>IF(tblSalaries[[#This Row],[Job Type]]=tblSalaries[[#Headers],[CXO or Top Mgmt.]],tblSalaries[[#This Row],[clean Salary (in local currency)]],"")</f>
        <v/>
      </c>
      <c r="Z510" s="13" t="str">
        <f>IF(tblSalaries[[#This Row],[Job Type]]=tblSalaries[[#Headers],[Engineer]],tblSalaries[[#This Row],[Salary in USD]],"")</f>
        <v/>
      </c>
      <c r="AA510" s="13">
        <f>IF(tblSalaries[[#This Row],[Job Type]]=tblSalaries[[#Headers],[Manager]],tblSalaries[[#This Row],[Salary in USD]],"")</f>
        <v>76000</v>
      </c>
      <c r="AB510" s="13" t="str">
        <f>IF(tblSalaries[[#This Row],[Job Type]]=tblSalaries[[#Headers],[Misc.]],tblSalaries[[#This Row],[Salary in USD]],"")</f>
        <v/>
      </c>
      <c r="AC510" s="13" t="str">
        <f>IF(tblSalaries[[#This Row],[Job Type]]=tblSalaries[[#Headers],[Reporting]],tblSalaries[[#This Row],[Salary in USD]],"")</f>
        <v/>
      </c>
      <c r="AD510" s="13" t="str">
        <f>IF(tblSalaries[[#This Row],[Job Type]]=tblSalaries[[#Headers],[Specialist]],tblSalaries[[#This Row],[Salary in USD]],"")</f>
        <v/>
      </c>
    </row>
    <row r="511" spans="2:30" ht="15" customHeight="1" x14ac:dyDescent="0.25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 s="9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  <c r="N511" t="str">
        <f>IF(tblSalaries[[#This Row],[Years of Experience]]="","",IF(tblSalaries[[#This Row],[Years of Experience]]&lt;=2,1,""))</f>
        <v/>
      </c>
      <c r="O511" t="str">
        <f>IF(tblSalaries[[#This Row],[Years of Experience]]="","",IF(AND(tblSalaries[[#This Row],[Years of Experience]]&gt;2,tblSalaries[[#This Row],[Years of Experience]]&lt;=5),1,""))</f>
        <v/>
      </c>
      <c r="P511" t="str">
        <f>IF(tblSalaries[[#This Row],[Years of Experience]]="","",IF(AND(tblSalaries[[#This Row],[Years of Experience]]&gt;5,tblSalaries[[#This Row],[Years of Experience]]&lt;=10),1,""))</f>
        <v/>
      </c>
      <c r="Q511" t="str">
        <f>IF(tblSalaries[[#This Row],[Years of Experience]]="","",IF(AND(tblSalaries[[#This Row],[Years of Experience]]&gt;10,tblSalaries[[#This Row],[Years of Experience]]&lt;=15),1,""))</f>
        <v/>
      </c>
      <c r="R511" t="str">
        <f>IF(tblSalaries[[#This Row],[Years of Experience]]="","",IF(AND(tblSalaries[[#This Row],[Years of Experience]]&gt;16,tblSalaries[[#This Row],[Years of Experience]]&lt;=20),1,""))</f>
        <v/>
      </c>
      <c r="S511" t="str">
        <f>IF(tblSalaries[[#This Row],[Years of Experience]]="","",IF(tblSalaries[[#This Row],[Years of Experience]]&gt;20,1,""))</f>
        <v/>
      </c>
      <c r="T5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1" s="13" t="str">
        <f>IF(tblSalaries[[#This Row],[Job Type]]=tblSalaries[[#Headers],[Accountant]],tblSalaries[[#This Row],[Salary in USD]],"")</f>
        <v/>
      </c>
      <c r="V511" s="13" t="str">
        <f>IF(tblSalaries[[#This Row],[Job Type]]=tblSalaries[[#Headers],[Analyst]],tblSalaries[[#This Row],[Salary in USD]],"")</f>
        <v/>
      </c>
      <c r="W511" s="13">
        <f>IF(tblSalaries[[#This Row],[Job Type]]=tblSalaries[[#Headers],[Consultant]],tblSalaries[[#This Row],[Salary in USD]],"")</f>
        <v>150000</v>
      </c>
      <c r="X511" s="13" t="str">
        <f>IF(tblSalaries[[#This Row],[Job Type]]=tblSalaries[[#Headers],[Controller]],tblSalaries[[#This Row],[Salary in USD]],"")</f>
        <v/>
      </c>
      <c r="Y511" s="13" t="str">
        <f>IF(tblSalaries[[#This Row],[Job Type]]=tblSalaries[[#Headers],[CXO or Top Mgmt.]],tblSalaries[[#This Row],[clean Salary (in local currency)]],"")</f>
        <v/>
      </c>
      <c r="Z511" s="13" t="str">
        <f>IF(tblSalaries[[#This Row],[Job Type]]=tblSalaries[[#Headers],[Engineer]],tblSalaries[[#This Row],[Salary in USD]],"")</f>
        <v/>
      </c>
      <c r="AA511" s="13" t="str">
        <f>IF(tblSalaries[[#This Row],[Job Type]]=tblSalaries[[#Headers],[Manager]],tblSalaries[[#This Row],[Salary in USD]],"")</f>
        <v/>
      </c>
      <c r="AB511" s="13" t="str">
        <f>IF(tblSalaries[[#This Row],[Job Type]]=tblSalaries[[#Headers],[Misc.]],tblSalaries[[#This Row],[Salary in USD]],"")</f>
        <v/>
      </c>
      <c r="AC511" s="13" t="str">
        <f>IF(tblSalaries[[#This Row],[Job Type]]=tblSalaries[[#Headers],[Reporting]],tblSalaries[[#This Row],[Salary in USD]],"")</f>
        <v/>
      </c>
      <c r="AD511" s="13" t="str">
        <f>IF(tblSalaries[[#This Row],[Job Type]]=tblSalaries[[#Headers],[Specialist]],tblSalaries[[#This Row],[Salary in USD]],"")</f>
        <v/>
      </c>
    </row>
    <row r="512" spans="2:30" ht="15" customHeight="1" x14ac:dyDescent="0.25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 s="9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  <c r="N512" t="str">
        <f>IF(tblSalaries[[#This Row],[Years of Experience]]="","",IF(tblSalaries[[#This Row],[Years of Experience]]&lt;=2,1,""))</f>
        <v/>
      </c>
      <c r="O512" t="str">
        <f>IF(tblSalaries[[#This Row],[Years of Experience]]="","",IF(AND(tblSalaries[[#This Row],[Years of Experience]]&gt;2,tblSalaries[[#This Row],[Years of Experience]]&lt;=5),1,""))</f>
        <v/>
      </c>
      <c r="P512" t="str">
        <f>IF(tblSalaries[[#This Row],[Years of Experience]]="","",IF(AND(tblSalaries[[#This Row],[Years of Experience]]&gt;5,tblSalaries[[#This Row],[Years of Experience]]&lt;=10),1,""))</f>
        <v/>
      </c>
      <c r="Q512" t="str">
        <f>IF(tblSalaries[[#This Row],[Years of Experience]]="","",IF(AND(tblSalaries[[#This Row],[Years of Experience]]&gt;10,tblSalaries[[#This Row],[Years of Experience]]&lt;=15),1,""))</f>
        <v/>
      </c>
      <c r="R512" t="str">
        <f>IF(tblSalaries[[#This Row],[Years of Experience]]="","",IF(AND(tblSalaries[[#This Row],[Years of Experience]]&gt;16,tblSalaries[[#This Row],[Years of Experience]]&lt;=20),1,""))</f>
        <v/>
      </c>
      <c r="S512" t="str">
        <f>IF(tblSalaries[[#This Row],[Years of Experience]]="","",IF(tblSalaries[[#This Row],[Years of Experience]]&gt;20,1,""))</f>
        <v/>
      </c>
      <c r="T5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2" s="13" t="str">
        <f>IF(tblSalaries[[#This Row],[Job Type]]=tblSalaries[[#Headers],[Accountant]],tblSalaries[[#This Row],[Salary in USD]],"")</f>
        <v/>
      </c>
      <c r="V512" s="13">
        <f>IF(tblSalaries[[#This Row],[Job Type]]=tblSalaries[[#Headers],[Analyst]],tblSalaries[[#This Row],[Salary in USD]],"")</f>
        <v>54000</v>
      </c>
      <c r="W512" s="13" t="str">
        <f>IF(tblSalaries[[#This Row],[Job Type]]=tblSalaries[[#Headers],[Consultant]],tblSalaries[[#This Row],[Salary in USD]],"")</f>
        <v/>
      </c>
      <c r="X512" s="13" t="str">
        <f>IF(tblSalaries[[#This Row],[Job Type]]=tblSalaries[[#Headers],[Controller]],tblSalaries[[#This Row],[Salary in USD]],"")</f>
        <v/>
      </c>
      <c r="Y512" s="13" t="str">
        <f>IF(tblSalaries[[#This Row],[Job Type]]=tblSalaries[[#Headers],[CXO or Top Mgmt.]],tblSalaries[[#This Row],[clean Salary (in local currency)]],"")</f>
        <v/>
      </c>
      <c r="Z512" s="13" t="str">
        <f>IF(tblSalaries[[#This Row],[Job Type]]=tblSalaries[[#Headers],[Engineer]],tblSalaries[[#This Row],[Salary in USD]],"")</f>
        <v/>
      </c>
      <c r="AA512" s="13" t="str">
        <f>IF(tblSalaries[[#This Row],[Job Type]]=tblSalaries[[#Headers],[Manager]],tblSalaries[[#This Row],[Salary in USD]],"")</f>
        <v/>
      </c>
      <c r="AB512" s="13" t="str">
        <f>IF(tblSalaries[[#This Row],[Job Type]]=tblSalaries[[#Headers],[Misc.]],tblSalaries[[#This Row],[Salary in USD]],"")</f>
        <v/>
      </c>
      <c r="AC512" s="13" t="str">
        <f>IF(tblSalaries[[#This Row],[Job Type]]=tblSalaries[[#Headers],[Reporting]],tblSalaries[[#This Row],[Salary in USD]],"")</f>
        <v/>
      </c>
      <c r="AD512" s="13" t="str">
        <f>IF(tblSalaries[[#This Row],[Job Type]]=tblSalaries[[#Headers],[Specialist]],tblSalaries[[#This Row],[Salary in USD]],"")</f>
        <v/>
      </c>
    </row>
    <row r="513" spans="2:30" ht="15" customHeight="1" x14ac:dyDescent="0.25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 s="9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  <c r="N513" t="str">
        <f>IF(tblSalaries[[#This Row],[Years of Experience]]="","",IF(tblSalaries[[#This Row],[Years of Experience]]&lt;=2,1,""))</f>
        <v/>
      </c>
      <c r="O513" t="str">
        <f>IF(tblSalaries[[#This Row],[Years of Experience]]="","",IF(AND(tblSalaries[[#This Row],[Years of Experience]]&gt;2,tblSalaries[[#This Row],[Years of Experience]]&lt;=5),1,""))</f>
        <v/>
      </c>
      <c r="P513" t="str">
        <f>IF(tblSalaries[[#This Row],[Years of Experience]]="","",IF(AND(tblSalaries[[#This Row],[Years of Experience]]&gt;5,tblSalaries[[#This Row],[Years of Experience]]&lt;=10),1,""))</f>
        <v/>
      </c>
      <c r="Q513" t="str">
        <f>IF(tblSalaries[[#This Row],[Years of Experience]]="","",IF(AND(tblSalaries[[#This Row],[Years of Experience]]&gt;10,tblSalaries[[#This Row],[Years of Experience]]&lt;=15),1,""))</f>
        <v/>
      </c>
      <c r="R513" t="str">
        <f>IF(tblSalaries[[#This Row],[Years of Experience]]="","",IF(AND(tblSalaries[[#This Row],[Years of Experience]]&gt;16,tblSalaries[[#This Row],[Years of Experience]]&lt;=20),1,""))</f>
        <v/>
      </c>
      <c r="S513" t="str">
        <f>IF(tblSalaries[[#This Row],[Years of Experience]]="","",IF(tblSalaries[[#This Row],[Years of Experience]]&gt;20,1,""))</f>
        <v/>
      </c>
      <c r="T5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3" s="13" t="str">
        <f>IF(tblSalaries[[#This Row],[Job Type]]=tblSalaries[[#Headers],[Accountant]],tblSalaries[[#This Row],[Salary in USD]],"")</f>
        <v/>
      </c>
      <c r="V513" s="13" t="str">
        <f>IF(tblSalaries[[#This Row],[Job Type]]=tblSalaries[[#Headers],[Analyst]],tblSalaries[[#This Row],[Salary in USD]],"")</f>
        <v/>
      </c>
      <c r="W513" s="13" t="str">
        <f>IF(tblSalaries[[#This Row],[Job Type]]=tblSalaries[[#Headers],[Consultant]],tblSalaries[[#This Row],[Salary in USD]],"")</f>
        <v/>
      </c>
      <c r="X513" s="13" t="str">
        <f>IF(tblSalaries[[#This Row],[Job Type]]=tblSalaries[[#Headers],[Controller]],tblSalaries[[#This Row],[Salary in USD]],"")</f>
        <v/>
      </c>
      <c r="Y513" s="13" t="str">
        <f>IF(tblSalaries[[#This Row],[Job Type]]=tblSalaries[[#Headers],[CXO or Top Mgmt.]],tblSalaries[[#This Row],[clean Salary (in local currency)]],"")</f>
        <v/>
      </c>
      <c r="Z513" s="13" t="str">
        <f>IF(tblSalaries[[#This Row],[Job Type]]=tblSalaries[[#Headers],[Engineer]],tblSalaries[[#This Row],[Salary in USD]],"")</f>
        <v/>
      </c>
      <c r="AA513" s="13">
        <f>IF(tblSalaries[[#This Row],[Job Type]]=tblSalaries[[#Headers],[Manager]],tblSalaries[[#This Row],[Salary in USD]],"")</f>
        <v>57000</v>
      </c>
      <c r="AB513" s="13" t="str">
        <f>IF(tblSalaries[[#This Row],[Job Type]]=tblSalaries[[#Headers],[Misc.]],tblSalaries[[#This Row],[Salary in USD]],"")</f>
        <v/>
      </c>
      <c r="AC513" s="13" t="str">
        <f>IF(tblSalaries[[#This Row],[Job Type]]=tblSalaries[[#Headers],[Reporting]],tblSalaries[[#This Row],[Salary in USD]],"")</f>
        <v/>
      </c>
      <c r="AD513" s="13" t="str">
        <f>IF(tblSalaries[[#This Row],[Job Type]]=tblSalaries[[#Headers],[Specialist]],tblSalaries[[#This Row],[Salary in USD]],"")</f>
        <v/>
      </c>
    </row>
    <row r="514" spans="2:30" ht="15" customHeight="1" x14ac:dyDescent="0.25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 s="9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  <c r="N514" t="str">
        <f>IF(tblSalaries[[#This Row],[Years of Experience]]="","",IF(tblSalaries[[#This Row],[Years of Experience]]&lt;=2,1,""))</f>
        <v/>
      </c>
      <c r="O514" t="str">
        <f>IF(tblSalaries[[#This Row],[Years of Experience]]="","",IF(AND(tblSalaries[[#This Row],[Years of Experience]]&gt;2,tblSalaries[[#This Row],[Years of Experience]]&lt;=5),1,""))</f>
        <v/>
      </c>
      <c r="P514" t="str">
        <f>IF(tblSalaries[[#This Row],[Years of Experience]]="","",IF(AND(tblSalaries[[#This Row],[Years of Experience]]&gt;5,tblSalaries[[#This Row],[Years of Experience]]&lt;=10),1,""))</f>
        <v/>
      </c>
      <c r="Q514" t="str">
        <f>IF(tblSalaries[[#This Row],[Years of Experience]]="","",IF(AND(tblSalaries[[#This Row],[Years of Experience]]&gt;10,tblSalaries[[#This Row],[Years of Experience]]&lt;=15),1,""))</f>
        <v/>
      </c>
      <c r="R514" t="str">
        <f>IF(tblSalaries[[#This Row],[Years of Experience]]="","",IF(AND(tblSalaries[[#This Row],[Years of Experience]]&gt;16,tblSalaries[[#This Row],[Years of Experience]]&lt;=20),1,""))</f>
        <v/>
      </c>
      <c r="S514" t="str">
        <f>IF(tblSalaries[[#This Row],[Years of Experience]]="","",IF(tblSalaries[[#This Row],[Years of Experience]]&gt;20,1,""))</f>
        <v/>
      </c>
      <c r="T5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4" s="13">
        <f>IF(tblSalaries[[#This Row],[Job Type]]=tblSalaries[[#Headers],[Accountant]],tblSalaries[[#This Row],[Salary in USD]],"")</f>
        <v>61000</v>
      </c>
      <c r="V514" s="13" t="str">
        <f>IF(tblSalaries[[#This Row],[Job Type]]=tblSalaries[[#Headers],[Analyst]],tblSalaries[[#This Row],[Salary in USD]],"")</f>
        <v/>
      </c>
      <c r="W514" s="13" t="str">
        <f>IF(tblSalaries[[#This Row],[Job Type]]=tblSalaries[[#Headers],[Consultant]],tblSalaries[[#This Row],[Salary in USD]],"")</f>
        <v/>
      </c>
      <c r="X514" s="13" t="str">
        <f>IF(tblSalaries[[#This Row],[Job Type]]=tblSalaries[[#Headers],[Controller]],tblSalaries[[#This Row],[Salary in USD]],"")</f>
        <v/>
      </c>
      <c r="Y514" s="13" t="str">
        <f>IF(tblSalaries[[#This Row],[Job Type]]=tblSalaries[[#Headers],[CXO or Top Mgmt.]],tblSalaries[[#This Row],[clean Salary (in local currency)]],"")</f>
        <v/>
      </c>
      <c r="Z514" s="13" t="str">
        <f>IF(tblSalaries[[#This Row],[Job Type]]=tblSalaries[[#Headers],[Engineer]],tblSalaries[[#This Row],[Salary in USD]],"")</f>
        <v/>
      </c>
      <c r="AA514" s="13" t="str">
        <f>IF(tblSalaries[[#This Row],[Job Type]]=tblSalaries[[#Headers],[Manager]],tblSalaries[[#This Row],[Salary in USD]],"")</f>
        <v/>
      </c>
      <c r="AB514" s="13" t="str">
        <f>IF(tblSalaries[[#This Row],[Job Type]]=tblSalaries[[#Headers],[Misc.]],tblSalaries[[#This Row],[Salary in USD]],"")</f>
        <v/>
      </c>
      <c r="AC514" s="13" t="str">
        <f>IF(tblSalaries[[#This Row],[Job Type]]=tblSalaries[[#Headers],[Reporting]],tblSalaries[[#This Row],[Salary in USD]],"")</f>
        <v/>
      </c>
      <c r="AD514" s="13" t="str">
        <f>IF(tblSalaries[[#This Row],[Job Type]]=tblSalaries[[#Headers],[Specialist]],tblSalaries[[#This Row],[Salary in USD]],"")</f>
        <v/>
      </c>
    </row>
    <row r="515" spans="2:30" ht="15" customHeight="1" x14ac:dyDescent="0.25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 s="9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  <c r="N515" t="str">
        <f>IF(tblSalaries[[#This Row],[Years of Experience]]="","",IF(tblSalaries[[#This Row],[Years of Experience]]&lt;=2,1,""))</f>
        <v/>
      </c>
      <c r="O515" t="str">
        <f>IF(tblSalaries[[#This Row],[Years of Experience]]="","",IF(AND(tblSalaries[[#This Row],[Years of Experience]]&gt;2,tblSalaries[[#This Row],[Years of Experience]]&lt;=5),1,""))</f>
        <v/>
      </c>
      <c r="P515" t="str">
        <f>IF(tblSalaries[[#This Row],[Years of Experience]]="","",IF(AND(tblSalaries[[#This Row],[Years of Experience]]&gt;5,tblSalaries[[#This Row],[Years of Experience]]&lt;=10),1,""))</f>
        <v/>
      </c>
      <c r="Q515" t="str">
        <f>IF(tblSalaries[[#This Row],[Years of Experience]]="","",IF(AND(tblSalaries[[#This Row],[Years of Experience]]&gt;10,tblSalaries[[#This Row],[Years of Experience]]&lt;=15),1,""))</f>
        <v/>
      </c>
      <c r="R515" t="str">
        <f>IF(tblSalaries[[#This Row],[Years of Experience]]="","",IF(AND(tblSalaries[[#This Row],[Years of Experience]]&gt;16,tblSalaries[[#This Row],[Years of Experience]]&lt;=20),1,""))</f>
        <v/>
      </c>
      <c r="S515" t="str">
        <f>IF(tblSalaries[[#This Row],[Years of Experience]]="","",IF(tblSalaries[[#This Row],[Years of Experience]]&gt;20,1,""))</f>
        <v/>
      </c>
      <c r="T5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5" s="13" t="str">
        <f>IF(tblSalaries[[#This Row],[Job Type]]=tblSalaries[[#Headers],[Accountant]],tblSalaries[[#This Row],[Salary in USD]],"")</f>
        <v/>
      </c>
      <c r="V515" s="13">
        <f>IF(tblSalaries[[#This Row],[Job Type]]=tblSalaries[[#Headers],[Analyst]],tblSalaries[[#This Row],[Salary in USD]],"")</f>
        <v>70000</v>
      </c>
      <c r="W515" s="13" t="str">
        <f>IF(tblSalaries[[#This Row],[Job Type]]=tblSalaries[[#Headers],[Consultant]],tblSalaries[[#This Row],[Salary in USD]],"")</f>
        <v/>
      </c>
      <c r="X515" s="13" t="str">
        <f>IF(tblSalaries[[#This Row],[Job Type]]=tblSalaries[[#Headers],[Controller]],tblSalaries[[#This Row],[Salary in USD]],"")</f>
        <v/>
      </c>
      <c r="Y515" s="13" t="str">
        <f>IF(tblSalaries[[#This Row],[Job Type]]=tblSalaries[[#Headers],[CXO or Top Mgmt.]],tblSalaries[[#This Row],[clean Salary (in local currency)]],"")</f>
        <v/>
      </c>
      <c r="Z515" s="13" t="str">
        <f>IF(tblSalaries[[#This Row],[Job Type]]=tblSalaries[[#Headers],[Engineer]],tblSalaries[[#This Row],[Salary in USD]],"")</f>
        <v/>
      </c>
      <c r="AA515" s="13" t="str">
        <f>IF(tblSalaries[[#This Row],[Job Type]]=tblSalaries[[#Headers],[Manager]],tblSalaries[[#This Row],[Salary in USD]],"")</f>
        <v/>
      </c>
      <c r="AB515" s="13" t="str">
        <f>IF(tblSalaries[[#This Row],[Job Type]]=tblSalaries[[#Headers],[Misc.]],tblSalaries[[#This Row],[Salary in USD]],"")</f>
        <v/>
      </c>
      <c r="AC515" s="13" t="str">
        <f>IF(tblSalaries[[#This Row],[Job Type]]=tblSalaries[[#Headers],[Reporting]],tblSalaries[[#This Row],[Salary in USD]],"")</f>
        <v/>
      </c>
      <c r="AD515" s="13" t="str">
        <f>IF(tblSalaries[[#This Row],[Job Type]]=tblSalaries[[#Headers],[Specialist]],tblSalaries[[#This Row],[Salary in USD]],"")</f>
        <v/>
      </c>
    </row>
    <row r="516" spans="2:30" ht="15" customHeight="1" x14ac:dyDescent="0.25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 s="9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  <c r="N516" t="str">
        <f>IF(tblSalaries[[#This Row],[Years of Experience]]="","",IF(tblSalaries[[#This Row],[Years of Experience]]&lt;=2,1,""))</f>
        <v/>
      </c>
      <c r="O516" t="str">
        <f>IF(tblSalaries[[#This Row],[Years of Experience]]="","",IF(AND(tblSalaries[[#This Row],[Years of Experience]]&gt;2,tblSalaries[[#This Row],[Years of Experience]]&lt;=5),1,""))</f>
        <v/>
      </c>
      <c r="P516" t="str">
        <f>IF(tblSalaries[[#This Row],[Years of Experience]]="","",IF(AND(tblSalaries[[#This Row],[Years of Experience]]&gt;5,tblSalaries[[#This Row],[Years of Experience]]&lt;=10),1,""))</f>
        <v/>
      </c>
      <c r="Q516" t="str">
        <f>IF(tblSalaries[[#This Row],[Years of Experience]]="","",IF(AND(tblSalaries[[#This Row],[Years of Experience]]&gt;10,tblSalaries[[#This Row],[Years of Experience]]&lt;=15),1,""))</f>
        <v/>
      </c>
      <c r="R516" t="str">
        <f>IF(tblSalaries[[#This Row],[Years of Experience]]="","",IF(AND(tblSalaries[[#This Row],[Years of Experience]]&gt;16,tblSalaries[[#This Row],[Years of Experience]]&lt;=20),1,""))</f>
        <v/>
      </c>
      <c r="S516" t="str">
        <f>IF(tblSalaries[[#This Row],[Years of Experience]]="","",IF(tblSalaries[[#This Row],[Years of Experience]]&gt;20,1,""))</f>
        <v/>
      </c>
      <c r="T5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6" s="13" t="str">
        <f>IF(tblSalaries[[#This Row],[Job Type]]=tblSalaries[[#Headers],[Accountant]],tblSalaries[[#This Row],[Salary in USD]],"")</f>
        <v/>
      </c>
      <c r="V516" s="13" t="str">
        <f>IF(tblSalaries[[#This Row],[Job Type]]=tblSalaries[[#Headers],[Analyst]],tblSalaries[[#This Row],[Salary in USD]],"")</f>
        <v/>
      </c>
      <c r="W516" s="13" t="str">
        <f>IF(tblSalaries[[#This Row],[Job Type]]=tblSalaries[[#Headers],[Consultant]],tblSalaries[[#This Row],[Salary in USD]],"")</f>
        <v/>
      </c>
      <c r="X516" s="13" t="str">
        <f>IF(tblSalaries[[#This Row],[Job Type]]=tblSalaries[[#Headers],[Controller]],tblSalaries[[#This Row],[Salary in USD]],"")</f>
        <v/>
      </c>
      <c r="Y516" s="13" t="str">
        <f>IF(tblSalaries[[#This Row],[Job Type]]=tblSalaries[[#Headers],[CXO or Top Mgmt.]],tblSalaries[[#This Row],[clean Salary (in local currency)]],"")</f>
        <v/>
      </c>
      <c r="Z516" s="13" t="str">
        <f>IF(tblSalaries[[#This Row],[Job Type]]=tblSalaries[[#Headers],[Engineer]],tblSalaries[[#This Row],[Salary in USD]],"")</f>
        <v/>
      </c>
      <c r="AA516" s="13">
        <f>IF(tblSalaries[[#This Row],[Job Type]]=tblSalaries[[#Headers],[Manager]],tblSalaries[[#This Row],[Salary in USD]],"")</f>
        <v>15000</v>
      </c>
      <c r="AB516" s="13" t="str">
        <f>IF(tblSalaries[[#This Row],[Job Type]]=tblSalaries[[#Headers],[Misc.]],tblSalaries[[#This Row],[Salary in USD]],"")</f>
        <v/>
      </c>
      <c r="AC516" s="13" t="str">
        <f>IF(tblSalaries[[#This Row],[Job Type]]=tblSalaries[[#Headers],[Reporting]],tblSalaries[[#This Row],[Salary in USD]],"")</f>
        <v/>
      </c>
      <c r="AD516" s="13" t="str">
        <f>IF(tblSalaries[[#This Row],[Job Type]]=tblSalaries[[#Headers],[Specialist]],tblSalaries[[#This Row],[Salary in USD]],"")</f>
        <v/>
      </c>
    </row>
    <row r="517" spans="2:30" ht="15" customHeight="1" x14ac:dyDescent="0.25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 s="9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  <c r="N517" t="str">
        <f>IF(tblSalaries[[#This Row],[Years of Experience]]="","",IF(tblSalaries[[#This Row],[Years of Experience]]&lt;=2,1,""))</f>
        <v/>
      </c>
      <c r="O517" t="str">
        <f>IF(tblSalaries[[#This Row],[Years of Experience]]="","",IF(AND(tblSalaries[[#This Row],[Years of Experience]]&gt;2,tblSalaries[[#This Row],[Years of Experience]]&lt;=5),1,""))</f>
        <v/>
      </c>
      <c r="P517" t="str">
        <f>IF(tblSalaries[[#This Row],[Years of Experience]]="","",IF(AND(tblSalaries[[#This Row],[Years of Experience]]&gt;5,tblSalaries[[#This Row],[Years of Experience]]&lt;=10),1,""))</f>
        <v/>
      </c>
      <c r="Q517" t="str">
        <f>IF(tblSalaries[[#This Row],[Years of Experience]]="","",IF(AND(tblSalaries[[#This Row],[Years of Experience]]&gt;10,tblSalaries[[#This Row],[Years of Experience]]&lt;=15),1,""))</f>
        <v/>
      </c>
      <c r="R517" t="str">
        <f>IF(tblSalaries[[#This Row],[Years of Experience]]="","",IF(AND(tblSalaries[[#This Row],[Years of Experience]]&gt;16,tblSalaries[[#This Row],[Years of Experience]]&lt;=20),1,""))</f>
        <v/>
      </c>
      <c r="S517" t="str">
        <f>IF(tblSalaries[[#This Row],[Years of Experience]]="","",IF(tblSalaries[[#This Row],[Years of Experience]]&gt;20,1,""))</f>
        <v/>
      </c>
      <c r="T5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7" s="13" t="str">
        <f>IF(tblSalaries[[#This Row],[Job Type]]=tblSalaries[[#Headers],[Accountant]],tblSalaries[[#This Row],[Salary in USD]],"")</f>
        <v/>
      </c>
      <c r="V517" s="13" t="str">
        <f>IF(tblSalaries[[#This Row],[Job Type]]=tblSalaries[[#Headers],[Analyst]],tblSalaries[[#This Row],[Salary in USD]],"")</f>
        <v/>
      </c>
      <c r="W517" s="13" t="str">
        <f>IF(tblSalaries[[#This Row],[Job Type]]=tblSalaries[[#Headers],[Consultant]],tblSalaries[[#This Row],[Salary in USD]],"")</f>
        <v/>
      </c>
      <c r="X517" s="13" t="str">
        <f>IF(tblSalaries[[#This Row],[Job Type]]=tblSalaries[[#Headers],[Controller]],tblSalaries[[#This Row],[Salary in USD]],"")</f>
        <v/>
      </c>
      <c r="Y517" s="13" t="str">
        <f>IF(tblSalaries[[#This Row],[Job Type]]=tblSalaries[[#Headers],[CXO or Top Mgmt.]],tblSalaries[[#This Row],[clean Salary (in local currency)]],"")</f>
        <v/>
      </c>
      <c r="Z517" s="13" t="str">
        <f>IF(tblSalaries[[#This Row],[Job Type]]=tblSalaries[[#Headers],[Engineer]],tblSalaries[[#This Row],[Salary in USD]],"")</f>
        <v/>
      </c>
      <c r="AA517" s="13">
        <f>IF(tblSalaries[[#This Row],[Job Type]]=tblSalaries[[#Headers],[Manager]],tblSalaries[[#This Row],[Salary in USD]],"")</f>
        <v>86093.301341305123</v>
      </c>
      <c r="AB517" s="13" t="str">
        <f>IF(tblSalaries[[#This Row],[Job Type]]=tblSalaries[[#Headers],[Misc.]],tblSalaries[[#This Row],[Salary in USD]],"")</f>
        <v/>
      </c>
      <c r="AC517" s="13" t="str">
        <f>IF(tblSalaries[[#This Row],[Job Type]]=tblSalaries[[#Headers],[Reporting]],tblSalaries[[#This Row],[Salary in USD]],"")</f>
        <v/>
      </c>
      <c r="AD517" s="13" t="str">
        <f>IF(tblSalaries[[#This Row],[Job Type]]=tblSalaries[[#Headers],[Specialist]],tblSalaries[[#This Row],[Salary in USD]],"")</f>
        <v/>
      </c>
    </row>
    <row r="518" spans="2:30" ht="15" customHeight="1" x14ac:dyDescent="0.25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 s="9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  <c r="N518" t="str">
        <f>IF(tblSalaries[[#This Row],[Years of Experience]]="","",IF(tblSalaries[[#This Row],[Years of Experience]]&lt;=2,1,""))</f>
        <v/>
      </c>
      <c r="O518" t="str">
        <f>IF(tblSalaries[[#This Row],[Years of Experience]]="","",IF(AND(tblSalaries[[#This Row],[Years of Experience]]&gt;2,tblSalaries[[#This Row],[Years of Experience]]&lt;=5),1,""))</f>
        <v/>
      </c>
      <c r="P518" t="str">
        <f>IF(tblSalaries[[#This Row],[Years of Experience]]="","",IF(AND(tblSalaries[[#This Row],[Years of Experience]]&gt;5,tblSalaries[[#This Row],[Years of Experience]]&lt;=10),1,""))</f>
        <v/>
      </c>
      <c r="Q518" t="str">
        <f>IF(tblSalaries[[#This Row],[Years of Experience]]="","",IF(AND(tblSalaries[[#This Row],[Years of Experience]]&gt;10,tblSalaries[[#This Row],[Years of Experience]]&lt;=15),1,""))</f>
        <v/>
      </c>
      <c r="R518" t="str">
        <f>IF(tblSalaries[[#This Row],[Years of Experience]]="","",IF(AND(tblSalaries[[#This Row],[Years of Experience]]&gt;16,tblSalaries[[#This Row],[Years of Experience]]&lt;=20),1,""))</f>
        <v/>
      </c>
      <c r="S518" t="str">
        <f>IF(tblSalaries[[#This Row],[Years of Experience]]="","",IF(tblSalaries[[#This Row],[Years of Experience]]&gt;20,1,""))</f>
        <v/>
      </c>
      <c r="T5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8" s="13" t="str">
        <f>IF(tblSalaries[[#This Row],[Job Type]]=tblSalaries[[#Headers],[Accountant]],tblSalaries[[#This Row],[Salary in USD]],"")</f>
        <v/>
      </c>
      <c r="V518" s="13" t="str">
        <f>IF(tblSalaries[[#This Row],[Job Type]]=tblSalaries[[#Headers],[Analyst]],tblSalaries[[#This Row],[Salary in USD]],"")</f>
        <v/>
      </c>
      <c r="W518" s="13" t="str">
        <f>IF(tblSalaries[[#This Row],[Job Type]]=tblSalaries[[#Headers],[Consultant]],tblSalaries[[#This Row],[Salary in USD]],"")</f>
        <v/>
      </c>
      <c r="X518" s="13" t="str">
        <f>IF(tblSalaries[[#This Row],[Job Type]]=tblSalaries[[#Headers],[Controller]],tblSalaries[[#This Row],[Salary in USD]],"")</f>
        <v/>
      </c>
      <c r="Y518" s="13" t="str">
        <f>IF(tblSalaries[[#This Row],[Job Type]]=tblSalaries[[#Headers],[CXO or Top Mgmt.]],tblSalaries[[#This Row],[clean Salary (in local currency)]],"")</f>
        <v/>
      </c>
      <c r="Z518" s="13" t="str">
        <f>IF(tblSalaries[[#This Row],[Job Type]]=tblSalaries[[#Headers],[Engineer]],tblSalaries[[#This Row],[Salary in USD]],"")</f>
        <v/>
      </c>
      <c r="AA518" s="13">
        <f>IF(tblSalaries[[#This Row],[Job Type]]=tblSalaries[[#Headers],[Manager]],tblSalaries[[#This Row],[Salary in USD]],"")</f>
        <v>72600</v>
      </c>
      <c r="AB518" s="13" t="str">
        <f>IF(tblSalaries[[#This Row],[Job Type]]=tblSalaries[[#Headers],[Misc.]],tblSalaries[[#This Row],[Salary in USD]],"")</f>
        <v/>
      </c>
      <c r="AC518" s="13" t="str">
        <f>IF(tblSalaries[[#This Row],[Job Type]]=tblSalaries[[#Headers],[Reporting]],tblSalaries[[#This Row],[Salary in USD]],"")</f>
        <v/>
      </c>
      <c r="AD518" s="13" t="str">
        <f>IF(tblSalaries[[#This Row],[Job Type]]=tblSalaries[[#Headers],[Specialist]],tblSalaries[[#This Row],[Salary in USD]],"")</f>
        <v/>
      </c>
    </row>
    <row r="519" spans="2:30" ht="15" customHeight="1" x14ac:dyDescent="0.25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 s="9">
        <f>tblSalaries[[#This Row],[clean Salary (in local currency)]]*VLOOKUP(tblSalaries[[#This Row],[Currency]],tblXrate[],2,FALSE)</f>
        <v>100000</v>
      </c>
      <c r="H519" t="s">
        <v>139</v>
      </c>
      <c r="I519" t="s">
        <v>4001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  <c r="N519" t="str">
        <f>IF(tblSalaries[[#This Row],[Years of Experience]]="","",IF(tblSalaries[[#This Row],[Years of Experience]]&lt;=2,1,""))</f>
        <v/>
      </c>
      <c r="O519" t="str">
        <f>IF(tblSalaries[[#This Row],[Years of Experience]]="","",IF(AND(tblSalaries[[#This Row],[Years of Experience]]&gt;2,tblSalaries[[#This Row],[Years of Experience]]&lt;=5),1,""))</f>
        <v/>
      </c>
      <c r="P519" t="str">
        <f>IF(tblSalaries[[#This Row],[Years of Experience]]="","",IF(AND(tblSalaries[[#This Row],[Years of Experience]]&gt;5,tblSalaries[[#This Row],[Years of Experience]]&lt;=10),1,""))</f>
        <v/>
      </c>
      <c r="Q519" t="str">
        <f>IF(tblSalaries[[#This Row],[Years of Experience]]="","",IF(AND(tblSalaries[[#This Row],[Years of Experience]]&gt;10,tblSalaries[[#This Row],[Years of Experience]]&lt;=15),1,""))</f>
        <v/>
      </c>
      <c r="R519" t="str">
        <f>IF(tblSalaries[[#This Row],[Years of Experience]]="","",IF(AND(tblSalaries[[#This Row],[Years of Experience]]&gt;16,tblSalaries[[#This Row],[Years of Experience]]&lt;=20),1,""))</f>
        <v/>
      </c>
      <c r="S519" t="str">
        <f>IF(tblSalaries[[#This Row],[Years of Experience]]="","",IF(tblSalaries[[#This Row],[Years of Experience]]&gt;20,1,""))</f>
        <v/>
      </c>
      <c r="T5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19" s="13" t="str">
        <f>IF(tblSalaries[[#This Row],[Job Type]]=tblSalaries[[#Headers],[Accountant]],tblSalaries[[#This Row],[Salary in USD]],"")</f>
        <v/>
      </c>
      <c r="V519" s="13" t="str">
        <f>IF(tblSalaries[[#This Row],[Job Type]]=tblSalaries[[#Headers],[Analyst]],tblSalaries[[#This Row],[Salary in USD]],"")</f>
        <v/>
      </c>
      <c r="W519" s="13" t="str">
        <f>IF(tblSalaries[[#This Row],[Job Type]]=tblSalaries[[#Headers],[Consultant]],tblSalaries[[#This Row],[Salary in USD]],"")</f>
        <v/>
      </c>
      <c r="X519" s="13" t="str">
        <f>IF(tblSalaries[[#This Row],[Job Type]]=tblSalaries[[#Headers],[Controller]],tblSalaries[[#This Row],[Salary in USD]],"")</f>
        <v/>
      </c>
      <c r="Y519" s="13">
        <f>IF(tblSalaries[[#This Row],[Job Type]]=tblSalaries[[#Headers],[CXO or Top Mgmt.]],tblSalaries[[#This Row],[clean Salary (in local currency)]],"")</f>
        <v>100000</v>
      </c>
      <c r="Z519" s="13" t="str">
        <f>IF(tblSalaries[[#This Row],[Job Type]]=tblSalaries[[#Headers],[Engineer]],tblSalaries[[#This Row],[Salary in USD]],"")</f>
        <v/>
      </c>
      <c r="AA519" s="13" t="str">
        <f>IF(tblSalaries[[#This Row],[Job Type]]=tblSalaries[[#Headers],[Manager]],tblSalaries[[#This Row],[Salary in USD]],"")</f>
        <v/>
      </c>
      <c r="AB519" s="13" t="str">
        <f>IF(tblSalaries[[#This Row],[Job Type]]=tblSalaries[[#Headers],[Misc.]],tblSalaries[[#This Row],[Salary in USD]],"")</f>
        <v/>
      </c>
      <c r="AC519" s="13" t="str">
        <f>IF(tblSalaries[[#This Row],[Job Type]]=tblSalaries[[#Headers],[Reporting]],tblSalaries[[#This Row],[Salary in USD]],"")</f>
        <v/>
      </c>
      <c r="AD519" s="13" t="str">
        <f>IF(tblSalaries[[#This Row],[Job Type]]=tblSalaries[[#Headers],[Specialist]],tblSalaries[[#This Row],[Salary in USD]],"")</f>
        <v/>
      </c>
    </row>
    <row r="520" spans="2:30" ht="15" customHeight="1" x14ac:dyDescent="0.25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 s="9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  <c r="N520" t="str">
        <f>IF(tblSalaries[[#This Row],[Years of Experience]]="","",IF(tblSalaries[[#This Row],[Years of Experience]]&lt;=2,1,""))</f>
        <v/>
      </c>
      <c r="O520" t="str">
        <f>IF(tblSalaries[[#This Row],[Years of Experience]]="","",IF(AND(tblSalaries[[#This Row],[Years of Experience]]&gt;2,tblSalaries[[#This Row],[Years of Experience]]&lt;=5),1,""))</f>
        <v/>
      </c>
      <c r="P520" t="str">
        <f>IF(tblSalaries[[#This Row],[Years of Experience]]="","",IF(AND(tblSalaries[[#This Row],[Years of Experience]]&gt;5,tblSalaries[[#This Row],[Years of Experience]]&lt;=10),1,""))</f>
        <v/>
      </c>
      <c r="Q520" t="str">
        <f>IF(tblSalaries[[#This Row],[Years of Experience]]="","",IF(AND(tblSalaries[[#This Row],[Years of Experience]]&gt;10,tblSalaries[[#This Row],[Years of Experience]]&lt;=15),1,""))</f>
        <v/>
      </c>
      <c r="R520" t="str">
        <f>IF(tblSalaries[[#This Row],[Years of Experience]]="","",IF(AND(tblSalaries[[#This Row],[Years of Experience]]&gt;16,tblSalaries[[#This Row],[Years of Experience]]&lt;=20),1,""))</f>
        <v/>
      </c>
      <c r="S520" t="str">
        <f>IF(tblSalaries[[#This Row],[Years of Experience]]="","",IF(tblSalaries[[#This Row],[Years of Experience]]&gt;20,1,""))</f>
        <v/>
      </c>
      <c r="T5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0" s="13" t="str">
        <f>IF(tblSalaries[[#This Row],[Job Type]]=tblSalaries[[#Headers],[Accountant]],tblSalaries[[#This Row],[Salary in USD]],"")</f>
        <v/>
      </c>
      <c r="V520" s="13">
        <f>IF(tblSalaries[[#This Row],[Job Type]]=tblSalaries[[#Headers],[Analyst]],tblSalaries[[#This Row],[Salary in USD]],"")</f>
        <v>104000</v>
      </c>
      <c r="W520" s="13" t="str">
        <f>IF(tblSalaries[[#This Row],[Job Type]]=tblSalaries[[#Headers],[Consultant]],tblSalaries[[#This Row],[Salary in USD]],"")</f>
        <v/>
      </c>
      <c r="X520" s="13" t="str">
        <f>IF(tblSalaries[[#This Row],[Job Type]]=tblSalaries[[#Headers],[Controller]],tblSalaries[[#This Row],[Salary in USD]],"")</f>
        <v/>
      </c>
      <c r="Y520" s="13" t="str">
        <f>IF(tblSalaries[[#This Row],[Job Type]]=tblSalaries[[#Headers],[CXO or Top Mgmt.]],tblSalaries[[#This Row],[clean Salary (in local currency)]],"")</f>
        <v/>
      </c>
      <c r="Z520" s="13" t="str">
        <f>IF(tblSalaries[[#This Row],[Job Type]]=tblSalaries[[#Headers],[Engineer]],tblSalaries[[#This Row],[Salary in USD]],"")</f>
        <v/>
      </c>
      <c r="AA520" s="13" t="str">
        <f>IF(tblSalaries[[#This Row],[Job Type]]=tblSalaries[[#Headers],[Manager]],tblSalaries[[#This Row],[Salary in USD]],"")</f>
        <v/>
      </c>
      <c r="AB520" s="13" t="str">
        <f>IF(tblSalaries[[#This Row],[Job Type]]=tblSalaries[[#Headers],[Misc.]],tblSalaries[[#This Row],[Salary in USD]],"")</f>
        <v/>
      </c>
      <c r="AC520" s="13" t="str">
        <f>IF(tblSalaries[[#This Row],[Job Type]]=tblSalaries[[#Headers],[Reporting]],tblSalaries[[#This Row],[Salary in USD]],"")</f>
        <v/>
      </c>
      <c r="AD520" s="13" t="str">
        <f>IF(tblSalaries[[#This Row],[Job Type]]=tblSalaries[[#Headers],[Specialist]],tblSalaries[[#This Row],[Salary in USD]],"")</f>
        <v/>
      </c>
    </row>
    <row r="521" spans="2:30" ht="15" customHeight="1" x14ac:dyDescent="0.25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 s="9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  <c r="N521" t="str">
        <f>IF(tblSalaries[[#This Row],[Years of Experience]]="","",IF(tblSalaries[[#This Row],[Years of Experience]]&lt;=2,1,""))</f>
        <v/>
      </c>
      <c r="O521" t="str">
        <f>IF(tblSalaries[[#This Row],[Years of Experience]]="","",IF(AND(tblSalaries[[#This Row],[Years of Experience]]&gt;2,tblSalaries[[#This Row],[Years of Experience]]&lt;=5),1,""))</f>
        <v/>
      </c>
      <c r="P521" t="str">
        <f>IF(tblSalaries[[#This Row],[Years of Experience]]="","",IF(AND(tblSalaries[[#This Row],[Years of Experience]]&gt;5,tblSalaries[[#This Row],[Years of Experience]]&lt;=10),1,""))</f>
        <v/>
      </c>
      <c r="Q521" t="str">
        <f>IF(tblSalaries[[#This Row],[Years of Experience]]="","",IF(AND(tblSalaries[[#This Row],[Years of Experience]]&gt;10,tblSalaries[[#This Row],[Years of Experience]]&lt;=15),1,""))</f>
        <v/>
      </c>
      <c r="R521" t="str">
        <f>IF(tblSalaries[[#This Row],[Years of Experience]]="","",IF(AND(tblSalaries[[#This Row],[Years of Experience]]&gt;16,tblSalaries[[#This Row],[Years of Experience]]&lt;=20),1,""))</f>
        <v/>
      </c>
      <c r="S521" t="str">
        <f>IF(tblSalaries[[#This Row],[Years of Experience]]="","",IF(tblSalaries[[#This Row],[Years of Experience]]&gt;20,1,""))</f>
        <v/>
      </c>
      <c r="T5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1" s="13" t="str">
        <f>IF(tblSalaries[[#This Row],[Job Type]]=tblSalaries[[#Headers],[Accountant]],tblSalaries[[#This Row],[Salary in USD]],"")</f>
        <v/>
      </c>
      <c r="V521" s="13" t="str">
        <f>IF(tblSalaries[[#This Row],[Job Type]]=tblSalaries[[#Headers],[Analyst]],tblSalaries[[#This Row],[Salary in USD]],"")</f>
        <v/>
      </c>
      <c r="W521" s="13" t="str">
        <f>IF(tblSalaries[[#This Row],[Job Type]]=tblSalaries[[#Headers],[Consultant]],tblSalaries[[#This Row],[Salary in USD]],"")</f>
        <v/>
      </c>
      <c r="X521" s="13" t="str">
        <f>IF(tblSalaries[[#This Row],[Job Type]]=tblSalaries[[#Headers],[Controller]],tblSalaries[[#This Row],[Salary in USD]],"")</f>
        <v/>
      </c>
      <c r="Y521" s="13" t="str">
        <f>IF(tblSalaries[[#This Row],[Job Type]]=tblSalaries[[#Headers],[CXO or Top Mgmt.]],tblSalaries[[#This Row],[clean Salary (in local currency)]],"")</f>
        <v/>
      </c>
      <c r="Z521" s="13" t="str">
        <f>IF(tblSalaries[[#This Row],[Job Type]]=tblSalaries[[#Headers],[Engineer]],tblSalaries[[#This Row],[Salary in USD]],"")</f>
        <v/>
      </c>
      <c r="AA521" s="13">
        <f>IF(tblSalaries[[#This Row],[Job Type]]=tblSalaries[[#Headers],[Manager]],tblSalaries[[#This Row],[Salary in USD]],"")</f>
        <v>10684.750012465542</v>
      </c>
      <c r="AB521" s="13" t="str">
        <f>IF(tblSalaries[[#This Row],[Job Type]]=tblSalaries[[#Headers],[Misc.]],tblSalaries[[#This Row],[Salary in USD]],"")</f>
        <v/>
      </c>
      <c r="AC521" s="13" t="str">
        <f>IF(tblSalaries[[#This Row],[Job Type]]=tblSalaries[[#Headers],[Reporting]],tblSalaries[[#This Row],[Salary in USD]],"")</f>
        <v/>
      </c>
      <c r="AD521" s="13" t="str">
        <f>IF(tblSalaries[[#This Row],[Job Type]]=tblSalaries[[#Headers],[Specialist]],tblSalaries[[#This Row],[Salary in USD]],"")</f>
        <v/>
      </c>
    </row>
    <row r="522" spans="2:30" ht="15" customHeight="1" x14ac:dyDescent="0.25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 s="9">
        <f>tblSalaries[[#This Row],[clean Salary (in local currency)]]*VLOOKUP(tblSalaries[[#This Row],[Currency]],tblXrate[],2,FALSE)</f>
        <v>200000</v>
      </c>
      <c r="H522" t="s">
        <v>625</v>
      </c>
      <c r="I522" t="s">
        <v>4001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  <c r="N522" t="str">
        <f>IF(tblSalaries[[#This Row],[Years of Experience]]="","",IF(tblSalaries[[#This Row],[Years of Experience]]&lt;=2,1,""))</f>
        <v/>
      </c>
      <c r="O522" t="str">
        <f>IF(tblSalaries[[#This Row],[Years of Experience]]="","",IF(AND(tblSalaries[[#This Row],[Years of Experience]]&gt;2,tblSalaries[[#This Row],[Years of Experience]]&lt;=5),1,""))</f>
        <v/>
      </c>
      <c r="P522" t="str">
        <f>IF(tblSalaries[[#This Row],[Years of Experience]]="","",IF(AND(tblSalaries[[#This Row],[Years of Experience]]&gt;5,tblSalaries[[#This Row],[Years of Experience]]&lt;=10),1,""))</f>
        <v/>
      </c>
      <c r="Q522" t="str">
        <f>IF(tblSalaries[[#This Row],[Years of Experience]]="","",IF(AND(tblSalaries[[#This Row],[Years of Experience]]&gt;10,tblSalaries[[#This Row],[Years of Experience]]&lt;=15),1,""))</f>
        <v/>
      </c>
      <c r="R522" t="str">
        <f>IF(tblSalaries[[#This Row],[Years of Experience]]="","",IF(AND(tblSalaries[[#This Row],[Years of Experience]]&gt;16,tblSalaries[[#This Row],[Years of Experience]]&lt;=20),1,""))</f>
        <v/>
      </c>
      <c r="S522" t="str">
        <f>IF(tblSalaries[[#This Row],[Years of Experience]]="","",IF(tblSalaries[[#This Row],[Years of Experience]]&gt;20,1,""))</f>
        <v/>
      </c>
      <c r="T5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2" s="13" t="str">
        <f>IF(tblSalaries[[#This Row],[Job Type]]=tblSalaries[[#Headers],[Accountant]],tblSalaries[[#This Row],[Salary in USD]],"")</f>
        <v/>
      </c>
      <c r="V522" s="13" t="str">
        <f>IF(tblSalaries[[#This Row],[Job Type]]=tblSalaries[[#Headers],[Analyst]],tblSalaries[[#This Row],[Salary in USD]],"")</f>
        <v/>
      </c>
      <c r="W522" s="13" t="str">
        <f>IF(tblSalaries[[#This Row],[Job Type]]=tblSalaries[[#Headers],[Consultant]],tblSalaries[[#This Row],[Salary in USD]],"")</f>
        <v/>
      </c>
      <c r="X522" s="13" t="str">
        <f>IF(tblSalaries[[#This Row],[Job Type]]=tblSalaries[[#Headers],[Controller]],tblSalaries[[#This Row],[Salary in USD]],"")</f>
        <v/>
      </c>
      <c r="Y522" s="13">
        <f>IF(tblSalaries[[#This Row],[Job Type]]=tblSalaries[[#Headers],[CXO or Top Mgmt.]],tblSalaries[[#This Row],[clean Salary (in local currency)]],"")</f>
        <v>200000</v>
      </c>
      <c r="Z522" s="13" t="str">
        <f>IF(tblSalaries[[#This Row],[Job Type]]=tblSalaries[[#Headers],[Engineer]],tblSalaries[[#This Row],[Salary in USD]],"")</f>
        <v/>
      </c>
      <c r="AA522" s="13" t="str">
        <f>IF(tblSalaries[[#This Row],[Job Type]]=tblSalaries[[#Headers],[Manager]],tblSalaries[[#This Row],[Salary in USD]],"")</f>
        <v/>
      </c>
      <c r="AB522" s="13" t="str">
        <f>IF(tblSalaries[[#This Row],[Job Type]]=tblSalaries[[#Headers],[Misc.]],tblSalaries[[#This Row],[Salary in USD]],"")</f>
        <v/>
      </c>
      <c r="AC522" s="13" t="str">
        <f>IF(tblSalaries[[#This Row],[Job Type]]=tblSalaries[[#Headers],[Reporting]],tblSalaries[[#This Row],[Salary in USD]],"")</f>
        <v/>
      </c>
      <c r="AD522" s="13" t="str">
        <f>IF(tblSalaries[[#This Row],[Job Type]]=tblSalaries[[#Headers],[Specialist]],tblSalaries[[#This Row],[Salary in USD]],"")</f>
        <v/>
      </c>
    </row>
    <row r="523" spans="2:30" ht="15" customHeight="1" x14ac:dyDescent="0.25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 s="9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  <c r="N523" t="str">
        <f>IF(tblSalaries[[#This Row],[Years of Experience]]="","",IF(tblSalaries[[#This Row],[Years of Experience]]&lt;=2,1,""))</f>
        <v/>
      </c>
      <c r="O523" t="str">
        <f>IF(tblSalaries[[#This Row],[Years of Experience]]="","",IF(AND(tblSalaries[[#This Row],[Years of Experience]]&gt;2,tblSalaries[[#This Row],[Years of Experience]]&lt;=5),1,""))</f>
        <v/>
      </c>
      <c r="P523" t="str">
        <f>IF(tblSalaries[[#This Row],[Years of Experience]]="","",IF(AND(tblSalaries[[#This Row],[Years of Experience]]&gt;5,tblSalaries[[#This Row],[Years of Experience]]&lt;=10),1,""))</f>
        <v/>
      </c>
      <c r="Q523" t="str">
        <f>IF(tblSalaries[[#This Row],[Years of Experience]]="","",IF(AND(tblSalaries[[#This Row],[Years of Experience]]&gt;10,tblSalaries[[#This Row],[Years of Experience]]&lt;=15),1,""))</f>
        <v/>
      </c>
      <c r="R523" t="str">
        <f>IF(tblSalaries[[#This Row],[Years of Experience]]="","",IF(AND(tblSalaries[[#This Row],[Years of Experience]]&gt;16,tblSalaries[[#This Row],[Years of Experience]]&lt;=20),1,""))</f>
        <v/>
      </c>
      <c r="S523" t="str">
        <f>IF(tblSalaries[[#This Row],[Years of Experience]]="","",IF(tblSalaries[[#This Row],[Years of Experience]]&gt;20,1,""))</f>
        <v/>
      </c>
      <c r="T5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3" s="13">
        <f>IF(tblSalaries[[#This Row],[Job Type]]=tblSalaries[[#Headers],[Accountant]],tblSalaries[[#This Row],[Salary in USD]],"")</f>
        <v>62564.631571458704</v>
      </c>
      <c r="V523" s="13" t="str">
        <f>IF(tblSalaries[[#This Row],[Job Type]]=tblSalaries[[#Headers],[Analyst]],tblSalaries[[#This Row],[Salary in USD]],"")</f>
        <v/>
      </c>
      <c r="W523" s="13" t="str">
        <f>IF(tblSalaries[[#This Row],[Job Type]]=tblSalaries[[#Headers],[Consultant]],tblSalaries[[#This Row],[Salary in USD]],"")</f>
        <v/>
      </c>
      <c r="X523" s="13" t="str">
        <f>IF(tblSalaries[[#This Row],[Job Type]]=tblSalaries[[#Headers],[Controller]],tblSalaries[[#This Row],[Salary in USD]],"")</f>
        <v/>
      </c>
      <c r="Y523" s="13" t="str">
        <f>IF(tblSalaries[[#This Row],[Job Type]]=tblSalaries[[#Headers],[CXO or Top Mgmt.]],tblSalaries[[#This Row],[clean Salary (in local currency)]],"")</f>
        <v/>
      </c>
      <c r="Z523" s="13" t="str">
        <f>IF(tblSalaries[[#This Row],[Job Type]]=tblSalaries[[#Headers],[Engineer]],tblSalaries[[#This Row],[Salary in USD]],"")</f>
        <v/>
      </c>
      <c r="AA523" s="13" t="str">
        <f>IF(tblSalaries[[#This Row],[Job Type]]=tblSalaries[[#Headers],[Manager]],tblSalaries[[#This Row],[Salary in USD]],"")</f>
        <v/>
      </c>
      <c r="AB523" s="13" t="str">
        <f>IF(tblSalaries[[#This Row],[Job Type]]=tblSalaries[[#Headers],[Misc.]],tblSalaries[[#This Row],[Salary in USD]],"")</f>
        <v/>
      </c>
      <c r="AC523" s="13" t="str">
        <f>IF(tblSalaries[[#This Row],[Job Type]]=tblSalaries[[#Headers],[Reporting]],tblSalaries[[#This Row],[Salary in USD]],"")</f>
        <v/>
      </c>
      <c r="AD523" s="13" t="str">
        <f>IF(tblSalaries[[#This Row],[Job Type]]=tblSalaries[[#Headers],[Specialist]],tblSalaries[[#This Row],[Salary in USD]],"")</f>
        <v/>
      </c>
    </row>
    <row r="524" spans="2:30" ht="15" customHeight="1" x14ac:dyDescent="0.25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 s="9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  <c r="N524" t="str">
        <f>IF(tblSalaries[[#This Row],[Years of Experience]]="","",IF(tblSalaries[[#This Row],[Years of Experience]]&lt;=2,1,""))</f>
        <v/>
      </c>
      <c r="O524" t="str">
        <f>IF(tblSalaries[[#This Row],[Years of Experience]]="","",IF(AND(tblSalaries[[#This Row],[Years of Experience]]&gt;2,tblSalaries[[#This Row],[Years of Experience]]&lt;=5),1,""))</f>
        <v/>
      </c>
      <c r="P524" t="str">
        <f>IF(tblSalaries[[#This Row],[Years of Experience]]="","",IF(AND(tblSalaries[[#This Row],[Years of Experience]]&gt;5,tblSalaries[[#This Row],[Years of Experience]]&lt;=10),1,""))</f>
        <v/>
      </c>
      <c r="Q524" t="str">
        <f>IF(tblSalaries[[#This Row],[Years of Experience]]="","",IF(AND(tblSalaries[[#This Row],[Years of Experience]]&gt;10,tblSalaries[[#This Row],[Years of Experience]]&lt;=15),1,""))</f>
        <v/>
      </c>
      <c r="R524" t="str">
        <f>IF(tblSalaries[[#This Row],[Years of Experience]]="","",IF(AND(tblSalaries[[#This Row],[Years of Experience]]&gt;16,tblSalaries[[#This Row],[Years of Experience]]&lt;=20),1,""))</f>
        <v/>
      </c>
      <c r="S524" t="str">
        <f>IF(tblSalaries[[#This Row],[Years of Experience]]="","",IF(tblSalaries[[#This Row],[Years of Experience]]&gt;20,1,""))</f>
        <v/>
      </c>
      <c r="T5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4" s="13" t="str">
        <f>IF(tblSalaries[[#This Row],[Job Type]]=tblSalaries[[#Headers],[Accountant]],tblSalaries[[#This Row],[Salary in USD]],"")</f>
        <v/>
      </c>
      <c r="V524" s="13" t="str">
        <f>IF(tblSalaries[[#This Row],[Job Type]]=tblSalaries[[#Headers],[Analyst]],tblSalaries[[#This Row],[Salary in USD]],"")</f>
        <v/>
      </c>
      <c r="W524" s="13" t="str">
        <f>IF(tblSalaries[[#This Row],[Job Type]]=tblSalaries[[#Headers],[Consultant]],tblSalaries[[#This Row],[Salary in USD]],"")</f>
        <v/>
      </c>
      <c r="X524" s="13" t="str">
        <f>IF(tblSalaries[[#This Row],[Job Type]]=tblSalaries[[#Headers],[Controller]],tblSalaries[[#This Row],[Salary in USD]],"")</f>
        <v/>
      </c>
      <c r="Y524" s="13" t="str">
        <f>IF(tblSalaries[[#This Row],[Job Type]]=tblSalaries[[#Headers],[CXO or Top Mgmt.]],tblSalaries[[#This Row],[clean Salary (in local currency)]],"")</f>
        <v/>
      </c>
      <c r="Z524" s="13" t="str">
        <f>IF(tblSalaries[[#This Row],[Job Type]]=tblSalaries[[#Headers],[Engineer]],tblSalaries[[#This Row],[Salary in USD]],"")</f>
        <v/>
      </c>
      <c r="AA524" s="13">
        <f>IF(tblSalaries[[#This Row],[Job Type]]=tblSalaries[[#Headers],[Manager]],tblSalaries[[#This Row],[Salary in USD]],"")</f>
        <v>57530.506930455871</v>
      </c>
      <c r="AB524" s="13" t="str">
        <f>IF(tblSalaries[[#This Row],[Job Type]]=tblSalaries[[#Headers],[Misc.]],tblSalaries[[#This Row],[Salary in USD]],"")</f>
        <v/>
      </c>
      <c r="AC524" s="13" t="str">
        <f>IF(tblSalaries[[#This Row],[Job Type]]=tblSalaries[[#Headers],[Reporting]],tblSalaries[[#This Row],[Salary in USD]],"")</f>
        <v/>
      </c>
      <c r="AD524" s="13" t="str">
        <f>IF(tblSalaries[[#This Row],[Job Type]]=tblSalaries[[#Headers],[Specialist]],tblSalaries[[#This Row],[Salary in USD]],"")</f>
        <v/>
      </c>
    </row>
    <row r="525" spans="2:30" ht="15" customHeight="1" x14ac:dyDescent="0.25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 s="9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  <c r="N525" t="str">
        <f>IF(tblSalaries[[#This Row],[Years of Experience]]="","",IF(tblSalaries[[#This Row],[Years of Experience]]&lt;=2,1,""))</f>
        <v/>
      </c>
      <c r="O525" t="str">
        <f>IF(tblSalaries[[#This Row],[Years of Experience]]="","",IF(AND(tblSalaries[[#This Row],[Years of Experience]]&gt;2,tblSalaries[[#This Row],[Years of Experience]]&lt;=5),1,""))</f>
        <v/>
      </c>
      <c r="P525" t="str">
        <f>IF(tblSalaries[[#This Row],[Years of Experience]]="","",IF(AND(tblSalaries[[#This Row],[Years of Experience]]&gt;5,tblSalaries[[#This Row],[Years of Experience]]&lt;=10),1,""))</f>
        <v/>
      </c>
      <c r="Q525" t="str">
        <f>IF(tblSalaries[[#This Row],[Years of Experience]]="","",IF(AND(tblSalaries[[#This Row],[Years of Experience]]&gt;10,tblSalaries[[#This Row],[Years of Experience]]&lt;=15),1,""))</f>
        <v/>
      </c>
      <c r="R525" t="str">
        <f>IF(tblSalaries[[#This Row],[Years of Experience]]="","",IF(AND(tblSalaries[[#This Row],[Years of Experience]]&gt;16,tblSalaries[[#This Row],[Years of Experience]]&lt;=20),1,""))</f>
        <v/>
      </c>
      <c r="S525" t="str">
        <f>IF(tblSalaries[[#This Row],[Years of Experience]]="","",IF(tblSalaries[[#This Row],[Years of Experience]]&gt;20,1,""))</f>
        <v/>
      </c>
      <c r="T5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5" s="13" t="str">
        <f>IF(tblSalaries[[#This Row],[Job Type]]=tblSalaries[[#Headers],[Accountant]],tblSalaries[[#This Row],[Salary in USD]],"")</f>
        <v/>
      </c>
      <c r="V525" s="13" t="str">
        <f>IF(tblSalaries[[#This Row],[Job Type]]=tblSalaries[[#Headers],[Analyst]],tblSalaries[[#This Row],[Salary in USD]],"")</f>
        <v/>
      </c>
      <c r="W525" s="13" t="str">
        <f>IF(tblSalaries[[#This Row],[Job Type]]=tblSalaries[[#Headers],[Consultant]],tblSalaries[[#This Row],[Salary in USD]],"")</f>
        <v/>
      </c>
      <c r="X525" s="13" t="str">
        <f>IF(tblSalaries[[#This Row],[Job Type]]=tblSalaries[[#Headers],[Controller]],tblSalaries[[#This Row],[Salary in USD]],"")</f>
        <v/>
      </c>
      <c r="Y525" s="13" t="str">
        <f>IF(tblSalaries[[#This Row],[Job Type]]=tblSalaries[[#Headers],[CXO or Top Mgmt.]],tblSalaries[[#This Row],[clean Salary (in local currency)]],"")</f>
        <v/>
      </c>
      <c r="Z525" s="13" t="str">
        <f>IF(tblSalaries[[#This Row],[Job Type]]=tblSalaries[[#Headers],[Engineer]],tblSalaries[[#This Row],[Salary in USD]],"")</f>
        <v/>
      </c>
      <c r="AA525" s="13">
        <f>IF(tblSalaries[[#This Row],[Job Type]]=tblSalaries[[#Headers],[Manager]],tblSalaries[[#This Row],[Salary in USD]],"")</f>
        <v>82300</v>
      </c>
      <c r="AB525" s="13" t="str">
        <f>IF(tblSalaries[[#This Row],[Job Type]]=tblSalaries[[#Headers],[Misc.]],tblSalaries[[#This Row],[Salary in USD]],"")</f>
        <v/>
      </c>
      <c r="AC525" s="13" t="str">
        <f>IF(tblSalaries[[#This Row],[Job Type]]=tblSalaries[[#Headers],[Reporting]],tblSalaries[[#This Row],[Salary in USD]],"")</f>
        <v/>
      </c>
      <c r="AD525" s="13" t="str">
        <f>IF(tblSalaries[[#This Row],[Job Type]]=tblSalaries[[#Headers],[Specialist]],tblSalaries[[#This Row],[Salary in USD]],"")</f>
        <v/>
      </c>
    </row>
    <row r="526" spans="2:30" ht="15" customHeight="1" x14ac:dyDescent="0.25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 s="9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  <c r="N526" t="str">
        <f>IF(tblSalaries[[#This Row],[Years of Experience]]="","",IF(tblSalaries[[#This Row],[Years of Experience]]&lt;=2,1,""))</f>
        <v/>
      </c>
      <c r="O526" t="str">
        <f>IF(tblSalaries[[#This Row],[Years of Experience]]="","",IF(AND(tblSalaries[[#This Row],[Years of Experience]]&gt;2,tblSalaries[[#This Row],[Years of Experience]]&lt;=5),1,""))</f>
        <v/>
      </c>
      <c r="P526" t="str">
        <f>IF(tblSalaries[[#This Row],[Years of Experience]]="","",IF(AND(tblSalaries[[#This Row],[Years of Experience]]&gt;5,tblSalaries[[#This Row],[Years of Experience]]&lt;=10),1,""))</f>
        <v/>
      </c>
      <c r="Q526" t="str">
        <f>IF(tblSalaries[[#This Row],[Years of Experience]]="","",IF(AND(tblSalaries[[#This Row],[Years of Experience]]&gt;10,tblSalaries[[#This Row],[Years of Experience]]&lt;=15),1,""))</f>
        <v/>
      </c>
      <c r="R526" t="str">
        <f>IF(tblSalaries[[#This Row],[Years of Experience]]="","",IF(AND(tblSalaries[[#This Row],[Years of Experience]]&gt;16,tblSalaries[[#This Row],[Years of Experience]]&lt;=20),1,""))</f>
        <v/>
      </c>
      <c r="S526" t="str">
        <f>IF(tblSalaries[[#This Row],[Years of Experience]]="","",IF(tblSalaries[[#This Row],[Years of Experience]]&gt;20,1,""))</f>
        <v/>
      </c>
      <c r="T5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6" s="13" t="str">
        <f>IF(tblSalaries[[#This Row],[Job Type]]=tblSalaries[[#Headers],[Accountant]],tblSalaries[[#This Row],[Salary in USD]],"")</f>
        <v/>
      </c>
      <c r="V526" s="13" t="str">
        <f>IF(tblSalaries[[#This Row],[Job Type]]=tblSalaries[[#Headers],[Analyst]],tblSalaries[[#This Row],[Salary in USD]],"")</f>
        <v/>
      </c>
      <c r="W526" s="13">
        <f>IF(tblSalaries[[#This Row],[Job Type]]=tblSalaries[[#Headers],[Consultant]],tblSalaries[[#This Row],[Salary in USD]],"")</f>
        <v>95000</v>
      </c>
      <c r="X526" s="13" t="str">
        <f>IF(tblSalaries[[#This Row],[Job Type]]=tblSalaries[[#Headers],[Controller]],tblSalaries[[#This Row],[Salary in USD]],"")</f>
        <v/>
      </c>
      <c r="Y526" s="13" t="str">
        <f>IF(tblSalaries[[#This Row],[Job Type]]=tblSalaries[[#Headers],[CXO or Top Mgmt.]],tblSalaries[[#This Row],[clean Salary (in local currency)]],"")</f>
        <v/>
      </c>
      <c r="Z526" s="13" t="str">
        <f>IF(tblSalaries[[#This Row],[Job Type]]=tblSalaries[[#Headers],[Engineer]],tblSalaries[[#This Row],[Salary in USD]],"")</f>
        <v/>
      </c>
      <c r="AA526" s="13" t="str">
        <f>IF(tblSalaries[[#This Row],[Job Type]]=tblSalaries[[#Headers],[Manager]],tblSalaries[[#This Row],[Salary in USD]],"")</f>
        <v/>
      </c>
      <c r="AB526" s="13" t="str">
        <f>IF(tblSalaries[[#This Row],[Job Type]]=tblSalaries[[#Headers],[Misc.]],tblSalaries[[#This Row],[Salary in USD]],"")</f>
        <v/>
      </c>
      <c r="AC526" s="13" t="str">
        <f>IF(tblSalaries[[#This Row],[Job Type]]=tblSalaries[[#Headers],[Reporting]],tblSalaries[[#This Row],[Salary in USD]],"")</f>
        <v/>
      </c>
      <c r="AD526" s="13" t="str">
        <f>IF(tblSalaries[[#This Row],[Job Type]]=tblSalaries[[#Headers],[Specialist]],tblSalaries[[#This Row],[Salary in USD]],"")</f>
        <v/>
      </c>
    </row>
    <row r="527" spans="2:30" ht="15" customHeight="1" x14ac:dyDescent="0.25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 s="9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  <c r="N527" t="str">
        <f>IF(tblSalaries[[#This Row],[Years of Experience]]="","",IF(tblSalaries[[#This Row],[Years of Experience]]&lt;=2,1,""))</f>
        <v/>
      </c>
      <c r="O527" t="str">
        <f>IF(tblSalaries[[#This Row],[Years of Experience]]="","",IF(AND(tblSalaries[[#This Row],[Years of Experience]]&gt;2,tblSalaries[[#This Row],[Years of Experience]]&lt;=5),1,""))</f>
        <v/>
      </c>
      <c r="P527" t="str">
        <f>IF(tblSalaries[[#This Row],[Years of Experience]]="","",IF(AND(tblSalaries[[#This Row],[Years of Experience]]&gt;5,tblSalaries[[#This Row],[Years of Experience]]&lt;=10),1,""))</f>
        <v/>
      </c>
      <c r="Q527" t="str">
        <f>IF(tblSalaries[[#This Row],[Years of Experience]]="","",IF(AND(tblSalaries[[#This Row],[Years of Experience]]&gt;10,tblSalaries[[#This Row],[Years of Experience]]&lt;=15),1,""))</f>
        <v/>
      </c>
      <c r="R527" t="str">
        <f>IF(tblSalaries[[#This Row],[Years of Experience]]="","",IF(AND(tblSalaries[[#This Row],[Years of Experience]]&gt;16,tblSalaries[[#This Row],[Years of Experience]]&lt;=20),1,""))</f>
        <v/>
      </c>
      <c r="S527" t="str">
        <f>IF(tblSalaries[[#This Row],[Years of Experience]]="","",IF(tblSalaries[[#This Row],[Years of Experience]]&gt;20,1,""))</f>
        <v/>
      </c>
      <c r="T5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7" s="13" t="str">
        <f>IF(tblSalaries[[#This Row],[Job Type]]=tblSalaries[[#Headers],[Accountant]],tblSalaries[[#This Row],[Salary in USD]],"")</f>
        <v/>
      </c>
      <c r="V527" s="13" t="str">
        <f>IF(tblSalaries[[#This Row],[Job Type]]=tblSalaries[[#Headers],[Analyst]],tblSalaries[[#This Row],[Salary in USD]],"")</f>
        <v/>
      </c>
      <c r="W527" s="13" t="str">
        <f>IF(tblSalaries[[#This Row],[Job Type]]=tblSalaries[[#Headers],[Consultant]],tblSalaries[[#This Row],[Salary in USD]],"")</f>
        <v/>
      </c>
      <c r="X527" s="13" t="str">
        <f>IF(tblSalaries[[#This Row],[Job Type]]=tblSalaries[[#Headers],[Controller]],tblSalaries[[#This Row],[Salary in USD]],"")</f>
        <v/>
      </c>
      <c r="Y527" s="13" t="str">
        <f>IF(tblSalaries[[#This Row],[Job Type]]=tblSalaries[[#Headers],[CXO or Top Mgmt.]],tblSalaries[[#This Row],[clean Salary (in local currency)]],"")</f>
        <v/>
      </c>
      <c r="Z527" s="13" t="str">
        <f>IF(tblSalaries[[#This Row],[Job Type]]=tblSalaries[[#Headers],[Engineer]],tblSalaries[[#This Row],[Salary in USD]],"")</f>
        <v/>
      </c>
      <c r="AA527" s="13" t="str">
        <f>IF(tblSalaries[[#This Row],[Job Type]]=tblSalaries[[#Headers],[Manager]],tblSalaries[[#This Row],[Salary in USD]],"")</f>
        <v/>
      </c>
      <c r="AB527" s="13" t="str">
        <f>IF(tblSalaries[[#This Row],[Job Type]]=tblSalaries[[#Headers],[Misc.]],tblSalaries[[#This Row],[Salary in USD]],"")</f>
        <v/>
      </c>
      <c r="AC527" s="13" t="str">
        <f>IF(tblSalaries[[#This Row],[Job Type]]=tblSalaries[[#Headers],[Reporting]],tblSalaries[[#This Row],[Salary in USD]],"")</f>
        <v/>
      </c>
      <c r="AD527" s="13">
        <f>IF(tblSalaries[[#This Row],[Job Type]]=tblSalaries[[#Headers],[Specialist]],tblSalaries[[#This Row],[Salary in USD]],"")</f>
        <v>220664.95808941979</v>
      </c>
    </row>
    <row r="528" spans="2:30" ht="15" customHeight="1" x14ac:dyDescent="0.25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 s="9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  <c r="N528" t="str">
        <f>IF(tblSalaries[[#This Row],[Years of Experience]]="","",IF(tblSalaries[[#This Row],[Years of Experience]]&lt;=2,1,""))</f>
        <v/>
      </c>
      <c r="O528" t="str">
        <f>IF(tblSalaries[[#This Row],[Years of Experience]]="","",IF(AND(tblSalaries[[#This Row],[Years of Experience]]&gt;2,tblSalaries[[#This Row],[Years of Experience]]&lt;=5),1,""))</f>
        <v/>
      </c>
      <c r="P528" t="str">
        <f>IF(tblSalaries[[#This Row],[Years of Experience]]="","",IF(AND(tblSalaries[[#This Row],[Years of Experience]]&gt;5,tblSalaries[[#This Row],[Years of Experience]]&lt;=10),1,""))</f>
        <v/>
      </c>
      <c r="Q528" t="str">
        <f>IF(tblSalaries[[#This Row],[Years of Experience]]="","",IF(AND(tblSalaries[[#This Row],[Years of Experience]]&gt;10,tblSalaries[[#This Row],[Years of Experience]]&lt;=15),1,""))</f>
        <v/>
      </c>
      <c r="R528" t="str">
        <f>IF(tblSalaries[[#This Row],[Years of Experience]]="","",IF(AND(tblSalaries[[#This Row],[Years of Experience]]&gt;16,tblSalaries[[#This Row],[Years of Experience]]&lt;=20),1,""))</f>
        <v/>
      </c>
      <c r="S528" t="str">
        <f>IF(tblSalaries[[#This Row],[Years of Experience]]="","",IF(tblSalaries[[#This Row],[Years of Experience]]&gt;20,1,""))</f>
        <v/>
      </c>
      <c r="T5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8" s="13" t="str">
        <f>IF(tblSalaries[[#This Row],[Job Type]]=tblSalaries[[#Headers],[Accountant]],tblSalaries[[#This Row],[Salary in USD]],"")</f>
        <v/>
      </c>
      <c r="V528" s="13">
        <f>IF(tblSalaries[[#This Row],[Job Type]]=tblSalaries[[#Headers],[Analyst]],tblSalaries[[#This Row],[Salary in USD]],"")</f>
        <v>72000</v>
      </c>
      <c r="W528" s="13" t="str">
        <f>IF(tblSalaries[[#This Row],[Job Type]]=tblSalaries[[#Headers],[Consultant]],tblSalaries[[#This Row],[Salary in USD]],"")</f>
        <v/>
      </c>
      <c r="X528" s="13" t="str">
        <f>IF(tblSalaries[[#This Row],[Job Type]]=tblSalaries[[#Headers],[Controller]],tblSalaries[[#This Row],[Salary in USD]],"")</f>
        <v/>
      </c>
      <c r="Y528" s="13" t="str">
        <f>IF(tblSalaries[[#This Row],[Job Type]]=tblSalaries[[#Headers],[CXO or Top Mgmt.]],tblSalaries[[#This Row],[clean Salary (in local currency)]],"")</f>
        <v/>
      </c>
      <c r="Z528" s="13" t="str">
        <f>IF(tblSalaries[[#This Row],[Job Type]]=tblSalaries[[#Headers],[Engineer]],tblSalaries[[#This Row],[Salary in USD]],"")</f>
        <v/>
      </c>
      <c r="AA528" s="13" t="str">
        <f>IF(tblSalaries[[#This Row],[Job Type]]=tblSalaries[[#Headers],[Manager]],tblSalaries[[#This Row],[Salary in USD]],"")</f>
        <v/>
      </c>
      <c r="AB528" s="13" t="str">
        <f>IF(tblSalaries[[#This Row],[Job Type]]=tblSalaries[[#Headers],[Misc.]],tblSalaries[[#This Row],[Salary in USD]],"")</f>
        <v/>
      </c>
      <c r="AC528" s="13" t="str">
        <f>IF(tblSalaries[[#This Row],[Job Type]]=tblSalaries[[#Headers],[Reporting]],tblSalaries[[#This Row],[Salary in USD]],"")</f>
        <v/>
      </c>
      <c r="AD528" s="13" t="str">
        <f>IF(tblSalaries[[#This Row],[Job Type]]=tblSalaries[[#Headers],[Specialist]],tblSalaries[[#This Row],[Salary in USD]],"")</f>
        <v/>
      </c>
    </row>
    <row r="529" spans="2:30" ht="15" customHeight="1" x14ac:dyDescent="0.25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 s="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  <c r="N529" t="str">
        <f>IF(tblSalaries[[#This Row],[Years of Experience]]="","",IF(tblSalaries[[#This Row],[Years of Experience]]&lt;=2,1,""))</f>
        <v/>
      </c>
      <c r="O529" t="str">
        <f>IF(tblSalaries[[#This Row],[Years of Experience]]="","",IF(AND(tblSalaries[[#This Row],[Years of Experience]]&gt;2,tblSalaries[[#This Row],[Years of Experience]]&lt;=5),1,""))</f>
        <v/>
      </c>
      <c r="P529" t="str">
        <f>IF(tblSalaries[[#This Row],[Years of Experience]]="","",IF(AND(tblSalaries[[#This Row],[Years of Experience]]&gt;5,tblSalaries[[#This Row],[Years of Experience]]&lt;=10),1,""))</f>
        <v/>
      </c>
      <c r="Q529" t="str">
        <f>IF(tblSalaries[[#This Row],[Years of Experience]]="","",IF(AND(tblSalaries[[#This Row],[Years of Experience]]&gt;10,tblSalaries[[#This Row],[Years of Experience]]&lt;=15),1,""))</f>
        <v/>
      </c>
      <c r="R529" t="str">
        <f>IF(tblSalaries[[#This Row],[Years of Experience]]="","",IF(AND(tblSalaries[[#This Row],[Years of Experience]]&gt;16,tblSalaries[[#This Row],[Years of Experience]]&lt;=20),1,""))</f>
        <v/>
      </c>
      <c r="S529" t="str">
        <f>IF(tblSalaries[[#This Row],[Years of Experience]]="","",IF(tblSalaries[[#This Row],[Years of Experience]]&gt;20,1,""))</f>
        <v/>
      </c>
      <c r="T5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29" s="13" t="str">
        <f>IF(tblSalaries[[#This Row],[Job Type]]=tblSalaries[[#Headers],[Accountant]],tblSalaries[[#This Row],[Salary in USD]],"")</f>
        <v/>
      </c>
      <c r="V529" s="13">
        <f>IF(tblSalaries[[#This Row],[Job Type]]=tblSalaries[[#Headers],[Analyst]],tblSalaries[[#This Row],[Salary in USD]],"")</f>
        <v>61194.579384158147</v>
      </c>
      <c r="W529" s="13" t="str">
        <f>IF(tblSalaries[[#This Row],[Job Type]]=tblSalaries[[#Headers],[Consultant]],tblSalaries[[#This Row],[Salary in USD]],"")</f>
        <v/>
      </c>
      <c r="X529" s="13" t="str">
        <f>IF(tblSalaries[[#This Row],[Job Type]]=tblSalaries[[#Headers],[Controller]],tblSalaries[[#This Row],[Salary in USD]],"")</f>
        <v/>
      </c>
      <c r="Y529" s="13" t="str">
        <f>IF(tblSalaries[[#This Row],[Job Type]]=tblSalaries[[#Headers],[CXO or Top Mgmt.]],tblSalaries[[#This Row],[clean Salary (in local currency)]],"")</f>
        <v/>
      </c>
      <c r="Z529" s="13" t="str">
        <f>IF(tblSalaries[[#This Row],[Job Type]]=tblSalaries[[#Headers],[Engineer]],tblSalaries[[#This Row],[Salary in USD]],"")</f>
        <v/>
      </c>
      <c r="AA529" s="13" t="str">
        <f>IF(tblSalaries[[#This Row],[Job Type]]=tblSalaries[[#Headers],[Manager]],tblSalaries[[#This Row],[Salary in USD]],"")</f>
        <v/>
      </c>
      <c r="AB529" s="13" t="str">
        <f>IF(tblSalaries[[#This Row],[Job Type]]=tblSalaries[[#Headers],[Misc.]],tblSalaries[[#This Row],[Salary in USD]],"")</f>
        <v/>
      </c>
      <c r="AC529" s="13" t="str">
        <f>IF(tblSalaries[[#This Row],[Job Type]]=tblSalaries[[#Headers],[Reporting]],tblSalaries[[#This Row],[Salary in USD]],"")</f>
        <v/>
      </c>
      <c r="AD529" s="13" t="str">
        <f>IF(tblSalaries[[#This Row],[Job Type]]=tblSalaries[[#Headers],[Specialist]],tblSalaries[[#This Row],[Salary in USD]],"")</f>
        <v/>
      </c>
    </row>
    <row r="530" spans="2:30" ht="15" customHeight="1" x14ac:dyDescent="0.25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 s="9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  <c r="N530" t="str">
        <f>IF(tblSalaries[[#This Row],[Years of Experience]]="","",IF(tblSalaries[[#This Row],[Years of Experience]]&lt;=2,1,""))</f>
        <v/>
      </c>
      <c r="O530" t="str">
        <f>IF(tblSalaries[[#This Row],[Years of Experience]]="","",IF(AND(tblSalaries[[#This Row],[Years of Experience]]&gt;2,tblSalaries[[#This Row],[Years of Experience]]&lt;=5),1,""))</f>
        <v/>
      </c>
      <c r="P530" t="str">
        <f>IF(tblSalaries[[#This Row],[Years of Experience]]="","",IF(AND(tblSalaries[[#This Row],[Years of Experience]]&gt;5,tblSalaries[[#This Row],[Years of Experience]]&lt;=10),1,""))</f>
        <v/>
      </c>
      <c r="Q530" t="str">
        <f>IF(tblSalaries[[#This Row],[Years of Experience]]="","",IF(AND(tblSalaries[[#This Row],[Years of Experience]]&gt;10,tblSalaries[[#This Row],[Years of Experience]]&lt;=15),1,""))</f>
        <v/>
      </c>
      <c r="R530" t="str">
        <f>IF(tblSalaries[[#This Row],[Years of Experience]]="","",IF(AND(tblSalaries[[#This Row],[Years of Experience]]&gt;16,tblSalaries[[#This Row],[Years of Experience]]&lt;=20),1,""))</f>
        <v/>
      </c>
      <c r="S530" t="str">
        <f>IF(tblSalaries[[#This Row],[Years of Experience]]="","",IF(tblSalaries[[#This Row],[Years of Experience]]&gt;20,1,""))</f>
        <v/>
      </c>
      <c r="T5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0" s="13" t="str">
        <f>IF(tblSalaries[[#This Row],[Job Type]]=tblSalaries[[#Headers],[Accountant]],tblSalaries[[#This Row],[Salary in USD]],"")</f>
        <v/>
      </c>
      <c r="V530" s="13" t="str">
        <f>IF(tblSalaries[[#This Row],[Job Type]]=tblSalaries[[#Headers],[Analyst]],tblSalaries[[#This Row],[Salary in USD]],"")</f>
        <v/>
      </c>
      <c r="W530" s="13" t="str">
        <f>IF(tblSalaries[[#This Row],[Job Type]]=tblSalaries[[#Headers],[Consultant]],tblSalaries[[#This Row],[Salary in USD]],"")</f>
        <v/>
      </c>
      <c r="X530" s="13" t="str">
        <f>IF(tblSalaries[[#This Row],[Job Type]]=tblSalaries[[#Headers],[Controller]],tblSalaries[[#This Row],[Salary in USD]],"")</f>
        <v/>
      </c>
      <c r="Y530" s="13" t="str">
        <f>IF(tblSalaries[[#This Row],[Job Type]]=tblSalaries[[#Headers],[CXO or Top Mgmt.]],tblSalaries[[#This Row],[clean Salary (in local currency)]],"")</f>
        <v/>
      </c>
      <c r="Z530" s="13" t="str">
        <f>IF(tblSalaries[[#This Row],[Job Type]]=tblSalaries[[#Headers],[Engineer]],tblSalaries[[#This Row],[Salary in USD]],"")</f>
        <v/>
      </c>
      <c r="AA530" s="13">
        <f>IF(tblSalaries[[#This Row],[Job Type]]=tblSalaries[[#Headers],[Manager]],tblSalaries[[#This Row],[Salary in USD]],"")</f>
        <v>120000</v>
      </c>
      <c r="AB530" s="13" t="str">
        <f>IF(tblSalaries[[#This Row],[Job Type]]=tblSalaries[[#Headers],[Misc.]],tblSalaries[[#This Row],[Salary in USD]],"")</f>
        <v/>
      </c>
      <c r="AC530" s="13" t="str">
        <f>IF(tblSalaries[[#This Row],[Job Type]]=tblSalaries[[#Headers],[Reporting]],tblSalaries[[#This Row],[Salary in USD]],"")</f>
        <v/>
      </c>
      <c r="AD530" s="13" t="str">
        <f>IF(tblSalaries[[#This Row],[Job Type]]=tblSalaries[[#Headers],[Specialist]],tblSalaries[[#This Row],[Salary in USD]],"")</f>
        <v/>
      </c>
    </row>
    <row r="531" spans="2:30" ht="15" customHeight="1" x14ac:dyDescent="0.25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 s="9">
        <f>tblSalaries[[#This Row],[clean Salary (in local currency)]]*VLOOKUP(tblSalaries[[#This Row],[Currency]],tblXrate[],2,FALSE)</f>
        <v>95000</v>
      </c>
      <c r="H531" t="s">
        <v>638</v>
      </c>
      <c r="I531" t="s">
        <v>4001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  <c r="N531" t="str">
        <f>IF(tblSalaries[[#This Row],[Years of Experience]]="","",IF(tblSalaries[[#This Row],[Years of Experience]]&lt;=2,1,""))</f>
        <v/>
      </c>
      <c r="O531" t="str">
        <f>IF(tblSalaries[[#This Row],[Years of Experience]]="","",IF(AND(tblSalaries[[#This Row],[Years of Experience]]&gt;2,tblSalaries[[#This Row],[Years of Experience]]&lt;=5),1,""))</f>
        <v/>
      </c>
      <c r="P531" t="str">
        <f>IF(tblSalaries[[#This Row],[Years of Experience]]="","",IF(AND(tblSalaries[[#This Row],[Years of Experience]]&gt;5,tblSalaries[[#This Row],[Years of Experience]]&lt;=10),1,""))</f>
        <v/>
      </c>
      <c r="Q531" t="str">
        <f>IF(tblSalaries[[#This Row],[Years of Experience]]="","",IF(AND(tblSalaries[[#This Row],[Years of Experience]]&gt;10,tblSalaries[[#This Row],[Years of Experience]]&lt;=15),1,""))</f>
        <v/>
      </c>
      <c r="R531" t="str">
        <f>IF(tblSalaries[[#This Row],[Years of Experience]]="","",IF(AND(tblSalaries[[#This Row],[Years of Experience]]&gt;16,tblSalaries[[#This Row],[Years of Experience]]&lt;=20),1,""))</f>
        <v/>
      </c>
      <c r="S531" t="str">
        <f>IF(tblSalaries[[#This Row],[Years of Experience]]="","",IF(tblSalaries[[#This Row],[Years of Experience]]&gt;20,1,""))</f>
        <v/>
      </c>
      <c r="T5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1" s="13" t="str">
        <f>IF(tblSalaries[[#This Row],[Job Type]]=tblSalaries[[#Headers],[Accountant]],tblSalaries[[#This Row],[Salary in USD]],"")</f>
        <v/>
      </c>
      <c r="V531" s="13" t="str">
        <f>IF(tblSalaries[[#This Row],[Job Type]]=tblSalaries[[#Headers],[Analyst]],tblSalaries[[#This Row],[Salary in USD]],"")</f>
        <v/>
      </c>
      <c r="W531" s="13" t="str">
        <f>IF(tblSalaries[[#This Row],[Job Type]]=tblSalaries[[#Headers],[Consultant]],tblSalaries[[#This Row],[Salary in USD]],"")</f>
        <v/>
      </c>
      <c r="X531" s="13" t="str">
        <f>IF(tblSalaries[[#This Row],[Job Type]]=tblSalaries[[#Headers],[Controller]],tblSalaries[[#This Row],[Salary in USD]],"")</f>
        <v/>
      </c>
      <c r="Y531" s="13">
        <f>IF(tblSalaries[[#This Row],[Job Type]]=tblSalaries[[#Headers],[CXO or Top Mgmt.]],tblSalaries[[#This Row],[clean Salary (in local currency)]],"")</f>
        <v>95000</v>
      </c>
      <c r="Z531" s="13" t="str">
        <f>IF(tblSalaries[[#This Row],[Job Type]]=tblSalaries[[#Headers],[Engineer]],tblSalaries[[#This Row],[Salary in USD]],"")</f>
        <v/>
      </c>
      <c r="AA531" s="13" t="str">
        <f>IF(tblSalaries[[#This Row],[Job Type]]=tblSalaries[[#Headers],[Manager]],tblSalaries[[#This Row],[Salary in USD]],"")</f>
        <v/>
      </c>
      <c r="AB531" s="13" t="str">
        <f>IF(tblSalaries[[#This Row],[Job Type]]=tblSalaries[[#Headers],[Misc.]],tblSalaries[[#This Row],[Salary in USD]],"")</f>
        <v/>
      </c>
      <c r="AC531" s="13" t="str">
        <f>IF(tblSalaries[[#This Row],[Job Type]]=tblSalaries[[#Headers],[Reporting]],tblSalaries[[#This Row],[Salary in USD]],"")</f>
        <v/>
      </c>
      <c r="AD531" s="13" t="str">
        <f>IF(tblSalaries[[#This Row],[Job Type]]=tblSalaries[[#Headers],[Specialist]],tblSalaries[[#This Row],[Salary in USD]],"")</f>
        <v/>
      </c>
    </row>
    <row r="532" spans="2:30" ht="15" customHeight="1" x14ac:dyDescent="0.25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 s="9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  <c r="N532" t="str">
        <f>IF(tblSalaries[[#This Row],[Years of Experience]]="","",IF(tblSalaries[[#This Row],[Years of Experience]]&lt;=2,1,""))</f>
        <v/>
      </c>
      <c r="O532" t="str">
        <f>IF(tblSalaries[[#This Row],[Years of Experience]]="","",IF(AND(tblSalaries[[#This Row],[Years of Experience]]&gt;2,tblSalaries[[#This Row],[Years of Experience]]&lt;=5),1,""))</f>
        <v/>
      </c>
      <c r="P532" t="str">
        <f>IF(tblSalaries[[#This Row],[Years of Experience]]="","",IF(AND(tblSalaries[[#This Row],[Years of Experience]]&gt;5,tblSalaries[[#This Row],[Years of Experience]]&lt;=10),1,""))</f>
        <v/>
      </c>
      <c r="Q532" t="str">
        <f>IF(tblSalaries[[#This Row],[Years of Experience]]="","",IF(AND(tblSalaries[[#This Row],[Years of Experience]]&gt;10,tblSalaries[[#This Row],[Years of Experience]]&lt;=15),1,""))</f>
        <v/>
      </c>
      <c r="R532" t="str">
        <f>IF(tblSalaries[[#This Row],[Years of Experience]]="","",IF(AND(tblSalaries[[#This Row],[Years of Experience]]&gt;16,tblSalaries[[#This Row],[Years of Experience]]&lt;=20),1,""))</f>
        <v/>
      </c>
      <c r="S532" t="str">
        <f>IF(tblSalaries[[#This Row],[Years of Experience]]="","",IF(tblSalaries[[#This Row],[Years of Experience]]&gt;20,1,""))</f>
        <v/>
      </c>
      <c r="T5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2" s="13" t="str">
        <f>IF(tblSalaries[[#This Row],[Job Type]]=tblSalaries[[#Headers],[Accountant]],tblSalaries[[#This Row],[Salary in USD]],"")</f>
        <v/>
      </c>
      <c r="V532" s="13">
        <f>IF(tblSalaries[[#This Row],[Job Type]]=tblSalaries[[#Headers],[Analyst]],tblSalaries[[#This Row],[Salary in USD]],"")</f>
        <v>50000</v>
      </c>
      <c r="W532" s="13" t="str">
        <f>IF(tblSalaries[[#This Row],[Job Type]]=tblSalaries[[#Headers],[Consultant]],tblSalaries[[#This Row],[Salary in USD]],"")</f>
        <v/>
      </c>
      <c r="X532" s="13" t="str">
        <f>IF(tblSalaries[[#This Row],[Job Type]]=tblSalaries[[#Headers],[Controller]],tblSalaries[[#This Row],[Salary in USD]],"")</f>
        <v/>
      </c>
      <c r="Y532" s="13" t="str">
        <f>IF(tblSalaries[[#This Row],[Job Type]]=tblSalaries[[#Headers],[CXO or Top Mgmt.]],tblSalaries[[#This Row],[clean Salary (in local currency)]],"")</f>
        <v/>
      </c>
      <c r="Z532" s="13" t="str">
        <f>IF(tblSalaries[[#This Row],[Job Type]]=tblSalaries[[#Headers],[Engineer]],tblSalaries[[#This Row],[Salary in USD]],"")</f>
        <v/>
      </c>
      <c r="AA532" s="13" t="str">
        <f>IF(tblSalaries[[#This Row],[Job Type]]=tblSalaries[[#Headers],[Manager]],tblSalaries[[#This Row],[Salary in USD]],"")</f>
        <v/>
      </c>
      <c r="AB532" s="13" t="str">
        <f>IF(tblSalaries[[#This Row],[Job Type]]=tblSalaries[[#Headers],[Misc.]],tblSalaries[[#This Row],[Salary in USD]],"")</f>
        <v/>
      </c>
      <c r="AC532" s="13" t="str">
        <f>IF(tblSalaries[[#This Row],[Job Type]]=tblSalaries[[#Headers],[Reporting]],tblSalaries[[#This Row],[Salary in USD]],"")</f>
        <v/>
      </c>
      <c r="AD532" s="13" t="str">
        <f>IF(tblSalaries[[#This Row],[Job Type]]=tblSalaries[[#Headers],[Specialist]],tblSalaries[[#This Row],[Salary in USD]],"")</f>
        <v/>
      </c>
    </row>
    <row r="533" spans="2:30" ht="15" customHeight="1" x14ac:dyDescent="0.25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 s="9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  <c r="N533" t="str">
        <f>IF(tblSalaries[[#This Row],[Years of Experience]]="","",IF(tblSalaries[[#This Row],[Years of Experience]]&lt;=2,1,""))</f>
        <v/>
      </c>
      <c r="O533" t="str">
        <f>IF(tblSalaries[[#This Row],[Years of Experience]]="","",IF(AND(tblSalaries[[#This Row],[Years of Experience]]&gt;2,tblSalaries[[#This Row],[Years of Experience]]&lt;=5),1,""))</f>
        <v/>
      </c>
      <c r="P533" t="str">
        <f>IF(tblSalaries[[#This Row],[Years of Experience]]="","",IF(AND(tblSalaries[[#This Row],[Years of Experience]]&gt;5,tblSalaries[[#This Row],[Years of Experience]]&lt;=10),1,""))</f>
        <v/>
      </c>
      <c r="Q533" t="str">
        <f>IF(tblSalaries[[#This Row],[Years of Experience]]="","",IF(AND(tblSalaries[[#This Row],[Years of Experience]]&gt;10,tblSalaries[[#This Row],[Years of Experience]]&lt;=15),1,""))</f>
        <v/>
      </c>
      <c r="R533" t="str">
        <f>IF(tblSalaries[[#This Row],[Years of Experience]]="","",IF(AND(tblSalaries[[#This Row],[Years of Experience]]&gt;16,tblSalaries[[#This Row],[Years of Experience]]&lt;=20),1,""))</f>
        <v/>
      </c>
      <c r="S533" t="str">
        <f>IF(tblSalaries[[#This Row],[Years of Experience]]="","",IF(tblSalaries[[#This Row],[Years of Experience]]&gt;20,1,""))</f>
        <v/>
      </c>
      <c r="T5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3" s="13" t="str">
        <f>IF(tblSalaries[[#This Row],[Job Type]]=tblSalaries[[#Headers],[Accountant]],tblSalaries[[#This Row],[Salary in USD]],"")</f>
        <v/>
      </c>
      <c r="V533" s="13" t="str">
        <f>IF(tblSalaries[[#This Row],[Job Type]]=tblSalaries[[#Headers],[Analyst]],tblSalaries[[#This Row],[Salary in USD]],"")</f>
        <v/>
      </c>
      <c r="W533" s="13" t="str">
        <f>IF(tblSalaries[[#This Row],[Job Type]]=tblSalaries[[#Headers],[Consultant]],tblSalaries[[#This Row],[Salary in USD]],"")</f>
        <v/>
      </c>
      <c r="X533" s="13" t="str">
        <f>IF(tblSalaries[[#This Row],[Job Type]]=tblSalaries[[#Headers],[Controller]],tblSalaries[[#This Row],[Salary in USD]],"")</f>
        <v/>
      </c>
      <c r="Y533" s="13" t="str">
        <f>IF(tblSalaries[[#This Row],[Job Type]]=tblSalaries[[#Headers],[CXO or Top Mgmt.]],tblSalaries[[#This Row],[clean Salary (in local currency)]],"")</f>
        <v/>
      </c>
      <c r="Z533" s="13" t="str">
        <f>IF(tblSalaries[[#This Row],[Job Type]]=tblSalaries[[#Headers],[Engineer]],tblSalaries[[#This Row],[Salary in USD]],"")</f>
        <v/>
      </c>
      <c r="AA533" s="13">
        <f>IF(tblSalaries[[#This Row],[Job Type]]=tblSalaries[[#Headers],[Manager]],tblSalaries[[#This Row],[Salary in USD]],"")</f>
        <v>115061.01386091174</v>
      </c>
      <c r="AB533" s="13" t="str">
        <f>IF(tblSalaries[[#This Row],[Job Type]]=tblSalaries[[#Headers],[Misc.]],tblSalaries[[#This Row],[Salary in USD]],"")</f>
        <v/>
      </c>
      <c r="AC533" s="13" t="str">
        <f>IF(tblSalaries[[#This Row],[Job Type]]=tblSalaries[[#Headers],[Reporting]],tblSalaries[[#This Row],[Salary in USD]],"")</f>
        <v/>
      </c>
      <c r="AD533" s="13" t="str">
        <f>IF(tblSalaries[[#This Row],[Job Type]]=tblSalaries[[#Headers],[Specialist]],tblSalaries[[#This Row],[Salary in USD]],"")</f>
        <v/>
      </c>
    </row>
    <row r="534" spans="2:30" ht="15" customHeight="1" x14ac:dyDescent="0.25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 s="9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644</v>
      </c>
      <c r="K534" t="str">
        <f>VLOOKUP(tblSalaries[[#This Row],[Where do you work]],tblCountries[[Actual]:[Mapping]],2,FALSE)</f>
        <v>self-employed</v>
      </c>
      <c r="L534" t="s">
        <v>9</v>
      </c>
      <c r="N534" t="str">
        <f>IF(tblSalaries[[#This Row],[Years of Experience]]="","",IF(tblSalaries[[#This Row],[Years of Experience]]&lt;=2,1,""))</f>
        <v/>
      </c>
      <c r="O534" t="str">
        <f>IF(tblSalaries[[#This Row],[Years of Experience]]="","",IF(AND(tblSalaries[[#This Row],[Years of Experience]]&gt;2,tblSalaries[[#This Row],[Years of Experience]]&lt;=5),1,""))</f>
        <v/>
      </c>
      <c r="P534" t="str">
        <f>IF(tblSalaries[[#This Row],[Years of Experience]]="","",IF(AND(tblSalaries[[#This Row],[Years of Experience]]&gt;5,tblSalaries[[#This Row],[Years of Experience]]&lt;=10),1,""))</f>
        <v/>
      </c>
      <c r="Q534" t="str">
        <f>IF(tblSalaries[[#This Row],[Years of Experience]]="","",IF(AND(tblSalaries[[#This Row],[Years of Experience]]&gt;10,tblSalaries[[#This Row],[Years of Experience]]&lt;=15),1,""))</f>
        <v/>
      </c>
      <c r="R534" t="str">
        <f>IF(tblSalaries[[#This Row],[Years of Experience]]="","",IF(AND(tblSalaries[[#This Row],[Years of Experience]]&gt;16,tblSalaries[[#This Row],[Years of Experience]]&lt;=20),1,""))</f>
        <v/>
      </c>
      <c r="S534" t="str">
        <f>IF(tblSalaries[[#This Row],[Years of Experience]]="","",IF(tblSalaries[[#This Row],[Years of Experience]]&gt;20,1,""))</f>
        <v/>
      </c>
      <c r="T5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4" s="13" t="str">
        <f>IF(tblSalaries[[#This Row],[Job Type]]=tblSalaries[[#Headers],[Accountant]],tblSalaries[[#This Row],[Salary in USD]],"")</f>
        <v/>
      </c>
      <c r="V534" s="13">
        <f>IF(tblSalaries[[#This Row],[Job Type]]=tblSalaries[[#Headers],[Analyst]],tblSalaries[[#This Row],[Salary in USD]],"")</f>
        <v>50000</v>
      </c>
      <c r="W534" s="13" t="str">
        <f>IF(tblSalaries[[#This Row],[Job Type]]=tblSalaries[[#Headers],[Consultant]],tblSalaries[[#This Row],[Salary in USD]],"")</f>
        <v/>
      </c>
      <c r="X534" s="13" t="str">
        <f>IF(tblSalaries[[#This Row],[Job Type]]=tblSalaries[[#Headers],[Controller]],tblSalaries[[#This Row],[Salary in USD]],"")</f>
        <v/>
      </c>
      <c r="Y534" s="13" t="str">
        <f>IF(tblSalaries[[#This Row],[Job Type]]=tblSalaries[[#Headers],[CXO or Top Mgmt.]],tblSalaries[[#This Row],[clean Salary (in local currency)]],"")</f>
        <v/>
      </c>
      <c r="Z534" s="13" t="str">
        <f>IF(tblSalaries[[#This Row],[Job Type]]=tblSalaries[[#Headers],[Engineer]],tblSalaries[[#This Row],[Salary in USD]],"")</f>
        <v/>
      </c>
      <c r="AA534" s="13" t="str">
        <f>IF(tblSalaries[[#This Row],[Job Type]]=tblSalaries[[#Headers],[Manager]],tblSalaries[[#This Row],[Salary in USD]],"")</f>
        <v/>
      </c>
      <c r="AB534" s="13" t="str">
        <f>IF(tblSalaries[[#This Row],[Job Type]]=tblSalaries[[#Headers],[Misc.]],tblSalaries[[#This Row],[Salary in USD]],"")</f>
        <v/>
      </c>
      <c r="AC534" s="13" t="str">
        <f>IF(tblSalaries[[#This Row],[Job Type]]=tblSalaries[[#Headers],[Reporting]],tblSalaries[[#This Row],[Salary in USD]],"")</f>
        <v/>
      </c>
      <c r="AD534" s="13" t="str">
        <f>IF(tblSalaries[[#This Row],[Job Type]]=tblSalaries[[#Headers],[Specialist]],tblSalaries[[#This Row],[Salary in USD]],"")</f>
        <v/>
      </c>
    </row>
    <row r="535" spans="2:30" ht="15" customHeight="1" x14ac:dyDescent="0.25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 s="9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  <c r="N535" t="str">
        <f>IF(tblSalaries[[#This Row],[Years of Experience]]="","",IF(tblSalaries[[#This Row],[Years of Experience]]&lt;=2,1,""))</f>
        <v/>
      </c>
      <c r="O535" t="str">
        <f>IF(tblSalaries[[#This Row],[Years of Experience]]="","",IF(AND(tblSalaries[[#This Row],[Years of Experience]]&gt;2,tblSalaries[[#This Row],[Years of Experience]]&lt;=5),1,""))</f>
        <v/>
      </c>
      <c r="P535" t="str">
        <f>IF(tblSalaries[[#This Row],[Years of Experience]]="","",IF(AND(tblSalaries[[#This Row],[Years of Experience]]&gt;5,tblSalaries[[#This Row],[Years of Experience]]&lt;=10),1,""))</f>
        <v/>
      </c>
      <c r="Q535" t="str">
        <f>IF(tblSalaries[[#This Row],[Years of Experience]]="","",IF(AND(tblSalaries[[#This Row],[Years of Experience]]&gt;10,tblSalaries[[#This Row],[Years of Experience]]&lt;=15),1,""))</f>
        <v/>
      </c>
      <c r="R535" t="str">
        <f>IF(tblSalaries[[#This Row],[Years of Experience]]="","",IF(AND(tblSalaries[[#This Row],[Years of Experience]]&gt;16,tblSalaries[[#This Row],[Years of Experience]]&lt;=20),1,""))</f>
        <v/>
      </c>
      <c r="S535" t="str">
        <f>IF(tblSalaries[[#This Row],[Years of Experience]]="","",IF(tblSalaries[[#This Row],[Years of Experience]]&gt;20,1,""))</f>
        <v/>
      </c>
      <c r="T5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5" s="13" t="str">
        <f>IF(tblSalaries[[#This Row],[Job Type]]=tblSalaries[[#Headers],[Accountant]],tblSalaries[[#This Row],[Salary in USD]],"")</f>
        <v/>
      </c>
      <c r="V535" s="13">
        <f>IF(tblSalaries[[#This Row],[Job Type]]=tblSalaries[[#Headers],[Analyst]],tblSalaries[[#This Row],[Salary in USD]],"")</f>
        <v>46000</v>
      </c>
      <c r="W535" s="13" t="str">
        <f>IF(tblSalaries[[#This Row],[Job Type]]=tblSalaries[[#Headers],[Consultant]],tblSalaries[[#This Row],[Salary in USD]],"")</f>
        <v/>
      </c>
      <c r="X535" s="13" t="str">
        <f>IF(tblSalaries[[#This Row],[Job Type]]=tblSalaries[[#Headers],[Controller]],tblSalaries[[#This Row],[Salary in USD]],"")</f>
        <v/>
      </c>
      <c r="Y535" s="13" t="str">
        <f>IF(tblSalaries[[#This Row],[Job Type]]=tblSalaries[[#Headers],[CXO or Top Mgmt.]],tblSalaries[[#This Row],[clean Salary (in local currency)]],"")</f>
        <v/>
      </c>
      <c r="Z535" s="13" t="str">
        <f>IF(tblSalaries[[#This Row],[Job Type]]=tblSalaries[[#Headers],[Engineer]],tblSalaries[[#This Row],[Salary in USD]],"")</f>
        <v/>
      </c>
      <c r="AA535" s="13" t="str">
        <f>IF(tblSalaries[[#This Row],[Job Type]]=tblSalaries[[#Headers],[Manager]],tblSalaries[[#This Row],[Salary in USD]],"")</f>
        <v/>
      </c>
      <c r="AB535" s="13" t="str">
        <f>IF(tblSalaries[[#This Row],[Job Type]]=tblSalaries[[#Headers],[Misc.]],tblSalaries[[#This Row],[Salary in USD]],"")</f>
        <v/>
      </c>
      <c r="AC535" s="13" t="str">
        <f>IF(tblSalaries[[#This Row],[Job Type]]=tblSalaries[[#Headers],[Reporting]],tblSalaries[[#This Row],[Salary in USD]],"")</f>
        <v/>
      </c>
      <c r="AD535" s="13" t="str">
        <f>IF(tblSalaries[[#This Row],[Job Type]]=tblSalaries[[#Headers],[Specialist]],tblSalaries[[#This Row],[Salary in USD]],"")</f>
        <v/>
      </c>
    </row>
    <row r="536" spans="2:30" ht="15" customHeight="1" x14ac:dyDescent="0.25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 s="9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  <c r="N536" t="str">
        <f>IF(tblSalaries[[#This Row],[Years of Experience]]="","",IF(tblSalaries[[#This Row],[Years of Experience]]&lt;=2,1,""))</f>
        <v/>
      </c>
      <c r="O536" t="str">
        <f>IF(tblSalaries[[#This Row],[Years of Experience]]="","",IF(AND(tblSalaries[[#This Row],[Years of Experience]]&gt;2,tblSalaries[[#This Row],[Years of Experience]]&lt;=5),1,""))</f>
        <v/>
      </c>
      <c r="P536" t="str">
        <f>IF(tblSalaries[[#This Row],[Years of Experience]]="","",IF(AND(tblSalaries[[#This Row],[Years of Experience]]&gt;5,tblSalaries[[#This Row],[Years of Experience]]&lt;=10),1,""))</f>
        <v/>
      </c>
      <c r="Q536" t="str">
        <f>IF(tblSalaries[[#This Row],[Years of Experience]]="","",IF(AND(tblSalaries[[#This Row],[Years of Experience]]&gt;10,tblSalaries[[#This Row],[Years of Experience]]&lt;=15),1,""))</f>
        <v/>
      </c>
      <c r="R536" t="str">
        <f>IF(tblSalaries[[#This Row],[Years of Experience]]="","",IF(AND(tblSalaries[[#This Row],[Years of Experience]]&gt;16,tblSalaries[[#This Row],[Years of Experience]]&lt;=20),1,""))</f>
        <v/>
      </c>
      <c r="S536" t="str">
        <f>IF(tblSalaries[[#This Row],[Years of Experience]]="","",IF(tblSalaries[[#This Row],[Years of Experience]]&gt;20,1,""))</f>
        <v/>
      </c>
      <c r="T5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6" s="13" t="str">
        <f>IF(tblSalaries[[#This Row],[Job Type]]=tblSalaries[[#Headers],[Accountant]],tblSalaries[[#This Row],[Salary in USD]],"")</f>
        <v/>
      </c>
      <c r="V536" s="13" t="str">
        <f>IF(tblSalaries[[#This Row],[Job Type]]=tblSalaries[[#Headers],[Analyst]],tblSalaries[[#This Row],[Salary in USD]],"")</f>
        <v/>
      </c>
      <c r="W536" s="13">
        <f>IF(tblSalaries[[#This Row],[Job Type]]=tblSalaries[[#Headers],[Consultant]],tblSalaries[[#This Row],[Salary in USD]],"")</f>
        <v>6368.453230079479</v>
      </c>
      <c r="X536" s="13" t="str">
        <f>IF(tblSalaries[[#This Row],[Job Type]]=tblSalaries[[#Headers],[Controller]],tblSalaries[[#This Row],[Salary in USD]],"")</f>
        <v/>
      </c>
      <c r="Y536" s="13" t="str">
        <f>IF(tblSalaries[[#This Row],[Job Type]]=tblSalaries[[#Headers],[CXO or Top Mgmt.]],tblSalaries[[#This Row],[clean Salary (in local currency)]],"")</f>
        <v/>
      </c>
      <c r="Z536" s="13" t="str">
        <f>IF(tblSalaries[[#This Row],[Job Type]]=tblSalaries[[#Headers],[Engineer]],tblSalaries[[#This Row],[Salary in USD]],"")</f>
        <v/>
      </c>
      <c r="AA536" s="13" t="str">
        <f>IF(tblSalaries[[#This Row],[Job Type]]=tblSalaries[[#Headers],[Manager]],tblSalaries[[#This Row],[Salary in USD]],"")</f>
        <v/>
      </c>
      <c r="AB536" s="13" t="str">
        <f>IF(tblSalaries[[#This Row],[Job Type]]=tblSalaries[[#Headers],[Misc.]],tblSalaries[[#This Row],[Salary in USD]],"")</f>
        <v/>
      </c>
      <c r="AC536" s="13" t="str">
        <f>IF(tblSalaries[[#This Row],[Job Type]]=tblSalaries[[#Headers],[Reporting]],tblSalaries[[#This Row],[Salary in USD]],"")</f>
        <v/>
      </c>
      <c r="AD536" s="13" t="str">
        <f>IF(tblSalaries[[#This Row],[Job Type]]=tblSalaries[[#Headers],[Specialist]],tblSalaries[[#This Row],[Salary in USD]],"")</f>
        <v/>
      </c>
    </row>
    <row r="537" spans="2:30" ht="15" customHeight="1" x14ac:dyDescent="0.25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 s="9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  <c r="N537" t="str">
        <f>IF(tblSalaries[[#This Row],[Years of Experience]]="","",IF(tblSalaries[[#This Row],[Years of Experience]]&lt;=2,1,""))</f>
        <v/>
      </c>
      <c r="O537" t="str">
        <f>IF(tblSalaries[[#This Row],[Years of Experience]]="","",IF(AND(tblSalaries[[#This Row],[Years of Experience]]&gt;2,tblSalaries[[#This Row],[Years of Experience]]&lt;=5),1,""))</f>
        <v/>
      </c>
      <c r="P537" t="str">
        <f>IF(tblSalaries[[#This Row],[Years of Experience]]="","",IF(AND(tblSalaries[[#This Row],[Years of Experience]]&gt;5,tblSalaries[[#This Row],[Years of Experience]]&lt;=10),1,""))</f>
        <v/>
      </c>
      <c r="Q537" t="str">
        <f>IF(tblSalaries[[#This Row],[Years of Experience]]="","",IF(AND(tblSalaries[[#This Row],[Years of Experience]]&gt;10,tblSalaries[[#This Row],[Years of Experience]]&lt;=15),1,""))</f>
        <v/>
      </c>
      <c r="R537" t="str">
        <f>IF(tblSalaries[[#This Row],[Years of Experience]]="","",IF(AND(tblSalaries[[#This Row],[Years of Experience]]&gt;16,tblSalaries[[#This Row],[Years of Experience]]&lt;=20),1,""))</f>
        <v/>
      </c>
      <c r="S537" t="str">
        <f>IF(tblSalaries[[#This Row],[Years of Experience]]="","",IF(tblSalaries[[#This Row],[Years of Experience]]&gt;20,1,""))</f>
        <v/>
      </c>
      <c r="T5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7" s="13" t="str">
        <f>IF(tblSalaries[[#This Row],[Job Type]]=tblSalaries[[#Headers],[Accountant]],tblSalaries[[#This Row],[Salary in USD]],"")</f>
        <v/>
      </c>
      <c r="V537" s="13">
        <f>IF(tblSalaries[[#This Row],[Job Type]]=tblSalaries[[#Headers],[Analyst]],tblSalaries[[#This Row],[Salary in USD]],"")</f>
        <v>86692.320794224041</v>
      </c>
      <c r="W537" s="13" t="str">
        <f>IF(tblSalaries[[#This Row],[Job Type]]=tblSalaries[[#Headers],[Consultant]],tblSalaries[[#This Row],[Salary in USD]],"")</f>
        <v/>
      </c>
      <c r="X537" s="13" t="str">
        <f>IF(tblSalaries[[#This Row],[Job Type]]=tblSalaries[[#Headers],[Controller]],tblSalaries[[#This Row],[Salary in USD]],"")</f>
        <v/>
      </c>
      <c r="Y537" s="13" t="str">
        <f>IF(tblSalaries[[#This Row],[Job Type]]=tblSalaries[[#Headers],[CXO or Top Mgmt.]],tblSalaries[[#This Row],[clean Salary (in local currency)]],"")</f>
        <v/>
      </c>
      <c r="Z537" s="13" t="str">
        <f>IF(tblSalaries[[#This Row],[Job Type]]=tblSalaries[[#Headers],[Engineer]],tblSalaries[[#This Row],[Salary in USD]],"")</f>
        <v/>
      </c>
      <c r="AA537" s="13" t="str">
        <f>IF(tblSalaries[[#This Row],[Job Type]]=tblSalaries[[#Headers],[Manager]],tblSalaries[[#This Row],[Salary in USD]],"")</f>
        <v/>
      </c>
      <c r="AB537" s="13" t="str">
        <f>IF(tblSalaries[[#This Row],[Job Type]]=tblSalaries[[#Headers],[Misc.]],tblSalaries[[#This Row],[Salary in USD]],"")</f>
        <v/>
      </c>
      <c r="AC537" s="13" t="str">
        <f>IF(tblSalaries[[#This Row],[Job Type]]=tblSalaries[[#Headers],[Reporting]],tblSalaries[[#This Row],[Salary in USD]],"")</f>
        <v/>
      </c>
      <c r="AD537" s="13" t="str">
        <f>IF(tblSalaries[[#This Row],[Job Type]]=tblSalaries[[#Headers],[Specialist]],tblSalaries[[#This Row],[Salary in USD]],"")</f>
        <v/>
      </c>
    </row>
    <row r="538" spans="2:30" ht="15" customHeight="1" x14ac:dyDescent="0.25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 s="9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  <c r="N538" t="str">
        <f>IF(tblSalaries[[#This Row],[Years of Experience]]="","",IF(tblSalaries[[#This Row],[Years of Experience]]&lt;=2,1,""))</f>
        <v/>
      </c>
      <c r="O538" t="str">
        <f>IF(tblSalaries[[#This Row],[Years of Experience]]="","",IF(AND(tblSalaries[[#This Row],[Years of Experience]]&gt;2,tblSalaries[[#This Row],[Years of Experience]]&lt;=5),1,""))</f>
        <v/>
      </c>
      <c r="P538" t="str">
        <f>IF(tblSalaries[[#This Row],[Years of Experience]]="","",IF(AND(tblSalaries[[#This Row],[Years of Experience]]&gt;5,tblSalaries[[#This Row],[Years of Experience]]&lt;=10),1,""))</f>
        <v/>
      </c>
      <c r="Q538" t="str">
        <f>IF(tblSalaries[[#This Row],[Years of Experience]]="","",IF(AND(tblSalaries[[#This Row],[Years of Experience]]&gt;10,tblSalaries[[#This Row],[Years of Experience]]&lt;=15),1,""))</f>
        <v/>
      </c>
      <c r="R538" t="str">
        <f>IF(tblSalaries[[#This Row],[Years of Experience]]="","",IF(AND(tblSalaries[[#This Row],[Years of Experience]]&gt;16,tblSalaries[[#This Row],[Years of Experience]]&lt;=20),1,""))</f>
        <v/>
      </c>
      <c r="S538" t="str">
        <f>IF(tblSalaries[[#This Row],[Years of Experience]]="","",IF(tblSalaries[[#This Row],[Years of Experience]]&gt;20,1,""))</f>
        <v/>
      </c>
      <c r="T5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8" s="13" t="str">
        <f>IF(tblSalaries[[#This Row],[Job Type]]=tblSalaries[[#Headers],[Accountant]],tblSalaries[[#This Row],[Salary in USD]],"")</f>
        <v/>
      </c>
      <c r="V538" s="13" t="str">
        <f>IF(tblSalaries[[#This Row],[Job Type]]=tblSalaries[[#Headers],[Analyst]],tblSalaries[[#This Row],[Salary in USD]],"")</f>
        <v/>
      </c>
      <c r="W538" s="13" t="str">
        <f>IF(tblSalaries[[#This Row],[Job Type]]=tblSalaries[[#Headers],[Consultant]],tblSalaries[[#This Row],[Salary in USD]],"")</f>
        <v/>
      </c>
      <c r="X538" s="13" t="str">
        <f>IF(tblSalaries[[#This Row],[Job Type]]=tblSalaries[[#Headers],[Controller]],tblSalaries[[#This Row],[Salary in USD]],"")</f>
        <v/>
      </c>
      <c r="Y538" s="13" t="str">
        <f>IF(tblSalaries[[#This Row],[Job Type]]=tblSalaries[[#Headers],[CXO or Top Mgmt.]],tblSalaries[[#This Row],[clean Salary (in local currency)]],"")</f>
        <v/>
      </c>
      <c r="Z538" s="13" t="str">
        <f>IF(tblSalaries[[#This Row],[Job Type]]=tblSalaries[[#Headers],[Engineer]],tblSalaries[[#This Row],[Salary in USD]],"")</f>
        <v/>
      </c>
      <c r="AA538" s="13">
        <f>IF(tblSalaries[[#This Row],[Job Type]]=tblSalaries[[#Headers],[Manager]],tblSalaries[[#This Row],[Salary in USD]],"")</f>
        <v>8013.5625093491553</v>
      </c>
      <c r="AB538" s="13" t="str">
        <f>IF(tblSalaries[[#This Row],[Job Type]]=tblSalaries[[#Headers],[Misc.]],tblSalaries[[#This Row],[Salary in USD]],"")</f>
        <v/>
      </c>
      <c r="AC538" s="13" t="str">
        <f>IF(tblSalaries[[#This Row],[Job Type]]=tblSalaries[[#Headers],[Reporting]],tblSalaries[[#This Row],[Salary in USD]],"")</f>
        <v/>
      </c>
      <c r="AD538" s="13" t="str">
        <f>IF(tblSalaries[[#This Row],[Job Type]]=tblSalaries[[#Headers],[Specialist]],tblSalaries[[#This Row],[Salary in USD]],"")</f>
        <v/>
      </c>
    </row>
    <row r="539" spans="2:30" ht="15" customHeight="1" x14ac:dyDescent="0.25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 s="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  <c r="N539" t="str">
        <f>IF(tblSalaries[[#This Row],[Years of Experience]]="","",IF(tblSalaries[[#This Row],[Years of Experience]]&lt;=2,1,""))</f>
        <v/>
      </c>
      <c r="O539" t="str">
        <f>IF(tblSalaries[[#This Row],[Years of Experience]]="","",IF(AND(tblSalaries[[#This Row],[Years of Experience]]&gt;2,tblSalaries[[#This Row],[Years of Experience]]&lt;=5),1,""))</f>
        <v/>
      </c>
      <c r="P539" t="str">
        <f>IF(tblSalaries[[#This Row],[Years of Experience]]="","",IF(AND(tblSalaries[[#This Row],[Years of Experience]]&gt;5,tblSalaries[[#This Row],[Years of Experience]]&lt;=10),1,""))</f>
        <v/>
      </c>
      <c r="Q539" t="str">
        <f>IF(tblSalaries[[#This Row],[Years of Experience]]="","",IF(AND(tblSalaries[[#This Row],[Years of Experience]]&gt;10,tblSalaries[[#This Row],[Years of Experience]]&lt;=15),1,""))</f>
        <v/>
      </c>
      <c r="R539" t="str">
        <f>IF(tblSalaries[[#This Row],[Years of Experience]]="","",IF(AND(tblSalaries[[#This Row],[Years of Experience]]&gt;16,tblSalaries[[#This Row],[Years of Experience]]&lt;=20),1,""))</f>
        <v/>
      </c>
      <c r="S539" t="str">
        <f>IF(tblSalaries[[#This Row],[Years of Experience]]="","",IF(tblSalaries[[#This Row],[Years of Experience]]&gt;20,1,""))</f>
        <v/>
      </c>
      <c r="T5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39" s="13">
        <f>IF(tblSalaries[[#This Row],[Job Type]]=tblSalaries[[#Headers],[Accountant]],tblSalaries[[#This Row],[Salary in USD]],"")</f>
        <v>43000</v>
      </c>
      <c r="V539" s="13" t="str">
        <f>IF(tblSalaries[[#This Row],[Job Type]]=tblSalaries[[#Headers],[Analyst]],tblSalaries[[#This Row],[Salary in USD]],"")</f>
        <v/>
      </c>
      <c r="W539" s="13" t="str">
        <f>IF(tblSalaries[[#This Row],[Job Type]]=tblSalaries[[#Headers],[Consultant]],tblSalaries[[#This Row],[Salary in USD]],"")</f>
        <v/>
      </c>
      <c r="X539" s="13" t="str">
        <f>IF(tblSalaries[[#This Row],[Job Type]]=tblSalaries[[#Headers],[Controller]],tblSalaries[[#This Row],[Salary in USD]],"")</f>
        <v/>
      </c>
      <c r="Y539" s="13" t="str">
        <f>IF(tblSalaries[[#This Row],[Job Type]]=tblSalaries[[#Headers],[CXO or Top Mgmt.]],tblSalaries[[#This Row],[clean Salary (in local currency)]],"")</f>
        <v/>
      </c>
      <c r="Z539" s="13" t="str">
        <f>IF(tblSalaries[[#This Row],[Job Type]]=tblSalaries[[#Headers],[Engineer]],tblSalaries[[#This Row],[Salary in USD]],"")</f>
        <v/>
      </c>
      <c r="AA539" s="13" t="str">
        <f>IF(tblSalaries[[#This Row],[Job Type]]=tblSalaries[[#Headers],[Manager]],tblSalaries[[#This Row],[Salary in USD]],"")</f>
        <v/>
      </c>
      <c r="AB539" s="13" t="str">
        <f>IF(tblSalaries[[#This Row],[Job Type]]=tblSalaries[[#Headers],[Misc.]],tblSalaries[[#This Row],[Salary in USD]],"")</f>
        <v/>
      </c>
      <c r="AC539" s="13" t="str">
        <f>IF(tblSalaries[[#This Row],[Job Type]]=tblSalaries[[#Headers],[Reporting]],tblSalaries[[#This Row],[Salary in USD]],"")</f>
        <v/>
      </c>
      <c r="AD539" s="13" t="str">
        <f>IF(tblSalaries[[#This Row],[Job Type]]=tblSalaries[[#Headers],[Specialist]],tblSalaries[[#This Row],[Salary in USD]],"")</f>
        <v/>
      </c>
    </row>
    <row r="540" spans="2:30" ht="15" customHeight="1" x14ac:dyDescent="0.25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 s="9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  <c r="N540" t="str">
        <f>IF(tblSalaries[[#This Row],[Years of Experience]]="","",IF(tblSalaries[[#This Row],[Years of Experience]]&lt;=2,1,""))</f>
        <v/>
      </c>
      <c r="O540" t="str">
        <f>IF(tblSalaries[[#This Row],[Years of Experience]]="","",IF(AND(tblSalaries[[#This Row],[Years of Experience]]&gt;2,tblSalaries[[#This Row],[Years of Experience]]&lt;=5),1,""))</f>
        <v/>
      </c>
      <c r="P540" t="str">
        <f>IF(tblSalaries[[#This Row],[Years of Experience]]="","",IF(AND(tblSalaries[[#This Row],[Years of Experience]]&gt;5,tblSalaries[[#This Row],[Years of Experience]]&lt;=10),1,""))</f>
        <v/>
      </c>
      <c r="Q540" t="str">
        <f>IF(tblSalaries[[#This Row],[Years of Experience]]="","",IF(AND(tblSalaries[[#This Row],[Years of Experience]]&gt;10,tblSalaries[[#This Row],[Years of Experience]]&lt;=15),1,""))</f>
        <v/>
      </c>
      <c r="R540" t="str">
        <f>IF(tblSalaries[[#This Row],[Years of Experience]]="","",IF(AND(tblSalaries[[#This Row],[Years of Experience]]&gt;16,tblSalaries[[#This Row],[Years of Experience]]&lt;=20),1,""))</f>
        <v/>
      </c>
      <c r="S540" t="str">
        <f>IF(tblSalaries[[#This Row],[Years of Experience]]="","",IF(tblSalaries[[#This Row],[Years of Experience]]&gt;20,1,""))</f>
        <v/>
      </c>
      <c r="T5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0" s="13" t="str">
        <f>IF(tblSalaries[[#This Row],[Job Type]]=tblSalaries[[#Headers],[Accountant]],tblSalaries[[#This Row],[Salary in USD]],"")</f>
        <v/>
      </c>
      <c r="V540" s="13" t="str">
        <f>IF(tblSalaries[[#This Row],[Job Type]]=tblSalaries[[#Headers],[Analyst]],tblSalaries[[#This Row],[Salary in USD]],"")</f>
        <v/>
      </c>
      <c r="W540" s="13" t="str">
        <f>IF(tblSalaries[[#This Row],[Job Type]]=tblSalaries[[#Headers],[Consultant]],tblSalaries[[#This Row],[Salary in USD]],"")</f>
        <v/>
      </c>
      <c r="X540" s="13" t="str">
        <f>IF(tblSalaries[[#This Row],[Job Type]]=tblSalaries[[#Headers],[Controller]],tblSalaries[[#This Row],[Salary in USD]],"")</f>
        <v/>
      </c>
      <c r="Y540" s="13" t="str">
        <f>IF(tblSalaries[[#This Row],[Job Type]]=tblSalaries[[#Headers],[CXO or Top Mgmt.]],tblSalaries[[#This Row],[clean Salary (in local currency)]],"")</f>
        <v/>
      </c>
      <c r="Z540" s="13">
        <f>IF(tblSalaries[[#This Row],[Job Type]]=tblSalaries[[#Headers],[Engineer]],tblSalaries[[#This Row],[Salary in USD]],"")</f>
        <v>18000</v>
      </c>
      <c r="AA540" s="13" t="str">
        <f>IF(tblSalaries[[#This Row],[Job Type]]=tblSalaries[[#Headers],[Manager]],tblSalaries[[#This Row],[Salary in USD]],"")</f>
        <v/>
      </c>
      <c r="AB540" s="13" t="str">
        <f>IF(tblSalaries[[#This Row],[Job Type]]=tblSalaries[[#Headers],[Misc.]],tblSalaries[[#This Row],[Salary in USD]],"")</f>
        <v/>
      </c>
      <c r="AC540" s="13" t="str">
        <f>IF(tblSalaries[[#This Row],[Job Type]]=tblSalaries[[#Headers],[Reporting]],tblSalaries[[#This Row],[Salary in USD]],"")</f>
        <v/>
      </c>
      <c r="AD540" s="13" t="str">
        <f>IF(tblSalaries[[#This Row],[Job Type]]=tblSalaries[[#Headers],[Specialist]],tblSalaries[[#This Row],[Salary in USD]],"")</f>
        <v/>
      </c>
    </row>
    <row r="541" spans="2:30" ht="15" customHeight="1" x14ac:dyDescent="0.25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 s="9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  <c r="N541" t="str">
        <f>IF(tblSalaries[[#This Row],[Years of Experience]]="","",IF(tblSalaries[[#This Row],[Years of Experience]]&lt;=2,1,""))</f>
        <v/>
      </c>
      <c r="O541" t="str">
        <f>IF(tblSalaries[[#This Row],[Years of Experience]]="","",IF(AND(tblSalaries[[#This Row],[Years of Experience]]&gt;2,tblSalaries[[#This Row],[Years of Experience]]&lt;=5),1,""))</f>
        <v/>
      </c>
      <c r="P541" t="str">
        <f>IF(tblSalaries[[#This Row],[Years of Experience]]="","",IF(AND(tblSalaries[[#This Row],[Years of Experience]]&gt;5,tblSalaries[[#This Row],[Years of Experience]]&lt;=10),1,""))</f>
        <v/>
      </c>
      <c r="Q541" t="str">
        <f>IF(tblSalaries[[#This Row],[Years of Experience]]="","",IF(AND(tblSalaries[[#This Row],[Years of Experience]]&gt;10,tblSalaries[[#This Row],[Years of Experience]]&lt;=15),1,""))</f>
        <v/>
      </c>
      <c r="R541" t="str">
        <f>IF(tblSalaries[[#This Row],[Years of Experience]]="","",IF(AND(tblSalaries[[#This Row],[Years of Experience]]&gt;16,tblSalaries[[#This Row],[Years of Experience]]&lt;=20),1,""))</f>
        <v/>
      </c>
      <c r="S541" t="str">
        <f>IF(tblSalaries[[#This Row],[Years of Experience]]="","",IF(tblSalaries[[#This Row],[Years of Experience]]&gt;20,1,""))</f>
        <v/>
      </c>
      <c r="T5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1" s="13" t="str">
        <f>IF(tblSalaries[[#This Row],[Job Type]]=tblSalaries[[#Headers],[Accountant]],tblSalaries[[#This Row],[Salary in USD]],"")</f>
        <v/>
      </c>
      <c r="V541" s="13">
        <f>IF(tblSalaries[[#This Row],[Job Type]]=tblSalaries[[#Headers],[Analyst]],tblSalaries[[#This Row],[Salary in USD]],"")</f>
        <v>55000</v>
      </c>
      <c r="W541" s="13" t="str">
        <f>IF(tblSalaries[[#This Row],[Job Type]]=tblSalaries[[#Headers],[Consultant]],tblSalaries[[#This Row],[Salary in USD]],"")</f>
        <v/>
      </c>
      <c r="X541" s="13" t="str">
        <f>IF(tblSalaries[[#This Row],[Job Type]]=tblSalaries[[#Headers],[Controller]],tblSalaries[[#This Row],[Salary in USD]],"")</f>
        <v/>
      </c>
      <c r="Y541" s="13" t="str">
        <f>IF(tblSalaries[[#This Row],[Job Type]]=tblSalaries[[#Headers],[CXO or Top Mgmt.]],tblSalaries[[#This Row],[clean Salary (in local currency)]],"")</f>
        <v/>
      </c>
      <c r="Z541" s="13" t="str">
        <f>IF(tblSalaries[[#This Row],[Job Type]]=tblSalaries[[#Headers],[Engineer]],tblSalaries[[#This Row],[Salary in USD]],"")</f>
        <v/>
      </c>
      <c r="AA541" s="13" t="str">
        <f>IF(tblSalaries[[#This Row],[Job Type]]=tblSalaries[[#Headers],[Manager]],tblSalaries[[#This Row],[Salary in USD]],"")</f>
        <v/>
      </c>
      <c r="AB541" s="13" t="str">
        <f>IF(tblSalaries[[#This Row],[Job Type]]=tblSalaries[[#Headers],[Misc.]],tblSalaries[[#This Row],[Salary in USD]],"")</f>
        <v/>
      </c>
      <c r="AC541" s="13" t="str">
        <f>IF(tblSalaries[[#This Row],[Job Type]]=tblSalaries[[#Headers],[Reporting]],tblSalaries[[#This Row],[Salary in USD]],"")</f>
        <v/>
      </c>
      <c r="AD541" s="13" t="str">
        <f>IF(tblSalaries[[#This Row],[Job Type]]=tblSalaries[[#Headers],[Specialist]],tblSalaries[[#This Row],[Salary in USD]],"")</f>
        <v/>
      </c>
    </row>
    <row r="542" spans="2:30" ht="15" customHeight="1" x14ac:dyDescent="0.25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 s="9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  <c r="N542" t="str">
        <f>IF(tblSalaries[[#This Row],[Years of Experience]]="","",IF(tblSalaries[[#This Row],[Years of Experience]]&lt;=2,1,""))</f>
        <v/>
      </c>
      <c r="O542" t="str">
        <f>IF(tblSalaries[[#This Row],[Years of Experience]]="","",IF(AND(tblSalaries[[#This Row],[Years of Experience]]&gt;2,tblSalaries[[#This Row],[Years of Experience]]&lt;=5),1,""))</f>
        <v/>
      </c>
      <c r="P542" t="str">
        <f>IF(tblSalaries[[#This Row],[Years of Experience]]="","",IF(AND(tblSalaries[[#This Row],[Years of Experience]]&gt;5,tblSalaries[[#This Row],[Years of Experience]]&lt;=10),1,""))</f>
        <v/>
      </c>
      <c r="Q542" t="str">
        <f>IF(tblSalaries[[#This Row],[Years of Experience]]="","",IF(AND(tblSalaries[[#This Row],[Years of Experience]]&gt;10,tblSalaries[[#This Row],[Years of Experience]]&lt;=15),1,""))</f>
        <v/>
      </c>
      <c r="R542" t="str">
        <f>IF(tblSalaries[[#This Row],[Years of Experience]]="","",IF(AND(tblSalaries[[#This Row],[Years of Experience]]&gt;16,tblSalaries[[#This Row],[Years of Experience]]&lt;=20),1,""))</f>
        <v/>
      </c>
      <c r="S542" t="str">
        <f>IF(tblSalaries[[#This Row],[Years of Experience]]="","",IF(tblSalaries[[#This Row],[Years of Experience]]&gt;20,1,""))</f>
        <v/>
      </c>
      <c r="T5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2" s="13" t="str">
        <f>IF(tblSalaries[[#This Row],[Job Type]]=tblSalaries[[#Headers],[Accountant]],tblSalaries[[#This Row],[Salary in USD]],"")</f>
        <v/>
      </c>
      <c r="V542" s="13">
        <f>IF(tblSalaries[[#This Row],[Job Type]]=tblSalaries[[#Headers],[Analyst]],tblSalaries[[#This Row],[Salary in USD]],"")</f>
        <v>8903.9583437212841</v>
      </c>
      <c r="W542" s="13" t="str">
        <f>IF(tblSalaries[[#This Row],[Job Type]]=tblSalaries[[#Headers],[Consultant]],tblSalaries[[#This Row],[Salary in USD]],"")</f>
        <v/>
      </c>
      <c r="X542" s="13" t="str">
        <f>IF(tblSalaries[[#This Row],[Job Type]]=tblSalaries[[#Headers],[Controller]],tblSalaries[[#This Row],[Salary in USD]],"")</f>
        <v/>
      </c>
      <c r="Y542" s="13" t="str">
        <f>IF(tblSalaries[[#This Row],[Job Type]]=tblSalaries[[#Headers],[CXO or Top Mgmt.]],tblSalaries[[#This Row],[clean Salary (in local currency)]],"")</f>
        <v/>
      </c>
      <c r="Z542" s="13" t="str">
        <f>IF(tblSalaries[[#This Row],[Job Type]]=tblSalaries[[#Headers],[Engineer]],tblSalaries[[#This Row],[Salary in USD]],"")</f>
        <v/>
      </c>
      <c r="AA542" s="13" t="str">
        <f>IF(tblSalaries[[#This Row],[Job Type]]=tblSalaries[[#Headers],[Manager]],tblSalaries[[#This Row],[Salary in USD]],"")</f>
        <v/>
      </c>
      <c r="AB542" s="13" t="str">
        <f>IF(tblSalaries[[#This Row],[Job Type]]=tblSalaries[[#Headers],[Misc.]],tblSalaries[[#This Row],[Salary in USD]],"")</f>
        <v/>
      </c>
      <c r="AC542" s="13" t="str">
        <f>IF(tblSalaries[[#This Row],[Job Type]]=tblSalaries[[#Headers],[Reporting]],tblSalaries[[#This Row],[Salary in USD]],"")</f>
        <v/>
      </c>
      <c r="AD542" s="13" t="str">
        <f>IF(tblSalaries[[#This Row],[Job Type]]=tblSalaries[[#Headers],[Specialist]],tblSalaries[[#This Row],[Salary in USD]],"")</f>
        <v/>
      </c>
    </row>
    <row r="543" spans="2:30" ht="15" customHeight="1" x14ac:dyDescent="0.25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 s="9">
        <f>tblSalaries[[#This Row],[clean Salary (in local currency)]]*VLOOKUP(tblSalaries[[#This Row],[Currency]],tblXrate[],2,FALSE)</f>
        <v>45000</v>
      </c>
      <c r="H543" t="s">
        <v>650</v>
      </c>
      <c r="I543" t="s">
        <v>3999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  <c r="N543" t="str">
        <f>IF(tblSalaries[[#This Row],[Years of Experience]]="","",IF(tblSalaries[[#This Row],[Years of Experience]]&lt;=2,1,""))</f>
        <v/>
      </c>
      <c r="O543" t="str">
        <f>IF(tblSalaries[[#This Row],[Years of Experience]]="","",IF(AND(tblSalaries[[#This Row],[Years of Experience]]&gt;2,tblSalaries[[#This Row],[Years of Experience]]&lt;=5),1,""))</f>
        <v/>
      </c>
      <c r="P543" t="str">
        <f>IF(tblSalaries[[#This Row],[Years of Experience]]="","",IF(AND(tblSalaries[[#This Row],[Years of Experience]]&gt;5,tblSalaries[[#This Row],[Years of Experience]]&lt;=10),1,""))</f>
        <v/>
      </c>
      <c r="Q543" t="str">
        <f>IF(tblSalaries[[#This Row],[Years of Experience]]="","",IF(AND(tblSalaries[[#This Row],[Years of Experience]]&gt;10,tblSalaries[[#This Row],[Years of Experience]]&lt;=15),1,""))</f>
        <v/>
      </c>
      <c r="R543" t="str">
        <f>IF(tblSalaries[[#This Row],[Years of Experience]]="","",IF(AND(tblSalaries[[#This Row],[Years of Experience]]&gt;16,tblSalaries[[#This Row],[Years of Experience]]&lt;=20),1,""))</f>
        <v/>
      </c>
      <c r="S543" t="str">
        <f>IF(tblSalaries[[#This Row],[Years of Experience]]="","",IF(tblSalaries[[#This Row],[Years of Experience]]&gt;20,1,""))</f>
        <v/>
      </c>
      <c r="T5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3" s="13" t="str">
        <f>IF(tblSalaries[[#This Row],[Job Type]]=tblSalaries[[#Headers],[Accountant]],tblSalaries[[#This Row],[Salary in USD]],"")</f>
        <v/>
      </c>
      <c r="V543" s="13" t="str">
        <f>IF(tblSalaries[[#This Row],[Job Type]]=tblSalaries[[#Headers],[Analyst]],tblSalaries[[#This Row],[Salary in USD]],"")</f>
        <v/>
      </c>
      <c r="W543" s="13" t="str">
        <f>IF(tblSalaries[[#This Row],[Job Type]]=tblSalaries[[#Headers],[Consultant]],tblSalaries[[#This Row],[Salary in USD]],"")</f>
        <v/>
      </c>
      <c r="X543" s="13" t="str">
        <f>IF(tblSalaries[[#This Row],[Job Type]]=tblSalaries[[#Headers],[Controller]],tblSalaries[[#This Row],[Salary in USD]],"")</f>
        <v/>
      </c>
      <c r="Y543" s="13" t="str">
        <f>IF(tblSalaries[[#This Row],[Job Type]]=tblSalaries[[#Headers],[CXO or Top Mgmt.]],tblSalaries[[#This Row],[clean Salary (in local currency)]],"")</f>
        <v/>
      </c>
      <c r="Z543" s="13" t="str">
        <f>IF(tblSalaries[[#This Row],[Job Type]]=tblSalaries[[#Headers],[Engineer]],tblSalaries[[#This Row],[Salary in USD]],"")</f>
        <v/>
      </c>
      <c r="AA543" s="13" t="str">
        <f>IF(tblSalaries[[#This Row],[Job Type]]=tblSalaries[[#Headers],[Manager]],tblSalaries[[#This Row],[Salary in USD]],"")</f>
        <v/>
      </c>
      <c r="AB543" s="13" t="str">
        <f>IF(tblSalaries[[#This Row],[Job Type]]=tblSalaries[[#Headers],[Misc.]],tblSalaries[[#This Row],[Salary in USD]],"")</f>
        <v/>
      </c>
      <c r="AC543" s="13">
        <f>IF(tblSalaries[[#This Row],[Job Type]]=tblSalaries[[#Headers],[Reporting]],tblSalaries[[#This Row],[Salary in USD]],"")</f>
        <v>45000</v>
      </c>
      <c r="AD543" s="13" t="str">
        <f>IF(tblSalaries[[#This Row],[Job Type]]=tblSalaries[[#Headers],[Specialist]],tblSalaries[[#This Row],[Salary in USD]],"")</f>
        <v/>
      </c>
    </row>
    <row r="544" spans="2:30" ht="15" customHeight="1" x14ac:dyDescent="0.25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 s="9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  <c r="N544" t="str">
        <f>IF(tblSalaries[[#This Row],[Years of Experience]]="","",IF(tblSalaries[[#This Row],[Years of Experience]]&lt;=2,1,""))</f>
        <v/>
      </c>
      <c r="O544" t="str">
        <f>IF(tblSalaries[[#This Row],[Years of Experience]]="","",IF(AND(tblSalaries[[#This Row],[Years of Experience]]&gt;2,tblSalaries[[#This Row],[Years of Experience]]&lt;=5),1,""))</f>
        <v/>
      </c>
      <c r="P544" t="str">
        <f>IF(tblSalaries[[#This Row],[Years of Experience]]="","",IF(AND(tblSalaries[[#This Row],[Years of Experience]]&gt;5,tblSalaries[[#This Row],[Years of Experience]]&lt;=10),1,""))</f>
        <v/>
      </c>
      <c r="Q544" t="str">
        <f>IF(tblSalaries[[#This Row],[Years of Experience]]="","",IF(AND(tblSalaries[[#This Row],[Years of Experience]]&gt;10,tblSalaries[[#This Row],[Years of Experience]]&lt;=15),1,""))</f>
        <v/>
      </c>
      <c r="R544" t="str">
        <f>IF(tblSalaries[[#This Row],[Years of Experience]]="","",IF(AND(tblSalaries[[#This Row],[Years of Experience]]&gt;16,tblSalaries[[#This Row],[Years of Experience]]&lt;=20),1,""))</f>
        <v/>
      </c>
      <c r="S544" t="str">
        <f>IF(tblSalaries[[#This Row],[Years of Experience]]="","",IF(tblSalaries[[#This Row],[Years of Experience]]&gt;20,1,""))</f>
        <v/>
      </c>
      <c r="T5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4" s="13" t="str">
        <f>IF(tblSalaries[[#This Row],[Job Type]]=tblSalaries[[#Headers],[Accountant]],tblSalaries[[#This Row],[Salary in USD]],"")</f>
        <v/>
      </c>
      <c r="V544" s="13" t="str">
        <f>IF(tblSalaries[[#This Row],[Job Type]]=tblSalaries[[#Headers],[Analyst]],tblSalaries[[#This Row],[Salary in USD]],"")</f>
        <v/>
      </c>
      <c r="W544" s="13" t="str">
        <f>IF(tblSalaries[[#This Row],[Job Type]]=tblSalaries[[#Headers],[Consultant]],tblSalaries[[#This Row],[Salary in USD]],"")</f>
        <v/>
      </c>
      <c r="X544" s="13" t="str">
        <f>IF(tblSalaries[[#This Row],[Job Type]]=tblSalaries[[#Headers],[Controller]],tblSalaries[[#This Row],[Salary in USD]],"")</f>
        <v/>
      </c>
      <c r="Y544" s="13" t="str">
        <f>IF(tblSalaries[[#This Row],[Job Type]]=tblSalaries[[#Headers],[CXO or Top Mgmt.]],tblSalaries[[#This Row],[clean Salary (in local currency)]],"")</f>
        <v/>
      </c>
      <c r="Z544" s="13" t="str">
        <f>IF(tblSalaries[[#This Row],[Job Type]]=tblSalaries[[#Headers],[Engineer]],tblSalaries[[#This Row],[Salary in USD]],"")</f>
        <v/>
      </c>
      <c r="AA544" s="13">
        <f>IF(tblSalaries[[#This Row],[Job Type]]=tblSalaries[[#Headers],[Manager]],tblSalaries[[#This Row],[Salary in USD]],"")</f>
        <v>50000</v>
      </c>
      <c r="AB544" s="13" t="str">
        <f>IF(tblSalaries[[#This Row],[Job Type]]=tblSalaries[[#Headers],[Misc.]],tblSalaries[[#This Row],[Salary in USD]],"")</f>
        <v/>
      </c>
      <c r="AC544" s="13" t="str">
        <f>IF(tblSalaries[[#This Row],[Job Type]]=tblSalaries[[#Headers],[Reporting]],tblSalaries[[#This Row],[Salary in USD]],"")</f>
        <v/>
      </c>
      <c r="AD544" s="13" t="str">
        <f>IF(tblSalaries[[#This Row],[Job Type]]=tblSalaries[[#Headers],[Specialist]],tblSalaries[[#This Row],[Salary in USD]],"")</f>
        <v/>
      </c>
    </row>
    <row r="545" spans="2:30" ht="15" customHeight="1" x14ac:dyDescent="0.25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 s="9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  <c r="N545" t="str">
        <f>IF(tblSalaries[[#This Row],[Years of Experience]]="","",IF(tblSalaries[[#This Row],[Years of Experience]]&lt;=2,1,""))</f>
        <v/>
      </c>
      <c r="O545" t="str">
        <f>IF(tblSalaries[[#This Row],[Years of Experience]]="","",IF(AND(tblSalaries[[#This Row],[Years of Experience]]&gt;2,tblSalaries[[#This Row],[Years of Experience]]&lt;=5),1,""))</f>
        <v/>
      </c>
      <c r="P545" t="str">
        <f>IF(tblSalaries[[#This Row],[Years of Experience]]="","",IF(AND(tblSalaries[[#This Row],[Years of Experience]]&gt;5,tblSalaries[[#This Row],[Years of Experience]]&lt;=10),1,""))</f>
        <v/>
      </c>
      <c r="Q545" t="str">
        <f>IF(tblSalaries[[#This Row],[Years of Experience]]="","",IF(AND(tblSalaries[[#This Row],[Years of Experience]]&gt;10,tblSalaries[[#This Row],[Years of Experience]]&lt;=15),1,""))</f>
        <v/>
      </c>
      <c r="R545" t="str">
        <f>IF(tblSalaries[[#This Row],[Years of Experience]]="","",IF(AND(tblSalaries[[#This Row],[Years of Experience]]&gt;16,tblSalaries[[#This Row],[Years of Experience]]&lt;=20),1,""))</f>
        <v/>
      </c>
      <c r="S545" t="str">
        <f>IF(tblSalaries[[#This Row],[Years of Experience]]="","",IF(tblSalaries[[#This Row],[Years of Experience]]&gt;20,1,""))</f>
        <v/>
      </c>
      <c r="T5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5" s="13" t="str">
        <f>IF(tblSalaries[[#This Row],[Job Type]]=tblSalaries[[#Headers],[Accountant]],tblSalaries[[#This Row],[Salary in USD]],"")</f>
        <v/>
      </c>
      <c r="V545" s="13">
        <f>IF(tblSalaries[[#This Row],[Job Type]]=tblSalaries[[#Headers],[Analyst]],tblSalaries[[#This Row],[Salary in USD]],"")</f>
        <v>80000</v>
      </c>
      <c r="W545" s="13" t="str">
        <f>IF(tblSalaries[[#This Row],[Job Type]]=tblSalaries[[#Headers],[Consultant]],tblSalaries[[#This Row],[Salary in USD]],"")</f>
        <v/>
      </c>
      <c r="X545" s="13" t="str">
        <f>IF(tblSalaries[[#This Row],[Job Type]]=tblSalaries[[#Headers],[Controller]],tblSalaries[[#This Row],[Salary in USD]],"")</f>
        <v/>
      </c>
      <c r="Y545" s="13" t="str">
        <f>IF(tblSalaries[[#This Row],[Job Type]]=tblSalaries[[#Headers],[CXO or Top Mgmt.]],tblSalaries[[#This Row],[clean Salary (in local currency)]],"")</f>
        <v/>
      </c>
      <c r="Z545" s="13" t="str">
        <f>IF(tblSalaries[[#This Row],[Job Type]]=tblSalaries[[#Headers],[Engineer]],tblSalaries[[#This Row],[Salary in USD]],"")</f>
        <v/>
      </c>
      <c r="AA545" s="13" t="str">
        <f>IF(tblSalaries[[#This Row],[Job Type]]=tblSalaries[[#Headers],[Manager]],tblSalaries[[#This Row],[Salary in USD]],"")</f>
        <v/>
      </c>
      <c r="AB545" s="13" t="str">
        <f>IF(tblSalaries[[#This Row],[Job Type]]=tblSalaries[[#Headers],[Misc.]],tblSalaries[[#This Row],[Salary in USD]],"")</f>
        <v/>
      </c>
      <c r="AC545" s="13" t="str">
        <f>IF(tblSalaries[[#This Row],[Job Type]]=tblSalaries[[#Headers],[Reporting]],tblSalaries[[#This Row],[Salary in USD]],"")</f>
        <v/>
      </c>
      <c r="AD545" s="13" t="str">
        <f>IF(tblSalaries[[#This Row],[Job Type]]=tblSalaries[[#Headers],[Specialist]],tblSalaries[[#This Row],[Salary in USD]],"")</f>
        <v/>
      </c>
    </row>
    <row r="546" spans="2:30" ht="15" customHeight="1" x14ac:dyDescent="0.25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 s="9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  <c r="N546" t="str">
        <f>IF(tblSalaries[[#This Row],[Years of Experience]]="","",IF(tblSalaries[[#This Row],[Years of Experience]]&lt;=2,1,""))</f>
        <v/>
      </c>
      <c r="O546" t="str">
        <f>IF(tblSalaries[[#This Row],[Years of Experience]]="","",IF(AND(tblSalaries[[#This Row],[Years of Experience]]&gt;2,tblSalaries[[#This Row],[Years of Experience]]&lt;=5),1,""))</f>
        <v/>
      </c>
      <c r="P546" t="str">
        <f>IF(tblSalaries[[#This Row],[Years of Experience]]="","",IF(AND(tblSalaries[[#This Row],[Years of Experience]]&gt;5,tblSalaries[[#This Row],[Years of Experience]]&lt;=10),1,""))</f>
        <v/>
      </c>
      <c r="Q546" t="str">
        <f>IF(tblSalaries[[#This Row],[Years of Experience]]="","",IF(AND(tblSalaries[[#This Row],[Years of Experience]]&gt;10,tblSalaries[[#This Row],[Years of Experience]]&lt;=15),1,""))</f>
        <v/>
      </c>
      <c r="R546" t="str">
        <f>IF(tblSalaries[[#This Row],[Years of Experience]]="","",IF(AND(tblSalaries[[#This Row],[Years of Experience]]&gt;16,tblSalaries[[#This Row],[Years of Experience]]&lt;=20),1,""))</f>
        <v/>
      </c>
      <c r="S546" t="str">
        <f>IF(tblSalaries[[#This Row],[Years of Experience]]="","",IF(tblSalaries[[#This Row],[Years of Experience]]&gt;20,1,""))</f>
        <v/>
      </c>
      <c r="T5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6" s="13" t="str">
        <f>IF(tblSalaries[[#This Row],[Job Type]]=tblSalaries[[#Headers],[Accountant]],tblSalaries[[#This Row],[Salary in USD]],"")</f>
        <v/>
      </c>
      <c r="V546" s="13">
        <f>IF(tblSalaries[[#This Row],[Job Type]]=tblSalaries[[#Headers],[Analyst]],tblSalaries[[#This Row],[Salary in USD]],"")</f>
        <v>67000</v>
      </c>
      <c r="W546" s="13" t="str">
        <f>IF(tblSalaries[[#This Row],[Job Type]]=tblSalaries[[#Headers],[Consultant]],tblSalaries[[#This Row],[Salary in USD]],"")</f>
        <v/>
      </c>
      <c r="X546" s="13" t="str">
        <f>IF(tblSalaries[[#This Row],[Job Type]]=tblSalaries[[#Headers],[Controller]],tblSalaries[[#This Row],[Salary in USD]],"")</f>
        <v/>
      </c>
      <c r="Y546" s="13" t="str">
        <f>IF(tblSalaries[[#This Row],[Job Type]]=tblSalaries[[#Headers],[CXO or Top Mgmt.]],tblSalaries[[#This Row],[clean Salary (in local currency)]],"")</f>
        <v/>
      </c>
      <c r="Z546" s="13" t="str">
        <f>IF(tblSalaries[[#This Row],[Job Type]]=tblSalaries[[#Headers],[Engineer]],tblSalaries[[#This Row],[Salary in USD]],"")</f>
        <v/>
      </c>
      <c r="AA546" s="13" t="str">
        <f>IF(tblSalaries[[#This Row],[Job Type]]=tblSalaries[[#Headers],[Manager]],tblSalaries[[#This Row],[Salary in USD]],"")</f>
        <v/>
      </c>
      <c r="AB546" s="13" t="str">
        <f>IF(tblSalaries[[#This Row],[Job Type]]=tblSalaries[[#Headers],[Misc.]],tblSalaries[[#This Row],[Salary in USD]],"")</f>
        <v/>
      </c>
      <c r="AC546" s="13" t="str">
        <f>IF(tblSalaries[[#This Row],[Job Type]]=tblSalaries[[#Headers],[Reporting]],tblSalaries[[#This Row],[Salary in USD]],"")</f>
        <v/>
      </c>
      <c r="AD546" s="13" t="str">
        <f>IF(tblSalaries[[#This Row],[Job Type]]=tblSalaries[[#Headers],[Specialist]],tblSalaries[[#This Row],[Salary in USD]],"")</f>
        <v/>
      </c>
    </row>
    <row r="547" spans="2:30" ht="15" customHeight="1" x14ac:dyDescent="0.25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 s="9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  <c r="N547" t="str">
        <f>IF(tblSalaries[[#This Row],[Years of Experience]]="","",IF(tblSalaries[[#This Row],[Years of Experience]]&lt;=2,1,""))</f>
        <v/>
      </c>
      <c r="O547" t="str">
        <f>IF(tblSalaries[[#This Row],[Years of Experience]]="","",IF(AND(tblSalaries[[#This Row],[Years of Experience]]&gt;2,tblSalaries[[#This Row],[Years of Experience]]&lt;=5),1,""))</f>
        <v/>
      </c>
      <c r="P547" t="str">
        <f>IF(tblSalaries[[#This Row],[Years of Experience]]="","",IF(AND(tblSalaries[[#This Row],[Years of Experience]]&gt;5,tblSalaries[[#This Row],[Years of Experience]]&lt;=10),1,""))</f>
        <v/>
      </c>
      <c r="Q547" t="str">
        <f>IF(tblSalaries[[#This Row],[Years of Experience]]="","",IF(AND(tblSalaries[[#This Row],[Years of Experience]]&gt;10,tblSalaries[[#This Row],[Years of Experience]]&lt;=15),1,""))</f>
        <v/>
      </c>
      <c r="R547" t="str">
        <f>IF(tblSalaries[[#This Row],[Years of Experience]]="","",IF(AND(tblSalaries[[#This Row],[Years of Experience]]&gt;16,tblSalaries[[#This Row],[Years of Experience]]&lt;=20),1,""))</f>
        <v/>
      </c>
      <c r="S547" t="str">
        <f>IF(tblSalaries[[#This Row],[Years of Experience]]="","",IF(tblSalaries[[#This Row],[Years of Experience]]&gt;20,1,""))</f>
        <v/>
      </c>
      <c r="T5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7" s="13" t="str">
        <f>IF(tblSalaries[[#This Row],[Job Type]]=tblSalaries[[#Headers],[Accountant]],tblSalaries[[#This Row],[Salary in USD]],"")</f>
        <v/>
      </c>
      <c r="V547" s="13">
        <f>IF(tblSalaries[[#This Row],[Job Type]]=tblSalaries[[#Headers],[Analyst]],tblSalaries[[#This Row],[Salary in USD]],"")</f>
        <v>111000</v>
      </c>
      <c r="W547" s="13" t="str">
        <f>IF(tblSalaries[[#This Row],[Job Type]]=tblSalaries[[#Headers],[Consultant]],tblSalaries[[#This Row],[Salary in USD]],"")</f>
        <v/>
      </c>
      <c r="X547" s="13" t="str">
        <f>IF(tblSalaries[[#This Row],[Job Type]]=tblSalaries[[#Headers],[Controller]],tblSalaries[[#This Row],[Salary in USD]],"")</f>
        <v/>
      </c>
      <c r="Y547" s="13" t="str">
        <f>IF(tblSalaries[[#This Row],[Job Type]]=tblSalaries[[#Headers],[CXO or Top Mgmt.]],tblSalaries[[#This Row],[clean Salary (in local currency)]],"")</f>
        <v/>
      </c>
      <c r="Z547" s="13" t="str">
        <f>IF(tblSalaries[[#This Row],[Job Type]]=tblSalaries[[#Headers],[Engineer]],tblSalaries[[#This Row],[Salary in USD]],"")</f>
        <v/>
      </c>
      <c r="AA547" s="13" t="str">
        <f>IF(tblSalaries[[#This Row],[Job Type]]=tblSalaries[[#Headers],[Manager]],tblSalaries[[#This Row],[Salary in USD]],"")</f>
        <v/>
      </c>
      <c r="AB547" s="13" t="str">
        <f>IF(tblSalaries[[#This Row],[Job Type]]=tblSalaries[[#Headers],[Misc.]],tblSalaries[[#This Row],[Salary in USD]],"")</f>
        <v/>
      </c>
      <c r="AC547" s="13" t="str">
        <f>IF(tblSalaries[[#This Row],[Job Type]]=tblSalaries[[#Headers],[Reporting]],tblSalaries[[#This Row],[Salary in USD]],"")</f>
        <v/>
      </c>
      <c r="AD547" s="13" t="str">
        <f>IF(tblSalaries[[#This Row],[Job Type]]=tblSalaries[[#Headers],[Specialist]],tblSalaries[[#This Row],[Salary in USD]],"")</f>
        <v/>
      </c>
    </row>
    <row r="548" spans="2:30" ht="15" customHeight="1" x14ac:dyDescent="0.25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 s="9">
        <f>tblSalaries[[#This Row],[clean Salary (in local currency)]]*VLOOKUP(tblSalaries[[#This Row],[Currency]],tblXrate[],2,FALSE)</f>
        <v>120000</v>
      </c>
      <c r="H548" t="s">
        <v>139</v>
      </c>
      <c r="I548" t="s">
        <v>4001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  <c r="N548" t="str">
        <f>IF(tblSalaries[[#This Row],[Years of Experience]]="","",IF(tblSalaries[[#This Row],[Years of Experience]]&lt;=2,1,""))</f>
        <v/>
      </c>
      <c r="O548" t="str">
        <f>IF(tblSalaries[[#This Row],[Years of Experience]]="","",IF(AND(tblSalaries[[#This Row],[Years of Experience]]&gt;2,tblSalaries[[#This Row],[Years of Experience]]&lt;=5),1,""))</f>
        <v/>
      </c>
      <c r="P548" t="str">
        <f>IF(tblSalaries[[#This Row],[Years of Experience]]="","",IF(AND(tblSalaries[[#This Row],[Years of Experience]]&gt;5,tblSalaries[[#This Row],[Years of Experience]]&lt;=10),1,""))</f>
        <v/>
      </c>
      <c r="Q548" t="str">
        <f>IF(tblSalaries[[#This Row],[Years of Experience]]="","",IF(AND(tblSalaries[[#This Row],[Years of Experience]]&gt;10,tblSalaries[[#This Row],[Years of Experience]]&lt;=15),1,""))</f>
        <v/>
      </c>
      <c r="R548" t="str">
        <f>IF(tblSalaries[[#This Row],[Years of Experience]]="","",IF(AND(tblSalaries[[#This Row],[Years of Experience]]&gt;16,tblSalaries[[#This Row],[Years of Experience]]&lt;=20),1,""))</f>
        <v/>
      </c>
      <c r="S548" t="str">
        <f>IF(tblSalaries[[#This Row],[Years of Experience]]="","",IF(tblSalaries[[#This Row],[Years of Experience]]&gt;20,1,""))</f>
        <v/>
      </c>
      <c r="T5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8" s="13" t="str">
        <f>IF(tblSalaries[[#This Row],[Job Type]]=tblSalaries[[#Headers],[Accountant]],tblSalaries[[#This Row],[Salary in USD]],"")</f>
        <v/>
      </c>
      <c r="V548" s="13" t="str">
        <f>IF(tblSalaries[[#This Row],[Job Type]]=tblSalaries[[#Headers],[Analyst]],tblSalaries[[#This Row],[Salary in USD]],"")</f>
        <v/>
      </c>
      <c r="W548" s="13" t="str">
        <f>IF(tblSalaries[[#This Row],[Job Type]]=tblSalaries[[#Headers],[Consultant]],tblSalaries[[#This Row],[Salary in USD]],"")</f>
        <v/>
      </c>
      <c r="X548" s="13" t="str">
        <f>IF(tblSalaries[[#This Row],[Job Type]]=tblSalaries[[#Headers],[Controller]],tblSalaries[[#This Row],[Salary in USD]],"")</f>
        <v/>
      </c>
      <c r="Y548" s="13">
        <f>IF(tblSalaries[[#This Row],[Job Type]]=tblSalaries[[#Headers],[CXO or Top Mgmt.]],tblSalaries[[#This Row],[clean Salary (in local currency)]],"")</f>
        <v>120000</v>
      </c>
      <c r="Z548" s="13" t="str">
        <f>IF(tblSalaries[[#This Row],[Job Type]]=tblSalaries[[#Headers],[Engineer]],tblSalaries[[#This Row],[Salary in USD]],"")</f>
        <v/>
      </c>
      <c r="AA548" s="13" t="str">
        <f>IF(tblSalaries[[#This Row],[Job Type]]=tblSalaries[[#Headers],[Manager]],tblSalaries[[#This Row],[Salary in USD]],"")</f>
        <v/>
      </c>
      <c r="AB548" s="13" t="str">
        <f>IF(tblSalaries[[#This Row],[Job Type]]=tblSalaries[[#Headers],[Misc.]],tblSalaries[[#This Row],[Salary in USD]],"")</f>
        <v/>
      </c>
      <c r="AC548" s="13" t="str">
        <f>IF(tblSalaries[[#This Row],[Job Type]]=tblSalaries[[#Headers],[Reporting]],tblSalaries[[#This Row],[Salary in USD]],"")</f>
        <v/>
      </c>
      <c r="AD548" s="13" t="str">
        <f>IF(tblSalaries[[#This Row],[Job Type]]=tblSalaries[[#Headers],[Specialist]],tblSalaries[[#This Row],[Salary in USD]],"")</f>
        <v/>
      </c>
    </row>
    <row r="549" spans="2:30" ht="15" customHeight="1" x14ac:dyDescent="0.25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 s="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  <c r="N549" t="str">
        <f>IF(tblSalaries[[#This Row],[Years of Experience]]="","",IF(tblSalaries[[#This Row],[Years of Experience]]&lt;=2,1,""))</f>
        <v/>
      </c>
      <c r="O549" t="str">
        <f>IF(tblSalaries[[#This Row],[Years of Experience]]="","",IF(AND(tblSalaries[[#This Row],[Years of Experience]]&gt;2,tblSalaries[[#This Row],[Years of Experience]]&lt;=5),1,""))</f>
        <v/>
      </c>
      <c r="P549" t="str">
        <f>IF(tblSalaries[[#This Row],[Years of Experience]]="","",IF(AND(tblSalaries[[#This Row],[Years of Experience]]&gt;5,tblSalaries[[#This Row],[Years of Experience]]&lt;=10),1,""))</f>
        <v/>
      </c>
      <c r="Q549" t="str">
        <f>IF(tblSalaries[[#This Row],[Years of Experience]]="","",IF(AND(tblSalaries[[#This Row],[Years of Experience]]&gt;10,tblSalaries[[#This Row],[Years of Experience]]&lt;=15),1,""))</f>
        <v/>
      </c>
      <c r="R549" t="str">
        <f>IF(tblSalaries[[#This Row],[Years of Experience]]="","",IF(AND(tblSalaries[[#This Row],[Years of Experience]]&gt;16,tblSalaries[[#This Row],[Years of Experience]]&lt;=20),1,""))</f>
        <v/>
      </c>
      <c r="S549" t="str">
        <f>IF(tblSalaries[[#This Row],[Years of Experience]]="","",IF(tblSalaries[[#This Row],[Years of Experience]]&gt;20,1,""))</f>
        <v/>
      </c>
      <c r="T5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49" s="13" t="str">
        <f>IF(tblSalaries[[#This Row],[Job Type]]=tblSalaries[[#Headers],[Accountant]],tblSalaries[[#This Row],[Salary in USD]],"")</f>
        <v/>
      </c>
      <c r="V549" s="13" t="str">
        <f>IF(tblSalaries[[#This Row],[Job Type]]=tblSalaries[[#Headers],[Analyst]],tblSalaries[[#This Row],[Salary in USD]],"")</f>
        <v/>
      </c>
      <c r="W549" s="13">
        <f>IF(tblSalaries[[#This Row],[Job Type]]=tblSalaries[[#Headers],[Consultant]],tblSalaries[[#This Row],[Salary in USD]],"")</f>
        <v>31523.565441345683</v>
      </c>
      <c r="X549" s="13" t="str">
        <f>IF(tblSalaries[[#This Row],[Job Type]]=tblSalaries[[#Headers],[Controller]],tblSalaries[[#This Row],[Salary in USD]],"")</f>
        <v/>
      </c>
      <c r="Y549" s="13" t="str">
        <f>IF(tblSalaries[[#This Row],[Job Type]]=tblSalaries[[#Headers],[CXO or Top Mgmt.]],tblSalaries[[#This Row],[clean Salary (in local currency)]],"")</f>
        <v/>
      </c>
      <c r="Z549" s="13" t="str">
        <f>IF(tblSalaries[[#This Row],[Job Type]]=tblSalaries[[#Headers],[Engineer]],tblSalaries[[#This Row],[Salary in USD]],"")</f>
        <v/>
      </c>
      <c r="AA549" s="13" t="str">
        <f>IF(tblSalaries[[#This Row],[Job Type]]=tblSalaries[[#Headers],[Manager]],tblSalaries[[#This Row],[Salary in USD]],"")</f>
        <v/>
      </c>
      <c r="AB549" s="13" t="str">
        <f>IF(tblSalaries[[#This Row],[Job Type]]=tblSalaries[[#Headers],[Misc.]],tblSalaries[[#This Row],[Salary in USD]],"")</f>
        <v/>
      </c>
      <c r="AC549" s="13" t="str">
        <f>IF(tblSalaries[[#This Row],[Job Type]]=tblSalaries[[#Headers],[Reporting]],tblSalaries[[#This Row],[Salary in USD]],"")</f>
        <v/>
      </c>
      <c r="AD549" s="13" t="str">
        <f>IF(tblSalaries[[#This Row],[Job Type]]=tblSalaries[[#Headers],[Specialist]],tblSalaries[[#This Row],[Salary in USD]],"")</f>
        <v/>
      </c>
    </row>
    <row r="550" spans="2:30" ht="15" customHeight="1" x14ac:dyDescent="0.25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 s="9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  <c r="N550" t="str">
        <f>IF(tblSalaries[[#This Row],[Years of Experience]]="","",IF(tblSalaries[[#This Row],[Years of Experience]]&lt;=2,1,""))</f>
        <v/>
      </c>
      <c r="O550" t="str">
        <f>IF(tblSalaries[[#This Row],[Years of Experience]]="","",IF(AND(tblSalaries[[#This Row],[Years of Experience]]&gt;2,tblSalaries[[#This Row],[Years of Experience]]&lt;=5),1,""))</f>
        <v/>
      </c>
      <c r="P550" t="str">
        <f>IF(tblSalaries[[#This Row],[Years of Experience]]="","",IF(AND(tblSalaries[[#This Row],[Years of Experience]]&gt;5,tblSalaries[[#This Row],[Years of Experience]]&lt;=10),1,""))</f>
        <v/>
      </c>
      <c r="Q550" t="str">
        <f>IF(tblSalaries[[#This Row],[Years of Experience]]="","",IF(AND(tblSalaries[[#This Row],[Years of Experience]]&gt;10,tblSalaries[[#This Row],[Years of Experience]]&lt;=15),1,""))</f>
        <v/>
      </c>
      <c r="R550" t="str">
        <f>IF(tblSalaries[[#This Row],[Years of Experience]]="","",IF(AND(tblSalaries[[#This Row],[Years of Experience]]&gt;16,tblSalaries[[#This Row],[Years of Experience]]&lt;=20),1,""))</f>
        <v/>
      </c>
      <c r="S550" t="str">
        <f>IF(tblSalaries[[#This Row],[Years of Experience]]="","",IF(tblSalaries[[#This Row],[Years of Experience]]&gt;20,1,""))</f>
        <v/>
      </c>
      <c r="T5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50" s="13" t="str">
        <f>IF(tblSalaries[[#This Row],[Job Type]]=tblSalaries[[#Headers],[Accountant]],tblSalaries[[#This Row],[Salary in USD]],"")</f>
        <v/>
      </c>
      <c r="V550" s="13">
        <f>IF(tblSalaries[[#This Row],[Job Type]]=tblSalaries[[#Headers],[Analyst]],tblSalaries[[#This Row],[Salary in USD]],"")</f>
        <v>78533.043543002947</v>
      </c>
      <c r="W550" s="13" t="str">
        <f>IF(tblSalaries[[#This Row],[Job Type]]=tblSalaries[[#Headers],[Consultant]],tblSalaries[[#This Row],[Salary in USD]],"")</f>
        <v/>
      </c>
      <c r="X550" s="13" t="str">
        <f>IF(tblSalaries[[#This Row],[Job Type]]=tblSalaries[[#Headers],[Controller]],tblSalaries[[#This Row],[Salary in USD]],"")</f>
        <v/>
      </c>
      <c r="Y550" s="13" t="str">
        <f>IF(tblSalaries[[#This Row],[Job Type]]=tblSalaries[[#Headers],[CXO or Top Mgmt.]],tblSalaries[[#This Row],[clean Salary (in local currency)]],"")</f>
        <v/>
      </c>
      <c r="Z550" s="13" t="str">
        <f>IF(tblSalaries[[#This Row],[Job Type]]=tblSalaries[[#Headers],[Engineer]],tblSalaries[[#This Row],[Salary in USD]],"")</f>
        <v/>
      </c>
      <c r="AA550" s="13" t="str">
        <f>IF(tblSalaries[[#This Row],[Job Type]]=tblSalaries[[#Headers],[Manager]],tblSalaries[[#This Row],[Salary in USD]],"")</f>
        <v/>
      </c>
      <c r="AB550" s="13" t="str">
        <f>IF(tblSalaries[[#This Row],[Job Type]]=tblSalaries[[#Headers],[Misc.]],tblSalaries[[#This Row],[Salary in USD]],"")</f>
        <v/>
      </c>
      <c r="AC550" s="13" t="str">
        <f>IF(tblSalaries[[#This Row],[Job Type]]=tblSalaries[[#Headers],[Reporting]],tblSalaries[[#This Row],[Salary in USD]],"")</f>
        <v/>
      </c>
      <c r="AD550" s="13" t="str">
        <f>IF(tblSalaries[[#This Row],[Job Type]]=tblSalaries[[#Headers],[Specialist]],tblSalaries[[#This Row],[Salary in USD]],"")</f>
        <v/>
      </c>
    </row>
    <row r="551" spans="2:30" ht="15" customHeight="1" x14ac:dyDescent="0.25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 s="9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  <c r="N551" t="str">
        <f>IF(tblSalaries[[#This Row],[Years of Experience]]="","",IF(tblSalaries[[#This Row],[Years of Experience]]&lt;=2,1,""))</f>
        <v/>
      </c>
      <c r="O551" t="str">
        <f>IF(tblSalaries[[#This Row],[Years of Experience]]="","",IF(AND(tblSalaries[[#This Row],[Years of Experience]]&gt;2,tblSalaries[[#This Row],[Years of Experience]]&lt;=5),1,""))</f>
        <v/>
      </c>
      <c r="P551" t="str">
        <f>IF(tblSalaries[[#This Row],[Years of Experience]]="","",IF(AND(tblSalaries[[#This Row],[Years of Experience]]&gt;5,tblSalaries[[#This Row],[Years of Experience]]&lt;=10),1,""))</f>
        <v/>
      </c>
      <c r="Q551" t="str">
        <f>IF(tblSalaries[[#This Row],[Years of Experience]]="","",IF(AND(tblSalaries[[#This Row],[Years of Experience]]&gt;10,tblSalaries[[#This Row],[Years of Experience]]&lt;=15),1,""))</f>
        <v/>
      </c>
      <c r="R551" t="str">
        <f>IF(tblSalaries[[#This Row],[Years of Experience]]="","",IF(AND(tblSalaries[[#This Row],[Years of Experience]]&gt;16,tblSalaries[[#This Row],[Years of Experience]]&lt;=20),1,""))</f>
        <v/>
      </c>
      <c r="S551" t="str">
        <f>IF(tblSalaries[[#This Row],[Years of Experience]]="","",IF(tblSalaries[[#This Row],[Years of Experience]]&gt;20,1,""))</f>
        <v/>
      </c>
      <c r="T5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51" s="13" t="str">
        <f>IF(tblSalaries[[#This Row],[Job Type]]=tblSalaries[[#Headers],[Accountant]],tblSalaries[[#This Row],[Salary in USD]],"")</f>
        <v/>
      </c>
      <c r="V551" s="13" t="str">
        <f>IF(tblSalaries[[#This Row],[Job Type]]=tblSalaries[[#Headers],[Analyst]],tblSalaries[[#This Row],[Salary in USD]],"")</f>
        <v/>
      </c>
      <c r="W551" s="13" t="str">
        <f>IF(tblSalaries[[#This Row],[Job Type]]=tblSalaries[[#Headers],[Consultant]],tblSalaries[[#This Row],[Salary in USD]],"")</f>
        <v/>
      </c>
      <c r="X551" s="13" t="str">
        <f>IF(tblSalaries[[#This Row],[Job Type]]=tblSalaries[[#Headers],[Controller]],tblSalaries[[#This Row],[Salary in USD]],"")</f>
        <v/>
      </c>
      <c r="Y551" s="13" t="str">
        <f>IF(tblSalaries[[#This Row],[Job Type]]=tblSalaries[[#Headers],[CXO or Top Mgmt.]],tblSalaries[[#This Row],[clean Salary (in local currency)]],"")</f>
        <v/>
      </c>
      <c r="Z551" s="13" t="str">
        <f>IF(tblSalaries[[#This Row],[Job Type]]=tblSalaries[[#Headers],[Engineer]],tblSalaries[[#This Row],[Salary in USD]],"")</f>
        <v/>
      </c>
      <c r="AA551" s="13" t="str">
        <f>IF(tblSalaries[[#This Row],[Job Type]]=tblSalaries[[#Headers],[Manager]],tblSalaries[[#This Row],[Salary in USD]],"")</f>
        <v/>
      </c>
      <c r="AB551" s="13" t="str">
        <f>IF(tblSalaries[[#This Row],[Job Type]]=tblSalaries[[#Headers],[Misc.]],tblSalaries[[#This Row],[Salary in USD]],"")</f>
        <v/>
      </c>
      <c r="AC551" s="13" t="str">
        <f>IF(tblSalaries[[#This Row],[Job Type]]=tblSalaries[[#Headers],[Reporting]],tblSalaries[[#This Row],[Salary in USD]],"")</f>
        <v/>
      </c>
      <c r="AD551" s="13">
        <f>IF(tblSalaries[[#This Row],[Job Type]]=tblSalaries[[#Headers],[Specialist]],tblSalaries[[#This Row],[Salary in USD]],"")</f>
        <v>60000</v>
      </c>
    </row>
    <row r="552" spans="2:30" ht="15" customHeight="1" x14ac:dyDescent="0.25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 s="9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  <c r="N552" t="str">
        <f>IF(tblSalaries[[#This Row],[Years of Experience]]="","",IF(tblSalaries[[#This Row],[Years of Experience]]&lt;=2,1,""))</f>
        <v/>
      </c>
      <c r="O552" t="str">
        <f>IF(tblSalaries[[#This Row],[Years of Experience]]="","",IF(AND(tblSalaries[[#This Row],[Years of Experience]]&gt;2,tblSalaries[[#This Row],[Years of Experience]]&lt;=5),1,""))</f>
        <v/>
      </c>
      <c r="P552" t="str">
        <f>IF(tblSalaries[[#This Row],[Years of Experience]]="","",IF(AND(tblSalaries[[#This Row],[Years of Experience]]&gt;5,tblSalaries[[#This Row],[Years of Experience]]&lt;=10),1,""))</f>
        <v/>
      </c>
      <c r="Q552" t="str">
        <f>IF(tblSalaries[[#This Row],[Years of Experience]]="","",IF(AND(tblSalaries[[#This Row],[Years of Experience]]&gt;10,tblSalaries[[#This Row],[Years of Experience]]&lt;=15),1,""))</f>
        <v/>
      </c>
      <c r="R552" t="str">
        <f>IF(tblSalaries[[#This Row],[Years of Experience]]="","",IF(AND(tblSalaries[[#This Row],[Years of Experience]]&gt;16,tblSalaries[[#This Row],[Years of Experience]]&lt;=20),1,""))</f>
        <v/>
      </c>
      <c r="S552" t="str">
        <f>IF(tblSalaries[[#This Row],[Years of Experience]]="","",IF(tblSalaries[[#This Row],[Years of Experience]]&gt;20,1,""))</f>
        <v/>
      </c>
      <c r="T5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52" s="13" t="str">
        <f>IF(tblSalaries[[#This Row],[Job Type]]=tblSalaries[[#Headers],[Accountant]],tblSalaries[[#This Row],[Salary in USD]],"")</f>
        <v/>
      </c>
      <c r="V552" s="13">
        <f>IF(tblSalaries[[#This Row],[Job Type]]=tblSalaries[[#Headers],[Analyst]],tblSalaries[[#This Row],[Salary in USD]],"")</f>
        <v>35000</v>
      </c>
      <c r="W552" s="13" t="str">
        <f>IF(tblSalaries[[#This Row],[Job Type]]=tblSalaries[[#Headers],[Consultant]],tblSalaries[[#This Row],[Salary in USD]],"")</f>
        <v/>
      </c>
      <c r="X552" s="13" t="str">
        <f>IF(tblSalaries[[#This Row],[Job Type]]=tblSalaries[[#Headers],[Controller]],tblSalaries[[#This Row],[Salary in USD]],"")</f>
        <v/>
      </c>
      <c r="Y552" s="13" t="str">
        <f>IF(tblSalaries[[#This Row],[Job Type]]=tblSalaries[[#Headers],[CXO or Top Mgmt.]],tblSalaries[[#This Row],[clean Salary (in local currency)]],"")</f>
        <v/>
      </c>
      <c r="Z552" s="13" t="str">
        <f>IF(tblSalaries[[#This Row],[Job Type]]=tblSalaries[[#Headers],[Engineer]],tblSalaries[[#This Row],[Salary in USD]],"")</f>
        <v/>
      </c>
      <c r="AA552" s="13" t="str">
        <f>IF(tblSalaries[[#This Row],[Job Type]]=tblSalaries[[#Headers],[Manager]],tblSalaries[[#This Row],[Salary in USD]],"")</f>
        <v/>
      </c>
      <c r="AB552" s="13" t="str">
        <f>IF(tblSalaries[[#This Row],[Job Type]]=tblSalaries[[#Headers],[Misc.]],tblSalaries[[#This Row],[Salary in USD]],"")</f>
        <v/>
      </c>
      <c r="AC552" s="13" t="str">
        <f>IF(tblSalaries[[#This Row],[Job Type]]=tblSalaries[[#Headers],[Reporting]],tblSalaries[[#This Row],[Salary in USD]],"")</f>
        <v/>
      </c>
      <c r="AD552" s="13" t="str">
        <f>IF(tblSalaries[[#This Row],[Job Type]]=tblSalaries[[#Headers],[Specialist]],tblSalaries[[#This Row],[Salary in USD]],"")</f>
        <v/>
      </c>
    </row>
    <row r="553" spans="2:30" ht="15" customHeight="1" x14ac:dyDescent="0.25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 s="9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  <c r="N553" t="str">
        <f>IF(tblSalaries[[#This Row],[Years of Experience]]="","",IF(tblSalaries[[#This Row],[Years of Experience]]&lt;=2,1,""))</f>
        <v/>
      </c>
      <c r="O553" t="str">
        <f>IF(tblSalaries[[#This Row],[Years of Experience]]="","",IF(AND(tblSalaries[[#This Row],[Years of Experience]]&gt;2,tblSalaries[[#This Row],[Years of Experience]]&lt;=5),1,""))</f>
        <v/>
      </c>
      <c r="P553" t="str">
        <f>IF(tblSalaries[[#This Row],[Years of Experience]]="","",IF(AND(tblSalaries[[#This Row],[Years of Experience]]&gt;5,tblSalaries[[#This Row],[Years of Experience]]&lt;=10),1,""))</f>
        <v/>
      </c>
      <c r="Q553" t="str">
        <f>IF(tblSalaries[[#This Row],[Years of Experience]]="","",IF(AND(tblSalaries[[#This Row],[Years of Experience]]&gt;10,tblSalaries[[#This Row],[Years of Experience]]&lt;=15),1,""))</f>
        <v/>
      </c>
      <c r="R553" t="str">
        <f>IF(tblSalaries[[#This Row],[Years of Experience]]="","",IF(AND(tblSalaries[[#This Row],[Years of Experience]]&gt;16,tblSalaries[[#This Row],[Years of Experience]]&lt;=20),1,""))</f>
        <v/>
      </c>
      <c r="S553" t="str">
        <f>IF(tblSalaries[[#This Row],[Years of Experience]]="","",IF(tblSalaries[[#This Row],[Years of Experience]]&gt;20,1,""))</f>
        <v/>
      </c>
      <c r="T5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53" s="13" t="str">
        <f>IF(tblSalaries[[#This Row],[Job Type]]=tblSalaries[[#Headers],[Accountant]],tblSalaries[[#This Row],[Salary in USD]],"")</f>
        <v/>
      </c>
      <c r="V553" s="13" t="str">
        <f>IF(tblSalaries[[#This Row],[Job Type]]=tblSalaries[[#Headers],[Analyst]],tblSalaries[[#This Row],[Salary in USD]],"")</f>
        <v/>
      </c>
      <c r="W553" s="13" t="str">
        <f>IF(tblSalaries[[#This Row],[Job Type]]=tblSalaries[[#Headers],[Consultant]],tblSalaries[[#This Row],[Salary in USD]],"")</f>
        <v/>
      </c>
      <c r="X553" s="13" t="str">
        <f>IF(tblSalaries[[#This Row],[Job Type]]=tblSalaries[[#Headers],[Controller]],tblSalaries[[#This Row],[Salary in USD]],"")</f>
        <v/>
      </c>
      <c r="Y553" s="13" t="str">
        <f>IF(tblSalaries[[#This Row],[Job Type]]=tblSalaries[[#Headers],[CXO or Top Mgmt.]],tblSalaries[[#This Row],[clean Salary (in local currency)]],"")</f>
        <v/>
      </c>
      <c r="Z553" s="13" t="str">
        <f>IF(tblSalaries[[#This Row],[Job Type]]=tblSalaries[[#Headers],[Engineer]],tblSalaries[[#This Row],[Salary in USD]],"")</f>
        <v/>
      </c>
      <c r="AA553" s="13">
        <f>IF(tblSalaries[[#This Row],[Job Type]]=tblSalaries[[#Headers],[Manager]],tblSalaries[[#This Row],[Salary in USD]],"")</f>
        <v>63519.971949580387</v>
      </c>
      <c r="AB553" s="13" t="str">
        <f>IF(tblSalaries[[#This Row],[Job Type]]=tblSalaries[[#Headers],[Misc.]],tblSalaries[[#This Row],[Salary in USD]],"")</f>
        <v/>
      </c>
      <c r="AC553" s="13" t="str">
        <f>IF(tblSalaries[[#This Row],[Job Type]]=tblSalaries[[#Headers],[Reporting]],tblSalaries[[#This Row],[Salary in USD]],"")</f>
        <v/>
      </c>
      <c r="AD553" s="13" t="str">
        <f>IF(tblSalaries[[#This Row],[Job Type]]=tblSalaries[[#Headers],[Specialist]],tblSalaries[[#This Row],[Salary in USD]],"")</f>
        <v/>
      </c>
    </row>
    <row r="554" spans="2:30" ht="15" customHeight="1" x14ac:dyDescent="0.25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 s="9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  <c r="N554" t="str">
        <f>IF(tblSalaries[[#This Row],[Years of Experience]]="","",IF(tblSalaries[[#This Row],[Years of Experience]]&lt;=2,1,""))</f>
        <v/>
      </c>
      <c r="O554">
        <f>IF(tblSalaries[[#This Row],[Years of Experience]]="","",IF(AND(tblSalaries[[#This Row],[Years of Experience]]&gt;2,tblSalaries[[#This Row],[Years of Experience]]&lt;=5),1,""))</f>
        <v>1</v>
      </c>
      <c r="P554" t="str">
        <f>IF(tblSalaries[[#This Row],[Years of Experience]]="","",IF(AND(tblSalaries[[#This Row],[Years of Experience]]&gt;5,tblSalaries[[#This Row],[Years of Experience]]&lt;=10),1,""))</f>
        <v/>
      </c>
      <c r="Q554" t="str">
        <f>IF(tblSalaries[[#This Row],[Years of Experience]]="","",IF(AND(tblSalaries[[#This Row],[Years of Experience]]&gt;10,tblSalaries[[#This Row],[Years of Experience]]&lt;=15),1,""))</f>
        <v/>
      </c>
      <c r="R554" t="str">
        <f>IF(tblSalaries[[#This Row],[Years of Experience]]="","",IF(AND(tblSalaries[[#This Row],[Years of Experience]]&gt;16,tblSalaries[[#This Row],[Years of Experience]]&lt;=20),1,""))</f>
        <v/>
      </c>
      <c r="S554" t="str">
        <f>IF(tblSalaries[[#This Row],[Years of Experience]]="","",IF(tblSalaries[[#This Row],[Years of Experience]]&gt;20,1,""))</f>
        <v/>
      </c>
      <c r="T5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54" s="13" t="str">
        <f>IF(tblSalaries[[#This Row],[Job Type]]=tblSalaries[[#Headers],[Accountant]],tblSalaries[[#This Row],[Salary in USD]],"")</f>
        <v/>
      </c>
      <c r="V554" s="13" t="str">
        <f>IF(tblSalaries[[#This Row],[Job Type]]=tblSalaries[[#Headers],[Analyst]],tblSalaries[[#This Row],[Salary in USD]],"")</f>
        <v/>
      </c>
      <c r="W554" s="13" t="str">
        <f>IF(tblSalaries[[#This Row],[Job Type]]=tblSalaries[[#Headers],[Consultant]],tblSalaries[[#This Row],[Salary in USD]],"")</f>
        <v/>
      </c>
      <c r="X554" s="13" t="str">
        <f>IF(tblSalaries[[#This Row],[Job Type]]=tblSalaries[[#Headers],[Controller]],tblSalaries[[#This Row],[Salary in USD]],"")</f>
        <v/>
      </c>
      <c r="Y554" s="13" t="str">
        <f>IF(tblSalaries[[#This Row],[Job Type]]=tblSalaries[[#Headers],[CXO or Top Mgmt.]],tblSalaries[[#This Row],[clean Salary (in local currency)]],"")</f>
        <v/>
      </c>
      <c r="Z554" s="13" t="str">
        <f>IF(tblSalaries[[#This Row],[Job Type]]=tblSalaries[[#Headers],[Engineer]],tblSalaries[[#This Row],[Salary in USD]],"")</f>
        <v/>
      </c>
      <c r="AA554" s="13" t="str">
        <f>IF(tblSalaries[[#This Row],[Job Type]]=tblSalaries[[#Headers],[Manager]],tblSalaries[[#This Row],[Salary in USD]],"")</f>
        <v/>
      </c>
      <c r="AB554" s="13" t="str">
        <f>IF(tblSalaries[[#This Row],[Job Type]]=tblSalaries[[#Headers],[Misc.]],tblSalaries[[#This Row],[Salary in USD]],"")</f>
        <v/>
      </c>
      <c r="AC554" s="13" t="str">
        <f>IF(tblSalaries[[#This Row],[Job Type]]=tblSalaries[[#Headers],[Reporting]],tblSalaries[[#This Row],[Salary in USD]],"")</f>
        <v/>
      </c>
      <c r="AD554" s="13">
        <f>IF(tblSalaries[[#This Row],[Job Type]]=tblSalaries[[#Headers],[Specialist]],tblSalaries[[#This Row],[Salary in USD]],"")</f>
        <v>54000</v>
      </c>
    </row>
    <row r="555" spans="2:30" ht="15" customHeight="1" x14ac:dyDescent="0.25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 s="9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  <c r="N555" t="str">
        <f>IF(tblSalaries[[#This Row],[Years of Experience]]="","",IF(tblSalaries[[#This Row],[Years of Experience]]&lt;=2,1,""))</f>
        <v/>
      </c>
      <c r="O555" t="str">
        <f>IF(tblSalaries[[#This Row],[Years of Experience]]="","",IF(AND(tblSalaries[[#This Row],[Years of Experience]]&gt;2,tblSalaries[[#This Row],[Years of Experience]]&lt;=5),1,""))</f>
        <v/>
      </c>
      <c r="P555" t="str">
        <f>IF(tblSalaries[[#This Row],[Years of Experience]]="","",IF(AND(tblSalaries[[#This Row],[Years of Experience]]&gt;5,tblSalaries[[#This Row],[Years of Experience]]&lt;=10),1,""))</f>
        <v/>
      </c>
      <c r="Q555" t="str">
        <f>IF(tblSalaries[[#This Row],[Years of Experience]]="","",IF(AND(tblSalaries[[#This Row],[Years of Experience]]&gt;10,tblSalaries[[#This Row],[Years of Experience]]&lt;=15),1,""))</f>
        <v/>
      </c>
      <c r="R555">
        <f>IF(tblSalaries[[#This Row],[Years of Experience]]="","",IF(AND(tblSalaries[[#This Row],[Years of Experience]]&gt;16,tblSalaries[[#This Row],[Years of Experience]]&lt;=20),1,""))</f>
        <v>1</v>
      </c>
      <c r="S555" t="str">
        <f>IF(tblSalaries[[#This Row],[Years of Experience]]="","",IF(tblSalaries[[#This Row],[Years of Experience]]&gt;20,1,""))</f>
        <v/>
      </c>
      <c r="T5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55" s="13" t="str">
        <f>IF(tblSalaries[[#This Row],[Job Type]]=tblSalaries[[#Headers],[Accountant]],tblSalaries[[#This Row],[Salary in USD]],"")</f>
        <v/>
      </c>
      <c r="V555" s="13" t="str">
        <f>IF(tblSalaries[[#This Row],[Job Type]]=tblSalaries[[#Headers],[Analyst]],tblSalaries[[#This Row],[Salary in USD]],"")</f>
        <v/>
      </c>
      <c r="W555" s="13" t="str">
        <f>IF(tblSalaries[[#This Row],[Job Type]]=tblSalaries[[#Headers],[Consultant]],tblSalaries[[#This Row],[Salary in USD]],"")</f>
        <v/>
      </c>
      <c r="X555" s="13">
        <f>IF(tblSalaries[[#This Row],[Job Type]]=tblSalaries[[#Headers],[Controller]],tblSalaries[[#This Row],[Salary in USD]],"")</f>
        <v>15600</v>
      </c>
      <c r="Y555" s="13" t="str">
        <f>IF(tblSalaries[[#This Row],[Job Type]]=tblSalaries[[#Headers],[CXO or Top Mgmt.]],tblSalaries[[#This Row],[clean Salary (in local currency)]],"")</f>
        <v/>
      </c>
      <c r="Z555" s="13" t="str">
        <f>IF(tblSalaries[[#This Row],[Job Type]]=tblSalaries[[#Headers],[Engineer]],tblSalaries[[#This Row],[Salary in USD]],"")</f>
        <v/>
      </c>
      <c r="AA555" s="13" t="str">
        <f>IF(tblSalaries[[#This Row],[Job Type]]=tblSalaries[[#Headers],[Manager]],tblSalaries[[#This Row],[Salary in USD]],"")</f>
        <v/>
      </c>
      <c r="AB555" s="13" t="str">
        <f>IF(tblSalaries[[#This Row],[Job Type]]=tblSalaries[[#Headers],[Misc.]],tblSalaries[[#This Row],[Salary in USD]],"")</f>
        <v/>
      </c>
      <c r="AC555" s="13" t="str">
        <f>IF(tblSalaries[[#This Row],[Job Type]]=tblSalaries[[#Headers],[Reporting]],tblSalaries[[#This Row],[Salary in USD]],"")</f>
        <v/>
      </c>
      <c r="AD555" s="13" t="str">
        <f>IF(tblSalaries[[#This Row],[Job Type]]=tblSalaries[[#Headers],[Specialist]],tblSalaries[[#This Row],[Salary in USD]],"")</f>
        <v/>
      </c>
    </row>
    <row r="556" spans="2:30" ht="15" customHeight="1" x14ac:dyDescent="0.25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 s="9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  <c r="N556" t="str">
        <f>IF(tblSalaries[[#This Row],[Years of Experience]]="","",IF(tblSalaries[[#This Row],[Years of Experience]]&lt;=2,1,""))</f>
        <v/>
      </c>
      <c r="O556" t="str">
        <f>IF(tblSalaries[[#This Row],[Years of Experience]]="","",IF(AND(tblSalaries[[#This Row],[Years of Experience]]&gt;2,tblSalaries[[#This Row],[Years of Experience]]&lt;=5),1,""))</f>
        <v/>
      </c>
      <c r="P556">
        <f>IF(tblSalaries[[#This Row],[Years of Experience]]="","",IF(AND(tblSalaries[[#This Row],[Years of Experience]]&gt;5,tblSalaries[[#This Row],[Years of Experience]]&lt;=10),1,""))</f>
        <v>1</v>
      </c>
      <c r="Q556" t="str">
        <f>IF(tblSalaries[[#This Row],[Years of Experience]]="","",IF(AND(tblSalaries[[#This Row],[Years of Experience]]&gt;10,tblSalaries[[#This Row],[Years of Experience]]&lt;=15),1,""))</f>
        <v/>
      </c>
      <c r="R556" t="str">
        <f>IF(tblSalaries[[#This Row],[Years of Experience]]="","",IF(AND(tblSalaries[[#This Row],[Years of Experience]]&gt;16,tblSalaries[[#This Row],[Years of Experience]]&lt;=20),1,""))</f>
        <v/>
      </c>
      <c r="S556" t="str">
        <f>IF(tblSalaries[[#This Row],[Years of Experience]]="","",IF(tblSalaries[[#This Row],[Years of Experience]]&gt;20,1,""))</f>
        <v/>
      </c>
      <c r="T5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56" s="13" t="str">
        <f>IF(tblSalaries[[#This Row],[Job Type]]=tblSalaries[[#Headers],[Accountant]],tblSalaries[[#This Row],[Salary in USD]],"")</f>
        <v/>
      </c>
      <c r="V556" s="13">
        <f>IF(tblSalaries[[#This Row],[Job Type]]=tblSalaries[[#Headers],[Analyst]],tblSalaries[[#This Row],[Salary in USD]],"")</f>
        <v>35000</v>
      </c>
      <c r="W556" s="13" t="str">
        <f>IF(tblSalaries[[#This Row],[Job Type]]=tblSalaries[[#Headers],[Consultant]],tblSalaries[[#This Row],[Salary in USD]],"")</f>
        <v/>
      </c>
      <c r="X556" s="13" t="str">
        <f>IF(tblSalaries[[#This Row],[Job Type]]=tblSalaries[[#Headers],[Controller]],tblSalaries[[#This Row],[Salary in USD]],"")</f>
        <v/>
      </c>
      <c r="Y556" s="13" t="str">
        <f>IF(tblSalaries[[#This Row],[Job Type]]=tblSalaries[[#Headers],[CXO or Top Mgmt.]],tblSalaries[[#This Row],[clean Salary (in local currency)]],"")</f>
        <v/>
      </c>
      <c r="Z556" s="13" t="str">
        <f>IF(tblSalaries[[#This Row],[Job Type]]=tblSalaries[[#Headers],[Engineer]],tblSalaries[[#This Row],[Salary in USD]],"")</f>
        <v/>
      </c>
      <c r="AA556" s="13" t="str">
        <f>IF(tblSalaries[[#This Row],[Job Type]]=tblSalaries[[#Headers],[Manager]],tblSalaries[[#This Row],[Salary in USD]],"")</f>
        <v/>
      </c>
      <c r="AB556" s="13" t="str">
        <f>IF(tblSalaries[[#This Row],[Job Type]]=tblSalaries[[#Headers],[Misc.]],tblSalaries[[#This Row],[Salary in USD]],"")</f>
        <v/>
      </c>
      <c r="AC556" s="13" t="str">
        <f>IF(tblSalaries[[#This Row],[Job Type]]=tblSalaries[[#Headers],[Reporting]],tblSalaries[[#This Row],[Salary in USD]],"")</f>
        <v/>
      </c>
      <c r="AD556" s="13" t="str">
        <f>IF(tblSalaries[[#This Row],[Job Type]]=tblSalaries[[#Headers],[Specialist]],tblSalaries[[#This Row],[Salary in USD]],"")</f>
        <v/>
      </c>
    </row>
    <row r="557" spans="2:30" ht="15" customHeight="1" x14ac:dyDescent="0.25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 s="9">
        <f>tblSalaries[[#This Row],[clean Salary (in local currency)]]*VLOOKUP(tblSalaries[[#This Row],[Currency]],tblXrate[],2,FALSE)</f>
        <v>188000</v>
      </c>
      <c r="H557" t="s">
        <v>664</v>
      </c>
      <c r="I557" t="s">
        <v>4001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  <c r="N557" t="str">
        <f>IF(tblSalaries[[#This Row],[Years of Experience]]="","",IF(tblSalaries[[#This Row],[Years of Experience]]&lt;=2,1,""))</f>
        <v/>
      </c>
      <c r="O557" t="str">
        <f>IF(tblSalaries[[#This Row],[Years of Experience]]="","",IF(AND(tblSalaries[[#This Row],[Years of Experience]]&gt;2,tblSalaries[[#This Row],[Years of Experience]]&lt;=5),1,""))</f>
        <v/>
      </c>
      <c r="P557" t="str">
        <f>IF(tblSalaries[[#This Row],[Years of Experience]]="","",IF(AND(tblSalaries[[#This Row],[Years of Experience]]&gt;5,tblSalaries[[#This Row],[Years of Experience]]&lt;=10),1,""))</f>
        <v/>
      </c>
      <c r="Q557" t="str">
        <f>IF(tblSalaries[[#This Row],[Years of Experience]]="","",IF(AND(tblSalaries[[#This Row],[Years of Experience]]&gt;10,tblSalaries[[#This Row],[Years of Experience]]&lt;=15),1,""))</f>
        <v/>
      </c>
      <c r="R557">
        <f>IF(tblSalaries[[#This Row],[Years of Experience]]="","",IF(AND(tblSalaries[[#This Row],[Years of Experience]]&gt;16,tblSalaries[[#This Row],[Years of Experience]]&lt;=20),1,""))</f>
        <v>1</v>
      </c>
      <c r="S557" t="str">
        <f>IF(tblSalaries[[#This Row],[Years of Experience]]="","",IF(tblSalaries[[#This Row],[Years of Experience]]&gt;20,1,""))</f>
        <v/>
      </c>
      <c r="T5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57" s="13" t="str">
        <f>IF(tblSalaries[[#This Row],[Job Type]]=tblSalaries[[#Headers],[Accountant]],tblSalaries[[#This Row],[Salary in USD]],"")</f>
        <v/>
      </c>
      <c r="V557" s="13" t="str">
        <f>IF(tblSalaries[[#This Row],[Job Type]]=tblSalaries[[#Headers],[Analyst]],tblSalaries[[#This Row],[Salary in USD]],"")</f>
        <v/>
      </c>
      <c r="W557" s="13" t="str">
        <f>IF(tblSalaries[[#This Row],[Job Type]]=tblSalaries[[#Headers],[Consultant]],tblSalaries[[#This Row],[Salary in USD]],"")</f>
        <v/>
      </c>
      <c r="X557" s="13" t="str">
        <f>IF(tblSalaries[[#This Row],[Job Type]]=tblSalaries[[#Headers],[Controller]],tblSalaries[[#This Row],[Salary in USD]],"")</f>
        <v/>
      </c>
      <c r="Y557" s="13">
        <f>IF(tblSalaries[[#This Row],[Job Type]]=tblSalaries[[#Headers],[CXO or Top Mgmt.]],tblSalaries[[#This Row],[clean Salary (in local currency)]],"")</f>
        <v>188000</v>
      </c>
      <c r="Z557" s="13" t="str">
        <f>IF(tblSalaries[[#This Row],[Job Type]]=tblSalaries[[#Headers],[Engineer]],tblSalaries[[#This Row],[Salary in USD]],"")</f>
        <v/>
      </c>
      <c r="AA557" s="13" t="str">
        <f>IF(tblSalaries[[#This Row],[Job Type]]=tblSalaries[[#Headers],[Manager]],tblSalaries[[#This Row],[Salary in USD]],"")</f>
        <v/>
      </c>
      <c r="AB557" s="13" t="str">
        <f>IF(tblSalaries[[#This Row],[Job Type]]=tblSalaries[[#Headers],[Misc.]],tblSalaries[[#This Row],[Salary in USD]],"")</f>
        <v/>
      </c>
      <c r="AC557" s="13" t="str">
        <f>IF(tblSalaries[[#This Row],[Job Type]]=tblSalaries[[#Headers],[Reporting]],tblSalaries[[#This Row],[Salary in USD]],"")</f>
        <v/>
      </c>
      <c r="AD557" s="13" t="str">
        <f>IF(tblSalaries[[#This Row],[Job Type]]=tblSalaries[[#Headers],[Specialist]],tblSalaries[[#This Row],[Salary in USD]],"")</f>
        <v/>
      </c>
    </row>
    <row r="558" spans="2:30" ht="15" customHeight="1" x14ac:dyDescent="0.25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 s="9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  <c r="N558">
        <f>IF(tblSalaries[[#This Row],[Years of Experience]]="","",IF(tblSalaries[[#This Row],[Years of Experience]]&lt;=2,1,""))</f>
        <v>1</v>
      </c>
      <c r="O558" t="str">
        <f>IF(tblSalaries[[#This Row],[Years of Experience]]="","",IF(AND(tblSalaries[[#This Row],[Years of Experience]]&gt;2,tblSalaries[[#This Row],[Years of Experience]]&lt;=5),1,""))</f>
        <v/>
      </c>
      <c r="P558" t="str">
        <f>IF(tblSalaries[[#This Row],[Years of Experience]]="","",IF(AND(tblSalaries[[#This Row],[Years of Experience]]&gt;5,tblSalaries[[#This Row],[Years of Experience]]&lt;=10),1,""))</f>
        <v/>
      </c>
      <c r="Q558" t="str">
        <f>IF(tblSalaries[[#This Row],[Years of Experience]]="","",IF(AND(tblSalaries[[#This Row],[Years of Experience]]&gt;10,tblSalaries[[#This Row],[Years of Experience]]&lt;=15),1,""))</f>
        <v/>
      </c>
      <c r="R558" t="str">
        <f>IF(tblSalaries[[#This Row],[Years of Experience]]="","",IF(AND(tblSalaries[[#This Row],[Years of Experience]]&gt;16,tblSalaries[[#This Row],[Years of Experience]]&lt;=20),1,""))</f>
        <v/>
      </c>
      <c r="S558" t="str">
        <f>IF(tblSalaries[[#This Row],[Years of Experience]]="","",IF(tblSalaries[[#This Row],[Years of Experience]]&gt;20,1,""))</f>
        <v/>
      </c>
      <c r="T5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558" s="13" t="str">
        <f>IF(tblSalaries[[#This Row],[Job Type]]=tblSalaries[[#Headers],[Accountant]],tblSalaries[[#This Row],[Salary in USD]],"")</f>
        <v/>
      </c>
      <c r="V558" s="13">
        <f>IF(tblSalaries[[#This Row],[Job Type]]=tblSalaries[[#Headers],[Analyst]],tblSalaries[[#This Row],[Salary in USD]],"")</f>
        <v>27500</v>
      </c>
      <c r="W558" s="13" t="str">
        <f>IF(tblSalaries[[#This Row],[Job Type]]=tblSalaries[[#Headers],[Consultant]],tblSalaries[[#This Row],[Salary in USD]],"")</f>
        <v/>
      </c>
      <c r="X558" s="13" t="str">
        <f>IF(tblSalaries[[#This Row],[Job Type]]=tblSalaries[[#Headers],[Controller]],tblSalaries[[#This Row],[Salary in USD]],"")</f>
        <v/>
      </c>
      <c r="Y558" s="13" t="str">
        <f>IF(tblSalaries[[#This Row],[Job Type]]=tblSalaries[[#Headers],[CXO or Top Mgmt.]],tblSalaries[[#This Row],[clean Salary (in local currency)]],"")</f>
        <v/>
      </c>
      <c r="Z558" s="13" t="str">
        <f>IF(tblSalaries[[#This Row],[Job Type]]=tblSalaries[[#Headers],[Engineer]],tblSalaries[[#This Row],[Salary in USD]],"")</f>
        <v/>
      </c>
      <c r="AA558" s="13" t="str">
        <f>IF(tblSalaries[[#This Row],[Job Type]]=tblSalaries[[#Headers],[Manager]],tblSalaries[[#This Row],[Salary in USD]],"")</f>
        <v/>
      </c>
      <c r="AB558" s="13" t="str">
        <f>IF(tblSalaries[[#This Row],[Job Type]]=tblSalaries[[#Headers],[Misc.]],tblSalaries[[#This Row],[Salary in USD]],"")</f>
        <v/>
      </c>
      <c r="AC558" s="13" t="str">
        <f>IF(tblSalaries[[#This Row],[Job Type]]=tblSalaries[[#Headers],[Reporting]],tblSalaries[[#This Row],[Salary in USD]],"")</f>
        <v/>
      </c>
      <c r="AD558" s="13" t="str">
        <f>IF(tblSalaries[[#This Row],[Job Type]]=tblSalaries[[#Headers],[Specialist]],tblSalaries[[#This Row],[Salary in USD]],"")</f>
        <v/>
      </c>
    </row>
    <row r="559" spans="2:30" ht="15" customHeight="1" x14ac:dyDescent="0.25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 s="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  <c r="N559" t="str">
        <f>IF(tblSalaries[[#This Row],[Years of Experience]]="","",IF(tblSalaries[[#This Row],[Years of Experience]]&lt;=2,1,""))</f>
        <v/>
      </c>
      <c r="O559" t="str">
        <f>IF(tblSalaries[[#This Row],[Years of Experience]]="","",IF(AND(tblSalaries[[#This Row],[Years of Experience]]&gt;2,tblSalaries[[#This Row],[Years of Experience]]&lt;=5),1,""))</f>
        <v/>
      </c>
      <c r="P559">
        <f>IF(tblSalaries[[#This Row],[Years of Experience]]="","",IF(AND(tblSalaries[[#This Row],[Years of Experience]]&gt;5,tblSalaries[[#This Row],[Years of Experience]]&lt;=10),1,""))</f>
        <v>1</v>
      </c>
      <c r="Q559" t="str">
        <f>IF(tblSalaries[[#This Row],[Years of Experience]]="","",IF(AND(tblSalaries[[#This Row],[Years of Experience]]&gt;10,tblSalaries[[#This Row],[Years of Experience]]&lt;=15),1,""))</f>
        <v/>
      </c>
      <c r="R559" t="str">
        <f>IF(tblSalaries[[#This Row],[Years of Experience]]="","",IF(AND(tblSalaries[[#This Row],[Years of Experience]]&gt;16,tblSalaries[[#This Row],[Years of Experience]]&lt;=20),1,""))</f>
        <v/>
      </c>
      <c r="S559" t="str">
        <f>IF(tblSalaries[[#This Row],[Years of Experience]]="","",IF(tblSalaries[[#This Row],[Years of Experience]]&gt;20,1,""))</f>
        <v/>
      </c>
      <c r="T5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59" s="13" t="str">
        <f>IF(tblSalaries[[#This Row],[Job Type]]=tblSalaries[[#Headers],[Accountant]],tblSalaries[[#This Row],[Salary in USD]],"")</f>
        <v/>
      </c>
      <c r="V559" s="13" t="str">
        <f>IF(tblSalaries[[#This Row],[Job Type]]=tblSalaries[[#Headers],[Analyst]],tblSalaries[[#This Row],[Salary in USD]],"")</f>
        <v/>
      </c>
      <c r="W559" s="13" t="str">
        <f>IF(tblSalaries[[#This Row],[Job Type]]=tblSalaries[[#Headers],[Consultant]],tblSalaries[[#This Row],[Salary in USD]],"")</f>
        <v/>
      </c>
      <c r="X559" s="13">
        <f>IF(tblSalaries[[#This Row],[Job Type]]=tblSalaries[[#Headers],[Controller]],tblSalaries[[#This Row],[Salary in USD]],"")</f>
        <v>140000</v>
      </c>
      <c r="Y559" s="13" t="str">
        <f>IF(tblSalaries[[#This Row],[Job Type]]=tblSalaries[[#Headers],[CXO or Top Mgmt.]],tblSalaries[[#This Row],[clean Salary (in local currency)]],"")</f>
        <v/>
      </c>
      <c r="Z559" s="13" t="str">
        <f>IF(tblSalaries[[#This Row],[Job Type]]=tblSalaries[[#Headers],[Engineer]],tblSalaries[[#This Row],[Salary in USD]],"")</f>
        <v/>
      </c>
      <c r="AA559" s="13" t="str">
        <f>IF(tblSalaries[[#This Row],[Job Type]]=tblSalaries[[#Headers],[Manager]],tblSalaries[[#This Row],[Salary in USD]],"")</f>
        <v/>
      </c>
      <c r="AB559" s="13" t="str">
        <f>IF(tblSalaries[[#This Row],[Job Type]]=tblSalaries[[#Headers],[Misc.]],tblSalaries[[#This Row],[Salary in USD]],"")</f>
        <v/>
      </c>
      <c r="AC559" s="13" t="str">
        <f>IF(tblSalaries[[#This Row],[Job Type]]=tblSalaries[[#Headers],[Reporting]],tblSalaries[[#This Row],[Salary in USD]],"")</f>
        <v/>
      </c>
      <c r="AD559" s="13" t="str">
        <f>IF(tblSalaries[[#This Row],[Job Type]]=tblSalaries[[#Headers],[Specialist]],tblSalaries[[#This Row],[Salary in USD]],"")</f>
        <v/>
      </c>
    </row>
    <row r="560" spans="2:30" ht="15" customHeight="1" x14ac:dyDescent="0.25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 s="9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  <c r="N560" t="str">
        <f>IF(tblSalaries[[#This Row],[Years of Experience]]="","",IF(tblSalaries[[#This Row],[Years of Experience]]&lt;=2,1,""))</f>
        <v/>
      </c>
      <c r="O560" t="str">
        <f>IF(tblSalaries[[#This Row],[Years of Experience]]="","",IF(AND(tblSalaries[[#This Row],[Years of Experience]]&gt;2,tblSalaries[[#This Row],[Years of Experience]]&lt;=5),1,""))</f>
        <v/>
      </c>
      <c r="P560">
        <f>IF(tblSalaries[[#This Row],[Years of Experience]]="","",IF(AND(tblSalaries[[#This Row],[Years of Experience]]&gt;5,tblSalaries[[#This Row],[Years of Experience]]&lt;=10),1,""))</f>
        <v>1</v>
      </c>
      <c r="Q560" t="str">
        <f>IF(tblSalaries[[#This Row],[Years of Experience]]="","",IF(AND(tblSalaries[[#This Row],[Years of Experience]]&gt;10,tblSalaries[[#This Row],[Years of Experience]]&lt;=15),1,""))</f>
        <v/>
      </c>
      <c r="R560" t="str">
        <f>IF(tblSalaries[[#This Row],[Years of Experience]]="","",IF(AND(tblSalaries[[#This Row],[Years of Experience]]&gt;16,tblSalaries[[#This Row],[Years of Experience]]&lt;=20),1,""))</f>
        <v/>
      </c>
      <c r="S560" t="str">
        <f>IF(tblSalaries[[#This Row],[Years of Experience]]="","",IF(tblSalaries[[#This Row],[Years of Experience]]&gt;20,1,""))</f>
        <v/>
      </c>
      <c r="T5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60" s="13" t="str">
        <f>IF(tblSalaries[[#This Row],[Job Type]]=tblSalaries[[#Headers],[Accountant]],tblSalaries[[#This Row],[Salary in USD]],"")</f>
        <v/>
      </c>
      <c r="V560" s="13">
        <f>IF(tblSalaries[[#This Row],[Job Type]]=tblSalaries[[#Headers],[Analyst]],tblSalaries[[#This Row],[Salary in USD]],"")</f>
        <v>69871.969144538423</v>
      </c>
      <c r="W560" s="13" t="str">
        <f>IF(tblSalaries[[#This Row],[Job Type]]=tblSalaries[[#Headers],[Consultant]],tblSalaries[[#This Row],[Salary in USD]],"")</f>
        <v/>
      </c>
      <c r="X560" s="13" t="str">
        <f>IF(tblSalaries[[#This Row],[Job Type]]=tblSalaries[[#Headers],[Controller]],tblSalaries[[#This Row],[Salary in USD]],"")</f>
        <v/>
      </c>
      <c r="Y560" s="13" t="str">
        <f>IF(tblSalaries[[#This Row],[Job Type]]=tblSalaries[[#Headers],[CXO or Top Mgmt.]],tblSalaries[[#This Row],[clean Salary (in local currency)]],"")</f>
        <v/>
      </c>
      <c r="Z560" s="13" t="str">
        <f>IF(tblSalaries[[#This Row],[Job Type]]=tblSalaries[[#Headers],[Engineer]],tblSalaries[[#This Row],[Salary in USD]],"")</f>
        <v/>
      </c>
      <c r="AA560" s="13" t="str">
        <f>IF(tblSalaries[[#This Row],[Job Type]]=tblSalaries[[#Headers],[Manager]],tblSalaries[[#This Row],[Salary in USD]],"")</f>
        <v/>
      </c>
      <c r="AB560" s="13" t="str">
        <f>IF(tblSalaries[[#This Row],[Job Type]]=tblSalaries[[#Headers],[Misc.]],tblSalaries[[#This Row],[Salary in USD]],"")</f>
        <v/>
      </c>
      <c r="AC560" s="13" t="str">
        <f>IF(tblSalaries[[#This Row],[Job Type]]=tblSalaries[[#Headers],[Reporting]],tblSalaries[[#This Row],[Salary in USD]],"")</f>
        <v/>
      </c>
      <c r="AD560" s="13" t="str">
        <f>IF(tblSalaries[[#This Row],[Job Type]]=tblSalaries[[#Headers],[Specialist]],tblSalaries[[#This Row],[Salary in USD]],"")</f>
        <v/>
      </c>
    </row>
    <row r="561" spans="2:30" ht="15" customHeight="1" x14ac:dyDescent="0.25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 s="9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  <c r="N561">
        <f>IF(tblSalaries[[#This Row],[Years of Experience]]="","",IF(tblSalaries[[#This Row],[Years of Experience]]&lt;=2,1,""))</f>
        <v>1</v>
      </c>
      <c r="O561" t="str">
        <f>IF(tblSalaries[[#This Row],[Years of Experience]]="","",IF(AND(tblSalaries[[#This Row],[Years of Experience]]&gt;2,tblSalaries[[#This Row],[Years of Experience]]&lt;=5),1,""))</f>
        <v/>
      </c>
      <c r="P561" t="str">
        <f>IF(tblSalaries[[#This Row],[Years of Experience]]="","",IF(AND(tblSalaries[[#This Row],[Years of Experience]]&gt;5,tblSalaries[[#This Row],[Years of Experience]]&lt;=10),1,""))</f>
        <v/>
      </c>
      <c r="Q561" t="str">
        <f>IF(tblSalaries[[#This Row],[Years of Experience]]="","",IF(AND(tblSalaries[[#This Row],[Years of Experience]]&gt;10,tblSalaries[[#This Row],[Years of Experience]]&lt;=15),1,""))</f>
        <v/>
      </c>
      <c r="R561" t="str">
        <f>IF(tblSalaries[[#This Row],[Years of Experience]]="","",IF(AND(tblSalaries[[#This Row],[Years of Experience]]&gt;16,tblSalaries[[#This Row],[Years of Experience]]&lt;=20),1,""))</f>
        <v/>
      </c>
      <c r="S561" t="str">
        <f>IF(tblSalaries[[#This Row],[Years of Experience]]="","",IF(tblSalaries[[#This Row],[Years of Experience]]&gt;20,1,""))</f>
        <v/>
      </c>
      <c r="T5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561" s="13" t="str">
        <f>IF(tblSalaries[[#This Row],[Job Type]]=tblSalaries[[#Headers],[Accountant]],tblSalaries[[#This Row],[Salary in USD]],"")</f>
        <v/>
      </c>
      <c r="V561" s="13">
        <f>IF(tblSalaries[[#This Row],[Job Type]]=tblSalaries[[#Headers],[Analyst]],tblSalaries[[#This Row],[Salary in USD]],"")</f>
        <v>45000</v>
      </c>
      <c r="W561" s="13" t="str">
        <f>IF(tblSalaries[[#This Row],[Job Type]]=tblSalaries[[#Headers],[Consultant]],tblSalaries[[#This Row],[Salary in USD]],"")</f>
        <v/>
      </c>
      <c r="X561" s="13" t="str">
        <f>IF(tblSalaries[[#This Row],[Job Type]]=tblSalaries[[#Headers],[Controller]],tblSalaries[[#This Row],[Salary in USD]],"")</f>
        <v/>
      </c>
      <c r="Y561" s="13" t="str">
        <f>IF(tblSalaries[[#This Row],[Job Type]]=tblSalaries[[#Headers],[CXO or Top Mgmt.]],tblSalaries[[#This Row],[clean Salary (in local currency)]],"")</f>
        <v/>
      </c>
      <c r="Z561" s="13" t="str">
        <f>IF(tblSalaries[[#This Row],[Job Type]]=tblSalaries[[#Headers],[Engineer]],tblSalaries[[#This Row],[Salary in USD]],"")</f>
        <v/>
      </c>
      <c r="AA561" s="13" t="str">
        <f>IF(tblSalaries[[#This Row],[Job Type]]=tblSalaries[[#Headers],[Manager]],tblSalaries[[#This Row],[Salary in USD]],"")</f>
        <v/>
      </c>
      <c r="AB561" s="13" t="str">
        <f>IF(tblSalaries[[#This Row],[Job Type]]=tblSalaries[[#Headers],[Misc.]],tblSalaries[[#This Row],[Salary in USD]],"")</f>
        <v/>
      </c>
      <c r="AC561" s="13" t="str">
        <f>IF(tblSalaries[[#This Row],[Job Type]]=tblSalaries[[#Headers],[Reporting]],tblSalaries[[#This Row],[Salary in USD]],"")</f>
        <v/>
      </c>
      <c r="AD561" s="13" t="str">
        <f>IF(tblSalaries[[#This Row],[Job Type]]=tblSalaries[[#Headers],[Specialist]],tblSalaries[[#This Row],[Salary in USD]],"")</f>
        <v/>
      </c>
    </row>
    <row r="562" spans="2:30" ht="15" customHeight="1" x14ac:dyDescent="0.25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 s="9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  <c r="N562" t="str">
        <f>IF(tblSalaries[[#This Row],[Years of Experience]]="","",IF(tblSalaries[[#This Row],[Years of Experience]]&lt;=2,1,""))</f>
        <v/>
      </c>
      <c r="O562" t="str">
        <f>IF(tblSalaries[[#This Row],[Years of Experience]]="","",IF(AND(tblSalaries[[#This Row],[Years of Experience]]&gt;2,tblSalaries[[#This Row],[Years of Experience]]&lt;=5),1,""))</f>
        <v/>
      </c>
      <c r="P562" t="str">
        <f>IF(tblSalaries[[#This Row],[Years of Experience]]="","",IF(AND(tblSalaries[[#This Row],[Years of Experience]]&gt;5,tblSalaries[[#This Row],[Years of Experience]]&lt;=10),1,""))</f>
        <v/>
      </c>
      <c r="Q562">
        <f>IF(tblSalaries[[#This Row],[Years of Experience]]="","",IF(AND(tblSalaries[[#This Row],[Years of Experience]]&gt;10,tblSalaries[[#This Row],[Years of Experience]]&lt;=15),1,""))</f>
        <v>1</v>
      </c>
      <c r="R562" t="str">
        <f>IF(tblSalaries[[#This Row],[Years of Experience]]="","",IF(AND(tblSalaries[[#This Row],[Years of Experience]]&gt;16,tblSalaries[[#This Row],[Years of Experience]]&lt;=20),1,""))</f>
        <v/>
      </c>
      <c r="S562" t="str">
        <f>IF(tblSalaries[[#This Row],[Years of Experience]]="","",IF(tblSalaries[[#This Row],[Years of Experience]]&gt;20,1,""))</f>
        <v/>
      </c>
      <c r="T5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562" s="13" t="str">
        <f>IF(tblSalaries[[#This Row],[Job Type]]=tblSalaries[[#Headers],[Accountant]],tblSalaries[[#This Row],[Salary in USD]],"")</f>
        <v/>
      </c>
      <c r="V562" s="13">
        <f>IF(tblSalaries[[#This Row],[Job Type]]=tblSalaries[[#Headers],[Analyst]],tblSalaries[[#This Row],[Salary in USD]],"")</f>
        <v>95000</v>
      </c>
      <c r="W562" s="13" t="str">
        <f>IF(tblSalaries[[#This Row],[Job Type]]=tblSalaries[[#Headers],[Consultant]],tblSalaries[[#This Row],[Salary in USD]],"")</f>
        <v/>
      </c>
      <c r="X562" s="13" t="str">
        <f>IF(tblSalaries[[#This Row],[Job Type]]=tblSalaries[[#Headers],[Controller]],tblSalaries[[#This Row],[Salary in USD]],"")</f>
        <v/>
      </c>
      <c r="Y562" s="13" t="str">
        <f>IF(tblSalaries[[#This Row],[Job Type]]=tblSalaries[[#Headers],[CXO or Top Mgmt.]],tblSalaries[[#This Row],[clean Salary (in local currency)]],"")</f>
        <v/>
      </c>
      <c r="Z562" s="13" t="str">
        <f>IF(tblSalaries[[#This Row],[Job Type]]=tblSalaries[[#Headers],[Engineer]],tblSalaries[[#This Row],[Salary in USD]],"")</f>
        <v/>
      </c>
      <c r="AA562" s="13" t="str">
        <f>IF(tblSalaries[[#This Row],[Job Type]]=tblSalaries[[#Headers],[Manager]],tblSalaries[[#This Row],[Salary in USD]],"")</f>
        <v/>
      </c>
      <c r="AB562" s="13" t="str">
        <f>IF(tblSalaries[[#This Row],[Job Type]]=tblSalaries[[#Headers],[Misc.]],tblSalaries[[#This Row],[Salary in USD]],"")</f>
        <v/>
      </c>
      <c r="AC562" s="13" t="str">
        <f>IF(tblSalaries[[#This Row],[Job Type]]=tblSalaries[[#Headers],[Reporting]],tblSalaries[[#This Row],[Salary in USD]],"")</f>
        <v/>
      </c>
      <c r="AD562" s="13" t="str">
        <f>IF(tblSalaries[[#This Row],[Job Type]]=tblSalaries[[#Headers],[Specialist]],tblSalaries[[#This Row],[Salary in USD]],"")</f>
        <v/>
      </c>
    </row>
    <row r="563" spans="2:30" ht="15" customHeight="1" x14ac:dyDescent="0.25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 s="9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  <c r="N563" t="str">
        <f>IF(tblSalaries[[#This Row],[Years of Experience]]="","",IF(tblSalaries[[#This Row],[Years of Experience]]&lt;=2,1,""))</f>
        <v/>
      </c>
      <c r="O563" t="str">
        <f>IF(tblSalaries[[#This Row],[Years of Experience]]="","",IF(AND(tblSalaries[[#This Row],[Years of Experience]]&gt;2,tblSalaries[[#This Row],[Years of Experience]]&lt;=5),1,""))</f>
        <v/>
      </c>
      <c r="P563" t="str">
        <f>IF(tblSalaries[[#This Row],[Years of Experience]]="","",IF(AND(tblSalaries[[#This Row],[Years of Experience]]&gt;5,tblSalaries[[#This Row],[Years of Experience]]&lt;=10),1,""))</f>
        <v/>
      </c>
      <c r="Q563" t="str">
        <f>IF(tblSalaries[[#This Row],[Years of Experience]]="","",IF(AND(tblSalaries[[#This Row],[Years of Experience]]&gt;10,tblSalaries[[#This Row],[Years of Experience]]&lt;=15),1,""))</f>
        <v/>
      </c>
      <c r="R563">
        <f>IF(tblSalaries[[#This Row],[Years of Experience]]="","",IF(AND(tblSalaries[[#This Row],[Years of Experience]]&gt;16,tblSalaries[[#This Row],[Years of Experience]]&lt;=20),1,""))</f>
        <v>1</v>
      </c>
      <c r="S563" t="str">
        <f>IF(tblSalaries[[#This Row],[Years of Experience]]="","",IF(tblSalaries[[#This Row],[Years of Experience]]&gt;20,1,""))</f>
        <v/>
      </c>
      <c r="T5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63" s="13" t="str">
        <f>IF(tblSalaries[[#This Row],[Job Type]]=tblSalaries[[#Headers],[Accountant]],tblSalaries[[#This Row],[Salary in USD]],"")</f>
        <v/>
      </c>
      <c r="V563" s="13" t="str">
        <f>IF(tblSalaries[[#This Row],[Job Type]]=tblSalaries[[#Headers],[Analyst]],tblSalaries[[#This Row],[Salary in USD]],"")</f>
        <v/>
      </c>
      <c r="W563" s="13" t="str">
        <f>IF(tblSalaries[[#This Row],[Job Type]]=tblSalaries[[#Headers],[Consultant]],tblSalaries[[#This Row],[Salary in USD]],"")</f>
        <v/>
      </c>
      <c r="X563" s="13" t="str">
        <f>IF(tblSalaries[[#This Row],[Job Type]]=tblSalaries[[#Headers],[Controller]],tblSalaries[[#This Row],[Salary in USD]],"")</f>
        <v/>
      </c>
      <c r="Y563" s="13" t="str">
        <f>IF(tblSalaries[[#This Row],[Job Type]]=tblSalaries[[#Headers],[CXO or Top Mgmt.]],tblSalaries[[#This Row],[clean Salary (in local currency)]],"")</f>
        <v/>
      </c>
      <c r="Z563" s="13" t="str">
        <f>IF(tblSalaries[[#This Row],[Job Type]]=tblSalaries[[#Headers],[Engineer]],tblSalaries[[#This Row],[Salary in USD]],"")</f>
        <v/>
      </c>
      <c r="AA563" s="13">
        <f>IF(tblSalaries[[#This Row],[Job Type]]=tblSalaries[[#Headers],[Manager]],tblSalaries[[#This Row],[Salary in USD]],"")</f>
        <v>158085.99674240855</v>
      </c>
      <c r="AB563" s="13" t="str">
        <f>IF(tblSalaries[[#This Row],[Job Type]]=tblSalaries[[#Headers],[Misc.]],tblSalaries[[#This Row],[Salary in USD]],"")</f>
        <v/>
      </c>
      <c r="AC563" s="13" t="str">
        <f>IF(tblSalaries[[#This Row],[Job Type]]=tblSalaries[[#Headers],[Reporting]],tblSalaries[[#This Row],[Salary in USD]],"")</f>
        <v/>
      </c>
      <c r="AD563" s="13" t="str">
        <f>IF(tblSalaries[[#This Row],[Job Type]]=tblSalaries[[#Headers],[Specialist]],tblSalaries[[#This Row],[Salary in USD]],"")</f>
        <v/>
      </c>
    </row>
    <row r="564" spans="2:30" ht="15" customHeight="1" x14ac:dyDescent="0.25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 s="9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  <c r="N564" t="str">
        <f>IF(tblSalaries[[#This Row],[Years of Experience]]="","",IF(tblSalaries[[#This Row],[Years of Experience]]&lt;=2,1,""))</f>
        <v/>
      </c>
      <c r="O564" t="str">
        <f>IF(tblSalaries[[#This Row],[Years of Experience]]="","",IF(AND(tblSalaries[[#This Row],[Years of Experience]]&gt;2,tblSalaries[[#This Row],[Years of Experience]]&lt;=5),1,""))</f>
        <v/>
      </c>
      <c r="P564" t="str">
        <f>IF(tblSalaries[[#This Row],[Years of Experience]]="","",IF(AND(tblSalaries[[#This Row],[Years of Experience]]&gt;5,tblSalaries[[#This Row],[Years of Experience]]&lt;=10),1,""))</f>
        <v/>
      </c>
      <c r="Q564" t="str">
        <f>IF(tblSalaries[[#This Row],[Years of Experience]]="","",IF(AND(tblSalaries[[#This Row],[Years of Experience]]&gt;10,tblSalaries[[#This Row],[Years of Experience]]&lt;=15),1,""))</f>
        <v/>
      </c>
      <c r="R564" t="str">
        <f>IF(tblSalaries[[#This Row],[Years of Experience]]="","",IF(AND(tblSalaries[[#This Row],[Years of Experience]]&gt;16,tblSalaries[[#This Row],[Years of Experience]]&lt;=20),1,""))</f>
        <v/>
      </c>
      <c r="S564">
        <f>IF(tblSalaries[[#This Row],[Years of Experience]]="","",IF(tblSalaries[[#This Row],[Years of Experience]]&gt;20,1,""))</f>
        <v>1</v>
      </c>
      <c r="T5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64" s="13" t="str">
        <f>IF(tblSalaries[[#This Row],[Job Type]]=tblSalaries[[#Headers],[Accountant]],tblSalaries[[#This Row],[Salary in USD]],"")</f>
        <v/>
      </c>
      <c r="V564" s="13">
        <f>IF(tblSalaries[[#This Row],[Job Type]]=tblSalaries[[#Headers],[Analyst]],tblSalaries[[#This Row],[Salary in USD]],"")</f>
        <v>63807.047488395103</v>
      </c>
      <c r="W564" s="13" t="str">
        <f>IF(tblSalaries[[#This Row],[Job Type]]=tblSalaries[[#Headers],[Consultant]],tblSalaries[[#This Row],[Salary in USD]],"")</f>
        <v/>
      </c>
      <c r="X564" s="13" t="str">
        <f>IF(tblSalaries[[#This Row],[Job Type]]=tblSalaries[[#Headers],[Controller]],tblSalaries[[#This Row],[Salary in USD]],"")</f>
        <v/>
      </c>
      <c r="Y564" s="13" t="str">
        <f>IF(tblSalaries[[#This Row],[Job Type]]=tblSalaries[[#Headers],[CXO or Top Mgmt.]],tblSalaries[[#This Row],[clean Salary (in local currency)]],"")</f>
        <v/>
      </c>
      <c r="Z564" s="13" t="str">
        <f>IF(tblSalaries[[#This Row],[Job Type]]=tblSalaries[[#Headers],[Engineer]],tblSalaries[[#This Row],[Salary in USD]],"")</f>
        <v/>
      </c>
      <c r="AA564" s="13" t="str">
        <f>IF(tblSalaries[[#This Row],[Job Type]]=tblSalaries[[#Headers],[Manager]],tblSalaries[[#This Row],[Salary in USD]],"")</f>
        <v/>
      </c>
      <c r="AB564" s="13" t="str">
        <f>IF(tblSalaries[[#This Row],[Job Type]]=tblSalaries[[#Headers],[Misc.]],tblSalaries[[#This Row],[Salary in USD]],"")</f>
        <v/>
      </c>
      <c r="AC564" s="13" t="str">
        <f>IF(tblSalaries[[#This Row],[Job Type]]=tblSalaries[[#Headers],[Reporting]],tblSalaries[[#This Row],[Salary in USD]],"")</f>
        <v/>
      </c>
      <c r="AD564" s="13" t="str">
        <f>IF(tblSalaries[[#This Row],[Job Type]]=tblSalaries[[#Headers],[Specialist]],tblSalaries[[#This Row],[Salary in USD]],"")</f>
        <v/>
      </c>
    </row>
    <row r="565" spans="2:30" ht="15" customHeight="1" x14ac:dyDescent="0.25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 s="9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  <c r="N565" t="str">
        <f>IF(tblSalaries[[#This Row],[Years of Experience]]="","",IF(tblSalaries[[#This Row],[Years of Experience]]&lt;=2,1,""))</f>
        <v/>
      </c>
      <c r="O565" t="str">
        <f>IF(tblSalaries[[#This Row],[Years of Experience]]="","",IF(AND(tblSalaries[[#This Row],[Years of Experience]]&gt;2,tblSalaries[[#This Row],[Years of Experience]]&lt;=5),1,""))</f>
        <v/>
      </c>
      <c r="P565" t="str">
        <f>IF(tblSalaries[[#This Row],[Years of Experience]]="","",IF(AND(tblSalaries[[#This Row],[Years of Experience]]&gt;5,tblSalaries[[#This Row],[Years of Experience]]&lt;=10),1,""))</f>
        <v/>
      </c>
      <c r="Q565">
        <f>IF(tblSalaries[[#This Row],[Years of Experience]]="","",IF(AND(tblSalaries[[#This Row],[Years of Experience]]&gt;10,tblSalaries[[#This Row],[Years of Experience]]&lt;=15),1,""))</f>
        <v>1</v>
      </c>
      <c r="R565" t="str">
        <f>IF(tblSalaries[[#This Row],[Years of Experience]]="","",IF(AND(tblSalaries[[#This Row],[Years of Experience]]&gt;16,tblSalaries[[#This Row],[Years of Experience]]&lt;=20),1,""))</f>
        <v/>
      </c>
      <c r="S565" t="str">
        <f>IF(tblSalaries[[#This Row],[Years of Experience]]="","",IF(tblSalaries[[#This Row],[Years of Experience]]&gt;20,1,""))</f>
        <v/>
      </c>
      <c r="T5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565" s="13" t="str">
        <f>IF(tblSalaries[[#This Row],[Job Type]]=tblSalaries[[#Headers],[Accountant]],tblSalaries[[#This Row],[Salary in USD]],"")</f>
        <v/>
      </c>
      <c r="V565" s="13">
        <f>IF(tblSalaries[[#This Row],[Job Type]]=tblSalaries[[#Headers],[Analyst]],tblSalaries[[#This Row],[Salary in USD]],"")</f>
        <v>38000</v>
      </c>
      <c r="W565" s="13" t="str">
        <f>IF(tblSalaries[[#This Row],[Job Type]]=tblSalaries[[#Headers],[Consultant]],tblSalaries[[#This Row],[Salary in USD]],"")</f>
        <v/>
      </c>
      <c r="X565" s="13" t="str">
        <f>IF(tblSalaries[[#This Row],[Job Type]]=tblSalaries[[#Headers],[Controller]],tblSalaries[[#This Row],[Salary in USD]],"")</f>
        <v/>
      </c>
      <c r="Y565" s="13" t="str">
        <f>IF(tblSalaries[[#This Row],[Job Type]]=tblSalaries[[#Headers],[CXO or Top Mgmt.]],tblSalaries[[#This Row],[clean Salary (in local currency)]],"")</f>
        <v/>
      </c>
      <c r="Z565" s="13" t="str">
        <f>IF(tblSalaries[[#This Row],[Job Type]]=tblSalaries[[#Headers],[Engineer]],tblSalaries[[#This Row],[Salary in USD]],"")</f>
        <v/>
      </c>
      <c r="AA565" s="13" t="str">
        <f>IF(tblSalaries[[#This Row],[Job Type]]=tblSalaries[[#Headers],[Manager]],tblSalaries[[#This Row],[Salary in USD]],"")</f>
        <v/>
      </c>
      <c r="AB565" s="13" t="str">
        <f>IF(tblSalaries[[#This Row],[Job Type]]=tblSalaries[[#Headers],[Misc.]],tblSalaries[[#This Row],[Salary in USD]],"")</f>
        <v/>
      </c>
      <c r="AC565" s="13" t="str">
        <f>IF(tblSalaries[[#This Row],[Job Type]]=tblSalaries[[#Headers],[Reporting]],tblSalaries[[#This Row],[Salary in USD]],"")</f>
        <v/>
      </c>
      <c r="AD565" s="13" t="str">
        <f>IF(tblSalaries[[#This Row],[Job Type]]=tblSalaries[[#Headers],[Specialist]],tblSalaries[[#This Row],[Salary in USD]],"")</f>
        <v/>
      </c>
    </row>
    <row r="566" spans="2:30" ht="15" customHeight="1" x14ac:dyDescent="0.25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 s="9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  <c r="N566" t="str">
        <f>IF(tblSalaries[[#This Row],[Years of Experience]]="","",IF(tblSalaries[[#This Row],[Years of Experience]]&lt;=2,1,""))</f>
        <v/>
      </c>
      <c r="O566" t="str">
        <f>IF(tblSalaries[[#This Row],[Years of Experience]]="","",IF(AND(tblSalaries[[#This Row],[Years of Experience]]&gt;2,tblSalaries[[#This Row],[Years of Experience]]&lt;=5),1,""))</f>
        <v/>
      </c>
      <c r="P566">
        <f>IF(tblSalaries[[#This Row],[Years of Experience]]="","",IF(AND(tblSalaries[[#This Row],[Years of Experience]]&gt;5,tblSalaries[[#This Row],[Years of Experience]]&lt;=10),1,""))</f>
        <v>1</v>
      </c>
      <c r="Q566" t="str">
        <f>IF(tblSalaries[[#This Row],[Years of Experience]]="","",IF(AND(tblSalaries[[#This Row],[Years of Experience]]&gt;10,tblSalaries[[#This Row],[Years of Experience]]&lt;=15),1,""))</f>
        <v/>
      </c>
      <c r="R566" t="str">
        <f>IF(tblSalaries[[#This Row],[Years of Experience]]="","",IF(AND(tblSalaries[[#This Row],[Years of Experience]]&gt;16,tblSalaries[[#This Row],[Years of Experience]]&lt;=20),1,""))</f>
        <v/>
      </c>
      <c r="S566" t="str">
        <f>IF(tblSalaries[[#This Row],[Years of Experience]]="","",IF(tblSalaries[[#This Row],[Years of Experience]]&gt;20,1,""))</f>
        <v/>
      </c>
      <c r="T5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66" s="13" t="str">
        <f>IF(tblSalaries[[#This Row],[Job Type]]=tblSalaries[[#Headers],[Accountant]],tblSalaries[[#This Row],[Salary in USD]],"")</f>
        <v/>
      </c>
      <c r="V566" s="13" t="str">
        <f>IF(tblSalaries[[#This Row],[Job Type]]=tblSalaries[[#Headers],[Analyst]],tblSalaries[[#This Row],[Salary in USD]],"")</f>
        <v/>
      </c>
      <c r="W566" s="13" t="str">
        <f>IF(tblSalaries[[#This Row],[Job Type]]=tblSalaries[[#Headers],[Consultant]],tblSalaries[[#This Row],[Salary in USD]],"")</f>
        <v/>
      </c>
      <c r="X566" s="13" t="str">
        <f>IF(tblSalaries[[#This Row],[Job Type]]=tblSalaries[[#Headers],[Controller]],tblSalaries[[#This Row],[Salary in USD]],"")</f>
        <v/>
      </c>
      <c r="Y566" s="13" t="str">
        <f>IF(tblSalaries[[#This Row],[Job Type]]=tblSalaries[[#Headers],[CXO or Top Mgmt.]],tblSalaries[[#This Row],[clean Salary (in local currency)]],"")</f>
        <v/>
      </c>
      <c r="Z566" s="13" t="str">
        <f>IF(tblSalaries[[#This Row],[Job Type]]=tblSalaries[[#Headers],[Engineer]],tblSalaries[[#This Row],[Salary in USD]],"")</f>
        <v/>
      </c>
      <c r="AA566" s="13">
        <f>IF(tblSalaries[[#This Row],[Job Type]]=tblSalaries[[#Headers],[Manager]],tblSalaries[[#This Row],[Salary in USD]],"")</f>
        <v>90000</v>
      </c>
      <c r="AB566" s="13" t="str">
        <f>IF(tblSalaries[[#This Row],[Job Type]]=tblSalaries[[#Headers],[Misc.]],tblSalaries[[#This Row],[Salary in USD]],"")</f>
        <v/>
      </c>
      <c r="AC566" s="13" t="str">
        <f>IF(tblSalaries[[#This Row],[Job Type]]=tblSalaries[[#Headers],[Reporting]],tblSalaries[[#This Row],[Salary in USD]],"")</f>
        <v/>
      </c>
      <c r="AD566" s="13" t="str">
        <f>IF(tblSalaries[[#This Row],[Job Type]]=tblSalaries[[#Headers],[Specialist]],tblSalaries[[#This Row],[Salary in USD]],"")</f>
        <v/>
      </c>
    </row>
    <row r="567" spans="2:30" ht="15" customHeight="1" x14ac:dyDescent="0.25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 s="9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  <c r="N567" t="str">
        <f>IF(tblSalaries[[#This Row],[Years of Experience]]="","",IF(tblSalaries[[#This Row],[Years of Experience]]&lt;=2,1,""))</f>
        <v/>
      </c>
      <c r="O567" t="str">
        <f>IF(tblSalaries[[#This Row],[Years of Experience]]="","",IF(AND(tblSalaries[[#This Row],[Years of Experience]]&gt;2,tblSalaries[[#This Row],[Years of Experience]]&lt;=5),1,""))</f>
        <v/>
      </c>
      <c r="P567" t="str">
        <f>IF(tblSalaries[[#This Row],[Years of Experience]]="","",IF(AND(tblSalaries[[#This Row],[Years of Experience]]&gt;5,tblSalaries[[#This Row],[Years of Experience]]&lt;=10),1,""))</f>
        <v/>
      </c>
      <c r="Q567" t="str">
        <f>IF(tblSalaries[[#This Row],[Years of Experience]]="","",IF(AND(tblSalaries[[#This Row],[Years of Experience]]&gt;10,tblSalaries[[#This Row],[Years of Experience]]&lt;=15),1,""))</f>
        <v/>
      </c>
      <c r="R567" t="str">
        <f>IF(tblSalaries[[#This Row],[Years of Experience]]="","",IF(AND(tblSalaries[[#This Row],[Years of Experience]]&gt;16,tblSalaries[[#This Row],[Years of Experience]]&lt;=20),1,""))</f>
        <v/>
      </c>
      <c r="S567">
        <f>IF(tblSalaries[[#This Row],[Years of Experience]]="","",IF(tblSalaries[[#This Row],[Years of Experience]]&gt;20,1,""))</f>
        <v>1</v>
      </c>
      <c r="T5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67" s="13" t="str">
        <f>IF(tblSalaries[[#This Row],[Job Type]]=tblSalaries[[#Headers],[Accountant]],tblSalaries[[#This Row],[Salary in USD]],"")</f>
        <v/>
      </c>
      <c r="V567" s="13" t="str">
        <f>IF(tblSalaries[[#This Row],[Job Type]]=tblSalaries[[#Headers],[Analyst]],tblSalaries[[#This Row],[Salary in USD]],"")</f>
        <v/>
      </c>
      <c r="W567" s="13" t="str">
        <f>IF(tblSalaries[[#This Row],[Job Type]]=tblSalaries[[#Headers],[Consultant]],tblSalaries[[#This Row],[Salary in USD]],"")</f>
        <v/>
      </c>
      <c r="X567" s="13" t="str">
        <f>IF(tblSalaries[[#This Row],[Job Type]]=tblSalaries[[#Headers],[Controller]],tblSalaries[[#This Row],[Salary in USD]],"")</f>
        <v/>
      </c>
      <c r="Y567" s="13" t="str">
        <f>IF(tblSalaries[[#This Row],[Job Type]]=tblSalaries[[#Headers],[CXO or Top Mgmt.]],tblSalaries[[#This Row],[clean Salary (in local currency)]],"")</f>
        <v/>
      </c>
      <c r="Z567" s="13" t="str">
        <f>IF(tblSalaries[[#This Row],[Job Type]]=tblSalaries[[#Headers],[Engineer]],tblSalaries[[#This Row],[Salary in USD]],"")</f>
        <v/>
      </c>
      <c r="AA567" s="13">
        <f>IF(tblSalaries[[#This Row],[Job Type]]=tblSalaries[[#Headers],[Manager]],tblSalaries[[#This Row],[Salary in USD]],"")</f>
        <v>45393.934235537781</v>
      </c>
      <c r="AB567" s="13" t="str">
        <f>IF(tblSalaries[[#This Row],[Job Type]]=tblSalaries[[#Headers],[Misc.]],tblSalaries[[#This Row],[Salary in USD]],"")</f>
        <v/>
      </c>
      <c r="AC567" s="13" t="str">
        <f>IF(tblSalaries[[#This Row],[Job Type]]=tblSalaries[[#Headers],[Reporting]],tblSalaries[[#This Row],[Salary in USD]],"")</f>
        <v/>
      </c>
      <c r="AD567" s="13" t="str">
        <f>IF(tblSalaries[[#This Row],[Job Type]]=tblSalaries[[#Headers],[Specialist]],tblSalaries[[#This Row],[Salary in USD]],"")</f>
        <v/>
      </c>
    </row>
    <row r="568" spans="2:30" ht="15" customHeight="1" x14ac:dyDescent="0.25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 s="9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  <c r="N568" t="str">
        <f>IF(tblSalaries[[#This Row],[Years of Experience]]="","",IF(tblSalaries[[#This Row],[Years of Experience]]&lt;=2,1,""))</f>
        <v/>
      </c>
      <c r="O568" t="str">
        <f>IF(tblSalaries[[#This Row],[Years of Experience]]="","",IF(AND(tblSalaries[[#This Row],[Years of Experience]]&gt;2,tblSalaries[[#This Row],[Years of Experience]]&lt;=5),1,""))</f>
        <v/>
      </c>
      <c r="P568">
        <f>IF(tblSalaries[[#This Row],[Years of Experience]]="","",IF(AND(tblSalaries[[#This Row],[Years of Experience]]&gt;5,tblSalaries[[#This Row],[Years of Experience]]&lt;=10),1,""))</f>
        <v>1</v>
      </c>
      <c r="Q568" t="str">
        <f>IF(tblSalaries[[#This Row],[Years of Experience]]="","",IF(AND(tblSalaries[[#This Row],[Years of Experience]]&gt;10,tblSalaries[[#This Row],[Years of Experience]]&lt;=15),1,""))</f>
        <v/>
      </c>
      <c r="R568" t="str">
        <f>IF(tblSalaries[[#This Row],[Years of Experience]]="","",IF(AND(tblSalaries[[#This Row],[Years of Experience]]&gt;16,tblSalaries[[#This Row],[Years of Experience]]&lt;=20),1,""))</f>
        <v/>
      </c>
      <c r="S568" t="str">
        <f>IF(tblSalaries[[#This Row],[Years of Experience]]="","",IF(tblSalaries[[#This Row],[Years of Experience]]&gt;20,1,""))</f>
        <v/>
      </c>
      <c r="T5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68" s="13" t="str">
        <f>IF(tblSalaries[[#This Row],[Job Type]]=tblSalaries[[#Headers],[Accountant]],tblSalaries[[#This Row],[Salary in USD]],"")</f>
        <v/>
      </c>
      <c r="V568" s="13">
        <f>IF(tblSalaries[[#This Row],[Job Type]]=tblSalaries[[#Headers],[Analyst]],tblSalaries[[#This Row],[Salary in USD]],"")</f>
        <v>33099.743713412965</v>
      </c>
      <c r="W568" s="13" t="str">
        <f>IF(tblSalaries[[#This Row],[Job Type]]=tblSalaries[[#Headers],[Consultant]],tblSalaries[[#This Row],[Salary in USD]],"")</f>
        <v/>
      </c>
      <c r="X568" s="13" t="str">
        <f>IF(tblSalaries[[#This Row],[Job Type]]=tblSalaries[[#Headers],[Controller]],tblSalaries[[#This Row],[Salary in USD]],"")</f>
        <v/>
      </c>
      <c r="Y568" s="13" t="str">
        <f>IF(tblSalaries[[#This Row],[Job Type]]=tblSalaries[[#Headers],[CXO or Top Mgmt.]],tblSalaries[[#This Row],[clean Salary (in local currency)]],"")</f>
        <v/>
      </c>
      <c r="Z568" s="13" t="str">
        <f>IF(tblSalaries[[#This Row],[Job Type]]=tblSalaries[[#Headers],[Engineer]],tblSalaries[[#This Row],[Salary in USD]],"")</f>
        <v/>
      </c>
      <c r="AA568" s="13" t="str">
        <f>IF(tblSalaries[[#This Row],[Job Type]]=tblSalaries[[#Headers],[Manager]],tblSalaries[[#This Row],[Salary in USD]],"")</f>
        <v/>
      </c>
      <c r="AB568" s="13" t="str">
        <f>IF(tblSalaries[[#This Row],[Job Type]]=tblSalaries[[#Headers],[Misc.]],tblSalaries[[#This Row],[Salary in USD]],"")</f>
        <v/>
      </c>
      <c r="AC568" s="13" t="str">
        <f>IF(tblSalaries[[#This Row],[Job Type]]=tblSalaries[[#Headers],[Reporting]],tblSalaries[[#This Row],[Salary in USD]],"")</f>
        <v/>
      </c>
      <c r="AD568" s="13" t="str">
        <f>IF(tblSalaries[[#This Row],[Job Type]]=tblSalaries[[#Headers],[Specialist]],tblSalaries[[#This Row],[Salary in USD]],"")</f>
        <v/>
      </c>
    </row>
    <row r="569" spans="2:30" ht="15" customHeight="1" x14ac:dyDescent="0.25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 s="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  <c r="N569" t="str">
        <f>IF(tblSalaries[[#This Row],[Years of Experience]]="","",IF(tblSalaries[[#This Row],[Years of Experience]]&lt;=2,1,""))</f>
        <v/>
      </c>
      <c r="O569" t="str">
        <f>IF(tblSalaries[[#This Row],[Years of Experience]]="","",IF(AND(tblSalaries[[#This Row],[Years of Experience]]&gt;2,tblSalaries[[#This Row],[Years of Experience]]&lt;=5),1,""))</f>
        <v/>
      </c>
      <c r="P569">
        <f>IF(tblSalaries[[#This Row],[Years of Experience]]="","",IF(AND(tblSalaries[[#This Row],[Years of Experience]]&gt;5,tblSalaries[[#This Row],[Years of Experience]]&lt;=10),1,""))</f>
        <v>1</v>
      </c>
      <c r="Q569" t="str">
        <f>IF(tblSalaries[[#This Row],[Years of Experience]]="","",IF(AND(tblSalaries[[#This Row],[Years of Experience]]&gt;10,tblSalaries[[#This Row],[Years of Experience]]&lt;=15),1,""))</f>
        <v/>
      </c>
      <c r="R569" t="str">
        <f>IF(tblSalaries[[#This Row],[Years of Experience]]="","",IF(AND(tblSalaries[[#This Row],[Years of Experience]]&gt;16,tblSalaries[[#This Row],[Years of Experience]]&lt;=20),1,""))</f>
        <v/>
      </c>
      <c r="S569" t="str">
        <f>IF(tblSalaries[[#This Row],[Years of Experience]]="","",IF(tblSalaries[[#This Row],[Years of Experience]]&gt;20,1,""))</f>
        <v/>
      </c>
      <c r="T5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69" s="13" t="str">
        <f>IF(tblSalaries[[#This Row],[Job Type]]=tblSalaries[[#Headers],[Accountant]],tblSalaries[[#This Row],[Salary in USD]],"")</f>
        <v/>
      </c>
      <c r="V569" s="13">
        <f>IF(tblSalaries[[#This Row],[Job Type]]=tblSalaries[[#Headers],[Analyst]],tblSalaries[[#This Row],[Salary in USD]],"")</f>
        <v>4285</v>
      </c>
      <c r="W569" s="13" t="str">
        <f>IF(tblSalaries[[#This Row],[Job Type]]=tblSalaries[[#Headers],[Consultant]],tblSalaries[[#This Row],[Salary in USD]],"")</f>
        <v/>
      </c>
      <c r="X569" s="13" t="str">
        <f>IF(tblSalaries[[#This Row],[Job Type]]=tblSalaries[[#Headers],[Controller]],tblSalaries[[#This Row],[Salary in USD]],"")</f>
        <v/>
      </c>
      <c r="Y569" s="13" t="str">
        <f>IF(tblSalaries[[#This Row],[Job Type]]=tblSalaries[[#Headers],[CXO or Top Mgmt.]],tblSalaries[[#This Row],[clean Salary (in local currency)]],"")</f>
        <v/>
      </c>
      <c r="Z569" s="13" t="str">
        <f>IF(tblSalaries[[#This Row],[Job Type]]=tblSalaries[[#Headers],[Engineer]],tblSalaries[[#This Row],[Salary in USD]],"")</f>
        <v/>
      </c>
      <c r="AA569" s="13" t="str">
        <f>IF(tblSalaries[[#This Row],[Job Type]]=tblSalaries[[#Headers],[Manager]],tblSalaries[[#This Row],[Salary in USD]],"")</f>
        <v/>
      </c>
      <c r="AB569" s="13" t="str">
        <f>IF(tblSalaries[[#This Row],[Job Type]]=tblSalaries[[#Headers],[Misc.]],tblSalaries[[#This Row],[Salary in USD]],"")</f>
        <v/>
      </c>
      <c r="AC569" s="13" t="str">
        <f>IF(tblSalaries[[#This Row],[Job Type]]=tblSalaries[[#Headers],[Reporting]],tblSalaries[[#This Row],[Salary in USD]],"")</f>
        <v/>
      </c>
      <c r="AD569" s="13" t="str">
        <f>IF(tblSalaries[[#This Row],[Job Type]]=tblSalaries[[#Headers],[Specialist]],tblSalaries[[#This Row],[Salary in USD]],"")</f>
        <v/>
      </c>
    </row>
    <row r="570" spans="2:30" ht="15" customHeight="1" x14ac:dyDescent="0.25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 s="9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  <c r="N570" t="str">
        <f>IF(tblSalaries[[#This Row],[Years of Experience]]="","",IF(tblSalaries[[#This Row],[Years of Experience]]&lt;=2,1,""))</f>
        <v/>
      </c>
      <c r="O570" t="str">
        <f>IF(tblSalaries[[#This Row],[Years of Experience]]="","",IF(AND(tblSalaries[[#This Row],[Years of Experience]]&gt;2,tblSalaries[[#This Row],[Years of Experience]]&lt;=5),1,""))</f>
        <v/>
      </c>
      <c r="P570" t="str">
        <f>IF(tblSalaries[[#This Row],[Years of Experience]]="","",IF(AND(tblSalaries[[#This Row],[Years of Experience]]&gt;5,tblSalaries[[#This Row],[Years of Experience]]&lt;=10),1,""))</f>
        <v/>
      </c>
      <c r="Q570" t="str">
        <f>IF(tblSalaries[[#This Row],[Years of Experience]]="","",IF(AND(tblSalaries[[#This Row],[Years of Experience]]&gt;10,tblSalaries[[#This Row],[Years of Experience]]&lt;=15),1,""))</f>
        <v/>
      </c>
      <c r="R570">
        <f>IF(tblSalaries[[#This Row],[Years of Experience]]="","",IF(AND(tblSalaries[[#This Row],[Years of Experience]]&gt;16,tblSalaries[[#This Row],[Years of Experience]]&lt;=20),1,""))</f>
        <v>1</v>
      </c>
      <c r="S570" t="str">
        <f>IF(tblSalaries[[#This Row],[Years of Experience]]="","",IF(tblSalaries[[#This Row],[Years of Experience]]&gt;20,1,""))</f>
        <v/>
      </c>
      <c r="T5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70" s="13" t="str">
        <f>IF(tblSalaries[[#This Row],[Job Type]]=tblSalaries[[#Headers],[Accountant]],tblSalaries[[#This Row],[Salary in USD]],"")</f>
        <v/>
      </c>
      <c r="V570" s="13" t="str">
        <f>IF(tblSalaries[[#This Row],[Job Type]]=tblSalaries[[#Headers],[Analyst]],tblSalaries[[#This Row],[Salary in USD]],"")</f>
        <v/>
      </c>
      <c r="W570" s="13" t="str">
        <f>IF(tblSalaries[[#This Row],[Job Type]]=tblSalaries[[#Headers],[Consultant]],tblSalaries[[#This Row],[Salary in USD]],"")</f>
        <v/>
      </c>
      <c r="X570" s="13" t="str">
        <f>IF(tblSalaries[[#This Row],[Job Type]]=tblSalaries[[#Headers],[Controller]],tblSalaries[[#This Row],[Salary in USD]],"")</f>
        <v/>
      </c>
      <c r="Y570" s="13" t="str">
        <f>IF(tblSalaries[[#This Row],[Job Type]]=tblSalaries[[#Headers],[CXO or Top Mgmt.]],tblSalaries[[#This Row],[clean Salary (in local currency)]],"")</f>
        <v/>
      </c>
      <c r="Z570" s="13" t="str">
        <f>IF(tblSalaries[[#This Row],[Job Type]]=tblSalaries[[#Headers],[Engineer]],tblSalaries[[#This Row],[Salary in USD]],"")</f>
        <v/>
      </c>
      <c r="AA570" s="13">
        <f>IF(tblSalaries[[#This Row],[Job Type]]=tblSalaries[[#Headers],[Manager]],tblSalaries[[#This Row],[Salary in USD]],"")</f>
        <v>6000</v>
      </c>
      <c r="AB570" s="13" t="str">
        <f>IF(tblSalaries[[#This Row],[Job Type]]=tblSalaries[[#Headers],[Misc.]],tblSalaries[[#This Row],[Salary in USD]],"")</f>
        <v/>
      </c>
      <c r="AC570" s="13" t="str">
        <f>IF(tblSalaries[[#This Row],[Job Type]]=tblSalaries[[#Headers],[Reporting]],tblSalaries[[#This Row],[Salary in USD]],"")</f>
        <v/>
      </c>
      <c r="AD570" s="13" t="str">
        <f>IF(tblSalaries[[#This Row],[Job Type]]=tblSalaries[[#Headers],[Specialist]],tblSalaries[[#This Row],[Salary in USD]],"")</f>
        <v/>
      </c>
    </row>
    <row r="571" spans="2:30" ht="15" customHeight="1" x14ac:dyDescent="0.25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 s="9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  <c r="N571" t="str">
        <f>IF(tblSalaries[[#This Row],[Years of Experience]]="","",IF(tblSalaries[[#This Row],[Years of Experience]]&lt;=2,1,""))</f>
        <v/>
      </c>
      <c r="O571" t="str">
        <f>IF(tblSalaries[[#This Row],[Years of Experience]]="","",IF(AND(tblSalaries[[#This Row],[Years of Experience]]&gt;2,tblSalaries[[#This Row],[Years of Experience]]&lt;=5),1,""))</f>
        <v/>
      </c>
      <c r="P571">
        <f>IF(tblSalaries[[#This Row],[Years of Experience]]="","",IF(AND(tblSalaries[[#This Row],[Years of Experience]]&gt;5,tblSalaries[[#This Row],[Years of Experience]]&lt;=10),1,""))</f>
        <v>1</v>
      </c>
      <c r="Q571" t="str">
        <f>IF(tblSalaries[[#This Row],[Years of Experience]]="","",IF(AND(tblSalaries[[#This Row],[Years of Experience]]&gt;10,tblSalaries[[#This Row],[Years of Experience]]&lt;=15),1,""))</f>
        <v/>
      </c>
      <c r="R571" t="str">
        <f>IF(tblSalaries[[#This Row],[Years of Experience]]="","",IF(AND(tblSalaries[[#This Row],[Years of Experience]]&gt;16,tblSalaries[[#This Row],[Years of Experience]]&lt;=20),1,""))</f>
        <v/>
      </c>
      <c r="S571" t="str">
        <f>IF(tblSalaries[[#This Row],[Years of Experience]]="","",IF(tblSalaries[[#This Row],[Years of Experience]]&gt;20,1,""))</f>
        <v/>
      </c>
      <c r="T5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71" s="13" t="str">
        <f>IF(tblSalaries[[#This Row],[Job Type]]=tblSalaries[[#Headers],[Accountant]],tblSalaries[[#This Row],[Salary in USD]],"")</f>
        <v/>
      </c>
      <c r="V571" s="13">
        <f>IF(tblSalaries[[#This Row],[Job Type]]=tblSalaries[[#Headers],[Analyst]],tblSalaries[[#This Row],[Salary in USD]],"")</f>
        <v>22438.012440857987</v>
      </c>
      <c r="W571" s="13" t="str">
        <f>IF(tblSalaries[[#This Row],[Job Type]]=tblSalaries[[#Headers],[Consultant]],tblSalaries[[#This Row],[Salary in USD]],"")</f>
        <v/>
      </c>
      <c r="X571" s="13" t="str">
        <f>IF(tblSalaries[[#This Row],[Job Type]]=tblSalaries[[#Headers],[Controller]],tblSalaries[[#This Row],[Salary in USD]],"")</f>
        <v/>
      </c>
      <c r="Y571" s="13" t="str">
        <f>IF(tblSalaries[[#This Row],[Job Type]]=tblSalaries[[#Headers],[CXO or Top Mgmt.]],tblSalaries[[#This Row],[clean Salary (in local currency)]],"")</f>
        <v/>
      </c>
      <c r="Z571" s="13" t="str">
        <f>IF(tblSalaries[[#This Row],[Job Type]]=tblSalaries[[#Headers],[Engineer]],tblSalaries[[#This Row],[Salary in USD]],"")</f>
        <v/>
      </c>
      <c r="AA571" s="13" t="str">
        <f>IF(tblSalaries[[#This Row],[Job Type]]=tblSalaries[[#Headers],[Manager]],tblSalaries[[#This Row],[Salary in USD]],"")</f>
        <v/>
      </c>
      <c r="AB571" s="13" t="str">
        <f>IF(tblSalaries[[#This Row],[Job Type]]=tblSalaries[[#Headers],[Misc.]],tblSalaries[[#This Row],[Salary in USD]],"")</f>
        <v/>
      </c>
      <c r="AC571" s="13" t="str">
        <f>IF(tblSalaries[[#This Row],[Job Type]]=tblSalaries[[#Headers],[Reporting]],tblSalaries[[#This Row],[Salary in USD]],"")</f>
        <v/>
      </c>
      <c r="AD571" s="13" t="str">
        <f>IF(tblSalaries[[#This Row],[Job Type]]=tblSalaries[[#Headers],[Specialist]],tblSalaries[[#This Row],[Salary in USD]],"")</f>
        <v/>
      </c>
    </row>
    <row r="572" spans="2:30" ht="15" customHeight="1" x14ac:dyDescent="0.25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 s="9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  <c r="N572" t="str">
        <f>IF(tblSalaries[[#This Row],[Years of Experience]]="","",IF(tblSalaries[[#This Row],[Years of Experience]]&lt;=2,1,""))</f>
        <v/>
      </c>
      <c r="O572" t="str">
        <f>IF(tblSalaries[[#This Row],[Years of Experience]]="","",IF(AND(tblSalaries[[#This Row],[Years of Experience]]&gt;2,tblSalaries[[#This Row],[Years of Experience]]&lt;=5),1,""))</f>
        <v/>
      </c>
      <c r="P572" t="str">
        <f>IF(tblSalaries[[#This Row],[Years of Experience]]="","",IF(AND(tblSalaries[[#This Row],[Years of Experience]]&gt;5,tblSalaries[[#This Row],[Years of Experience]]&lt;=10),1,""))</f>
        <v/>
      </c>
      <c r="Q572">
        <f>IF(tblSalaries[[#This Row],[Years of Experience]]="","",IF(AND(tblSalaries[[#This Row],[Years of Experience]]&gt;10,tblSalaries[[#This Row],[Years of Experience]]&lt;=15),1,""))</f>
        <v>1</v>
      </c>
      <c r="R572" t="str">
        <f>IF(tblSalaries[[#This Row],[Years of Experience]]="","",IF(AND(tblSalaries[[#This Row],[Years of Experience]]&gt;16,tblSalaries[[#This Row],[Years of Experience]]&lt;=20),1,""))</f>
        <v/>
      </c>
      <c r="S572" t="str">
        <f>IF(tblSalaries[[#This Row],[Years of Experience]]="","",IF(tblSalaries[[#This Row],[Years of Experience]]&gt;20,1,""))</f>
        <v/>
      </c>
      <c r="T5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572" s="13" t="str">
        <f>IF(tblSalaries[[#This Row],[Job Type]]=tblSalaries[[#Headers],[Accountant]],tblSalaries[[#This Row],[Salary in USD]],"")</f>
        <v/>
      </c>
      <c r="V572" s="13" t="str">
        <f>IF(tblSalaries[[#This Row],[Job Type]]=tblSalaries[[#Headers],[Analyst]],tblSalaries[[#This Row],[Salary in USD]],"")</f>
        <v/>
      </c>
      <c r="W572" s="13" t="str">
        <f>IF(tblSalaries[[#This Row],[Job Type]]=tblSalaries[[#Headers],[Consultant]],tblSalaries[[#This Row],[Salary in USD]],"")</f>
        <v/>
      </c>
      <c r="X572" s="13" t="str">
        <f>IF(tblSalaries[[#This Row],[Job Type]]=tblSalaries[[#Headers],[Controller]],tblSalaries[[#This Row],[Salary in USD]],"")</f>
        <v/>
      </c>
      <c r="Y572" s="13" t="str">
        <f>IF(tblSalaries[[#This Row],[Job Type]]=tblSalaries[[#Headers],[CXO or Top Mgmt.]],tblSalaries[[#This Row],[clean Salary (in local currency)]],"")</f>
        <v/>
      </c>
      <c r="Z572" s="13" t="str">
        <f>IF(tblSalaries[[#This Row],[Job Type]]=tblSalaries[[#Headers],[Engineer]],tblSalaries[[#This Row],[Salary in USD]],"")</f>
        <v/>
      </c>
      <c r="AA572" s="13">
        <f>IF(tblSalaries[[#This Row],[Job Type]]=tblSalaries[[#Headers],[Manager]],tblSalaries[[#This Row],[Salary in USD]],"")</f>
        <v>90000</v>
      </c>
      <c r="AB572" s="13" t="str">
        <f>IF(tblSalaries[[#This Row],[Job Type]]=tblSalaries[[#Headers],[Misc.]],tblSalaries[[#This Row],[Salary in USD]],"")</f>
        <v/>
      </c>
      <c r="AC572" s="13" t="str">
        <f>IF(tblSalaries[[#This Row],[Job Type]]=tblSalaries[[#Headers],[Reporting]],tblSalaries[[#This Row],[Salary in USD]],"")</f>
        <v/>
      </c>
      <c r="AD572" s="13" t="str">
        <f>IF(tblSalaries[[#This Row],[Job Type]]=tblSalaries[[#Headers],[Specialist]],tblSalaries[[#This Row],[Salary in USD]],"")</f>
        <v/>
      </c>
    </row>
    <row r="573" spans="2:30" ht="15" customHeight="1" x14ac:dyDescent="0.25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 s="9">
        <f>tblSalaries[[#This Row],[clean Salary (in local currency)]]*VLOOKUP(tblSalaries[[#This Row],[Currency]],tblXrate[],2,FALSE)</f>
        <v>150000</v>
      </c>
      <c r="H573" t="s">
        <v>29</v>
      </c>
      <c r="I573" t="s">
        <v>4001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  <c r="N573" t="str">
        <f>IF(tblSalaries[[#This Row],[Years of Experience]]="","",IF(tblSalaries[[#This Row],[Years of Experience]]&lt;=2,1,""))</f>
        <v/>
      </c>
      <c r="O573" t="str">
        <f>IF(tblSalaries[[#This Row],[Years of Experience]]="","",IF(AND(tblSalaries[[#This Row],[Years of Experience]]&gt;2,tblSalaries[[#This Row],[Years of Experience]]&lt;=5),1,""))</f>
        <v/>
      </c>
      <c r="P573" t="str">
        <f>IF(tblSalaries[[#This Row],[Years of Experience]]="","",IF(AND(tblSalaries[[#This Row],[Years of Experience]]&gt;5,tblSalaries[[#This Row],[Years of Experience]]&lt;=10),1,""))</f>
        <v/>
      </c>
      <c r="Q573" t="str">
        <f>IF(tblSalaries[[#This Row],[Years of Experience]]="","",IF(AND(tblSalaries[[#This Row],[Years of Experience]]&gt;10,tblSalaries[[#This Row],[Years of Experience]]&lt;=15),1,""))</f>
        <v/>
      </c>
      <c r="R573" t="str">
        <f>IF(tblSalaries[[#This Row],[Years of Experience]]="","",IF(AND(tblSalaries[[#This Row],[Years of Experience]]&gt;16,tblSalaries[[#This Row],[Years of Experience]]&lt;=20),1,""))</f>
        <v/>
      </c>
      <c r="S573">
        <f>IF(tblSalaries[[#This Row],[Years of Experience]]="","",IF(tblSalaries[[#This Row],[Years of Experience]]&gt;20,1,""))</f>
        <v>1</v>
      </c>
      <c r="T5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73" s="13" t="str">
        <f>IF(tblSalaries[[#This Row],[Job Type]]=tblSalaries[[#Headers],[Accountant]],tblSalaries[[#This Row],[Salary in USD]],"")</f>
        <v/>
      </c>
      <c r="V573" s="13" t="str">
        <f>IF(tblSalaries[[#This Row],[Job Type]]=tblSalaries[[#Headers],[Analyst]],tblSalaries[[#This Row],[Salary in USD]],"")</f>
        <v/>
      </c>
      <c r="W573" s="13" t="str">
        <f>IF(tblSalaries[[#This Row],[Job Type]]=tblSalaries[[#Headers],[Consultant]],tblSalaries[[#This Row],[Salary in USD]],"")</f>
        <v/>
      </c>
      <c r="X573" s="13" t="str">
        <f>IF(tblSalaries[[#This Row],[Job Type]]=tblSalaries[[#Headers],[Controller]],tblSalaries[[#This Row],[Salary in USD]],"")</f>
        <v/>
      </c>
      <c r="Y573" s="13">
        <f>IF(tblSalaries[[#This Row],[Job Type]]=tblSalaries[[#Headers],[CXO or Top Mgmt.]],tblSalaries[[#This Row],[clean Salary (in local currency)]],"")</f>
        <v>150000</v>
      </c>
      <c r="Z573" s="13" t="str">
        <f>IF(tblSalaries[[#This Row],[Job Type]]=tblSalaries[[#Headers],[Engineer]],tblSalaries[[#This Row],[Salary in USD]],"")</f>
        <v/>
      </c>
      <c r="AA573" s="13" t="str">
        <f>IF(tblSalaries[[#This Row],[Job Type]]=tblSalaries[[#Headers],[Manager]],tblSalaries[[#This Row],[Salary in USD]],"")</f>
        <v/>
      </c>
      <c r="AB573" s="13" t="str">
        <f>IF(tblSalaries[[#This Row],[Job Type]]=tblSalaries[[#Headers],[Misc.]],tblSalaries[[#This Row],[Salary in USD]],"")</f>
        <v/>
      </c>
      <c r="AC573" s="13" t="str">
        <f>IF(tblSalaries[[#This Row],[Job Type]]=tblSalaries[[#Headers],[Reporting]],tblSalaries[[#This Row],[Salary in USD]],"")</f>
        <v/>
      </c>
      <c r="AD573" s="13" t="str">
        <f>IF(tblSalaries[[#This Row],[Job Type]]=tblSalaries[[#Headers],[Specialist]],tblSalaries[[#This Row],[Salary in USD]],"")</f>
        <v/>
      </c>
    </row>
    <row r="574" spans="2:30" ht="15" customHeight="1" x14ac:dyDescent="0.25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 s="9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  <c r="N574" t="str">
        <f>IF(tblSalaries[[#This Row],[Years of Experience]]="","",IF(tblSalaries[[#This Row],[Years of Experience]]&lt;=2,1,""))</f>
        <v/>
      </c>
      <c r="O574" t="str">
        <f>IF(tblSalaries[[#This Row],[Years of Experience]]="","",IF(AND(tblSalaries[[#This Row],[Years of Experience]]&gt;2,tblSalaries[[#This Row],[Years of Experience]]&lt;=5),1,""))</f>
        <v/>
      </c>
      <c r="P574" t="str">
        <f>IF(tblSalaries[[#This Row],[Years of Experience]]="","",IF(AND(tblSalaries[[#This Row],[Years of Experience]]&gt;5,tblSalaries[[#This Row],[Years of Experience]]&lt;=10),1,""))</f>
        <v/>
      </c>
      <c r="Q574" t="str">
        <f>IF(tblSalaries[[#This Row],[Years of Experience]]="","",IF(AND(tblSalaries[[#This Row],[Years of Experience]]&gt;10,tblSalaries[[#This Row],[Years of Experience]]&lt;=15),1,""))</f>
        <v/>
      </c>
      <c r="R574" t="str">
        <f>IF(tblSalaries[[#This Row],[Years of Experience]]="","",IF(AND(tblSalaries[[#This Row],[Years of Experience]]&gt;16,tblSalaries[[#This Row],[Years of Experience]]&lt;=20),1,""))</f>
        <v/>
      </c>
      <c r="S574">
        <f>IF(tblSalaries[[#This Row],[Years of Experience]]="","",IF(tblSalaries[[#This Row],[Years of Experience]]&gt;20,1,""))</f>
        <v>1</v>
      </c>
      <c r="T5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74" s="13">
        <f>IF(tblSalaries[[#This Row],[Job Type]]=tblSalaries[[#Headers],[Accountant]],tblSalaries[[#This Row],[Salary in USD]],"")</f>
        <v>132588.25533234264</v>
      </c>
      <c r="V574" s="13" t="str">
        <f>IF(tblSalaries[[#This Row],[Job Type]]=tblSalaries[[#Headers],[Analyst]],tblSalaries[[#This Row],[Salary in USD]],"")</f>
        <v/>
      </c>
      <c r="W574" s="13" t="str">
        <f>IF(tblSalaries[[#This Row],[Job Type]]=tblSalaries[[#Headers],[Consultant]],tblSalaries[[#This Row],[Salary in USD]],"")</f>
        <v/>
      </c>
      <c r="X574" s="13" t="str">
        <f>IF(tblSalaries[[#This Row],[Job Type]]=tblSalaries[[#Headers],[Controller]],tblSalaries[[#This Row],[Salary in USD]],"")</f>
        <v/>
      </c>
      <c r="Y574" s="13" t="str">
        <f>IF(tblSalaries[[#This Row],[Job Type]]=tblSalaries[[#Headers],[CXO or Top Mgmt.]],tblSalaries[[#This Row],[clean Salary (in local currency)]],"")</f>
        <v/>
      </c>
      <c r="Z574" s="13" t="str">
        <f>IF(tblSalaries[[#This Row],[Job Type]]=tblSalaries[[#Headers],[Engineer]],tblSalaries[[#This Row],[Salary in USD]],"")</f>
        <v/>
      </c>
      <c r="AA574" s="13" t="str">
        <f>IF(tblSalaries[[#This Row],[Job Type]]=tblSalaries[[#Headers],[Manager]],tblSalaries[[#This Row],[Salary in USD]],"")</f>
        <v/>
      </c>
      <c r="AB574" s="13" t="str">
        <f>IF(tblSalaries[[#This Row],[Job Type]]=tblSalaries[[#Headers],[Misc.]],tblSalaries[[#This Row],[Salary in USD]],"")</f>
        <v/>
      </c>
      <c r="AC574" s="13" t="str">
        <f>IF(tblSalaries[[#This Row],[Job Type]]=tblSalaries[[#Headers],[Reporting]],tblSalaries[[#This Row],[Salary in USD]],"")</f>
        <v/>
      </c>
      <c r="AD574" s="13" t="str">
        <f>IF(tblSalaries[[#This Row],[Job Type]]=tblSalaries[[#Headers],[Specialist]],tblSalaries[[#This Row],[Salary in USD]],"")</f>
        <v/>
      </c>
    </row>
    <row r="575" spans="2:30" ht="15" customHeight="1" x14ac:dyDescent="0.25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 s="9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  <c r="N575" t="str">
        <f>IF(tblSalaries[[#This Row],[Years of Experience]]="","",IF(tblSalaries[[#This Row],[Years of Experience]]&lt;=2,1,""))</f>
        <v/>
      </c>
      <c r="O575">
        <f>IF(tblSalaries[[#This Row],[Years of Experience]]="","",IF(AND(tblSalaries[[#This Row],[Years of Experience]]&gt;2,tblSalaries[[#This Row],[Years of Experience]]&lt;=5),1,""))</f>
        <v>1</v>
      </c>
      <c r="P575" t="str">
        <f>IF(tblSalaries[[#This Row],[Years of Experience]]="","",IF(AND(tblSalaries[[#This Row],[Years of Experience]]&gt;5,tblSalaries[[#This Row],[Years of Experience]]&lt;=10),1,""))</f>
        <v/>
      </c>
      <c r="Q575" t="str">
        <f>IF(tblSalaries[[#This Row],[Years of Experience]]="","",IF(AND(tblSalaries[[#This Row],[Years of Experience]]&gt;10,tblSalaries[[#This Row],[Years of Experience]]&lt;=15),1,""))</f>
        <v/>
      </c>
      <c r="R575" t="str">
        <f>IF(tblSalaries[[#This Row],[Years of Experience]]="","",IF(AND(tblSalaries[[#This Row],[Years of Experience]]&gt;16,tblSalaries[[#This Row],[Years of Experience]]&lt;=20),1,""))</f>
        <v/>
      </c>
      <c r="S575" t="str">
        <f>IF(tblSalaries[[#This Row],[Years of Experience]]="","",IF(tblSalaries[[#This Row],[Years of Experience]]&gt;20,1,""))</f>
        <v/>
      </c>
      <c r="T5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75" s="13" t="str">
        <f>IF(tblSalaries[[#This Row],[Job Type]]=tblSalaries[[#Headers],[Accountant]],tblSalaries[[#This Row],[Salary in USD]],"")</f>
        <v/>
      </c>
      <c r="V575" s="13">
        <f>IF(tblSalaries[[#This Row],[Job Type]]=tblSalaries[[#Headers],[Analyst]],tblSalaries[[#This Row],[Salary in USD]],"")</f>
        <v>45000</v>
      </c>
      <c r="W575" s="13" t="str">
        <f>IF(tblSalaries[[#This Row],[Job Type]]=tblSalaries[[#Headers],[Consultant]],tblSalaries[[#This Row],[Salary in USD]],"")</f>
        <v/>
      </c>
      <c r="X575" s="13" t="str">
        <f>IF(tblSalaries[[#This Row],[Job Type]]=tblSalaries[[#Headers],[Controller]],tblSalaries[[#This Row],[Salary in USD]],"")</f>
        <v/>
      </c>
      <c r="Y575" s="13" t="str">
        <f>IF(tblSalaries[[#This Row],[Job Type]]=tblSalaries[[#Headers],[CXO or Top Mgmt.]],tblSalaries[[#This Row],[clean Salary (in local currency)]],"")</f>
        <v/>
      </c>
      <c r="Z575" s="13" t="str">
        <f>IF(tblSalaries[[#This Row],[Job Type]]=tblSalaries[[#Headers],[Engineer]],tblSalaries[[#This Row],[Salary in USD]],"")</f>
        <v/>
      </c>
      <c r="AA575" s="13" t="str">
        <f>IF(tblSalaries[[#This Row],[Job Type]]=tblSalaries[[#Headers],[Manager]],tblSalaries[[#This Row],[Salary in USD]],"")</f>
        <v/>
      </c>
      <c r="AB575" s="13" t="str">
        <f>IF(tblSalaries[[#This Row],[Job Type]]=tblSalaries[[#Headers],[Misc.]],tblSalaries[[#This Row],[Salary in USD]],"")</f>
        <v/>
      </c>
      <c r="AC575" s="13" t="str">
        <f>IF(tblSalaries[[#This Row],[Job Type]]=tblSalaries[[#Headers],[Reporting]],tblSalaries[[#This Row],[Salary in USD]],"")</f>
        <v/>
      </c>
      <c r="AD575" s="13" t="str">
        <f>IF(tblSalaries[[#This Row],[Job Type]]=tblSalaries[[#Headers],[Specialist]],tblSalaries[[#This Row],[Salary in USD]],"")</f>
        <v/>
      </c>
    </row>
    <row r="576" spans="2:30" ht="15" customHeight="1" x14ac:dyDescent="0.25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 s="9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  <c r="N576" t="str">
        <f>IF(tblSalaries[[#This Row],[Years of Experience]]="","",IF(tblSalaries[[#This Row],[Years of Experience]]&lt;=2,1,""))</f>
        <v/>
      </c>
      <c r="O576" t="str">
        <f>IF(tblSalaries[[#This Row],[Years of Experience]]="","",IF(AND(tblSalaries[[#This Row],[Years of Experience]]&gt;2,tblSalaries[[#This Row],[Years of Experience]]&lt;=5),1,""))</f>
        <v/>
      </c>
      <c r="P576">
        <f>IF(tblSalaries[[#This Row],[Years of Experience]]="","",IF(AND(tblSalaries[[#This Row],[Years of Experience]]&gt;5,tblSalaries[[#This Row],[Years of Experience]]&lt;=10),1,""))</f>
        <v>1</v>
      </c>
      <c r="Q576" t="str">
        <f>IF(tblSalaries[[#This Row],[Years of Experience]]="","",IF(AND(tblSalaries[[#This Row],[Years of Experience]]&gt;10,tblSalaries[[#This Row],[Years of Experience]]&lt;=15),1,""))</f>
        <v/>
      </c>
      <c r="R576" t="str">
        <f>IF(tblSalaries[[#This Row],[Years of Experience]]="","",IF(AND(tblSalaries[[#This Row],[Years of Experience]]&gt;16,tblSalaries[[#This Row],[Years of Experience]]&lt;=20),1,""))</f>
        <v/>
      </c>
      <c r="S576" t="str">
        <f>IF(tblSalaries[[#This Row],[Years of Experience]]="","",IF(tblSalaries[[#This Row],[Years of Experience]]&gt;20,1,""))</f>
        <v/>
      </c>
      <c r="T5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76" s="13" t="str">
        <f>IF(tblSalaries[[#This Row],[Job Type]]=tblSalaries[[#Headers],[Accountant]],tblSalaries[[#This Row],[Salary in USD]],"")</f>
        <v/>
      </c>
      <c r="V576" s="13" t="str">
        <f>IF(tblSalaries[[#This Row],[Job Type]]=tblSalaries[[#Headers],[Analyst]],tblSalaries[[#This Row],[Salary in USD]],"")</f>
        <v/>
      </c>
      <c r="W576" s="13" t="str">
        <f>IF(tblSalaries[[#This Row],[Job Type]]=tblSalaries[[#Headers],[Consultant]],tblSalaries[[#This Row],[Salary in USD]],"")</f>
        <v/>
      </c>
      <c r="X576" s="13" t="str">
        <f>IF(tblSalaries[[#This Row],[Job Type]]=tblSalaries[[#Headers],[Controller]],tblSalaries[[#This Row],[Salary in USD]],"")</f>
        <v/>
      </c>
      <c r="Y576" s="13" t="str">
        <f>IF(tblSalaries[[#This Row],[Job Type]]=tblSalaries[[#Headers],[CXO or Top Mgmt.]],tblSalaries[[#This Row],[clean Salary (in local currency)]],"")</f>
        <v/>
      </c>
      <c r="Z576" s="13" t="str">
        <f>IF(tblSalaries[[#This Row],[Job Type]]=tblSalaries[[#Headers],[Engineer]],tblSalaries[[#This Row],[Salary in USD]],"")</f>
        <v/>
      </c>
      <c r="AA576" s="13" t="str">
        <f>IF(tblSalaries[[#This Row],[Job Type]]=tblSalaries[[#Headers],[Manager]],tblSalaries[[#This Row],[Salary in USD]],"")</f>
        <v/>
      </c>
      <c r="AB576" s="13" t="str">
        <f>IF(tblSalaries[[#This Row],[Job Type]]=tblSalaries[[#Headers],[Misc.]],tblSalaries[[#This Row],[Salary in USD]],"")</f>
        <v/>
      </c>
      <c r="AC576" s="13" t="str">
        <f>IF(tblSalaries[[#This Row],[Job Type]]=tblSalaries[[#Headers],[Reporting]],tblSalaries[[#This Row],[Salary in USD]],"")</f>
        <v/>
      </c>
      <c r="AD576" s="13">
        <f>IF(tblSalaries[[#This Row],[Job Type]]=tblSalaries[[#Headers],[Specialist]],tblSalaries[[#This Row],[Salary in USD]],"")</f>
        <v>50000</v>
      </c>
    </row>
    <row r="577" spans="2:30" ht="15" customHeight="1" x14ac:dyDescent="0.25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 s="9">
        <f>tblSalaries[[#This Row],[clean Salary (in local currency)]]*VLOOKUP(tblSalaries[[#This Row],[Currency]],tblXrate[],2,FALSE)</f>
        <v>300000</v>
      </c>
      <c r="H577" t="s">
        <v>682</v>
      </c>
      <c r="I577" t="s">
        <v>4001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  <c r="N577" t="str">
        <f>IF(tblSalaries[[#This Row],[Years of Experience]]="","",IF(tblSalaries[[#This Row],[Years of Experience]]&lt;=2,1,""))</f>
        <v/>
      </c>
      <c r="O577" t="str">
        <f>IF(tblSalaries[[#This Row],[Years of Experience]]="","",IF(AND(tblSalaries[[#This Row],[Years of Experience]]&gt;2,tblSalaries[[#This Row],[Years of Experience]]&lt;=5),1,""))</f>
        <v/>
      </c>
      <c r="P577" t="str">
        <f>IF(tblSalaries[[#This Row],[Years of Experience]]="","",IF(AND(tblSalaries[[#This Row],[Years of Experience]]&gt;5,tblSalaries[[#This Row],[Years of Experience]]&lt;=10),1,""))</f>
        <v/>
      </c>
      <c r="Q577" t="str">
        <f>IF(tblSalaries[[#This Row],[Years of Experience]]="","",IF(AND(tblSalaries[[#This Row],[Years of Experience]]&gt;10,tblSalaries[[#This Row],[Years of Experience]]&lt;=15),1,""))</f>
        <v/>
      </c>
      <c r="R577" t="str">
        <f>IF(tblSalaries[[#This Row],[Years of Experience]]="","",IF(AND(tblSalaries[[#This Row],[Years of Experience]]&gt;16,tblSalaries[[#This Row],[Years of Experience]]&lt;=20),1,""))</f>
        <v/>
      </c>
      <c r="S577">
        <f>IF(tblSalaries[[#This Row],[Years of Experience]]="","",IF(tblSalaries[[#This Row],[Years of Experience]]&gt;20,1,""))</f>
        <v>1</v>
      </c>
      <c r="T5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77" s="13" t="str">
        <f>IF(tblSalaries[[#This Row],[Job Type]]=tblSalaries[[#Headers],[Accountant]],tblSalaries[[#This Row],[Salary in USD]],"")</f>
        <v/>
      </c>
      <c r="V577" s="13" t="str">
        <f>IF(tblSalaries[[#This Row],[Job Type]]=tblSalaries[[#Headers],[Analyst]],tblSalaries[[#This Row],[Salary in USD]],"")</f>
        <v/>
      </c>
      <c r="W577" s="13" t="str">
        <f>IF(tblSalaries[[#This Row],[Job Type]]=tblSalaries[[#Headers],[Consultant]],tblSalaries[[#This Row],[Salary in USD]],"")</f>
        <v/>
      </c>
      <c r="X577" s="13" t="str">
        <f>IF(tblSalaries[[#This Row],[Job Type]]=tblSalaries[[#Headers],[Controller]],tblSalaries[[#This Row],[Salary in USD]],"")</f>
        <v/>
      </c>
      <c r="Y577" s="13">
        <f>IF(tblSalaries[[#This Row],[Job Type]]=tblSalaries[[#Headers],[CXO or Top Mgmt.]],tblSalaries[[#This Row],[clean Salary (in local currency)]],"")</f>
        <v>300000</v>
      </c>
      <c r="Z577" s="13" t="str">
        <f>IF(tblSalaries[[#This Row],[Job Type]]=tblSalaries[[#Headers],[Engineer]],tblSalaries[[#This Row],[Salary in USD]],"")</f>
        <v/>
      </c>
      <c r="AA577" s="13" t="str">
        <f>IF(tblSalaries[[#This Row],[Job Type]]=tblSalaries[[#Headers],[Manager]],tblSalaries[[#This Row],[Salary in USD]],"")</f>
        <v/>
      </c>
      <c r="AB577" s="13" t="str">
        <f>IF(tblSalaries[[#This Row],[Job Type]]=tblSalaries[[#Headers],[Misc.]],tblSalaries[[#This Row],[Salary in USD]],"")</f>
        <v/>
      </c>
      <c r="AC577" s="13" t="str">
        <f>IF(tblSalaries[[#This Row],[Job Type]]=tblSalaries[[#Headers],[Reporting]],tblSalaries[[#This Row],[Salary in USD]],"")</f>
        <v/>
      </c>
      <c r="AD577" s="13" t="str">
        <f>IF(tblSalaries[[#This Row],[Job Type]]=tblSalaries[[#Headers],[Specialist]],tblSalaries[[#This Row],[Salary in USD]],"")</f>
        <v/>
      </c>
    </row>
    <row r="578" spans="2:30" ht="15" customHeight="1" x14ac:dyDescent="0.25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 s="9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  <c r="N578" t="str">
        <f>IF(tblSalaries[[#This Row],[Years of Experience]]="","",IF(tblSalaries[[#This Row],[Years of Experience]]&lt;=2,1,""))</f>
        <v/>
      </c>
      <c r="O578" t="str">
        <f>IF(tblSalaries[[#This Row],[Years of Experience]]="","",IF(AND(tblSalaries[[#This Row],[Years of Experience]]&gt;2,tblSalaries[[#This Row],[Years of Experience]]&lt;=5),1,""))</f>
        <v/>
      </c>
      <c r="P578">
        <f>IF(tblSalaries[[#This Row],[Years of Experience]]="","",IF(AND(tblSalaries[[#This Row],[Years of Experience]]&gt;5,tblSalaries[[#This Row],[Years of Experience]]&lt;=10),1,""))</f>
        <v>1</v>
      </c>
      <c r="Q578" t="str">
        <f>IF(tblSalaries[[#This Row],[Years of Experience]]="","",IF(AND(tblSalaries[[#This Row],[Years of Experience]]&gt;10,tblSalaries[[#This Row],[Years of Experience]]&lt;=15),1,""))</f>
        <v/>
      </c>
      <c r="R578" t="str">
        <f>IF(tblSalaries[[#This Row],[Years of Experience]]="","",IF(AND(tblSalaries[[#This Row],[Years of Experience]]&gt;16,tblSalaries[[#This Row],[Years of Experience]]&lt;=20),1,""))</f>
        <v/>
      </c>
      <c r="S578" t="str">
        <f>IF(tblSalaries[[#This Row],[Years of Experience]]="","",IF(tblSalaries[[#This Row],[Years of Experience]]&gt;20,1,""))</f>
        <v/>
      </c>
      <c r="T5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78" s="13" t="str">
        <f>IF(tblSalaries[[#This Row],[Job Type]]=tblSalaries[[#Headers],[Accountant]],tblSalaries[[#This Row],[Salary in USD]],"")</f>
        <v/>
      </c>
      <c r="V578" s="13" t="str">
        <f>IF(tblSalaries[[#This Row],[Job Type]]=tblSalaries[[#Headers],[Analyst]],tblSalaries[[#This Row],[Salary in USD]],"")</f>
        <v/>
      </c>
      <c r="W578" s="13" t="str">
        <f>IF(tblSalaries[[#This Row],[Job Type]]=tblSalaries[[#Headers],[Consultant]],tblSalaries[[#This Row],[Salary in USD]],"")</f>
        <v/>
      </c>
      <c r="X578" s="13" t="str">
        <f>IF(tblSalaries[[#This Row],[Job Type]]=tblSalaries[[#Headers],[Controller]],tblSalaries[[#This Row],[Salary in USD]],"")</f>
        <v/>
      </c>
      <c r="Y578" s="13" t="str">
        <f>IF(tblSalaries[[#This Row],[Job Type]]=tblSalaries[[#Headers],[CXO or Top Mgmt.]],tblSalaries[[#This Row],[clean Salary (in local currency)]],"")</f>
        <v/>
      </c>
      <c r="Z578" s="13" t="str">
        <f>IF(tblSalaries[[#This Row],[Job Type]]=tblSalaries[[#Headers],[Engineer]],tblSalaries[[#This Row],[Salary in USD]],"")</f>
        <v/>
      </c>
      <c r="AA578" s="13">
        <f>IF(tblSalaries[[#This Row],[Job Type]]=tblSalaries[[#Headers],[Manager]],tblSalaries[[#This Row],[Salary in USD]],"")</f>
        <v>104030.78495306884</v>
      </c>
      <c r="AB578" s="13" t="str">
        <f>IF(tblSalaries[[#This Row],[Job Type]]=tblSalaries[[#Headers],[Misc.]],tblSalaries[[#This Row],[Salary in USD]],"")</f>
        <v/>
      </c>
      <c r="AC578" s="13" t="str">
        <f>IF(tblSalaries[[#This Row],[Job Type]]=tblSalaries[[#Headers],[Reporting]],tblSalaries[[#This Row],[Salary in USD]],"")</f>
        <v/>
      </c>
      <c r="AD578" s="13" t="str">
        <f>IF(tblSalaries[[#This Row],[Job Type]]=tblSalaries[[#Headers],[Specialist]],tblSalaries[[#This Row],[Salary in USD]],"")</f>
        <v/>
      </c>
    </row>
    <row r="579" spans="2:30" ht="15" customHeight="1" x14ac:dyDescent="0.25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 s="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  <c r="N579" t="str">
        <f>IF(tblSalaries[[#This Row],[Years of Experience]]="","",IF(tblSalaries[[#This Row],[Years of Experience]]&lt;=2,1,""))</f>
        <v/>
      </c>
      <c r="O579" t="str">
        <f>IF(tblSalaries[[#This Row],[Years of Experience]]="","",IF(AND(tblSalaries[[#This Row],[Years of Experience]]&gt;2,tblSalaries[[#This Row],[Years of Experience]]&lt;=5),1,""))</f>
        <v/>
      </c>
      <c r="P579" t="str">
        <f>IF(tblSalaries[[#This Row],[Years of Experience]]="","",IF(AND(tblSalaries[[#This Row],[Years of Experience]]&gt;5,tblSalaries[[#This Row],[Years of Experience]]&lt;=10),1,""))</f>
        <v/>
      </c>
      <c r="Q579">
        <f>IF(tblSalaries[[#This Row],[Years of Experience]]="","",IF(AND(tblSalaries[[#This Row],[Years of Experience]]&gt;10,tblSalaries[[#This Row],[Years of Experience]]&lt;=15),1,""))</f>
        <v>1</v>
      </c>
      <c r="R579" t="str">
        <f>IF(tblSalaries[[#This Row],[Years of Experience]]="","",IF(AND(tblSalaries[[#This Row],[Years of Experience]]&gt;16,tblSalaries[[#This Row],[Years of Experience]]&lt;=20),1,""))</f>
        <v/>
      </c>
      <c r="S579" t="str">
        <f>IF(tblSalaries[[#This Row],[Years of Experience]]="","",IF(tblSalaries[[#This Row],[Years of Experience]]&gt;20,1,""))</f>
        <v/>
      </c>
      <c r="T5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579" s="13" t="str">
        <f>IF(tblSalaries[[#This Row],[Job Type]]=tblSalaries[[#Headers],[Accountant]],tblSalaries[[#This Row],[Salary in USD]],"")</f>
        <v/>
      </c>
      <c r="V579" s="13" t="str">
        <f>IF(tblSalaries[[#This Row],[Job Type]]=tblSalaries[[#Headers],[Analyst]],tblSalaries[[#This Row],[Salary in USD]],"")</f>
        <v/>
      </c>
      <c r="W579" s="13" t="str">
        <f>IF(tblSalaries[[#This Row],[Job Type]]=tblSalaries[[#Headers],[Consultant]],tblSalaries[[#This Row],[Salary in USD]],"")</f>
        <v/>
      </c>
      <c r="X579" s="13" t="str">
        <f>IF(tblSalaries[[#This Row],[Job Type]]=tblSalaries[[#Headers],[Controller]],tblSalaries[[#This Row],[Salary in USD]],"")</f>
        <v/>
      </c>
      <c r="Y579" s="13" t="str">
        <f>IF(tblSalaries[[#This Row],[Job Type]]=tblSalaries[[#Headers],[CXO or Top Mgmt.]],tblSalaries[[#This Row],[clean Salary (in local currency)]],"")</f>
        <v/>
      </c>
      <c r="Z579" s="13" t="str">
        <f>IF(tblSalaries[[#This Row],[Job Type]]=tblSalaries[[#Headers],[Engineer]],tblSalaries[[#This Row],[Salary in USD]],"")</f>
        <v/>
      </c>
      <c r="AA579" s="13">
        <f>IF(tblSalaries[[#This Row],[Job Type]]=tblSalaries[[#Headers],[Manager]],tblSalaries[[#This Row],[Salary in USD]],"")</f>
        <v>115000</v>
      </c>
      <c r="AB579" s="13" t="str">
        <f>IF(tblSalaries[[#This Row],[Job Type]]=tblSalaries[[#Headers],[Misc.]],tblSalaries[[#This Row],[Salary in USD]],"")</f>
        <v/>
      </c>
      <c r="AC579" s="13" t="str">
        <f>IF(tblSalaries[[#This Row],[Job Type]]=tblSalaries[[#Headers],[Reporting]],tblSalaries[[#This Row],[Salary in USD]],"")</f>
        <v/>
      </c>
      <c r="AD579" s="13" t="str">
        <f>IF(tblSalaries[[#This Row],[Job Type]]=tblSalaries[[#Headers],[Specialist]],tblSalaries[[#This Row],[Salary in USD]],"")</f>
        <v/>
      </c>
    </row>
    <row r="580" spans="2:30" ht="15" customHeight="1" x14ac:dyDescent="0.25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 s="9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  <c r="N580" t="str">
        <f>IF(tblSalaries[[#This Row],[Years of Experience]]="","",IF(tblSalaries[[#This Row],[Years of Experience]]&lt;=2,1,""))</f>
        <v/>
      </c>
      <c r="O580">
        <f>IF(tblSalaries[[#This Row],[Years of Experience]]="","",IF(AND(tblSalaries[[#This Row],[Years of Experience]]&gt;2,tblSalaries[[#This Row],[Years of Experience]]&lt;=5),1,""))</f>
        <v>1</v>
      </c>
      <c r="P580" t="str">
        <f>IF(tblSalaries[[#This Row],[Years of Experience]]="","",IF(AND(tblSalaries[[#This Row],[Years of Experience]]&gt;5,tblSalaries[[#This Row],[Years of Experience]]&lt;=10),1,""))</f>
        <v/>
      </c>
      <c r="Q580" t="str">
        <f>IF(tblSalaries[[#This Row],[Years of Experience]]="","",IF(AND(tblSalaries[[#This Row],[Years of Experience]]&gt;10,tblSalaries[[#This Row],[Years of Experience]]&lt;=15),1,""))</f>
        <v/>
      </c>
      <c r="R580" t="str">
        <f>IF(tblSalaries[[#This Row],[Years of Experience]]="","",IF(AND(tblSalaries[[#This Row],[Years of Experience]]&gt;16,tblSalaries[[#This Row],[Years of Experience]]&lt;=20),1,""))</f>
        <v/>
      </c>
      <c r="S580" t="str">
        <f>IF(tblSalaries[[#This Row],[Years of Experience]]="","",IF(tblSalaries[[#This Row],[Years of Experience]]&gt;20,1,""))</f>
        <v/>
      </c>
      <c r="T5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80" s="13" t="str">
        <f>IF(tblSalaries[[#This Row],[Job Type]]=tblSalaries[[#Headers],[Accountant]],tblSalaries[[#This Row],[Salary in USD]],"")</f>
        <v/>
      </c>
      <c r="V580" s="13">
        <f>IF(tblSalaries[[#This Row],[Job Type]]=tblSalaries[[#Headers],[Analyst]],tblSalaries[[#This Row],[Salary in USD]],"")</f>
        <v>70000</v>
      </c>
      <c r="W580" s="13" t="str">
        <f>IF(tblSalaries[[#This Row],[Job Type]]=tblSalaries[[#Headers],[Consultant]],tblSalaries[[#This Row],[Salary in USD]],"")</f>
        <v/>
      </c>
      <c r="X580" s="13" t="str">
        <f>IF(tblSalaries[[#This Row],[Job Type]]=tblSalaries[[#Headers],[Controller]],tblSalaries[[#This Row],[Salary in USD]],"")</f>
        <v/>
      </c>
      <c r="Y580" s="13" t="str">
        <f>IF(tblSalaries[[#This Row],[Job Type]]=tblSalaries[[#Headers],[CXO or Top Mgmt.]],tblSalaries[[#This Row],[clean Salary (in local currency)]],"")</f>
        <v/>
      </c>
      <c r="Z580" s="13" t="str">
        <f>IF(tblSalaries[[#This Row],[Job Type]]=tblSalaries[[#Headers],[Engineer]],tblSalaries[[#This Row],[Salary in USD]],"")</f>
        <v/>
      </c>
      <c r="AA580" s="13" t="str">
        <f>IF(tblSalaries[[#This Row],[Job Type]]=tblSalaries[[#Headers],[Manager]],tblSalaries[[#This Row],[Salary in USD]],"")</f>
        <v/>
      </c>
      <c r="AB580" s="13" t="str">
        <f>IF(tblSalaries[[#This Row],[Job Type]]=tblSalaries[[#Headers],[Misc.]],tblSalaries[[#This Row],[Salary in USD]],"")</f>
        <v/>
      </c>
      <c r="AC580" s="13" t="str">
        <f>IF(tblSalaries[[#This Row],[Job Type]]=tblSalaries[[#Headers],[Reporting]],tblSalaries[[#This Row],[Salary in USD]],"")</f>
        <v/>
      </c>
      <c r="AD580" s="13" t="str">
        <f>IF(tblSalaries[[#This Row],[Job Type]]=tblSalaries[[#Headers],[Specialist]],tblSalaries[[#This Row],[Salary in USD]],"")</f>
        <v/>
      </c>
    </row>
    <row r="581" spans="2:30" ht="15" customHeight="1" x14ac:dyDescent="0.25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 s="9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  <c r="N581" t="str">
        <f>IF(tblSalaries[[#This Row],[Years of Experience]]="","",IF(tblSalaries[[#This Row],[Years of Experience]]&lt;=2,1,""))</f>
        <v/>
      </c>
      <c r="O581" t="str">
        <f>IF(tblSalaries[[#This Row],[Years of Experience]]="","",IF(AND(tblSalaries[[#This Row],[Years of Experience]]&gt;2,tblSalaries[[#This Row],[Years of Experience]]&lt;=5),1,""))</f>
        <v/>
      </c>
      <c r="P581" t="str">
        <f>IF(tblSalaries[[#This Row],[Years of Experience]]="","",IF(AND(tblSalaries[[#This Row],[Years of Experience]]&gt;5,tblSalaries[[#This Row],[Years of Experience]]&lt;=10),1,""))</f>
        <v/>
      </c>
      <c r="Q581" t="str">
        <f>IF(tblSalaries[[#This Row],[Years of Experience]]="","",IF(AND(tblSalaries[[#This Row],[Years of Experience]]&gt;10,tblSalaries[[#This Row],[Years of Experience]]&lt;=15),1,""))</f>
        <v/>
      </c>
      <c r="R581" t="str">
        <f>IF(tblSalaries[[#This Row],[Years of Experience]]="","",IF(AND(tblSalaries[[#This Row],[Years of Experience]]&gt;16,tblSalaries[[#This Row],[Years of Experience]]&lt;=20),1,""))</f>
        <v/>
      </c>
      <c r="S581" t="str">
        <f>IF(tblSalaries[[#This Row],[Years of Experience]]="","",IF(tblSalaries[[#This Row],[Years of Experience]]&gt;20,1,""))</f>
        <v/>
      </c>
      <c r="T5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581" s="13" t="str">
        <f>IF(tblSalaries[[#This Row],[Job Type]]=tblSalaries[[#Headers],[Accountant]],tblSalaries[[#This Row],[Salary in USD]],"")</f>
        <v/>
      </c>
      <c r="V581" s="13" t="str">
        <f>IF(tblSalaries[[#This Row],[Job Type]]=tblSalaries[[#Headers],[Analyst]],tblSalaries[[#This Row],[Salary in USD]],"")</f>
        <v/>
      </c>
      <c r="W581" s="13" t="str">
        <f>IF(tblSalaries[[#This Row],[Job Type]]=tblSalaries[[#Headers],[Consultant]],tblSalaries[[#This Row],[Salary in USD]],"")</f>
        <v/>
      </c>
      <c r="X581" s="13" t="str">
        <f>IF(tblSalaries[[#This Row],[Job Type]]=tblSalaries[[#Headers],[Controller]],tblSalaries[[#This Row],[Salary in USD]],"")</f>
        <v/>
      </c>
      <c r="Y581" s="13" t="str">
        <f>IF(tblSalaries[[#This Row],[Job Type]]=tblSalaries[[#Headers],[CXO or Top Mgmt.]],tblSalaries[[#This Row],[clean Salary (in local currency)]],"")</f>
        <v/>
      </c>
      <c r="Z581" s="13" t="str">
        <f>IF(tblSalaries[[#This Row],[Job Type]]=tblSalaries[[#Headers],[Engineer]],tblSalaries[[#This Row],[Salary in USD]],"")</f>
        <v/>
      </c>
      <c r="AA581" s="13" t="str">
        <f>IF(tblSalaries[[#This Row],[Job Type]]=tblSalaries[[#Headers],[Manager]],tblSalaries[[#This Row],[Salary in USD]],"")</f>
        <v/>
      </c>
      <c r="AB581" s="13" t="str">
        <f>IF(tblSalaries[[#This Row],[Job Type]]=tblSalaries[[#Headers],[Misc.]],tblSalaries[[#This Row],[Salary in USD]],"")</f>
        <v/>
      </c>
      <c r="AC581" s="13" t="str">
        <f>IF(tblSalaries[[#This Row],[Job Type]]=tblSalaries[[#Headers],[Reporting]],tblSalaries[[#This Row],[Salary in USD]],"")</f>
        <v/>
      </c>
      <c r="AD581" s="13">
        <f>IF(tblSalaries[[#This Row],[Job Type]]=tblSalaries[[#Headers],[Specialist]],tblSalaries[[#This Row],[Salary in USD]],"")</f>
        <v>108110.42357867939</v>
      </c>
    </row>
    <row r="582" spans="2:30" ht="15" customHeight="1" x14ac:dyDescent="0.25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 s="9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  <c r="N582" t="str">
        <f>IF(tblSalaries[[#This Row],[Years of Experience]]="","",IF(tblSalaries[[#This Row],[Years of Experience]]&lt;=2,1,""))</f>
        <v/>
      </c>
      <c r="O582" t="str">
        <f>IF(tblSalaries[[#This Row],[Years of Experience]]="","",IF(AND(tblSalaries[[#This Row],[Years of Experience]]&gt;2,tblSalaries[[#This Row],[Years of Experience]]&lt;=5),1,""))</f>
        <v/>
      </c>
      <c r="P582" t="str">
        <f>IF(tblSalaries[[#This Row],[Years of Experience]]="","",IF(AND(tblSalaries[[#This Row],[Years of Experience]]&gt;5,tblSalaries[[#This Row],[Years of Experience]]&lt;=10),1,""))</f>
        <v/>
      </c>
      <c r="Q582" t="str">
        <f>IF(tblSalaries[[#This Row],[Years of Experience]]="","",IF(AND(tblSalaries[[#This Row],[Years of Experience]]&gt;10,tblSalaries[[#This Row],[Years of Experience]]&lt;=15),1,""))</f>
        <v/>
      </c>
      <c r="R582" t="str">
        <f>IF(tblSalaries[[#This Row],[Years of Experience]]="","",IF(AND(tblSalaries[[#This Row],[Years of Experience]]&gt;16,tblSalaries[[#This Row],[Years of Experience]]&lt;=20),1,""))</f>
        <v/>
      </c>
      <c r="S582">
        <f>IF(tblSalaries[[#This Row],[Years of Experience]]="","",IF(tblSalaries[[#This Row],[Years of Experience]]&gt;20,1,""))</f>
        <v>1</v>
      </c>
      <c r="T5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82" s="13" t="str">
        <f>IF(tblSalaries[[#This Row],[Job Type]]=tblSalaries[[#Headers],[Accountant]],tblSalaries[[#This Row],[Salary in USD]],"")</f>
        <v/>
      </c>
      <c r="V582" s="13">
        <f>IF(tblSalaries[[#This Row],[Job Type]]=tblSalaries[[#Headers],[Analyst]],tblSalaries[[#This Row],[Salary in USD]],"")</f>
        <v>75000</v>
      </c>
      <c r="W582" s="13" t="str">
        <f>IF(tblSalaries[[#This Row],[Job Type]]=tblSalaries[[#Headers],[Consultant]],tblSalaries[[#This Row],[Salary in USD]],"")</f>
        <v/>
      </c>
      <c r="X582" s="13" t="str">
        <f>IF(tblSalaries[[#This Row],[Job Type]]=tblSalaries[[#Headers],[Controller]],tblSalaries[[#This Row],[Salary in USD]],"")</f>
        <v/>
      </c>
      <c r="Y582" s="13" t="str">
        <f>IF(tblSalaries[[#This Row],[Job Type]]=tblSalaries[[#Headers],[CXO or Top Mgmt.]],tblSalaries[[#This Row],[clean Salary (in local currency)]],"")</f>
        <v/>
      </c>
      <c r="Z582" s="13" t="str">
        <f>IF(tblSalaries[[#This Row],[Job Type]]=tblSalaries[[#Headers],[Engineer]],tblSalaries[[#This Row],[Salary in USD]],"")</f>
        <v/>
      </c>
      <c r="AA582" s="13" t="str">
        <f>IF(tblSalaries[[#This Row],[Job Type]]=tblSalaries[[#Headers],[Manager]],tblSalaries[[#This Row],[Salary in USD]],"")</f>
        <v/>
      </c>
      <c r="AB582" s="13" t="str">
        <f>IF(tblSalaries[[#This Row],[Job Type]]=tblSalaries[[#Headers],[Misc.]],tblSalaries[[#This Row],[Salary in USD]],"")</f>
        <v/>
      </c>
      <c r="AC582" s="13" t="str">
        <f>IF(tblSalaries[[#This Row],[Job Type]]=tblSalaries[[#Headers],[Reporting]],tblSalaries[[#This Row],[Salary in USD]],"")</f>
        <v/>
      </c>
      <c r="AD582" s="13" t="str">
        <f>IF(tblSalaries[[#This Row],[Job Type]]=tblSalaries[[#Headers],[Specialist]],tblSalaries[[#This Row],[Salary in USD]],"")</f>
        <v/>
      </c>
    </row>
    <row r="583" spans="2:30" ht="15" customHeight="1" x14ac:dyDescent="0.25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 s="9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  <c r="N583" t="str">
        <f>IF(tblSalaries[[#This Row],[Years of Experience]]="","",IF(tblSalaries[[#This Row],[Years of Experience]]&lt;=2,1,""))</f>
        <v/>
      </c>
      <c r="O583" t="str">
        <f>IF(tblSalaries[[#This Row],[Years of Experience]]="","",IF(AND(tblSalaries[[#This Row],[Years of Experience]]&gt;2,tblSalaries[[#This Row],[Years of Experience]]&lt;=5),1,""))</f>
        <v/>
      </c>
      <c r="P583">
        <f>IF(tblSalaries[[#This Row],[Years of Experience]]="","",IF(AND(tblSalaries[[#This Row],[Years of Experience]]&gt;5,tblSalaries[[#This Row],[Years of Experience]]&lt;=10),1,""))</f>
        <v>1</v>
      </c>
      <c r="Q583" t="str">
        <f>IF(tblSalaries[[#This Row],[Years of Experience]]="","",IF(AND(tblSalaries[[#This Row],[Years of Experience]]&gt;10,tblSalaries[[#This Row],[Years of Experience]]&lt;=15),1,""))</f>
        <v/>
      </c>
      <c r="R583" t="str">
        <f>IF(tblSalaries[[#This Row],[Years of Experience]]="","",IF(AND(tblSalaries[[#This Row],[Years of Experience]]&gt;16,tblSalaries[[#This Row],[Years of Experience]]&lt;=20),1,""))</f>
        <v/>
      </c>
      <c r="S583" t="str">
        <f>IF(tblSalaries[[#This Row],[Years of Experience]]="","",IF(tblSalaries[[#This Row],[Years of Experience]]&gt;20,1,""))</f>
        <v/>
      </c>
      <c r="T5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83" s="13" t="str">
        <f>IF(tblSalaries[[#This Row],[Job Type]]=tblSalaries[[#Headers],[Accountant]],tblSalaries[[#This Row],[Salary in USD]],"")</f>
        <v/>
      </c>
      <c r="V583" s="13">
        <f>IF(tblSalaries[[#This Row],[Job Type]]=tblSalaries[[#Headers],[Analyst]],tblSalaries[[#This Row],[Salary in USD]],"")</f>
        <v>40414</v>
      </c>
      <c r="W583" s="13" t="str">
        <f>IF(tblSalaries[[#This Row],[Job Type]]=tblSalaries[[#Headers],[Consultant]],tblSalaries[[#This Row],[Salary in USD]],"")</f>
        <v/>
      </c>
      <c r="X583" s="13" t="str">
        <f>IF(tblSalaries[[#This Row],[Job Type]]=tblSalaries[[#Headers],[Controller]],tblSalaries[[#This Row],[Salary in USD]],"")</f>
        <v/>
      </c>
      <c r="Y583" s="13" t="str">
        <f>IF(tblSalaries[[#This Row],[Job Type]]=tblSalaries[[#Headers],[CXO or Top Mgmt.]],tblSalaries[[#This Row],[clean Salary (in local currency)]],"")</f>
        <v/>
      </c>
      <c r="Z583" s="13" t="str">
        <f>IF(tblSalaries[[#This Row],[Job Type]]=tblSalaries[[#Headers],[Engineer]],tblSalaries[[#This Row],[Salary in USD]],"")</f>
        <v/>
      </c>
      <c r="AA583" s="13" t="str">
        <f>IF(tblSalaries[[#This Row],[Job Type]]=tblSalaries[[#Headers],[Manager]],tblSalaries[[#This Row],[Salary in USD]],"")</f>
        <v/>
      </c>
      <c r="AB583" s="13" t="str">
        <f>IF(tblSalaries[[#This Row],[Job Type]]=tblSalaries[[#Headers],[Misc.]],tblSalaries[[#This Row],[Salary in USD]],"")</f>
        <v/>
      </c>
      <c r="AC583" s="13" t="str">
        <f>IF(tblSalaries[[#This Row],[Job Type]]=tblSalaries[[#Headers],[Reporting]],tblSalaries[[#This Row],[Salary in USD]],"")</f>
        <v/>
      </c>
      <c r="AD583" s="13" t="str">
        <f>IF(tblSalaries[[#This Row],[Job Type]]=tblSalaries[[#Headers],[Specialist]],tblSalaries[[#This Row],[Salary in USD]],"")</f>
        <v/>
      </c>
    </row>
    <row r="584" spans="2:30" ht="15" customHeight="1" x14ac:dyDescent="0.25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 s="9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  <c r="N584" t="str">
        <f>IF(tblSalaries[[#This Row],[Years of Experience]]="","",IF(tblSalaries[[#This Row],[Years of Experience]]&lt;=2,1,""))</f>
        <v/>
      </c>
      <c r="O584">
        <f>IF(tblSalaries[[#This Row],[Years of Experience]]="","",IF(AND(tblSalaries[[#This Row],[Years of Experience]]&gt;2,tblSalaries[[#This Row],[Years of Experience]]&lt;=5),1,""))</f>
        <v>1</v>
      </c>
      <c r="P584" t="str">
        <f>IF(tblSalaries[[#This Row],[Years of Experience]]="","",IF(AND(tblSalaries[[#This Row],[Years of Experience]]&gt;5,tblSalaries[[#This Row],[Years of Experience]]&lt;=10),1,""))</f>
        <v/>
      </c>
      <c r="Q584" t="str">
        <f>IF(tblSalaries[[#This Row],[Years of Experience]]="","",IF(AND(tblSalaries[[#This Row],[Years of Experience]]&gt;10,tblSalaries[[#This Row],[Years of Experience]]&lt;=15),1,""))</f>
        <v/>
      </c>
      <c r="R584" t="str">
        <f>IF(tblSalaries[[#This Row],[Years of Experience]]="","",IF(AND(tblSalaries[[#This Row],[Years of Experience]]&gt;16,tblSalaries[[#This Row],[Years of Experience]]&lt;=20),1,""))</f>
        <v/>
      </c>
      <c r="S584" t="str">
        <f>IF(tblSalaries[[#This Row],[Years of Experience]]="","",IF(tblSalaries[[#This Row],[Years of Experience]]&gt;20,1,""))</f>
        <v/>
      </c>
      <c r="T5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84" s="13" t="str">
        <f>IF(tblSalaries[[#This Row],[Job Type]]=tblSalaries[[#Headers],[Accountant]],tblSalaries[[#This Row],[Salary in USD]],"")</f>
        <v/>
      </c>
      <c r="V584" s="13">
        <f>IF(tblSalaries[[#This Row],[Job Type]]=tblSalaries[[#Headers],[Analyst]],tblSalaries[[#This Row],[Salary in USD]],"")</f>
        <v>65000</v>
      </c>
      <c r="W584" s="13" t="str">
        <f>IF(tblSalaries[[#This Row],[Job Type]]=tblSalaries[[#Headers],[Consultant]],tblSalaries[[#This Row],[Salary in USD]],"")</f>
        <v/>
      </c>
      <c r="X584" s="13" t="str">
        <f>IF(tblSalaries[[#This Row],[Job Type]]=tblSalaries[[#Headers],[Controller]],tblSalaries[[#This Row],[Salary in USD]],"")</f>
        <v/>
      </c>
      <c r="Y584" s="13" t="str">
        <f>IF(tblSalaries[[#This Row],[Job Type]]=tblSalaries[[#Headers],[CXO or Top Mgmt.]],tblSalaries[[#This Row],[clean Salary (in local currency)]],"")</f>
        <v/>
      </c>
      <c r="Z584" s="13" t="str">
        <f>IF(tblSalaries[[#This Row],[Job Type]]=tblSalaries[[#Headers],[Engineer]],tblSalaries[[#This Row],[Salary in USD]],"")</f>
        <v/>
      </c>
      <c r="AA584" s="13" t="str">
        <f>IF(tblSalaries[[#This Row],[Job Type]]=tblSalaries[[#Headers],[Manager]],tblSalaries[[#This Row],[Salary in USD]],"")</f>
        <v/>
      </c>
      <c r="AB584" s="13" t="str">
        <f>IF(tblSalaries[[#This Row],[Job Type]]=tblSalaries[[#Headers],[Misc.]],tblSalaries[[#This Row],[Salary in USD]],"")</f>
        <v/>
      </c>
      <c r="AC584" s="13" t="str">
        <f>IF(tblSalaries[[#This Row],[Job Type]]=tblSalaries[[#Headers],[Reporting]],tblSalaries[[#This Row],[Salary in USD]],"")</f>
        <v/>
      </c>
      <c r="AD584" s="13" t="str">
        <f>IF(tblSalaries[[#This Row],[Job Type]]=tblSalaries[[#Headers],[Specialist]],tblSalaries[[#This Row],[Salary in USD]],"")</f>
        <v/>
      </c>
    </row>
    <row r="585" spans="2:30" ht="15" customHeight="1" x14ac:dyDescent="0.25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 s="9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  <c r="N585" t="str">
        <f>IF(tblSalaries[[#This Row],[Years of Experience]]="","",IF(tblSalaries[[#This Row],[Years of Experience]]&lt;=2,1,""))</f>
        <v/>
      </c>
      <c r="O585" t="str">
        <f>IF(tblSalaries[[#This Row],[Years of Experience]]="","",IF(AND(tblSalaries[[#This Row],[Years of Experience]]&gt;2,tblSalaries[[#This Row],[Years of Experience]]&lt;=5),1,""))</f>
        <v/>
      </c>
      <c r="P585">
        <f>IF(tblSalaries[[#This Row],[Years of Experience]]="","",IF(AND(tblSalaries[[#This Row],[Years of Experience]]&gt;5,tblSalaries[[#This Row],[Years of Experience]]&lt;=10),1,""))</f>
        <v>1</v>
      </c>
      <c r="Q585" t="str">
        <f>IF(tblSalaries[[#This Row],[Years of Experience]]="","",IF(AND(tblSalaries[[#This Row],[Years of Experience]]&gt;10,tblSalaries[[#This Row],[Years of Experience]]&lt;=15),1,""))</f>
        <v/>
      </c>
      <c r="R585" t="str">
        <f>IF(tblSalaries[[#This Row],[Years of Experience]]="","",IF(AND(tblSalaries[[#This Row],[Years of Experience]]&gt;16,tblSalaries[[#This Row],[Years of Experience]]&lt;=20),1,""))</f>
        <v/>
      </c>
      <c r="S585" t="str">
        <f>IF(tblSalaries[[#This Row],[Years of Experience]]="","",IF(tblSalaries[[#This Row],[Years of Experience]]&gt;20,1,""))</f>
        <v/>
      </c>
      <c r="T5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85" s="13" t="str">
        <f>IF(tblSalaries[[#This Row],[Job Type]]=tblSalaries[[#Headers],[Accountant]],tblSalaries[[#This Row],[Salary in USD]],"")</f>
        <v/>
      </c>
      <c r="V585" s="13">
        <f>IF(tblSalaries[[#This Row],[Job Type]]=tblSalaries[[#Headers],[Analyst]],tblSalaries[[#This Row],[Salary in USD]],"")</f>
        <v>120000</v>
      </c>
      <c r="W585" s="13" t="str">
        <f>IF(tblSalaries[[#This Row],[Job Type]]=tblSalaries[[#Headers],[Consultant]],tblSalaries[[#This Row],[Salary in USD]],"")</f>
        <v/>
      </c>
      <c r="X585" s="13" t="str">
        <f>IF(tblSalaries[[#This Row],[Job Type]]=tblSalaries[[#Headers],[Controller]],tblSalaries[[#This Row],[Salary in USD]],"")</f>
        <v/>
      </c>
      <c r="Y585" s="13" t="str">
        <f>IF(tblSalaries[[#This Row],[Job Type]]=tblSalaries[[#Headers],[CXO or Top Mgmt.]],tblSalaries[[#This Row],[clean Salary (in local currency)]],"")</f>
        <v/>
      </c>
      <c r="Z585" s="13" t="str">
        <f>IF(tblSalaries[[#This Row],[Job Type]]=tblSalaries[[#Headers],[Engineer]],tblSalaries[[#This Row],[Salary in USD]],"")</f>
        <v/>
      </c>
      <c r="AA585" s="13" t="str">
        <f>IF(tblSalaries[[#This Row],[Job Type]]=tblSalaries[[#Headers],[Manager]],tblSalaries[[#This Row],[Salary in USD]],"")</f>
        <v/>
      </c>
      <c r="AB585" s="13" t="str">
        <f>IF(tblSalaries[[#This Row],[Job Type]]=tblSalaries[[#Headers],[Misc.]],tblSalaries[[#This Row],[Salary in USD]],"")</f>
        <v/>
      </c>
      <c r="AC585" s="13" t="str">
        <f>IF(tblSalaries[[#This Row],[Job Type]]=tblSalaries[[#Headers],[Reporting]],tblSalaries[[#This Row],[Salary in USD]],"")</f>
        <v/>
      </c>
      <c r="AD585" s="13" t="str">
        <f>IF(tblSalaries[[#This Row],[Job Type]]=tblSalaries[[#Headers],[Specialist]],tblSalaries[[#This Row],[Salary in USD]],"")</f>
        <v/>
      </c>
    </row>
    <row r="586" spans="2:30" ht="15" customHeight="1" x14ac:dyDescent="0.25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 s="9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  <c r="N586" t="str">
        <f>IF(tblSalaries[[#This Row],[Years of Experience]]="","",IF(tblSalaries[[#This Row],[Years of Experience]]&lt;=2,1,""))</f>
        <v/>
      </c>
      <c r="O586" t="str">
        <f>IF(tblSalaries[[#This Row],[Years of Experience]]="","",IF(AND(tblSalaries[[#This Row],[Years of Experience]]&gt;2,tblSalaries[[#This Row],[Years of Experience]]&lt;=5),1,""))</f>
        <v/>
      </c>
      <c r="P586">
        <f>IF(tblSalaries[[#This Row],[Years of Experience]]="","",IF(AND(tblSalaries[[#This Row],[Years of Experience]]&gt;5,tblSalaries[[#This Row],[Years of Experience]]&lt;=10),1,""))</f>
        <v>1</v>
      </c>
      <c r="Q586" t="str">
        <f>IF(tblSalaries[[#This Row],[Years of Experience]]="","",IF(AND(tblSalaries[[#This Row],[Years of Experience]]&gt;10,tblSalaries[[#This Row],[Years of Experience]]&lt;=15),1,""))</f>
        <v/>
      </c>
      <c r="R586" t="str">
        <f>IF(tblSalaries[[#This Row],[Years of Experience]]="","",IF(AND(tblSalaries[[#This Row],[Years of Experience]]&gt;16,tblSalaries[[#This Row],[Years of Experience]]&lt;=20),1,""))</f>
        <v/>
      </c>
      <c r="S586" t="str">
        <f>IF(tblSalaries[[#This Row],[Years of Experience]]="","",IF(tblSalaries[[#This Row],[Years of Experience]]&gt;20,1,""))</f>
        <v/>
      </c>
      <c r="T5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86" s="13">
        <f>IF(tblSalaries[[#This Row],[Job Type]]=tblSalaries[[#Headers],[Accountant]],tblSalaries[[#This Row],[Salary in USD]],"")</f>
        <v>15092.18020692008</v>
      </c>
      <c r="V586" s="13" t="str">
        <f>IF(tblSalaries[[#This Row],[Job Type]]=tblSalaries[[#Headers],[Analyst]],tblSalaries[[#This Row],[Salary in USD]],"")</f>
        <v/>
      </c>
      <c r="W586" s="13" t="str">
        <f>IF(tblSalaries[[#This Row],[Job Type]]=tblSalaries[[#Headers],[Consultant]],tblSalaries[[#This Row],[Salary in USD]],"")</f>
        <v/>
      </c>
      <c r="X586" s="13" t="str">
        <f>IF(tblSalaries[[#This Row],[Job Type]]=tblSalaries[[#Headers],[Controller]],tblSalaries[[#This Row],[Salary in USD]],"")</f>
        <v/>
      </c>
      <c r="Y586" s="13" t="str">
        <f>IF(tblSalaries[[#This Row],[Job Type]]=tblSalaries[[#Headers],[CXO or Top Mgmt.]],tblSalaries[[#This Row],[clean Salary (in local currency)]],"")</f>
        <v/>
      </c>
      <c r="Z586" s="13" t="str">
        <f>IF(tblSalaries[[#This Row],[Job Type]]=tblSalaries[[#Headers],[Engineer]],tblSalaries[[#This Row],[Salary in USD]],"")</f>
        <v/>
      </c>
      <c r="AA586" s="13" t="str">
        <f>IF(tblSalaries[[#This Row],[Job Type]]=tblSalaries[[#Headers],[Manager]],tblSalaries[[#This Row],[Salary in USD]],"")</f>
        <v/>
      </c>
      <c r="AB586" s="13" t="str">
        <f>IF(tblSalaries[[#This Row],[Job Type]]=tblSalaries[[#Headers],[Misc.]],tblSalaries[[#This Row],[Salary in USD]],"")</f>
        <v/>
      </c>
      <c r="AC586" s="13" t="str">
        <f>IF(tblSalaries[[#This Row],[Job Type]]=tblSalaries[[#Headers],[Reporting]],tblSalaries[[#This Row],[Salary in USD]],"")</f>
        <v/>
      </c>
      <c r="AD586" s="13" t="str">
        <f>IF(tblSalaries[[#This Row],[Job Type]]=tblSalaries[[#Headers],[Specialist]],tblSalaries[[#This Row],[Salary in USD]],"")</f>
        <v/>
      </c>
    </row>
    <row r="587" spans="2:30" ht="15" customHeight="1" x14ac:dyDescent="0.25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 s="9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  <c r="N587" t="str">
        <f>IF(tblSalaries[[#This Row],[Years of Experience]]="","",IF(tblSalaries[[#This Row],[Years of Experience]]&lt;=2,1,""))</f>
        <v/>
      </c>
      <c r="O587" t="str">
        <f>IF(tblSalaries[[#This Row],[Years of Experience]]="","",IF(AND(tblSalaries[[#This Row],[Years of Experience]]&gt;2,tblSalaries[[#This Row],[Years of Experience]]&lt;=5),1,""))</f>
        <v/>
      </c>
      <c r="P587">
        <f>IF(tblSalaries[[#This Row],[Years of Experience]]="","",IF(AND(tblSalaries[[#This Row],[Years of Experience]]&gt;5,tblSalaries[[#This Row],[Years of Experience]]&lt;=10),1,""))</f>
        <v>1</v>
      </c>
      <c r="Q587" t="str">
        <f>IF(tblSalaries[[#This Row],[Years of Experience]]="","",IF(AND(tblSalaries[[#This Row],[Years of Experience]]&gt;10,tblSalaries[[#This Row],[Years of Experience]]&lt;=15),1,""))</f>
        <v/>
      </c>
      <c r="R587" t="str">
        <f>IF(tblSalaries[[#This Row],[Years of Experience]]="","",IF(AND(tblSalaries[[#This Row],[Years of Experience]]&gt;16,tblSalaries[[#This Row],[Years of Experience]]&lt;=20),1,""))</f>
        <v/>
      </c>
      <c r="S587" t="str">
        <f>IF(tblSalaries[[#This Row],[Years of Experience]]="","",IF(tblSalaries[[#This Row],[Years of Experience]]&gt;20,1,""))</f>
        <v/>
      </c>
      <c r="T5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87" s="13" t="str">
        <f>IF(tblSalaries[[#This Row],[Job Type]]=tblSalaries[[#Headers],[Accountant]],tblSalaries[[#This Row],[Salary in USD]],"")</f>
        <v/>
      </c>
      <c r="V587" s="13" t="str">
        <f>IF(tblSalaries[[#This Row],[Job Type]]=tblSalaries[[#Headers],[Analyst]],tblSalaries[[#This Row],[Salary in USD]],"")</f>
        <v/>
      </c>
      <c r="W587" s="13">
        <f>IF(tblSalaries[[#This Row],[Job Type]]=tblSalaries[[#Headers],[Consultant]],tblSalaries[[#This Row],[Salary in USD]],"")</f>
        <v>36000</v>
      </c>
      <c r="X587" s="13" t="str">
        <f>IF(tblSalaries[[#This Row],[Job Type]]=tblSalaries[[#Headers],[Controller]],tblSalaries[[#This Row],[Salary in USD]],"")</f>
        <v/>
      </c>
      <c r="Y587" s="13" t="str">
        <f>IF(tblSalaries[[#This Row],[Job Type]]=tblSalaries[[#Headers],[CXO or Top Mgmt.]],tblSalaries[[#This Row],[clean Salary (in local currency)]],"")</f>
        <v/>
      </c>
      <c r="Z587" s="13" t="str">
        <f>IF(tblSalaries[[#This Row],[Job Type]]=tblSalaries[[#Headers],[Engineer]],tblSalaries[[#This Row],[Salary in USD]],"")</f>
        <v/>
      </c>
      <c r="AA587" s="13" t="str">
        <f>IF(tblSalaries[[#This Row],[Job Type]]=tblSalaries[[#Headers],[Manager]],tblSalaries[[#This Row],[Salary in USD]],"")</f>
        <v/>
      </c>
      <c r="AB587" s="13" t="str">
        <f>IF(tblSalaries[[#This Row],[Job Type]]=tblSalaries[[#Headers],[Misc.]],tblSalaries[[#This Row],[Salary in USD]],"")</f>
        <v/>
      </c>
      <c r="AC587" s="13" t="str">
        <f>IF(tblSalaries[[#This Row],[Job Type]]=tblSalaries[[#Headers],[Reporting]],tblSalaries[[#This Row],[Salary in USD]],"")</f>
        <v/>
      </c>
      <c r="AD587" s="13" t="str">
        <f>IF(tblSalaries[[#This Row],[Job Type]]=tblSalaries[[#Headers],[Specialist]],tblSalaries[[#This Row],[Salary in USD]],"")</f>
        <v/>
      </c>
    </row>
    <row r="588" spans="2:30" ht="15" customHeight="1" x14ac:dyDescent="0.25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 s="9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  <c r="N588" t="str">
        <f>IF(tblSalaries[[#This Row],[Years of Experience]]="","",IF(tblSalaries[[#This Row],[Years of Experience]]&lt;=2,1,""))</f>
        <v/>
      </c>
      <c r="O588">
        <f>IF(tblSalaries[[#This Row],[Years of Experience]]="","",IF(AND(tblSalaries[[#This Row],[Years of Experience]]&gt;2,tblSalaries[[#This Row],[Years of Experience]]&lt;=5),1,""))</f>
        <v>1</v>
      </c>
      <c r="P588" t="str">
        <f>IF(tblSalaries[[#This Row],[Years of Experience]]="","",IF(AND(tblSalaries[[#This Row],[Years of Experience]]&gt;5,tblSalaries[[#This Row],[Years of Experience]]&lt;=10),1,""))</f>
        <v/>
      </c>
      <c r="Q588" t="str">
        <f>IF(tblSalaries[[#This Row],[Years of Experience]]="","",IF(AND(tblSalaries[[#This Row],[Years of Experience]]&gt;10,tblSalaries[[#This Row],[Years of Experience]]&lt;=15),1,""))</f>
        <v/>
      </c>
      <c r="R588" t="str">
        <f>IF(tblSalaries[[#This Row],[Years of Experience]]="","",IF(AND(tblSalaries[[#This Row],[Years of Experience]]&gt;16,tblSalaries[[#This Row],[Years of Experience]]&lt;=20),1,""))</f>
        <v/>
      </c>
      <c r="S588" t="str">
        <f>IF(tblSalaries[[#This Row],[Years of Experience]]="","",IF(tblSalaries[[#This Row],[Years of Experience]]&gt;20,1,""))</f>
        <v/>
      </c>
      <c r="T5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88" s="13" t="str">
        <f>IF(tblSalaries[[#This Row],[Job Type]]=tblSalaries[[#Headers],[Accountant]],tblSalaries[[#This Row],[Salary in USD]],"")</f>
        <v/>
      </c>
      <c r="V588" s="13">
        <f>IF(tblSalaries[[#This Row],[Job Type]]=tblSalaries[[#Headers],[Analyst]],tblSalaries[[#This Row],[Salary in USD]],"")</f>
        <v>63519.971949580387</v>
      </c>
      <c r="W588" s="13" t="str">
        <f>IF(tblSalaries[[#This Row],[Job Type]]=tblSalaries[[#Headers],[Consultant]],tblSalaries[[#This Row],[Salary in USD]],"")</f>
        <v/>
      </c>
      <c r="X588" s="13" t="str">
        <f>IF(tblSalaries[[#This Row],[Job Type]]=tblSalaries[[#Headers],[Controller]],tblSalaries[[#This Row],[Salary in USD]],"")</f>
        <v/>
      </c>
      <c r="Y588" s="13" t="str">
        <f>IF(tblSalaries[[#This Row],[Job Type]]=tblSalaries[[#Headers],[CXO or Top Mgmt.]],tblSalaries[[#This Row],[clean Salary (in local currency)]],"")</f>
        <v/>
      </c>
      <c r="Z588" s="13" t="str">
        <f>IF(tblSalaries[[#This Row],[Job Type]]=tblSalaries[[#Headers],[Engineer]],tblSalaries[[#This Row],[Salary in USD]],"")</f>
        <v/>
      </c>
      <c r="AA588" s="13" t="str">
        <f>IF(tblSalaries[[#This Row],[Job Type]]=tblSalaries[[#Headers],[Manager]],tblSalaries[[#This Row],[Salary in USD]],"")</f>
        <v/>
      </c>
      <c r="AB588" s="13" t="str">
        <f>IF(tblSalaries[[#This Row],[Job Type]]=tblSalaries[[#Headers],[Misc.]],tblSalaries[[#This Row],[Salary in USD]],"")</f>
        <v/>
      </c>
      <c r="AC588" s="13" t="str">
        <f>IF(tblSalaries[[#This Row],[Job Type]]=tblSalaries[[#Headers],[Reporting]],tblSalaries[[#This Row],[Salary in USD]],"")</f>
        <v/>
      </c>
      <c r="AD588" s="13" t="str">
        <f>IF(tblSalaries[[#This Row],[Job Type]]=tblSalaries[[#Headers],[Specialist]],tblSalaries[[#This Row],[Salary in USD]],"")</f>
        <v/>
      </c>
    </row>
    <row r="589" spans="2:30" ht="15" customHeight="1" x14ac:dyDescent="0.25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 s="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  <c r="N589" t="str">
        <f>IF(tblSalaries[[#This Row],[Years of Experience]]="","",IF(tblSalaries[[#This Row],[Years of Experience]]&lt;=2,1,""))</f>
        <v/>
      </c>
      <c r="O589" t="str">
        <f>IF(tblSalaries[[#This Row],[Years of Experience]]="","",IF(AND(tblSalaries[[#This Row],[Years of Experience]]&gt;2,tblSalaries[[#This Row],[Years of Experience]]&lt;=5),1,""))</f>
        <v/>
      </c>
      <c r="P589">
        <f>IF(tblSalaries[[#This Row],[Years of Experience]]="","",IF(AND(tblSalaries[[#This Row],[Years of Experience]]&gt;5,tblSalaries[[#This Row],[Years of Experience]]&lt;=10),1,""))</f>
        <v>1</v>
      </c>
      <c r="Q589" t="str">
        <f>IF(tblSalaries[[#This Row],[Years of Experience]]="","",IF(AND(tblSalaries[[#This Row],[Years of Experience]]&gt;10,tblSalaries[[#This Row],[Years of Experience]]&lt;=15),1,""))</f>
        <v/>
      </c>
      <c r="R589" t="str">
        <f>IF(tblSalaries[[#This Row],[Years of Experience]]="","",IF(AND(tblSalaries[[#This Row],[Years of Experience]]&gt;16,tblSalaries[[#This Row],[Years of Experience]]&lt;=20),1,""))</f>
        <v/>
      </c>
      <c r="S589" t="str">
        <f>IF(tblSalaries[[#This Row],[Years of Experience]]="","",IF(tblSalaries[[#This Row],[Years of Experience]]&gt;20,1,""))</f>
        <v/>
      </c>
      <c r="T5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89" s="13" t="str">
        <f>IF(tblSalaries[[#This Row],[Job Type]]=tblSalaries[[#Headers],[Accountant]],tblSalaries[[#This Row],[Salary in USD]],"")</f>
        <v/>
      </c>
      <c r="V589" s="13" t="str">
        <f>IF(tblSalaries[[#This Row],[Job Type]]=tblSalaries[[#Headers],[Analyst]],tblSalaries[[#This Row],[Salary in USD]],"")</f>
        <v/>
      </c>
      <c r="W589" s="13">
        <f>IF(tblSalaries[[#This Row],[Job Type]]=tblSalaries[[#Headers],[Consultant]],tblSalaries[[#This Row],[Salary in USD]],"")</f>
        <v>108000</v>
      </c>
      <c r="X589" s="13" t="str">
        <f>IF(tblSalaries[[#This Row],[Job Type]]=tblSalaries[[#Headers],[Controller]],tblSalaries[[#This Row],[Salary in USD]],"")</f>
        <v/>
      </c>
      <c r="Y589" s="13" t="str">
        <f>IF(tblSalaries[[#This Row],[Job Type]]=tblSalaries[[#Headers],[CXO or Top Mgmt.]],tblSalaries[[#This Row],[clean Salary (in local currency)]],"")</f>
        <v/>
      </c>
      <c r="Z589" s="13" t="str">
        <f>IF(tblSalaries[[#This Row],[Job Type]]=tblSalaries[[#Headers],[Engineer]],tblSalaries[[#This Row],[Salary in USD]],"")</f>
        <v/>
      </c>
      <c r="AA589" s="13" t="str">
        <f>IF(tblSalaries[[#This Row],[Job Type]]=tblSalaries[[#Headers],[Manager]],tblSalaries[[#This Row],[Salary in USD]],"")</f>
        <v/>
      </c>
      <c r="AB589" s="13" t="str">
        <f>IF(tblSalaries[[#This Row],[Job Type]]=tblSalaries[[#Headers],[Misc.]],tblSalaries[[#This Row],[Salary in USD]],"")</f>
        <v/>
      </c>
      <c r="AC589" s="13" t="str">
        <f>IF(tblSalaries[[#This Row],[Job Type]]=tblSalaries[[#Headers],[Reporting]],tblSalaries[[#This Row],[Salary in USD]],"")</f>
        <v/>
      </c>
      <c r="AD589" s="13" t="str">
        <f>IF(tblSalaries[[#This Row],[Job Type]]=tblSalaries[[#Headers],[Specialist]],tblSalaries[[#This Row],[Salary in USD]],"")</f>
        <v/>
      </c>
    </row>
    <row r="590" spans="2:30" ht="15" customHeight="1" x14ac:dyDescent="0.25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 s="9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  <c r="N590" t="str">
        <f>IF(tblSalaries[[#This Row],[Years of Experience]]="","",IF(tblSalaries[[#This Row],[Years of Experience]]&lt;=2,1,""))</f>
        <v/>
      </c>
      <c r="O590">
        <f>IF(tblSalaries[[#This Row],[Years of Experience]]="","",IF(AND(tblSalaries[[#This Row],[Years of Experience]]&gt;2,tblSalaries[[#This Row],[Years of Experience]]&lt;=5),1,""))</f>
        <v>1</v>
      </c>
      <c r="P590" t="str">
        <f>IF(tblSalaries[[#This Row],[Years of Experience]]="","",IF(AND(tblSalaries[[#This Row],[Years of Experience]]&gt;5,tblSalaries[[#This Row],[Years of Experience]]&lt;=10),1,""))</f>
        <v/>
      </c>
      <c r="Q590" t="str">
        <f>IF(tblSalaries[[#This Row],[Years of Experience]]="","",IF(AND(tblSalaries[[#This Row],[Years of Experience]]&gt;10,tblSalaries[[#This Row],[Years of Experience]]&lt;=15),1,""))</f>
        <v/>
      </c>
      <c r="R590" t="str">
        <f>IF(tblSalaries[[#This Row],[Years of Experience]]="","",IF(AND(tblSalaries[[#This Row],[Years of Experience]]&gt;16,tblSalaries[[#This Row],[Years of Experience]]&lt;=20),1,""))</f>
        <v/>
      </c>
      <c r="S590" t="str">
        <f>IF(tblSalaries[[#This Row],[Years of Experience]]="","",IF(tblSalaries[[#This Row],[Years of Experience]]&gt;20,1,""))</f>
        <v/>
      </c>
      <c r="T5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90" s="13" t="str">
        <f>IF(tblSalaries[[#This Row],[Job Type]]=tblSalaries[[#Headers],[Accountant]],tblSalaries[[#This Row],[Salary in USD]],"")</f>
        <v/>
      </c>
      <c r="V590" s="13">
        <f>IF(tblSalaries[[#This Row],[Job Type]]=tblSalaries[[#Headers],[Analyst]],tblSalaries[[#This Row],[Salary in USD]],"")</f>
        <v>75000</v>
      </c>
      <c r="W590" s="13" t="str">
        <f>IF(tblSalaries[[#This Row],[Job Type]]=tblSalaries[[#Headers],[Consultant]],tblSalaries[[#This Row],[Salary in USD]],"")</f>
        <v/>
      </c>
      <c r="X590" s="13" t="str">
        <f>IF(tblSalaries[[#This Row],[Job Type]]=tblSalaries[[#Headers],[Controller]],tblSalaries[[#This Row],[Salary in USD]],"")</f>
        <v/>
      </c>
      <c r="Y590" s="13" t="str">
        <f>IF(tblSalaries[[#This Row],[Job Type]]=tblSalaries[[#Headers],[CXO or Top Mgmt.]],tblSalaries[[#This Row],[clean Salary (in local currency)]],"")</f>
        <v/>
      </c>
      <c r="Z590" s="13" t="str">
        <f>IF(tblSalaries[[#This Row],[Job Type]]=tblSalaries[[#Headers],[Engineer]],tblSalaries[[#This Row],[Salary in USD]],"")</f>
        <v/>
      </c>
      <c r="AA590" s="13" t="str">
        <f>IF(tblSalaries[[#This Row],[Job Type]]=tblSalaries[[#Headers],[Manager]],tblSalaries[[#This Row],[Salary in USD]],"")</f>
        <v/>
      </c>
      <c r="AB590" s="13" t="str">
        <f>IF(tblSalaries[[#This Row],[Job Type]]=tblSalaries[[#Headers],[Misc.]],tblSalaries[[#This Row],[Salary in USD]],"")</f>
        <v/>
      </c>
      <c r="AC590" s="13" t="str">
        <f>IF(tblSalaries[[#This Row],[Job Type]]=tblSalaries[[#Headers],[Reporting]],tblSalaries[[#This Row],[Salary in USD]],"")</f>
        <v/>
      </c>
      <c r="AD590" s="13" t="str">
        <f>IF(tblSalaries[[#This Row],[Job Type]]=tblSalaries[[#Headers],[Specialist]],tblSalaries[[#This Row],[Salary in USD]],"")</f>
        <v/>
      </c>
    </row>
    <row r="591" spans="2:30" ht="15" customHeight="1" x14ac:dyDescent="0.25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 s="9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  <c r="N591" t="str">
        <f>IF(tblSalaries[[#This Row],[Years of Experience]]="","",IF(tblSalaries[[#This Row],[Years of Experience]]&lt;=2,1,""))</f>
        <v/>
      </c>
      <c r="O591">
        <f>IF(tblSalaries[[#This Row],[Years of Experience]]="","",IF(AND(tblSalaries[[#This Row],[Years of Experience]]&gt;2,tblSalaries[[#This Row],[Years of Experience]]&lt;=5),1,""))</f>
        <v>1</v>
      </c>
      <c r="P591" t="str">
        <f>IF(tblSalaries[[#This Row],[Years of Experience]]="","",IF(AND(tblSalaries[[#This Row],[Years of Experience]]&gt;5,tblSalaries[[#This Row],[Years of Experience]]&lt;=10),1,""))</f>
        <v/>
      </c>
      <c r="Q591" t="str">
        <f>IF(tblSalaries[[#This Row],[Years of Experience]]="","",IF(AND(tblSalaries[[#This Row],[Years of Experience]]&gt;10,tblSalaries[[#This Row],[Years of Experience]]&lt;=15),1,""))</f>
        <v/>
      </c>
      <c r="R591" t="str">
        <f>IF(tblSalaries[[#This Row],[Years of Experience]]="","",IF(AND(tblSalaries[[#This Row],[Years of Experience]]&gt;16,tblSalaries[[#This Row],[Years of Experience]]&lt;=20),1,""))</f>
        <v/>
      </c>
      <c r="S591" t="str">
        <f>IF(tblSalaries[[#This Row],[Years of Experience]]="","",IF(tblSalaries[[#This Row],[Years of Experience]]&gt;20,1,""))</f>
        <v/>
      </c>
      <c r="T5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91" s="13" t="str">
        <f>IF(tblSalaries[[#This Row],[Job Type]]=tblSalaries[[#Headers],[Accountant]],tblSalaries[[#This Row],[Salary in USD]],"")</f>
        <v/>
      </c>
      <c r="V591" s="13" t="str">
        <f>IF(tblSalaries[[#This Row],[Job Type]]=tblSalaries[[#Headers],[Analyst]],tblSalaries[[#This Row],[Salary in USD]],"")</f>
        <v/>
      </c>
      <c r="W591" s="13" t="str">
        <f>IF(tblSalaries[[#This Row],[Job Type]]=tblSalaries[[#Headers],[Consultant]],tblSalaries[[#This Row],[Salary in USD]],"")</f>
        <v/>
      </c>
      <c r="X591" s="13" t="str">
        <f>IF(tblSalaries[[#This Row],[Job Type]]=tblSalaries[[#Headers],[Controller]],tblSalaries[[#This Row],[Salary in USD]],"")</f>
        <v/>
      </c>
      <c r="Y591" s="13" t="str">
        <f>IF(tblSalaries[[#This Row],[Job Type]]=tblSalaries[[#Headers],[CXO or Top Mgmt.]],tblSalaries[[#This Row],[clean Salary (in local currency)]],"")</f>
        <v/>
      </c>
      <c r="Z591" s="13" t="str">
        <f>IF(tblSalaries[[#This Row],[Job Type]]=tblSalaries[[#Headers],[Engineer]],tblSalaries[[#This Row],[Salary in USD]],"")</f>
        <v/>
      </c>
      <c r="AA591" s="13">
        <f>IF(tblSalaries[[#This Row],[Job Type]]=tblSalaries[[#Headers],[Manager]],tblSalaries[[#This Row],[Salary in USD]],"")</f>
        <v>7123.1666749770275</v>
      </c>
      <c r="AB591" s="13" t="str">
        <f>IF(tblSalaries[[#This Row],[Job Type]]=tblSalaries[[#Headers],[Misc.]],tblSalaries[[#This Row],[Salary in USD]],"")</f>
        <v/>
      </c>
      <c r="AC591" s="13" t="str">
        <f>IF(tblSalaries[[#This Row],[Job Type]]=tblSalaries[[#Headers],[Reporting]],tblSalaries[[#This Row],[Salary in USD]],"")</f>
        <v/>
      </c>
      <c r="AD591" s="13" t="str">
        <f>IF(tblSalaries[[#This Row],[Job Type]]=tblSalaries[[#Headers],[Specialist]],tblSalaries[[#This Row],[Salary in USD]],"")</f>
        <v/>
      </c>
    </row>
    <row r="592" spans="2:30" ht="15" customHeight="1" x14ac:dyDescent="0.25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 s="9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  <c r="N592" t="str">
        <f>IF(tblSalaries[[#This Row],[Years of Experience]]="","",IF(tblSalaries[[#This Row],[Years of Experience]]&lt;=2,1,""))</f>
        <v/>
      </c>
      <c r="O592" t="str">
        <f>IF(tblSalaries[[#This Row],[Years of Experience]]="","",IF(AND(tblSalaries[[#This Row],[Years of Experience]]&gt;2,tblSalaries[[#This Row],[Years of Experience]]&lt;=5),1,""))</f>
        <v/>
      </c>
      <c r="P592" t="str">
        <f>IF(tblSalaries[[#This Row],[Years of Experience]]="","",IF(AND(tblSalaries[[#This Row],[Years of Experience]]&gt;5,tblSalaries[[#This Row],[Years of Experience]]&lt;=10),1,""))</f>
        <v/>
      </c>
      <c r="Q592" t="str">
        <f>IF(tblSalaries[[#This Row],[Years of Experience]]="","",IF(AND(tblSalaries[[#This Row],[Years of Experience]]&gt;10,tblSalaries[[#This Row],[Years of Experience]]&lt;=15),1,""))</f>
        <v/>
      </c>
      <c r="R592" t="str">
        <f>IF(tblSalaries[[#This Row],[Years of Experience]]="","",IF(AND(tblSalaries[[#This Row],[Years of Experience]]&gt;16,tblSalaries[[#This Row],[Years of Experience]]&lt;=20),1,""))</f>
        <v/>
      </c>
      <c r="S592">
        <f>IF(tblSalaries[[#This Row],[Years of Experience]]="","",IF(tblSalaries[[#This Row],[Years of Experience]]&gt;20,1,""))</f>
        <v>1</v>
      </c>
      <c r="T5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592" s="13" t="str">
        <f>IF(tblSalaries[[#This Row],[Job Type]]=tblSalaries[[#Headers],[Accountant]],tblSalaries[[#This Row],[Salary in USD]],"")</f>
        <v/>
      </c>
      <c r="V592" s="13" t="str">
        <f>IF(tblSalaries[[#This Row],[Job Type]]=tblSalaries[[#Headers],[Analyst]],tblSalaries[[#This Row],[Salary in USD]],"")</f>
        <v/>
      </c>
      <c r="W592" s="13" t="str">
        <f>IF(tblSalaries[[#This Row],[Job Type]]=tblSalaries[[#Headers],[Consultant]],tblSalaries[[#This Row],[Salary in USD]],"")</f>
        <v/>
      </c>
      <c r="X592" s="13" t="str">
        <f>IF(tblSalaries[[#This Row],[Job Type]]=tblSalaries[[#Headers],[Controller]],tblSalaries[[#This Row],[Salary in USD]],"")</f>
        <v/>
      </c>
      <c r="Y592" s="13" t="str">
        <f>IF(tblSalaries[[#This Row],[Job Type]]=tblSalaries[[#Headers],[CXO or Top Mgmt.]],tblSalaries[[#This Row],[clean Salary (in local currency)]],"")</f>
        <v/>
      </c>
      <c r="Z592" s="13" t="str">
        <f>IF(tblSalaries[[#This Row],[Job Type]]=tblSalaries[[#Headers],[Engineer]],tblSalaries[[#This Row],[Salary in USD]],"")</f>
        <v/>
      </c>
      <c r="AA592" s="13">
        <f>IF(tblSalaries[[#This Row],[Job Type]]=tblSalaries[[#Headers],[Manager]],tblSalaries[[#This Row],[Salary in USD]],"")</f>
        <v>50000</v>
      </c>
      <c r="AB592" s="13" t="str">
        <f>IF(tblSalaries[[#This Row],[Job Type]]=tblSalaries[[#Headers],[Misc.]],tblSalaries[[#This Row],[Salary in USD]],"")</f>
        <v/>
      </c>
      <c r="AC592" s="13" t="str">
        <f>IF(tblSalaries[[#This Row],[Job Type]]=tblSalaries[[#Headers],[Reporting]],tblSalaries[[#This Row],[Salary in USD]],"")</f>
        <v/>
      </c>
      <c r="AD592" s="13" t="str">
        <f>IF(tblSalaries[[#This Row],[Job Type]]=tblSalaries[[#Headers],[Specialist]],tblSalaries[[#This Row],[Salary in USD]],"")</f>
        <v/>
      </c>
    </row>
    <row r="593" spans="2:30" ht="15" customHeight="1" x14ac:dyDescent="0.25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 s="9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  <c r="N593" t="str">
        <f>IF(tblSalaries[[#This Row],[Years of Experience]]="","",IF(tblSalaries[[#This Row],[Years of Experience]]&lt;=2,1,""))</f>
        <v/>
      </c>
      <c r="O593" t="str">
        <f>IF(tblSalaries[[#This Row],[Years of Experience]]="","",IF(AND(tblSalaries[[#This Row],[Years of Experience]]&gt;2,tblSalaries[[#This Row],[Years of Experience]]&lt;=5),1,""))</f>
        <v/>
      </c>
      <c r="P593" t="str">
        <f>IF(tblSalaries[[#This Row],[Years of Experience]]="","",IF(AND(tblSalaries[[#This Row],[Years of Experience]]&gt;5,tblSalaries[[#This Row],[Years of Experience]]&lt;=10),1,""))</f>
        <v/>
      </c>
      <c r="Q593">
        <f>IF(tblSalaries[[#This Row],[Years of Experience]]="","",IF(AND(tblSalaries[[#This Row],[Years of Experience]]&gt;10,tblSalaries[[#This Row],[Years of Experience]]&lt;=15),1,""))</f>
        <v>1</v>
      </c>
      <c r="R593" t="str">
        <f>IF(tblSalaries[[#This Row],[Years of Experience]]="","",IF(AND(tblSalaries[[#This Row],[Years of Experience]]&gt;16,tblSalaries[[#This Row],[Years of Experience]]&lt;=20),1,""))</f>
        <v/>
      </c>
      <c r="S593" t="str">
        <f>IF(tblSalaries[[#This Row],[Years of Experience]]="","",IF(tblSalaries[[#This Row],[Years of Experience]]&gt;20,1,""))</f>
        <v/>
      </c>
      <c r="T5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593" s="13" t="str">
        <f>IF(tblSalaries[[#This Row],[Job Type]]=tblSalaries[[#Headers],[Accountant]],tblSalaries[[#This Row],[Salary in USD]],"")</f>
        <v/>
      </c>
      <c r="V593" s="13">
        <f>IF(tblSalaries[[#This Row],[Job Type]]=tblSalaries[[#Headers],[Analyst]],tblSalaries[[#This Row],[Salary in USD]],"")</f>
        <v>45000</v>
      </c>
      <c r="W593" s="13" t="str">
        <f>IF(tblSalaries[[#This Row],[Job Type]]=tblSalaries[[#Headers],[Consultant]],tblSalaries[[#This Row],[Salary in USD]],"")</f>
        <v/>
      </c>
      <c r="X593" s="13" t="str">
        <f>IF(tblSalaries[[#This Row],[Job Type]]=tblSalaries[[#Headers],[Controller]],tblSalaries[[#This Row],[Salary in USD]],"")</f>
        <v/>
      </c>
      <c r="Y593" s="13" t="str">
        <f>IF(tblSalaries[[#This Row],[Job Type]]=tblSalaries[[#Headers],[CXO or Top Mgmt.]],tblSalaries[[#This Row],[clean Salary (in local currency)]],"")</f>
        <v/>
      </c>
      <c r="Z593" s="13" t="str">
        <f>IF(tblSalaries[[#This Row],[Job Type]]=tblSalaries[[#Headers],[Engineer]],tblSalaries[[#This Row],[Salary in USD]],"")</f>
        <v/>
      </c>
      <c r="AA593" s="13" t="str">
        <f>IF(tblSalaries[[#This Row],[Job Type]]=tblSalaries[[#Headers],[Manager]],tblSalaries[[#This Row],[Salary in USD]],"")</f>
        <v/>
      </c>
      <c r="AB593" s="13" t="str">
        <f>IF(tblSalaries[[#This Row],[Job Type]]=tblSalaries[[#Headers],[Misc.]],tblSalaries[[#This Row],[Salary in USD]],"")</f>
        <v/>
      </c>
      <c r="AC593" s="13" t="str">
        <f>IF(tblSalaries[[#This Row],[Job Type]]=tblSalaries[[#Headers],[Reporting]],tblSalaries[[#This Row],[Salary in USD]],"")</f>
        <v/>
      </c>
      <c r="AD593" s="13" t="str">
        <f>IF(tblSalaries[[#This Row],[Job Type]]=tblSalaries[[#Headers],[Specialist]],tblSalaries[[#This Row],[Salary in USD]],"")</f>
        <v/>
      </c>
    </row>
    <row r="594" spans="2:30" ht="15" customHeight="1" x14ac:dyDescent="0.25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 s="9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  <c r="N594" t="str">
        <f>IF(tblSalaries[[#This Row],[Years of Experience]]="","",IF(tblSalaries[[#This Row],[Years of Experience]]&lt;=2,1,""))</f>
        <v/>
      </c>
      <c r="O594" t="str">
        <f>IF(tblSalaries[[#This Row],[Years of Experience]]="","",IF(AND(tblSalaries[[#This Row],[Years of Experience]]&gt;2,tblSalaries[[#This Row],[Years of Experience]]&lt;=5),1,""))</f>
        <v/>
      </c>
      <c r="P594">
        <f>IF(tblSalaries[[#This Row],[Years of Experience]]="","",IF(AND(tblSalaries[[#This Row],[Years of Experience]]&gt;5,tblSalaries[[#This Row],[Years of Experience]]&lt;=10),1,""))</f>
        <v>1</v>
      </c>
      <c r="Q594" t="str">
        <f>IF(tblSalaries[[#This Row],[Years of Experience]]="","",IF(AND(tblSalaries[[#This Row],[Years of Experience]]&gt;10,tblSalaries[[#This Row],[Years of Experience]]&lt;=15),1,""))</f>
        <v/>
      </c>
      <c r="R594" t="str">
        <f>IF(tblSalaries[[#This Row],[Years of Experience]]="","",IF(AND(tblSalaries[[#This Row],[Years of Experience]]&gt;16,tblSalaries[[#This Row],[Years of Experience]]&lt;=20),1,""))</f>
        <v/>
      </c>
      <c r="S594" t="str">
        <f>IF(tblSalaries[[#This Row],[Years of Experience]]="","",IF(tblSalaries[[#This Row],[Years of Experience]]&gt;20,1,""))</f>
        <v/>
      </c>
      <c r="T5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94" s="13">
        <f>IF(tblSalaries[[#This Row],[Job Type]]=tblSalaries[[#Headers],[Accountant]],tblSalaries[[#This Row],[Salary in USD]],"")</f>
        <v>45000</v>
      </c>
      <c r="V594" s="13" t="str">
        <f>IF(tblSalaries[[#This Row],[Job Type]]=tblSalaries[[#Headers],[Analyst]],tblSalaries[[#This Row],[Salary in USD]],"")</f>
        <v/>
      </c>
      <c r="W594" s="13" t="str">
        <f>IF(tblSalaries[[#This Row],[Job Type]]=tblSalaries[[#Headers],[Consultant]],tblSalaries[[#This Row],[Salary in USD]],"")</f>
        <v/>
      </c>
      <c r="X594" s="13" t="str">
        <f>IF(tblSalaries[[#This Row],[Job Type]]=tblSalaries[[#Headers],[Controller]],tblSalaries[[#This Row],[Salary in USD]],"")</f>
        <v/>
      </c>
      <c r="Y594" s="13" t="str">
        <f>IF(tblSalaries[[#This Row],[Job Type]]=tblSalaries[[#Headers],[CXO or Top Mgmt.]],tblSalaries[[#This Row],[clean Salary (in local currency)]],"")</f>
        <v/>
      </c>
      <c r="Z594" s="13" t="str">
        <f>IF(tblSalaries[[#This Row],[Job Type]]=tblSalaries[[#Headers],[Engineer]],tblSalaries[[#This Row],[Salary in USD]],"")</f>
        <v/>
      </c>
      <c r="AA594" s="13" t="str">
        <f>IF(tblSalaries[[#This Row],[Job Type]]=tblSalaries[[#Headers],[Manager]],tblSalaries[[#This Row],[Salary in USD]],"")</f>
        <v/>
      </c>
      <c r="AB594" s="13" t="str">
        <f>IF(tblSalaries[[#This Row],[Job Type]]=tblSalaries[[#Headers],[Misc.]],tblSalaries[[#This Row],[Salary in USD]],"")</f>
        <v/>
      </c>
      <c r="AC594" s="13" t="str">
        <f>IF(tblSalaries[[#This Row],[Job Type]]=tblSalaries[[#Headers],[Reporting]],tblSalaries[[#This Row],[Salary in USD]],"")</f>
        <v/>
      </c>
      <c r="AD594" s="13" t="str">
        <f>IF(tblSalaries[[#This Row],[Job Type]]=tblSalaries[[#Headers],[Specialist]],tblSalaries[[#This Row],[Salary in USD]],"")</f>
        <v/>
      </c>
    </row>
    <row r="595" spans="2:30" ht="15" customHeight="1" x14ac:dyDescent="0.25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 s="9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  <c r="N595" t="str">
        <f>IF(tblSalaries[[#This Row],[Years of Experience]]="","",IF(tblSalaries[[#This Row],[Years of Experience]]&lt;=2,1,""))</f>
        <v/>
      </c>
      <c r="O595" t="str">
        <f>IF(tblSalaries[[#This Row],[Years of Experience]]="","",IF(AND(tblSalaries[[#This Row],[Years of Experience]]&gt;2,tblSalaries[[#This Row],[Years of Experience]]&lt;=5),1,""))</f>
        <v/>
      </c>
      <c r="P595" t="str">
        <f>IF(tblSalaries[[#This Row],[Years of Experience]]="","",IF(AND(tblSalaries[[#This Row],[Years of Experience]]&gt;5,tblSalaries[[#This Row],[Years of Experience]]&lt;=10),1,""))</f>
        <v/>
      </c>
      <c r="Q595" t="str">
        <f>IF(tblSalaries[[#This Row],[Years of Experience]]="","",IF(AND(tblSalaries[[#This Row],[Years of Experience]]&gt;10,tblSalaries[[#This Row],[Years of Experience]]&lt;=15),1,""))</f>
        <v/>
      </c>
      <c r="R595">
        <f>IF(tblSalaries[[#This Row],[Years of Experience]]="","",IF(AND(tblSalaries[[#This Row],[Years of Experience]]&gt;16,tblSalaries[[#This Row],[Years of Experience]]&lt;=20),1,""))</f>
        <v>1</v>
      </c>
      <c r="S595" t="str">
        <f>IF(tblSalaries[[#This Row],[Years of Experience]]="","",IF(tblSalaries[[#This Row],[Years of Experience]]&gt;20,1,""))</f>
        <v/>
      </c>
      <c r="T5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95" s="13" t="str">
        <f>IF(tblSalaries[[#This Row],[Job Type]]=tblSalaries[[#Headers],[Accountant]],tblSalaries[[#This Row],[Salary in USD]],"")</f>
        <v/>
      </c>
      <c r="V595" s="13" t="str">
        <f>IF(tblSalaries[[#This Row],[Job Type]]=tblSalaries[[#Headers],[Analyst]],tblSalaries[[#This Row],[Salary in USD]],"")</f>
        <v/>
      </c>
      <c r="W595" s="13" t="str">
        <f>IF(tblSalaries[[#This Row],[Job Type]]=tblSalaries[[#Headers],[Consultant]],tblSalaries[[#This Row],[Salary in USD]],"")</f>
        <v/>
      </c>
      <c r="X595" s="13" t="str">
        <f>IF(tblSalaries[[#This Row],[Job Type]]=tblSalaries[[#Headers],[Controller]],tblSalaries[[#This Row],[Salary in USD]],"")</f>
        <v/>
      </c>
      <c r="Y595" s="13" t="str">
        <f>IF(tblSalaries[[#This Row],[Job Type]]=tblSalaries[[#Headers],[CXO or Top Mgmt.]],tblSalaries[[#This Row],[clean Salary (in local currency)]],"")</f>
        <v/>
      </c>
      <c r="Z595" s="13" t="str">
        <f>IF(tblSalaries[[#This Row],[Job Type]]=tblSalaries[[#Headers],[Engineer]],tblSalaries[[#This Row],[Salary in USD]],"")</f>
        <v/>
      </c>
      <c r="AA595" s="13">
        <f>IF(tblSalaries[[#This Row],[Job Type]]=tblSalaries[[#Headers],[Manager]],tblSalaries[[#This Row],[Salary in USD]],"")</f>
        <v>90000</v>
      </c>
      <c r="AB595" s="13" t="str">
        <f>IF(tblSalaries[[#This Row],[Job Type]]=tblSalaries[[#Headers],[Misc.]],tblSalaries[[#This Row],[Salary in USD]],"")</f>
        <v/>
      </c>
      <c r="AC595" s="13" t="str">
        <f>IF(tblSalaries[[#This Row],[Job Type]]=tblSalaries[[#Headers],[Reporting]],tblSalaries[[#This Row],[Salary in USD]],"")</f>
        <v/>
      </c>
      <c r="AD595" s="13" t="str">
        <f>IF(tblSalaries[[#This Row],[Job Type]]=tblSalaries[[#Headers],[Specialist]],tblSalaries[[#This Row],[Salary in USD]],"")</f>
        <v/>
      </c>
    </row>
    <row r="596" spans="2:30" ht="15" customHeight="1" x14ac:dyDescent="0.25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 s="9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  <c r="N596" t="str">
        <f>IF(tblSalaries[[#This Row],[Years of Experience]]="","",IF(tblSalaries[[#This Row],[Years of Experience]]&lt;=2,1,""))</f>
        <v/>
      </c>
      <c r="O596">
        <f>IF(tblSalaries[[#This Row],[Years of Experience]]="","",IF(AND(tblSalaries[[#This Row],[Years of Experience]]&gt;2,tblSalaries[[#This Row],[Years of Experience]]&lt;=5),1,""))</f>
        <v>1</v>
      </c>
      <c r="P596" t="str">
        <f>IF(tblSalaries[[#This Row],[Years of Experience]]="","",IF(AND(tblSalaries[[#This Row],[Years of Experience]]&gt;5,tblSalaries[[#This Row],[Years of Experience]]&lt;=10),1,""))</f>
        <v/>
      </c>
      <c r="Q596" t="str">
        <f>IF(tblSalaries[[#This Row],[Years of Experience]]="","",IF(AND(tblSalaries[[#This Row],[Years of Experience]]&gt;10,tblSalaries[[#This Row],[Years of Experience]]&lt;=15),1,""))</f>
        <v/>
      </c>
      <c r="R596" t="str">
        <f>IF(tblSalaries[[#This Row],[Years of Experience]]="","",IF(AND(tblSalaries[[#This Row],[Years of Experience]]&gt;16,tblSalaries[[#This Row],[Years of Experience]]&lt;=20),1,""))</f>
        <v/>
      </c>
      <c r="S596" t="str">
        <f>IF(tblSalaries[[#This Row],[Years of Experience]]="","",IF(tblSalaries[[#This Row],[Years of Experience]]&gt;20,1,""))</f>
        <v/>
      </c>
      <c r="T5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596" s="13" t="str">
        <f>IF(tblSalaries[[#This Row],[Job Type]]=tblSalaries[[#Headers],[Accountant]],tblSalaries[[#This Row],[Salary in USD]],"")</f>
        <v/>
      </c>
      <c r="V596" s="13">
        <f>IF(tblSalaries[[#This Row],[Job Type]]=tblSalaries[[#Headers],[Analyst]],tblSalaries[[#This Row],[Salary in USD]],"")</f>
        <v>4273.9000049862161</v>
      </c>
      <c r="W596" s="13" t="str">
        <f>IF(tblSalaries[[#This Row],[Job Type]]=tblSalaries[[#Headers],[Consultant]],tblSalaries[[#This Row],[Salary in USD]],"")</f>
        <v/>
      </c>
      <c r="X596" s="13" t="str">
        <f>IF(tblSalaries[[#This Row],[Job Type]]=tblSalaries[[#Headers],[Controller]],tblSalaries[[#This Row],[Salary in USD]],"")</f>
        <v/>
      </c>
      <c r="Y596" s="13" t="str">
        <f>IF(tblSalaries[[#This Row],[Job Type]]=tblSalaries[[#Headers],[CXO or Top Mgmt.]],tblSalaries[[#This Row],[clean Salary (in local currency)]],"")</f>
        <v/>
      </c>
      <c r="Z596" s="13" t="str">
        <f>IF(tblSalaries[[#This Row],[Job Type]]=tblSalaries[[#Headers],[Engineer]],tblSalaries[[#This Row],[Salary in USD]],"")</f>
        <v/>
      </c>
      <c r="AA596" s="13" t="str">
        <f>IF(tblSalaries[[#This Row],[Job Type]]=tblSalaries[[#Headers],[Manager]],tblSalaries[[#This Row],[Salary in USD]],"")</f>
        <v/>
      </c>
      <c r="AB596" s="13" t="str">
        <f>IF(tblSalaries[[#This Row],[Job Type]]=tblSalaries[[#Headers],[Misc.]],tblSalaries[[#This Row],[Salary in USD]],"")</f>
        <v/>
      </c>
      <c r="AC596" s="13" t="str">
        <f>IF(tblSalaries[[#This Row],[Job Type]]=tblSalaries[[#Headers],[Reporting]],tblSalaries[[#This Row],[Salary in USD]],"")</f>
        <v/>
      </c>
      <c r="AD596" s="13" t="str">
        <f>IF(tblSalaries[[#This Row],[Job Type]]=tblSalaries[[#Headers],[Specialist]],tblSalaries[[#This Row],[Salary in USD]],"")</f>
        <v/>
      </c>
    </row>
    <row r="597" spans="2:30" ht="15" customHeight="1" x14ac:dyDescent="0.25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 s="9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  <c r="N597" t="str">
        <f>IF(tblSalaries[[#This Row],[Years of Experience]]="","",IF(tblSalaries[[#This Row],[Years of Experience]]&lt;=2,1,""))</f>
        <v/>
      </c>
      <c r="O597" t="str">
        <f>IF(tblSalaries[[#This Row],[Years of Experience]]="","",IF(AND(tblSalaries[[#This Row],[Years of Experience]]&gt;2,tblSalaries[[#This Row],[Years of Experience]]&lt;=5),1,""))</f>
        <v/>
      </c>
      <c r="P597">
        <f>IF(tblSalaries[[#This Row],[Years of Experience]]="","",IF(AND(tblSalaries[[#This Row],[Years of Experience]]&gt;5,tblSalaries[[#This Row],[Years of Experience]]&lt;=10),1,""))</f>
        <v>1</v>
      </c>
      <c r="Q597" t="str">
        <f>IF(tblSalaries[[#This Row],[Years of Experience]]="","",IF(AND(tblSalaries[[#This Row],[Years of Experience]]&gt;10,tblSalaries[[#This Row],[Years of Experience]]&lt;=15),1,""))</f>
        <v/>
      </c>
      <c r="R597" t="str">
        <f>IF(tblSalaries[[#This Row],[Years of Experience]]="","",IF(AND(tblSalaries[[#This Row],[Years of Experience]]&gt;16,tblSalaries[[#This Row],[Years of Experience]]&lt;=20),1,""))</f>
        <v/>
      </c>
      <c r="S597" t="str">
        <f>IF(tblSalaries[[#This Row],[Years of Experience]]="","",IF(tblSalaries[[#This Row],[Years of Experience]]&gt;20,1,""))</f>
        <v/>
      </c>
      <c r="T5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597" s="13" t="str">
        <f>IF(tblSalaries[[#This Row],[Job Type]]=tblSalaries[[#Headers],[Accountant]],tblSalaries[[#This Row],[Salary in USD]],"")</f>
        <v/>
      </c>
      <c r="V597" s="13" t="str">
        <f>IF(tblSalaries[[#This Row],[Job Type]]=tblSalaries[[#Headers],[Analyst]],tblSalaries[[#This Row],[Salary in USD]],"")</f>
        <v/>
      </c>
      <c r="W597" s="13" t="str">
        <f>IF(tblSalaries[[#This Row],[Job Type]]=tblSalaries[[#Headers],[Consultant]],tblSalaries[[#This Row],[Salary in USD]],"")</f>
        <v/>
      </c>
      <c r="X597" s="13" t="str">
        <f>IF(tblSalaries[[#This Row],[Job Type]]=tblSalaries[[#Headers],[Controller]],tblSalaries[[#This Row],[Salary in USD]],"")</f>
        <v/>
      </c>
      <c r="Y597" s="13" t="str">
        <f>IF(tblSalaries[[#This Row],[Job Type]]=tblSalaries[[#Headers],[CXO or Top Mgmt.]],tblSalaries[[#This Row],[clean Salary (in local currency)]],"")</f>
        <v/>
      </c>
      <c r="Z597" s="13" t="str">
        <f>IF(tblSalaries[[#This Row],[Job Type]]=tblSalaries[[#Headers],[Engineer]],tblSalaries[[#This Row],[Salary in USD]],"")</f>
        <v/>
      </c>
      <c r="AA597" s="13">
        <f>IF(tblSalaries[[#This Row],[Job Type]]=tblSalaries[[#Headers],[Manager]],tblSalaries[[#This Row],[Salary in USD]],"")</f>
        <v>50000</v>
      </c>
      <c r="AB597" s="13" t="str">
        <f>IF(tblSalaries[[#This Row],[Job Type]]=tblSalaries[[#Headers],[Misc.]],tblSalaries[[#This Row],[Salary in USD]],"")</f>
        <v/>
      </c>
      <c r="AC597" s="13" t="str">
        <f>IF(tblSalaries[[#This Row],[Job Type]]=tblSalaries[[#Headers],[Reporting]],tblSalaries[[#This Row],[Salary in USD]],"")</f>
        <v/>
      </c>
      <c r="AD597" s="13" t="str">
        <f>IF(tblSalaries[[#This Row],[Job Type]]=tblSalaries[[#Headers],[Specialist]],tblSalaries[[#This Row],[Salary in USD]],"")</f>
        <v/>
      </c>
    </row>
    <row r="598" spans="2:30" ht="15" customHeight="1" x14ac:dyDescent="0.25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 s="9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  <c r="N598" t="str">
        <f>IF(tblSalaries[[#This Row],[Years of Experience]]="","",IF(tblSalaries[[#This Row],[Years of Experience]]&lt;=2,1,""))</f>
        <v/>
      </c>
      <c r="O598" t="str">
        <f>IF(tblSalaries[[#This Row],[Years of Experience]]="","",IF(AND(tblSalaries[[#This Row],[Years of Experience]]&gt;2,tblSalaries[[#This Row],[Years of Experience]]&lt;=5),1,""))</f>
        <v/>
      </c>
      <c r="P598" t="str">
        <f>IF(tblSalaries[[#This Row],[Years of Experience]]="","",IF(AND(tblSalaries[[#This Row],[Years of Experience]]&gt;5,tblSalaries[[#This Row],[Years of Experience]]&lt;=10),1,""))</f>
        <v/>
      </c>
      <c r="Q598" t="str">
        <f>IF(tblSalaries[[#This Row],[Years of Experience]]="","",IF(AND(tblSalaries[[#This Row],[Years of Experience]]&gt;10,tblSalaries[[#This Row],[Years of Experience]]&lt;=15),1,""))</f>
        <v/>
      </c>
      <c r="R598">
        <f>IF(tblSalaries[[#This Row],[Years of Experience]]="","",IF(AND(tblSalaries[[#This Row],[Years of Experience]]&gt;16,tblSalaries[[#This Row],[Years of Experience]]&lt;=20),1,""))</f>
        <v>1</v>
      </c>
      <c r="S598" t="str">
        <f>IF(tblSalaries[[#This Row],[Years of Experience]]="","",IF(tblSalaries[[#This Row],[Years of Experience]]&gt;20,1,""))</f>
        <v/>
      </c>
      <c r="T5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98" s="13" t="str">
        <f>IF(tblSalaries[[#This Row],[Job Type]]=tblSalaries[[#Headers],[Accountant]],tblSalaries[[#This Row],[Salary in USD]],"")</f>
        <v/>
      </c>
      <c r="V598" s="13">
        <f>IF(tblSalaries[[#This Row],[Job Type]]=tblSalaries[[#Headers],[Analyst]],tblSalaries[[#This Row],[Salary in USD]],"")</f>
        <v>65000</v>
      </c>
      <c r="W598" s="13" t="str">
        <f>IF(tblSalaries[[#This Row],[Job Type]]=tblSalaries[[#Headers],[Consultant]],tblSalaries[[#This Row],[Salary in USD]],"")</f>
        <v/>
      </c>
      <c r="X598" s="13" t="str">
        <f>IF(tblSalaries[[#This Row],[Job Type]]=tblSalaries[[#Headers],[Controller]],tblSalaries[[#This Row],[Salary in USD]],"")</f>
        <v/>
      </c>
      <c r="Y598" s="13" t="str">
        <f>IF(tblSalaries[[#This Row],[Job Type]]=tblSalaries[[#Headers],[CXO or Top Mgmt.]],tblSalaries[[#This Row],[clean Salary (in local currency)]],"")</f>
        <v/>
      </c>
      <c r="Z598" s="13" t="str">
        <f>IF(tblSalaries[[#This Row],[Job Type]]=tblSalaries[[#Headers],[Engineer]],tblSalaries[[#This Row],[Salary in USD]],"")</f>
        <v/>
      </c>
      <c r="AA598" s="13" t="str">
        <f>IF(tblSalaries[[#This Row],[Job Type]]=tblSalaries[[#Headers],[Manager]],tblSalaries[[#This Row],[Salary in USD]],"")</f>
        <v/>
      </c>
      <c r="AB598" s="13" t="str">
        <f>IF(tblSalaries[[#This Row],[Job Type]]=tblSalaries[[#Headers],[Misc.]],tblSalaries[[#This Row],[Salary in USD]],"")</f>
        <v/>
      </c>
      <c r="AC598" s="13" t="str">
        <f>IF(tblSalaries[[#This Row],[Job Type]]=tblSalaries[[#Headers],[Reporting]],tblSalaries[[#This Row],[Salary in USD]],"")</f>
        <v/>
      </c>
      <c r="AD598" s="13" t="str">
        <f>IF(tblSalaries[[#This Row],[Job Type]]=tblSalaries[[#Headers],[Specialist]],tblSalaries[[#This Row],[Salary in USD]],"")</f>
        <v/>
      </c>
    </row>
    <row r="599" spans="2:30" ht="15" customHeight="1" x14ac:dyDescent="0.25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 s="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  <c r="N599" t="str">
        <f>IF(tblSalaries[[#This Row],[Years of Experience]]="","",IF(tblSalaries[[#This Row],[Years of Experience]]&lt;=2,1,""))</f>
        <v/>
      </c>
      <c r="O599" t="str">
        <f>IF(tblSalaries[[#This Row],[Years of Experience]]="","",IF(AND(tblSalaries[[#This Row],[Years of Experience]]&gt;2,tblSalaries[[#This Row],[Years of Experience]]&lt;=5),1,""))</f>
        <v/>
      </c>
      <c r="P599" t="str">
        <f>IF(tblSalaries[[#This Row],[Years of Experience]]="","",IF(AND(tblSalaries[[#This Row],[Years of Experience]]&gt;5,tblSalaries[[#This Row],[Years of Experience]]&lt;=10),1,""))</f>
        <v/>
      </c>
      <c r="Q599" t="str">
        <f>IF(tblSalaries[[#This Row],[Years of Experience]]="","",IF(AND(tblSalaries[[#This Row],[Years of Experience]]&gt;10,tblSalaries[[#This Row],[Years of Experience]]&lt;=15),1,""))</f>
        <v/>
      </c>
      <c r="R599">
        <f>IF(tblSalaries[[#This Row],[Years of Experience]]="","",IF(AND(tblSalaries[[#This Row],[Years of Experience]]&gt;16,tblSalaries[[#This Row],[Years of Experience]]&lt;=20),1,""))</f>
        <v>1</v>
      </c>
      <c r="S599" t="str">
        <f>IF(tblSalaries[[#This Row],[Years of Experience]]="","",IF(tblSalaries[[#This Row],[Years of Experience]]&gt;20,1,""))</f>
        <v/>
      </c>
      <c r="T5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599" s="13" t="str">
        <f>IF(tblSalaries[[#This Row],[Job Type]]=tblSalaries[[#Headers],[Accountant]],tblSalaries[[#This Row],[Salary in USD]],"")</f>
        <v/>
      </c>
      <c r="V599" s="13">
        <f>IF(tblSalaries[[#This Row],[Job Type]]=tblSalaries[[#Headers],[Analyst]],tblSalaries[[#This Row],[Salary in USD]],"")</f>
        <v>70000</v>
      </c>
      <c r="W599" s="13" t="str">
        <f>IF(tblSalaries[[#This Row],[Job Type]]=tblSalaries[[#Headers],[Consultant]],tblSalaries[[#This Row],[Salary in USD]],"")</f>
        <v/>
      </c>
      <c r="X599" s="13" t="str">
        <f>IF(tblSalaries[[#This Row],[Job Type]]=tblSalaries[[#Headers],[Controller]],tblSalaries[[#This Row],[Salary in USD]],"")</f>
        <v/>
      </c>
      <c r="Y599" s="13" t="str">
        <f>IF(tblSalaries[[#This Row],[Job Type]]=tblSalaries[[#Headers],[CXO or Top Mgmt.]],tblSalaries[[#This Row],[clean Salary (in local currency)]],"")</f>
        <v/>
      </c>
      <c r="Z599" s="13" t="str">
        <f>IF(tblSalaries[[#This Row],[Job Type]]=tblSalaries[[#Headers],[Engineer]],tblSalaries[[#This Row],[Salary in USD]],"")</f>
        <v/>
      </c>
      <c r="AA599" s="13" t="str">
        <f>IF(tblSalaries[[#This Row],[Job Type]]=tblSalaries[[#Headers],[Manager]],tblSalaries[[#This Row],[Salary in USD]],"")</f>
        <v/>
      </c>
      <c r="AB599" s="13" t="str">
        <f>IF(tblSalaries[[#This Row],[Job Type]]=tblSalaries[[#Headers],[Misc.]],tblSalaries[[#This Row],[Salary in USD]],"")</f>
        <v/>
      </c>
      <c r="AC599" s="13" t="str">
        <f>IF(tblSalaries[[#This Row],[Job Type]]=tblSalaries[[#Headers],[Reporting]],tblSalaries[[#This Row],[Salary in USD]],"")</f>
        <v/>
      </c>
      <c r="AD599" s="13" t="str">
        <f>IF(tblSalaries[[#This Row],[Job Type]]=tblSalaries[[#Headers],[Specialist]],tblSalaries[[#This Row],[Salary in USD]],"")</f>
        <v/>
      </c>
    </row>
    <row r="600" spans="2:30" ht="15" customHeight="1" x14ac:dyDescent="0.25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 s="9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  <c r="N600" t="str">
        <f>IF(tblSalaries[[#This Row],[Years of Experience]]="","",IF(tblSalaries[[#This Row],[Years of Experience]]&lt;=2,1,""))</f>
        <v/>
      </c>
      <c r="O600">
        <f>IF(tblSalaries[[#This Row],[Years of Experience]]="","",IF(AND(tblSalaries[[#This Row],[Years of Experience]]&gt;2,tblSalaries[[#This Row],[Years of Experience]]&lt;=5),1,""))</f>
        <v>1</v>
      </c>
      <c r="P600" t="str">
        <f>IF(tblSalaries[[#This Row],[Years of Experience]]="","",IF(AND(tblSalaries[[#This Row],[Years of Experience]]&gt;5,tblSalaries[[#This Row],[Years of Experience]]&lt;=10),1,""))</f>
        <v/>
      </c>
      <c r="Q600" t="str">
        <f>IF(tblSalaries[[#This Row],[Years of Experience]]="","",IF(AND(tblSalaries[[#This Row],[Years of Experience]]&gt;10,tblSalaries[[#This Row],[Years of Experience]]&lt;=15),1,""))</f>
        <v/>
      </c>
      <c r="R600" t="str">
        <f>IF(tblSalaries[[#This Row],[Years of Experience]]="","",IF(AND(tblSalaries[[#This Row],[Years of Experience]]&gt;16,tblSalaries[[#This Row],[Years of Experience]]&lt;=20),1,""))</f>
        <v/>
      </c>
      <c r="S600" t="str">
        <f>IF(tblSalaries[[#This Row],[Years of Experience]]="","",IF(tblSalaries[[#This Row],[Years of Experience]]&gt;20,1,""))</f>
        <v/>
      </c>
      <c r="T6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00" s="13" t="str">
        <f>IF(tblSalaries[[#This Row],[Job Type]]=tblSalaries[[#Headers],[Accountant]],tblSalaries[[#This Row],[Salary in USD]],"")</f>
        <v/>
      </c>
      <c r="V600" s="13">
        <f>IF(tblSalaries[[#This Row],[Job Type]]=tblSalaries[[#Headers],[Analyst]],tblSalaries[[#This Row],[Salary in USD]],"")</f>
        <v>160000</v>
      </c>
      <c r="W600" s="13" t="str">
        <f>IF(tblSalaries[[#This Row],[Job Type]]=tblSalaries[[#Headers],[Consultant]],tblSalaries[[#This Row],[Salary in USD]],"")</f>
        <v/>
      </c>
      <c r="X600" s="13" t="str">
        <f>IF(tblSalaries[[#This Row],[Job Type]]=tblSalaries[[#Headers],[Controller]],tblSalaries[[#This Row],[Salary in USD]],"")</f>
        <v/>
      </c>
      <c r="Y600" s="13" t="str">
        <f>IF(tblSalaries[[#This Row],[Job Type]]=tblSalaries[[#Headers],[CXO or Top Mgmt.]],tblSalaries[[#This Row],[clean Salary (in local currency)]],"")</f>
        <v/>
      </c>
      <c r="Z600" s="13" t="str">
        <f>IF(tblSalaries[[#This Row],[Job Type]]=tblSalaries[[#Headers],[Engineer]],tblSalaries[[#This Row],[Salary in USD]],"")</f>
        <v/>
      </c>
      <c r="AA600" s="13" t="str">
        <f>IF(tblSalaries[[#This Row],[Job Type]]=tblSalaries[[#Headers],[Manager]],tblSalaries[[#This Row],[Salary in USD]],"")</f>
        <v/>
      </c>
      <c r="AB600" s="13" t="str">
        <f>IF(tblSalaries[[#This Row],[Job Type]]=tblSalaries[[#Headers],[Misc.]],tblSalaries[[#This Row],[Salary in USD]],"")</f>
        <v/>
      </c>
      <c r="AC600" s="13" t="str">
        <f>IF(tblSalaries[[#This Row],[Job Type]]=tblSalaries[[#Headers],[Reporting]],tblSalaries[[#This Row],[Salary in USD]],"")</f>
        <v/>
      </c>
      <c r="AD600" s="13" t="str">
        <f>IF(tblSalaries[[#This Row],[Job Type]]=tblSalaries[[#Headers],[Specialist]],tblSalaries[[#This Row],[Salary in USD]],"")</f>
        <v/>
      </c>
    </row>
    <row r="601" spans="2:30" ht="15" customHeight="1" x14ac:dyDescent="0.25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 s="9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  <c r="N601" t="str">
        <f>IF(tblSalaries[[#This Row],[Years of Experience]]="","",IF(tblSalaries[[#This Row],[Years of Experience]]&lt;=2,1,""))</f>
        <v/>
      </c>
      <c r="O601" t="str">
        <f>IF(tblSalaries[[#This Row],[Years of Experience]]="","",IF(AND(tblSalaries[[#This Row],[Years of Experience]]&gt;2,tblSalaries[[#This Row],[Years of Experience]]&lt;=5),1,""))</f>
        <v/>
      </c>
      <c r="P601" t="str">
        <f>IF(tblSalaries[[#This Row],[Years of Experience]]="","",IF(AND(tblSalaries[[#This Row],[Years of Experience]]&gt;5,tblSalaries[[#This Row],[Years of Experience]]&lt;=10),1,""))</f>
        <v/>
      </c>
      <c r="Q601" t="str">
        <f>IF(tblSalaries[[#This Row],[Years of Experience]]="","",IF(AND(tblSalaries[[#This Row],[Years of Experience]]&gt;10,tblSalaries[[#This Row],[Years of Experience]]&lt;=15),1,""))</f>
        <v/>
      </c>
      <c r="R601">
        <f>IF(tblSalaries[[#This Row],[Years of Experience]]="","",IF(AND(tblSalaries[[#This Row],[Years of Experience]]&gt;16,tblSalaries[[#This Row],[Years of Experience]]&lt;=20),1,""))</f>
        <v>1</v>
      </c>
      <c r="S601" t="str">
        <f>IF(tblSalaries[[#This Row],[Years of Experience]]="","",IF(tblSalaries[[#This Row],[Years of Experience]]&gt;20,1,""))</f>
        <v/>
      </c>
      <c r="T6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01" s="13" t="str">
        <f>IF(tblSalaries[[#This Row],[Job Type]]=tblSalaries[[#Headers],[Accountant]],tblSalaries[[#This Row],[Salary in USD]],"")</f>
        <v/>
      </c>
      <c r="V601" s="13" t="str">
        <f>IF(tblSalaries[[#This Row],[Job Type]]=tblSalaries[[#Headers],[Analyst]],tblSalaries[[#This Row],[Salary in USD]],"")</f>
        <v/>
      </c>
      <c r="W601" s="13" t="str">
        <f>IF(tblSalaries[[#This Row],[Job Type]]=tblSalaries[[#Headers],[Consultant]],tblSalaries[[#This Row],[Salary in USD]],"")</f>
        <v/>
      </c>
      <c r="X601" s="13" t="str">
        <f>IF(tblSalaries[[#This Row],[Job Type]]=tblSalaries[[#Headers],[Controller]],tblSalaries[[#This Row],[Salary in USD]],"")</f>
        <v/>
      </c>
      <c r="Y601" s="13" t="str">
        <f>IF(tblSalaries[[#This Row],[Job Type]]=tblSalaries[[#Headers],[CXO or Top Mgmt.]],tblSalaries[[#This Row],[clean Salary (in local currency)]],"")</f>
        <v/>
      </c>
      <c r="Z601" s="13" t="str">
        <f>IF(tblSalaries[[#This Row],[Job Type]]=tblSalaries[[#Headers],[Engineer]],tblSalaries[[#This Row],[Salary in USD]],"")</f>
        <v/>
      </c>
      <c r="AA601" s="13">
        <f>IF(tblSalaries[[#This Row],[Job Type]]=tblSalaries[[#Headers],[Manager]],tblSalaries[[#This Row],[Salary in USD]],"")</f>
        <v>101990.96564026357</v>
      </c>
      <c r="AB601" s="13" t="str">
        <f>IF(tblSalaries[[#This Row],[Job Type]]=tblSalaries[[#Headers],[Misc.]],tblSalaries[[#This Row],[Salary in USD]],"")</f>
        <v/>
      </c>
      <c r="AC601" s="13" t="str">
        <f>IF(tblSalaries[[#This Row],[Job Type]]=tblSalaries[[#Headers],[Reporting]],tblSalaries[[#This Row],[Salary in USD]],"")</f>
        <v/>
      </c>
      <c r="AD601" s="13" t="str">
        <f>IF(tblSalaries[[#This Row],[Job Type]]=tblSalaries[[#Headers],[Specialist]],tblSalaries[[#This Row],[Salary in USD]],"")</f>
        <v/>
      </c>
    </row>
    <row r="602" spans="2:30" ht="15" customHeight="1" x14ac:dyDescent="0.25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 s="9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  <c r="N602" t="str">
        <f>IF(tblSalaries[[#This Row],[Years of Experience]]="","",IF(tblSalaries[[#This Row],[Years of Experience]]&lt;=2,1,""))</f>
        <v/>
      </c>
      <c r="O602" t="str">
        <f>IF(tblSalaries[[#This Row],[Years of Experience]]="","",IF(AND(tblSalaries[[#This Row],[Years of Experience]]&gt;2,tblSalaries[[#This Row],[Years of Experience]]&lt;=5),1,""))</f>
        <v/>
      </c>
      <c r="P602">
        <f>IF(tblSalaries[[#This Row],[Years of Experience]]="","",IF(AND(tblSalaries[[#This Row],[Years of Experience]]&gt;5,tblSalaries[[#This Row],[Years of Experience]]&lt;=10),1,""))</f>
        <v>1</v>
      </c>
      <c r="Q602" t="str">
        <f>IF(tblSalaries[[#This Row],[Years of Experience]]="","",IF(AND(tblSalaries[[#This Row],[Years of Experience]]&gt;10,tblSalaries[[#This Row],[Years of Experience]]&lt;=15),1,""))</f>
        <v/>
      </c>
      <c r="R602" t="str">
        <f>IF(tblSalaries[[#This Row],[Years of Experience]]="","",IF(AND(tblSalaries[[#This Row],[Years of Experience]]&gt;16,tblSalaries[[#This Row],[Years of Experience]]&lt;=20),1,""))</f>
        <v/>
      </c>
      <c r="S602" t="str">
        <f>IF(tblSalaries[[#This Row],[Years of Experience]]="","",IF(tblSalaries[[#This Row],[Years of Experience]]&gt;20,1,""))</f>
        <v/>
      </c>
      <c r="T6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02" s="13" t="str">
        <f>IF(tblSalaries[[#This Row],[Job Type]]=tblSalaries[[#Headers],[Accountant]],tblSalaries[[#This Row],[Salary in USD]],"")</f>
        <v/>
      </c>
      <c r="V602" s="13" t="str">
        <f>IF(tblSalaries[[#This Row],[Job Type]]=tblSalaries[[#Headers],[Analyst]],tblSalaries[[#This Row],[Salary in USD]],"")</f>
        <v/>
      </c>
      <c r="W602" s="13" t="str">
        <f>IF(tblSalaries[[#This Row],[Job Type]]=tblSalaries[[#Headers],[Consultant]],tblSalaries[[#This Row],[Salary in USD]],"")</f>
        <v/>
      </c>
      <c r="X602" s="13" t="str">
        <f>IF(tblSalaries[[#This Row],[Job Type]]=tblSalaries[[#Headers],[Controller]],tblSalaries[[#This Row],[Salary in USD]],"")</f>
        <v/>
      </c>
      <c r="Y602" s="13" t="str">
        <f>IF(tblSalaries[[#This Row],[Job Type]]=tblSalaries[[#Headers],[CXO or Top Mgmt.]],tblSalaries[[#This Row],[clean Salary (in local currency)]],"")</f>
        <v/>
      </c>
      <c r="Z602" s="13" t="str">
        <f>IF(tblSalaries[[#This Row],[Job Type]]=tblSalaries[[#Headers],[Engineer]],tblSalaries[[#This Row],[Salary in USD]],"")</f>
        <v/>
      </c>
      <c r="AA602" s="13">
        <f>IF(tblSalaries[[#This Row],[Job Type]]=tblSalaries[[#Headers],[Manager]],tblSalaries[[#This Row],[Salary in USD]],"")</f>
        <v>6767.0083412281756</v>
      </c>
      <c r="AB602" s="13" t="str">
        <f>IF(tblSalaries[[#This Row],[Job Type]]=tblSalaries[[#Headers],[Misc.]],tblSalaries[[#This Row],[Salary in USD]],"")</f>
        <v/>
      </c>
      <c r="AC602" s="13" t="str">
        <f>IF(tblSalaries[[#This Row],[Job Type]]=tblSalaries[[#Headers],[Reporting]],tblSalaries[[#This Row],[Salary in USD]],"")</f>
        <v/>
      </c>
      <c r="AD602" s="13" t="str">
        <f>IF(tblSalaries[[#This Row],[Job Type]]=tblSalaries[[#Headers],[Specialist]],tblSalaries[[#This Row],[Salary in USD]],"")</f>
        <v/>
      </c>
    </row>
    <row r="603" spans="2:30" ht="15" customHeight="1" x14ac:dyDescent="0.25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 s="9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  <c r="N603" t="str">
        <f>IF(tblSalaries[[#This Row],[Years of Experience]]="","",IF(tblSalaries[[#This Row],[Years of Experience]]&lt;=2,1,""))</f>
        <v/>
      </c>
      <c r="O603" t="str">
        <f>IF(tblSalaries[[#This Row],[Years of Experience]]="","",IF(AND(tblSalaries[[#This Row],[Years of Experience]]&gt;2,tblSalaries[[#This Row],[Years of Experience]]&lt;=5),1,""))</f>
        <v/>
      </c>
      <c r="P603">
        <f>IF(tblSalaries[[#This Row],[Years of Experience]]="","",IF(AND(tblSalaries[[#This Row],[Years of Experience]]&gt;5,tblSalaries[[#This Row],[Years of Experience]]&lt;=10),1,""))</f>
        <v>1</v>
      </c>
      <c r="Q603" t="str">
        <f>IF(tblSalaries[[#This Row],[Years of Experience]]="","",IF(AND(tblSalaries[[#This Row],[Years of Experience]]&gt;10,tblSalaries[[#This Row],[Years of Experience]]&lt;=15),1,""))</f>
        <v/>
      </c>
      <c r="R603" t="str">
        <f>IF(tblSalaries[[#This Row],[Years of Experience]]="","",IF(AND(tblSalaries[[#This Row],[Years of Experience]]&gt;16,tblSalaries[[#This Row],[Years of Experience]]&lt;=20),1,""))</f>
        <v/>
      </c>
      <c r="S603" t="str">
        <f>IF(tblSalaries[[#This Row],[Years of Experience]]="","",IF(tblSalaries[[#This Row],[Years of Experience]]&gt;20,1,""))</f>
        <v/>
      </c>
      <c r="T6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03" s="13" t="str">
        <f>IF(tblSalaries[[#This Row],[Job Type]]=tblSalaries[[#Headers],[Accountant]],tblSalaries[[#This Row],[Salary in USD]],"")</f>
        <v/>
      </c>
      <c r="V603" s="13">
        <f>IF(tblSalaries[[#This Row],[Job Type]]=tblSalaries[[#Headers],[Analyst]],tblSalaries[[#This Row],[Salary in USD]],"")</f>
        <v>30000</v>
      </c>
      <c r="W603" s="13" t="str">
        <f>IF(tblSalaries[[#This Row],[Job Type]]=tblSalaries[[#Headers],[Consultant]],tblSalaries[[#This Row],[Salary in USD]],"")</f>
        <v/>
      </c>
      <c r="X603" s="13" t="str">
        <f>IF(tblSalaries[[#This Row],[Job Type]]=tblSalaries[[#Headers],[Controller]],tblSalaries[[#This Row],[Salary in USD]],"")</f>
        <v/>
      </c>
      <c r="Y603" s="13" t="str">
        <f>IF(tblSalaries[[#This Row],[Job Type]]=tblSalaries[[#Headers],[CXO or Top Mgmt.]],tblSalaries[[#This Row],[clean Salary (in local currency)]],"")</f>
        <v/>
      </c>
      <c r="Z603" s="13" t="str">
        <f>IF(tblSalaries[[#This Row],[Job Type]]=tblSalaries[[#Headers],[Engineer]],tblSalaries[[#This Row],[Salary in USD]],"")</f>
        <v/>
      </c>
      <c r="AA603" s="13" t="str">
        <f>IF(tblSalaries[[#This Row],[Job Type]]=tblSalaries[[#Headers],[Manager]],tblSalaries[[#This Row],[Salary in USD]],"")</f>
        <v/>
      </c>
      <c r="AB603" s="13" t="str">
        <f>IF(tblSalaries[[#This Row],[Job Type]]=tblSalaries[[#Headers],[Misc.]],tblSalaries[[#This Row],[Salary in USD]],"")</f>
        <v/>
      </c>
      <c r="AC603" s="13" t="str">
        <f>IF(tblSalaries[[#This Row],[Job Type]]=tblSalaries[[#Headers],[Reporting]],tblSalaries[[#This Row],[Salary in USD]],"")</f>
        <v/>
      </c>
      <c r="AD603" s="13" t="str">
        <f>IF(tblSalaries[[#This Row],[Job Type]]=tblSalaries[[#Headers],[Specialist]],tblSalaries[[#This Row],[Salary in USD]],"")</f>
        <v/>
      </c>
    </row>
    <row r="604" spans="2:30" ht="15" customHeight="1" x14ac:dyDescent="0.25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 s="9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  <c r="N604" t="str">
        <f>IF(tblSalaries[[#This Row],[Years of Experience]]="","",IF(tblSalaries[[#This Row],[Years of Experience]]&lt;=2,1,""))</f>
        <v/>
      </c>
      <c r="O604">
        <f>IF(tblSalaries[[#This Row],[Years of Experience]]="","",IF(AND(tblSalaries[[#This Row],[Years of Experience]]&gt;2,tblSalaries[[#This Row],[Years of Experience]]&lt;=5),1,""))</f>
        <v>1</v>
      </c>
      <c r="P604" t="str">
        <f>IF(tblSalaries[[#This Row],[Years of Experience]]="","",IF(AND(tblSalaries[[#This Row],[Years of Experience]]&gt;5,tblSalaries[[#This Row],[Years of Experience]]&lt;=10),1,""))</f>
        <v/>
      </c>
      <c r="Q604" t="str">
        <f>IF(tblSalaries[[#This Row],[Years of Experience]]="","",IF(AND(tblSalaries[[#This Row],[Years of Experience]]&gt;10,tblSalaries[[#This Row],[Years of Experience]]&lt;=15),1,""))</f>
        <v/>
      </c>
      <c r="R604" t="str">
        <f>IF(tblSalaries[[#This Row],[Years of Experience]]="","",IF(AND(tblSalaries[[#This Row],[Years of Experience]]&gt;16,tblSalaries[[#This Row],[Years of Experience]]&lt;=20),1,""))</f>
        <v/>
      </c>
      <c r="S604" t="str">
        <f>IF(tblSalaries[[#This Row],[Years of Experience]]="","",IF(tblSalaries[[#This Row],[Years of Experience]]&gt;20,1,""))</f>
        <v/>
      </c>
      <c r="T6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04" s="13" t="str">
        <f>IF(tblSalaries[[#This Row],[Job Type]]=tblSalaries[[#Headers],[Accountant]],tblSalaries[[#This Row],[Salary in USD]],"")</f>
        <v/>
      </c>
      <c r="V604" s="13">
        <f>IF(tblSalaries[[#This Row],[Job Type]]=tblSalaries[[#Headers],[Analyst]],tblSalaries[[#This Row],[Salary in USD]],"")</f>
        <v>7479.3250087258784</v>
      </c>
      <c r="W604" s="13" t="str">
        <f>IF(tblSalaries[[#This Row],[Job Type]]=tblSalaries[[#Headers],[Consultant]],tblSalaries[[#This Row],[Salary in USD]],"")</f>
        <v/>
      </c>
      <c r="X604" s="13" t="str">
        <f>IF(tblSalaries[[#This Row],[Job Type]]=tblSalaries[[#Headers],[Controller]],tblSalaries[[#This Row],[Salary in USD]],"")</f>
        <v/>
      </c>
      <c r="Y604" s="13" t="str">
        <f>IF(tblSalaries[[#This Row],[Job Type]]=tblSalaries[[#Headers],[CXO or Top Mgmt.]],tblSalaries[[#This Row],[clean Salary (in local currency)]],"")</f>
        <v/>
      </c>
      <c r="Z604" s="13" t="str">
        <f>IF(tblSalaries[[#This Row],[Job Type]]=tblSalaries[[#Headers],[Engineer]],tblSalaries[[#This Row],[Salary in USD]],"")</f>
        <v/>
      </c>
      <c r="AA604" s="13" t="str">
        <f>IF(tblSalaries[[#This Row],[Job Type]]=tblSalaries[[#Headers],[Manager]],tblSalaries[[#This Row],[Salary in USD]],"")</f>
        <v/>
      </c>
      <c r="AB604" s="13" t="str">
        <f>IF(tblSalaries[[#This Row],[Job Type]]=tblSalaries[[#Headers],[Misc.]],tblSalaries[[#This Row],[Salary in USD]],"")</f>
        <v/>
      </c>
      <c r="AC604" s="13" t="str">
        <f>IF(tblSalaries[[#This Row],[Job Type]]=tblSalaries[[#Headers],[Reporting]],tblSalaries[[#This Row],[Salary in USD]],"")</f>
        <v/>
      </c>
      <c r="AD604" s="13" t="str">
        <f>IF(tblSalaries[[#This Row],[Job Type]]=tblSalaries[[#Headers],[Specialist]],tblSalaries[[#This Row],[Salary in USD]],"")</f>
        <v/>
      </c>
    </row>
    <row r="605" spans="2:30" ht="15" customHeight="1" x14ac:dyDescent="0.25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 s="9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  <c r="N605" t="str">
        <f>IF(tblSalaries[[#This Row],[Years of Experience]]="","",IF(tblSalaries[[#This Row],[Years of Experience]]&lt;=2,1,""))</f>
        <v/>
      </c>
      <c r="O605">
        <f>IF(tblSalaries[[#This Row],[Years of Experience]]="","",IF(AND(tblSalaries[[#This Row],[Years of Experience]]&gt;2,tblSalaries[[#This Row],[Years of Experience]]&lt;=5),1,""))</f>
        <v>1</v>
      </c>
      <c r="P605" t="str">
        <f>IF(tblSalaries[[#This Row],[Years of Experience]]="","",IF(AND(tblSalaries[[#This Row],[Years of Experience]]&gt;5,tblSalaries[[#This Row],[Years of Experience]]&lt;=10),1,""))</f>
        <v/>
      </c>
      <c r="Q605" t="str">
        <f>IF(tblSalaries[[#This Row],[Years of Experience]]="","",IF(AND(tblSalaries[[#This Row],[Years of Experience]]&gt;10,tblSalaries[[#This Row],[Years of Experience]]&lt;=15),1,""))</f>
        <v/>
      </c>
      <c r="R605" t="str">
        <f>IF(tblSalaries[[#This Row],[Years of Experience]]="","",IF(AND(tblSalaries[[#This Row],[Years of Experience]]&gt;16,tblSalaries[[#This Row],[Years of Experience]]&lt;=20),1,""))</f>
        <v/>
      </c>
      <c r="S605" t="str">
        <f>IF(tblSalaries[[#This Row],[Years of Experience]]="","",IF(tblSalaries[[#This Row],[Years of Experience]]&gt;20,1,""))</f>
        <v/>
      </c>
      <c r="T6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05" s="13" t="str">
        <f>IF(tblSalaries[[#This Row],[Job Type]]=tblSalaries[[#Headers],[Accountant]],tblSalaries[[#This Row],[Salary in USD]],"")</f>
        <v/>
      </c>
      <c r="V605" s="13" t="str">
        <f>IF(tblSalaries[[#This Row],[Job Type]]=tblSalaries[[#Headers],[Analyst]],tblSalaries[[#This Row],[Salary in USD]],"")</f>
        <v/>
      </c>
      <c r="W605" s="13" t="str">
        <f>IF(tblSalaries[[#This Row],[Job Type]]=tblSalaries[[#Headers],[Consultant]],tblSalaries[[#This Row],[Salary in USD]],"")</f>
        <v/>
      </c>
      <c r="X605" s="13" t="str">
        <f>IF(tblSalaries[[#This Row],[Job Type]]=tblSalaries[[#Headers],[Controller]],tblSalaries[[#This Row],[Salary in USD]],"")</f>
        <v/>
      </c>
      <c r="Y605" s="13" t="str">
        <f>IF(tblSalaries[[#This Row],[Job Type]]=tblSalaries[[#Headers],[CXO or Top Mgmt.]],tblSalaries[[#This Row],[clean Salary (in local currency)]],"")</f>
        <v/>
      </c>
      <c r="Z605" s="13" t="str">
        <f>IF(tblSalaries[[#This Row],[Job Type]]=tblSalaries[[#Headers],[Engineer]],tblSalaries[[#This Row],[Salary in USD]],"")</f>
        <v/>
      </c>
      <c r="AA605" s="13">
        <f>IF(tblSalaries[[#This Row],[Job Type]]=tblSalaries[[#Headers],[Manager]],tblSalaries[[#This Row],[Salary in USD]],"")</f>
        <v>61000</v>
      </c>
      <c r="AB605" s="13" t="str">
        <f>IF(tblSalaries[[#This Row],[Job Type]]=tblSalaries[[#Headers],[Misc.]],tblSalaries[[#This Row],[Salary in USD]],"")</f>
        <v/>
      </c>
      <c r="AC605" s="13" t="str">
        <f>IF(tblSalaries[[#This Row],[Job Type]]=tblSalaries[[#Headers],[Reporting]],tblSalaries[[#This Row],[Salary in USD]],"")</f>
        <v/>
      </c>
      <c r="AD605" s="13" t="str">
        <f>IF(tblSalaries[[#This Row],[Job Type]]=tblSalaries[[#Headers],[Specialist]],tblSalaries[[#This Row],[Salary in USD]],"")</f>
        <v/>
      </c>
    </row>
    <row r="606" spans="2:30" ht="15" customHeight="1" x14ac:dyDescent="0.25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 s="9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  <c r="N606" t="str">
        <f>IF(tblSalaries[[#This Row],[Years of Experience]]="","",IF(tblSalaries[[#This Row],[Years of Experience]]&lt;=2,1,""))</f>
        <v/>
      </c>
      <c r="O606" t="str">
        <f>IF(tblSalaries[[#This Row],[Years of Experience]]="","",IF(AND(tblSalaries[[#This Row],[Years of Experience]]&gt;2,tblSalaries[[#This Row],[Years of Experience]]&lt;=5),1,""))</f>
        <v/>
      </c>
      <c r="P606" t="str">
        <f>IF(tblSalaries[[#This Row],[Years of Experience]]="","",IF(AND(tblSalaries[[#This Row],[Years of Experience]]&gt;5,tblSalaries[[#This Row],[Years of Experience]]&lt;=10),1,""))</f>
        <v/>
      </c>
      <c r="Q606" t="str">
        <f>IF(tblSalaries[[#This Row],[Years of Experience]]="","",IF(AND(tblSalaries[[#This Row],[Years of Experience]]&gt;10,tblSalaries[[#This Row],[Years of Experience]]&lt;=15),1,""))</f>
        <v/>
      </c>
      <c r="R606">
        <f>IF(tblSalaries[[#This Row],[Years of Experience]]="","",IF(AND(tblSalaries[[#This Row],[Years of Experience]]&gt;16,tblSalaries[[#This Row],[Years of Experience]]&lt;=20),1,""))</f>
        <v>1</v>
      </c>
      <c r="S606" t="str">
        <f>IF(tblSalaries[[#This Row],[Years of Experience]]="","",IF(tblSalaries[[#This Row],[Years of Experience]]&gt;20,1,""))</f>
        <v/>
      </c>
      <c r="T6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06" s="13" t="str">
        <f>IF(tblSalaries[[#This Row],[Job Type]]=tblSalaries[[#Headers],[Accountant]],tblSalaries[[#This Row],[Salary in USD]],"")</f>
        <v/>
      </c>
      <c r="V606" s="13" t="str">
        <f>IF(tblSalaries[[#This Row],[Job Type]]=tblSalaries[[#Headers],[Analyst]],tblSalaries[[#This Row],[Salary in USD]],"")</f>
        <v/>
      </c>
      <c r="W606" s="13" t="str">
        <f>IF(tblSalaries[[#This Row],[Job Type]]=tblSalaries[[#Headers],[Consultant]],tblSalaries[[#This Row],[Salary in USD]],"")</f>
        <v/>
      </c>
      <c r="X606" s="13">
        <f>IF(tblSalaries[[#This Row],[Job Type]]=tblSalaries[[#Headers],[Controller]],tblSalaries[[#This Row],[Salary in USD]],"")</f>
        <v>13800</v>
      </c>
      <c r="Y606" s="13" t="str">
        <f>IF(tblSalaries[[#This Row],[Job Type]]=tblSalaries[[#Headers],[CXO or Top Mgmt.]],tblSalaries[[#This Row],[clean Salary (in local currency)]],"")</f>
        <v/>
      </c>
      <c r="Z606" s="13" t="str">
        <f>IF(tblSalaries[[#This Row],[Job Type]]=tblSalaries[[#Headers],[Engineer]],tblSalaries[[#This Row],[Salary in USD]],"")</f>
        <v/>
      </c>
      <c r="AA606" s="13" t="str">
        <f>IF(tblSalaries[[#This Row],[Job Type]]=tblSalaries[[#Headers],[Manager]],tblSalaries[[#This Row],[Salary in USD]],"")</f>
        <v/>
      </c>
      <c r="AB606" s="13" t="str">
        <f>IF(tblSalaries[[#This Row],[Job Type]]=tblSalaries[[#Headers],[Misc.]],tblSalaries[[#This Row],[Salary in USD]],"")</f>
        <v/>
      </c>
      <c r="AC606" s="13" t="str">
        <f>IF(tblSalaries[[#This Row],[Job Type]]=tblSalaries[[#Headers],[Reporting]],tblSalaries[[#This Row],[Salary in USD]],"")</f>
        <v/>
      </c>
      <c r="AD606" s="13" t="str">
        <f>IF(tblSalaries[[#This Row],[Job Type]]=tblSalaries[[#Headers],[Specialist]],tblSalaries[[#This Row],[Salary in USD]],"")</f>
        <v/>
      </c>
    </row>
    <row r="607" spans="2:30" ht="15" customHeight="1" x14ac:dyDescent="0.25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 s="9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  <c r="N607" t="str">
        <f>IF(tblSalaries[[#This Row],[Years of Experience]]="","",IF(tblSalaries[[#This Row],[Years of Experience]]&lt;=2,1,""))</f>
        <v/>
      </c>
      <c r="O607" t="str">
        <f>IF(tblSalaries[[#This Row],[Years of Experience]]="","",IF(AND(tblSalaries[[#This Row],[Years of Experience]]&gt;2,tblSalaries[[#This Row],[Years of Experience]]&lt;=5),1,""))</f>
        <v/>
      </c>
      <c r="P607">
        <f>IF(tblSalaries[[#This Row],[Years of Experience]]="","",IF(AND(tblSalaries[[#This Row],[Years of Experience]]&gt;5,tblSalaries[[#This Row],[Years of Experience]]&lt;=10),1,""))</f>
        <v>1</v>
      </c>
      <c r="Q607" t="str">
        <f>IF(tblSalaries[[#This Row],[Years of Experience]]="","",IF(AND(tblSalaries[[#This Row],[Years of Experience]]&gt;10,tblSalaries[[#This Row],[Years of Experience]]&lt;=15),1,""))</f>
        <v/>
      </c>
      <c r="R607" t="str">
        <f>IF(tblSalaries[[#This Row],[Years of Experience]]="","",IF(AND(tblSalaries[[#This Row],[Years of Experience]]&gt;16,tblSalaries[[#This Row],[Years of Experience]]&lt;=20),1,""))</f>
        <v/>
      </c>
      <c r="S607" t="str">
        <f>IF(tblSalaries[[#This Row],[Years of Experience]]="","",IF(tblSalaries[[#This Row],[Years of Experience]]&gt;20,1,""))</f>
        <v/>
      </c>
      <c r="T6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07" s="13" t="str">
        <f>IF(tblSalaries[[#This Row],[Job Type]]=tblSalaries[[#Headers],[Accountant]],tblSalaries[[#This Row],[Salary in USD]],"")</f>
        <v/>
      </c>
      <c r="V607" s="13">
        <f>IF(tblSalaries[[#This Row],[Job Type]]=tblSalaries[[#Headers],[Analyst]],tblSalaries[[#This Row],[Salary in USD]],"")</f>
        <v>15136.729184326183</v>
      </c>
      <c r="W607" s="13" t="str">
        <f>IF(tblSalaries[[#This Row],[Job Type]]=tblSalaries[[#Headers],[Consultant]],tblSalaries[[#This Row],[Salary in USD]],"")</f>
        <v/>
      </c>
      <c r="X607" s="13" t="str">
        <f>IF(tblSalaries[[#This Row],[Job Type]]=tblSalaries[[#Headers],[Controller]],tblSalaries[[#This Row],[Salary in USD]],"")</f>
        <v/>
      </c>
      <c r="Y607" s="13" t="str">
        <f>IF(tblSalaries[[#This Row],[Job Type]]=tblSalaries[[#Headers],[CXO or Top Mgmt.]],tblSalaries[[#This Row],[clean Salary (in local currency)]],"")</f>
        <v/>
      </c>
      <c r="Z607" s="13" t="str">
        <f>IF(tblSalaries[[#This Row],[Job Type]]=tblSalaries[[#Headers],[Engineer]],tblSalaries[[#This Row],[Salary in USD]],"")</f>
        <v/>
      </c>
      <c r="AA607" s="13" t="str">
        <f>IF(tblSalaries[[#This Row],[Job Type]]=tblSalaries[[#Headers],[Manager]],tblSalaries[[#This Row],[Salary in USD]],"")</f>
        <v/>
      </c>
      <c r="AB607" s="13" t="str">
        <f>IF(tblSalaries[[#This Row],[Job Type]]=tblSalaries[[#Headers],[Misc.]],tblSalaries[[#This Row],[Salary in USD]],"")</f>
        <v/>
      </c>
      <c r="AC607" s="13" t="str">
        <f>IF(tblSalaries[[#This Row],[Job Type]]=tblSalaries[[#Headers],[Reporting]],tblSalaries[[#This Row],[Salary in USD]],"")</f>
        <v/>
      </c>
      <c r="AD607" s="13" t="str">
        <f>IF(tblSalaries[[#This Row],[Job Type]]=tblSalaries[[#Headers],[Specialist]],tblSalaries[[#This Row],[Salary in USD]],"")</f>
        <v/>
      </c>
    </row>
    <row r="608" spans="2:30" ht="15" customHeight="1" x14ac:dyDescent="0.25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 s="9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  <c r="N608" t="str">
        <f>IF(tblSalaries[[#This Row],[Years of Experience]]="","",IF(tblSalaries[[#This Row],[Years of Experience]]&lt;=2,1,""))</f>
        <v/>
      </c>
      <c r="O608" t="str">
        <f>IF(tblSalaries[[#This Row],[Years of Experience]]="","",IF(AND(tblSalaries[[#This Row],[Years of Experience]]&gt;2,tblSalaries[[#This Row],[Years of Experience]]&lt;=5),1,""))</f>
        <v/>
      </c>
      <c r="P608">
        <f>IF(tblSalaries[[#This Row],[Years of Experience]]="","",IF(AND(tblSalaries[[#This Row],[Years of Experience]]&gt;5,tblSalaries[[#This Row],[Years of Experience]]&lt;=10),1,""))</f>
        <v>1</v>
      </c>
      <c r="Q608" t="str">
        <f>IF(tblSalaries[[#This Row],[Years of Experience]]="","",IF(AND(tblSalaries[[#This Row],[Years of Experience]]&gt;10,tblSalaries[[#This Row],[Years of Experience]]&lt;=15),1,""))</f>
        <v/>
      </c>
      <c r="R608" t="str">
        <f>IF(tblSalaries[[#This Row],[Years of Experience]]="","",IF(AND(tblSalaries[[#This Row],[Years of Experience]]&gt;16,tblSalaries[[#This Row],[Years of Experience]]&lt;=20),1,""))</f>
        <v/>
      </c>
      <c r="S608" t="str">
        <f>IF(tblSalaries[[#This Row],[Years of Experience]]="","",IF(tblSalaries[[#This Row],[Years of Experience]]&gt;20,1,""))</f>
        <v/>
      </c>
      <c r="T6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08" s="13" t="str">
        <f>IF(tblSalaries[[#This Row],[Job Type]]=tblSalaries[[#Headers],[Accountant]],tblSalaries[[#This Row],[Salary in USD]],"")</f>
        <v/>
      </c>
      <c r="V608" s="13" t="str">
        <f>IF(tblSalaries[[#This Row],[Job Type]]=tblSalaries[[#Headers],[Analyst]],tblSalaries[[#This Row],[Salary in USD]],"")</f>
        <v/>
      </c>
      <c r="W608" s="13" t="str">
        <f>IF(tblSalaries[[#This Row],[Job Type]]=tblSalaries[[#Headers],[Consultant]],tblSalaries[[#This Row],[Salary in USD]],"")</f>
        <v/>
      </c>
      <c r="X608" s="13" t="str">
        <f>IF(tblSalaries[[#This Row],[Job Type]]=tblSalaries[[#Headers],[Controller]],tblSalaries[[#This Row],[Salary in USD]],"")</f>
        <v/>
      </c>
      <c r="Y608" s="13" t="str">
        <f>IF(tblSalaries[[#This Row],[Job Type]]=tblSalaries[[#Headers],[CXO or Top Mgmt.]],tblSalaries[[#This Row],[clean Salary (in local currency)]],"")</f>
        <v/>
      </c>
      <c r="Z608" s="13" t="str">
        <f>IF(tblSalaries[[#This Row],[Job Type]]=tblSalaries[[#Headers],[Engineer]],tblSalaries[[#This Row],[Salary in USD]],"")</f>
        <v/>
      </c>
      <c r="AA608" s="13">
        <f>IF(tblSalaries[[#This Row],[Job Type]]=tblSalaries[[#Headers],[Manager]],tblSalaries[[#This Row],[Salary in USD]],"")</f>
        <v>32054.250037396621</v>
      </c>
      <c r="AB608" s="13" t="str">
        <f>IF(tblSalaries[[#This Row],[Job Type]]=tblSalaries[[#Headers],[Misc.]],tblSalaries[[#This Row],[Salary in USD]],"")</f>
        <v/>
      </c>
      <c r="AC608" s="13" t="str">
        <f>IF(tblSalaries[[#This Row],[Job Type]]=tblSalaries[[#Headers],[Reporting]],tblSalaries[[#This Row],[Salary in USD]],"")</f>
        <v/>
      </c>
      <c r="AD608" s="13" t="str">
        <f>IF(tblSalaries[[#This Row],[Job Type]]=tblSalaries[[#Headers],[Specialist]],tblSalaries[[#This Row],[Salary in USD]],"")</f>
        <v/>
      </c>
    </row>
    <row r="609" spans="2:30" ht="15" customHeight="1" x14ac:dyDescent="0.25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 s="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  <c r="N609" t="str">
        <f>IF(tblSalaries[[#This Row],[Years of Experience]]="","",IF(tblSalaries[[#This Row],[Years of Experience]]&lt;=2,1,""))</f>
        <v/>
      </c>
      <c r="O609" t="str">
        <f>IF(tblSalaries[[#This Row],[Years of Experience]]="","",IF(AND(tblSalaries[[#This Row],[Years of Experience]]&gt;2,tblSalaries[[#This Row],[Years of Experience]]&lt;=5),1,""))</f>
        <v/>
      </c>
      <c r="P609" t="str">
        <f>IF(tblSalaries[[#This Row],[Years of Experience]]="","",IF(AND(tblSalaries[[#This Row],[Years of Experience]]&gt;5,tblSalaries[[#This Row],[Years of Experience]]&lt;=10),1,""))</f>
        <v/>
      </c>
      <c r="Q609">
        <f>IF(tblSalaries[[#This Row],[Years of Experience]]="","",IF(AND(tblSalaries[[#This Row],[Years of Experience]]&gt;10,tblSalaries[[#This Row],[Years of Experience]]&lt;=15),1,""))</f>
        <v>1</v>
      </c>
      <c r="R609" t="str">
        <f>IF(tblSalaries[[#This Row],[Years of Experience]]="","",IF(AND(tblSalaries[[#This Row],[Years of Experience]]&gt;16,tblSalaries[[#This Row],[Years of Experience]]&lt;=20),1,""))</f>
        <v/>
      </c>
      <c r="S609" t="str">
        <f>IF(tblSalaries[[#This Row],[Years of Experience]]="","",IF(tblSalaries[[#This Row],[Years of Experience]]&gt;20,1,""))</f>
        <v/>
      </c>
      <c r="T6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09" s="13" t="str">
        <f>IF(tblSalaries[[#This Row],[Job Type]]=tblSalaries[[#Headers],[Accountant]],tblSalaries[[#This Row],[Salary in USD]],"")</f>
        <v/>
      </c>
      <c r="V609" s="13" t="str">
        <f>IF(tblSalaries[[#This Row],[Job Type]]=tblSalaries[[#Headers],[Analyst]],tblSalaries[[#This Row],[Salary in USD]],"")</f>
        <v/>
      </c>
      <c r="W609" s="13" t="str">
        <f>IF(tblSalaries[[#This Row],[Job Type]]=tblSalaries[[#Headers],[Consultant]],tblSalaries[[#This Row],[Salary in USD]],"")</f>
        <v/>
      </c>
      <c r="X609" s="13">
        <f>IF(tblSalaries[[#This Row],[Job Type]]=tblSalaries[[#Headers],[Controller]],tblSalaries[[#This Row],[Salary in USD]],"")</f>
        <v>80000</v>
      </c>
      <c r="Y609" s="13" t="str">
        <f>IF(tblSalaries[[#This Row],[Job Type]]=tblSalaries[[#Headers],[CXO or Top Mgmt.]],tblSalaries[[#This Row],[clean Salary (in local currency)]],"")</f>
        <v/>
      </c>
      <c r="Z609" s="13" t="str">
        <f>IF(tblSalaries[[#This Row],[Job Type]]=tblSalaries[[#Headers],[Engineer]],tblSalaries[[#This Row],[Salary in USD]],"")</f>
        <v/>
      </c>
      <c r="AA609" s="13" t="str">
        <f>IF(tblSalaries[[#This Row],[Job Type]]=tblSalaries[[#Headers],[Manager]],tblSalaries[[#This Row],[Salary in USD]],"")</f>
        <v/>
      </c>
      <c r="AB609" s="13" t="str">
        <f>IF(tblSalaries[[#This Row],[Job Type]]=tblSalaries[[#Headers],[Misc.]],tblSalaries[[#This Row],[Salary in USD]],"")</f>
        <v/>
      </c>
      <c r="AC609" s="13" t="str">
        <f>IF(tblSalaries[[#This Row],[Job Type]]=tblSalaries[[#Headers],[Reporting]],tblSalaries[[#This Row],[Salary in USD]],"")</f>
        <v/>
      </c>
      <c r="AD609" s="13" t="str">
        <f>IF(tblSalaries[[#This Row],[Job Type]]=tblSalaries[[#Headers],[Specialist]],tblSalaries[[#This Row],[Salary in USD]],"")</f>
        <v/>
      </c>
    </row>
    <row r="610" spans="2:30" ht="15" customHeight="1" x14ac:dyDescent="0.25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 s="9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  <c r="N610" t="str">
        <f>IF(tblSalaries[[#This Row],[Years of Experience]]="","",IF(tblSalaries[[#This Row],[Years of Experience]]&lt;=2,1,""))</f>
        <v/>
      </c>
      <c r="O610" t="str">
        <f>IF(tblSalaries[[#This Row],[Years of Experience]]="","",IF(AND(tblSalaries[[#This Row],[Years of Experience]]&gt;2,tblSalaries[[#This Row],[Years of Experience]]&lt;=5),1,""))</f>
        <v/>
      </c>
      <c r="P610" t="str">
        <f>IF(tblSalaries[[#This Row],[Years of Experience]]="","",IF(AND(tblSalaries[[#This Row],[Years of Experience]]&gt;5,tblSalaries[[#This Row],[Years of Experience]]&lt;=10),1,""))</f>
        <v/>
      </c>
      <c r="Q610" t="str">
        <f>IF(tblSalaries[[#This Row],[Years of Experience]]="","",IF(AND(tblSalaries[[#This Row],[Years of Experience]]&gt;10,tblSalaries[[#This Row],[Years of Experience]]&lt;=15),1,""))</f>
        <v/>
      </c>
      <c r="R610" t="str">
        <f>IF(tblSalaries[[#This Row],[Years of Experience]]="","",IF(AND(tblSalaries[[#This Row],[Years of Experience]]&gt;16,tblSalaries[[#This Row],[Years of Experience]]&lt;=20),1,""))</f>
        <v/>
      </c>
      <c r="S610">
        <f>IF(tblSalaries[[#This Row],[Years of Experience]]="","",IF(tblSalaries[[#This Row],[Years of Experience]]&gt;20,1,""))</f>
        <v>1</v>
      </c>
      <c r="T6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610" s="13" t="str">
        <f>IF(tblSalaries[[#This Row],[Job Type]]=tblSalaries[[#Headers],[Accountant]],tblSalaries[[#This Row],[Salary in USD]],"")</f>
        <v/>
      </c>
      <c r="V610" s="13" t="str">
        <f>IF(tblSalaries[[#This Row],[Job Type]]=tblSalaries[[#Headers],[Analyst]],tblSalaries[[#This Row],[Salary in USD]],"")</f>
        <v/>
      </c>
      <c r="W610" s="13" t="str">
        <f>IF(tblSalaries[[#This Row],[Job Type]]=tblSalaries[[#Headers],[Consultant]],tblSalaries[[#This Row],[Salary in USD]],"")</f>
        <v/>
      </c>
      <c r="X610" s="13" t="str">
        <f>IF(tblSalaries[[#This Row],[Job Type]]=tblSalaries[[#Headers],[Controller]],tblSalaries[[#This Row],[Salary in USD]],"")</f>
        <v/>
      </c>
      <c r="Y610" s="13" t="str">
        <f>IF(tblSalaries[[#This Row],[Job Type]]=tblSalaries[[#Headers],[CXO or Top Mgmt.]],tblSalaries[[#This Row],[clean Salary (in local currency)]],"")</f>
        <v/>
      </c>
      <c r="Z610" s="13" t="str">
        <f>IF(tblSalaries[[#This Row],[Job Type]]=tblSalaries[[#Headers],[Engineer]],tblSalaries[[#This Row],[Salary in USD]],"")</f>
        <v/>
      </c>
      <c r="AA610" s="13">
        <f>IF(tblSalaries[[#This Row],[Job Type]]=tblSalaries[[#Headers],[Manager]],tblSalaries[[#This Row],[Salary in USD]],"")</f>
        <v>21000</v>
      </c>
      <c r="AB610" s="13" t="str">
        <f>IF(tblSalaries[[#This Row],[Job Type]]=tblSalaries[[#Headers],[Misc.]],tblSalaries[[#This Row],[Salary in USD]],"")</f>
        <v/>
      </c>
      <c r="AC610" s="13" t="str">
        <f>IF(tblSalaries[[#This Row],[Job Type]]=tblSalaries[[#Headers],[Reporting]],tblSalaries[[#This Row],[Salary in USD]],"")</f>
        <v/>
      </c>
      <c r="AD610" s="13" t="str">
        <f>IF(tblSalaries[[#This Row],[Job Type]]=tblSalaries[[#Headers],[Specialist]],tblSalaries[[#This Row],[Salary in USD]],"")</f>
        <v/>
      </c>
    </row>
    <row r="611" spans="2:30" ht="15" customHeight="1" x14ac:dyDescent="0.25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 s="9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  <c r="N611" t="str">
        <f>IF(tblSalaries[[#This Row],[Years of Experience]]="","",IF(tblSalaries[[#This Row],[Years of Experience]]&lt;=2,1,""))</f>
        <v/>
      </c>
      <c r="O611" t="str">
        <f>IF(tblSalaries[[#This Row],[Years of Experience]]="","",IF(AND(tblSalaries[[#This Row],[Years of Experience]]&gt;2,tblSalaries[[#This Row],[Years of Experience]]&lt;=5),1,""))</f>
        <v/>
      </c>
      <c r="P611" t="str">
        <f>IF(tblSalaries[[#This Row],[Years of Experience]]="","",IF(AND(tblSalaries[[#This Row],[Years of Experience]]&gt;5,tblSalaries[[#This Row],[Years of Experience]]&lt;=10),1,""))</f>
        <v/>
      </c>
      <c r="Q611" t="str">
        <f>IF(tblSalaries[[#This Row],[Years of Experience]]="","",IF(AND(tblSalaries[[#This Row],[Years of Experience]]&gt;10,tblSalaries[[#This Row],[Years of Experience]]&lt;=15),1,""))</f>
        <v/>
      </c>
      <c r="R611" t="str">
        <f>IF(tblSalaries[[#This Row],[Years of Experience]]="","",IF(AND(tblSalaries[[#This Row],[Years of Experience]]&gt;16,tblSalaries[[#This Row],[Years of Experience]]&lt;=20),1,""))</f>
        <v/>
      </c>
      <c r="S611">
        <f>IF(tblSalaries[[#This Row],[Years of Experience]]="","",IF(tblSalaries[[#This Row],[Years of Experience]]&gt;20,1,""))</f>
        <v>1</v>
      </c>
      <c r="T6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611" s="13" t="str">
        <f>IF(tblSalaries[[#This Row],[Job Type]]=tblSalaries[[#Headers],[Accountant]],tblSalaries[[#This Row],[Salary in USD]],"")</f>
        <v/>
      </c>
      <c r="V611" s="13">
        <f>IF(tblSalaries[[#This Row],[Job Type]]=tblSalaries[[#Headers],[Analyst]],tblSalaries[[#This Row],[Salary in USD]],"")</f>
        <v>245840.3807575817</v>
      </c>
      <c r="W611" s="13" t="str">
        <f>IF(tblSalaries[[#This Row],[Job Type]]=tblSalaries[[#Headers],[Consultant]],tblSalaries[[#This Row],[Salary in USD]],"")</f>
        <v/>
      </c>
      <c r="X611" s="13" t="str">
        <f>IF(tblSalaries[[#This Row],[Job Type]]=tblSalaries[[#Headers],[Controller]],tblSalaries[[#This Row],[Salary in USD]],"")</f>
        <v/>
      </c>
      <c r="Y611" s="13" t="str">
        <f>IF(tblSalaries[[#This Row],[Job Type]]=tblSalaries[[#Headers],[CXO or Top Mgmt.]],tblSalaries[[#This Row],[clean Salary (in local currency)]],"")</f>
        <v/>
      </c>
      <c r="Z611" s="13" t="str">
        <f>IF(tblSalaries[[#This Row],[Job Type]]=tblSalaries[[#Headers],[Engineer]],tblSalaries[[#This Row],[Salary in USD]],"")</f>
        <v/>
      </c>
      <c r="AA611" s="13" t="str">
        <f>IF(tblSalaries[[#This Row],[Job Type]]=tblSalaries[[#Headers],[Manager]],tblSalaries[[#This Row],[Salary in USD]],"")</f>
        <v/>
      </c>
      <c r="AB611" s="13" t="str">
        <f>IF(tblSalaries[[#This Row],[Job Type]]=tblSalaries[[#Headers],[Misc.]],tblSalaries[[#This Row],[Salary in USD]],"")</f>
        <v/>
      </c>
      <c r="AC611" s="13" t="str">
        <f>IF(tblSalaries[[#This Row],[Job Type]]=tblSalaries[[#Headers],[Reporting]],tblSalaries[[#This Row],[Salary in USD]],"")</f>
        <v/>
      </c>
      <c r="AD611" s="13" t="str">
        <f>IF(tblSalaries[[#This Row],[Job Type]]=tblSalaries[[#Headers],[Specialist]],tblSalaries[[#This Row],[Salary in USD]],"")</f>
        <v/>
      </c>
    </row>
    <row r="612" spans="2:30" ht="15" customHeight="1" x14ac:dyDescent="0.25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 s="9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3999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  <c r="N612" t="str">
        <f>IF(tblSalaries[[#This Row],[Years of Experience]]="","",IF(tblSalaries[[#This Row],[Years of Experience]]&lt;=2,1,""))</f>
        <v/>
      </c>
      <c r="O612">
        <f>IF(tblSalaries[[#This Row],[Years of Experience]]="","",IF(AND(tblSalaries[[#This Row],[Years of Experience]]&gt;2,tblSalaries[[#This Row],[Years of Experience]]&lt;=5),1,""))</f>
        <v>1</v>
      </c>
      <c r="P612" t="str">
        <f>IF(tblSalaries[[#This Row],[Years of Experience]]="","",IF(AND(tblSalaries[[#This Row],[Years of Experience]]&gt;5,tblSalaries[[#This Row],[Years of Experience]]&lt;=10),1,""))</f>
        <v/>
      </c>
      <c r="Q612" t="str">
        <f>IF(tblSalaries[[#This Row],[Years of Experience]]="","",IF(AND(tblSalaries[[#This Row],[Years of Experience]]&gt;10,tblSalaries[[#This Row],[Years of Experience]]&lt;=15),1,""))</f>
        <v/>
      </c>
      <c r="R612" t="str">
        <f>IF(tblSalaries[[#This Row],[Years of Experience]]="","",IF(AND(tblSalaries[[#This Row],[Years of Experience]]&gt;16,tblSalaries[[#This Row],[Years of Experience]]&lt;=20),1,""))</f>
        <v/>
      </c>
      <c r="S612" t="str">
        <f>IF(tblSalaries[[#This Row],[Years of Experience]]="","",IF(tblSalaries[[#This Row],[Years of Experience]]&gt;20,1,""))</f>
        <v/>
      </c>
      <c r="T6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12" s="13" t="str">
        <f>IF(tblSalaries[[#This Row],[Job Type]]=tblSalaries[[#Headers],[Accountant]],tblSalaries[[#This Row],[Salary in USD]],"")</f>
        <v/>
      </c>
      <c r="V612" s="13" t="str">
        <f>IF(tblSalaries[[#This Row],[Job Type]]=tblSalaries[[#Headers],[Analyst]],tblSalaries[[#This Row],[Salary in USD]],"")</f>
        <v/>
      </c>
      <c r="W612" s="13" t="str">
        <f>IF(tblSalaries[[#This Row],[Job Type]]=tblSalaries[[#Headers],[Consultant]],tblSalaries[[#This Row],[Salary in USD]],"")</f>
        <v/>
      </c>
      <c r="X612" s="13" t="str">
        <f>IF(tblSalaries[[#This Row],[Job Type]]=tblSalaries[[#Headers],[Controller]],tblSalaries[[#This Row],[Salary in USD]],"")</f>
        <v/>
      </c>
      <c r="Y612" s="13" t="str">
        <f>IF(tblSalaries[[#This Row],[Job Type]]=tblSalaries[[#Headers],[CXO or Top Mgmt.]],tblSalaries[[#This Row],[clean Salary (in local currency)]],"")</f>
        <v/>
      </c>
      <c r="Z612" s="13" t="str">
        <f>IF(tblSalaries[[#This Row],[Job Type]]=tblSalaries[[#Headers],[Engineer]],tblSalaries[[#This Row],[Salary in USD]],"")</f>
        <v/>
      </c>
      <c r="AA612" s="13" t="str">
        <f>IF(tblSalaries[[#This Row],[Job Type]]=tblSalaries[[#Headers],[Manager]],tblSalaries[[#This Row],[Salary in USD]],"")</f>
        <v/>
      </c>
      <c r="AB612" s="13" t="str">
        <f>IF(tblSalaries[[#This Row],[Job Type]]=tblSalaries[[#Headers],[Misc.]],tblSalaries[[#This Row],[Salary in USD]],"")</f>
        <v/>
      </c>
      <c r="AC612" s="13">
        <f>IF(tblSalaries[[#This Row],[Job Type]]=tblSalaries[[#Headers],[Reporting]],tblSalaries[[#This Row],[Salary in USD]],"")</f>
        <v>2849.2666699908109</v>
      </c>
      <c r="AD612" s="13" t="str">
        <f>IF(tblSalaries[[#This Row],[Job Type]]=tblSalaries[[#Headers],[Specialist]],tblSalaries[[#This Row],[Salary in USD]],"")</f>
        <v/>
      </c>
    </row>
    <row r="613" spans="2:30" ht="15" customHeight="1" x14ac:dyDescent="0.25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 s="9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  <c r="N613" t="str">
        <f>IF(tblSalaries[[#This Row],[Years of Experience]]="","",IF(tblSalaries[[#This Row],[Years of Experience]]&lt;=2,1,""))</f>
        <v/>
      </c>
      <c r="O613" t="str">
        <f>IF(tblSalaries[[#This Row],[Years of Experience]]="","",IF(AND(tblSalaries[[#This Row],[Years of Experience]]&gt;2,tblSalaries[[#This Row],[Years of Experience]]&lt;=5),1,""))</f>
        <v/>
      </c>
      <c r="P613" t="str">
        <f>IF(tblSalaries[[#This Row],[Years of Experience]]="","",IF(AND(tblSalaries[[#This Row],[Years of Experience]]&gt;5,tblSalaries[[#This Row],[Years of Experience]]&lt;=10),1,""))</f>
        <v/>
      </c>
      <c r="Q613" t="str">
        <f>IF(tblSalaries[[#This Row],[Years of Experience]]="","",IF(AND(tblSalaries[[#This Row],[Years of Experience]]&gt;10,tblSalaries[[#This Row],[Years of Experience]]&lt;=15),1,""))</f>
        <v/>
      </c>
      <c r="R613" t="str">
        <f>IF(tblSalaries[[#This Row],[Years of Experience]]="","",IF(AND(tblSalaries[[#This Row],[Years of Experience]]&gt;16,tblSalaries[[#This Row],[Years of Experience]]&lt;=20),1,""))</f>
        <v/>
      </c>
      <c r="S613">
        <f>IF(tblSalaries[[#This Row],[Years of Experience]]="","",IF(tblSalaries[[#This Row],[Years of Experience]]&gt;20,1,""))</f>
        <v>1</v>
      </c>
      <c r="T6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613" s="13" t="str">
        <f>IF(tblSalaries[[#This Row],[Job Type]]=tblSalaries[[#Headers],[Accountant]],tblSalaries[[#This Row],[Salary in USD]],"")</f>
        <v/>
      </c>
      <c r="V613" s="13" t="str">
        <f>IF(tblSalaries[[#This Row],[Job Type]]=tblSalaries[[#Headers],[Analyst]],tblSalaries[[#This Row],[Salary in USD]],"")</f>
        <v/>
      </c>
      <c r="W613" s="13" t="str">
        <f>IF(tblSalaries[[#This Row],[Job Type]]=tblSalaries[[#Headers],[Consultant]],tblSalaries[[#This Row],[Salary in USD]],"")</f>
        <v/>
      </c>
      <c r="X613" s="13" t="str">
        <f>IF(tblSalaries[[#This Row],[Job Type]]=tblSalaries[[#Headers],[Controller]],tblSalaries[[#This Row],[Salary in USD]],"")</f>
        <v/>
      </c>
      <c r="Y613" s="13" t="str">
        <f>IF(tblSalaries[[#This Row],[Job Type]]=tblSalaries[[#Headers],[CXO or Top Mgmt.]],tblSalaries[[#This Row],[clean Salary (in local currency)]],"")</f>
        <v/>
      </c>
      <c r="Z613" s="13" t="str">
        <f>IF(tblSalaries[[#This Row],[Job Type]]=tblSalaries[[#Headers],[Engineer]],tblSalaries[[#This Row],[Salary in USD]],"")</f>
        <v/>
      </c>
      <c r="AA613" s="13">
        <f>IF(tblSalaries[[#This Row],[Job Type]]=tblSalaries[[#Headers],[Manager]],tblSalaries[[#This Row],[Salary in USD]],"")</f>
        <v>8400</v>
      </c>
      <c r="AB613" s="13" t="str">
        <f>IF(tblSalaries[[#This Row],[Job Type]]=tblSalaries[[#Headers],[Misc.]],tblSalaries[[#This Row],[Salary in USD]],"")</f>
        <v/>
      </c>
      <c r="AC613" s="13" t="str">
        <f>IF(tblSalaries[[#This Row],[Job Type]]=tblSalaries[[#Headers],[Reporting]],tblSalaries[[#This Row],[Salary in USD]],"")</f>
        <v/>
      </c>
      <c r="AD613" s="13" t="str">
        <f>IF(tblSalaries[[#This Row],[Job Type]]=tblSalaries[[#Headers],[Specialist]],tblSalaries[[#This Row],[Salary in USD]],"")</f>
        <v/>
      </c>
    </row>
    <row r="614" spans="2:30" ht="15" customHeight="1" x14ac:dyDescent="0.25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 s="9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  <c r="N614" t="str">
        <f>IF(tblSalaries[[#This Row],[Years of Experience]]="","",IF(tblSalaries[[#This Row],[Years of Experience]]&lt;=2,1,""))</f>
        <v/>
      </c>
      <c r="O614" t="str">
        <f>IF(tblSalaries[[#This Row],[Years of Experience]]="","",IF(AND(tblSalaries[[#This Row],[Years of Experience]]&gt;2,tblSalaries[[#This Row],[Years of Experience]]&lt;=5),1,""))</f>
        <v/>
      </c>
      <c r="P614" t="str">
        <f>IF(tblSalaries[[#This Row],[Years of Experience]]="","",IF(AND(tblSalaries[[#This Row],[Years of Experience]]&gt;5,tblSalaries[[#This Row],[Years of Experience]]&lt;=10),1,""))</f>
        <v/>
      </c>
      <c r="Q614" t="str">
        <f>IF(tblSalaries[[#This Row],[Years of Experience]]="","",IF(AND(tblSalaries[[#This Row],[Years of Experience]]&gt;10,tblSalaries[[#This Row],[Years of Experience]]&lt;=15),1,""))</f>
        <v/>
      </c>
      <c r="R614">
        <f>IF(tblSalaries[[#This Row],[Years of Experience]]="","",IF(AND(tblSalaries[[#This Row],[Years of Experience]]&gt;16,tblSalaries[[#This Row],[Years of Experience]]&lt;=20),1,""))</f>
        <v>1</v>
      </c>
      <c r="S614" t="str">
        <f>IF(tblSalaries[[#This Row],[Years of Experience]]="","",IF(tblSalaries[[#This Row],[Years of Experience]]&gt;20,1,""))</f>
        <v/>
      </c>
      <c r="T6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14" s="13" t="str">
        <f>IF(tblSalaries[[#This Row],[Job Type]]=tblSalaries[[#Headers],[Accountant]],tblSalaries[[#This Row],[Salary in USD]],"")</f>
        <v/>
      </c>
      <c r="V614" s="13" t="str">
        <f>IF(tblSalaries[[#This Row],[Job Type]]=tblSalaries[[#Headers],[Analyst]],tblSalaries[[#This Row],[Salary in USD]],"")</f>
        <v/>
      </c>
      <c r="W614" s="13">
        <f>IF(tblSalaries[[#This Row],[Job Type]]=tblSalaries[[#Headers],[Consultant]],tblSalaries[[#This Row],[Salary in USD]],"")</f>
        <v>86692.320794224041</v>
      </c>
      <c r="X614" s="13" t="str">
        <f>IF(tblSalaries[[#This Row],[Job Type]]=tblSalaries[[#Headers],[Controller]],tblSalaries[[#This Row],[Salary in USD]],"")</f>
        <v/>
      </c>
      <c r="Y614" s="13" t="str">
        <f>IF(tblSalaries[[#This Row],[Job Type]]=tblSalaries[[#Headers],[CXO or Top Mgmt.]],tblSalaries[[#This Row],[clean Salary (in local currency)]],"")</f>
        <v/>
      </c>
      <c r="Z614" s="13" t="str">
        <f>IF(tblSalaries[[#This Row],[Job Type]]=tblSalaries[[#Headers],[Engineer]],tblSalaries[[#This Row],[Salary in USD]],"")</f>
        <v/>
      </c>
      <c r="AA614" s="13" t="str">
        <f>IF(tblSalaries[[#This Row],[Job Type]]=tblSalaries[[#Headers],[Manager]],tblSalaries[[#This Row],[Salary in USD]],"")</f>
        <v/>
      </c>
      <c r="AB614" s="13" t="str">
        <f>IF(tblSalaries[[#This Row],[Job Type]]=tblSalaries[[#Headers],[Misc.]],tblSalaries[[#This Row],[Salary in USD]],"")</f>
        <v/>
      </c>
      <c r="AC614" s="13" t="str">
        <f>IF(tblSalaries[[#This Row],[Job Type]]=tblSalaries[[#Headers],[Reporting]],tblSalaries[[#This Row],[Salary in USD]],"")</f>
        <v/>
      </c>
      <c r="AD614" s="13" t="str">
        <f>IF(tblSalaries[[#This Row],[Job Type]]=tblSalaries[[#Headers],[Specialist]],tblSalaries[[#This Row],[Salary in USD]],"")</f>
        <v/>
      </c>
    </row>
    <row r="615" spans="2:30" ht="15" customHeight="1" x14ac:dyDescent="0.25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 s="9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  <c r="N615" t="str">
        <f>IF(tblSalaries[[#This Row],[Years of Experience]]="","",IF(tblSalaries[[#This Row],[Years of Experience]]&lt;=2,1,""))</f>
        <v/>
      </c>
      <c r="O615" t="str">
        <f>IF(tblSalaries[[#This Row],[Years of Experience]]="","",IF(AND(tblSalaries[[#This Row],[Years of Experience]]&gt;2,tblSalaries[[#This Row],[Years of Experience]]&lt;=5),1,""))</f>
        <v/>
      </c>
      <c r="P615" t="str">
        <f>IF(tblSalaries[[#This Row],[Years of Experience]]="","",IF(AND(tblSalaries[[#This Row],[Years of Experience]]&gt;5,tblSalaries[[#This Row],[Years of Experience]]&lt;=10),1,""))</f>
        <v/>
      </c>
      <c r="Q615" t="str">
        <f>IF(tblSalaries[[#This Row],[Years of Experience]]="","",IF(AND(tblSalaries[[#This Row],[Years of Experience]]&gt;10,tblSalaries[[#This Row],[Years of Experience]]&lt;=15),1,""))</f>
        <v/>
      </c>
      <c r="R615">
        <f>IF(tblSalaries[[#This Row],[Years of Experience]]="","",IF(AND(tblSalaries[[#This Row],[Years of Experience]]&gt;16,tblSalaries[[#This Row],[Years of Experience]]&lt;=20),1,""))</f>
        <v>1</v>
      </c>
      <c r="S615" t="str">
        <f>IF(tblSalaries[[#This Row],[Years of Experience]]="","",IF(tblSalaries[[#This Row],[Years of Experience]]&gt;20,1,""))</f>
        <v/>
      </c>
      <c r="T6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15" s="13" t="str">
        <f>IF(tblSalaries[[#This Row],[Job Type]]=tblSalaries[[#Headers],[Accountant]],tblSalaries[[#This Row],[Salary in USD]],"")</f>
        <v/>
      </c>
      <c r="V615" s="13" t="str">
        <f>IF(tblSalaries[[#This Row],[Job Type]]=tblSalaries[[#Headers],[Analyst]],tblSalaries[[#This Row],[Salary in USD]],"")</f>
        <v/>
      </c>
      <c r="W615" s="13" t="str">
        <f>IF(tblSalaries[[#This Row],[Job Type]]=tblSalaries[[#Headers],[Consultant]],tblSalaries[[#This Row],[Salary in USD]],"")</f>
        <v/>
      </c>
      <c r="X615" s="13" t="str">
        <f>IF(tblSalaries[[#This Row],[Job Type]]=tblSalaries[[#Headers],[Controller]],tblSalaries[[#This Row],[Salary in USD]],"")</f>
        <v/>
      </c>
      <c r="Y615" s="13" t="str">
        <f>IF(tblSalaries[[#This Row],[Job Type]]=tblSalaries[[#Headers],[CXO or Top Mgmt.]],tblSalaries[[#This Row],[clean Salary (in local currency)]],"")</f>
        <v/>
      </c>
      <c r="Z615" s="13" t="str">
        <f>IF(tblSalaries[[#This Row],[Job Type]]=tblSalaries[[#Headers],[Engineer]],tblSalaries[[#This Row],[Salary in USD]],"")</f>
        <v/>
      </c>
      <c r="AA615" s="13">
        <f>IF(tblSalaries[[#This Row],[Job Type]]=tblSalaries[[#Headers],[Manager]],tblSalaries[[#This Row],[Salary in USD]],"")</f>
        <v>50000</v>
      </c>
      <c r="AB615" s="13" t="str">
        <f>IF(tblSalaries[[#This Row],[Job Type]]=tblSalaries[[#Headers],[Misc.]],tblSalaries[[#This Row],[Salary in USD]],"")</f>
        <v/>
      </c>
      <c r="AC615" s="13" t="str">
        <f>IF(tblSalaries[[#This Row],[Job Type]]=tblSalaries[[#Headers],[Reporting]],tblSalaries[[#This Row],[Salary in USD]],"")</f>
        <v/>
      </c>
      <c r="AD615" s="13" t="str">
        <f>IF(tblSalaries[[#This Row],[Job Type]]=tblSalaries[[#Headers],[Specialist]],tblSalaries[[#This Row],[Salary in USD]],"")</f>
        <v/>
      </c>
    </row>
    <row r="616" spans="2:30" ht="15" customHeight="1" x14ac:dyDescent="0.25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 s="9">
        <f>tblSalaries[[#This Row],[clean Salary (in local currency)]]*VLOOKUP(tblSalaries[[#This Row],[Currency]],tblXrate[],2,FALSE)</f>
        <v>4000</v>
      </c>
      <c r="H616" t="s">
        <v>721</v>
      </c>
      <c r="I616" t="s">
        <v>3999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  <c r="N616" t="str">
        <f>IF(tblSalaries[[#This Row],[Years of Experience]]="","",IF(tblSalaries[[#This Row],[Years of Experience]]&lt;=2,1,""))</f>
        <v/>
      </c>
      <c r="O616" t="str">
        <f>IF(tblSalaries[[#This Row],[Years of Experience]]="","",IF(AND(tblSalaries[[#This Row],[Years of Experience]]&gt;2,tblSalaries[[#This Row],[Years of Experience]]&lt;=5),1,""))</f>
        <v/>
      </c>
      <c r="P616">
        <f>IF(tblSalaries[[#This Row],[Years of Experience]]="","",IF(AND(tblSalaries[[#This Row],[Years of Experience]]&gt;5,tblSalaries[[#This Row],[Years of Experience]]&lt;=10),1,""))</f>
        <v>1</v>
      </c>
      <c r="Q616" t="str">
        <f>IF(tblSalaries[[#This Row],[Years of Experience]]="","",IF(AND(tblSalaries[[#This Row],[Years of Experience]]&gt;10,tblSalaries[[#This Row],[Years of Experience]]&lt;=15),1,""))</f>
        <v/>
      </c>
      <c r="R616" t="str">
        <f>IF(tblSalaries[[#This Row],[Years of Experience]]="","",IF(AND(tblSalaries[[#This Row],[Years of Experience]]&gt;16,tblSalaries[[#This Row],[Years of Experience]]&lt;=20),1,""))</f>
        <v/>
      </c>
      <c r="S616" t="str">
        <f>IF(tblSalaries[[#This Row],[Years of Experience]]="","",IF(tblSalaries[[#This Row],[Years of Experience]]&gt;20,1,""))</f>
        <v/>
      </c>
      <c r="T6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16" s="13" t="str">
        <f>IF(tblSalaries[[#This Row],[Job Type]]=tblSalaries[[#Headers],[Accountant]],tblSalaries[[#This Row],[Salary in USD]],"")</f>
        <v/>
      </c>
      <c r="V616" s="13" t="str">
        <f>IF(tblSalaries[[#This Row],[Job Type]]=tblSalaries[[#Headers],[Analyst]],tblSalaries[[#This Row],[Salary in USD]],"")</f>
        <v/>
      </c>
      <c r="W616" s="13" t="str">
        <f>IF(tblSalaries[[#This Row],[Job Type]]=tblSalaries[[#Headers],[Consultant]],tblSalaries[[#This Row],[Salary in USD]],"")</f>
        <v/>
      </c>
      <c r="X616" s="13" t="str">
        <f>IF(tblSalaries[[#This Row],[Job Type]]=tblSalaries[[#Headers],[Controller]],tblSalaries[[#This Row],[Salary in USD]],"")</f>
        <v/>
      </c>
      <c r="Y616" s="13" t="str">
        <f>IF(tblSalaries[[#This Row],[Job Type]]=tblSalaries[[#Headers],[CXO or Top Mgmt.]],tblSalaries[[#This Row],[clean Salary (in local currency)]],"")</f>
        <v/>
      </c>
      <c r="Z616" s="13" t="str">
        <f>IF(tblSalaries[[#This Row],[Job Type]]=tblSalaries[[#Headers],[Engineer]],tblSalaries[[#This Row],[Salary in USD]],"")</f>
        <v/>
      </c>
      <c r="AA616" s="13" t="str">
        <f>IF(tblSalaries[[#This Row],[Job Type]]=tblSalaries[[#Headers],[Manager]],tblSalaries[[#This Row],[Salary in USD]],"")</f>
        <v/>
      </c>
      <c r="AB616" s="13" t="str">
        <f>IF(tblSalaries[[#This Row],[Job Type]]=tblSalaries[[#Headers],[Misc.]],tblSalaries[[#This Row],[Salary in USD]],"")</f>
        <v/>
      </c>
      <c r="AC616" s="13">
        <f>IF(tblSalaries[[#This Row],[Job Type]]=tblSalaries[[#Headers],[Reporting]],tblSalaries[[#This Row],[Salary in USD]],"")</f>
        <v>4000</v>
      </c>
      <c r="AD616" s="13" t="str">
        <f>IF(tblSalaries[[#This Row],[Job Type]]=tblSalaries[[#Headers],[Specialist]],tblSalaries[[#This Row],[Salary in USD]],"")</f>
        <v/>
      </c>
    </row>
    <row r="617" spans="2:30" ht="15" customHeight="1" x14ac:dyDescent="0.25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 s="9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  <c r="N617">
        <f>IF(tblSalaries[[#This Row],[Years of Experience]]="","",IF(tblSalaries[[#This Row],[Years of Experience]]&lt;=2,1,""))</f>
        <v>1</v>
      </c>
      <c r="O617" t="str">
        <f>IF(tblSalaries[[#This Row],[Years of Experience]]="","",IF(AND(tblSalaries[[#This Row],[Years of Experience]]&gt;2,tblSalaries[[#This Row],[Years of Experience]]&lt;=5),1,""))</f>
        <v/>
      </c>
      <c r="P617" t="str">
        <f>IF(tblSalaries[[#This Row],[Years of Experience]]="","",IF(AND(tblSalaries[[#This Row],[Years of Experience]]&gt;5,tblSalaries[[#This Row],[Years of Experience]]&lt;=10),1,""))</f>
        <v/>
      </c>
      <c r="Q617" t="str">
        <f>IF(tblSalaries[[#This Row],[Years of Experience]]="","",IF(AND(tblSalaries[[#This Row],[Years of Experience]]&gt;10,tblSalaries[[#This Row],[Years of Experience]]&lt;=15),1,""))</f>
        <v/>
      </c>
      <c r="R617" t="str">
        <f>IF(tblSalaries[[#This Row],[Years of Experience]]="","",IF(AND(tblSalaries[[#This Row],[Years of Experience]]&gt;16,tblSalaries[[#This Row],[Years of Experience]]&lt;=20),1,""))</f>
        <v/>
      </c>
      <c r="S617" t="str">
        <f>IF(tblSalaries[[#This Row],[Years of Experience]]="","",IF(tblSalaries[[#This Row],[Years of Experience]]&gt;20,1,""))</f>
        <v/>
      </c>
      <c r="T6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17" s="13" t="str">
        <f>IF(tblSalaries[[#This Row],[Job Type]]=tblSalaries[[#Headers],[Accountant]],tblSalaries[[#This Row],[Salary in USD]],"")</f>
        <v/>
      </c>
      <c r="V617" s="13">
        <f>IF(tblSalaries[[#This Row],[Job Type]]=tblSalaries[[#Headers],[Analyst]],tblSalaries[[#This Row],[Salary in USD]],"")</f>
        <v>101990.96564026357</v>
      </c>
      <c r="W617" s="13" t="str">
        <f>IF(tblSalaries[[#This Row],[Job Type]]=tblSalaries[[#Headers],[Consultant]],tblSalaries[[#This Row],[Salary in USD]],"")</f>
        <v/>
      </c>
      <c r="X617" s="13" t="str">
        <f>IF(tblSalaries[[#This Row],[Job Type]]=tblSalaries[[#Headers],[Controller]],tblSalaries[[#This Row],[Salary in USD]],"")</f>
        <v/>
      </c>
      <c r="Y617" s="13" t="str">
        <f>IF(tblSalaries[[#This Row],[Job Type]]=tblSalaries[[#Headers],[CXO or Top Mgmt.]],tblSalaries[[#This Row],[clean Salary (in local currency)]],"")</f>
        <v/>
      </c>
      <c r="Z617" s="13" t="str">
        <f>IF(tblSalaries[[#This Row],[Job Type]]=tblSalaries[[#Headers],[Engineer]],tblSalaries[[#This Row],[Salary in USD]],"")</f>
        <v/>
      </c>
      <c r="AA617" s="13" t="str">
        <f>IF(tblSalaries[[#This Row],[Job Type]]=tblSalaries[[#Headers],[Manager]],tblSalaries[[#This Row],[Salary in USD]],"")</f>
        <v/>
      </c>
      <c r="AB617" s="13" t="str">
        <f>IF(tblSalaries[[#This Row],[Job Type]]=tblSalaries[[#Headers],[Misc.]],tblSalaries[[#This Row],[Salary in USD]],"")</f>
        <v/>
      </c>
      <c r="AC617" s="13" t="str">
        <f>IF(tblSalaries[[#This Row],[Job Type]]=tblSalaries[[#Headers],[Reporting]],tblSalaries[[#This Row],[Salary in USD]],"")</f>
        <v/>
      </c>
      <c r="AD617" s="13" t="str">
        <f>IF(tblSalaries[[#This Row],[Job Type]]=tblSalaries[[#Headers],[Specialist]],tblSalaries[[#This Row],[Salary in USD]],"")</f>
        <v/>
      </c>
    </row>
    <row r="618" spans="2:30" ht="15" customHeight="1" x14ac:dyDescent="0.25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 s="9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  <c r="N618" t="str">
        <f>IF(tblSalaries[[#This Row],[Years of Experience]]="","",IF(tblSalaries[[#This Row],[Years of Experience]]&lt;=2,1,""))</f>
        <v/>
      </c>
      <c r="O618" t="str">
        <f>IF(tblSalaries[[#This Row],[Years of Experience]]="","",IF(AND(tblSalaries[[#This Row],[Years of Experience]]&gt;2,tblSalaries[[#This Row],[Years of Experience]]&lt;=5),1,""))</f>
        <v/>
      </c>
      <c r="P618">
        <f>IF(tblSalaries[[#This Row],[Years of Experience]]="","",IF(AND(tblSalaries[[#This Row],[Years of Experience]]&gt;5,tblSalaries[[#This Row],[Years of Experience]]&lt;=10),1,""))</f>
        <v>1</v>
      </c>
      <c r="Q618" t="str">
        <f>IF(tblSalaries[[#This Row],[Years of Experience]]="","",IF(AND(tblSalaries[[#This Row],[Years of Experience]]&gt;10,tblSalaries[[#This Row],[Years of Experience]]&lt;=15),1,""))</f>
        <v/>
      </c>
      <c r="R618" t="str">
        <f>IF(tblSalaries[[#This Row],[Years of Experience]]="","",IF(AND(tblSalaries[[#This Row],[Years of Experience]]&gt;16,tblSalaries[[#This Row],[Years of Experience]]&lt;=20),1,""))</f>
        <v/>
      </c>
      <c r="S618" t="str">
        <f>IF(tblSalaries[[#This Row],[Years of Experience]]="","",IF(tblSalaries[[#This Row],[Years of Experience]]&gt;20,1,""))</f>
        <v/>
      </c>
      <c r="T6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18" s="13" t="str">
        <f>IF(tblSalaries[[#This Row],[Job Type]]=tblSalaries[[#Headers],[Accountant]],tblSalaries[[#This Row],[Salary in USD]],"")</f>
        <v/>
      </c>
      <c r="V618" s="13" t="str">
        <f>IF(tblSalaries[[#This Row],[Job Type]]=tblSalaries[[#Headers],[Analyst]],tblSalaries[[#This Row],[Salary in USD]],"")</f>
        <v/>
      </c>
      <c r="W618" s="13" t="str">
        <f>IF(tblSalaries[[#This Row],[Job Type]]=tblSalaries[[#Headers],[Consultant]],tblSalaries[[#This Row],[Salary in USD]],"")</f>
        <v/>
      </c>
      <c r="X618" s="13" t="str">
        <f>IF(tblSalaries[[#This Row],[Job Type]]=tblSalaries[[#Headers],[Controller]],tblSalaries[[#This Row],[Salary in USD]],"")</f>
        <v/>
      </c>
      <c r="Y618" s="13" t="str">
        <f>IF(tblSalaries[[#This Row],[Job Type]]=tblSalaries[[#Headers],[CXO or Top Mgmt.]],tblSalaries[[#This Row],[clean Salary (in local currency)]],"")</f>
        <v/>
      </c>
      <c r="Z618" s="13" t="str">
        <f>IF(tblSalaries[[#This Row],[Job Type]]=tblSalaries[[#Headers],[Engineer]],tblSalaries[[#This Row],[Salary in USD]],"")</f>
        <v/>
      </c>
      <c r="AA618" s="13">
        <f>IF(tblSalaries[[#This Row],[Job Type]]=tblSalaries[[#Headers],[Manager]],tblSalaries[[#This Row],[Salary in USD]],"")</f>
        <v>95000</v>
      </c>
      <c r="AB618" s="13" t="str">
        <f>IF(tblSalaries[[#This Row],[Job Type]]=tblSalaries[[#Headers],[Misc.]],tblSalaries[[#This Row],[Salary in USD]],"")</f>
        <v/>
      </c>
      <c r="AC618" s="13" t="str">
        <f>IF(tblSalaries[[#This Row],[Job Type]]=tblSalaries[[#Headers],[Reporting]],tblSalaries[[#This Row],[Salary in USD]],"")</f>
        <v/>
      </c>
      <c r="AD618" s="13" t="str">
        <f>IF(tblSalaries[[#This Row],[Job Type]]=tblSalaries[[#Headers],[Specialist]],tblSalaries[[#This Row],[Salary in USD]],"")</f>
        <v/>
      </c>
    </row>
    <row r="619" spans="2:30" ht="15" customHeight="1" x14ac:dyDescent="0.25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 s="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  <c r="N619" t="str">
        <f>IF(tblSalaries[[#This Row],[Years of Experience]]="","",IF(tblSalaries[[#This Row],[Years of Experience]]&lt;=2,1,""))</f>
        <v/>
      </c>
      <c r="O619">
        <f>IF(tblSalaries[[#This Row],[Years of Experience]]="","",IF(AND(tblSalaries[[#This Row],[Years of Experience]]&gt;2,tblSalaries[[#This Row],[Years of Experience]]&lt;=5),1,""))</f>
        <v>1</v>
      </c>
      <c r="P619" t="str">
        <f>IF(tblSalaries[[#This Row],[Years of Experience]]="","",IF(AND(tblSalaries[[#This Row],[Years of Experience]]&gt;5,tblSalaries[[#This Row],[Years of Experience]]&lt;=10),1,""))</f>
        <v/>
      </c>
      <c r="Q619" t="str">
        <f>IF(tblSalaries[[#This Row],[Years of Experience]]="","",IF(AND(tblSalaries[[#This Row],[Years of Experience]]&gt;10,tblSalaries[[#This Row],[Years of Experience]]&lt;=15),1,""))</f>
        <v/>
      </c>
      <c r="R619" t="str">
        <f>IF(tblSalaries[[#This Row],[Years of Experience]]="","",IF(AND(tblSalaries[[#This Row],[Years of Experience]]&gt;16,tblSalaries[[#This Row],[Years of Experience]]&lt;=20),1,""))</f>
        <v/>
      </c>
      <c r="S619" t="str">
        <f>IF(tblSalaries[[#This Row],[Years of Experience]]="","",IF(tblSalaries[[#This Row],[Years of Experience]]&gt;20,1,""))</f>
        <v/>
      </c>
      <c r="T6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19" s="13" t="str">
        <f>IF(tblSalaries[[#This Row],[Job Type]]=tblSalaries[[#Headers],[Accountant]],tblSalaries[[#This Row],[Salary in USD]],"")</f>
        <v/>
      </c>
      <c r="V619" s="13" t="str">
        <f>IF(tblSalaries[[#This Row],[Job Type]]=tblSalaries[[#Headers],[Analyst]],tblSalaries[[#This Row],[Salary in USD]],"")</f>
        <v/>
      </c>
      <c r="W619" s="13" t="str">
        <f>IF(tblSalaries[[#This Row],[Job Type]]=tblSalaries[[#Headers],[Consultant]],tblSalaries[[#This Row],[Salary in USD]],"")</f>
        <v/>
      </c>
      <c r="X619" s="13" t="str">
        <f>IF(tblSalaries[[#This Row],[Job Type]]=tblSalaries[[#Headers],[Controller]],tblSalaries[[#This Row],[Salary in USD]],"")</f>
        <v/>
      </c>
      <c r="Y619" s="13" t="str">
        <f>IF(tblSalaries[[#This Row],[Job Type]]=tblSalaries[[#Headers],[CXO or Top Mgmt.]],tblSalaries[[#This Row],[clean Salary (in local currency)]],"")</f>
        <v/>
      </c>
      <c r="Z619" s="13" t="str">
        <f>IF(tblSalaries[[#This Row],[Job Type]]=tblSalaries[[#Headers],[Engineer]],tblSalaries[[#This Row],[Salary in USD]],"")</f>
        <v/>
      </c>
      <c r="AA619" s="13">
        <f>IF(tblSalaries[[#This Row],[Job Type]]=tblSalaries[[#Headers],[Manager]],tblSalaries[[#This Row],[Salary in USD]],"")</f>
        <v>10000</v>
      </c>
      <c r="AB619" s="13" t="str">
        <f>IF(tblSalaries[[#This Row],[Job Type]]=tblSalaries[[#Headers],[Misc.]],tblSalaries[[#This Row],[Salary in USD]],"")</f>
        <v/>
      </c>
      <c r="AC619" s="13" t="str">
        <f>IF(tblSalaries[[#This Row],[Job Type]]=tblSalaries[[#Headers],[Reporting]],tblSalaries[[#This Row],[Salary in USD]],"")</f>
        <v/>
      </c>
      <c r="AD619" s="13" t="str">
        <f>IF(tblSalaries[[#This Row],[Job Type]]=tblSalaries[[#Headers],[Specialist]],tblSalaries[[#This Row],[Salary in USD]],"")</f>
        <v/>
      </c>
    </row>
    <row r="620" spans="2:30" ht="15" customHeight="1" x14ac:dyDescent="0.25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 s="9">
        <f>tblSalaries[[#This Row],[clean Salary (in local currency)]]*VLOOKUP(tblSalaries[[#This Row],[Currency]],tblXrate[],2,FALSE)</f>
        <v>4200</v>
      </c>
      <c r="H620" t="s">
        <v>721</v>
      </c>
      <c r="I620" t="s">
        <v>3999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  <c r="N620" t="str">
        <f>IF(tblSalaries[[#This Row],[Years of Experience]]="","",IF(tblSalaries[[#This Row],[Years of Experience]]&lt;=2,1,""))</f>
        <v/>
      </c>
      <c r="O620">
        <f>IF(tblSalaries[[#This Row],[Years of Experience]]="","",IF(AND(tblSalaries[[#This Row],[Years of Experience]]&gt;2,tblSalaries[[#This Row],[Years of Experience]]&lt;=5),1,""))</f>
        <v>1</v>
      </c>
      <c r="P620" t="str">
        <f>IF(tblSalaries[[#This Row],[Years of Experience]]="","",IF(AND(tblSalaries[[#This Row],[Years of Experience]]&gt;5,tblSalaries[[#This Row],[Years of Experience]]&lt;=10),1,""))</f>
        <v/>
      </c>
      <c r="Q620" t="str">
        <f>IF(tblSalaries[[#This Row],[Years of Experience]]="","",IF(AND(tblSalaries[[#This Row],[Years of Experience]]&gt;10,tblSalaries[[#This Row],[Years of Experience]]&lt;=15),1,""))</f>
        <v/>
      </c>
      <c r="R620" t="str">
        <f>IF(tblSalaries[[#This Row],[Years of Experience]]="","",IF(AND(tblSalaries[[#This Row],[Years of Experience]]&gt;16,tblSalaries[[#This Row],[Years of Experience]]&lt;=20),1,""))</f>
        <v/>
      </c>
      <c r="S620" t="str">
        <f>IF(tblSalaries[[#This Row],[Years of Experience]]="","",IF(tblSalaries[[#This Row],[Years of Experience]]&gt;20,1,""))</f>
        <v/>
      </c>
      <c r="T6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20" s="13" t="str">
        <f>IF(tblSalaries[[#This Row],[Job Type]]=tblSalaries[[#Headers],[Accountant]],tblSalaries[[#This Row],[Salary in USD]],"")</f>
        <v/>
      </c>
      <c r="V620" s="13" t="str">
        <f>IF(tblSalaries[[#This Row],[Job Type]]=tblSalaries[[#Headers],[Analyst]],tblSalaries[[#This Row],[Salary in USD]],"")</f>
        <v/>
      </c>
      <c r="W620" s="13" t="str">
        <f>IF(tblSalaries[[#This Row],[Job Type]]=tblSalaries[[#Headers],[Consultant]],tblSalaries[[#This Row],[Salary in USD]],"")</f>
        <v/>
      </c>
      <c r="X620" s="13" t="str">
        <f>IF(tblSalaries[[#This Row],[Job Type]]=tblSalaries[[#Headers],[Controller]],tblSalaries[[#This Row],[Salary in USD]],"")</f>
        <v/>
      </c>
      <c r="Y620" s="13" t="str">
        <f>IF(tblSalaries[[#This Row],[Job Type]]=tblSalaries[[#Headers],[CXO or Top Mgmt.]],tblSalaries[[#This Row],[clean Salary (in local currency)]],"")</f>
        <v/>
      </c>
      <c r="Z620" s="13" t="str">
        <f>IF(tblSalaries[[#This Row],[Job Type]]=tblSalaries[[#Headers],[Engineer]],tblSalaries[[#This Row],[Salary in USD]],"")</f>
        <v/>
      </c>
      <c r="AA620" s="13" t="str">
        <f>IF(tblSalaries[[#This Row],[Job Type]]=tblSalaries[[#Headers],[Manager]],tblSalaries[[#This Row],[Salary in USD]],"")</f>
        <v/>
      </c>
      <c r="AB620" s="13" t="str">
        <f>IF(tblSalaries[[#This Row],[Job Type]]=tblSalaries[[#Headers],[Misc.]],tblSalaries[[#This Row],[Salary in USD]],"")</f>
        <v/>
      </c>
      <c r="AC620" s="13">
        <f>IF(tblSalaries[[#This Row],[Job Type]]=tblSalaries[[#Headers],[Reporting]],tblSalaries[[#This Row],[Salary in USD]],"")</f>
        <v>4200</v>
      </c>
      <c r="AD620" s="13" t="str">
        <f>IF(tblSalaries[[#This Row],[Job Type]]=tblSalaries[[#Headers],[Specialist]],tblSalaries[[#This Row],[Salary in USD]],"")</f>
        <v/>
      </c>
    </row>
    <row r="621" spans="2:30" ht="15" customHeight="1" x14ac:dyDescent="0.25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 s="9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  <c r="N621" t="str">
        <f>IF(tblSalaries[[#This Row],[Years of Experience]]="","",IF(tblSalaries[[#This Row],[Years of Experience]]&lt;=2,1,""))</f>
        <v/>
      </c>
      <c r="O621" t="str">
        <f>IF(tblSalaries[[#This Row],[Years of Experience]]="","",IF(AND(tblSalaries[[#This Row],[Years of Experience]]&gt;2,tblSalaries[[#This Row],[Years of Experience]]&lt;=5),1,""))</f>
        <v/>
      </c>
      <c r="P621" t="str">
        <f>IF(tblSalaries[[#This Row],[Years of Experience]]="","",IF(AND(tblSalaries[[#This Row],[Years of Experience]]&gt;5,tblSalaries[[#This Row],[Years of Experience]]&lt;=10),1,""))</f>
        <v/>
      </c>
      <c r="Q621">
        <f>IF(tblSalaries[[#This Row],[Years of Experience]]="","",IF(AND(tblSalaries[[#This Row],[Years of Experience]]&gt;10,tblSalaries[[#This Row],[Years of Experience]]&lt;=15),1,""))</f>
        <v>1</v>
      </c>
      <c r="R621" t="str">
        <f>IF(tblSalaries[[#This Row],[Years of Experience]]="","",IF(AND(tblSalaries[[#This Row],[Years of Experience]]&gt;16,tblSalaries[[#This Row],[Years of Experience]]&lt;=20),1,""))</f>
        <v/>
      </c>
      <c r="S621" t="str">
        <f>IF(tblSalaries[[#This Row],[Years of Experience]]="","",IF(tblSalaries[[#This Row],[Years of Experience]]&gt;20,1,""))</f>
        <v/>
      </c>
      <c r="T6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21" s="13" t="str">
        <f>IF(tblSalaries[[#This Row],[Job Type]]=tblSalaries[[#Headers],[Accountant]],tblSalaries[[#This Row],[Salary in USD]],"")</f>
        <v/>
      </c>
      <c r="V621" s="13" t="str">
        <f>IF(tblSalaries[[#This Row],[Job Type]]=tblSalaries[[#Headers],[Analyst]],tblSalaries[[#This Row],[Salary in USD]],"")</f>
        <v/>
      </c>
      <c r="W621" s="13" t="str">
        <f>IF(tblSalaries[[#This Row],[Job Type]]=tblSalaries[[#Headers],[Consultant]],tblSalaries[[#This Row],[Salary in USD]],"")</f>
        <v/>
      </c>
      <c r="X621" s="13" t="str">
        <f>IF(tblSalaries[[#This Row],[Job Type]]=tblSalaries[[#Headers],[Controller]],tblSalaries[[#This Row],[Salary in USD]],"")</f>
        <v/>
      </c>
      <c r="Y621" s="13" t="str">
        <f>IF(tblSalaries[[#This Row],[Job Type]]=tblSalaries[[#Headers],[CXO or Top Mgmt.]],tblSalaries[[#This Row],[clean Salary (in local currency)]],"")</f>
        <v/>
      </c>
      <c r="Z621" s="13" t="str">
        <f>IF(tblSalaries[[#This Row],[Job Type]]=tblSalaries[[#Headers],[Engineer]],tblSalaries[[#This Row],[Salary in USD]],"")</f>
        <v/>
      </c>
      <c r="AA621" s="13">
        <f>IF(tblSalaries[[#This Row],[Job Type]]=tblSalaries[[#Headers],[Manager]],tblSalaries[[#This Row],[Salary in USD]],"")</f>
        <v>12821.700014958649</v>
      </c>
      <c r="AB621" s="13" t="str">
        <f>IF(tblSalaries[[#This Row],[Job Type]]=tblSalaries[[#Headers],[Misc.]],tblSalaries[[#This Row],[Salary in USD]],"")</f>
        <v/>
      </c>
      <c r="AC621" s="13" t="str">
        <f>IF(tblSalaries[[#This Row],[Job Type]]=tblSalaries[[#Headers],[Reporting]],tblSalaries[[#This Row],[Salary in USD]],"")</f>
        <v/>
      </c>
      <c r="AD621" s="13" t="str">
        <f>IF(tblSalaries[[#This Row],[Job Type]]=tblSalaries[[#Headers],[Specialist]],tblSalaries[[#This Row],[Salary in USD]],"")</f>
        <v/>
      </c>
    </row>
    <row r="622" spans="2:30" ht="15" customHeight="1" x14ac:dyDescent="0.25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 s="9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  <c r="N622" t="str">
        <f>IF(tblSalaries[[#This Row],[Years of Experience]]="","",IF(tblSalaries[[#This Row],[Years of Experience]]&lt;=2,1,""))</f>
        <v/>
      </c>
      <c r="O622">
        <f>IF(tblSalaries[[#This Row],[Years of Experience]]="","",IF(AND(tblSalaries[[#This Row],[Years of Experience]]&gt;2,tblSalaries[[#This Row],[Years of Experience]]&lt;=5),1,""))</f>
        <v>1</v>
      </c>
      <c r="P622" t="str">
        <f>IF(tblSalaries[[#This Row],[Years of Experience]]="","",IF(AND(tblSalaries[[#This Row],[Years of Experience]]&gt;5,tblSalaries[[#This Row],[Years of Experience]]&lt;=10),1,""))</f>
        <v/>
      </c>
      <c r="Q622" t="str">
        <f>IF(tblSalaries[[#This Row],[Years of Experience]]="","",IF(AND(tblSalaries[[#This Row],[Years of Experience]]&gt;10,tblSalaries[[#This Row],[Years of Experience]]&lt;=15),1,""))</f>
        <v/>
      </c>
      <c r="R622" t="str">
        <f>IF(tblSalaries[[#This Row],[Years of Experience]]="","",IF(AND(tblSalaries[[#This Row],[Years of Experience]]&gt;16,tblSalaries[[#This Row],[Years of Experience]]&lt;=20),1,""))</f>
        <v/>
      </c>
      <c r="S622" t="str">
        <f>IF(tblSalaries[[#This Row],[Years of Experience]]="","",IF(tblSalaries[[#This Row],[Years of Experience]]&gt;20,1,""))</f>
        <v/>
      </c>
      <c r="T6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22" s="13" t="str">
        <f>IF(tblSalaries[[#This Row],[Job Type]]=tblSalaries[[#Headers],[Accountant]],tblSalaries[[#This Row],[Salary in USD]],"")</f>
        <v/>
      </c>
      <c r="V622" s="13">
        <f>IF(tblSalaries[[#This Row],[Job Type]]=tblSalaries[[#Headers],[Analyst]],tblSalaries[[#This Row],[Salary in USD]],"")</f>
        <v>39000</v>
      </c>
      <c r="W622" s="13" t="str">
        <f>IF(tblSalaries[[#This Row],[Job Type]]=tblSalaries[[#Headers],[Consultant]],tblSalaries[[#This Row],[Salary in USD]],"")</f>
        <v/>
      </c>
      <c r="X622" s="13" t="str">
        <f>IF(tblSalaries[[#This Row],[Job Type]]=tblSalaries[[#Headers],[Controller]],tblSalaries[[#This Row],[Salary in USD]],"")</f>
        <v/>
      </c>
      <c r="Y622" s="13" t="str">
        <f>IF(tblSalaries[[#This Row],[Job Type]]=tblSalaries[[#Headers],[CXO or Top Mgmt.]],tblSalaries[[#This Row],[clean Salary (in local currency)]],"")</f>
        <v/>
      </c>
      <c r="Z622" s="13" t="str">
        <f>IF(tblSalaries[[#This Row],[Job Type]]=tblSalaries[[#Headers],[Engineer]],tblSalaries[[#This Row],[Salary in USD]],"")</f>
        <v/>
      </c>
      <c r="AA622" s="13" t="str">
        <f>IF(tblSalaries[[#This Row],[Job Type]]=tblSalaries[[#Headers],[Manager]],tblSalaries[[#This Row],[Salary in USD]],"")</f>
        <v/>
      </c>
      <c r="AB622" s="13" t="str">
        <f>IF(tblSalaries[[#This Row],[Job Type]]=tblSalaries[[#Headers],[Misc.]],tblSalaries[[#This Row],[Salary in USD]],"")</f>
        <v/>
      </c>
      <c r="AC622" s="13" t="str">
        <f>IF(tblSalaries[[#This Row],[Job Type]]=tblSalaries[[#Headers],[Reporting]],tblSalaries[[#This Row],[Salary in USD]],"")</f>
        <v/>
      </c>
      <c r="AD622" s="13" t="str">
        <f>IF(tblSalaries[[#This Row],[Job Type]]=tblSalaries[[#Headers],[Specialist]],tblSalaries[[#This Row],[Salary in USD]],"")</f>
        <v/>
      </c>
    </row>
    <row r="623" spans="2:30" ht="15" customHeight="1" x14ac:dyDescent="0.25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 s="9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  <c r="N623" t="str">
        <f>IF(tblSalaries[[#This Row],[Years of Experience]]="","",IF(tblSalaries[[#This Row],[Years of Experience]]&lt;=2,1,""))</f>
        <v/>
      </c>
      <c r="O623" t="str">
        <f>IF(tblSalaries[[#This Row],[Years of Experience]]="","",IF(AND(tblSalaries[[#This Row],[Years of Experience]]&gt;2,tblSalaries[[#This Row],[Years of Experience]]&lt;=5),1,""))</f>
        <v/>
      </c>
      <c r="P623" t="str">
        <f>IF(tblSalaries[[#This Row],[Years of Experience]]="","",IF(AND(tblSalaries[[#This Row],[Years of Experience]]&gt;5,tblSalaries[[#This Row],[Years of Experience]]&lt;=10),1,""))</f>
        <v/>
      </c>
      <c r="Q623">
        <f>IF(tblSalaries[[#This Row],[Years of Experience]]="","",IF(AND(tblSalaries[[#This Row],[Years of Experience]]&gt;10,tblSalaries[[#This Row],[Years of Experience]]&lt;=15),1,""))</f>
        <v>1</v>
      </c>
      <c r="R623" t="str">
        <f>IF(tblSalaries[[#This Row],[Years of Experience]]="","",IF(AND(tblSalaries[[#This Row],[Years of Experience]]&gt;16,tblSalaries[[#This Row],[Years of Experience]]&lt;=20),1,""))</f>
        <v/>
      </c>
      <c r="S623" t="str">
        <f>IF(tblSalaries[[#This Row],[Years of Experience]]="","",IF(tblSalaries[[#This Row],[Years of Experience]]&gt;20,1,""))</f>
        <v/>
      </c>
      <c r="T6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23" s="13" t="str">
        <f>IF(tblSalaries[[#This Row],[Job Type]]=tblSalaries[[#Headers],[Accountant]],tblSalaries[[#This Row],[Salary in USD]],"")</f>
        <v/>
      </c>
      <c r="V623" s="13">
        <f>IF(tblSalaries[[#This Row],[Job Type]]=tblSalaries[[#Headers],[Analyst]],tblSalaries[[#This Row],[Salary in USD]],"")</f>
        <v>60000</v>
      </c>
      <c r="W623" s="13" t="str">
        <f>IF(tblSalaries[[#This Row],[Job Type]]=tblSalaries[[#Headers],[Consultant]],tblSalaries[[#This Row],[Salary in USD]],"")</f>
        <v/>
      </c>
      <c r="X623" s="13" t="str">
        <f>IF(tblSalaries[[#This Row],[Job Type]]=tblSalaries[[#Headers],[Controller]],tblSalaries[[#This Row],[Salary in USD]],"")</f>
        <v/>
      </c>
      <c r="Y623" s="13" t="str">
        <f>IF(tblSalaries[[#This Row],[Job Type]]=tblSalaries[[#Headers],[CXO or Top Mgmt.]],tblSalaries[[#This Row],[clean Salary (in local currency)]],"")</f>
        <v/>
      </c>
      <c r="Z623" s="13" t="str">
        <f>IF(tblSalaries[[#This Row],[Job Type]]=tblSalaries[[#Headers],[Engineer]],tblSalaries[[#This Row],[Salary in USD]],"")</f>
        <v/>
      </c>
      <c r="AA623" s="13" t="str">
        <f>IF(tblSalaries[[#This Row],[Job Type]]=tblSalaries[[#Headers],[Manager]],tblSalaries[[#This Row],[Salary in USD]],"")</f>
        <v/>
      </c>
      <c r="AB623" s="13" t="str">
        <f>IF(tblSalaries[[#This Row],[Job Type]]=tblSalaries[[#Headers],[Misc.]],tblSalaries[[#This Row],[Salary in USD]],"")</f>
        <v/>
      </c>
      <c r="AC623" s="13" t="str">
        <f>IF(tblSalaries[[#This Row],[Job Type]]=tblSalaries[[#Headers],[Reporting]],tblSalaries[[#This Row],[Salary in USD]],"")</f>
        <v/>
      </c>
      <c r="AD623" s="13" t="str">
        <f>IF(tblSalaries[[#This Row],[Job Type]]=tblSalaries[[#Headers],[Specialist]],tblSalaries[[#This Row],[Salary in USD]],"")</f>
        <v/>
      </c>
    </row>
    <row r="624" spans="2:30" ht="15" customHeight="1" x14ac:dyDescent="0.25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 s="9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  <c r="N624" t="str">
        <f>IF(tblSalaries[[#This Row],[Years of Experience]]="","",IF(tblSalaries[[#This Row],[Years of Experience]]&lt;=2,1,""))</f>
        <v/>
      </c>
      <c r="O624" t="str">
        <f>IF(tblSalaries[[#This Row],[Years of Experience]]="","",IF(AND(tblSalaries[[#This Row],[Years of Experience]]&gt;2,tblSalaries[[#This Row],[Years of Experience]]&lt;=5),1,""))</f>
        <v/>
      </c>
      <c r="P624">
        <f>IF(tblSalaries[[#This Row],[Years of Experience]]="","",IF(AND(tblSalaries[[#This Row],[Years of Experience]]&gt;5,tblSalaries[[#This Row],[Years of Experience]]&lt;=10),1,""))</f>
        <v>1</v>
      </c>
      <c r="Q624" t="str">
        <f>IF(tblSalaries[[#This Row],[Years of Experience]]="","",IF(AND(tblSalaries[[#This Row],[Years of Experience]]&gt;10,tblSalaries[[#This Row],[Years of Experience]]&lt;=15),1,""))</f>
        <v/>
      </c>
      <c r="R624" t="str">
        <f>IF(tblSalaries[[#This Row],[Years of Experience]]="","",IF(AND(tblSalaries[[#This Row],[Years of Experience]]&gt;16,tblSalaries[[#This Row],[Years of Experience]]&lt;=20),1,""))</f>
        <v/>
      </c>
      <c r="S624" t="str">
        <f>IF(tblSalaries[[#This Row],[Years of Experience]]="","",IF(tblSalaries[[#This Row],[Years of Experience]]&gt;20,1,""))</f>
        <v/>
      </c>
      <c r="T6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24" s="13" t="str">
        <f>IF(tblSalaries[[#This Row],[Job Type]]=tblSalaries[[#Headers],[Accountant]],tblSalaries[[#This Row],[Salary in USD]],"")</f>
        <v/>
      </c>
      <c r="V624" s="13">
        <f>IF(tblSalaries[[#This Row],[Job Type]]=tblSalaries[[#Headers],[Analyst]],tblSalaries[[#This Row],[Salary in USD]],"")</f>
        <v>173384.64158844808</v>
      </c>
      <c r="W624" s="13" t="str">
        <f>IF(tblSalaries[[#This Row],[Job Type]]=tblSalaries[[#Headers],[Consultant]],tblSalaries[[#This Row],[Salary in USD]],"")</f>
        <v/>
      </c>
      <c r="X624" s="13" t="str">
        <f>IF(tblSalaries[[#This Row],[Job Type]]=tblSalaries[[#Headers],[Controller]],tblSalaries[[#This Row],[Salary in USD]],"")</f>
        <v/>
      </c>
      <c r="Y624" s="13" t="str">
        <f>IF(tblSalaries[[#This Row],[Job Type]]=tblSalaries[[#Headers],[CXO or Top Mgmt.]],tblSalaries[[#This Row],[clean Salary (in local currency)]],"")</f>
        <v/>
      </c>
      <c r="Z624" s="13" t="str">
        <f>IF(tblSalaries[[#This Row],[Job Type]]=tblSalaries[[#Headers],[Engineer]],tblSalaries[[#This Row],[Salary in USD]],"")</f>
        <v/>
      </c>
      <c r="AA624" s="13" t="str">
        <f>IF(tblSalaries[[#This Row],[Job Type]]=tblSalaries[[#Headers],[Manager]],tblSalaries[[#This Row],[Salary in USD]],"")</f>
        <v/>
      </c>
      <c r="AB624" s="13" t="str">
        <f>IF(tblSalaries[[#This Row],[Job Type]]=tblSalaries[[#Headers],[Misc.]],tblSalaries[[#This Row],[Salary in USD]],"")</f>
        <v/>
      </c>
      <c r="AC624" s="13" t="str">
        <f>IF(tblSalaries[[#This Row],[Job Type]]=tblSalaries[[#Headers],[Reporting]],tblSalaries[[#This Row],[Salary in USD]],"")</f>
        <v/>
      </c>
      <c r="AD624" s="13" t="str">
        <f>IF(tblSalaries[[#This Row],[Job Type]]=tblSalaries[[#Headers],[Specialist]],tblSalaries[[#This Row],[Salary in USD]],"")</f>
        <v/>
      </c>
    </row>
    <row r="625" spans="2:30" ht="15" customHeight="1" x14ac:dyDescent="0.25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 s="9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  <c r="N625" t="str">
        <f>IF(tblSalaries[[#This Row],[Years of Experience]]="","",IF(tblSalaries[[#This Row],[Years of Experience]]&lt;=2,1,""))</f>
        <v/>
      </c>
      <c r="O625" t="str">
        <f>IF(tblSalaries[[#This Row],[Years of Experience]]="","",IF(AND(tblSalaries[[#This Row],[Years of Experience]]&gt;2,tblSalaries[[#This Row],[Years of Experience]]&lt;=5),1,""))</f>
        <v/>
      </c>
      <c r="P625" t="str">
        <f>IF(tblSalaries[[#This Row],[Years of Experience]]="","",IF(AND(tblSalaries[[#This Row],[Years of Experience]]&gt;5,tblSalaries[[#This Row],[Years of Experience]]&lt;=10),1,""))</f>
        <v/>
      </c>
      <c r="Q625" t="str">
        <f>IF(tblSalaries[[#This Row],[Years of Experience]]="","",IF(AND(tblSalaries[[#This Row],[Years of Experience]]&gt;10,tblSalaries[[#This Row],[Years of Experience]]&lt;=15),1,""))</f>
        <v/>
      </c>
      <c r="R625">
        <f>IF(tblSalaries[[#This Row],[Years of Experience]]="","",IF(AND(tblSalaries[[#This Row],[Years of Experience]]&gt;16,tblSalaries[[#This Row],[Years of Experience]]&lt;=20),1,""))</f>
        <v>1</v>
      </c>
      <c r="S625" t="str">
        <f>IF(tblSalaries[[#This Row],[Years of Experience]]="","",IF(tblSalaries[[#This Row],[Years of Experience]]&gt;20,1,""))</f>
        <v/>
      </c>
      <c r="T6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25" s="13" t="str">
        <f>IF(tblSalaries[[#This Row],[Job Type]]=tblSalaries[[#Headers],[Accountant]],tblSalaries[[#This Row],[Salary in USD]],"")</f>
        <v/>
      </c>
      <c r="V625" s="13">
        <f>IF(tblSalaries[[#This Row],[Job Type]]=tblSalaries[[#Headers],[Analyst]],tblSalaries[[#This Row],[Salary in USD]],"")</f>
        <v>125000</v>
      </c>
      <c r="W625" s="13" t="str">
        <f>IF(tblSalaries[[#This Row],[Job Type]]=tblSalaries[[#Headers],[Consultant]],tblSalaries[[#This Row],[Salary in USD]],"")</f>
        <v/>
      </c>
      <c r="X625" s="13" t="str">
        <f>IF(tblSalaries[[#This Row],[Job Type]]=tblSalaries[[#Headers],[Controller]],tblSalaries[[#This Row],[Salary in USD]],"")</f>
        <v/>
      </c>
      <c r="Y625" s="13" t="str">
        <f>IF(tblSalaries[[#This Row],[Job Type]]=tblSalaries[[#Headers],[CXO or Top Mgmt.]],tblSalaries[[#This Row],[clean Salary (in local currency)]],"")</f>
        <v/>
      </c>
      <c r="Z625" s="13" t="str">
        <f>IF(tblSalaries[[#This Row],[Job Type]]=tblSalaries[[#Headers],[Engineer]],tblSalaries[[#This Row],[Salary in USD]],"")</f>
        <v/>
      </c>
      <c r="AA625" s="13" t="str">
        <f>IF(tblSalaries[[#This Row],[Job Type]]=tblSalaries[[#Headers],[Manager]],tblSalaries[[#This Row],[Salary in USD]],"")</f>
        <v/>
      </c>
      <c r="AB625" s="13" t="str">
        <f>IF(tblSalaries[[#This Row],[Job Type]]=tblSalaries[[#Headers],[Misc.]],tblSalaries[[#This Row],[Salary in USD]],"")</f>
        <v/>
      </c>
      <c r="AC625" s="13" t="str">
        <f>IF(tblSalaries[[#This Row],[Job Type]]=tblSalaries[[#Headers],[Reporting]],tblSalaries[[#This Row],[Salary in USD]],"")</f>
        <v/>
      </c>
      <c r="AD625" s="13" t="str">
        <f>IF(tblSalaries[[#This Row],[Job Type]]=tblSalaries[[#Headers],[Specialist]],tblSalaries[[#This Row],[Salary in USD]],"")</f>
        <v/>
      </c>
    </row>
    <row r="626" spans="2:30" ht="15" customHeight="1" x14ac:dyDescent="0.25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 s="9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  <c r="N626" t="str">
        <f>IF(tblSalaries[[#This Row],[Years of Experience]]="","",IF(tblSalaries[[#This Row],[Years of Experience]]&lt;=2,1,""))</f>
        <v/>
      </c>
      <c r="O626">
        <f>IF(tblSalaries[[#This Row],[Years of Experience]]="","",IF(AND(tblSalaries[[#This Row],[Years of Experience]]&gt;2,tblSalaries[[#This Row],[Years of Experience]]&lt;=5),1,""))</f>
        <v>1</v>
      </c>
      <c r="P626" t="str">
        <f>IF(tblSalaries[[#This Row],[Years of Experience]]="","",IF(AND(tblSalaries[[#This Row],[Years of Experience]]&gt;5,tblSalaries[[#This Row],[Years of Experience]]&lt;=10),1,""))</f>
        <v/>
      </c>
      <c r="Q626" t="str">
        <f>IF(tblSalaries[[#This Row],[Years of Experience]]="","",IF(AND(tblSalaries[[#This Row],[Years of Experience]]&gt;10,tblSalaries[[#This Row],[Years of Experience]]&lt;=15),1,""))</f>
        <v/>
      </c>
      <c r="R626" t="str">
        <f>IF(tblSalaries[[#This Row],[Years of Experience]]="","",IF(AND(tblSalaries[[#This Row],[Years of Experience]]&gt;16,tblSalaries[[#This Row],[Years of Experience]]&lt;=20),1,""))</f>
        <v/>
      </c>
      <c r="S626" t="str">
        <f>IF(tblSalaries[[#This Row],[Years of Experience]]="","",IF(tblSalaries[[#This Row],[Years of Experience]]&gt;20,1,""))</f>
        <v/>
      </c>
      <c r="T6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26" s="13">
        <f>IF(tblSalaries[[#This Row],[Job Type]]=tblSalaries[[#Headers],[Accountant]],tblSalaries[[#This Row],[Salary in USD]],"")</f>
        <v>79552.953199405587</v>
      </c>
      <c r="V626" s="13" t="str">
        <f>IF(tblSalaries[[#This Row],[Job Type]]=tblSalaries[[#Headers],[Analyst]],tblSalaries[[#This Row],[Salary in USD]],"")</f>
        <v/>
      </c>
      <c r="W626" s="13" t="str">
        <f>IF(tblSalaries[[#This Row],[Job Type]]=tblSalaries[[#Headers],[Consultant]],tblSalaries[[#This Row],[Salary in USD]],"")</f>
        <v/>
      </c>
      <c r="X626" s="13" t="str">
        <f>IF(tblSalaries[[#This Row],[Job Type]]=tblSalaries[[#Headers],[Controller]],tblSalaries[[#This Row],[Salary in USD]],"")</f>
        <v/>
      </c>
      <c r="Y626" s="13" t="str">
        <f>IF(tblSalaries[[#This Row],[Job Type]]=tblSalaries[[#Headers],[CXO or Top Mgmt.]],tblSalaries[[#This Row],[clean Salary (in local currency)]],"")</f>
        <v/>
      </c>
      <c r="Z626" s="13" t="str">
        <f>IF(tblSalaries[[#This Row],[Job Type]]=tblSalaries[[#Headers],[Engineer]],tblSalaries[[#This Row],[Salary in USD]],"")</f>
        <v/>
      </c>
      <c r="AA626" s="13" t="str">
        <f>IF(tblSalaries[[#This Row],[Job Type]]=tblSalaries[[#Headers],[Manager]],tblSalaries[[#This Row],[Salary in USD]],"")</f>
        <v/>
      </c>
      <c r="AB626" s="13" t="str">
        <f>IF(tblSalaries[[#This Row],[Job Type]]=tblSalaries[[#Headers],[Misc.]],tblSalaries[[#This Row],[Salary in USD]],"")</f>
        <v/>
      </c>
      <c r="AC626" s="13" t="str">
        <f>IF(tblSalaries[[#This Row],[Job Type]]=tblSalaries[[#Headers],[Reporting]],tblSalaries[[#This Row],[Salary in USD]],"")</f>
        <v/>
      </c>
      <c r="AD626" s="13" t="str">
        <f>IF(tblSalaries[[#This Row],[Job Type]]=tblSalaries[[#Headers],[Specialist]],tblSalaries[[#This Row],[Salary in USD]],"")</f>
        <v/>
      </c>
    </row>
    <row r="627" spans="2:30" ht="15" customHeight="1" x14ac:dyDescent="0.25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 s="9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  <c r="N627" t="str">
        <f>IF(tblSalaries[[#This Row],[Years of Experience]]="","",IF(tblSalaries[[#This Row],[Years of Experience]]&lt;=2,1,""))</f>
        <v/>
      </c>
      <c r="O627">
        <f>IF(tblSalaries[[#This Row],[Years of Experience]]="","",IF(AND(tblSalaries[[#This Row],[Years of Experience]]&gt;2,tblSalaries[[#This Row],[Years of Experience]]&lt;=5),1,""))</f>
        <v>1</v>
      </c>
      <c r="P627" t="str">
        <f>IF(tblSalaries[[#This Row],[Years of Experience]]="","",IF(AND(tblSalaries[[#This Row],[Years of Experience]]&gt;5,tblSalaries[[#This Row],[Years of Experience]]&lt;=10),1,""))</f>
        <v/>
      </c>
      <c r="Q627" t="str">
        <f>IF(tblSalaries[[#This Row],[Years of Experience]]="","",IF(AND(tblSalaries[[#This Row],[Years of Experience]]&gt;10,tblSalaries[[#This Row],[Years of Experience]]&lt;=15),1,""))</f>
        <v/>
      </c>
      <c r="R627" t="str">
        <f>IF(tblSalaries[[#This Row],[Years of Experience]]="","",IF(AND(tblSalaries[[#This Row],[Years of Experience]]&gt;16,tblSalaries[[#This Row],[Years of Experience]]&lt;=20),1,""))</f>
        <v/>
      </c>
      <c r="S627" t="str">
        <f>IF(tblSalaries[[#This Row],[Years of Experience]]="","",IF(tblSalaries[[#This Row],[Years of Experience]]&gt;20,1,""))</f>
        <v/>
      </c>
      <c r="T6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27" s="13">
        <f>IF(tblSalaries[[#This Row],[Job Type]]=tblSalaries[[#Headers],[Accountant]],tblSalaries[[#This Row],[Salary in USD]],"")</f>
        <v>3561.5833374885137</v>
      </c>
      <c r="V627" s="13" t="str">
        <f>IF(tblSalaries[[#This Row],[Job Type]]=tblSalaries[[#Headers],[Analyst]],tblSalaries[[#This Row],[Salary in USD]],"")</f>
        <v/>
      </c>
      <c r="W627" s="13" t="str">
        <f>IF(tblSalaries[[#This Row],[Job Type]]=tblSalaries[[#Headers],[Consultant]],tblSalaries[[#This Row],[Salary in USD]],"")</f>
        <v/>
      </c>
      <c r="X627" s="13" t="str">
        <f>IF(tblSalaries[[#This Row],[Job Type]]=tblSalaries[[#Headers],[Controller]],tblSalaries[[#This Row],[Salary in USD]],"")</f>
        <v/>
      </c>
      <c r="Y627" s="13" t="str">
        <f>IF(tblSalaries[[#This Row],[Job Type]]=tblSalaries[[#Headers],[CXO or Top Mgmt.]],tblSalaries[[#This Row],[clean Salary (in local currency)]],"")</f>
        <v/>
      </c>
      <c r="Z627" s="13" t="str">
        <f>IF(tblSalaries[[#This Row],[Job Type]]=tblSalaries[[#Headers],[Engineer]],tblSalaries[[#This Row],[Salary in USD]],"")</f>
        <v/>
      </c>
      <c r="AA627" s="13" t="str">
        <f>IF(tblSalaries[[#This Row],[Job Type]]=tblSalaries[[#Headers],[Manager]],tblSalaries[[#This Row],[Salary in USD]],"")</f>
        <v/>
      </c>
      <c r="AB627" s="13" t="str">
        <f>IF(tblSalaries[[#This Row],[Job Type]]=tblSalaries[[#Headers],[Misc.]],tblSalaries[[#This Row],[Salary in USD]],"")</f>
        <v/>
      </c>
      <c r="AC627" s="13" t="str">
        <f>IF(tblSalaries[[#This Row],[Job Type]]=tblSalaries[[#Headers],[Reporting]],tblSalaries[[#This Row],[Salary in USD]],"")</f>
        <v/>
      </c>
      <c r="AD627" s="13" t="str">
        <f>IF(tblSalaries[[#This Row],[Job Type]]=tblSalaries[[#Headers],[Specialist]],tblSalaries[[#This Row],[Salary in USD]],"")</f>
        <v/>
      </c>
    </row>
    <row r="628" spans="2:30" ht="15" customHeight="1" x14ac:dyDescent="0.25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 s="9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  <c r="N628" t="str">
        <f>IF(tblSalaries[[#This Row],[Years of Experience]]="","",IF(tblSalaries[[#This Row],[Years of Experience]]&lt;=2,1,""))</f>
        <v/>
      </c>
      <c r="O628" t="str">
        <f>IF(tblSalaries[[#This Row],[Years of Experience]]="","",IF(AND(tblSalaries[[#This Row],[Years of Experience]]&gt;2,tblSalaries[[#This Row],[Years of Experience]]&lt;=5),1,""))</f>
        <v/>
      </c>
      <c r="P628">
        <f>IF(tblSalaries[[#This Row],[Years of Experience]]="","",IF(AND(tblSalaries[[#This Row],[Years of Experience]]&gt;5,tblSalaries[[#This Row],[Years of Experience]]&lt;=10),1,""))</f>
        <v>1</v>
      </c>
      <c r="Q628" t="str">
        <f>IF(tblSalaries[[#This Row],[Years of Experience]]="","",IF(AND(tblSalaries[[#This Row],[Years of Experience]]&gt;10,tblSalaries[[#This Row],[Years of Experience]]&lt;=15),1,""))</f>
        <v/>
      </c>
      <c r="R628" t="str">
        <f>IF(tblSalaries[[#This Row],[Years of Experience]]="","",IF(AND(tblSalaries[[#This Row],[Years of Experience]]&gt;16,tblSalaries[[#This Row],[Years of Experience]]&lt;=20),1,""))</f>
        <v/>
      </c>
      <c r="S628" t="str">
        <f>IF(tblSalaries[[#This Row],[Years of Experience]]="","",IF(tblSalaries[[#This Row],[Years of Experience]]&gt;20,1,""))</f>
        <v/>
      </c>
      <c r="T6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28" s="13" t="str">
        <f>IF(tblSalaries[[#This Row],[Job Type]]=tblSalaries[[#Headers],[Accountant]],tblSalaries[[#This Row],[Salary in USD]],"")</f>
        <v/>
      </c>
      <c r="V628" s="13" t="str">
        <f>IF(tblSalaries[[#This Row],[Job Type]]=tblSalaries[[#Headers],[Analyst]],tblSalaries[[#This Row],[Salary in USD]],"")</f>
        <v/>
      </c>
      <c r="W628" s="13" t="str">
        <f>IF(tblSalaries[[#This Row],[Job Type]]=tblSalaries[[#Headers],[Consultant]],tblSalaries[[#This Row],[Salary in USD]],"")</f>
        <v/>
      </c>
      <c r="X628" s="13" t="str">
        <f>IF(tblSalaries[[#This Row],[Job Type]]=tblSalaries[[#Headers],[Controller]],tblSalaries[[#This Row],[Salary in USD]],"")</f>
        <v/>
      </c>
      <c r="Y628" s="13" t="str">
        <f>IF(tblSalaries[[#This Row],[Job Type]]=tblSalaries[[#Headers],[CXO or Top Mgmt.]],tblSalaries[[#This Row],[clean Salary (in local currency)]],"")</f>
        <v/>
      </c>
      <c r="Z628" s="13" t="str">
        <f>IF(tblSalaries[[#This Row],[Job Type]]=tblSalaries[[#Headers],[Engineer]],tblSalaries[[#This Row],[Salary in USD]],"")</f>
        <v/>
      </c>
      <c r="AA628" s="13">
        <f>IF(tblSalaries[[#This Row],[Job Type]]=tblSalaries[[#Headers],[Manager]],tblSalaries[[#This Row],[Salary in USD]],"")</f>
        <v>80000</v>
      </c>
      <c r="AB628" s="13" t="str">
        <f>IF(tblSalaries[[#This Row],[Job Type]]=tblSalaries[[#Headers],[Misc.]],tblSalaries[[#This Row],[Salary in USD]],"")</f>
        <v/>
      </c>
      <c r="AC628" s="13" t="str">
        <f>IF(tblSalaries[[#This Row],[Job Type]]=tblSalaries[[#Headers],[Reporting]],tblSalaries[[#This Row],[Salary in USD]],"")</f>
        <v/>
      </c>
      <c r="AD628" s="13" t="str">
        <f>IF(tblSalaries[[#This Row],[Job Type]]=tblSalaries[[#Headers],[Specialist]],tblSalaries[[#This Row],[Salary in USD]],"")</f>
        <v/>
      </c>
    </row>
    <row r="629" spans="2:30" ht="15" customHeight="1" x14ac:dyDescent="0.25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 s="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  <c r="N629" t="str">
        <f>IF(tblSalaries[[#This Row],[Years of Experience]]="","",IF(tblSalaries[[#This Row],[Years of Experience]]&lt;=2,1,""))</f>
        <v/>
      </c>
      <c r="O629">
        <f>IF(tblSalaries[[#This Row],[Years of Experience]]="","",IF(AND(tblSalaries[[#This Row],[Years of Experience]]&gt;2,tblSalaries[[#This Row],[Years of Experience]]&lt;=5),1,""))</f>
        <v>1</v>
      </c>
      <c r="P629" t="str">
        <f>IF(tblSalaries[[#This Row],[Years of Experience]]="","",IF(AND(tblSalaries[[#This Row],[Years of Experience]]&gt;5,tblSalaries[[#This Row],[Years of Experience]]&lt;=10),1,""))</f>
        <v/>
      </c>
      <c r="Q629" t="str">
        <f>IF(tblSalaries[[#This Row],[Years of Experience]]="","",IF(AND(tblSalaries[[#This Row],[Years of Experience]]&gt;10,tblSalaries[[#This Row],[Years of Experience]]&lt;=15),1,""))</f>
        <v/>
      </c>
      <c r="R629" t="str">
        <f>IF(tblSalaries[[#This Row],[Years of Experience]]="","",IF(AND(tblSalaries[[#This Row],[Years of Experience]]&gt;16,tblSalaries[[#This Row],[Years of Experience]]&lt;=20),1,""))</f>
        <v/>
      </c>
      <c r="S629" t="str">
        <f>IF(tblSalaries[[#This Row],[Years of Experience]]="","",IF(tblSalaries[[#This Row],[Years of Experience]]&gt;20,1,""))</f>
        <v/>
      </c>
      <c r="T6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29" s="13" t="str">
        <f>IF(tblSalaries[[#This Row],[Job Type]]=tblSalaries[[#Headers],[Accountant]],tblSalaries[[#This Row],[Salary in USD]],"")</f>
        <v/>
      </c>
      <c r="V629" s="13">
        <f>IF(tblSalaries[[#This Row],[Job Type]]=tblSalaries[[#Headers],[Analyst]],tblSalaries[[#This Row],[Salary in USD]],"")</f>
        <v>10684.750012465542</v>
      </c>
      <c r="W629" s="13" t="str">
        <f>IF(tblSalaries[[#This Row],[Job Type]]=tblSalaries[[#Headers],[Consultant]],tblSalaries[[#This Row],[Salary in USD]],"")</f>
        <v/>
      </c>
      <c r="X629" s="13" t="str">
        <f>IF(tblSalaries[[#This Row],[Job Type]]=tblSalaries[[#Headers],[Controller]],tblSalaries[[#This Row],[Salary in USD]],"")</f>
        <v/>
      </c>
      <c r="Y629" s="13" t="str">
        <f>IF(tblSalaries[[#This Row],[Job Type]]=tblSalaries[[#Headers],[CXO or Top Mgmt.]],tblSalaries[[#This Row],[clean Salary (in local currency)]],"")</f>
        <v/>
      </c>
      <c r="Z629" s="13" t="str">
        <f>IF(tblSalaries[[#This Row],[Job Type]]=tblSalaries[[#Headers],[Engineer]],tblSalaries[[#This Row],[Salary in USD]],"")</f>
        <v/>
      </c>
      <c r="AA629" s="13" t="str">
        <f>IF(tblSalaries[[#This Row],[Job Type]]=tblSalaries[[#Headers],[Manager]],tblSalaries[[#This Row],[Salary in USD]],"")</f>
        <v/>
      </c>
      <c r="AB629" s="13" t="str">
        <f>IF(tblSalaries[[#This Row],[Job Type]]=tblSalaries[[#Headers],[Misc.]],tblSalaries[[#This Row],[Salary in USD]],"")</f>
        <v/>
      </c>
      <c r="AC629" s="13" t="str">
        <f>IF(tblSalaries[[#This Row],[Job Type]]=tblSalaries[[#Headers],[Reporting]],tblSalaries[[#This Row],[Salary in USD]],"")</f>
        <v/>
      </c>
      <c r="AD629" s="13" t="str">
        <f>IF(tblSalaries[[#This Row],[Job Type]]=tblSalaries[[#Headers],[Specialist]],tblSalaries[[#This Row],[Salary in USD]],"")</f>
        <v/>
      </c>
    </row>
    <row r="630" spans="2:30" ht="15" customHeight="1" x14ac:dyDescent="0.25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 s="9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  <c r="N630">
        <f>IF(tblSalaries[[#This Row],[Years of Experience]]="","",IF(tblSalaries[[#This Row],[Years of Experience]]&lt;=2,1,""))</f>
        <v>1</v>
      </c>
      <c r="O630" t="str">
        <f>IF(tblSalaries[[#This Row],[Years of Experience]]="","",IF(AND(tblSalaries[[#This Row],[Years of Experience]]&gt;2,tblSalaries[[#This Row],[Years of Experience]]&lt;=5),1,""))</f>
        <v/>
      </c>
      <c r="P630" t="str">
        <f>IF(tblSalaries[[#This Row],[Years of Experience]]="","",IF(AND(tblSalaries[[#This Row],[Years of Experience]]&gt;5,tblSalaries[[#This Row],[Years of Experience]]&lt;=10),1,""))</f>
        <v/>
      </c>
      <c r="Q630" t="str">
        <f>IF(tblSalaries[[#This Row],[Years of Experience]]="","",IF(AND(tblSalaries[[#This Row],[Years of Experience]]&gt;10,tblSalaries[[#This Row],[Years of Experience]]&lt;=15),1,""))</f>
        <v/>
      </c>
      <c r="R630" t="str">
        <f>IF(tblSalaries[[#This Row],[Years of Experience]]="","",IF(AND(tblSalaries[[#This Row],[Years of Experience]]&gt;16,tblSalaries[[#This Row],[Years of Experience]]&lt;=20),1,""))</f>
        <v/>
      </c>
      <c r="S630" t="str">
        <f>IF(tblSalaries[[#This Row],[Years of Experience]]="","",IF(tblSalaries[[#This Row],[Years of Experience]]&gt;20,1,""))</f>
        <v/>
      </c>
      <c r="T6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30" s="13" t="str">
        <f>IF(tblSalaries[[#This Row],[Job Type]]=tblSalaries[[#Headers],[Accountant]],tblSalaries[[#This Row],[Salary in USD]],"")</f>
        <v/>
      </c>
      <c r="V630" s="13" t="str">
        <f>IF(tblSalaries[[#This Row],[Job Type]]=tblSalaries[[#Headers],[Analyst]],tblSalaries[[#This Row],[Salary in USD]],"")</f>
        <v/>
      </c>
      <c r="W630" s="13" t="str">
        <f>IF(tblSalaries[[#This Row],[Job Type]]=tblSalaries[[#Headers],[Consultant]],tblSalaries[[#This Row],[Salary in USD]],"")</f>
        <v/>
      </c>
      <c r="X630" s="13" t="str">
        <f>IF(tblSalaries[[#This Row],[Job Type]]=tblSalaries[[#Headers],[Controller]],tblSalaries[[#This Row],[Salary in USD]],"")</f>
        <v/>
      </c>
      <c r="Y630" s="13" t="str">
        <f>IF(tblSalaries[[#This Row],[Job Type]]=tblSalaries[[#Headers],[CXO or Top Mgmt.]],tblSalaries[[#This Row],[clean Salary (in local currency)]],"")</f>
        <v/>
      </c>
      <c r="Z630" s="13">
        <f>IF(tblSalaries[[#This Row],[Job Type]]=tblSalaries[[#Headers],[Engineer]],tblSalaries[[#This Row],[Salary in USD]],"")</f>
        <v>5342.3750062327708</v>
      </c>
      <c r="AA630" s="13" t="str">
        <f>IF(tblSalaries[[#This Row],[Job Type]]=tblSalaries[[#Headers],[Manager]],tblSalaries[[#This Row],[Salary in USD]],"")</f>
        <v/>
      </c>
      <c r="AB630" s="13" t="str">
        <f>IF(tblSalaries[[#This Row],[Job Type]]=tblSalaries[[#Headers],[Misc.]],tblSalaries[[#This Row],[Salary in USD]],"")</f>
        <v/>
      </c>
      <c r="AC630" s="13" t="str">
        <f>IF(tblSalaries[[#This Row],[Job Type]]=tblSalaries[[#Headers],[Reporting]],tblSalaries[[#This Row],[Salary in USD]],"")</f>
        <v/>
      </c>
      <c r="AD630" s="13" t="str">
        <f>IF(tblSalaries[[#This Row],[Job Type]]=tblSalaries[[#Headers],[Specialist]],tblSalaries[[#This Row],[Salary in USD]],"")</f>
        <v/>
      </c>
    </row>
    <row r="631" spans="2:30" ht="15" customHeight="1" x14ac:dyDescent="0.25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 s="9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  <c r="N631">
        <f>IF(tblSalaries[[#This Row],[Years of Experience]]="","",IF(tblSalaries[[#This Row],[Years of Experience]]&lt;=2,1,""))</f>
        <v>1</v>
      </c>
      <c r="O631" t="str">
        <f>IF(tblSalaries[[#This Row],[Years of Experience]]="","",IF(AND(tblSalaries[[#This Row],[Years of Experience]]&gt;2,tblSalaries[[#This Row],[Years of Experience]]&lt;=5),1,""))</f>
        <v/>
      </c>
      <c r="P631" t="str">
        <f>IF(tblSalaries[[#This Row],[Years of Experience]]="","",IF(AND(tblSalaries[[#This Row],[Years of Experience]]&gt;5,tblSalaries[[#This Row],[Years of Experience]]&lt;=10),1,""))</f>
        <v/>
      </c>
      <c r="Q631" t="str">
        <f>IF(tblSalaries[[#This Row],[Years of Experience]]="","",IF(AND(tblSalaries[[#This Row],[Years of Experience]]&gt;10,tblSalaries[[#This Row],[Years of Experience]]&lt;=15),1,""))</f>
        <v/>
      </c>
      <c r="R631" t="str">
        <f>IF(tblSalaries[[#This Row],[Years of Experience]]="","",IF(AND(tblSalaries[[#This Row],[Years of Experience]]&gt;16,tblSalaries[[#This Row],[Years of Experience]]&lt;=20),1,""))</f>
        <v/>
      </c>
      <c r="S631" t="str">
        <f>IF(tblSalaries[[#This Row],[Years of Experience]]="","",IF(tblSalaries[[#This Row],[Years of Experience]]&gt;20,1,""))</f>
        <v/>
      </c>
      <c r="T6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31" s="13" t="str">
        <f>IF(tblSalaries[[#This Row],[Job Type]]=tblSalaries[[#Headers],[Accountant]],tblSalaries[[#This Row],[Salary in USD]],"")</f>
        <v/>
      </c>
      <c r="V631" s="13" t="str">
        <f>IF(tblSalaries[[#This Row],[Job Type]]=tblSalaries[[#Headers],[Analyst]],tblSalaries[[#This Row],[Salary in USD]],"")</f>
        <v/>
      </c>
      <c r="W631" s="13" t="str">
        <f>IF(tblSalaries[[#This Row],[Job Type]]=tblSalaries[[#Headers],[Consultant]],tblSalaries[[#This Row],[Salary in USD]],"")</f>
        <v/>
      </c>
      <c r="X631" s="13" t="str">
        <f>IF(tblSalaries[[#This Row],[Job Type]]=tblSalaries[[#Headers],[Controller]],tblSalaries[[#This Row],[Salary in USD]],"")</f>
        <v/>
      </c>
      <c r="Y631" s="13" t="str">
        <f>IF(tblSalaries[[#This Row],[Job Type]]=tblSalaries[[#Headers],[CXO or Top Mgmt.]],tblSalaries[[#This Row],[clean Salary (in local currency)]],"")</f>
        <v/>
      </c>
      <c r="Z631" s="13" t="str">
        <f>IF(tblSalaries[[#This Row],[Job Type]]=tblSalaries[[#Headers],[Engineer]],tblSalaries[[#This Row],[Salary in USD]],"")</f>
        <v/>
      </c>
      <c r="AA631" s="13">
        <f>IF(tblSalaries[[#This Row],[Job Type]]=tblSalaries[[#Headers],[Manager]],tblSalaries[[#This Row],[Salary in USD]],"")</f>
        <v>71231.666749770273</v>
      </c>
      <c r="AB631" s="13" t="str">
        <f>IF(tblSalaries[[#This Row],[Job Type]]=tblSalaries[[#Headers],[Misc.]],tblSalaries[[#This Row],[Salary in USD]],"")</f>
        <v/>
      </c>
      <c r="AC631" s="13" t="str">
        <f>IF(tblSalaries[[#This Row],[Job Type]]=tblSalaries[[#Headers],[Reporting]],tblSalaries[[#This Row],[Salary in USD]],"")</f>
        <v/>
      </c>
      <c r="AD631" s="13" t="str">
        <f>IF(tblSalaries[[#This Row],[Job Type]]=tblSalaries[[#Headers],[Specialist]],tblSalaries[[#This Row],[Salary in USD]],"")</f>
        <v/>
      </c>
    </row>
    <row r="632" spans="2:30" ht="15" customHeight="1" x14ac:dyDescent="0.25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 s="9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4001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  <c r="N632" t="str">
        <f>IF(tblSalaries[[#This Row],[Years of Experience]]="","",IF(tblSalaries[[#This Row],[Years of Experience]]&lt;=2,1,""))</f>
        <v/>
      </c>
      <c r="O632" t="str">
        <f>IF(tblSalaries[[#This Row],[Years of Experience]]="","",IF(AND(tblSalaries[[#This Row],[Years of Experience]]&gt;2,tblSalaries[[#This Row],[Years of Experience]]&lt;=5),1,""))</f>
        <v/>
      </c>
      <c r="P632">
        <f>IF(tblSalaries[[#This Row],[Years of Experience]]="","",IF(AND(tblSalaries[[#This Row],[Years of Experience]]&gt;5,tblSalaries[[#This Row],[Years of Experience]]&lt;=10),1,""))</f>
        <v>1</v>
      </c>
      <c r="Q632" t="str">
        <f>IF(tblSalaries[[#This Row],[Years of Experience]]="","",IF(AND(tblSalaries[[#This Row],[Years of Experience]]&gt;10,tblSalaries[[#This Row],[Years of Experience]]&lt;=15),1,""))</f>
        <v/>
      </c>
      <c r="R632" t="str">
        <f>IF(tblSalaries[[#This Row],[Years of Experience]]="","",IF(AND(tblSalaries[[#This Row],[Years of Experience]]&gt;16,tblSalaries[[#This Row],[Years of Experience]]&lt;=20),1,""))</f>
        <v/>
      </c>
      <c r="S632" t="str">
        <f>IF(tblSalaries[[#This Row],[Years of Experience]]="","",IF(tblSalaries[[#This Row],[Years of Experience]]&gt;20,1,""))</f>
        <v/>
      </c>
      <c r="T6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32" s="13" t="str">
        <f>IF(tblSalaries[[#This Row],[Job Type]]=tblSalaries[[#Headers],[Accountant]],tblSalaries[[#This Row],[Salary in USD]],"")</f>
        <v/>
      </c>
      <c r="V632" s="13" t="str">
        <f>IF(tblSalaries[[#This Row],[Job Type]]=tblSalaries[[#Headers],[Analyst]],tblSalaries[[#This Row],[Salary in USD]],"")</f>
        <v/>
      </c>
      <c r="W632" s="13" t="str">
        <f>IF(tblSalaries[[#This Row],[Job Type]]=tblSalaries[[#Headers],[Consultant]],tblSalaries[[#This Row],[Salary in USD]],"")</f>
        <v/>
      </c>
      <c r="X632" s="13" t="str">
        <f>IF(tblSalaries[[#This Row],[Job Type]]=tblSalaries[[#Headers],[Controller]],tblSalaries[[#This Row],[Salary in USD]],"")</f>
        <v/>
      </c>
      <c r="Y632" s="13">
        <f>IF(tblSalaries[[#This Row],[Job Type]]=tblSalaries[[#Headers],[CXO or Top Mgmt.]],tblSalaries[[#This Row],[clean Salary (in local currency)]],"")</f>
        <v>4500000</v>
      </c>
      <c r="Z632" s="13" t="str">
        <f>IF(tblSalaries[[#This Row],[Job Type]]=tblSalaries[[#Headers],[Engineer]],tblSalaries[[#This Row],[Salary in USD]],"")</f>
        <v/>
      </c>
      <c r="AA632" s="13" t="str">
        <f>IF(tblSalaries[[#This Row],[Job Type]]=tblSalaries[[#Headers],[Manager]],tblSalaries[[#This Row],[Salary in USD]],"")</f>
        <v/>
      </c>
      <c r="AB632" s="13" t="str">
        <f>IF(tblSalaries[[#This Row],[Job Type]]=tblSalaries[[#Headers],[Misc.]],tblSalaries[[#This Row],[Salary in USD]],"")</f>
        <v/>
      </c>
      <c r="AC632" s="13" t="str">
        <f>IF(tblSalaries[[#This Row],[Job Type]]=tblSalaries[[#Headers],[Reporting]],tblSalaries[[#This Row],[Salary in USD]],"")</f>
        <v/>
      </c>
      <c r="AD632" s="13" t="str">
        <f>IF(tblSalaries[[#This Row],[Job Type]]=tblSalaries[[#Headers],[Specialist]],tblSalaries[[#This Row],[Salary in USD]],"")</f>
        <v/>
      </c>
    </row>
    <row r="633" spans="2:30" ht="15" customHeight="1" x14ac:dyDescent="0.25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 s="9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  <c r="N633" t="str">
        <f>IF(tblSalaries[[#This Row],[Years of Experience]]="","",IF(tblSalaries[[#This Row],[Years of Experience]]&lt;=2,1,""))</f>
        <v/>
      </c>
      <c r="O633">
        <f>IF(tblSalaries[[#This Row],[Years of Experience]]="","",IF(AND(tblSalaries[[#This Row],[Years of Experience]]&gt;2,tblSalaries[[#This Row],[Years of Experience]]&lt;=5),1,""))</f>
        <v>1</v>
      </c>
      <c r="P633" t="str">
        <f>IF(tblSalaries[[#This Row],[Years of Experience]]="","",IF(AND(tblSalaries[[#This Row],[Years of Experience]]&gt;5,tblSalaries[[#This Row],[Years of Experience]]&lt;=10),1,""))</f>
        <v/>
      </c>
      <c r="Q633" t="str">
        <f>IF(tblSalaries[[#This Row],[Years of Experience]]="","",IF(AND(tblSalaries[[#This Row],[Years of Experience]]&gt;10,tblSalaries[[#This Row],[Years of Experience]]&lt;=15),1,""))</f>
        <v/>
      </c>
      <c r="R633" t="str">
        <f>IF(tblSalaries[[#This Row],[Years of Experience]]="","",IF(AND(tblSalaries[[#This Row],[Years of Experience]]&gt;16,tblSalaries[[#This Row],[Years of Experience]]&lt;=20),1,""))</f>
        <v/>
      </c>
      <c r="S633" t="str">
        <f>IF(tblSalaries[[#This Row],[Years of Experience]]="","",IF(tblSalaries[[#This Row],[Years of Experience]]&gt;20,1,""))</f>
        <v/>
      </c>
      <c r="T6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33" s="13" t="str">
        <f>IF(tblSalaries[[#This Row],[Job Type]]=tblSalaries[[#Headers],[Accountant]],tblSalaries[[#This Row],[Salary in USD]],"")</f>
        <v/>
      </c>
      <c r="V633" s="13" t="str">
        <f>IF(tblSalaries[[#This Row],[Job Type]]=tblSalaries[[#Headers],[Analyst]],tblSalaries[[#This Row],[Salary in USD]],"")</f>
        <v/>
      </c>
      <c r="W633" s="13" t="str">
        <f>IF(tblSalaries[[#This Row],[Job Type]]=tblSalaries[[#Headers],[Consultant]],tblSalaries[[#This Row],[Salary in USD]],"")</f>
        <v/>
      </c>
      <c r="X633" s="13" t="str">
        <f>IF(tblSalaries[[#This Row],[Job Type]]=tblSalaries[[#Headers],[Controller]],tblSalaries[[#This Row],[Salary in USD]],"")</f>
        <v/>
      </c>
      <c r="Y633" s="13" t="str">
        <f>IF(tblSalaries[[#This Row],[Job Type]]=tblSalaries[[#Headers],[CXO or Top Mgmt.]],tblSalaries[[#This Row],[clean Salary (in local currency)]],"")</f>
        <v/>
      </c>
      <c r="Z633" s="13" t="str">
        <f>IF(tblSalaries[[#This Row],[Job Type]]=tblSalaries[[#Headers],[Engineer]],tblSalaries[[#This Row],[Salary in USD]],"")</f>
        <v/>
      </c>
      <c r="AA633" s="13">
        <f>IF(tblSalaries[[#This Row],[Job Type]]=tblSalaries[[#Headers],[Manager]],tblSalaries[[#This Row],[Salary in USD]],"")</f>
        <v>54084.883766667976</v>
      </c>
      <c r="AB633" s="13" t="str">
        <f>IF(tblSalaries[[#This Row],[Job Type]]=tblSalaries[[#Headers],[Misc.]],tblSalaries[[#This Row],[Salary in USD]],"")</f>
        <v/>
      </c>
      <c r="AC633" s="13" t="str">
        <f>IF(tblSalaries[[#This Row],[Job Type]]=tblSalaries[[#Headers],[Reporting]],tblSalaries[[#This Row],[Salary in USD]],"")</f>
        <v/>
      </c>
      <c r="AD633" s="13" t="str">
        <f>IF(tblSalaries[[#This Row],[Job Type]]=tblSalaries[[#Headers],[Specialist]],tblSalaries[[#This Row],[Salary in USD]],"")</f>
        <v/>
      </c>
    </row>
    <row r="634" spans="2:30" ht="15" customHeight="1" x14ac:dyDescent="0.25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 s="9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  <c r="N634" t="str">
        <f>IF(tblSalaries[[#This Row],[Years of Experience]]="","",IF(tblSalaries[[#This Row],[Years of Experience]]&lt;=2,1,""))</f>
        <v/>
      </c>
      <c r="O634" t="str">
        <f>IF(tblSalaries[[#This Row],[Years of Experience]]="","",IF(AND(tblSalaries[[#This Row],[Years of Experience]]&gt;2,tblSalaries[[#This Row],[Years of Experience]]&lt;=5),1,""))</f>
        <v/>
      </c>
      <c r="P634" t="str">
        <f>IF(tblSalaries[[#This Row],[Years of Experience]]="","",IF(AND(tblSalaries[[#This Row],[Years of Experience]]&gt;5,tblSalaries[[#This Row],[Years of Experience]]&lt;=10),1,""))</f>
        <v/>
      </c>
      <c r="Q634" t="str">
        <f>IF(tblSalaries[[#This Row],[Years of Experience]]="","",IF(AND(tblSalaries[[#This Row],[Years of Experience]]&gt;10,tblSalaries[[#This Row],[Years of Experience]]&lt;=15),1,""))</f>
        <v/>
      </c>
      <c r="R634" t="str">
        <f>IF(tblSalaries[[#This Row],[Years of Experience]]="","",IF(AND(tblSalaries[[#This Row],[Years of Experience]]&gt;16,tblSalaries[[#This Row],[Years of Experience]]&lt;=20),1,""))</f>
        <v/>
      </c>
      <c r="S634">
        <f>IF(tblSalaries[[#This Row],[Years of Experience]]="","",IF(tblSalaries[[#This Row],[Years of Experience]]&gt;20,1,""))</f>
        <v>1</v>
      </c>
      <c r="T6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634" s="13" t="str">
        <f>IF(tblSalaries[[#This Row],[Job Type]]=tblSalaries[[#Headers],[Accountant]],tblSalaries[[#This Row],[Salary in USD]],"")</f>
        <v/>
      </c>
      <c r="V634" s="13">
        <f>IF(tblSalaries[[#This Row],[Job Type]]=tblSalaries[[#Headers],[Analyst]],tblSalaries[[#This Row],[Salary in USD]],"")</f>
        <v>53000</v>
      </c>
      <c r="W634" s="13" t="str">
        <f>IF(tblSalaries[[#This Row],[Job Type]]=tblSalaries[[#Headers],[Consultant]],tblSalaries[[#This Row],[Salary in USD]],"")</f>
        <v/>
      </c>
      <c r="X634" s="13" t="str">
        <f>IF(tblSalaries[[#This Row],[Job Type]]=tblSalaries[[#Headers],[Controller]],tblSalaries[[#This Row],[Salary in USD]],"")</f>
        <v/>
      </c>
      <c r="Y634" s="13" t="str">
        <f>IF(tblSalaries[[#This Row],[Job Type]]=tblSalaries[[#Headers],[CXO or Top Mgmt.]],tblSalaries[[#This Row],[clean Salary (in local currency)]],"")</f>
        <v/>
      </c>
      <c r="Z634" s="13" t="str">
        <f>IF(tblSalaries[[#This Row],[Job Type]]=tblSalaries[[#Headers],[Engineer]],tblSalaries[[#This Row],[Salary in USD]],"")</f>
        <v/>
      </c>
      <c r="AA634" s="13" t="str">
        <f>IF(tblSalaries[[#This Row],[Job Type]]=tblSalaries[[#Headers],[Manager]],tblSalaries[[#This Row],[Salary in USD]],"")</f>
        <v/>
      </c>
      <c r="AB634" s="13" t="str">
        <f>IF(tblSalaries[[#This Row],[Job Type]]=tblSalaries[[#Headers],[Misc.]],tblSalaries[[#This Row],[Salary in USD]],"")</f>
        <v/>
      </c>
      <c r="AC634" s="13" t="str">
        <f>IF(tblSalaries[[#This Row],[Job Type]]=tblSalaries[[#Headers],[Reporting]],tblSalaries[[#This Row],[Salary in USD]],"")</f>
        <v/>
      </c>
      <c r="AD634" s="13" t="str">
        <f>IF(tblSalaries[[#This Row],[Job Type]]=tblSalaries[[#Headers],[Specialist]],tblSalaries[[#This Row],[Salary in USD]],"")</f>
        <v/>
      </c>
    </row>
    <row r="635" spans="2:30" ht="15" customHeight="1" x14ac:dyDescent="0.25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 s="9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3999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  <c r="N635">
        <f>IF(tblSalaries[[#This Row],[Years of Experience]]="","",IF(tblSalaries[[#This Row],[Years of Experience]]&lt;=2,1,""))</f>
        <v>1</v>
      </c>
      <c r="O635" t="str">
        <f>IF(tblSalaries[[#This Row],[Years of Experience]]="","",IF(AND(tblSalaries[[#This Row],[Years of Experience]]&gt;2,tblSalaries[[#This Row],[Years of Experience]]&lt;=5),1,""))</f>
        <v/>
      </c>
      <c r="P635" t="str">
        <f>IF(tblSalaries[[#This Row],[Years of Experience]]="","",IF(AND(tblSalaries[[#This Row],[Years of Experience]]&gt;5,tblSalaries[[#This Row],[Years of Experience]]&lt;=10),1,""))</f>
        <v/>
      </c>
      <c r="Q635" t="str">
        <f>IF(tblSalaries[[#This Row],[Years of Experience]]="","",IF(AND(tblSalaries[[#This Row],[Years of Experience]]&gt;10,tblSalaries[[#This Row],[Years of Experience]]&lt;=15),1,""))</f>
        <v/>
      </c>
      <c r="R635" t="str">
        <f>IF(tblSalaries[[#This Row],[Years of Experience]]="","",IF(AND(tblSalaries[[#This Row],[Years of Experience]]&gt;16,tblSalaries[[#This Row],[Years of Experience]]&lt;=20),1,""))</f>
        <v/>
      </c>
      <c r="S635" t="str">
        <f>IF(tblSalaries[[#This Row],[Years of Experience]]="","",IF(tblSalaries[[#This Row],[Years of Experience]]&gt;20,1,""))</f>
        <v/>
      </c>
      <c r="T6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35" s="13" t="str">
        <f>IF(tblSalaries[[#This Row],[Job Type]]=tblSalaries[[#Headers],[Accountant]],tblSalaries[[#This Row],[Salary in USD]],"")</f>
        <v/>
      </c>
      <c r="V635" s="13" t="str">
        <f>IF(tblSalaries[[#This Row],[Job Type]]=tblSalaries[[#Headers],[Analyst]],tblSalaries[[#This Row],[Salary in USD]],"")</f>
        <v/>
      </c>
      <c r="W635" s="13" t="str">
        <f>IF(tblSalaries[[#This Row],[Job Type]]=tblSalaries[[#Headers],[Consultant]],tblSalaries[[#This Row],[Salary in USD]],"")</f>
        <v/>
      </c>
      <c r="X635" s="13" t="str">
        <f>IF(tblSalaries[[#This Row],[Job Type]]=tblSalaries[[#Headers],[Controller]],tblSalaries[[#This Row],[Salary in USD]],"")</f>
        <v/>
      </c>
      <c r="Y635" s="13" t="str">
        <f>IF(tblSalaries[[#This Row],[Job Type]]=tblSalaries[[#Headers],[CXO or Top Mgmt.]],tblSalaries[[#This Row],[clean Salary (in local currency)]],"")</f>
        <v/>
      </c>
      <c r="Z635" s="13" t="str">
        <f>IF(tblSalaries[[#This Row],[Job Type]]=tblSalaries[[#Headers],[Engineer]],tblSalaries[[#This Row],[Salary in USD]],"")</f>
        <v/>
      </c>
      <c r="AA635" s="13" t="str">
        <f>IF(tblSalaries[[#This Row],[Job Type]]=tblSalaries[[#Headers],[Manager]],tblSalaries[[#This Row],[Salary in USD]],"")</f>
        <v/>
      </c>
      <c r="AB635" s="13" t="str">
        <f>IF(tblSalaries[[#This Row],[Job Type]]=tblSalaries[[#Headers],[Misc.]],tblSalaries[[#This Row],[Salary in USD]],"")</f>
        <v/>
      </c>
      <c r="AC635" s="13">
        <f>IF(tblSalaries[[#This Row],[Job Type]]=tblSalaries[[#Headers],[Reporting]],tblSalaries[[#This Row],[Salary in USD]],"")</f>
        <v>5342.3750062327708</v>
      </c>
      <c r="AD635" s="13" t="str">
        <f>IF(tblSalaries[[#This Row],[Job Type]]=tblSalaries[[#Headers],[Specialist]],tblSalaries[[#This Row],[Salary in USD]],"")</f>
        <v/>
      </c>
    </row>
    <row r="636" spans="2:30" ht="15" customHeight="1" x14ac:dyDescent="0.25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 s="9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  <c r="N636" t="str">
        <f>IF(tblSalaries[[#This Row],[Years of Experience]]="","",IF(tblSalaries[[#This Row],[Years of Experience]]&lt;=2,1,""))</f>
        <v/>
      </c>
      <c r="O636">
        <f>IF(tblSalaries[[#This Row],[Years of Experience]]="","",IF(AND(tblSalaries[[#This Row],[Years of Experience]]&gt;2,tblSalaries[[#This Row],[Years of Experience]]&lt;=5),1,""))</f>
        <v>1</v>
      </c>
      <c r="P636" t="str">
        <f>IF(tblSalaries[[#This Row],[Years of Experience]]="","",IF(AND(tblSalaries[[#This Row],[Years of Experience]]&gt;5,tblSalaries[[#This Row],[Years of Experience]]&lt;=10),1,""))</f>
        <v/>
      </c>
      <c r="Q636" t="str">
        <f>IF(tblSalaries[[#This Row],[Years of Experience]]="","",IF(AND(tblSalaries[[#This Row],[Years of Experience]]&gt;10,tblSalaries[[#This Row],[Years of Experience]]&lt;=15),1,""))</f>
        <v/>
      </c>
      <c r="R636" t="str">
        <f>IF(tblSalaries[[#This Row],[Years of Experience]]="","",IF(AND(tblSalaries[[#This Row],[Years of Experience]]&gt;16,tblSalaries[[#This Row],[Years of Experience]]&lt;=20),1,""))</f>
        <v/>
      </c>
      <c r="S636" t="str">
        <f>IF(tblSalaries[[#This Row],[Years of Experience]]="","",IF(tblSalaries[[#This Row],[Years of Experience]]&gt;20,1,""))</f>
        <v/>
      </c>
      <c r="T6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36" s="13" t="str">
        <f>IF(tblSalaries[[#This Row],[Job Type]]=tblSalaries[[#Headers],[Accountant]],tblSalaries[[#This Row],[Salary in USD]],"")</f>
        <v/>
      </c>
      <c r="V636" s="13" t="str">
        <f>IF(tblSalaries[[#This Row],[Job Type]]=tblSalaries[[#Headers],[Analyst]],tblSalaries[[#This Row],[Salary in USD]],"")</f>
        <v/>
      </c>
      <c r="W636" s="13" t="str">
        <f>IF(tblSalaries[[#This Row],[Job Type]]=tblSalaries[[#Headers],[Consultant]],tblSalaries[[#This Row],[Salary in USD]],"")</f>
        <v/>
      </c>
      <c r="X636" s="13" t="str">
        <f>IF(tblSalaries[[#This Row],[Job Type]]=tblSalaries[[#Headers],[Controller]],tblSalaries[[#This Row],[Salary in USD]],"")</f>
        <v/>
      </c>
      <c r="Y636" s="13" t="str">
        <f>IF(tblSalaries[[#This Row],[Job Type]]=tblSalaries[[#Headers],[CXO or Top Mgmt.]],tblSalaries[[#This Row],[clean Salary (in local currency)]],"")</f>
        <v/>
      </c>
      <c r="Z636" s="13" t="str">
        <f>IF(tblSalaries[[#This Row],[Job Type]]=tblSalaries[[#Headers],[Engineer]],tblSalaries[[#This Row],[Salary in USD]],"")</f>
        <v/>
      </c>
      <c r="AA636" s="13">
        <f>IF(tblSalaries[[#This Row],[Job Type]]=tblSalaries[[#Headers],[Manager]],tblSalaries[[#This Row],[Salary in USD]],"")</f>
        <v>7123.1666749770275</v>
      </c>
      <c r="AB636" s="13" t="str">
        <f>IF(tblSalaries[[#This Row],[Job Type]]=tblSalaries[[#Headers],[Misc.]],tblSalaries[[#This Row],[Salary in USD]],"")</f>
        <v/>
      </c>
      <c r="AC636" s="13" t="str">
        <f>IF(tblSalaries[[#This Row],[Job Type]]=tblSalaries[[#Headers],[Reporting]],tblSalaries[[#This Row],[Salary in USD]],"")</f>
        <v/>
      </c>
      <c r="AD636" s="13" t="str">
        <f>IF(tblSalaries[[#This Row],[Job Type]]=tblSalaries[[#Headers],[Specialist]],tblSalaries[[#This Row],[Salary in USD]],"")</f>
        <v/>
      </c>
    </row>
    <row r="637" spans="2:30" ht="15" customHeight="1" x14ac:dyDescent="0.25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 s="9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  <c r="N637" t="str">
        <f>IF(tblSalaries[[#This Row],[Years of Experience]]="","",IF(tblSalaries[[#This Row],[Years of Experience]]&lt;=2,1,""))</f>
        <v/>
      </c>
      <c r="O637" t="str">
        <f>IF(tblSalaries[[#This Row],[Years of Experience]]="","",IF(AND(tblSalaries[[#This Row],[Years of Experience]]&gt;2,tblSalaries[[#This Row],[Years of Experience]]&lt;=5),1,""))</f>
        <v/>
      </c>
      <c r="P637" t="str">
        <f>IF(tblSalaries[[#This Row],[Years of Experience]]="","",IF(AND(tblSalaries[[#This Row],[Years of Experience]]&gt;5,tblSalaries[[#This Row],[Years of Experience]]&lt;=10),1,""))</f>
        <v/>
      </c>
      <c r="Q637">
        <f>IF(tblSalaries[[#This Row],[Years of Experience]]="","",IF(AND(tblSalaries[[#This Row],[Years of Experience]]&gt;10,tblSalaries[[#This Row],[Years of Experience]]&lt;=15),1,""))</f>
        <v>1</v>
      </c>
      <c r="R637" t="str">
        <f>IF(tblSalaries[[#This Row],[Years of Experience]]="","",IF(AND(tblSalaries[[#This Row],[Years of Experience]]&gt;16,tblSalaries[[#This Row],[Years of Experience]]&lt;=20),1,""))</f>
        <v/>
      </c>
      <c r="S637" t="str">
        <f>IF(tblSalaries[[#This Row],[Years of Experience]]="","",IF(tblSalaries[[#This Row],[Years of Experience]]&gt;20,1,""))</f>
        <v/>
      </c>
      <c r="T6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37" s="13" t="str">
        <f>IF(tblSalaries[[#This Row],[Job Type]]=tblSalaries[[#Headers],[Accountant]],tblSalaries[[#This Row],[Salary in USD]],"")</f>
        <v/>
      </c>
      <c r="V637" s="13" t="str">
        <f>IF(tblSalaries[[#This Row],[Job Type]]=tblSalaries[[#Headers],[Analyst]],tblSalaries[[#This Row],[Salary in USD]],"")</f>
        <v/>
      </c>
      <c r="W637" s="13" t="str">
        <f>IF(tblSalaries[[#This Row],[Job Type]]=tblSalaries[[#Headers],[Consultant]],tblSalaries[[#This Row],[Salary in USD]],"")</f>
        <v/>
      </c>
      <c r="X637" s="13" t="str">
        <f>IF(tblSalaries[[#This Row],[Job Type]]=tblSalaries[[#Headers],[Controller]],tblSalaries[[#This Row],[Salary in USD]],"")</f>
        <v/>
      </c>
      <c r="Y637" s="13" t="str">
        <f>IF(tblSalaries[[#This Row],[Job Type]]=tblSalaries[[#Headers],[CXO or Top Mgmt.]],tblSalaries[[#This Row],[clean Salary (in local currency)]],"")</f>
        <v/>
      </c>
      <c r="Z637" s="13" t="str">
        <f>IF(tblSalaries[[#This Row],[Job Type]]=tblSalaries[[#Headers],[Engineer]],tblSalaries[[#This Row],[Salary in USD]],"")</f>
        <v/>
      </c>
      <c r="AA637" s="13">
        <f>IF(tblSalaries[[#This Row],[Job Type]]=tblSalaries[[#Headers],[Manager]],tblSalaries[[#This Row],[Salary in USD]],"")</f>
        <v>10684.750012465542</v>
      </c>
      <c r="AB637" s="13" t="str">
        <f>IF(tblSalaries[[#This Row],[Job Type]]=tblSalaries[[#Headers],[Misc.]],tblSalaries[[#This Row],[Salary in USD]],"")</f>
        <v/>
      </c>
      <c r="AC637" s="13" t="str">
        <f>IF(tblSalaries[[#This Row],[Job Type]]=tblSalaries[[#Headers],[Reporting]],tblSalaries[[#This Row],[Salary in USD]],"")</f>
        <v/>
      </c>
      <c r="AD637" s="13" t="str">
        <f>IF(tblSalaries[[#This Row],[Job Type]]=tblSalaries[[#Headers],[Specialist]],tblSalaries[[#This Row],[Salary in USD]],"")</f>
        <v/>
      </c>
    </row>
    <row r="638" spans="2:30" ht="15" customHeight="1" x14ac:dyDescent="0.25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 s="9">
        <f>tblSalaries[[#This Row],[clean Salary (in local currency)]]*VLOOKUP(tblSalaries[[#This Row],[Currency]],tblXrate[],2,FALSE)</f>
        <v>4000</v>
      </c>
      <c r="H638" t="s">
        <v>721</v>
      </c>
      <c r="I638" t="s">
        <v>3999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  <c r="N638" t="str">
        <f>IF(tblSalaries[[#This Row],[Years of Experience]]="","",IF(tblSalaries[[#This Row],[Years of Experience]]&lt;=2,1,""))</f>
        <v/>
      </c>
      <c r="O638">
        <f>IF(tblSalaries[[#This Row],[Years of Experience]]="","",IF(AND(tblSalaries[[#This Row],[Years of Experience]]&gt;2,tblSalaries[[#This Row],[Years of Experience]]&lt;=5),1,""))</f>
        <v>1</v>
      </c>
      <c r="P638" t="str">
        <f>IF(tblSalaries[[#This Row],[Years of Experience]]="","",IF(AND(tblSalaries[[#This Row],[Years of Experience]]&gt;5,tblSalaries[[#This Row],[Years of Experience]]&lt;=10),1,""))</f>
        <v/>
      </c>
      <c r="Q638" t="str">
        <f>IF(tblSalaries[[#This Row],[Years of Experience]]="","",IF(AND(tblSalaries[[#This Row],[Years of Experience]]&gt;10,tblSalaries[[#This Row],[Years of Experience]]&lt;=15),1,""))</f>
        <v/>
      </c>
      <c r="R638" t="str">
        <f>IF(tblSalaries[[#This Row],[Years of Experience]]="","",IF(AND(tblSalaries[[#This Row],[Years of Experience]]&gt;16,tblSalaries[[#This Row],[Years of Experience]]&lt;=20),1,""))</f>
        <v/>
      </c>
      <c r="S638" t="str">
        <f>IF(tblSalaries[[#This Row],[Years of Experience]]="","",IF(tblSalaries[[#This Row],[Years of Experience]]&gt;20,1,""))</f>
        <v/>
      </c>
      <c r="T6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38" s="13" t="str">
        <f>IF(tblSalaries[[#This Row],[Job Type]]=tblSalaries[[#Headers],[Accountant]],tblSalaries[[#This Row],[Salary in USD]],"")</f>
        <v/>
      </c>
      <c r="V638" s="13" t="str">
        <f>IF(tblSalaries[[#This Row],[Job Type]]=tblSalaries[[#Headers],[Analyst]],tblSalaries[[#This Row],[Salary in USD]],"")</f>
        <v/>
      </c>
      <c r="W638" s="13" t="str">
        <f>IF(tblSalaries[[#This Row],[Job Type]]=tblSalaries[[#Headers],[Consultant]],tblSalaries[[#This Row],[Salary in USD]],"")</f>
        <v/>
      </c>
      <c r="X638" s="13" t="str">
        <f>IF(tblSalaries[[#This Row],[Job Type]]=tblSalaries[[#Headers],[Controller]],tblSalaries[[#This Row],[Salary in USD]],"")</f>
        <v/>
      </c>
      <c r="Y638" s="13" t="str">
        <f>IF(tblSalaries[[#This Row],[Job Type]]=tblSalaries[[#Headers],[CXO or Top Mgmt.]],tblSalaries[[#This Row],[clean Salary (in local currency)]],"")</f>
        <v/>
      </c>
      <c r="Z638" s="13" t="str">
        <f>IF(tblSalaries[[#This Row],[Job Type]]=tblSalaries[[#Headers],[Engineer]],tblSalaries[[#This Row],[Salary in USD]],"")</f>
        <v/>
      </c>
      <c r="AA638" s="13" t="str">
        <f>IF(tblSalaries[[#This Row],[Job Type]]=tblSalaries[[#Headers],[Manager]],tblSalaries[[#This Row],[Salary in USD]],"")</f>
        <v/>
      </c>
      <c r="AB638" s="13" t="str">
        <f>IF(tblSalaries[[#This Row],[Job Type]]=tblSalaries[[#Headers],[Misc.]],tblSalaries[[#This Row],[Salary in USD]],"")</f>
        <v/>
      </c>
      <c r="AC638" s="13">
        <f>IF(tblSalaries[[#This Row],[Job Type]]=tblSalaries[[#Headers],[Reporting]],tblSalaries[[#This Row],[Salary in USD]],"")</f>
        <v>4000</v>
      </c>
      <c r="AD638" s="13" t="str">
        <f>IF(tblSalaries[[#This Row],[Job Type]]=tblSalaries[[#Headers],[Specialist]],tblSalaries[[#This Row],[Salary in USD]],"")</f>
        <v/>
      </c>
    </row>
    <row r="639" spans="2:30" ht="15" customHeight="1" x14ac:dyDescent="0.25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 s="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  <c r="N639">
        <f>IF(tblSalaries[[#This Row],[Years of Experience]]="","",IF(tblSalaries[[#This Row],[Years of Experience]]&lt;=2,1,""))</f>
        <v>1</v>
      </c>
      <c r="O639" t="str">
        <f>IF(tblSalaries[[#This Row],[Years of Experience]]="","",IF(AND(tblSalaries[[#This Row],[Years of Experience]]&gt;2,tblSalaries[[#This Row],[Years of Experience]]&lt;=5),1,""))</f>
        <v/>
      </c>
      <c r="P639" t="str">
        <f>IF(tblSalaries[[#This Row],[Years of Experience]]="","",IF(AND(tblSalaries[[#This Row],[Years of Experience]]&gt;5,tblSalaries[[#This Row],[Years of Experience]]&lt;=10),1,""))</f>
        <v/>
      </c>
      <c r="Q639" t="str">
        <f>IF(tblSalaries[[#This Row],[Years of Experience]]="","",IF(AND(tblSalaries[[#This Row],[Years of Experience]]&gt;10,tblSalaries[[#This Row],[Years of Experience]]&lt;=15),1,""))</f>
        <v/>
      </c>
      <c r="R639" t="str">
        <f>IF(tblSalaries[[#This Row],[Years of Experience]]="","",IF(AND(tblSalaries[[#This Row],[Years of Experience]]&gt;16,tblSalaries[[#This Row],[Years of Experience]]&lt;=20),1,""))</f>
        <v/>
      </c>
      <c r="S639" t="str">
        <f>IF(tblSalaries[[#This Row],[Years of Experience]]="","",IF(tblSalaries[[#This Row],[Years of Experience]]&gt;20,1,""))</f>
        <v/>
      </c>
      <c r="T6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39" s="13" t="str">
        <f>IF(tblSalaries[[#This Row],[Job Type]]=tblSalaries[[#Headers],[Accountant]],tblSalaries[[#This Row],[Salary in USD]],"")</f>
        <v/>
      </c>
      <c r="V639" s="13" t="str">
        <f>IF(tblSalaries[[#This Row],[Job Type]]=tblSalaries[[#Headers],[Analyst]],tblSalaries[[#This Row],[Salary in USD]],"")</f>
        <v/>
      </c>
      <c r="W639" s="13" t="str">
        <f>IF(tblSalaries[[#This Row],[Job Type]]=tblSalaries[[#Headers],[Consultant]],tblSalaries[[#This Row],[Salary in USD]],"")</f>
        <v/>
      </c>
      <c r="X639" s="13" t="str">
        <f>IF(tblSalaries[[#This Row],[Job Type]]=tblSalaries[[#Headers],[Controller]],tblSalaries[[#This Row],[Salary in USD]],"")</f>
        <v/>
      </c>
      <c r="Y639" s="13" t="str">
        <f>IF(tblSalaries[[#This Row],[Job Type]]=tblSalaries[[#Headers],[CXO or Top Mgmt.]],tblSalaries[[#This Row],[clean Salary (in local currency)]],"")</f>
        <v/>
      </c>
      <c r="Z639" s="13" t="str">
        <f>IF(tblSalaries[[#This Row],[Job Type]]=tblSalaries[[#Headers],[Engineer]],tblSalaries[[#This Row],[Salary in USD]],"")</f>
        <v/>
      </c>
      <c r="AA639" s="13">
        <f>IF(tblSalaries[[#This Row],[Job Type]]=tblSalaries[[#Headers],[Manager]],tblSalaries[[#This Row],[Salary in USD]],"")</f>
        <v>8000</v>
      </c>
      <c r="AB639" s="13" t="str">
        <f>IF(tblSalaries[[#This Row],[Job Type]]=tblSalaries[[#Headers],[Misc.]],tblSalaries[[#This Row],[Salary in USD]],"")</f>
        <v/>
      </c>
      <c r="AC639" s="13" t="str">
        <f>IF(tblSalaries[[#This Row],[Job Type]]=tblSalaries[[#Headers],[Reporting]],tblSalaries[[#This Row],[Salary in USD]],"")</f>
        <v/>
      </c>
      <c r="AD639" s="13" t="str">
        <f>IF(tblSalaries[[#This Row],[Job Type]]=tblSalaries[[#Headers],[Specialist]],tblSalaries[[#This Row],[Salary in USD]],"")</f>
        <v/>
      </c>
    </row>
    <row r="640" spans="2:30" ht="15" customHeight="1" x14ac:dyDescent="0.25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 s="9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  <c r="N640" t="str">
        <f>IF(tblSalaries[[#This Row],[Years of Experience]]="","",IF(tblSalaries[[#This Row],[Years of Experience]]&lt;=2,1,""))</f>
        <v/>
      </c>
      <c r="O640">
        <f>IF(tblSalaries[[#This Row],[Years of Experience]]="","",IF(AND(tblSalaries[[#This Row],[Years of Experience]]&gt;2,tblSalaries[[#This Row],[Years of Experience]]&lt;=5),1,""))</f>
        <v>1</v>
      </c>
      <c r="P640" t="str">
        <f>IF(tblSalaries[[#This Row],[Years of Experience]]="","",IF(AND(tblSalaries[[#This Row],[Years of Experience]]&gt;5,tblSalaries[[#This Row],[Years of Experience]]&lt;=10),1,""))</f>
        <v/>
      </c>
      <c r="Q640" t="str">
        <f>IF(tblSalaries[[#This Row],[Years of Experience]]="","",IF(AND(tblSalaries[[#This Row],[Years of Experience]]&gt;10,tblSalaries[[#This Row],[Years of Experience]]&lt;=15),1,""))</f>
        <v/>
      </c>
      <c r="R640" t="str">
        <f>IF(tblSalaries[[#This Row],[Years of Experience]]="","",IF(AND(tblSalaries[[#This Row],[Years of Experience]]&gt;16,tblSalaries[[#This Row],[Years of Experience]]&lt;=20),1,""))</f>
        <v/>
      </c>
      <c r="S640" t="str">
        <f>IF(tblSalaries[[#This Row],[Years of Experience]]="","",IF(tblSalaries[[#This Row],[Years of Experience]]&gt;20,1,""))</f>
        <v/>
      </c>
      <c r="T6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40" s="13" t="str">
        <f>IF(tblSalaries[[#This Row],[Job Type]]=tblSalaries[[#Headers],[Accountant]],tblSalaries[[#This Row],[Salary in USD]],"")</f>
        <v/>
      </c>
      <c r="V640" s="13" t="str">
        <f>IF(tblSalaries[[#This Row],[Job Type]]=tblSalaries[[#Headers],[Analyst]],tblSalaries[[#This Row],[Salary in USD]],"")</f>
        <v/>
      </c>
      <c r="W640" s="13" t="str">
        <f>IF(tblSalaries[[#This Row],[Job Type]]=tblSalaries[[#Headers],[Consultant]],tblSalaries[[#This Row],[Salary in USD]],"")</f>
        <v/>
      </c>
      <c r="X640" s="13" t="str">
        <f>IF(tblSalaries[[#This Row],[Job Type]]=tblSalaries[[#Headers],[Controller]],tblSalaries[[#This Row],[Salary in USD]],"")</f>
        <v/>
      </c>
      <c r="Y640" s="13" t="str">
        <f>IF(tblSalaries[[#This Row],[Job Type]]=tblSalaries[[#Headers],[CXO or Top Mgmt.]],tblSalaries[[#This Row],[clean Salary (in local currency)]],"")</f>
        <v/>
      </c>
      <c r="Z640" s="13" t="str">
        <f>IF(tblSalaries[[#This Row],[Job Type]]=tblSalaries[[#Headers],[Engineer]],tblSalaries[[#This Row],[Salary in USD]],"")</f>
        <v/>
      </c>
      <c r="AA640" s="13">
        <f>IF(tblSalaries[[#This Row],[Job Type]]=tblSalaries[[#Headers],[Manager]],tblSalaries[[#This Row],[Salary in USD]],"")</f>
        <v>2671.1875031163854</v>
      </c>
      <c r="AB640" s="13" t="str">
        <f>IF(tblSalaries[[#This Row],[Job Type]]=tblSalaries[[#Headers],[Misc.]],tblSalaries[[#This Row],[Salary in USD]],"")</f>
        <v/>
      </c>
      <c r="AC640" s="13" t="str">
        <f>IF(tblSalaries[[#This Row],[Job Type]]=tblSalaries[[#Headers],[Reporting]],tblSalaries[[#This Row],[Salary in USD]],"")</f>
        <v/>
      </c>
      <c r="AD640" s="13" t="str">
        <f>IF(tblSalaries[[#This Row],[Job Type]]=tblSalaries[[#Headers],[Specialist]],tblSalaries[[#This Row],[Salary in USD]],"")</f>
        <v/>
      </c>
    </row>
    <row r="641" spans="2:30" ht="15" customHeight="1" x14ac:dyDescent="0.25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 s="9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  <c r="N641" t="str">
        <f>IF(tblSalaries[[#This Row],[Years of Experience]]="","",IF(tblSalaries[[#This Row],[Years of Experience]]&lt;=2,1,""))</f>
        <v/>
      </c>
      <c r="O641">
        <f>IF(tblSalaries[[#This Row],[Years of Experience]]="","",IF(AND(tblSalaries[[#This Row],[Years of Experience]]&gt;2,tblSalaries[[#This Row],[Years of Experience]]&lt;=5),1,""))</f>
        <v>1</v>
      </c>
      <c r="P641" t="str">
        <f>IF(tblSalaries[[#This Row],[Years of Experience]]="","",IF(AND(tblSalaries[[#This Row],[Years of Experience]]&gt;5,tblSalaries[[#This Row],[Years of Experience]]&lt;=10),1,""))</f>
        <v/>
      </c>
      <c r="Q641" t="str">
        <f>IF(tblSalaries[[#This Row],[Years of Experience]]="","",IF(AND(tblSalaries[[#This Row],[Years of Experience]]&gt;10,tblSalaries[[#This Row],[Years of Experience]]&lt;=15),1,""))</f>
        <v/>
      </c>
      <c r="R641" t="str">
        <f>IF(tblSalaries[[#This Row],[Years of Experience]]="","",IF(AND(tblSalaries[[#This Row],[Years of Experience]]&gt;16,tblSalaries[[#This Row],[Years of Experience]]&lt;=20),1,""))</f>
        <v/>
      </c>
      <c r="S641" t="str">
        <f>IF(tblSalaries[[#This Row],[Years of Experience]]="","",IF(tblSalaries[[#This Row],[Years of Experience]]&gt;20,1,""))</f>
        <v/>
      </c>
      <c r="T6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41" s="13" t="str">
        <f>IF(tblSalaries[[#This Row],[Job Type]]=tblSalaries[[#Headers],[Accountant]],tblSalaries[[#This Row],[Salary in USD]],"")</f>
        <v/>
      </c>
      <c r="V641" s="13" t="str">
        <f>IF(tblSalaries[[#This Row],[Job Type]]=tblSalaries[[#Headers],[Analyst]],tblSalaries[[#This Row],[Salary in USD]],"")</f>
        <v/>
      </c>
      <c r="W641" s="13" t="str">
        <f>IF(tblSalaries[[#This Row],[Job Type]]=tblSalaries[[#Headers],[Consultant]],tblSalaries[[#This Row],[Salary in USD]],"")</f>
        <v/>
      </c>
      <c r="X641" s="13" t="str">
        <f>IF(tblSalaries[[#This Row],[Job Type]]=tblSalaries[[#Headers],[Controller]],tblSalaries[[#This Row],[Salary in USD]],"")</f>
        <v/>
      </c>
      <c r="Y641" s="13" t="str">
        <f>IF(tblSalaries[[#This Row],[Job Type]]=tblSalaries[[#Headers],[CXO or Top Mgmt.]],tblSalaries[[#This Row],[clean Salary (in local currency)]],"")</f>
        <v/>
      </c>
      <c r="Z641" s="13">
        <f>IF(tblSalaries[[#This Row],[Job Type]]=tblSalaries[[#Headers],[Engineer]],tblSalaries[[#This Row],[Salary in USD]],"")</f>
        <v>14246.333349954055</v>
      </c>
      <c r="AA641" s="13" t="str">
        <f>IF(tblSalaries[[#This Row],[Job Type]]=tblSalaries[[#Headers],[Manager]],tblSalaries[[#This Row],[Salary in USD]],"")</f>
        <v/>
      </c>
      <c r="AB641" s="13" t="str">
        <f>IF(tblSalaries[[#This Row],[Job Type]]=tblSalaries[[#Headers],[Misc.]],tblSalaries[[#This Row],[Salary in USD]],"")</f>
        <v/>
      </c>
      <c r="AC641" s="13" t="str">
        <f>IF(tblSalaries[[#This Row],[Job Type]]=tblSalaries[[#Headers],[Reporting]],tblSalaries[[#This Row],[Salary in USD]],"")</f>
        <v/>
      </c>
      <c r="AD641" s="13" t="str">
        <f>IF(tblSalaries[[#This Row],[Job Type]]=tblSalaries[[#Headers],[Specialist]],tblSalaries[[#This Row],[Salary in USD]],"")</f>
        <v/>
      </c>
    </row>
    <row r="642" spans="2:30" ht="15" customHeight="1" x14ac:dyDescent="0.25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 s="9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3999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  <c r="N642" t="str">
        <f>IF(tblSalaries[[#This Row],[Years of Experience]]="","",IF(tblSalaries[[#This Row],[Years of Experience]]&lt;=2,1,""))</f>
        <v/>
      </c>
      <c r="O642">
        <f>IF(tblSalaries[[#This Row],[Years of Experience]]="","",IF(AND(tblSalaries[[#This Row],[Years of Experience]]&gt;2,tblSalaries[[#This Row],[Years of Experience]]&lt;=5),1,""))</f>
        <v>1</v>
      </c>
      <c r="P642" t="str">
        <f>IF(tblSalaries[[#This Row],[Years of Experience]]="","",IF(AND(tblSalaries[[#This Row],[Years of Experience]]&gt;5,tblSalaries[[#This Row],[Years of Experience]]&lt;=10),1,""))</f>
        <v/>
      </c>
      <c r="Q642" t="str">
        <f>IF(tblSalaries[[#This Row],[Years of Experience]]="","",IF(AND(tblSalaries[[#This Row],[Years of Experience]]&gt;10,tblSalaries[[#This Row],[Years of Experience]]&lt;=15),1,""))</f>
        <v/>
      </c>
      <c r="R642" t="str">
        <f>IF(tblSalaries[[#This Row],[Years of Experience]]="","",IF(AND(tblSalaries[[#This Row],[Years of Experience]]&gt;16,tblSalaries[[#This Row],[Years of Experience]]&lt;=20),1,""))</f>
        <v/>
      </c>
      <c r="S642" t="str">
        <f>IF(tblSalaries[[#This Row],[Years of Experience]]="","",IF(tblSalaries[[#This Row],[Years of Experience]]&gt;20,1,""))</f>
        <v/>
      </c>
      <c r="T6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42" s="13" t="str">
        <f>IF(tblSalaries[[#This Row],[Job Type]]=tblSalaries[[#Headers],[Accountant]],tblSalaries[[#This Row],[Salary in USD]],"")</f>
        <v/>
      </c>
      <c r="V642" s="13" t="str">
        <f>IF(tblSalaries[[#This Row],[Job Type]]=tblSalaries[[#Headers],[Analyst]],tblSalaries[[#This Row],[Salary in USD]],"")</f>
        <v/>
      </c>
      <c r="W642" s="13" t="str">
        <f>IF(tblSalaries[[#This Row],[Job Type]]=tblSalaries[[#Headers],[Consultant]],tblSalaries[[#This Row],[Salary in USD]],"")</f>
        <v/>
      </c>
      <c r="X642" s="13" t="str">
        <f>IF(tblSalaries[[#This Row],[Job Type]]=tblSalaries[[#Headers],[Controller]],tblSalaries[[#This Row],[Salary in USD]],"")</f>
        <v/>
      </c>
      <c r="Y642" s="13" t="str">
        <f>IF(tblSalaries[[#This Row],[Job Type]]=tblSalaries[[#Headers],[CXO or Top Mgmt.]],tblSalaries[[#This Row],[clean Salary (in local currency)]],"")</f>
        <v/>
      </c>
      <c r="Z642" s="13" t="str">
        <f>IF(tblSalaries[[#This Row],[Job Type]]=tblSalaries[[#Headers],[Engineer]],tblSalaries[[#This Row],[Salary in USD]],"")</f>
        <v/>
      </c>
      <c r="AA642" s="13" t="str">
        <f>IF(tblSalaries[[#This Row],[Job Type]]=tblSalaries[[#Headers],[Manager]],tblSalaries[[#This Row],[Salary in USD]],"")</f>
        <v/>
      </c>
      <c r="AB642" s="13" t="str">
        <f>IF(tblSalaries[[#This Row],[Job Type]]=tblSalaries[[#Headers],[Misc.]],tblSalaries[[#This Row],[Salary in USD]],"")</f>
        <v/>
      </c>
      <c r="AC642" s="13">
        <f>IF(tblSalaries[[#This Row],[Job Type]]=tblSalaries[[#Headers],[Reporting]],tblSalaries[[#This Row],[Salary in USD]],"")</f>
        <v>8547.8000099724322</v>
      </c>
      <c r="AD642" s="13" t="str">
        <f>IF(tblSalaries[[#This Row],[Job Type]]=tblSalaries[[#Headers],[Specialist]],tblSalaries[[#This Row],[Salary in USD]],"")</f>
        <v/>
      </c>
    </row>
    <row r="643" spans="2:30" ht="15" customHeight="1" x14ac:dyDescent="0.25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 s="9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  <c r="N643" t="str">
        <f>IF(tblSalaries[[#This Row],[Years of Experience]]="","",IF(tblSalaries[[#This Row],[Years of Experience]]&lt;=2,1,""))</f>
        <v/>
      </c>
      <c r="O643">
        <f>IF(tblSalaries[[#This Row],[Years of Experience]]="","",IF(AND(tblSalaries[[#This Row],[Years of Experience]]&gt;2,tblSalaries[[#This Row],[Years of Experience]]&lt;=5),1,""))</f>
        <v>1</v>
      </c>
      <c r="P643" t="str">
        <f>IF(tblSalaries[[#This Row],[Years of Experience]]="","",IF(AND(tblSalaries[[#This Row],[Years of Experience]]&gt;5,tblSalaries[[#This Row],[Years of Experience]]&lt;=10),1,""))</f>
        <v/>
      </c>
      <c r="Q643" t="str">
        <f>IF(tblSalaries[[#This Row],[Years of Experience]]="","",IF(AND(tblSalaries[[#This Row],[Years of Experience]]&gt;10,tblSalaries[[#This Row],[Years of Experience]]&lt;=15),1,""))</f>
        <v/>
      </c>
      <c r="R643" t="str">
        <f>IF(tblSalaries[[#This Row],[Years of Experience]]="","",IF(AND(tblSalaries[[#This Row],[Years of Experience]]&gt;16,tblSalaries[[#This Row],[Years of Experience]]&lt;=20),1,""))</f>
        <v/>
      </c>
      <c r="S643" t="str">
        <f>IF(tblSalaries[[#This Row],[Years of Experience]]="","",IF(tblSalaries[[#This Row],[Years of Experience]]&gt;20,1,""))</f>
        <v/>
      </c>
      <c r="T6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43" s="13" t="str">
        <f>IF(tblSalaries[[#This Row],[Job Type]]=tblSalaries[[#Headers],[Accountant]],tblSalaries[[#This Row],[Salary in USD]],"")</f>
        <v/>
      </c>
      <c r="V643" s="13" t="str">
        <f>IF(tblSalaries[[#This Row],[Job Type]]=tblSalaries[[#Headers],[Analyst]],tblSalaries[[#This Row],[Salary in USD]],"")</f>
        <v/>
      </c>
      <c r="W643" s="13" t="str">
        <f>IF(tblSalaries[[#This Row],[Job Type]]=tblSalaries[[#Headers],[Consultant]],tblSalaries[[#This Row],[Salary in USD]],"")</f>
        <v/>
      </c>
      <c r="X643" s="13" t="str">
        <f>IF(tblSalaries[[#This Row],[Job Type]]=tblSalaries[[#Headers],[Controller]],tblSalaries[[#This Row],[Salary in USD]],"")</f>
        <v/>
      </c>
      <c r="Y643" s="13" t="str">
        <f>IF(tblSalaries[[#This Row],[Job Type]]=tblSalaries[[#Headers],[CXO or Top Mgmt.]],tblSalaries[[#This Row],[clean Salary (in local currency)]],"")</f>
        <v/>
      </c>
      <c r="Z643" s="13" t="str">
        <f>IF(tblSalaries[[#This Row],[Job Type]]=tblSalaries[[#Headers],[Engineer]],tblSalaries[[#This Row],[Salary in USD]],"")</f>
        <v/>
      </c>
      <c r="AA643" s="13">
        <f>IF(tblSalaries[[#This Row],[Job Type]]=tblSalaries[[#Headers],[Manager]],tblSalaries[[#This Row],[Salary in USD]],"")</f>
        <v>7693.0200089751897</v>
      </c>
      <c r="AB643" s="13" t="str">
        <f>IF(tblSalaries[[#This Row],[Job Type]]=tblSalaries[[#Headers],[Misc.]],tblSalaries[[#This Row],[Salary in USD]],"")</f>
        <v/>
      </c>
      <c r="AC643" s="13" t="str">
        <f>IF(tblSalaries[[#This Row],[Job Type]]=tblSalaries[[#Headers],[Reporting]],tblSalaries[[#This Row],[Salary in USD]],"")</f>
        <v/>
      </c>
      <c r="AD643" s="13" t="str">
        <f>IF(tblSalaries[[#This Row],[Job Type]]=tblSalaries[[#Headers],[Specialist]],tblSalaries[[#This Row],[Salary in USD]],"")</f>
        <v/>
      </c>
    </row>
    <row r="644" spans="2:30" ht="15" customHeight="1" x14ac:dyDescent="0.25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 s="9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  <c r="N644" t="str">
        <f>IF(tblSalaries[[#This Row],[Years of Experience]]="","",IF(tblSalaries[[#This Row],[Years of Experience]]&lt;=2,1,""))</f>
        <v/>
      </c>
      <c r="O644" t="str">
        <f>IF(tblSalaries[[#This Row],[Years of Experience]]="","",IF(AND(tblSalaries[[#This Row],[Years of Experience]]&gt;2,tblSalaries[[#This Row],[Years of Experience]]&lt;=5),1,""))</f>
        <v/>
      </c>
      <c r="P644">
        <f>IF(tblSalaries[[#This Row],[Years of Experience]]="","",IF(AND(tblSalaries[[#This Row],[Years of Experience]]&gt;5,tblSalaries[[#This Row],[Years of Experience]]&lt;=10),1,""))</f>
        <v>1</v>
      </c>
      <c r="Q644" t="str">
        <f>IF(tblSalaries[[#This Row],[Years of Experience]]="","",IF(AND(tblSalaries[[#This Row],[Years of Experience]]&gt;10,tblSalaries[[#This Row],[Years of Experience]]&lt;=15),1,""))</f>
        <v/>
      </c>
      <c r="R644" t="str">
        <f>IF(tblSalaries[[#This Row],[Years of Experience]]="","",IF(AND(tblSalaries[[#This Row],[Years of Experience]]&gt;16,tblSalaries[[#This Row],[Years of Experience]]&lt;=20),1,""))</f>
        <v/>
      </c>
      <c r="S644" t="str">
        <f>IF(tblSalaries[[#This Row],[Years of Experience]]="","",IF(tblSalaries[[#This Row],[Years of Experience]]&gt;20,1,""))</f>
        <v/>
      </c>
      <c r="T6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44" s="13" t="str">
        <f>IF(tblSalaries[[#This Row],[Job Type]]=tblSalaries[[#Headers],[Accountant]],tblSalaries[[#This Row],[Salary in USD]],"")</f>
        <v/>
      </c>
      <c r="V644" s="13" t="str">
        <f>IF(tblSalaries[[#This Row],[Job Type]]=tblSalaries[[#Headers],[Analyst]],tblSalaries[[#This Row],[Salary in USD]],"")</f>
        <v/>
      </c>
      <c r="W644" s="13" t="str">
        <f>IF(tblSalaries[[#This Row],[Job Type]]=tblSalaries[[#Headers],[Consultant]],tblSalaries[[#This Row],[Salary in USD]],"")</f>
        <v/>
      </c>
      <c r="X644" s="13" t="str">
        <f>IF(tblSalaries[[#This Row],[Job Type]]=tblSalaries[[#Headers],[Controller]],tblSalaries[[#This Row],[Salary in USD]],"")</f>
        <v/>
      </c>
      <c r="Y644" s="13" t="str">
        <f>IF(tblSalaries[[#This Row],[Job Type]]=tblSalaries[[#Headers],[CXO or Top Mgmt.]],tblSalaries[[#This Row],[clean Salary (in local currency)]],"")</f>
        <v/>
      </c>
      <c r="Z644" s="13" t="str">
        <f>IF(tblSalaries[[#This Row],[Job Type]]=tblSalaries[[#Headers],[Engineer]],tblSalaries[[#This Row],[Salary in USD]],"")</f>
        <v/>
      </c>
      <c r="AA644" s="13">
        <f>IF(tblSalaries[[#This Row],[Job Type]]=tblSalaries[[#Headers],[Manager]],tblSalaries[[#This Row],[Salary in USD]],"")</f>
        <v>4000</v>
      </c>
      <c r="AB644" s="13" t="str">
        <f>IF(tblSalaries[[#This Row],[Job Type]]=tblSalaries[[#Headers],[Misc.]],tblSalaries[[#This Row],[Salary in USD]],"")</f>
        <v/>
      </c>
      <c r="AC644" s="13" t="str">
        <f>IF(tblSalaries[[#This Row],[Job Type]]=tblSalaries[[#Headers],[Reporting]],tblSalaries[[#This Row],[Salary in USD]],"")</f>
        <v/>
      </c>
      <c r="AD644" s="13" t="str">
        <f>IF(tblSalaries[[#This Row],[Job Type]]=tblSalaries[[#Headers],[Specialist]],tblSalaries[[#This Row],[Salary in USD]],"")</f>
        <v/>
      </c>
    </row>
    <row r="645" spans="2:30" ht="15" customHeight="1" x14ac:dyDescent="0.25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 s="9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  <c r="N645" t="str">
        <f>IF(tblSalaries[[#This Row],[Years of Experience]]="","",IF(tblSalaries[[#This Row],[Years of Experience]]&lt;=2,1,""))</f>
        <v/>
      </c>
      <c r="O645">
        <f>IF(tblSalaries[[#This Row],[Years of Experience]]="","",IF(AND(tblSalaries[[#This Row],[Years of Experience]]&gt;2,tblSalaries[[#This Row],[Years of Experience]]&lt;=5),1,""))</f>
        <v>1</v>
      </c>
      <c r="P645" t="str">
        <f>IF(tblSalaries[[#This Row],[Years of Experience]]="","",IF(AND(tblSalaries[[#This Row],[Years of Experience]]&gt;5,tblSalaries[[#This Row],[Years of Experience]]&lt;=10),1,""))</f>
        <v/>
      </c>
      <c r="Q645" t="str">
        <f>IF(tblSalaries[[#This Row],[Years of Experience]]="","",IF(AND(tblSalaries[[#This Row],[Years of Experience]]&gt;10,tblSalaries[[#This Row],[Years of Experience]]&lt;=15),1,""))</f>
        <v/>
      </c>
      <c r="R645" t="str">
        <f>IF(tblSalaries[[#This Row],[Years of Experience]]="","",IF(AND(tblSalaries[[#This Row],[Years of Experience]]&gt;16,tblSalaries[[#This Row],[Years of Experience]]&lt;=20),1,""))</f>
        <v/>
      </c>
      <c r="S645" t="str">
        <f>IF(tblSalaries[[#This Row],[Years of Experience]]="","",IF(tblSalaries[[#This Row],[Years of Experience]]&gt;20,1,""))</f>
        <v/>
      </c>
      <c r="T6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45" s="13" t="str">
        <f>IF(tblSalaries[[#This Row],[Job Type]]=tblSalaries[[#Headers],[Accountant]],tblSalaries[[#This Row],[Salary in USD]],"")</f>
        <v/>
      </c>
      <c r="V645" s="13" t="str">
        <f>IF(tblSalaries[[#This Row],[Job Type]]=tblSalaries[[#Headers],[Analyst]],tblSalaries[[#This Row],[Salary in USD]],"")</f>
        <v/>
      </c>
      <c r="W645" s="13" t="str">
        <f>IF(tblSalaries[[#This Row],[Job Type]]=tblSalaries[[#Headers],[Consultant]],tblSalaries[[#This Row],[Salary in USD]],"")</f>
        <v/>
      </c>
      <c r="X645" s="13" t="str">
        <f>IF(tblSalaries[[#This Row],[Job Type]]=tblSalaries[[#Headers],[Controller]],tblSalaries[[#This Row],[Salary in USD]],"")</f>
        <v/>
      </c>
      <c r="Y645" s="13" t="str">
        <f>IF(tblSalaries[[#This Row],[Job Type]]=tblSalaries[[#Headers],[CXO or Top Mgmt.]],tblSalaries[[#This Row],[clean Salary (in local currency)]],"")</f>
        <v/>
      </c>
      <c r="Z645" s="13" t="str">
        <f>IF(tblSalaries[[#This Row],[Job Type]]=tblSalaries[[#Headers],[Engineer]],tblSalaries[[#This Row],[Salary in USD]],"")</f>
        <v/>
      </c>
      <c r="AA645" s="13">
        <f>IF(tblSalaries[[#This Row],[Job Type]]=tblSalaries[[#Headers],[Manager]],tblSalaries[[#This Row],[Salary in USD]],"")</f>
        <v>5400</v>
      </c>
      <c r="AB645" s="13" t="str">
        <f>IF(tblSalaries[[#This Row],[Job Type]]=tblSalaries[[#Headers],[Misc.]],tblSalaries[[#This Row],[Salary in USD]],"")</f>
        <v/>
      </c>
      <c r="AC645" s="13" t="str">
        <f>IF(tblSalaries[[#This Row],[Job Type]]=tblSalaries[[#Headers],[Reporting]],tblSalaries[[#This Row],[Salary in USD]],"")</f>
        <v/>
      </c>
      <c r="AD645" s="13" t="str">
        <f>IF(tblSalaries[[#This Row],[Job Type]]=tblSalaries[[#Headers],[Specialist]],tblSalaries[[#This Row],[Salary in USD]],"")</f>
        <v/>
      </c>
    </row>
    <row r="646" spans="2:30" ht="15" customHeight="1" x14ac:dyDescent="0.25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 s="9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  <c r="N646" t="str">
        <f>IF(tblSalaries[[#This Row],[Years of Experience]]="","",IF(tblSalaries[[#This Row],[Years of Experience]]&lt;=2,1,""))</f>
        <v/>
      </c>
      <c r="O646" t="str">
        <f>IF(tblSalaries[[#This Row],[Years of Experience]]="","",IF(AND(tblSalaries[[#This Row],[Years of Experience]]&gt;2,tblSalaries[[#This Row],[Years of Experience]]&lt;=5),1,""))</f>
        <v/>
      </c>
      <c r="P646">
        <f>IF(tblSalaries[[#This Row],[Years of Experience]]="","",IF(AND(tblSalaries[[#This Row],[Years of Experience]]&gt;5,tblSalaries[[#This Row],[Years of Experience]]&lt;=10),1,""))</f>
        <v>1</v>
      </c>
      <c r="Q646" t="str">
        <f>IF(tblSalaries[[#This Row],[Years of Experience]]="","",IF(AND(tblSalaries[[#This Row],[Years of Experience]]&gt;10,tblSalaries[[#This Row],[Years of Experience]]&lt;=15),1,""))</f>
        <v/>
      </c>
      <c r="R646" t="str">
        <f>IF(tblSalaries[[#This Row],[Years of Experience]]="","",IF(AND(tblSalaries[[#This Row],[Years of Experience]]&gt;16,tblSalaries[[#This Row],[Years of Experience]]&lt;=20),1,""))</f>
        <v/>
      </c>
      <c r="S646" t="str">
        <f>IF(tblSalaries[[#This Row],[Years of Experience]]="","",IF(tblSalaries[[#This Row],[Years of Experience]]&gt;20,1,""))</f>
        <v/>
      </c>
      <c r="T6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46" s="13" t="str">
        <f>IF(tblSalaries[[#This Row],[Job Type]]=tblSalaries[[#Headers],[Accountant]],tblSalaries[[#This Row],[Salary in USD]],"")</f>
        <v/>
      </c>
      <c r="V646" s="13" t="str">
        <f>IF(tblSalaries[[#This Row],[Job Type]]=tblSalaries[[#Headers],[Analyst]],tblSalaries[[#This Row],[Salary in USD]],"")</f>
        <v/>
      </c>
      <c r="W646" s="13" t="str">
        <f>IF(tblSalaries[[#This Row],[Job Type]]=tblSalaries[[#Headers],[Consultant]],tblSalaries[[#This Row],[Salary in USD]],"")</f>
        <v/>
      </c>
      <c r="X646" s="13" t="str">
        <f>IF(tblSalaries[[#This Row],[Job Type]]=tblSalaries[[#Headers],[Controller]],tblSalaries[[#This Row],[Salary in USD]],"")</f>
        <v/>
      </c>
      <c r="Y646" s="13" t="str">
        <f>IF(tblSalaries[[#This Row],[Job Type]]=tblSalaries[[#Headers],[CXO or Top Mgmt.]],tblSalaries[[#This Row],[clean Salary (in local currency)]],"")</f>
        <v/>
      </c>
      <c r="Z646" s="13" t="str">
        <f>IF(tblSalaries[[#This Row],[Job Type]]=tblSalaries[[#Headers],[Engineer]],tblSalaries[[#This Row],[Salary in USD]],"")</f>
        <v/>
      </c>
      <c r="AA646" s="13">
        <f>IF(tblSalaries[[#This Row],[Job Type]]=tblSalaries[[#Headers],[Manager]],tblSalaries[[#This Row],[Salary in USD]],"")</f>
        <v>186983.12521814698</v>
      </c>
      <c r="AB646" s="13" t="str">
        <f>IF(tblSalaries[[#This Row],[Job Type]]=tblSalaries[[#Headers],[Misc.]],tblSalaries[[#This Row],[Salary in USD]],"")</f>
        <v/>
      </c>
      <c r="AC646" s="13" t="str">
        <f>IF(tblSalaries[[#This Row],[Job Type]]=tblSalaries[[#Headers],[Reporting]],tblSalaries[[#This Row],[Salary in USD]],"")</f>
        <v/>
      </c>
      <c r="AD646" s="13" t="str">
        <f>IF(tblSalaries[[#This Row],[Job Type]]=tblSalaries[[#Headers],[Specialist]],tblSalaries[[#This Row],[Salary in USD]],"")</f>
        <v/>
      </c>
    </row>
    <row r="647" spans="2:30" ht="15" customHeight="1" x14ac:dyDescent="0.25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 s="9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  <c r="N647" t="str">
        <f>IF(tblSalaries[[#This Row],[Years of Experience]]="","",IF(tblSalaries[[#This Row],[Years of Experience]]&lt;=2,1,""))</f>
        <v/>
      </c>
      <c r="O647" t="str">
        <f>IF(tblSalaries[[#This Row],[Years of Experience]]="","",IF(AND(tblSalaries[[#This Row],[Years of Experience]]&gt;2,tblSalaries[[#This Row],[Years of Experience]]&lt;=5),1,""))</f>
        <v/>
      </c>
      <c r="P647">
        <f>IF(tblSalaries[[#This Row],[Years of Experience]]="","",IF(AND(tblSalaries[[#This Row],[Years of Experience]]&gt;5,tblSalaries[[#This Row],[Years of Experience]]&lt;=10),1,""))</f>
        <v>1</v>
      </c>
      <c r="Q647" t="str">
        <f>IF(tblSalaries[[#This Row],[Years of Experience]]="","",IF(AND(tblSalaries[[#This Row],[Years of Experience]]&gt;10,tblSalaries[[#This Row],[Years of Experience]]&lt;=15),1,""))</f>
        <v/>
      </c>
      <c r="R647" t="str">
        <f>IF(tblSalaries[[#This Row],[Years of Experience]]="","",IF(AND(tblSalaries[[#This Row],[Years of Experience]]&gt;16,tblSalaries[[#This Row],[Years of Experience]]&lt;=20),1,""))</f>
        <v/>
      </c>
      <c r="S647" t="str">
        <f>IF(tblSalaries[[#This Row],[Years of Experience]]="","",IF(tblSalaries[[#This Row],[Years of Experience]]&gt;20,1,""))</f>
        <v/>
      </c>
      <c r="T6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47" s="13" t="str">
        <f>IF(tblSalaries[[#This Row],[Job Type]]=tblSalaries[[#Headers],[Accountant]],tblSalaries[[#This Row],[Salary in USD]],"")</f>
        <v/>
      </c>
      <c r="V647" s="13">
        <f>IF(tblSalaries[[#This Row],[Job Type]]=tblSalaries[[#Headers],[Analyst]],tblSalaries[[#This Row],[Salary in USD]],"")</f>
        <v>21500</v>
      </c>
      <c r="W647" s="13" t="str">
        <f>IF(tblSalaries[[#This Row],[Job Type]]=tblSalaries[[#Headers],[Consultant]],tblSalaries[[#This Row],[Salary in USD]],"")</f>
        <v/>
      </c>
      <c r="X647" s="13" t="str">
        <f>IF(tblSalaries[[#This Row],[Job Type]]=tblSalaries[[#Headers],[Controller]],tblSalaries[[#This Row],[Salary in USD]],"")</f>
        <v/>
      </c>
      <c r="Y647" s="13" t="str">
        <f>IF(tblSalaries[[#This Row],[Job Type]]=tblSalaries[[#Headers],[CXO or Top Mgmt.]],tblSalaries[[#This Row],[clean Salary (in local currency)]],"")</f>
        <v/>
      </c>
      <c r="Z647" s="13" t="str">
        <f>IF(tblSalaries[[#This Row],[Job Type]]=tblSalaries[[#Headers],[Engineer]],tblSalaries[[#This Row],[Salary in USD]],"")</f>
        <v/>
      </c>
      <c r="AA647" s="13" t="str">
        <f>IF(tblSalaries[[#This Row],[Job Type]]=tblSalaries[[#Headers],[Manager]],tblSalaries[[#This Row],[Salary in USD]],"")</f>
        <v/>
      </c>
      <c r="AB647" s="13" t="str">
        <f>IF(tblSalaries[[#This Row],[Job Type]]=tblSalaries[[#Headers],[Misc.]],tblSalaries[[#This Row],[Salary in USD]],"")</f>
        <v/>
      </c>
      <c r="AC647" s="13" t="str">
        <f>IF(tblSalaries[[#This Row],[Job Type]]=tblSalaries[[#Headers],[Reporting]],tblSalaries[[#This Row],[Salary in USD]],"")</f>
        <v/>
      </c>
      <c r="AD647" s="13" t="str">
        <f>IF(tblSalaries[[#This Row],[Job Type]]=tblSalaries[[#Headers],[Specialist]],tblSalaries[[#This Row],[Salary in USD]],"")</f>
        <v/>
      </c>
    </row>
    <row r="648" spans="2:30" ht="15" customHeight="1" x14ac:dyDescent="0.25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 s="9">
        <f>tblSalaries[[#This Row],[clean Salary (in local currency)]]*VLOOKUP(tblSalaries[[#This Row],[Currency]],tblXrate[],2,FALSE)</f>
        <v>15000</v>
      </c>
      <c r="H648" t="s">
        <v>721</v>
      </c>
      <c r="I648" t="s">
        <v>3999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  <c r="N648">
        <f>IF(tblSalaries[[#This Row],[Years of Experience]]="","",IF(tblSalaries[[#This Row],[Years of Experience]]&lt;=2,1,""))</f>
        <v>1</v>
      </c>
      <c r="O648" t="str">
        <f>IF(tblSalaries[[#This Row],[Years of Experience]]="","",IF(AND(tblSalaries[[#This Row],[Years of Experience]]&gt;2,tblSalaries[[#This Row],[Years of Experience]]&lt;=5),1,""))</f>
        <v/>
      </c>
      <c r="P648" t="str">
        <f>IF(tblSalaries[[#This Row],[Years of Experience]]="","",IF(AND(tblSalaries[[#This Row],[Years of Experience]]&gt;5,tblSalaries[[#This Row],[Years of Experience]]&lt;=10),1,""))</f>
        <v/>
      </c>
      <c r="Q648" t="str">
        <f>IF(tblSalaries[[#This Row],[Years of Experience]]="","",IF(AND(tblSalaries[[#This Row],[Years of Experience]]&gt;10,tblSalaries[[#This Row],[Years of Experience]]&lt;=15),1,""))</f>
        <v/>
      </c>
      <c r="R648" t="str">
        <f>IF(tblSalaries[[#This Row],[Years of Experience]]="","",IF(AND(tblSalaries[[#This Row],[Years of Experience]]&gt;16,tblSalaries[[#This Row],[Years of Experience]]&lt;=20),1,""))</f>
        <v/>
      </c>
      <c r="S648" t="str">
        <f>IF(tblSalaries[[#This Row],[Years of Experience]]="","",IF(tblSalaries[[#This Row],[Years of Experience]]&gt;20,1,""))</f>
        <v/>
      </c>
      <c r="T6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48" s="13" t="str">
        <f>IF(tblSalaries[[#This Row],[Job Type]]=tblSalaries[[#Headers],[Accountant]],tblSalaries[[#This Row],[Salary in USD]],"")</f>
        <v/>
      </c>
      <c r="V648" s="13" t="str">
        <f>IF(tblSalaries[[#This Row],[Job Type]]=tblSalaries[[#Headers],[Analyst]],tblSalaries[[#This Row],[Salary in USD]],"")</f>
        <v/>
      </c>
      <c r="W648" s="13" t="str">
        <f>IF(tblSalaries[[#This Row],[Job Type]]=tblSalaries[[#Headers],[Consultant]],tblSalaries[[#This Row],[Salary in USD]],"")</f>
        <v/>
      </c>
      <c r="X648" s="13" t="str">
        <f>IF(tblSalaries[[#This Row],[Job Type]]=tblSalaries[[#Headers],[Controller]],tblSalaries[[#This Row],[Salary in USD]],"")</f>
        <v/>
      </c>
      <c r="Y648" s="13" t="str">
        <f>IF(tblSalaries[[#This Row],[Job Type]]=tblSalaries[[#Headers],[CXO or Top Mgmt.]],tblSalaries[[#This Row],[clean Salary (in local currency)]],"")</f>
        <v/>
      </c>
      <c r="Z648" s="13" t="str">
        <f>IF(tblSalaries[[#This Row],[Job Type]]=tblSalaries[[#Headers],[Engineer]],tblSalaries[[#This Row],[Salary in USD]],"")</f>
        <v/>
      </c>
      <c r="AA648" s="13" t="str">
        <f>IF(tblSalaries[[#This Row],[Job Type]]=tblSalaries[[#Headers],[Manager]],tblSalaries[[#This Row],[Salary in USD]],"")</f>
        <v/>
      </c>
      <c r="AB648" s="13" t="str">
        <f>IF(tblSalaries[[#This Row],[Job Type]]=tblSalaries[[#Headers],[Misc.]],tblSalaries[[#This Row],[Salary in USD]],"")</f>
        <v/>
      </c>
      <c r="AC648" s="13">
        <f>IF(tblSalaries[[#This Row],[Job Type]]=tblSalaries[[#Headers],[Reporting]],tblSalaries[[#This Row],[Salary in USD]],"")</f>
        <v>15000</v>
      </c>
      <c r="AD648" s="13" t="str">
        <f>IF(tblSalaries[[#This Row],[Job Type]]=tblSalaries[[#Headers],[Specialist]],tblSalaries[[#This Row],[Salary in USD]],"")</f>
        <v/>
      </c>
    </row>
    <row r="649" spans="2:30" ht="15" customHeight="1" x14ac:dyDescent="0.25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 s="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  <c r="N649">
        <f>IF(tblSalaries[[#This Row],[Years of Experience]]="","",IF(tblSalaries[[#This Row],[Years of Experience]]&lt;=2,1,""))</f>
        <v>1</v>
      </c>
      <c r="O649" t="str">
        <f>IF(tblSalaries[[#This Row],[Years of Experience]]="","",IF(AND(tblSalaries[[#This Row],[Years of Experience]]&gt;2,tblSalaries[[#This Row],[Years of Experience]]&lt;=5),1,""))</f>
        <v/>
      </c>
      <c r="P649" t="str">
        <f>IF(tblSalaries[[#This Row],[Years of Experience]]="","",IF(AND(tblSalaries[[#This Row],[Years of Experience]]&gt;5,tblSalaries[[#This Row],[Years of Experience]]&lt;=10),1,""))</f>
        <v/>
      </c>
      <c r="Q649" t="str">
        <f>IF(tblSalaries[[#This Row],[Years of Experience]]="","",IF(AND(tblSalaries[[#This Row],[Years of Experience]]&gt;10,tblSalaries[[#This Row],[Years of Experience]]&lt;=15),1,""))</f>
        <v/>
      </c>
      <c r="R649" t="str">
        <f>IF(tblSalaries[[#This Row],[Years of Experience]]="","",IF(AND(tblSalaries[[#This Row],[Years of Experience]]&gt;16,tblSalaries[[#This Row],[Years of Experience]]&lt;=20),1,""))</f>
        <v/>
      </c>
      <c r="S649" t="str">
        <f>IF(tblSalaries[[#This Row],[Years of Experience]]="","",IF(tblSalaries[[#This Row],[Years of Experience]]&gt;20,1,""))</f>
        <v/>
      </c>
      <c r="T6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49" s="13">
        <f>IF(tblSalaries[[#This Row],[Job Type]]=tblSalaries[[#Headers],[Accountant]],tblSalaries[[#This Row],[Salary in USD]],"")</f>
        <v>2122.8177433598262</v>
      </c>
      <c r="V649" s="13" t="str">
        <f>IF(tblSalaries[[#This Row],[Job Type]]=tblSalaries[[#Headers],[Analyst]],tblSalaries[[#This Row],[Salary in USD]],"")</f>
        <v/>
      </c>
      <c r="W649" s="13" t="str">
        <f>IF(tblSalaries[[#This Row],[Job Type]]=tblSalaries[[#Headers],[Consultant]],tblSalaries[[#This Row],[Salary in USD]],"")</f>
        <v/>
      </c>
      <c r="X649" s="13" t="str">
        <f>IF(tblSalaries[[#This Row],[Job Type]]=tblSalaries[[#Headers],[Controller]],tblSalaries[[#This Row],[Salary in USD]],"")</f>
        <v/>
      </c>
      <c r="Y649" s="13" t="str">
        <f>IF(tblSalaries[[#This Row],[Job Type]]=tblSalaries[[#Headers],[CXO or Top Mgmt.]],tblSalaries[[#This Row],[clean Salary (in local currency)]],"")</f>
        <v/>
      </c>
      <c r="Z649" s="13" t="str">
        <f>IF(tblSalaries[[#This Row],[Job Type]]=tblSalaries[[#Headers],[Engineer]],tblSalaries[[#This Row],[Salary in USD]],"")</f>
        <v/>
      </c>
      <c r="AA649" s="13" t="str">
        <f>IF(tblSalaries[[#This Row],[Job Type]]=tblSalaries[[#Headers],[Manager]],tblSalaries[[#This Row],[Salary in USD]],"")</f>
        <v/>
      </c>
      <c r="AB649" s="13" t="str">
        <f>IF(tblSalaries[[#This Row],[Job Type]]=tblSalaries[[#Headers],[Misc.]],tblSalaries[[#This Row],[Salary in USD]],"")</f>
        <v/>
      </c>
      <c r="AC649" s="13" t="str">
        <f>IF(tblSalaries[[#This Row],[Job Type]]=tblSalaries[[#Headers],[Reporting]],tblSalaries[[#This Row],[Salary in USD]],"")</f>
        <v/>
      </c>
      <c r="AD649" s="13" t="str">
        <f>IF(tblSalaries[[#This Row],[Job Type]]=tblSalaries[[#Headers],[Specialist]],tblSalaries[[#This Row],[Salary in USD]],"")</f>
        <v/>
      </c>
    </row>
    <row r="650" spans="2:30" ht="15" customHeight="1" x14ac:dyDescent="0.25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 s="9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  <c r="N650" t="str">
        <f>IF(tblSalaries[[#This Row],[Years of Experience]]="","",IF(tblSalaries[[#This Row],[Years of Experience]]&lt;=2,1,""))</f>
        <v/>
      </c>
      <c r="O650">
        <f>IF(tblSalaries[[#This Row],[Years of Experience]]="","",IF(AND(tblSalaries[[#This Row],[Years of Experience]]&gt;2,tblSalaries[[#This Row],[Years of Experience]]&lt;=5),1,""))</f>
        <v>1</v>
      </c>
      <c r="P650" t="str">
        <f>IF(tblSalaries[[#This Row],[Years of Experience]]="","",IF(AND(tblSalaries[[#This Row],[Years of Experience]]&gt;5,tblSalaries[[#This Row],[Years of Experience]]&lt;=10),1,""))</f>
        <v/>
      </c>
      <c r="Q650" t="str">
        <f>IF(tblSalaries[[#This Row],[Years of Experience]]="","",IF(AND(tblSalaries[[#This Row],[Years of Experience]]&gt;10,tblSalaries[[#This Row],[Years of Experience]]&lt;=15),1,""))</f>
        <v/>
      </c>
      <c r="R650" t="str">
        <f>IF(tblSalaries[[#This Row],[Years of Experience]]="","",IF(AND(tblSalaries[[#This Row],[Years of Experience]]&gt;16,tblSalaries[[#This Row],[Years of Experience]]&lt;=20),1,""))</f>
        <v/>
      </c>
      <c r="S650" t="str">
        <f>IF(tblSalaries[[#This Row],[Years of Experience]]="","",IF(tblSalaries[[#This Row],[Years of Experience]]&gt;20,1,""))</f>
        <v/>
      </c>
      <c r="T6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50" s="13" t="str">
        <f>IF(tblSalaries[[#This Row],[Job Type]]=tblSalaries[[#Headers],[Accountant]],tblSalaries[[#This Row],[Salary in USD]],"")</f>
        <v/>
      </c>
      <c r="V650" s="13" t="str">
        <f>IF(tblSalaries[[#This Row],[Job Type]]=tblSalaries[[#Headers],[Analyst]],tblSalaries[[#This Row],[Salary in USD]],"")</f>
        <v/>
      </c>
      <c r="W650" s="13" t="str">
        <f>IF(tblSalaries[[#This Row],[Job Type]]=tblSalaries[[#Headers],[Consultant]],tblSalaries[[#This Row],[Salary in USD]],"")</f>
        <v/>
      </c>
      <c r="X650" s="13" t="str">
        <f>IF(tblSalaries[[#This Row],[Job Type]]=tblSalaries[[#Headers],[Controller]],tblSalaries[[#This Row],[Salary in USD]],"")</f>
        <v/>
      </c>
      <c r="Y650" s="13" t="str">
        <f>IF(tblSalaries[[#This Row],[Job Type]]=tblSalaries[[#Headers],[CXO or Top Mgmt.]],tblSalaries[[#This Row],[clean Salary (in local currency)]],"")</f>
        <v/>
      </c>
      <c r="Z650" s="13" t="str">
        <f>IF(tblSalaries[[#This Row],[Job Type]]=tblSalaries[[#Headers],[Engineer]],tblSalaries[[#This Row],[Salary in USD]],"")</f>
        <v/>
      </c>
      <c r="AA650" s="13">
        <f>IF(tblSalaries[[#This Row],[Job Type]]=tblSalaries[[#Headers],[Manager]],tblSalaries[[#This Row],[Salary in USD]],"")</f>
        <v>16917.52085307044</v>
      </c>
      <c r="AB650" s="13" t="str">
        <f>IF(tblSalaries[[#This Row],[Job Type]]=tblSalaries[[#Headers],[Misc.]],tblSalaries[[#This Row],[Salary in USD]],"")</f>
        <v/>
      </c>
      <c r="AC650" s="13" t="str">
        <f>IF(tblSalaries[[#This Row],[Job Type]]=tblSalaries[[#Headers],[Reporting]],tblSalaries[[#This Row],[Salary in USD]],"")</f>
        <v/>
      </c>
      <c r="AD650" s="13" t="str">
        <f>IF(tblSalaries[[#This Row],[Job Type]]=tblSalaries[[#Headers],[Specialist]],tblSalaries[[#This Row],[Salary in USD]],"")</f>
        <v/>
      </c>
    </row>
    <row r="651" spans="2:30" ht="15" customHeight="1" x14ac:dyDescent="0.25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 s="9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  <c r="N651" t="str">
        <f>IF(tblSalaries[[#This Row],[Years of Experience]]="","",IF(tblSalaries[[#This Row],[Years of Experience]]&lt;=2,1,""))</f>
        <v/>
      </c>
      <c r="O651" t="str">
        <f>IF(tblSalaries[[#This Row],[Years of Experience]]="","",IF(AND(tblSalaries[[#This Row],[Years of Experience]]&gt;2,tblSalaries[[#This Row],[Years of Experience]]&lt;=5),1,""))</f>
        <v/>
      </c>
      <c r="P651" t="str">
        <f>IF(tblSalaries[[#This Row],[Years of Experience]]="","",IF(AND(tblSalaries[[#This Row],[Years of Experience]]&gt;5,tblSalaries[[#This Row],[Years of Experience]]&lt;=10),1,""))</f>
        <v/>
      </c>
      <c r="Q651">
        <f>IF(tblSalaries[[#This Row],[Years of Experience]]="","",IF(AND(tblSalaries[[#This Row],[Years of Experience]]&gt;10,tblSalaries[[#This Row],[Years of Experience]]&lt;=15),1,""))</f>
        <v>1</v>
      </c>
      <c r="R651" t="str">
        <f>IF(tblSalaries[[#This Row],[Years of Experience]]="","",IF(AND(tblSalaries[[#This Row],[Years of Experience]]&gt;16,tblSalaries[[#This Row],[Years of Experience]]&lt;=20),1,""))</f>
        <v/>
      </c>
      <c r="S651" t="str">
        <f>IF(tblSalaries[[#This Row],[Years of Experience]]="","",IF(tblSalaries[[#This Row],[Years of Experience]]&gt;20,1,""))</f>
        <v/>
      </c>
      <c r="T6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51" s="13" t="str">
        <f>IF(tblSalaries[[#This Row],[Job Type]]=tblSalaries[[#Headers],[Accountant]],tblSalaries[[#This Row],[Salary in USD]],"")</f>
        <v/>
      </c>
      <c r="V651" s="13" t="str">
        <f>IF(tblSalaries[[#This Row],[Job Type]]=tblSalaries[[#Headers],[Analyst]],tblSalaries[[#This Row],[Salary in USD]],"")</f>
        <v/>
      </c>
      <c r="W651" s="13" t="str">
        <f>IF(tblSalaries[[#This Row],[Job Type]]=tblSalaries[[#Headers],[Consultant]],tblSalaries[[#This Row],[Salary in USD]],"")</f>
        <v/>
      </c>
      <c r="X651" s="13" t="str">
        <f>IF(tblSalaries[[#This Row],[Job Type]]=tblSalaries[[#Headers],[Controller]],tblSalaries[[#This Row],[Salary in USD]],"")</f>
        <v/>
      </c>
      <c r="Y651" s="13" t="str">
        <f>IF(tblSalaries[[#This Row],[Job Type]]=tblSalaries[[#Headers],[CXO or Top Mgmt.]],tblSalaries[[#This Row],[clean Salary (in local currency)]],"")</f>
        <v/>
      </c>
      <c r="Z651" s="13" t="str">
        <f>IF(tblSalaries[[#This Row],[Job Type]]=tblSalaries[[#Headers],[Engineer]],tblSalaries[[#This Row],[Salary in USD]],"")</f>
        <v/>
      </c>
      <c r="AA651" s="13">
        <f>IF(tblSalaries[[#This Row],[Job Type]]=tblSalaries[[#Headers],[Manager]],tblSalaries[[#This Row],[Salary in USD]],"")</f>
        <v>2938.3062534280239</v>
      </c>
      <c r="AB651" s="13" t="str">
        <f>IF(tblSalaries[[#This Row],[Job Type]]=tblSalaries[[#Headers],[Misc.]],tblSalaries[[#This Row],[Salary in USD]],"")</f>
        <v/>
      </c>
      <c r="AC651" s="13" t="str">
        <f>IF(tblSalaries[[#This Row],[Job Type]]=tblSalaries[[#Headers],[Reporting]],tblSalaries[[#This Row],[Salary in USD]],"")</f>
        <v/>
      </c>
      <c r="AD651" s="13" t="str">
        <f>IF(tblSalaries[[#This Row],[Job Type]]=tblSalaries[[#Headers],[Specialist]],tblSalaries[[#This Row],[Salary in USD]],"")</f>
        <v/>
      </c>
    </row>
    <row r="652" spans="2:30" ht="15" customHeight="1" x14ac:dyDescent="0.25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 s="9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  <c r="N652" t="str">
        <f>IF(tblSalaries[[#This Row],[Years of Experience]]="","",IF(tblSalaries[[#This Row],[Years of Experience]]&lt;=2,1,""))</f>
        <v/>
      </c>
      <c r="O652" t="str">
        <f>IF(tblSalaries[[#This Row],[Years of Experience]]="","",IF(AND(tblSalaries[[#This Row],[Years of Experience]]&gt;2,tblSalaries[[#This Row],[Years of Experience]]&lt;=5),1,""))</f>
        <v/>
      </c>
      <c r="P652" t="str">
        <f>IF(tblSalaries[[#This Row],[Years of Experience]]="","",IF(AND(tblSalaries[[#This Row],[Years of Experience]]&gt;5,tblSalaries[[#This Row],[Years of Experience]]&lt;=10),1,""))</f>
        <v/>
      </c>
      <c r="Q652">
        <f>IF(tblSalaries[[#This Row],[Years of Experience]]="","",IF(AND(tblSalaries[[#This Row],[Years of Experience]]&gt;10,tblSalaries[[#This Row],[Years of Experience]]&lt;=15),1,""))</f>
        <v>1</v>
      </c>
      <c r="R652" t="str">
        <f>IF(tblSalaries[[#This Row],[Years of Experience]]="","",IF(AND(tblSalaries[[#This Row],[Years of Experience]]&gt;16,tblSalaries[[#This Row],[Years of Experience]]&lt;=20),1,""))</f>
        <v/>
      </c>
      <c r="S652" t="str">
        <f>IF(tblSalaries[[#This Row],[Years of Experience]]="","",IF(tblSalaries[[#This Row],[Years of Experience]]&gt;20,1,""))</f>
        <v/>
      </c>
      <c r="T6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52" s="13" t="str">
        <f>IF(tblSalaries[[#This Row],[Job Type]]=tblSalaries[[#Headers],[Accountant]],tblSalaries[[#This Row],[Salary in USD]],"")</f>
        <v/>
      </c>
      <c r="V652" s="13">
        <f>IF(tblSalaries[[#This Row],[Job Type]]=tblSalaries[[#Headers],[Analyst]],tblSalaries[[#This Row],[Salary in USD]],"")</f>
        <v>16800</v>
      </c>
      <c r="W652" s="13" t="str">
        <f>IF(tblSalaries[[#This Row],[Job Type]]=tblSalaries[[#Headers],[Consultant]],tblSalaries[[#This Row],[Salary in USD]],"")</f>
        <v/>
      </c>
      <c r="X652" s="13" t="str">
        <f>IF(tblSalaries[[#This Row],[Job Type]]=tblSalaries[[#Headers],[Controller]],tblSalaries[[#This Row],[Salary in USD]],"")</f>
        <v/>
      </c>
      <c r="Y652" s="13" t="str">
        <f>IF(tblSalaries[[#This Row],[Job Type]]=tblSalaries[[#Headers],[CXO or Top Mgmt.]],tblSalaries[[#This Row],[clean Salary (in local currency)]],"")</f>
        <v/>
      </c>
      <c r="Z652" s="13" t="str">
        <f>IF(tblSalaries[[#This Row],[Job Type]]=tblSalaries[[#Headers],[Engineer]],tblSalaries[[#This Row],[Salary in USD]],"")</f>
        <v/>
      </c>
      <c r="AA652" s="13" t="str">
        <f>IF(tblSalaries[[#This Row],[Job Type]]=tblSalaries[[#Headers],[Manager]],tblSalaries[[#This Row],[Salary in USD]],"")</f>
        <v/>
      </c>
      <c r="AB652" s="13" t="str">
        <f>IF(tblSalaries[[#This Row],[Job Type]]=tblSalaries[[#Headers],[Misc.]],tblSalaries[[#This Row],[Salary in USD]],"")</f>
        <v/>
      </c>
      <c r="AC652" s="13" t="str">
        <f>IF(tblSalaries[[#This Row],[Job Type]]=tblSalaries[[#Headers],[Reporting]],tblSalaries[[#This Row],[Salary in USD]],"")</f>
        <v/>
      </c>
      <c r="AD652" s="13" t="str">
        <f>IF(tblSalaries[[#This Row],[Job Type]]=tblSalaries[[#Headers],[Specialist]],tblSalaries[[#This Row],[Salary in USD]],"")</f>
        <v/>
      </c>
    </row>
    <row r="653" spans="2:30" ht="15" customHeight="1" x14ac:dyDescent="0.25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 s="9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  <c r="N653" t="str">
        <f>IF(tblSalaries[[#This Row],[Years of Experience]]="","",IF(tblSalaries[[#This Row],[Years of Experience]]&lt;=2,1,""))</f>
        <v/>
      </c>
      <c r="O653" t="str">
        <f>IF(tblSalaries[[#This Row],[Years of Experience]]="","",IF(AND(tblSalaries[[#This Row],[Years of Experience]]&gt;2,tblSalaries[[#This Row],[Years of Experience]]&lt;=5),1,""))</f>
        <v/>
      </c>
      <c r="P653">
        <f>IF(tblSalaries[[#This Row],[Years of Experience]]="","",IF(AND(tblSalaries[[#This Row],[Years of Experience]]&gt;5,tblSalaries[[#This Row],[Years of Experience]]&lt;=10),1,""))</f>
        <v>1</v>
      </c>
      <c r="Q653" t="str">
        <f>IF(tblSalaries[[#This Row],[Years of Experience]]="","",IF(AND(tblSalaries[[#This Row],[Years of Experience]]&gt;10,tblSalaries[[#This Row],[Years of Experience]]&lt;=15),1,""))</f>
        <v/>
      </c>
      <c r="R653" t="str">
        <f>IF(tblSalaries[[#This Row],[Years of Experience]]="","",IF(AND(tblSalaries[[#This Row],[Years of Experience]]&gt;16,tblSalaries[[#This Row],[Years of Experience]]&lt;=20),1,""))</f>
        <v/>
      </c>
      <c r="S653" t="str">
        <f>IF(tblSalaries[[#This Row],[Years of Experience]]="","",IF(tblSalaries[[#This Row],[Years of Experience]]&gt;20,1,""))</f>
        <v/>
      </c>
      <c r="T6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53" s="13" t="str">
        <f>IF(tblSalaries[[#This Row],[Job Type]]=tblSalaries[[#Headers],[Accountant]],tblSalaries[[#This Row],[Salary in USD]],"")</f>
        <v/>
      </c>
      <c r="V653" s="13" t="str">
        <f>IF(tblSalaries[[#This Row],[Job Type]]=tblSalaries[[#Headers],[Analyst]],tblSalaries[[#This Row],[Salary in USD]],"")</f>
        <v/>
      </c>
      <c r="W653" s="13" t="str">
        <f>IF(tblSalaries[[#This Row],[Job Type]]=tblSalaries[[#Headers],[Consultant]],tblSalaries[[#This Row],[Salary in USD]],"")</f>
        <v/>
      </c>
      <c r="X653" s="13" t="str">
        <f>IF(tblSalaries[[#This Row],[Job Type]]=tblSalaries[[#Headers],[Controller]],tblSalaries[[#This Row],[Salary in USD]],"")</f>
        <v/>
      </c>
      <c r="Y653" s="13" t="str">
        <f>IF(tblSalaries[[#This Row],[Job Type]]=tblSalaries[[#Headers],[CXO or Top Mgmt.]],tblSalaries[[#This Row],[clean Salary (in local currency)]],"")</f>
        <v/>
      </c>
      <c r="Z653" s="13">
        <f>IF(tblSalaries[[#This Row],[Job Type]]=tblSalaries[[#Headers],[Engineer]],tblSalaries[[#This Row],[Salary in USD]],"")</f>
        <v>37000</v>
      </c>
      <c r="AA653" s="13" t="str">
        <f>IF(tblSalaries[[#This Row],[Job Type]]=tblSalaries[[#Headers],[Manager]],tblSalaries[[#This Row],[Salary in USD]],"")</f>
        <v/>
      </c>
      <c r="AB653" s="13" t="str">
        <f>IF(tblSalaries[[#This Row],[Job Type]]=tblSalaries[[#Headers],[Misc.]],tblSalaries[[#This Row],[Salary in USD]],"")</f>
        <v/>
      </c>
      <c r="AC653" s="13" t="str">
        <f>IF(tblSalaries[[#This Row],[Job Type]]=tblSalaries[[#Headers],[Reporting]],tblSalaries[[#This Row],[Salary in USD]],"")</f>
        <v/>
      </c>
      <c r="AD653" s="13" t="str">
        <f>IF(tblSalaries[[#This Row],[Job Type]]=tblSalaries[[#Headers],[Specialist]],tblSalaries[[#This Row],[Salary in USD]],"")</f>
        <v/>
      </c>
    </row>
    <row r="654" spans="2:30" ht="15" customHeight="1" x14ac:dyDescent="0.25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 s="9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  <c r="N654" t="str">
        <f>IF(tblSalaries[[#This Row],[Years of Experience]]="","",IF(tblSalaries[[#This Row],[Years of Experience]]&lt;=2,1,""))</f>
        <v/>
      </c>
      <c r="O654">
        <f>IF(tblSalaries[[#This Row],[Years of Experience]]="","",IF(AND(tblSalaries[[#This Row],[Years of Experience]]&gt;2,tblSalaries[[#This Row],[Years of Experience]]&lt;=5),1,""))</f>
        <v>1</v>
      </c>
      <c r="P654" t="str">
        <f>IF(tblSalaries[[#This Row],[Years of Experience]]="","",IF(AND(tblSalaries[[#This Row],[Years of Experience]]&gt;5,tblSalaries[[#This Row],[Years of Experience]]&lt;=10),1,""))</f>
        <v/>
      </c>
      <c r="Q654" t="str">
        <f>IF(tblSalaries[[#This Row],[Years of Experience]]="","",IF(AND(tblSalaries[[#This Row],[Years of Experience]]&gt;10,tblSalaries[[#This Row],[Years of Experience]]&lt;=15),1,""))</f>
        <v/>
      </c>
      <c r="R654" t="str">
        <f>IF(tblSalaries[[#This Row],[Years of Experience]]="","",IF(AND(tblSalaries[[#This Row],[Years of Experience]]&gt;16,tblSalaries[[#This Row],[Years of Experience]]&lt;=20),1,""))</f>
        <v/>
      </c>
      <c r="S654" t="str">
        <f>IF(tblSalaries[[#This Row],[Years of Experience]]="","",IF(tblSalaries[[#This Row],[Years of Experience]]&gt;20,1,""))</f>
        <v/>
      </c>
      <c r="T6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54" s="13" t="str">
        <f>IF(tblSalaries[[#This Row],[Job Type]]=tblSalaries[[#Headers],[Accountant]],tblSalaries[[#This Row],[Salary in USD]],"")</f>
        <v/>
      </c>
      <c r="V654" s="13">
        <f>IF(tblSalaries[[#This Row],[Job Type]]=tblSalaries[[#Headers],[Analyst]],tblSalaries[[#This Row],[Salary in USD]],"")</f>
        <v>5342.3750062327708</v>
      </c>
      <c r="W654" s="13" t="str">
        <f>IF(tblSalaries[[#This Row],[Job Type]]=tblSalaries[[#Headers],[Consultant]],tblSalaries[[#This Row],[Salary in USD]],"")</f>
        <v/>
      </c>
      <c r="X654" s="13" t="str">
        <f>IF(tblSalaries[[#This Row],[Job Type]]=tblSalaries[[#Headers],[Controller]],tblSalaries[[#This Row],[Salary in USD]],"")</f>
        <v/>
      </c>
      <c r="Y654" s="13" t="str">
        <f>IF(tblSalaries[[#This Row],[Job Type]]=tblSalaries[[#Headers],[CXO or Top Mgmt.]],tblSalaries[[#This Row],[clean Salary (in local currency)]],"")</f>
        <v/>
      </c>
      <c r="Z654" s="13" t="str">
        <f>IF(tblSalaries[[#This Row],[Job Type]]=tblSalaries[[#Headers],[Engineer]],tblSalaries[[#This Row],[Salary in USD]],"")</f>
        <v/>
      </c>
      <c r="AA654" s="13" t="str">
        <f>IF(tblSalaries[[#This Row],[Job Type]]=tblSalaries[[#Headers],[Manager]],tblSalaries[[#This Row],[Salary in USD]],"")</f>
        <v/>
      </c>
      <c r="AB654" s="13" t="str">
        <f>IF(tblSalaries[[#This Row],[Job Type]]=tblSalaries[[#Headers],[Misc.]],tblSalaries[[#This Row],[Salary in USD]],"")</f>
        <v/>
      </c>
      <c r="AC654" s="13" t="str">
        <f>IF(tblSalaries[[#This Row],[Job Type]]=tblSalaries[[#Headers],[Reporting]],tblSalaries[[#This Row],[Salary in USD]],"")</f>
        <v/>
      </c>
      <c r="AD654" s="13" t="str">
        <f>IF(tblSalaries[[#This Row],[Job Type]]=tblSalaries[[#Headers],[Specialist]],tblSalaries[[#This Row],[Salary in USD]],"")</f>
        <v/>
      </c>
    </row>
    <row r="655" spans="2:30" ht="15" customHeight="1" x14ac:dyDescent="0.25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 s="9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3999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  <c r="N655" t="str">
        <f>IF(tblSalaries[[#This Row],[Years of Experience]]="","",IF(tblSalaries[[#This Row],[Years of Experience]]&lt;=2,1,""))</f>
        <v/>
      </c>
      <c r="O655">
        <f>IF(tblSalaries[[#This Row],[Years of Experience]]="","",IF(AND(tblSalaries[[#This Row],[Years of Experience]]&gt;2,tblSalaries[[#This Row],[Years of Experience]]&lt;=5),1,""))</f>
        <v>1</v>
      </c>
      <c r="P655" t="str">
        <f>IF(tblSalaries[[#This Row],[Years of Experience]]="","",IF(AND(tblSalaries[[#This Row],[Years of Experience]]&gt;5,tblSalaries[[#This Row],[Years of Experience]]&lt;=10),1,""))</f>
        <v/>
      </c>
      <c r="Q655" t="str">
        <f>IF(tblSalaries[[#This Row],[Years of Experience]]="","",IF(AND(tblSalaries[[#This Row],[Years of Experience]]&gt;10,tblSalaries[[#This Row],[Years of Experience]]&lt;=15),1,""))</f>
        <v/>
      </c>
      <c r="R655" t="str">
        <f>IF(tblSalaries[[#This Row],[Years of Experience]]="","",IF(AND(tblSalaries[[#This Row],[Years of Experience]]&gt;16,tblSalaries[[#This Row],[Years of Experience]]&lt;=20),1,""))</f>
        <v/>
      </c>
      <c r="S655" t="str">
        <f>IF(tblSalaries[[#This Row],[Years of Experience]]="","",IF(tblSalaries[[#This Row],[Years of Experience]]&gt;20,1,""))</f>
        <v/>
      </c>
      <c r="T6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55" s="13" t="str">
        <f>IF(tblSalaries[[#This Row],[Job Type]]=tblSalaries[[#Headers],[Accountant]],tblSalaries[[#This Row],[Salary in USD]],"")</f>
        <v/>
      </c>
      <c r="V655" s="13" t="str">
        <f>IF(tblSalaries[[#This Row],[Job Type]]=tblSalaries[[#Headers],[Analyst]],tblSalaries[[#This Row],[Salary in USD]],"")</f>
        <v/>
      </c>
      <c r="W655" s="13" t="str">
        <f>IF(tblSalaries[[#This Row],[Job Type]]=tblSalaries[[#Headers],[Consultant]],tblSalaries[[#This Row],[Salary in USD]],"")</f>
        <v/>
      </c>
      <c r="X655" s="13" t="str">
        <f>IF(tblSalaries[[#This Row],[Job Type]]=tblSalaries[[#Headers],[Controller]],tblSalaries[[#This Row],[Salary in USD]],"")</f>
        <v/>
      </c>
      <c r="Y655" s="13" t="str">
        <f>IF(tblSalaries[[#This Row],[Job Type]]=tblSalaries[[#Headers],[CXO or Top Mgmt.]],tblSalaries[[#This Row],[clean Salary (in local currency)]],"")</f>
        <v/>
      </c>
      <c r="Z655" s="13" t="str">
        <f>IF(tblSalaries[[#This Row],[Job Type]]=tblSalaries[[#Headers],[Engineer]],tblSalaries[[#This Row],[Salary in USD]],"")</f>
        <v/>
      </c>
      <c r="AA655" s="13" t="str">
        <f>IF(tblSalaries[[#This Row],[Job Type]]=tblSalaries[[#Headers],[Manager]],tblSalaries[[#This Row],[Salary in USD]],"")</f>
        <v/>
      </c>
      <c r="AB655" s="13" t="str">
        <f>IF(tblSalaries[[#This Row],[Job Type]]=tblSalaries[[#Headers],[Misc.]],tblSalaries[[#This Row],[Salary in USD]],"")</f>
        <v/>
      </c>
      <c r="AC655" s="13">
        <f>IF(tblSalaries[[#This Row],[Job Type]]=tblSalaries[[#Headers],[Reporting]],tblSalaries[[#This Row],[Salary in USD]],"")</f>
        <v>3561.5833374885137</v>
      </c>
      <c r="AD655" s="13" t="str">
        <f>IF(tblSalaries[[#This Row],[Job Type]]=tblSalaries[[#Headers],[Specialist]],tblSalaries[[#This Row],[Salary in USD]],"")</f>
        <v/>
      </c>
    </row>
    <row r="656" spans="2:30" ht="15" customHeight="1" x14ac:dyDescent="0.25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 s="9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  <c r="N656" t="str">
        <f>IF(tblSalaries[[#This Row],[Years of Experience]]="","",IF(tblSalaries[[#This Row],[Years of Experience]]&lt;=2,1,""))</f>
        <v/>
      </c>
      <c r="O656" t="str">
        <f>IF(tblSalaries[[#This Row],[Years of Experience]]="","",IF(AND(tblSalaries[[#This Row],[Years of Experience]]&gt;2,tblSalaries[[#This Row],[Years of Experience]]&lt;=5),1,""))</f>
        <v/>
      </c>
      <c r="P656">
        <f>IF(tblSalaries[[#This Row],[Years of Experience]]="","",IF(AND(tblSalaries[[#This Row],[Years of Experience]]&gt;5,tblSalaries[[#This Row],[Years of Experience]]&lt;=10),1,""))</f>
        <v>1</v>
      </c>
      <c r="Q656" t="str">
        <f>IF(tblSalaries[[#This Row],[Years of Experience]]="","",IF(AND(tblSalaries[[#This Row],[Years of Experience]]&gt;10,tblSalaries[[#This Row],[Years of Experience]]&lt;=15),1,""))</f>
        <v/>
      </c>
      <c r="R656" t="str">
        <f>IF(tblSalaries[[#This Row],[Years of Experience]]="","",IF(AND(tblSalaries[[#This Row],[Years of Experience]]&gt;16,tblSalaries[[#This Row],[Years of Experience]]&lt;=20),1,""))</f>
        <v/>
      </c>
      <c r="S656" t="str">
        <f>IF(tblSalaries[[#This Row],[Years of Experience]]="","",IF(tblSalaries[[#This Row],[Years of Experience]]&gt;20,1,""))</f>
        <v/>
      </c>
      <c r="T6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56" s="13" t="str">
        <f>IF(tblSalaries[[#This Row],[Job Type]]=tblSalaries[[#Headers],[Accountant]],tblSalaries[[#This Row],[Salary in USD]],"")</f>
        <v/>
      </c>
      <c r="V656" s="13" t="str">
        <f>IF(tblSalaries[[#This Row],[Job Type]]=tblSalaries[[#Headers],[Analyst]],tblSalaries[[#This Row],[Salary in USD]],"")</f>
        <v/>
      </c>
      <c r="W656" s="13" t="str">
        <f>IF(tblSalaries[[#This Row],[Job Type]]=tblSalaries[[#Headers],[Consultant]],tblSalaries[[#This Row],[Salary in USD]],"")</f>
        <v/>
      </c>
      <c r="X656" s="13" t="str">
        <f>IF(tblSalaries[[#This Row],[Job Type]]=tblSalaries[[#Headers],[Controller]],tblSalaries[[#This Row],[Salary in USD]],"")</f>
        <v/>
      </c>
      <c r="Y656" s="13" t="str">
        <f>IF(tblSalaries[[#This Row],[Job Type]]=tblSalaries[[#Headers],[CXO or Top Mgmt.]],tblSalaries[[#This Row],[clean Salary (in local currency)]],"")</f>
        <v/>
      </c>
      <c r="Z656" s="13" t="str">
        <f>IF(tblSalaries[[#This Row],[Job Type]]=tblSalaries[[#Headers],[Engineer]],tblSalaries[[#This Row],[Salary in USD]],"")</f>
        <v/>
      </c>
      <c r="AA656" s="13">
        <f>IF(tblSalaries[[#This Row],[Job Type]]=tblSalaries[[#Headers],[Manager]],tblSalaries[[#This Row],[Salary in USD]],"")</f>
        <v>8547.8000099724322</v>
      </c>
      <c r="AB656" s="13" t="str">
        <f>IF(tblSalaries[[#This Row],[Job Type]]=tblSalaries[[#Headers],[Misc.]],tblSalaries[[#This Row],[Salary in USD]],"")</f>
        <v/>
      </c>
      <c r="AC656" s="13" t="str">
        <f>IF(tblSalaries[[#This Row],[Job Type]]=tblSalaries[[#Headers],[Reporting]],tblSalaries[[#This Row],[Salary in USD]],"")</f>
        <v/>
      </c>
      <c r="AD656" s="13" t="str">
        <f>IF(tblSalaries[[#This Row],[Job Type]]=tblSalaries[[#Headers],[Specialist]],tblSalaries[[#This Row],[Salary in USD]],"")</f>
        <v/>
      </c>
    </row>
    <row r="657" spans="2:30" ht="15" customHeight="1" x14ac:dyDescent="0.25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 s="9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  <c r="N657" t="str">
        <f>IF(tblSalaries[[#This Row],[Years of Experience]]="","",IF(tblSalaries[[#This Row],[Years of Experience]]&lt;=2,1,""))</f>
        <v/>
      </c>
      <c r="O657" t="str">
        <f>IF(tblSalaries[[#This Row],[Years of Experience]]="","",IF(AND(tblSalaries[[#This Row],[Years of Experience]]&gt;2,tblSalaries[[#This Row],[Years of Experience]]&lt;=5),1,""))</f>
        <v/>
      </c>
      <c r="P657">
        <f>IF(tblSalaries[[#This Row],[Years of Experience]]="","",IF(AND(tblSalaries[[#This Row],[Years of Experience]]&gt;5,tblSalaries[[#This Row],[Years of Experience]]&lt;=10),1,""))</f>
        <v>1</v>
      </c>
      <c r="Q657" t="str">
        <f>IF(tblSalaries[[#This Row],[Years of Experience]]="","",IF(AND(tblSalaries[[#This Row],[Years of Experience]]&gt;10,tblSalaries[[#This Row],[Years of Experience]]&lt;=15),1,""))</f>
        <v/>
      </c>
      <c r="R657" t="str">
        <f>IF(tblSalaries[[#This Row],[Years of Experience]]="","",IF(AND(tblSalaries[[#This Row],[Years of Experience]]&gt;16,tblSalaries[[#This Row],[Years of Experience]]&lt;=20),1,""))</f>
        <v/>
      </c>
      <c r="S657" t="str">
        <f>IF(tblSalaries[[#This Row],[Years of Experience]]="","",IF(tblSalaries[[#This Row],[Years of Experience]]&gt;20,1,""))</f>
        <v/>
      </c>
      <c r="T6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57" s="13" t="str">
        <f>IF(tblSalaries[[#This Row],[Job Type]]=tblSalaries[[#Headers],[Accountant]],tblSalaries[[#This Row],[Salary in USD]],"")</f>
        <v/>
      </c>
      <c r="V657" s="13" t="str">
        <f>IF(tblSalaries[[#This Row],[Job Type]]=tblSalaries[[#Headers],[Analyst]],tblSalaries[[#This Row],[Salary in USD]],"")</f>
        <v/>
      </c>
      <c r="W657" s="13" t="str">
        <f>IF(tblSalaries[[#This Row],[Job Type]]=tblSalaries[[#Headers],[Consultant]],tblSalaries[[#This Row],[Salary in USD]],"")</f>
        <v/>
      </c>
      <c r="X657" s="13" t="str">
        <f>IF(tblSalaries[[#This Row],[Job Type]]=tblSalaries[[#Headers],[Controller]],tblSalaries[[#This Row],[Salary in USD]],"")</f>
        <v/>
      </c>
      <c r="Y657" s="13" t="str">
        <f>IF(tblSalaries[[#This Row],[Job Type]]=tblSalaries[[#Headers],[CXO or Top Mgmt.]],tblSalaries[[#This Row],[clean Salary (in local currency)]],"")</f>
        <v/>
      </c>
      <c r="Z657" s="13" t="str">
        <f>IF(tblSalaries[[#This Row],[Job Type]]=tblSalaries[[#Headers],[Engineer]],tblSalaries[[#This Row],[Salary in USD]],"")</f>
        <v/>
      </c>
      <c r="AA657" s="13">
        <f>IF(tblSalaries[[#This Row],[Job Type]]=tblSalaries[[#Headers],[Manager]],tblSalaries[[#This Row],[Salary in USD]],"")</f>
        <v>5800</v>
      </c>
      <c r="AB657" s="13" t="str">
        <f>IF(tblSalaries[[#This Row],[Job Type]]=tblSalaries[[#Headers],[Misc.]],tblSalaries[[#This Row],[Salary in USD]],"")</f>
        <v/>
      </c>
      <c r="AC657" s="13" t="str">
        <f>IF(tblSalaries[[#This Row],[Job Type]]=tblSalaries[[#Headers],[Reporting]],tblSalaries[[#This Row],[Salary in USD]],"")</f>
        <v/>
      </c>
      <c r="AD657" s="13" t="str">
        <f>IF(tblSalaries[[#This Row],[Job Type]]=tblSalaries[[#Headers],[Specialist]],tblSalaries[[#This Row],[Salary in USD]],"")</f>
        <v/>
      </c>
    </row>
    <row r="658" spans="2:30" ht="15" customHeight="1" x14ac:dyDescent="0.25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 s="9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3999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  <c r="N658" t="str">
        <f>IF(tblSalaries[[#This Row],[Years of Experience]]="","",IF(tblSalaries[[#This Row],[Years of Experience]]&lt;=2,1,""))</f>
        <v/>
      </c>
      <c r="O658">
        <f>IF(tblSalaries[[#This Row],[Years of Experience]]="","",IF(AND(tblSalaries[[#This Row],[Years of Experience]]&gt;2,tblSalaries[[#This Row],[Years of Experience]]&lt;=5),1,""))</f>
        <v>1</v>
      </c>
      <c r="P658" t="str">
        <f>IF(tblSalaries[[#This Row],[Years of Experience]]="","",IF(AND(tblSalaries[[#This Row],[Years of Experience]]&gt;5,tblSalaries[[#This Row],[Years of Experience]]&lt;=10),1,""))</f>
        <v/>
      </c>
      <c r="Q658" t="str">
        <f>IF(tblSalaries[[#This Row],[Years of Experience]]="","",IF(AND(tblSalaries[[#This Row],[Years of Experience]]&gt;10,tblSalaries[[#This Row],[Years of Experience]]&lt;=15),1,""))</f>
        <v/>
      </c>
      <c r="R658" t="str">
        <f>IF(tblSalaries[[#This Row],[Years of Experience]]="","",IF(AND(tblSalaries[[#This Row],[Years of Experience]]&gt;16,tblSalaries[[#This Row],[Years of Experience]]&lt;=20),1,""))</f>
        <v/>
      </c>
      <c r="S658" t="str">
        <f>IF(tblSalaries[[#This Row],[Years of Experience]]="","",IF(tblSalaries[[#This Row],[Years of Experience]]&gt;20,1,""))</f>
        <v/>
      </c>
      <c r="T6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58" s="13" t="str">
        <f>IF(tblSalaries[[#This Row],[Job Type]]=tblSalaries[[#Headers],[Accountant]],tblSalaries[[#This Row],[Salary in USD]],"")</f>
        <v/>
      </c>
      <c r="V658" s="13" t="str">
        <f>IF(tblSalaries[[#This Row],[Job Type]]=tblSalaries[[#Headers],[Analyst]],tblSalaries[[#This Row],[Salary in USD]],"")</f>
        <v/>
      </c>
      <c r="W658" s="13" t="str">
        <f>IF(tblSalaries[[#This Row],[Job Type]]=tblSalaries[[#Headers],[Consultant]],tblSalaries[[#This Row],[Salary in USD]],"")</f>
        <v/>
      </c>
      <c r="X658" s="13" t="str">
        <f>IF(tblSalaries[[#This Row],[Job Type]]=tblSalaries[[#Headers],[Controller]],tblSalaries[[#This Row],[Salary in USD]],"")</f>
        <v/>
      </c>
      <c r="Y658" s="13" t="str">
        <f>IF(tblSalaries[[#This Row],[Job Type]]=tblSalaries[[#Headers],[CXO or Top Mgmt.]],tblSalaries[[#This Row],[clean Salary (in local currency)]],"")</f>
        <v/>
      </c>
      <c r="Z658" s="13" t="str">
        <f>IF(tblSalaries[[#This Row],[Job Type]]=tblSalaries[[#Headers],[Engineer]],tblSalaries[[#This Row],[Salary in USD]],"")</f>
        <v/>
      </c>
      <c r="AA658" s="13" t="str">
        <f>IF(tblSalaries[[#This Row],[Job Type]]=tblSalaries[[#Headers],[Manager]],tblSalaries[[#This Row],[Salary in USD]],"")</f>
        <v/>
      </c>
      <c r="AB658" s="13" t="str">
        <f>IF(tblSalaries[[#This Row],[Job Type]]=tblSalaries[[#Headers],[Misc.]],tblSalaries[[#This Row],[Salary in USD]],"")</f>
        <v/>
      </c>
      <c r="AC658" s="13">
        <f>IF(tblSalaries[[#This Row],[Job Type]]=tblSalaries[[#Headers],[Reporting]],tblSalaries[[#This Row],[Salary in USD]],"")</f>
        <v>4095.8208381117906</v>
      </c>
      <c r="AD658" s="13" t="str">
        <f>IF(tblSalaries[[#This Row],[Job Type]]=tblSalaries[[#Headers],[Specialist]],tblSalaries[[#This Row],[Salary in USD]],"")</f>
        <v/>
      </c>
    </row>
    <row r="659" spans="2:30" ht="15" customHeight="1" x14ac:dyDescent="0.25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 s="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  <c r="N659" t="str">
        <f>IF(tblSalaries[[#This Row],[Years of Experience]]="","",IF(tblSalaries[[#This Row],[Years of Experience]]&lt;=2,1,""))</f>
        <v/>
      </c>
      <c r="O659">
        <f>IF(tblSalaries[[#This Row],[Years of Experience]]="","",IF(AND(tblSalaries[[#This Row],[Years of Experience]]&gt;2,tblSalaries[[#This Row],[Years of Experience]]&lt;=5),1,""))</f>
        <v>1</v>
      </c>
      <c r="P659" t="str">
        <f>IF(tblSalaries[[#This Row],[Years of Experience]]="","",IF(AND(tblSalaries[[#This Row],[Years of Experience]]&gt;5,tblSalaries[[#This Row],[Years of Experience]]&lt;=10),1,""))</f>
        <v/>
      </c>
      <c r="Q659" t="str">
        <f>IF(tblSalaries[[#This Row],[Years of Experience]]="","",IF(AND(tblSalaries[[#This Row],[Years of Experience]]&gt;10,tblSalaries[[#This Row],[Years of Experience]]&lt;=15),1,""))</f>
        <v/>
      </c>
      <c r="R659" t="str">
        <f>IF(tblSalaries[[#This Row],[Years of Experience]]="","",IF(AND(tblSalaries[[#This Row],[Years of Experience]]&gt;16,tblSalaries[[#This Row],[Years of Experience]]&lt;=20),1,""))</f>
        <v/>
      </c>
      <c r="S659" t="str">
        <f>IF(tblSalaries[[#This Row],[Years of Experience]]="","",IF(tblSalaries[[#This Row],[Years of Experience]]&gt;20,1,""))</f>
        <v/>
      </c>
      <c r="T6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59" s="13" t="str">
        <f>IF(tblSalaries[[#This Row],[Job Type]]=tblSalaries[[#Headers],[Accountant]],tblSalaries[[#This Row],[Salary in USD]],"")</f>
        <v/>
      </c>
      <c r="V659" s="13" t="str">
        <f>IF(tblSalaries[[#This Row],[Job Type]]=tblSalaries[[#Headers],[Analyst]],tblSalaries[[#This Row],[Salary in USD]],"")</f>
        <v/>
      </c>
      <c r="W659" s="13" t="str">
        <f>IF(tblSalaries[[#This Row],[Job Type]]=tblSalaries[[#Headers],[Consultant]],tblSalaries[[#This Row],[Salary in USD]],"")</f>
        <v/>
      </c>
      <c r="X659" s="13" t="str">
        <f>IF(tblSalaries[[#This Row],[Job Type]]=tblSalaries[[#Headers],[Controller]],tblSalaries[[#This Row],[Salary in USD]],"")</f>
        <v/>
      </c>
      <c r="Y659" s="13" t="str">
        <f>IF(tblSalaries[[#This Row],[Job Type]]=tblSalaries[[#Headers],[CXO or Top Mgmt.]],tblSalaries[[#This Row],[clean Salary (in local currency)]],"")</f>
        <v/>
      </c>
      <c r="Z659" s="13" t="str">
        <f>IF(tblSalaries[[#This Row],[Job Type]]=tblSalaries[[#Headers],[Engineer]],tblSalaries[[#This Row],[Salary in USD]],"")</f>
        <v/>
      </c>
      <c r="AA659" s="13">
        <f>IF(tblSalaries[[#This Row],[Job Type]]=tblSalaries[[#Headers],[Manager]],tblSalaries[[#This Row],[Salary in USD]],"")</f>
        <v>4914.9850057341491</v>
      </c>
      <c r="AB659" s="13" t="str">
        <f>IF(tblSalaries[[#This Row],[Job Type]]=tblSalaries[[#Headers],[Misc.]],tblSalaries[[#This Row],[Salary in USD]],"")</f>
        <v/>
      </c>
      <c r="AC659" s="13" t="str">
        <f>IF(tblSalaries[[#This Row],[Job Type]]=tblSalaries[[#Headers],[Reporting]],tblSalaries[[#This Row],[Salary in USD]],"")</f>
        <v/>
      </c>
      <c r="AD659" s="13" t="str">
        <f>IF(tblSalaries[[#This Row],[Job Type]]=tblSalaries[[#Headers],[Specialist]],tblSalaries[[#This Row],[Salary in USD]],"")</f>
        <v/>
      </c>
    </row>
    <row r="660" spans="2:30" ht="15" customHeight="1" x14ac:dyDescent="0.25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 s="9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  <c r="N660" t="str">
        <f>IF(tblSalaries[[#This Row],[Years of Experience]]="","",IF(tblSalaries[[#This Row],[Years of Experience]]&lt;=2,1,""))</f>
        <v/>
      </c>
      <c r="O660" t="str">
        <f>IF(tblSalaries[[#This Row],[Years of Experience]]="","",IF(AND(tblSalaries[[#This Row],[Years of Experience]]&gt;2,tblSalaries[[#This Row],[Years of Experience]]&lt;=5),1,""))</f>
        <v/>
      </c>
      <c r="P660" t="str">
        <f>IF(tblSalaries[[#This Row],[Years of Experience]]="","",IF(AND(tblSalaries[[#This Row],[Years of Experience]]&gt;5,tblSalaries[[#This Row],[Years of Experience]]&lt;=10),1,""))</f>
        <v/>
      </c>
      <c r="Q660">
        <f>IF(tblSalaries[[#This Row],[Years of Experience]]="","",IF(AND(tblSalaries[[#This Row],[Years of Experience]]&gt;10,tblSalaries[[#This Row],[Years of Experience]]&lt;=15),1,""))</f>
        <v>1</v>
      </c>
      <c r="R660" t="str">
        <f>IF(tblSalaries[[#This Row],[Years of Experience]]="","",IF(AND(tblSalaries[[#This Row],[Years of Experience]]&gt;16,tblSalaries[[#This Row],[Years of Experience]]&lt;=20),1,""))</f>
        <v/>
      </c>
      <c r="S660" t="str">
        <f>IF(tblSalaries[[#This Row],[Years of Experience]]="","",IF(tblSalaries[[#This Row],[Years of Experience]]&gt;20,1,""))</f>
        <v/>
      </c>
      <c r="T6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60" s="13" t="str">
        <f>IF(tblSalaries[[#This Row],[Job Type]]=tblSalaries[[#Headers],[Accountant]],tblSalaries[[#This Row],[Salary in USD]],"")</f>
        <v/>
      </c>
      <c r="V660" s="13" t="str">
        <f>IF(tblSalaries[[#This Row],[Job Type]]=tblSalaries[[#Headers],[Analyst]],tblSalaries[[#This Row],[Salary in USD]],"")</f>
        <v/>
      </c>
      <c r="W660" s="13" t="str">
        <f>IF(tblSalaries[[#This Row],[Job Type]]=tblSalaries[[#Headers],[Consultant]],tblSalaries[[#This Row],[Salary in USD]],"")</f>
        <v/>
      </c>
      <c r="X660" s="13" t="str">
        <f>IF(tblSalaries[[#This Row],[Job Type]]=tblSalaries[[#Headers],[Controller]],tblSalaries[[#This Row],[Salary in USD]],"")</f>
        <v/>
      </c>
      <c r="Y660" s="13" t="str">
        <f>IF(tblSalaries[[#This Row],[Job Type]]=tblSalaries[[#Headers],[CXO or Top Mgmt.]],tblSalaries[[#This Row],[clean Salary (in local currency)]],"")</f>
        <v/>
      </c>
      <c r="Z660" s="13" t="str">
        <f>IF(tblSalaries[[#This Row],[Job Type]]=tblSalaries[[#Headers],[Engineer]],tblSalaries[[#This Row],[Salary in USD]],"")</f>
        <v/>
      </c>
      <c r="AA660" s="13">
        <f>IF(tblSalaries[[#This Row],[Job Type]]=tblSalaries[[#Headers],[Manager]],tblSalaries[[#This Row],[Salary in USD]],"")</f>
        <v>24000</v>
      </c>
      <c r="AB660" s="13" t="str">
        <f>IF(tblSalaries[[#This Row],[Job Type]]=tblSalaries[[#Headers],[Misc.]],tblSalaries[[#This Row],[Salary in USD]],"")</f>
        <v/>
      </c>
      <c r="AC660" s="13" t="str">
        <f>IF(tblSalaries[[#This Row],[Job Type]]=tblSalaries[[#Headers],[Reporting]],tblSalaries[[#This Row],[Salary in USD]],"")</f>
        <v/>
      </c>
      <c r="AD660" s="13" t="str">
        <f>IF(tblSalaries[[#This Row],[Job Type]]=tblSalaries[[#Headers],[Specialist]],tblSalaries[[#This Row],[Salary in USD]],"")</f>
        <v/>
      </c>
    </row>
    <row r="661" spans="2:30" ht="15" customHeight="1" x14ac:dyDescent="0.25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 s="9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  <c r="N661" t="str">
        <f>IF(tblSalaries[[#This Row],[Years of Experience]]="","",IF(tblSalaries[[#This Row],[Years of Experience]]&lt;=2,1,""))</f>
        <v/>
      </c>
      <c r="O661" t="str">
        <f>IF(tblSalaries[[#This Row],[Years of Experience]]="","",IF(AND(tblSalaries[[#This Row],[Years of Experience]]&gt;2,tblSalaries[[#This Row],[Years of Experience]]&lt;=5),1,""))</f>
        <v/>
      </c>
      <c r="P661" t="str">
        <f>IF(tblSalaries[[#This Row],[Years of Experience]]="","",IF(AND(tblSalaries[[#This Row],[Years of Experience]]&gt;5,tblSalaries[[#This Row],[Years of Experience]]&lt;=10),1,""))</f>
        <v/>
      </c>
      <c r="Q661">
        <f>IF(tblSalaries[[#This Row],[Years of Experience]]="","",IF(AND(tblSalaries[[#This Row],[Years of Experience]]&gt;10,tblSalaries[[#This Row],[Years of Experience]]&lt;=15),1,""))</f>
        <v>1</v>
      </c>
      <c r="R661" t="str">
        <f>IF(tblSalaries[[#This Row],[Years of Experience]]="","",IF(AND(tblSalaries[[#This Row],[Years of Experience]]&gt;16,tblSalaries[[#This Row],[Years of Experience]]&lt;=20),1,""))</f>
        <v/>
      </c>
      <c r="S661" t="str">
        <f>IF(tblSalaries[[#This Row],[Years of Experience]]="","",IF(tblSalaries[[#This Row],[Years of Experience]]&gt;20,1,""))</f>
        <v/>
      </c>
      <c r="T6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61" s="13">
        <f>IF(tblSalaries[[#This Row],[Job Type]]=tblSalaries[[#Headers],[Accountant]],tblSalaries[[#This Row],[Salary in USD]],"")</f>
        <v>24000</v>
      </c>
      <c r="V661" s="13" t="str">
        <f>IF(tblSalaries[[#This Row],[Job Type]]=tblSalaries[[#Headers],[Analyst]],tblSalaries[[#This Row],[Salary in USD]],"")</f>
        <v/>
      </c>
      <c r="W661" s="13" t="str">
        <f>IF(tblSalaries[[#This Row],[Job Type]]=tblSalaries[[#Headers],[Consultant]],tblSalaries[[#This Row],[Salary in USD]],"")</f>
        <v/>
      </c>
      <c r="X661" s="13" t="str">
        <f>IF(tblSalaries[[#This Row],[Job Type]]=tblSalaries[[#Headers],[Controller]],tblSalaries[[#This Row],[Salary in USD]],"")</f>
        <v/>
      </c>
      <c r="Y661" s="13" t="str">
        <f>IF(tblSalaries[[#This Row],[Job Type]]=tblSalaries[[#Headers],[CXO or Top Mgmt.]],tblSalaries[[#This Row],[clean Salary (in local currency)]],"")</f>
        <v/>
      </c>
      <c r="Z661" s="13" t="str">
        <f>IF(tblSalaries[[#This Row],[Job Type]]=tblSalaries[[#Headers],[Engineer]],tblSalaries[[#This Row],[Salary in USD]],"")</f>
        <v/>
      </c>
      <c r="AA661" s="13" t="str">
        <f>IF(tblSalaries[[#This Row],[Job Type]]=tblSalaries[[#Headers],[Manager]],tblSalaries[[#This Row],[Salary in USD]],"")</f>
        <v/>
      </c>
      <c r="AB661" s="13" t="str">
        <f>IF(tblSalaries[[#This Row],[Job Type]]=tblSalaries[[#Headers],[Misc.]],tblSalaries[[#This Row],[Salary in USD]],"")</f>
        <v/>
      </c>
      <c r="AC661" s="13" t="str">
        <f>IF(tblSalaries[[#This Row],[Job Type]]=tblSalaries[[#Headers],[Reporting]],tblSalaries[[#This Row],[Salary in USD]],"")</f>
        <v/>
      </c>
      <c r="AD661" s="13" t="str">
        <f>IF(tblSalaries[[#This Row],[Job Type]]=tblSalaries[[#Headers],[Specialist]],tblSalaries[[#This Row],[Salary in USD]],"")</f>
        <v/>
      </c>
    </row>
    <row r="662" spans="2:30" ht="15" customHeight="1" x14ac:dyDescent="0.25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 s="9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  <c r="N662" t="str">
        <f>IF(tblSalaries[[#This Row],[Years of Experience]]="","",IF(tblSalaries[[#This Row],[Years of Experience]]&lt;=2,1,""))</f>
        <v/>
      </c>
      <c r="O662" t="str">
        <f>IF(tblSalaries[[#This Row],[Years of Experience]]="","",IF(AND(tblSalaries[[#This Row],[Years of Experience]]&gt;2,tblSalaries[[#This Row],[Years of Experience]]&lt;=5),1,""))</f>
        <v/>
      </c>
      <c r="P662">
        <f>IF(tblSalaries[[#This Row],[Years of Experience]]="","",IF(AND(tblSalaries[[#This Row],[Years of Experience]]&gt;5,tblSalaries[[#This Row],[Years of Experience]]&lt;=10),1,""))</f>
        <v>1</v>
      </c>
      <c r="Q662" t="str">
        <f>IF(tblSalaries[[#This Row],[Years of Experience]]="","",IF(AND(tblSalaries[[#This Row],[Years of Experience]]&gt;10,tblSalaries[[#This Row],[Years of Experience]]&lt;=15),1,""))</f>
        <v/>
      </c>
      <c r="R662" t="str">
        <f>IF(tblSalaries[[#This Row],[Years of Experience]]="","",IF(AND(tblSalaries[[#This Row],[Years of Experience]]&gt;16,tblSalaries[[#This Row],[Years of Experience]]&lt;=20),1,""))</f>
        <v/>
      </c>
      <c r="S662" t="str">
        <f>IF(tblSalaries[[#This Row],[Years of Experience]]="","",IF(tblSalaries[[#This Row],[Years of Experience]]&gt;20,1,""))</f>
        <v/>
      </c>
      <c r="T6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62" s="13" t="str">
        <f>IF(tblSalaries[[#This Row],[Job Type]]=tblSalaries[[#Headers],[Accountant]],tblSalaries[[#This Row],[Salary in USD]],"")</f>
        <v/>
      </c>
      <c r="V662" s="13" t="str">
        <f>IF(tblSalaries[[#This Row],[Job Type]]=tblSalaries[[#Headers],[Analyst]],tblSalaries[[#This Row],[Salary in USD]],"")</f>
        <v/>
      </c>
      <c r="W662" s="13" t="str">
        <f>IF(tblSalaries[[#This Row],[Job Type]]=tblSalaries[[#Headers],[Consultant]],tblSalaries[[#This Row],[Salary in USD]],"")</f>
        <v/>
      </c>
      <c r="X662" s="13" t="str">
        <f>IF(tblSalaries[[#This Row],[Job Type]]=tblSalaries[[#Headers],[Controller]],tblSalaries[[#This Row],[Salary in USD]],"")</f>
        <v/>
      </c>
      <c r="Y662" s="13" t="str">
        <f>IF(tblSalaries[[#This Row],[Job Type]]=tblSalaries[[#Headers],[CXO or Top Mgmt.]],tblSalaries[[#This Row],[clean Salary (in local currency)]],"")</f>
        <v/>
      </c>
      <c r="Z662" s="13" t="str">
        <f>IF(tblSalaries[[#This Row],[Job Type]]=tblSalaries[[#Headers],[Engineer]],tblSalaries[[#This Row],[Salary in USD]],"")</f>
        <v/>
      </c>
      <c r="AA662" s="13">
        <f>IF(tblSalaries[[#This Row],[Job Type]]=tblSalaries[[#Headers],[Manager]],tblSalaries[[#This Row],[Salary in USD]],"")</f>
        <v>8738</v>
      </c>
      <c r="AB662" s="13" t="str">
        <f>IF(tblSalaries[[#This Row],[Job Type]]=tblSalaries[[#Headers],[Misc.]],tblSalaries[[#This Row],[Salary in USD]],"")</f>
        <v/>
      </c>
      <c r="AC662" s="13" t="str">
        <f>IF(tblSalaries[[#This Row],[Job Type]]=tblSalaries[[#Headers],[Reporting]],tblSalaries[[#This Row],[Salary in USD]],"")</f>
        <v/>
      </c>
      <c r="AD662" s="13" t="str">
        <f>IF(tblSalaries[[#This Row],[Job Type]]=tblSalaries[[#Headers],[Specialist]],tblSalaries[[#This Row],[Salary in USD]],"")</f>
        <v/>
      </c>
    </row>
    <row r="663" spans="2:30" ht="15" customHeight="1" x14ac:dyDescent="0.25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 s="9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  <c r="N663">
        <f>IF(tblSalaries[[#This Row],[Years of Experience]]="","",IF(tblSalaries[[#This Row],[Years of Experience]]&lt;=2,1,""))</f>
        <v>1</v>
      </c>
      <c r="O663" t="str">
        <f>IF(tblSalaries[[#This Row],[Years of Experience]]="","",IF(AND(tblSalaries[[#This Row],[Years of Experience]]&gt;2,tblSalaries[[#This Row],[Years of Experience]]&lt;=5),1,""))</f>
        <v/>
      </c>
      <c r="P663" t="str">
        <f>IF(tblSalaries[[#This Row],[Years of Experience]]="","",IF(AND(tblSalaries[[#This Row],[Years of Experience]]&gt;5,tblSalaries[[#This Row],[Years of Experience]]&lt;=10),1,""))</f>
        <v/>
      </c>
      <c r="Q663" t="str">
        <f>IF(tblSalaries[[#This Row],[Years of Experience]]="","",IF(AND(tblSalaries[[#This Row],[Years of Experience]]&gt;10,tblSalaries[[#This Row],[Years of Experience]]&lt;=15),1,""))</f>
        <v/>
      </c>
      <c r="R663" t="str">
        <f>IF(tblSalaries[[#This Row],[Years of Experience]]="","",IF(AND(tblSalaries[[#This Row],[Years of Experience]]&gt;16,tblSalaries[[#This Row],[Years of Experience]]&lt;=20),1,""))</f>
        <v/>
      </c>
      <c r="S663" t="str">
        <f>IF(tblSalaries[[#This Row],[Years of Experience]]="","",IF(tblSalaries[[#This Row],[Years of Experience]]&gt;20,1,""))</f>
        <v/>
      </c>
      <c r="T6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63" s="13" t="str">
        <f>IF(tblSalaries[[#This Row],[Job Type]]=tblSalaries[[#Headers],[Accountant]],tblSalaries[[#This Row],[Salary in USD]],"")</f>
        <v/>
      </c>
      <c r="V663" s="13">
        <f>IF(tblSalaries[[#This Row],[Job Type]]=tblSalaries[[#Headers],[Analyst]],tblSalaries[[#This Row],[Salary in USD]],"")</f>
        <v>15000</v>
      </c>
      <c r="W663" s="13" t="str">
        <f>IF(tblSalaries[[#This Row],[Job Type]]=tblSalaries[[#Headers],[Consultant]],tblSalaries[[#This Row],[Salary in USD]],"")</f>
        <v/>
      </c>
      <c r="X663" s="13" t="str">
        <f>IF(tblSalaries[[#This Row],[Job Type]]=tblSalaries[[#Headers],[Controller]],tblSalaries[[#This Row],[Salary in USD]],"")</f>
        <v/>
      </c>
      <c r="Y663" s="13" t="str">
        <f>IF(tblSalaries[[#This Row],[Job Type]]=tblSalaries[[#Headers],[CXO or Top Mgmt.]],tblSalaries[[#This Row],[clean Salary (in local currency)]],"")</f>
        <v/>
      </c>
      <c r="Z663" s="13" t="str">
        <f>IF(tblSalaries[[#This Row],[Job Type]]=tblSalaries[[#Headers],[Engineer]],tblSalaries[[#This Row],[Salary in USD]],"")</f>
        <v/>
      </c>
      <c r="AA663" s="13" t="str">
        <f>IF(tblSalaries[[#This Row],[Job Type]]=tblSalaries[[#Headers],[Manager]],tblSalaries[[#This Row],[Salary in USD]],"")</f>
        <v/>
      </c>
      <c r="AB663" s="13" t="str">
        <f>IF(tblSalaries[[#This Row],[Job Type]]=tblSalaries[[#Headers],[Misc.]],tblSalaries[[#This Row],[Salary in USD]],"")</f>
        <v/>
      </c>
      <c r="AC663" s="13" t="str">
        <f>IF(tblSalaries[[#This Row],[Job Type]]=tblSalaries[[#Headers],[Reporting]],tblSalaries[[#This Row],[Salary in USD]],"")</f>
        <v/>
      </c>
      <c r="AD663" s="13" t="str">
        <f>IF(tblSalaries[[#This Row],[Job Type]]=tblSalaries[[#Headers],[Specialist]],tblSalaries[[#This Row],[Salary in USD]],"")</f>
        <v/>
      </c>
    </row>
    <row r="664" spans="2:30" ht="15" customHeight="1" x14ac:dyDescent="0.25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 s="9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  <c r="N664" t="str">
        <f>IF(tblSalaries[[#This Row],[Years of Experience]]="","",IF(tblSalaries[[#This Row],[Years of Experience]]&lt;=2,1,""))</f>
        <v/>
      </c>
      <c r="O664" t="str">
        <f>IF(tblSalaries[[#This Row],[Years of Experience]]="","",IF(AND(tblSalaries[[#This Row],[Years of Experience]]&gt;2,tblSalaries[[#This Row],[Years of Experience]]&lt;=5),1,""))</f>
        <v/>
      </c>
      <c r="P664">
        <f>IF(tblSalaries[[#This Row],[Years of Experience]]="","",IF(AND(tblSalaries[[#This Row],[Years of Experience]]&gt;5,tblSalaries[[#This Row],[Years of Experience]]&lt;=10),1,""))</f>
        <v>1</v>
      </c>
      <c r="Q664" t="str">
        <f>IF(tblSalaries[[#This Row],[Years of Experience]]="","",IF(AND(tblSalaries[[#This Row],[Years of Experience]]&gt;10,tblSalaries[[#This Row],[Years of Experience]]&lt;=15),1,""))</f>
        <v/>
      </c>
      <c r="R664" t="str">
        <f>IF(tblSalaries[[#This Row],[Years of Experience]]="","",IF(AND(tblSalaries[[#This Row],[Years of Experience]]&gt;16,tblSalaries[[#This Row],[Years of Experience]]&lt;=20),1,""))</f>
        <v/>
      </c>
      <c r="S664" t="str">
        <f>IF(tblSalaries[[#This Row],[Years of Experience]]="","",IF(tblSalaries[[#This Row],[Years of Experience]]&gt;20,1,""))</f>
        <v/>
      </c>
      <c r="T6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64" s="13" t="str">
        <f>IF(tblSalaries[[#This Row],[Job Type]]=tblSalaries[[#Headers],[Accountant]],tblSalaries[[#This Row],[Salary in USD]],"")</f>
        <v/>
      </c>
      <c r="V664" s="13" t="str">
        <f>IF(tblSalaries[[#This Row],[Job Type]]=tblSalaries[[#Headers],[Analyst]],tblSalaries[[#This Row],[Salary in USD]],"")</f>
        <v/>
      </c>
      <c r="W664" s="13" t="str">
        <f>IF(tblSalaries[[#This Row],[Job Type]]=tblSalaries[[#Headers],[Consultant]],tblSalaries[[#This Row],[Salary in USD]],"")</f>
        <v/>
      </c>
      <c r="X664" s="13" t="str">
        <f>IF(tblSalaries[[#This Row],[Job Type]]=tblSalaries[[#Headers],[Controller]],tblSalaries[[#This Row],[Salary in USD]],"")</f>
        <v/>
      </c>
      <c r="Y664" s="13" t="str">
        <f>IF(tblSalaries[[#This Row],[Job Type]]=tblSalaries[[#Headers],[CXO or Top Mgmt.]],tblSalaries[[#This Row],[clean Salary (in local currency)]],"")</f>
        <v/>
      </c>
      <c r="Z664" s="13" t="str">
        <f>IF(tblSalaries[[#This Row],[Job Type]]=tblSalaries[[#Headers],[Engineer]],tblSalaries[[#This Row],[Salary in USD]],"")</f>
        <v/>
      </c>
      <c r="AA664" s="13">
        <f>IF(tblSalaries[[#This Row],[Job Type]]=tblSalaries[[#Headers],[Manager]],tblSalaries[[#This Row],[Salary in USD]],"")</f>
        <v>56400</v>
      </c>
      <c r="AB664" s="13" t="str">
        <f>IF(tblSalaries[[#This Row],[Job Type]]=tblSalaries[[#Headers],[Misc.]],tblSalaries[[#This Row],[Salary in USD]],"")</f>
        <v/>
      </c>
      <c r="AC664" s="13" t="str">
        <f>IF(tblSalaries[[#This Row],[Job Type]]=tblSalaries[[#Headers],[Reporting]],tblSalaries[[#This Row],[Salary in USD]],"")</f>
        <v/>
      </c>
      <c r="AD664" s="13" t="str">
        <f>IF(tblSalaries[[#This Row],[Job Type]]=tblSalaries[[#Headers],[Specialist]],tblSalaries[[#This Row],[Salary in USD]],"")</f>
        <v/>
      </c>
    </row>
    <row r="665" spans="2:30" ht="15" customHeight="1" x14ac:dyDescent="0.25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 s="9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  <c r="N665" t="str">
        <f>IF(tblSalaries[[#This Row],[Years of Experience]]="","",IF(tblSalaries[[#This Row],[Years of Experience]]&lt;=2,1,""))</f>
        <v/>
      </c>
      <c r="O665">
        <f>IF(tblSalaries[[#This Row],[Years of Experience]]="","",IF(AND(tblSalaries[[#This Row],[Years of Experience]]&gt;2,tblSalaries[[#This Row],[Years of Experience]]&lt;=5),1,""))</f>
        <v>1</v>
      </c>
      <c r="P665" t="str">
        <f>IF(tblSalaries[[#This Row],[Years of Experience]]="","",IF(AND(tblSalaries[[#This Row],[Years of Experience]]&gt;5,tblSalaries[[#This Row],[Years of Experience]]&lt;=10),1,""))</f>
        <v/>
      </c>
      <c r="Q665" t="str">
        <f>IF(tblSalaries[[#This Row],[Years of Experience]]="","",IF(AND(tblSalaries[[#This Row],[Years of Experience]]&gt;10,tblSalaries[[#This Row],[Years of Experience]]&lt;=15),1,""))</f>
        <v/>
      </c>
      <c r="R665" t="str">
        <f>IF(tblSalaries[[#This Row],[Years of Experience]]="","",IF(AND(tblSalaries[[#This Row],[Years of Experience]]&gt;16,tblSalaries[[#This Row],[Years of Experience]]&lt;=20),1,""))</f>
        <v/>
      </c>
      <c r="S665" t="str">
        <f>IF(tblSalaries[[#This Row],[Years of Experience]]="","",IF(tblSalaries[[#This Row],[Years of Experience]]&gt;20,1,""))</f>
        <v/>
      </c>
      <c r="T6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65" s="13" t="str">
        <f>IF(tblSalaries[[#This Row],[Job Type]]=tblSalaries[[#Headers],[Accountant]],tblSalaries[[#This Row],[Salary in USD]],"")</f>
        <v/>
      </c>
      <c r="V665" s="13">
        <f>IF(tblSalaries[[#This Row],[Job Type]]=tblSalaries[[#Headers],[Analyst]],tblSalaries[[#This Row],[Salary in USD]],"")</f>
        <v>10200</v>
      </c>
      <c r="W665" s="13" t="str">
        <f>IF(tblSalaries[[#This Row],[Job Type]]=tblSalaries[[#Headers],[Consultant]],tblSalaries[[#This Row],[Salary in USD]],"")</f>
        <v/>
      </c>
      <c r="X665" s="13" t="str">
        <f>IF(tblSalaries[[#This Row],[Job Type]]=tblSalaries[[#Headers],[Controller]],tblSalaries[[#This Row],[Salary in USD]],"")</f>
        <v/>
      </c>
      <c r="Y665" s="13" t="str">
        <f>IF(tblSalaries[[#This Row],[Job Type]]=tblSalaries[[#Headers],[CXO or Top Mgmt.]],tblSalaries[[#This Row],[clean Salary (in local currency)]],"")</f>
        <v/>
      </c>
      <c r="Z665" s="13" t="str">
        <f>IF(tblSalaries[[#This Row],[Job Type]]=tblSalaries[[#Headers],[Engineer]],tblSalaries[[#This Row],[Salary in USD]],"")</f>
        <v/>
      </c>
      <c r="AA665" s="13" t="str">
        <f>IF(tblSalaries[[#This Row],[Job Type]]=tblSalaries[[#Headers],[Manager]],tblSalaries[[#This Row],[Salary in USD]],"")</f>
        <v/>
      </c>
      <c r="AB665" s="13" t="str">
        <f>IF(tblSalaries[[#This Row],[Job Type]]=tblSalaries[[#Headers],[Misc.]],tblSalaries[[#This Row],[Salary in USD]],"")</f>
        <v/>
      </c>
      <c r="AC665" s="13" t="str">
        <f>IF(tblSalaries[[#This Row],[Job Type]]=tblSalaries[[#Headers],[Reporting]],tblSalaries[[#This Row],[Salary in USD]],"")</f>
        <v/>
      </c>
      <c r="AD665" s="13" t="str">
        <f>IF(tblSalaries[[#This Row],[Job Type]]=tblSalaries[[#Headers],[Specialist]],tblSalaries[[#This Row],[Salary in USD]],"")</f>
        <v/>
      </c>
    </row>
    <row r="666" spans="2:30" ht="15" customHeight="1" x14ac:dyDescent="0.25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 s="9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3999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  <c r="N666" t="str">
        <f>IF(tblSalaries[[#This Row],[Years of Experience]]="","",IF(tblSalaries[[#This Row],[Years of Experience]]&lt;=2,1,""))</f>
        <v/>
      </c>
      <c r="O666">
        <f>IF(tblSalaries[[#This Row],[Years of Experience]]="","",IF(AND(tblSalaries[[#This Row],[Years of Experience]]&gt;2,tblSalaries[[#This Row],[Years of Experience]]&lt;=5),1,""))</f>
        <v>1</v>
      </c>
      <c r="P666" t="str">
        <f>IF(tblSalaries[[#This Row],[Years of Experience]]="","",IF(AND(tblSalaries[[#This Row],[Years of Experience]]&gt;5,tblSalaries[[#This Row],[Years of Experience]]&lt;=10),1,""))</f>
        <v/>
      </c>
      <c r="Q666" t="str">
        <f>IF(tblSalaries[[#This Row],[Years of Experience]]="","",IF(AND(tblSalaries[[#This Row],[Years of Experience]]&gt;10,tblSalaries[[#This Row],[Years of Experience]]&lt;=15),1,""))</f>
        <v/>
      </c>
      <c r="R666" t="str">
        <f>IF(tblSalaries[[#This Row],[Years of Experience]]="","",IF(AND(tblSalaries[[#This Row],[Years of Experience]]&gt;16,tblSalaries[[#This Row],[Years of Experience]]&lt;=20),1,""))</f>
        <v/>
      </c>
      <c r="S666" t="str">
        <f>IF(tblSalaries[[#This Row],[Years of Experience]]="","",IF(tblSalaries[[#This Row],[Years of Experience]]&gt;20,1,""))</f>
        <v/>
      </c>
      <c r="T6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66" s="13" t="str">
        <f>IF(tblSalaries[[#This Row],[Job Type]]=tblSalaries[[#Headers],[Accountant]],tblSalaries[[#This Row],[Salary in USD]],"")</f>
        <v/>
      </c>
      <c r="V666" s="13" t="str">
        <f>IF(tblSalaries[[#This Row],[Job Type]]=tblSalaries[[#Headers],[Analyst]],tblSalaries[[#This Row],[Salary in USD]],"")</f>
        <v/>
      </c>
      <c r="W666" s="13" t="str">
        <f>IF(tblSalaries[[#This Row],[Job Type]]=tblSalaries[[#Headers],[Consultant]],tblSalaries[[#This Row],[Salary in USD]],"")</f>
        <v/>
      </c>
      <c r="X666" s="13" t="str">
        <f>IF(tblSalaries[[#This Row],[Job Type]]=tblSalaries[[#Headers],[Controller]],tblSalaries[[#This Row],[Salary in USD]],"")</f>
        <v/>
      </c>
      <c r="Y666" s="13" t="str">
        <f>IF(tblSalaries[[#This Row],[Job Type]]=tblSalaries[[#Headers],[CXO or Top Mgmt.]],tblSalaries[[#This Row],[clean Salary (in local currency)]],"")</f>
        <v/>
      </c>
      <c r="Z666" s="13" t="str">
        <f>IF(tblSalaries[[#This Row],[Job Type]]=tblSalaries[[#Headers],[Engineer]],tblSalaries[[#This Row],[Salary in USD]],"")</f>
        <v/>
      </c>
      <c r="AA666" s="13" t="str">
        <f>IF(tblSalaries[[#This Row],[Job Type]]=tblSalaries[[#Headers],[Manager]],tblSalaries[[#This Row],[Salary in USD]],"")</f>
        <v/>
      </c>
      <c r="AB666" s="13" t="str">
        <f>IF(tblSalaries[[#This Row],[Job Type]]=tblSalaries[[#Headers],[Misc.]],tblSalaries[[#This Row],[Salary in USD]],"")</f>
        <v/>
      </c>
      <c r="AC666" s="13">
        <f>IF(tblSalaries[[#This Row],[Job Type]]=tblSalaries[[#Headers],[Reporting]],tblSalaries[[#This Row],[Salary in USD]],"")</f>
        <v>5787.5729234188348</v>
      </c>
      <c r="AD666" s="13" t="str">
        <f>IF(tblSalaries[[#This Row],[Job Type]]=tblSalaries[[#Headers],[Specialist]],tblSalaries[[#This Row],[Salary in USD]],"")</f>
        <v/>
      </c>
    </row>
    <row r="667" spans="2:30" ht="15" customHeight="1" x14ac:dyDescent="0.25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 s="9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  <c r="N667" t="str">
        <f>IF(tblSalaries[[#This Row],[Years of Experience]]="","",IF(tblSalaries[[#This Row],[Years of Experience]]&lt;=2,1,""))</f>
        <v/>
      </c>
      <c r="O667" t="str">
        <f>IF(tblSalaries[[#This Row],[Years of Experience]]="","",IF(AND(tblSalaries[[#This Row],[Years of Experience]]&gt;2,tblSalaries[[#This Row],[Years of Experience]]&lt;=5),1,""))</f>
        <v/>
      </c>
      <c r="P667" t="str">
        <f>IF(tblSalaries[[#This Row],[Years of Experience]]="","",IF(AND(tblSalaries[[#This Row],[Years of Experience]]&gt;5,tblSalaries[[#This Row],[Years of Experience]]&lt;=10),1,""))</f>
        <v/>
      </c>
      <c r="Q667">
        <f>IF(tblSalaries[[#This Row],[Years of Experience]]="","",IF(AND(tblSalaries[[#This Row],[Years of Experience]]&gt;10,tblSalaries[[#This Row],[Years of Experience]]&lt;=15),1,""))</f>
        <v>1</v>
      </c>
      <c r="R667" t="str">
        <f>IF(tblSalaries[[#This Row],[Years of Experience]]="","",IF(AND(tblSalaries[[#This Row],[Years of Experience]]&gt;16,tblSalaries[[#This Row],[Years of Experience]]&lt;=20),1,""))</f>
        <v/>
      </c>
      <c r="S667" t="str">
        <f>IF(tblSalaries[[#This Row],[Years of Experience]]="","",IF(tblSalaries[[#This Row],[Years of Experience]]&gt;20,1,""))</f>
        <v/>
      </c>
      <c r="T6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67" s="13" t="str">
        <f>IF(tblSalaries[[#This Row],[Job Type]]=tblSalaries[[#Headers],[Accountant]],tblSalaries[[#This Row],[Salary in USD]],"")</f>
        <v/>
      </c>
      <c r="V667" s="13" t="str">
        <f>IF(tblSalaries[[#This Row],[Job Type]]=tblSalaries[[#Headers],[Analyst]],tblSalaries[[#This Row],[Salary in USD]],"")</f>
        <v/>
      </c>
      <c r="W667" s="13">
        <f>IF(tblSalaries[[#This Row],[Job Type]]=tblSalaries[[#Headers],[Consultant]],tblSalaries[[#This Row],[Salary in USD]],"")</f>
        <v>105000</v>
      </c>
      <c r="X667" s="13" t="str">
        <f>IF(tblSalaries[[#This Row],[Job Type]]=tblSalaries[[#Headers],[Controller]],tblSalaries[[#This Row],[Salary in USD]],"")</f>
        <v/>
      </c>
      <c r="Y667" s="13" t="str">
        <f>IF(tblSalaries[[#This Row],[Job Type]]=tblSalaries[[#Headers],[CXO or Top Mgmt.]],tblSalaries[[#This Row],[clean Salary (in local currency)]],"")</f>
        <v/>
      </c>
      <c r="Z667" s="13" t="str">
        <f>IF(tblSalaries[[#This Row],[Job Type]]=tblSalaries[[#Headers],[Engineer]],tblSalaries[[#This Row],[Salary in USD]],"")</f>
        <v/>
      </c>
      <c r="AA667" s="13" t="str">
        <f>IF(tblSalaries[[#This Row],[Job Type]]=tblSalaries[[#Headers],[Manager]],tblSalaries[[#This Row],[Salary in USD]],"")</f>
        <v/>
      </c>
      <c r="AB667" s="13" t="str">
        <f>IF(tblSalaries[[#This Row],[Job Type]]=tblSalaries[[#Headers],[Misc.]],tblSalaries[[#This Row],[Salary in USD]],"")</f>
        <v/>
      </c>
      <c r="AC667" s="13" t="str">
        <f>IF(tblSalaries[[#This Row],[Job Type]]=tblSalaries[[#Headers],[Reporting]],tblSalaries[[#This Row],[Salary in USD]],"")</f>
        <v/>
      </c>
      <c r="AD667" s="13" t="str">
        <f>IF(tblSalaries[[#This Row],[Job Type]]=tblSalaries[[#Headers],[Specialist]],tblSalaries[[#This Row],[Salary in USD]],"")</f>
        <v/>
      </c>
    </row>
    <row r="668" spans="2:30" ht="15" customHeight="1" x14ac:dyDescent="0.25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 s="9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  <c r="N668" t="str">
        <f>IF(tblSalaries[[#This Row],[Years of Experience]]="","",IF(tblSalaries[[#This Row],[Years of Experience]]&lt;=2,1,""))</f>
        <v/>
      </c>
      <c r="O668">
        <f>IF(tblSalaries[[#This Row],[Years of Experience]]="","",IF(AND(tblSalaries[[#This Row],[Years of Experience]]&gt;2,tblSalaries[[#This Row],[Years of Experience]]&lt;=5),1,""))</f>
        <v>1</v>
      </c>
      <c r="P668" t="str">
        <f>IF(tblSalaries[[#This Row],[Years of Experience]]="","",IF(AND(tblSalaries[[#This Row],[Years of Experience]]&gt;5,tblSalaries[[#This Row],[Years of Experience]]&lt;=10),1,""))</f>
        <v/>
      </c>
      <c r="Q668" t="str">
        <f>IF(tblSalaries[[#This Row],[Years of Experience]]="","",IF(AND(tblSalaries[[#This Row],[Years of Experience]]&gt;10,tblSalaries[[#This Row],[Years of Experience]]&lt;=15),1,""))</f>
        <v/>
      </c>
      <c r="R668" t="str">
        <f>IF(tblSalaries[[#This Row],[Years of Experience]]="","",IF(AND(tblSalaries[[#This Row],[Years of Experience]]&gt;16,tblSalaries[[#This Row],[Years of Experience]]&lt;=20),1,""))</f>
        <v/>
      </c>
      <c r="S668" t="str">
        <f>IF(tblSalaries[[#This Row],[Years of Experience]]="","",IF(tblSalaries[[#This Row],[Years of Experience]]&gt;20,1,""))</f>
        <v/>
      </c>
      <c r="T6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68" s="13" t="str">
        <f>IF(tblSalaries[[#This Row],[Job Type]]=tblSalaries[[#Headers],[Accountant]],tblSalaries[[#This Row],[Salary in USD]],"")</f>
        <v/>
      </c>
      <c r="V668" s="13" t="str">
        <f>IF(tblSalaries[[#This Row],[Job Type]]=tblSalaries[[#Headers],[Analyst]],tblSalaries[[#This Row],[Salary in USD]],"")</f>
        <v/>
      </c>
      <c r="W668" s="13" t="str">
        <f>IF(tblSalaries[[#This Row],[Job Type]]=tblSalaries[[#Headers],[Consultant]],tblSalaries[[#This Row],[Salary in USD]],"")</f>
        <v/>
      </c>
      <c r="X668" s="13" t="str">
        <f>IF(tblSalaries[[#This Row],[Job Type]]=tblSalaries[[#Headers],[Controller]],tblSalaries[[#This Row],[Salary in USD]],"")</f>
        <v/>
      </c>
      <c r="Y668" s="13" t="str">
        <f>IF(tblSalaries[[#This Row],[Job Type]]=tblSalaries[[#Headers],[CXO or Top Mgmt.]],tblSalaries[[#This Row],[clean Salary (in local currency)]],"")</f>
        <v/>
      </c>
      <c r="Z668" s="13" t="str">
        <f>IF(tblSalaries[[#This Row],[Job Type]]=tblSalaries[[#Headers],[Engineer]],tblSalaries[[#This Row],[Salary in USD]],"")</f>
        <v/>
      </c>
      <c r="AA668" s="13">
        <f>IF(tblSalaries[[#This Row],[Job Type]]=tblSalaries[[#Headers],[Manager]],tblSalaries[[#This Row],[Salary in USD]],"")</f>
        <v>4451.9791718606421</v>
      </c>
      <c r="AB668" s="13" t="str">
        <f>IF(tblSalaries[[#This Row],[Job Type]]=tblSalaries[[#Headers],[Misc.]],tblSalaries[[#This Row],[Salary in USD]],"")</f>
        <v/>
      </c>
      <c r="AC668" s="13" t="str">
        <f>IF(tblSalaries[[#This Row],[Job Type]]=tblSalaries[[#Headers],[Reporting]],tblSalaries[[#This Row],[Salary in USD]],"")</f>
        <v/>
      </c>
      <c r="AD668" s="13" t="str">
        <f>IF(tblSalaries[[#This Row],[Job Type]]=tblSalaries[[#Headers],[Specialist]],tblSalaries[[#This Row],[Salary in USD]],"")</f>
        <v/>
      </c>
    </row>
    <row r="669" spans="2:30" ht="15" customHeight="1" x14ac:dyDescent="0.25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 s="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  <c r="N669" t="str">
        <f>IF(tblSalaries[[#This Row],[Years of Experience]]="","",IF(tblSalaries[[#This Row],[Years of Experience]]&lt;=2,1,""))</f>
        <v/>
      </c>
      <c r="O669">
        <f>IF(tblSalaries[[#This Row],[Years of Experience]]="","",IF(AND(tblSalaries[[#This Row],[Years of Experience]]&gt;2,tblSalaries[[#This Row],[Years of Experience]]&lt;=5),1,""))</f>
        <v>1</v>
      </c>
      <c r="P669" t="str">
        <f>IF(tblSalaries[[#This Row],[Years of Experience]]="","",IF(AND(tblSalaries[[#This Row],[Years of Experience]]&gt;5,tblSalaries[[#This Row],[Years of Experience]]&lt;=10),1,""))</f>
        <v/>
      </c>
      <c r="Q669" t="str">
        <f>IF(tblSalaries[[#This Row],[Years of Experience]]="","",IF(AND(tblSalaries[[#This Row],[Years of Experience]]&gt;10,tblSalaries[[#This Row],[Years of Experience]]&lt;=15),1,""))</f>
        <v/>
      </c>
      <c r="R669" t="str">
        <f>IF(tblSalaries[[#This Row],[Years of Experience]]="","",IF(AND(tblSalaries[[#This Row],[Years of Experience]]&gt;16,tblSalaries[[#This Row],[Years of Experience]]&lt;=20),1,""))</f>
        <v/>
      </c>
      <c r="S669" t="str">
        <f>IF(tblSalaries[[#This Row],[Years of Experience]]="","",IF(tblSalaries[[#This Row],[Years of Experience]]&gt;20,1,""))</f>
        <v/>
      </c>
      <c r="T6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69" s="13" t="str">
        <f>IF(tblSalaries[[#This Row],[Job Type]]=tblSalaries[[#Headers],[Accountant]],tblSalaries[[#This Row],[Salary in USD]],"")</f>
        <v/>
      </c>
      <c r="V669" s="13" t="str">
        <f>IF(tblSalaries[[#This Row],[Job Type]]=tblSalaries[[#Headers],[Analyst]],tblSalaries[[#This Row],[Salary in USD]],"")</f>
        <v/>
      </c>
      <c r="W669" s="13">
        <f>IF(tblSalaries[[#This Row],[Job Type]]=tblSalaries[[#Headers],[Consultant]],tblSalaries[[#This Row],[Salary in USD]],"")</f>
        <v>8369.7208430980063</v>
      </c>
      <c r="X669" s="13" t="str">
        <f>IF(tblSalaries[[#This Row],[Job Type]]=tblSalaries[[#Headers],[Controller]],tblSalaries[[#This Row],[Salary in USD]],"")</f>
        <v/>
      </c>
      <c r="Y669" s="13" t="str">
        <f>IF(tblSalaries[[#This Row],[Job Type]]=tblSalaries[[#Headers],[CXO or Top Mgmt.]],tblSalaries[[#This Row],[clean Salary (in local currency)]],"")</f>
        <v/>
      </c>
      <c r="Z669" s="13" t="str">
        <f>IF(tblSalaries[[#This Row],[Job Type]]=tblSalaries[[#Headers],[Engineer]],tblSalaries[[#This Row],[Salary in USD]],"")</f>
        <v/>
      </c>
      <c r="AA669" s="13" t="str">
        <f>IF(tblSalaries[[#This Row],[Job Type]]=tblSalaries[[#Headers],[Manager]],tblSalaries[[#This Row],[Salary in USD]],"")</f>
        <v/>
      </c>
      <c r="AB669" s="13" t="str">
        <f>IF(tblSalaries[[#This Row],[Job Type]]=tblSalaries[[#Headers],[Misc.]],tblSalaries[[#This Row],[Salary in USD]],"")</f>
        <v/>
      </c>
      <c r="AC669" s="13" t="str">
        <f>IF(tblSalaries[[#This Row],[Job Type]]=tblSalaries[[#Headers],[Reporting]],tblSalaries[[#This Row],[Salary in USD]],"")</f>
        <v/>
      </c>
      <c r="AD669" s="13" t="str">
        <f>IF(tblSalaries[[#This Row],[Job Type]]=tblSalaries[[#Headers],[Specialist]],tblSalaries[[#This Row],[Salary in USD]],"")</f>
        <v/>
      </c>
    </row>
    <row r="670" spans="2:30" ht="15" customHeight="1" x14ac:dyDescent="0.25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 s="9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  <c r="N670" t="str">
        <f>IF(tblSalaries[[#This Row],[Years of Experience]]="","",IF(tblSalaries[[#This Row],[Years of Experience]]&lt;=2,1,""))</f>
        <v/>
      </c>
      <c r="O670" t="str">
        <f>IF(tblSalaries[[#This Row],[Years of Experience]]="","",IF(AND(tblSalaries[[#This Row],[Years of Experience]]&gt;2,tblSalaries[[#This Row],[Years of Experience]]&lt;=5),1,""))</f>
        <v/>
      </c>
      <c r="P670">
        <f>IF(tblSalaries[[#This Row],[Years of Experience]]="","",IF(AND(tblSalaries[[#This Row],[Years of Experience]]&gt;5,tblSalaries[[#This Row],[Years of Experience]]&lt;=10),1,""))</f>
        <v>1</v>
      </c>
      <c r="Q670" t="str">
        <f>IF(tblSalaries[[#This Row],[Years of Experience]]="","",IF(AND(tblSalaries[[#This Row],[Years of Experience]]&gt;10,tblSalaries[[#This Row],[Years of Experience]]&lt;=15),1,""))</f>
        <v/>
      </c>
      <c r="R670" t="str">
        <f>IF(tblSalaries[[#This Row],[Years of Experience]]="","",IF(AND(tblSalaries[[#This Row],[Years of Experience]]&gt;16,tblSalaries[[#This Row],[Years of Experience]]&lt;=20),1,""))</f>
        <v/>
      </c>
      <c r="S670" t="str">
        <f>IF(tblSalaries[[#This Row],[Years of Experience]]="","",IF(tblSalaries[[#This Row],[Years of Experience]]&gt;20,1,""))</f>
        <v/>
      </c>
      <c r="T6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70" s="13" t="str">
        <f>IF(tblSalaries[[#This Row],[Job Type]]=tblSalaries[[#Headers],[Accountant]],tblSalaries[[#This Row],[Salary in USD]],"")</f>
        <v/>
      </c>
      <c r="V670" s="13" t="str">
        <f>IF(tblSalaries[[#This Row],[Job Type]]=tblSalaries[[#Headers],[Analyst]],tblSalaries[[#This Row],[Salary in USD]],"")</f>
        <v/>
      </c>
      <c r="W670" s="13" t="str">
        <f>IF(tblSalaries[[#This Row],[Job Type]]=tblSalaries[[#Headers],[Consultant]],tblSalaries[[#This Row],[Salary in USD]],"")</f>
        <v/>
      </c>
      <c r="X670" s="13" t="str">
        <f>IF(tblSalaries[[#This Row],[Job Type]]=tblSalaries[[#Headers],[Controller]],tblSalaries[[#This Row],[Salary in USD]],"")</f>
        <v/>
      </c>
      <c r="Y670" s="13" t="str">
        <f>IF(tblSalaries[[#This Row],[Job Type]]=tblSalaries[[#Headers],[CXO or Top Mgmt.]],tblSalaries[[#This Row],[clean Salary (in local currency)]],"")</f>
        <v/>
      </c>
      <c r="Z670" s="13" t="str">
        <f>IF(tblSalaries[[#This Row],[Job Type]]=tblSalaries[[#Headers],[Engineer]],tblSalaries[[#This Row],[Salary in USD]],"")</f>
        <v/>
      </c>
      <c r="AA670" s="13">
        <f>IF(tblSalaries[[#This Row],[Job Type]]=tblSalaries[[#Headers],[Manager]],tblSalaries[[#This Row],[Salary in USD]],"")</f>
        <v>17067.637625607145</v>
      </c>
      <c r="AB670" s="13" t="str">
        <f>IF(tblSalaries[[#This Row],[Job Type]]=tblSalaries[[#Headers],[Misc.]],tblSalaries[[#This Row],[Salary in USD]],"")</f>
        <v/>
      </c>
      <c r="AC670" s="13" t="str">
        <f>IF(tblSalaries[[#This Row],[Job Type]]=tblSalaries[[#Headers],[Reporting]],tblSalaries[[#This Row],[Salary in USD]],"")</f>
        <v/>
      </c>
      <c r="AD670" s="13" t="str">
        <f>IF(tblSalaries[[#This Row],[Job Type]]=tblSalaries[[#Headers],[Specialist]],tblSalaries[[#This Row],[Salary in USD]],"")</f>
        <v/>
      </c>
    </row>
    <row r="671" spans="2:30" ht="15" customHeight="1" x14ac:dyDescent="0.25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 s="9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  <c r="N671" t="str">
        <f>IF(tblSalaries[[#This Row],[Years of Experience]]="","",IF(tblSalaries[[#This Row],[Years of Experience]]&lt;=2,1,""))</f>
        <v/>
      </c>
      <c r="O671" t="str">
        <f>IF(tblSalaries[[#This Row],[Years of Experience]]="","",IF(AND(tblSalaries[[#This Row],[Years of Experience]]&gt;2,tblSalaries[[#This Row],[Years of Experience]]&lt;=5),1,""))</f>
        <v/>
      </c>
      <c r="P671" t="str">
        <f>IF(tblSalaries[[#This Row],[Years of Experience]]="","",IF(AND(tblSalaries[[#This Row],[Years of Experience]]&gt;5,tblSalaries[[#This Row],[Years of Experience]]&lt;=10),1,""))</f>
        <v/>
      </c>
      <c r="Q671" t="str">
        <f>IF(tblSalaries[[#This Row],[Years of Experience]]="","",IF(AND(tblSalaries[[#This Row],[Years of Experience]]&gt;10,tblSalaries[[#This Row],[Years of Experience]]&lt;=15),1,""))</f>
        <v/>
      </c>
      <c r="R671">
        <f>IF(tblSalaries[[#This Row],[Years of Experience]]="","",IF(AND(tblSalaries[[#This Row],[Years of Experience]]&gt;16,tblSalaries[[#This Row],[Years of Experience]]&lt;=20),1,""))</f>
        <v>1</v>
      </c>
      <c r="S671" t="str">
        <f>IF(tblSalaries[[#This Row],[Years of Experience]]="","",IF(tblSalaries[[#This Row],[Years of Experience]]&gt;20,1,""))</f>
        <v/>
      </c>
      <c r="T6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71" s="13" t="str">
        <f>IF(tblSalaries[[#This Row],[Job Type]]=tblSalaries[[#Headers],[Accountant]],tblSalaries[[#This Row],[Salary in USD]],"")</f>
        <v/>
      </c>
      <c r="V671" s="13" t="str">
        <f>IF(tblSalaries[[#This Row],[Job Type]]=tblSalaries[[#Headers],[Analyst]],tblSalaries[[#This Row],[Salary in USD]],"")</f>
        <v/>
      </c>
      <c r="W671" s="13" t="str">
        <f>IF(tblSalaries[[#This Row],[Job Type]]=tblSalaries[[#Headers],[Consultant]],tblSalaries[[#This Row],[Salary in USD]],"")</f>
        <v/>
      </c>
      <c r="X671" s="13" t="str">
        <f>IF(tblSalaries[[#This Row],[Job Type]]=tblSalaries[[#Headers],[Controller]],tblSalaries[[#This Row],[Salary in USD]],"")</f>
        <v/>
      </c>
      <c r="Y671" s="13" t="str">
        <f>IF(tblSalaries[[#This Row],[Job Type]]=tblSalaries[[#Headers],[CXO or Top Mgmt.]],tblSalaries[[#This Row],[clean Salary (in local currency)]],"")</f>
        <v/>
      </c>
      <c r="Z671" s="13" t="str">
        <f>IF(tblSalaries[[#This Row],[Job Type]]=tblSalaries[[#Headers],[Engineer]],tblSalaries[[#This Row],[Salary in USD]],"")</f>
        <v/>
      </c>
      <c r="AA671" s="13">
        <f>IF(tblSalaries[[#This Row],[Job Type]]=tblSalaries[[#Headers],[Manager]],tblSalaries[[#This Row],[Salary in USD]],"")</f>
        <v>101990.96564026357</v>
      </c>
      <c r="AB671" s="13" t="str">
        <f>IF(tblSalaries[[#This Row],[Job Type]]=tblSalaries[[#Headers],[Misc.]],tblSalaries[[#This Row],[Salary in USD]],"")</f>
        <v/>
      </c>
      <c r="AC671" s="13" t="str">
        <f>IF(tblSalaries[[#This Row],[Job Type]]=tblSalaries[[#Headers],[Reporting]],tblSalaries[[#This Row],[Salary in USD]],"")</f>
        <v/>
      </c>
      <c r="AD671" s="13" t="str">
        <f>IF(tblSalaries[[#This Row],[Job Type]]=tblSalaries[[#Headers],[Specialist]],tblSalaries[[#This Row],[Salary in USD]],"")</f>
        <v/>
      </c>
    </row>
    <row r="672" spans="2:30" ht="15" customHeight="1" x14ac:dyDescent="0.25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 s="9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  <c r="N672" t="str">
        <f>IF(tblSalaries[[#This Row],[Years of Experience]]="","",IF(tblSalaries[[#This Row],[Years of Experience]]&lt;=2,1,""))</f>
        <v/>
      </c>
      <c r="O672">
        <f>IF(tblSalaries[[#This Row],[Years of Experience]]="","",IF(AND(tblSalaries[[#This Row],[Years of Experience]]&gt;2,tblSalaries[[#This Row],[Years of Experience]]&lt;=5),1,""))</f>
        <v>1</v>
      </c>
      <c r="P672" t="str">
        <f>IF(tblSalaries[[#This Row],[Years of Experience]]="","",IF(AND(tblSalaries[[#This Row],[Years of Experience]]&gt;5,tblSalaries[[#This Row],[Years of Experience]]&lt;=10),1,""))</f>
        <v/>
      </c>
      <c r="Q672" t="str">
        <f>IF(tblSalaries[[#This Row],[Years of Experience]]="","",IF(AND(tblSalaries[[#This Row],[Years of Experience]]&gt;10,tblSalaries[[#This Row],[Years of Experience]]&lt;=15),1,""))</f>
        <v/>
      </c>
      <c r="R672" t="str">
        <f>IF(tblSalaries[[#This Row],[Years of Experience]]="","",IF(AND(tblSalaries[[#This Row],[Years of Experience]]&gt;16,tblSalaries[[#This Row],[Years of Experience]]&lt;=20),1,""))</f>
        <v/>
      </c>
      <c r="S672" t="str">
        <f>IF(tblSalaries[[#This Row],[Years of Experience]]="","",IF(tblSalaries[[#This Row],[Years of Experience]]&gt;20,1,""))</f>
        <v/>
      </c>
      <c r="T6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72" s="13" t="str">
        <f>IF(tblSalaries[[#This Row],[Job Type]]=tblSalaries[[#Headers],[Accountant]],tblSalaries[[#This Row],[Salary in USD]],"")</f>
        <v/>
      </c>
      <c r="V672" s="13">
        <f>IF(tblSalaries[[#This Row],[Job Type]]=tblSalaries[[#Headers],[Analyst]],tblSalaries[[#This Row],[Salary in USD]],"")</f>
        <v>3917.7416712373652</v>
      </c>
      <c r="W672" s="13" t="str">
        <f>IF(tblSalaries[[#This Row],[Job Type]]=tblSalaries[[#Headers],[Consultant]],tblSalaries[[#This Row],[Salary in USD]],"")</f>
        <v/>
      </c>
      <c r="X672" s="13" t="str">
        <f>IF(tblSalaries[[#This Row],[Job Type]]=tblSalaries[[#Headers],[Controller]],tblSalaries[[#This Row],[Salary in USD]],"")</f>
        <v/>
      </c>
      <c r="Y672" s="13" t="str">
        <f>IF(tblSalaries[[#This Row],[Job Type]]=tblSalaries[[#Headers],[CXO or Top Mgmt.]],tblSalaries[[#This Row],[clean Salary (in local currency)]],"")</f>
        <v/>
      </c>
      <c r="Z672" s="13" t="str">
        <f>IF(tblSalaries[[#This Row],[Job Type]]=tblSalaries[[#Headers],[Engineer]],tblSalaries[[#This Row],[Salary in USD]],"")</f>
        <v/>
      </c>
      <c r="AA672" s="13" t="str">
        <f>IF(tblSalaries[[#This Row],[Job Type]]=tblSalaries[[#Headers],[Manager]],tblSalaries[[#This Row],[Salary in USD]],"")</f>
        <v/>
      </c>
      <c r="AB672" s="13" t="str">
        <f>IF(tblSalaries[[#This Row],[Job Type]]=tblSalaries[[#Headers],[Misc.]],tblSalaries[[#This Row],[Salary in USD]],"")</f>
        <v/>
      </c>
      <c r="AC672" s="13" t="str">
        <f>IF(tblSalaries[[#This Row],[Job Type]]=tblSalaries[[#Headers],[Reporting]],tblSalaries[[#This Row],[Salary in USD]],"")</f>
        <v/>
      </c>
      <c r="AD672" s="13" t="str">
        <f>IF(tblSalaries[[#This Row],[Job Type]]=tblSalaries[[#Headers],[Specialist]],tblSalaries[[#This Row],[Salary in USD]],"")</f>
        <v/>
      </c>
    </row>
    <row r="673" spans="2:30" ht="15" customHeight="1" x14ac:dyDescent="0.25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 s="9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  <c r="N673" t="str">
        <f>IF(tblSalaries[[#This Row],[Years of Experience]]="","",IF(tblSalaries[[#This Row],[Years of Experience]]&lt;=2,1,""))</f>
        <v/>
      </c>
      <c r="O673" t="str">
        <f>IF(tblSalaries[[#This Row],[Years of Experience]]="","",IF(AND(tblSalaries[[#This Row],[Years of Experience]]&gt;2,tblSalaries[[#This Row],[Years of Experience]]&lt;=5),1,""))</f>
        <v/>
      </c>
      <c r="P673" t="str">
        <f>IF(tblSalaries[[#This Row],[Years of Experience]]="","",IF(AND(tblSalaries[[#This Row],[Years of Experience]]&gt;5,tblSalaries[[#This Row],[Years of Experience]]&lt;=10),1,""))</f>
        <v/>
      </c>
      <c r="Q673" t="str">
        <f>IF(tblSalaries[[#This Row],[Years of Experience]]="","",IF(AND(tblSalaries[[#This Row],[Years of Experience]]&gt;10,tblSalaries[[#This Row],[Years of Experience]]&lt;=15),1,""))</f>
        <v/>
      </c>
      <c r="R673">
        <f>IF(tblSalaries[[#This Row],[Years of Experience]]="","",IF(AND(tblSalaries[[#This Row],[Years of Experience]]&gt;16,tblSalaries[[#This Row],[Years of Experience]]&lt;=20),1,""))</f>
        <v>1</v>
      </c>
      <c r="S673" t="str">
        <f>IF(tblSalaries[[#This Row],[Years of Experience]]="","",IF(tblSalaries[[#This Row],[Years of Experience]]&gt;20,1,""))</f>
        <v/>
      </c>
      <c r="T6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73" s="13" t="str">
        <f>IF(tblSalaries[[#This Row],[Job Type]]=tblSalaries[[#Headers],[Accountant]],tblSalaries[[#This Row],[Salary in USD]],"")</f>
        <v/>
      </c>
      <c r="V673" s="13" t="str">
        <f>IF(tblSalaries[[#This Row],[Job Type]]=tblSalaries[[#Headers],[Analyst]],tblSalaries[[#This Row],[Salary in USD]],"")</f>
        <v/>
      </c>
      <c r="W673" s="13" t="str">
        <f>IF(tblSalaries[[#This Row],[Job Type]]=tblSalaries[[#Headers],[Consultant]],tblSalaries[[#This Row],[Salary in USD]],"")</f>
        <v/>
      </c>
      <c r="X673" s="13" t="str">
        <f>IF(tblSalaries[[#This Row],[Job Type]]=tblSalaries[[#Headers],[Controller]],tblSalaries[[#This Row],[Salary in USD]],"")</f>
        <v/>
      </c>
      <c r="Y673" s="13" t="str">
        <f>IF(tblSalaries[[#This Row],[Job Type]]=tblSalaries[[#Headers],[CXO or Top Mgmt.]],tblSalaries[[#This Row],[clean Salary (in local currency)]],"")</f>
        <v/>
      </c>
      <c r="Z673" s="13" t="str">
        <f>IF(tblSalaries[[#This Row],[Job Type]]=tblSalaries[[#Headers],[Engineer]],tblSalaries[[#This Row],[Salary in USD]],"")</f>
        <v/>
      </c>
      <c r="AA673" s="13" t="str">
        <f>IF(tblSalaries[[#This Row],[Job Type]]=tblSalaries[[#Headers],[Manager]],tblSalaries[[#This Row],[Salary in USD]],"")</f>
        <v/>
      </c>
      <c r="AB673" s="13" t="str">
        <f>IF(tblSalaries[[#This Row],[Job Type]]=tblSalaries[[#Headers],[Misc.]],tblSalaries[[#This Row],[Salary in USD]],"")</f>
        <v/>
      </c>
      <c r="AC673" s="13" t="str">
        <f>IF(tblSalaries[[#This Row],[Job Type]]=tblSalaries[[#Headers],[Reporting]],tblSalaries[[#This Row],[Salary in USD]],"")</f>
        <v/>
      </c>
      <c r="AD673" s="13">
        <f>IF(tblSalaries[[#This Row],[Job Type]]=tblSalaries[[#Headers],[Specialist]],tblSalaries[[#This Row],[Salary in USD]],"")</f>
        <v>52000</v>
      </c>
    </row>
    <row r="674" spans="2:30" ht="15" customHeight="1" x14ac:dyDescent="0.25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 s="9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  <c r="N674">
        <f>IF(tblSalaries[[#This Row],[Years of Experience]]="","",IF(tblSalaries[[#This Row],[Years of Experience]]&lt;=2,1,""))</f>
        <v>1</v>
      </c>
      <c r="O674" t="str">
        <f>IF(tblSalaries[[#This Row],[Years of Experience]]="","",IF(AND(tblSalaries[[#This Row],[Years of Experience]]&gt;2,tblSalaries[[#This Row],[Years of Experience]]&lt;=5),1,""))</f>
        <v/>
      </c>
      <c r="P674" t="str">
        <f>IF(tblSalaries[[#This Row],[Years of Experience]]="","",IF(AND(tblSalaries[[#This Row],[Years of Experience]]&gt;5,tblSalaries[[#This Row],[Years of Experience]]&lt;=10),1,""))</f>
        <v/>
      </c>
      <c r="Q674" t="str">
        <f>IF(tblSalaries[[#This Row],[Years of Experience]]="","",IF(AND(tblSalaries[[#This Row],[Years of Experience]]&gt;10,tblSalaries[[#This Row],[Years of Experience]]&lt;=15),1,""))</f>
        <v/>
      </c>
      <c r="R674" t="str">
        <f>IF(tblSalaries[[#This Row],[Years of Experience]]="","",IF(AND(tblSalaries[[#This Row],[Years of Experience]]&gt;16,tblSalaries[[#This Row],[Years of Experience]]&lt;=20),1,""))</f>
        <v/>
      </c>
      <c r="S674" t="str">
        <f>IF(tblSalaries[[#This Row],[Years of Experience]]="","",IF(tblSalaries[[#This Row],[Years of Experience]]&gt;20,1,""))</f>
        <v/>
      </c>
      <c r="T6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74" s="13" t="str">
        <f>IF(tblSalaries[[#This Row],[Job Type]]=tblSalaries[[#Headers],[Accountant]],tblSalaries[[#This Row],[Salary in USD]],"")</f>
        <v/>
      </c>
      <c r="V674" s="13">
        <f>IF(tblSalaries[[#This Row],[Job Type]]=tblSalaries[[#Headers],[Analyst]],tblSalaries[[#This Row],[Salary in USD]],"")</f>
        <v>4630.058338735068</v>
      </c>
      <c r="W674" s="13" t="str">
        <f>IF(tblSalaries[[#This Row],[Job Type]]=tblSalaries[[#Headers],[Consultant]],tblSalaries[[#This Row],[Salary in USD]],"")</f>
        <v/>
      </c>
      <c r="X674" s="13" t="str">
        <f>IF(tblSalaries[[#This Row],[Job Type]]=tblSalaries[[#Headers],[Controller]],tblSalaries[[#This Row],[Salary in USD]],"")</f>
        <v/>
      </c>
      <c r="Y674" s="13" t="str">
        <f>IF(tblSalaries[[#This Row],[Job Type]]=tblSalaries[[#Headers],[CXO or Top Mgmt.]],tblSalaries[[#This Row],[clean Salary (in local currency)]],"")</f>
        <v/>
      </c>
      <c r="Z674" s="13" t="str">
        <f>IF(tblSalaries[[#This Row],[Job Type]]=tblSalaries[[#Headers],[Engineer]],tblSalaries[[#This Row],[Salary in USD]],"")</f>
        <v/>
      </c>
      <c r="AA674" s="13" t="str">
        <f>IF(tblSalaries[[#This Row],[Job Type]]=tblSalaries[[#Headers],[Manager]],tblSalaries[[#This Row],[Salary in USD]],"")</f>
        <v/>
      </c>
      <c r="AB674" s="13" t="str">
        <f>IF(tblSalaries[[#This Row],[Job Type]]=tblSalaries[[#Headers],[Misc.]],tblSalaries[[#This Row],[Salary in USD]],"")</f>
        <v/>
      </c>
      <c r="AC674" s="13" t="str">
        <f>IF(tblSalaries[[#This Row],[Job Type]]=tblSalaries[[#Headers],[Reporting]],tblSalaries[[#This Row],[Salary in USD]],"")</f>
        <v/>
      </c>
      <c r="AD674" s="13" t="str">
        <f>IF(tblSalaries[[#This Row],[Job Type]]=tblSalaries[[#Headers],[Specialist]],tblSalaries[[#This Row],[Salary in USD]],"")</f>
        <v/>
      </c>
    </row>
    <row r="675" spans="2:30" ht="15" customHeight="1" x14ac:dyDescent="0.25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 s="9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  <c r="N675" t="str">
        <f>IF(tblSalaries[[#This Row],[Years of Experience]]="","",IF(tblSalaries[[#This Row],[Years of Experience]]&lt;=2,1,""))</f>
        <v/>
      </c>
      <c r="O675">
        <f>IF(tblSalaries[[#This Row],[Years of Experience]]="","",IF(AND(tblSalaries[[#This Row],[Years of Experience]]&gt;2,tblSalaries[[#This Row],[Years of Experience]]&lt;=5),1,""))</f>
        <v>1</v>
      </c>
      <c r="P675" t="str">
        <f>IF(tblSalaries[[#This Row],[Years of Experience]]="","",IF(AND(tblSalaries[[#This Row],[Years of Experience]]&gt;5,tblSalaries[[#This Row],[Years of Experience]]&lt;=10),1,""))</f>
        <v/>
      </c>
      <c r="Q675" t="str">
        <f>IF(tblSalaries[[#This Row],[Years of Experience]]="","",IF(AND(tblSalaries[[#This Row],[Years of Experience]]&gt;10,tblSalaries[[#This Row],[Years of Experience]]&lt;=15),1,""))</f>
        <v/>
      </c>
      <c r="R675" t="str">
        <f>IF(tblSalaries[[#This Row],[Years of Experience]]="","",IF(AND(tblSalaries[[#This Row],[Years of Experience]]&gt;16,tblSalaries[[#This Row],[Years of Experience]]&lt;=20),1,""))</f>
        <v/>
      </c>
      <c r="S675" t="str">
        <f>IF(tblSalaries[[#This Row],[Years of Experience]]="","",IF(tblSalaries[[#This Row],[Years of Experience]]&gt;20,1,""))</f>
        <v/>
      </c>
      <c r="T6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75" s="13" t="str">
        <f>IF(tblSalaries[[#This Row],[Job Type]]=tblSalaries[[#Headers],[Accountant]],tblSalaries[[#This Row],[Salary in USD]],"")</f>
        <v/>
      </c>
      <c r="V675" s="13">
        <f>IF(tblSalaries[[#This Row],[Job Type]]=tblSalaries[[#Headers],[Analyst]],tblSalaries[[#This Row],[Salary in USD]],"")</f>
        <v>2136.9500024931081</v>
      </c>
      <c r="W675" s="13" t="str">
        <f>IF(tblSalaries[[#This Row],[Job Type]]=tblSalaries[[#Headers],[Consultant]],tblSalaries[[#This Row],[Salary in USD]],"")</f>
        <v/>
      </c>
      <c r="X675" s="13" t="str">
        <f>IF(tblSalaries[[#This Row],[Job Type]]=tblSalaries[[#Headers],[Controller]],tblSalaries[[#This Row],[Salary in USD]],"")</f>
        <v/>
      </c>
      <c r="Y675" s="13" t="str">
        <f>IF(tblSalaries[[#This Row],[Job Type]]=tblSalaries[[#Headers],[CXO or Top Mgmt.]],tblSalaries[[#This Row],[clean Salary (in local currency)]],"")</f>
        <v/>
      </c>
      <c r="Z675" s="13" t="str">
        <f>IF(tblSalaries[[#This Row],[Job Type]]=tblSalaries[[#Headers],[Engineer]],tblSalaries[[#This Row],[Salary in USD]],"")</f>
        <v/>
      </c>
      <c r="AA675" s="13" t="str">
        <f>IF(tblSalaries[[#This Row],[Job Type]]=tblSalaries[[#Headers],[Manager]],tblSalaries[[#This Row],[Salary in USD]],"")</f>
        <v/>
      </c>
      <c r="AB675" s="13" t="str">
        <f>IF(tblSalaries[[#This Row],[Job Type]]=tblSalaries[[#Headers],[Misc.]],tblSalaries[[#This Row],[Salary in USD]],"")</f>
        <v/>
      </c>
      <c r="AC675" s="13" t="str">
        <f>IF(tblSalaries[[#This Row],[Job Type]]=tblSalaries[[#Headers],[Reporting]],tblSalaries[[#This Row],[Salary in USD]],"")</f>
        <v/>
      </c>
      <c r="AD675" s="13" t="str">
        <f>IF(tblSalaries[[#This Row],[Job Type]]=tblSalaries[[#Headers],[Specialist]],tblSalaries[[#This Row],[Salary in USD]],"")</f>
        <v/>
      </c>
    </row>
    <row r="676" spans="2:30" ht="15" customHeight="1" x14ac:dyDescent="0.25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 s="9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  <c r="N676" t="str">
        <f>IF(tblSalaries[[#This Row],[Years of Experience]]="","",IF(tblSalaries[[#This Row],[Years of Experience]]&lt;=2,1,""))</f>
        <v/>
      </c>
      <c r="O676">
        <f>IF(tblSalaries[[#This Row],[Years of Experience]]="","",IF(AND(tblSalaries[[#This Row],[Years of Experience]]&gt;2,tblSalaries[[#This Row],[Years of Experience]]&lt;=5),1,""))</f>
        <v>1</v>
      </c>
      <c r="P676" t="str">
        <f>IF(tblSalaries[[#This Row],[Years of Experience]]="","",IF(AND(tblSalaries[[#This Row],[Years of Experience]]&gt;5,tblSalaries[[#This Row],[Years of Experience]]&lt;=10),1,""))</f>
        <v/>
      </c>
      <c r="Q676" t="str">
        <f>IF(tblSalaries[[#This Row],[Years of Experience]]="","",IF(AND(tblSalaries[[#This Row],[Years of Experience]]&gt;10,tblSalaries[[#This Row],[Years of Experience]]&lt;=15),1,""))</f>
        <v/>
      </c>
      <c r="R676" t="str">
        <f>IF(tblSalaries[[#This Row],[Years of Experience]]="","",IF(AND(tblSalaries[[#This Row],[Years of Experience]]&gt;16,tblSalaries[[#This Row],[Years of Experience]]&lt;=20),1,""))</f>
        <v/>
      </c>
      <c r="S676" t="str">
        <f>IF(tblSalaries[[#This Row],[Years of Experience]]="","",IF(tblSalaries[[#This Row],[Years of Experience]]&gt;20,1,""))</f>
        <v/>
      </c>
      <c r="T6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76" s="13" t="str">
        <f>IF(tblSalaries[[#This Row],[Job Type]]=tblSalaries[[#Headers],[Accountant]],tblSalaries[[#This Row],[Salary in USD]],"")</f>
        <v/>
      </c>
      <c r="V676" s="13">
        <f>IF(tblSalaries[[#This Row],[Job Type]]=tblSalaries[[#Headers],[Analyst]],tblSalaries[[#This Row],[Salary in USD]],"")</f>
        <v>13000</v>
      </c>
      <c r="W676" s="13" t="str">
        <f>IF(tblSalaries[[#This Row],[Job Type]]=tblSalaries[[#Headers],[Consultant]],tblSalaries[[#This Row],[Salary in USD]],"")</f>
        <v/>
      </c>
      <c r="X676" s="13" t="str">
        <f>IF(tblSalaries[[#This Row],[Job Type]]=tblSalaries[[#Headers],[Controller]],tblSalaries[[#This Row],[Salary in USD]],"")</f>
        <v/>
      </c>
      <c r="Y676" s="13" t="str">
        <f>IF(tblSalaries[[#This Row],[Job Type]]=tblSalaries[[#Headers],[CXO or Top Mgmt.]],tblSalaries[[#This Row],[clean Salary (in local currency)]],"")</f>
        <v/>
      </c>
      <c r="Z676" s="13" t="str">
        <f>IF(tblSalaries[[#This Row],[Job Type]]=tblSalaries[[#Headers],[Engineer]],tblSalaries[[#This Row],[Salary in USD]],"")</f>
        <v/>
      </c>
      <c r="AA676" s="13" t="str">
        <f>IF(tblSalaries[[#This Row],[Job Type]]=tblSalaries[[#Headers],[Manager]],tblSalaries[[#This Row],[Salary in USD]],"")</f>
        <v/>
      </c>
      <c r="AB676" s="13" t="str">
        <f>IF(tblSalaries[[#This Row],[Job Type]]=tblSalaries[[#Headers],[Misc.]],tblSalaries[[#This Row],[Salary in USD]],"")</f>
        <v/>
      </c>
      <c r="AC676" s="13" t="str">
        <f>IF(tblSalaries[[#This Row],[Job Type]]=tblSalaries[[#Headers],[Reporting]],tblSalaries[[#This Row],[Salary in USD]],"")</f>
        <v/>
      </c>
      <c r="AD676" s="13" t="str">
        <f>IF(tblSalaries[[#This Row],[Job Type]]=tblSalaries[[#Headers],[Specialist]],tblSalaries[[#This Row],[Salary in USD]],"")</f>
        <v/>
      </c>
    </row>
    <row r="677" spans="2:30" ht="15" customHeight="1" x14ac:dyDescent="0.25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 s="9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  <c r="N677" t="str">
        <f>IF(tblSalaries[[#This Row],[Years of Experience]]="","",IF(tblSalaries[[#This Row],[Years of Experience]]&lt;=2,1,""))</f>
        <v/>
      </c>
      <c r="O677" t="str">
        <f>IF(tblSalaries[[#This Row],[Years of Experience]]="","",IF(AND(tblSalaries[[#This Row],[Years of Experience]]&gt;2,tblSalaries[[#This Row],[Years of Experience]]&lt;=5),1,""))</f>
        <v/>
      </c>
      <c r="P677">
        <f>IF(tblSalaries[[#This Row],[Years of Experience]]="","",IF(AND(tblSalaries[[#This Row],[Years of Experience]]&gt;5,tblSalaries[[#This Row],[Years of Experience]]&lt;=10),1,""))</f>
        <v>1</v>
      </c>
      <c r="Q677" t="str">
        <f>IF(tblSalaries[[#This Row],[Years of Experience]]="","",IF(AND(tblSalaries[[#This Row],[Years of Experience]]&gt;10,tblSalaries[[#This Row],[Years of Experience]]&lt;=15),1,""))</f>
        <v/>
      </c>
      <c r="R677" t="str">
        <f>IF(tblSalaries[[#This Row],[Years of Experience]]="","",IF(AND(tblSalaries[[#This Row],[Years of Experience]]&gt;16,tblSalaries[[#This Row],[Years of Experience]]&lt;=20),1,""))</f>
        <v/>
      </c>
      <c r="S677" t="str">
        <f>IF(tblSalaries[[#This Row],[Years of Experience]]="","",IF(tblSalaries[[#This Row],[Years of Experience]]&gt;20,1,""))</f>
        <v/>
      </c>
      <c r="T6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77" s="13" t="str">
        <f>IF(tblSalaries[[#This Row],[Job Type]]=tblSalaries[[#Headers],[Accountant]],tblSalaries[[#This Row],[Salary in USD]],"")</f>
        <v/>
      </c>
      <c r="V677" s="13" t="str">
        <f>IF(tblSalaries[[#This Row],[Job Type]]=tblSalaries[[#Headers],[Analyst]],tblSalaries[[#This Row],[Salary in USD]],"")</f>
        <v/>
      </c>
      <c r="W677" s="13" t="str">
        <f>IF(tblSalaries[[#This Row],[Job Type]]=tblSalaries[[#Headers],[Consultant]],tblSalaries[[#This Row],[Salary in USD]],"")</f>
        <v/>
      </c>
      <c r="X677" s="13" t="str">
        <f>IF(tblSalaries[[#This Row],[Job Type]]=tblSalaries[[#Headers],[Controller]],tblSalaries[[#This Row],[Salary in USD]],"")</f>
        <v/>
      </c>
      <c r="Y677" s="13" t="str">
        <f>IF(tblSalaries[[#This Row],[Job Type]]=tblSalaries[[#Headers],[CXO or Top Mgmt.]],tblSalaries[[#This Row],[clean Salary (in local currency)]],"")</f>
        <v/>
      </c>
      <c r="Z677" s="13" t="str">
        <f>IF(tblSalaries[[#This Row],[Job Type]]=tblSalaries[[#Headers],[Engineer]],tblSalaries[[#This Row],[Salary in USD]],"")</f>
        <v/>
      </c>
      <c r="AA677" s="13">
        <f>IF(tblSalaries[[#This Row],[Job Type]]=tblSalaries[[#Headers],[Manager]],tblSalaries[[#This Row],[Salary in USD]],"")</f>
        <v>2564.3400029917298</v>
      </c>
      <c r="AB677" s="13" t="str">
        <f>IF(tblSalaries[[#This Row],[Job Type]]=tblSalaries[[#Headers],[Misc.]],tblSalaries[[#This Row],[Salary in USD]],"")</f>
        <v/>
      </c>
      <c r="AC677" s="13" t="str">
        <f>IF(tblSalaries[[#This Row],[Job Type]]=tblSalaries[[#Headers],[Reporting]],tblSalaries[[#This Row],[Salary in USD]],"")</f>
        <v/>
      </c>
      <c r="AD677" s="13" t="str">
        <f>IF(tblSalaries[[#This Row],[Job Type]]=tblSalaries[[#Headers],[Specialist]],tblSalaries[[#This Row],[Salary in USD]],"")</f>
        <v/>
      </c>
    </row>
    <row r="678" spans="2:30" ht="15" customHeight="1" x14ac:dyDescent="0.25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 s="9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  <c r="N678" t="str">
        <f>IF(tblSalaries[[#This Row],[Years of Experience]]="","",IF(tblSalaries[[#This Row],[Years of Experience]]&lt;=2,1,""))</f>
        <v/>
      </c>
      <c r="O678" t="str">
        <f>IF(tblSalaries[[#This Row],[Years of Experience]]="","",IF(AND(tblSalaries[[#This Row],[Years of Experience]]&gt;2,tblSalaries[[#This Row],[Years of Experience]]&lt;=5),1,""))</f>
        <v/>
      </c>
      <c r="P678">
        <f>IF(tblSalaries[[#This Row],[Years of Experience]]="","",IF(AND(tblSalaries[[#This Row],[Years of Experience]]&gt;5,tblSalaries[[#This Row],[Years of Experience]]&lt;=10),1,""))</f>
        <v>1</v>
      </c>
      <c r="Q678" t="str">
        <f>IF(tblSalaries[[#This Row],[Years of Experience]]="","",IF(AND(tblSalaries[[#This Row],[Years of Experience]]&gt;10,tblSalaries[[#This Row],[Years of Experience]]&lt;=15),1,""))</f>
        <v/>
      </c>
      <c r="R678" t="str">
        <f>IF(tblSalaries[[#This Row],[Years of Experience]]="","",IF(AND(tblSalaries[[#This Row],[Years of Experience]]&gt;16,tblSalaries[[#This Row],[Years of Experience]]&lt;=20),1,""))</f>
        <v/>
      </c>
      <c r="S678" t="str">
        <f>IF(tblSalaries[[#This Row],[Years of Experience]]="","",IF(tblSalaries[[#This Row],[Years of Experience]]&gt;20,1,""))</f>
        <v/>
      </c>
      <c r="T6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78" s="13" t="str">
        <f>IF(tblSalaries[[#This Row],[Job Type]]=tblSalaries[[#Headers],[Accountant]],tblSalaries[[#This Row],[Salary in USD]],"")</f>
        <v/>
      </c>
      <c r="V678" s="13" t="str">
        <f>IF(tblSalaries[[#This Row],[Job Type]]=tblSalaries[[#Headers],[Analyst]],tblSalaries[[#This Row],[Salary in USD]],"")</f>
        <v/>
      </c>
      <c r="W678" s="13" t="str">
        <f>IF(tblSalaries[[#This Row],[Job Type]]=tblSalaries[[#Headers],[Consultant]],tblSalaries[[#This Row],[Salary in USD]],"")</f>
        <v/>
      </c>
      <c r="X678" s="13" t="str">
        <f>IF(tblSalaries[[#This Row],[Job Type]]=tblSalaries[[#Headers],[Controller]],tblSalaries[[#This Row],[Salary in USD]],"")</f>
        <v/>
      </c>
      <c r="Y678" s="13" t="str">
        <f>IF(tblSalaries[[#This Row],[Job Type]]=tblSalaries[[#Headers],[CXO or Top Mgmt.]],tblSalaries[[#This Row],[clean Salary (in local currency)]],"")</f>
        <v/>
      </c>
      <c r="Z678" s="13" t="str">
        <f>IF(tblSalaries[[#This Row],[Job Type]]=tblSalaries[[#Headers],[Engineer]],tblSalaries[[#This Row],[Salary in USD]],"")</f>
        <v/>
      </c>
      <c r="AA678" s="13">
        <f>IF(tblSalaries[[#This Row],[Job Type]]=tblSalaries[[#Headers],[Manager]],tblSalaries[[#This Row],[Salary in USD]],"")</f>
        <v>20479.104190558952</v>
      </c>
      <c r="AB678" s="13" t="str">
        <f>IF(tblSalaries[[#This Row],[Job Type]]=tblSalaries[[#Headers],[Misc.]],tblSalaries[[#This Row],[Salary in USD]],"")</f>
        <v/>
      </c>
      <c r="AC678" s="13" t="str">
        <f>IF(tblSalaries[[#This Row],[Job Type]]=tblSalaries[[#Headers],[Reporting]],tblSalaries[[#This Row],[Salary in USD]],"")</f>
        <v/>
      </c>
      <c r="AD678" s="13" t="str">
        <f>IF(tblSalaries[[#This Row],[Job Type]]=tblSalaries[[#Headers],[Specialist]],tblSalaries[[#This Row],[Salary in USD]],"")</f>
        <v/>
      </c>
    </row>
    <row r="679" spans="2:30" ht="15" customHeight="1" x14ac:dyDescent="0.25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 s="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  <c r="N679" t="str">
        <f>IF(tblSalaries[[#This Row],[Years of Experience]]="","",IF(tblSalaries[[#This Row],[Years of Experience]]&lt;=2,1,""))</f>
        <v/>
      </c>
      <c r="O679" t="str">
        <f>IF(tblSalaries[[#This Row],[Years of Experience]]="","",IF(AND(tblSalaries[[#This Row],[Years of Experience]]&gt;2,tblSalaries[[#This Row],[Years of Experience]]&lt;=5),1,""))</f>
        <v/>
      </c>
      <c r="P679">
        <f>IF(tblSalaries[[#This Row],[Years of Experience]]="","",IF(AND(tblSalaries[[#This Row],[Years of Experience]]&gt;5,tblSalaries[[#This Row],[Years of Experience]]&lt;=10),1,""))</f>
        <v>1</v>
      </c>
      <c r="Q679" t="str">
        <f>IF(tblSalaries[[#This Row],[Years of Experience]]="","",IF(AND(tblSalaries[[#This Row],[Years of Experience]]&gt;10,tblSalaries[[#This Row],[Years of Experience]]&lt;=15),1,""))</f>
        <v/>
      </c>
      <c r="R679" t="str">
        <f>IF(tblSalaries[[#This Row],[Years of Experience]]="","",IF(AND(tblSalaries[[#This Row],[Years of Experience]]&gt;16,tblSalaries[[#This Row],[Years of Experience]]&lt;=20),1,""))</f>
        <v/>
      </c>
      <c r="S679" t="str">
        <f>IF(tblSalaries[[#This Row],[Years of Experience]]="","",IF(tblSalaries[[#This Row],[Years of Experience]]&gt;20,1,""))</f>
        <v/>
      </c>
      <c r="T6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79" s="13">
        <f>IF(tblSalaries[[#This Row],[Job Type]]=tblSalaries[[#Headers],[Accountant]],tblSalaries[[#This Row],[Salary in USD]],"")</f>
        <v>33500</v>
      </c>
      <c r="V679" s="13" t="str">
        <f>IF(tblSalaries[[#This Row],[Job Type]]=tblSalaries[[#Headers],[Analyst]],tblSalaries[[#This Row],[Salary in USD]],"")</f>
        <v/>
      </c>
      <c r="W679" s="13" t="str">
        <f>IF(tblSalaries[[#This Row],[Job Type]]=tblSalaries[[#Headers],[Consultant]],tblSalaries[[#This Row],[Salary in USD]],"")</f>
        <v/>
      </c>
      <c r="X679" s="13" t="str">
        <f>IF(tblSalaries[[#This Row],[Job Type]]=tblSalaries[[#Headers],[Controller]],tblSalaries[[#This Row],[Salary in USD]],"")</f>
        <v/>
      </c>
      <c r="Y679" s="13" t="str">
        <f>IF(tblSalaries[[#This Row],[Job Type]]=tblSalaries[[#Headers],[CXO or Top Mgmt.]],tblSalaries[[#This Row],[clean Salary (in local currency)]],"")</f>
        <v/>
      </c>
      <c r="Z679" s="13" t="str">
        <f>IF(tblSalaries[[#This Row],[Job Type]]=tblSalaries[[#Headers],[Engineer]],tblSalaries[[#This Row],[Salary in USD]],"")</f>
        <v/>
      </c>
      <c r="AA679" s="13" t="str">
        <f>IF(tblSalaries[[#This Row],[Job Type]]=tblSalaries[[#Headers],[Manager]],tblSalaries[[#This Row],[Salary in USD]],"")</f>
        <v/>
      </c>
      <c r="AB679" s="13" t="str">
        <f>IF(tblSalaries[[#This Row],[Job Type]]=tblSalaries[[#Headers],[Misc.]],tblSalaries[[#This Row],[Salary in USD]],"")</f>
        <v/>
      </c>
      <c r="AC679" s="13" t="str">
        <f>IF(tblSalaries[[#This Row],[Job Type]]=tblSalaries[[#Headers],[Reporting]],tblSalaries[[#This Row],[Salary in USD]],"")</f>
        <v/>
      </c>
      <c r="AD679" s="13" t="str">
        <f>IF(tblSalaries[[#This Row],[Job Type]]=tblSalaries[[#Headers],[Specialist]],tblSalaries[[#This Row],[Salary in USD]],"")</f>
        <v/>
      </c>
    </row>
    <row r="680" spans="2:30" ht="15" customHeight="1" x14ac:dyDescent="0.25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 s="9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  <c r="N680" t="str">
        <f>IF(tblSalaries[[#This Row],[Years of Experience]]="","",IF(tblSalaries[[#This Row],[Years of Experience]]&lt;=2,1,""))</f>
        <v/>
      </c>
      <c r="O680" t="str">
        <f>IF(tblSalaries[[#This Row],[Years of Experience]]="","",IF(AND(tblSalaries[[#This Row],[Years of Experience]]&gt;2,tblSalaries[[#This Row],[Years of Experience]]&lt;=5),1,""))</f>
        <v/>
      </c>
      <c r="P680" t="str">
        <f>IF(tblSalaries[[#This Row],[Years of Experience]]="","",IF(AND(tblSalaries[[#This Row],[Years of Experience]]&gt;5,tblSalaries[[#This Row],[Years of Experience]]&lt;=10),1,""))</f>
        <v/>
      </c>
      <c r="Q680" t="str">
        <f>IF(tblSalaries[[#This Row],[Years of Experience]]="","",IF(AND(tblSalaries[[#This Row],[Years of Experience]]&gt;10,tblSalaries[[#This Row],[Years of Experience]]&lt;=15),1,""))</f>
        <v/>
      </c>
      <c r="R680">
        <f>IF(tblSalaries[[#This Row],[Years of Experience]]="","",IF(AND(tblSalaries[[#This Row],[Years of Experience]]&gt;16,tblSalaries[[#This Row],[Years of Experience]]&lt;=20),1,""))</f>
        <v>1</v>
      </c>
      <c r="S680" t="str">
        <f>IF(tblSalaries[[#This Row],[Years of Experience]]="","",IF(tblSalaries[[#This Row],[Years of Experience]]&gt;20,1,""))</f>
        <v/>
      </c>
      <c r="T6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680" s="13" t="str">
        <f>IF(tblSalaries[[#This Row],[Job Type]]=tblSalaries[[#Headers],[Accountant]],tblSalaries[[#This Row],[Salary in USD]],"")</f>
        <v/>
      </c>
      <c r="V680" s="13" t="str">
        <f>IF(tblSalaries[[#This Row],[Job Type]]=tblSalaries[[#Headers],[Analyst]],tblSalaries[[#This Row],[Salary in USD]],"")</f>
        <v/>
      </c>
      <c r="W680" s="13" t="str">
        <f>IF(tblSalaries[[#This Row],[Job Type]]=tblSalaries[[#Headers],[Consultant]],tblSalaries[[#This Row],[Salary in USD]],"")</f>
        <v/>
      </c>
      <c r="X680" s="13" t="str">
        <f>IF(tblSalaries[[#This Row],[Job Type]]=tblSalaries[[#Headers],[Controller]],tblSalaries[[#This Row],[Salary in USD]],"")</f>
        <v/>
      </c>
      <c r="Y680" s="13" t="str">
        <f>IF(tblSalaries[[#This Row],[Job Type]]=tblSalaries[[#Headers],[CXO or Top Mgmt.]],tblSalaries[[#This Row],[clean Salary (in local currency)]],"")</f>
        <v/>
      </c>
      <c r="Z680" s="13" t="str">
        <f>IF(tblSalaries[[#This Row],[Job Type]]=tblSalaries[[#Headers],[Engineer]],tblSalaries[[#This Row],[Salary in USD]],"")</f>
        <v/>
      </c>
      <c r="AA680" s="13">
        <f>IF(tblSalaries[[#This Row],[Job Type]]=tblSalaries[[#Headers],[Manager]],tblSalaries[[#This Row],[Salary in USD]],"")</f>
        <v>50000</v>
      </c>
      <c r="AB680" s="13" t="str">
        <f>IF(tblSalaries[[#This Row],[Job Type]]=tblSalaries[[#Headers],[Misc.]],tblSalaries[[#This Row],[Salary in USD]],"")</f>
        <v/>
      </c>
      <c r="AC680" s="13" t="str">
        <f>IF(tblSalaries[[#This Row],[Job Type]]=tblSalaries[[#Headers],[Reporting]],tblSalaries[[#This Row],[Salary in USD]],"")</f>
        <v/>
      </c>
      <c r="AD680" s="13" t="str">
        <f>IF(tblSalaries[[#This Row],[Job Type]]=tblSalaries[[#Headers],[Specialist]],tblSalaries[[#This Row],[Salary in USD]],"")</f>
        <v/>
      </c>
    </row>
    <row r="681" spans="2:30" ht="15" customHeight="1" x14ac:dyDescent="0.25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 s="9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  <c r="N681" t="str">
        <f>IF(tblSalaries[[#This Row],[Years of Experience]]="","",IF(tblSalaries[[#This Row],[Years of Experience]]&lt;=2,1,""))</f>
        <v/>
      </c>
      <c r="O681">
        <f>IF(tblSalaries[[#This Row],[Years of Experience]]="","",IF(AND(tblSalaries[[#This Row],[Years of Experience]]&gt;2,tblSalaries[[#This Row],[Years of Experience]]&lt;=5),1,""))</f>
        <v>1</v>
      </c>
      <c r="P681" t="str">
        <f>IF(tblSalaries[[#This Row],[Years of Experience]]="","",IF(AND(tblSalaries[[#This Row],[Years of Experience]]&gt;5,tblSalaries[[#This Row],[Years of Experience]]&lt;=10),1,""))</f>
        <v/>
      </c>
      <c r="Q681" t="str">
        <f>IF(tblSalaries[[#This Row],[Years of Experience]]="","",IF(AND(tblSalaries[[#This Row],[Years of Experience]]&gt;10,tblSalaries[[#This Row],[Years of Experience]]&lt;=15),1,""))</f>
        <v/>
      </c>
      <c r="R681" t="str">
        <f>IF(tblSalaries[[#This Row],[Years of Experience]]="","",IF(AND(tblSalaries[[#This Row],[Years of Experience]]&gt;16,tblSalaries[[#This Row],[Years of Experience]]&lt;=20),1,""))</f>
        <v/>
      </c>
      <c r="S681" t="str">
        <f>IF(tblSalaries[[#This Row],[Years of Experience]]="","",IF(tblSalaries[[#This Row],[Years of Experience]]&gt;20,1,""))</f>
        <v/>
      </c>
      <c r="T6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81" s="13" t="str">
        <f>IF(tblSalaries[[#This Row],[Job Type]]=tblSalaries[[#Headers],[Accountant]],tblSalaries[[#This Row],[Salary in USD]],"")</f>
        <v/>
      </c>
      <c r="V681" s="13" t="str">
        <f>IF(tblSalaries[[#This Row],[Job Type]]=tblSalaries[[#Headers],[Analyst]],tblSalaries[[#This Row],[Salary in USD]],"")</f>
        <v/>
      </c>
      <c r="W681" s="13" t="str">
        <f>IF(tblSalaries[[#This Row],[Job Type]]=tblSalaries[[#Headers],[Consultant]],tblSalaries[[#This Row],[Salary in USD]],"")</f>
        <v/>
      </c>
      <c r="X681" s="13" t="str">
        <f>IF(tblSalaries[[#This Row],[Job Type]]=tblSalaries[[#Headers],[Controller]],tblSalaries[[#This Row],[Salary in USD]],"")</f>
        <v/>
      </c>
      <c r="Y681" s="13" t="str">
        <f>IF(tblSalaries[[#This Row],[Job Type]]=tblSalaries[[#Headers],[CXO or Top Mgmt.]],tblSalaries[[#This Row],[clean Salary (in local currency)]],"")</f>
        <v/>
      </c>
      <c r="Z681" s="13" t="str">
        <f>IF(tblSalaries[[#This Row],[Job Type]]=tblSalaries[[#Headers],[Engineer]],tblSalaries[[#This Row],[Salary in USD]],"")</f>
        <v/>
      </c>
      <c r="AA681" s="13">
        <f>IF(tblSalaries[[#This Row],[Job Type]]=tblSalaries[[#Headers],[Manager]],tblSalaries[[#This Row],[Salary in USD]],"")</f>
        <v>5342.3750062327708</v>
      </c>
      <c r="AB681" s="13" t="str">
        <f>IF(tblSalaries[[#This Row],[Job Type]]=tblSalaries[[#Headers],[Misc.]],tblSalaries[[#This Row],[Salary in USD]],"")</f>
        <v/>
      </c>
      <c r="AC681" s="13" t="str">
        <f>IF(tblSalaries[[#This Row],[Job Type]]=tblSalaries[[#Headers],[Reporting]],tblSalaries[[#This Row],[Salary in USD]],"")</f>
        <v/>
      </c>
      <c r="AD681" s="13" t="str">
        <f>IF(tblSalaries[[#This Row],[Job Type]]=tblSalaries[[#Headers],[Specialist]],tblSalaries[[#This Row],[Salary in USD]],"")</f>
        <v/>
      </c>
    </row>
    <row r="682" spans="2:30" ht="15" customHeight="1" x14ac:dyDescent="0.25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 s="9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  <c r="N682">
        <f>IF(tblSalaries[[#This Row],[Years of Experience]]="","",IF(tblSalaries[[#This Row],[Years of Experience]]&lt;=2,1,""))</f>
        <v>1</v>
      </c>
      <c r="O682" t="str">
        <f>IF(tblSalaries[[#This Row],[Years of Experience]]="","",IF(AND(tblSalaries[[#This Row],[Years of Experience]]&gt;2,tblSalaries[[#This Row],[Years of Experience]]&lt;=5),1,""))</f>
        <v/>
      </c>
      <c r="P682" t="str">
        <f>IF(tblSalaries[[#This Row],[Years of Experience]]="","",IF(AND(tblSalaries[[#This Row],[Years of Experience]]&gt;5,tblSalaries[[#This Row],[Years of Experience]]&lt;=10),1,""))</f>
        <v/>
      </c>
      <c r="Q682" t="str">
        <f>IF(tblSalaries[[#This Row],[Years of Experience]]="","",IF(AND(tblSalaries[[#This Row],[Years of Experience]]&gt;10,tblSalaries[[#This Row],[Years of Experience]]&lt;=15),1,""))</f>
        <v/>
      </c>
      <c r="R682" t="str">
        <f>IF(tblSalaries[[#This Row],[Years of Experience]]="","",IF(AND(tblSalaries[[#This Row],[Years of Experience]]&gt;16,tblSalaries[[#This Row],[Years of Experience]]&lt;=20),1,""))</f>
        <v/>
      </c>
      <c r="S682" t="str">
        <f>IF(tblSalaries[[#This Row],[Years of Experience]]="","",IF(tblSalaries[[#This Row],[Years of Experience]]&gt;20,1,""))</f>
        <v/>
      </c>
      <c r="T6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82" s="13" t="str">
        <f>IF(tblSalaries[[#This Row],[Job Type]]=tblSalaries[[#Headers],[Accountant]],tblSalaries[[#This Row],[Salary in USD]],"")</f>
        <v/>
      </c>
      <c r="V682" s="13">
        <f>IF(tblSalaries[[#This Row],[Job Type]]=tblSalaries[[#Headers],[Analyst]],tblSalaries[[#This Row],[Salary in USD]],"")</f>
        <v>11539.530013462785</v>
      </c>
      <c r="W682" s="13" t="str">
        <f>IF(tblSalaries[[#This Row],[Job Type]]=tblSalaries[[#Headers],[Consultant]],tblSalaries[[#This Row],[Salary in USD]],"")</f>
        <v/>
      </c>
      <c r="X682" s="13" t="str">
        <f>IF(tblSalaries[[#This Row],[Job Type]]=tblSalaries[[#Headers],[Controller]],tblSalaries[[#This Row],[Salary in USD]],"")</f>
        <v/>
      </c>
      <c r="Y682" s="13" t="str">
        <f>IF(tblSalaries[[#This Row],[Job Type]]=tblSalaries[[#Headers],[CXO or Top Mgmt.]],tblSalaries[[#This Row],[clean Salary (in local currency)]],"")</f>
        <v/>
      </c>
      <c r="Z682" s="13" t="str">
        <f>IF(tblSalaries[[#This Row],[Job Type]]=tblSalaries[[#Headers],[Engineer]],tblSalaries[[#This Row],[Salary in USD]],"")</f>
        <v/>
      </c>
      <c r="AA682" s="13" t="str">
        <f>IF(tblSalaries[[#This Row],[Job Type]]=tblSalaries[[#Headers],[Manager]],tblSalaries[[#This Row],[Salary in USD]],"")</f>
        <v/>
      </c>
      <c r="AB682" s="13" t="str">
        <f>IF(tblSalaries[[#This Row],[Job Type]]=tblSalaries[[#Headers],[Misc.]],tblSalaries[[#This Row],[Salary in USD]],"")</f>
        <v/>
      </c>
      <c r="AC682" s="13" t="str">
        <f>IF(tblSalaries[[#This Row],[Job Type]]=tblSalaries[[#Headers],[Reporting]],tblSalaries[[#This Row],[Salary in USD]],"")</f>
        <v/>
      </c>
      <c r="AD682" s="13" t="str">
        <f>IF(tblSalaries[[#This Row],[Job Type]]=tblSalaries[[#Headers],[Specialist]],tblSalaries[[#This Row],[Salary in USD]],"")</f>
        <v/>
      </c>
    </row>
    <row r="683" spans="2:30" ht="15" customHeight="1" x14ac:dyDescent="0.25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 s="9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  <c r="N683" t="str">
        <f>IF(tblSalaries[[#This Row],[Years of Experience]]="","",IF(tblSalaries[[#This Row],[Years of Experience]]&lt;=2,1,""))</f>
        <v/>
      </c>
      <c r="O683" t="str">
        <f>IF(tblSalaries[[#This Row],[Years of Experience]]="","",IF(AND(tblSalaries[[#This Row],[Years of Experience]]&gt;2,tblSalaries[[#This Row],[Years of Experience]]&lt;=5),1,""))</f>
        <v/>
      </c>
      <c r="P683" t="str">
        <f>IF(tblSalaries[[#This Row],[Years of Experience]]="","",IF(AND(tblSalaries[[#This Row],[Years of Experience]]&gt;5,tblSalaries[[#This Row],[Years of Experience]]&lt;=10),1,""))</f>
        <v/>
      </c>
      <c r="Q683" t="str">
        <f>IF(tblSalaries[[#This Row],[Years of Experience]]="","",IF(AND(tblSalaries[[#This Row],[Years of Experience]]&gt;10,tblSalaries[[#This Row],[Years of Experience]]&lt;=15),1,""))</f>
        <v/>
      </c>
      <c r="R683" t="str">
        <f>IF(tblSalaries[[#This Row],[Years of Experience]]="","",IF(AND(tblSalaries[[#This Row],[Years of Experience]]&gt;16,tblSalaries[[#This Row],[Years of Experience]]&lt;=20),1,""))</f>
        <v/>
      </c>
      <c r="S683">
        <f>IF(tblSalaries[[#This Row],[Years of Experience]]="","",IF(tblSalaries[[#This Row],[Years of Experience]]&gt;20,1,""))</f>
        <v>1</v>
      </c>
      <c r="T6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683" s="13" t="str">
        <f>IF(tblSalaries[[#This Row],[Job Type]]=tblSalaries[[#Headers],[Accountant]],tblSalaries[[#This Row],[Salary in USD]],"")</f>
        <v/>
      </c>
      <c r="V683" s="13" t="str">
        <f>IF(tblSalaries[[#This Row],[Job Type]]=tblSalaries[[#Headers],[Analyst]],tblSalaries[[#This Row],[Salary in USD]],"")</f>
        <v/>
      </c>
      <c r="W683" s="13" t="str">
        <f>IF(tblSalaries[[#This Row],[Job Type]]=tblSalaries[[#Headers],[Consultant]],tblSalaries[[#This Row],[Salary in USD]],"")</f>
        <v/>
      </c>
      <c r="X683" s="13" t="str">
        <f>IF(tblSalaries[[#This Row],[Job Type]]=tblSalaries[[#Headers],[Controller]],tblSalaries[[#This Row],[Salary in USD]],"")</f>
        <v/>
      </c>
      <c r="Y683" s="13" t="str">
        <f>IF(tblSalaries[[#This Row],[Job Type]]=tblSalaries[[#Headers],[CXO or Top Mgmt.]],tblSalaries[[#This Row],[clean Salary (in local currency)]],"")</f>
        <v/>
      </c>
      <c r="Z683" s="13" t="str">
        <f>IF(tblSalaries[[#This Row],[Job Type]]=tblSalaries[[#Headers],[Engineer]],tblSalaries[[#This Row],[Salary in USD]],"")</f>
        <v/>
      </c>
      <c r="AA683" s="13">
        <f>IF(tblSalaries[[#This Row],[Job Type]]=tblSalaries[[#Headers],[Manager]],tblSalaries[[#This Row],[Salary in USD]],"")</f>
        <v>7000</v>
      </c>
      <c r="AB683" s="13" t="str">
        <f>IF(tblSalaries[[#This Row],[Job Type]]=tblSalaries[[#Headers],[Misc.]],tblSalaries[[#This Row],[Salary in USD]],"")</f>
        <v/>
      </c>
      <c r="AC683" s="13" t="str">
        <f>IF(tblSalaries[[#This Row],[Job Type]]=tblSalaries[[#Headers],[Reporting]],tblSalaries[[#This Row],[Salary in USD]],"")</f>
        <v/>
      </c>
      <c r="AD683" s="13" t="str">
        <f>IF(tblSalaries[[#This Row],[Job Type]]=tblSalaries[[#Headers],[Specialist]],tblSalaries[[#This Row],[Salary in USD]],"")</f>
        <v/>
      </c>
    </row>
    <row r="684" spans="2:30" ht="15" customHeight="1" x14ac:dyDescent="0.25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 s="9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3999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  <c r="N684" t="str">
        <f>IF(tblSalaries[[#This Row],[Years of Experience]]="","",IF(tblSalaries[[#This Row],[Years of Experience]]&lt;=2,1,""))</f>
        <v/>
      </c>
      <c r="O684" t="str">
        <f>IF(tblSalaries[[#This Row],[Years of Experience]]="","",IF(AND(tblSalaries[[#This Row],[Years of Experience]]&gt;2,tblSalaries[[#This Row],[Years of Experience]]&lt;=5),1,""))</f>
        <v/>
      </c>
      <c r="P684">
        <f>IF(tblSalaries[[#This Row],[Years of Experience]]="","",IF(AND(tblSalaries[[#This Row],[Years of Experience]]&gt;5,tblSalaries[[#This Row],[Years of Experience]]&lt;=10),1,""))</f>
        <v>1</v>
      </c>
      <c r="Q684" t="str">
        <f>IF(tblSalaries[[#This Row],[Years of Experience]]="","",IF(AND(tblSalaries[[#This Row],[Years of Experience]]&gt;10,tblSalaries[[#This Row],[Years of Experience]]&lt;=15),1,""))</f>
        <v/>
      </c>
      <c r="R684" t="str">
        <f>IF(tblSalaries[[#This Row],[Years of Experience]]="","",IF(AND(tblSalaries[[#This Row],[Years of Experience]]&gt;16,tblSalaries[[#This Row],[Years of Experience]]&lt;=20),1,""))</f>
        <v/>
      </c>
      <c r="S684" t="str">
        <f>IF(tblSalaries[[#This Row],[Years of Experience]]="","",IF(tblSalaries[[#This Row],[Years of Experience]]&gt;20,1,""))</f>
        <v/>
      </c>
      <c r="T6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84" s="13" t="str">
        <f>IF(tblSalaries[[#This Row],[Job Type]]=tblSalaries[[#Headers],[Accountant]],tblSalaries[[#This Row],[Salary in USD]],"")</f>
        <v/>
      </c>
      <c r="V684" s="13" t="str">
        <f>IF(tblSalaries[[#This Row],[Job Type]]=tblSalaries[[#Headers],[Analyst]],tblSalaries[[#This Row],[Salary in USD]],"")</f>
        <v/>
      </c>
      <c r="W684" s="13" t="str">
        <f>IF(tblSalaries[[#This Row],[Job Type]]=tblSalaries[[#Headers],[Consultant]],tblSalaries[[#This Row],[Salary in USD]],"")</f>
        <v/>
      </c>
      <c r="X684" s="13" t="str">
        <f>IF(tblSalaries[[#This Row],[Job Type]]=tblSalaries[[#Headers],[Controller]],tblSalaries[[#This Row],[Salary in USD]],"")</f>
        <v/>
      </c>
      <c r="Y684" s="13" t="str">
        <f>IF(tblSalaries[[#This Row],[Job Type]]=tblSalaries[[#Headers],[CXO or Top Mgmt.]],tblSalaries[[#This Row],[clean Salary (in local currency)]],"")</f>
        <v/>
      </c>
      <c r="Z684" s="13" t="str">
        <f>IF(tblSalaries[[#This Row],[Job Type]]=tblSalaries[[#Headers],[Engineer]],tblSalaries[[#This Row],[Salary in USD]],"")</f>
        <v/>
      </c>
      <c r="AA684" s="13" t="str">
        <f>IF(tblSalaries[[#This Row],[Job Type]]=tblSalaries[[#Headers],[Manager]],tblSalaries[[#This Row],[Salary in USD]],"")</f>
        <v/>
      </c>
      <c r="AB684" s="13" t="str">
        <f>IF(tblSalaries[[#This Row],[Job Type]]=tblSalaries[[#Headers],[Misc.]],tblSalaries[[#This Row],[Salary in USD]],"")</f>
        <v/>
      </c>
      <c r="AC684" s="13">
        <f>IF(tblSalaries[[#This Row],[Job Type]]=tblSalaries[[#Headers],[Reporting]],tblSalaries[[#This Row],[Salary in USD]],"")</f>
        <v>6767.0083412281756</v>
      </c>
      <c r="AD684" s="13" t="str">
        <f>IF(tblSalaries[[#This Row],[Job Type]]=tblSalaries[[#Headers],[Specialist]],tblSalaries[[#This Row],[Salary in USD]],"")</f>
        <v/>
      </c>
    </row>
    <row r="685" spans="2:30" ht="15" customHeight="1" x14ac:dyDescent="0.25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 s="9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  <c r="N685">
        <f>IF(tblSalaries[[#This Row],[Years of Experience]]="","",IF(tblSalaries[[#This Row],[Years of Experience]]&lt;=2,1,""))</f>
        <v>1</v>
      </c>
      <c r="O685" t="str">
        <f>IF(tblSalaries[[#This Row],[Years of Experience]]="","",IF(AND(tblSalaries[[#This Row],[Years of Experience]]&gt;2,tblSalaries[[#This Row],[Years of Experience]]&lt;=5),1,""))</f>
        <v/>
      </c>
      <c r="P685" t="str">
        <f>IF(tblSalaries[[#This Row],[Years of Experience]]="","",IF(AND(tblSalaries[[#This Row],[Years of Experience]]&gt;5,tblSalaries[[#This Row],[Years of Experience]]&lt;=10),1,""))</f>
        <v/>
      </c>
      <c r="Q685" t="str">
        <f>IF(tblSalaries[[#This Row],[Years of Experience]]="","",IF(AND(tblSalaries[[#This Row],[Years of Experience]]&gt;10,tblSalaries[[#This Row],[Years of Experience]]&lt;=15),1,""))</f>
        <v/>
      </c>
      <c r="R685" t="str">
        <f>IF(tblSalaries[[#This Row],[Years of Experience]]="","",IF(AND(tblSalaries[[#This Row],[Years of Experience]]&gt;16,tblSalaries[[#This Row],[Years of Experience]]&lt;=20),1,""))</f>
        <v/>
      </c>
      <c r="S685" t="str">
        <f>IF(tblSalaries[[#This Row],[Years of Experience]]="","",IF(tblSalaries[[#This Row],[Years of Experience]]&gt;20,1,""))</f>
        <v/>
      </c>
      <c r="T6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85" s="13" t="str">
        <f>IF(tblSalaries[[#This Row],[Job Type]]=tblSalaries[[#Headers],[Accountant]],tblSalaries[[#This Row],[Salary in USD]],"")</f>
        <v/>
      </c>
      <c r="V685" s="13" t="str">
        <f>IF(tblSalaries[[#This Row],[Job Type]]=tblSalaries[[#Headers],[Analyst]],tblSalaries[[#This Row],[Salary in USD]],"")</f>
        <v/>
      </c>
      <c r="W685" s="13">
        <f>IF(tblSalaries[[#This Row],[Job Type]]=tblSalaries[[#Headers],[Consultant]],tblSalaries[[#This Row],[Salary in USD]],"")</f>
        <v>3000</v>
      </c>
      <c r="X685" s="13" t="str">
        <f>IF(tblSalaries[[#This Row],[Job Type]]=tblSalaries[[#Headers],[Controller]],tblSalaries[[#This Row],[Salary in USD]],"")</f>
        <v/>
      </c>
      <c r="Y685" s="13" t="str">
        <f>IF(tblSalaries[[#This Row],[Job Type]]=tblSalaries[[#Headers],[CXO or Top Mgmt.]],tblSalaries[[#This Row],[clean Salary (in local currency)]],"")</f>
        <v/>
      </c>
      <c r="Z685" s="13" t="str">
        <f>IF(tblSalaries[[#This Row],[Job Type]]=tblSalaries[[#Headers],[Engineer]],tblSalaries[[#This Row],[Salary in USD]],"")</f>
        <v/>
      </c>
      <c r="AA685" s="13" t="str">
        <f>IF(tblSalaries[[#This Row],[Job Type]]=tblSalaries[[#Headers],[Manager]],tblSalaries[[#This Row],[Salary in USD]],"")</f>
        <v/>
      </c>
      <c r="AB685" s="13" t="str">
        <f>IF(tblSalaries[[#This Row],[Job Type]]=tblSalaries[[#Headers],[Misc.]],tblSalaries[[#This Row],[Salary in USD]],"")</f>
        <v/>
      </c>
      <c r="AC685" s="13" t="str">
        <f>IF(tblSalaries[[#This Row],[Job Type]]=tblSalaries[[#Headers],[Reporting]],tblSalaries[[#This Row],[Salary in USD]],"")</f>
        <v/>
      </c>
      <c r="AD685" s="13" t="str">
        <f>IF(tblSalaries[[#This Row],[Job Type]]=tblSalaries[[#Headers],[Specialist]],tblSalaries[[#This Row],[Salary in USD]],"")</f>
        <v/>
      </c>
    </row>
    <row r="686" spans="2:30" ht="15" customHeight="1" x14ac:dyDescent="0.25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 s="9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3999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  <c r="N686" t="str">
        <f>IF(tblSalaries[[#This Row],[Years of Experience]]="","",IF(tblSalaries[[#This Row],[Years of Experience]]&lt;=2,1,""))</f>
        <v/>
      </c>
      <c r="O686">
        <f>IF(tblSalaries[[#This Row],[Years of Experience]]="","",IF(AND(tblSalaries[[#This Row],[Years of Experience]]&gt;2,tblSalaries[[#This Row],[Years of Experience]]&lt;=5),1,""))</f>
        <v>1</v>
      </c>
      <c r="P686" t="str">
        <f>IF(tblSalaries[[#This Row],[Years of Experience]]="","",IF(AND(tblSalaries[[#This Row],[Years of Experience]]&gt;5,tblSalaries[[#This Row],[Years of Experience]]&lt;=10),1,""))</f>
        <v/>
      </c>
      <c r="Q686" t="str">
        <f>IF(tblSalaries[[#This Row],[Years of Experience]]="","",IF(AND(tblSalaries[[#This Row],[Years of Experience]]&gt;10,tblSalaries[[#This Row],[Years of Experience]]&lt;=15),1,""))</f>
        <v/>
      </c>
      <c r="R686" t="str">
        <f>IF(tblSalaries[[#This Row],[Years of Experience]]="","",IF(AND(tblSalaries[[#This Row],[Years of Experience]]&gt;16,tblSalaries[[#This Row],[Years of Experience]]&lt;=20),1,""))</f>
        <v/>
      </c>
      <c r="S686" t="str">
        <f>IF(tblSalaries[[#This Row],[Years of Experience]]="","",IF(tblSalaries[[#This Row],[Years of Experience]]&gt;20,1,""))</f>
        <v/>
      </c>
      <c r="T6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86" s="13" t="str">
        <f>IF(tblSalaries[[#This Row],[Job Type]]=tblSalaries[[#Headers],[Accountant]],tblSalaries[[#This Row],[Salary in USD]],"")</f>
        <v/>
      </c>
      <c r="V686" s="13" t="str">
        <f>IF(tblSalaries[[#This Row],[Job Type]]=tblSalaries[[#Headers],[Analyst]],tblSalaries[[#This Row],[Salary in USD]],"")</f>
        <v/>
      </c>
      <c r="W686" s="13" t="str">
        <f>IF(tblSalaries[[#This Row],[Job Type]]=tblSalaries[[#Headers],[Consultant]],tblSalaries[[#This Row],[Salary in USD]],"")</f>
        <v/>
      </c>
      <c r="X686" s="13" t="str">
        <f>IF(tblSalaries[[#This Row],[Job Type]]=tblSalaries[[#Headers],[Controller]],tblSalaries[[#This Row],[Salary in USD]],"")</f>
        <v/>
      </c>
      <c r="Y686" s="13" t="str">
        <f>IF(tblSalaries[[#This Row],[Job Type]]=tblSalaries[[#Headers],[CXO or Top Mgmt.]],tblSalaries[[#This Row],[clean Salary (in local currency)]],"")</f>
        <v/>
      </c>
      <c r="Z686" s="13" t="str">
        <f>IF(tblSalaries[[#This Row],[Job Type]]=tblSalaries[[#Headers],[Engineer]],tblSalaries[[#This Row],[Salary in USD]],"")</f>
        <v/>
      </c>
      <c r="AA686" s="13" t="str">
        <f>IF(tblSalaries[[#This Row],[Job Type]]=tblSalaries[[#Headers],[Manager]],tblSalaries[[#This Row],[Salary in USD]],"")</f>
        <v/>
      </c>
      <c r="AB686" s="13" t="str">
        <f>IF(tblSalaries[[#This Row],[Job Type]]=tblSalaries[[#Headers],[Misc.]],tblSalaries[[#This Row],[Salary in USD]],"")</f>
        <v/>
      </c>
      <c r="AC686" s="13">
        <f>IF(tblSalaries[[#This Row],[Job Type]]=tblSalaries[[#Headers],[Reporting]],tblSalaries[[#This Row],[Salary in USD]],"")</f>
        <v>4451.9791718606421</v>
      </c>
      <c r="AD686" s="13" t="str">
        <f>IF(tblSalaries[[#This Row],[Job Type]]=tblSalaries[[#Headers],[Specialist]],tblSalaries[[#This Row],[Salary in USD]],"")</f>
        <v/>
      </c>
    </row>
    <row r="687" spans="2:30" ht="15" customHeight="1" x14ac:dyDescent="0.25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 s="9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4001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  <c r="N687" t="str">
        <f>IF(tblSalaries[[#This Row],[Years of Experience]]="","",IF(tblSalaries[[#This Row],[Years of Experience]]&lt;=2,1,""))</f>
        <v/>
      </c>
      <c r="O687">
        <f>IF(tblSalaries[[#This Row],[Years of Experience]]="","",IF(AND(tblSalaries[[#This Row],[Years of Experience]]&gt;2,tblSalaries[[#This Row],[Years of Experience]]&lt;=5),1,""))</f>
        <v>1</v>
      </c>
      <c r="P687" t="str">
        <f>IF(tblSalaries[[#This Row],[Years of Experience]]="","",IF(AND(tblSalaries[[#This Row],[Years of Experience]]&gt;5,tblSalaries[[#This Row],[Years of Experience]]&lt;=10),1,""))</f>
        <v/>
      </c>
      <c r="Q687" t="str">
        <f>IF(tblSalaries[[#This Row],[Years of Experience]]="","",IF(AND(tblSalaries[[#This Row],[Years of Experience]]&gt;10,tblSalaries[[#This Row],[Years of Experience]]&lt;=15),1,""))</f>
        <v/>
      </c>
      <c r="R687" t="str">
        <f>IF(tblSalaries[[#This Row],[Years of Experience]]="","",IF(AND(tblSalaries[[#This Row],[Years of Experience]]&gt;16,tblSalaries[[#This Row],[Years of Experience]]&lt;=20),1,""))</f>
        <v/>
      </c>
      <c r="S687" t="str">
        <f>IF(tblSalaries[[#This Row],[Years of Experience]]="","",IF(tblSalaries[[#This Row],[Years of Experience]]&gt;20,1,""))</f>
        <v/>
      </c>
      <c r="T6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87" s="13" t="str">
        <f>IF(tblSalaries[[#This Row],[Job Type]]=tblSalaries[[#Headers],[Accountant]],tblSalaries[[#This Row],[Salary in USD]],"")</f>
        <v/>
      </c>
      <c r="V687" s="13" t="str">
        <f>IF(tblSalaries[[#This Row],[Job Type]]=tblSalaries[[#Headers],[Analyst]],tblSalaries[[#This Row],[Salary in USD]],"")</f>
        <v/>
      </c>
      <c r="W687" s="13" t="str">
        <f>IF(tblSalaries[[#This Row],[Job Type]]=tblSalaries[[#Headers],[Consultant]],tblSalaries[[#This Row],[Salary in USD]],"")</f>
        <v/>
      </c>
      <c r="X687" s="13" t="str">
        <f>IF(tblSalaries[[#This Row],[Job Type]]=tblSalaries[[#Headers],[Controller]],tblSalaries[[#This Row],[Salary in USD]],"")</f>
        <v/>
      </c>
      <c r="Y687" s="13">
        <f>IF(tblSalaries[[#This Row],[Job Type]]=tblSalaries[[#Headers],[CXO or Top Mgmt.]],tblSalaries[[#This Row],[clean Salary (in local currency)]],"")</f>
        <v>150000</v>
      </c>
      <c r="Z687" s="13" t="str">
        <f>IF(tblSalaries[[#This Row],[Job Type]]=tblSalaries[[#Headers],[Engineer]],tblSalaries[[#This Row],[Salary in USD]],"")</f>
        <v/>
      </c>
      <c r="AA687" s="13" t="str">
        <f>IF(tblSalaries[[#This Row],[Job Type]]=tblSalaries[[#Headers],[Manager]],tblSalaries[[#This Row],[Salary in USD]],"")</f>
        <v/>
      </c>
      <c r="AB687" s="13" t="str">
        <f>IF(tblSalaries[[#This Row],[Job Type]]=tblSalaries[[#Headers],[Misc.]],tblSalaries[[#This Row],[Salary in USD]],"")</f>
        <v/>
      </c>
      <c r="AC687" s="13" t="str">
        <f>IF(tblSalaries[[#This Row],[Job Type]]=tblSalaries[[#Headers],[Reporting]],tblSalaries[[#This Row],[Salary in USD]],"")</f>
        <v/>
      </c>
      <c r="AD687" s="13" t="str">
        <f>IF(tblSalaries[[#This Row],[Job Type]]=tblSalaries[[#Headers],[Specialist]],tblSalaries[[#This Row],[Salary in USD]],"")</f>
        <v/>
      </c>
    </row>
    <row r="688" spans="2:30" ht="15" customHeight="1" x14ac:dyDescent="0.25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 s="9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  <c r="N688" t="str">
        <f>IF(tblSalaries[[#This Row],[Years of Experience]]="","",IF(tblSalaries[[#This Row],[Years of Experience]]&lt;=2,1,""))</f>
        <v/>
      </c>
      <c r="O688">
        <f>IF(tblSalaries[[#This Row],[Years of Experience]]="","",IF(AND(tblSalaries[[#This Row],[Years of Experience]]&gt;2,tblSalaries[[#This Row],[Years of Experience]]&lt;=5),1,""))</f>
        <v>1</v>
      </c>
      <c r="P688" t="str">
        <f>IF(tblSalaries[[#This Row],[Years of Experience]]="","",IF(AND(tblSalaries[[#This Row],[Years of Experience]]&gt;5,tblSalaries[[#This Row],[Years of Experience]]&lt;=10),1,""))</f>
        <v/>
      </c>
      <c r="Q688" t="str">
        <f>IF(tblSalaries[[#This Row],[Years of Experience]]="","",IF(AND(tblSalaries[[#This Row],[Years of Experience]]&gt;10,tblSalaries[[#This Row],[Years of Experience]]&lt;=15),1,""))</f>
        <v/>
      </c>
      <c r="R688" t="str">
        <f>IF(tblSalaries[[#This Row],[Years of Experience]]="","",IF(AND(tblSalaries[[#This Row],[Years of Experience]]&gt;16,tblSalaries[[#This Row],[Years of Experience]]&lt;=20),1,""))</f>
        <v/>
      </c>
      <c r="S688" t="str">
        <f>IF(tblSalaries[[#This Row],[Years of Experience]]="","",IF(tblSalaries[[#This Row],[Years of Experience]]&gt;20,1,""))</f>
        <v/>
      </c>
      <c r="T6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88" s="13" t="str">
        <f>IF(tblSalaries[[#This Row],[Job Type]]=tblSalaries[[#Headers],[Accountant]],tblSalaries[[#This Row],[Salary in USD]],"")</f>
        <v/>
      </c>
      <c r="V688" s="13" t="str">
        <f>IF(tblSalaries[[#This Row],[Job Type]]=tblSalaries[[#Headers],[Analyst]],tblSalaries[[#This Row],[Salary in USD]],"")</f>
        <v/>
      </c>
      <c r="W688" s="13" t="str">
        <f>IF(tblSalaries[[#This Row],[Job Type]]=tblSalaries[[#Headers],[Consultant]],tblSalaries[[#This Row],[Salary in USD]],"")</f>
        <v/>
      </c>
      <c r="X688" s="13" t="str">
        <f>IF(tblSalaries[[#This Row],[Job Type]]=tblSalaries[[#Headers],[Controller]],tblSalaries[[#This Row],[Salary in USD]],"")</f>
        <v/>
      </c>
      <c r="Y688" s="13" t="str">
        <f>IF(tblSalaries[[#This Row],[Job Type]]=tblSalaries[[#Headers],[CXO or Top Mgmt.]],tblSalaries[[#This Row],[clean Salary (in local currency)]],"")</f>
        <v/>
      </c>
      <c r="Z688" s="13" t="str">
        <f>IF(tblSalaries[[#This Row],[Job Type]]=tblSalaries[[#Headers],[Engineer]],tblSalaries[[#This Row],[Salary in USD]],"")</f>
        <v/>
      </c>
      <c r="AA688" s="13">
        <f>IF(tblSalaries[[#This Row],[Job Type]]=tblSalaries[[#Headers],[Manager]],tblSalaries[[#This Row],[Salary in USD]],"")</f>
        <v>4957.7240057840108</v>
      </c>
      <c r="AB688" s="13" t="str">
        <f>IF(tblSalaries[[#This Row],[Job Type]]=tblSalaries[[#Headers],[Misc.]],tblSalaries[[#This Row],[Salary in USD]],"")</f>
        <v/>
      </c>
      <c r="AC688" s="13" t="str">
        <f>IF(tblSalaries[[#This Row],[Job Type]]=tblSalaries[[#Headers],[Reporting]],tblSalaries[[#This Row],[Salary in USD]],"")</f>
        <v/>
      </c>
      <c r="AD688" s="13" t="str">
        <f>IF(tblSalaries[[#This Row],[Job Type]]=tblSalaries[[#Headers],[Specialist]],tblSalaries[[#This Row],[Salary in USD]],"")</f>
        <v/>
      </c>
    </row>
    <row r="689" spans="2:30" ht="15" customHeight="1" x14ac:dyDescent="0.25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 s="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  <c r="N689" t="str">
        <f>IF(tblSalaries[[#This Row],[Years of Experience]]="","",IF(tblSalaries[[#This Row],[Years of Experience]]&lt;=2,1,""))</f>
        <v/>
      </c>
      <c r="O689" t="str">
        <f>IF(tblSalaries[[#This Row],[Years of Experience]]="","",IF(AND(tblSalaries[[#This Row],[Years of Experience]]&gt;2,tblSalaries[[#This Row],[Years of Experience]]&lt;=5),1,""))</f>
        <v/>
      </c>
      <c r="P689" t="str">
        <f>IF(tblSalaries[[#This Row],[Years of Experience]]="","",IF(AND(tblSalaries[[#This Row],[Years of Experience]]&gt;5,tblSalaries[[#This Row],[Years of Experience]]&lt;=10),1,""))</f>
        <v/>
      </c>
      <c r="Q689">
        <f>IF(tblSalaries[[#This Row],[Years of Experience]]="","",IF(AND(tblSalaries[[#This Row],[Years of Experience]]&gt;10,tblSalaries[[#This Row],[Years of Experience]]&lt;=15),1,""))</f>
        <v>1</v>
      </c>
      <c r="R689" t="str">
        <f>IF(tblSalaries[[#This Row],[Years of Experience]]="","",IF(AND(tblSalaries[[#This Row],[Years of Experience]]&gt;16,tblSalaries[[#This Row],[Years of Experience]]&lt;=20),1,""))</f>
        <v/>
      </c>
      <c r="S689" t="str">
        <f>IF(tblSalaries[[#This Row],[Years of Experience]]="","",IF(tblSalaries[[#This Row],[Years of Experience]]&gt;20,1,""))</f>
        <v/>
      </c>
      <c r="T6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689" s="13">
        <f>IF(tblSalaries[[#This Row],[Job Type]]=tblSalaries[[#Headers],[Accountant]],tblSalaries[[#This Row],[Salary in USD]],"")</f>
        <v>3205.4250037396623</v>
      </c>
      <c r="V689" s="13" t="str">
        <f>IF(tblSalaries[[#This Row],[Job Type]]=tblSalaries[[#Headers],[Analyst]],tblSalaries[[#This Row],[Salary in USD]],"")</f>
        <v/>
      </c>
      <c r="W689" s="13" t="str">
        <f>IF(tblSalaries[[#This Row],[Job Type]]=tblSalaries[[#Headers],[Consultant]],tblSalaries[[#This Row],[Salary in USD]],"")</f>
        <v/>
      </c>
      <c r="X689" s="13" t="str">
        <f>IF(tblSalaries[[#This Row],[Job Type]]=tblSalaries[[#Headers],[Controller]],tblSalaries[[#This Row],[Salary in USD]],"")</f>
        <v/>
      </c>
      <c r="Y689" s="13" t="str">
        <f>IF(tblSalaries[[#This Row],[Job Type]]=tblSalaries[[#Headers],[CXO or Top Mgmt.]],tblSalaries[[#This Row],[clean Salary (in local currency)]],"")</f>
        <v/>
      </c>
      <c r="Z689" s="13" t="str">
        <f>IF(tblSalaries[[#This Row],[Job Type]]=tblSalaries[[#Headers],[Engineer]],tblSalaries[[#This Row],[Salary in USD]],"")</f>
        <v/>
      </c>
      <c r="AA689" s="13" t="str">
        <f>IF(tblSalaries[[#This Row],[Job Type]]=tblSalaries[[#Headers],[Manager]],tblSalaries[[#This Row],[Salary in USD]],"")</f>
        <v/>
      </c>
      <c r="AB689" s="13" t="str">
        <f>IF(tblSalaries[[#This Row],[Job Type]]=tblSalaries[[#Headers],[Misc.]],tblSalaries[[#This Row],[Salary in USD]],"")</f>
        <v/>
      </c>
      <c r="AC689" s="13" t="str">
        <f>IF(tblSalaries[[#This Row],[Job Type]]=tblSalaries[[#Headers],[Reporting]],tblSalaries[[#This Row],[Salary in USD]],"")</f>
        <v/>
      </c>
      <c r="AD689" s="13" t="str">
        <f>IF(tblSalaries[[#This Row],[Job Type]]=tblSalaries[[#Headers],[Specialist]],tblSalaries[[#This Row],[Salary in USD]],"")</f>
        <v/>
      </c>
    </row>
    <row r="690" spans="2:30" ht="15" customHeight="1" x14ac:dyDescent="0.25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 s="9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  <c r="N690" t="str">
        <f>IF(tblSalaries[[#This Row],[Years of Experience]]="","",IF(tblSalaries[[#This Row],[Years of Experience]]&lt;=2,1,""))</f>
        <v/>
      </c>
      <c r="O690" t="str">
        <f>IF(tblSalaries[[#This Row],[Years of Experience]]="","",IF(AND(tblSalaries[[#This Row],[Years of Experience]]&gt;2,tblSalaries[[#This Row],[Years of Experience]]&lt;=5),1,""))</f>
        <v/>
      </c>
      <c r="P690">
        <f>IF(tblSalaries[[#This Row],[Years of Experience]]="","",IF(AND(tblSalaries[[#This Row],[Years of Experience]]&gt;5,tblSalaries[[#This Row],[Years of Experience]]&lt;=10),1,""))</f>
        <v>1</v>
      </c>
      <c r="Q690" t="str">
        <f>IF(tblSalaries[[#This Row],[Years of Experience]]="","",IF(AND(tblSalaries[[#This Row],[Years of Experience]]&gt;10,tblSalaries[[#This Row],[Years of Experience]]&lt;=15),1,""))</f>
        <v/>
      </c>
      <c r="R690" t="str">
        <f>IF(tblSalaries[[#This Row],[Years of Experience]]="","",IF(AND(tblSalaries[[#This Row],[Years of Experience]]&gt;16,tblSalaries[[#This Row],[Years of Experience]]&lt;=20),1,""))</f>
        <v/>
      </c>
      <c r="S690" t="str">
        <f>IF(tblSalaries[[#This Row],[Years of Experience]]="","",IF(tblSalaries[[#This Row],[Years of Experience]]&gt;20,1,""))</f>
        <v/>
      </c>
      <c r="T6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90" s="13" t="str">
        <f>IF(tblSalaries[[#This Row],[Job Type]]=tblSalaries[[#Headers],[Accountant]],tblSalaries[[#This Row],[Salary in USD]],"")</f>
        <v/>
      </c>
      <c r="V690" s="13" t="str">
        <f>IF(tblSalaries[[#This Row],[Job Type]]=tblSalaries[[#Headers],[Analyst]],tblSalaries[[#This Row],[Salary in USD]],"")</f>
        <v/>
      </c>
      <c r="W690" s="13" t="str">
        <f>IF(tblSalaries[[#This Row],[Job Type]]=tblSalaries[[#Headers],[Consultant]],tblSalaries[[#This Row],[Salary in USD]],"")</f>
        <v/>
      </c>
      <c r="X690" s="13" t="str">
        <f>IF(tblSalaries[[#This Row],[Job Type]]=tblSalaries[[#Headers],[Controller]],tblSalaries[[#This Row],[Salary in USD]],"")</f>
        <v/>
      </c>
      <c r="Y690" s="13" t="str">
        <f>IF(tblSalaries[[#This Row],[Job Type]]=tblSalaries[[#Headers],[CXO or Top Mgmt.]],tblSalaries[[#This Row],[clean Salary (in local currency)]],"")</f>
        <v/>
      </c>
      <c r="Z690" s="13" t="str">
        <f>IF(tblSalaries[[#This Row],[Job Type]]=tblSalaries[[#Headers],[Engineer]],tblSalaries[[#This Row],[Salary in USD]],"")</f>
        <v/>
      </c>
      <c r="AA690" s="13">
        <f>IF(tblSalaries[[#This Row],[Job Type]]=tblSalaries[[#Headers],[Manager]],tblSalaries[[#This Row],[Salary in USD]],"")</f>
        <v>14246.333349954055</v>
      </c>
      <c r="AB690" s="13" t="str">
        <f>IF(tblSalaries[[#This Row],[Job Type]]=tblSalaries[[#Headers],[Misc.]],tblSalaries[[#This Row],[Salary in USD]],"")</f>
        <v/>
      </c>
      <c r="AC690" s="13" t="str">
        <f>IF(tblSalaries[[#This Row],[Job Type]]=tblSalaries[[#Headers],[Reporting]],tblSalaries[[#This Row],[Salary in USD]],"")</f>
        <v/>
      </c>
      <c r="AD690" s="13" t="str">
        <f>IF(tblSalaries[[#This Row],[Job Type]]=tblSalaries[[#Headers],[Specialist]],tblSalaries[[#This Row],[Salary in USD]],"")</f>
        <v/>
      </c>
    </row>
    <row r="691" spans="2:30" ht="15" customHeight="1" x14ac:dyDescent="0.25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 s="9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  <c r="N691" t="str">
        <f>IF(tblSalaries[[#This Row],[Years of Experience]]="","",IF(tblSalaries[[#This Row],[Years of Experience]]&lt;=2,1,""))</f>
        <v/>
      </c>
      <c r="O691" t="str">
        <f>IF(tblSalaries[[#This Row],[Years of Experience]]="","",IF(AND(tblSalaries[[#This Row],[Years of Experience]]&gt;2,tblSalaries[[#This Row],[Years of Experience]]&lt;=5),1,""))</f>
        <v/>
      </c>
      <c r="P691">
        <f>IF(tblSalaries[[#This Row],[Years of Experience]]="","",IF(AND(tblSalaries[[#This Row],[Years of Experience]]&gt;5,tblSalaries[[#This Row],[Years of Experience]]&lt;=10),1,""))</f>
        <v>1</v>
      </c>
      <c r="Q691" t="str">
        <f>IF(tblSalaries[[#This Row],[Years of Experience]]="","",IF(AND(tblSalaries[[#This Row],[Years of Experience]]&gt;10,tblSalaries[[#This Row],[Years of Experience]]&lt;=15),1,""))</f>
        <v/>
      </c>
      <c r="R691" t="str">
        <f>IF(tblSalaries[[#This Row],[Years of Experience]]="","",IF(AND(tblSalaries[[#This Row],[Years of Experience]]&gt;16,tblSalaries[[#This Row],[Years of Experience]]&lt;=20),1,""))</f>
        <v/>
      </c>
      <c r="S691" t="str">
        <f>IF(tblSalaries[[#This Row],[Years of Experience]]="","",IF(tblSalaries[[#This Row],[Years of Experience]]&gt;20,1,""))</f>
        <v/>
      </c>
      <c r="T6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91" s="13" t="str">
        <f>IF(tblSalaries[[#This Row],[Job Type]]=tblSalaries[[#Headers],[Accountant]],tblSalaries[[#This Row],[Salary in USD]],"")</f>
        <v/>
      </c>
      <c r="V691" s="13">
        <f>IF(tblSalaries[[#This Row],[Job Type]]=tblSalaries[[#Headers],[Analyst]],tblSalaries[[#This Row],[Salary in USD]],"")</f>
        <v>5342.3750062327708</v>
      </c>
      <c r="W691" s="13" t="str">
        <f>IF(tblSalaries[[#This Row],[Job Type]]=tblSalaries[[#Headers],[Consultant]],tblSalaries[[#This Row],[Salary in USD]],"")</f>
        <v/>
      </c>
      <c r="X691" s="13" t="str">
        <f>IF(tblSalaries[[#This Row],[Job Type]]=tblSalaries[[#Headers],[Controller]],tblSalaries[[#This Row],[Salary in USD]],"")</f>
        <v/>
      </c>
      <c r="Y691" s="13" t="str">
        <f>IF(tblSalaries[[#This Row],[Job Type]]=tblSalaries[[#Headers],[CXO or Top Mgmt.]],tblSalaries[[#This Row],[clean Salary (in local currency)]],"")</f>
        <v/>
      </c>
      <c r="Z691" s="13" t="str">
        <f>IF(tblSalaries[[#This Row],[Job Type]]=tblSalaries[[#Headers],[Engineer]],tblSalaries[[#This Row],[Salary in USD]],"")</f>
        <v/>
      </c>
      <c r="AA691" s="13" t="str">
        <f>IF(tblSalaries[[#This Row],[Job Type]]=tblSalaries[[#Headers],[Manager]],tblSalaries[[#This Row],[Salary in USD]],"")</f>
        <v/>
      </c>
      <c r="AB691" s="13" t="str">
        <f>IF(tblSalaries[[#This Row],[Job Type]]=tblSalaries[[#Headers],[Misc.]],tblSalaries[[#This Row],[Salary in USD]],"")</f>
        <v/>
      </c>
      <c r="AC691" s="13" t="str">
        <f>IF(tblSalaries[[#This Row],[Job Type]]=tblSalaries[[#Headers],[Reporting]],tblSalaries[[#This Row],[Salary in USD]],"")</f>
        <v/>
      </c>
      <c r="AD691" s="13" t="str">
        <f>IF(tblSalaries[[#This Row],[Job Type]]=tblSalaries[[#Headers],[Specialist]],tblSalaries[[#This Row],[Salary in USD]],"")</f>
        <v/>
      </c>
    </row>
    <row r="692" spans="2:30" ht="15" customHeight="1" x14ac:dyDescent="0.25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 s="9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  <c r="N692">
        <f>IF(tblSalaries[[#This Row],[Years of Experience]]="","",IF(tblSalaries[[#This Row],[Years of Experience]]&lt;=2,1,""))</f>
        <v>1</v>
      </c>
      <c r="O692" t="str">
        <f>IF(tblSalaries[[#This Row],[Years of Experience]]="","",IF(AND(tblSalaries[[#This Row],[Years of Experience]]&gt;2,tblSalaries[[#This Row],[Years of Experience]]&lt;=5),1,""))</f>
        <v/>
      </c>
      <c r="P692" t="str">
        <f>IF(tblSalaries[[#This Row],[Years of Experience]]="","",IF(AND(tblSalaries[[#This Row],[Years of Experience]]&gt;5,tblSalaries[[#This Row],[Years of Experience]]&lt;=10),1,""))</f>
        <v/>
      </c>
      <c r="Q692" t="str">
        <f>IF(tblSalaries[[#This Row],[Years of Experience]]="","",IF(AND(tblSalaries[[#This Row],[Years of Experience]]&gt;10,tblSalaries[[#This Row],[Years of Experience]]&lt;=15),1,""))</f>
        <v/>
      </c>
      <c r="R692" t="str">
        <f>IF(tblSalaries[[#This Row],[Years of Experience]]="","",IF(AND(tblSalaries[[#This Row],[Years of Experience]]&gt;16,tblSalaries[[#This Row],[Years of Experience]]&lt;=20),1,""))</f>
        <v/>
      </c>
      <c r="S692" t="str">
        <f>IF(tblSalaries[[#This Row],[Years of Experience]]="","",IF(tblSalaries[[#This Row],[Years of Experience]]&gt;20,1,""))</f>
        <v/>
      </c>
      <c r="T6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92" s="13" t="str">
        <f>IF(tblSalaries[[#This Row],[Job Type]]=tblSalaries[[#Headers],[Accountant]],tblSalaries[[#This Row],[Salary in USD]],"")</f>
        <v/>
      </c>
      <c r="V692" s="13">
        <f>IF(tblSalaries[[#This Row],[Job Type]]=tblSalaries[[#Headers],[Analyst]],tblSalaries[[#This Row],[Salary in USD]],"")</f>
        <v>6588.9291743537506</v>
      </c>
      <c r="W692" s="13" t="str">
        <f>IF(tblSalaries[[#This Row],[Job Type]]=tblSalaries[[#Headers],[Consultant]],tblSalaries[[#This Row],[Salary in USD]],"")</f>
        <v/>
      </c>
      <c r="X692" s="13" t="str">
        <f>IF(tblSalaries[[#This Row],[Job Type]]=tblSalaries[[#Headers],[Controller]],tblSalaries[[#This Row],[Salary in USD]],"")</f>
        <v/>
      </c>
      <c r="Y692" s="13" t="str">
        <f>IF(tblSalaries[[#This Row],[Job Type]]=tblSalaries[[#Headers],[CXO or Top Mgmt.]],tblSalaries[[#This Row],[clean Salary (in local currency)]],"")</f>
        <v/>
      </c>
      <c r="Z692" s="13" t="str">
        <f>IF(tblSalaries[[#This Row],[Job Type]]=tblSalaries[[#Headers],[Engineer]],tblSalaries[[#This Row],[Salary in USD]],"")</f>
        <v/>
      </c>
      <c r="AA692" s="13" t="str">
        <f>IF(tblSalaries[[#This Row],[Job Type]]=tblSalaries[[#Headers],[Manager]],tblSalaries[[#This Row],[Salary in USD]],"")</f>
        <v/>
      </c>
      <c r="AB692" s="13" t="str">
        <f>IF(tblSalaries[[#This Row],[Job Type]]=tblSalaries[[#Headers],[Misc.]],tblSalaries[[#This Row],[Salary in USD]],"")</f>
        <v/>
      </c>
      <c r="AC692" s="13" t="str">
        <f>IF(tblSalaries[[#This Row],[Job Type]]=tblSalaries[[#Headers],[Reporting]],tblSalaries[[#This Row],[Salary in USD]],"")</f>
        <v/>
      </c>
      <c r="AD692" s="13" t="str">
        <f>IF(tblSalaries[[#This Row],[Job Type]]=tblSalaries[[#Headers],[Specialist]],tblSalaries[[#This Row],[Salary in USD]],"")</f>
        <v/>
      </c>
    </row>
    <row r="693" spans="2:30" ht="15" customHeight="1" x14ac:dyDescent="0.25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 s="9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  <c r="N693">
        <f>IF(tblSalaries[[#This Row],[Years of Experience]]="","",IF(tblSalaries[[#This Row],[Years of Experience]]&lt;=2,1,""))</f>
        <v>1</v>
      </c>
      <c r="O693" t="str">
        <f>IF(tblSalaries[[#This Row],[Years of Experience]]="","",IF(AND(tblSalaries[[#This Row],[Years of Experience]]&gt;2,tblSalaries[[#This Row],[Years of Experience]]&lt;=5),1,""))</f>
        <v/>
      </c>
      <c r="P693" t="str">
        <f>IF(tblSalaries[[#This Row],[Years of Experience]]="","",IF(AND(tblSalaries[[#This Row],[Years of Experience]]&gt;5,tblSalaries[[#This Row],[Years of Experience]]&lt;=10),1,""))</f>
        <v/>
      </c>
      <c r="Q693" t="str">
        <f>IF(tblSalaries[[#This Row],[Years of Experience]]="","",IF(AND(tblSalaries[[#This Row],[Years of Experience]]&gt;10,tblSalaries[[#This Row],[Years of Experience]]&lt;=15),1,""))</f>
        <v/>
      </c>
      <c r="R693" t="str">
        <f>IF(tblSalaries[[#This Row],[Years of Experience]]="","",IF(AND(tblSalaries[[#This Row],[Years of Experience]]&gt;16,tblSalaries[[#This Row],[Years of Experience]]&lt;=20),1,""))</f>
        <v/>
      </c>
      <c r="S693" t="str">
        <f>IF(tblSalaries[[#This Row],[Years of Experience]]="","",IF(tblSalaries[[#This Row],[Years of Experience]]&gt;20,1,""))</f>
        <v/>
      </c>
      <c r="T6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93" s="13" t="str">
        <f>IF(tblSalaries[[#This Row],[Job Type]]=tblSalaries[[#Headers],[Accountant]],tblSalaries[[#This Row],[Salary in USD]],"")</f>
        <v/>
      </c>
      <c r="V693" s="13">
        <f>IF(tblSalaries[[#This Row],[Job Type]]=tblSalaries[[#Headers],[Analyst]],tblSalaries[[#This Row],[Salary in USD]],"")</f>
        <v>6588.9291743537506</v>
      </c>
      <c r="W693" s="13" t="str">
        <f>IF(tblSalaries[[#This Row],[Job Type]]=tblSalaries[[#Headers],[Consultant]],tblSalaries[[#This Row],[Salary in USD]],"")</f>
        <v/>
      </c>
      <c r="X693" s="13" t="str">
        <f>IF(tblSalaries[[#This Row],[Job Type]]=tblSalaries[[#Headers],[Controller]],tblSalaries[[#This Row],[Salary in USD]],"")</f>
        <v/>
      </c>
      <c r="Y693" s="13" t="str">
        <f>IF(tblSalaries[[#This Row],[Job Type]]=tblSalaries[[#Headers],[CXO or Top Mgmt.]],tblSalaries[[#This Row],[clean Salary (in local currency)]],"")</f>
        <v/>
      </c>
      <c r="Z693" s="13" t="str">
        <f>IF(tblSalaries[[#This Row],[Job Type]]=tblSalaries[[#Headers],[Engineer]],tblSalaries[[#This Row],[Salary in USD]],"")</f>
        <v/>
      </c>
      <c r="AA693" s="13" t="str">
        <f>IF(tblSalaries[[#This Row],[Job Type]]=tblSalaries[[#Headers],[Manager]],tblSalaries[[#This Row],[Salary in USD]],"")</f>
        <v/>
      </c>
      <c r="AB693" s="13" t="str">
        <f>IF(tblSalaries[[#This Row],[Job Type]]=tblSalaries[[#Headers],[Misc.]],tblSalaries[[#This Row],[Salary in USD]],"")</f>
        <v/>
      </c>
      <c r="AC693" s="13" t="str">
        <f>IF(tblSalaries[[#This Row],[Job Type]]=tblSalaries[[#Headers],[Reporting]],tblSalaries[[#This Row],[Salary in USD]],"")</f>
        <v/>
      </c>
      <c r="AD693" s="13" t="str">
        <f>IF(tblSalaries[[#This Row],[Job Type]]=tblSalaries[[#Headers],[Specialist]],tblSalaries[[#This Row],[Salary in USD]],"")</f>
        <v/>
      </c>
    </row>
    <row r="694" spans="2:30" ht="15" customHeight="1" x14ac:dyDescent="0.25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 s="9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  <c r="N694" t="str">
        <f>IF(tblSalaries[[#This Row],[Years of Experience]]="","",IF(tblSalaries[[#This Row],[Years of Experience]]&lt;=2,1,""))</f>
        <v/>
      </c>
      <c r="O694" t="str">
        <f>IF(tblSalaries[[#This Row],[Years of Experience]]="","",IF(AND(tblSalaries[[#This Row],[Years of Experience]]&gt;2,tblSalaries[[#This Row],[Years of Experience]]&lt;=5),1,""))</f>
        <v/>
      </c>
      <c r="P694">
        <f>IF(tblSalaries[[#This Row],[Years of Experience]]="","",IF(AND(tblSalaries[[#This Row],[Years of Experience]]&gt;5,tblSalaries[[#This Row],[Years of Experience]]&lt;=10),1,""))</f>
        <v>1</v>
      </c>
      <c r="Q694" t="str">
        <f>IF(tblSalaries[[#This Row],[Years of Experience]]="","",IF(AND(tblSalaries[[#This Row],[Years of Experience]]&gt;10,tblSalaries[[#This Row],[Years of Experience]]&lt;=15),1,""))</f>
        <v/>
      </c>
      <c r="R694" t="str">
        <f>IF(tblSalaries[[#This Row],[Years of Experience]]="","",IF(AND(tblSalaries[[#This Row],[Years of Experience]]&gt;16,tblSalaries[[#This Row],[Years of Experience]]&lt;=20),1,""))</f>
        <v/>
      </c>
      <c r="S694" t="str">
        <f>IF(tblSalaries[[#This Row],[Years of Experience]]="","",IF(tblSalaries[[#This Row],[Years of Experience]]&gt;20,1,""))</f>
        <v/>
      </c>
      <c r="T6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694" s="13" t="str">
        <f>IF(tblSalaries[[#This Row],[Job Type]]=tblSalaries[[#Headers],[Accountant]],tblSalaries[[#This Row],[Salary in USD]],"")</f>
        <v/>
      </c>
      <c r="V694" s="13" t="str">
        <f>IF(tblSalaries[[#This Row],[Job Type]]=tblSalaries[[#Headers],[Analyst]],tblSalaries[[#This Row],[Salary in USD]],"")</f>
        <v/>
      </c>
      <c r="W694" s="13" t="str">
        <f>IF(tblSalaries[[#This Row],[Job Type]]=tblSalaries[[#Headers],[Consultant]],tblSalaries[[#This Row],[Salary in USD]],"")</f>
        <v/>
      </c>
      <c r="X694" s="13" t="str">
        <f>IF(tblSalaries[[#This Row],[Job Type]]=tblSalaries[[#Headers],[Controller]],tblSalaries[[#This Row],[Salary in USD]],"")</f>
        <v/>
      </c>
      <c r="Y694" s="13" t="str">
        <f>IF(tblSalaries[[#This Row],[Job Type]]=tblSalaries[[#Headers],[CXO or Top Mgmt.]],tblSalaries[[#This Row],[clean Salary (in local currency)]],"")</f>
        <v/>
      </c>
      <c r="Z694" s="13" t="str">
        <f>IF(tblSalaries[[#This Row],[Job Type]]=tblSalaries[[#Headers],[Engineer]],tblSalaries[[#This Row],[Salary in USD]],"")</f>
        <v/>
      </c>
      <c r="AA694" s="13" t="str">
        <f>IF(tblSalaries[[#This Row],[Job Type]]=tblSalaries[[#Headers],[Manager]],tblSalaries[[#This Row],[Salary in USD]],"")</f>
        <v/>
      </c>
      <c r="AB694" s="13" t="str">
        <f>IF(tblSalaries[[#This Row],[Job Type]]=tblSalaries[[#Headers],[Misc.]],tblSalaries[[#This Row],[Salary in USD]],"")</f>
        <v/>
      </c>
      <c r="AC694" s="13" t="str">
        <f>IF(tblSalaries[[#This Row],[Job Type]]=tblSalaries[[#Headers],[Reporting]],tblSalaries[[#This Row],[Salary in USD]],"")</f>
        <v/>
      </c>
      <c r="AD694" s="13">
        <f>IF(tblSalaries[[#This Row],[Job Type]]=tblSalaries[[#Headers],[Specialist]],tblSalaries[[#This Row],[Salary in USD]],"")</f>
        <v>35000</v>
      </c>
    </row>
    <row r="695" spans="2:30" ht="15" customHeight="1" x14ac:dyDescent="0.25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 s="9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  <c r="N695" t="str">
        <f>IF(tblSalaries[[#This Row],[Years of Experience]]="","",IF(tblSalaries[[#This Row],[Years of Experience]]&lt;=2,1,""))</f>
        <v/>
      </c>
      <c r="O695">
        <f>IF(tblSalaries[[#This Row],[Years of Experience]]="","",IF(AND(tblSalaries[[#This Row],[Years of Experience]]&gt;2,tblSalaries[[#This Row],[Years of Experience]]&lt;=5),1,""))</f>
        <v>1</v>
      </c>
      <c r="P695" t="str">
        <f>IF(tblSalaries[[#This Row],[Years of Experience]]="","",IF(AND(tblSalaries[[#This Row],[Years of Experience]]&gt;5,tblSalaries[[#This Row],[Years of Experience]]&lt;=10),1,""))</f>
        <v/>
      </c>
      <c r="Q695" t="str">
        <f>IF(tblSalaries[[#This Row],[Years of Experience]]="","",IF(AND(tblSalaries[[#This Row],[Years of Experience]]&gt;10,tblSalaries[[#This Row],[Years of Experience]]&lt;=15),1,""))</f>
        <v/>
      </c>
      <c r="R695" t="str">
        <f>IF(tblSalaries[[#This Row],[Years of Experience]]="","",IF(AND(tblSalaries[[#This Row],[Years of Experience]]&gt;16,tblSalaries[[#This Row],[Years of Experience]]&lt;=20),1,""))</f>
        <v/>
      </c>
      <c r="S695" t="str">
        <f>IF(tblSalaries[[#This Row],[Years of Experience]]="","",IF(tblSalaries[[#This Row],[Years of Experience]]&gt;20,1,""))</f>
        <v/>
      </c>
      <c r="T6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95" s="13">
        <f>IF(tblSalaries[[#This Row],[Job Type]]=tblSalaries[[#Headers],[Accountant]],tblSalaries[[#This Row],[Salary in USD]],"")</f>
        <v>12821.700014958649</v>
      </c>
      <c r="V695" s="13" t="str">
        <f>IF(tblSalaries[[#This Row],[Job Type]]=tblSalaries[[#Headers],[Analyst]],tblSalaries[[#This Row],[Salary in USD]],"")</f>
        <v/>
      </c>
      <c r="W695" s="13" t="str">
        <f>IF(tblSalaries[[#This Row],[Job Type]]=tblSalaries[[#Headers],[Consultant]],tblSalaries[[#This Row],[Salary in USD]],"")</f>
        <v/>
      </c>
      <c r="X695" s="13" t="str">
        <f>IF(tblSalaries[[#This Row],[Job Type]]=tblSalaries[[#Headers],[Controller]],tblSalaries[[#This Row],[Salary in USD]],"")</f>
        <v/>
      </c>
      <c r="Y695" s="13" t="str">
        <f>IF(tblSalaries[[#This Row],[Job Type]]=tblSalaries[[#Headers],[CXO or Top Mgmt.]],tblSalaries[[#This Row],[clean Salary (in local currency)]],"")</f>
        <v/>
      </c>
      <c r="Z695" s="13" t="str">
        <f>IF(tblSalaries[[#This Row],[Job Type]]=tblSalaries[[#Headers],[Engineer]],tblSalaries[[#This Row],[Salary in USD]],"")</f>
        <v/>
      </c>
      <c r="AA695" s="13" t="str">
        <f>IF(tblSalaries[[#This Row],[Job Type]]=tblSalaries[[#Headers],[Manager]],tblSalaries[[#This Row],[Salary in USD]],"")</f>
        <v/>
      </c>
      <c r="AB695" s="13" t="str">
        <f>IF(tblSalaries[[#This Row],[Job Type]]=tblSalaries[[#Headers],[Misc.]],tblSalaries[[#This Row],[Salary in USD]],"")</f>
        <v/>
      </c>
      <c r="AC695" s="13" t="str">
        <f>IF(tblSalaries[[#This Row],[Job Type]]=tblSalaries[[#Headers],[Reporting]],tblSalaries[[#This Row],[Salary in USD]],"")</f>
        <v/>
      </c>
      <c r="AD695" s="13" t="str">
        <f>IF(tblSalaries[[#This Row],[Job Type]]=tblSalaries[[#Headers],[Specialist]],tblSalaries[[#This Row],[Salary in USD]],"")</f>
        <v/>
      </c>
    </row>
    <row r="696" spans="2:30" ht="15" customHeight="1" x14ac:dyDescent="0.25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 s="9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  <c r="N696">
        <f>IF(tblSalaries[[#This Row],[Years of Experience]]="","",IF(tblSalaries[[#This Row],[Years of Experience]]&lt;=2,1,""))</f>
        <v>1</v>
      </c>
      <c r="O696" t="str">
        <f>IF(tblSalaries[[#This Row],[Years of Experience]]="","",IF(AND(tblSalaries[[#This Row],[Years of Experience]]&gt;2,tblSalaries[[#This Row],[Years of Experience]]&lt;=5),1,""))</f>
        <v/>
      </c>
      <c r="P696" t="str">
        <f>IF(tblSalaries[[#This Row],[Years of Experience]]="","",IF(AND(tblSalaries[[#This Row],[Years of Experience]]&gt;5,tblSalaries[[#This Row],[Years of Experience]]&lt;=10),1,""))</f>
        <v/>
      </c>
      <c r="Q696" t="str">
        <f>IF(tblSalaries[[#This Row],[Years of Experience]]="","",IF(AND(tblSalaries[[#This Row],[Years of Experience]]&gt;10,tblSalaries[[#This Row],[Years of Experience]]&lt;=15),1,""))</f>
        <v/>
      </c>
      <c r="R696" t="str">
        <f>IF(tblSalaries[[#This Row],[Years of Experience]]="","",IF(AND(tblSalaries[[#This Row],[Years of Experience]]&gt;16,tblSalaries[[#This Row],[Years of Experience]]&lt;=20),1,""))</f>
        <v/>
      </c>
      <c r="S696" t="str">
        <f>IF(tblSalaries[[#This Row],[Years of Experience]]="","",IF(tblSalaries[[#This Row],[Years of Experience]]&gt;20,1,""))</f>
        <v/>
      </c>
      <c r="T6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96" s="13" t="str">
        <f>IF(tblSalaries[[#This Row],[Job Type]]=tblSalaries[[#Headers],[Accountant]],tblSalaries[[#This Row],[Salary in USD]],"")</f>
        <v/>
      </c>
      <c r="V696" s="13" t="str">
        <f>IF(tblSalaries[[#This Row],[Job Type]]=tblSalaries[[#Headers],[Analyst]],tblSalaries[[#This Row],[Salary in USD]],"")</f>
        <v/>
      </c>
      <c r="W696" s="13" t="str">
        <f>IF(tblSalaries[[#This Row],[Job Type]]=tblSalaries[[#Headers],[Consultant]],tblSalaries[[#This Row],[Salary in USD]],"")</f>
        <v/>
      </c>
      <c r="X696" s="13" t="str">
        <f>IF(tblSalaries[[#This Row],[Job Type]]=tblSalaries[[#Headers],[Controller]],tblSalaries[[#This Row],[Salary in USD]],"")</f>
        <v/>
      </c>
      <c r="Y696" s="13" t="str">
        <f>IF(tblSalaries[[#This Row],[Job Type]]=tblSalaries[[#Headers],[CXO or Top Mgmt.]],tblSalaries[[#This Row],[clean Salary (in local currency)]],"")</f>
        <v/>
      </c>
      <c r="Z696" s="13" t="str">
        <f>IF(tblSalaries[[#This Row],[Job Type]]=tblSalaries[[#Headers],[Engineer]],tblSalaries[[#This Row],[Salary in USD]],"")</f>
        <v/>
      </c>
      <c r="AA696" s="13">
        <f>IF(tblSalaries[[#This Row],[Job Type]]=tblSalaries[[#Headers],[Manager]],tblSalaries[[#This Row],[Salary in USD]],"")</f>
        <v>10684.750012465542</v>
      </c>
      <c r="AB696" s="13" t="str">
        <f>IF(tblSalaries[[#This Row],[Job Type]]=tblSalaries[[#Headers],[Misc.]],tblSalaries[[#This Row],[Salary in USD]],"")</f>
        <v/>
      </c>
      <c r="AC696" s="13" t="str">
        <f>IF(tblSalaries[[#This Row],[Job Type]]=tblSalaries[[#Headers],[Reporting]],tblSalaries[[#This Row],[Salary in USD]],"")</f>
        <v/>
      </c>
      <c r="AD696" s="13" t="str">
        <f>IF(tblSalaries[[#This Row],[Job Type]]=tblSalaries[[#Headers],[Specialist]],tblSalaries[[#This Row],[Salary in USD]],"")</f>
        <v/>
      </c>
    </row>
    <row r="697" spans="2:30" ht="15" customHeight="1" x14ac:dyDescent="0.25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 s="9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  <c r="N697">
        <f>IF(tblSalaries[[#This Row],[Years of Experience]]="","",IF(tblSalaries[[#This Row],[Years of Experience]]&lt;=2,1,""))</f>
        <v>1</v>
      </c>
      <c r="O697" t="str">
        <f>IF(tblSalaries[[#This Row],[Years of Experience]]="","",IF(AND(tblSalaries[[#This Row],[Years of Experience]]&gt;2,tblSalaries[[#This Row],[Years of Experience]]&lt;=5),1,""))</f>
        <v/>
      </c>
      <c r="P697" t="str">
        <f>IF(tblSalaries[[#This Row],[Years of Experience]]="","",IF(AND(tblSalaries[[#This Row],[Years of Experience]]&gt;5,tblSalaries[[#This Row],[Years of Experience]]&lt;=10),1,""))</f>
        <v/>
      </c>
      <c r="Q697" t="str">
        <f>IF(tblSalaries[[#This Row],[Years of Experience]]="","",IF(AND(tblSalaries[[#This Row],[Years of Experience]]&gt;10,tblSalaries[[#This Row],[Years of Experience]]&lt;=15),1,""))</f>
        <v/>
      </c>
      <c r="R697" t="str">
        <f>IF(tblSalaries[[#This Row],[Years of Experience]]="","",IF(AND(tblSalaries[[#This Row],[Years of Experience]]&gt;16,tblSalaries[[#This Row],[Years of Experience]]&lt;=20),1,""))</f>
        <v/>
      </c>
      <c r="S697" t="str">
        <f>IF(tblSalaries[[#This Row],[Years of Experience]]="","",IF(tblSalaries[[#This Row],[Years of Experience]]&gt;20,1,""))</f>
        <v/>
      </c>
      <c r="T6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97" s="13" t="str">
        <f>IF(tblSalaries[[#This Row],[Job Type]]=tblSalaries[[#Headers],[Accountant]],tblSalaries[[#This Row],[Salary in USD]],"")</f>
        <v/>
      </c>
      <c r="V697" s="13" t="str">
        <f>IF(tblSalaries[[#This Row],[Job Type]]=tblSalaries[[#Headers],[Analyst]],tblSalaries[[#This Row],[Salary in USD]],"")</f>
        <v/>
      </c>
      <c r="W697" s="13" t="str">
        <f>IF(tblSalaries[[#This Row],[Job Type]]=tblSalaries[[#Headers],[Consultant]],tblSalaries[[#This Row],[Salary in USD]],"")</f>
        <v/>
      </c>
      <c r="X697" s="13" t="str">
        <f>IF(tblSalaries[[#This Row],[Job Type]]=tblSalaries[[#Headers],[Controller]],tblSalaries[[#This Row],[Salary in USD]],"")</f>
        <v/>
      </c>
      <c r="Y697" s="13" t="str">
        <f>IF(tblSalaries[[#This Row],[Job Type]]=tblSalaries[[#Headers],[CXO or Top Mgmt.]],tblSalaries[[#This Row],[clean Salary (in local currency)]],"")</f>
        <v/>
      </c>
      <c r="Z697" s="13" t="str">
        <f>IF(tblSalaries[[#This Row],[Job Type]]=tblSalaries[[#Headers],[Engineer]],tblSalaries[[#This Row],[Salary in USD]],"")</f>
        <v/>
      </c>
      <c r="AA697" s="13">
        <f>IF(tblSalaries[[#This Row],[Job Type]]=tblSalaries[[#Headers],[Manager]],tblSalaries[[#This Row],[Salary in USD]],"")</f>
        <v>10000</v>
      </c>
      <c r="AB697" s="13" t="str">
        <f>IF(tblSalaries[[#This Row],[Job Type]]=tblSalaries[[#Headers],[Misc.]],tblSalaries[[#This Row],[Salary in USD]],"")</f>
        <v/>
      </c>
      <c r="AC697" s="13" t="str">
        <f>IF(tblSalaries[[#This Row],[Job Type]]=tblSalaries[[#Headers],[Reporting]],tblSalaries[[#This Row],[Salary in USD]],"")</f>
        <v/>
      </c>
      <c r="AD697" s="13" t="str">
        <f>IF(tblSalaries[[#This Row],[Job Type]]=tblSalaries[[#Headers],[Specialist]],tblSalaries[[#This Row],[Salary in USD]],"")</f>
        <v/>
      </c>
    </row>
    <row r="698" spans="2:30" ht="15" customHeight="1" x14ac:dyDescent="0.25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 s="9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  <c r="N698">
        <f>IF(tblSalaries[[#This Row],[Years of Experience]]="","",IF(tblSalaries[[#This Row],[Years of Experience]]&lt;=2,1,""))</f>
        <v>1</v>
      </c>
      <c r="O698" t="str">
        <f>IF(tblSalaries[[#This Row],[Years of Experience]]="","",IF(AND(tblSalaries[[#This Row],[Years of Experience]]&gt;2,tblSalaries[[#This Row],[Years of Experience]]&lt;=5),1,""))</f>
        <v/>
      </c>
      <c r="P698" t="str">
        <f>IF(tblSalaries[[#This Row],[Years of Experience]]="","",IF(AND(tblSalaries[[#This Row],[Years of Experience]]&gt;5,tblSalaries[[#This Row],[Years of Experience]]&lt;=10),1,""))</f>
        <v/>
      </c>
      <c r="Q698" t="str">
        <f>IF(tblSalaries[[#This Row],[Years of Experience]]="","",IF(AND(tblSalaries[[#This Row],[Years of Experience]]&gt;10,tblSalaries[[#This Row],[Years of Experience]]&lt;=15),1,""))</f>
        <v/>
      </c>
      <c r="R698" t="str">
        <f>IF(tblSalaries[[#This Row],[Years of Experience]]="","",IF(AND(tblSalaries[[#This Row],[Years of Experience]]&gt;16,tblSalaries[[#This Row],[Years of Experience]]&lt;=20),1,""))</f>
        <v/>
      </c>
      <c r="S698" t="str">
        <f>IF(tblSalaries[[#This Row],[Years of Experience]]="","",IF(tblSalaries[[#This Row],[Years of Experience]]&gt;20,1,""))</f>
        <v/>
      </c>
      <c r="T6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698" s="13" t="str">
        <f>IF(tblSalaries[[#This Row],[Job Type]]=tblSalaries[[#Headers],[Accountant]],tblSalaries[[#This Row],[Salary in USD]],"")</f>
        <v/>
      </c>
      <c r="V698" s="13">
        <f>IF(tblSalaries[[#This Row],[Job Type]]=tblSalaries[[#Headers],[Analyst]],tblSalaries[[#This Row],[Salary in USD]],"")</f>
        <v>2136.9500024931081</v>
      </c>
      <c r="W698" s="13" t="str">
        <f>IF(tblSalaries[[#This Row],[Job Type]]=tblSalaries[[#Headers],[Consultant]],tblSalaries[[#This Row],[Salary in USD]],"")</f>
        <v/>
      </c>
      <c r="X698" s="13" t="str">
        <f>IF(tblSalaries[[#This Row],[Job Type]]=tblSalaries[[#Headers],[Controller]],tblSalaries[[#This Row],[Salary in USD]],"")</f>
        <v/>
      </c>
      <c r="Y698" s="13" t="str">
        <f>IF(tblSalaries[[#This Row],[Job Type]]=tblSalaries[[#Headers],[CXO or Top Mgmt.]],tblSalaries[[#This Row],[clean Salary (in local currency)]],"")</f>
        <v/>
      </c>
      <c r="Z698" s="13" t="str">
        <f>IF(tblSalaries[[#This Row],[Job Type]]=tblSalaries[[#Headers],[Engineer]],tblSalaries[[#This Row],[Salary in USD]],"")</f>
        <v/>
      </c>
      <c r="AA698" s="13" t="str">
        <f>IF(tblSalaries[[#This Row],[Job Type]]=tblSalaries[[#Headers],[Manager]],tblSalaries[[#This Row],[Salary in USD]],"")</f>
        <v/>
      </c>
      <c r="AB698" s="13" t="str">
        <f>IF(tblSalaries[[#This Row],[Job Type]]=tblSalaries[[#Headers],[Misc.]],tblSalaries[[#This Row],[Salary in USD]],"")</f>
        <v/>
      </c>
      <c r="AC698" s="13" t="str">
        <f>IF(tblSalaries[[#This Row],[Job Type]]=tblSalaries[[#Headers],[Reporting]],tblSalaries[[#This Row],[Salary in USD]],"")</f>
        <v/>
      </c>
      <c r="AD698" s="13" t="str">
        <f>IF(tblSalaries[[#This Row],[Job Type]]=tblSalaries[[#Headers],[Specialist]],tblSalaries[[#This Row],[Salary in USD]],"")</f>
        <v/>
      </c>
    </row>
    <row r="699" spans="2:30" ht="15" customHeight="1" x14ac:dyDescent="0.25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 s="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  <c r="N699" t="str">
        <f>IF(tblSalaries[[#This Row],[Years of Experience]]="","",IF(tblSalaries[[#This Row],[Years of Experience]]&lt;=2,1,""))</f>
        <v/>
      </c>
      <c r="O699">
        <f>IF(tblSalaries[[#This Row],[Years of Experience]]="","",IF(AND(tblSalaries[[#This Row],[Years of Experience]]&gt;2,tblSalaries[[#This Row],[Years of Experience]]&lt;=5),1,""))</f>
        <v>1</v>
      </c>
      <c r="P699" t="str">
        <f>IF(tblSalaries[[#This Row],[Years of Experience]]="","",IF(AND(tblSalaries[[#This Row],[Years of Experience]]&gt;5,tblSalaries[[#This Row],[Years of Experience]]&lt;=10),1,""))</f>
        <v/>
      </c>
      <c r="Q699" t="str">
        <f>IF(tblSalaries[[#This Row],[Years of Experience]]="","",IF(AND(tblSalaries[[#This Row],[Years of Experience]]&gt;10,tblSalaries[[#This Row],[Years of Experience]]&lt;=15),1,""))</f>
        <v/>
      </c>
      <c r="R699" t="str">
        <f>IF(tblSalaries[[#This Row],[Years of Experience]]="","",IF(AND(tblSalaries[[#This Row],[Years of Experience]]&gt;16,tblSalaries[[#This Row],[Years of Experience]]&lt;=20),1,""))</f>
        <v/>
      </c>
      <c r="S699" t="str">
        <f>IF(tblSalaries[[#This Row],[Years of Experience]]="","",IF(tblSalaries[[#This Row],[Years of Experience]]&gt;20,1,""))</f>
        <v/>
      </c>
      <c r="T6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699" s="13" t="str">
        <f>IF(tblSalaries[[#This Row],[Job Type]]=tblSalaries[[#Headers],[Accountant]],tblSalaries[[#This Row],[Salary in USD]],"")</f>
        <v/>
      </c>
      <c r="V699" s="13">
        <f>IF(tblSalaries[[#This Row],[Job Type]]=tblSalaries[[#Headers],[Analyst]],tblSalaries[[#This Row],[Salary in USD]],"")</f>
        <v>8547.8000099724322</v>
      </c>
      <c r="W699" s="13" t="str">
        <f>IF(tblSalaries[[#This Row],[Job Type]]=tblSalaries[[#Headers],[Consultant]],tblSalaries[[#This Row],[Salary in USD]],"")</f>
        <v/>
      </c>
      <c r="X699" s="13" t="str">
        <f>IF(tblSalaries[[#This Row],[Job Type]]=tblSalaries[[#Headers],[Controller]],tblSalaries[[#This Row],[Salary in USD]],"")</f>
        <v/>
      </c>
      <c r="Y699" s="13" t="str">
        <f>IF(tblSalaries[[#This Row],[Job Type]]=tblSalaries[[#Headers],[CXO or Top Mgmt.]],tblSalaries[[#This Row],[clean Salary (in local currency)]],"")</f>
        <v/>
      </c>
      <c r="Z699" s="13" t="str">
        <f>IF(tblSalaries[[#This Row],[Job Type]]=tblSalaries[[#Headers],[Engineer]],tblSalaries[[#This Row],[Salary in USD]],"")</f>
        <v/>
      </c>
      <c r="AA699" s="13" t="str">
        <f>IF(tblSalaries[[#This Row],[Job Type]]=tblSalaries[[#Headers],[Manager]],tblSalaries[[#This Row],[Salary in USD]],"")</f>
        <v/>
      </c>
      <c r="AB699" s="13" t="str">
        <f>IF(tblSalaries[[#This Row],[Job Type]]=tblSalaries[[#Headers],[Misc.]],tblSalaries[[#This Row],[Salary in USD]],"")</f>
        <v/>
      </c>
      <c r="AC699" s="13" t="str">
        <f>IF(tblSalaries[[#This Row],[Job Type]]=tblSalaries[[#Headers],[Reporting]],tblSalaries[[#This Row],[Salary in USD]],"")</f>
        <v/>
      </c>
      <c r="AD699" s="13" t="str">
        <f>IF(tblSalaries[[#This Row],[Job Type]]=tblSalaries[[#Headers],[Specialist]],tblSalaries[[#This Row],[Salary in USD]],"")</f>
        <v/>
      </c>
    </row>
    <row r="700" spans="2:30" ht="15" customHeight="1" x14ac:dyDescent="0.25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 s="9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  <c r="N700" t="str">
        <f>IF(tblSalaries[[#This Row],[Years of Experience]]="","",IF(tblSalaries[[#This Row],[Years of Experience]]&lt;=2,1,""))</f>
        <v/>
      </c>
      <c r="O700" t="str">
        <f>IF(tblSalaries[[#This Row],[Years of Experience]]="","",IF(AND(tblSalaries[[#This Row],[Years of Experience]]&gt;2,tblSalaries[[#This Row],[Years of Experience]]&lt;=5),1,""))</f>
        <v/>
      </c>
      <c r="P700">
        <f>IF(tblSalaries[[#This Row],[Years of Experience]]="","",IF(AND(tblSalaries[[#This Row],[Years of Experience]]&gt;5,tblSalaries[[#This Row],[Years of Experience]]&lt;=10),1,""))</f>
        <v>1</v>
      </c>
      <c r="Q700" t="str">
        <f>IF(tblSalaries[[#This Row],[Years of Experience]]="","",IF(AND(tblSalaries[[#This Row],[Years of Experience]]&gt;10,tblSalaries[[#This Row],[Years of Experience]]&lt;=15),1,""))</f>
        <v/>
      </c>
      <c r="R700" t="str">
        <f>IF(tblSalaries[[#This Row],[Years of Experience]]="","",IF(AND(tblSalaries[[#This Row],[Years of Experience]]&gt;16,tblSalaries[[#This Row],[Years of Experience]]&lt;=20),1,""))</f>
        <v/>
      </c>
      <c r="S700" t="str">
        <f>IF(tblSalaries[[#This Row],[Years of Experience]]="","",IF(tblSalaries[[#This Row],[Years of Experience]]&gt;20,1,""))</f>
        <v/>
      </c>
      <c r="T7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00" s="13" t="str">
        <f>IF(tblSalaries[[#This Row],[Job Type]]=tblSalaries[[#Headers],[Accountant]],tblSalaries[[#This Row],[Salary in USD]],"")</f>
        <v/>
      </c>
      <c r="V700" s="13">
        <f>IF(tblSalaries[[#This Row],[Job Type]]=tblSalaries[[#Headers],[Analyst]],tblSalaries[[#This Row],[Salary in USD]],"")</f>
        <v>8013.5625093491553</v>
      </c>
      <c r="W700" s="13" t="str">
        <f>IF(tblSalaries[[#This Row],[Job Type]]=tblSalaries[[#Headers],[Consultant]],tblSalaries[[#This Row],[Salary in USD]],"")</f>
        <v/>
      </c>
      <c r="X700" s="13" t="str">
        <f>IF(tblSalaries[[#This Row],[Job Type]]=tblSalaries[[#Headers],[Controller]],tblSalaries[[#This Row],[Salary in USD]],"")</f>
        <v/>
      </c>
      <c r="Y700" s="13" t="str">
        <f>IF(tblSalaries[[#This Row],[Job Type]]=tblSalaries[[#Headers],[CXO or Top Mgmt.]],tblSalaries[[#This Row],[clean Salary (in local currency)]],"")</f>
        <v/>
      </c>
      <c r="Z700" s="13" t="str">
        <f>IF(tblSalaries[[#This Row],[Job Type]]=tblSalaries[[#Headers],[Engineer]],tblSalaries[[#This Row],[Salary in USD]],"")</f>
        <v/>
      </c>
      <c r="AA700" s="13" t="str">
        <f>IF(tblSalaries[[#This Row],[Job Type]]=tblSalaries[[#Headers],[Manager]],tblSalaries[[#This Row],[Salary in USD]],"")</f>
        <v/>
      </c>
      <c r="AB700" s="13" t="str">
        <f>IF(tblSalaries[[#This Row],[Job Type]]=tblSalaries[[#Headers],[Misc.]],tblSalaries[[#This Row],[Salary in USD]],"")</f>
        <v/>
      </c>
      <c r="AC700" s="13" t="str">
        <f>IF(tblSalaries[[#This Row],[Job Type]]=tblSalaries[[#Headers],[Reporting]],tblSalaries[[#This Row],[Salary in USD]],"")</f>
        <v/>
      </c>
      <c r="AD700" s="13" t="str">
        <f>IF(tblSalaries[[#This Row],[Job Type]]=tblSalaries[[#Headers],[Specialist]],tblSalaries[[#This Row],[Salary in USD]],"")</f>
        <v/>
      </c>
    </row>
    <row r="701" spans="2:30" ht="15" customHeight="1" x14ac:dyDescent="0.25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 s="9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  <c r="N701">
        <f>IF(tblSalaries[[#This Row],[Years of Experience]]="","",IF(tblSalaries[[#This Row],[Years of Experience]]&lt;=2,1,""))</f>
        <v>1</v>
      </c>
      <c r="O701" t="str">
        <f>IF(tblSalaries[[#This Row],[Years of Experience]]="","",IF(AND(tblSalaries[[#This Row],[Years of Experience]]&gt;2,tblSalaries[[#This Row],[Years of Experience]]&lt;=5),1,""))</f>
        <v/>
      </c>
      <c r="P701" t="str">
        <f>IF(tblSalaries[[#This Row],[Years of Experience]]="","",IF(AND(tblSalaries[[#This Row],[Years of Experience]]&gt;5,tblSalaries[[#This Row],[Years of Experience]]&lt;=10),1,""))</f>
        <v/>
      </c>
      <c r="Q701" t="str">
        <f>IF(tblSalaries[[#This Row],[Years of Experience]]="","",IF(AND(tblSalaries[[#This Row],[Years of Experience]]&gt;10,tblSalaries[[#This Row],[Years of Experience]]&lt;=15),1,""))</f>
        <v/>
      </c>
      <c r="R701" t="str">
        <f>IF(tblSalaries[[#This Row],[Years of Experience]]="","",IF(AND(tblSalaries[[#This Row],[Years of Experience]]&gt;16,tblSalaries[[#This Row],[Years of Experience]]&lt;=20),1,""))</f>
        <v/>
      </c>
      <c r="S701" t="str">
        <f>IF(tblSalaries[[#This Row],[Years of Experience]]="","",IF(tblSalaries[[#This Row],[Years of Experience]]&gt;20,1,""))</f>
        <v/>
      </c>
      <c r="T7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01" s="13" t="str">
        <f>IF(tblSalaries[[#This Row],[Job Type]]=tblSalaries[[#Headers],[Accountant]],tblSalaries[[#This Row],[Salary in USD]],"")</f>
        <v/>
      </c>
      <c r="V701" s="13" t="str">
        <f>IF(tblSalaries[[#This Row],[Job Type]]=tblSalaries[[#Headers],[Analyst]],tblSalaries[[#This Row],[Salary in USD]],"")</f>
        <v/>
      </c>
      <c r="W701" s="13">
        <f>IF(tblSalaries[[#This Row],[Job Type]]=tblSalaries[[#Headers],[Consultant]],tblSalaries[[#This Row],[Salary in USD]],"")</f>
        <v>7123.1666749770275</v>
      </c>
      <c r="X701" s="13" t="str">
        <f>IF(tblSalaries[[#This Row],[Job Type]]=tblSalaries[[#Headers],[Controller]],tblSalaries[[#This Row],[Salary in USD]],"")</f>
        <v/>
      </c>
      <c r="Y701" s="13" t="str">
        <f>IF(tblSalaries[[#This Row],[Job Type]]=tblSalaries[[#Headers],[CXO or Top Mgmt.]],tblSalaries[[#This Row],[clean Salary (in local currency)]],"")</f>
        <v/>
      </c>
      <c r="Z701" s="13" t="str">
        <f>IF(tblSalaries[[#This Row],[Job Type]]=tblSalaries[[#Headers],[Engineer]],tblSalaries[[#This Row],[Salary in USD]],"")</f>
        <v/>
      </c>
      <c r="AA701" s="13" t="str">
        <f>IF(tblSalaries[[#This Row],[Job Type]]=tblSalaries[[#Headers],[Manager]],tblSalaries[[#This Row],[Salary in USD]],"")</f>
        <v/>
      </c>
      <c r="AB701" s="13" t="str">
        <f>IF(tblSalaries[[#This Row],[Job Type]]=tblSalaries[[#Headers],[Misc.]],tblSalaries[[#This Row],[Salary in USD]],"")</f>
        <v/>
      </c>
      <c r="AC701" s="13" t="str">
        <f>IF(tblSalaries[[#This Row],[Job Type]]=tblSalaries[[#Headers],[Reporting]],tblSalaries[[#This Row],[Salary in USD]],"")</f>
        <v/>
      </c>
      <c r="AD701" s="13" t="str">
        <f>IF(tblSalaries[[#This Row],[Job Type]]=tblSalaries[[#Headers],[Specialist]],tblSalaries[[#This Row],[Salary in USD]],"")</f>
        <v/>
      </c>
    </row>
    <row r="702" spans="2:30" ht="15" customHeight="1" x14ac:dyDescent="0.25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 s="9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  <c r="N702" t="str">
        <f>IF(tblSalaries[[#This Row],[Years of Experience]]="","",IF(tblSalaries[[#This Row],[Years of Experience]]&lt;=2,1,""))</f>
        <v/>
      </c>
      <c r="O702">
        <f>IF(tblSalaries[[#This Row],[Years of Experience]]="","",IF(AND(tblSalaries[[#This Row],[Years of Experience]]&gt;2,tblSalaries[[#This Row],[Years of Experience]]&lt;=5),1,""))</f>
        <v>1</v>
      </c>
      <c r="P702" t="str">
        <f>IF(tblSalaries[[#This Row],[Years of Experience]]="","",IF(AND(tblSalaries[[#This Row],[Years of Experience]]&gt;5,tblSalaries[[#This Row],[Years of Experience]]&lt;=10),1,""))</f>
        <v/>
      </c>
      <c r="Q702" t="str">
        <f>IF(tblSalaries[[#This Row],[Years of Experience]]="","",IF(AND(tblSalaries[[#This Row],[Years of Experience]]&gt;10,tblSalaries[[#This Row],[Years of Experience]]&lt;=15),1,""))</f>
        <v/>
      </c>
      <c r="R702" t="str">
        <f>IF(tblSalaries[[#This Row],[Years of Experience]]="","",IF(AND(tblSalaries[[#This Row],[Years of Experience]]&gt;16,tblSalaries[[#This Row],[Years of Experience]]&lt;=20),1,""))</f>
        <v/>
      </c>
      <c r="S702" t="str">
        <f>IF(tblSalaries[[#This Row],[Years of Experience]]="","",IF(tblSalaries[[#This Row],[Years of Experience]]&gt;20,1,""))</f>
        <v/>
      </c>
      <c r="T7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02" s="13" t="str">
        <f>IF(tblSalaries[[#This Row],[Job Type]]=tblSalaries[[#Headers],[Accountant]],tblSalaries[[#This Row],[Salary in USD]],"")</f>
        <v/>
      </c>
      <c r="V702" s="13">
        <f>IF(tblSalaries[[#This Row],[Job Type]]=tblSalaries[[#Headers],[Analyst]],tblSalaries[[#This Row],[Salary in USD]],"")</f>
        <v>40958.208381117904</v>
      </c>
      <c r="W702" s="13" t="str">
        <f>IF(tblSalaries[[#This Row],[Job Type]]=tblSalaries[[#Headers],[Consultant]],tblSalaries[[#This Row],[Salary in USD]],"")</f>
        <v/>
      </c>
      <c r="X702" s="13" t="str">
        <f>IF(tblSalaries[[#This Row],[Job Type]]=tblSalaries[[#Headers],[Controller]],tblSalaries[[#This Row],[Salary in USD]],"")</f>
        <v/>
      </c>
      <c r="Y702" s="13" t="str">
        <f>IF(tblSalaries[[#This Row],[Job Type]]=tblSalaries[[#Headers],[CXO or Top Mgmt.]],tblSalaries[[#This Row],[clean Salary (in local currency)]],"")</f>
        <v/>
      </c>
      <c r="Z702" s="13" t="str">
        <f>IF(tblSalaries[[#This Row],[Job Type]]=tblSalaries[[#Headers],[Engineer]],tblSalaries[[#This Row],[Salary in USD]],"")</f>
        <v/>
      </c>
      <c r="AA702" s="13" t="str">
        <f>IF(tblSalaries[[#This Row],[Job Type]]=tblSalaries[[#Headers],[Manager]],tblSalaries[[#This Row],[Salary in USD]],"")</f>
        <v/>
      </c>
      <c r="AB702" s="13" t="str">
        <f>IF(tblSalaries[[#This Row],[Job Type]]=tblSalaries[[#Headers],[Misc.]],tblSalaries[[#This Row],[Salary in USD]],"")</f>
        <v/>
      </c>
      <c r="AC702" s="13" t="str">
        <f>IF(tblSalaries[[#This Row],[Job Type]]=tblSalaries[[#Headers],[Reporting]],tblSalaries[[#This Row],[Salary in USD]],"")</f>
        <v/>
      </c>
      <c r="AD702" s="13" t="str">
        <f>IF(tblSalaries[[#This Row],[Job Type]]=tblSalaries[[#Headers],[Specialist]],tblSalaries[[#This Row],[Salary in USD]],"")</f>
        <v/>
      </c>
    </row>
    <row r="703" spans="2:30" ht="15" customHeight="1" x14ac:dyDescent="0.25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 s="9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  <c r="N703">
        <f>IF(tblSalaries[[#This Row],[Years of Experience]]="","",IF(tblSalaries[[#This Row],[Years of Experience]]&lt;=2,1,""))</f>
        <v>1</v>
      </c>
      <c r="O703" t="str">
        <f>IF(tblSalaries[[#This Row],[Years of Experience]]="","",IF(AND(tblSalaries[[#This Row],[Years of Experience]]&gt;2,tblSalaries[[#This Row],[Years of Experience]]&lt;=5),1,""))</f>
        <v/>
      </c>
      <c r="P703" t="str">
        <f>IF(tblSalaries[[#This Row],[Years of Experience]]="","",IF(AND(tblSalaries[[#This Row],[Years of Experience]]&gt;5,tblSalaries[[#This Row],[Years of Experience]]&lt;=10),1,""))</f>
        <v/>
      </c>
      <c r="Q703" t="str">
        <f>IF(tblSalaries[[#This Row],[Years of Experience]]="","",IF(AND(tblSalaries[[#This Row],[Years of Experience]]&gt;10,tblSalaries[[#This Row],[Years of Experience]]&lt;=15),1,""))</f>
        <v/>
      </c>
      <c r="R703" t="str">
        <f>IF(tblSalaries[[#This Row],[Years of Experience]]="","",IF(AND(tblSalaries[[#This Row],[Years of Experience]]&gt;16,tblSalaries[[#This Row],[Years of Experience]]&lt;=20),1,""))</f>
        <v/>
      </c>
      <c r="S703" t="str">
        <f>IF(tblSalaries[[#This Row],[Years of Experience]]="","",IF(tblSalaries[[#This Row],[Years of Experience]]&gt;20,1,""))</f>
        <v/>
      </c>
      <c r="T7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03" s="13" t="str">
        <f>IF(tblSalaries[[#This Row],[Job Type]]=tblSalaries[[#Headers],[Accountant]],tblSalaries[[#This Row],[Salary in USD]],"")</f>
        <v/>
      </c>
      <c r="V703" s="13" t="str">
        <f>IF(tblSalaries[[#This Row],[Job Type]]=tblSalaries[[#Headers],[Analyst]],tblSalaries[[#This Row],[Salary in USD]],"")</f>
        <v/>
      </c>
      <c r="W703" s="13" t="str">
        <f>IF(tblSalaries[[#This Row],[Job Type]]=tblSalaries[[#Headers],[Consultant]],tblSalaries[[#This Row],[Salary in USD]],"")</f>
        <v/>
      </c>
      <c r="X703" s="13" t="str">
        <f>IF(tblSalaries[[#This Row],[Job Type]]=tblSalaries[[#Headers],[Controller]],tblSalaries[[#This Row],[Salary in USD]],"")</f>
        <v/>
      </c>
      <c r="Y703" s="13" t="str">
        <f>IF(tblSalaries[[#This Row],[Job Type]]=tblSalaries[[#Headers],[CXO or Top Mgmt.]],tblSalaries[[#This Row],[clean Salary (in local currency)]],"")</f>
        <v/>
      </c>
      <c r="Z703" s="13" t="str">
        <f>IF(tblSalaries[[#This Row],[Job Type]]=tblSalaries[[#Headers],[Engineer]],tblSalaries[[#This Row],[Salary in USD]],"")</f>
        <v/>
      </c>
      <c r="AA703" s="13">
        <f>IF(tblSalaries[[#This Row],[Job Type]]=tblSalaries[[#Headers],[Manager]],tblSalaries[[#This Row],[Salary in USD]],"")</f>
        <v>11325.835013213473</v>
      </c>
      <c r="AB703" s="13" t="str">
        <f>IF(tblSalaries[[#This Row],[Job Type]]=tblSalaries[[#Headers],[Misc.]],tblSalaries[[#This Row],[Salary in USD]],"")</f>
        <v/>
      </c>
      <c r="AC703" s="13" t="str">
        <f>IF(tblSalaries[[#This Row],[Job Type]]=tblSalaries[[#Headers],[Reporting]],tblSalaries[[#This Row],[Salary in USD]],"")</f>
        <v/>
      </c>
      <c r="AD703" s="13" t="str">
        <f>IF(tblSalaries[[#This Row],[Job Type]]=tblSalaries[[#Headers],[Specialist]],tblSalaries[[#This Row],[Salary in USD]],"")</f>
        <v/>
      </c>
    </row>
    <row r="704" spans="2:30" ht="15" customHeight="1" x14ac:dyDescent="0.25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 s="9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  <c r="N704">
        <f>IF(tblSalaries[[#This Row],[Years of Experience]]="","",IF(tblSalaries[[#This Row],[Years of Experience]]&lt;=2,1,""))</f>
        <v>1</v>
      </c>
      <c r="O704" t="str">
        <f>IF(tblSalaries[[#This Row],[Years of Experience]]="","",IF(AND(tblSalaries[[#This Row],[Years of Experience]]&gt;2,tblSalaries[[#This Row],[Years of Experience]]&lt;=5),1,""))</f>
        <v/>
      </c>
      <c r="P704" t="str">
        <f>IF(tblSalaries[[#This Row],[Years of Experience]]="","",IF(AND(tblSalaries[[#This Row],[Years of Experience]]&gt;5,tblSalaries[[#This Row],[Years of Experience]]&lt;=10),1,""))</f>
        <v/>
      </c>
      <c r="Q704" t="str">
        <f>IF(tblSalaries[[#This Row],[Years of Experience]]="","",IF(AND(tblSalaries[[#This Row],[Years of Experience]]&gt;10,tblSalaries[[#This Row],[Years of Experience]]&lt;=15),1,""))</f>
        <v/>
      </c>
      <c r="R704" t="str">
        <f>IF(tblSalaries[[#This Row],[Years of Experience]]="","",IF(AND(tblSalaries[[#This Row],[Years of Experience]]&gt;16,tblSalaries[[#This Row],[Years of Experience]]&lt;=20),1,""))</f>
        <v/>
      </c>
      <c r="S704" t="str">
        <f>IF(tblSalaries[[#This Row],[Years of Experience]]="","",IF(tblSalaries[[#This Row],[Years of Experience]]&gt;20,1,""))</f>
        <v/>
      </c>
      <c r="T7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04" s="13">
        <f>IF(tblSalaries[[#This Row],[Job Type]]=tblSalaries[[#Headers],[Accountant]],tblSalaries[[#This Row],[Salary in USD]],"")</f>
        <v>15000</v>
      </c>
      <c r="V704" s="13" t="str">
        <f>IF(tblSalaries[[#This Row],[Job Type]]=tblSalaries[[#Headers],[Analyst]],tblSalaries[[#This Row],[Salary in USD]],"")</f>
        <v/>
      </c>
      <c r="W704" s="13" t="str">
        <f>IF(tblSalaries[[#This Row],[Job Type]]=tblSalaries[[#Headers],[Consultant]],tblSalaries[[#This Row],[Salary in USD]],"")</f>
        <v/>
      </c>
      <c r="X704" s="13" t="str">
        <f>IF(tblSalaries[[#This Row],[Job Type]]=tblSalaries[[#Headers],[Controller]],tblSalaries[[#This Row],[Salary in USD]],"")</f>
        <v/>
      </c>
      <c r="Y704" s="13" t="str">
        <f>IF(tblSalaries[[#This Row],[Job Type]]=tblSalaries[[#Headers],[CXO or Top Mgmt.]],tblSalaries[[#This Row],[clean Salary (in local currency)]],"")</f>
        <v/>
      </c>
      <c r="Z704" s="13" t="str">
        <f>IF(tblSalaries[[#This Row],[Job Type]]=tblSalaries[[#Headers],[Engineer]],tblSalaries[[#This Row],[Salary in USD]],"")</f>
        <v/>
      </c>
      <c r="AA704" s="13" t="str">
        <f>IF(tblSalaries[[#This Row],[Job Type]]=tblSalaries[[#Headers],[Manager]],tblSalaries[[#This Row],[Salary in USD]],"")</f>
        <v/>
      </c>
      <c r="AB704" s="13" t="str">
        <f>IF(tblSalaries[[#This Row],[Job Type]]=tblSalaries[[#Headers],[Misc.]],tblSalaries[[#This Row],[Salary in USD]],"")</f>
        <v/>
      </c>
      <c r="AC704" s="13" t="str">
        <f>IF(tblSalaries[[#This Row],[Job Type]]=tblSalaries[[#Headers],[Reporting]],tblSalaries[[#This Row],[Salary in USD]],"")</f>
        <v/>
      </c>
      <c r="AD704" s="13" t="str">
        <f>IF(tblSalaries[[#This Row],[Job Type]]=tblSalaries[[#Headers],[Specialist]],tblSalaries[[#This Row],[Salary in USD]],"")</f>
        <v/>
      </c>
    </row>
    <row r="705" spans="2:30" ht="15" customHeight="1" x14ac:dyDescent="0.25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 s="9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  <c r="N705" t="str">
        <f>IF(tblSalaries[[#This Row],[Years of Experience]]="","",IF(tblSalaries[[#This Row],[Years of Experience]]&lt;=2,1,""))</f>
        <v/>
      </c>
      <c r="O705" t="str">
        <f>IF(tblSalaries[[#This Row],[Years of Experience]]="","",IF(AND(tblSalaries[[#This Row],[Years of Experience]]&gt;2,tblSalaries[[#This Row],[Years of Experience]]&lt;=5),1,""))</f>
        <v/>
      </c>
      <c r="P705" t="str">
        <f>IF(tblSalaries[[#This Row],[Years of Experience]]="","",IF(AND(tblSalaries[[#This Row],[Years of Experience]]&gt;5,tblSalaries[[#This Row],[Years of Experience]]&lt;=10),1,""))</f>
        <v/>
      </c>
      <c r="Q705">
        <f>IF(tblSalaries[[#This Row],[Years of Experience]]="","",IF(AND(tblSalaries[[#This Row],[Years of Experience]]&gt;10,tblSalaries[[#This Row],[Years of Experience]]&lt;=15),1,""))</f>
        <v>1</v>
      </c>
      <c r="R705" t="str">
        <f>IF(tblSalaries[[#This Row],[Years of Experience]]="","",IF(AND(tblSalaries[[#This Row],[Years of Experience]]&gt;16,tblSalaries[[#This Row],[Years of Experience]]&lt;=20),1,""))</f>
        <v/>
      </c>
      <c r="S705" t="str">
        <f>IF(tblSalaries[[#This Row],[Years of Experience]]="","",IF(tblSalaries[[#This Row],[Years of Experience]]&gt;20,1,""))</f>
        <v/>
      </c>
      <c r="T7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05" s="13" t="str">
        <f>IF(tblSalaries[[#This Row],[Job Type]]=tblSalaries[[#Headers],[Accountant]],tblSalaries[[#This Row],[Salary in USD]],"")</f>
        <v/>
      </c>
      <c r="V705" s="13">
        <f>IF(tblSalaries[[#This Row],[Job Type]]=tblSalaries[[#Headers],[Analyst]],tblSalaries[[#This Row],[Salary in USD]],"")</f>
        <v>12000</v>
      </c>
      <c r="W705" s="13" t="str">
        <f>IF(tblSalaries[[#This Row],[Job Type]]=tblSalaries[[#Headers],[Consultant]],tblSalaries[[#This Row],[Salary in USD]],"")</f>
        <v/>
      </c>
      <c r="X705" s="13" t="str">
        <f>IF(tblSalaries[[#This Row],[Job Type]]=tblSalaries[[#Headers],[Controller]],tblSalaries[[#This Row],[Salary in USD]],"")</f>
        <v/>
      </c>
      <c r="Y705" s="13" t="str">
        <f>IF(tblSalaries[[#This Row],[Job Type]]=tblSalaries[[#Headers],[CXO or Top Mgmt.]],tblSalaries[[#This Row],[clean Salary (in local currency)]],"")</f>
        <v/>
      </c>
      <c r="Z705" s="13" t="str">
        <f>IF(tblSalaries[[#This Row],[Job Type]]=tblSalaries[[#Headers],[Engineer]],tblSalaries[[#This Row],[Salary in USD]],"")</f>
        <v/>
      </c>
      <c r="AA705" s="13" t="str">
        <f>IF(tblSalaries[[#This Row],[Job Type]]=tblSalaries[[#Headers],[Manager]],tblSalaries[[#This Row],[Salary in USD]],"")</f>
        <v/>
      </c>
      <c r="AB705" s="13" t="str">
        <f>IF(tblSalaries[[#This Row],[Job Type]]=tblSalaries[[#Headers],[Misc.]],tblSalaries[[#This Row],[Salary in USD]],"")</f>
        <v/>
      </c>
      <c r="AC705" s="13" t="str">
        <f>IF(tblSalaries[[#This Row],[Job Type]]=tblSalaries[[#Headers],[Reporting]],tblSalaries[[#This Row],[Salary in USD]],"")</f>
        <v/>
      </c>
      <c r="AD705" s="13" t="str">
        <f>IF(tblSalaries[[#This Row],[Job Type]]=tblSalaries[[#Headers],[Specialist]],tblSalaries[[#This Row],[Salary in USD]],"")</f>
        <v/>
      </c>
    </row>
    <row r="706" spans="2:30" ht="15" customHeight="1" x14ac:dyDescent="0.25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 s="9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3999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  <c r="N706">
        <f>IF(tblSalaries[[#This Row],[Years of Experience]]="","",IF(tblSalaries[[#This Row],[Years of Experience]]&lt;=2,1,""))</f>
        <v>1</v>
      </c>
      <c r="O706" t="str">
        <f>IF(tblSalaries[[#This Row],[Years of Experience]]="","",IF(AND(tblSalaries[[#This Row],[Years of Experience]]&gt;2,tblSalaries[[#This Row],[Years of Experience]]&lt;=5),1,""))</f>
        <v/>
      </c>
      <c r="P706" t="str">
        <f>IF(tblSalaries[[#This Row],[Years of Experience]]="","",IF(AND(tblSalaries[[#This Row],[Years of Experience]]&gt;5,tblSalaries[[#This Row],[Years of Experience]]&lt;=10),1,""))</f>
        <v/>
      </c>
      <c r="Q706" t="str">
        <f>IF(tblSalaries[[#This Row],[Years of Experience]]="","",IF(AND(tblSalaries[[#This Row],[Years of Experience]]&gt;10,tblSalaries[[#This Row],[Years of Experience]]&lt;=15),1,""))</f>
        <v/>
      </c>
      <c r="R706" t="str">
        <f>IF(tblSalaries[[#This Row],[Years of Experience]]="","",IF(AND(tblSalaries[[#This Row],[Years of Experience]]&gt;16,tblSalaries[[#This Row],[Years of Experience]]&lt;=20),1,""))</f>
        <v/>
      </c>
      <c r="S706" t="str">
        <f>IF(tblSalaries[[#This Row],[Years of Experience]]="","",IF(tblSalaries[[#This Row],[Years of Experience]]&gt;20,1,""))</f>
        <v/>
      </c>
      <c r="T7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06" s="13" t="str">
        <f>IF(tblSalaries[[#This Row],[Job Type]]=tblSalaries[[#Headers],[Accountant]],tblSalaries[[#This Row],[Salary in USD]],"")</f>
        <v/>
      </c>
      <c r="V706" s="13" t="str">
        <f>IF(tblSalaries[[#This Row],[Job Type]]=tblSalaries[[#Headers],[Analyst]],tblSalaries[[#This Row],[Salary in USD]],"")</f>
        <v/>
      </c>
      <c r="W706" s="13" t="str">
        <f>IF(tblSalaries[[#This Row],[Job Type]]=tblSalaries[[#Headers],[Consultant]],tblSalaries[[#This Row],[Salary in USD]],"")</f>
        <v/>
      </c>
      <c r="X706" s="13" t="str">
        <f>IF(tblSalaries[[#This Row],[Job Type]]=tblSalaries[[#Headers],[Controller]],tblSalaries[[#This Row],[Salary in USD]],"")</f>
        <v/>
      </c>
      <c r="Y706" s="13" t="str">
        <f>IF(tblSalaries[[#This Row],[Job Type]]=tblSalaries[[#Headers],[CXO or Top Mgmt.]],tblSalaries[[#This Row],[clean Salary (in local currency)]],"")</f>
        <v/>
      </c>
      <c r="Z706" s="13" t="str">
        <f>IF(tblSalaries[[#This Row],[Job Type]]=tblSalaries[[#Headers],[Engineer]],tblSalaries[[#This Row],[Salary in USD]],"")</f>
        <v/>
      </c>
      <c r="AA706" s="13" t="str">
        <f>IF(tblSalaries[[#This Row],[Job Type]]=tblSalaries[[#Headers],[Manager]],tblSalaries[[#This Row],[Salary in USD]],"")</f>
        <v/>
      </c>
      <c r="AB706" s="13" t="str">
        <f>IF(tblSalaries[[#This Row],[Job Type]]=tblSalaries[[#Headers],[Misc.]],tblSalaries[[#This Row],[Salary in USD]],"")</f>
        <v/>
      </c>
      <c r="AC706" s="13">
        <f>IF(tblSalaries[[#This Row],[Job Type]]=tblSalaries[[#Headers],[Reporting]],tblSalaries[[#This Row],[Salary in USD]],"")</f>
        <v>8903.9583437212841</v>
      </c>
      <c r="AD706" s="13" t="str">
        <f>IF(tblSalaries[[#This Row],[Job Type]]=tblSalaries[[#Headers],[Specialist]],tblSalaries[[#This Row],[Salary in USD]],"")</f>
        <v/>
      </c>
    </row>
    <row r="707" spans="2:30" ht="15" customHeight="1" x14ac:dyDescent="0.25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 s="9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  <c r="N707">
        <f>IF(tblSalaries[[#This Row],[Years of Experience]]="","",IF(tblSalaries[[#This Row],[Years of Experience]]&lt;=2,1,""))</f>
        <v>1</v>
      </c>
      <c r="O707" t="str">
        <f>IF(tblSalaries[[#This Row],[Years of Experience]]="","",IF(AND(tblSalaries[[#This Row],[Years of Experience]]&gt;2,tblSalaries[[#This Row],[Years of Experience]]&lt;=5),1,""))</f>
        <v/>
      </c>
      <c r="P707" t="str">
        <f>IF(tblSalaries[[#This Row],[Years of Experience]]="","",IF(AND(tblSalaries[[#This Row],[Years of Experience]]&gt;5,tblSalaries[[#This Row],[Years of Experience]]&lt;=10),1,""))</f>
        <v/>
      </c>
      <c r="Q707" t="str">
        <f>IF(tblSalaries[[#This Row],[Years of Experience]]="","",IF(AND(tblSalaries[[#This Row],[Years of Experience]]&gt;10,tblSalaries[[#This Row],[Years of Experience]]&lt;=15),1,""))</f>
        <v/>
      </c>
      <c r="R707" t="str">
        <f>IF(tblSalaries[[#This Row],[Years of Experience]]="","",IF(AND(tblSalaries[[#This Row],[Years of Experience]]&gt;16,tblSalaries[[#This Row],[Years of Experience]]&lt;=20),1,""))</f>
        <v/>
      </c>
      <c r="S707" t="str">
        <f>IF(tblSalaries[[#This Row],[Years of Experience]]="","",IF(tblSalaries[[#This Row],[Years of Experience]]&gt;20,1,""))</f>
        <v/>
      </c>
      <c r="T7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07" s="13" t="str">
        <f>IF(tblSalaries[[#This Row],[Job Type]]=tblSalaries[[#Headers],[Accountant]],tblSalaries[[#This Row],[Salary in USD]],"")</f>
        <v/>
      </c>
      <c r="V707" s="13" t="str">
        <f>IF(tblSalaries[[#This Row],[Job Type]]=tblSalaries[[#Headers],[Analyst]],tblSalaries[[#This Row],[Salary in USD]],"")</f>
        <v/>
      </c>
      <c r="W707" s="13" t="str">
        <f>IF(tblSalaries[[#This Row],[Job Type]]=tblSalaries[[#Headers],[Consultant]],tblSalaries[[#This Row],[Salary in USD]],"")</f>
        <v/>
      </c>
      <c r="X707" s="13" t="str">
        <f>IF(tblSalaries[[#This Row],[Job Type]]=tblSalaries[[#Headers],[Controller]],tblSalaries[[#This Row],[Salary in USD]],"")</f>
        <v/>
      </c>
      <c r="Y707" s="13" t="str">
        <f>IF(tblSalaries[[#This Row],[Job Type]]=tblSalaries[[#Headers],[CXO or Top Mgmt.]],tblSalaries[[#This Row],[clean Salary (in local currency)]],"")</f>
        <v/>
      </c>
      <c r="Z707" s="13">
        <f>IF(tblSalaries[[#This Row],[Job Type]]=tblSalaries[[#Headers],[Engineer]],tblSalaries[[#This Row],[Salary in USD]],"")</f>
        <v>8903.9583437212841</v>
      </c>
      <c r="AA707" s="13" t="str">
        <f>IF(tblSalaries[[#This Row],[Job Type]]=tblSalaries[[#Headers],[Manager]],tblSalaries[[#This Row],[Salary in USD]],"")</f>
        <v/>
      </c>
      <c r="AB707" s="13" t="str">
        <f>IF(tblSalaries[[#This Row],[Job Type]]=tblSalaries[[#Headers],[Misc.]],tblSalaries[[#This Row],[Salary in USD]],"")</f>
        <v/>
      </c>
      <c r="AC707" s="13" t="str">
        <f>IF(tblSalaries[[#This Row],[Job Type]]=tblSalaries[[#Headers],[Reporting]],tblSalaries[[#This Row],[Salary in USD]],"")</f>
        <v/>
      </c>
      <c r="AD707" s="13" t="str">
        <f>IF(tblSalaries[[#This Row],[Job Type]]=tblSalaries[[#Headers],[Specialist]],tblSalaries[[#This Row],[Salary in USD]],"")</f>
        <v/>
      </c>
    </row>
    <row r="708" spans="2:30" ht="15" customHeight="1" x14ac:dyDescent="0.25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 s="9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  <c r="N708" t="str">
        <f>IF(tblSalaries[[#This Row],[Years of Experience]]="","",IF(tblSalaries[[#This Row],[Years of Experience]]&lt;=2,1,""))</f>
        <v/>
      </c>
      <c r="O708" t="str">
        <f>IF(tblSalaries[[#This Row],[Years of Experience]]="","",IF(AND(tblSalaries[[#This Row],[Years of Experience]]&gt;2,tblSalaries[[#This Row],[Years of Experience]]&lt;=5),1,""))</f>
        <v/>
      </c>
      <c r="P708">
        <f>IF(tblSalaries[[#This Row],[Years of Experience]]="","",IF(AND(tblSalaries[[#This Row],[Years of Experience]]&gt;5,tblSalaries[[#This Row],[Years of Experience]]&lt;=10),1,""))</f>
        <v>1</v>
      </c>
      <c r="Q708" t="str">
        <f>IF(tblSalaries[[#This Row],[Years of Experience]]="","",IF(AND(tblSalaries[[#This Row],[Years of Experience]]&gt;10,tblSalaries[[#This Row],[Years of Experience]]&lt;=15),1,""))</f>
        <v/>
      </c>
      <c r="R708" t="str">
        <f>IF(tblSalaries[[#This Row],[Years of Experience]]="","",IF(AND(tblSalaries[[#This Row],[Years of Experience]]&gt;16,tblSalaries[[#This Row],[Years of Experience]]&lt;=20),1,""))</f>
        <v/>
      </c>
      <c r="S708" t="str">
        <f>IF(tblSalaries[[#This Row],[Years of Experience]]="","",IF(tblSalaries[[#This Row],[Years of Experience]]&gt;20,1,""))</f>
        <v/>
      </c>
      <c r="T7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08" s="13" t="str">
        <f>IF(tblSalaries[[#This Row],[Job Type]]=tblSalaries[[#Headers],[Accountant]],tblSalaries[[#This Row],[Salary in USD]],"")</f>
        <v/>
      </c>
      <c r="V708" s="13" t="str">
        <f>IF(tblSalaries[[#This Row],[Job Type]]=tblSalaries[[#Headers],[Analyst]],tblSalaries[[#This Row],[Salary in USD]],"")</f>
        <v/>
      </c>
      <c r="W708" s="13" t="str">
        <f>IF(tblSalaries[[#This Row],[Job Type]]=tblSalaries[[#Headers],[Consultant]],tblSalaries[[#This Row],[Salary in USD]],"")</f>
        <v/>
      </c>
      <c r="X708" s="13" t="str">
        <f>IF(tblSalaries[[#This Row],[Job Type]]=tblSalaries[[#Headers],[Controller]],tblSalaries[[#This Row],[Salary in USD]],"")</f>
        <v/>
      </c>
      <c r="Y708" s="13" t="str">
        <f>IF(tblSalaries[[#This Row],[Job Type]]=tblSalaries[[#Headers],[CXO or Top Mgmt.]],tblSalaries[[#This Row],[clean Salary (in local currency)]],"")</f>
        <v/>
      </c>
      <c r="Z708" s="13" t="str">
        <f>IF(tblSalaries[[#This Row],[Job Type]]=tblSalaries[[#Headers],[Engineer]],tblSalaries[[#This Row],[Salary in USD]],"")</f>
        <v/>
      </c>
      <c r="AA708" s="13">
        <f>IF(tblSalaries[[#This Row],[Job Type]]=tblSalaries[[#Headers],[Manager]],tblSalaries[[#This Row],[Salary in USD]],"")</f>
        <v>12821.700014958649</v>
      </c>
      <c r="AB708" s="13" t="str">
        <f>IF(tblSalaries[[#This Row],[Job Type]]=tblSalaries[[#Headers],[Misc.]],tblSalaries[[#This Row],[Salary in USD]],"")</f>
        <v/>
      </c>
      <c r="AC708" s="13" t="str">
        <f>IF(tblSalaries[[#This Row],[Job Type]]=tblSalaries[[#Headers],[Reporting]],tblSalaries[[#This Row],[Salary in USD]],"")</f>
        <v/>
      </c>
      <c r="AD708" s="13" t="str">
        <f>IF(tblSalaries[[#This Row],[Job Type]]=tblSalaries[[#Headers],[Specialist]],tblSalaries[[#This Row],[Salary in USD]],"")</f>
        <v/>
      </c>
    </row>
    <row r="709" spans="2:30" ht="15" customHeight="1" x14ac:dyDescent="0.25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 s="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  <c r="N709" t="str">
        <f>IF(tblSalaries[[#This Row],[Years of Experience]]="","",IF(tblSalaries[[#This Row],[Years of Experience]]&lt;=2,1,""))</f>
        <v/>
      </c>
      <c r="O709" t="str">
        <f>IF(tblSalaries[[#This Row],[Years of Experience]]="","",IF(AND(tblSalaries[[#This Row],[Years of Experience]]&gt;2,tblSalaries[[#This Row],[Years of Experience]]&lt;=5),1,""))</f>
        <v/>
      </c>
      <c r="P709">
        <f>IF(tblSalaries[[#This Row],[Years of Experience]]="","",IF(AND(tblSalaries[[#This Row],[Years of Experience]]&gt;5,tblSalaries[[#This Row],[Years of Experience]]&lt;=10),1,""))</f>
        <v>1</v>
      </c>
      <c r="Q709" t="str">
        <f>IF(tblSalaries[[#This Row],[Years of Experience]]="","",IF(AND(tblSalaries[[#This Row],[Years of Experience]]&gt;10,tblSalaries[[#This Row],[Years of Experience]]&lt;=15),1,""))</f>
        <v/>
      </c>
      <c r="R709" t="str">
        <f>IF(tblSalaries[[#This Row],[Years of Experience]]="","",IF(AND(tblSalaries[[#This Row],[Years of Experience]]&gt;16,tblSalaries[[#This Row],[Years of Experience]]&lt;=20),1,""))</f>
        <v/>
      </c>
      <c r="S709" t="str">
        <f>IF(tblSalaries[[#This Row],[Years of Experience]]="","",IF(tblSalaries[[#This Row],[Years of Experience]]&gt;20,1,""))</f>
        <v/>
      </c>
      <c r="T7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09" s="13" t="str">
        <f>IF(tblSalaries[[#This Row],[Job Type]]=tblSalaries[[#Headers],[Accountant]],tblSalaries[[#This Row],[Salary in USD]],"")</f>
        <v/>
      </c>
      <c r="V709" s="13" t="str">
        <f>IF(tblSalaries[[#This Row],[Job Type]]=tblSalaries[[#Headers],[Analyst]],tblSalaries[[#This Row],[Salary in USD]],"")</f>
        <v/>
      </c>
      <c r="W709" s="13" t="str">
        <f>IF(tblSalaries[[#This Row],[Job Type]]=tblSalaries[[#Headers],[Consultant]],tblSalaries[[#This Row],[Salary in USD]],"")</f>
        <v/>
      </c>
      <c r="X709" s="13" t="str">
        <f>IF(tblSalaries[[#This Row],[Job Type]]=tblSalaries[[#Headers],[Controller]],tblSalaries[[#This Row],[Salary in USD]],"")</f>
        <v/>
      </c>
      <c r="Y709" s="13" t="str">
        <f>IF(tblSalaries[[#This Row],[Job Type]]=tblSalaries[[#Headers],[CXO or Top Mgmt.]],tblSalaries[[#This Row],[clean Salary (in local currency)]],"")</f>
        <v/>
      </c>
      <c r="Z709" s="13" t="str">
        <f>IF(tblSalaries[[#This Row],[Job Type]]=tblSalaries[[#Headers],[Engineer]],tblSalaries[[#This Row],[Salary in USD]],"")</f>
        <v/>
      </c>
      <c r="AA709" s="13">
        <f>IF(tblSalaries[[#This Row],[Job Type]]=tblSalaries[[#Headers],[Manager]],tblSalaries[[#This Row],[Salary in USD]],"")</f>
        <v>3205.4250037396623</v>
      </c>
      <c r="AB709" s="13" t="str">
        <f>IF(tblSalaries[[#This Row],[Job Type]]=tblSalaries[[#Headers],[Misc.]],tblSalaries[[#This Row],[Salary in USD]],"")</f>
        <v/>
      </c>
      <c r="AC709" s="13" t="str">
        <f>IF(tblSalaries[[#This Row],[Job Type]]=tblSalaries[[#Headers],[Reporting]],tblSalaries[[#This Row],[Salary in USD]],"")</f>
        <v/>
      </c>
      <c r="AD709" s="13" t="str">
        <f>IF(tblSalaries[[#This Row],[Job Type]]=tblSalaries[[#Headers],[Specialist]],tblSalaries[[#This Row],[Salary in USD]],"")</f>
        <v/>
      </c>
    </row>
    <row r="710" spans="2:30" ht="15" customHeight="1" x14ac:dyDescent="0.25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 s="9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  <c r="N710" t="str">
        <f>IF(tblSalaries[[#This Row],[Years of Experience]]="","",IF(tblSalaries[[#This Row],[Years of Experience]]&lt;=2,1,""))</f>
        <v/>
      </c>
      <c r="O710" t="str">
        <f>IF(tblSalaries[[#This Row],[Years of Experience]]="","",IF(AND(tblSalaries[[#This Row],[Years of Experience]]&gt;2,tblSalaries[[#This Row],[Years of Experience]]&lt;=5),1,""))</f>
        <v/>
      </c>
      <c r="P710">
        <f>IF(tblSalaries[[#This Row],[Years of Experience]]="","",IF(AND(tblSalaries[[#This Row],[Years of Experience]]&gt;5,tblSalaries[[#This Row],[Years of Experience]]&lt;=10),1,""))</f>
        <v>1</v>
      </c>
      <c r="Q710" t="str">
        <f>IF(tblSalaries[[#This Row],[Years of Experience]]="","",IF(AND(tblSalaries[[#This Row],[Years of Experience]]&gt;10,tblSalaries[[#This Row],[Years of Experience]]&lt;=15),1,""))</f>
        <v/>
      </c>
      <c r="R710" t="str">
        <f>IF(tblSalaries[[#This Row],[Years of Experience]]="","",IF(AND(tblSalaries[[#This Row],[Years of Experience]]&gt;16,tblSalaries[[#This Row],[Years of Experience]]&lt;=20),1,""))</f>
        <v/>
      </c>
      <c r="S710" t="str">
        <f>IF(tblSalaries[[#This Row],[Years of Experience]]="","",IF(tblSalaries[[#This Row],[Years of Experience]]&gt;20,1,""))</f>
        <v/>
      </c>
      <c r="T7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10" s="13" t="str">
        <f>IF(tblSalaries[[#This Row],[Job Type]]=tblSalaries[[#Headers],[Accountant]],tblSalaries[[#This Row],[Salary in USD]],"")</f>
        <v/>
      </c>
      <c r="V710" s="13" t="str">
        <f>IF(tblSalaries[[#This Row],[Job Type]]=tblSalaries[[#Headers],[Analyst]],tblSalaries[[#This Row],[Salary in USD]],"")</f>
        <v/>
      </c>
      <c r="W710" s="13" t="str">
        <f>IF(tblSalaries[[#This Row],[Job Type]]=tblSalaries[[#Headers],[Consultant]],tblSalaries[[#This Row],[Salary in USD]],"")</f>
        <v/>
      </c>
      <c r="X710" s="13" t="str">
        <f>IF(tblSalaries[[#This Row],[Job Type]]=tblSalaries[[#Headers],[Controller]],tblSalaries[[#This Row],[Salary in USD]],"")</f>
        <v/>
      </c>
      <c r="Y710" s="13" t="str">
        <f>IF(tblSalaries[[#This Row],[Job Type]]=tblSalaries[[#Headers],[CXO or Top Mgmt.]],tblSalaries[[#This Row],[clean Salary (in local currency)]],"")</f>
        <v/>
      </c>
      <c r="Z710" s="13" t="str">
        <f>IF(tblSalaries[[#This Row],[Job Type]]=tblSalaries[[#Headers],[Engineer]],tblSalaries[[#This Row],[Salary in USD]],"")</f>
        <v/>
      </c>
      <c r="AA710" s="13">
        <f>IF(tblSalaries[[#This Row],[Job Type]]=tblSalaries[[#Headers],[Manager]],tblSalaries[[#This Row],[Salary in USD]],"")</f>
        <v>6677.9687577909626</v>
      </c>
      <c r="AB710" s="13" t="str">
        <f>IF(tblSalaries[[#This Row],[Job Type]]=tblSalaries[[#Headers],[Misc.]],tblSalaries[[#This Row],[Salary in USD]],"")</f>
        <v/>
      </c>
      <c r="AC710" s="13" t="str">
        <f>IF(tblSalaries[[#This Row],[Job Type]]=tblSalaries[[#Headers],[Reporting]],tblSalaries[[#This Row],[Salary in USD]],"")</f>
        <v/>
      </c>
      <c r="AD710" s="13" t="str">
        <f>IF(tblSalaries[[#This Row],[Job Type]]=tblSalaries[[#Headers],[Specialist]],tblSalaries[[#This Row],[Salary in USD]],"")</f>
        <v/>
      </c>
    </row>
    <row r="711" spans="2:30" ht="15" customHeight="1" x14ac:dyDescent="0.25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 s="9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  <c r="N711" t="str">
        <f>IF(tblSalaries[[#This Row],[Years of Experience]]="","",IF(tblSalaries[[#This Row],[Years of Experience]]&lt;=2,1,""))</f>
        <v/>
      </c>
      <c r="O711" t="str">
        <f>IF(tblSalaries[[#This Row],[Years of Experience]]="","",IF(AND(tblSalaries[[#This Row],[Years of Experience]]&gt;2,tblSalaries[[#This Row],[Years of Experience]]&lt;=5),1,""))</f>
        <v/>
      </c>
      <c r="P711" t="str">
        <f>IF(tblSalaries[[#This Row],[Years of Experience]]="","",IF(AND(tblSalaries[[#This Row],[Years of Experience]]&gt;5,tblSalaries[[#This Row],[Years of Experience]]&lt;=10),1,""))</f>
        <v/>
      </c>
      <c r="Q711">
        <f>IF(tblSalaries[[#This Row],[Years of Experience]]="","",IF(AND(tblSalaries[[#This Row],[Years of Experience]]&gt;10,tblSalaries[[#This Row],[Years of Experience]]&lt;=15),1,""))</f>
        <v>1</v>
      </c>
      <c r="R711" t="str">
        <f>IF(tblSalaries[[#This Row],[Years of Experience]]="","",IF(AND(tblSalaries[[#This Row],[Years of Experience]]&gt;16,tblSalaries[[#This Row],[Years of Experience]]&lt;=20),1,""))</f>
        <v/>
      </c>
      <c r="S711" t="str">
        <f>IF(tblSalaries[[#This Row],[Years of Experience]]="","",IF(tblSalaries[[#This Row],[Years of Experience]]&gt;20,1,""))</f>
        <v/>
      </c>
      <c r="T7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11" s="13" t="str">
        <f>IF(tblSalaries[[#This Row],[Job Type]]=tblSalaries[[#Headers],[Accountant]],tblSalaries[[#This Row],[Salary in USD]],"")</f>
        <v/>
      </c>
      <c r="V711" s="13" t="str">
        <f>IF(tblSalaries[[#This Row],[Job Type]]=tblSalaries[[#Headers],[Analyst]],tblSalaries[[#This Row],[Salary in USD]],"")</f>
        <v/>
      </c>
      <c r="W711" s="13" t="str">
        <f>IF(tblSalaries[[#This Row],[Job Type]]=tblSalaries[[#Headers],[Consultant]],tblSalaries[[#This Row],[Salary in USD]],"")</f>
        <v/>
      </c>
      <c r="X711" s="13" t="str">
        <f>IF(tblSalaries[[#This Row],[Job Type]]=tblSalaries[[#Headers],[Controller]],tblSalaries[[#This Row],[Salary in USD]],"")</f>
        <v/>
      </c>
      <c r="Y711" s="13" t="str">
        <f>IF(tblSalaries[[#This Row],[Job Type]]=tblSalaries[[#Headers],[CXO or Top Mgmt.]],tblSalaries[[#This Row],[clean Salary (in local currency)]],"")</f>
        <v/>
      </c>
      <c r="Z711" s="13" t="str">
        <f>IF(tblSalaries[[#This Row],[Job Type]]=tblSalaries[[#Headers],[Engineer]],tblSalaries[[#This Row],[Salary in USD]],"")</f>
        <v/>
      </c>
      <c r="AA711" s="13">
        <f>IF(tblSalaries[[#This Row],[Job Type]]=tblSalaries[[#Headers],[Manager]],tblSalaries[[#This Row],[Salary in USD]],"")</f>
        <v>67794.987956419791</v>
      </c>
      <c r="AB711" s="13" t="str">
        <f>IF(tblSalaries[[#This Row],[Job Type]]=tblSalaries[[#Headers],[Misc.]],tblSalaries[[#This Row],[Salary in USD]],"")</f>
        <v/>
      </c>
      <c r="AC711" s="13" t="str">
        <f>IF(tblSalaries[[#This Row],[Job Type]]=tblSalaries[[#Headers],[Reporting]],tblSalaries[[#This Row],[Salary in USD]],"")</f>
        <v/>
      </c>
      <c r="AD711" s="13" t="str">
        <f>IF(tblSalaries[[#This Row],[Job Type]]=tblSalaries[[#Headers],[Specialist]],tblSalaries[[#This Row],[Salary in USD]],"")</f>
        <v/>
      </c>
    </row>
    <row r="712" spans="2:30" ht="15" customHeight="1" x14ac:dyDescent="0.25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 s="9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  <c r="N712" t="str">
        <f>IF(tblSalaries[[#This Row],[Years of Experience]]="","",IF(tblSalaries[[#This Row],[Years of Experience]]&lt;=2,1,""))</f>
        <v/>
      </c>
      <c r="O712" t="str">
        <f>IF(tblSalaries[[#This Row],[Years of Experience]]="","",IF(AND(tblSalaries[[#This Row],[Years of Experience]]&gt;2,tblSalaries[[#This Row],[Years of Experience]]&lt;=5),1,""))</f>
        <v/>
      </c>
      <c r="P712">
        <f>IF(tblSalaries[[#This Row],[Years of Experience]]="","",IF(AND(tblSalaries[[#This Row],[Years of Experience]]&gt;5,tblSalaries[[#This Row],[Years of Experience]]&lt;=10),1,""))</f>
        <v>1</v>
      </c>
      <c r="Q712" t="str">
        <f>IF(tblSalaries[[#This Row],[Years of Experience]]="","",IF(AND(tblSalaries[[#This Row],[Years of Experience]]&gt;10,tblSalaries[[#This Row],[Years of Experience]]&lt;=15),1,""))</f>
        <v/>
      </c>
      <c r="R712" t="str">
        <f>IF(tblSalaries[[#This Row],[Years of Experience]]="","",IF(AND(tblSalaries[[#This Row],[Years of Experience]]&gt;16,tblSalaries[[#This Row],[Years of Experience]]&lt;=20),1,""))</f>
        <v/>
      </c>
      <c r="S712" t="str">
        <f>IF(tblSalaries[[#This Row],[Years of Experience]]="","",IF(tblSalaries[[#This Row],[Years of Experience]]&gt;20,1,""))</f>
        <v/>
      </c>
      <c r="T7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12" s="13" t="str">
        <f>IF(tblSalaries[[#This Row],[Job Type]]=tblSalaries[[#Headers],[Accountant]],tblSalaries[[#This Row],[Salary in USD]],"")</f>
        <v/>
      </c>
      <c r="V712" s="13" t="str">
        <f>IF(tblSalaries[[#This Row],[Job Type]]=tblSalaries[[#Headers],[Analyst]],tblSalaries[[#This Row],[Salary in USD]],"")</f>
        <v/>
      </c>
      <c r="W712" s="13" t="str">
        <f>IF(tblSalaries[[#This Row],[Job Type]]=tblSalaries[[#Headers],[Consultant]],tblSalaries[[#This Row],[Salary in USD]],"")</f>
        <v/>
      </c>
      <c r="X712" s="13" t="str">
        <f>IF(tblSalaries[[#This Row],[Job Type]]=tblSalaries[[#Headers],[Controller]],tblSalaries[[#This Row],[Salary in USD]],"")</f>
        <v/>
      </c>
      <c r="Y712" s="13" t="str">
        <f>IF(tblSalaries[[#This Row],[Job Type]]=tblSalaries[[#Headers],[CXO or Top Mgmt.]],tblSalaries[[#This Row],[clean Salary (in local currency)]],"")</f>
        <v/>
      </c>
      <c r="Z712" s="13" t="str">
        <f>IF(tblSalaries[[#This Row],[Job Type]]=tblSalaries[[#Headers],[Engineer]],tblSalaries[[#This Row],[Salary in USD]],"")</f>
        <v/>
      </c>
      <c r="AA712" s="13">
        <f>IF(tblSalaries[[#This Row],[Job Type]]=tblSalaries[[#Headers],[Manager]],tblSalaries[[#This Row],[Salary in USD]],"")</f>
        <v>31250</v>
      </c>
      <c r="AB712" s="13" t="str">
        <f>IF(tblSalaries[[#This Row],[Job Type]]=tblSalaries[[#Headers],[Misc.]],tblSalaries[[#This Row],[Salary in USD]],"")</f>
        <v/>
      </c>
      <c r="AC712" s="13" t="str">
        <f>IF(tblSalaries[[#This Row],[Job Type]]=tblSalaries[[#Headers],[Reporting]],tblSalaries[[#This Row],[Salary in USD]],"")</f>
        <v/>
      </c>
      <c r="AD712" s="13" t="str">
        <f>IF(tblSalaries[[#This Row],[Job Type]]=tblSalaries[[#Headers],[Specialist]],tblSalaries[[#This Row],[Salary in USD]],"")</f>
        <v/>
      </c>
    </row>
    <row r="713" spans="2:30" ht="15" customHeight="1" x14ac:dyDescent="0.25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 s="9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  <c r="N713">
        <f>IF(tblSalaries[[#This Row],[Years of Experience]]="","",IF(tblSalaries[[#This Row],[Years of Experience]]&lt;=2,1,""))</f>
        <v>1</v>
      </c>
      <c r="O713" t="str">
        <f>IF(tblSalaries[[#This Row],[Years of Experience]]="","",IF(AND(tblSalaries[[#This Row],[Years of Experience]]&gt;2,tblSalaries[[#This Row],[Years of Experience]]&lt;=5),1,""))</f>
        <v/>
      </c>
      <c r="P713" t="str">
        <f>IF(tblSalaries[[#This Row],[Years of Experience]]="","",IF(AND(tblSalaries[[#This Row],[Years of Experience]]&gt;5,tblSalaries[[#This Row],[Years of Experience]]&lt;=10),1,""))</f>
        <v/>
      </c>
      <c r="Q713" t="str">
        <f>IF(tblSalaries[[#This Row],[Years of Experience]]="","",IF(AND(tblSalaries[[#This Row],[Years of Experience]]&gt;10,tblSalaries[[#This Row],[Years of Experience]]&lt;=15),1,""))</f>
        <v/>
      </c>
      <c r="R713" t="str">
        <f>IF(tblSalaries[[#This Row],[Years of Experience]]="","",IF(AND(tblSalaries[[#This Row],[Years of Experience]]&gt;16,tblSalaries[[#This Row],[Years of Experience]]&lt;=20),1,""))</f>
        <v/>
      </c>
      <c r="S713" t="str">
        <f>IF(tblSalaries[[#This Row],[Years of Experience]]="","",IF(tblSalaries[[#This Row],[Years of Experience]]&gt;20,1,""))</f>
        <v/>
      </c>
      <c r="T7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13" s="13" t="str">
        <f>IF(tblSalaries[[#This Row],[Job Type]]=tblSalaries[[#Headers],[Accountant]],tblSalaries[[#This Row],[Salary in USD]],"")</f>
        <v/>
      </c>
      <c r="V713" s="13" t="str">
        <f>IF(tblSalaries[[#This Row],[Job Type]]=tblSalaries[[#Headers],[Analyst]],tblSalaries[[#This Row],[Salary in USD]],"")</f>
        <v/>
      </c>
      <c r="W713" s="13" t="str">
        <f>IF(tblSalaries[[#This Row],[Job Type]]=tblSalaries[[#Headers],[Consultant]],tblSalaries[[#This Row],[Salary in USD]],"")</f>
        <v/>
      </c>
      <c r="X713" s="13" t="str">
        <f>IF(tblSalaries[[#This Row],[Job Type]]=tblSalaries[[#Headers],[Controller]],tblSalaries[[#This Row],[Salary in USD]],"")</f>
        <v/>
      </c>
      <c r="Y713" s="13" t="str">
        <f>IF(tblSalaries[[#This Row],[Job Type]]=tblSalaries[[#Headers],[CXO or Top Mgmt.]],tblSalaries[[#This Row],[clean Salary (in local currency)]],"")</f>
        <v/>
      </c>
      <c r="Z713" s="13" t="str">
        <f>IF(tblSalaries[[#This Row],[Job Type]]=tblSalaries[[#Headers],[Engineer]],tblSalaries[[#This Row],[Salary in USD]],"")</f>
        <v/>
      </c>
      <c r="AA713" s="13">
        <f>IF(tblSalaries[[#This Row],[Job Type]]=tblSalaries[[#Headers],[Manager]],tblSalaries[[#This Row],[Salary in USD]],"")</f>
        <v>2165.2740982270229</v>
      </c>
      <c r="AB713" s="13" t="str">
        <f>IF(tblSalaries[[#This Row],[Job Type]]=tblSalaries[[#Headers],[Misc.]],tblSalaries[[#This Row],[Salary in USD]],"")</f>
        <v/>
      </c>
      <c r="AC713" s="13" t="str">
        <f>IF(tblSalaries[[#This Row],[Job Type]]=tblSalaries[[#Headers],[Reporting]],tblSalaries[[#This Row],[Salary in USD]],"")</f>
        <v/>
      </c>
      <c r="AD713" s="13" t="str">
        <f>IF(tblSalaries[[#This Row],[Job Type]]=tblSalaries[[#Headers],[Specialist]],tblSalaries[[#This Row],[Salary in USD]],"")</f>
        <v/>
      </c>
    </row>
    <row r="714" spans="2:30" ht="15" customHeight="1" x14ac:dyDescent="0.25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 s="9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3999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  <c r="N714" t="str">
        <f>IF(tblSalaries[[#This Row],[Years of Experience]]="","",IF(tblSalaries[[#This Row],[Years of Experience]]&lt;=2,1,""))</f>
        <v/>
      </c>
      <c r="O714">
        <f>IF(tblSalaries[[#This Row],[Years of Experience]]="","",IF(AND(tblSalaries[[#This Row],[Years of Experience]]&gt;2,tblSalaries[[#This Row],[Years of Experience]]&lt;=5),1,""))</f>
        <v>1</v>
      </c>
      <c r="P714" t="str">
        <f>IF(tblSalaries[[#This Row],[Years of Experience]]="","",IF(AND(tblSalaries[[#This Row],[Years of Experience]]&gt;5,tblSalaries[[#This Row],[Years of Experience]]&lt;=10),1,""))</f>
        <v/>
      </c>
      <c r="Q714" t="str">
        <f>IF(tblSalaries[[#This Row],[Years of Experience]]="","",IF(AND(tblSalaries[[#This Row],[Years of Experience]]&gt;10,tblSalaries[[#This Row],[Years of Experience]]&lt;=15),1,""))</f>
        <v/>
      </c>
      <c r="R714" t="str">
        <f>IF(tblSalaries[[#This Row],[Years of Experience]]="","",IF(AND(tblSalaries[[#This Row],[Years of Experience]]&gt;16,tblSalaries[[#This Row],[Years of Experience]]&lt;=20),1,""))</f>
        <v/>
      </c>
      <c r="S714" t="str">
        <f>IF(tblSalaries[[#This Row],[Years of Experience]]="","",IF(tblSalaries[[#This Row],[Years of Experience]]&gt;20,1,""))</f>
        <v/>
      </c>
      <c r="T7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14" s="13" t="str">
        <f>IF(tblSalaries[[#This Row],[Job Type]]=tblSalaries[[#Headers],[Accountant]],tblSalaries[[#This Row],[Salary in USD]],"")</f>
        <v/>
      </c>
      <c r="V714" s="13" t="str">
        <f>IF(tblSalaries[[#This Row],[Job Type]]=tblSalaries[[#Headers],[Analyst]],tblSalaries[[#This Row],[Salary in USD]],"")</f>
        <v/>
      </c>
      <c r="W714" s="13" t="str">
        <f>IF(tblSalaries[[#This Row],[Job Type]]=tblSalaries[[#Headers],[Consultant]],tblSalaries[[#This Row],[Salary in USD]],"")</f>
        <v/>
      </c>
      <c r="X714" s="13" t="str">
        <f>IF(tblSalaries[[#This Row],[Job Type]]=tblSalaries[[#Headers],[Controller]],tblSalaries[[#This Row],[Salary in USD]],"")</f>
        <v/>
      </c>
      <c r="Y714" s="13" t="str">
        <f>IF(tblSalaries[[#This Row],[Job Type]]=tblSalaries[[#Headers],[CXO or Top Mgmt.]],tblSalaries[[#This Row],[clean Salary (in local currency)]],"")</f>
        <v/>
      </c>
      <c r="Z714" s="13" t="str">
        <f>IF(tblSalaries[[#This Row],[Job Type]]=tblSalaries[[#Headers],[Engineer]],tblSalaries[[#This Row],[Salary in USD]],"")</f>
        <v/>
      </c>
      <c r="AA714" s="13" t="str">
        <f>IF(tblSalaries[[#This Row],[Job Type]]=tblSalaries[[#Headers],[Manager]],tblSalaries[[#This Row],[Salary in USD]],"")</f>
        <v/>
      </c>
      <c r="AB714" s="13" t="str">
        <f>IF(tblSalaries[[#This Row],[Job Type]]=tblSalaries[[#Headers],[Misc.]],tblSalaries[[#This Row],[Salary in USD]],"")</f>
        <v/>
      </c>
      <c r="AC714" s="13">
        <f>IF(tblSalaries[[#This Row],[Job Type]]=tblSalaries[[#Headers],[Reporting]],tblSalaries[[#This Row],[Salary in USD]],"")</f>
        <v>7123.1666749770275</v>
      </c>
      <c r="AD714" s="13" t="str">
        <f>IF(tblSalaries[[#This Row],[Job Type]]=tblSalaries[[#Headers],[Specialist]],tblSalaries[[#This Row],[Salary in USD]],"")</f>
        <v/>
      </c>
    </row>
    <row r="715" spans="2:30" ht="15" customHeight="1" x14ac:dyDescent="0.25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 s="9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  <c r="N715" t="str">
        <f>IF(tblSalaries[[#This Row],[Years of Experience]]="","",IF(tblSalaries[[#This Row],[Years of Experience]]&lt;=2,1,""))</f>
        <v/>
      </c>
      <c r="O715">
        <f>IF(tblSalaries[[#This Row],[Years of Experience]]="","",IF(AND(tblSalaries[[#This Row],[Years of Experience]]&gt;2,tblSalaries[[#This Row],[Years of Experience]]&lt;=5),1,""))</f>
        <v>1</v>
      </c>
      <c r="P715" t="str">
        <f>IF(tblSalaries[[#This Row],[Years of Experience]]="","",IF(AND(tblSalaries[[#This Row],[Years of Experience]]&gt;5,tblSalaries[[#This Row],[Years of Experience]]&lt;=10),1,""))</f>
        <v/>
      </c>
      <c r="Q715" t="str">
        <f>IF(tblSalaries[[#This Row],[Years of Experience]]="","",IF(AND(tblSalaries[[#This Row],[Years of Experience]]&gt;10,tblSalaries[[#This Row],[Years of Experience]]&lt;=15),1,""))</f>
        <v/>
      </c>
      <c r="R715" t="str">
        <f>IF(tblSalaries[[#This Row],[Years of Experience]]="","",IF(AND(tblSalaries[[#This Row],[Years of Experience]]&gt;16,tblSalaries[[#This Row],[Years of Experience]]&lt;=20),1,""))</f>
        <v/>
      </c>
      <c r="S715" t="str">
        <f>IF(tblSalaries[[#This Row],[Years of Experience]]="","",IF(tblSalaries[[#This Row],[Years of Experience]]&gt;20,1,""))</f>
        <v/>
      </c>
      <c r="T7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15" s="13" t="str">
        <f>IF(tblSalaries[[#This Row],[Job Type]]=tblSalaries[[#Headers],[Accountant]],tblSalaries[[#This Row],[Salary in USD]],"")</f>
        <v/>
      </c>
      <c r="V715" s="13" t="str">
        <f>IF(tblSalaries[[#This Row],[Job Type]]=tblSalaries[[#Headers],[Analyst]],tblSalaries[[#This Row],[Salary in USD]],"")</f>
        <v/>
      </c>
      <c r="W715" s="13" t="str">
        <f>IF(tblSalaries[[#This Row],[Job Type]]=tblSalaries[[#Headers],[Consultant]],tblSalaries[[#This Row],[Salary in USD]],"")</f>
        <v/>
      </c>
      <c r="X715" s="13" t="str">
        <f>IF(tblSalaries[[#This Row],[Job Type]]=tblSalaries[[#Headers],[Controller]],tblSalaries[[#This Row],[Salary in USD]],"")</f>
        <v/>
      </c>
      <c r="Y715" s="13" t="str">
        <f>IF(tblSalaries[[#This Row],[Job Type]]=tblSalaries[[#Headers],[CXO or Top Mgmt.]],tblSalaries[[#This Row],[clean Salary (in local currency)]],"")</f>
        <v/>
      </c>
      <c r="Z715" s="13" t="str">
        <f>IF(tblSalaries[[#This Row],[Job Type]]=tblSalaries[[#Headers],[Engineer]],tblSalaries[[#This Row],[Salary in USD]],"")</f>
        <v/>
      </c>
      <c r="AA715" s="13">
        <f>IF(tblSalaries[[#This Row],[Job Type]]=tblSalaries[[#Headers],[Manager]],tblSalaries[[#This Row],[Salary in USD]],"")</f>
        <v>130000</v>
      </c>
      <c r="AB715" s="13" t="str">
        <f>IF(tblSalaries[[#This Row],[Job Type]]=tblSalaries[[#Headers],[Misc.]],tblSalaries[[#This Row],[Salary in USD]],"")</f>
        <v/>
      </c>
      <c r="AC715" s="13" t="str">
        <f>IF(tblSalaries[[#This Row],[Job Type]]=tblSalaries[[#Headers],[Reporting]],tblSalaries[[#This Row],[Salary in USD]],"")</f>
        <v/>
      </c>
      <c r="AD715" s="13" t="str">
        <f>IF(tblSalaries[[#This Row],[Job Type]]=tblSalaries[[#Headers],[Specialist]],tblSalaries[[#This Row],[Salary in USD]],"")</f>
        <v/>
      </c>
    </row>
    <row r="716" spans="2:30" ht="15" customHeight="1" x14ac:dyDescent="0.25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 s="9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  <c r="N716" t="str">
        <f>IF(tblSalaries[[#This Row],[Years of Experience]]="","",IF(tblSalaries[[#This Row],[Years of Experience]]&lt;=2,1,""))</f>
        <v/>
      </c>
      <c r="O716" t="str">
        <f>IF(tblSalaries[[#This Row],[Years of Experience]]="","",IF(AND(tblSalaries[[#This Row],[Years of Experience]]&gt;2,tblSalaries[[#This Row],[Years of Experience]]&lt;=5),1,""))</f>
        <v/>
      </c>
      <c r="P716">
        <f>IF(tblSalaries[[#This Row],[Years of Experience]]="","",IF(AND(tblSalaries[[#This Row],[Years of Experience]]&gt;5,tblSalaries[[#This Row],[Years of Experience]]&lt;=10),1,""))</f>
        <v>1</v>
      </c>
      <c r="Q716" t="str">
        <f>IF(tblSalaries[[#This Row],[Years of Experience]]="","",IF(AND(tblSalaries[[#This Row],[Years of Experience]]&gt;10,tblSalaries[[#This Row],[Years of Experience]]&lt;=15),1,""))</f>
        <v/>
      </c>
      <c r="R716" t="str">
        <f>IF(tblSalaries[[#This Row],[Years of Experience]]="","",IF(AND(tblSalaries[[#This Row],[Years of Experience]]&gt;16,tblSalaries[[#This Row],[Years of Experience]]&lt;=20),1,""))</f>
        <v/>
      </c>
      <c r="S716" t="str">
        <f>IF(tblSalaries[[#This Row],[Years of Experience]]="","",IF(tblSalaries[[#This Row],[Years of Experience]]&gt;20,1,""))</f>
        <v/>
      </c>
      <c r="T7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16" s="13" t="str">
        <f>IF(tblSalaries[[#This Row],[Job Type]]=tblSalaries[[#Headers],[Accountant]],tblSalaries[[#This Row],[Salary in USD]],"")</f>
        <v/>
      </c>
      <c r="V716" s="13" t="str">
        <f>IF(tblSalaries[[#This Row],[Job Type]]=tblSalaries[[#Headers],[Analyst]],tblSalaries[[#This Row],[Salary in USD]],"")</f>
        <v/>
      </c>
      <c r="W716" s="13" t="str">
        <f>IF(tblSalaries[[#This Row],[Job Type]]=tblSalaries[[#Headers],[Consultant]],tblSalaries[[#This Row],[Salary in USD]],"")</f>
        <v/>
      </c>
      <c r="X716" s="13" t="str">
        <f>IF(tblSalaries[[#This Row],[Job Type]]=tblSalaries[[#Headers],[Controller]],tblSalaries[[#This Row],[Salary in USD]],"")</f>
        <v/>
      </c>
      <c r="Y716" s="13" t="str">
        <f>IF(tblSalaries[[#This Row],[Job Type]]=tblSalaries[[#Headers],[CXO or Top Mgmt.]],tblSalaries[[#This Row],[clean Salary (in local currency)]],"")</f>
        <v/>
      </c>
      <c r="Z716" s="13" t="str">
        <f>IF(tblSalaries[[#This Row],[Job Type]]=tblSalaries[[#Headers],[Engineer]],tblSalaries[[#This Row],[Salary in USD]],"")</f>
        <v/>
      </c>
      <c r="AA716" s="13">
        <f>IF(tblSalaries[[#This Row],[Job Type]]=tblSalaries[[#Headers],[Manager]],tblSalaries[[#This Row],[Salary in USD]],"")</f>
        <v>4451.9791718606421</v>
      </c>
      <c r="AB716" s="13" t="str">
        <f>IF(tblSalaries[[#This Row],[Job Type]]=tblSalaries[[#Headers],[Misc.]],tblSalaries[[#This Row],[Salary in USD]],"")</f>
        <v/>
      </c>
      <c r="AC716" s="13" t="str">
        <f>IF(tblSalaries[[#This Row],[Job Type]]=tblSalaries[[#Headers],[Reporting]],tblSalaries[[#This Row],[Salary in USD]],"")</f>
        <v/>
      </c>
      <c r="AD716" s="13" t="str">
        <f>IF(tblSalaries[[#This Row],[Job Type]]=tblSalaries[[#Headers],[Specialist]],tblSalaries[[#This Row],[Salary in USD]],"")</f>
        <v/>
      </c>
    </row>
    <row r="717" spans="2:30" ht="15" customHeight="1" x14ac:dyDescent="0.25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 s="9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  <c r="N717">
        <f>IF(tblSalaries[[#This Row],[Years of Experience]]="","",IF(tblSalaries[[#This Row],[Years of Experience]]&lt;=2,1,""))</f>
        <v>1</v>
      </c>
      <c r="O717" t="str">
        <f>IF(tblSalaries[[#This Row],[Years of Experience]]="","",IF(AND(tblSalaries[[#This Row],[Years of Experience]]&gt;2,tblSalaries[[#This Row],[Years of Experience]]&lt;=5),1,""))</f>
        <v/>
      </c>
      <c r="P717" t="str">
        <f>IF(tblSalaries[[#This Row],[Years of Experience]]="","",IF(AND(tblSalaries[[#This Row],[Years of Experience]]&gt;5,tblSalaries[[#This Row],[Years of Experience]]&lt;=10),1,""))</f>
        <v/>
      </c>
      <c r="Q717" t="str">
        <f>IF(tblSalaries[[#This Row],[Years of Experience]]="","",IF(AND(tblSalaries[[#This Row],[Years of Experience]]&gt;10,tblSalaries[[#This Row],[Years of Experience]]&lt;=15),1,""))</f>
        <v/>
      </c>
      <c r="R717" t="str">
        <f>IF(tblSalaries[[#This Row],[Years of Experience]]="","",IF(AND(tblSalaries[[#This Row],[Years of Experience]]&gt;16,tblSalaries[[#This Row],[Years of Experience]]&lt;=20),1,""))</f>
        <v/>
      </c>
      <c r="S717" t="str">
        <f>IF(tblSalaries[[#This Row],[Years of Experience]]="","",IF(tblSalaries[[#This Row],[Years of Experience]]&gt;20,1,""))</f>
        <v/>
      </c>
      <c r="T7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17" s="13" t="str">
        <f>IF(tblSalaries[[#This Row],[Job Type]]=tblSalaries[[#Headers],[Accountant]],tblSalaries[[#This Row],[Salary in USD]],"")</f>
        <v/>
      </c>
      <c r="V717" s="13">
        <f>IF(tblSalaries[[#This Row],[Job Type]]=tblSalaries[[#Headers],[Analyst]],tblSalaries[[#This Row],[Salary in USD]],"")</f>
        <v>9600</v>
      </c>
      <c r="W717" s="13" t="str">
        <f>IF(tblSalaries[[#This Row],[Job Type]]=tblSalaries[[#Headers],[Consultant]],tblSalaries[[#This Row],[Salary in USD]],"")</f>
        <v/>
      </c>
      <c r="X717" s="13" t="str">
        <f>IF(tblSalaries[[#This Row],[Job Type]]=tblSalaries[[#Headers],[Controller]],tblSalaries[[#This Row],[Salary in USD]],"")</f>
        <v/>
      </c>
      <c r="Y717" s="13" t="str">
        <f>IF(tblSalaries[[#This Row],[Job Type]]=tblSalaries[[#Headers],[CXO or Top Mgmt.]],tblSalaries[[#This Row],[clean Salary (in local currency)]],"")</f>
        <v/>
      </c>
      <c r="Z717" s="13" t="str">
        <f>IF(tblSalaries[[#This Row],[Job Type]]=tblSalaries[[#Headers],[Engineer]],tblSalaries[[#This Row],[Salary in USD]],"")</f>
        <v/>
      </c>
      <c r="AA717" s="13" t="str">
        <f>IF(tblSalaries[[#This Row],[Job Type]]=tblSalaries[[#Headers],[Manager]],tblSalaries[[#This Row],[Salary in USD]],"")</f>
        <v/>
      </c>
      <c r="AB717" s="13" t="str">
        <f>IF(tblSalaries[[#This Row],[Job Type]]=tblSalaries[[#Headers],[Misc.]],tblSalaries[[#This Row],[Salary in USD]],"")</f>
        <v/>
      </c>
      <c r="AC717" s="13" t="str">
        <f>IF(tblSalaries[[#This Row],[Job Type]]=tblSalaries[[#Headers],[Reporting]],tblSalaries[[#This Row],[Salary in USD]],"")</f>
        <v/>
      </c>
      <c r="AD717" s="13" t="str">
        <f>IF(tblSalaries[[#This Row],[Job Type]]=tblSalaries[[#Headers],[Specialist]],tblSalaries[[#This Row],[Salary in USD]],"")</f>
        <v/>
      </c>
    </row>
    <row r="718" spans="2:30" ht="15" customHeight="1" x14ac:dyDescent="0.25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 s="9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  <c r="N718">
        <f>IF(tblSalaries[[#This Row],[Years of Experience]]="","",IF(tblSalaries[[#This Row],[Years of Experience]]&lt;=2,1,""))</f>
        <v>1</v>
      </c>
      <c r="O718" t="str">
        <f>IF(tblSalaries[[#This Row],[Years of Experience]]="","",IF(AND(tblSalaries[[#This Row],[Years of Experience]]&gt;2,tblSalaries[[#This Row],[Years of Experience]]&lt;=5),1,""))</f>
        <v/>
      </c>
      <c r="P718" t="str">
        <f>IF(tblSalaries[[#This Row],[Years of Experience]]="","",IF(AND(tblSalaries[[#This Row],[Years of Experience]]&gt;5,tblSalaries[[#This Row],[Years of Experience]]&lt;=10),1,""))</f>
        <v/>
      </c>
      <c r="Q718" t="str">
        <f>IF(tblSalaries[[#This Row],[Years of Experience]]="","",IF(AND(tblSalaries[[#This Row],[Years of Experience]]&gt;10,tblSalaries[[#This Row],[Years of Experience]]&lt;=15),1,""))</f>
        <v/>
      </c>
      <c r="R718" t="str">
        <f>IF(tblSalaries[[#This Row],[Years of Experience]]="","",IF(AND(tblSalaries[[#This Row],[Years of Experience]]&gt;16,tblSalaries[[#This Row],[Years of Experience]]&lt;=20),1,""))</f>
        <v/>
      </c>
      <c r="S718" t="str">
        <f>IF(tblSalaries[[#This Row],[Years of Experience]]="","",IF(tblSalaries[[#This Row],[Years of Experience]]&gt;20,1,""))</f>
        <v/>
      </c>
      <c r="T7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18" s="13" t="str">
        <f>IF(tblSalaries[[#This Row],[Job Type]]=tblSalaries[[#Headers],[Accountant]],tblSalaries[[#This Row],[Salary in USD]],"")</f>
        <v/>
      </c>
      <c r="V718" s="13">
        <f>IF(tblSalaries[[#This Row],[Job Type]]=tblSalaries[[#Headers],[Analyst]],tblSalaries[[#This Row],[Salary in USD]],"")</f>
        <v>6945.0875081026015</v>
      </c>
      <c r="W718" s="13" t="str">
        <f>IF(tblSalaries[[#This Row],[Job Type]]=tblSalaries[[#Headers],[Consultant]],tblSalaries[[#This Row],[Salary in USD]],"")</f>
        <v/>
      </c>
      <c r="X718" s="13" t="str">
        <f>IF(tblSalaries[[#This Row],[Job Type]]=tblSalaries[[#Headers],[Controller]],tblSalaries[[#This Row],[Salary in USD]],"")</f>
        <v/>
      </c>
      <c r="Y718" s="13" t="str">
        <f>IF(tblSalaries[[#This Row],[Job Type]]=tblSalaries[[#Headers],[CXO or Top Mgmt.]],tblSalaries[[#This Row],[clean Salary (in local currency)]],"")</f>
        <v/>
      </c>
      <c r="Z718" s="13" t="str">
        <f>IF(tblSalaries[[#This Row],[Job Type]]=tblSalaries[[#Headers],[Engineer]],tblSalaries[[#This Row],[Salary in USD]],"")</f>
        <v/>
      </c>
      <c r="AA718" s="13" t="str">
        <f>IF(tblSalaries[[#This Row],[Job Type]]=tblSalaries[[#Headers],[Manager]],tblSalaries[[#This Row],[Salary in USD]],"")</f>
        <v/>
      </c>
      <c r="AB718" s="13" t="str">
        <f>IF(tblSalaries[[#This Row],[Job Type]]=tblSalaries[[#Headers],[Misc.]],tblSalaries[[#This Row],[Salary in USD]],"")</f>
        <v/>
      </c>
      <c r="AC718" s="13" t="str">
        <f>IF(tblSalaries[[#This Row],[Job Type]]=tblSalaries[[#Headers],[Reporting]],tblSalaries[[#This Row],[Salary in USD]],"")</f>
        <v/>
      </c>
      <c r="AD718" s="13" t="str">
        <f>IF(tblSalaries[[#This Row],[Job Type]]=tblSalaries[[#Headers],[Specialist]],tblSalaries[[#This Row],[Salary in USD]],"")</f>
        <v/>
      </c>
    </row>
    <row r="719" spans="2:30" ht="15" customHeight="1" x14ac:dyDescent="0.25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 s="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  <c r="N719" t="str">
        <f>IF(tblSalaries[[#This Row],[Years of Experience]]="","",IF(tblSalaries[[#This Row],[Years of Experience]]&lt;=2,1,""))</f>
        <v/>
      </c>
      <c r="O719" t="str">
        <f>IF(tblSalaries[[#This Row],[Years of Experience]]="","",IF(AND(tblSalaries[[#This Row],[Years of Experience]]&gt;2,tblSalaries[[#This Row],[Years of Experience]]&lt;=5),1,""))</f>
        <v/>
      </c>
      <c r="P719">
        <f>IF(tblSalaries[[#This Row],[Years of Experience]]="","",IF(AND(tblSalaries[[#This Row],[Years of Experience]]&gt;5,tblSalaries[[#This Row],[Years of Experience]]&lt;=10),1,""))</f>
        <v>1</v>
      </c>
      <c r="Q719" t="str">
        <f>IF(tblSalaries[[#This Row],[Years of Experience]]="","",IF(AND(tblSalaries[[#This Row],[Years of Experience]]&gt;10,tblSalaries[[#This Row],[Years of Experience]]&lt;=15),1,""))</f>
        <v/>
      </c>
      <c r="R719" t="str">
        <f>IF(tblSalaries[[#This Row],[Years of Experience]]="","",IF(AND(tblSalaries[[#This Row],[Years of Experience]]&gt;16,tblSalaries[[#This Row],[Years of Experience]]&lt;=20),1,""))</f>
        <v/>
      </c>
      <c r="S719" t="str">
        <f>IF(tblSalaries[[#This Row],[Years of Experience]]="","",IF(tblSalaries[[#This Row],[Years of Experience]]&gt;20,1,""))</f>
        <v/>
      </c>
      <c r="T7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19" s="13">
        <f>IF(tblSalaries[[#This Row],[Job Type]]=tblSalaries[[#Headers],[Accountant]],tblSalaries[[#This Row],[Salary in USD]],"")</f>
        <v>10684.750012465542</v>
      </c>
      <c r="V719" s="13" t="str">
        <f>IF(tblSalaries[[#This Row],[Job Type]]=tblSalaries[[#Headers],[Analyst]],tblSalaries[[#This Row],[Salary in USD]],"")</f>
        <v/>
      </c>
      <c r="W719" s="13" t="str">
        <f>IF(tblSalaries[[#This Row],[Job Type]]=tblSalaries[[#Headers],[Consultant]],tblSalaries[[#This Row],[Salary in USD]],"")</f>
        <v/>
      </c>
      <c r="X719" s="13" t="str">
        <f>IF(tblSalaries[[#This Row],[Job Type]]=tblSalaries[[#Headers],[Controller]],tblSalaries[[#This Row],[Salary in USD]],"")</f>
        <v/>
      </c>
      <c r="Y719" s="13" t="str">
        <f>IF(tblSalaries[[#This Row],[Job Type]]=tblSalaries[[#Headers],[CXO or Top Mgmt.]],tblSalaries[[#This Row],[clean Salary (in local currency)]],"")</f>
        <v/>
      </c>
      <c r="Z719" s="13" t="str">
        <f>IF(tblSalaries[[#This Row],[Job Type]]=tblSalaries[[#Headers],[Engineer]],tblSalaries[[#This Row],[Salary in USD]],"")</f>
        <v/>
      </c>
      <c r="AA719" s="13" t="str">
        <f>IF(tblSalaries[[#This Row],[Job Type]]=tblSalaries[[#Headers],[Manager]],tblSalaries[[#This Row],[Salary in USD]],"")</f>
        <v/>
      </c>
      <c r="AB719" s="13" t="str">
        <f>IF(tblSalaries[[#This Row],[Job Type]]=tblSalaries[[#Headers],[Misc.]],tblSalaries[[#This Row],[Salary in USD]],"")</f>
        <v/>
      </c>
      <c r="AC719" s="13" t="str">
        <f>IF(tblSalaries[[#This Row],[Job Type]]=tblSalaries[[#Headers],[Reporting]],tblSalaries[[#This Row],[Salary in USD]],"")</f>
        <v/>
      </c>
      <c r="AD719" s="13" t="str">
        <f>IF(tblSalaries[[#This Row],[Job Type]]=tblSalaries[[#Headers],[Specialist]],tblSalaries[[#This Row],[Salary in USD]],"")</f>
        <v/>
      </c>
    </row>
    <row r="720" spans="2:30" ht="15" customHeight="1" x14ac:dyDescent="0.25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 s="9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  <c r="N720" t="str">
        <f>IF(tblSalaries[[#This Row],[Years of Experience]]="","",IF(tblSalaries[[#This Row],[Years of Experience]]&lt;=2,1,""))</f>
        <v/>
      </c>
      <c r="O720">
        <f>IF(tblSalaries[[#This Row],[Years of Experience]]="","",IF(AND(tblSalaries[[#This Row],[Years of Experience]]&gt;2,tblSalaries[[#This Row],[Years of Experience]]&lt;=5),1,""))</f>
        <v>1</v>
      </c>
      <c r="P720" t="str">
        <f>IF(tblSalaries[[#This Row],[Years of Experience]]="","",IF(AND(tblSalaries[[#This Row],[Years of Experience]]&gt;5,tblSalaries[[#This Row],[Years of Experience]]&lt;=10),1,""))</f>
        <v/>
      </c>
      <c r="Q720" t="str">
        <f>IF(tblSalaries[[#This Row],[Years of Experience]]="","",IF(AND(tblSalaries[[#This Row],[Years of Experience]]&gt;10,tblSalaries[[#This Row],[Years of Experience]]&lt;=15),1,""))</f>
        <v/>
      </c>
      <c r="R720" t="str">
        <f>IF(tblSalaries[[#This Row],[Years of Experience]]="","",IF(AND(tblSalaries[[#This Row],[Years of Experience]]&gt;16,tblSalaries[[#This Row],[Years of Experience]]&lt;=20),1,""))</f>
        <v/>
      </c>
      <c r="S720" t="str">
        <f>IF(tblSalaries[[#This Row],[Years of Experience]]="","",IF(tblSalaries[[#This Row],[Years of Experience]]&gt;20,1,""))</f>
        <v/>
      </c>
      <c r="T7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20" s="13" t="str">
        <f>IF(tblSalaries[[#This Row],[Job Type]]=tblSalaries[[#Headers],[Accountant]],tblSalaries[[#This Row],[Salary in USD]],"")</f>
        <v/>
      </c>
      <c r="V720" s="13">
        <f>IF(tblSalaries[[#This Row],[Job Type]]=tblSalaries[[#Headers],[Analyst]],tblSalaries[[#This Row],[Salary in USD]],"")</f>
        <v>8547.8000099724322</v>
      </c>
      <c r="W720" s="13" t="str">
        <f>IF(tblSalaries[[#This Row],[Job Type]]=tblSalaries[[#Headers],[Consultant]],tblSalaries[[#This Row],[Salary in USD]],"")</f>
        <v/>
      </c>
      <c r="X720" s="13" t="str">
        <f>IF(tblSalaries[[#This Row],[Job Type]]=tblSalaries[[#Headers],[Controller]],tblSalaries[[#This Row],[Salary in USD]],"")</f>
        <v/>
      </c>
      <c r="Y720" s="13" t="str">
        <f>IF(tblSalaries[[#This Row],[Job Type]]=tblSalaries[[#Headers],[CXO or Top Mgmt.]],tblSalaries[[#This Row],[clean Salary (in local currency)]],"")</f>
        <v/>
      </c>
      <c r="Z720" s="13" t="str">
        <f>IF(tblSalaries[[#This Row],[Job Type]]=tblSalaries[[#Headers],[Engineer]],tblSalaries[[#This Row],[Salary in USD]],"")</f>
        <v/>
      </c>
      <c r="AA720" s="13" t="str">
        <f>IF(tblSalaries[[#This Row],[Job Type]]=tblSalaries[[#Headers],[Manager]],tblSalaries[[#This Row],[Salary in USD]],"")</f>
        <v/>
      </c>
      <c r="AB720" s="13" t="str">
        <f>IF(tblSalaries[[#This Row],[Job Type]]=tblSalaries[[#Headers],[Misc.]],tblSalaries[[#This Row],[Salary in USD]],"")</f>
        <v/>
      </c>
      <c r="AC720" s="13" t="str">
        <f>IF(tblSalaries[[#This Row],[Job Type]]=tblSalaries[[#Headers],[Reporting]],tblSalaries[[#This Row],[Salary in USD]],"")</f>
        <v/>
      </c>
      <c r="AD720" s="13" t="str">
        <f>IF(tblSalaries[[#This Row],[Job Type]]=tblSalaries[[#Headers],[Specialist]],tblSalaries[[#This Row],[Salary in USD]],"")</f>
        <v/>
      </c>
    </row>
    <row r="721" spans="2:30" ht="15" customHeight="1" x14ac:dyDescent="0.25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 s="9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  <c r="N721" t="str">
        <f>IF(tblSalaries[[#This Row],[Years of Experience]]="","",IF(tblSalaries[[#This Row],[Years of Experience]]&lt;=2,1,""))</f>
        <v/>
      </c>
      <c r="O721" t="str">
        <f>IF(tblSalaries[[#This Row],[Years of Experience]]="","",IF(AND(tblSalaries[[#This Row],[Years of Experience]]&gt;2,tblSalaries[[#This Row],[Years of Experience]]&lt;=5),1,""))</f>
        <v/>
      </c>
      <c r="P721">
        <f>IF(tblSalaries[[#This Row],[Years of Experience]]="","",IF(AND(tblSalaries[[#This Row],[Years of Experience]]&gt;5,tblSalaries[[#This Row],[Years of Experience]]&lt;=10),1,""))</f>
        <v>1</v>
      </c>
      <c r="Q721" t="str">
        <f>IF(tblSalaries[[#This Row],[Years of Experience]]="","",IF(AND(tblSalaries[[#This Row],[Years of Experience]]&gt;10,tblSalaries[[#This Row],[Years of Experience]]&lt;=15),1,""))</f>
        <v/>
      </c>
      <c r="R721" t="str">
        <f>IF(tblSalaries[[#This Row],[Years of Experience]]="","",IF(AND(tblSalaries[[#This Row],[Years of Experience]]&gt;16,tblSalaries[[#This Row],[Years of Experience]]&lt;=20),1,""))</f>
        <v/>
      </c>
      <c r="S721" t="str">
        <f>IF(tblSalaries[[#This Row],[Years of Experience]]="","",IF(tblSalaries[[#This Row],[Years of Experience]]&gt;20,1,""))</f>
        <v/>
      </c>
      <c r="T7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21" s="13" t="str">
        <f>IF(tblSalaries[[#This Row],[Job Type]]=tblSalaries[[#Headers],[Accountant]],tblSalaries[[#This Row],[Salary in USD]],"")</f>
        <v/>
      </c>
      <c r="V721" s="13">
        <f>IF(tblSalaries[[#This Row],[Job Type]]=tblSalaries[[#Headers],[Analyst]],tblSalaries[[#This Row],[Salary in USD]],"")</f>
        <v>35000</v>
      </c>
      <c r="W721" s="13" t="str">
        <f>IF(tblSalaries[[#This Row],[Job Type]]=tblSalaries[[#Headers],[Consultant]],tblSalaries[[#This Row],[Salary in USD]],"")</f>
        <v/>
      </c>
      <c r="X721" s="13" t="str">
        <f>IF(tblSalaries[[#This Row],[Job Type]]=tblSalaries[[#Headers],[Controller]],tblSalaries[[#This Row],[Salary in USD]],"")</f>
        <v/>
      </c>
      <c r="Y721" s="13" t="str">
        <f>IF(tblSalaries[[#This Row],[Job Type]]=tblSalaries[[#Headers],[CXO or Top Mgmt.]],tblSalaries[[#This Row],[clean Salary (in local currency)]],"")</f>
        <v/>
      </c>
      <c r="Z721" s="13" t="str">
        <f>IF(tblSalaries[[#This Row],[Job Type]]=tblSalaries[[#Headers],[Engineer]],tblSalaries[[#This Row],[Salary in USD]],"")</f>
        <v/>
      </c>
      <c r="AA721" s="13" t="str">
        <f>IF(tblSalaries[[#This Row],[Job Type]]=tblSalaries[[#Headers],[Manager]],tblSalaries[[#This Row],[Salary in USD]],"")</f>
        <v/>
      </c>
      <c r="AB721" s="13" t="str">
        <f>IF(tblSalaries[[#This Row],[Job Type]]=tblSalaries[[#Headers],[Misc.]],tblSalaries[[#This Row],[Salary in USD]],"")</f>
        <v/>
      </c>
      <c r="AC721" s="13" t="str">
        <f>IF(tblSalaries[[#This Row],[Job Type]]=tblSalaries[[#Headers],[Reporting]],tblSalaries[[#This Row],[Salary in USD]],"")</f>
        <v/>
      </c>
      <c r="AD721" s="13" t="str">
        <f>IF(tblSalaries[[#This Row],[Job Type]]=tblSalaries[[#Headers],[Specialist]],tblSalaries[[#This Row],[Salary in USD]],"")</f>
        <v/>
      </c>
    </row>
    <row r="722" spans="2:30" ht="15" customHeight="1" x14ac:dyDescent="0.25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 s="9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  <c r="N722" t="str">
        <f>IF(tblSalaries[[#This Row],[Years of Experience]]="","",IF(tblSalaries[[#This Row],[Years of Experience]]&lt;=2,1,""))</f>
        <v/>
      </c>
      <c r="O722" t="str">
        <f>IF(tblSalaries[[#This Row],[Years of Experience]]="","",IF(AND(tblSalaries[[#This Row],[Years of Experience]]&gt;2,tblSalaries[[#This Row],[Years of Experience]]&lt;=5),1,""))</f>
        <v/>
      </c>
      <c r="P722" t="str">
        <f>IF(tblSalaries[[#This Row],[Years of Experience]]="","",IF(AND(tblSalaries[[#This Row],[Years of Experience]]&gt;5,tblSalaries[[#This Row],[Years of Experience]]&lt;=10),1,""))</f>
        <v/>
      </c>
      <c r="Q722">
        <f>IF(tblSalaries[[#This Row],[Years of Experience]]="","",IF(AND(tblSalaries[[#This Row],[Years of Experience]]&gt;10,tblSalaries[[#This Row],[Years of Experience]]&lt;=15),1,""))</f>
        <v>1</v>
      </c>
      <c r="R722" t="str">
        <f>IF(tblSalaries[[#This Row],[Years of Experience]]="","",IF(AND(tblSalaries[[#This Row],[Years of Experience]]&gt;16,tblSalaries[[#This Row],[Years of Experience]]&lt;=20),1,""))</f>
        <v/>
      </c>
      <c r="S722" t="str">
        <f>IF(tblSalaries[[#This Row],[Years of Experience]]="","",IF(tblSalaries[[#This Row],[Years of Experience]]&gt;20,1,""))</f>
        <v/>
      </c>
      <c r="T7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22" s="13" t="str">
        <f>IF(tblSalaries[[#This Row],[Job Type]]=tblSalaries[[#Headers],[Accountant]],tblSalaries[[#This Row],[Salary in USD]],"")</f>
        <v/>
      </c>
      <c r="V722" s="13">
        <f>IF(tblSalaries[[#This Row],[Job Type]]=tblSalaries[[#Headers],[Analyst]],tblSalaries[[#This Row],[Salary in USD]],"")</f>
        <v>17807.916687442568</v>
      </c>
      <c r="W722" s="13" t="str">
        <f>IF(tblSalaries[[#This Row],[Job Type]]=tblSalaries[[#Headers],[Consultant]],tblSalaries[[#This Row],[Salary in USD]],"")</f>
        <v/>
      </c>
      <c r="X722" s="13" t="str">
        <f>IF(tblSalaries[[#This Row],[Job Type]]=tblSalaries[[#Headers],[Controller]],tblSalaries[[#This Row],[Salary in USD]],"")</f>
        <v/>
      </c>
      <c r="Y722" s="13" t="str">
        <f>IF(tblSalaries[[#This Row],[Job Type]]=tblSalaries[[#Headers],[CXO or Top Mgmt.]],tblSalaries[[#This Row],[clean Salary (in local currency)]],"")</f>
        <v/>
      </c>
      <c r="Z722" s="13" t="str">
        <f>IF(tblSalaries[[#This Row],[Job Type]]=tblSalaries[[#Headers],[Engineer]],tblSalaries[[#This Row],[Salary in USD]],"")</f>
        <v/>
      </c>
      <c r="AA722" s="13" t="str">
        <f>IF(tblSalaries[[#This Row],[Job Type]]=tblSalaries[[#Headers],[Manager]],tblSalaries[[#This Row],[Salary in USD]],"")</f>
        <v/>
      </c>
      <c r="AB722" s="13" t="str">
        <f>IF(tblSalaries[[#This Row],[Job Type]]=tblSalaries[[#Headers],[Misc.]],tblSalaries[[#This Row],[Salary in USD]],"")</f>
        <v/>
      </c>
      <c r="AC722" s="13" t="str">
        <f>IF(tblSalaries[[#This Row],[Job Type]]=tblSalaries[[#Headers],[Reporting]],tblSalaries[[#This Row],[Salary in USD]],"")</f>
        <v/>
      </c>
      <c r="AD722" s="13" t="str">
        <f>IF(tblSalaries[[#This Row],[Job Type]]=tblSalaries[[#Headers],[Specialist]],tblSalaries[[#This Row],[Salary in USD]],"")</f>
        <v/>
      </c>
    </row>
    <row r="723" spans="2:30" ht="15" customHeight="1" x14ac:dyDescent="0.25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 s="9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  <c r="N723" t="str">
        <f>IF(tblSalaries[[#This Row],[Years of Experience]]="","",IF(tblSalaries[[#This Row],[Years of Experience]]&lt;=2,1,""))</f>
        <v/>
      </c>
      <c r="O723">
        <f>IF(tblSalaries[[#This Row],[Years of Experience]]="","",IF(AND(tblSalaries[[#This Row],[Years of Experience]]&gt;2,tblSalaries[[#This Row],[Years of Experience]]&lt;=5),1,""))</f>
        <v>1</v>
      </c>
      <c r="P723" t="str">
        <f>IF(tblSalaries[[#This Row],[Years of Experience]]="","",IF(AND(tblSalaries[[#This Row],[Years of Experience]]&gt;5,tblSalaries[[#This Row],[Years of Experience]]&lt;=10),1,""))</f>
        <v/>
      </c>
      <c r="Q723" t="str">
        <f>IF(tblSalaries[[#This Row],[Years of Experience]]="","",IF(AND(tblSalaries[[#This Row],[Years of Experience]]&gt;10,tblSalaries[[#This Row],[Years of Experience]]&lt;=15),1,""))</f>
        <v/>
      </c>
      <c r="R723" t="str">
        <f>IF(tblSalaries[[#This Row],[Years of Experience]]="","",IF(AND(tblSalaries[[#This Row],[Years of Experience]]&gt;16,tblSalaries[[#This Row],[Years of Experience]]&lt;=20),1,""))</f>
        <v/>
      </c>
      <c r="S723" t="str">
        <f>IF(tblSalaries[[#This Row],[Years of Experience]]="","",IF(tblSalaries[[#This Row],[Years of Experience]]&gt;20,1,""))</f>
        <v/>
      </c>
      <c r="T7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23" s="13">
        <f>IF(tblSalaries[[#This Row],[Job Type]]=tblSalaries[[#Headers],[Accountant]],tblSalaries[[#This Row],[Salary in USD]],"")</f>
        <v>3205.4250037396623</v>
      </c>
      <c r="V723" s="13" t="str">
        <f>IF(tblSalaries[[#This Row],[Job Type]]=tblSalaries[[#Headers],[Analyst]],tblSalaries[[#This Row],[Salary in USD]],"")</f>
        <v/>
      </c>
      <c r="W723" s="13" t="str">
        <f>IF(tblSalaries[[#This Row],[Job Type]]=tblSalaries[[#Headers],[Consultant]],tblSalaries[[#This Row],[Salary in USD]],"")</f>
        <v/>
      </c>
      <c r="X723" s="13" t="str">
        <f>IF(tblSalaries[[#This Row],[Job Type]]=tblSalaries[[#Headers],[Controller]],tblSalaries[[#This Row],[Salary in USD]],"")</f>
        <v/>
      </c>
      <c r="Y723" s="13" t="str">
        <f>IF(tblSalaries[[#This Row],[Job Type]]=tblSalaries[[#Headers],[CXO or Top Mgmt.]],tblSalaries[[#This Row],[clean Salary (in local currency)]],"")</f>
        <v/>
      </c>
      <c r="Z723" s="13" t="str">
        <f>IF(tblSalaries[[#This Row],[Job Type]]=tblSalaries[[#Headers],[Engineer]],tblSalaries[[#This Row],[Salary in USD]],"")</f>
        <v/>
      </c>
      <c r="AA723" s="13" t="str">
        <f>IF(tblSalaries[[#This Row],[Job Type]]=tblSalaries[[#Headers],[Manager]],tblSalaries[[#This Row],[Salary in USD]],"")</f>
        <v/>
      </c>
      <c r="AB723" s="13" t="str">
        <f>IF(tblSalaries[[#This Row],[Job Type]]=tblSalaries[[#Headers],[Misc.]],tblSalaries[[#This Row],[Salary in USD]],"")</f>
        <v/>
      </c>
      <c r="AC723" s="13" t="str">
        <f>IF(tblSalaries[[#This Row],[Job Type]]=tblSalaries[[#Headers],[Reporting]],tblSalaries[[#This Row],[Salary in USD]],"")</f>
        <v/>
      </c>
      <c r="AD723" s="13" t="str">
        <f>IF(tblSalaries[[#This Row],[Job Type]]=tblSalaries[[#Headers],[Specialist]],tblSalaries[[#This Row],[Salary in USD]],"")</f>
        <v/>
      </c>
    </row>
    <row r="724" spans="2:30" ht="15" customHeight="1" x14ac:dyDescent="0.25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 s="9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  <c r="N724" t="str">
        <f>IF(tblSalaries[[#This Row],[Years of Experience]]="","",IF(tblSalaries[[#This Row],[Years of Experience]]&lt;=2,1,""))</f>
        <v/>
      </c>
      <c r="O724" t="str">
        <f>IF(tblSalaries[[#This Row],[Years of Experience]]="","",IF(AND(tblSalaries[[#This Row],[Years of Experience]]&gt;2,tblSalaries[[#This Row],[Years of Experience]]&lt;=5),1,""))</f>
        <v/>
      </c>
      <c r="P724">
        <f>IF(tblSalaries[[#This Row],[Years of Experience]]="","",IF(AND(tblSalaries[[#This Row],[Years of Experience]]&gt;5,tblSalaries[[#This Row],[Years of Experience]]&lt;=10),1,""))</f>
        <v>1</v>
      </c>
      <c r="Q724" t="str">
        <f>IF(tblSalaries[[#This Row],[Years of Experience]]="","",IF(AND(tblSalaries[[#This Row],[Years of Experience]]&gt;10,tblSalaries[[#This Row],[Years of Experience]]&lt;=15),1,""))</f>
        <v/>
      </c>
      <c r="R724" t="str">
        <f>IF(tblSalaries[[#This Row],[Years of Experience]]="","",IF(AND(tblSalaries[[#This Row],[Years of Experience]]&gt;16,tblSalaries[[#This Row],[Years of Experience]]&lt;=20),1,""))</f>
        <v/>
      </c>
      <c r="S724" t="str">
        <f>IF(tblSalaries[[#This Row],[Years of Experience]]="","",IF(tblSalaries[[#This Row],[Years of Experience]]&gt;20,1,""))</f>
        <v/>
      </c>
      <c r="T7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24" s="13" t="str">
        <f>IF(tblSalaries[[#This Row],[Job Type]]=tblSalaries[[#Headers],[Accountant]],tblSalaries[[#This Row],[Salary in USD]],"")</f>
        <v/>
      </c>
      <c r="V724" s="13" t="str">
        <f>IF(tblSalaries[[#This Row],[Job Type]]=tblSalaries[[#Headers],[Analyst]],tblSalaries[[#This Row],[Salary in USD]],"")</f>
        <v/>
      </c>
      <c r="W724" s="13" t="str">
        <f>IF(tblSalaries[[#This Row],[Job Type]]=tblSalaries[[#Headers],[Consultant]],tblSalaries[[#This Row],[Salary in USD]],"")</f>
        <v/>
      </c>
      <c r="X724" s="13" t="str">
        <f>IF(tblSalaries[[#This Row],[Job Type]]=tblSalaries[[#Headers],[Controller]],tblSalaries[[#This Row],[Salary in USD]],"")</f>
        <v/>
      </c>
      <c r="Y724" s="13" t="str">
        <f>IF(tblSalaries[[#This Row],[Job Type]]=tblSalaries[[#Headers],[CXO or Top Mgmt.]],tblSalaries[[#This Row],[clean Salary (in local currency)]],"")</f>
        <v/>
      </c>
      <c r="Z724" s="13" t="str">
        <f>IF(tblSalaries[[#This Row],[Job Type]]=tblSalaries[[#Headers],[Engineer]],tblSalaries[[#This Row],[Salary in USD]],"")</f>
        <v/>
      </c>
      <c r="AA724" s="13">
        <f>IF(tblSalaries[[#This Row],[Job Type]]=tblSalaries[[#Headers],[Manager]],tblSalaries[[#This Row],[Salary in USD]],"")</f>
        <v>60000</v>
      </c>
      <c r="AB724" s="13" t="str">
        <f>IF(tblSalaries[[#This Row],[Job Type]]=tblSalaries[[#Headers],[Misc.]],tblSalaries[[#This Row],[Salary in USD]],"")</f>
        <v/>
      </c>
      <c r="AC724" s="13" t="str">
        <f>IF(tblSalaries[[#This Row],[Job Type]]=tblSalaries[[#Headers],[Reporting]],tblSalaries[[#This Row],[Salary in USD]],"")</f>
        <v/>
      </c>
      <c r="AD724" s="13" t="str">
        <f>IF(tblSalaries[[#This Row],[Job Type]]=tblSalaries[[#Headers],[Specialist]],tblSalaries[[#This Row],[Salary in USD]],"")</f>
        <v/>
      </c>
    </row>
    <row r="725" spans="2:30" ht="15" customHeight="1" x14ac:dyDescent="0.25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 s="9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  <c r="N725" t="str">
        <f>IF(tblSalaries[[#This Row],[Years of Experience]]="","",IF(tblSalaries[[#This Row],[Years of Experience]]&lt;=2,1,""))</f>
        <v/>
      </c>
      <c r="O725" t="str">
        <f>IF(tblSalaries[[#This Row],[Years of Experience]]="","",IF(AND(tblSalaries[[#This Row],[Years of Experience]]&gt;2,tblSalaries[[#This Row],[Years of Experience]]&lt;=5),1,""))</f>
        <v/>
      </c>
      <c r="P725" t="str">
        <f>IF(tblSalaries[[#This Row],[Years of Experience]]="","",IF(AND(tblSalaries[[#This Row],[Years of Experience]]&gt;5,tblSalaries[[#This Row],[Years of Experience]]&lt;=10),1,""))</f>
        <v/>
      </c>
      <c r="Q725">
        <f>IF(tblSalaries[[#This Row],[Years of Experience]]="","",IF(AND(tblSalaries[[#This Row],[Years of Experience]]&gt;10,tblSalaries[[#This Row],[Years of Experience]]&lt;=15),1,""))</f>
        <v>1</v>
      </c>
      <c r="R725" t="str">
        <f>IF(tblSalaries[[#This Row],[Years of Experience]]="","",IF(AND(tblSalaries[[#This Row],[Years of Experience]]&gt;16,tblSalaries[[#This Row],[Years of Experience]]&lt;=20),1,""))</f>
        <v/>
      </c>
      <c r="S725" t="str">
        <f>IF(tblSalaries[[#This Row],[Years of Experience]]="","",IF(tblSalaries[[#This Row],[Years of Experience]]&gt;20,1,""))</f>
        <v/>
      </c>
      <c r="T7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25" s="13" t="str">
        <f>IF(tblSalaries[[#This Row],[Job Type]]=tblSalaries[[#Headers],[Accountant]],tblSalaries[[#This Row],[Salary in USD]],"")</f>
        <v/>
      </c>
      <c r="V725" s="13" t="str">
        <f>IF(tblSalaries[[#This Row],[Job Type]]=tblSalaries[[#Headers],[Analyst]],tblSalaries[[#This Row],[Salary in USD]],"")</f>
        <v/>
      </c>
      <c r="W725" s="13" t="str">
        <f>IF(tblSalaries[[#This Row],[Job Type]]=tblSalaries[[#Headers],[Consultant]],tblSalaries[[#This Row],[Salary in USD]],"")</f>
        <v/>
      </c>
      <c r="X725" s="13" t="str">
        <f>IF(tblSalaries[[#This Row],[Job Type]]=tblSalaries[[#Headers],[Controller]],tblSalaries[[#This Row],[Salary in USD]],"")</f>
        <v/>
      </c>
      <c r="Y725" s="13" t="str">
        <f>IF(tblSalaries[[#This Row],[Job Type]]=tblSalaries[[#Headers],[CXO or Top Mgmt.]],tblSalaries[[#This Row],[clean Salary (in local currency)]],"")</f>
        <v/>
      </c>
      <c r="Z725" s="13" t="str">
        <f>IF(tblSalaries[[#This Row],[Job Type]]=tblSalaries[[#Headers],[Engineer]],tblSalaries[[#This Row],[Salary in USD]],"")</f>
        <v/>
      </c>
      <c r="AA725" s="13">
        <f>IF(tblSalaries[[#This Row],[Job Type]]=tblSalaries[[#Headers],[Manager]],tblSalaries[[#This Row],[Salary in USD]],"")</f>
        <v>14246.333349954055</v>
      </c>
      <c r="AB725" s="13" t="str">
        <f>IF(tblSalaries[[#This Row],[Job Type]]=tblSalaries[[#Headers],[Misc.]],tblSalaries[[#This Row],[Salary in USD]],"")</f>
        <v/>
      </c>
      <c r="AC725" s="13" t="str">
        <f>IF(tblSalaries[[#This Row],[Job Type]]=tblSalaries[[#Headers],[Reporting]],tblSalaries[[#This Row],[Salary in USD]],"")</f>
        <v/>
      </c>
      <c r="AD725" s="13" t="str">
        <f>IF(tblSalaries[[#This Row],[Job Type]]=tblSalaries[[#Headers],[Specialist]],tblSalaries[[#This Row],[Salary in USD]],"")</f>
        <v/>
      </c>
    </row>
    <row r="726" spans="2:30" ht="15" customHeight="1" x14ac:dyDescent="0.25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 s="9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  <c r="N726" t="str">
        <f>IF(tblSalaries[[#This Row],[Years of Experience]]="","",IF(tblSalaries[[#This Row],[Years of Experience]]&lt;=2,1,""))</f>
        <v/>
      </c>
      <c r="O726" t="str">
        <f>IF(tblSalaries[[#This Row],[Years of Experience]]="","",IF(AND(tblSalaries[[#This Row],[Years of Experience]]&gt;2,tblSalaries[[#This Row],[Years of Experience]]&lt;=5),1,""))</f>
        <v/>
      </c>
      <c r="P726">
        <f>IF(tblSalaries[[#This Row],[Years of Experience]]="","",IF(AND(tblSalaries[[#This Row],[Years of Experience]]&gt;5,tblSalaries[[#This Row],[Years of Experience]]&lt;=10),1,""))</f>
        <v>1</v>
      </c>
      <c r="Q726" t="str">
        <f>IF(tblSalaries[[#This Row],[Years of Experience]]="","",IF(AND(tblSalaries[[#This Row],[Years of Experience]]&gt;10,tblSalaries[[#This Row],[Years of Experience]]&lt;=15),1,""))</f>
        <v/>
      </c>
      <c r="R726" t="str">
        <f>IF(tblSalaries[[#This Row],[Years of Experience]]="","",IF(AND(tblSalaries[[#This Row],[Years of Experience]]&gt;16,tblSalaries[[#This Row],[Years of Experience]]&lt;=20),1,""))</f>
        <v/>
      </c>
      <c r="S726" t="str">
        <f>IF(tblSalaries[[#This Row],[Years of Experience]]="","",IF(tblSalaries[[#This Row],[Years of Experience]]&gt;20,1,""))</f>
        <v/>
      </c>
      <c r="T7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26" s="13" t="str">
        <f>IF(tblSalaries[[#This Row],[Job Type]]=tblSalaries[[#Headers],[Accountant]],tblSalaries[[#This Row],[Salary in USD]],"")</f>
        <v/>
      </c>
      <c r="V726" s="13" t="str">
        <f>IF(tblSalaries[[#This Row],[Job Type]]=tblSalaries[[#Headers],[Analyst]],tblSalaries[[#This Row],[Salary in USD]],"")</f>
        <v/>
      </c>
      <c r="W726" s="13" t="str">
        <f>IF(tblSalaries[[#This Row],[Job Type]]=tblSalaries[[#Headers],[Consultant]],tblSalaries[[#This Row],[Salary in USD]],"")</f>
        <v/>
      </c>
      <c r="X726" s="13" t="str">
        <f>IF(tblSalaries[[#This Row],[Job Type]]=tblSalaries[[#Headers],[Controller]],tblSalaries[[#This Row],[Salary in USD]],"")</f>
        <v/>
      </c>
      <c r="Y726" s="13" t="str">
        <f>IF(tblSalaries[[#This Row],[Job Type]]=tblSalaries[[#Headers],[CXO or Top Mgmt.]],tblSalaries[[#This Row],[clean Salary (in local currency)]],"")</f>
        <v/>
      </c>
      <c r="Z726" s="13" t="str">
        <f>IF(tblSalaries[[#This Row],[Job Type]]=tblSalaries[[#Headers],[Engineer]],tblSalaries[[#This Row],[Salary in USD]],"")</f>
        <v/>
      </c>
      <c r="AA726" s="13">
        <f>IF(tblSalaries[[#This Row],[Job Type]]=tblSalaries[[#Headers],[Manager]],tblSalaries[[#This Row],[Salary in USD]],"")</f>
        <v>10684.750012465542</v>
      </c>
      <c r="AB726" s="13" t="str">
        <f>IF(tblSalaries[[#This Row],[Job Type]]=tblSalaries[[#Headers],[Misc.]],tblSalaries[[#This Row],[Salary in USD]],"")</f>
        <v/>
      </c>
      <c r="AC726" s="13" t="str">
        <f>IF(tblSalaries[[#This Row],[Job Type]]=tblSalaries[[#Headers],[Reporting]],tblSalaries[[#This Row],[Salary in USD]],"")</f>
        <v/>
      </c>
      <c r="AD726" s="13" t="str">
        <f>IF(tblSalaries[[#This Row],[Job Type]]=tblSalaries[[#Headers],[Specialist]],tblSalaries[[#This Row],[Salary in USD]],"")</f>
        <v/>
      </c>
    </row>
    <row r="727" spans="2:30" ht="15" customHeight="1" x14ac:dyDescent="0.25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 s="9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  <c r="N727" t="str">
        <f>IF(tblSalaries[[#This Row],[Years of Experience]]="","",IF(tblSalaries[[#This Row],[Years of Experience]]&lt;=2,1,""))</f>
        <v/>
      </c>
      <c r="O727" t="str">
        <f>IF(tblSalaries[[#This Row],[Years of Experience]]="","",IF(AND(tblSalaries[[#This Row],[Years of Experience]]&gt;2,tblSalaries[[#This Row],[Years of Experience]]&lt;=5),1,""))</f>
        <v/>
      </c>
      <c r="P727" t="str">
        <f>IF(tblSalaries[[#This Row],[Years of Experience]]="","",IF(AND(tblSalaries[[#This Row],[Years of Experience]]&gt;5,tblSalaries[[#This Row],[Years of Experience]]&lt;=10),1,""))</f>
        <v/>
      </c>
      <c r="Q727">
        <f>IF(tblSalaries[[#This Row],[Years of Experience]]="","",IF(AND(tblSalaries[[#This Row],[Years of Experience]]&gt;10,tblSalaries[[#This Row],[Years of Experience]]&lt;=15),1,""))</f>
        <v>1</v>
      </c>
      <c r="R727" t="str">
        <f>IF(tblSalaries[[#This Row],[Years of Experience]]="","",IF(AND(tblSalaries[[#This Row],[Years of Experience]]&gt;16,tblSalaries[[#This Row],[Years of Experience]]&lt;=20),1,""))</f>
        <v/>
      </c>
      <c r="S727" t="str">
        <f>IF(tblSalaries[[#This Row],[Years of Experience]]="","",IF(tblSalaries[[#This Row],[Years of Experience]]&gt;20,1,""))</f>
        <v/>
      </c>
      <c r="T7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27" s="13" t="str">
        <f>IF(tblSalaries[[#This Row],[Job Type]]=tblSalaries[[#Headers],[Accountant]],tblSalaries[[#This Row],[Salary in USD]],"")</f>
        <v/>
      </c>
      <c r="V727" s="13" t="str">
        <f>IF(tblSalaries[[#This Row],[Job Type]]=tblSalaries[[#Headers],[Analyst]],tblSalaries[[#This Row],[Salary in USD]],"")</f>
        <v/>
      </c>
      <c r="W727" s="13" t="str">
        <f>IF(tblSalaries[[#This Row],[Job Type]]=tblSalaries[[#Headers],[Consultant]],tblSalaries[[#This Row],[Salary in USD]],"")</f>
        <v/>
      </c>
      <c r="X727" s="13" t="str">
        <f>IF(tblSalaries[[#This Row],[Job Type]]=tblSalaries[[#Headers],[Controller]],tblSalaries[[#This Row],[Salary in USD]],"")</f>
        <v/>
      </c>
      <c r="Y727" s="13" t="str">
        <f>IF(tblSalaries[[#This Row],[Job Type]]=tblSalaries[[#Headers],[CXO or Top Mgmt.]],tblSalaries[[#This Row],[clean Salary (in local currency)]],"")</f>
        <v/>
      </c>
      <c r="Z727" s="13" t="str">
        <f>IF(tblSalaries[[#This Row],[Job Type]]=tblSalaries[[#Headers],[Engineer]],tblSalaries[[#This Row],[Salary in USD]],"")</f>
        <v/>
      </c>
      <c r="AA727" s="13">
        <f>IF(tblSalaries[[#This Row],[Job Type]]=tblSalaries[[#Headers],[Manager]],tblSalaries[[#This Row],[Salary in USD]],"")</f>
        <v>40000</v>
      </c>
      <c r="AB727" s="13" t="str">
        <f>IF(tblSalaries[[#This Row],[Job Type]]=tblSalaries[[#Headers],[Misc.]],tblSalaries[[#This Row],[Salary in USD]],"")</f>
        <v/>
      </c>
      <c r="AC727" s="13" t="str">
        <f>IF(tblSalaries[[#This Row],[Job Type]]=tblSalaries[[#Headers],[Reporting]],tblSalaries[[#This Row],[Salary in USD]],"")</f>
        <v/>
      </c>
      <c r="AD727" s="13" t="str">
        <f>IF(tblSalaries[[#This Row],[Job Type]]=tblSalaries[[#Headers],[Specialist]],tblSalaries[[#This Row],[Salary in USD]],"")</f>
        <v/>
      </c>
    </row>
    <row r="728" spans="2:30" ht="15" customHeight="1" x14ac:dyDescent="0.25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 s="9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  <c r="N728" t="str">
        <f>IF(tblSalaries[[#This Row],[Years of Experience]]="","",IF(tblSalaries[[#This Row],[Years of Experience]]&lt;=2,1,""))</f>
        <v/>
      </c>
      <c r="O728" t="str">
        <f>IF(tblSalaries[[#This Row],[Years of Experience]]="","",IF(AND(tblSalaries[[#This Row],[Years of Experience]]&gt;2,tblSalaries[[#This Row],[Years of Experience]]&lt;=5),1,""))</f>
        <v/>
      </c>
      <c r="P728" t="str">
        <f>IF(tblSalaries[[#This Row],[Years of Experience]]="","",IF(AND(tblSalaries[[#This Row],[Years of Experience]]&gt;5,tblSalaries[[#This Row],[Years of Experience]]&lt;=10),1,""))</f>
        <v/>
      </c>
      <c r="Q728">
        <f>IF(tblSalaries[[#This Row],[Years of Experience]]="","",IF(AND(tblSalaries[[#This Row],[Years of Experience]]&gt;10,tblSalaries[[#This Row],[Years of Experience]]&lt;=15),1,""))</f>
        <v>1</v>
      </c>
      <c r="R728" t="str">
        <f>IF(tblSalaries[[#This Row],[Years of Experience]]="","",IF(AND(tblSalaries[[#This Row],[Years of Experience]]&gt;16,tblSalaries[[#This Row],[Years of Experience]]&lt;=20),1,""))</f>
        <v/>
      </c>
      <c r="S728" t="str">
        <f>IF(tblSalaries[[#This Row],[Years of Experience]]="","",IF(tblSalaries[[#This Row],[Years of Experience]]&gt;20,1,""))</f>
        <v/>
      </c>
      <c r="T7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28" s="13" t="str">
        <f>IF(tblSalaries[[#This Row],[Job Type]]=tblSalaries[[#Headers],[Accountant]],tblSalaries[[#This Row],[Salary in USD]],"")</f>
        <v/>
      </c>
      <c r="V728" s="13">
        <f>IF(tblSalaries[[#This Row],[Job Type]]=tblSalaries[[#Headers],[Analyst]],tblSalaries[[#This Row],[Salary in USD]],"")</f>
        <v>5022</v>
      </c>
      <c r="W728" s="13" t="str">
        <f>IF(tblSalaries[[#This Row],[Job Type]]=tblSalaries[[#Headers],[Consultant]],tblSalaries[[#This Row],[Salary in USD]],"")</f>
        <v/>
      </c>
      <c r="X728" s="13" t="str">
        <f>IF(tblSalaries[[#This Row],[Job Type]]=tblSalaries[[#Headers],[Controller]],tblSalaries[[#This Row],[Salary in USD]],"")</f>
        <v/>
      </c>
      <c r="Y728" s="13" t="str">
        <f>IF(tblSalaries[[#This Row],[Job Type]]=tblSalaries[[#Headers],[CXO or Top Mgmt.]],tblSalaries[[#This Row],[clean Salary (in local currency)]],"")</f>
        <v/>
      </c>
      <c r="Z728" s="13" t="str">
        <f>IF(tblSalaries[[#This Row],[Job Type]]=tblSalaries[[#Headers],[Engineer]],tblSalaries[[#This Row],[Salary in USD]],"")</f>
        <v/>
      </c>
      <c r="AA728" s="13" t="str">
        <f>IF(tblSalaries[[#This Row],[Job Type]]=tblSalaries[[#Headers],[Manager]],tblSalaries[[#This Row],[Salary in USD]],"")</f>
        <v/>
      </c>
      <c r="AB728" s="13" t="str">
        <f>IF(tblSalaries[[#This Row],[Job Type]]=tblSalaries[[#Headers],[Misc.]],tblSalaries[[#This Row],[Salary in USD]],"")</f>
        <v/>
      </c>
      <c r="AC728" s="13" t="str">
        <f>IF(tblSalaries[[#This Row],[Job Type]]=tblSalaries[[#Headers],[Reporting]],tblSalaries[[#This Row],[Salary in USD]],"")</f>
        <v/>
      </c>
      <c r="AD728" s="13" t="str">
        <f>IF(tblSalaries[[#This Row],[Job Type]]=tblSalaries[[#Headers],[Specialist]],tblSalaries[[#This Row],[Salary in USD]],"")</f>
        <v/>
      </c>
    </row>
    <row r="729" spans="2:30" ht="15" customHeight="1" x14ac:dyDescent="0.25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 s="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  <c r="N729" t="str">
        <f>IF(tblSalaries[[#This Row],[Years of Experience]]="","",IF(tblSalaries[[#This Row],[Years of Experience]]&lt;=2,1,""))</f>
        <v/>
      </c>
      <c r="O729">
        <f>IF(tblSalaries[[#This Row],[Years of Experience]]="","",IF(AND(tblSalaries[[#This Row],[Years of Experience]]&gt;2,tblSalaries[[#This Row],[Years of Experience]]&lt;=5),1,""))</f>
        <v>1</v>
      </c>
      <c r="P729" t="str">
        <f>IF(tblSalaries[[#This Row],[Years of Experience]]="","",IF(AND(tblSalaries[[#This Row],[Years of Experience]]&gt;5,tblSalaries[[#This Row],[Years of Experience]]&lt;=10),1,""))</f>
        <v/>
      </c>
      <c r="Q729" t="str">
        <f>IF(tblSalaries[[#This Row],[Years of Experience]]="","",IF(AND(tblSalaries[[#This Row],[Years of Experience]]&gt;10,tblSalaries[[#This Row],[Years of Experience]]&lt;=15),1,""))</f>
        <v/>
      </c>
      <c r="R729" t="str">
        <f>IF(tblSalaries[[#This Row],[Years of Experience]]="","",IF(AND(tblSalaries[[#This Row],[Years of Experience]]&gt;16,tblSalaries[[#This Row],[Years of Experience]]&lt;=20),1,""))</f>
        <v/>
      </c>
      <c r="S729" t="str">
        <f>IF(tblSalaries[[#This Row],[Years of Experience]]="","",IF(tblSalaries[[#This Row],[Years of Experience]]&gt;20,1,""))</f>
        <v/>
      </c>
      <c r="T7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29" s="13" t="str">
        <f>IF(tblSalaries[[#This Row],[Job Type]]=tblSalaries[[#Headers],[Accountant]],tblSalaries[[#This Row],[Salary in USD]],"")</f>
        <v/>
      </c>
      <c r="V729" s="13">
        <f>IF(tblSalaries[[#This Row],[Job Type]]=tblSalaries[[#Headers],[Analyst]],tblSalaries[[#This Row],[Salary in USD]],"")</f>
        <v>7301.2458418514525</v>
      </c>
      <c r="W729" s="13" t="str">
        <f>IF(tblSalaries[[#This Row],[Job Type]]=tblSalaries[[#Headers],[Consultant]],tblSalaries[[#This Row],[Salary in USD]],"")</f>
        <v/>
      </c>
      <c r="X729" s="13" t="str">
        <f>IF(tblSalaries[[#This Row],[Job Type]]=tblSalaries[[#Headers],[Controller]],tblSalaries[[#This Row],[Salary in USD]],"")</f>
        <v/>
      </c>
      <c r="Y729" s="13" t="str">
        <f>IF(tblSalaries[[#This Row],[Job Type]]=tblSalaries[[#Headers],[CXO or Top Mgmt.]],tblSalaries[[#This Row],[clean Salary (in local currency)]],"")</f>
        <v/>
      </c>
      <c r="Z729" s="13" t="str">
        <f>IF(tblSalaries[[#This Row],[Job Type]]=tblSalaries[[#Headers],[Engineer]],tblSalaries[[#This Row],[Salary in USD]],"")</f>
        <v/>
      </c>
      <c r="AA729" s="13" t="str">
        <f>IF(tblSalaries[[#This Row],[Job Type]]=tblSalaries[[#Headers],[Manager]],tblSalaries[[#This Row],[Salary in USD]],"")</f>
        <v/>
      </c>
      <c r="AB729" s="13" t="str">
        <f>IF(tblSalaries[[#This Row],[Job Type]]=tblSalaries[[#Headers],[Misc.]],tblSalaries[[#This Row],[Salary in USD]],"")</f>
        <v/>
      </c>
      <c r="AC729" s="13" t="str">
        <f>IF(tblSalaries[[#This Row],[Job Type]]=tblSalaries[[#Headers],[Reporting]],tblSalaries[[#This Row],[Salary in USD]],"")</f>
        <v/>
      </c>
      <c r="AD729" s="13" t="str">
        <f>IF(tblSalaries[[#This Row],[Job Type]]=tblSalaries[[#Headers],[Specialist]],tblSalaries[[#This Row],[Salary in USD]],"")</f>
        <v/>
      </c>
    </row>
    <row r="730" spans="2:30" ht="15" customHeight="1" x14ac:dyDescent="0.25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 s="9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  <c r="N730" t="str">
        <f>IF(tblSalaries[[#This Row],[Years of Experience]]="","",IF(tblSalaries[[#This Row],[Years of Experience]]&lt;=2,1,""))</f>
        <v/>
      </c>
      <c r="O730">
        <f>IF(tblSalaries[[#This Row],[Years of Experience]]="","",IF(AND(tblSalaries[[#This Row],[Years of Experience]]&gt;2,tblSalaries[[#This Row],[Years of Experience]]&lt;=5),1,""))</f>
        <v>1</v>
      </c>
      <c r="P730" t="str">
        <f>IF(tblSalaries[[#This Row],[Years of Experience]]="","",IF(AND(tblSalaries[[#This Row],[Years of Experience]]&gt;5,tblSalaries[[#This Row],[Years of Experience]]&lt;=10),1,""))</f>
        <v/>
      </c>
      <c r="Q730" t="str">
        <f>IF(tblSalaries[[#This Row],[Years of Experience]]="","",IF(AND(tblSalaries[[#This Row],[Years of Experience]]&gt;10,tblSalaries[[#This Row],[Years of Experience]]&lt;=15),1,""))</f>
        <v/>
      </c>
      <c r="R730" t="str">
        <f>IF(tblSalaries[[#This Row],[Years of Experience]]="","",IF(AND(tblSalaries[[#This Row],[Years of Experience]]&gt;16,tblSalaries[[#This Row],[Years of Experience]]&lt;=20),1,""))</f>
        <v/>
      </c>
      <c r="S730" t="str">
        <f>IF(tblSalaries[[#This Row],[Years of Experience]]="","",IF(tblSalaries[[#This Row],[Years of Experience]]&gt;20,1,""))</f>
        <v/>
      </c>
      <c r="T7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30" s="13" t="str">
        <f>IF(tblSalaries[[#This Row],[Job Type]]=tblSalaries[[#Headers],[Accountant]],tblSalaries[[#This Row],[Salary in USD]],"")</f>
        <v/>
      </c>
      <c r="V730" s="13">
        <f>IF(tblSalaries[[#This Row],[Job Type]]=tblSalaries[[#Headers],[Analyst]],tblSalaries[[#This Row],[Salary in USD]],"")</f>
        <v>19831.432821021317</v>
      </c>
      <c r="W730" s="13" t="str">
        <f>IF(tblSalaries[[#This Row],[Job Type]]=tblSalaries[[#Headers],[Consultant]],tblSalaries[[#This Row],[Salary in USD]],"")</f>
        <v/>
      </c>
      <c r="X730" s="13" t="str">
        <f>IF(tblSalaries[[#This Row],[Job Type]]=tblSalaries[[#Headers],[Controller]],tblSalaries[[#This Row],[Salary in USD]],"")</f>
        <v/>
      </c>
      <c r="Y730" s="13" t="str">
        <f>IF(tblSalaries[[#This Row],[Job Type]]=tblSalaries[[#Headers],[CXO or Top Mgmt.]],tblSalaries[[#This Row],[clean Salary (in local currency)]],"")</f>
        <v/>
      </c>
      <c r="Z730" s="13" t="str">
        <f>IF(tblSalaries[[#This Row],[Job Type]]=tblSalaries[[#Headers],[Engineer]],tblSalaries[[#This Row],[Salary in USD]],"")</f>
        <v/>
      </c>
      <c r="AA730" s="13" t="str">
        <f>IF(tblSalaries[[#This Row],[Job Type]]=tblSalaries[[#Headers],[Manager]],tblSalaries[[#This Row],[Salary in USD]],"")</f>
        <v/>
      </c>
      <c r="AB730" s="13" t="str">
        <f>IF(tblSalaries[[#This Row],[Job Type]]=tblSalaries[[#Headers],[Misc.]],tblSalaries[[#This Row],[Salary in USD]],"")</f>
        <v/>
      </c>
      <c r="AC730" s="13" t="str">
        <f>IF(tblSalaries[[#This Row],[Job Type]]=tblSalaries[[#Headers],[Reporting]],tblSalaries[[#This Row],[Salary in USD]],"")</f>
        <v/>
      </c>
      <c r="AD730" s="13" t="str">
        <f>IF(tblSalaries[[#This Row],[Job Type]]=tblSalaries[[#Headers],[Specialist]],tblSalaries[[#This Row],[Salary in USD]],"")</f>
        <v/>
      </c>
    </row>
    <row r="731" spans="2:30" ht="15" customHeight="1" x14ac:dyDescent="0.25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 s="9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  <c r="N731" t="str">
        <f>IF(tblSalaries[[#This Row],[Years of Experience]]="","",IF(tblSalaries[[#This Row],[Years of Experience]]&lt;=2,1,""))</f>
        <v/>
      </c>
      <c r="O731">
        <f>IF(tblSalaries[[#This Row],[Years of Experience]]="","",IF(AND(tblSalaries[[#This Row],[Years of Experience]]&gt;2,tblSalaries[[#This Row],[Years of Experience]]&lt;=5),1,""))</f>
        <v>1</v>
      </c>
      <c r="P731" t="str">
        <f>IF(tblSalaries[[#This Row],[Years of Experience]]="","",IF(AND(tblSalaries[[#This Row],[Years of Experience]]&gt;5,tblSalaries[[#This Row],[Years of Experience]]&lt;=10),1,""))</f>
        <v/>
      </c>
      <c r="Q731" t="str">
        <f>IF(tblSalaries[[#This Row],[Years of Experience]]="","",IF(AND(tblSalaries[[#This Row],[Years of Experience]]&gt;10,tblSalaries[[#This Row],[Years of Experience]]&lt;=15),1,""))</f>
        <v/>
      </c>
      <c r="R731" t="str">
        <f>IF(tblSalaries[[#This Row],[Years of Experience]]="","",IF(AND(tblSalaries[[#This Row],[Years of Experience]]&gt;16,tblSalaries[[#This Row],[Years of Experience]]&lt;=20),1,""))</f>
        <v/>
      </c>
      <c r="S731" t="str">
        <f>IF(tblSalaries[[#This Row],[Years of Experience]]="","",IF(tblSalaries[[#This Row],[Years of Experience]]&gt;20,1,""))</f>
        <v/>
      </c>
      <c r="T7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31" s="13" t="str">
        <f>IF(tblSalaries[[#This Row],[Job Type]]=tblSalaries[[#Headers],[Accountant]],tblSalaries[[#This Row],[Salary in USD]],"")</f>
        <v/>
      </c>
      <c r="V731" s="13" t="str">
        <f>IF(tblSalaries[[#This Row],[Job Type]]=tblSalaries[[#Headers],[Analyst]],tblSalaries[[#This Row],[Salary in USD]],"")</f>
        <v/>
      </c>
      <c r="W731" s="13" t="str">
        <f>IF(tblSalaries[[#This Row],[Job Type]]=tblSalaries[[#Headers],[Consultant]],tblSalaries[[#This Row],[Salary in USD]],"")</f>
        <v/>
      </c>
      <c r="X731" s="13" t="str">
        <f>IF(tblSalaries[[#This Row],[Job Type]]=tblSalaries[[#Headers],[Controller]],tblSalaries[[#This Row],[Salary in USD]],"")</f>
        <v/>
      </c>
      <c r="Y731" s="13" t="str">
        <f>IF(tblSalaries[[#This Row],[Job Type]]=tblSalaries[[#Headers],[CXO or Top Mgmt.]],tblSalaries[[#This Row],[clean Salary (in local currency)]],"")</f>
        <v/>
      </c>
      <c r="Z731" s="13" t="str">
        <f>IF(tblSalaries[[#This Row],[Job Type]]=tblSalaries[[#Headers],[Engineer]],tblSalaries[[#This Row],[Salary in USD]],"")</f>
        <v/>
      </c>
      <c r="AA731" s="13">
        <f>IF(tblSalaries[[#This Row],[Job Type]]=tblSalaries[[#Headers],[Manager]],tblSalaries[[#This Row],[Salary in USD]],"")</f>
        <v>10684.750012465542</v>
      </c>
      <c r="AB731" s="13" t="str">
        <f>IF(tblSalaries[[#This Row],[Job Type]]=tblSalaries[[#Headers],[Misc.]],tblSalaries[[#This Row],[Salary in USD]],"")</f>
        <v/>
      </c>
      <c r="AC731" s="13" t="str">
        <f>IF(tblSalaries[[#This Row],[Job Type]]=tblSalaries[[#Headers],[Reporting]],tblSalaries[[#This Row],[Salary in USD]],"")</f>
        <v/>
      </c>
      <c r="AD731" s="13" t="str">
        <f>IF(tblSalaries[[#This Row],[Job Type]]=tblSalaries[[#Headers],[Specialist]],tblSalaries[[#This Row],[Salary in USD]],"")</f>
        <v/>
      </c>
    </row>
    <row r="732" spans="2:30" ht="15" customHeight="1" x14ac:dyDescent="0.25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 s="9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  <c r="N732">
        <f>IF(tblSalaries[[#This Row],[Years of Experience]]="","",IF(tblSalaries[[#This Row],[Years of Experience]]&lt;=2,1,""))</f>
        <v>1</v>
      </c>
      <c r="O732" t="str">
        <f>IF(tblSalaries[[#This Row],[Years of Experience]]="","",IF(AND(tblSalaries[[#This Row],[Years of Experience]]&gt;2,tblSalaries[[#This Row],[Years of Experience]]&lt;=5),1,""))</f>
        <v/>
      </c>
      <c r="P732" t="str">
        <f>IF(tblSalaries[[#This Row],[Years of Experience]]="","",IF(AND(tblSalaries[[#This Row],[Years of Experience]]&gt;5,tblSalaries[[#This Row],[Years of Experience]]&lt;=10),1,""))</f>
        <v/>
      </c>
      <c r="Q732" t="str">
        <f>IF(tblSalaries[[#This Row],[Years of Experience]]="","",IF(AND(tblSalaries[[#This Row],[Years of Experience]]&gt;10,tblSalaries[[#This Row],[Years of Experience]]&lt;=15),1,""))</f>
        <v/>
      </c>
      <c r="R732" t="str">
        <f>IF(tblSalaries[[#This Row],[Years of Experience]]="","",IF(AND(tblSalaries[[#This Row],[Years of Experience]]&gt;16,tblSalaries[[#This Row],[Years of Experience]]&lt;=20),1,""))</f>
        <v/>
      </c>
      <c r="S732" t="str">
        <f>IF(tblSalaries[[#This Row],[Years of Experience]]="","",IF(tblSalaries[[#This Row],[Years of Experience]]&gt;20,1,""))</f>
        <v/>
      </c>
      <c r="T7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32" s="13" t="str">
        <f>IF(tblSalaries[[#This Row],[Job Type]]=tblSalaries[[#Headers],[Accountant]],tblSalaries[[#This Row],[Salary in USD]],"")</f>
        <v/>
      </c>
      <c r="V732" s="13">
        <f>IF(tblSalaries[[#This Row],[Job Type]]=tblSalaries[[#Headers],[Analyst]],tblSalaries[[#This Row],[Salary in USD]],"")</f>
        <v>4800</v>
      </c>
      <c r="W732" s="13" t="str">
        <f>IF(tblSalaries[[#This Row],[Job Type]]=tblSalaries[[#Headers],[Consultant]],tblSalaries[[#This Row],[Salary in USD]],"")</f>
        <v/>
      </c>
      <c r="X732" s="13" t="str">
        <f>IF(tblSalaries[[#This Row],[Job Type]]=tblSalaries[[#Headers],[Controller]],tblSalaries[[#This Row],[Salary in USD]],"")</f>
        <v/>
      </c>
      <c r="Y732" s="13" t="str">
        <f>IF(tblSalaries[[#This Row],[Job Type]]=tblSalaries[[#Headers],[CXO or Top Mgmt.]],tblSalaries[[#This Row],[clean Salary (in local currency)]],"")</f>
        <v/>
      </c>
      <c r="Z732" s="13" t="str">
        <f>IF(tblSalaries[[#This Row],[Job Type]]=tblSalaries[[#Headers],[Engineer]],tblSalaries[[#This Row],[Salary in USD]],"")</f>
        <v/>
      </c>
      <c r="AA732" s="13" t="str">
        <f>IF(tblSalaries[[#This Row],[Job Type]]=tblSalaries[[#Headers],[Manager]],tblSalaries[[#This Row],[Salary in USD]],"")</f>
        <v/>
      </c>
      <c r="AB732" s="13" t="str">
        <f>IF(tblSalaries[[#This Row],[Job Type]]=tblSalaries[[#Headers],[Misc.]],tblSalaries[[#This Row],[Salary in USD]],"")</f>
        <v/>
      </c>
      <c r="AC732" s="13" t="str">
        <f>IF(tblSalaries[[#This Row],[Job Type]]=tblSalaries[[#Headers],[Reporting]],tblSalaries[[#This Row],[Salary in USD]],"")</f>
        <v/>
      </c>
      <c r="AD732" s="13" t="str">
        <f>IF(tblSalaries[[#This Row],[Job Type]]=tblSalaries[[#Headers],[Specialist]],tblSalaries[[#This Row],[Salary in USD]],"")</f>
        <v/>
      </c>
    </row>
    <row r="733" spans="2:30" ht="15" customHeight="1" x14ac:dyDescent="0.25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 s="9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  <c r="N733" t="str">
        <f>IF(tblSalaries[[#This Row],[Years of Experience]]="","",IF(tblSalaries[[#This Row],[Years of Experience]]&lt;=2,1,""))</f>
        <v/>
      </c>
      <c r="O733" t="str">
        <f>IF(tblSalaries[[#This Row],[Years of Experience]]="","",IF(AND(tblSalaries[[#This Row],[Years of Experience]]&gt;2,tblSalaries[[#This Row],[Years of Experience]]&lt;=5),1,""))</f>
        <v/>
      </c>
      <c r="P733">
        <f>IF(tblSalaries[[#This Row],[Years of Experience]]="","",IF(AND(tblSalaries[[#This Row],[Years of Experience]]&gt;5,tblSalaries[[#This Row],[Years of Experience]]&lt;=10),1,""))</f>
        <v>1</v>
      </c>
      <c r="Q733" t="str">
        <f>IF(tblSalaries[[#This Row],[Years of Experience]]="","",IF(AND(tblSalaries[[#This Row],[Years of Experience]]&gt;10,tblSalaries[[#This Row],[Years of Experience]]&lt;=15),1,""))</f>
        <v/>
      </c>
      <c r="R733" t="str">
        <f>IF(tblSalaries[[#This Row],[Years of Experience]]="","",IF(AND(tblSalaries[[#This Row],[Years of Experience]]&gt;16,tblSalaries[[#This Row],[Years of Experience]]&lt;=20),1,""))</f>
        <v/>
      </c>
      <c r="S733" t="str">
        <f>IF(tblSalaries[[#This Row],[Years of Experience]]="","",IF(tblSalaries[[#This Row],[Years of Experience]]&gt;20,1,""))</f>
        <v/>
      </c>
      <c r="T7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33" s="13" t="str">
        <f>IF(tblSalaries[[#This Row],[Job Type]]=tblSalaries[[#Headers],[Accountant]],tblSalaries[[#This Row],[Salary in USD]],"")</f>
        <v/>
      </c>
      <c r="V733" s="13">
        <f>IF(tblSalaries[[#This Row],[Job Type]]=tblSalaries[[#Headers],[Analyst]],tblSalaries[[#This Row],[Salary in USD]],"")</f>
        <v>83846.362973446114</v>
      </c>
      <c r="W733" s="13" t="str">
        <f>IF(tblSalaries[[#This Row],[Job Type]]=tblSalaries[[#Headers],[Consultant]],tblSalaries[[#This Row],[Salary in USD]],"")</f>
        <v/>
      </c>
      <c r="X733" s="13" t="str">
        <f>IF(tblSalaries[[#This Row],[Job Type]]=tblSalaries[[#Headers],[Controller]],tblSalaries[[#This Row],[Salary in USD]],"")</f>
        <v/>
      </c>
      <c r="Y733" s="13" t="str">
        <f>IF(tblSalaries[[#This Row],[Job Type]]=tblSalaries[[#Headers],[CXO or Top Mgmt.]],tblSalaries[[#This Row],[clean Salary (in local currency)]],"")</f>
        <v/>
      </c>
      <c r="Z733" s="13" t="str">
        <f>IF(tblSalaries[[#This Row],[Job Type]]=tblSalaries[[#Headers],[Engineer]],tblSalaries[[#This Row],[Salary in USD]],"")</f>
        <v/>
      </c>
      <c r="AA733" s="13" t="str">
        <f>IF(tblSalaries[[#This Row],[Job Type]]=tblSalaries[[#Headers],[Manager]],tblSalaries[[#This Row],[Salary in USD]],"")</f>
        <v/>
      </c>
      <c r="AB733" s="13" t="str">
        <f>IF(tblSalaries[[#This Row],[Job Type]]=tblSalaries[[#Headers],[Misc.]],tblSalaries[[#This Row],[Salary in USD]],"")</f>
        <v/>
      </c>
      <c r="AC733" s="13" t="str">
        <f>IF(tblSalaries[[#This Row],[Job Type]]=tblSalaries[[#Headers],[Reporting]],tblSalaries[[#This Row],[Salary in USD]],"")</f>
        <v/>
      </c>
      <c r="AD733" s="13" t="str">
        <f>IF(tblSalaries[[#This Row],[Job Type]]=tblSalaries[[#Headers],[Specialist]],tblSalaries[[#This Row],[Salary in USD]],"")</f>
        <v/>
      </c>
    </row>
    <row r="734" spans="2:30" ht="15" customHeight="1" x14ac:dyDescent="0.25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 s="9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  <c r="N734">
        <f>IF(tblSalaries[[#This Row],[Years of Experience]]="","",IF(tblSalaries[[#This Row],[Years of Experience]]&lt;=2,1,""))</f>
        <v>1</v>
      </c>
      <c r="O734" t="str">
        <f>IF(tblSalaries[[#This Row],[Years of Experience]]="","",IF(AND(tblSalaries[[#This Row],[Years of Experience]]&gt;2,tblSalaries[[#This Row],[Years of Experience]]&lt;=5),1,""))</f>
        <v/>
      </c>
      <c r="P734" t="str">
        <f>IF(tblSalaries[[#This Row],[Years of Experience]]="","",IF(AND(tblSalaries[[#This Row],[Years of Experience]]&gt;5,tblSalaries[[#This Row],[Years of Experience]]&lt;=10),1,""))</f>
        <v/>
      </c>
      <c r="Q734" t="str">
        <f>IF(tblSalaries[[#This Row],[Years of Experience]]="","",IF(AND(tblSalaries[[#This Row],[Years of Experience]]&gt;10,tblSalaries[[#This Row],[Years of Experience]]&lt;=15),1,""))</f>
        <v/>
      </c>
      <c r="R734" t="str">
        <f>IF(tblSalaries[[#This Row],[Years of Experience]]="","",IF(AND(tblSalaries[[#This Row],[Years of Experience]]&gt;16,tblSalaries[[#This Row],[Years of Experience]]&lt;=20),1,""))</f>
        <v/>
      </c>
      <c r="S734" t="str">
        <f>IF(tblSalaries[[#This Row],[Years of Experience]]="","",IF(tblSalaries[[#This Row],[Years of Experience]]&gt;20,1,""))</f>
        <v/>
      </c>
      <c r="T7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34" s="13" t="str">
        <f>IF(tblSalaries[[#This Row],[Job Type]]=tblSalaries[[#Headers],[Accountant]],tblSalaries[[#This Row],[Salary in USD]],"")</f>
        <v/>
      </c>
      <c r="V734" s="13" t="str">
        <f>IF(tblSalaries[[#This Row],[Job Type]]=tblSalaries[[#Headers],[Analyst]],tblSalaries[[#This Row],[Salary in USD]],"")</f>
        <v/>
      </c>
      <c r="W734" s="13" t="str">
        <f>IF(tblSalaries[[#This Row],[Job Type]]=tblSalaries[[#Headers],[Consultant]],tblSalaries[[#This Row],[Salary in USD]],"")</f>
        <v/>
      </c>
      <c r="X734" s="13">
        <f>IF(tblSalaries[[#This Row],[Job Type]]=tblSalaries[[#Headers],[Controller]],tblSalaries[[#This Row],[Salary in USD]],"")</f>
        <v>15000</v>
      </c>
      <c r="Y734" s="13" t="str">
        <f>IF(tblSalaries[[#This Row],[Job Type]]=tblSalaries[[#Headers],[CXO or Top Mgmt.]],tblSalaries[[#This Row],[clean Salary (in local currency)]],"")</f>
        <v/>
      </c>
      <c r="Z734" s="13" t="str">
        <f>IF(tblSalaries[[#This Row],[Job Type]]=tblSalaries[[#Headers],[Engineer]],tblSalaries[[#This Row],[Salary in USD]],"")</f>
        <v/>
      </c>
      <c r="AA734" s="13" t="str">
        <f>IF(tblSalaries[[#This Row],[Job Type]]=tblSalaries[[#Headers],[Manager]],tblSalaries[[#This Row],[Salary in USD]],"")</f>
        <v/>
      </c>
      <c r="AB734" s="13" t="str">
        <f>IF(tblSalaries[[#This Row],[Job Type]]=tblSalaries[[#Headers],[Misc.]],tblSalaries[[#This Row],[Salary in USD]],"")</f>
        <v/>
      </c>
      <c r="AC734" s="13" t="str">
        <f>IF(tblSalaries[[#This Row],[Job Type]]=tblSalaries[[#Headers],[Reporting]],tblSalaries[[#This Row],[Salary in USD]],"")</f>
        <v/>
      </c>
      <c r="AD734" s="13" t="str">
        <f>IF(tblSalaries[[#This Row],[Job Type]]=tblSalaries[[#Headers],[Specialist]],tblSalaries[[#This Row],[Salary in USD]],"")</f>
        <v/>
      </c>
    </row>
    <row r="735" spans="2:30" ht="15" customHeight="1" x14ac:dyDescent="0.25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 s="9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  <c r="N735" t="str">
        <f>IF(tblSalaries[[#This Row],[Years of Experience]]="","",IF(tblSalaries[[#This Row],[Years of Experience]]&lt;=2,1,""))</f>
        <v/>
      </c>
      <c r="O735" t="str">
        <f>IF(tblSalaries[[#This Row],[Years of Experience]]="","",IF(AND(tblSalaries[[#This Row],[Years of Experience]]&gt;2,tblSalaries[[#This Row],[Years of Experience]]&lt;=5),1,""))</f>
        <v/>
      </c>
      <c r="P735" t="str">
        <f>IF(tblSalaries[[#This Row],[Years of Experience]]="","",IF(AND(tblSalaries[[#This Row],[Years of Experience]]&gt;5,tblSalaries[[#This Row],[Years of Experience]]&lt;=10),1,""))</f>
        <v/>
      </c>
      <c r="Q735">
        <f>IF(tblSalaries[[#This Row],[Years of Experience]]="","",IF(AND(tblSalaries[[#This Row],[Years of Experience]]&gt;10,tblSalaries[[#This Row],[Years of Experience]]&lt;=15),1,""))</f>
        <v>1</v>
      </c>
      <c r="R735" t="str">
        <f>IF(tblSalaries[[#This Row],[Years of Experience]]="","",IF(AND(tblSalaries[[#This Row],[Years of Experience]]&gt;16,tblSalaries[[#This Row],[Years of Experience]]&lt;=20),1,""))</f>
        <v/>
      </c>
      <c r="S735" t="str">
        <f>IF(tblSalaries[[#This Row],[Years of Experience]]="","",IF(tblSalaries[[#This Row],[Years of Experience]]&gt;20,1,""))</f>
        <v/>
      </c>
      <c r="T7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35" s="13" t="str">
        <f>IF(tblSalaries[[#This Row],[Job Type]]=tblSalaries[[#Headers],[Accountant]],tblSalaries[[#This Row],[Salary in USD]],"")</f>
        <v/>
      </c>
      <c r="V735" s="13">
        <f>IF(tblSalaries[[#This Row],[Job Type]]=tblSalaries[[#Headers],[Analyst]],tblSalaries[[#This Row],[Salary in USD]],"")</f>
        <v>10000</v>
      </c>
      <c r="W735" s="13" t="str">
        <f>IF(tblSalaries[[#This Row],[Job Type]]=tblSalaries[[#Headers],[Consultant]],tblSalaries[[#This Row],[Salary in USD]],"")</f>
        <v/>
      </c>
      <c r="X735" s="13" t="str">
        <f>IF(tblSalaries[[#This Row],[Job Type]]=tblSalaries[[#Headers],[Controller]],tblSalaries[[#This Row],[Salary in USD]],"")</f>
        <v/>
      </c>
      <c r="Y735" s="13" t="str">
        <f>IF(tblSalaries[[#This Row],[Job Type]]=tblSalaries[[#Headers],[CXO or Top Mgmt.]],tblSalaries[[#This Row],[clean Salary (in local currency)]],"")</f>
        <v/>
      </c>
      <c r="Z735" s="13" t="str">
        <f>IF(tblSalaries[[#This Row],[Job Type]]=tblSalaries[[#Headers],[Engineer]],tblSalaries[[#This Row],[Salary in USD]],"")</f>
        <v/>
      </c>
      <c r="AA735" s="13" t="str">
        <f>IF(tblSalaries[[#This Row],[Job Type]]=tblSalaries[[#Headers],[Manager]],tblSalaries[[#This Row],[Salary in USD]],"")</f>
        <v/>
      </c>
      <c r="AB735" s="13" t="str">
        <f>IF(tblSalaries[[#This Row],[Job Type]]=tblSalaries[[#Headers],[Misc.]],tblSalaries[[#This Row],[Salary in USD]],"")</f>
        <v/>
      </c>
      <c r="AC735" s="13" t="str">
        <f>IF(tblSalaries[[#This Row],[Job Type]]=tblSalaries[[#Headers],[Reporting]],tblSalaries[[#This Row],[Salary in USD]],"")</f>
        <v/>
      </c>
      <c r="AD735" s="13" t="str">
        <f>IF(tblSalaries[[#This Row],[Job Type]]=tblSalaries[[#Headers],[Specialist]],tblSalaries[[#This Row],[Salary in USD]],"")</f>
        <v/>
      </c>
    </row>
    <row r="736" spans="2:30" ht="15" customHeight="1" x14ac:dyDescent="0.25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 s="9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  <c r="N736" t="str">
        <f>IF(tblSalaries[[#This Row],[Years of Experience]]="","",IF(tblSalaries[[#This Row],[Years of Experience]]&lt;=2,1,""))</f>
        <v/>
      </c>
      <c r="O736">
        <f>IF(tblSalaries[[#This Row],[Years of Experience]]="","",IF(AND(tblSalaries[[#This Row],[Years of Experience]]&gt;2,tblSalaries[[#This Row],[Years of Experience]]&lt;=5),1,""))</f>
        <v>1</v>
      </c>
      <c r="P736" t="str">
        <f>IF(tblSalaries[[#This Row],[Years of Experience]]="","",IF(AND(tblSalaries[[#This Row],[Years of Experience]]&gt;5,tblSalaries[[#This Row],[Years of Experience]]&lt;=10),1,""))</f>
        <v/>
      </c>
      <c r="Q736" t="str">
        <f>IF(tblSalaries[[#This Row],[Years of Experience]]="","",IF(AND(tblSalaries[[#This Row],[Years of Experience]]&gt;10,tblSalaries[[#This Row],[Years of Experience]]&lt;=15),1,""))</f>
        <v/>
      </c>
      <c r="R736" t="str">
        <f>IF(tblSalaries[[#This Row],[Years of Experience]]="","",IF(AND(tblSalaries[[#This Row],[Years of Experience]]&gt;16,tblSalaries[[#This Row],[Years of Experience]]&lt;=20),1,""))</f>
        <v/>
      </c>
      <c r="S736" t="str">
        <f>IF(tblSalaries[[#This Row],[Years of Experience]]="","",IF(tblSalaries[[#This Row],[Years of Experience]]&gt;20,1,""))</f>
        <v/>
      </c>
      <c r="T7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36" s="13" t="str">
        <f>IF(tblSalaries[[#This Row],[Job Type]]=tblSalaries[[#Headers],[Accountant]],tblSalaries[[#This Row],[Salary in USD]],"")</f>
        <v/>
      </c>
      <c r="V736" s="13" t="str">
        <f>IF(tblSalaries[[#This Row],[Job Type]]=tblSalaries[[#Headers],[Analyst]],tblSalaries[[#This Row],[Salary in USD]],"")</f>
        <v/>
      </c>
      <c r="W736" s="13" t="str">
        <f>IF(tblSalaries[[#This Row],[Job Type]]=tblSalaries[[#Headers],[Consultant]],tblSalaries[[#This Row],[Salary in USD]],"")</f>
        <v/>
      </c>
      <c r="X736" s="13" t="str">
        <f>IF(tblSalaries[[#This Row],[Job Type]]=tblSalaries[[#Headers],[Controller]],tblSalaries[[#This Row],[Salary in USD]],"")</f>
        <v/>
      </c>
      <c r="Y736" s="13" t="str">
        <f>IF(tblSalaries[[#This Row],[Job Type]]=tblSalaries[[#Headers],[CXO or Top Mgmt.]],tblSalaries[[#This Row],[clean Salary (in local currency)]],"")</f>
        <v/>
      </c>
      <c r="Z736" s="13" t="str">
        <f>IF(tblSalaries[[#This Row],[Job Type]]=tblSalaries[[#Headers],[Engineer]],tblSalaries[[#This Row],[Salary in USD]],"")</f>
        <v/>
      </c>
      <c r="AA736" s="13">
        <f>IF(tblSalaries[[#This Row],[Job Type]]=tblSalaries[[#Headers],[Manager]],tblSalaries[[#This Row],[Salary in USD]],"")</f>
        <v>116637.19213297902</v>
      </c>
      <c r="AB736" s="13" t="str">
        <f>IF(tblSalaries[[#This Row],[Job Type]]=tblSalaries[[#Headers],[Misc.]],tblSalaries[[#This Row],[Salary in USD]],"")</f>
        <v/>
      </c>
      <c r="AC736" s="13" t="str">
        <f>IF(tblSalaries[[#This Row],[Job Type]]=tblSalaries[[#Headers],[Reporting]],tblSalaries[[#This Row],[Salary in USD]],"")</f>
        <v/>
      </c>
      <c r="AD736" s="13" t="str">
        <f>IF(tblSalaries[[#This Row],[Job Type]]=tblSalaries[[#Headers],[Specialist]],tblSalaries[[#This Row],[Salary in USD]],"")</f>
        <v/>
      </c>
    </row>
    <row r="737" spans="2:30" ht="15" customHeight="1" x14ac:dyDescent="0.25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 s="9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  <c r="N737">
        <f>IF(tblSalaries[[#This Row],[Years of Experience]]="","",IF(tblSalaries[[#This Row],[Years of Experience]]&lt;=2,1,""))</f>
        <v>1</v>
      </c>
      <c r="O737" t="str">
        <f>IF(tblSalaries[[#This Row],[Years of Experience]]="","",IF(AND(tblSalaries[[#This Row],[Years of Experience]]&gt;2,tblSalaries[[#This Row],[Years of Experience]]&lt;=5),1,""))</f>
        <v/>
      </c>
      <c r="P737" t="str">
        <f>IF(tblSalaries[[#This Row],[Years of Experience]]="","",IF(AND(tblSalaries[[#This Row],[Years of Experience]]&gt;5,tblSalaries[[#This Row],[Years of Experience]]&lt;=10),1,""))</f>
        <v/>
      </c>
      <c r="Q737" t="str">
        <f>IF(tblSalaries[[#This Row],[Years of Experience]]="","",IF(AND(tblSalaries[[#This Row],[Years of Experience]]&gt;10,tblSalaries[[#This Row],[Years of Experience]]&lt;=15),1,""))</f>
        <v/>
      </c>
      <c r="R737" t="str">
        <f>IF(tblSalaries[[#This Row],[Years of Experience]]="","",IF(AND(tblSalaries[[#This Row],[Years of Experience]]&gt;16,tblSalaries[[#This Row],[Years of Experience]]&lt;=20),1,""))</f>
        <v/>
      </c>
      <c r="S737" t="str">
        <f>IF(tblSalaries[[#This Row],[Years of Experience]]="","",IF(tblSalaries[[#This Row],[Years of Experience]]&gt;20,1,""))</f>
        <v/>
      </c>
      <c r="T7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37" s="13" t="str">
        <f>IF(tblSalaries[[#This Row],[Job Type]]=tblSalaries[[#Headers],[Accountant]],tblSalaries[[#This Row],[Salary in USD]],"")</f>
        <v/>
      </c>
      <c r="V737" s="13">
        <f>IF(tblSalaries[[#This Row],[Job Type]]=tblSalaries[[#Headers],[Analyst]],tblSalaries[[#This Row],[Salary in USD]],"")</f>
        <v>34357.533974522659</v>
      </c>
      <c r="W737" s="13" t="str">
        <f>IF(tblSalaries[[#This Row],[Job Type]]=tblSalaries[[#Headers],[Consultant]],tblSalaries[[#This Row],[Salary in USD]],"")</f>
        <v/>
      </c>
      <c r="X737" s="13" t="str">
        <f>IF(tblSalaries[[#This Row],[Job Type]]=tblSalaries[[#Headers],[Controller]],tblSalaries[[#This Row],[Salary in USD]],"")</f>
        <v/>
      </c>
      <c r="Y737" s="13" t="str">
        <f>IF(tblSalaries[[#This Row],[Job Type]]=tblSalaries[[#Headers],[CXO or Top Mgmt.]],tblSalaries[[#This Row],[clean Salary (in local currency)]],"")</f>
        <v/>
      </c>
      <c r="Z737" s="13" t="str">
        <f>IF(tblSalaries[[#This Row],[Job Type]]=tblSalaries[[#Headers],[Engineer]],tblSalaries[[#This Row],[Salary in USD]],"")</f>
        <v/>
      </c>
      <c r="AA737" s="13" t="str">
        <f>IF(tblSalaries[[#This Row],[Job Type]]=tblSalaries[[#Headers],[Manager]],tblSalaries[[#This Row],[Salary in USD]],"")</f>
        <v/>
      </c>
      <c r="AB737" s="13" t="str">
        <f>IF(tblSalaries[[#This Row],[Job Type]]=tblSalaries[[#Headers],[Misc.]],tblSalaries[[#This Row],[Salary in USD]],"")</f>
        <v/>
      </c>
      <c r="AC737" s="13" t="str">
        <f>IF(tblSalaries[[#This Row],[Job Type]]=tblSalaries[[#Headers],[Reporting]],tblSalaries[[#This Row],[Salary in USD]],"")</f>
        <v/>
      </c>
      <c r="AD737" s="13" t="str">
        <f>IF(tblSalaries[[#This Row],[Job Type]]=tblSalaries[[#Headers],[Specialist]],tblSalaries[[#This Row],[Salary in USD]],"")</f>
        <v/>
      </c>
    </row>
    <row r="738" spans="2:30" ht="15" customHeight="1" x14ac:dyDescent="0.25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 s="9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  <c r="N738" t="str">
        <f>IF(tblSalaries[[#This Row],[Years of Experience]]="","",IF(tblSalaries[[#This Row],[Years of Experience]]&lt;=2,1,""))</f>
        <v/>
      </c>
      <c r="O738" t="str">
        <f>IF(tblSalaries[[#This Row],[Years of Experience]]="","",IF(AND(tblSalaries[[#This Row],[Years of Experience]]&gt;2,tblSalaries[[#This Row],[Years of Experience]]&lt;=5),1,""))</f>
        <v/>
      </c>
      <c r="P738" t="str">
        <f>IF(tblSalaries[[#This Row],[Years of Experience]]="","",IF(AND(tblSalaries[[#This Row],[Years of Experience]]&gt;5,tblSalaries[[#This Row],[Years of Experience]]&lt;=10),1,""))</f>
        <v/>
      </c>
      <c r="Q738">
        <f>IF(tblSalaries[[#This Row],[Years of Experience]]="","",IF(AND(tblSalaries[[#This Row],[Years of Experience]]&gt;10,tblSalaries[[#This Row],[Years of Experience]]&lt;=15),1,""))</f>
        <v>1</v>
      </c>
      <c r="R738" t="str">
        <f>IF(tblSalaries[[#This Row],[Years of Experience]]="","",IF(AND(tblSalaries[[#This Row],[Years of Experience]]&gt;16,tblSalaries[[#This Row],[Years of Experience]]&lt;=20),1,""))</f>
        <v/>
      </c>
      <c r="S738" t="str">
        <f>IF(tblSalaries[[#This Row],[Years of Experience]]="","",IF(tblSalaries[[#This Row],[Years of Experience]]&gt;20,1,""))</f>
        <v/>
      </c>
      <c r="T7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38" s="13" t="str">
        <f>IF(tblSalaries[[#This Row],[Job Type]]=tblSalaries[[#Headers],[Accountant]],tblSalaries[[#This Row],[Salary in USD]],"")</f>
        <v/>
      </c>
      <c r="V738" s="13" t="str">
        <f>IF(tblSalaries[[#This Row],[Job Type]]=tblSalaries[[#Headers],[Analyst]],tblSalaries[[#This Row],[Salary in USD]],"")</f>
        <v/>
      </c>
      <c r="W738" s="13" t="str">
        <f>IF(tblSalaries[[#This Row],[Job Type]]=tblSalaries[[#Headers],[Consultant]],tblSalaries[[#This Row],[Salary in USD]],"")</f>
        <v/>
      </c>
      <c r="X738" s="13" t="str">
        <f>IF(tblSalaries[[#This Row],[Job Type]]=tblSalaries[[#Headers],[Controller]],tblSalaries[[#This Row],[Salary in USD]],"")</f>
        <v/>
      </c>
      <c r="Y738" s="13" t="str">
        <f>IF(tblSalaries[[#This Row],[Job Type]]=tblSalaries[[#Headers],[CXO or Top Mgmt.]],tblSalaries[[#This Row],[clean Salary (in local currency)]],"")</f>
        <v/>
      </c>
      <c r="Z738" s="13" t="str">
        <f>IF(tblSalaries[[#This Row],[Job Type]]=tblSalaries[[#Headers],[Engineer]],tblSalaries[[#This Row],[Salary in USD]],"")</f>
        <v/>
      </c>
      <c r="AA738" s="13">
        <f>IF(tblSalaries[[#This Row],[Job Type]]=tblSalaries[[#Headers],[Manager]],tblSalaries[[#This Row],[Salary in USD]],"")</f>
        <v>102451.58768437347</v>
      </c>
      <c r="AB738" s="13" t="str">
        <f>IF(tblSalaries[[#This Row],[Job Type]]=tblSalaries[[#Headers],[Misc.]],tblSalaries[[#This Row],[Salary in USD]],"")</f>
        <v/>
      </c>
      <c r="AC738" s="13" t="str">
        <f>IF(tblSalaries[[#This Row],[Job Type]]=tblSalaries[[#Headers],[Reporting]],tblSalaries[[#This Row],[Salary in USD]],"")</f>
        <v/>
      </c>
      <c r="AD738" s="13" t="str">
        <f>IF(tblSalaries[[#This Row],[Job Type]]=tblSalaries[[#Headers],[Specialist]],tblSalaries[[#This Row],[Salary in USD]],"")</f>
        <v/>
      </c>
    </row>
    <row r="739" spans="2:30" ht="15" customHeight="1" x14ac:dyDescent="0.25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 s="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  <c r="N739" t="str">
        <f>IF(tblSalaries[[#This Row],[Years of Experience]]="","",IF(tblSalaries[[#This Row],[Years of Experience]]&lt;=2,1,""))</f>
        <v/>
      </c>
      <c r="O739">
        <f>IF(tblSalaries[[#This Row],[Years of Experience]]="","",IF(AND(tblSalaries[[#This Row],[Years of Experience]]&gt;2,tblSalaries[[#This Row],[Years of Experience]]&lt;=5),1,""))</f>
        <v>1</v>
      </c>
      <c r="P739" t="str">
        <f>IF(tblSalaries[[#This Row],[Years of Experience]]="","",IF(AND(tblSalaries[[#This Row],[Years of Experience]]&gt;5,tblSalaries[[#This Row],[Years of Experience]]&lt;=10),1,""))</f>
        <v/>
      </c>
      <c r="Q739" t="str">
        <f>IF(tblSalaries[[#This Row],[Years of Experience]]="","",IF(AND(tblSalaries[[#This Row],[Years of Experience]]&gt;10,tblSalaries[[#This Row],[Years of Experience]]&lt;=15),1,""))</f>
        <v/>
      </c>
      <c r="R739" t="str">
        <f>IF(tblSalaries[[#This Row],[Years of Experience]]="","",IF(AND(tblSalaries[[#This Row],[Years of Experience]]&gt;16,tblSalaries[[#This Row],[Years of Experience]]&lt;=20),1,""))</f>
        <v/>
      </c>
      <c r="S739" t="str">
        <f>IF(tblSalaries[[#This Row],[Years of Experience]]="","",IF(tblSalaries[[#This Row],[Years of Experience]]&gt;20,1,""))</f>
        <v/>
      </c>
      <c r="T7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39" s="13" t="str">
        <f>IF(tblSalaries[[#This Row],[Job Type]]=tblSalaries[[#Headers],[Accountant]],tblSalaries[[#This Row],[Salary in USD]],"")</f>
        <v/>
      </c>
      <c r="V739" s="13" t="str">
        <f>IF(tblSalaries[[#This Row],[Job Type]]=tblSalaries[[#Headers],[Analyst]],tblSalaries[[#This Row],[Salary in USD]],"")</f>
        <v/>
      </c>
      <c r="W739" s="13" t="str">
        <f>IF(tblSalaries[[#This Row],[Job Type]]=tblSalaries[[#Headers],[Consultant]],tblSalaries[[#This Row],[Salary in USD]],"")</f>
        <v/>
      </c>
      <c r="X739" s="13" t="str">
        <f>IF(tblSalaries[[#This Row],[Job Type]]=tblSalaries[[#Headers],[Controller]],tblSalaries[[#This Row],[Salary in USD]],"")</f>
        <v/>
      </c>
      <c r="Y739" s="13" t="str">
        <f>IF(tblSalaries[[#This Row],[Job Type]]=tblSalaries[[#Headers],[CXO or Top Mgmt.]],tblSalaries[[#This Row],[clean Salary (in local currency)]],"")</f>
        <v/>
      </c>
      <c r="Z739" s="13">
        <f>IF(tblSalaries[[#This Row],[Job Type]]=tblSalaries[[#Headers],[Engineer]],tblSalaries[[#This Row],[Salary in USD]],"")</f>
        <v>16000</v>
      </c>
      <c r="AA739" s="13" t="str">
        <f>IF(tblSalaries[[#This Row],[Job Type]]=tblSalaries[[#Headers],[Manager]],tblSalaries[[#This Row],[Salary in USD]],"")</f>
        <v/>
      </c>
      <c r="AB739" s="13" t="str">
        <f>IF(tblSalaries[[#This Row],[Job Type]]=tblSalaries[[#Headers],[Misc.]],tblSalaries[[#This Row],[Salary in USD]],"")</f>
        <v/>
      </c>
      <c r="AC739" s="13" t="str">
        <f>IF(tblSalaries[[#This Row],[Job Type]]=tblSalaries[[#Headers],[Reporting]],tblSalaries[[#This Row],[Salary in USD]],"")</f>
        <v/>
      </c>
      <c r="AD739" s="13" t="str">
        <f>IF(tblSalaries[[#This Row],[Job Type]]=tblSalaries[[#Headers],[Specialist]],tblSalaries[[#This Row],[Salary in USD]],"")</f>
        <v/>
      </c>
    </row>
    <row r="740" spans="2:30" ht="15" customHeight="1" x14ac:dyDescent="0.25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 s="9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  <c r="N740" t="str">
        <f>IF(tblSalaries[[#This Row],[Years of Experience]]="","",IF(tblSalaries[[#This Row],[Years of Experience]]&lt;=2,1,""))</f>
        <v/>
      </c>
      <c r="O740" t="str">
        <f>IF(tblSalaries[[#This Row],[Years of Experience]]="","",IF(AND(tblSalaries[[#This Row],[Years of Experience]]&gt;2,tblSalaries[[#This Row],[Years of Experience]]&lt;=5),1,""))</f>
        <v/>
      </c>
      <c r="P740">
        <f>IF(tblSalaries[[#This Row],[Years of Experience]]="","",IF(AND(tblSalaries[[#This Row],[Years of Experience]]&gt;5,tblSalaries[[#This Row],[Years of Experience]]&lt;=10),1,""))</f>
        <v>1</v>
      </c>
      <c r="Q740" t="str">
        <f>IF(tblSalaries[[#This Row],[Years of Experience]]="","",IF(AND(tblSalaries[[#This Row],[Years of Experience]]&gt;10,tblSalaries[[#This Row],[Years of Experience]]&lt;=15),1,""))</f>
        <v/>
      </c>
      <c r="R740" t="str">
        <f>IF(tblSalaries[[#This Row],[Years of Experience]]="","",IF(AND(tblSalaries[[#This Row],[Years of Experience]]&gt;16,tblSalaries[[#This Row],[Years of Experience]]&lt;=20),1,""))</f>
        <v/>
      </c>
      <c r="S740" t="str">
        <f>IF(tblSalaries[[#This Row],[Years of Experience]]="","",IF(tblSalaries[[#This Row],[Years of Experience]]&gt;20,1,""))</f>
        <v/>
      </c>
      <c r="T7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0" s="13" t="str">
        <f>IF(tblSalaries[[#This Row],[Job Type]]=tblSalaries[[#Headers],[Accountant]],tblSalaries[[#This Row],[Salary in USD]],"")</f>
        <v/>
      </c>
      <c r="V740" s="13" t="str">
        <f>IF(tblSalaries[[#This Row],[Job Type]]=tblSalaries[[#Headers],[Analyst]],tblSalaries[[#This Row],[Salary in USD]],"")</f>
        <v/>
      </c>
      <c r="W740" s="13" t="str">
        <f>IF(tblSalaries[[#This Row],[Job Type]]=tblSalaries[[#Headers],[Consultant]],tblSalaries[[#This Row],[Salary in USD]],"")</f>
        <v/>
      </c>
      <c r="X740" s="13" t="str">
        <f>IF(tblSalaries[[#This Row],[Job Type]]=tblSalaries[[#Headers],[Controller]],tblSalaries[[#This Row],[Salary in USD]],"")</f>
        <v/>
      </c>
      <c r="Y740" s="13" t="str">
        <f>IF(tblSalaries[[#This Row],[Job Type]]=tblSalaries[[#Headers],[CXO or Top Mgmt.]],tblSalaries[[#This Row],[clean Salary (in local currency)]],"")</f>
        <v/>
      </c>
      <c r="Z740" s="13" t="str">
        <f>IF(tblSalaries[[#This Row],[Job Type]]=tblSalaries[[#Headers],[Engineer]],tblSalaries[[#This Row],[Salary in USD]],"")</f>
        <v/>
      </c>
      <c r="AA740" s="13">
        <f>IF(tblSalaries[[#This Row],[Job Type]]=tblSalaries[[#Headers],[Manager]],tblSalaries[[#This Row],[Salary in USD]],"")</f>
        <v>6000</v>
      </c>
      <c r="AB740" s="13" t="str">
        <f>IF(tblSalaries[[#This Row],[Job Type]]=tblSalaries[[#Headers],[Misc.]],tblSalaries[[#This Row],[Salary in USD]],"")</f>
        <v/>
      </c>
      <c r="AC740" s="13" t="str">
        <f>IF(tblSalaries[[#This Row],[Job Type]]=tblSalaries[[#Headers],[Reporting]],tblSalaries[[#This Row],[Salary in USD]],"")</f>
        <v/>
      </c>
      <c r="AD740" s="13" t="str">
        <f>IF(tblSalaries[[#This Row],[Job Type]]=tblSalaries[[#Headers],[Specialist]],tblSalaries[[#This Row],[Salary in USD]],"")</f>
        <v/>
      </c>
    </row>
    <row r="741" spans="2:30" ht="15" customHeight="1" x14ac:dyDescent="0.25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 s="9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  <c r="N741" t="str">
        <f>IF(tblSalaries[[#This Row],[Years of Experience]]="","",IF(tblSalaries[[#This Row],[Years of Experience]]&lt;=2,1,""))</f>
        <v/>
      </c>
      <c r="O741" t="str">
        <f>IF(tblSalaries[[#This Row],[Years of Experience]]="","",IF(AND(tblSalaries[[#This Row],[Years of Experience]]&gt;2,tblSalaries[[#This Row],[Years of Experience]]&lt;=5),1,""))</f>
        <v/>
      </c>
      <c r="P741">
        <f>IF(tblSalaries[[#This Row],[Years of Experience]]="","",IF(AND(tblSalaries[[#This Row],[Years of Experience]]&gt;5,tblSalaries[[#This Row],[Years of Experience]]&lt;=10),1,""))</f>
        <v>1</v>
      </c>
      <c r="Q741" t="str">
        <f>IF(tblSalaries[[#This Row],[Years of Experience]]="","",IF(AND(tblSalaries[[#This Row],[Years of Experience]]&gt;10,tblSalaries[[#This Row],[Years of Experience]]&lt;=15),1,""))</f>
        <v/>
      </c>
      <c r="R741" t="str">
        <f>IF(tblSalaries[[#This Row],[Years of Experience]]="","",IF(AND(tblSalaries[[#This Row],[Years of Experience]]&gt;16,tblSalaries[[#This Row],[Years of Experience]]&lt;=20),1,""))</f>
        <v/>
      </c>
      <c r="S741" t="str">
        <f>IF(tblSalaries[[#This Row],[Years of Experience]]="","",IF(tblSalaries[[#This Row],[Years of Experience]]&gt;20,1,""))</f>
        <v/>
      </c>
      <c r="T7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1" s="13" t="str">
        <f>IF(tblSalaries[[#This Row],[Job Type]]=tblSalaries[[#Headers],[Accountant]],tblSalaries[[#This Row],[Salary in USD]],"")</f>
        <v/>
      </c>
      <c r="V741" s="13" t="str">
        <f>IF(tblSalaries[[#This Row],[Job Type]]=tblSalaries[[#Headers],[Analyst]],tblSalaries[[#This Row],[Salary in USD]],"")</f>
        <v/>
      </c>
      <c r="W741" s="13" t="str">
        <f>IF(tblSalaries[[#This Row],[Job Type]]=tblSalaries[[#Headers],[Consultant]],tblSalaries[[#This Row],[Salary in USD]],"")</f>
        <v/>
      </c>
      <c r="X741" s="13" t="str">
        <f>IF(tblSalaries[[#This Row],[Job Type]]=tblSalaries[[#Headers],[Controller]],tblSalaries[[#This Row],[Salary in USD]],"")</f>
        <v/>
      </c>
      <c r="Y741" s="13" t="str">
        <f>IF(tblSalaries[[#This Row],[Job Type]]=tblSalaries[[#Headers],[CXO or Top Mgmt.]],tblSalaries[[#This Row],[clean Salary (in local currency)]],"")</f>
        <v/>
      </c>
      <c r="Z741" s="13" t="str">
        <f>IF(tblSalaries[[#This Row],[Job Type]]=tblSalaries[[#Headers],[Engineer]],tblSalaries[[#This Row],[Salary in USD]],"")</f>
        <v/>
      </c>
      <c r="AA741" s="13">
        <f>IF(tblSalaries[[#This Row],[Job Type]]=tblSalaries[[#Headers],[Manager]],tblSalaries[[#This Row],[Salary in USD]],"")</f>
        <v>6410.8500074793246</v>
      </c>
      <c r="AB741" s="13" t="str">
        <f>IF(tblSalaries[[#This Row],[Job Type]]=tblSalaries[[#Headers],[Misc.]],tblSalaries[[#This Row],[Salary in USD]],"")</f>
        <v/>
      </c>
      <c r="AC741" s="13" t="str">
        <f>IF(tblSalaries[[#This Row],[Job Type]]=tblSalaries[[#Headers],[Reporting]],tblSalaries[[#This Row],[Salary in USD]],"")</f>
        <v/>
      </c>
      <c r="AD741" s="13" t="str">
        <f>IF(tblSalaries[[#This Row],[Job Type]]=tblSalaries[[#Headers],[Specialist]],tblSalaries[[#This Row],[Salary in USD]],"")</f>
        <v/>
      </c>
    </row>
    <row r="742" spans="2:30" ht="15" customHeight="1" x14ac:dyDescent="0.25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 s="9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  <c r="N742" t="str">
        <f>IF(tblSalaries[[#This Row],[Years of Experience]]="","",IF(tblSalaries[[#This Row],[Years of Experience]]&lt;=2,1,""))</f>
        <v/>
      </c>
      <c r="O742" t="str">
        <f>IF(tblSalaries[[#This Row],[Years of Experience]]="","",IF(AND(tblSalaries[[#This Row],[Years of Experience]]&gt;2,tblSalaries[[#This Row],[Years of Experience]]&lt;=5),1,""))</f>
        <v/>
      </c>
      <c r="P742">
        <f>IF(tblSalaries[[#This Row],[Years of Experience]]="","",IF(AND(tblSalaries[[#This Row],[Years of Experience]]&gt;5,tblSalaries[[#This Row],[Years of Experience]]&lt;=10),1,""))</f>
        <v>1</v>
      </c>
      <c r="Q742" t="str">
        <f>IF(tblSalaries[[#This Row],[Years of Experience]]="","",IF(AND(tblSalaries[[#This Row],[Years of Experience]]&gt;10,tblSalaries[[#This Row],[Years of Experience]]&lt;=15),1,""))</f>
        <v/>
      </c>
      <c r="R742" t="str">
        <f>IF(tblSalaries[[#This Row],[Years of Experience]]="","",IF(AND(tblSalaries[[#This Row],[Years of Experience]]&gt;16,tblSalaries[[#This Row],[Years of Experience]]&lt;=20),1,""))</f>
        <v/>
      </c>
      <c r="S742" t="str">
        <f>IF(tblSalaries[[#This Row],[Years of Experience]]="","",IF(tblSalaries[[#This Row],[Years of Experience]]&gt;20,1,""))</f>
        <v/>
      </c>
      <c r="T7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2" s="13" t="str">
        <f>IF(tblSalaries[[#This Row],[Job Type]]=tblSalaries[[#Headers],[Accountant]],tblSalaries[[#This Row],[Salary in USD]],"")</f>
        <v/>
      </c>
      <c r="V742" s="13" t="str">
        <f>IF(tblSalaries[[#This Row],[Job Type]]=tblSalaries[[#Headers],[Analyst]],tblSalaries[[#This Row],[Salary in USD]],"")</f>
        <v/>
      </c>
      <c r="W742" s="13" t="str">
        <f>IF(tblSalaries[[#This Row],[Job Type]]=tblSalaries[[#Headers],[Consultant]],tblSalaries[[#This Row],[Salary in USD]],"")</f>
        <v/>
      </c>
      <c r="X742" s="13" t="str">
        <f>IF(tblSalaries[[#This Row],[Job Type]]=tblSalaries[[#Headers],[Controller]],tblSalaries[[#This Row],[Salary in USD]],"")</f>
        <v/>
      </c>
      <c r="Y742" s="13" t="str">
        <f>IF(tblSalaries[[#This Row],[Job Type]]=tblSalaries[[#Headers],[CXO or Top Mgmt.]],tblSalaries[[#This Row],[clean Salary (in local currency)]],"")</f>
        <v/>
      </c>
      <c r="Z742" s="13">
        <f>IF(tblSalaries[[#This Row],[Job Type]]=tblSalaries[[#Headers],[Engineer]],tblSalaries[[#This Row],[Salary in USD]],"")</f>
        <v>36000</v>
      </c>
      <c r="AA742" s="13" t="str">
        <f>IF(tblSalaries[[#This Row],[Job Type]]=tblSalaries[[#Headers],[Manager]],tblSalaries[[#This Row],[Salary in USD]],"")</f>
        <v/>
      </c>
      <c r="AB742" s="13" t="str">
        <f>IF(tblSalaries[[#This Row],[Job Type]]=tblSalaries[[#Headers],[Misc.]],tblSalaries[[#This Row],[Salary in USD]],"")</f>
        <v/>
      </c>
      <c r="AC742" s="13" t="str">
        <f>IF(tblSalaries[[#This Row],[Job Type]]=tblSalaries[[#Headers],[Reporting]],tblSalaries[[#This Row],[Salary in USD]],"")</f>
        <v/>
      </c>
      <c r="AD742" s="13" t="str">
        <f>IF(tblSalaries[[#This Row],[Job Type]]=tblSalaries[[#Headers],[Specialist]],tblSalaries[[#This Row],[Salary in USD]],"")</f>
        <v/>
      </c>
    </row>
    <row r="743" spans="2:30" ht="15" customHeight="1" x14ac:dyDescent="0.25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 s="9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  <c r="N743" t="str">
        <f>IF(tblSalaries[[#This Row],[Years of Experience]]="","",IF(tblSalaries[[#This Row],[Years of Experience]]&lt;=2,1,""))</f>
        <v/>
      </c>
      <c r="O743" t="str">
        <f>IF(tblSalaries[[#This Row],[Years of Experience]]="","",IF(AND(tblSalaries[[#This Row],[Years of Experience]]&gt;2,tblSalaries[[#This Row],[Years of Experience]]&lt;=5),1,""))</f>
        <v/>
      </c>
      <c r="P743">
        <f>IF(tblSalaries[[#This Row],[Years of Experience]]="","",IF(AND(tblSalaries[[#This Row],[Years of Experience]]&gt;5,tblSalaries[[#This Row],[Years of Experience]]&lt;=10),1,""))</f>
        <v>1</v>
      </c>
      <c r="Q743" t="str">
        <f>IF(tblSalaries[[#This Row],[Years of Experience]]="","",IF(AND(tblSalaries[[#This Row],[Years of Experience]]&gt;10,tblSalaries[[#This Row],[Years of Experience]]&lt;=15),1,""))</f>
        <v/>
      </c>
      <c r="R743" t="str">
        <f>IF(tblSalaries[[#This Row],[Years of Experience]]="","",IF(AND(tblSalaries[[#This Row],[Years of Experience]]&gt;16,tblSalaries[[#This Row],[Years of Experience]]&lt;=20),1,""))</f>
        <v/>
      </c>
      <c r="S743" t="str">
        <f>IF(tblSalaries[[#This Row],[Years of Experience]]="","",IF(tblSalaries[[#This Row],[Years of Experience]]&gt;20,1,""))</f>
        <v/>
      </c>
      <c r="T7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3" s="13" t="str">
        <f>IF(tblSalaries[[#This Row],[Job Type]]=tblSalaries[[#Headers],[Accountant]],tblSalaries[[#This Row],[Salary in USD]],"")</f>
        <v/>
      </c>
      <c r="V743" s="13" t="str">
        <f>IF(tblSalaries[[#This Row],[Job Type]]=tblSalaries[[#Headers],[Analyst]],tblSalaries[[#This Row],[Salary in USD]],"")</f>
        <v/>
      </c>
      <c r="W743" s="13" t="str">
        <f>IF(tblSalaries[[#This Row],[Job Type]]=tblSalaries[[#Headers],[Consultant]],tblSalaries[[#This Row],[Salary in USD]],"")</f>
        <v/>
      </c>
      <c r="X743" s="13" t="str">
        <f>IF(tblSalaries[[#This Row],[Job Type]]=tblSalaries[[#Headers],[Controller]],tblSalaries[[#This Row],[Salary in USD]],"")</f>
        <v/>
      </c>
      <c r="Y743" s="13" t="str">
        <f>IF(tblSalaries[[#This Row],[Job Type]]=tblSalaries[[#Headers],[CXO or Top Mgmt.]],tblSalaries[[#This Row],[clean Salary (in local currency)]],"")</f>
        <v/>
      </c>
      <c r="Z743" s="13">
        <f>IF(tblSalaries[[#This Row],[Job Type]]=tblSalaries[[#Headers],[Engineer]],tblSalaries[[#This Row],[Salary in USD]],"")</f>
        <v>20000</v>
      </c>
      <c r="AA743" s="13" t="str">
        <f>IF(tblSalaries[[#This Row],[Job Type]]=tblSalaries[[#Headers],[Manager]],tblSalaries[[#This Row],[Salary in USD]],"")</f>
        <v/>
      </c>
      <c r="AB743" s="13" t="str">
        <f>IF(tblSalaries[[#This Row],[Job Type]]=tblSalaries[[#Headers],[Misc.]],tblSalaries[[#This Row],[Salary in USD]],"")</f>
        <v/>
      </c>
      <c r="AC743" s="13" t="str">
        <f>IF(tblSalaries[[#This Row],[Job Type]]=tblSalaries[[#Headers],[Reporting]],tblSalaries[[#This Row],[Salary in USD]],"")</f>
        <v/>
      </c>
      <c r="AD743" s="13" t="str">
        <f>IF(tblSalaries[[#This Row],[Job Type]]=tblSalaries[[#Headers],[Specialist]],tblSalaries[[#This Row],[Salary in USD]],"")</f>
        <v/>
      </c>
    </row>
    <row r="744" spans="2:30" ht="15" customHeight="1" x14ac:dyDescent="0.25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 s="9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  <c r="N744" t="str">
        <f>IF(tblSalaries[[#This Row],[Years of Experience]]="","",IF(tblSalaries[[#This Row],[Years of Experience]]&lt;=2,1,""))</f>
        <v/>
      </c>
      <c r="O744" t="str">
        <f>IF(tblSalaries[[#This Row],[Years of Experience]]="","",IF(AND(tblSalaries[[#This Row],[Years of Experience]]&gt;2,tblSalaries[[#This Row],[Years of Experience]]&lt;=5),1,""))</f>
        <v/>
      </c>
      <c r="P744">
        <f>IF(tblSalaries[[#This Row],[Years of Experience]]="","",IF(AND(tblSalaries[[#This Row],[Years of Experience]]&gt;5,tblSalaries[[#This Row],[Years of Experience]]&lt;=10),1,""))</f>
        <v>1</v>
      </c>
      <c r="Q744" t="str">
        <f>IF(tblSalaries[[#This Row],[Years of Experience]]="","",IF(AND(tblSalaries[[#This Row],[Years of Experience]]&gt;10,tblSalaries[[#This Row],[Years of Experience]]&lt;=15),1,""))</f>
        <v/>
      </c>
      <c r="R744" t="str">
        <f>IF(tblSalaries[[#This Row],[Years of Experience]]="","",IF(AND(tblSalaries[[#This Row],[Years of Experience]]&gt;16,tblSalaries[[#This Row],[Years of Experience]]&lt;=20),1,""))</f>
        <v/>
      </c>
      <c r="S744" t="str">
        <f>IF(tblSalaries[[#This Row],[Years of Experience]]="","",IF(tblSalaries[[#This Row],[Years of Experience]]&gt;20,1,""))</f>
        <v/>
      </c>
      <c r="T7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4" s="13">
        <f>IF(tblSalaries[[#This Row],[Job Type]]=tblSalaries[[#Headers],[Accountant]],tblSalaries[[#This Row],[Salary in USD]],"")</f>
        <v>4273.9000049862161</v>
      </c>
      <c r="V744" s="13" t="str">
        <f>IF(tblSalaries[[#This Row],[Job Type]]=tblSalaries[[#Headers],[Analyst]],tblSalaries[[#This Row],[Salary in USD]],"")</f>
        <v/>
      </c>
      <c r="W744" s="13" t="str">
        <f>IF(tblSalaries[[#This Row],[Job Type]]=tblSalaries[[#Headers],[Consultant]],tblSalaries[[#This Row],[Salary in USD]],"")</f>
        <v/>
      </c>
      <c r="X744" s="13" t="str">
        <f>IF(tblSalaries[[#This Row],[Job Type]]=tblSalaries[[#Headers],[Controller]],tblSalaries[[#This Row],[Salary in USD]],"")</f>
        <v/>
      </c>
      <c r="Y744" s="13" t="str">
        <f>IF(tblSalaries[[#This Row],[Job Type]]=tblSalaries[[#Headers],[CXO or Top Mgmt.]],tblSalaries[[#This Row],[clean Salary (in local currency)]],"")</f>
        <v/>
      </c>
      <c r="Z744" s="13" t="str">
        <f>IF(tblSalaries[[#This Row],[Job Type]]=tblSalaries[[#Headers],[Engineer]],tblSalaries[[#This Row],[Salary in USD]],"")</f>
        <v/>
      </c>
      <c r="AA744" s="13" t="str">
        <f>IF(tblSalaries[[#This Row],[Job Type]]=tblSalaries[[#Headers],[Manager]],tblSalaries[[#This Row],[Salary in USD]],"")</f>
        <v/>
      </c>
      <c r="AB744" s="13" t="str">
        <f>IF(tblSalaries[[#This Row],[Job Type]]=tblSalaries[[#Headers],[Misc.]],tblSalaries[[#This Row],[Salary in USD]],"")</f>
        <v/>
      </c>
      <c r="AC744" s="13" t="str">
        <f>IF(tblSalaries[[#This Row],[Job Type]]=tblSalaries[[#Headers],[Reporting]],tblSalaries[[#This Row],[Salary in USD]],"")</f>
        <v/>
      </c>
      <c r="AD744" s="13" t="str">
        <f>IF(tblSalaries[[#This Row],[Job Type]]=tblSalaries[[#Headers],[Specialist]],tblSalaries[[#This Row],[Salary in USD]],"")</f>
        <v/>
      </c>
    </row>
    <row r="745" spans="2:30" ht="15" customHeight="1" x14ac:dyDescent="0.25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 s="9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  <c r="N745" t="str">
        <f>IF(tblSalaries[[#This Row],[Years of Experience]]="","",IF(tblSalaries[[#This Row],[Years of Experience]]&lt;=2,1,""))</f>
        <v/>
      </c>
      <c r="O745" t="str">
        <f>IF(tblSalaries[[#This Row],[Years of Experience]]="","",IF(AND(tblSalaries[[#This Row],[Years of Experience]]&gt;2,tblSalaries[[#This Row],[Years of Experience]]&lt;=5),1,""))</f>
        <v/>
      </c>
      <c r="P745">
        <f>IF(tblSalaries[[#This Row],[Years of Experience]]="","",IF(AND(tblSalaries[[#This Row],[Years of Experience]]&gt;5,tblSalaries[[#This Row],[Years of Experience]]&lt;=10),1,""))</f>
        <v>1</v>
      </c>
      <c r="Q745" t="str">
        <f>IF(tblSalaries[[#This Row],[Years of Experience]]="","",IF(AND(tblSalaries[[#This Row],[Years of Experience]]&gt;10,tblSalaries[[#This Row],[Years of Experience]]&lt;=15),1,""))</f>
        <v/>
      </c>
      <c r="R745" t="str">
        <f>IF(tblSalaries[[#This Row],[Years of Experience]]="","",IF(AND(tblSalaries[[#This Row],[Years of Experience]]&gt;16,tblSalaries[[#This Row],[Years of Experience]]&lt;=20),1,""))</f>
        <v/>
      </c>
      <c r="S745" t="str">
        <f>IF(tblSalaries[[#This Row],[Years of Experience]]="","",IF(tblSalaries[[#This Row],[Years of Experience]]&gt;20,1,""))</f>
        <v/>
      </c>
      <c r="T7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5" s="13" t="str">
        <f>IF(tblSalaries[[#This Row],[Job Type]]=tblSalaries[[#Headers],[Accountant]],tblSalaries[[#This Row],[Salary in USD]],"")</f>
        <v/>
      </c>
      <c r="V745" s="13" t="str">
        <f>IF(tblSalaries[[#This Row],[Job Type]]=tblSalaries[[#Headers],[Analyst]],tblSalaries[[#This Row],[Salary in USD]],"")</f>
        <v/>
      </c>
      <c r="W745" s="13" t="str">
        <f>IF(tblSalaries[[#This Row],[Job Type]]=tblSalaries[[#Headers],[Consultant]],tblSalaries[[#This Row],[Salary in USD]],"")</f>
        <v/>
      </c>
      <c r="X745" s="13" t="str">
        <f>IF(tblSalaries[[#This Row],[Job Type]]=tblSalaries[[#Headers],[Controller]],tblSalaries[[#This Row],[Salary in USD]],"")</f>
        <v/>
      </c>
      <c r="Y745" s="13" t="str">
        <f>IF(tblSalaries[[#This Row],[Job Type]]=tblSalaries[[#Headers],[CXO or Top Mgmt.]],tblSalaries[[#This Row],[clean Salary (in local currency)]],"")</f>
        <v/>
      </c>
      <c r="Z745" s="13" t="str">
        <f>IF(tblSalaries[[#This Row],[Job Type]]=tblSalaries[[#Headers],[Engineer]],tblSalaries[[#This Row],[Salary in USD]],"")</f>
        <v/>
      </c>
      <c r="AA745" s="13" t="str">
        <f>IF(tblSalaries[[#This Row],[Job Type]]=tblSalaries[[#Headers],[Manager]],tblSalaries[[#This Row],[Salary in USD]],"")</f>
        <v/>
      </c>
      <c r="AB745" s="13" t="str">
        <f>IF(tblSalaries[[#This Row],[Job Type]]=tblSalaries[[#Headers],[Misc.]],tblSalaries[[#This Row],[Salary in USD]],"")</f>
        <v/>
      </c>
      <c r="AC745" s="13" t="str">
        <f>IF(tblSalaries[[#This Row],[Job Type]]=tblSalaries[[#Headers],[Reporting]],tblSalaries[[#This Row],[Salary in USD]],"")</f>
        <v/>
      </c>
      <c r="AD745" s="13">
        <f>IF(tblSalaries[[#This Row],[Job Type]]=tblSalaries[[#Headers],[Specialist]],tblSalaries[[#This Row],[Salary in USD]],"")</f>
        <v>37828.278529614821</v>
      </c>
    </row>
    <row r="746" spans="2:30" ht="15" customHeight="1" x14ac:dyDescent="0.25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 s="9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  <c r="N746" t="str">
        <f>IF(tblSalaries[[#This Row],[Years of Experience]]="","",IF(tblSalaries[[#This Row],[Years of Experience]]&lt;=2,1,""))</f>
        <v/>
      </c>
      <c r="O746">
        <f>IF(tblSalaries[[#This Row],[Years of Experience]]="","",IF(AND(tblSalaries[[#This Row],[Years of Experience]]&gt;2,tblSalaries[[#This Row],[Years of Experience]]&lt;=5),1,""))</f>
        <v>1</v>
      </c>
      <c r="P746" t="str">
        <f>IF(tblSalaries[[#This Row],[Years of Experience]]="","",IF(AND(tblSalaries[[#This Row],[Years of Experience]]&gt;5,tblSalaries[[#This Row],[Years of Experience]]&lt;=10),1,""))</f>
        <v/>
      </c>
      <c r="Q746" t="str">
        <f>IF(tblSalaries[[#This Row],[Years of Experience]]="","",IF(AND(tblSalaries[[#This Row],[Years of Experience]]&gt;10,tblSalaries[[#This Row],[Years of Experience]]&lt;=15),1,""))</f>
        <v/>
      </c>
      <c r="R746" t="str">
        <f>IF(tblSalaries[[#This Row],[Years of Experience]]="","",IF(AND(tblSalaries[[#This Row],[Years of Experience]]&gt;16,tblSalaries[[#This Row],[Years of Experience]]&lt;=20),1,""))</f>
        <v/>
      </c>
      <c r="S746" t="str">
        <f>IF(tblSalaries[[#This Row],[Years of Experience]]="","",IF(tblSalaries[[#This Row],[Years of Experience]]&gt;20,1,""))</f>
        <v/>
      </c>
      <c r="T7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46" s="13" t="str">
        <f>IF(tblSalaries[[#This Row],[Job Type]]=tblSalaries[[#Headers],[Accountant]],tblSalaries[[#This Row],[Salary in USD]],"")</f>
        <v/>
      </c>
      <c r="V746" s="13" t="str">
        <f>IF(tblSalaries[[#This Row],[Job Type]]=tblSalaries[[#Headers],[Analyst]],tblSalaries[[#This Row],[Salary in USD]],"")</f>
        <v/>
      </c>
      <c r="W746" s="13" t="str">
        <f>IF(tblSalaries[[#This Row],[Job Type]]=tblSalaries[[#Headers],[Consultant]],tblSalaries[[#This Row],[Salary in USD]],"")</f>
        <v/>
      </c>
      <c r="X746" s="13" t="str">
        <f>IF(tblSalaries[[#This Row],[Job Type]]=tblSalaries[[#Headers],[Controller]],tblSalaries[[#This Row],[Salary in USD]],"")</f>
        <v/>
      </c>
      <c r="Y746" s="13" t="str">
        <f>IF(tblSalaries[[#This Row],[Job Type]]=tblSalaries[[#Headers],[CXO or Top Mgmt.]],tblSalaries[[#This Row],[clean Salary (in local currency)]],"")</f>
        <v/>
      </c>
      <c r="Z746" s="13" t="str">
        <f>IF(tblSalaries[[#This Row],[Job Type]]=tblSalaries[[#Headers],[Engineer]],tblSalaries[[#This Row],[Salary in USD]],"")</f>
        <v/>
      </c>
      <c r="AA746" s="13">
        <f>IF(tblSalaries[[#This Row],[Job Type]]=tblSalaries[[#Headers],[Manager]],tblSalaries[[#This Row],[Salary in USD]],"")</f>
        <v>11000</v>
      </c>
      <c r="AB746" s="13" t="str">
        <f>IF(tblSalaries[[#This Row],[Job Type]]=tblSalaries[[#Headers],[Misc.]],tblSalaries[[#This Row],[Salary in USD]],"")</f>
        <v/>
      </c>
      <c r="AC746" s="13" t="str">
        <f>IF(tblSalaries[[#This Row],[Job Type]]=tblSalaries[[#Headers],[Reporting]],tblSalaries[[#This Row],[Salary in USD]],"")</f>
        <v/>
      </c>
      <c r="AD746" s="13" t="str">
        <f>IF(tblSalaries[[#This Row],[Job Type]]=tblSalaries[[#Headers],[Specialist]],tblSalaries[[#This Row],[Salary in USD]],"")</f>
        <v/>
      </c>
    </row>
    <row r="747" spans="2:30" ht="15" customHeight="1" x14ac:dyDescent="0.25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 s="9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  <c r="N747" t="str">
        <f>IF(tblSalaries[[#This Row],[Years of Experience]]="","",IF(tblSalaries[[#This Row],[Years of Experience]]&lt;=2,1,""))</f>
        <v/>
      </c>
      <c r="O747" t="str">
        <f>IF(tblSalaries[[#This Row],[Years of Experience]]="","",IF(AND(tblSalaries[[#This Row],[Years of Experience]]&gt;2,tblSalaries[[#This Row],[Years of Experience]]&lt;=5),1,""))</f>
        <v/>
      </c>
      <c r="P747">
        <f>IF(tblSalaries[[#This Row],[Years of Experience]]="","",IF(AND(tblSalaries[[#This Row],[Years of Experience]]&gt;5,tblSalaries[[#This Row],[Years of Experience]]&lt;=10),1,""))</f>
        <v>1</v>
      </c>
      <c r="Q747" t="str">
        <f>IF(tblSalaries[[#This Row],[Years of Experience]]="","",IF(AND(tblSalaries[[#This Row],[Years of Experience]]&gt;10,tblSalaries[[#This Row],[Years of Experience]]&lt;=15),1,""))</f>
        <v/>
      </c>
      <c r="R747" t="str">
        <f>IF(tblSalaries[[#This Row],[Years of Experience]]="","",IF(AND(tblSalaries[[#This Row],[Years of Experience]]&gt;16,tblSalaries[[#This Row],[Years of Experience]]&lt;=20),1,""))</f>
        <v/>
      </c>
      <c r="S747" t="str">
        <f>IF(tblSalaries[[#This Row],[Years of Experience]]="","",IF(tblSalaries[[#This Row],[Years of Experience]]&gt;20,1,""))</f>
        <v/>
      </c>
      <c r="T7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7" s="13" t="str">
        <f>IF(tblSalaries[[#This Row],[Job Type]]=tblSalaries[[#Headers],[Accountant]],tblSalaries[[#This Row],[Salary in USD]],"")</f>
        <v/>
      </c>
      <c r="V747" s="13">
        <f>IF(tblSalaries[[#This Row],[Job Type]]=tblSalaries[[#Headers],[Analyst]],tblSalaries[[#This Row],[Salary in USD]],"")</f>
        <v>8000</v>
      </c>
      <c r="W747" s="13" t="str">
        <f>IF(tblSalaries[[#This Row],[Job Type]]=tblSalaries[[#Headers],[Consultant]],tblSalaries[[#This Row],[Salary in USD]],"")</f>
        <v/>
      </c>
      <c r="X747" s="13" t="str">
        <f>IF(tblSalaries[[#This Row],[Job Type]]=tblSalaries[[#Headers],[Controller]],tblSalaries[[#This Row],[Salary in USD]],"")</f>
        <v/>
      </c>
      <c r="Y747" s="13" t="str">
        <f>IF(tblSalaries[[#This Row],[Job Type]]=tblSalaries[[#Headers],[CXO or Top Mgmt.]],tblSalaries[[#This Row],[clean Salary (in local currency)]],"")</f>
        <v/>
      </c>
      <c r="Z747" s="13" t="str">
        <f>IF(tblSalaries[[#This Row],[Job Type]]=tblSalaries[[#Headers],[Engineer]],tblSalaries[[#This Row],[Salary in USD]],"")</f>
        <v/>
      </c>
      <c r="AA747" s="13" t="str">
        <f>IF(tblSalaries[[#This Row],[Job Type]]=tblSalaries[[#Headers],[Manager]],tblSalaries[[#This Row],[Salary in USD]],"")</f>
        <v/>
      </c>
      <c r="AB747" s="13" t="str">
        <f>IF(tblSalaries[[#This Row],[Job Type]]=tblSalaries[[#Headers],[Misc.]],tblSalaries[[#This Row],[Salary in USD]],"")</f>
        <v/>
      </c>
      <c r="AC747" s="13" t="str">
        <f>IF(tblSalaries[[#This Row],[Job Type]]=tblSalaries[[#Headers],[Reporting]],tblSalaries[[#This Row],[Salary in USD]],"")</f>
        <v/>
      </c>
      <c r="AD747" s="13" t="str">
        <f>IF(tblSalaries[[#This Row],[Job Type]]=tblSalaries[[#Headers],[Specialist]],tblSalaries[[#This Row],[Salary in USD]],"")</f>
        <v/>
      </c>
    </row>
    <row r="748" spans="2:30" ht="15" customHeight="1" x14ac:dyDescent="0.25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 s="9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3999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  <c r="N748" t="str">
        <f>IF(tblSalaries[[#This Row],[Years of Experience]]="","",IF(tblSalaries[[#This Row],[Years of Experience]]&lt;=2,1,""))</f>
        <v/>
      </c>
      <c r="O748" t="str">
        <f>IF(tblSalaries[[#This Row],[Years of Experience]]="","",IF(AND(tblSalaries[[#This Row],[Years of Experience]]&gt;2,tblSalaries[[#This Row],[Years of Experience]]&lt;=5),1,""))</f>
        <v/>
      </c>
      <c r="P748">
        <f>IF(tblSalaries[[#This Row],[Years of Experience]]="","",IF(AND(tblSalaries[[#This Row],[Years of Experience]]&gt;5,tblSalaries[[#This Row],[Years of Experience]]&lt;=10),1,""))</f>
        <v>1</v>
      </c>
      <c r="Q748" t="str">
        <f>IF(tblSalaries[[#This Row],[Years of Experience]]="","",IF(AND(tblSalaries[[#This Row],[Years of Experience]]&gt;10,tblSalaries[[#This Row],[Years of Experience]]&lt;=15),1,""))</f>
        <v/>
      </c>
      <c r="R748" t="str">
        <f>IF(tblSalaries[[#This Row],[Years of Experience]]="","",IF(AND(tblSalaries[[#This Row],[Years of Experience]]&gt;16,tblSalaries[[#This Row],[Years of Experience]]&lt;=20),1,""))</f>
        <v/>
      </c>
      <c r="S748" t="str">
        <f>IF(tblSalaries[[#This Row],[Years of Experience]]="","",IF(tblSalaries[[#This Row],[Years of Experience]]&gt;20,1,""))</f>
        <v/>
      </c>
      <c r="T7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48" s="13" t="str">
        <f>IF(tblSalaries[[#This Row],[Job Type]]=tblSalaries[[#Headers],[Accountant]],tblSalaries[[#This Row],[Salary in USD]],"")</f>
        <v/>
      </c>
      <c r="V748" s="13" t="str">
        <f>IF(tblSalaries[[#This Row],[Job Type]]=tblSalaries[[#Headers],[Analyst]],tblSalaries[[#This Row],[Salary in USD]],"")</f>
        <v/>
      </c>
      <c r="W748" s="13" t="str">
        <f>IF(tblSalaries[[#This Row],[Job Type]]=tblSalaries[[#Headers],[Consultant]],tblSalaries[[#This Row],[Salary in USD]],"")</f>
        <v/>
      </c>
      <c r="X748" s="13" t="str">
        <f>IF(tblSalaries[[#This Row],[Job Type]]=tblSalaries[[#Headers],[Controller]],tblSalaries[[#This Row],[Salary in USD]],"")</f>
        <v/>
      </c>
      <c r="Y748" s="13" t="str">
        <f>IF(tblSalaries[[#This Row],[Job Type]]=tblSalaries[[#Headers],[CXO or Top Mgmt.]],tblSalaries[[#This Row],[clean Salary (in local currency)]],"")</f>
        <v/>
      </c>
      <c r="Z748" s="13" t="str">
        <f>IF(tblSalaries[[#This Row],[Job Type]]=tblSalaries[[#Headers],[Engineer]],tblSalaries[[#This Row],[Salary in USD]],"")</f>
        <v/>
      </c>
      <c r="AA748" s="13" t="str">
        <f>IF(tblSalaries[[#This Row],[Job Type]]=tblSalaries[[#Headers],[Manager]],tblSalaries[[#This Row],[Salary in USD]],"")</f>
        <v/>
      </c>
      <c r="AB748" s="13" t="str">
        <f>IF(tblSalaries[[#This Row],[Job Type]]=tblSalaries[[#Headers],[Misc.]],tblSalaries[[#This Row],[Salary in USD]],"")</f>
        <v/>
      </c>
      <c r="AC748" s="13">
        <f>IF(tblSalaries[[#This Row],[Job Type]]=tblSalaries[[#Headers],[Reporting]],tblSalaries[[#This Row],[Salary in USD]],"")</f>
        <v>4006.7812546745777</v>
      </c>
      <c r="AD748" s="13" t="str">
        <f>IF(tblSalaries[[#This Row],[Job Type]]=tblSalaries[[#Headers],[Specialist]],tblSalaries[[#This Row],[Salary in USD]],"")</f>
        <v/>
      </c>
    </row>
    <row r="749" spans="2:30" ht="15" customHeight="1" x14ac:dyDescent="0.25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 s="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  <c r="N749" t="str">
        <f>IF(tblSalaries[[#This Row],[Years of Experience]]="","",IF(tblSalaries[[#This Row],[Years of Experience]]&lt;=2,1,""))</f>
        <v/>
      </c>
      <c r="O749">
        <f>IF(tblSalaries[[#This Row],[Years of Experience]]="","",IF(AND(tblSalaries[[#This Row],[Years of Experience]]&gt;2,tblSalaries[[#This Row],[Years of Experience]]&lt;=5),1,""))</f>
        <v>1</v>
      </c>
      <c r="P749" t="str">
        <f>IF(tblSalaries[[#This Row],[Years of Experience]]="","",IF(AND(tblSalaries[[#This Row],[Years of Experience]]&gt;5,tblSalaries[[#This Row],[Years of Experience]]&lt;=10),1,""))</f>
        <v/>
      </c>
      <c r="Q749" t="str">
        <f>IF(tblSalaries[[#This Row],[Years of Experience]]="","",IF(AND(tblSalaries[[#This Row],[Years of Experience]]&gt;10,tblSalaries[[#This Row],[Years of Experience]]&lt;=15),1,""))</f>
        <v/>
      </c>
      <c r="R749" t="str">
        <f>IF(tblSalaries[[#This Row],[Years of Experience]]="","",IF(AND(tblSalaries[[#This Row],[Years of Experience]]&gt;16,tblSalaries[[#This Row],[Years of Experience]]&lt;=20),1,""))</f>
        <v/>
      </c>
      <c r="S749" t="str">
        <f>IF(tblSalaries[[#This Row],[Years of Experience]]="","",IF(tblSalaries[[#This Row],[Years of Experience]]&gt;20,1,""))</f>
        <v/>
      </c>
      <c r="T7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49" s="13" t="str">
        <f>IF(tblSalaries[[#This Row],[Job Type]]=tblSalaries[[#Headers],[Accountant]],tblSalaries[[#This Row],[Salary in USD]],"")</f>
        <v/>
      </c>
      <c r="V749" s="13" t="str">
        <f>IF(tblSalaries[[#This Row],[Job Type]]=tblSalaries[[#Headers],[Analyst]],tblSalaries[[#This Row],[Salary in USD]],"")</f>
        <v/>
      </c>
      <c r="W749" s="13" t="str">
        <f>IF(tblSalaries[[#This Row],[Job Type]]=tblSalaries[[#Headers],[Consultant]],tblSalaries[[#This Row],[Salary in USD]],"")</f>
        <v/>
      </c>
      <c r="X749" s="13" t="str">
        <f>IF(tblSalaries[[#This Row],[Job Type]]=tblSalaries[[#Headers],[Controller]],tblSalaries[[#This Row],[Salary in USD]],"")</f>
        <v/>
      </c>
      <c r="Y749" s="13" t="str">
        <f>IF(tblSalaries[[#This Row],[Job Type]]=tblSalaries[[#Headers],[CXO or Top Mgmt.]],tblSalaries[[#This Row],[clean Salary (in local currency)]],"")</f>
        <v/>
      </c>
      <c r="Z749" s="13" t="str">
        <f>IF(tblSalaries[[#This Row],[Job Type]]=tblSalaries[[#Headers],[Engineer]],tblSalaries[[#This Row],[Salary in USD]],"")</f>
        <v/>
      </c>
      <c r="AA749" s="13">
        <f>IF(tblSalaries[[#This Row],[Job Type]]=tblSalaries[[#Headers],[Manager]],tblSalaries[[#This Row],[Salary in USD]],"")</f>
        <v>9171.0323574730355</v>
      </c>
      <c r="AB749" s="13" t="str">
        <f>IF(tblSalaries[[#This Row],[Job Type]]=tblSalaries[[#Headers],[Misc.]],tblSalaries[[#This Row],[Salary in USD]],"")</f>
        <v/>
      </c>
      <c r="AC749" s="13" t="str">
        <f>IF(tblSalaries[[#This Row],[Job Type]]=tblSalaries[[#Headers],[Reporting]],tblSalaries[[#This Row],[Salary in USD]],"")</f>
        <v/>
      </c>
      <c r="AD749" s="13" t="str">
        <f>IF(tblSalaries[[#This Row],[Job Type]]=tblSalaries[[#Headers],[Specialist]],tblSalaries[[#This Row],[Salary in USD]],"")</f>
        <v/>
      </c>
    </row>
    <row r="750" spans="2:30" ht="15" customHeight="1" x14ac:dyDescent="0.25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 s="9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  <c r="N750" t="str">
        <f>IF(tblSalaries[[#This Row],[Years of Experience]]="","",IF(tblSalaries[[#This Row],[Years of Experience]]&lt;=2,1,""))</f>
        <v/>
      </c>
      <c r="O750" t="str">
        <f>IF(tblSalaries[[#This Row],[Years of Experience]]="","",IF(AND(tblSalaries[[#This Row],[Years of Experience]]&gt;2,tblSalaries[[#This Row],[Years of Experience]]&lt;=5),1,""))</f>
        <v/>
      </c>
      <c r="P750" t="str">
        <f>IF(tblSalaries[[#This Row],[Years of Experience]]="","",IF(AND(tblSalaries[[#This Row],[Years of Experience]]&gt;5,tblSalaries[[#This Row],[Years of Experience]]&lt;=10),1,""))</f>
        <v/>
      </c>
      <c r="Q750" t="str">
        <f>IF(tblSalaries[[#This Row],[Years of Experience]]="","",IF(AND(tblSalaries[[#This Row],[Years of Experience]]&gt;10,tblSalaries[[#This Row],[Years of Experience]]&lt;=15),1,""))</f>
        <v/>
      </c>
      <c r="R750">
        <f>IF(tblSalaries[[#This Row],[Years of Experience]]="","",IF(AND(tblSalaries[[#This Row],[Years of Experience]]&gt;16,tblSalaries[[#This Row],[Years of Experience]]&lt;=20),1,""))</f>
        <v>1</v>
      </c>
      <c r="S750" t="str">
        <f>IF(tblSalaries[[#This Row],[Years of Experience]]="","",IF(tblSalaries[[#This Row],[Years of Experience]]&gt;20,1,""))</f>
        <v/>
      </c>
      <c r="T7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750" s="13" t="str">
        <f>IF(tblSalaries[[#This Row],[Job Type]]=tblSalaries[[#Headers],[Accountant]],tblSalaries[[#This Row],[Salary in USD]],"")</f>
        <v/>
      </c>
      <c r="V750" s="13">
        <f>IF(tblSalaries[[#This Row],[Job Type]]=tblSalaries[[#Headers],[Analyst]],tblSalaries[[#This Row],[Salary in USD]],"")</f>
        <v>4273.9000049862161</v>
      </c>
      <c r="W750" s="13" t="str">
        <f>IF(tblSalaries[[#This Row],[Job Type]]=tblSalaries[[#Headers],[Consultant]],tblSalaries[[#This Row],[Salary in USD]],"")</f>
        <v/>
      </c>
      <c r="X750" s="13" t="str">
        <f>IF(tblSalaries[[#This Row],[Job Type]]=tblSalaries[[#Headers],[Controller]],tblSalaries[[#This Row],[Salary in USD]],"")</f>
        <v/>
      </c>
      <c r="Y750" s="13" t="str">
        <f>IF(tblSalaries[[#This Row],[Job Type]]=tblSalaries[[#Headers],[CXO or Top Mgmt.]],tblSalaries[[#This Row],[clean Salary (in local currency)]],"")</f>
        <v/>
      </c>
      <c r="Z750" s="13" t="str">
        <f>IF(tblSalaries[[#This Row],[Job Type]]=tblSalaries[[#Headers],[Engineer]],tblSalaries[[#This Row],[Salary in USD]],"")</f>
        <v/>
      </c>
      <c r="AA750" s="13" t="str">
        <f>IF(tblSalaries[[#This Row],[Job Type]]=tblSalaries[[#Headers],[Manager]],tblSalaries[[#This Row],[Salary in USD]],"")</f>
        <v/>
      </c>
      <c r="AB750" s="13" t="str">
        <f>IF(tblSalaries[[#This Row],[Job Type]]=tblSalaries[[#Headers],[Misc.]],tblSalaries[[#This Row],[Salary in USD]],"")</f>
        <v/>
      </c>
      <c r="AC750" s="13" t="str">
        <f>IF(tblSalaries[[#This Row],[Job Type]]=tblSalaries[[#Headers],[Reporting]],tblSalaries[[#This Row],[Salary in USD]],"")</f>
        <v/>
      </c>
      <c r="AD750" s="13" t="str">
        <f>IF(tblSalaries[[#This Row],[Job Type]]=tblSalaries[[#Headers],[Specialist]],tblSalaries[[#This Row],[Salary in USD]],"")</f>
        <v/>
      </c>
    </row>
    <row r="751" spans="2:30" ht="15" customHeight="1" x14ac:dyDescent="0.25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 s="9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  <c r="N751" t="str">
        <f>IF(tblSalaries[[#This Row],[Years of Experience]]="","",IF(tblSalaries[[#This Row],[Years of Experience]]&lt;=2,1,""))</f>
        <v/>
      </c>
      <c r="O751">
        <f>IF(tblSalaries[[#This Row],[Years of Experience]]="","",IF(AND(tblSalaries[[#This Row],[Years of Experience]]&gt;2,tblSalaries[[#This Row],[Years of Experience]]&lt;=5),1,""))</f>
        <v>1</v>
      </c>
      <c r="P751" t="str">
        <f>IF(tblSalaries[[#This Row],[Years of Experience]]="","",IF(AND(tblSalaries[[#This Row],[Years of Experience]]&gt;5,tblSalaries[[#This Row],[Years of Experience]]&lt;=10),1,""))</f>
        <v/>
      </c>
      <c r="Q751" t="str">
        <f>IF(tblSalaries[[#This Row],[Years of Experience]]="","",IF(AND(tblSalaries[[#This Row],[Years of Experience]]&gt;10,tblSalaries[[#This Row],[Years of Experience]]&lt;=15),1,""))</f>
        <v/>
      </c>
      <c r="R751" t="str">
        <f>IF(tblSalaries[[#This Row],[Years of Experience]]="","",IF(AND(tblSalaries[[#This Row],[Years of Experience]]&gt;16,tblSalaries[[#This Row],[Years of Experience]]&lt;=20),1,""))</f>
        <v/>
      </c>
      <c r="S751" t="str">
        <f>IF(tblSalaries[[#This Row],[Years of Experience]]="","",IF(tblSalaries[[#This Row],[Years of Experience]]&gt;20,1,""))</f>
        <v/>
      </c>
      <c r="T7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51" s="13" t="str">
        <f>IF(tblSalaries[[#This Row],[Job Type]]=tblSalaries[[#Headers],[Accountant]],tblSalaries[[#This Row],[Salary in USD]],"")</f>
        <v/>
      </c>
      <c r="V751" s="13">
        <f>IF(tblSalaries[[#This Row],[Job Type]]=tblSalaries[[#Headers],[Analyst]],tblSalaries[[#This Row],[Salary in USD]],"")</f>
        <v>12465.541681209797</v>
      </c>
      <c r="W751" s="13" t="str">
        <f>IF(tblSalaries[[#This Row],[Job Type]]=tblSalaries[[#Headers],[Consultant]],tblSalaries[[#This Row],[Salary in USD]],"")</f>
        <v/>
      </c>
      <c r="X751" s="13" t="str">
        <f>IF(tblSalaries[[#This Row],[Job Type]]=tblSalaries[[#Headers],[Controller]],tblSalaries[[#This Row],[Salary in USD]],"")</f>
        <v/>
      </c>
      <c r="Y751" s="13" t="str">
        <f>IF(tblSalaries[[#This Row],[Job Type]]=tblSalaries[[#Headers],[CXO or Top Mgmt.]],tblSalaries[[#This Row],[clean Salary (in local currency)]],"")</f>
        <v/>
      </c>
      <c r="Z751" s="13" t="str">
        <f>IF(tblSalaries[[#This Row],[Job Type]]=tblSalaries[[#Headers],[Engineer]],tblSalaries[[#This Row],[Salary in USD]],"")</f>
        <v/>
      </c>
      <c r="AA751" s="13" t="str">
        <f>IF(tblSalaries[[#This Row],[Job Type]]=tblSalaries[[#Headers],[Manager]],tblSalaries[[#This Row],[Salary in USD]],"")</f>
        <v/>
      </c>
      <c r="AB751" s="13" t="str">
        <f>IF(tblSalaries[[#This Row],[Job Type]]=tblSalaries[[#Headers],[Misc.]],tblSalaries[[#This Row],[Salary in USD]],"")</f>
        <v/>
      </c>
      <c r="AC751" s="13" t="str">
        <f>IF(tblSalaries[[#This Row],[Job Type]]=tblSalaries[[#Headers],[Reporting]],tblSalaries[[#This Row],[Salary in USD]],"")</f>
        <v/>
      </c>
      <c r="AD751" s="13" t="str">
        <f>IF(tblSalaries[[#This Row],[Job Type]]=tblSalaries[[#Headers],[Specialist]],tblSalaries[[#This Row],[Salary in USD]],"")</f>
        <v/>
      </c>
    </row>
    <row r="752" spans="2:30" ht="15" customHeight="1" x14ac:dyDescent="0.25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 s="9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  <c r="N752">
        <f>IF(tblSalaries[[#This Row],[Years of Experience]]="","",IF(tblSalaries[[#This Row],[Years of Experience]]&lt;=2,1,""))</f>
        <v>1</v>
      </c>
      <c r="O752" t="str">
        <f>IF(tblSalaries[[#This Row],[Years of Experience]]="","",IF(AND(tblSalaries[[#This Row],[Years of Experience]]&gt;2,tblSalaries[[#This Row],[Years of Experience]]&lt;=5),1,""))</f>
        <v/>
      </c>
      <c r="P752" t="str">
        <f>IF(tblSalaries[[#This Row],[Years of Experience]]="","",IF(AND(tblSalaries[[#This Row],[Years of Experience]]&gt;5,tblSalaries[[#This Row],[Years of Experience]]&lt;=10),1,""))</f>
        <v/>
      </c>
      <c r="Q752" t="str">
        <f>IF(tblSalaries[[#This Row],[Years of Experience]]="","",IF(AND(tblSalaries[[#This Row],[Years of Experience]]&gt;10,tblSalaries[[#This Row],[Years of Experience]]&lt;=15),1,""))</f>
        <v/>
      </c>
      <c r="R752" t="str">
        <f>IF(tblSalaries[[#This Row],[Years of Experience]]="","",IF(AND(tblSalaries[[#This Row],[Years of Experience]]&gt;16,tblSalaries[[#This Row],[Years of Experience]]&lt;=20),1,""))</f>
        <v/>
      </c>
      <c r="S752" t="str">
        <f>IF(tblSalaries[[#This Row],[Years of Experience]]="","",IF(tblSalaries[[#This Row],[Years of Experience]]&gt;20,1,""))</f>
        <v/>
      </c>
      <c r="T7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52" s="13" t="str">
        <f>IF(tblSalaries[[#This Row],[Job Type]]=tblSalaries[[#Headers],[Accountant]],tblSalaries[[#This Row],[Salary in USD]],"")</f>
        <v/>
      </c>
      <c r="V752" s="13">
        <f>IF(tblSalaries[[#This Row],[Job Type]]=tblSalaries[[#Headers],[Analyst]],tblSalaries[[#This Row],[Salary in USD]],"")</f>
        <v>24000</v>
      </c>
      <c r="W752" s="13" t="str">
        <f>IF(tblSalaries[[#This Row],[Job Type]]=tblSalaries[[#Headers],[Consultant]],tblSalaries[[#This Row],[Salary in USD]],"")</f>
        <v/>
      </c>
      <c r="X752" s="13" t="str">
        <f>IF(tblSalaries[[#This Row],[Job Type]]=tblSalaries[[#Headers],[Controller]],tblSalaries[[#This Row],[Salary in USD]],"")</f>
        <v/>
      </c>
      <c r="Y752" s="13" t="str">
        <f>IF(tblSalaries[[#This Row],[Job Type]]=tblSalaries[[#Headers],[CXO or Top Mgmt.]],tblSalaries[[#This Row],[clean Salary (in local currency)]],"")</f>
        <v/>
      </c>
      <c r="Z752" s="13" t="str">
        <f>IF(tblSalaries[[#This Row],[Job Type]]=tblSalaries[[#Headers],[Engineer]],tblSalaries[[#This Row],[Salary in USD]],"")</f>
        <v/>
      </c>
      <c r="AA752" s="13" t="str">
        <f>IF(tblSalaries[[#This Row],[Job Type]]=tblSalaries[[#Headers],[Manager]],tblSalaries[[#This Row],[Salary in USD]],"")</f>
        <v/>
      </c>
      <c r="AB752" s="13" t="str">
        <f>IF(tblSalaries[[#This Row],[Job Type]]=tblSalaries[[#Headers],[Misc.]],tblSalaries[[#This Row],[Salary in USD]],"")</f>
        <v/>
      </c>
      <c r="AC752" s="13" t="str">
        <f>IF(tblSalaries[[#This Row],[Job Type]]=tblSalaries[[#Headers],[Reporting]],tblSalaries[[#This Row],[Salary in USD]],"")</f>
        <v/>
      </c>
      <c r="AD752" s="13" t="str">
        <f>IF(tblSalaries[[#This Row],[Job Type]]=tblSalaries[[#Headers],[Specialist]],tblSalaries[[#This Row],[Salary in USD]],"")</f>
        <v/>
      </c>
    </row>
    <row r="753" spans="2:30" ht="15" customHeight="1" x14ac:dyDescent="0.25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 s="9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  <c r="N753" t="str">
        <f>IF(tblSalaries[[#This Row],[Years of Experience]]="","",IF(tblSalaries[[#This Row],[Years of Experience]]&lt;=2,1,""))</f>
        <v/>
      </c>
      <c r="O753" t="str">
        <f>IF(tblSalaries[[#This Row],[Years of Experience]]="","",IF(AND(tblSalaries[[#This Row],[Years of Experience]]&gt;2,tblSalaries[[#This Row],[Years of Experience]]&lt;=5),1,""))</f>
        <v/>
      </c>
      <c r="P753" t="str">
        <f>IF(tblSalaries[[#This Row],[Years of Experience]]="","",IF(AND(tblSalaries[[#This Row],[Years of Experience]]&gt;5,tblSalaries[[#This Row],[Years of Experience]]&lt;=10),1,""))</f>
        <v/>
      </c>
      <c r="Q753">
        <f>IF(tblSalaries[[#This Row],[Years of Experience]]="","",IF(AND(tblSalaries[[#This Row],[Years of Experience]]&gt;10,tblSalaries[[#This Row],[Years of Experience]]&lt;=15),1,""))</f>
        <v>1</v>
      </c>
      <c r="R753" t="str">
        <f>IF(tblSalaries[[#This Row],[Years of Experience]]="","",IF(AND(tblSalaries[[#This Row],[Years of Experience]]&gt;16,tblSalaries[[#This Row],[Years of Experience]]&lt;=20),1,""))</f>
        <v/>
      </c>
      <c r="S753" t="str">
        <f>IF(tblSalaries[[#This Row],[Years of Experience]]="","",IF(tblSalaries[[#This Row],[Years of Experience]]&gt;20,1,""))</f>
        <v/>
      </c>
      <c r="T7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53" s="13" t="str">
        <f>IF(tblSalaries[[#This Row],[Job Type]]=tblSalaries[[#Headers],[Accountant]],tblSalaries[[#This Row],[Salary in USD]],"")</f>
        <v/>
      </c>
      <c r="V753" s="13" t="str">
        <f>IF(tblSalaries[[#This Row],[Job Type]]=tblSalaries[[#Headers],[Analyst]],tblSalaries[[#This Row],[Salary in USD]],"")</f>
        <v/>
      </c>
      <c r="W753" s="13">
        <f>IF(tblSalaries[[#This Row],[Job Type]]=tblSalaries[[#Headers],[Consultant]],tblSalaries[[#This Row],[Salary in USD]],"")</f>
        <v>20000</v>
      </c>
      <c r="X753" s="13" t="str">
        <f>IF(tblSalaries[[#This Row],[Job Type]]=tblSalaries[[#Headers],[Controller]],tblSalaries[[#This Row],[Salary in USD]],"")</f>
        <v/>
      </c>
      <c r="Y753" s="13" t="str">
        <f>IF(tblSalaries[[#This Row],[Job Type]]=tblSalaries[[#Headers],[CXO or Top Mgmt.]],tblSalaries[[#This Row],[clean Salary (in local currency)]],"")</f>
        <v/>
      </c>
      <c r="Z753" s="13" t="str">
        <f>IF(tblSalaries[[#This Row],[Job Type]]=tblSalaries[[#Headers],[Engineer]],tblSalaries[[#This Row],[Salary in USD]],"")</f>
        <v/>
      </c>
      <c r="AA753" s="13" t="str">
        <f>IF(tblSalaries[[#This Row],[Job Type]]=tblSalaries[[#Headers],[Manager]],tblSalaries[[#This Row],[Salary in USD]],"")</f>
        <v/>
      </c>
      <c r="AB753" s="13" t="str">
        <f>IF(tblSalaries[[#This Row],[Job Type]]=tblSalaries[[#Headers],[Misc.]],tblSalaries[[#This Row],[Salary in USD]],"")</f>
        <v/>
      </c>
      <c r="AC753" s="13" t="str">
        <f>IF(tblSalaries[[#This Row],[Job Type]]=tblSalaries[[#Headers],[Reporting]],tblSalaries[[#This Row],[Salary in USD]],"")</f>
        <v/>
      </c>
      <c r="AD753" s="13" t="str">
        <f>IF(tblSalaries[[#This Row],[Job Type]]=tblSalaries[[#Headers],[Specialist]],tblSalaries[[#This Row],[Salary in USD]],"")</f>
        <v/>
      </c>
    </row>
    <row r="754" spans="2:30" ht="15" customHeight="1" x14ac:dyDescent="0.25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 s="9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  <c r="N754" t="str">
        <f>IF(tblSalaries[[#This Row],[Years of Experience]]="","",IF(tblSalaries[[#This Row],[Years of Experience]]&lt;=2,1,""))</f>
        <v/>
      </c>
      <c r="O754" t="str">
        <f>IF(tblSalaries[[#This Row],[Years of Experience]]="","",IF(AND(tblSalaries[[#This Row],[Years of Experience]]&gt;2,tblSalaries[[#This Row],[Years of Experience]]&lt;=5),1,""))</f>
        <v/>
      </c>
      <c r="P754" t="str">
        <f>IF(tblSalaries[[#This Row],[Years of Experience]]="","",IF(AND(tblSalaries[[#This Row],[Years of Experience]]&gt;5,tblSalaries[[#This Row],[Years of Experience]]&lt;=10),1,""))</f>
        <v/>
      </c>
      <c r="Q754" t="str">
        <f>IF(tblSalaries[[#This Row],[Years of Experience]]="","",IF(AND(tblSalaries[[#This Row],[Years of Experience]]&gt;10,tblSalaries[[#This Row],[Years of Experience]]&lt;=15),1,""))</f>
        <v/>
      </c>
      <c r="R754">
        <f>IF(tblSalaries[[#This Row],[Years of Experience]]="","",IF(AND(tblSalaries[[#This Row],[Years of Experience]]&gt;16,tblSalaries[[#This Row],[Years of Experience]]&lt;=20),1,""))</f>
        <v>1</v>
      </c>
      <c r="S754" t="str">
        <f>IF(tblSalaries[[#This Row],[Years of Experience]]="","",IF(tblSalaries[[#This Row],[Years of Experience]]&gt;20,1,""))</f>
        <v/>
      </c>
      <c r="T7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754" s="13" t="str">
        <f>IF(tblSalaries[[#This Row],[Job Type]]=tblSalaries[[#Headers],[Accountant]],tblSalaries[[#This Row],[Salary in USD]],"")</f>
        <v/>
      </c>
      <c r="V754" s="13">
        <f>IF(tblSalaries[[#This Row],[Job Type]]=tblSalaries[[#Headers],[Analyst]],tblSalaries[[#This Row],[Salary in USD]],"")</f>
        <v>62000</v>
      </c>
      <c r="W754" s="13" t="str">
        <f>IF(tblSalaries[[#This Row],[Job Type]]=tblSalaries[[#Headers],[Consultant]],tblSalaries[[#This Row],[Salary in USD]],"")</f>
        <v/>
      </c>
      <c r="X754" s="13" t="str">
        <f>IF(tblSalaries[[#This Row],[Job Type]]=tblSalaries[[#Headers],[Controller]],tblSalaries[[#This Row],[Salary in USD]],"")</f>
        <v/>
      </c>
      <c r="Y754" s="13" t="str">
        <f>IF(tblSalaries[[#This Row],[Job Type]]=tblSalaries[[#Headers],[CXO or Top Mgmt.]],tblSalaries[[#This Row],[clean Salary (in local currency)]],"")</f>
        <v/>
      </c>
      <c r="Z754" s="13" t="str">
        <f>IF(tblSalaries[[#This Row],[Job Type]]=tblSalaries[[#Headers],[Engineer]],tblSalaries[[#This Row],[Salary in USD]],"")</f>
        <v/>
      </c>
      <c r="AA754" s="13" t="str">
        <f>IF(tblSalaries[[#This Row],[Job Type]]=tblSalaries[[#Headers],[Manager]],tblSalaries[[#This Row],[Salary in USD]],"")</f>
        <v/>
      </c>
      <c r="AB754" s="13" t="str">
        <f>IF(tblSalaries[[#This Row],[Job Type]]=tblSalaries[[#Headers],[Misc.]],tblSalaries[[#This Row],[Salary in USD]],"")</f>
        <v/>
      </c>
      <c r="AC754" s="13" t="str">
        <f>IF(tblSalaries[[#This Row],[Job Type]]=tblSalaries[[#Headers],[Reporting]],tblSalaries[[#This Row],[Salary in USD]],"")</f>
        <v/>
      </c>
      <c r="AD754" s="13" t="str">
        <f>IF(tblSalaries[[#This Row],[Job Type]]=tblSalaries[[#Headers],[Specialist]],tblSalaries[[#This Row],[Salary in USD]],"")</f>
        <v/>
      </c>
    </row>
    <row r="755" spans="2:30" ht="15" customHeight="1" x14ac:dyDescent="0.25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 s="9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  <c r="N755">
        <f>IF(tblSalaries[[#This Row],[Years of Experience]]="","",IF(tblSalaries[[#This Row],[Years of Experience]]&lt;=2,1,""))</f>
        <v>1</v>
      </c>
      <c r="O755" t="str">
        <f>IF(tblSalaries[[#This Row],[Years of Experience]]="","",IF(AND(tblSalaries[[#This Row],[Years of Experience]]&gt;2,tblSalaries[[#This Row],[Years of Experience]]&lt;=5),1,""))</f>
        <v/>
      </c>
      <c r="P755" t="str">
        <f>IF(tblSalaries[[#This Row],[Years of Experience]]="","",IF(AND(tblSalaries[[#This Row],[Years of Experience]]&gt;5,tblSalaries[[#This Row],[Years of Experience]]&lt;=10),1,""))</f>
        <v/>
      </c>
      <c r="Q755" t="str">
        <f>IF(tblSalaries[[#This Row],[Years of Experience]]="","",IF(AND(tblSalaries[[#This Row],[Years of Experience]]&gt;10,tblSalaries[[#This Row],[Years of Experience]]&lt;=15),1,""))</f>
        <v/>
      </c>
      <c r="R755" t="str">
        <f>IF(tblSalaries[[#This Row],[Years of Experience]]="","",IF(AND(tblSalaries[[#This Row],[Years of Experience]]&gt;16,tblSalaries[[#This Row],[Years of Experience]]&lt;=20),1,""))</f>
        <v/>
      </c>
      <c r="S755" t="str">
        <f>IF(tblSalaries[[#This Row],[Years of Experience]]="","",IF(tblSalaries[[#This Row],[Years of Experience]]&gt;20,1,""))</f>
        <v/>
      </c>
      <c r="T7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55" s="13" t="str">
        <f>IF(tblSalaries[[#This Row],[Job Type]]=tblSalaries[[#Headers],[Accountant]],tblSalaries[[#This Row],[Salary in USD]],"")</f>
        <v/>
      </c>
      <c r="V755" s="13" t="str">
        <f>IF(tblSalaries[[#This Row],[Job Type]]=tblSalaries[[#Headers],[Analyst]],tblSalaries[[#This Row],[Salary in USD]],"")</f>
        <v/>
      </c>
      <c r="W755" s="13" t="str">
        <f>IF(tblSalaries[[#This Row],[Job Type]]=tblSalaries[[#Headers],[Consultant]],tblSalaries[[#This Row],[Salary in USD]],"")</f>
        <v/>
      </c>
      <c r="X755" s="13">
        <f>IF(tblSalaries[[#This Row],[Job Type]]=tblSalaries[[#Headers],[Controller]],tblSalaries[[#This Row],[Salary in USD]],"")</f>
        <v>14960</v>
      </c>
      <c r="Y755" s="13" t="str">
        <f>IF(tblSalaries[[#This Row],[Job Type]]=tblSalaries[[#Headers],[CXO or Top Mgmt.]],tblSalaries[[#This Row],[clean Salary (in local currency)]],"")</f>
        <v/>
      </c>
      <c r="Z755" s="13" t="str">
        <f>IF(tblSalaries[[#This Row],[Job Type]]=tblSalaries[[#Headers],[Engineer]],tblSalaries[[#This Row],[Salary in USD]],"")</f>
        <v/>
      </c>
      <c r="AA755" s="13" t="str">
        <f>IF(tblSalaries[[#This Row],[Job Type]]=tblSalaries[[#Headers],[Manager]],tblSalaries[[#This Row],[Salary in USD]],"")</f>
        <v/>
      </c>
      <c r="AB755" s="13" t="str">
        <f>IF(tblSalaries[[#This Row],[Job Type]]=tblSalaries[[#Headers],[Misc.]],tblSalaries[[#This Row],[Salary in USD]],"")</f>
        <v/>
      </c>
      <c r="AC755" s="13" t="str">
        <f>IF(tblSalaries[[#This Row],[Job Type]]=tblSalaries[[#Headers],[Reporting]],tblSalaries[[#This Row],[Salary in USD]],"")</f>
        <v/>
      </c>
      <c r="AD755" s="13" t="str">
        <f>IF(tblSalaries[[#This Row],[Job Type]]=tblSalaries[[#Headers],[Specialist]],tblSalaries[[#This Row],[Salary in USD]],"")</f>
        <v/>
      </c>
    </row>
    <row r="756" spans="2:30" ht="15" customHeight="1" x14ac:dyDescent="0.25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 s="9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  <c r="N756">
        <f>IF(tblSalaries[[#This Row],[Years of Experience]]="","",IF(tblSalaries[[#This Row],[Years of Experience]]&lt;=2,1,""))</f>
        <v>1</v>
      </c>
      <c r="O756" t="str">
        <f>IF(tblSalaries[[#This Row],[Years of Experience]]="","",IF(AND(tblSalaries[[#This Row],[Years of Experience]]&gt;2,tblSalaries[[#This Row],[Years of Experience]]&lt;=5),1,""))</f>
        <v/>
      </c>
      <c r="P756" t="str">
        <f>IF(tblSalaries[[#This Row],[Years of Experience]]="","",IF(AND(tblSalaries[[#This Row],[Years of Experience]]&gt;5,tblSalaries[[#This Row],[Years of Experience]]&lt;=10),1,""))</f>
        <v/>
      </c>
      <c r="Q756" t="str">
        <f>IF(tblSalaries[[#This Row],[Years of Experience]]="","",IF(AND(tblSalaries[[#This Row],[Years of Experience]]&gt;10,tblSalaries[[#This Row],[Years of Experience]]&lt;=15),1,""))</f>
        <v/>
      </c>
      <c r="R756" t="str">
        <f>IF(tblSalaries[[#This Row],[Years of Experience]]="","",IF(AND(tblSalaries[[#This Row],[Years of Experience]]&gt;16,tblSalaries[[#This Row],[Years of Experience]]&lt;=20),1,""))</f>
        <v/>
      </c>
      <c r="S756" t="str">
        <f>IF(tblSalaries[[#This Row],[Years of Experience]]="","",IF(tblSalaries[[#This Row],[Years of Experience]]&gt;20,1,""))</f>
        <v/>
      </c>
      <c r="T7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56" s="13">
        <f>IF(tblSalaries[[#This Row],[Job Type]]=tblSalaries[[#Headers],[Accountant]],tblSalaries[[#This Row],[Salary in USD]],"")</f>
        <v>2136.9500024931081</v>
      </c>
      <c r="V756" s="13" t="str">
        <f>IF(tblSalaries[[#This Row],[Job Type]]=tblSalaries[[#Headers],[Analyst]],tblSalaries[[#This Row],[Salary in USD]],"")</f>
        <v/>
      </c>
      <c r="W756" s="13" t="str">
        <f>IF(tblSalaries[[#This Row],[Job Type]]=tblSalaries[[#Headers],[Consultant]],tblSalaries[[#This Row],[Salary in USD]],"")</f>
        <v/>
      </c>
      <c r="X756" s="13" t="str">
        <f>IF(tblSalaries[[#This Row],[Job Type]]=tblSalaries[[#Headers],[Controller]],tblSalaries[[#This Row],[Salary in USD]],"")</f>
        <v/>
      </c>
      <c r="Y756" s="13" t="str">
        <f>IF(tblSalaries[[#This Row],[Job Type]]=tblSalaries[[#Headers],[CXO or Top Mgmt.]],tblSalaries[[#This Row],[clean Salary (in local currency)]],"")</f>
        <v/>
      </c>
      <c r="Z756" s="13" t="str">
        <f>IF(tblSalaries[[#This Row],[Job Type]]=tblSalaries[[#Headers],[Engineer]],tblSalaries[[#This Row],[Salary in USD]],"")</f>
        <v/>
      </c>
      <c r="AA756" s="13" t="str">
        <f>IF(tblSalaries[[#This Row],[Job Type]]=tblSalaries[[#Headers],[Manager]],tblSalaries[[#This Row],[Salary in USD]],"")</f>
        <v/>
      </c>
      <c r="AB756" s="13" t="str">
        <f>IF(tblSalaries[[#This Row],[Job Type]]=tblSalaries[[#Headers],[Misc.]],tblSalaries[[#This Row],[Salary in USD]],"")</f>
        <v/>
      </c>
      <c r="AC756" s="13" t="str">
        <f>IF(tblSalaries[[#This Row],[Job Type]]=tblSalaries[[#Headers],[Reporting]],tblSalaries[[#This Row],[Salary in USD]],"")</f>
        <v/>
      </c>
      <c r="AD756" s="13" t="str">
        <f>IF(tblSalaries[[#This Row],[Job Type]]=tblSalaries[[#Headers],[Specialist]],tblSalaries[[#This Row],[Salary in USD]],"")</f>
        <v/>
      </c>
    </row>
    <row r="757" spans="2:30" ht="15" customHeight="1" x14ac:dyDescent="0.25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 s="9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  <c r="N757" t="str">
        <f>IF(tblSalaries[[#This Row],[Years of Experience]]="","",IF(tblSalaries[[#This Row],[Years of Experience]]&lt;=2,1,""))</f>
        <v/>
      </c>
      <c r="O757">
        <f>IF(tblSalaries[[#This Row],[Years of Experience]]="","",IF(AND(tblSalaries[[#This Row],[Years of Experience]]&gt;2,tblSalaries[[#This Row],[Years of Experience]]&lt;=5),1,""))</f>
        <v>1</v>
      </c>
      <c r="P757" t="str">
        <f>IF(tblSalaries[[#This Row],[Years of Experience]]="","",IF(AND(tblSalaries[[#This Row],[Years of Experience]]&gt;5,tblSalaries[[#This Row],[Years of Experience]]&lt;=10),1,""))</f>
        <v/>
      </c>
      <c r="Q757" t="str">
        <f>IF(tblSalaries[[#This Row],[Years of Experience]]="","",IF(AND(tblSalaries[[#This Row],[Years of Experience]]&gt;10,tblSalaries[[#This Row],[Years of Experience]]&lt;=15),1,""))</f>
        <v/>
      </c>
      <c r="R757" t="str">
        <f>IF(tblSalaries[[#This Row],[Years of Experience]]="","",IF(AND(tblSalaries[[#This Row],[Years of Experience]]&gt;16,tblSalaries[[#This Row],[Years of Experience]]&lt;=20),1,""))</f>
        <v/>
      </c>
      <c r="S757" t="str">
        <f>IF(tblSalaries[[#This Row],[Years of Experience]]="","",IF(tblSalaries[[#This Row],[Years of Experience]]&gt;20,1,""))</f>
        <v/>
      </c>
      <c r="T7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57" s="13">
        <f>IF(tblSalaries[[#This Row],[Job Type]]=tblSalaries[[#Headers],[Accountant]],tblSalaries[[#This Row],[Salary in USD]],"")</f>
        <v>30232</v>
      </c>
      <c r="V757" s="13" t="str">
        <f>IF(tblSalaries[[#This Row],[Job Type]]=tblSalaries[[#Headers],[Analyst]],tblSalaries[[#This Row],[Salary in USD]],"")</f>
        <v/>
      </c>
      <c r="W757" s="13" t="str">
        <f>IF(tblSalaries[[#This Row],[Job Type]]=tblSalaries[[#Headers],[Consultant]],tblSalaries[[#This Row],[Salary in USD]],"")</f>
        <v/>
      </c>
      <c r="X757" s="13" t="str">
        <f>IF(tblSalaries[[#This Row],[Job Type]]=tblSalaries[[#Headers],[Controller]],tblSalaries[[#This Row],[Salary in USD]],"")</f>
        <v/>
      </c>
      <c r="Y757" s="13" t="str">
        <f>IF(tblSalaries[[#This Row],[Job Type]]=tblSalaries[[#Headers],[CXO or Top Mgmt.]],tblSalaries[[#This Row],[clean Salary (in local currency)]],"")</f>
        <v/>
      </c>
      <c r="Z757" s="13" t="str">
        <f>IF(tblSalaries[[#This Row],[Job Type]]=tblSalaries[[#Headers],[Engineer]],tblSalaries[[#This Row],[Salary in USD]],"")</f>
        <v/>
      </c>
      <c r="AA757" s="13" t="str">
        <f>IF(tblSalaries[[#This Row],[Job Type]]=tblSalaries[[#Headers],[Manager]],tblSalaries[[#This Row],[Salary in USD]],"")</f>
        <v/>
      </c>
      <c r="AB757" s="13" t="str">
        <f>IF(tblSalaries[[#This Row],[Job Type]]=tblSalaries[[#Headers],[Misc.]],tblSalaries[[#This Row],[Salary in USD]],"")</f>
        <v/>
      </c>
      <c r="AC757" s="13" t="str">
        <f>IF(tblSalaries[[#This Row],[Job Type]]=tblSalaries[[#Headers],[Reporting]],tblSalaries[[#This Row],[Salary in USD]],"")</f>
        <v/>
      </c>
      <c r="AD757" s="13" t="str">
        <f>IF(tblSalaries[[#This Row],[Job Type]]=tblSalaries[[#Headers],[Specialist]],tblSalaries[[#This Row],[Salary in USD]],"")</f>
        <v/>
      </c>
    </row>
    <row r="758" spans="2:30" ht="15" customHeight="1" x14ac:dyDescent="0.25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 s="9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  <c r="N758" t="str">
        <f>IF(tblSalaries[[#This Row],[Years of Experience]]="","",IF(tblSalaries[[#This Row],[Years of Experience]]&lt;=2,1,""))</f>
        <v/>
      </c>
      <c r="O758">
        <f>IF(tblSalaries[[#This Row],[Years of Experience]]="","",IF(AND(tblSalaries[[#This Row],[Years of Experience]]&gt;2,tblSalaries[[#This Row],[Years of Experience]]&lt;=5),1,""))</f>
        <v>1</v>
      </c>
      <c r="P758" t="str">
        <f>IF(tblSalaries[[#This Row],[Years of Experience]]="","",IF(AND(tblSalaries[[#This Row],[Years of Experience]]&gt;5,tblSalaries[[#This Row],[Years of Experience]]&lt;=10),1,""))</f>
        <v/>
      </c>
      <c r="Q758" t="str">
        <f>IF(tblSalaries[[#This Row],[Years of Experience]]="","",IF(AND(tblSalaries[[#This Row],[Years of Experience]]&gt;10,tblSalaries[[#This Row],[Years of Experience]]&lt;=15),1,""))</f>
        <v/>
      </c>
      <c r="R758" t="str">
        <f>IF(tblSalaries[[#This Row],[Years of Experience]]="","",IF(AND(tblSalaries[[#This Row],[Years of Experience]]&gt;16,tblSalaries[[#This Row],[Years of Experience]]&lt;=20),1,""))</f>
        <v/>
      </c>
      <c r="S758" t="str">
        <f>IF(tblSalaries[[#This Row],[Years of Experience]]="","",IF(tblSalaries[[#This Row],[Years of Experience]]&gt;20,1,""))</f>
        <v/>
      </c>
      <c r="T7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58" s="13" t="str">
        <f>IF(tblSalaries[[#This Row],[Job Type]]=tblSalaries[[#Headers],[Accountant]],tblSalaries[[#This Row],[Salary in USD]],"")</f>
        <v/>
      </c>
      <c r="V758" s="13">
        <f>IF(tblSalaries[[#This Row],[Job Type]]=tblSalaries[[#Headers],[Analyst]],tblSalaries[[#This Row],[Salary in USD]],"")</f>
        <v>41000</v>
      </c>
      <c r="W758" s="13" t="str">
        <f>IF(tblSalaries[[#This Row],[Job Type]]=tblSalaries[[#Headers],[Consultant]],tblSalaries[[#This Row],[Salary in USD]],"")</f>
        <v/>
      </c>
      <c r="X758" s="13" t="str">
        <f>IF(tblSalaries[[#This Row],[Job Type]]=tblSalaries[[#Headers],[Controller]],tblSalaries[[#This Row],[Salary in USD]],"")</f>
        <v/>
      </c>
      <c r="Y758" s="13" t="str">
        <f>IF(tblSalaries[[#This Row],[Job Type]]=tblSalaries[[#Headers],[CXO or Top Mgmt.]],tblSalaries[[#This Row],[clean Salary (in local currency)]],"")</f>
        <v/>
      </c>
      <c r="Z758" s="13" t="str">
        <f>IF(tblSalaries[[#This Row],[Job Type]]=tblSalaries[[#Headers],[Engineer]],tblSalaries[[#This Row],[Salary in USD]],"")</f>
        <v/>
      </c>
      <c r="AA758" s="13" t="str">
        <f>IF(tblSalaries[[#This Row],[Job Type]]=tblSalaries[[#Headers],[Manager]],tblSalaries[[#This Row],[Salary in USD]],"")</f>
        <v/>
      </c>
      <c r="AB758" s="13" t="str">
        <f>IF(tblSalaries[[#This Row],[Job Type]]=tblSalaries[[#Headers],[Misc.]],tblSalaries[[#This Row],[Salary in USD]],"")</f>
        <v/>
      </c>
      <c r="AC758" s="13" t="str">
        <f>IF(tblSalaries[[#This Row],[Job Type]]=tblSalaries[[#Headers],[Reporting]],tblSalaries[[#This Row],[Salary in USD]],"")</f>
        <v/>
      </c>
      <c r="AD758" s="13" t="str">
        <f>IF(tblSalaries[[#This Row],[Job Type]]=tblSalaries[[#Headers],[Specialist]],tblSalaries[[#This Row],[Salary in USD]],"")</f>
        <v/>
      </c>
    </row>
    <row r="759" spans="2:30" ht="15" customHeight="1" x14ac:dyDescent="0.25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 s="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  <c r="N759" t="str">
        <f>IF(tblSalaries[[#This Row],[Years of Experience]]="","",IF(tblSalaries[[#This Row],[Years of Experience]]&lt;=2,1,""))</f>
        <v/>
      </c>
      <c r="O759" t="str">
        <f>IF(tblSalaries[[#This Row],[Years of Experience]]="","",IF(AND(tblSalaries[[#This Row],[Years of Experience]]&gt;2,tblSalaries[[#This Row],[Years of Experience]]&lt;=5),1,""))</f>
        <v/>
      </c>
      <c r="P759" t="str">
        <f>IF(tblSalaries[[#This Row],[Years of Experience]]="","",IF(AND(tblSalaries[[#This Row],[Years of Experience]]&gt;5,tblSalaries[[#This Row],[Years of Experience]]&lt;=10),1,""))</f>
        <v/>
      </c>
      <c r="Q759">
        <f>IF(tblSalaries[[#This Row],[Years of Experience]]="","",IF(AND(tblSalaries[[#This Row],[Years of Experience]]&gt;10,tblSalaries[[#This Row],[Years of Experience]]&lt;=15),1,""))</f>
        <v>1</v>
      </c>
      <c r="R759" t="str">
        <f>IF(tblSalaries[[#This Row],[Years of Experience]]="","",IF(AND(tblSalaries[[#This Row],[Years of Experience]]&gt;16,tblSalaries[[#This Row],[Years of Experience]]&lt;=20),1,""))</f>
        <v/>
      </c>
      <c r="S759" t="str">
        <f>IF(tblSalaries[[#This Row],[Years of Experience]]="","",IF(tblSalaries[[#This Row],[Years of Experience]]&gt;20,1,""))</f>
        <v/>
      </c>
      <c r="T7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59" s="13" t="str">
        <f>IF(tblSalaries[[#This Row],[Job Type]]=tblSalaries[[#Headers],[Accountant]],tblSalaries[[#This Row],[Salary in USD]],"")</f>
        <v/>
      </c>
      <c r="V759" s="13">
        <f>IF(tblSalaries[[#This Row],[Job Type]]=tblSalaries[[#Headers],[Analyst]],tblSalaries[[#This Row],[Salary in USD]],"")</f>
        <v>96891.417358250401</v>
      </c>
      <c r="W759" s="13" t="str">
        <f>IF(tblSalaries[[#This Row],[Job Type]]=tblSalaries[[#Headers],[Consultant]],tblSalaries[[#This Row],[Salary in USD]],"")</f>
        <v/>
      </c>
      <c r="X759" s="13" t="str">
        <f>IF(tblSalaries[[#This Row],[Job Type]]=tblSalaries[[#Headers],[Controller]],tblSalaries[[#This Row],[Salary in USD]],"")</f>
        <v/>
      </c>
      <c r="Y759" s="13" t="str">
        <f>IF(tblSalaries[[#This Row],[Job Type]]=tblSalaries[[#Headers],[CXO or Top Mgmt.]],tblSalaries[[#This Row],[clean Salary (in local currency)]],"")</f>
        <v/>
      </c>
      <c r="Z759" s="13" t="str">
        <f>IF(tblSalaries[[#This Row],[Job Type]]=tblSalaries[[#Headers],[Engineer]],tblSalaries[[#This Row],[Salary in USD]],"")</f>
        <v/>
      </c>
      <c r="AA759" s="13" t="str">
        <f>IF(tblSalaries[[#This Row],[Job Type]]=tblSalaries[[#Headers],[Manager]],tblSalaries[[#This Row],[Salary in USD]],"")</f>
        <v/>
      </c>
      <c r="AB759" s="13" t="str">
        <f>IF(tblSalaries[[#This Row],[Job Type]]=tblSalaries[[#Headers],[Misc.]],tblSalaries[[#This Row],[Salary in USD]],"")</f>
        <v/>
      </c>
      <c r="AC759" s="13" t="str">
        <f>IF(tblSalaries[[#This Row],[Job Type]]=tblSalaries[[#Headers],[Reporting]],tblSalaries[[#This Row],[Salary in USD]],"")</f>
        <v/>
      </c>
      <c r="AD759" s="13" t="str">
        <f>IF(tblSalaries[[#This Row],[Job Type]]=tblSalaries[[#Headers],[Specialist]],tblSalaries[[#This Row],[Salary in USD]],"")</f>
        <v/>
      </c>
    </row>
    <row r="760" spans="2:30" ht="15" customHeight="1" x14ac:dyDescent="0.25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 s="9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  <c r="N760" t="str">
        <f>IF(tblSalaries[[#This Row],[Years of Experience]]="","",IF(tblSalaries[[#This Row],[Years of Experience]]&lt;=2,1,""))</f>
        <v/>
      </c>
      <c r="O760" t="str">
        <f>IF(tblSalaries[[#This Row],[Years of Experience]]="","",IF(AND(tblSalaries[[#This Row],[Years of Experience]]&gt;2,tblSalaries[[#This Row],[Years of Experience]]&lt;=5),1,""))</f>
        <v/>
      </c>
      <c r="P760" t="str">
        <f>IF(tblSalaries[[#This Row],[Years of Experience]]="","",IF(AND(tblSalaries[[#This Row],[Years of Experience]]&gt;5,tblSalaries[[#This Row],[Years of Experience]]&lt;=10),1,""))</f>
        <v/>
      </c>
      <c r="Q760">
        <f>IF(tblSalaries[[#This Row],[Years of Experience]]="","",IF(AND(tblSalaries[[#This Row],[Years of Experience]]&gt;10,tblSalaries[[#This Row],[Years of Experience]]&lt;=15),1,""))</f>
        <v>1</v>
      </c>
      <c r="R760" t="str">
        <f>IF(tblSalaries[[#This Row],[Years of Experience]]="","",IF(AND(tblSalaries[[#This Row],[Years of Experience]]&gt;16,tblSalaries[[#This Row],[Years of Experience]]&lt;=20),1,""))</f>
        <v/>
      </c>
      <c r="S760" t="str">
        <f>IF(tblSalaries[[#This Row],[Years of Experience]]="","",IF(tblSalaries[[#This Row],[Years of Experience]]&gt;20,1,""))</f>
        <v/>
      </c>
      <c r="T7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60" s="13" t="str">
        <f>IF(tblSalaries[[#This Row],[Job Type]]=tblSalaries[[#Headers],[Accountant]],tblSalaries[[#This Row],[Salary in USD]],"")</f>
        <v/>
      </c>
      <c r="V760" s="13" t="str">
        <f>IF(tblSalaries[[#This Row],[Job Type]]=tblSalaries[[#Headers],[Analyst]],tblSalaries[[#This Row],[Salary in USD]],"")</f>
        <v/>
      </c>
      <c r="W760" s="13" t="str">
        <f>IF(tblSalaries[[#This Row],[Job Type]]=tblSalaries[[#Headers],[Consultant]],tblSalaries[[#This Row],[Salary in USD]],"")</f>
        <v/>
      </c>
      <c r="X760" s="13" t="str">
        <f>IF(tblSalaries[[#This Row],[Job Type]]=tblSalaries[[#Headers],[Controller]],tblSalaries[[#This Row],[Salary in USD]],"")</f>
        <v/>
      </c>
      <c r="Y760" s="13" t="str">
        <f>IF(tblSalaries[[#This Row],[Job Type]]=tblSalaries[[#Headers],[CXO or Top Mgmt.]],tblSalaries[[#This Row],[clean Salary (in local currency)]],"")</f>
        <v/>
      </c>
      <c r="Z760" s="13" t="str">
        <f>IF(tblSalaries[[#This Row],[Job Type]]=tblSalaries[[#Headers],[Engineer]],tblSalaries[[#This Row],[Salary in USD]],"")</f>
        <v/>
      </c>
      <c r="AA760" s="13">
        <f>IF(tblSalaries[[#This Row],[Job Type]]=tblSalaries[[#Headers],[Manager]],tblSalaries[[#This Row],[Salary in USD]],"")</f>
        <v>21369.500024931083</v>
      </c>
      <c r="AB760" s="13" t="str">
        <f>IF(tblSalaries[[#This Row],[Job Type]]=tblSalaries[[#Headers],[Misc.]],tblSalaries[[#This Row],[Salary in USD]],"")</f>
        <v/>
      </c>
      <c r="AC760" s="13" t="str">
        <f>IF(tblSalaries[[#This Row],[Job Type]]=tblSalaries[[#Headers],[Reporting]],tblSalaries[[#This Row],[Salary in USD]],"")</f>
        <v/>
      </c>
      <c r="AD760" s="13" t="str">
        <f>IF(tblSalaries[[#This Row],[Job Type]]=tblSalaries[[#Headers],[Specialist]],tblSalaries[[#This Row],[Salary in USD]],"")</f>
        <v/>
      </c>
    </row>
    <row r="761" spans="2:30" ht="15" customHeight="1" x14ac:dyDescent="0.25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 s="9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  <c r="N761" t="str">
        <f>IF(tblSalaries[[#This Row],[Years of Experience]]="","",IF(tblSalaries[[#This Row],[Years of Experience]]&lt;=2,1,""))</f>
        <v/>
      </c>
      <c r="O761" t="str">
        <f>IF(tblSalaries[[#This Row],[Years of Experience]]="","",IF(AND(tblSalaries[[#This Row],[Years of Experience]]&gt;2,tblSalaries[[#This Row],[Years of Experience]]&lt;=5),1,""))</f>
        <v/>
      </c>
      <c r="P761">
        <f>IF(tblSalaries[[#This Row],[Years of Experience]]="","",IF(AND(tblSalaries[[#This Row],[Years of Experience]]&gt;5,tblSalaries[[#This Row],[Years of Experience]]&lt;=10),1,""))</f>
        <v>1</v>
      </c>
      <c r="Q761" t="str">
        <f>IF(tblSalaries[[#This Row],[Years of Experience]]="","",IF(AND(tblSalaries[[#This Row],[Years of Experience]]&gt;10,tblSalaries[[#This Row],[Years of Experience]]&lt;=15),1,""))</f>
        <v/>
      </c>
      <c r="R761" t="str">
        <f>IF(tblSalaries[[#This Row],[Years of Experience]]="","",IF(AND(tblSalaries[[#This Row],[Years of Experience]]&gt;16,tblSalaries[[#This Row],[Years of Experience]]&lt;=20),1,""))</f>
        <v/>
      </c>
      <c r="S761" t="str">
        <f>IF(tblSalaries[[#This Row],[Years of Experience]]="","",IF(tblSalaries[[#This Row],[Years of Experience]]&gt;20,1,""))</f>
        <v/>
      </c>
      <c r="T7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61" s="13">
        <f>IF(tblSalaries[[#This Row],[Job Type]]=tblSalaries[[#Headers],[Accountant]],tblSalaries[[#This Row],[Salary in USD]],"")</f>
        <v>3650.6229209257262</v>
      </c>
      <c r="V761" s="13" t="str">
        <f>IF(tblSalaries[[#This Row],[Job Type]]=tblSalaries[[#Headers],[Analyst]],tblSalaries[[#This Row],[Salary in USD]],"")</f>
        <v/>
      </c>
      <c r="W761" s="13" t="str">
        <f>IF(tblSalaries[[#This Row],[Job Type]]=tblSalaries[[#Headers],[Consultant]],tblSalaries[[#This Row],[Salary in USD]],"")</f>
        <v/>
      </c>
      <c r="X761" s="13" t="str">
        <f>IF(tblSalaries[[#This Row],[Job Type]]=tblSalaries[[#Headers],[Controller]],tblSalaries[[#This Row],[Salary in USD]],"")</f>
        <v/>
      </c>
      <c r="Y761" s="13" t="str">
        <f>IF(tblSalaries[[#This Row],[Job Type]]=tblSalaries[[#Headers],[CXO or Top Mgmt.]],tblSalaries[[#This Row],[clean Salary (in local currency)]],"")</f>
        <v/>
      </c>
      <c r="Z761" s="13" t="str">
        <f>IF(tblSalaries[[#This Row],[Job Type]]=tblSalaries[[#Headers],[Engineer]],tblSalaries[[#This Row],[Salary in USD]],"")</f>
        <v/>
      </c>
      <c r="AA761" s="13" t="str">
        <f>IF(tblSalaries[[#This Row],[Job Type]]=tblSalaries[[#Headers],[Manager]],tblSalaries[[#This Row],[Salary in USD]],"")</f>
        <v/>
      </c>
      <c r="AB761" s="13" t="str">
        <f>IF(tblSalaries[[#This Row],[Job Type]]=tblSalaries[[#Headers],[Misc.]],tblSalaries[[#This Row],[Salary in USD]],"")</f>
        <v/>
      </c>
      <c r="AC761" s="13" t="str">
        <f>IF(tblSalaries[[#This Row],[Job Type]]=tblSalaries[[#Headers],[Reporting]],tblSalaries[[#This Row],[Salary in USD]],"")</f>
        <v/>
      </c>
      <c r="AD761" s="13" t="str">
        <f>IF(tblSalaries[[#This Row],[Job Type]]=tblSalaries[[#Headers],[Specialist]],tblSalaries[[#This Row],[Salary in USD]],"")</f>
        <v/>
      </c>
    </row>
    <row r="762" spans="2:30" ht="15" customHeight="1" x14ac:dyDescent="0.25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 s="9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  <c r="N762" t="str">
        <f>IF(tblSalaries[[#This Row],[Years of Experience]]="","",IF(tblSalaries[[#This Row],[Years of Experience]]&lt;=2,1,""))</f>
        <v/>
      </c>
      <c r="O762" t="str">
        <f>IF(tblSalaries[[#This Row],[Years of Experience]]="","",IF(AND(tblSalaries[[#This Row],[Years of Experience]]&gt;2,tblSalaries[[#This Row],[Years of Experience]]&lt;=5),1,""))</f>
        <v/>
      </c>
      <c r="P762" t="str">
        <f>IF(tblSalaries[[#This Row],[Years of Experience]]="","",IF(AND(tblSalaries[[#This Row],[Years of Experience]]&gt;5,tblSalaries[[#This Row],[Years of Experience]]&lt;=10),1,""))</f>
        <v/>
      </c>
      <c r="Q762" t="str">
        <f>IF(tblSalaries[[#This Row],[Years of Experience]]="","",IF(AND(tblSalaries[[#This Row],[Years of Experience]]&gt;10,tblSalaries[[#This Row],[Years of Experience]]&lt;=15),1,""))</f>
        <v/>
      </c>
      <c r="R762">
        <f>IF(tblSalaries[[#This Row],[Years of Experience]]="","",IF(AND(tblSalaries[[#This Row],[Years of Experience]]&gt;16,tblSalaries[[#This Row],[Years of Experience]]&lt;=20),1,""))</f>
        <v>1</v>
      </c>
      <c r="S762" t="str">
        <f>IF(tblSalaries[[#This Row],[Years of Experience]]="","",IF(tblSalaries[[#This Row],[Years of Experience]]&gt;20,1,""))</f>
        <v/>
      </c>
      <c r="T7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762" s="13">
        <f>IF(tblSalaries[[#This Row],[Job Type]]=tblSalaries[[#Headers],[Accountant]],tblSalaries[[#This Row],[Salary in USD]],"")</f>
        <v>19068</v>
      </c>
      <c r="V762" s="13" t="str">
        <f>IF(tblSalaries[[#This Row],[Job Type]]=tblSalaries[[#Headers],[Analyst]],tblSalaries[[#This Row],[Salary in USD]],"")</f>
        <v/>
      </c>
      <c r="W762" s="13" t="str">
        <f>IF(tblSalaries[[#This Row],[Job Type]]=tblSalaries[[#Headers],[Consultant]],tblSalaries[[#This Row],[Salary in USD]],"")</f>
        <v/>
      </c>
      <c r="X762" s="13" t="str">
        <f>IF(tblSalaries[[#This Row],[Job Type]]=tblSalaries[[#Headers],[Controller]],tblSalaries[[#This Row],[Salary in USD]],"")</f>
        <v/>
      </c>
      <c r="Y762" s="13" t="str">
        <f>IF(tblSalaries[[#This Row],[Job Type]]=tblSalaries[[#Headers],[CXO or Top Mgmt.]],tblSalaries[[#This Row],[clean Salary (in local currency)]],"")</f>
        <v/>
      </c>
      <c r="Z762" s="13" t="str">
        <f>IF(tblSalaries[[#This Row],[Job Type]]=tblSalaries[[#Headers],[Engineer]],tblSalaries[[#This Row],[Salary in USD]],"")</f>
        <v/>
      </c>
      <c r="AA762" s="13" t="str">
        <f>IF(tblSalaries[[#This Row],[Job Type]]=tblSalaries[[#Headers],[Manager]],tblSalaries[[#This Row],[Salary in USD]],"")</f>
        <v/>
      </c>
      <c r="AB762" s="13" t="str">
        <f>IF(tblSalaries[[#This Row],[Job Type]]=tblSalaries[[#Headers],[Misc.]],tblSalaries[[#This Row],[Salary in USD]],"")</f>
        <v/>
      </c>
      <c r="AC762" s="13" t="str">
        <f>IF(tblSalaries[[#This Row],[Job Type]]=tblSalaries[[#Headers],[Reporting]],tblSalaries[[#This Row],[Salary in USD]],"")</f>
        <v/>
      </c>
      <c r="AD762" s="13" t="str">
        <f>IF(tblSalaries[[#This Row],[Job Type]]=tblSalaries[[#Headers],[Specialist]],tblSalaries[[#This Row],[Salary in USD]],"")</f>
        <v/>
      </c>
    </row>
    <row r="763" spans="2:30" ht="15" customHeight="1" x14ac:dyDescent="0.25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 s="9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  <c r="N763" t="str">
        <f>IF(tblSalaries[[#This Row],[Years of Experience]]="","",IF(tblSalaries[[#This Row],[Years of Experience]]&lt;=2,1,""))</f>
        <v/>
      </c>
      <c r="O763">
        <f>IF(tblSalaries[[#This Row],[Years of Experience]]="","",IF(AND(tblSalaries[[#This Row],[Years of Experience]]&gt;2,tblSalaries[[#This Row],[Years of Experience]]&lt;=5),1,""))</f>
        <v>1</v>
      </c>
      <c r="P763" t="str">
        <f>IF(tblSalaries[[#This Row],[Years of Experience]]="","",IF(AND(tblSalaries[[#This Row],[Years of Experience]]&gt;5,tblSalaries[[#This Row],[Years of Experience]]&lt;=10),1,""))</f>
        <v/>
      </c>
      <c r="Q763" t="str">
        <f>IF(tblSalaries[[#This Row],[Years of Experience]]="","",IF(AND(tblSalaries[[#This Row],[Years of Experience]]&gt;10,tblSalaries[[#This Row],[Years of Experience]]&lt;=15),1,""))</f>
        <v/>
      </c>
      <c r="R763" t="str">
        <f>IF(tblSalaries[[#This Row],[Years of Experience]]="","",IF(AND(tblSalaries[[#This Row],[Years of Experience]]&gt;16,tblSalaries[[#This Row],[Years of Experience]]&lt;=20),1,""))</f>
        <v/>
      </c>
      <c r="S763" t="str">
        <f>IF(tblSalaries[[#This Row],[Years of Experience]]="","",IF(tblSalaries[[#This Row],[Years of Experience]]&gt;20,1,""))</f>
        <v/>
      </c>
      <c r="T7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63" s="13" t="str">
        <f>IF(tblSalaries[[#This Row],[Job Type]]=tblSalaries[[#Headers],[Accountant]],tblSalaries[[#This Row],[Salary in USD]],"")</f>
        <v/>
      </c>
      <c r="V763" s="13" t="str">
        <f>IF(tblSalaries[[#This Row],[Job Type]]=tblSalaries[[#Headers],[Analyst]],tblSalaries[[#This Row],[Salary in USD]],"")</f>
        <v/>
      </c>
      <c r="W763" s="13" t="str">
        <f>IF(tblSalaries[[#This Row],[Job Type]]=tblSalaries[[#Headers],[Consultant]],tblSalaries[[#This Row],[Salary in USD]],"")</f>
        <v/>
      </c>
      <c r="X763" s="13">
        <f>IF(tblSalaries[[#This Row],[Job Type]]=tblSalaries[[#Headers],[Controller]],tblSalaries[[#This Row],[Salary in USD]],"")</f>
        <v>5342.3750062327708</v>
      </c>
      <c r="Y763" s="13" t="str">
        <f>IF(tblSalaries[[#This Row],[Job Type]]=tblSalaries[[#Headers],[CXO or Top Mgmt.]],tblSalaries[[#This Row],[clean Salary (in local currency)]],"")</f>
        <v/>
      </c>
      <c r="Z763" s="13" t="str">
        <f>IF(tblSalaries[[#This Row],[Job Type]]=tblSalaries[[#Headers],[Engineer]],tblSalaries[[#This Row],[Salary in USD]],"")</f>
        <v/>
      </c>
      <c r="AA763" s="13" t="str">
        <f>IF(tblSalaries[[#This Row],[Job Type]]=tblSalaries[[#Headers],[Manager]],tblSalaries[[#This Row],[Salary in USD]],"")</f>
        <v/>
      </c>
      <c r="AB763" s="13" t="str">
        <f>IF(tblSalaries[[#This Row],[Job Type]]=tblSalaries[[#Headers],[Misc.]],tblSalaries[[#This Row],[Salary in USD]],"")</f>
        <v/>
      </c>
      <c r="AC763" s="13" t="str">
        <f>IF(tblSalaries[[#This Row],[Job Type]]=tblSalaries[[#Headers],[Reporting]],tblSalaries[[#This Row],[Salary in USD]],"")</f>
        <v/>
      </c>
      <c r="AD763" s="13" t="str">
        <f>IF(tblSalaries[[#This Row],[Job Type]]=tblSalaries[[#Headers],[Specialist]],tblSalaries[[#This Row],[Salary in USD]],"")</f>
        <v/>
      </c>
    </row>
    <row r="764" spans="2:30" ht="15" customHeight="1" x14ac:dyDescent="0.25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 s="9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  <c r="N764" t="str">
        <f>IF(tblSalaries[[#This Row],[Years of Experience]]="","",IF(tblSalaries[[#This Row],[Years of Experience]]&lt;=2,1,""))</f>
        <v/>
      </c>
      <c r="O764">
        <f>IF(tblSalaries[[#This Row],[Years of Experience]]="","",IF(AND(tblSalaries[[#This Row],[Years of Experience]]&gt;2,tblSalaries[[#This Row],[Years of Experience]]&lt;=5),1,""))</f>
        <v>1</v>
      </c>
      <c r="P764" t="str">
        <f>IF(tblSalaries[[#This Row],[Years of Experience]]="","",IF(AND(tblSalaries[[#This Row],[Years of Experience]]&gt;5,tblSalaries[[#This Row],[Years of Experience]]&lt;=10),1,""))</f>
        <v/>
      </c>
      <c r="Q764" t="str">
        <f>IF(tblSalaries[[#This Row],[Years of Experience]]="","",IF(AND(tblSalaries[[#This Row],[Years of Experience]]&gt;10,tblSalaries[[#This Row],[Years of Experience]]&lt;=15),1,""))</f>
        <v/>
      </c>
      <c r="R764" t="str">
        <f>IF(tblSalaries[[#This Row],[Years of Experience]]="","",IF(AND(tblSalaries[[#This Row],[Years of Experience]]&gt;16,tblSalaries[[#This Row],[Years of Experience]]&lt;=20),1,""))</f>
        <v/>
      </c>
      <c r="S764" t="str">
        <f>IF(tblSalaries[[#This Row],[Years of Experience]]="","",IF(tblSalaries[[#This Row],[Years of Experience]]&gt;20,1,""))</f>
        <v/>
      </c>
      <c r="T7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64" s="13" t="str">
        <f>IF(tblSalaries[[#This Row],[Job Type]]=tblSalaries[[#Headers],[Accountant]],tblSalaries[[#This Row],[Salary in USD]],"")</f>
        <v/>
      </c>
      <c r="V764" s="13" t="str">
        <f>IF(tblSalaries[[#This Row],[Job Type]]=tblSalaries[[#Headers],[Analyst]],tblSalaries[[#This Row],[Salary in USD]],"")</f>
        <v/>
      </c>
      <c r="W764" s="13">
        <f>IF(tblSalaries[[#This Row],[Job Type]]=tblSalaries[[#Headers],[Consultant]],tblSalaries[[#This Row],[Salary in USD]],"")</f>
        <v>48000</v>
      </c>
      <c r="X764" s="13" t="str">
        <f>IF(tblSalaries[[#This Row],[Job Type]]=tblSalaries[[#Headers],[Controller]],tblSalaries[[#This Row],[Salary in USD]],"")</f>
        <v/>
      </c>
      <c r="Y764" s="13" t="str">
        <f>IF(tblSalaries[[#This Row],[Job Type]]=tblSalaries[[#Headers],[CXO or Top Mgmt.]],tblSalaries[[#This Row],[clean Salary (in local currency)]],"")</f>
        <v/>
      </c>
      <c r="Z764" s="13" t="str">
        <f>IF(tblSalaries[[#This Row],[Job Type]]=tblSalaries[[#Headers],[Engineer]],tblSalaries[[#This Row],[Salary in USD]],"")</f>
        <v/>
      </c>
      <c r="AA764" s="13" t="str">
        <f>IF(tblSalaries[[#This Row],[Job Type]]=tblSalaries[[#Headers],[Manager]],tblSalaries[[#This Row],[Salary in USD]],"")</f>
        <v/>
      </c>
      <c r="AB764" s="13" t="str">
        <f>IF(tblSalaries[[#This Row],[Job Type]]=tblSalaries[[#Headers],[Misc.]],tblSalaries[[#This Row],[Salary in USD]],"")</f>
        <v/>
      </c>
      <c r="AC764" s="13" t="str">
        <f>IF(tblSalaries[[#This Row],[Job Type]]=tblSalaries[[#Headers],[Reporting]],tblSalaries[[#This Row],[Salary in USD]],"")</f>
        <v/>
      </c>
      <c r="AD764" s="13" t="str">
        <f>IF(tblSalaries[[#This Row],[Job Type]]=tblSalaries[[#Headers],[Specialist]],tblSalaries[[#This Row],[Salary in USD]],"")</f>
        <v/>
      </c>
    </row>
    <row r="765" spans="2:30" ht="15" customHeight="1" x14ac:dyDescent="0.25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 s="9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  <c r="N765">
        <f>IF(tblSalaries[[#This Row],[Years of Experience]]="","",IF(tblSalaries[[#This Row],[Years of Experience]]&lt;=2,1,""))</f>
        <v>1</v>
      </c>
      <c r="O765" t="str">
        <f>IF(tblSalaries[[#This Row],[Years of Experience]]="","",IF(AND(tblSalaries[[#This Row],[Years of Experience]]&gt;2,tblSalaries[[#This Row],[Years of Experience]]&lt;=5),1,""))</f>
        <v/>
      </c>
      <c r="P765" t="str">
        <f>IF(tblSalaries[[#This Row],[Years of Experience]]="","",IF(AND(tblSalaries[[#This Row],[Years of Experience]]&gt;5,tblSalaries[[#This Row],[Years of Experience]]&lt;=10),1,""))</f>
        <v/>
      </c>
      <c r="Q765" t="str">
        <f>IF(tblSalaries[[#This Row],[Years of Experience]]="","",IF(AND(tblSalaries[[#This Row],[Years of Experience]]&gt;10,tblSalaries[[#This Row],[Years of Experience]]&lt;=15),1,""))</f>
        <v/>
      </c>
      <c r="R765" t="str">
        <f>IF(tblSalaries[[#This Row],[Years of Experience]]="","",IF(AND(tblSalaries[[#This Row],[Years of Experience]]&gt;16,tblSalaries[[#This Row],[Years of Experience]]&lt;=20),1,""))</f>
        <v/>
      </c>
      <c r="S765" t="str">
        <f>IF(tblSalaries[[#This Row],[Years of Experience]]="","",IF(tblSalaries[[#This Row],[Years of Experience]]&gt;20,1,""))</f>
        <v/>
      </c>
      <c r="T7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65" s="13" t="str">
        <f>IF(tblSalaries[[#This Row],[Job Type]]=tblSalaries[[#Headers],[Accountant]],tblSalaries[[#This Row],[Salary in USD]],"")</f>
        <v/>
      </c>
      <c r="V765" s="13" t="str">
        <f>IF(tblSalaries[[#This Row],[Job Type]]=tblSalaries[[#Headers],[Analyst]],tblSalaries[[#This Row],[Salary in USD]],"")</f>
        <v/>
      </c>
      <c r="W765" s="13" t="str">
        <f>IF(tblSalaries[[#This Row],[Job Type]]=tblSalaries[[#Headers],[Consultant]],tblSalaries[[#This Row],[Salary in USD]],"")</f>
        <v/>
      </c>
      <c r="X765" s="13" t="str">
        <f>IF(tblSalaries[[#This Row],[Job Type]]=tblSalaries[[#Headers],[Controller]],tblSalaries[[#This Row],[Salary in USD]],"")</f>
        <v/>
      </c>
      <c r="Y765" s="13" t="str">
        <f>IF(tblSalaries[[#This Row],[Job Type]]=tblSalaries[[#Headers],[CXO or Top Mgmt.]],tblSalaries[[#This Row],[clean Salary (in local currency)]],"")</f>
        <v/>
      </c>
      <c r="Z765" s="13">
        <f>IF(tblSalaries[[#This Row],[Job Type]]=tblSalaries[[#Headers],[Engineer]],tblSalaries[[#This Row],[Salary in USD]],"")</f>
        <v>3917.7416712373652</v>
      </c>
      <c r="AA765" s="13" t="str">
        <f>IF(tblSalaries[[#This Row],[Job Type]]=tblSalaries[[#Headers],[Manager]],tblSalaries[[#This Row],[Salary in USD]],"")</f>
        <v/>
      </c>
      <c r="AB765" s="13" t="str">
        <f>IF(tblSalaries[[#This Row],[Job Type]]=tblSalaries[[#Headers],[Misc.]],tblSalaries[[#This Row],[Salary in USD]],"")</f>
        <v/>
      </c>
      <c r="AC765" s="13" t="str">
        <f>IF(tblSalaries[[#This Row],[Job Type]]=tblSalaries[[#Headers],[Reporting]],tblSalaries[[#This Row],[Salary in USD]],"")</f>
        <v/>
      </c>
      <c r="AD765" s="13" t="str">
        <f>IF(tblSalaries[[#This Row],[Job Type]]=tblSalaries[[#Headers],[Specialist]],tblSalaries[[#This Row],[Salary in USD]],"")</f>
        <v/>
      </c>
    </row>
    <row r="766" spans="2:30" ht="15" customHeight="1" x14ac:dyDescent="0.25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 s="9">
        <f>tblSalaries[[#This Row],[clean Salary (in local currency)]]*VLOOKUP(tblSalaries[[#This Row],[Currency]],tblXrate[],2,FALSE)</f>
        <v>13500</v>
      </c>
      <c r="H766" t="s">
        <v>360</v>
      </c>
      <c r="I766" t="s">
        <v>3999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  <c r="N766" t="str">
        <f>IF(tblSalaries[[#This Row],[Years of Experience]]="","",IF(tblSalaries[[#This Row],[Years of Experience]]&lt;=2,1,""))</f>
        <v/>
      </c>
      <c r="O766">
        <f>IF(tblSalaries[[#This Row],[Years of Experience]]="","",IF(AND(tblSalaries[[#This Row],[Years of Experience]]&gt;2,tblSalaries[[#This Row],[Years of Experience]]&lt;=5),1,""))</f>
        <v>1</v>
      </c>
      <c r="P766" t="str">
        <f>IF(tblSalaries[[#This Row],[Years of Experience]]="","",IF(AND(tblSalaries[[#This Row],[Years of Experience]]&gt;5,tblSalaries[[#This Row],[Years of Experience]]&lt;=10),1,""))</f>
        <v/>
      </c>
      <c r="Q766" t="str">
        <f>IF(tblSalaries[[#This Row],[Years of Experience]]="","",IF(AND(tblSalaries[[#This Row],[Years of Experience]]&gt;10,tblSalaries[[#This Row],[Years of Experience]]&lt;=15),1,""))</f>
        <v/>
      </c>
      <c r="R766" t="str">
        <f>IF(tblSalaries[[#This Row],[Years of Experience]]="","",IF(AND(tblSalaries[[#This Row],[Years of Experience]]&gt;16,tblSalaries[[#This Row],[Years of Experience]]&lt;=20),1,""))</f>
        <v/>
      </c>
      <c r="S766" t="str">
        <f>IF(tblSalaries[[#This Row],[Years of Experience]]="","",IF(tblSalaries[[#This Row],[Years of Experience]]&gt;20,1,""))</f>
        <v/>
      </c>
      <c r="T7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66" s="13" t="str">
        <f>IF(tblSalaries[[#This Row],[Job Type]]=tblSalaries[[#Headers],[Accountant]],tblSalaries[[#This Row],[Salary in USD]],"")</f>
        <v/>
      </c>
      <c r="V766" s="13" t="str">
        <f>IF(tblSalaries[[#This Row],[Job Type]]=tblSalaries[[#Headers],[Analyst]],tblSalaries[[#This Row],[Salary in USD]],"")</f>
        <v/>
      </c>
      <c r="W766" s="13" t="str">
        <f>IF(tblSalaries[[#This Row],[Job Type]]=tblSalaries[[#Headers],[Consultant]],tblSalaries[[#This Row],[Salary in USD]],"")</f>
        <v/>
      </c>
      <c r="X766" s="13" t="str">
        <f>IF(tblSalaries[[#This Row],[Job Type]]=tblSalaries[[#Headers],[Controller]],tblSalaries[[#This Row],[Salary in USD]],"")</f>
        <v/>
      </c>
      <c r="Y766" s="13" t="str">
        <f>IF(tblSalaries[[#This Row],[Job Type]]=tblSalaries[[#Headers],[CXO or Top Mgmt.]],tblSalaries[[#This Row],[clean Salary (in local currency)]],"")</f>
        <v/>
      </c>
      <c r="Z766" s="13" t="str">
        <f>IF(tblSalaries[[#This Row],[Job Type]]=tblSalaries[[#Headers],[Engineer]],tblSalaries[[#This Row],[Salary in USD]],"")</f>
        <v/>
      </c>
      <c r="AA766" s="13" t="str">
        <f>IF(tblSalaries[[#This Row],[Job Type]]=tblSalaries[[#Headers],[Manager]],tblSalaries[[#This Row],[Salary in USD]],"")</f>
        <v/>
      </c>
      <c r="AB766" s="13" t="str">
        <f>IF(tblSalaries[[#This Row],[Job Type]]=tblSalaries[[#Headers],[Misc.]],tblSalaries[[#This Row],[Salary in USD]],"")</f>
        <v/>
      </c>
      <c r="AC766" s="13">
        <f>IF(tblSalaries[[#This Row],[Job Type]]=tblSalaries[[#Headers],[Reporting]],tblSalaries[[#This Row],[Salary in USD]],"")</f>
        <v>13500</v>
      </c>
      <c r="AD766" s="13" t="str">
        <f>IF(tblSalaries[[#This Row],[Job Type]]=tblSalaries[[#Headers],[Specialist]],tblSalaries[[#This Row],[Salary in USD]],"")</f>
        <v/>
      </c>
    </row>
    <row r="767" spans="2:30" ht="15" customHeight="1" x14ac:dyDescent="0.25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 s="9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  <c r="N767" t="str">
        <f>IF(tblSalaries[[#This Row],[Years of Experience]]="","",IF(tblSalaries[[#This Row],[Years of Experience]]&lt;=2,1,""))</f>
        <v/>
      </c>
      <c r="O767" t="str">
        <f>IF(tblSalaries[[#This Row],[Years of Experience]]="","",IF(AND(tblSalaries[[#This Row],[Years of Experience]]&gt;2,tblSalaries[[#This Row],[Years of Experience]]&lt;=5),1,""))</f>
        <v/>
      </c>
      <c r="P767" t="str">
        <f>IF(tblSalaries[[#This Row],[Years of Experience]]="","",IF(AND(tblSalaries[[#This Row],[Years of Experience]]&gt;5,tblSalaries[[#This Row],[Years of Experience]]&lt;=10),1,""))</f>
        <v/>
      </c>
      <c r="Q767">
        <f>IF(tblSalaries[[#This Row],[Years of Experience]]="","",IF(AND(tblSalaries[[#This Row],[Years of Experience]]&gt;10,tblSalaries[[#This Row],[Years of Experience]]&lt;=15),1,""))</f>
        <v>1</v>
      </c>
      <c r="R767" t="str">
        <f>IF(tblSalaries[[#This Row],[Years of Experience]]="","",IF(AND(tblSalaries[[#This Row],[Years of Experience]]&gt;16,tblSalaries[[#This Row],[Years of Experience]]&lt;=20),1,""))</f>
        <v/>
      </c>
      <c r="S767" t="str">
        <f>IF(tblSalaries[[#This Row],[Years of Experience]]="","",IF(tblSalaries[[#This Row],[Years of Experience]]&gt;20,1,""))</f>
        <v/>
      </c>
      <c r="T7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67" s="13" t="str">
        <f>IF(tblSalaries[[#This Row],[Job Type]]=tblSalaries[[#Headers],[Accountant]],tblSalaries[[#This Row],[Salary in USD]],"")</f>
        <v/>
      </c>
      <c r="V767" s="13" t="str">
        <f>IF(tblSalaries[[#This Row],[Job Type]]=tblSalaries[[#Headers],[Analyst]],tblSalaries[[#This Row],[Salary in USD]],"")</f>
        <v/>
      </c>
      <c r="W767" s="13" t="str">
        <f>IF(tblSalaries[[#This Row],[Job Type]]=tblSalaries[[#Headers],[Consultant]],tblSalaries[[#This Row],[Salary in USD]],"")</f>
        <v/>
      </c>
      <c r="X767" s="13" t="str">
        <f>IF(tblSalaries[[#This Row],[Job Type]]=tblSalaries[[#Headers],[Controller]],tblSalaries[[#This Row],[Salary in USD]],"")</f>
        <v/>
      </c>
      <c r="Y767" s="13" t="str">
        <f>IF(tblSalaries[[#This Row],[Job Type]]=tblSalaries[[#Headers],[CXO or Top Mgmt.]],tblSalaries[[#This Row],[clean Salary (in local currency)]],"")</f>
        <v/>
      </c>
      <c r="Z767" s="13" t="str">
        <f>IF(tblSalaries[[#This Row],[Job Type]]=tblSalaries[[#Headers],[Engineer]],tblSalaries[[#This Row],[Salary in USD]],"")</f>
        <v/>
      </c>
      <c r="AA767" s="13">
        <f>IF(tblSalaries[[#This Row],[Job Type]]=tblSalaries[[#Headers],[Manager]],tblSalaries[[#This Row],[Salary in USD]],"")</f>
        <v>45000</v>
      </c>
      <c r="AB767" s="13" t="str">
        <f>IF(tblSalaries[[#This Row],[Job Type]]=tblSalaries[[#Headers],[Misc.]],tblSalaries[[#This Row],[Salary in USD]],"")</f>
        <v/>
      </c>
      <c r="AC767" s="13" t="str">
        <f>IF(tblSalaries[[#This Row],[Job Type]]=tblSalaries[[#Headers],[Reporting]],tblSalaries[[#This Row],[Salary in USD]],"")</f>
        <v/>
      </c>
      <c r="AD767" s="13" t="str">
        <f>IF(tblSalaries[[#This Row],[Job Type]]=tblSalaries[[#Headers],[Specialist]],tblSalaries[[#This Row],[Salary in USD]],"")</f>
        <v/>
      </c>
    </row>
    <row r="768" spans="2:30" ht="15" customHeight="1" x14ac:dyDescent="0.25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 s="9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4001</v>
      </c>
      <c r="J76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  <c r="N768" t="str">
        <f>IF(tblSalaries[[#This Row],[Years of Experience]]="","",IF(tblSalaries[[#This Row],[Years of Experience]]&lt;=2,1,""))</f>
        <v/>
      </c>
      <c r="O768" t="str">
        <f>IF(tblSalaries[[#This Row],[Years of Experience]]="","",IF(AND(tblSalaries[[#This Row],[Years of Experience]]&gt;2,tblSalaries[[#This Row],[Years of Experience]]&lt;=5),1,""))</f>
        <v/>
      </c>
      <c r="P768" t="str">
        <f>IF(tblSalaries[[#This Row],[Years of Experience]]="","",IF(AND(tblSalaries[[#This Row],[Years of Experience]]&gt;5,tblSalaries[[#This Row],[Years of Experience]]&lt;=10),1,""))</f>
        <v/>
      </c>
      <c r="Q768" t="str">
        <f>IF(tblSalaries[[#This Row],[Years of Experience]]="","",IF(AND(tblSalaries[[#This Row],[Years of Experience]]&gt;10,tblSalaries[[#This Row],[Years of Experience]]&lt;=15),1,""))</f>
        <v/>
      </c>
      <c r="R768">
        <f>IF(tblSalaries[[#This Row],[Years of Experience]]="","",IF(AND(tblSalaries[[#This Row],[Years of Experience]]&gt;16,tblSalaries[[#This Row],[Years of Experience]]&lt;=20),1,""))</f>
        <v>1</v>
      </c>
      <c r="S768" t="str">
        <f>IF(tblSalaries[[#This Row],[Years of Experience]]="","",IF(tblSalaries[[#This Row],[Years of Experience]]&gt;20,1,""))</f>
        <v/>
      </c>
      <c r="T7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768" s="13" t="str">
        <f>IF(tblSalaries[[#This Row],[Job Type]]=tblSalaries[[#Headers],[Accountant]],tblSalaries[[#This Row],[Salary in USD]],"")</f>
        <v/>
      </c>
      <c r="V768" s="13" t="str">
        <f>IF(tblSalaries[[#This Row],[Job Type]]=tblSalaries[[#Headers],[Analyst]],tblSalaries[[#This Row],[Salary in USD]],"")</f>
        <v/>
      </c>
      <c r="W768" s="13" t="str">
        <f>IF(tblSalaries[[#This Row],[Job Type]]=tblSalaries[[#Headers],[Consultant]],tblSalaries[[#This Row],[Salary in USD]],"")</f>
        <v/>
      </c>
      <c r="X768" s="13" t="str">
        <f>IF(tblSalaries[[#This Row],[Job Type]]=tblSalaries[[#Headers],[Controller]],tblSalaries[[#This Row],[Salary in USD]],"")</f>
        <v/>
      </c>
      <c r="Y768" s="13">
        <f>IF(tblSalaries[[#This Row],[Job Type]]=tblSalaries[[#Headers],[CXO or Top Mgmt.]],tblSalaries[[#This Row],[clean Salary (in local currency)]],"")</f>
        <v>55000</v>
      </c>
      <c r="Z768" s="13" t="str">
        <f>IF(tblSalaries[[#This Row],[Job Type]]=tblSalaries[[#Headers],[Engineer]],tblSalaries[[#This Row],[Salary in USD]],"")</f>
        <v/>
      </c>
      <c r="AA768" s="13" t="str">
        <f>IF(tblSalaries[[#This Row],[Job Type]]=tblSalaries[[#Headers],[Manager]],tblSalaries[[#This Row],[Salary in USD]],"")</f>
        <v/>
      </c>
      <c r="AB768" s="13" t="str">
        <f>IF(tblSalaries[[#This Row],[Job Type]]=tblSalaries[[#Headers],[Misc.]],tblSalaries[[#This Row],[Salary in USD]],"")</f>
        <v/>
      </c>
      <c r="AC768" s="13" t="str">
        <f>IF(tblSalaries[[#This Row],[Job Type]]=tblSalaries[[#Headers],[Reporting]],tblSalaries[[#This Row],[Salary in USD]],"")</f>
        <v/>
      </c>
      <c r="AD768" s="13" t="str">
        <f>IF(tblSalaries[[#This Row],[Job Type]]=tblSalaries[[#Headers],[Specialist]],tblSalaries[[#This Row],[Salary in USD]],"")</f>
        <v/>
      </c>
    </row>
    <row r="769" spans="2:30" ht="15" customHeight="1" x14ac:dyDescent="0.25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 s="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  <c r="N769" t="str">
        <f>IF(tblSalaries[[#This Row],[Years of Experience]]="","",IF(tblSalaries[[#This Row],[Years of Experience]]&lt;=2,1,""))</f>
        <v/>
      </c>
      <c r="O769" t="str">
        <f>IF(tblSalaries[[#This Row],[Years of Experience]]="","",IF(AND(tblSalaries[[#This Row],[Years of Experience]]&gt;2,tblSalaries[[#This Row],[Years of Experience]]&lt;=5),1,""))</f>
        <v/>
      </c>
      <c r="P769" t="str">
        <f>IF(tblSalaries[[#This Row],[Years of Experience]]="","",IF(AND(tblSalaries[[#This Row],[Years of Experience]]&gt;5,tblSalaries[[#This Row],[Years of Experience]]&lt;=10),1,""))</f>
        <v/>
      </c>
      <c r="Q769">
        <f>IF(tblSalaries[[#This Row],[Years of Experience]]="","",IF(AND(tblSalaries[[#This Row],[Years of Experience]]&gt;10,tblSalaries[[#This Row],[Years of Experience]]&lt;=15),1,""))</f>
        <v>1</v>
      </c>
      <c r="R769" t="str">
        <f>IF(tblSalaries[[#This Row],[Years of Experience]]="","",IF(AND(tblSalaries[[#This Row],[Years of Experience]]&gt;16,tblSalaries[[#This Row],[Years of Experience]]&lt;=20),1,""))</f>
        <v/>
      </c>
      <c r="S769" t="str">
        <f>IF(tblSalaries[[#This Row],[Years of Experience]]="","",IF(tblSalaries[[#This Row],[Years of Experience]]&gt;20,1,""))</f>
        <v/>
      </c>
      <c r="T7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69" s="13" t="str">
        <f>IF(tblSalaries[[#This Row],[Job Type]]=tblSalaries[[#Headers],[Accountant]],tblSalaries[[#This Row],[Salary in USD]],"")</f>
        <v/>
      </c>
      <c r="V769" s="13" t="str">
        <f>IF(tblSalaries[[#This Row],[Job Type]]=tblSalaries[[#Headers],[Analyst]],tblSalaries[[#This Row],[Salary in USD]],"")</f>
        <v/>
      </c>
      <c r="W769" s="13" t="str">
        <f>IF(tblSalaries[[#This Row],[Job Type]]=tblSalaries[[#Headers],[Consultant]],tblSalaries[[#This Row],[Salary in USD]],"")</f>
        <v/>
      </c>
      <c r="X769" s="13" t="str">
        <f>IF(tblSalaries[[#This Row],[Job Type]]=tblSalaries[[#Headers],[Controller]],tblSalaries[[#This Row],[Salary in USD]],"")</f>
        <v/>
      </c>
      <c r="Y769" s="13" t="str">
        <f>IF(tblSalaries[[#This Row],[Job Type]]=tblSalaries[[#Headers],[CXO or Top Mgmt.]],tblSalaries[[#This Row],[clean Salary (in local currency)]],"")</f>
        <v/>
      </c>
      <c r="Z769" s="13" t="str">
        <f>IF(tblSalaries[[#This Row],[Job Type]]=tblSalaries[[#Headers],[Engineer]],tblSalaries[[#This Row],[Salary in USD]],"")</f>
        <v/>
      </c>
      <c r="AA769" s="13">
        <f>IF(tblSalaries[[#This Row],[Job Type]]=tblSalaries[[#Headers],[Manager]],tblSalaries[[#This Row],[Salary in USD]],"")</f>
        <v>8547.8000099724322</v>
      </c>
      <c r="AB769" s="13" t="str">
        <f>IF(tblSalaries[[#This Row],[Job Type]]=tblSalaries[[#Headers],[Misc.]],tblSalaries[[#This Row],[Salary in USD]],"")</f>
        <v/>
      </c>
      <c r="AC769" s="13" t="str">
        <f>IF(tblSalaries[[#This Row],[Job Type]]=tblSalaries[[#Headers],[Reporting]],tblSalaries[[#This Row],[Salary in USD]],"")</f>
        <v/>
      </c>
      <c r="AD769" s="13" t="str">
        <f>IF(tblSalaries[[#This Row],[Job Type]]=tblSalaries[[#Headers],[Specialist]],tblSalaries[[#This Row],[Salary in USD]],"")</f>
        <v/>
      </c>
    </row>
    <row r="770" spans="2:30" ht="15" customHeight="1" x14ac:dyDescent="0.25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 s="9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  <c r="N770" t="str">
        <f>IF(tblSalaries[[#This Row],[Years of Experience]]="","",IF(tblSalaries[[#This Row],[Years of Experience]]&lt;=2,1,""))</f>
        <v/>
      </c>
      <c r="O770" t="str">
        <f>IF(tblSalaries[[#This Row],[Years of Experience]]="","",IF(AND(tblSalaries[[#This Row],[Years of Experience]]&gt;2,tblSalaries[[#This Row],[Years of Experience]]&lt;=5),1,""))</f>
        <v/>
      </c>
      <c r="P770">
        <f>IF(tblSalaries[[#This Row],[Years of Experience]]="","",IF(AND(tblSalaries[[#This Row],[Years of Experience]]&gt;5,tblSalaries[[#This Row],[Years of Experience]]&lt;=10),1,""))</f>
        <v>1</v>
      </c>
      <c r="Q770" t="str">
        <f>IF(tblSalaries[[#This Row],[Years of Experience]]="","",IF(AND(tblSalaries[[#This Row],[Years of Experience]]&gt;10,tblSalaries[[#This Row],[Years of Experience]]&lt;=15),1,""))</f>
        <v/>
      </c>
      <c r="R770" t="str">
        <f>IF(tblSalaries[[#This Row],[Years of Experience]]="","",IF(AND(tblSalaries[[#This Row],[Years of Experience]]&gt;16,tblSalaries[[#This Row],[Years of Experience]]&lt;=20),1,""))</f>
        <v/>
      </c>
      <c r="S770" t="str">
        <f>IF(tblSalaries[[#This Row],[Years of Experience]]="","",IF(tblSalaries[[#This Row],[Years of Experience]]&gt;20,1,""))</f>
        <v/>
      </c>
      <c r="T7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70" s="13">
        <f>IF(tblSalaries[[#This Row],[Job Type]]=tblSalaries[[#Headers],[Accountant]],tblSalaries[[#This Row],[Salary in USD]],"")</f>
        <v>9146.5655463031271</v>
      </c>
      <c r="V770" s="13" t="str">
        <f>IF(tblSalaries[[#This Row],[Job Type]]=tblSalaries[[#Headers],[Analyst]],tblSalaries[[#This Row],[Salary in USD]],"")</f>
        <v/>
      </c>
      <c r="W770" s="13" t="str">
        <f>IF(tblSalaries[[#This Row],[Job Type]]=tblSalaries[[#Headers],[Consultant]],tblSalaries[[#This Row],[Salary in USD]],"")</f>
        <v/>
      </c>
      <c r="X770" s="13" t="str">
        <f>IF(tblSalaries[[#This Row],[Job Type]]=tblSalaries[[#Headers],[Controller]],tblSalaries[[#This Row],[Salary in USD]],"")</f>
        <v/>
      </c>
      <c r="Y770" s="13" t="str">
        <f>IF(tblSalaries[[#This Row],[Job Type]]=tblSalaries[[#Headers],[CXO or Top Mgmt.]],tblSalaries[[#This Row],[clean Salary (in local currency)]],"")</f>
        <v/>
      </c>
      <c r="Z770" s="13" t="str">
        <f>IF(tblSalaries[[#This Row],[Job Type]]=tblSalaries[[#Headers],[Engineer]],tblSalaries[[#This Row],[Salary in USD]],"")</f>
        <v/>
      </c>
      <c r="AA770" s="13" t="str">
        <f>IF(tblSalaries[[#This Row],[Job Type]]=tblSalaries[[#Headers],[Manager]],tblSalaries[[#This Row],[Salary in USD]],"")</f>
        <v/>
      </c>
      <c r="AB770" s="13" t="str">
        <f>IF(tblSalaries[[#This Row],[Job Type]]=tblSalaries[[#Headers],[Misc.]],tblSalaries[[#This Row],[Salary in USD]],"")</f>
        <v/>
      </c>
      <c r="AC770" s="13" t="str">
        <f>IF(tblSalaries[[#This Row],[Job Type]]=tblSalaries[[#Headers],[Reporting]],tblSalaries[[#This Row],[Salary in USD]],"")</f>
        <v/>
      </c>
      <c r="AD770" s="13" t="str">
        <f>IF(tblSalaries[[#This Row],[Job Type]]=tblSalaries[[#Headers],[Specialist]],tblSalaries[[#This Row],[Salary in USD]],"")</f>
        <v/>
      </c>
    </row>
    <row r="771" spans="2:30" ht="15" customHeight="1" x14ac:dyDescent="0.25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 s="9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  <c r="N771" t="str">
        <f>IF(tblSalaries[[#This Row],[Years of Experience]]="","",IF(tblSalaries[[#This Row],[Years of Experience]]&lt;=2,1,""))</f>
        <v/>
      </c>
      <c r="O771">
        <f>IF(tblSalaries[[#This Row],[Years of Experience]]="","",IF(AND(tblSalaries[[#This Row],[Years of Experience]]&gt;2,tblSalaries[[#This Row],[Years of Experience]]&lt;=5),1,""))</f>
        <v>1</v>
      </c>
      <c r="P771" t="str">
        <f>IF(tblSalaries[[#This Row],[Years of Experience]]="","",IF(AND(tblSalaries[[#This Row],[Years of Experience]]&gt;5,tblSalaries[[#This Row],[Years of Experience]]&lt;=10),1,""))</f>
        <v/>
      </c>
      <c r="Q771" t="str">
        <f>IF(tblSalaries[[#This Row],[Years of Experience]]="","",IF(AND(tblSalaries[[#This Row],[Years of Experience]]&gt;10,tblSalaries[[#This Row],[Years of Experience]]&lt;=15),1,""))</f>
        <v/>
      </c>
      <c r="R771" t="str">
        <f>IF(tblSalaries[[#This Row],[Years of Experience]]="","",IF(AND(tblSalaries[[#This Row],[Years of Experience]]&gt;16,tblSalaries[[#This Row],[Years of Experience]]&lt;=20),1,""))</f>
        <v/>
      </c>
      <c r="S771" t="str">
        <f>IF(tblSalaries[[#This Row],[Years of Experience]]="","",IF(tblSalaries[[#This Row],[Years of Experience]]&gt;20,1,""))</f>
        <v/>
      </c>
      <c r="T7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71" s="13" t="str">
        <f>IF(tblSalaries[[#This Row],[Job Type]]=tblSalaries[[#Headers],[Accountant]],tblSalaries[[#This Row],[Salary in USD]],"")</f>
        <v/>
      </c>
      <c r="V771" s="13">
        <f>IF(tblSalaries[[#This Row],[Job Type]]=tblSalaries[[#Headers],[Analyst]],tblSalaries[[#This Row],[Salary in USD]],"")</f>
        <v>10150.512511842264</v>
      </c>
      <c r="W771" s="13" t="str">
        <f>IF(tblSalaries[[#This Row],[Job Type]]=tblSalaries[[#Headers],[Consultant]],tblSalaries[[#This Row],[Salary in USD]],"")</f>
        <v/>
      </c>
      <c r="X771" s="13" t="str">
        <f>IF(tblSalaries[[#This Row],[Job Type]]=tblSalaries[[#Headers],[Controller]],tblSalaries[[#This Row],[Salary in USD]],"")</f>
        <v/>
      </c>
      <c r="Y771" s="13" t="str">
        <f>IF(tblSalaries[[#This Row],[Job Type]]=tblSalaries[[#Headers],[CXO or Top Mgmt.]],tblSalaries[[#This Row],[clean Salary (in local currency)]],"")</f>
        <v/>
      </c>
      <c r="Z771" s="13" t="str">
        <f>IF(tblSalaries[[#This Row],[Job Type]]=tblSalaries[[#Headers],[Engineer]],tblSalaries[[#This Row],[Salary in USD]],"")</f>
        <v/>
      </c>
      <c r="AA771" s="13" t="str">
        <f>IF(tblSalaries[[#This Row],[Job Type]]=tblSalaries[[#Headers],[Manager]],tblSalaries[[#This Row],[Salary in USD]],"")</f>
        <v/>
      </c>
      <c r="AB771" s="13" t="str">
        <f>IF(tblSalaries[[#This Row],[Job Type]]=tblSalaries[[#Headers],[Misc.]],tblSalaries[[#This Row],[Salary in USD]],"")</f>
        <v/>
      </c>
      <c r="AC771" s="13" t="str">
        <f>IF(tblSalaries[[#This Row],[Job Type]]=tblSalaries[[#Headers],[Reporting]],tblSalaries[[#This Row],[Salary in USD]],"")</f>
        <v/>
      </c>
      <c r="AD771" s="13" t="str">
        <f>IF(tblSalaries[[#This Row],[Job Type]]=tblSalaries[[#Headers],[Specialist]],tblSalaries[[#This Row],[Salary in USD]],"")</f>
        <v/>
      </c>
    </row>
    <row r="772" spans="2:30" ht="15" customHeight="1" x14ac:dyDescent="0.25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 s="9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  <c r="N772" t="str">
        <f>IF(tblSalaries[[#This Row],[Years of Experience]]="","",IF(tblSalaries[[#This Row],[Years of Experience]]&lt;=2,1,""))</f>
        <v/>
      </c>
      <c r="O772" t="str">
        <f>IF(tblSalaries[[#This Row],[Years of Experience]]="","",IF(AND(tblSalaries[[#This Row],[Years of Experience]]&gt;2,tblSalaries[[#This Row],[Years of Experience]]&lt;=5),1,""))</f>
        <v/>
      </c>
      <c r="P772">
        <f>IF(tblSalaries[[#This Row],[Years of Experience]]="","",IF(AND(tblSalaries[[#This Row],[Years of Experience]]&gt;5,tblSalaries[[#This Row],[Years of Experience]]&lt;=10),1,""))</f>
        <v>1</v>
      </c>
      <c r="Q772" t="str">
        <f>IF(tblSalaries[[#This Row],[Years of Experience]]="","",IF(AND(tblSalaries[[#This Row],[Years of Experience]]&gt;10,tblSalaries[[#This Row],[Years of Experience]]&lt;=15),1,""))</f>
        <v/>
      </c>
      <c r="R772" t="str">
        <f>IF(tblSalaries[[#This Row],[Years of Experience]]="","",IF(AND(tblSalaries[[#This Row],[Years of Experience]]&gt;16,tblSalaries[[#This Row],[Years of Experience]]&lt;=20),1,""))</f>
        <v/>
      </c>
      <c r="S772" t="str">
        <f>IF(tblSalaries[[#This Row],[Years of Experience]]="","",IF(tblSalaries[[#This Row],[Years of Experience]]&gt;20,1,""))</f>
        <v/>
      </c>
      <c r="T7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72" s="13" t="str">
        <f>IF(tblSalaries[[#This Row],[Job Type]]=tblSalaries[[#Headers],[Accountant]],tblSalaries[[#This Row],[Salary in USD]],"")</f>
        <v/>
      </c>
      <c r="V772" s="13" t="str">
        <f>IF(tblSalaries[[#This Row],[Job Type]]=tblSalaries[[#Headers],[Analyst]],tblSalaries[[#This Row],[Salary in USD]],"")</f>
        <v/>
      </c>
      <c r="W772" s="13" t="str">
        <f>IF(tblSalaries[[#This Row],[Job Type]]=tblSalaries[[#Headers],[Consultant]],tblSalaries[[#This Row],[Salary in USD]],"")</f>
        <v/>
      </c>
      <c r="X772" s="13" t="str">
        <f>IF(tblSalaries[[#This Row],[Job Type]]=tblSalaries[[#Headers],[Controller]],tblSalaries[[#This Row],[Salary in USD]],"")</f>
        <v/>
      </c>
      <c r="Y772" s="13" t="str">
        <f>IF(tblSalaries[[#This Row],[Job Type]]=tblSalaries[[#Headers],[CXO or Top Mgmt.]],tblSalaries[[#This Row],[clean Salary (in local currency)]],"")</f>
        <v/>
      </c>
      <c r="Z772" s="13" t="str">
        <f>IF(tblSalaries[[#This Row],[Job Type]]=tblSalaries[[#Headers],[Engineer]],tblSalaries[[#This Row],[Salary in USD]],"")</f>
        <v/>
      </c>
      <c r="AA772" s="13">
        <f>IF(tblSalaries[[#This Row],[Job Type]]=tblSalaries[[#Headers],[Manager]],tblSalaries[[#This Row],[Salary in USD]],"")</f>
        <v>11325.835013213473</v>
      </c>
      <c r="AB772" s="13" t="str">
        <f>IF(tblSalaries[[#This Row],[Job Type]]=tblSalaries[[#Headers],[Misc.]],tblSalaries[[#This Row],[Salary in USD]],"")</f>
        <v/>
      </c>
      <c r="AC772" s="13" t="str">
        <f>IF(tblSalaries[[#This Row],[Job Type]]=tblSalaries[[#Headers],[Reporting]],tblSalaries[[#This Row],[Salary in USD]],"")</f>
        <v/>
      </c>
      <c r="AD772" s="13" t="str">
        <f>IF(tblSalaries[[#This Row],[Job Type]]=tblSalaries[[#Headers],[Specialist]],tblSalaries[[#This Row],[Salary in USD]],"")</f>
        <v/>
      </c>
    </row>
    <row r="773" spans="2:30" ht="15" customHeight="1" x14ac:dyDescent="0.25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 s="9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3999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  <c r="N773" t="str">
        <f>IF(tblSalaries[[#This Row],[Years of Experience]]="","",IF(tblSalaries[[#This Row],[Years of Experience]]&lt;=2,1,""))</f>
        <v/>
      </c>
      <c r="O773" t="str">
        <f>IF(tblSalaries[[#This Row],[Years of Experience]]="","",IF(AND(tblSalaries[[#This Row],[Years of Experience]]&gt;2,tblSalaries[[#This Row],[Years of Experience]]&lt;=5),1,""))</f>
        <v/>
      </c>
      <c r="P773">
        <f>IF(tblSalaries[[#This Row],[Years of Experience]]="","",IF(AND(tblSalaries[[#This Row],[Years of Experience]]&gt;5,tblSalaries[[#This Row],[Years of Experience]]&lt;=10),1,""))</f>
        <v>1</v>
      </c>
      <c r="Q773" t="str">
        <f>IF(tblSalaries[[#This Row],[Years of Experience]]="","",IF(AND(tblSalaries[[#This Row],[Years of Experience]]&gt;10,tblSalaries[[#This Row],[Years of Experience]]&lt;=15),1,""))</f>
        <v/>
      </c>
      <c r="R773" t="str">
        <f>IF(tblSalaries[[#This Row],[Years of Experience]]="","",IF(AND(tblSalaries[[#This Row],[Years of Experience]]&gt;16,tblSalaries[[#This Row],[Years of Experience]]&lt;=20),1,""))</f>
        <v/>
      </c>
      <c r="S773" t="str">
        <f>IF(tblSalaries[[#This Row],[Years of Experience]]="","",IF(tblSalaries[[#This Row],[Years of Experience]]&gt;20,1,""))</f>
        <v/>
      </c>
      <c r="T7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73" s="13" t="str">
        <f>IF(tblSalaries[[#This Row],[Job Type]]=tblSalaries[[#Headers],[Accountant]],tblSalaries[[#This Row],[Salary in USD]],"")</f>
        <v/>
      </c>
      <c r="V773" s="13" t="str">
        <f>IF(tblSalaries[[#This Row],[Job Type]]=tblSalaries[[#Headers],[Analyst]],tblSalaries[[#This Row],[Salary in USD]],"")</f>
        <v/>
      </c>
      <c r="W773" s="13" t="str">
        <f>IF(tblSalaries[[#This Row],[Job Type]]=tblSalaries[[#Headers],[Consultant]],tblSalaries[[#This Row],[Salary in USD]],"")</f>
        <v/>
      </c>
      <c r="X773" s="13" t="str">
        <f>IF(tblSalaries[[#This Row],[Job Type]]=tblSalaries[[#Headers],[Controller]],tblSalaries[[#This Row],[Salary in USD]],"")</f>
        <v/>
      </c>
      <c r="Y773" s="13" t="str">
        <f>IF(tblSalaries[[#This Row],[Job Type]]=tblSalaries[[#Headers],[CXO or Top Mgmt.]],tblSalaries[[#This Row],[clean Salary (in local currency)]],"")</f>
        <v/>
      </c>
      <c r="Z773" s="13" t="str">
        <f>IF(tblSalaries[[#This Row],[Job Type]]=tblSalaries[[#Headers],[Engineer]],tblSalaries[[#This Row],[Salary in USD]],"")</f>
        <v/>
      </c>
      <c r="AA773" s="13" t="str">
        <f>IF(tblSalaries[[#This Row],[Job Type]]=tblSalaries[[#Headers],[Manager]],tblSalaries[[#This Row],[Salary in USD]],"")</f>
        <v/>
      </c>
      <c r="AB773" s="13" t="str">
        <f>IF(tblSalaries[[#This Row],[Job Type]]=tblSalaries[[#Headers],[Misc.]],tblSalaries[[#This Row],[Salary in USD]],"")</f>
        <v/>
      </c>
      <c r="AC773" s="13">
        <f>IF(tblSalaries[[#This Row],[Job Type]]=tblSalaries[[#Headers],[Reporting]],tblSalaries[[#This Row],[Salary in USD]],"")</f>
        <v>1910.5359690238436</v>
      </c>
      <c r="AD773" s="13" t="str">
        <f>IF(tblSalaries[[#This Row],[Job Type]]=tblSalaries[[#Headers],[Specialist]],tblSalaries[[#This Row],[Salary in USD]],"")</f>
        <v/>
      </c>
    </row>
    <row r="774" spans="2:30" ht="15" customHeight="1" x14ac:dyDescent="0.25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 s="9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  <c r="N774" t="str">
        <f>IF(tblSalaries[[#This Row],[Years of Experience]]="","",IF(tblSalaries[[#This Row],[Years of Experience]]&lt;=2,1,""))</f>
        <v/>
      </c>
      <c r="O774" t="str">
        <f>IF(tblSalaries[[#This Row],[Years of Experience]]="","",IF(AND(tblSalaries[[#This Row],[Years of Experience]]&gt;2,tblSalaries[[#This Row],[Years of Experience]]&lt;=5),1,""))</f>
        <v/>
      </c>
      <c r="P774" t="str">
        <f>IF(tblSalaries[[#This Row],[Years of Experience]]="","",IF(AND(tblSalaries[[#This Row],[Years of Experience]]&gt;5,tblSalaries[[#This Row],[Years of Experience]]&lt;=10),1,""))</f>
        <v/>
      </c>
      <c r="Q774">
        <f>IF(tblSalaries[[#This Row],[Years of Experience]]="","",IF(AND(tblSalaries[[#This Row],[Years of Experience]]&gt;10,tblSalaries[[#This Row],[Years of Experience]]&lt;=15),1,""))</f>
        <v>1</v>
      </c>
      <c r="R774" t="str">
        <f>IF(tblSalaries[[#This Row],[Years of Experience]]="","",IF(AND(tblSalaries[[#This Row],[Years of Experience]]&gt;16,tblSalaries[[#This Row],[Years of Experience]]&lt;=20),1,""))</f>
        <v/>
      </c>
      <c r="S774" t="str">
        <f>IF(tblSalaries[[#This Row],[Years of Experience]]="","",IF(tblSalaries[[#This Row],[Years of Experience]]&gt;20,1,""))</f>
        <v/>
      </c>
      <c r="T7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74" s="13" t="str">
        <f>IF(tblSalaries[[#This Row],[Job Type]]=tblSalaries[[#Headers],[Accountant]],tblSalaries[[#This Row],[Salary in USD]],"")</f>
        <v/>
      </c>
      <c r="V774" s="13" t="str">
        <f>IF(tblSalaries[[#This Row],[Job Type]]=tblSalaries[[#Headers],[Analyst]],tblSalaries[[#This Row],[Salary in USD]],"")</f>
        <v/>
      </c>
      <c r="W774" s="13" t="str">
        <f>IF(tblSalaries[[#This Row],[Job Type]]=tblSalaries[[#Headers],[Consultant]],tblSalaries[[#This Row],[Salary in USD]],"")</f>
        <v/>
      </c>
      <c r="X774" s="13" t="str">
        <f>IF(tblSalaries[[#This Row],[Job Type]]=tblSalaries[[#Headers],[Controller]],tblSalaries[[#This Row],[Salary in USD]],"")</f>
        <v/>
      </c>
      <c r="Y774" s="13" t="str">
        <f>IF(tblSalaries[[#This Row],[Job Type]]=tblSalaries[[#Headers],[CXO or Top Mgmt.]],tblSalaries[[#This Row],[clean Salary (in local currency)]],"")</f>
        <v/>
      </c>
      <c r="Z774" s="13" t="str">
        <f>IF(tblSalaries[[#This Row],[Job Type]]=tblSalaries[[#Headers],[Engineer]],tblSalaries[[#This Row],[Salary in USD]],"")</f>
        <v/>
      </c>
      <c r="AA774" s="13">
        <f>IF(tblSalaries[[#This Row],[Job Type]]=tblSalaries[[#Headers],[Manager]],tblSalaries[[#This Row],[Salary in USD]],"")</f>
        <v>36000</v>
      </c>
      <c r="AB774" s="13" t="str">
        <f>IF(tblSalaries[[#This Row],[Job Type]]=tblSalaries[[#Headers],[Misc.]],tblSalaries[[#This Row],[Salary in USD]],"")</f>
        <v/>
      </c>
      <c r="AC774" s="13" t="str">
        <f>IF(tblSalaries[[#This Row],[Job Type]]=tblSalaries[[#Headers],[Reporting]],tblSalaries[[#This Row],[Salary in USD]],"")</f>
        <v/>
      </c>
      <c r="AD774" s="13" t="str">
        <f>IF(tblSalaries[[#This Row],[Job Type]]=tblSalaries[[#Headers],[Specialist]],tblSalaries[[#This Row],[Salary in USD]],"")</f>
        <v/>
      </c>
    </row>
    <row r="775" spans="2:30" ht="15" customHeight="1" x14ac:dyDescent="0.25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 s="9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  <c r="N775" t="str">
        <f>IF(tblSalaries[[#This Row],[Years of Experience]]="","",IF(tblSalaries[[#This Row],[Years of Experience]]&lt;=2,1,""))</f>
        <v/>
      </c>
      <c r="O775">
        <f>IF(tblSalaries[[#This Row],[Years of Experience]]="","",IF(AND(tblSalaries[[#This Row],[Years of Experience]]&gt;2,tblSalaries[[#This Row],[Years of Experience]]&lt;=5),1,""))</f>
        <v>1</v>
      </c>
      <c r="P775" t="str">
        <f>IF(tblSalaries[[#This Row],[Years of Experience]]="","",IF(AND(tblSalaries[[#This Row],[Years of Experience]]&gt;5,tblSalaries[[#This Row],[Years of Experience]]&lt;=10),1,""))</f>
        <v/>
      </c>
      <c r="Q775" t="str">
        <f>IF(tblSalaries[[#This Row],[Years of Experience]]="","",IF(AND(tblSalaries[[#This Row],[Years of Experience]]&gt;10,tblSalaries[[#This Row],[Years of Experience]]&lt;=15),1,""))</f>
        <v/>
      </c>
      <c r="R775" t="str">
        <f>IF(tblSalaries[[#This Row],[Years of Experience]]="","",IF(AND(tblSalaries[[#This Row],[Years of Experience]]&gt;16,tblSalaries[[#This Row],[Years of Experience]]&lt;=20),1,""))</f>
        <v/>
      </c>
      <c r="S775" t="str">
        <f>IF(tblSalaries[[#This Row],[Years of Experience]]="","",IF(tblSalaries[[#This Row],[Years of Experience]]&gt;20,1,""))</f>
        <v/>
      </c>
      <c r="T7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75" s="13">
        <f>IF(tblSalaries[[#This Row],[Job Type]]=tblSalaries[[#Headers],[Accountant]],tblSalaries[[#This Row],[Salary in USD]],"")</f>
        <v>40067.812546745779</v>
      </c>
      <c r="V775" s="13" t="str">
        <f>IF(tblSalaries[[#This Row],[Job Type]]=tblSalaries[[#Headers],[Analyst]],tblSalaries[[#This Row],[Salary in USD]],"")</f>
        <v/>
      </c>
      <c r="W775" s="13" t="str">
        <f>IF(tblSalaries[[#This Row],[Job Type]]=tblSalaries[[#Headers],[Consultant]],tblSalaries[[#This Row],[Salary in USD]],"")</f>
        <v/>
      </c>
      <c r="X775" s="13" t="str">
        <f>IF(tblSalaries[[#This Row],[Job Type]]=tblSalaries[[#Headers],[Controller]],tblSalaries[[#This Row],[Salary in USD]],"")</f>
        <v/>
      </c>
      <c r="Y775" s="13" t="str">
        <f>IF(tblSalaries[[#This Row],[Job Type]]=tblSalaries[[#Headers],[CXO or Top Mgmt.]],tblSalaries[[#This Row],[clean Salary (in local currency)]],"")</f>
        <v/>
      </c>
      <c r="Z775" s="13" t="str">
        <f>IF(tblSalaries[[#This Row],[Job Type]]=tblSalaries[[#Headers],[Engineer]],tblSalaries[[#This Row],[Salary in USD]],"")</f>
        <v/>
      </c>
      <c r="AA775" s="13" t="str">
        <f>IF(tblSalaries[[#This Row],[Job Type]]=tblSalaries[[#Headers],[Manager]],tblSalaries[[#This Row],[Salary in USD]],"")</f>
        <v/>
      </c>
      <c r="AB775" s="13" t="str">
        <f>IF(tblSalaries[[#This Row],[Job Type]]=tblSalaries[[#Headers],[Misc.]],tblSalaries[[#This Row],[Salary in USD]],"")</f>
        <v/>
      </c>
      <c r="AC775" s="13" t="str">
        <f>IF(tblSalaries[[#This Row],[Job Type]]=tblSalaries[[#Headers],[Reporting]],tblSalaries[[#This Row],[Salary in USD]],"")</f>
        <v/>
      </c>
      <c r="AD775" s="13" t="str">
        <f>IF(tblSalaries[[#This Row],[Job Type]]=tblSalaries[[#Headers],[Specialist]],tblSalaries[[#This Row],[Salary in USD]],"")</f>
        <v/>
      </c>
    </row>
    <row r="776" spans="2:30" ht="15" customHeight="1" x14ac:dyDescent="0.25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 s="9">
        <f>tblSalaries[[#This Row],[clean Salary (in local currency)]]*VLOOKUP(tblSalaries[[#This Row],[Currency]],tblXrate[],2,FALSE)</f>
        <v>16000</v>
      </c>
      <c r="H776" t="s">
        <v>905</v>
      </c>
      <c r="I776" t="s">
        <v>3999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  <c r="N776">
        <f>IF(tblSalaries[[#This Row],[Years of Experience]]="","",IF(tblSalaries[[#This Row],[Years of Experience]]&lt;=2,1,""))</f>
        <v>1</v>
      </c>
      <c r="O776" t="str">
        <f>IF(tblSalaries[[#This Row],[Years of Experience]]="","",IF(AND(tblSalaries[[#This Row],[Years of Experience]]&gt;2,tblSalaries[[#This Row],[Years of Experience]]&lt;=5),1,""))</f>
        <v/>
      </c>
      <c r="P776" t="str">
        <f>IF(tblSalaries[[#This Row],[Years of Experience]]="","",IF(AND(tblSalaries[[#This Row],[Years of Experience]]&gt;5,tblSalaries[[#This Row],[Years of Experience]]&lt;=10),1,""))</f>
        <v/>
      </c>
      <c r="Q776" t="str">
        <f>IF(tblSalaries[[#This Row],[Years of Experience]]="","",IF(AND(tblSalaries[[#This Row],[Years of Experience]]&gt;10,tblSalaries[[#This Row],[Years of Experience]]&lt;=15),1,""))</f>
        <v/>
      </c>
      <c r="R776" t="str">
        <f>IF(tblSalaries[[#This Row],[Years of Experience]]="","",IF(AND(tblSalaries[[#This Row],[Years of Experience]]&gt;16,tblSalaries[[#This Row],[Years of Experience]]&lt;=20),1,""))</f>
        <v/>
      </c>
      <c r="S776" t="str">
        <f>IF(tblSalaries[[#This Row],[Years of Experience]]="","",IF(tblSalaries[[#This Row],[Years of Experience]]&gt;20,1,""))</f>
        <v/>
      </c>
      <c r="T7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76" s="13" t="str">
        <f>IF(tblSalaries[[#This Row],[Job Type]]=tblSalaries[[#Headers],[Accountant]],tblSalaries[[#This Row],[Salary in USD]],"")</f>
        <v/>
      </c>
      <c r="V776" s="13" t="str">
        <f>IF(tblSalaries[[#This Row],[Job Type]]=tblSalaries[[#Headers],[Analyst]],tblSalaries[[#This Row],[Salary in USD]],"")</f>
        <v/>
      </c>
      <c r="W776" s="13" t="str">
        <f>IF(tblSalaries[[#This Row],[Job Type]]=tblSalaries[[#Headers],[Consultant]],tblSalaries[[#This Row],[Salary in USD]],"")</f>
        <v/>
      </c>
      <c r="X776" s="13" t="str">
        <f>IF(tblSalaries[[#This Row],[Job Type]]=tblSalaries[[#Headers],[Controller]],tblSalaries[[#This Row],[Salary in USD]],"")</f>
        <v/>
      </c>
      <c r="Y776" s="13" t="str">
        <f>IF(tblSalaries[[#This Row],[Job Type]]=tblSalaries[[#Headers],[CXO or Top Mgmt.]],tblSalaries[[#This Row],[clean Salary (in local currency)]],"")</f>
        <v/>
      </c>
      <c r="Z776" s="13" t="str">
        <f>IF(tblSalaries[[#This Row],[Job Type]]=tblSalaries[[#Headers],[Engineer]],tblSalaries[[#This Row],[Salary in USD]],"")</f>
        <v/>
      </c>
      <c r="AA776" s="13" t="str">
        <f>IF(tblSalaries[[#This Row],[Job Type]]=tblSalaries[[#Headers],[Manager]],tblSalaries[[#This Row],[Salary in USD]],"")</f>
        <v/>
      </c>
      <c r="AB776" s="13" t="str">
        <f>IF(tblSalaries[[#This Row],[Job Type]]=tblSalaries[[#Headers],[Misc.]],tblSalaries[[#This Row],[Salary in USD]],"")</f>
        <v/>
      </c>
      <c r="AC776" s="13">
        <f>IF(tblSalaries[[#This Row],[Job Type]]=tblSalaries[[#Headers],[Reporting]],tblSalaries[[#This Row],[Salary in USD]],"")</f>
        <v>16000</v>
      </c>
      <c r="AD776" s="13" t="str">
        <f>IF(tblSalaries[[#This Row],[Job Type]]=tblSalaries[[#Headers],[Specialist]],tblSalaries[[#This Row],[Salary in USD]],"")</f>
        <v/>
      </c>
    </row>
    <row r="777" spans="2:30" ht="15" customHeight="1" x14ac:dyDescent="0.25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 s="9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  <c r="N777" t="str">
        <f>IF(tblSalaries[[#This Row],[Years of Experience]]="","",IF(tblSalaries[[#This Row],[Years of Experience]]&lt;=2,1,""))</f>
        <v/>
      </c>
      <c r="O777">
        <f>IF(tblSalaries[[#This Row],[Years of Experience]]="","",IF(AND(tblSalaries[[#This Row],[Years of Experience]]&gt;2,tblSalaries[[#This Row],[Years of Experience]]&lt;=5),1,""))</f>
        <v>1</v>
      </c>
      <c r="P777" t="str">
        <f>IF(tblSalaries[[#This Row],[Years of Experience]]="","",IF(AND(tblSalaries[[#This Row],[Years of Experience]]&gt;5,tblSalaries[[#This Row],[Years of Experience]]&lt;=10),1,""))</f>
        <v/>
      </c>
      <c r="Q777" t="str">
        <f>IF(tblSalaries[[#This Row],[Years of Experience]]="","",IF(AND(tblSalaries[[#This Row],[Years of Experience]]&gt;10,tblSalaries[[#This Row],[Years of Experience]]&lt;=15),1,""))</f>
        <v/>
      </c>
      <c r="R777" t="str">
        <f>IF(tblSalaries[[#This Row],[Years of Experience]]="","",IF(AND(tblSalaries[[#This Row],[Years of Experience]]&gt;16,tblSalaries[[#This Row],[Years of Experience]]&lt;=20),1,""))</f>
        <v/>
      </c>
      <c r="S777" t="str">
        <f>IF(tblSalaries[[#This Row],[Years of Experience]]="","",IF(tblSalaries[[#This Row],[Years of Experience]]&gt;20,1,""))</f>
        <v/>
      </c>
      <c r="T7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77" s="13" t="str">
        <f>IF(tblSalaries[[#This Row],[Job Type]]=tblSalaries[[#Headers],[Accountant]],tblSalaries[[#This Row],[Salary in USD]],"")</f>
        <v/>
      </c>
      <c r="V777" s="13">
        <f>IF(tblSalaries[[#This Row],[Job Type]]=tblSalaries[[#Headers],[Analyst]],tblSalaries[[#This Row],[Salary in USD]],"")</f>
        <v>4273.9000049862161</v>
      </c>
      <c r="W777" s="13" t="str">
        <f>IF(tblSalaries[[#This Row],[Job Type]]=tblSalaries[[#Headers],[Consultant]],tblSalaries[[#This Row],[Salary in USD]],"")</f>
        <v/>
      </c>
      <c r="X777" s="13" t="str">
        <f>IF(tblSalaries[[#This Row],[Job Type]]=tblSalaries[[#Headers],[Controller]],tblSalaries[[#This Row],[Salary in USD]],"")</f>
        <v/>
      </c>
      <c r="Y777" s="13" t="str">
        <f>IF(tblSalaries[[#This Row],[Job Type]]=tblSalaries[[#Headers],[CXO or Top Mgmt.]],tblSalaries[[#This Row],[clean Salary (in local currency)]],"")</f>
        <v/>
      </c>
      <c r="Z777" s="13" t="str">
        <f>IF(tblSalaries[[#This Row],[Job Type]]=tblSalaries[[#Headers],[Engineer]],tblSalaries[[#This Row],[Salary in USD]],"")</f>
        <v/>
      </c>
      <c r="AA777" s="13" t="str">
        <f>IF(tblSalaries[[#This Row],[Job Type]]=tblSalaries[[#Headers],[Manager]],tblSalaries[[#This Row],[Salary in USD]],"")</f>
        <v/>
      </c>
      <c r="AB777" s="13" t="str">
        <f>IF(tblSalaries[[#This Row],[Job Type]]=tblSalaries[[#Headers],[Misc.]],tblSalaries[[#This Row],[Salary in USD]],"")</f>
        <v/>
      </c>
      <c r="AC777" s="13" t="str">
        <f>IF(tblSalaries[[#This Row],[Job Type]]=tblSalaries[[#Headers],[Reporting]],tblSalaries[[#This Row],[Salary in USD]],"")</f>
        <v/>
      </c>
      <c r="AD777" s="13" t="str">
        <f>IF(tblSalaries[[#This Row],[Job Type]]=tblSalaries[[#Headers],[Specialist]],tblSalaries[[#This Row],[Salary in USD]],"")</f>
        <v/>
      </c>
    </row>
    <row r="778" spans="2:30" ht="15" customHeight="1" x14ac:dyDescent="0.25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 s="9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  <c r="N778" t="str">
        <f>IF(tblSalaries[[#This Row],[Years of Experience]]="","",IF(tblSalaries[[#This Row],[Years of Experience]]&lt;=2,1,""))</f>
        <v/>
      </c>
      <c r="O778" t="str">
        <f>IF(tblSalaries[[#This Row],[Years of Experience]]="","",IF(AND(tblSalaries[[#This Row],[Years of Experience]]&gt;2,tblSalaries[[#This Row],[Years of Experience]]&lt;=5),1,""))</f>
        <v/>
      </c>
      <c r="P778">
        <f>IF(tblSalaries[[#This Row],[Years of Experience]]="","",IF(AND(tblSalaries[[#This Row],[Years of Experience]]&gt;5,tblSalaries[[#This Row],[Years of Experience]]&lt;=10),1,""))</f>
        <v>1</v>
      </c>
      <c r="Q778" t="str">
        <f>IF(tblSalaries[[#This Row],[Years of Experience]]="","",IF(AND(tblSalaries[[#This Row],[Years of Experience]]&gt;10,tblSalaries[[#This Row],[Years of Experience]]&lt;=15),1,""))</f>
        <v/>
      </c>
      <c r="R778" t="str">
        <f>IF(tblSalaries[[#This Row],[Years of Experience]]="","",IF(AND(tblSalaries[[#This Row],[Years of Experience]]&gt;16,tblSalaries[[#This Row],[Years of Experience]]&lt;=20),1,""))</f>
        <v/>
      </c>
      <c r="S778" t="str">
        <f>IF(tblSalaries[[#This Row],[Years of Experience]]="","",IF(tblSalaries[[#This Row],[Years of Experience]]&gt;20,1,""))</f>
        <v/>
      </c>
      <c r="T7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78" s="13" t="str">
        <f>IF(tblSalaries[[#This Row],[Job Type]]=tblSalaries[[#Headers],[Accountant]],tblSalaries[[#This Row],[Salary in USD]],"")</f>
        <v/>
      </c>
      <c r="V778" s="13" t="str">
        <f>IF(tblSalaries[[#This Row],[Job Type]]=tblSalaries[[#Headers],[Analyst]],tblSalaries[[#This Row],[Salary in USD]],"")</f>
        <v/>
      </c>
      <c r="W778" s="13" t="str">
        <f>IF(tblSalaries[[#This Row],[Job Type]]=tblSalaries[[#Headers],[Consultant]],tblSalaries[[#This Row],[Salary in USD]],"")</f>
        <v/>
      </c>
      <c r="X778" s="13" t="str">
        <f>IF(tblSalaries[[#This Row],[Job Type]]=tblSalaries[[#Headers],[Controller]],tblSalaries[[#This Row],[Salary in USD]],"")</f>
        <v/>
      </c>
      <c r="Y778" s="13" t="str">
        <f>IF(tblSalaries[[#This Row],[Job Type]]=tblSalaries[[#Headers],[CXO or Top Mgmt.]],tblSalaries[[#This Row],[clean Salary (in local currency)]],"")</f>
        <v/>
      </c>
      <c r="Z778" s="13" t="str">
        <f>IF(tblSalaries[[#This Row],[Job Type]]=tblSalaries[[#Headers],[Engineer]],tblSalaries[[#This Row],[Salary in USD]],"")</f>
        <v/>
      </c>
      <c r="AA778" s="13">
        <f>IF(tblSalaries[[#This Row],[Job Type]]=tblSalaries[[#Headers],[Manager]],tblSalaries[[#This Row],[Salary in USD]],"")</f>
        <v>7123.1666749770275</v>
      </c>
      <c r="AB778" s="13" t="str">
        <f>IF(tblSalaries[[#This Row],[Job Type]]=tblSalaries[[#Headers],[Misc.]],tblSalaries[[#This Row],[Salary in USD]],"")</f>
        <v/>
      </c>
      <c r="AC778" s="13" t="str">
        <f>IF(tblSalaries[[#This Row],[Job Type]]=tblSalaries[[#Headers],[Reporting]],tblSalaries[[#This Row],[Salary in USD]],"")</f>
        <v/>
      </c>
      <c r="AD778" s="13" t="str">
        <f>IF(tblSalaries[[#This Row],[Job Type]]=tblSalaries[[#Headers],[Specialist]],tblSalaries[[#This Row],[Salary in USD]],"")</f>
        <v/>
      </c>
    </row>
    <row r="779" spans="2:30" ht="15" customHeight="1" x14ac:dyDescent="0.25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 s="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  <c r="N779" t="str">
        <f>IF(tblSalaries[[#This Row],[Years of Experience]]="","",IF(tblSalaries[[#This Row],[Years of Experience]]&lt;=2,1,""))</f>
        <v/>
      </c>
      <c r="O779" t="str">
        <f>IF(tblSalaries[[#This Row],[Years of Experience]]="","",IF(AND(tblSalaries[[#This Row],[Years of Experience]]&gt;2,tblSalaries[[#This Row],[Years of Experience]]&lt;=5),1,""))</f>
        <v/>
      </c>
      <c r="P779" t="str">
        <f>IF(tblSalaries[[#This Row],[Years of Experience]]="","",IF(AND(tblSalaries[[#This Row],[Years of Experience]]&gt;5,tblSalaries[[#This Row],[Years of Experience]]&lt;=10),1,""))</f>
        <v/>
      </c>
      <c r="Q779">
        <f>IF(tblSalaries[[#This Row],[Years of Experience]]="","",IF(AND(tblSalaries[[#This Row],[Years of Experience]]&gt;10,tblSalaries[[#This Row],[Years of Experience]]&lt;=15),1,""))</f>
        <v>1</v>
      </c>
      <c r="R779" t="str">
        <f>IF(tblSalaries[[#This Row],[Years of Experience]]="","",IF(AND(tblSalaries[[#This Row],[Years of Experience]]&gt;16,tblSalaries[[#This Row],[Years of Experience]]&lt;=20),1,""))</f>
        <v/>
      </c>
      <c r="S779" t="str">
        <f>IF(tblSalaries[[#This Row],[Years of Experience]]="","",IF(tblSalaries[[#This Row],[Years of Experience]]&gt;20,1,""))</f>
        <v/>
      </c>
      <c r="T7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79" s="13" t="str">
        <f>IF(tblSalaries[[#This Row],[Job Type]]=tblSalaries[[#Headers],[Accountant]],tblSalaries[[#This Row],[Salary in USD]],"")</f>
        <v/>
      </c>
      <c r="V779" s="13" t="str">
        <f>IF(tblSalaries[[#This Row],[Job Type]]=tblSalaries[[#Headers],[Analyst]],tblSalaries[[#This Row],[Salary in USD]],"")</f>
        <v/>
      </c>
      <c r="W779" s="13" t="str">
        <f>IF(tblSalaries[[#This Row],[Job Type]]=tblSalaries[[#Headers],[Consultant]],tblSalaries[[#This Row],[Salary in USD]],"")</f>
        <v/>
      </c>
      <c r="X779" s="13" t="str">
        <f>IF(tblSalaries[[#This Row],[Job Type]]=tblSalaries[[#Headers],[Controller]],tblSalaries[[#This Row],[Salary in USD]],"")</f>
        <v/>
      </c>
      <c r="Y779" s="13" t="str">
        <f>IF(tblSalaries[[#This Row],[Job Type]]=tblSalaries[[#Headers],[CXO or Top Mgmt.]],tblSalaries[[#This Row],[clean Salary (in local currency)]],"")</f>
        <v/>
      </c>
      <c r="Z779" s="13" t="str">
        <f>IF(tblSalaries[[#This Row],[Job Type]]=tblSalaries[[#Headers],[Engineer]],tblSalaries[[#This Row],[Salary in USD]],"")</f>
        <v/>
      </c>
      <c r="AA779" s="13">
        <f>IF(tblSalaries[[#This Row],[Job Type]]=tblSalaries[[#Headers],[Manager]],tblSalaries[[#This Row],[Salary in USD]],"")</f>
        <v>10000</v>
      </c>
      <c r="AB779" s="13" t="str">
        <f>IF(tblSalaries[[#This Row],[Job Type]]=tblSalaries[[#Headers],[Misc.]],tblSalaries[[#This Row],[Salary in USD]],"")</f>
        <v/>
      </c>
      <c r="AC779" s="13" t="str">
        <f>IF(tblSalaries[[#This Row],[Job Type]]=tblSalaries[[#Headers],[Reporting]],tblSalaries[[#This Row],[Salary in USD]],"")</f>
        <v/>
      </c>
      <c r="AD779" s="13" t="str">
        <f>IF(tblSalaries[[#This Row],[Job Type]]=tblSalaries[[#Headers],[Specialist]],tblSalaries[[#This Row],[Salary in USD]],"")</f>
        <v/>
      </c>
    </row>
    <row r="780" spans="2:30" ht="15" customHeight="1" x14ac:dyDescent="0.25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 s="9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  <c r="N780" t="str">
        <f>IF(tblSalaries[[#This Row],[Years of Experience]]="","",IF(tblSalaries[[#This Row],[Years of Experience]]&lt;=2,1,""))</f>
        <v/>
      </c>
      <c r="O780" t="str">
        <f>IF(tblSalaries[[#This Row],[Years of Experience]]="","",IF(AND(tblSalaries[[#This Row],[Years of Experience]]&gt;2,tblSalaries[[#This Row],[Years of Experience]]&lt;=5),1,""))</f>
        <v/>
      </c>
      <c r="P780" t="str">
        <f>IF(tblSalaries[[#This Row],[Years of Experience]]="","",IF(AND(tblSalaries[[#This Row],[Years of Experience]]&gt;5,tblSalaries[[#This Row],[Years of Experience]]&lt;=10),1,""))</f>
        <v/>
      </c>
      <c r="Q780" t="str">
        <f>IF(tblSalaries[[#This Row],[Years of Experience]]="","",IF(AND(tblSalaries[[#This Row],[Years of Experience]]&gt;10,tblSalaries[[#This Row],[Years of Experience]]&lt;=15),1,""))</f>
        <v/>
      </c>
      <c r="R780">
        <f>IF(tblSalaries[[#This Row],[Years of Experience]]="","",IF(AND(tblSalaries[[#This Row],[Years of Experience]]&gt;16,tblSalaries[[#This Row],[Years of Experience]]&lt;=20),1,""))</f>
        <v>1</v>
      </c>
      <c r="S780" t="str">
        <f>IF(tblSalaries[[#This Row],[Years of Experience]]="","",IF(tblSalaries[[#This Row],[Years of Experience]]&gt;20,1,""))</f>
        <v/>
      </c>
      <c r="T7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780" s="13" t="str">
        <f>IF(tblSalaries[[#This Row],[Job Type]]=tblSalaries[[#Headers],[Accountant]],tblSalaries[[#This Row],[Salary in USD]],"")</f>
        <v/>
      </c>
      <c r="V780" s="13">
        <f>IF(tblSalaries[[#This Row],[Job Type]]=tblSalaries[[#Headers],[Analyst]],tblSalaries[[#This Row],[Salary in USD]],"")</f>
        <v>64901.860520001574</v>
      </c>
      <c r="W780" s="13" t="str">
        <f>IF(tblSalaries[[#This Row],[Job Type]]=tblSalaries[[#Headers],[Consultant]],tblSalaries[[#This Row],[Salary in USD]],"")</f>
        <v/>
      </c>
      <c r="X780" s="13" t="str">
        <f>IF(tblSalaries[[#This Row],[Job Type]]=tblSalaries[[#Headers],[Controller]],tblSalaries[[#This Row],[Salary in USD]],"")</f>
        <v/>
      </c>
      <c r="Y780" s="13" t="str">
        <f>IF(tblSalaries[[#This Row],[Job Type]]=tblSalaries[[#Headers],[CXO or Top Mgmt.]],tblSalaries[[#This Row],[clean Salary (in local currency)]],"")</f>
        <v/>
      </c>
      <c r="Z780" s="13" t="str">
        <f>IF(tblSalaries[[#This Row],[Job Type]]=tblSalaries[[#Headers],[Engineer]],tblSalaries[[#This Row],[Salary in USD]],"")</f>
        <v/>
      </c>
      <c r="AA780" s="13" t="str">
        <f>IF(tblSalaries[[#This Row],[Job Type]]=tblSalaries[[#Headers],[Manager]],tblSalaries[[#This Row],[Salary in USD]],"")</f>
        <v/>
      </c>
      <c r="AB780" s="13" t="str">
        <f>IF(tblSalaries[[#This Row],[Job Type]]=tblSalaries[[#Headers],[Misc.]],tblSalaries[[#This Row],[Salary in USD]],"")</f>
        <v/>
      </c>
      <c r="AC780" s="13" t="str">
        <f>IF(tblSalaries[[#This Row],[Job Type]]=tblSalaries[[#Headers],[Reporting]],tblSalaries[[#This Row],[Salary in USD]],"")</f>
        <v/>
      </c>
      <c r="AD780" s="13" t="str">
        <f>IF(tblSalaries[[#This Row],[Job Type]]=tblSalaries[[#Headers],[Specialist]],tblSalaries[[#This Row],[Salary in USD]],"")</f>
        <v/>
      </c>
    </row>
    <row r="781" spans="2:30" ht="15" customHeight="1" x14ac:dyDescent="0.25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 s="9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  <c r="N781" t="str">
        <f>IF(tblSalaries[[#This Row],[Years of Experience]]="","",IF(tblSalaries[[#This Row],[Years of Experience]]&lt;=2,1,""))</f>
        <v/>
      </c>
      <c r="O781" t="str">
        <f>IF(tblSalaries[[#This Row],[Years of Experience]]="","",IF(AND(tblSalaries[[#This Row],[Years of Experience]]&gt;2,tblSalaries[[#This Row],[Years of Experience]]&lt;=5),1,""))</f>
        <v/>
      </c>
      <c r="P781">
        <f>IF(tblSalaries[[#This Row],[Years of Experience]]="","",IF(AND(tblSalaries[[#This Row],[Years of Experience]]&gt;5,tblSalaries[[#This Row],[Years of Experience]]&lt;=10),1,""))</f>
        <v>1</v>
      </c>
      <c r="Q781" t="str">
        <f>IF(tblSalaries[[#This Row],[Years of Experience]]="","",IF(AND(tblSalaries[[#This Row],[Years of Experience]]&gt;10,tblSalaries[[#This Row],[Years of Experience]]&lt;=15),1,""))</f>
        <v/>
      </c>
      <c r="R781" t="str">
        <f>IF(tblSalaries[[#This Row],[Years of Experience]]="","",IF(AND(tblSalaries[[#This Row],[Years of Experience]]&gt;16,tblSalaries[[#This Row],[Years of Experience]]&lt;=20),1,""))</f>
        <v/>
      </c>
      <c r="S781" t="str">
        <f>IF(tblSalaries[[#This Row],[Years of Experience]]="","",IF(tblSalaries[[#This Row],[Years of Experience]]&gt;20,1,""))</f>
        <v/>
      </c>
      <c r="T7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1" s="13" t="str">
        <f>IF(tblSalaries[[#This Row],[Job Type]]=tblSalaries[[#Headers],[Accountant]],tblSalaries[[#This Row],[Salary in USD]],"")</f>
        <v/>
      </c>
      <c r="V781" s="13">
        <f>IF(tblSalaries[[#This Row],[Job Type]]=tblSalaries[[#Headers],[Analyst]],tblSalaries[[#This Row],[Salary in USD]],"")</f>
        <v>65000</v>
      </c>
      <c r="W781" s="13" t="str">
        <f>IF(tblSalaries[[#This Row],[Job Type]]=tblSalaries[[#Headers],[Consultant]],tblSalaries[[#This Row],[Salary in USD]],"")</f>
        <v/>
      </c>
      <c r="X781" s="13" t="str">
        <f>IF(tblSalaries[[#This Row],[Job Type]]=tblSalaries[[#Headers],[Controller]],tblSalaries[[#This Row],[Salary in USD]],"")</f>
        <v/>
      </c>
      <c r="Y781" s="13" t="str">
        <f>IF(tblSalaries[[#This Row],[Job Type]]=tblSalaries[[#Headers],[CXO or Top Mgmt.]],tblSalaries[[#This Row],[clean Salary (in local currency)]],"")</f>
        <v/>
      </c>
      <c r="Z781" s="13" t="str">
        <f>IF(tblSalaries[[#This Row],[Job Type]]=tblSalaries[[#Headers],[Engineer]],tblSalaries[[#This Row],[Salary in USD]],"")</f>
        <v/>
      </c>
      <c r="AA781" s="13" t="str">
        <f>IF(tblSalaries[[#This Row],[Job Type]]=tblSalaries[[#Headers],[Manager]],tblSalaries[[#This Row],[Salary in USD]],"")</f>
        <v/>
      </c>
      <c r="AB781" s="13" t="str">
        <f>IF(tblSalaries[[#This Row],[Job Type]]=tblSalaries[[#Headers],[Misc.]],tblSalaries[[#This Row],[Salary in USD]],"")</f>
        <v/>
      </c>
      <c r="AC781" s="13" t="str">
        <f>IF(tblSalaries[[#This Row],[Job Type]]=tblSalaries[[#Headers],[Reporting]],tblSalaries[[#This Row],[Salary in USD]],"")</f>
        <v/>
      </c>
      <c r="AD781" s="13" t="str">
        <f>IF(tblSalaries[[#This Row],[Job Type]]=tblSalaries[[#Headers],[Specialist]],tblSalaries[[#This Row],[Salary in USD]],"")</f>
        <v/>
      </c>
    </row>
    <row r="782" spans="2:30" ht="15" customHeight="1" x14ac:dyDescent="0.25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 s="9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  <c r="N782">
        <f>IF(tblSalaries[[#This Row],[Years of Experience]]="","",IF(tblSalaries[[#This Row],[Years of Experience]]&lt;=2,1,""))</f>
        <v>1</v>
      </c>
      <c r="O782" t="str">
        <f>IF(tblSalaries[[#This Row],[Years of Experience]]="","",IF(AND(tblSalaries[[#This Row],[Years of Experience]]&gt;2,tblSalaries[[#This Row],[Years of Experience]]&lt;=5),1,""))</f>
        <v/>
      </c>
      <c r="P782" t="str">
        <f>IF(tblSalaries[[#This Row],[Years of Experience]]="","",IF(AND(tblSalaries[[#This Row],[Years of Experience]]&gt;5,tblSalaries[[#This Row],[Years of Experience]]&lt;=10),1,""))</f>
        <v/>
      </c>
      <c r="Q782" t="str">
        <f>IF(tblSalaries[[#This Row],[Years of Experience]]="","",IF(AND(tblSalaries[[#This Row],[Years of Experience]]&gt;10,tblSalaries[[#This Row],[Years of Experience]]&lt;=15),1,""))</f>
        <v/>
      </c>
      <c r="R782" t="str">
        <f>IF(tblSalaries[[#This Row],[Years of Experience]]="","",IF(AND(tblSalaries[[#This Row],[Years of Experience]]&gt;16,tblSalaries[[#This Row],[Years of Experience]]&lt;=20),1,""))</f>
        <v/>
      </c>
      <c r="S782" t="str">
        <f>IF(tblSalaries[[#This Row],[Years of Experience]]="","",IF(tblSalaries[[#This Row],[Years of Experience]]&gt;20,1,""))</f>
        <v/>
      </c>
      <c r="T7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82" s="13" t="str">
        <f>IF(tblSalaries[[#This Row],[Job Type]]=tblSalaries[[#Headers],[Accountant]],tblSalaries[[#This Row],[Salary in USD]],"")</f>
        <v/>
      </c>
      <c r="V782" s="13" t="str">
        <f>IF(tblSalaries[[#This Row],[Job Type]]=tblSalaries[[#Headers],[Analyst]],tblSalaries[[#This Row],[Salary in USD]],"")</f>
        <v/>
      </c>
      <c r="W782" s="13" t="str">
        <f>IF(tblSalaries[[#This Row],[Job Type]]=tblSalaries[[#Headers],[Consultant]],tblSalaries[[#This Row],[Salary in USD]],"")</f>
        <v/>
      </c>
      <c r="X782" s="13" t="str">
        <f>IF(tblSalaries[[#This Row],[Job Type]]=tblSalaries[[#Headers],[Controller]],tblSalaries[[#This Row],[Salary in USD]],"")</f>
        <v/>
      </c>
      <c r="Y782" s="13" t="str">
        <f>IF(tblSalaries[[#This Row],[Job Type]]=tblSalaries[[#Headers],[CXO or Top Mgmt.]],tblSalaries[[#This Row],[clean Salary (in local currency)]],"")</f>
        <v/>
      </c>
      <c r="Z782" s="13" t="str">
        <f>IF(tblSalaries[[#This Row],[Job Type]]=tblSalaries[[#Headers],[Engineer]],tblSalaries[[#This Row],[Salary in USD]],"")</f>
        <v/>
      </c>
      <c r="AA782" s="13">
        <f>IF(tblSalaries[[#This Row],[Job Type]]=tblSalaries[[#Headers],[Manager]],tblSalaries[[#This Row],[Salary in USD]],"")</f>
        <v>8013.5625093491553</v>
      </c>
      <c r="AB782" s="13" t="str">
        <f>IF(tblSalaries[[#This Row],[Job Type]]=tblSalaries[[#Headers],[Misc.]],tblSalaries[[#This Row],[Salary in USD]],"")</f>
        <v/>
      </c>
      <c r="AC782" s="13" t="str">
        <f>IF(tblSalaries[[#This Row],[Job Type]]=tblSalaries[[#Headers],[Reporting]],tblSalaries[[#This Row],[Salary in USD]],"")</f>
        <v/>
      </c>
      <c r="AD782" s="13" t="str">
        <f>IF(tblSalaries[[#This Row],[Job Type]]=tblSalaries[[#Headers],[Specialist]],tblSalaries[[#This Row],[Salary in USD]],"")</f>
        <v/>
      </c>
    </row>
    <row r="783" spans="2:30" ht="15" customHeight="1" x14ac:dyDescent="0.25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 s="9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4001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  <c r="N783" t="str">
        <f>IF(tblSalaries[[#This Row],[Years of Experience]]="","",IF(tblSalaries[[#This Row],[Years of Experience]]&lt;=2,1,""))</f>
        <v/>
      </c>
      <c r="O783">
        <f>IF(tblSalaries[[#This Row],[Years of Experience]]="","",IF(AND(tblSalaries[[#This Row],[Years of Experience]]&gt;2,tblSalaries[[#This Row],[Years of Experience]]&lt;=5),1,""))</f>
        <v>1</v>
      </c>
      <c r="P783" t="str">
        <f>IF(tblSalaries[[#This Row],[Years of Experience]]="","",IF(AND(tblSalaries[[#This Row],[Years of Experience]]&gt;5,tblSalaries[[#This Row],[Years of Experience]]&lt;=10),1,""))</f>
        <v/>
      </c>
      <c r="Q783" t="str">
        <f>IF(tblSalaries[[#This Row],[Years of Experience]]="","",IF(AND(tblSalaries[[#This Row],[Years of Experience]]&gt;10,tblSalaries[[#This Row],[Years of Experience]]&lt;=15),1,""))</f>
        <v/>
      </c>
      <c r="R783" t="str">
        <f>IF(tblSalaries[[#This Row],[Years of Experience]]="","",IF(AND(tblSalaries[[#This Row],[Years of Experience]]&gt;16,tblSalaries[[#This Row],[Years of Experience]]&lt;=20),1,""))</f>
        <v/>
      </c>
      <c r="S783" t="str">
        <f>IF(tblSalaries[[#This Row],[Years of Experience]]="","",IF(tblSalaries[[#This Row],[Years of Experience]]&gt;20,1,""))</f>
        <v/>
      </c>
      <c r="T7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83" s="13" t="str">
        <f>IF(tblSalaries[[#This Row],[Job Type]]=tblSalaries[[#Headers],[Accountant]],tblSalaries[[#This Row],[Salary in USD]],"")</f>
        <v/>
      </c>
      <c r="V783" s="13" t="str">
        <f>IF(tblSalaries[[#This Row],[Job Type]]=tblSalaries[[#Headers],[Analyst]],tblSalaries[[#This Row],[Salary in USD]],"")</f>
        <v/>
      </c>
      <c r="W783" s="13" t="str">
        <f>IF(tblSalaries[[#This Row],[Job Type]]=tblSalaries[[#Headers],[Consultant]],tblSalaries[[#This Row],[Salary in USD]],"")</f>
        <v/>
      </c>
      <c r="X783" s="13" t="str">
        <f>IF(tblSalaries[[#This Row],[Job Type]]=tblSalaries[[#Headers],[Controller]],tblSalaries[[#This Row],[Salary in USD]],"")</f>
        <v/>
      </c>
      <c r="Y783" s="13">
        <f>IF(tblSalaries[[#This Row],[Job Type]]=tblSalaries[[#Headers],[CXO or Top Mgmt.]],tblSalaries[[#This Row],[clean Salary (in local currency)]],"")</f>
        <v>100000</v>
      </c>
      <c r="Z783" s="13" t="str">
        <f>IF(tblSalaries[[#This Row],[Job Type]]=tblSalaries[[#Headers],[Engineer]],tblSalaries[[#This Row],[Salary in USD]],"")</f>
        <v/>
      </c>
      <c r="AA783" s="13" t="str">
        <f>IF(tblSalaries[[#This Row],[Job Type]]=tblSalaries[[#Headers],[Manager]],tblSalaries[[#This Row],[Salary in USD]],"")</f>
        <v/>
      </c>
      <c r="AB783" s="13" t="str">
        <f>IF(tblSalaries[[#This Row],[Job Type]]=tblSalaries[[#Headers],[Misc.]],tblSalaries[[#This Row],[Salary in USD]],"")</f>
        <v/>
      </c>
      <c r="AC783" s="13" t="str">
        <f>IF(tblSalaries[[#This Row],[Job Type]]=tblSalaries[[#Headers],[Reporting]],tblSalaries[[#This Row],[Salary in USD]],"")</f>
        <v/>
      </c>
      <c r="AD783" s="13" t="str">
        <f>IF(tblSalaries[[#This Row],[Job Type]]=tblSalaries[[#Headers],[Specialist]],tblSalaries[[#This Row],[Salary in USD]],"")</f>
        <v/>
      </c>
    </row>
    <row r="784" spans="2:30" ht="15" customHeight="1" x14ac:dyDescent="0.25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 s="9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  <c r="N784">
        <f>IF(tblSalaries[[#This Row],[Years of Experience]]="","",IF(tblSalaries[[#This Row],[Years of Experience]]&lt;=2,1,""))</f>
        <v>1</v>
      </c>
      <c r="O784" t="str">
        <f>IF(tblSalaries[[#This Row],[Years of Experience]]="","",IF(AND(tblSalaries[[#This Row],[Years of Experience]]&gt;2,tblSalaries[[#This Row],[Years of Experience]]&lt;=5),1,""))</f>
        <v/>
      </c>
      <c r="P784" t="str">
        <f>IF(tblSalaries[[#This Row],[Years of Experience]]="","",IF(AND(tblSalaries[[#This Row],[Years of Experience]]&gt;5,tblSalaries[[#This Row],[Years of Experience]]&lt;=10),1,""))</f>
        <v/>
      </c>
      <c r="Q784" t="str">
        <f>IF(tblSalaries[[#This Row],[Years of Experience]]="","",IF(AND(tblSalaries[[#This Row],[Years of Experience]]&gt;10,tblSalaries[[#This Row],[Years of Experience]]&lt;=15),1,""))</f>
        <v/>
      </c>
      <c r="R784" t="str">
        <f>IF(tblSalaries[[#This Row],[Years of Experience]]="","",IF(AND(tblSalaries[[#This Row],[Years of Experience]]&gt;16,tblSalaries[[#This Row],[Years of Experience]]&lt;=20),1,""))</f>
        <v/>
      </c>
      <c r="S784" t="str">
        <f>IF(tblSalaries[[#This Row],[Years of Experience]]="","",IF(tblSalaries[[#This Row],[Years of Experience]]&gt;20,1,""))</f>
        <v/>
      </c>
      <c r="T7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84" s="13" t="str">
        <f>IF(tblSalaries[[#This Row],[Job Type]]=tblSalaries[[#Headers],[Accountant]],tblSalaries[[#This Row],[Salary in USD]],"")</f>
        <v/>
      </c>
      <c r="V784" s="13">
        <f>IF(tblSalaries[[#This Row],[Job Type]]=tblSalaries[[#Headers],[Analyst]],tblSalaries[[#This Row],[Salary in USD]],"")</f>
        <v>2671.1875031163854</v>
      </c>
      <c r="W784" s="13" t="str">
        <f>IF(tblSalaries[[#This Row],[Job Type]]=tblSalaries[[#Headers],[Consultant]],tblSalaries[[#This Row],[Salary in USD]],"")</f>
        <v/>
      </c>
      <c r="X784" s="13" t="str">
        <f>IF(tblSalaries[[#This Row],[Job Type]]=tblSalaries[[#Headers],[Controller]],tblSalaries[[#This Row],[Salary in USD]],"")</f>
        <v/>
      </c>
      <c r="Y784" s="13" t="str">
        <f>IF(tblSalaries[[#This Row],[Job Type]]=tblSalaries[[#Headers],[CXO or Top Mgmt.]],tblSalaries[[#This Row],[clean Salary (in local currency)]],"")</f>
        <v/>
      </c>
      <c r="Z784" s="13" t="str">
        <f>IF(tblSalaries[[#This Row],[Job Type]]=tblSalaries[[#Headers],[Engineer]],tblSalaries[[#This Row],[Salary in USD]],"")</f>
        <v/>
      </c>
      <c r="AA784" s="13" t="str">
        <f>IF(tblSalaries[[#This Row],[Job Type]]=tblSalaries[[#Headers],[Manager]],tblSalaries[[#This Row],[Salary in USD]],"")</f>
        <v/>
      </c>
      <c r="AB784" s="13" t="str">
        <f>IF(tblSalaries[[#This Row],[Job Type]]=tblSalaries[[#Headers],[Misc.]],tblSalaries[[#This Row],[Salary in USD]],"")</f>
        <v/>
      </c>
      <c r="AC784" s="13" t="str">
        <f>IF(tblSalaries[[#This Row],[Job Type]]=tblSalaries[[#Headers],[Reporting]],tblSalaries[[#This Row],[Salary in USD]],"")</f>
        <v/>
      </c>
      <c r="AD784" s="13" t="str">
        <f>IF(tblSalaries[[#This Row],[Job Type]]=tblSalaries[[#Headers],[Specialist]],tblSalaries[[#This Row],[Salary in USD]],"")</f>
        <v/>
      </c>
    </row>
    <row r="785" spans="2:30" ht="15" customHeight="1" x14ac:dyDescent="0.25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 s="9">
        <f>tblSalaries[[#This Row],[clean Salary (in local currency)]]*VLOOKUP(tblSalaries[[#This Row],[Currency]],tblXrate[],2,FALSE)</f>
        <v>96000</v>
      </c>
      <c r="H785" t="s">
        <v>721</v>
      </c>
      <c r="I785" t="s">
        <v>3999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  <c r="N785" t="str">
        <f>IF(tblSalaries[[#This Row],[Years of Experience]]="","",IF(tblSalaries[[#This Row],[Years of Experience]]&lt;=2,1,""))</f>
        <v/>
      </c>
      <c r="O785" t="str">
        <f>IF(tblSalaries[[#This Row],[Years of Experience]]="","",IF(AND(tblSalaries[[#This Row],[Years of Experience]]&gt;2,tblSalaries[[#This Row],[Years of Experience]]&lt;=5),1,""))</f>
        <v/>
      </c>
      <c r="P785">
        <f>IF(tblSalaries[[#This Row],[Years of Experience]]="","",IF(AND(tblSalaries[[#This Row],[Years of Experience]]&gt;5,tblSalaries[[#This Row],[Years of Experience]]&lt;=10),1,""))</f>
        <v>1</v>
      </c>
      <c r="Q785" t="str">
        <f>IF(tblSalaries[[#This Row],[Years of Experience]]="","",IF(AND(tblSalaries[[#This Row],[Years of Experience]]&gt;10,tblSalaries[[#This Row],[Years of Experience]]&lt;=15),1,""))</f>
        <v/>
      </c>
      <c r="R785" t="str">
        <f>IF(tblSalaries[[#This Row],[Years of Experience]]="","",IF(AND(tblSalaries[[#This Row],[Years of Experience]]&gt;16,tblSalaries[[#This Row],[Years of Experience]]&lt;=20),1,""))</f>
        <v/>
      </c>
      <c r="S785" t="str">
        <f>IF(tblSalaries[[#This Row],[Years of Experience]]="","",IF(tblSalaries[[#This Row],[Years of Experience]]&gt;20,1,""))</f>
        <v/>
      </c>
      <c r="T7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5" s="13" t="str">
        <f>IF(tblSalaries[[#This Row],[Job Type]]=tblSalaries[[#Headers],[Accountant]],tblSalaries[[#This Row],[Salary in USD]],"")</f>
        <v/>
      </c>
      <c r="V785" s="13" t="str">
        <f>IF(tblSalaries[[#This Row],[Job Type]]=tblSalaries[[#Headers],[Analyst]],tblSalaries[[#This Row],[Salary in USD]],"")</f>
        <v/>
      </c>
      <c r="W785" s="13" t="str">
        <f>IF(tblSalaries[[#This Row],[Job Type]]=tblSalaries[[#Headers],[Consultant]],tblSalaries[[#This Row],[Salary in USD]],"")</f>
        <v/>
      </c>
      <c r="X785" s="13" t="str">
        <f>IF(tblSalaries[[#This Row],[Job Type]]=tblSalaries[[#Headers],[Controller]],tblSalaries[[#This Row],[Salary in USD]],"")</f>
        <v/>
      </c>
      <c r="Y785" s="13" t="str">
        <f>IF(tblSalaries[[#This Row],[Job Type]]=tblSalaries[[#Headers],[CXO or Top Mgmt.]],tblSalaries[[#This Row],[clean Salary (in local currency)]],"")</f>
        <v/>
      </c>
      <c r="Z785" s="13" t="str">
        <f>IF(tblSalaries[[#This Row],[Job Type]]=tblSalaries[[#Headers],[Engineer]],tblSalaries[[#This Row],[Salary in USD]],"")</f>
        <v/>
      </c>
      <c r="AA785" s="13" t="str">
        <f>IF(tblSalaries[[#This Row],[Job Type]]=tblSalaries[[#Headers],[Manager]],tblSalaries[[#This Row],[Salary in USD]],"")</f>
        <v/>
      </c>
      <c r="AB785" s="13" t="str">
        <f>IF(tblSalaries[[#This Row],[Job Type]]=tblSalaries[[#Headers],[Misc.]],tblSalaries[[#This Row],[Salary in USD]],"")</f>
        <v/>
      </c>
      <c r="AC785" s="13">
        <f>IF(tblSalaries[[#This Row],[Job Type]]=tblSalaries[[#Headers],[Reporting]],tblSalaries[[#This Row],[Salary in USD]],"")</f>
        <v>96000</v>
      </c>
      <c r="AD785" s="13" t="str">
        <f>IF(tblSalaries[[#This Row],[Job Type]]=tblSalaries[[#Headers],[Specialist]],tblSalaries[[#This Row],[Salary in USD]],"")</f>
        <v/>
      </c>
    </row>
    <row r="786" spans="2:30" ht="15" customHeight="1" x14ac:dyDescent="0.25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 s="9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  <c r="N786" t="str">
        <f>IF(tblSalaries[[#This Row],[Years of Experience]]="","",IF(tblSalaries[[#This Row],[Years of Experience]]&lt;=2,1,""))</f>
        <v/>
      </c>
      <c r="O786" t="str">
        <f>IF(tblSalaries[[#This Row],[Years of Experience]]="","",IF(AND(tblSalaries[[#This Row],[Years of Experience]]&gt;2,tblSalaries[[#This Row],[Years of Experience]]&lt;=5),1,""))</f>
        <v/>
      </c>
      <c r="P786">
        <f>IF(tblSalaries[[#This Row],[Years of Experience]]="","",IF(AND(tblSalaries[[#This Row],[Years of Experience]]&gt;5,tblSalaries[[#This Row],[Years of Experience]]&lt;=10),1,""))</f>
        <v>1</v>
      </c>
      <c r="Q786" t="str">
        <f>IF(tblSalaries[[#This Row],[Years of Experience]]="","",IF(AND(tblSalaries[[#This Row],[Years of Experience]]&gt;10,tblSalaries[[#This Row],[Years of Experience]]&lt;=15),1,""))</f>
        <v/>
      </c>
      <c r="R786" t="str">
        <f>IF(tblSalaries[[#This Row],[Years of Experience]]="","",IF(AND(tblSalaries[[#This Row],[Years of Experience]]&gt;16,tblSalaries[[#This Row],[Years of Experience]]&lt;=20),1,""))</f>
        <v/>
      </c>
      <c r="S786" t="str">
        <f>IF(tblSalaries[[#This Row],[Years of Experience]]="","",IF(tblSalaries[[#This Row],[Years of Experience]]&gt;20,1,""))</f>
        <v/>
      </c>
      <c r="T7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6" s="13">
        <f>IF(tblSalaries[[#This Row],[Job Type]]=tblSalaries[[#Headers],[Accountant]],tblSalaries[[#This Row],[Salary in USD]],"")</f>
        <v>20514.720023933838</v>
      </c>
      <c r="V786" s="13" t="str">
        <f>IF(tblSalaries[[#This Row],[Job Type]]=tblSalaries[[#Headers],[Analyst]],tblSalaries[[#This Row],[Salary in USD]],"")</f>
        <v/>
      </c>
      <c r="W786" s="13" t="str">
        <f>IF(tblSalaries[[#This Row],[Job Type]]=tblSalaries[[#Headers],[Consultant]],tblSalaries[[#This Row],[Salary in USD]],"")</f>
        <v/>
      </c>
      <c r="X786" s="13" t="str">
        <f>IF(tblSalaries[[#This Row],[Job Type]]=tblSalaries[[#Headers],[Controller]],tblSalaries[[#This Row],[Salary in USD]],"")</f>
        <v/>
      </c>
      <c r="Y786" s="13" t="str">
        <f>IF(tblSalaries[[#This Row],[Job Type]]=tblSalaries[[#Headers],[CXO or Top Mgmt.]],tblSalaries[[#This Row],[clean Salary (in local currency)]],"")</f>
        <v/>
      </c>
      <c r="Z786" s="13" t="str">
        <f>IF(tblSalaries[[#This Row],[Job Type]]=tblSalaries[[#Headers],[Engineer]],tblSalaries[[#This Row],[Salary in USD]],"")</f>
        <v/>
      </c>
      <c r="AA786" s="13" t="str">
        <f>IF(tblSalaries[[#This Row],[Job Type]]=tblSalaries[[#Headers],[Manager]],tblSalaries[[#This Row],[Salary in USD]],"")</f>
        <v/>
      </c>
      <c r="AB786" s="13" t="str">
        <f>IF(tblSalaries[[#This Row],[Job Type]]=tblSalaries[[#Headers],[Misc.]],tblSalaries[[#This Row],[Salary in USD]],"")</f>
        <v/>
      </c>
      <c r="AC786" s="13" t="str">
        <f>IF(tblSalaries[[#This Row],[Job Type]]=tblSalaries[[#Headers],[Reporting]],tblSalaries[[#This Row],[Salary in USD]],"")</f>
        <v/>
      </c>
      <c r="AD786" s="13" t="str">
        <f>IF(tblSalaries[[#This Row],[Job Type]]=tblSalaries[[#Headers],[Specialist]],tblSalaries[[#This Row],[Salary in USD]],"")</f>
        <v/>
      </c>
    </row>
    <row r="787" spans="2:30" ht="15" customHeight="1" x14ac:dyDescent="0.25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 s="9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  <c r="N787" t="str">
        <f>IF(tblSalaries[[#This Row],[Years of Experience]]="","",IF(tblSalaries[[#This Row],[Years of Experience]]&lt;=2,1,""))</f>
        <v/>
      </c>
      <c r="O787" t="str">
        <f>IF(tblSalaries[[#This Row],[Years of Experience]]="","",IF(AND(tblSalaries[[#This Row],[Years of Experience]]&gt;2,tblSalaries[[#This Row],[Years of Experience]]&lt;=5),1,""))</f>
        <v/>
      </c>
      <c r="P787">
        <f>IF(tblSalaries[[#This Row],[Years of Experience]]="","",IF(AND(tblSalaries[[#This Row],[Years of Experience]]&gt;5,tblSalaries[[#This Row],[Years of Experience]]&lt;=10),1,""))</f>
        <v>1</v>
      </c>
      <c r="Q787" t="str">
        <f>IF(tblSalaries[[#This Row],[Years of Experience]]="","",IF(AND(tblSalaries[[#This Row],[Years of Experience]]&gt;10,tblSalaries[[#This Row],[Years of Experience]]&lt;=15),1,""))</f>
        <v/>
      </c>
      <c r="R787" t="str">
        <f>IF(tblSalaries[[#This Row],[Years of Experience]]="","",IF(AND(tblSalaries[[#This Row],[Years of Experience]]&gt;16,tblSalaries[[#This Row],[Years of Experience]]&lt;=20),1,""))</f>
        <v/>
      </c>
      <c r="S787" t="str">
        <f>IF(tblSalaries[[#This Row],[Years of Experience]]="","",IF(tblSalaries[[#This Row],[Years of Experience]]&gt;20,1,""))</f>
        <v/>
      </c>
      <c r="T7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7" s="13" t="str">
        <f>IF(tblSalaries[[#This Row],[Job Type]]=tblSalaries[[#Headers],[Accountant]],tblSalaries[[#This Row],[Salary in USD]],"")</f>
        <v/>
      </c>
      <c r="V787" s="13">
        <f>IF(tblSalaries[[#This Row],[Job Type]]=tblSalaries[[#Headers],[Analyst]],tblSalaries[[#This Row],[Salary in USD]],"")</f>
        <v>19055.991584874118</v>
      </c>
      <c r="W787" s="13" t="str">
        <f>IF(tblSalaries[[#This Row],[Job Type]]=tblSalaries[[#Headers],[Consultant]],tblSalaries[[#This Row],[Salary in USD]],"")</f>
        <v/>
      </c>
      <c r="X787" s="13" t="str">
        <f>IF(tblSalaries[[#This Row],[Job Type]]=tblSalaries[[#Headers],[Controller]],tblSalaries[[#This Row],[Salary in USD]],"")</f>
        <v/>
      </c>
      <c r="Y787" s="13" t="str">
        <f>IF(tblSalaries[[#This Row],[Job Type]]=tblSalaries[[#Headers],[CXO or Top Mgmt.]],tblSalaries[[#This Row],[clean Salary (in local currency)]],"")</f>
        <v/>
      </c>
      <c r="Z787" s="13" t="str">
        <f>IF(tblSalaries[[#This Row],[Job Type]]=tblSalaries[[#Headers],[Engineer]],tblSalaries[[#This Row],[Salary in USD]],"")</f>
        <v/>
      </c>
      <c r="AA787" s="13" t="str">
        <f>IF(tblSalaries[[#This Row],[Job Type]]=tblSalaries[[#Headers],[Manager]],tblSalaries[[#This Row],[Salary in USD]],"")</f>
        <v/>
      </c>
      <c r="AB787" s="13" t="str">
        <f>IF(tblSalaries[[#This Row],[Job Type]]=tblSalaries[[#Headers],[Misc.]],tblSalaries[[#This Row],[Salary in USD]],"")</f>
        <v/>
      </c>
      <c r="AC787" s="13" t="str">
        <f>IF(tblSalaries[[#This Row],[Job Type]]=tblSalaries[[#Headers],[Reporting]],tblSalaries[[#This Row],[Salary in USD]],"")</f>
        <v/>
      </c>
      <c r="AD787" s="13" t="str">
        <f>IF(tblSalaries[[#This Row],[Job Type]]=tblSalaries[[#Headers],[Specialist]],tblSalaries[[#This Row],[Salary in USD]],"")</f>
        <v/>
      </c>
    </row>
    <row r="788" spans="2:30" ht="15" customHeight="1" x14ac:dyDescent="0.25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 s="9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  <c r="N788" t="str">
        <f>IF(tblSalaries[[#This Row],[Years of Experience]]="","",IF(tblSalaries[[#This Row],[Years of Experience]]&lt;=2,1,""))</f>
        <v/>
      </c>
      <c r="O788" t="str">
        <f>IF(tblSalaries[[#This Row],[Years of Experience]]="","",IF(AND(tblSalaries[[#This Row],[Years of Experience]]&gt;2,tblSalaries[[#This Row],[Years of Experience]]&lt;=5),1,""))</f>
        <v/>
      </c>
      <c r="P788">
        <f>IF(tblSalaries[[#This Row],[Years of Experience]]="","",IF(AND(tblSalaries[[#This Row],[Years of Experience]]&gt;5,tblSalaries[[#This Row],[Years of Experience]]&lt;=10),1,""))</f>
        <v>1</v>
      </c>
      <c r="Q788" t="str">
        <f>IF(tblSalaries[[#This Row],[Years of Experience]]="","",IF(AND(tblSalaries[[#This Row],[Years of Experience]]&gt;10,tblSalaries[[#This Row],[Years of Experience]]&lt;=15),1,""))</f>
        <v/>
      </c>
      <c r="R788" t="str">
        <f>IF(tblSalaries[[#This Row],[Years of Experience]]="","",IF(AND(tblSalaries[[#This Row],[Years of Experience]]&gt;16,tblSalaries[[#This Row],[Years of Experience]]&lt;=20),1,""))</f>
        <v/>
      </c>
      <c r="S788" t="str">
        <f>IF(tblSalaries[[#This Row],[Years of Experience]]="","",IF(tblSalaries[[#This Row],[Years of Experience]]&gt;20,1,""))</f>
        <v/>
      </c>
      <c r="T7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8" s="13" t="str">
        <f>IF(tblSalaries[[#This Row],[Job Type]]=tblSalaries[[#Headers],[Accountant]],tblSalaries[[#This Row],[Salary in USD]],"")</f>
        <v/>
      </c>
      <c r="V788" s="13">
        <f>IF(tblSalaries[[#This Row],[Job Type]]=tblSalaries[[#Headers],[Analyst]],tblSalaries[[#This Row],[Salary in USD]],"")</f>
        <v>66294.12766617132</v>
      </c>
      <c r="W788" s="13" t="str">
        <f>IF(tblSalaries[[#This Row],[Job Type]]=tblSalaries[[#Headers],[Consultant]],tblSalaries[[#This Row],[Salary in USD]],"")</f>
        <v/>
      </c>
      <c r="X788" s="13" t="str">
        <f>IF(tblSalaries[[#This Row],[Job Type]]=tblSalaries[[#Headers],[Controller]],tblSalaries[[#This Row],[Salary in USD]],"")</f>
        <v/>
      </c>
      <c r="Y788" s="13" t="str">
        <f>IF(tblSalaries[[#This Row],[Job Type]]=tblSalaries[[#Headers],[CXO or Top Mgmt.]],tblSalaries[[#This Row],[clean Salary (in local currency)]],"")</f>
        <v/>
      </c>
      <c r="Z788" s="13" t="str">
        <f>IF(tblSalaries[[#This Row],[Job Type]]=tblSalaries[[#Headers],[Engineer]],tblSalaries[[#This Row],[Salary in USD]],"")</f>
        <v/>
      </c>
      <c r="AA788" s="13" t="str">
        <f>IF(tblSalaries[[#This Row],[Job Type]]=tblSalaries[[#Headers],[Manager]],tblSalaries[[#This Row],[Salary in USD]],"")</f>
        <v/>
      </c>
      <c r="AB788" s="13" t="str">
        <f>IF(tblSalaries[[#This Row],[Job Type]]=tblSalaries[[#Headers],[Misc.]],tblSalaries[[#This Row],[Salary in USD]],"")</f>
        <v/>
      </c>
      <c r="AC788" s="13" t="str">
        <f>IF(tblSalaries[[#This Row],[Job Type]]=tblSalaries[[#Headers],[Reporting]],tblSalaries[[#This Row],[Salary in USD]],"")</f>
        <v/>
      </c>
      <c r="AD788" s="13" t="str">
        <f>IF(tblSalaries[[#This Row],[Job Type]]=tblSalaries[[#Headers],[Specialist]],tblSalaries[[#This Row],[Salary in USD]],"")</f>
        <v/>
      </c>
    </row>
    <row r="789" spans="2:30" ht="15" customHeight="1" x14ac:dyDescent="0.25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 s="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  <c r="N789" t="str">
        <f>IF(tblSalaries[[#This Row],[Years of Experience]]="","",IF(tblSalaries[[#This Row],[Years of Experience]]&lt;=2,1,""))</f>
        <v/>
      </c>
      <c r="O789" t="str">
        <f>IF(tblSalaries[[#This Row],[Years of Experience]]="","",IF(AND(tblSalaries[[#This Row],[Years of Experience]]&gt;2,tblSalaries[[#This Row],[Years of Experience]]&lt;=5),1,""))</f>
        <v/>
      </c>
      <c r="P789">
        <f>IF(tblSalaries[[#This Row],[Years of Experience]]="","",IF(AND(tblSalaries[[#This Row],[Years of Experience]]&gt;5,tblSalaries[[#This Row],[Years of Experience]]&lt;=10),1,""))</f>
        <v>1</v>
      </c>
      <c r="Q789" t="str">
        <f>IF(tblSalaries[[#This Row],[Years of Experience]]="","",IF(AND(tblSalaries[[#This Row],[Years of Experience]]&gt;10,tblSalaries[[#This Row],[Years of Experience]]&lt;=15),1,""))</f>
        <v/>
      </c>
      <c r="R789" t="str">
        <f>IF(tblSalaries[[#This Row],[Years of Experience]]="","",IF(AND(tblSalaries[[#This Row],[Years of Experience]]&gt;16,tblSalaries[[#This Row],[Years of Experience]]&lt;=20),1,""))</f>
        <v/>
      </c>
      <c r="S789" t="str">
        <f>IF(tblSalaries[[#This Row],[Years of Experience]]="","",IF(tblSalaries[[#This Row],[Years of Experience]]&gt;20,1,""))</f>
        <v/>
      </c>
      <c r="T7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89" s="13" t="str">
        <f>IF(tblSalaries[[#This Row],[Job Type]]=tblSalaries[[#Headers],[Accountant]],tblSalaries[[#This Row],[Salary in USD]],"")</f>
        <v/>
      </c>
      <c r="V789" s="13">
        <f>IF(tblSalaries[[#This Row],[Job Type]]=tblSalaries[[#Headers],[Analyst]],tblSalaries[[#This Row],[Salary in USD]],"")</f>
        <v>6713.584591165848</v>
      </c>
      <c r="W789" s="13" t="str">
        <f>IF(tblSalaries[[#This Row],[Job Type]]=tblSalaries[[#Headers],[Consultant]],tblSalaries[[#This Row],[Salary in USD]],"")</f>
        <v/>
      </c>
      <c r="X789" s="13" t="str">
        <f>IF(tblSalaries[[#This Row],[Job Type]]=tblSalaries[[#Headers],[Controller]],tblSalaries[[#This Row],[Salary in USD]],"")</f>
        <v/>
      </c>
      <c r="Y789" s="13" t="str">
        <f>IF(tblSalaries[[#This Row],[Job Type]]=tblSalaries[[#Headers],[CXO or Top Mgmt.]],tblSalaries[[#This Row],[clean Salary (in local currency)]],"")</f>
        <v/>
      </c>
      <c r="Z789" s="13" t="str">
        <f>IF(tblSalaries[[#This Row],[Job Type]]=tblSalaries[[#Headers],[Engineer]],tblSalaries[[#This Row],[Salary in USD]],"")</f>
        <v/>
      </c>
      <c r="AA789" s="13" t="str">
        <f>IF(tblSalaries[[#This Row],[Job Type]]=tblSalaries[[#Headers],[Manager]],tblSalaries[[#This Row],[Salary in USD]],"")</f>
        <v/>
      </c>
      <c r="AB789" s="13" t="str">
        <f>IF(tblSalaries[[#This Row],[Job Type]]=tblSalaries[[#Headers],[Misc.]],tblSalaries[[#This Row],[Salary in USD]],"")</f>
        <v/>
      </c>
      <c r="AC789" s="13" t="str">
        <f>IF(tblSalaries[[#This Row],[Job Type]]=tblSalaries[[#Headers],[Reporting]],tblSalaries[[#This Row],[Salary in USD]],"")</f>
        <v/>
      </c>
      <c r="AD789" s="13" t="str">
        <f>IF(tblSalaries[[#This Row],[Job Type]]=tblSalaries[[#Headers],[Specialist]],tblSalaries[[#This Row],[Salary in USD]],"")</f>
        <v/>
      </c>
    </row>
    <row r="790" spans="2:30" ht="15" customHeight="1" x14ac:dyDescent="0.25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 s="9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3999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  <c r="N790" t="str">
        <f>IF(tblSalaries[[#This Row],[Years of Experience]]="","",IF(tblSalaries[[#This Row],[Years of Experience]]&lt;=2,1,""))</f>
        <v/>
      </c>
      <c r="O790" t="str">
        <f>IF(tblSalaries[[#This Row],[Years of Experience]]="","",IF(AND(tblSalaries[[#This Row],[Years of Experience]]&gt;2,tblSalaries[[#This Row],[Years of Experience]]&lt;=5),1,""))</f>
        <v/>
      </c>
      <c r="P790" t="str">
        <f>IF(tblSalaries[[#This Row],[Years of Experience]]="","",IF(AND(tblSalaries[[#This Row],[Years of Experience]]&gt;5,tblSalaries[[#This Row],[Years of Experience]]&lt;=10),1,""))</f>
        <v/>
      </c>
      <c r="Q790">
        <f>IF(tblSalaries[[#This Row],[Years of Experience]]="","",IF(AND(tblSalaries[[#This Row],[Years of Experience]]&gt;10,tblSalaries[[#This Row],[Years of Experience]]&lt;=15),1,""))</f>
        <v>1</v>
      </c>
      <c r="R790" t="str">
        <f>IF(tblSalaries[[#This Row],[Years of Experience]]="","",IF(AND(tblSalaries[[#This Row],[Years of Experience]]&gt;16,tblSalaries[[#This Row],[Years of Experience]]&lt;=20),1,""))</f>
        <v/>
      </c>
      <c r="S790" t="str">
        <f>IF(tblSalaries[[#This Row],[Years of Experience]]="","",IF(tblSalaries[[#This Row],[Years of Experience]]&gt;20,1,""))</f>
        <v/>
      </c>
      <c r="T7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90" s="13" t="str">
        <f>IF(tblSalaries[[#This Row],[Job Type]]=tblSalaries[[#Headers],[Accountant]],tblSalaries[[#This Row],[Salary in USD]],"")</f>
        <v/>
      </c>
      <c r="V790" s="13" t="str">
        <f>IF(tblSalaries[[#This Row],[Job Type]]=tblSalaries[[#Headers],[Analyst]],tblSalaries[[#This Row],[Salary in USD]],"")</f>
        <v/>
      </c>
      <c r="W790" s="13" t="str">
        <f>IF(tblSalaries[[#This Row],[Job Type]]=tblSalaries[[#Headers],[Consultant]],tblSalaries[[#This Row],[Salary in USD]],"")</f>
        <v/>
      </c>
      <c r="X790" s="13" t="str">
        <f>IF(tblSalaries[[#This Row],[Job Type]]=tblSalaries[[#Headers],[Controller]],tblSalaries[[#This Row],[Salary in USD]],"")</f>
        <v/>
      </c>
      <c r="Y790" s="13" t="str">
        <f>IF(tblSalaries[[#This Row],[Job Type]]=tblSalaries[[#Headers],[CXO or Top Mgmt.]],tblSalaries[[#This Row],[clean Salary (in local currency)]],"")</f>
        <v/>
      </c>
      <c r="Z790" s="13" t="str">
        <f>IF(tblSalaries[[#This Row],[Job Type]]=tblSalaries[[#Headers],[Engineer]],tblSalaries[[#This Row],[Salary in USD]],"")</f>
        <v/>
      </c>
      <c r="AA790" s="13" t="str">
        <f>IF(tblSalaries[[#This Row],[Job Type]]=tblSalaries[[#Headers],[Manager]],tblSalaries[[#This Row],[Salary in USD]],"")</f>
        <v/>
      </c>
      <c r="AB790" s="13" t="str">
        <f>IF(tblSalaries[[#This Row],[Job Type]]=tblSalaries[[#Headers],[Misc.]],tblSalaries[[#This Row],[Salary in USD]],"")</f>
        <v/>
      </c>
      <c r="AC790" s="13">
        <f>IF(tblSalaries[[#This Row],[Job Type]]=tblSalaries[[#Headers],[Reporting]],tblSalaries[[#This Row],[Salary in USD]],"")</f>
        <v>45709.169889951241</v>
      </c>
      <c r="AD790" s="13" t="str">
        <f>IF(tblSalaries[[#This Row],[Job Type]]=tblSalaries[[#Headers],[Specialist]],tblSalaries[[#This Row],[Salary in USD]],"")</f>
        <v/>
      </c>
    </row>
    <row r="791" spans="2:30" ht="15" customHeight="1" x14ac:dyDescent="0.25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 s="9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  <c r="N791" t="str">
        <f>IF(tblSalaries[[#This Row],[Years of Experience]]="","",IF(tblSalaries[[#This Row],[Years of Experience]]&lt;=2,1,""))</f>
        <v/>
      </c>
      <c r="O791" t="str">
        <f>IF(tblSalaries[[#This Row],[Years of Experience]]="","",IF(AND(tblSalaries[[#This Row],[Years of Experience]]&gt;2,tblSalaries[[#This Row],[Years of Experience]]&lt;=5),1,""))</f>
        <v/>
      </c>
      <c r="P791">
        <f>IF(tblSalaries[[#This Row],[Years of Experience]]="","",IF(AND(tblSalaries[[#This Row],[Years of Experience]]&gt;5,tblSalaries[[#This Row],[Years of Experience]]&lt;=10),1,""))</f>
        <v>1</v>
      </c>
      <c r="Q791" t="str">
        <f>IF(tblSalaries[[#This Row],[Years of Experience]]="","",IF(AND(tblSalaries[[#This Row],[Years of Experience]]&gt;10,tblSalaries[[#This Row],[Years of Experience]]&lt;=15),1,""))</f>
        <v/>
      </c>
      <c r="R791" t="str">
        <f>IF(tblSalaries[[#This Row],[Years of Experience]]="","",IF(AND(tblSalaries[[#This Row],[Years of Experience]]&gt;16,tblSalaries[[#This Row],[Years of Experience]]&lt;=20),1,""))</f>
        <v/>
      </c>
      <c r="S791" t="str">
        <f>IF(tblSalaries[[#This Row],[Years of Experience]]="","",IF(tblSalaries[[#This Row],[Years of Experience]]&gt;20,1,""))</f>
        <v/>
      </c>
      <c r="T7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91" s="13" t="str">
        <f>IF(tblSalaries[[#This Row],[Job Type]]=tblSalaries[[#Headers],[Accountant]],tblSalaries[[#This Row],[Salary in USD]],"")</f>
        <v/>
      </c>
      <c r="V791" s="13" t="str">
        <f>IF(tblSalaries[[#This Row],[Job Type]]=tblSalaries[[#Headers],[Analyst]],tblSalaries[[#This Row],[Salary in USD]],"")</f>
        <v/>
      </c>
      <c r="W791" s="13" t="str">
        <f>IF(tblSalaries[[#This Row],[Job Type]]=tblSalaries[[#Headers],[Consultant]],tblSalaries[[#This Row],[Salary in USD]],"")</f>
        <v/>
      </c>
      <c r="X791" s="13" t="str">
        <f>IF(tblSalaries[[#This Row],[Job Type]]=tblSalaries[[#Headers],[Controller]],tblSalaries[[#This Row],[Salary in USD]],"")</f>
        <v/>
      </c>
      <c r="Y791" s="13" t="str">
        <f>IF(tblSalaries[[#This Row],[Job Type]]=tblSalaries[[#Headers],[CXO or Top Mgmt.]],tblSalaries[[#This Row],[clean Salary (in local currency)]],"")</f>
        <v/>
      </c>
      <c r="Z791" s="13" t="str">
        <f>IF(tblSalaries[[#This Row],[Job Type]]=tblSalaries[[#Headers],[Engineer]],tblSalaries[[#This Row],[Salary in USD]],"")</f>
        <v/>
      </c>
      <c r="AA791" s="13">
        <f>IF(tblSalaries[[#This Row],[Job Type]]=tblSalaries[[#Headers],[Manager]],tblSalaries[[#This Row],[Salary in USD]],"")</f>
        <v>48500</v>
      </c>
      <c r="AB791" s="13" t="str">
        <f>IF(tblSalaries[[#This Row],[Job Type]]=tblSalaries[[#Headers],[Misc.]],tblSalaries[[#This Row],[Salary in USD]],"")</f>
        <v/>
      </c>
      <c r="AC791" s="13" t="str">
        <f>IF(tblSalaries[[#This Row],[Job Type]]=tblSalaries[[#Headers],[Reporting]],tblSalaries[[#This Row],[Salary in USD]],"")</f>
        <v/>
      </c>
      <c r="AD791" s="13" t="str">
        <f>IF(tblSalaries[[#This Row],[Job Type]]=tblSalaries[[#Headers],[Specialist]],tblSalaries[[#This Row],[Salary in USD]],"")</f>
        <v/>
      </c>
    </row>
    <row r="792" spans="2:30" ht="15" customHeight="1" x14ac:dyDescent="0.25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 s="9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  <c r="N792" t="str">
        <f>IF(tblSalaries[[#This Row],[Years of Experience]]="","",IF(tblSalaries[[#This Row],[Years of Experience]]&lt;=2,1,""))</f>
        <v/>
      </c>
      <c r="O792">
        <f>IF(tblSalaries[[#This Row],[Years of Experience]]="","",IF(AND(tblSalaries[[#This Row],[Years of Experience]]&gt;2,tblSalaries[[#This Row],[Years of Experience]]&lt;=5),1,""))</f>
        <v>1</v>
      </c>
      <c r="P792" t="str">
        <f>IF(tblSalaries[[#This Row],[Years of Experience]]="","",IF(AND(tblSalaries[[#This Row],[Years of Experience]]&gt;5,tblSalaries[[#This Row],[Years of Experience]]&lt;=10),1,""))</f>
        <v/>
      </c>
      <c r="Q792" t="str">
        <f>IF(tblSalaries[[#This Row],[Years of Experience]]="","",IF(AND(tblSalaries[[#This Row],[Years of Experience]]&gt;10,tblSalaries[[#This Row],[Years of Experience]]&lt;=15),1,""))</f>
        <v/>
      </c>
      <c r="R792" t="str">
        <f>IF(tblSalaries[[#This Row],[Years of Experience]]="","",IF(AND(tblSalaries[[#This Row],[Years of Experience]]&gt;16,tblSalaries[[#This Row],[Years of Experience]]&lt;=20),1,""))</f>
        <v/>
      </c>
      <c r="S792" t="str">
        <f>IF(tblSalaries[[#This Row],[Years of Experience]]="","",IF(tblSalaries[[#This Row],[Years of Experience]]&gt;20,1,""))</f>
        <v/>
      </c>
      <c r="T7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792" s="13" t="str">
        <f>IF(tblSalaries[[#This Row],[Job Type]]=tblSalaries[[#Headers],[Accountant]],tblSalaries[[#This Row],[Salary in USD]],"")</f>
        <v/>
      </c>
      <c r="V792" s="13">
        <f>IF(tblSalaries[[#This Row],[Job Type]]=tblSalaries[[#Headers],[Analyst]],tblSalaries[[#This Row],[Salary in USD]],"")</f>
        <v>10684.750012465542</v>
      </c>
      <c r="W792" s="13" t="str">
        <f>IF(tblSalaries[[#This Row],[Job Type]]=tblSalaries[[#Headers],[Consultant]],tblSalaries[[#This Row],[Salary in USD]],"")</f>
        <v/>
      </c>
      <c r="X792" s="13" t="str">
        <f>IF(tblSalaries[[#This Row],[Job Type]]=tblSalaries[[#Headers],[Controller]],tblSalaries[[#This Row],[Salary in USD]],"")</f>
        <v/>
      </c>
      <c r="Y792" s="13" t="str">
        <f>IF(tblSalaries[[#This Row],[Job Type]]=tblSalaries[[#Headers],[CXO or Top Mgmt.]],tblSalaries[[#This Row],[clean Salary (in local currency)]],"")</f>
        <v/>
      </c>
      <c r="Z792" s="13" t="str">
        <f>IF(tblSalaries[[#This Row],[Job Type]]=tblSalaries[[#Headers],[Engineer]],tblSalaries[[#This Row],[Salary in USD]],"")</f>
        <v/>
      </c>
      <c r="AA792" s="13" t="str">
        <f>IF(tblSalaries[[#This Row],[Job Type]]=tblSalaries[[#Headers],[Manager]],tblSalaries[[#This Row],[Salary in USD]],"")</f>
        <v/>
      </c>
      <c r="AB792" s="13" t="str">
        <f>IF(tblSalaries[[#This Row],[Job Type]]=tblSalaries[[#Headers],[Misc.]],tblSalaries[[#This Row],[Salary in USD]],"")</f>
        <v/>
      </c>
      <c r="AC792" s="13" t="str">
        <f>IF(tblSalaries[[#This Row],[Job Type]]=tblSalaries[[#Headers],[Reporting]],tblSalaries[[#This Row],[Salary in USD]],"")</f>
        <v/>
      </c>
      <c r="AD792" s="13" t="str">
        <f>IF(tblSalaries[[#This Row],[Job Type]]=tblSalaries[[#Headers],[Specialist]],tblSalaries[[#This Row],[Salary in USD]],"")</f>
        <v/>
      </c>
    </row>
    <row r="793" spans="2:30" ht="15" customHeight="1" x14ac:dyDescent="0.25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 s="9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  <c r="N793" t="str">
        <f>IF(tblSalaries[[#This Row],[Years of Experience]]="","",IF(tblSalaries[[#This Row],[Years of Experience]]&lt;=2,1,""))</f>
        <v/>
      </c>
      <c r="O793" t="str">
        <f>IF(tblSalaries[[#This Row],[Years of Experience]]="","",IF(AND(tblSalaries[[#This Row],[Years of Experience]]&gt;2,tblSalaries[[#This Row],[Years of Experience]]&lt;=5),1,""))</f>
        <v/>
      </c>
      <c r="P793">
        <f>IF(tblSalaries[[#This Row],[Years of Experience]]="","",IF(AND(tblSalaries[[#This Row],[Years of Experience]]&gt;5,tblSalaries[[#This Row],[Years of Experience]]&lt;=10),1,""))</f>
        <v>1</v>
      </c>
      <c r="Q793" t="str">
        <f>IF(tblSalaries[[#This Row],[Years of Experience]]="","",IF(AND(tblSalaries[[#This Row],[Years of Experience]]&gt;10,tblSalaries[[#This Row],[Years of Experience]]&lt;=15),1,""))</f>
        <v/>
      </c>
      <c r="R793" t="str">
        <f>IF(tblSalaries[[#This Row],[Years of Experience]]="","",IF(AND(tblSalaries[[#This Row],[Years of Experience]]&gt;16,tblSalaries[[#This Row],[Years of Experience]]&lt;=20),1,""))</f>
        <v/>
      </c>
      <c r="S793" t="str">
        <f>IF(tblSalaries[[#This Row],[Years of Experience]]="","",IF(tblSalaries[[#This Row],[Years of Experience]]&gt;20,1,""))</f>
        <v/>
      </c>
      <c r="T7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93" s="13" t="str">
        <f>IF(tblSalaries[[#This Row],[Job Type]]=tblSalaries[[#Headers],[Accountant]],tblSalaries[[#This Row],[Salary in USD]],"")</f>
        <v/>
      </c>
      <c r="V793" s="13">
        <f>IF(tblSalaries[[#This Row],[Job Type]]=tblSalaries[[#Headers],[Analyst]],tblSalaries[[#This Row],[Salary in USD]],"")</f>
        <v>33900</v>
      </c>
      <c r="W793" s="13" t="str">
        <f>IF(tblSalaries[[#This Row],[Job Type]]=tblSalaries[[#Headers],[Consultant]],tblSalaries[[#This Row],[Salary in USD]],"")</f>
        <v/>
      </c>
      <c r="X793" s="13" t="str">
        <f>IF(tblSalaries[[#This Row],[Job Type]]=tblSalaries[[#Headers],[Controller]],tblSalaries[[#This Row],[Salary in USD]],"")</f>
        <v/>
      </c>
      <c r="Y793" s="13" t="str">
        <f>IF(tblSalaries[[#This Row],[Job Type]]=tblSalaries[[#Headers],[CXO or Top Mgmt.]],tblSalaries[[#This Row],[clean Salary (in local currency)]],"")</f>
        <v/>
      </c>
      <c r="Z793" s="13" t="str">
        <f>IF(tblSalaries[[#This Row],[Job Type]]=tblSalaries[[#Headers],[Engineer]],tblSalaries[[#This Row],[Salary in USD]],"")</f>
        <v/>
      </c>
      <c r="AA793" s="13" t="str">
        <f>IF(tblSalaries[[#This Row],[Job Type]]=tblSalaries[[#Headers],[Manager]],tblSalaries[[#This Row],[Salary in USD]],"")</f>
        <v/>
      </c>
      <c r="AB793" s="13" t="str">
        <f>IF(tblSalaries[[#This Row],[Job Type]]=tblSalaries[[#Headers],[Misc.]],tblSalaries[[#This Row],[Salary in USD]],"")</f>
        <v/>
      </c>
      <c r="AC793" s="13" t="str">
        <f>IF(tblSalaries[[#This Row],[Job Type]]=tblSalaries[[#Headers],[Reporting]],tblSalaries[[#This Row],[Salary in USD]],"")</f>
        <v/>
      </c>
      <c r="AD793" s="13" t="str">
        <f>IF(tblSalaries[[#This Row],[Job Type]]=tblSalaries[[#Headers],[Specialist]],tblSalaries[[#This Row],[Salary in USD]],"")</f>
        <v/>
      </c>
    </row>
    <row r="794" spans="2:30" ht="15" customHeight="1" x14ac:dyDescent="0.25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 s="9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  <c r="N794" t="str">
        <f>IF(tblSalaries[[#This Row],[Years of Experience]]="","",IF(tblSalaries[[#This Row],[Years of Experience]]&lt;=2,1,""))</f>
        <v/>
      </c>
      <c r="O794" t="str">
        <f>IF(tblSalaries[[#This Row],[Years of Experience]]="","",IF(AND(tblSalaries[[#This Row],[Years of Experience]]&gt;2,tblSalaries[[#This Row],[Years of Experience]]&lt;=5),1,""))</f>
        <v/>
      </c>
      <c r="P794" t="str">
        <f>IF(tblSalaries[[#This Row],[Years of Experience]]="","",IF(AND(tblSalaries[[#This Row],[Years of Experience]]&gt;5,tblSalaries[[#This Row],[Years of Experience]]&lt;=10),1,""))</f>
        <v/>
      </c>
      <c r="Q794" t="str">
        <f>IF(tblSalaries[[#This Row],[Years of Experience]]="","",IF(AND(tblSalaries[[#This Row],[Years of Experience]]&gt;10,tblSalaries[[#This Row],[Years of Experience]]&lt;=15),1,""))</f>
        <v/>
      </c>
      <c r="R794" t="str">
        <f>IF(tblSalaries[[#This Row],[Years of Experience]]="","",IF(AND(tblSalaries[[#This Row],[Years of Experience]]&gt;16,tblSalaries[[#This Row],[Years of Experience]]&lt;=20),1,""))</f>
        <v/>
      </c>
      <c r="S794">
        <f>IF(tblSalaries[[#This Row],[Years of Experience]]="","",IF(tblSalaries[[#This Row],[Years of Experience]]&gt;20,1,""))</f>
        <v>1</v>
      </c>
      <c r="T7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794" s="13" t="str">
        <f>IF(tblSalaries[[#This Row],[Job Type]]=tblSalaries[[#Headers],[Accountant]],tblSalaries[[#This Row],[Salary in USD]],"")</f>
        <v/>
      </c>
      <c r="V794" s="13">
        <f>IF(tblSalaries[[#This Row],[Job Type]]=tblSalaries[[#Headers],[Analyst]],tblSalaries[[#This Row],[Salary in USD]],"")</f>
        <v>109729.60187662003</v>
      </c>
      <c r="W794" s="13" t="str">
        <f>IF(tblSalaries[[#This Row],[Job Type]]=tblSalaries[[#Headers],[Consultant]],tblSalaries[[#This Row],[Salary in USD]],"")</f>
        <v/>
      </c>
      <c r="X794" s="13" t="str">
        <f>IF(tblSalaries[[#This Row],[Job Type]]=tblSalaries[[#Headers],[Controller]],tblSalaries[[#This Row],[Salary in USD]],"")</f>
        <v/>
      </c>
      <c r="Y794" s="13" t="str">
        <f>IF(tblSalaries[[#This Row],[Job Type]]=tblSalaries[[#Headers],[CXO or Top Mgmt.]],tblSalaries[[#This Row],[clean Salary (in local currency)]],"")</f>
        <v/>
      </c>
      <c r="Z794" s="13" t="str">
        <f>IF(tblSalaries[[#This Row],[Job Type]]=tblSalaries[[#Headers],[Engineer]],tblSalaries[[#This Row],[Salary in USD]],"")</f>
        <v/>
      </c>
      <c r="AA794" s="13" t="str">
        <f>IF(tblSalaries[[#This Row],[Job Type]]=tblSalaries[[#Headers],[Manager]],tblSalaries[[#This Row],[Salary in USD]],"")</f>
        <v/>
      </c>
      <c r="AB794" s="13" t="str">
        <f>IF(tblSalaries[[#This Row],[Job Type]]=tblSalaries[[#Headers],[Misc.]],tblSalaries[[#This Row],[Salary in USD]],"")</f>
        <v/>
      </c>
      <c r="AC794" s="13" t="str">
        <f>IF(tblSalaries[[#This Row],[Job Type]]=tblSalaries[[#Headers],[Reporting]],tblSalaries[[#This Row],[Salary in USD]],"")</f>
        <v/>
      </c>
      <c r="AD794" s="13" t="str">
        <f>IF(tblSalaries[[#This Row],[Job Type]]=tblSalaries[[#Headers],[Specialist]],tblSalaries[[#This Row],[Salary in USD]],"")</f>
        <v/>
      </c>
    </row>
    <row r="795" spans="2:30" ht="15" customHeight="1" x14ac:dyDescent="0.25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 s="9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  <c r="N795">
        <f>IF(tblSalaries[[#This Row],[Years of Experience]]="","",IF(tblSalaries[[#This Row],[Years of Experience]]&lt;=2,1,""))</f>
        <v>1</v>
      </c>
      <c r="O795" t="str">
        <f>IF(tblSalaries[[#This Row],[Years of Experience]]="","",IF(AND(tblSalaries[[#This Row],[Years of Experience]]&gt;2,tblSalaries[[#This Row],[Years of Experience]]&lt;=5),1,""))</f>
        <v/>
      </c>
      <c r="P795" t="str">
        <f>IF(tblSalaries[[#This Row],[Years of Experience]]="","",IF(AND(tblSalaries[[#This Row],[Years of Experience]]&gt;5,tblSalaries[[#This Row],[Years of Experience]]&lt;=10),1,""))</f>
        <v/>
      </c>
      <c r="Q795" t="str">
        <f>IF(tblSalaries[[#This Row],[Years of Experience]]="","",IF(AND(tblSalaries[[#This Row],[Years of Experience]]&gt;10,tblSalaries[[#This Row],[Years of Experience]]&lt;=15),1,""))</f>
        <v/>
      </c>
      <c r="R795" t="str">
        <f>IF(tblSalaries[[#This Row],[Years of Experience]]="","",IF(AND(tblSalaries[[#This Row],[Years of Experience]]&gt;16,tblSalaries[[#This Row],[Years of Experience]]&lt;=20),1,""))</f>
        <v/>
      </c>
      <c r="S795" t="str">
        <f>IF(tblSalaries[[#This Row],[Years of Experience]]="","",IF(tblSalaries[[#This Row],[Years of Experience]]&gt;20,1,""))</f>
        <v/>
      </c>
      <c r="T7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95" s="13" t="str">
        <f>IF(tblSalaries[[#This Row],[Job Type]]=tblSalaries[[#Headers],[Accountant]],tblSalaries[[#This Row],[Salary in USD]],"")</f>
        <v/>
      </c>
      <c r="V795" s="13">
        <f>IF(tblSalaries[[#This Row],[Job Type]]=tblSalaries[[#Headers],[Analyst]],tblSalaries[[#This Row],[Salary in USD]],"")</f>
        <v>15136.729184326183</v>
      </c>
      <c r="W795" s="13" t="str">
        <f>IF(tblSalaries[[#This Row],[Job Type]]=tblSalaries[[#Headers],[Consultant]],tblSalaries[[#This Row],[Salary in USD]],"")</f>
        <v/>
      </c>
      <c r="X795" s="13" t="str">
        <f>IF(tblSalaries[[#This Row],[Job Type]]=tblSalaries[[#Headers],[Controller]],tblSalaries[[#This Row],[Salary in USD]],"")</f>
        <v/>
      </c>
      <c r="Y795" s="13" t="str">
        <f>IF(tblSalaries[[#This Row],[Job Type]]=tblSalaries[[#Headers],[CXO or Top Mgmt.]],tblSalaries[[#This Row],[clean Salary (in local currency)]],"")</f>
        <v/>
      </c>
      <c r="Z795" s="13" t="str">
        <f>IF(tblSalaries[[#This Row],[Job Type]]=tblSalaries[[#Headers],[Engineer]],tblSalaries[[#This Row],[Salary in USD]],"")</f>
        <v/>
      </c>
      <c r="AA795" s="13" t="str">
        <f>IF(tblSalaries[[#This Row],[Job Type]]=tblSalaries[[#Headers],[Manager]],tblSalaries[[#This Row],[Salary in USD]],"")</f>
        <v/>
      </c>
      <c r="AB795" s="13" t="str">
        <f>IF(tblSalaries[[#This Row],[Job Type]]=tblSalaries[[#Headers],[Misc.]],tblSalaries[[#This Row],[Salary in USD]],"")</f>
        <v/>
      </c>
      <c r="AC795" s="13" t="str">
        <f>IF(tblSalaries[[#This Row],[Job Type]]=tblSalaries[[#Headers],[Reporting]],tblSalaries[[#This Row],[Salary in USD]],"")</f>
        <v/>
      </c>
      <c r="AD795" s="13" t="str">
        <f>IF(tblSalaries[[#This Row],[Job Type]]=tblSalaries[[#Headers],[Specialist]],tblSalaries[[#This Row],[Salary in USD]],"")</f>
        <v/>
      </c>
    </row>
    <row r="796" spans="2:30" ht="15" customHeight="1" x14ac:dyDescent="0.25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 s="9">
        <f>tblSalaries[[#This Row],[clean Salary (in local currency)]]*VLOOKUP(tblSalaries[[#This Row],[Currency]],tblXrate[],2,FALSE)</f>
        <v>85000</v>
      </c>
      <c r="H796" t="s">
        <v>927</v>
      </c>
      <c r="I796" t="s">
        <v>4001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  <c r="N796" t="str">
        <f>IF(tblSalaries[[#This Row],[Years of Experience]]="","",IF(tblSalaries[[#This Row],[Years of Experience]]&lt;=2,1,""))</f>
        <v/>
      </c>
      <c r="O796" t="str">
        <f>IF(tblSalaries[[#This Row],[Years of Experience]]="","",IF(AND(tblSalaries[[#This Row],[Years of Experience]]&gt;2,tblSalaries[[#This Row],[Years of Experience]]&lt;=5),1,""))</f>
        <v/>
      </c>
      <c r="P796" t="str">
        <f>IF(tblSalaries[[#This Row],[Years of Experience]]="","",IF(AND(tblSalaries[[#This Row],[Years of Experience]]&gt;5,tblSalaries[[#This Row],[Years of Experience]]&lt;=10),1,""))</f>
        <v/>
      </c>
      <c r="Q796">
        <f>IF(tblSalaries[[#This Row],[Years of Experience]]="","",IF(AND(tblSalaries[[#This Row],[Years of Experience]]&gt;10,tblSalaries[[#This Row],[Years of Experience]]&lt;=15),1,""))</f>
        <v>1</v>
      </c>
      <c r="R796" t="str">
        <f>IF(tblSalaries[[#This Row],[Years of Experience]]="","",IF(AND(tblSalaries[[#This Row],[Years of Experience]]&gt;16,tblSalaries[[#This Row],[Years of Experience]]&lt;=20),1,""))</f>
        <v/>
      </c>
      <c r="S796" t="str">
        <f>IF(tblSalaries[[#This Row],[Years of Experience]]="","",IF(tblSalaries[[#This Row],[Years of Experience]]&gt;20,1,""))</f>
        <v/>
      </c>
      <c r="T7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796" s="13" t="str">
        <f>IF(tblSalaries[[#This Row],[Job Type]]=tblSalaries[[#Headers],[Accountant]],tblSalaries[[#This Row],[Salary in USD]],"")</f>
        <v/>
      </c>
      <c r="V796" s="13" t="str">
        <f>IF(tblSalaries[[#This Row],[Job Type]]=tblSalaries[[#Headers],[Analyst]],tblSalaries[[#This Row],[Salary in USD]],"")</f>
        <v/>
      </c>
      <c r="W796" s="13" t="str">
        <f>IF(tblSalaries[[#This Row],[Job Type]]=tblSalaries[[#Headers],[Consultant]],tblSalaries[[#This Row],[Salary in USD]],"")</f>
        <v/>
      </c>
      <c r="X796" s="13" t="str">
        <f>IF(tblSalaries[[#This Row],[Job Type]]=tblSalaries[[#Headers],[Controller]],tblSalaries[[#This Row],[Salary in USD]],"")</f>
        <v/>
      </c>
      <c r="Y796" s="13">
        <f>IF(tblSalaries[[#This Row],[Job Type]]=tblSalaries[[#Headers],[CXO or Top Mgmt.]],tblSalaries[[#This Row],[clean Salary (in local currency)]],"")</f>
        <v>85000</v>
      </c>
      <c r="Z796" s="13" t="str">
        <f>IF(tblSalaries[[#This Row],[Job Type]]=tblSalaries[[#Headers],[Engineer]],tblSalaries[[#This Row],[Salary in USD]],"")</f>
        <v/>
      </c>
      <c r="AA796" s="13" t="str">
        <f>IF(tblSalaries[[#This Row],[Job Type]]=tblSalaries[[#Headers],[Manager]],tblSalaries[[#This Row],[Salary in USD]],"")</f>
        <v/>
      </c>
      <c r="AB796" s="13" t="str">
        <f>IF(tblSalaries[[#This Row],[Job Type]]=tblSalaries[[#Headers],[Misc.]],tblSalaries[[#This Row],[Salary in USD]],"")</f>
        <v/>
      </c>
      <c r="AC796" s="13" t="str">
        <f>IF(tblSalaries[[#This Row],[Job Type]]=tblSalaries[[#Headers],[Reporting]],tblSalaries[[#This Row],[Salary in USD]],"")</f>
        <v/>
      </c>
      <c r="AD796" s="13" t="str">
        <f>IF(tblSalaries[[#This Row],[Job Type]]=tblSalaries[[#Headers],[Specialist]],tblSalaries[[#This Row],[Salary in USD]],"")</f>
        <v/>
      </c>
    </row>
    <row r="797" spans="2:30" ht="15" customHeight="1" x14ac:dyDescent="0.25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 s="9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  <c r="N797" t="str">
        <f>IF(tblSalaries[[#This Row],[Years of Experience]]="","",IF(tblSalaries[[#This Row],[Years of Experience]]&lt;=2,1,""))</f>
        <v/>
      </c>
      <c r="O797" t="str">
        <f>IF(tblSalaries[[#This Row],[Years of Experience]]="","",IF(AND(tblSalaries[[#This Row],[Years of Experience]]&gt;2,tblSalaries[[#This Row],[Years of Experience]]&lt;=5),1,""))</f>
        <v/>
      </c>
      <c r="P797">
        <f>IF(tblSalaries[[#This Row],[Years of Experience]]="","",IF(AND(tblSalaries[[#This Row],[Years of Experience]]&gt;5,tblSalaries[[#This Row],[Years of Experience]]&lt;=10),1,""))</f>
        <v>1</v>
      </c>
      <c r="Q797" t="str">
        <f>IF(tblSalaries[[#This Row],[Years of Experience]]="","",IF(AND(tblSalaries[[#This Row],[Years of Experience]]&gt;10,tblSalaries[[#This Row],[Years of Experience]]&lt;=15),1,""))</f>
        <v/>
      </c>
      <c r="R797" t="str">
        <f>IF(tblSalaries[[#This Row],[Years of Experience]]="","",IF(AND(tblSalaries[[#This Row],[Years of Experience]]&gt;16,tblSalaries[[#This Row],[Years of Experience]]&lt;=20),1,""))</f>
        <v/>
      </c>
      <c r="S797" t="str">
        <f>IF(tblSalaries[[#This Row],[Years of Experience]]="","",IF(tblSalaries[[#This Row],[Years of Experience]]&gt;20,1,""))</f>
        <v/>
      </c>
      <c r="T7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797" s="13" t="str">
        <f>IF(tblSalaries[[#This Row],[Job Type]]=tblSalaries[[#Headers],[Accountant]],tblSalaries[[#This Row],[Salary in USD]],"")</f>
        <v/>
      </c>
      <c r="V797" s="13" t="str">
        <f>IF(tblSalaries[[#This Row],[Job Type]]=tblSalaries[[#Headers],[Analyst]],tblSalaries[[#This Row],[Salary in USD]],"")</f>
        <v/>
      </c>
      <c r="W797" s="13" t="str">
        <f>IF(tblSalaries[[#This Row],[Job Type]]=tblSalaries[[#Headers],[Consultant]],tblSalaries[[#This Row],[Salary in USD]],"")</f>
        <v/>
      </c>
      <c r="X797" s="13" t="str">
        <f>IF(tblSalaries[[#This Row],[Job Type]]=tblSalaries[[#Headers],[Controller]],tblSalaries[[#This Row],[Salary in USD]],"")</f>
        <v/>
      </c>
      <c r="Y797" s="13" t="str">
        <f>IF(tblSalaries[[#This Row],[Job Type]]=tblSalaries[[#Headers],[CXO or Top Mgmt.]],tblSalaries[[#This Row],[clean Salary (in local currency)]],"")</f>
        <v/>
      </c>
      <c r="Z797" s="13" t="str">
        <f>IF(tblSalaries[[#This Row],[Job Type]]=tblSalaries[[#Headers],[Engineer]],tblSalaries[[#This Row],[Salary in USD]],"")</f>
        <v/>
      </c>
      <c r="AA797" s="13">
        <f>IF(tblSalaries[[#This Row],[Job Type]]=tblSalaries[[#Headers],[Manager]],tblSalaries[[#This Row],[Salary in USD]],"")</f>
        <v>8013.5625093491553</v>
      </c>
      <c r="AB797" s="13" t="str">
        <f>IF(tblSalaries[[#This Row],[Job Type]]=tblSalaries[[#Headers],[Misc.]],tblSalaries[[#This Row],[Salary in USD]],"")</f>
        <v/>
      </c>
      <c r="AC797" s="13" t="str">
        <f>IF(tblSalaries[[#This Row],[Job Type]]=tblSalaries[[#Headers],[Reporting]],tblSalaries[[#This Row],[Salary in USD]],"")</f>
        <v/>
      </c>
      <c r="AD797" s="13" t="str">
        <f>IF(tblSalaries[[#This Row],[Job Type]]=tblSalaries[[#Headers],[Specialist]],tblSalaries[[#This Row],[Salary in USD]],"")</f>
        <v/>
      </c>
    </row>
    <row r="798" spans="2:30" ht="15" customHeight="1" x14ac:dyDescent="0.25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 s="9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  <c r="N798" t="str">
        <f>IF(tblSalaries[[#This Row],[Years of Experience]]="","",IF(tblSalaries[[#This Row],[Years of Experience]]&lt;=2,1,""))</f>
        <v/>
      </c>
      <c r="O798" t="str">
        <f>IF(tblSalaries[[#This Row],[Years of Experience]]="","",IF(AND(tblSalaries[[#This Row],[Years of Experience]]&gt;2,tblSalaries[[#This Row],[Years of Experience]]&lt;=5),1,""))</f>
        <v/>
      </c>
      <c r="P798" t="str">
        <f>IF(tblSalaries[[#This Row],[Years of Experience]]="","",IF(AND(tblSalaries[[#This Row],[Years of Experience]]&gt;5,tblSalaries[[#This Row],[Years of Experience]]&lt;=10),1,""))</f>
        <v/>
      </c>
      <c r="Q798" t="str">
        <f>IF(tblSalaries[[#This Row],[Years of Experience]]="","",IF(AND(tblSalaries[[#This Row],[Years of Experience]]&gt;10,tblSalaries[[#This Row],[Years of Experience]]&lt;=15),1,""))</f>
        <v/>
      </c>
      <c r="R798" t="str">
        <f>IF(tblSalaries[[#This Row],[Years of Experience]]="","",IF(AND(tblSalaries[[#This Row],[Years of Experience]]&gt;16,tblSalaries[[#This Row],[Years of Experience]]&lt;=20),1,""))</f>
        <v/>
      </c>
      <c r="S798" t="str">
        <f>IF(tblSalaries[[#This Row],[Years of Experience]]="","",IF(tblSalaries[[#This Row],[Years of Experience]]&gt;20,1,""))</f>
        <v/>
      </c>
      <c r="T7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798" s="13" t="str">
        <f>IF(tblSalaries[[#This Row],[Job Type]]=tblSalaries[[#Headers],[Accountant]],tblSalaries[[#This Row],[Salary in USD]],"")</f>
        <v/>
      </c>
      <c r="V798" s="13" t="str">
        <f>IF(tblSalaries[[#This Row],[Job Type]]=tblSalaries[[#Headers],[Analyst]],tblSalaries[[#This Row],[Salary in USD]],"")</f>
        <v/>
      </c>
      <c r="W798" s="13" t="str">
        <f>IF(tblSalaries[[#This Row],[Job Type]]=tblSalaries[[#Headers],[Consultant]],tblSalaries[[#This Row],[Salary in USD]],"")</f>
        <v/>
      </c>
      <c r="X798" s="13" t="str">
        <f>IF(tblSalaries[[#This Row],[Job Type]]=tblSalaries[[#Headers],[Controller]],tblSalaries[[#This Row],[Salary in USD]],"")</f>
        <v/>
      </c>
      <c r="Y798" s="13" t="str">
        <f>IF(tblSalaries[[#This Row],[Job Type]]=tblSalaries[[#Headers],[CXO or Top Mgmt.]],tblSalaries[[#This Row],[clean Salary (in local currency)]],"")</f>
        <v/>
      </c>
      <c r="Z798" s="13" t="str">
        <f>IF(tblSalaries[[#This Row],[Job Type]]=tblSalaries[[#Headers],[Engineer]],tblSalaries[[#This Row],[Salary in USD]],"")</f>
        <v/>
      </c>
      <c r="AA798" s="13">
        <f>IF(tblSalaries[[#This Row],[Job Type]]=tblSalaries[[#Headers],[Manager]],tblSalaries[[#This Row],[Salary in USD]],"")</f>
        <v>48000</v>
      </c>
      <c r="AB798" s="13" t="str">
        <f>IF(tblSalaries[[#This Row],[Job Type]]=tblSalaries[[#Headers],[Misc.]],tblSalaries[[#This Row],[Salary in USD]],"")</f>
        <v/>
      </c>
      <c r="AC798" s="13" t="str">
        <f>IF(tblSalaries[[#This Row],[Job Type]]=tblSalaries[[#Headers],[Reporting]],tblSalaries[[#This Row],[Salary in USD]],"")</f>
        <v/>
      </c>
      <c r="AD798" s="13" t="str">
        <f>IF(tblSalaries[[#This Row],[Job Type]]=tblSalaries[[#Headers],[Specialist]],tblSalaries[[#This Row],[Salary in USD]],"")</f>
        <v/>
      </c>
    </row>
    <row r="799" spans="2:30" ht="15" customHeight="1" x14ac:dyDescent="0.25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 s="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3999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  <c r="N799">
        <f>IF(tblSalaries[[#This Row],[Years of Experience]]="","",IF(tblSalaries[[#This Row],[Years of Experience]]&lt;=2,1,""))</f>
        <v>1</v>
      </c>
      <c r="O799" t="str">
        <f>IF(tblSalaries[[#This Row],[Years of Experience]]="","",IF(AND(tblSalaries[[#This Row],[Years of Experience]]&gt;2,tblSalaries[[#This Row],[Years of Experience]]&lt;=5),1,""))</f>
        <v/>
      </c>
      <c r="P799" t="str">
        <f>IF(tblSalaries[[#This Row],[Years of Experience]]="","",IF(AND(tblSalaries[[#This Row],[Years of Experience]]&gt;5,tblSalaries[[#This Row],[Years of Experience]]&lt;=10),1,""))</f>
        <v/>
      </c>
      <c r="Q799" t="str">
        <f>IF(tblSalaries[[#This Row],[Years of Experience]]="","",IF(AND(tblSalaries[[#This Row],[Years of Experience]]&gt;10,tblSalaries[[#This Row],[Years of Experience]]&lt;=15),1,""))</f>
        <v/>
      </c>
      <c r="R799" t="str">
        <f>IF(tblSalaries[[#This Row],[Years of Experience]]="","",IF(AND(tblSalaries[[#This Row],[Years of Experience]]&gt;16,tblSalaries[[#This Row],[Years of Experience]]&lt;=20),1,""))</f>
        <v/>
      </c>
      <c r="S799" t="str">
        <f>IF(tblSalaries[[#This Row],[Years of Experience]]="","",IF(tblSalaries[[#This Row],[Years of Experience]]&gt;20,1,""))</f>
        <v/>
      </c>
      <c r="T7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799" s="13" t="str">
        <f>IF(tblSalaries[[#This Row],[Job Type]]=tblSalaries[[#Headers],[Accountant]],tblSalaries[[#This Row],[Salary in USD]],"")</f>
        <v/>
      </c>
      <c r="V799" s="13" t="str">
        <f>IF(tblSalaries[[#This Row],[Job Type]]=tblSalaries[[#Headers],[Analyst]],tblSalaries[[#This Row],[Salary in USD]],"")</f>
        <v/>
      </c>
      <c r="W799" s="13" t="str">
        <f>IF(tblSalaries[[#This Row],[Job Type]]=tblSalaries[[#Headers],[Consultant]],tblSalaries[[#This Row],[Salary in USD]],"")</f>
        <v/>
      </c>
      <c r="X799" s="13" t="str">
        <f>IF(tblSalaries[[#This Row],[Job Type]]=tblSalaries[[#Headers],[Controller]],tblSalaries[[#This Row],[Salary in USD]],"")</f>
        <v/>
      </c>
      <c r="Y799" s="13" t="str">
        <f>IF(tblSalaries[[#This Row],[Job Type]]=tblSalaries[[#Headers],[CXO or Top Mgmt.]],tblSalaries[[#This Row],[clean Salary (in local currency)]],"")</f>
        <v/>
      </c>
      <c r="Z799" s="13" t="str">
        <f>IF(tblSalaries[[#This Row],[Job Type]]=tblSalaries[[#Headers],[Engineer]],tblSalaries[[#This Row],[Salary in USD]],"")</f>
        <v/>
      </c>
      <c r="AA799" s="13" t="str">
        <f>IF(tblSalaries[[#This Row],[Job Type]]=tblSalaries[[#Headers],[Manager]],tblSalaries[[#This Row],[Salary in USD]],"")</f>
        <v/>
      </c>
      <c r="AB799" s="13" t="str">
        <f>IF(tblSalaries[[#This Row],[Job Type]]=tblSalaries[[#Headers],[Misc.]],tblSalaries[[#This Row],[Salary in USD]],"")</f>
        <v/>
      </c>
      <c r="AC799" s="13">
        <f>IF(tblSalaries[[#This Row],[Job Type]]=tblSalaries[[#Headers],[Reporting]],tblSalaries[[#This Row],[Salary in USD]],"")</f>
        <v>3027.3458368652364</v>
      </c>
      <c r="AD799" s="13" t="str">
        <f>IF(tblSalaries[[#This Row],[Job Type]]=tblSalaries[[#Headers],[Specialist]],tblSalaries[[#This Row],[Salary in USD]],"")</f>
        <v/>
      </c>
    </row>
    <row r="800" spans="2:30" ht="15" customHeight="1" x14ac:dyDescent="0.25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 s="9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  <c r="N800" t="str">
        <f>IF(tblSalaries[[#This Row],[Years of Experience]]="","",IF(tblSalaries[[#This Row],[Years of Experience]]&lt;=2,1,""))</f>
        <v/>
      </c>
      <c r="O800">
        <f>IF(tblSalaries[[#This Row],[Years of Experience]]="","",IF(AND(tblSalaries[[#This Row],[Years of Experience]]&gt;2,tblSalaries[[#This Row],[Years of Experience]]&lt;=5),1,""))</f>
        <v>1</v>
      </c>
      <c r="P800" t="str">
        <f>IF(tblSalaries[[#This Row],[Years of Experience]]="","",IF(AND(tblSalaries[[#This Row],[Years of Experience]]&gt;5,tblSalaries[[#This Row],[Years of Experience]]&lt;=10),1,""))</f>
        <v/>
      </c>
      <c r="Q800" t="str">
        <f>IF(tblSalaries[[#This Row],[Years of Experience]]="","",IF(AND(tblSalaries[[#This Row],[Years of Experience]]&gt;10,tblSalaries[[#This Row],[Years of Experience]]&lt;=15),1,""))</f>
        <v/>
      </c>
      <c r="R800" t="str">
        <f>IF(tblSalaries[[#This Row],[Years of Experience]]="","",IF(AND(tblSalaries[[#This Row],[Years of Experience]]&gt;16,tblSalaries[[#This Row],[Years of Experience]]&lt;=20),1,""))</f>
        <v/>
      </c>
      <c r="S800" t="str">
        <f>IF(tblSalaries[[#This Row],[Years of Experience]]="","",IF(tblSalaries[[#This Row],[Years of Experience]]&gt;20,1,""))</f>
        <v/>
      </c>
      <c r="T8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00" s="13">
        <f>IF(tblSalaries[[#This Row],[Job Type]]=tblSalaries[[#Headers],[Accountant]],tblSalaries[[#This Row],[Salary in USD]],"")</f>
        <v>13100</v>
      </c>
      <c r="V800" s="13" t="str">
        <f>IF(tblSalaries[[#This Row],[Job Type]]=tblSalaries[[#Headers],[Analyst]],tblSalaries[[#This Row],[Salary in USD]],"")</f>
        <v/>
      </c>
      <c r="W800" s="13" t="str">
        <f>IF(tblSalaries[[#This Row],[Job Type]]=tblSalaries[[#Headers],[Consultant]],tblSalaries[[#This Row],[Salary in USD]],"")</f>
        <v/>
      </c>
      <c r="X800" s="13" t="str">
        <f>IF(tblSalaries[[#This Row],[Job Type]]=tblSalaries[[#Headers],[Controller]],tblSalaries[[#This Row],[Salary in USD]],"")</f>
        <v/>
      </c>
      <c r="Y800" s="13" t="str">
        <f>IF(tblSalaries[[#This Row],[Job Type]]=tblSalaries[[#Headers],[CXO or Top Mgmt.]],tblSalaries[[#This Row],[clean Salary (in local currency)]],"")</f>
        <v/>
      </c>
      <c r="Z800" s="13" t="str">
        <f>IF(tblSalaries[[#This Row],[Job Type]]=tblSalaries[[#Headers],[Engineer]],tblSalaries[[#This Row],[Salary in USD]],"")</f>
        <v/>
      </c>
      <c r="AA800" s="13" t="str">
        <f>IF(tblSalaries[[#This Row],[Job Type]]=tblSalaries[[#Headers],[Manager]],tblSalaries[[#This Row],[Salary in USD]],"")</f>
        <v/>
      </c>
      <c r="AB800" s="13" t="str">
        <f>IF(tblSalaries[[#This Row],[Job Type]]=tblSalaries[[#Headers],[Misc.]],tblSalaries[[#This Row],[Salary in USD]],"")</f>
        <v/>
      </c>
      <c r="AC800" s="13" t="str">
        <f>IF(tblSalaries[[#This Row],[Job Type]]=tblSalaries[[#Headers],[Reporting]],tblSalaries[[#This Row],[Salary in USD]],"")</f>
        <v/>
      </c>
      <c r="AD800" s="13" t="str">
        <f>IF(tblSalaries[[#This Row],[Job Type]]=tblSalaries[[#Headers],[Specialist]],tblSalaries[[#This Row],[Salary in USD]],"")</f>
        <v/>
      </c>
    </row>
    <row r="801" spans="2:30" ht="15" customHeight="1" x14ac:dyDescent="0.25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 s="9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  <c r="N801" t="str">
        <f>IF(tblSalaries[[#This Row],[Years of Experience]]="","",IF(tblSalaries[[#This Row],[Years of Experience]]&lt;=2,1,""))</f>
        <v/>
      </c>
      <c r="O801" t="str">
        <f>IF(tblSalaries[[#This Row],[Years of Experience]]="","",IF(AND(tblSalaries[[#This Row],[Years of Experience]]&gt;2,tblSalaries[[#This Row],[Years of Experience]]&lt;=5),1,""))</f>
        <v/>
      </c>
      <c r="P801" t="str">
        <f>IF(tblSalaries[[#This Row],[Years of Experience]]="","",IF(AND(tblSalaries[[#This Row],[Years of Experience]]&gt;5,tblSalaries[[#This Row],[Years of Experience]]&lt;=10),1,""))</f>
        <v/>
      </c>
      <c r="Q801">
        <f>IF(tblSalaries[[#This Row],[Years of Experience]]="","",IF(AND(tblSalaries[[#This Row],[Years of Experience]]&gt;10,tblSalaries[[#This Row],[Years of Experience]]&lt;=15),1,""))</f>
        <v>1</v>
      </c>
      <c r="R801" t="str">
        <f>IF(tblSalaries[[#This Row],[Years of Experience]]="","",IF(AND(tblSalaries[[#This Row],[Years of Experience]]&gt;16,tblSalaries[[#This Row],[Years of Experience]]&lt;=20),1,""))</f>
        <v/>
      </c>
      <c r="S801" t="str">
        <f>IF(tblSalaries[[#This Row],[Years of Experience]]="","",IF(tblSalaries[[#This Row],[Years of Experience]]&gt;20,1,""))</f>
        <v/>
      </c>
      <c r="T8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01" s="13" t="str">
        <f>IF(tblSalaries[[#This Row],[Job Type]]=tblSalaries[[#Headers],[Accountant]],tblSalaries[[#This Row],[Salary in USD]],"")</f>
        <v/>
      </c>
      <c r="V801" s="13" t="str">
        <f>IF(tblSalaries[[#This Row],[Job Type]]=tblSalaries[[#Headers],[Analyst]],tblSalaries[[#This Row],[Salary in USD]],"")</f>
        <v/>
      </c>
      <c r="W801" s="13" t="str">
        <f>IF(tblSalaries[[#This Row],[Job Type]]=tblSalaries[[#Headers],[Consultant]],tblSalaries[[#This Row],[Salary in USD]],"")</f>
        <v/>
      </c>
      <c r="X801" s="13" t="str">
        <f>IF(tblSalaries[[#This Row],[Job Type]]=tblSalaries[[#Headers],[Controller]],tblSalaries[[#This Row],[Salary in USD]],"")</f>
        <v/>
      </c>
      <c r="Y801" s="13" t="str">
        <f>IF(tblSalaries[[#This Row],[Job Type]]=tblSalaries[[#Headers],[CXO or Top Mgmt.]],tblSalaries[[#This Row],[clean Salary (in local currency)]],"")</f>
        <v/>
      </c>
      <c r="Z801" s="13" t="str">
        <f>IF(tblSalaries[[#This Row],[Job Type]]=tblSalaries[[#Headers],[Engineer]],tblSalaries[[#This Row],[Salary in USD]],"")</f>
        <v/>
      </c>
      <c r="AA801" s="13">
        <f>IF(tblSalaries[[#This Row],[Job Type]]=tblSalaries[[#Headers],[Manager]],tblSalaries[[#This Row],[Salary in USD]],"")</f>
        <v>60000</v>
      </c>
      <c r="AB801" s="13" t="str">
        <f>IF(tblSalaries[[#This Row],[Job Type]]=tblSalaries[[#Headers],[Misc.]],tblSalaries[[#This Row],[Salary in USD]],"")</f>
        <v/>
      </c>
      <c r="AC801" s="13" t="str">
        <f>IF(tblSalaries[[#This Row],[Job Type]]=tblSalaries[[#Headers],[Reporting]],tblSalaries[[#This Row],[Salary in USD]],"")</f>
        <v/>
      </c>
      <c r="AD801" s="13" t="str">
        <f>IF(tblSalaries[[#This Row],[Job Type]]=tblSalaries[[#Headers],[Specialist]],tblSalaries[[#This Row],[Salary in USD]],"")</f>
        <v/>
      </c>
    </row>
    <row r="802" spans="2:30" ht="15" customHeight="1" x14ac:dyDescent="0.25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 s="9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  <c r="N802" t="str">
        <f>IF(tblSalaries[[#This Row],[Years of Experience]]="","",IF(tblSalaries[[#This Row],[Years of Experience]]&lt;=2,1,""))</f>
        <v/>
      </c>
      <c r="O802">
        <f>IF(tblSalaries[[#This Row],[Years of Experience]]="","",IF(AND(tblSalaries[[#This Row],[Years of Experience]]&gt;2,tblSalaries[[#This Row],[Years of Experience]]&lt;=5),1,""))</f>
        <v>1</v>
      </c>
      <c r="P802" t="str">
        <f>IF(tblSalaries[[#This Row],[Years of Experience]]="","",IF(AND(tblSalaries[[#This Row],[Years of Experience]]&gt;5,tblSalaries[[#This Row],[Years of Experience]]&lt;=10),1,""))</f>
        <v/>
      </c>
      <c r="Q802" t="str">
        <f>IF(tblSalaries[[#This Row],[Years of Experience]]="","",IF(AND(tblSalaries[[#This Row],[Years of Experience]]&gt;10,tblSalaries[[#This Row],[Years of Experience]]&lt;=15),1,""))</f>
        <v/>
      </c>
      <c r="R802" t="str">
        <f>IF(tblSalaries[[#This Row],[Years of Experience]]="","",IF(AND(tblSalaries[[#This Row],[Years of Experience]]&gt;16,tblSalaries[[#This Row],[Years of Experience]]&lt;=20),1,""))</f>
        <v/>
      </c>
      <c r="S802" t="str">
        <f>IF(tblSalaries[[#This Row],[Years of Experience]]="","",IF(tblSalaries[[#This Row],[Years of Experience]]&gt;20,1,""))</f>
        <v/>
      </c>
      <c r="T8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02" s="13" t="str">
        <f>IF(tblSalaries[[#This Row],[Job Type]]=tblSalaries[[#Headers],[Accountant]],tblSalaries[[#This Row],[Salary in USD]],"")</f>
        <v/>
      </c>
      <c r="V802" s="13" t="str">
        <f>IF(tblSalaries[[#This Row],[Job Type]]=tblSalaries[[#Headers],[Analyst]],tblSalaries[[#This Row],[Salary in USD]],"")</f>
        <v/>
      </c>
      <c r="W802" s="13" t="str">
        <f>IF(tblSalaries[[#This Row],[Job Type]]=tblSalaries[[#Headers],[Consultant]],tblSalaries[[#This Row],[Salary in USD]],"")</f>
        <v/>
      </c>
      <c r="X802" s="13" t="str">
        <f>IF(tblSalaries[[#This Row],[Job Type]]=tblSalaries[[#Headers],[Controller]],tblSalaries[[#This Row],[Salary in USD]],"")</f>
        <v/>
      </c>
      <c r="Y802" s="13" t="str">
        <f>IF(tblSalaries[[#This Row],[Job Type]]=tblSalaries[[#Headers],[CXO or Top Mgmt.]],tblSalaries[[#This Row],[clean Salary (in local currency)]],"")</f>
        <v/>
      </c>
      <c r="Z802" s="13" t="str">
        <f>IF(tblSalaries[[#This Row],[Job Type]]=tblSalaries[[#Headers],[Engineer]],tblSalaries[[#This Row],[Salary in USD]],"")</f>
        <v/>
      </c>
      <c r="AA802" s="13">
        <f>IF(tblSalaries[[#This Row],[Job Type]]=tblSalaries[[#Headers],[Manager]],tblSalaries[[#This Row],[Salary in USD]],"")</f>
        <v>24000</v>
      </c>
      <c r="AB802" s="13" t="str">
        <f>IF(tblSalaries[[#This Row],[Job Type]]=tblSalaries[[#Headers],[Misc.]],tblSalaries[[#This Row],[Salary in USD]],"")</f>
        <v/>
      </c>
      <c r="AC802" s="13" t="str">
        <f>IF(tblSalaries[[#This Row],[Job Type]]=tblSalaries[[#Headers],[Reporting]],tblSalaries[[#This Row],[Salary in USD]],"")</f>
        <v/>
      </c>
      <c r="AD802" s="13" t="str">
        <f>IF(tblSalaries[[#This Row],[Job Type]]=tblSalaries[[#Headers],[Specialist]],tblSalaries[[#This Row],[Salary in USD]],"")</f>
        <v/>
      </c>
    </row>
    <row r="803" spans="2:30" ht="15" customHeight="1" x14ac:dyDescent="0.25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 s="9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  <c r="N803" t="str">
        <f>IF(tblSalaries[[#This Row],[Years of Experience]]="","",IF(tblSalaries[[#This Row],[Years of Experience]]&lt;=2,1,""))</f>
        <v/>
      </c>
      <c r="O803">
        <f>IF(tblSalaries[[#This Row],[Years of Experience]]="","",IF(AND(tblSalaries[[#This Row],[Years of Experience]]&gt;2,tblSalaries[[#This Row],[Years of Experience]]&lt;=5),1,""))</f>
        <v>1</v>
      </c>
      <c r="P803" t="str">
        <f>IF(tblSalaries[[#This Row],[Years of Experience]]="","",IF(AND(tblSalaries[[#This Row],[Years of Experience]]&gt;5,tblSalaries[[#This Row],[Years of Experience]]&lt;=10),1,""))</f>
        <v/>
      </c>
      <c r="Q803" t="str">
        <f>IF(tblSalaries[[#This Row],[Years of Experience]]="","",IF(AND(tblSalaries[[#This Row],[Years of Experience]]&gt;10,tblSalaries[[#This Row],[Years of Experience]]&lt;=15),1,""))</f>
        <v/>
      </c>
      <c r="R803" t="str">
        <f>IF(tblSalaries[[#This Row],[Years of Experience]]="","",IF(AND(tblSalaries[[#This Row],[Years of Experience]]&gt;16,tblSalaries[[#This Row],[Years of Experience]]&lt;=20),1,""))</f>
        <v/>
      </c>
      <c r="S803" t="str">
        <f>IF(tblSalaries[[#This Row],[Years of Experience]]="","",IF(tblSalaries[[#This Row],[Years of Experience]]&gt;20,1,""))</f>
        <v/>
      </c>
      <c r="T8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03" s="13" t="str">
        <f>IF(tblSalaries[[#This Row],[Job Type]]=tblSalaries[[#Headers],[Accountant]],tblSalaries[[#This Row],[Salary in USD]],"")</f>
        <v/>
      </c>
      <c r="V803" s="13" t="str">
        <f>IF(tblSalaries[[#This Row],[Job Type]]=tblSalaries[[#Headers],[Analyst]],tblSalaries[[#This Row],[Salary in USD]],"")</f>
        <v/>
      </c>
      <c r="W803" s="13" t="str">
        <f>IF(tblSalaries[[#This Row],[Job Type]]=tblSalaries[[#Headers],[Consultant]],tblSalaries[[#This Row],[Salary in USD]],"")</f>
        <v/>
      </c>
      <c r="X803" s="13" t="str">
        <f>IF(tblSalaries[[#This Row],[Job Type]]=tblSalaries[[#Headers],[Controller]],tblSalaries[[#This Row],[Salary in USD]],"")</f>
        <v/>
      </c>
      <c r="Y803" s="13" t="str">
        <f>IF(tblSalaries[[#This Row],[Job Type]]=tblSalaries[[#Headers],[CXO or Top Mgmt.]],tblSalaries[[#This Row],[clean Salary (in local currency)]],"")</f>
        <v/>
      </c>
      <c r="Z803" s="13" t="str">
        <f>IF(tblSalaries[[#This Row],[Job Type]]=tblSalaries[[#Headers],[Engineer]],tblSalaries[[#This Row],[Salary in USD]],"")</f>
        <v/>
      </c>
      <c r="AA803" s="13">
        <f>IF(tblSalaries[[#This Row],[Job Type]]=tblSalaries[[#Headers],[Manager]],tblSalaries[[#This Row],[Salary in USD]],"")</f>
        <v>4273.9000049862161</v>
      </c>
      <c r="AB803" s="13" t="str">
        <f>IF(tblSalaries[[#This Row],[Job Type]]=tblSalaries[[#Headers],[Misc.]],tblSalaries[[#This Row],[Salary in USD]],"")</f>
        <v/>
      </c>
      <c r="AC803" s="13" t="str">
        <f>IF(tblSalaries[[#This Row],[Job Type]]=tblSalaries[[#Headers],[Reporting]],tblSalaries[[#This Row],[Salary in USD]],"")</f>
        <v/>
      </c>
      <c r="AD803" s="13" t="str">
        <f>IF(tblSalaries[[#This Row],[Job Type]]=tblSalaries[[#Headers],[Specialist]],tblSalaries[[#This Row],[Salary in USD]],"")</f>
        <v/>
      </c>
    </row>
    <row r="804" spans="2:30" ht="15" customHeight="1" x14ac:dyDescent="0.25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 s="9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  <c r="N804" t="str">
        <f>IF(tblSalaries[[#This Row],[Years of Experience]]="","",IF(tblSalaries[[#This Row],[Years of Experience]]&lt;=2,1,""))</f>
        <v/>
      </c>
      <c r="O804">
        <f>IF(tblSalaries[[#This Row],[Years of Experience]]="","",IF(AND(tblSalaries[[#This Row],[Years of Experience]]&gt;2,tblSalaries[[#This Row],[Years of Experience]]&lt;=5),1,""))</f>
        <v>1</v>
      </c>
      <c r="P804" t="str">
        <f>IF(tblSalaries[[#This Row],[Years of Experience]]="","",IF(AND(tblSalaries[[#This Row],[Years of Experience]]&gt;5,tblSalaries[[#This Row],[Years of Experience]]&lt;=10),1,""))</f>
        <v/>
      </c>
      <c r="Q804" t="str">
        <f>IF(tblSalaries[[#This Row],[Years of Experience]]="","",IF(AND(tblSalaries[[#This Row],[Years of Experience]]&gt;10,tblSalaries[[#This Row],[Years of Experience]]&lt;=15),1,""))</f>
        <v/>
      </c>
      <c r="R804" t="str">
        <f>IF(tblSalaries[[#This Row],[Years of Experience]]="","",IF(AND(tblSalaries[[#This Row],[Years of Experience]]&gt;16,tblSalaries[[#This Row],[Years of Experience]]&lt;=20),1,""))</f>
        <v/>
      </c>
      <c r="S804" t="str">
        <f>IF(tblSalaries[[#This Row],[Years of Experience]]="","",IF(tblSalaries[[#This Row],[Years of Experience]]&gt;20,1,""))</f>
        <v/>
      </c>
      <c r="T8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04" s="13" t="str">
        <f>IF(tblSalaries[[#This Row],[Job Type]]=tblSalaries[[#Headers],[Accountant]],tblSalaries[[#This Row],[Salary in USD]],"")</f>
        <v/>
      </c>
      <c r="V804" s="13" t="str">
        <f>IF(tblSalaries[[#This Row],[Job Type]]=tblSalaries[[#Headers],[Analyst]],tblSalaries[[#This Row],[Salary in USD]],"")</f>
        <v/>
      </c>
      <c r="W804" s="13" t="str">
        <f>IF(tblSalaries[[#This Row],[Job Type]]=tblSalaries[[#Headers],[Consultant]],tblSalaries[[#This Row],[Salary in USD]],"")</f>
        <v/>
      </c>
      <c r="X804" s="13" t="str">
        <f>IF(tblSalaries[[#This Row],[Job Type]]=tblSalaries[[#Headers],[Controller]],tblSalaries[[#This Row],[Salary in USD]],"")</f>
        <v/>
      </c>
      <c r="Y804" s="13" t="str">
        <f>IF(tblSalaries[[#This Row],[Job Type]]=tblSalaries[[#Headers],[CXO or Top Mgmt.]],tblSalaries[[#This Row],[clean Salary (in local currency)]],"")</f>
        <v/>
      </c>
      <c r="Z804" s="13" t="str">
        <f>IF(tblSalaries[[#This Row],[Job Type]]=tblSalaries[[#Headers],[Engineer]],tblSalaries[[#This Row],[Salary in USD]],"")</f>
        <v/>
      </c>
      <c r="AA804" s="13">
        <f>IF(tblSalaries[[#This Row],[Job Type]]=tblSalaries[[#Headers],[Manager]],tblSalaries[[#This Row],[Salary in USD]],"")</f>
        <v>11575.14584683767</v>
      </c>
      <c r="AB804" s="13" t="str">
        <f>IF(tblSalaries[[#This Row],[Job Type]]=tblSalaries[[#Headers],[Misc.]],tblSalaries[[#This Row],[Salary in USD]],"")</f>
        <v/>
      </c>
      <c r="AC804" s="13" t="str">
        <f>IF(tblSalaries[[#This Row],[Job Type]]=tblSalaries[[#Headers],[Reporting]],tblSalaries[[#This Row],[Salary in USD]],"")</f>
        <v/>
      </c>
      <c r="AD804" s="13" t="str">
        <f>IF(tblSalaries[[#This Row],[Job Type]]=tblSalaries[[#Headers],[Specialist]],tblSalaries[[#This Row],[Salary in USD]],"")</f>
        <v/>
      </c>
    </row>
    <row r="805" spans="2:30" ht="15" customHeight="1" x14ac:dyDescent="0.25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 s="9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  <c r="N805" t="str">
        <f>IF(tblSalaries[[#This Row],[Years of Experience]]="","",IF(tblSalaries[[#This Row],[Years of Experience]]&lt;=2,1,""))</f>
        <v/>
      </c>
      <c r="O805" t="str">
        <f>IF(tblSalaries[[#This Row],[Years of Experience]]="","",IF(AND(tblSalaries[[#This Row],[Years of Experience]]&gt;2,tblSalaries[[#This Row],[Years of Experience]]&lt;=5),1,""))</f>
        <v/>
      </c>
      <c r="P805" t="str">
        <f>IF(tblSalaries[[#This Row],[Years of Experience]]="","",IF(AND(tblSalaries[[#This Row],[Years of Experience]]&gt;5,tblSalaries[[#This Row],[Years of Experience]]&lt;=10),1,""))</f>
        <v/>
      </c>
      <c r="Q805">
        <f>IF(tblSalaries[[#This Row],[Years of Experience]]="","",IF(AND(tblSalaries[[#This Row],[Years of Experience]]&gt;10,tblSalaries[[#This Row],[Years of Experience]]&lt;=15),1,""))</f>
        <v>1</v>
      </c>
      <c r="R805" t="str">
        <f>IF(tblSalaries[[#This Row],[Years of Experience]]="","",IF(AND(tblSalaries[[#This Row],[Years of Experience]]&gt;16,tblSalaries[[#This Row],[Years of Experience]]&lt;=20),1,""))</f>
        <v/>
      </c>
      <c r="S805" t="str">
        <f>IF(tblSalaries[[#This Row],[Years of Experience]]="","",IF(tblSalaries[[#This Row],[Years of Experience]]&gt;20,1,""))</f>
        <v/>
      </c>
      <c r="T8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05" s="13" t="str">
        <f>IF(tblSalaries[[#This Row],[Job Type]]=tblSalaries[[#Headers],[Accountant]],tblSalaries[[#This Row],[Salary in USD]],"")</f>
        <v/>
      </c>
      <c r="V805" s="13">
        <f>IF(tblSalaries[[#This Row],[Job Type]]=tblSalaries[[#Headers],[Analyst]],tblSalaries[[#This Row],[Salary in USD]],"")</f>
        <v>95000</v>
      </c>
      <c r="W805" s="13" t="str">
        <f>IF(tblSalaries[[#This Row],[Job Type]]=tblSalaries[[#Headers],[Consultant]],tblSalaries[[#This Row],[Salary in USD]],"")</f>
        <v/>
      </c>
      <c r="X805" s="13" t="str">
        <f>IF(tblSalaries[[#This Row],[Job Type]]=tblSalaries[[#Headers],[Controller]],tblSalaries[[#This Row],[Salary in USD]],"")</f>
        <v/>
      </c>
      <c r="Y805" s="13" t="str">
        <f>IF(tblSalaries[[#This Row],[Job Type]]=tblSalaries[[#Headers],[CXO or Top Mgmt.]],tblSalaries[[#This Row],[clean Salary (in local currency)]],"")</f>
        <v/>
      </c>
      <c r="Z805" s="13" t="str">
        <f>IF(tblSalaries[[#This Row],[Job Type]]=tblSalaries[[#Headers],[Engineer]],tblSalaries[[#This Row],[Salary in USD]],"")</f>
        <v/>
      </c>
      <c r="AA805" s="13" t="str">
        <f>IF(tblSalaries[[#This Row],[Job Type]]=tblSalaries[[#Headers],[Manager]],tblSalaries[[#This Row],[Salary in USD]],"")</f>
        <v/>
      </c>
      <c r="AB805" s="13" t="str">
        <f>IF(tblSalaries[[#This Row],[Job Type]]=tblSalaries[[#Headers],[Misc.]],tblSalaries[[#This Row],[Salary in USD]],"")</f>
        <v/>
      </c>
      <c r="AC805" s="13" t="str">
        <f>IF(tblSalaries[[#This Row],[Job Type]]=tblSalaries[[#Headers],[Reporting]],tblSalaries[[#This Row],[Salary in USD]],"")</f>
        <v/>
      </c>
      <c r="AD805" s="13" t="str">
        <f>IF(tblSalaries[[#This Row],[Job Type]]=tblSalaries[[#Headers],[Specialist]],tblSalaries[[#This Row],[Salary in USD]],"")</f>
        <v/>
      </c>
    </row>
    <row r="806" spans="2:30" ht="15" customHeight="1" x14ac:dyDescent="0.25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 s="9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  <c r="N806">
        <f>IF(tblSalaries[[#This Row],[Years of Experience]]="","",IF(tblSalaries[[#This Row],[Years of Experience]]&lt;=2,1,""))</f>
        <v>1</v>
      </c>
      <c r="O806" t="str">
        <f>IF(tblSalaries[[#This Row],[Years of Experience]]="","",IF(AND(tblSalaries[[#This Row],[Years of Experience]]&gt;2,tblSalaries[[#This Row],[Years of Experience]]&lt;=5),1,""))</f>
        <v/>
      </c>
      <c r="P806" t="str">
        <f>IF(tblSalaries[[#This Row],[Years of Experience]]="","",IF(AND(tblSalaries[[#This Row],[Years of Experience]]&gt;5,tblSalaries[[#This Row],[Years of Experience]]&lt;=10),1,""))</f>
        <v/>
      </c>
      <c r="Q806" t="str">
        <f>IF(tblSalaries[[#This Row],[Years of Experience]]="","",IF(AND(tblSalaries[[#This Row],[Years of Experience]]&gt;10,tblSalaries[[#This Row],[Years of Experience]]&lt;=15),1,""))</f>
        <v/>
      </c>
      <c r="R806" t="str">
        <f>IF(tblSalaries[[#This Row],[Years of Experience]]="","",IF(AND(tblSalaries[[#This Row],[Years of Experience]]&gt;16,tblSalaries[[#This Row],[Years of Experience]]&lt;=20),1,""))</f>
        <v/>
      </c>
      <c r="S806" t="str">
        <f>IF(tblSalaries[[#This Row],[Years of Experience]]="","",IF(tblSalaries[[#This Row],[Years of Experience]]&gt;20,1,""))</f>
        <v/>
      </c>
      <c r="T8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06" s="13" t="str">
        <f>IF(tblSalaries[[#This Row],[Job Type]]=tblSalaries[[#Headers],[Accountant]],tblSalaries[[#This Row],[Salary in USD]],"")</f>
        <v/>
      </c>
      <c r="V806" s="13" t="str">
        <f>IF(tblSalaries[[#This Row],[Job Type]]=tblSalaries[[#Headers],[Analyst]],tblSalaries[[#This Row],[Salary in USD]],"")</f>
        <v/>
      </c>
      <c r="W806" s="13" t="str">
        <f>IF(tblSalaries[[#This Row],[Job Type]]=tblSalaries[[#Headers],[Consultant]],tblSalaries[[#This Row],[Salary in USD]],"")</f>
        <v/>
      </c>
      <c r="X806" s="13" t="str">
        <f>IF(tblSalaries[[#This Row],[Job Type]]=tblSalaries[[#Headers],[Controller]],tblSalaries[[#This Row],[Salary in USD]],"")</f>
        <v/>
      </c>
      <c r="Y806" s="13" t="str">
        <f>IF(tblSalaries[[#This Row],[Job Type]]=tblSalaries[[#Headers],[CXO or Top Mgmt.]],tblSalaries[[#This Row],[clean Salary (in local currency)]],"")</f>
        <v/>
      </c>
      <c r="Z806" s="13" t="str">
        <f>IF(tblSalaries[[#This Row],[Job Type]]=tblSalaries[[#Headers],[Engineer]],tblSalaries[[#This Row],[Salary in USD]],"")</f>
        <v/>
      </c>
      <c r="AA806" s="13">
        <f>IF(tblSalaries[[#This Row],[Job Type]]=tblSalaries[[#Headers],[Manager]],tblSalaries[[#This Row],[Salary in USD]],"")</f>
        <v>9188.8850107203652</v>
      </c>
      <c r="AB806" s="13" t="str">
        <f>IF(tblSalaries[[#This Row],[Job Type]]=tblSalaries[[#Headers],[Misc.]],tblSalaries[[#This Row],[Salary in USD]],"")</f>
        <v/>
      </c>
      <c r="AC806" s="13" t="str">
        <f>IF(tblSalaries[[#This Row],[Job Type]]=tblSalaries[[#Headers],[Reporting]],tblSalaries[[#This Row],[Salary in USD]],"")</f>
        <v/>
      </c>
      <c r="AD806" s="13" t="str">
        <f>IF(tblSalaries[[#This Row],[Job Type]]=tblSalaries[[#Headers],[Specialist]],tblSalaries[[#This Row],[Salary in USD]],"")</f>
        <v/>
      </c>
    </row>
    <row r="807" spans="2:30" ht="15" customHeight="1" x14ac:dyDescent="0.25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 s="9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  <c r="N807" t="str">
        <f>IF(tblSalaries[[#This Row],[Years of Experience]]="","",IF(tblSalaries[[#This Row],[Years of Experience]]&lt;=2,1,""))</f>
        <v/>
      </c>
      <c r="O807">
        <f>IF(tblSalaries[[#This Row],[Years of Experience]]="","",IF(AND(tblSalaries[[#This Row],[Years of Experience]]&gt;2,tblSalaries[[#This Row],[Years of Experience]]&lt;=5),1,""))</f>
        <v>1</v>
      </c>
      <c r="P807" t="str">
        <f>IF(tblSalaries[[#This Row],[Years of Experience]]="","",IF(AND(tblSalaries[[#This Row],[Years of Experience]]&gt;5,tblSalaries[[#This Row],[Years of Experience]]&lt;=10),1,""))</f>
        <v/>
      </c>
      <c r="Q807" t="str">
        <f>IF(tblSalaries[[#This Row],[Years of Experience]]="","",IF(AND(tblSalaries[[#This Row],[Years of Experience]]&gt;10,tblSalaries[[#This Row],[Years of Experience]]&lt;=15),1,""))</f>
        <v/>
      </c>
      <c r="R807" t="str">
        <f>IF(tblSalaries[[#This Row],[Years of Experience]]="","",IF(AND(tblSalaries[[#This Row],[Years of Experience]]&gt;16,tblSalaries[[#This Row],[Years of Experience]]&lt;=20),1,""))</f>
        <v/>
      </c>
      <c r="S807" t="str">
        <f>IF(tblSalaries[[#This Row],[Years of Experience]]="","",IF(tblSalaries[[#This Row],[Years of Experience]]&gt;20,1,""))</f>
        <v/>
      </c>
      <c r="T8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07" s="13" t="str">
        <f>IF(tblSalaries[[#This Row],[Job Type]]=tblSalaries[[#Headers],[Accountant]],tblSalaries[[#This Row],[Salary in USD]],"")</f>
        <v/>
      </c>
      <c r="V807" s="13" t="str">
        <f>IF(tblSalaries[[#This Row],[Job Type]]=tblSalaries[[#Headers],[Analyst]],tblSalaries[[#This Row],[Salary in USD]],"")</f>
        <v/>
      </c>
      <c r="W807" s="13" t="str">
        <f>IF(tblSalaries[[#This Row],[Job Type]]=tblSalaries[[#Headers],[Consultant]],tblSalaries[[#This Row],[Salary in USD]],"")</f>
        <v/>
      </c>
      <c r="X807" s="13" t="str">
        <f>IF(tblSalaries[[#This Row],[Job Type]]=tblSalaries[[#Headers],[Controller]],tblSalaries[[#This Row],[Salary in USD]],"")</f>
        <v/>
      </c>
      <c r="Y807" s="13" t="str">
        <f>IF(tblSalaries[[#This Row],[Job Type]]=tblSalaries[[#Headers],[CXO or Top Mgmt.]],tblSalaries[[#This Row],[clean Salary (in local currency)]],"")</f>
        <v/>
      </c>
      <c r="Z807" s="13" t="str">
        <f>IF(tblSalaries[[#This Row],[Job Type]]=tblSalaries[[#Headers],[Engineer]],tblSalaries[[#This Row],[Salary in USD]],"")</f>
        <v/>
      </c>
      <c r="AA807" s="13">
        <f>IF(tblSalaries[[#This Row],[Job Type]]=tblSalaries[[#Headers],[Manager]],tblSalaries[[#This Row],[Salary in USD]],"")</f>
        <v>8975.1900104710548</v>
      </c>
      <c r="AB807" s="13" t="str">
        <f>IF(tblSalaries[[#This Row],[Job Type]]=tblSalaries[[#Headers],[Misc.]],tblSalaries[[#This Row],[Salary in USD]],"")</f>
        <v/>
      </c>
      <c r="AC807" s="13" t="str">
        <f>IF(tblSalaries[[#This Row],[Job Type]]=tblSalaries[[#Headers],[Reporting]],tblSalaries[[#This Row],[Salary in USD]],"")</f>
        <v/>
      </c>
      <c r="AD807" s="13" t="str">
        <f>IF(tblSalaries[[#This Row],[Job Type]]=tblSalaries[[#Headers],[Specialist]],tblSalaries[[#This Row],[Salary in USD]],"")</f>
        <v/>
      </c>
    </row>
    <row r="808" spans="2:30" ht="15" customHeight="1" x14ac:dyDescent="0.25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 s="9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  <c r="N808">
        <f>IF(tblSalaries[[#This Row],[Years of Experience]]="","",IF(tblSalaries[[#This Row],[Years of Experience]]&lt;=2,1,""))</f>
        <v>1</v>
      </c>
      <c r="O808" t="str">
        <f>IF(tblSalaries[[#This Row],[Years of Experience]]="","",IF(AND(tblSalaries[[#This Row],[Years of Experience]]&gt;2,tblSalaries[[#This Row],[Years of Experience]]&lt;=5),1,""))</f>
        <v/>
      </c>
      <c r="P808" t="str">
        <f>IF(tblSalaries[[#This Row],[Years of Experience]]="","",IF(AND(tblSalaries[[#This Row],[Years of Experience]]&gt;5,tblSalaries[[#This Row],[Years of Experience]]&lt;=10),1,""))</f>
        <v/>
      </c>
      <c r="Q808" t="str">
        <f>IF(tblSalaries[[#This Row],[Years of Experience]]="","",IF(AND(tblSalaries[[#This Row],[Years of Experience]]&gt;10,tblSalaries[[#This Row],[Years of Experience]]&lt;=15),1,""))</f>
        <v/>
      </c>
      <c r="R808" t="str">
        <f>IF(tblSalaries[[#This Row],[Years of Experience]]="","",IF(AND(tblSalaries[[#This Row],[Years of Experience]]&gt;16,tblSalaries[[#This Row],[Years of Experience]]&lt;=20),1,""))</f>
        <v/>
      </c>
      <c r="S808" t="str">
        <f>IF(tblSalaries[[#This Row],[Years of Experience]]="","",IF(tblSalaries[[#This Row],[Years of Experience]]&gt;20,1,""))</f>
        <v/>
      </c>
      <c r="T8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08" s="13" t="str">
        <f>IF(tblSalaries[[#This Row],[Job Type]]=tblSalaries[[#Headers],[Accountant]],tblSalaries[[#This Row],[Salary in USD]],"")</f>
        <v/>
      </c>
      <c r="V808" s="13">
        <f>IF(tblSalaries[[#This Row],[Job Type]]=tblSalaries[[#Headers],[Analyst]],tblSalaries[[#This Row],[Salary in USD]],"")</f>
        <v>2564.3400029917298</v>
      </c>
      <c r="W808" s="13" t="str">
        <f>IF(tblSalaries[[#This Row],[Job Type]]=tblSalaries[[#Headers],[Consultant]],tblSalaries[[#This Row],[Salary in USD]],"")</f>
        <v/>
      </c>
      <c r="X808" s="13" t="str">
        <f>IF(tblSalaries[[#This Row],[Job Type]]=tblSalaries[[#Headers],[Controller]],tblSalaries[[#This Row],[Salary in USD]],"")</f>
        <v/>
      </c>
      <c r="Y808" s="13" t="str">
        <f>IF(tblSalaries[[#This Row],[Job Type]]=tblSalaries[[#Headers],[CXO or Top Mgmt.]],tblSalaries[[#This Row],[clean Salary (in local currency)]],"")</f>
        <v/>
      </c>
      <c r="Z808" s="13" t="str">
        <f>IF(tblSalaries[[#This Row],[Job Type]]=tblSalaries[[#Headers],[Engineer]],tblSalaries[[#This Row],[Salary in USD]],"")</f>
        <v/>
      </c>
      <c r="AA808" s="13" t="str">
        <f>IF(tblSalaries[[#This Row],[Job Type]]=tblSalaries[[#Headers],[Manager]],tblSalaries[[#This Row],[Salary in USD]],"")</f>
        <v/>
      </c>
      <c r="AB808" s="13" t="str">
        <f>IF(tblSalaries[[#This Row],[Job Type]]=tblSalaries[[#Headers],[Misc.]],tblSalaries[[#This Row],[Salary in USD]],"")</f>
        <v/>
      </c>
      <c r="AC808" s="13" t="str">
        <f>IF(tblSalaries[[#This Row],[Job Type]]=tblSalaries[[#Headers],[Reporting]],tblSalaries[[#This Row],[Salary in USD]],"")</f>
        <v/>
      </c>
      <c r="AD808" s="13" t="str">
        <f>IF(tblSalaries[[#This Row],[Job Type]]=tblSalaries[[#Headers],[Specialist]],tblSalaries[[#This Row],[Salary in USD]],"")</f>
        <v/>
      </c>
    </row>
    <row r="809" spans="2:30" ht="15" customHeight="1" x14ac:dyDescent="0.25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 s="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  <c r="N809" t="str">
        <f>IF(tblSalaries[[#This Row],[Years of Experience]]="","",IF(tblSalaries[[#This Row],[Years of Experience]]&lt;=2,1,""))</f>
        <v/>
      </c>
      <c r="O809" t="str">
        <f>IF(tblSalaries[[#This Row],[Years of Experience]]="","",IF(AND(tblSalaries[[#This Row],[Years of Experience]]&gt;2,tblSalaries[[#This Row],[Years of Experience]]&lt;=5),1,""))</f>
        <v/>
      </c>
      <c r="P809" t="str">
        <f>IF(tblSalaries[[#This Row],[Years of Experience]]="","",IF(AND(tblSalaries[[#This Row],[Years of Experience]]&gt;5,tblSalaries[[#This Row],[Years of Experience]]&lt;=10),1,""))</f>
        <v/>
      </c>
      <c r="Q809">
        <f>IF(tblSalaries[[#This Row],[Years of Experience]]="","",IF(AND(tblSalaries[[#This Row],[Years of Experience]]&gt;10,tblSalaries[[#This Row],[Years of Experience]]&lt;=15),1,""))</f>
        <v>1</v>
      </c>
      <c r="R809" t="str">
        <f>IF(tblSalaries[[#This Row],[Years of Experience]]="","",IF(AND(tblSalaries[[#This Row],[Years of Experience]]&gt;16,tblSalaries[[#This Row],[Years of Experience]]&lt;=20),1,""))</f>
        <v/>
      </c>
      <c r="S809" t="str">
        <f>IF(tblSalaries[[#This Row],[Years of Experience]]="","",IF(tblSalaries[[#This Row],[Years of Experience]]&gt;20,1,""))</f>
        <v/>
      </c>
      <c r="T8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09" s="13" t="str">
        <f>IF(tblSalaries[[#This Row],[Job Type]]=tblSalaries[[#Headers],[Accountant]],tblSalaries[[#This Row],[Salary in USD]],"")</f>
        <v/>
      </c>
      <c r="V809" s="13" t="str">
        <f>IF(tblSalaries[[#This Row],[Job Type]]=tblSalaries[[#Headers],[Analyst]],tblSalaries[[#This Row],[Salary in USD]],"")</f>
        <v/>
      </c>
      <c r="W809" s="13" t="str">
        <f>IF(tblSalaries[[#This Row],[Job Type]]=tblSalaries[[#Headers],[Consultant]],tblSalaries[[#This Row],[Salary in USD]],"")</f>
        <v/>
      </c>
      <c r="X809" s="13">
        <f>IF(tblSalaries[[#This Row],[Job Type]]=tblSalaries[[#Headers],[Controller]],tblSalaries[[#This Row],[Salary in USD]],"")</f>
        <v>86689.804963700633</v>
      </c>
      <c r="Y809" s="13" t="str">
        <f>IF(tblSalaries[[#This Row],[Job Type]]=tblSalaries[[#Headers],[CXO or Top Mgmt.]],tblSalaries[[#This Row],[clean Salary (in local currency)]],"")</f>
        <v/>
      </c>
      <c r="Z809" s="13" t="str">
        <f>IF(tblSalaries[[#This Row],[Job Type]]=tblSalaries[[#Headers],[Engineer]],tblSalaries[[#This Row],[Salary in USD]],"")</f>
        <v/>
      </c>
      <c r="AA809" s="13" t="str">
        <f>IF(tblSalaries[[#This Row],[Job Type]]=tblSalaries[[#Headers],[Manager]],tblSalaries[[#This Row],[Salary in USD]],"")</f>
        <v/>
      </c>
      <c r="AB809" s="13" t="str">
        <f>IF(tblSalaries[[#This Row],[Job Type]]=tblSalaries[[#Headers],[Misc.]],tblSalaries[[#This Row],[Salary in USD]],"")</f>
        <v/>
      </c>
      <c r="AC809" s="13" t="str">
        <f>IF(tblSalaries[[#This Row],[Job Type]]=tblSalaries[[#Headers],[Reporting]],tblSalaries[[#This Row],[Salary in USD]],"")</f>
        <v/>
      </c>
      <c r="AD809" s="13" t="str">
        <f>IF(tblSalaries[[#This Row],[Job Type]]=tblSalaries[[#Headers],[Specialist]],tblSalaries[[#This Row],[Salary in USD]],"")</f>
        <v/>
      </c>
    </row>
    <row r="810" spans="2:30" ht="15" customHeight="1" x14ac:dyDescent="0.25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 s="9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  <c r="N810" t="str">
        <f>IF(tblSalaries[[#This Row],[Years of Experience]]="","",IF(tblSalaries[[#This Row],[Years of Experience]]&lt;=2,1,""))</f>
        <v/>
      </c>
      <c r="O810">
        <f>IF(tblSalaries[[#This Row],[Years of Experience]]="","",IF(AND(tblSalaries[[#This Row],[Years of Experience]]&gt;2,tblSalaries[[#This Row],[Years of Experience]]&lt;=5),1,""))</f>
        <v>1</v>
      </c>
      <c r="P810" t="str">
        <f>IF(tblSalaries[[#This Row],[Years of Experience]]="","",IF(AND(tblSalaries[[#This Row],[Years of Experience]]&gt;5,tblSalaries[[#This Row],[Years of Experience]]&lt;=10),1,""))</f>
        <v/>
      </c>
      <c r="Q810" t="str">
        <f>IF(tblSalaries[[#This Row],[Years of Experience]]="","",IF(AND(tblSalaries[[#This Row],[Years of Experience]]&gt;10,tblSalaries[[#This Row],[Years of Experience]]&lt;=15),1,""))</f>
        <v/>
      </c>
      <c r="R810" t="str">
        <f>IF(tblSalaries[[#This Row],[Years of Experience]]="","",IF(AND(tblSalaries[[#This Row],[Years of Experience]]&gt;16,tblSalaries[[#This Row],[Years of Experience]]&lt;=20),1,""))</f>
        <v/>
      </c>
      <c r="S810" t="str">
        <f>IF(tblSalaries[[#This Row],[Years of Experience]]="","",IF(tblSalaries[[#This Row],[Years of Experience]]&gt;20,1,""))</f>
        <v/>
      </c>
      <c r="T8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10" s="13" t="str">
        <f>IF(tblSalaries[[#This Row],[Job Type]]=tblSalaries[[#Headers],[Accountant]],tblSalaries[[#This Row],[Salary in USD]],"")</f>
        <v/>
      </c>
      <c r="V810" s="13" t="str">
        <f>IF(tblSalaries[[#This Row],[Job Type]]=tblSalaries[[#Headers],[Analyst]],tblSalaries[[#This Row],[Salary in USD]],"")</f>
        <v/>
      </c>
      <c r="W810" s="13" t="str">
        <f>IF(tblSalaries[[#This Row],[Job Type]]=tblSalaries[[#Headers],[Consultant]],tblSalaries[[#This Row],[Salary in USD]],"")</f>
        <v/>
      </c>
      <c r="X810" s="13" t="str">
        <f>IF(tblSalaries[[#This Row],[Job Type]]=tblSalaries[[#Headers],[Controller]],tblSalaries[[#This Row],[Salary in USD]],"")</f>
        <v/>
      </c>
      <c r="Y810" s="13" t="str">
        <f>IF(tblSalaries[[#This Row],[Job Type]]=tblSalaries[[#Headers],[CXO or Top Mgmt.]],tblSalaries[[#This Row],[clean Salary (in local currency)]],"")</f>
        <v/>
      </c>
      <c r="Z810" s="13">
        <f>IF(tblSalaries[[#This Row],[Job Type]]=tblSalaries[[#Headers],[Engineer]],tblSalaries[[#This Row],[Salary in USD]],"")</f>
        <v>15500</v>
      </c>
      <c r="AA810" s="13" t="str">
        <f>IF(tblSalaries[[#This Row],[Job Type]]=tblSalaries[[#Headers],[Manager]],tblSalaries[[#This Row],[Salary in USD]],"")</f>
        <v/>
      </c>
      <c r="AB810" s="13" t="str">
        <f>IF(tblSalaries[[#This Row],[Job Type]]=tblSalaries[[#Headers],[Misc.]],tblSalaries[[#This Row],[Salary in USD]],"")</f>
        <v/>
      </c>
      <c r="AC810" s="13" t="str">
        <f>IF(tblSalaries[[#This Row],[Job Type]]=tblSalaries[[#Headers],[Reporting]],tblSalaries[[#This Row],[Salary in USD]],"")</f>
        <v/>
      </c>
      <c r="AD810" s="13" t="str">
        <f>IF(tblSalaries[[#This Row],[Job Type]]=tblSalaries[[#Headers],[Specialist]],tblSalaries[[#This Row],[Salary in USD]],"")</f>
        <v/>
      </c>
    </row>
    <row r="811" spans="2:30" ht="15" customHeight="1" x14ac:dyDescent="0.25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 s="9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  <c r="N811" t="str">
        <f>IF(tblSalaries[[#This Row],[Years of Experience]]="","",IF(tblSalaries[[#This Row],[Years of Experience]]&lt;=2,1,""))</f>
        <v/>
      </c>
      <c r="O811">
        <f>IF(tblSalaries[[#This Row],[Years of Experience]]="","",IF(AND(tblSalaries[[#This Row],[Years of Experience]]&gt;2,tblSalaries[[#This Row],[Years of Experience]]&lt;=5),1,""))</f>
        <v>1</v>
      </c>
      <c r="P811" t="str">
        <f>IF(tblSalaries[[#This Row],[Years of Experience]]="","",IF(AND(tblSalaries[[#This Row],[Years of Experience]]&gt;5,tblSalaries[[#This Row],[Years of Experience]]&lt;=10),1,""))</f>
        <v/>
      </c>
      <c r="Q811" t="str">
        <f>IF(tblSalaries[[#This Row],[Years of Experience]]="","",IF(AND(tblSalaries[[#This Row],[Years of Experience]]&gt;10,tblSalaries[[#This Row],[Years of Experience]]&lt;=15),1,""))</f>
        <v/>
      </c>
      <c r="R811" t="str">
        <f>IF(tblSalaries[[#This Row],[Years of Experience]]="","",IF(AND(tblSalaries[[#This Row],[Years of Experience]]&gt;16,tblSalaries[[#This Row],[Years of Experience]]&lt;=20),1,""))</f>
        <v/>
      </c>
      <c r="S811" t="str">
        <f>IF(tblSalaries[[#This Row],[Years of Experience]]="","",IF(tblSalaries[[#This Row],[Years of Experience]]&gt;20,1,""))</f>
        <v/>
      </c>
      <c r="T8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11" s="13" t="str">
        <f>IF(tblSalaries[[#This Row],[Job Type]]=tblSalaries[[#Headers],[Accountant]],tblSalaries[[#This Row],[Salary in USD]],"")</f>
        <v/>
      </c>
      <c r="V811" s="13">
        <f>IF(tblSalaries[[#This Row],[Job Type]]=tblSalaries[[#Headers],[Analyst]],tblSalaries[[#This Row],[Salary in USD]],"")</f>
        <v>148284.35006969364</v>
      </c>
      <c r="W811" s="13" t="str">
        <f>IF(tblSalaries[[#This Row],[Job Type]]=tblSalaries[[#Headers],[Consultant]],tblSalaries[[#This Row],[Salary in USD]],"")</f>
        <v/>
      </c>
      <c r="X811" s="13" t="str">
        <f>IF(tblSalaries[[#This Row],[Job Type]]=tblSalaries[[#Headers],[Controller]],tblSalaries[[#This Row],[Salary in USD]],"")</f>
        <v/>
      </c>
      <c r="Y811" s="13" t="str">
        <f>IF(tblSalaries[[#This Row],[Job Type]]=tblSalaries[[#Headers],[CXO or Top Mgmt.]],tblSalaries[[#This Row],[clean Salary (in local currency)]],"")</f>
        <v/>
      </c>
      <c r="Z811" s="13" t="str">
        <f>IF(tblSalaries[[#This Row],[Job Type]]=tblSalaries[[#Headers],[Engineer]],tblSalaries[[#This Row],[Salary in USD]],"")</f>
        <v/>
      </c>
      <c r="AA811" s="13" t="str">
        <f>IF(tblSalaries[[#This Row],[Job Type]]=tblSalaries[[#Headers],[Manager]],tblSalaries[[#This Row],[Salary in USD]],"")</f>
        <v/>
      </c>
      <c r="AB811" s="13" t="str">
        <f>IF(tblSalaries[[#This Row],[Job Type]]=tblSalaries[[#Headers],[Misc.]],tblSalaries[[#This Row],[Salary in USD]],"")</f>
        <v/>
      </c>
      <c r="AC811" s="13" t="str">
        <f>IF(tblSalaries[[#This Row],[Job Type]]=tblSalaries[[#Headers],[Reporting]],tblSalaries[[#This Row],[Salary in USD]],"")</f>
        <v/>
      </c>
      <c r="AD811" s="13" t="str">
        <f>IF(tblSalaries[[#This Row],[Job Type]]=tblSalaries[[#Headers],[Specialist]],tblSalaries[[#This Row],[Salary in USD]],"")</f>
        <v/>
      </c>
    </row>
    <row r="812" spans="2:30" ht="15" customHeight="1" x14ac:dyDescent="0.25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 s="9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  <c r="N812" t="str">
        <f>IF(tblSalaries[[#This Row],[Years of Experience]]="","",IF(tblSalaries[[#This Row],[Years of Experience]]&lt;=2,1,""))</f>
        <v/>
      </c>
      <c r="O812">
        <f>IF(tblSalaries[[#This Row],[Years of Experience]]="","",IF(AND(tblSalaries[[#This Row],[Years of Experience]]&gt;2,tblSalaries[[#This Row],[Years of Experience]]&lt;=5),1,""))</f>
        <v>1</v>
      </c>
      <c r="P812" t="str">
        <f>IF(tblSalaries[[#This Row],[Years of Experience]]="","",IF(AND(tblSalaries[[#This Row],[Years of Experience]]&gt;5,tblSalaries[[#This Row],[Years of Experience]]&lt;=10),1,""))</f>
        <v/>
      </c>
      <c r="Q812" t="str">
        <f>IF(tblSalaries[[#This Row],[Years of Experience]]="","",IF(AND(tblSalaries[[#This Row],[Years of Experience]]&gt;10,tblSalaries[[#This Row],[Years of Experience]]&lt;=15),1,""))</f>
        <v/>
      </c>
      <c r="R812" t="str">
        <f>IF(tblSalaries[[#This Row],[Years of Experience]]="","",IF(AND(tblSalaries[[#This Row],[Years of Experience]]&gt;16,tblSalaries[[#This Row],[Years of Experience]]&lt;=20),1,""))</f>
        <v/>
      </c>
      <c r="S812" t="str">
        <f>IF(tblSalaries[[#This Row],[Years of Experience]]="","",IF(tblSalaries[[#This Row],[Years of Experience]]&gt;20,1,""))</f>
        <v/>
      </c>
      <c r="T8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12" s="13" t="str">
        <f>IF(tblSalaries[[#This Row],[Job Type]]=tblSalaries[[#Headers],[Accountant]],tblSalaries[[#This Row],[Salary in USD]],"")</f>
        <v/>
      </c>
      <c r="V812" s="13">
        <f>IF(tblSalaries[[#This Row],[Job Type]]=tblSalaries[[#Headers],[Analyst]],tblSalaries[[#This Row],[Salary in USD]],"")</f>
        <v>10684.750012465542</v>
      </c>
      <c r="W812" s="13" t="str">
        <f>IF(tblSalaries[[#This Row],[Job Type]]=tblSalaries[[#Headers],[Consultant]],tblSalaries[[#This Row],[Salary in USD]],"")</f>
        <v/>
      </c>
      <c r="X812" s="13" t="str">
        <f>IF(tblSalaries[[#This Row],[Job Type]]=tblSalaries[[#Headers],[Controller]],tblSalaries[[#This Row],[Salary in USD]],"")</f>
        <v/>
      </c>
      <c r="Y812" s="13" t="str">
        <f>IF(tblSalaries[[#This Row],[Job Type]]=tblSalaries[[#Headers],[CXO or Top Mgmt.]],tblSalaries[[#This Row],[clean Salary (in local currency)]],"")</f>
        <v/>
      </c>
      <c r="Z812" s="13" t="str">
        <f>IF(tblSalaries[[#This Row],[Job Type]]=tblSalaries[[#Headers],[Engineer]],tblSalaries[[#This Row],[Salary in USD]],"")</f>
        <v/>
      </c>
      <c r="AA812" s="13" t="str">
        <f>IF(tblSalaries[[#This Row],[Job Type]]=tblSalaries[[#Headers],[Manager]],tblSalaries[[#This Row],[Salary in USD]],"")</f>
        <v/>
      </c>
      <c r="AB812" s="13" t="str">
        <f>IF(tblSalaries[[#This Row],[Job Type]]=tblSalaries[[#Headers],[Misc.]],tblSalaries[[#This Row],[Salary in USD]],"")</f>
        <v/>
      </c>
      <c r="AC812" s="13" t="str">
        <f>IF(tblSalaries[[#This Row],[Job Type]]=tblSalaries[[#Headers],[Reporting]],tblSalaries[[#This Row],[Salary in USD]],"")</f>
        <v/>
      </c>
      <c r="AD812" s="13" t="str">
        <f>IF(tblSalaries[[#This Row],[Job Type]]=tblSalaries[[#Headers],[Specialist]],tblSalaries[[#This Row],[Salary in USD]],"")</f>
        <v/>
      </c>
    </row>
    <row r="813" spans="2:30" ht="15" customHeight="1" x14ac:dyDescent="0.25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 s="9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  <c r="N813" t="str">
        <f>IF(tblSalaries[[#This Row],[Years of Experience]]="","",IF(tblSalaries[[#This Row],[Years of Experience]]&lt;=2,1,""))</f>
        <v/>
      </c>
      <c r="O813" t="str">
        <f>IF(tblSalaries[[#This Row],[Years of Experience]]="","",IF(AND(tblSalaries[[#This Row],[Years of Experience]]&gt;2,tblSalaries[[#This Row],[Years of Experience]]&lt;=5),1,""))</f>
        <v/>
      </c>
      <c r="P813" t="str">
        <f>IF(tblSalaries[[#This Row],[Years of Experience]]="","",IF(AND(tblSalaries[[#This Row],[Years of Experience]]&gt;5,tblSalaries[[#This Row],[Years of Experience]]&lt;=10),1,""))</f>
        <v/>
      </c>
      <c r="Q813" t="str">
        <f>IF(tblSalaries[[#This Row],[Years of Experience]]="","",IF(AND(tblSalaries[[#This Row],[Years of Experience]]&gt;10,tblSalaries[[#This Row],[Years of Experience]]&lt;=15),1,""))</f>
        <v/>
      </c>
      <c r="R813" t="str">
        <f>IF(tblSalaries[[#This Row],[Years of Experience]]="","",IF(AND(tblSalaries[[#This Row],[Years of Experience]]&gt;16,tblSalaries[[#This Row],[Years of Experience]]&lt;=20),1,""))</f>
        <v/>
      </c>
      <c r="S813">
        <f>IF(tblSalaries[[#This Row],[Years of Experience]]="","",IF(tblSalaries[[#This Row],[Years of Experience]]&gt;20,1,""))</f>
        <v>1</v>
      </c>
      <c r="T8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813" s="13" t="str">
        <f>IF(tblSalaries[[#This Row],[Job Type]]=tblSalaries[[#Headers],[Accountant]],tblSalaries[[#This Row],[Salary in USD]],"")</f>
        <v/>
      </c>
      <c r="V813" s="13">
        <f>IF(tblSalaries[[#This Row],[Job Type]]=tblSalaries[[#Headers],[Analyst]],tblSalaries[[#This Row],[Salary in USD]],"")</f>
        <v>75000</v>
      </c>
      <c r="W813" s="13" t="str">
        <f>IF(tblSalaries[[#This Row],[Job Type]]=tblSalaries[[#Headers],[Consultant]],tblSalaries[[#This Row],[Salary in USD]],"")</f>
        <v/>
      </c>
      <c r="X813" s="13" t="str">
        <f>IF(tblSalaries[[#This Row],[Job Type]]=tblSalaries[[#Headers],[Controller]],tblSalaries[[#This Row],[Salary in USD]],"")</f>
        <v/>
      </c>
      <c r="Y813" s="13" t="str">
        <f>IF(tblSalaries[[#This Row],[Job Type]]=tblSalaries[[#Headers],[CXO or Top Mgmt.]],tblSalaries[[#This Row],[clean Salary (in local currency)]],"")</f>
        <v/>
      </c>
      <c r="Z813" s="13" t="str">
        <f>IF(tblSalaries[[#This Row],[Job Type]]=tblSalaries[[#Headers],[Engineer]],tblSalaries[[#This Row],[Salary in USD]],"")</f>
        <v/>
      </c>
      <c r="AA813" s="13" t="str">
        <f>IF(tblSalaries[[#This Row],[Job Type]]=tblSalaries[[#Headers],[Manager]],tblSalaries[[#This Row],[Salary in USD]],"")</f>
        <v/>
      </c>
      <c r="AB813" s="13" t="str">
        <f>IF(tblSalaries[[#This Row],[Job Type]]=tblSalaries[[#Headers],[Misc.]],tblSalaries[[#This Row],[Salary in USD]],"")</f>
        <v/>
      </c>
      <c r="AC813" s="13" t="str">
        <f>IF(tblSalaries[[#This Row],[Job Type]]=tblSalaries[[#Headers],[Reporting]],tblSalaries[[#This Row],[Salary in USD]],"")</f>
        <v/>
      </c>
      <c r="AD813" s="13" t="str">
        <f>IF(tblSalaries[[#This Row],[Job Type]]=tblSalaries[[#Headers],[Specialist]],tblSalaries[[#This Row],[Salary in USD]],"")</f>
        <v/>
      </c>
    </row>
    <row r="814" spans="2:30" ht="15" customHeight="1" x14ac:dyDescent="0.25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 s="9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  <c r="N814" t="str">
        <f>IF(tblSalaries[[#This Row],[Years of Experience]]="","",IF(tblSalaries[[#This Row],[Years of Experience]]&lt;=2,1,""))</f>
        <v/>
      </c>
      <c r="O814">
        <f>IF(tblSalaries[[#This Row],[Years of Experience]]="","",IF(AND(tblSalaries[[#This Row],[Years of Experience]]&gt;2,tblSalaries[[#This Row],[Years of Experience]]&lt;=5),1,""))</f>
        <v>1</v>
      </c>
      <c r="P814" t="str">
        <f>IF(tblSalaries[[#This Row],[Years of Experience]]="","",IF(AND(tblSalaries[[#This Row],[Years of Experience]]&gt;5,tblSalaries[[#This Row],[Years of Experience]]&lt;=10),1,""))</f>
        <v/>
      </c>
      <c r="Q814" t="str">
        <f>IF(tblSalaries[[#This Row],[Years of Experience]]="","",IF(AND(tblSalaries[[#This Row],[Years of Experience]]&gt;10,tblSalaries[[#This Row],[Years of Experience]]&lt;=15),1,""))</f>
        <v/>
      </c>
      <c r="R814" t="str">
        <f>IF(tblSalaries[[#This Row],[Years of Experience]]="","",IF(AND(tblSalaries[[#This Row],[Years of Experience]]&gt;16,tblSalaries[[#This Row],[Years of Experience]]&lt;=20),1,""))</f>
        <v/>
      </c>
      <c r="S814" t="str">
        <f>IF(tblSalaries[[#This Row],[Years of Experience]]="","",IF(tblSalaries[[#This Row],[Years of Experience]]&gt;20,1,""))</f>
        <v/>
      </c>
      <c r="T8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14" s="13" t="str">
        <f>IF(tblSalaries[[#This Row],[Job Type]]=tblSalaries[[#Headers],[Accountant]],tblSalaries[[#This Row],[Salary in USD]],"")</f>
        <v/>
      </c>
      <c r="V814" s="13" t="str">
        <f>IF(tblSalaries[[#This Row],[Job Type]]=tblSalaries[[#Headers],[Analyst]],tblSalaries[[#This Row],[Salary in USD]],"")</f>
        <v/>
      </c>
      <c r="W814" s="13" t="str">
        <f>IF(tblSalaries[[#This Row],[Job Type]]=tblSalaries[[#Headers],[Consultant]],tblSalaries[[#This Row],[Salary in USD]],"")</f>
        <v/>
      </c>
      <c r="X814" s="13" t="str">
        <f>IF(tblSalaries[[#This Row],[Job Type]]=tblSalaries[[#Headers],[Controller]],tblSalaries[[#This Row],[Salary in USD]],"")</f>
        <v/>
      </c>
      <c r="Y814" s="13" t="str">
        <f>IF(tblSalaries[[#This Row],[Job Type]]=tblSalaries[[#Headers],[CXO or Top Mgmt.]],tblSalaries[[#This Row],[clean Salary (in local currency)]],"")</f>
        <v/>
      </c>
      <c r="Z814" s="13" t="str">
        <f>IF(tblSalaries[[#This Row],[Job Type]]=tblSalaries[[#Headers],[Engineer]],tblSalaries[[#This Row],[Salary in USD]],"")</f>
        <v/>
      </c>
      <c r="AA814" s="13">
        <f>IF(tblSalaries[[#This Row],[Job Type]]=tblSalaries[[#Headers],[Manager]],tblSalaries[[#This Row],[Salary in USD]],"")</f>
        <v>12000</v>
      </c>
      <c r="AB814" s="13" t="str">
        <f>IF(tblSalaries[[#This Row],[Job Type]]=tblSalaries[[#Headers],[Misc.]],tblSalaries[[#This Row],[Salary in USD]],"")</f>
        <v/>
      </c>
      <c r="AC814" s="13" t="str">
        <f>IF(tblSalaries[[#This Row],[Job Type]]=tblSalaries[[#Headers],[Reporting]],tblSalaries[[#This Row],[Salary in USD]],"")</f>
        <v/>
      </c>
      <c r="AD814" s="13" t="str">
        <f>IF(tblSalaries[[#This Row],[Job Type]]=tblSalaries[[#Headers],[Specialist]],tblSalaries[[#This Row],[Salary in USD]],"")</f>
        <v/>
      </c>
    </row>
    <row r="815" spans="2:30" ht="15" customHeight="1" x14ac:dyDescent="0.25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 s="9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  <c r="N815">
        <f>IF(tblSalaries[[#This Row],[Years of Experience]]="","",IF(tblSalaries[[#This Row],[Years of Experience]]&lt;=2,1,""))</f>
        <v>1</v>
      </c>
      <c r="O815" t="str">
        <f>IF(tblSalaries[[#This Row],[Years of Experience]]="","",IF(AND(tblSalaries[[#This Row],[Years of Experience]]&gt;2,tblSalaries[[#This Row],[Years of Experience]]&lt;=5),1,""))</f>
        <v/>
      </c>
      <c r="P815" t="str">
        <f>IF(tblSalaries[[#This Row],[Years of Experience]]="","",IF(AND(tblSalaries[[#This Row],[Years of Experience]]&gt;5,tblSalaries[[#This Row],[Years of Experience]]&lt;=10),1,""))</f>
        <v/>
      </c>
      <c r="Q815" t="str">
        <f>IF(tblSalaries[[#This Row],[Years of Experience]]="","",IF(AND(tblSalaries[[#This Row],[Years of Experience]]&gt;10,tblSalaries[[#This Row],[Years of Experience]]&lt;=15),1,""))</f>
        <v/>
      </c>
      <c r="R815" t="str">
        <f>IF(tblSalaries[[#This Row],[Years of Experience]]="","",IF(AND(tblSalaries[[#This Row],[Years of Experience]]&gt;16,tblSalaries[[#This Row],[Years of Experience]]&lt;=20),1,""))</f>
        <v/>
      </c>
      <c r="S815" t="str">
        <f>IF(tblSalaries[[#This Row],[Years of Experience]]="","",IF(tblSalaries[[#This Row],[Years of Experience]]&gt;20,1,""))</f>
        <v/>
      </c>
      <c r="T8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15" s="13" t="str">
        <f>IF(tblSalaries[[#This Row],[Job Type]]=tblSalaries[[#Headers],[Accountant]],tblSalaries[[#This Row],[Salary in USD]],"")</f>
        <v/>
      </c>
      <c r="V815" s="13" t="str">
        <f>IF(tblSalaries[[#This Row],[Job Type]]=tblSalaries[[#Headers],[Analyst]],tblSalaries[[#This Row],[Salary in USD]],"")</f>
        <v/>
      </c>
      <c r="W815" s="13" t="str">
        <f>IF(tblSalaries[[#This Row],[Job Type]]=tblSalaries[[#Headers],[Consultant]],tblSalaries[[#This Row],[Salary in USD]],"")</f>
        <v/>
      </c>
      <c r="X815" s="13" t="str">
        <f>IF(tblSalaries[[#This Row],[Job Type]]=tblSalaries[[#Headers],[Controller]],tblSalaries[[#This Row],[Salary in USD]],"")</f>
        <v/>
      </c>
      <c r="Y815" s="13" t="str">
        <f>IF(tblSalaries[[#This Row],[Job Type]]=tblSalaries[[#Headers],[CXO or Top Mgmt.]],tblSalaries[[#This Row],[clean Salary (in local currency)]],"")</f>
        <v/>
      </c>
      <c r="Z815" s="13" t="str">
        <f>IF(tblSalaries[[#This Row],[Job Type]]=tblSalaries[[#Headers],[Engineer]],tblSalaries[[#This Row],[Salary in USD]],"")</f>
        <v/>
      </c>
      <c r="AA815" s="13">
        <f>IF(tblSalaries[[#This Row],[Job Type]]=tblSalaries[[#Headers],[Manager]],tblSalaries[[#This Row],[Salary in USD]],"")</f>
        <v>30273.458368652366</v>
      </c>
      <c r="AB815" s="13" t="str">
        <f>IF(tblSalaries[[#This Row],[Job Type]]=tblSalaries[[#Headers],[Misc.]],tblSalaries[[#This Row],[Salary in USD]],"")</f>
        <v/>
      </c>
      <c r="AC815" s="13" t="str">
        <f>IF(tblSalaries[[#This Row],[Job Type]]=tblSalaries[[#Headers],[Reporting]],tblSalaries[[#This Row],[Salary in USD]],"")</f>
        <v/>
      </c>
      <c r="AD815" s="13" t="str">
        <f>IF(tblSalaries[[#This Row],[Job Type]]=tblSalaries[[#Headers],[Specialist]],tblSalaries[[#This Row],[Salary in USD]],"")</f>
        <v/>
      </c>
    </row>
    <row r="816" spans="2:30" ht="15" customHeight="1" x14ac:dyDescent="0.25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 s="9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  <c r="N816" t="str">
        <f>IF(tblSalaries[[#This Row],[Years of Experience]]="","",IF(tblSalaries[[#This Row],[Years of Experience]]&lt;=2,1,""))</f>
        <v/>
      </c>
      <c r="O816" t="str">
        <f>IF(tblSalaries[[#This Row],[Years of Experience]]="","",IF(AND(tblSalaries[[#This Row],[Years of Experience]]&gt;2,tblSalaries[[#This Row],[Years of Experience]]&lt;=5),1,""))</f>
        <v/>
      </c>
      <c r="P816">
        <f>IF(tblSalaries[[#This Row],[Years of Experience]]="","",IF(AND(tblSalaries[[#This Row],[Years of Experience]]&gt;5,tblSalaries[[#This Row],[Years of Experience]]&lt;=10),1,""))</f>
        <v>1</v>
      </c>
      <c r="Q816" t="str">
        <f>IF(tblSalaries[[#This Row],[Years of Experience]]="","",IF(AND(tblSalaries[[#This Row],[Years of Experience]]&gt;10,tblSalaries[[#This Row],[Years of Experience]]&lt;=15),1,""))</f>
        <v/>
      </c>
      <c r="R816" t="str">
        <f>IF(tblSalaries[[#This Row],[Years of Experience]]="","",IF(AND(tblSalaries[[#This Row],[Years of Experience]]&gt;16,tblSalaries[[#This Row],[Years of Experience]]&lt;=20),1,""))</f>
        <v/>
      </c>
      <c r="S816" t="str">
        <f>IF(tblSalaries[[#This Row],[Years of Experience]]="","",IF(tblSalaries[[#This Row],[Years of Experience]]&gt;20,1,""))</f>
        <v/>
      </c>
      <c r="T8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16" s="13" t="str">
        <f>IF(tblSalaries[[#This Row],[Job Type]]=tblSalaries[[#Headers],[Accountant]],tblSalaries[[#This Row],[Salary in USD]],"")</f>
        <v/>
      </c>
      <c r="V816" s="13" t="str">
        <f>IF(tblSalaries[[#This Row],[Job Type]]=tblSalaries[[#Headers],[Analyst]],tblSalaries[[#This Row],[Salary in USD]],"")</f>
        <v/>
      </c>
      <c r="W816" s="13" t="str">
        <f>IF(tblSalaries[[#This Row],[Job Type]]=tblSalaries[[#Headers],[Consultant]],tblSalaries[[#This Row],[Salary in USD]],"")</f>
        <v/>
      </c>
      <c r="X816" s="13">
        <f>IF(tblSalaries[[#This Row],[Job Type]]=tblSalaries[[#Headers],[Controller]],tblSalaries[[#This Row],[Salary in USD]],"")</f>
        <v>30000</v>
      </c>
      <c r="Y816" s="13" t="str">
        <f>IF(tblSalaries[[#This Row],[Job Type]]=tblSalaries[[#Headers],[CXO or Top Mgmt.]],tblSalaries[[#This Row],[clean Salary (in local currency)]],"")</f>
        <v/>
      </c>
      <c r="Z816" s="13" t="str">
        <f>IF(tblSalaries[[#This Row],[Job Type]]=tblSalaries[[#Headers],[Engineer]],tblSalaries[[#This Row],[Salary in USD]],"")</f>
        <v/>
      </c>
      <c r="AA816" s="13" t="str">
        <f>IF(tblSalaries[[#This Row],[Job Type]]=tblSalaries[[#Headers],[Manager]],tblSalaries[[#This Row],[Salary in USD]],"")</f>
        <v/>
      </c>
      <c r="AB816" s="13" t="str">
        <f>IF(tblSalaries[[#This Row],[Job Type]]=tblSalaries[[#Headers],[Misc.]],tblSalaries[[#This Row],[Salary in USD]],"")</f>
        <v/>
      </c>
      <c r="AC816" s="13" t="str">
        <f>IF(tblSalaries[[#This Row],[Job Type]]=tblSalaries[[#Headers],[Reporting]],tblSalaries[[#This Row],[Salary in USD]],"")</f>
        <v/>
      </c>
      <c r="AD816" s="13" t="str">
        <f>IF(tblSalaries[[#This Row],[Job Type]]=tblSalaries[[#Headers],[Specialist]],tblSalaries[[#This Row],[Salary in USD]],"")</f>
        <v/>
      </c>
    </row>
    <row r="817" spans="2:30" ht="15" customHeight="1" x14ac:dyDescent="0.25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 s="9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  <c r="N817" t="str">
        <f>IF(tblSalaries[[#This Row],[Years of Experience]]="","",IF(tblSalaries[[#This Row],[Years of Experience]]&lt;=2,1,""))</f>
        <v/>
      </c>
      <c r="O817">
        <f>IF(tblSalaries[[#This Row],[Years of Experience]]="","",IF(AND(tblSalaries[[#This Row],[Years of Experience]]&gt;2,tblSalaries[[#This Row],[Years of Experience]]&lt;=5),1,""))</f>
        <v>1</v>
      </c>
      <c r="P817" t="str">
        <f>IF(tblSalaries[[#This Row],[Years of Experience]]="","",IF(AND(tblSalaries[[#This Row],[Years of Experience]]&gt;5,tblSalaries[[#This Row],[Years of Experience]]&lt;=10),1,""))</f>
        <v/>
      </c>
      <c r="Q817" t="str">
        <f>IF(tblSalaries[[#This Row],[Years of Experience]]="","",IF(AND(tblSalaries[[#This Row],[Years of Experience]]&gt;10,tblSalaries[[#This Row],[Years of Experience]]&lt;=15),1,""))</f>
        <v/>
      </c>
      <c r="R817" t="str">
        <f>IF(tblSalaries[[#This Row],[Years of Experience]]="","",IF(AND(tblSalaries[[#This Row],[Years of Experience]]&gt;16,tblSalaries[[#This Row],[Years of Experience]]&lt;=20),1,""))</f>
        <v/>
      </c>
      <c r="S817" t="str">
        <f>IF(tblSalaries[[#This Row],[Years of Experience]]="","",IF(tblSalaries[[#This Row],[Years of Experience]]&gt;20,1,""))</f>
        <v/>
      </c>
      <c r="T8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17" s="13" t="str">
        <f>IF(tblSalaries[[#This Row],[Job Type]]=tblSalaries[[#Headers],[Accountant]],tblSalaries[[#This Row],[Salary in USD]],"")</f>
        <v/>
      </c>
      <c r="V817" s="13">
        <f>IF(tblSalaries[[#This Row],[Job Type]]=tblSalaries[[#Headers],[Analyst]],tblSalaries[[#This Row],[Salary in USD]],"")</f>
        <v>6410.8500074793246</v>
      </c>
      <c r="W817" s="13" t="str">
        <f>IF(tblSalaries[[#This Row],[Job Type]]=tblSalaries[[#Headers],[Consultant]],tblSalaries[[#This Row],[Salary in USD]],"")</f>
        <v/>
      </c>
      <c r="X817" s="13" t="str">
        <f>IF(tblSalaries[[#This Row],[Job Type]]=tblSalaries[[#Headers],[Controller]],tblSalaries[[#This Row],[Salary in USD]],"")</f>
        <v/>
      </c>
      <c r="Y817" s="13" t="str">
        <f>IF(tblSalaries[[#This Row],[Job Type]]=tblSalaries[[#Headers],[CXO or Top Mgmt.]],tblSalaries[[#This Row],[clean Salary (in local currency)]],"")</f>
        <v/>
      </c>
      <c r="Z817" s="13" t="str">
        <f>IF(tblSalaries[[#This Row],[Job Type]]=tblSalaries[[#Headers],[Engineer]],tblSalaries[[#This Row],[Salary in USD]],"")</f>
        <v/>
      </c>
      <c r="AA817" s="13" t="str">
        <f>IF(tblSalaries[[#This Row],[Job Type]]=tblSalaries[[#Headers],[Manager]],tblSalaries[[#This Row],[Salary in USD]],"")</f>
        <v/>
      </c>
      <c r="AB817" s="13" t="str">
        <f>IF(tblSalaries[[#This Row],[Job Type]]=tblSalaries[[#Headers],[Misc.]],tblSalaries[[#This Row],[Salary in USD]],"")</f>
        <v/>
      </c>
      <c r="AC817" s="13" t="str">
        <f>IF(tblSalaries[[#This Row],[Job Type]]=tblSalaries[[#Headers],[Reporting]],tblSalaries[[#This Row],[Salary in USD]],"")</f>
        <v/>
      </c>
      <c r="AD817" s="13" t="str">
        <f>IF(tblSalaries[[#This Row],[Job Type]]=tblSalaries[[#Headers],[Specialist]],tblSalaries[[#This Row],[Salary in USD]],"")</f>
        <v/>
      </c>
    </row>
    <row r="818" spans="2:30" ht="15" customHeight="1" x14ac:dyDescent="0.25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 s="9">
        <f>tblSalaries[[#This Row],[clean Salary (in local currency)]]*VLOOKUP(tblSalaries[[#This Row],[Currency]],tblXrate[],2,FALSE)</f>
        <v>100000</v>
      </c>
      <c r="H818" t="s">
        <v>456</v>
      </c>
      <c r="I818" t="s">
        <v>4001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  <c r="N818" t="str">
        <f>IF(tblSalaries[[#This Row],[Years of Experience]]="","",IF(tblSalaries[[#This Row],[Years of Experience]]&lt;=2,1,""))</f>
        <v/>
      </c>
      <c r="O818" t="str">
        <f>IF(tblSalaries[[#This Row],[Years of Experience]]="","",IF(AND(tblSalaries[[#This Row],[Years of Experience]]&gt;2,tblSalaries[[#This Row],[Years of Experience]]&lt;=5),1,""))</f>
        <v/>
      </c>
      <c r="P818">
        <f>IF(tblSalaries[[#This Row],[Years of Experience]]="","",IF(AND(tblSalaries[[#This Row],[Years of Experience]]&gt;5,tblSalaries[[#This Row],[Years of Experience]]&lt;=10),1,""))</f>
        <v>1</v>
      </c>
      <c r="Q818" t="str">
        <f>IF(tblSalaries[[#This Row],[Years of Experience]]="","",IF(AND(tblSalaries[[#This Row],[Years of Experience]]&gt;10,tblSalaries[[#This Row],[Years of Experience]]&lt;=15),1,""))</f>
        <v/>
      </c>
      <c r="R818" t="str">
        <f>IF(tblSalaries[[#This Row],[Years of Experience]]="","",IF(AND(tblSalaries[[#This Row],[Years of Experience]]&gt;16,tblSalaries[[#This Row],[Years of Experience]]&lt;=20),1,""))</f>
        <v/>
      </c>
      <c r="S818" t="str">
        <f>IF(tblSalaries[[#This Row],[Years of Experience]]="","",IF(tblSalaries[[#This Row],[Years of Experience]]&gt;20,1,""))</f>
        <v/>
      </c>
      <c r="T8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18" s="13" t="str">
        <f>IF(tblSalaries[[#This Row],[Job Type]]=tblSalaries[[#Headers],[Accountant]],tblSalaries[[#This Row],[Salary in USD]],"")</f>
        <v/>
      </c>
      <c r="V818" s="13" t="str">
        <f>IF(tblSalaries[[#This Row],[Job Type]]=tblSalaries[[#Headers],[Analyst]],tblSalaries[[#This Row],[Salary in USD]],"")</f>
        <v/>
      </c>
      <c r="W818" s="13" t="str">
        <f>IF(tblSalaries[[#This Row],[Job Type]]=tblSalaries[[#Headers],[Consultant]],tblSalaries[[#This Row],[Salary in USD]],"")</f>
        <v/>
      </c>
      <c r="X818" s="13" t="str">
        <f>IF(tblSalaries[[#This Row],[Job Type]]=tblSalaries[[#Headers],[Controller]],tblSalaries[[#This Row],[Salary in USD]],"")</f>
        <v/>
      </c>
      <c r="Y818" s="13">
        <f>IF(tblSalaries[[#This Row],[Job Type]]=tblSalaries[[#Headers],[CXO or Top Mgmt.]],tblSalaries[[#This Row],[clean Salary (in local currency)]],"")</f>
        <v>100000</v>
      </c>
      <c r="Z818" s="13" t="str">
        <f>IF(tblSalaries[[#This Row],[Job Type]]=tblSalaries[[#Headers],[Engineer]],tblSalaries[[#This Row],[Salary in USD]],"")</f>
        <v/>
      </c>
      <c r="AA818" s="13" t="str">
        <f>IF(tblSalaries[[#This Row],[Job Type]]=tblSalaries[[#Headers],[Manager]],tblSalaries[[#This Row],[Salary in USD]],"")</f>
        <v/>
      </c>
      <c r="AB818" s="13" t="str">
        <f>IF(tblSalaries[[#This Row],[Job Type]]=tblSalaries[[#Headers],[Misc.]],tblSalaries[[#This Row],[Salary in USD]],"")</f>
        <v/>
      </c>
      <c r="AC818" s="13" t="str">
        <f>IF(tblSalaries[[#This Row],[Job Type]]=tblSalaries[[#Headers],[Reporting]],tblSalaries[[#This Row],[Salary in USD]],"")</f>
        <v/>
      </c>
      <c r="AD818" s="13" t="str">
        <f>IF(tblSalaries[[#This Row],[Job Type]]=tblSalaries[[#Headers],[Specialist]],tblSalaries[[#This Row],[Salary in USD]],"")</f>
        <v/>
      </c>
    </row>
    <row r="819" spans="2:30" ht="15" customHeight="1" x14ac:dyDescent="0.25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 s="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  <c r="N819">
        <f>IF(tblSalaries[[#This Row],[Years of Experience]]="","",IF(tblSalaries[[#This Row],[Years of Experience]]&lt;=2,1,""))</f>
        <v>1</v>
      </c>
      <c r="O819" t="str">
        <f>IF(tblSalaries[[#This Row],[Years of Experience]]="","",IF(AND(tblSalaries[[#This Row],[Years of Experience]]&gt;2,tblSalaries[[#This Row],[Years of Experience]]&lt;=5),1,""))</f>
        <v/>
      </c>
      <c r="P819" t="str">
        <f>IF(tblSalaries[[#This Row],[Years of Experience]]="","",IF(AND(tblSalaries[[#This Row],[Years of Experience]]&gt;5,tblSalaries[[#This Row],[Years of Experience]]&lt;=10),1,""))</f>
        <v/>
      </c>
      <c r="Q819" t="str">
        <f>IF(tblSalaries[[#This Row],[Years of Experience]]="","",IF(AND(tblSalaries[[#This Row],[Years of Experience]]&gt;10,tblSalaries[[#This Row],[Years of Experience]]&lt;=15),1,""))</f>
        <v/>
      </c>
      <c r="R819" t="str">
        <f>IF(tblSalaries[[#This Row],[Years of Experience]]="","",IF(AND(tblSalaries[[#This Row],[Years of Experience]]&gt;16,tblSalaries[[#This Row],[Years of Experience]]&lt;=20),1,""))</f>
        <v/>
      </c>
      <c r="S819" t="str">
        <f>IF(tblSalaries[[#This Row],[Years of Experience]]="","",IF(tblSalaries[[#This Row],[Years of Experience]]&gt;20,1,""))</f>
        <v/>
      </c>
      <c r="T8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19" s="13" t="str">
        <f>IF(tblSalaries[[#This Row],[Job Type]]=tblSalaries[[#Headers],[Accountant]],tblSalaries[[#This Row],[Salary in USD]],"")</f>
        <v/>
      </c>
      <c r="V819" s="13" t="str">
        <f>IF(tblSalaries[[#This Row],[Job Type]]=tblSalaries[[#Headers],[Analyst]],tblSalaries[[#This Row],[Salary in USD]],"")</f>
        <v/>
      </c>
      <c r="W819" s="13" t="str">
        <f>IF(tblSalaries[[#This Row],[Job Type]]=tblSalaries[[#Headers],[Consultant]],tblSalaries[[#This Row],[Salary in USD]],"")</f>
        <v/>
      </c>
      <c r="X819" s="13" t="str">
        <f>IF(tblSalaries[[#This Row],[Job Type]]=tblSalaries[[#Headers],[Controller]],tblSalaries[[#This Row],[Salary in USD]],"")</f>
        <v/>
      </c>
      <c r="Y819" s="13" t="str">
        <f>IF(tblSalaries[[#This Row],[Job Type]]=tblSalaries[[#Headers],[CXO or Top Mgmt.]],tblSalaries[[#This Row],[clean Salary (in local currency)]],"")</f>
        <v/>
      </c>
      <c r="Z819" s="13">
        <f>IF(tblSalaries[[#This Row],[Job Type]]=tblSalaries[[#Headers],[Engineer]],tblSalaries[[#This Row],[Salary in USD]],"")</f>
        <v>53356.776437647524</v>
      </c>
      <c r="AA819" s="13" t="str">
        <f>IF(tblSalaries[[#This Row],[Job Type]]=tblSalaries[[#Headers],[Manager]],tblSalaries[[#This Row],[Salary in USD]],"")</f>
        <v/>
      </c>
      <c r="AB819" s="13" t="str">
        <f>IF(tblSalaries[[#This Row],[Job Type]]=tblSalaries[[#Headers],[Misc.]],tblSalaries[[#This Row],[Salary in USD]],"")</f>
        <v/>
      </c>
      <c r="AC819" s="13" t="str">
        <f>IF(tblSalaries[[#This Row],[Job Type]]=tblSalaries[[#Headers],[Reporting]],tblSalaries[[#This Row],[Salary in USD]],"")</f>
        <v/>
      </c>
      <c r="AD819" s="13" t="str">
        <f>IF(tblSalaries[[#This Row],[Job Type]]=tblSalaries[[#Headers],[Specialist]],tblSalaries[[#This Row],[Salary in USD]],"")</f>
        <v/>
      </c>
    </row>
    <row r="820" spans="2:30" ht="15" customHeight="1" x14ac:dyDescent="0.25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 s="9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  <c r="N820" t="str">
        <f>IF(tblSalaries[[#This Row],[Years of Experience]]="","",IF(tblSalaries[[#This Row],[Years of Experience]]&lt;=2,1,""))</f>
        <v/>
      </c>
      <c r="O820" t="str">
        <f>IF(tblSalaries[[#This Row],[Years of Experience]]="","",IF(AND(tblSalaries[[#This Row],[Years of Experience]]&gt;2,tblSalaries[[#This Row],[Years of Experience]]&lt;=5),1,""))</f>
        <v/>
      </c>
      <c r="P820" t="str">
        <f>IF(tblSalaries[[#This Row],[Years of Experience]]="","",IF(AND(tblSalaries[[#This Row],[Years of Experience]]&gt;5,tblSalaries[[#This Row],[Years of Experience]]&lt;=10),1,""))</f>
        <v/>
      </c>
      <c r="Q820" t="str">
        <f>IF(tblSalaries[[#This Row],[Years of Experience]]="","",IF(AND(tblSalaries[[#This Row],[Years of Experience]]&gt;10,tblSalaries[[#This Row],[Years of Experience]]&lt;=15),1,""))</f>
        <v/>
      </c>
      <c r="R820">
        <f>IF(tblSalaries[[#This Row],[Years of Experience]]="","",IF(AND(tblSalaries[[#This Row],[Years of Experience]]&gt;16,tblSalaries[[#This Row],[Years of Experience]]&lt;=20),1,""))</f>
        <v>1</v>
      </c>
      <c r="S820" t="str">
        <f>IF(tblSalaries[[#This Row],[Years of Experience]]="","",IF(tblSalaries[[#This Row],[Years of Experience]]&gt;20,1,""))</f>
        <v/>
      </c>
      <c r="T8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20" s="13" t="str">
        <f>IF(tblSalaries[[#This Row],[Job Type]]=tblSalaries[[#Headers],[Accountant]],tblSalaries[[#This Row],[Salary in USD]],"")</f>
        <v/>
      </c>
      <c r="V820" s="13" t="str">
        <f>IF(tblSalaries[[#This Row],[Job Type]]=tblSalaries[[#Headers],[Analyst]],tblSalaries[[#This Row],[Salary in USD]],"")</f>
        <v/>
      </c>
      <c r="W820" s="13" t="str">
        <f>IF(tblSalaries[[#This Row],[Job Type]]=tblSalaries[[#Headers],[Consultant]],tblSalaries[[#This Row],[Salary in USD]],"")</f>
        <v/>
      </c>
      <c r="X820" s="13" t="str">
        <f>IF(tblSalaries[[#This Row],[Job Type]]=tblSalaries[[#Headers],[Controller]],tblSalaries[[#This Row],[Salary in USD]],"")</f>
        <v/>
      </c>
      <c r="Y820" s="13" t="str">
        <f>IF(tblSalaries[[#This Row],[Job Type]]=tblSalaries[[#Headers],[CXO or Top Mgmt.]],tblSalaries[[#This Row],[clean Salary (in local currency)]],"")</f>
        <v/>
      </c>
      <c r="Z820" s="13" t="str">
        <f>IF(tblSalaries[[#This Row],[Job Type]]=tblSalaries[[#Headers],[Engineer]],tblSalaries[[#This Row],[Salary in USD]],"")</f>
        <v/>
      </c>
      <c r="AA820" s="13">
        <f>IF(tblSalaries[[#This Row],[Job Type]]=tblSalaries[[#Headers],[Manager]],tblSalaries[[#This Row],[Salary in USD]],"")</f>
        <v>40000</v>
      </c>
      <c r="AB820" s="13" t="str">
        <f>IF(tblSalaries[[#This Row],[Job Type]]=tblSalaries[[#Headers],[Misc.]],tblSalaries[[#This Row],[Salary in USD]],"")</f>
        <v/>
      </c>
      <c r="AC820" s="13" t="str">
        <f>IF(tblSalaries[[#This Row],[Job Type]]=tblSalaries[[#Headers],[Reporting]],tblSalaries[[#This Row],[Salary in USD]],"")</f>
        <v/>
      </c>
      <c r="AD820" s="13" t="str">
        <f>IF(tblSalaries[[#This Row],[Job Type]]=tblSalaries[[#Headers],[Specialist]],tblSalaries[[#This Row],[Salary in USD]],"")</f>
        <v/>
      </c>
    </row>
    <row r="821" spans="2:30" ht="15" customHeight="1" x14ac:dyDescent="0.25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 s="9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  <c r="N821">
        <f>IF(tblSalaries[[#This Row],[Years of Experience]]="","",IF(tblSalaries[[#This Row],[Years of Experience]]&lt;=2,1,""))</f>
        <v>1</v>
      </c>
      <c r="O821" t="str">
        <f>IF(tblSalaries[[#This Row],[Years of Experience]]="","",IF(AND(tblSalaries[[#This Row],[Years of Experience]]&gt;2,tblSalaries[[#This Row],[Years of Experience]]&lt;=5),1,""))</f>
        <v/>
      </c>
      <c r="P821" t="str">
        <f>IF(tblSalaries[[#This Row],[Years of Experience]]="","",IF(AND(tblSalaries[[#This Row],[Years of Experience]]&gt;5,tblSalaries[[#This Row],[Years of Experience]]&lt;=10),1,""))</f>
        <v/>
      </c>
      <c r="Q821" t="str">
        <f>IF(tblSalaries[[#This Row],[Years of Experience]]="","",IF(AND(tblSalaries[[#This Row],[Years of Experience]]&gt;10,tblSalaries[[#This Row],[Years of Experience]]&lt;=15),1,""))</f>
        <v/>
      </c>
      <c r="R821" t="str">
        <f>IF(tblSalaries[[#This Row],[Years of Experience]]="","",IF(AND(tblSalaries[[#This Row],[Years of Experience]]&gt;16,tblSalaries[[#This Row],[Years of Experience]]&lt;=20),1,""))</f>
        <v/>
      </c>
      <c r="S821" t="str">
        <f>IF(tblSalaries[[#This Row],[Years of Experience]]="","",IF(tblSalaries[[#This Row],[Years of Experience]]&gt;20,1,""))</f>
        <v/>
      </c>
      <c r="T8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21" s="13" t="str">
        <f>IF(tblSalaries[[#This Row],[Job Type]]=tblSalaries[[#Headers],[Accountant]],tblSalaries[[#This Row],[Salary in USD]],"")</f>
        <v/>
      </c>
      <c r="V821" s="13">
        <f>IF(tblSalaries[[#This Row],[Job Type]]=tblSalaries[[#Headers],[Analyst]],tblSalaries[[#This Row],[Salary in USD]],"")</f>
        <v>9794.354178093412</v>
      </c>
      <c r="W821" s="13" t="str">
        <f>IF(tblSalaries[[#This Row],[Job Type]]=tblSalaries[[#Headers],[Consultant]],tblSalaries[[#This Row],[Salary in USD]],"")</f>
        <v/>
      </c>
      <c r="X821" s="13" t="str">
        <f>IF(tblSalaries[[#This Row],[Job Type]]=tblSalaries[[#Headers],[Controller]],tblSalaries[[#This Row],[Salary in USD]],"")</f>
        <v/>
      </c>
      <c r="Y821" s="13" t="str">
        <f>IF(tblSalaries[[#This Row],[Job Type]]=tblSalaries[[#Headers],[CXO or Top Mgmt.]],tblSalaries[[#This Row],[clean Salary (in local currency)]],"")</f>
        <v/>
      </c>
      <c r="Z821" s="13" t="str">
        <f>IF(tblSalaries[[#This Row],[Job Type]]=tblSalaries[[#Headers],[Engineer]],tblSalaries[[#This Row],[Salary in USD]],"")</f>
        <v/>
      </c>
      <c r="AA821" s="13" t="str">
        <f>IF(tblSalaries[[#This Row],[Job Type]]=tblSalaries[[#Headers],[Manager]],tblSalaries[[#This Row],[Salary in USD]],"")</f>
        <v/>
      </c>
      <c r="AB821" s="13" t="str">
        <f>IF(tblSalaries[[#This Row],[Job Type]]=tblSalaries[[#Headers],[Misc.]],tblSalaries[[#This Row],[Salary in USD]],"")</f>
        <v/>
      </c>
      <c r="AC821" s="13" t="str">
        <f>IF(tblSalaries[[#This Row],[Job Type]]=tblSalaries[[#Headers],[Reporting]],tblSalaries[[#This Row],[Salary in USD]],"")</f>
        <v/>
      </c>
      <c r="AD821" s="13" t="str">
        <f>IF(tblSalaries[[#This Row],[Job Type]]=tblSalaries[[#Headers],[Specialist]],tblSalaries[[#This Row],[Salary in USD]],"")</f>
        <v/>
      </c>
    </row>
    <row r="822" spans="2:30" ht="15" customHeight="1" x14ac:dyDescent="0.25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 s="9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  <c r="N822" t="str">
        <f>IF(tblSalaries[[#This Row],[Years of Experience]]="","",IF(tblSalaries[[#This Row],[Years of Experience]]&lt;=2,1,""))</f>
        <v/>
      </c>
      <c r="O822" t="str">
        <f>IF(tblSalaries[[#This Row],[Years of Experience]]="","",IF(AND(tblSalaries[[#This Row],[Years of Experience]]&gt;2,tblSalaries[[#This Row],[Years of Experience]]&lt;=5),1,""))</f>
        <v/>
      </c>
      <c r="P822">
        <f>IF(tblSalaries[[#This Row],[Years of Experience]]="","",IF(AND(tblSalaries[[#This Row],[Years of Experience]]&gt;5,tblSalaries[[#This Row],[Years of Experience]]&lt;=10),1,""))</f>
        <v>1</v>
      </c>
      <c r="Q822" t="str">
        <f>IF(tblSalaries[[#This Row],[Years of Experience]]="","",IF(AND(tblSalaries[[#This Row],[Years of Experience]]&gt;10,tblSalaries[[#This Row],[Years of Experience]]&lt;=15),1,""))</f>
        <v/>
      </c>
      <c r="R822" t="str">
        <f>IF(tblSalaries[[#This Row],[Years of Experience]]="","",IF(AND(tblSalaries[[#This Row],[Years of Experience]]&gt;16,tblSalaries[[#This Row],[Years of Experience]]&lt;=20),1,""))</f>
        <v/>
      </c>
      <c r="S822" t="str">
        <f>IF(tblSalaries[[#This Row],[Years of Experience]]="","",IF(tblSalaries[[#This Row],[Years of Experience]]&gt;20,1,""))</f>
        <v/>
      </c>
      <c r="T8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22" s="13" t="str">
        <f>IF(tblSalaries[[#This Row],[Job Type]]=tblSalaries[[#Headers],[Accountant]],tblSalaries[[#This Row],[Salary in USD]],"")</f>
        <v/>
      </c>
      <c r="V822" s="13" t="str">
        <f>IF(tblSalaries[[#This Row],[Job Type]]=tblSalaries[[#Headers],[Analyst]],tblSalaries[[#This Row],[Salary in USD]],"")</f>
        <v/>
      </c>
      <c r="W822" s="13" t="str">
        <f>IF(tblSalaries[[#This Row],[Job Type]]=tblSalaries[[#Headers],[Consultant]],tblSalaries[[#This Row],[Salary in USD]],"")</f>
        <v/>
      </c>
      <c r="X822" s="13" t="str">
        <f>IF(tblSalaries[[#This Row],[Job Type]]=tblSalaries[[#Headers],[Controller]],tblSalaries[[#This Row],[Salary in USD]],"")</f>
        <v/>
      </c>
      <c r="Y822" s="13" t="str">
        <f>IF(tblSalaries[[#This Row],[Job Type]]=tblSalaries[[#Headers],[CXO or Top Mgmt.]],tblSalaries[[#This Row],[clean Salary (in local currency)]],"")</f>
        <v/>
      </c>
      <c r="Z822" s="13" t="str">
        <f>IF(tblSalaries[[#This Row],[Job Type]]=tblSalaries[[#Headers],[Engineer]],tblSalaries[[#This Row],[Salary in USD]],"")</f>
        <v/>
      </c>
      <c r="AA822" s="13" t="str">
        <f>IF(tblSalaries[[#This Row],[Job Type]]=tblSalaries[[#Headers],[Manager]],tblSalaries[[#This Row],[Salary in USD]],"")</f>
        <v/>
      </c>
      <c r="AB822" s="13" t="str">
        <f>IF(tblSalaries[[#This Row],[Job Type]]=tblSalaries[[#Headers],[Misc.]],tblSalaries[[#This Row],[Salary in USD]],"")</f>
        <v/>
      </c>
      <c r="AC822" s="13" t="str">
        <f>IF(tblSalaries[[#This Row],[Job Type]]=tblSalaries[[#Headers],[Reporting]],tblSalaries[[#This Row],[Salary in USD]],"")</f>
        <v/>
      </c>
      <c r="AD822" s="13">
        <f>IF(tblSalaries[[#This Row],[Job Type]]=tblSalaries[[#Headers],[Specialist]],tblSalaries[[#This Row],[Salary in USD]],"")</f>
        <v>18499.860539512854</v>
      </c>
    </row>
    <row r="823" spans="2:30" ht="15" customHeight="1" x14ac:dyDescent="0.25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 s="9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  <c r="N823" t="str">
        <f>IF(tblSalaries[[#This Row],[Years of Experience]]="","",IF(tblSalaries[[#This Row],[Years of Experience]]&lt;=2,1,""))</f>
        <v/>
      </c>
      <c r="O823">
        <f>IF(tblSalaries[[#This Row],[Years of Experience]]="","",IF(AND(tblSalaries[[#This Row],[Years of Experience]]&gt;2,tblSalaries[[#This Row],[Years of Experience]]&lt;=5),1,""))</f>
        <v>1</v>
      </c>
      <c r="P823" t="str">
        <f>IF(tblSalaries[[#This Row],[Years of Experience]]="","",IF(AND(tblSalaries[[#This Row],[Years of Experience]]&gt;5,tblSalaries[[#This Row],[Years of Experience]]&lt;=10),1,""))</f>
        <v/>
      </c>
      <c r="Q823" t="str">
        <f>IF(tblSalaries[[#This Row],[Years of Experience]]="","",IF(AND(tblSalaries[[#This Row],[Years of Experience]]&gt;10,tblSalaries[[#This Row],[Years of Experience]]&lt;=15),1,""))</f>
        <v/>
      </c>
      <c r="R823" t="str">
        <f>IF(tblSalaries[[#This Row],[Years of Experience]]="","",IF(AND(tblSalaries[[#This Row],[Years of Experience]]&gt;16,tblSalaries[[#This Row],[Years of Experience]]&lt;=20),1,""))</f>
        <v/>
      </c>
      <c r="S823" t="str">
        <f>IF(tblSalaries[[#This Row],[Years of Experience]]="","",IF(tblSalaries[[#This Row],[Years of Experience]]&gt;20,1,""))</f>
        <v/>
      </c>
      <c r="T8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23" s="13" t="str">
        <f>IF(tblSalaries[[#This Row],[Job Type]]=tblSalaries[[#Headers],[Accountant]],tblSalaries[[#This Row],[Salary in USD]],"")</f>
        <v/>
      </c>
      <c r="V823" s="13" t="str">
        <f>IF(tblSalaries[[#This Row],[Job Type]]=tblSalaries[[#Headers],[Analyst]],tblSalaries[[#This Row],[Salary in USD]],"")</f>
        <v/>
      </c>
      <c r="W823" s="13" t="str">
        <f>IF(tblSalaries[[#This Row],[Job Type]]=tblSalaries[[#Headers],[Consultant]],tblSalaries[[#This Row],[Salary in USD]],"")</f>
        <v/>
      </c>
      <c r="X823" s="13">
        <f>IF(tblSalaries[[#This Row],[Job Type]]=tblSalaries[[#Headers],[Controller]],tblSalaries[[#This Row],[Salary in USD]],"")</f>
        <v>19818.231248269083</v>
      </c>
      <c r="Y823" s="13" t="str">
        <f>IF(tblSalaries[[#This Row],[Job Type]]=tblSalaries[[#Headers],[CXO or Top Mgmt.]],tblSalaries[[#This Row],[clean Salary (in local currency)]],"")</f>
        <v/>
      </c>
      <c r="Z823" s="13" t="str">
        <f>IF(tblSalaries[[#This Row],[Job Type]]=tblSalaries[[#Headers],[Engineer]],tblSalaries[[#This Row],[Salary in USD]],"")</f>
        <v/>
      </c>
      <c r="AA823" s="13" t="str">
        <f>IF(tblSalaries[[#This Row],[Job Type]]=tblSalaries[[#Headers],[Manager]],tblSalaries[[#This Row],[Salary in USD]],"")</f>
        <v/>
      </c>
      <c r="AB823" s="13" t="str">
        <f>IF(tblSalaries[[#This Row],[Job Type]]=tblSalaries[[#Headers],[Misc.]],tblSalaries[[#This Row],[Salary in USD]],"")</f>
        <v/>
      </c>
      <c r="AC823" s="13" t="str">
        <f>IF(tblSalaries[[#This Row],[Job Type]]=tblSalaries[[#Headers],[Reporting]],tblSalaries[[#This Row],[Salary in USD]],"")</f>
        <v/>
      </c>
      <c r="AD823" s="13" t="str">
        <f>IF(tblSalaries[[#This Row],[Job Type]]=tblSalaries[[#Headers],[Specialist]],tblSalaries[[#This Row],[Salary in USD]],"")</f>
        <v/>
      </c>
    </row>
    <row r="824" spans="2:30" ht="15" customHeight="1" x14ac:dyDescent="0.25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 s="9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  <c r="N824" t="str">
        <f>IF(tblSalaries[[#This Row],[Years of Experience]]="","",IF(tblSalaries[[#This Row],[Years of Experience]]&lt;=2,1,""))</f>
        <v/>
      </c>
      <c r="O824" t="str">
        <f>IF(tblSalaries[[#This Row],[Years of Experience]]="","",IF(AND(tblSalaries[[#This Row],[Years of Experience]]&gt;2,tblSalaries[[#This Row],[Years of Experience]]&lt;=5),1,""))</f>
        <v/>
      </c>
      <c r="P824" t="str">
        <f>IF(tblSalaries[[#This Row],[Years of Experience]]="","",IF(AND(tblSalaries[[#This Row],[Years of Experience]]&gt;5,tblSalaries[[#This Row],[Years of Experience]]&lt;=10),1,""))</f>
        <v/>
      </c>
      <c r="Q824" t="str">
        <f>IF(tblSalaries[[#This Row],[Years of Experience]]="","",IF(AND(tblSalaries[[#This Row],[Years of Experience]]&gt;10,tblSalaries[[#This Row],[Years of Experience]]&lt;=15),1,""))</f>
        <v/>
      </c>
      <c r="R824">
        <f>IF(tblSalaries[[#This Row],[Years of Experience]]="","",IF(AND(tblSalaries[[#This Row],[Years of Experience]]&gt;16,tblSalaries[[#This Row],[Years of Experience]]&lt;=20),1,""))</f>
        <v>1</v>
      </c>
      <c r="S824" t="str">
        <f>IF(tblSalaries[[#This Row],[Years of Experience]]="","",IF(tblSalaries[[#This Row],[Years of Experience]]&gt;20,1,""))</f>
        <v/>
      </c>
      <c r="T8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24" s="13" t="str">
        <f>IF(tblSalaries[[#This Row],[Job Type]]=tblSalaries[[#Headers],[Accountant]],tblSalaries[[#This Row],[Salary in USD]],"")</f>
        <v/>
      </c>
      <c r="V824" s="13" t="str">
        <f>IF(tblSalaries[[#This Row],[Job Type]]=tblSalaries[[#Headers],[Analyst]],tblSalaries[[#This Row],[Salary in USD]],"")</f>
        <v/>
      </c>
      <c r="W824" s="13" t="str">
        <f>IF(tblSalaries[[#This Row],[Job Type]]=tblSalaries[[#Headers],[Consultant]],tblSalaries[[#This Row],[Salary in USD]],"")</f>
        <v/>
      </c>
      <c r="X824" s="13" t="str">
        <f>IF(tblSalaries[[#This Row],[Job Type]]=tblSalaries[[#Headers],[Controller]],tblSalaries[[#This Row],[Salary in USD]],"")</f>
        <v/>
      </c>
      <c r="Y824" s="13" t="str">
        <f>IF(tblSalaries[[#This Row],[Job Type]]=tblSalaries[[#Headers],[CXO or Top Mgmt.]],tblSalaries[[#This Row],[clean Salary (in local currency)]],"")</f>
        <v/>
      </c>
      <c r="Z824" s="13" t="str">
        <f>IF(tblSalaries[[#This Row],[Job Type]]=tblSalaries[[#Headers],[Engineer]],tblSalaries[[#This Row],[Salary in USD]],"")</f>
        <v/>
      </c>
      <c r="AA824" s="13">
        <f>IF(tblSalaries[[#This Row],[Job Type]]=tblSalaries[[#Headers],[Manager]],tblSalaries[[#This Row],[Salary in USD]],"")</f>
        <v>10684.750012465542</v>
      </c>
      <c r="AB824" s="13" t="str">
        <f>IF(tblSalaries[[#This Row],[Job Type]]=tblSalaries[[#Headers],[Misc.]],tblSalaries[[#This Row],[Salary in USD]],"")</f>
        <v/>
      </c>
      <c r="AC824" s="13" t="str">
        <f>IF(tblSalaries[[#This Row],[Job Type]]=tblSalaries[[#Headers],[Reporting]],tblSalaries[[#This Row],[Salary in USD]],"")</f>
        <v/>
      </c>
      <c r="AD824" s="13" t="str">
        <f>IF(tblSalaries[[#This Row],[Job Type]]=tblSalaries[[#Headers],[Specialist]],tblSalaries[[#This Row],[Salary in USD]],"")</f>
        <v/>
      </c>
    </row>
    <row r="825" spans="2:30" ht="15" customHeight="1" x14ac:dyDescent="0.25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 s="9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  <c r="N825" t="str">
        <f>IF(tblSalaries[[#This Row],[Years of Experience]]="","",IF(tblSalaries[[#This Row],[Years of Experience]]&lt;=2,1,""))</f>
        <v/>
      </c>
      <c r="O825" t="str">
        <f>IF(tblSalaries[[#This Row],[Years of Experience]]="","",IF(AND(tblSalaries[[#This Row],[Years of Experience]]&gt;2,tblSalaries[[#This Row],[Years of Experience]]&lt;=5),1,""))</f>
        <v/>
      </c>
      <c r="P825" t="str">
        <f>IF(tblSalaries[[#This Row],[Years of Experience]]="","",IF(AND(tblSalaries[[#This Row],[Years of Experience]]&gt;5,tblSalaries[[#This Row],[Years of Experience]]&lt;=10),1,""))</f>
        <v/>
      </c>
      <c r="Q825" t="str">
        <f>IF(tblSalaries[[#This Row],[Years of Experience]]="","",IF(AND(tblSalaries[[#This Row],[Years of Experience]]&gt;10,tblSalaries[[#This Row],[Years of Experience]]&lt;=15),1,""))</f>
        <v/>
      </c>
      <c r="R825">
        <f>IF(tblSalaries[[#This Row],[Years of Experience]]="","",IF(AND(tblSalaries[[#This Row],[Years of Experience]]&gt;16,tblSalaries[[#This Row],[Years of Experience]]&lt;=20),1,""))</f>
        <v>1</v>
      </c>
      <c r="S825" t="str">
        <f>IF(tblSalaries[[#This Row],[Years of Experience]]="","",IF(tblSalaries[[#This Row],[Years of Experience]]&gt;20,1,""))</f>
        <v/>
      </c>
      <c r="T8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25" s="13" t="str">
        <f>IF(tblSalaries[[#This Row],[Job Type]]=tblSalaries[[#Headers],[Accountant]],tblSalaries[[#This Row],[Salary in USD]],"")</f>
        <v/>
      </c>
      <c r="V825" s="13" t="str">
        <f>IF(tblSalaries[[#This Row],[Job Type]]=tblSalaries[[#Headers],[Analyst]],tblSalaries[[#This Row],[Salary in USD]],"")</f>
        <v/>
      </c>
      <c r="W825" s="13" t="str">
        <f>IF(tblSalaries[[#This Row],[Job Type]]=tblSalaries[[#Headers],[Consultant]],tblSalaries[[#This Row],[Salary in USD]],"")</f>
        <v/>
      </c>
      <c r="X825" s="13" t="str">
        <f>IF(tblSalaries[[#This Row],[Job Type]]=tblSalaries[[#Headers],[Controller]],tblSalaries[[#This Row],[Salary in USD]],"")</f>
        <v/>
      </c>
      <c r="Y825" s="13" t="str">
        <f>IF(tblSalaries[[#This Row],[Job Type]]=tblSalaries[[#Headers],[CXO or Top Mgmt.]],tblSalaries[[#This Row],[clean Salary (in local currency)]],"")</f>
        <v/>
      </c>
      <c r="Z825" s="13" t="str">
        <f>IF(tblSalaries[[#This Row],[Job Type]]=tblSalaries[[#Headers],[Engineer]],tblSalaries[[#This Row],[Salary in USD]],"")</f>
        <v/>
      </c>
      <c r="AA825" s="13">
        <f>IF(tblSalaries[[#This Row],[Job Type]]=tblSalaries[[#Headers],[Manager]],tblSalaries[[#This Row],[Salary in USD]],"")</f>
        <v>10684.750012465542</v>
      </c>
      <c r="AB825" s="13" t="str">
        <f>IF(tblSalaries[[#This Row],[Job Type]]=tblSalaries[[#Headers],[Misc.]],tblSalaries[[#This Row],[Salary in USD]],"")</f>
        <v/>
      </c>
      <c r="AC825" s="13" t="str">
        <f>IF(tblSalaries[[#This Row],[Job Type]]=tblSalaries[[#Headers],[Reporting]],tblSalaries[[#This Row],[Salary in USD]],"")</f>
        <v/>
      </c>
      <c r="AD825" s="13" t="str">
        <f>IF(tblSalaries[[#This Row],[Job Type]]=tblSalaries[[#Headers],[Specialist]],tblSalaries[[#This Row],[Salary in USD]],"")</f>
        <v/>
      </c>
    </row>
    <row r="826" spans="2:30" ht="15" customHeight="1" x14ac:dyDescent="0.25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 s="9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  <c r="N826" t="str">
        <f>IF(tblSalaries[[#This Row],[Years of Experience]]="","",IF(tblSalaries[[#This Row],[Years of Experience]]&lt;=2,1,""))</f>
        <v/>
      </c>
      <c r="O826" t="str">
        <f>IF(tblSalaries[[#This Row],[Years of Experience]]="","",IF(AND(tblSalaries[[#This Row],[Years of Experience]]&gt;2,tblSalaries[[#This Row],[Years of Experience]]&lt;=5),1,""))</f>
        <v/>
      </c>
      <c r="P826">
        <f>IF(tblSalaries[[#This Row],[Years of Experience]]="","",IF(AND(tblSalaries[[#This Row],[Years of Experience]]&gt;5,tblSalaries[[#This Row],[Years of Experience]]&lt;=10),1,""))</f>
        <v>1</v>
      </c>
      <c r="Q826" t="str">
        <f>IF(tblSalaries[[#This Row],[Years of Experience]]="","",IF(AND(tblSalaries[[#This Row],[Years of Experience]]&gt;10,tblSalaries[[#This Row],[Years of Experience]]&lt;=15),1,""))</f>
        <v/>
      </c>
      <c r="R826" t="str">
        <f>IF(tblSalaries[[#This Row],[Years of Experience]]="","",IF(AND(tblSalaries[[#This Row],[Years of Experience]]&gt;16,tblSalaries[[#This Row],[Years of Experience]]&lt;=20),1,""))</f>
        <v/>
      </c>
      <c r="S826" t="str">
        <f>IF(tblSalaries[[#This Row],[Years of Experience]]="","",IF(tblSalaries[[#This Row],[Years of Experience]]&gt;20,1,""))</f>
        <v/>
      </c>
      <c r="T8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26" s="13" t="str">
        <f>IF(tblSalaries[[#This Row],[Job Type]]=tblSalaries[[#Headers],[Accountant]],tblSalaries[[#This Row],[Salary in USD]],"")</f>
        <v/>
      </c>
      <c r="V826" s="13">
        <f>IF(tblSalaries[[#This Row],[Job Type]]=tblSalaries[[#Headers],[Analyst]],tblSalaries[[#This Row],[Salary in USD]],"")</f>
        <v>17807.916687442568</v>
      </c>
      <c r="W826" s="13" t="str">
        <f>IF(tblSalaries[[#This Row],[Job Type]]=tblSalaries[[#Headers],[Consultant]],tblSalaries[[#This Row],[Salary in USD]],"")</f>
        <v/>
      </c>
      <c r="X826" s="13" t="str">
        <f>IF(tblSalaries[[#This Row],[Job Type]]=tblSalaries[[#Headers],[Controller]],tblSalaries[[#This Row],[Salary in USD]],"")</f>
        <v/>
      </c>
      <c r="Y826" s="13" t="str">
        <f>IF(tblSalaries[[#This Row],[Job Type]]=tblSalaries[[#Headers],[CXO or Top Mgmt.]],tblSalaries[[#This Row],[clean Salary (in local currency)]],"")</f>
        <v/>
      </c>
      <c r="Z826" s="13" t="str">
        <f>IF(tblSalaries[[#This Row],[Job Type]]=tblSalaries[[#Headers],[Engineer]],tblSalaries[[#This Row],[Salary in USD]],"")</f>
        <v/>
      </c>
      <c r="AA826" s="13" t="str">
        <f>IF(tblSalaries[[#This Row],[Job Type]]=tblSalaries[[#Headers],[Manager]],tblSalaries[[#This Row],[Salary in USD]],"")</f>
        <v/>
      </c>
      <c r="AB826" s="13" t="str">
        <f>IF(tblSalaries[[#This Row],[Job Type]]=tblSalaries[[#Headers],[Misc.]],tblSalaries[[#This Row],[Salary in USD]],"")</f>
        <v/>
      </c>
      <c r="AC826" s="13" t="str">
        <f>IF(tblSalaries[[#This Row],[Job Type]]=tblSalaries[[#Headers],[Reporting]],tblSalaries[[#This Row],[Salary in USD]],"")</f>
        <v/>
      </c>
      <c r="AD826" s="13" t="str">
        <f>IF(tblSalaries[[#This Row],[Job Type]]=tblSalaries[[#Headers],[Specialist]],tblSalaries[[#This Row],[Salary in USD]],"")</f>
        <v/>
      </c>
    </row>
    <row r="827" spans="2:30" ht="15" customHeight="1" x14ac:dyDescent="0.25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 s="9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  <c r="N827" t="str">
        <f>IF(tblSalaries[[#This Row],[Years of Experience]]="","",IF(tblSalaries[[#This Row],[Years of Experience]]&lt;=2,1,""))</f>
        <v/>
      </c>
      <c r="O827" t="str">
        <f>IF(tblSalaries[[#This Row],[Years of Experience]]="","",IF(AND(tblSalaries[[#This Row],[Years of Experience]]&gt;2,tblSalaries[[#This Row],[Years of Experience]]&lt;=5),1,""))</f>
        <v/>
      </c>
      <c r="P827">
        <f>IF(tblSalaries[[#This Row],[Years of Experience]]="","",IF(AND(tblSalaries[[#This Row],[Years of Experience]]&gt;5,tblSalaries[[#This Row],[Years of Experience]]&lt;=10),1,""))</f>
        <v>1</v>
      </c>
      <c r="Q827" t="str">
        <f>IF(tblSalaries[[#This Row],[Years of Experience]]="","",IF(AND(tblSalaries[[#This Row],[Years of Experience]]&gt;10,tblSalaries[[#This Row],[Years of Experience]]&lt;=15),1,""))</f>
        <v/>
      </c>
      <c r="R827" t="str">
        <f>IF(tblSalaries[[#This Row],[Years of Experience]]="","",IF(AND(tblSalaries[[#This Row],[Years of Experience]]&gt;16,tblSalaries[[#This Row],[Years of Experience]]&lt;=20),1,""))</f>
        <v/>
      </c>
      <c r="S827" t="str">
        <f>IF(tblSalaries[[#This Row],[Years of Experience]]="","",IF(tblSalaries[[#This Row],[Years of Experience]]&gt;20,1,""))</f>
        <v/>
      </c>
      <c r="T8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27" s="13" t="str">
        <f>IF(tblSalaries[[#This Row],[Job Type]]=tblSalaries[[#Headers],[Accountant]],tblSalaries[[#This Row],[Salary in USD]],"")</f>
        <v/>
      </c>
      <c r="V827" s="13">
        <f>IF(tblSalaries[[#This Row],[Job Type]]=tblSalaries[[#Headers],[Analyst]],tblSalaries[[#This Row],[Salary in USD]],"")</f>
        <v>13000</v>
      </c>
      <c r="W827" s="13" t="str">
        <f>IF(tblSalaries[[#This Row],[Job Type]]=tblSalaries[[#Headers],[Consultant]],tblSalaries[[#This Row],[Salary in USD]],"")</f>
        <v/>
      </c>
      <c r="X827" s="13" t="str">
        <f>IF(tblSalaries[[#This Row],[Job Type]]=tblSalaries[[#Headers],[Controller]],tblSalaries[[#This Row],[Salary in USD]],"")</f>
        <v/>
      </c>
      <c r="Y827" s="13" t="str">
        <f>IF(tblSalaries[[#This Row],[Job Type]]=tblSalaries[[#Headers],[CXO or Top Mgmt.]],tblSalaries[[#This Row],[clean Salary (in local currency)]],"")</f>
        <v/>
      </c>
      <c r="Z827" s="13" t="str">
        <f>IF(tblSalaries[[#This Row],[Job Type]]=tblSalaries[[#Headers],[Engineer]],tblSalaries[[#This Row],[Salary in USD]],"")</f>
        <v/>
      </c>
      <c r="AA827" s="13" t="str">
        <f>IF(tblSalaries[[#This Row],[Job Type]]=tblSalaries[[#Headers],[Manager]],tblSalaries[[#This Row],[Salary in USD]],"")</f>
        <v/>
      </c>
      <c r="AB827" s="13" t="str">
        <f>IF(tblSalaries[[#This Row],[Job Type]]=tblSalaries[[#Headers],[Misc.]],tblSalaries[[#This Row],[Salary in USD]],"")</f>
        <v/>
      </c>
      <c r="AC827" s="13" t="str">
        <f>IF(tblSalaries[[#This Row],[Job Type]]=tblSalaries[[#Headers],[Reporting]],tblSalaries[[#This Row],[Salary in USD]],"")</f>
        <v/>
      </c>
      <c r="AD827" s="13" t="str">
        <f>IF(tblSalaries[[#This Row],[Job Type]]=tblSalaries[[#Headers],[Specialist]],tblSalaries[[#This Row],[Salary in USD]],"")</f>
        <v/>
      </c>
    </row>
    <row r="828" spans="2:30" ht="15" customHeight="1" x14ac:dyDescent="0.25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 s="9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  <c r="N828" t="str">
        <f>IF(tblSalaries[[#This Row],[Years of Experience]]="","",IF(tblSalaries[[#This Row],[Years of Experience]]&lt;=2,1,""))</f>
        <v/>
      </c>
      <c r="O828" t="str">
        <f>IF(tblSalaries[[#This Row],[Years of Experience]]="","",IF(AND(tblSalaries[[#This Row],[Years of Experience]]&gt;2,tblSalaries[[#This Row],[Years of Experience]]&lt;=5),1,""))</f>
        <v/>
      </c>
      <c r="P828">
        <f>IF(tblSalaries[[#This Row],[Years of Experience]]="","",IF(AND(tblSalaries[[#This Row],[Years of Experience]]&gt;5,tblSalaries[[#This Row],[Years of Experience]]&lt;=10),1,""))</f>
        <v>1</v>
      </c>
      <c r="Q828" t="str">
        <f>IF(tblSalaries[[#This Row],[Years of Experience]]="","",IF(AND(tblSalaries[[#This Row],[Years of Experience]]&gt;10,tblSalaries[[#This Row],[Years of Experience]]&lt;=15),1,""))</f>
        <v/>
      </c>
      <c r="R828" t="str">
        <f>IF(tblSalaries[[#This Row],[Years of Experience]]="","",IF(AND(tblSalaries[[#This Row],[Years of Experience]]&gt;16,tblSalaries[[#This Row],[Years of Experience]]&lt;=20),1,""))</f>
        <v/>
      </c>
      <c r="S828" t="str">
        <f>IF(tblSalaries[[#This Row],[Years of Experience]]="","",IF(tblSalaries[[#This Row],[Years of Experience]]&gt;20,1,""))</f>
        <v/>
      </c>
      <c r="T8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28" s="13" t="str">
        <f>IF(tblSalaries[[#This Row],[Job Type]]=tblSalaries[[#Headers],[Accountant]],tblSalaries[[#This Row],[Salary in USD]],"")</f>
        <v/>
      </c>
      <c r="V828" s="13" t="str">
        <f>IF(tblSalaries[[#This Row],[Job Type]]=tblSalaries[[#Headers],[Analyst]],tblSalaries[[#This Row],[Salary in USD]],"")</f>
        <v/>
      </c>
      <c r="W828" s="13" t="str">
        <f>IF(tblSalaries[[#This Row],[Job Type]]=tblSalaries[[#Headers],[Consultant]],tblSalaries[[#This Row],[Salary in USD]],"")</f>
        <v/>
      </c>
      <c r="X828" s="13" t="str">
        <f>IF(tblSalaries[[#This Row],[Job Type]]=tblSalaries[[#Headers],[Controller]],tblSalaries[[#This Row],[Salary in USD]],"")</f>
        <v/>
      </c>
      <c r="Y828" s="13" t="str">
        <f>IF(tblSalaries[[#This Row],[Job Type]]=tblSalaries[[#Headers],[CXO or Top Mgmt.]],tblSalaries[[#This Row],[clean Salary (in local currency)]],"")</f>
        <v/>
      </c>
      <c r="Z828" s="13" t="str">
        <f>IF(tblSalaries[[#This Row],[Job Type]]=tblSalaries[[#Headers],[Engineer]],tblSalaries[[#This Row],[Salary in USD]],"")</f>
        <v/>
      </c>
      <c r="AA828" s="13">
        <f>IF(tblSalaries[[#This Row],[Job Type]]=tblSalaries[[#Headers],[Manager]],tblSalaries[[#This Row],[Salary in USD]],"")</f>
        <v>16027.125018698311</v>
      </c>
      <c r="AB828" s="13" t="str">
        <f>IF(tblSalaries[[#This Row],[Job Type]]=tblSalaries[[#Headers],[Misc.]],tblSalaries[[#This Row],[Salary in USD]],"")</f>
        <v/>
      </c>
      <c r="AC828" s="13" t="str">
        <f>IF(tblSalaries[[#This Row],[Job Type]]=tblSalaries[[#Headers],[Reporting]],tblSalaries[[#This Row],[Salary in USD]],"")</f>
        <v/>
      </c>
      <c r="AD828" s="13" t="str">
        <f>IF(tblSalaries[[#This Row],[Job Type]]=tblSalaries[[#Headers],[Specialist]],tblSalaries[[#This Row],[Salary in USD]],"")</f>
        <v/>
      </c>
    </row>
    <row r="829" spans="2:30" ht="15" customHeight="1" x14ac:dyDescent="0.25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 s="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  <c r="N829">
        <f>IF(tblSalaries[[#This Row],[Years of Experience]]="","",IF(tblSalaries[[#This Row],[Years of Experience]]&lt;=2,1,""))</f>
        <v>1</v>
      </c>
      <c r="O829" t="str">
        <f>IF(tblSalaries[[#This Row],[Years of Experience]]="","",IF(AND(tblSalaries[[#This Row],[Years of Experience]]&gt;2,tblSalaries[[#This Row],[Years of Experience]]&lt;=5),1,""))</f>
        <v/>
      </c>
      <c r="P829" t="str">
        <f>IF(tblSalaries[[#This Row],[Years of Experience]]="","",IF(AND(tblSalaries[[#This Row],[Years of Experience]]&gt;5,tblSalaries[[#This Row],[Years of Experience]]&lt;=10),1,""))</f>
        <v/>
      </c>
      <c r="Q829" t="str">
        <f>IF(tblSalaries[[#This Row],[Years of Experience]]="","",IF(AND(tblSalaries[[#This Row],[Years of Experience]]&gt;10,tblSalaries[[#This Row],[Years of Experience]]&lt;=15),1,""))</f>
        <v/>
      </c>
      <c r="R829" t="str">
        <f>IF(tblSalaries[[#This Row],[Years of Experience]]="","",IF(AND(tblSalaries[[#This Row],[Years of Experience]]&gt;16,tblSalaries[[#This Row],[Years of Experience]]&lt;=20),1,""))</f>
        <v/>
      </c>
      <c r="S829" t="str">
        <f>IF(tblSalaries[[#This Row],[Years of Experience]]="","",IF(tblSalaries[[#This Row],[Years of Experience]]&gt;20,1,""))</f>
        <v/>
      </c>
      <c r="T8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29" s="13">
        <f>IF(tblSalaries[[#This Row],[Job Type]]=tblSalaries[[#Headers],[Accountant]],tblSalaries[[#This Row],[Salary in USD]],"")</f>
        <v>85000</v>
      </c>
      <c r="V829" s="13" t="str">
        <f>IF(tblSalaries[[#This Row],[Job Type]]=tblSalaries[[#Headers],[Analyst]],tblSalaries[[#This Row],[Salary in USD]],"")</f>
        <v/>
      </c>
      <c r="W829" s="13" t="str">
        <f>IF(tblSalaries[[#This Row],[Job Type]]=tblSalaries[[#Headers],[Consultant]],tblSalaries[[#This Row],[Salary in USD]],"")</f>
        <v/>
      </c>
      <c r="X829" s="13" t="str">
        <f>IF(tblSalaries[[#This Row],[Job Type]]=tblSalaries[[#Headers],[Controller]],tblSalaries[[#This Row],[Salary in USD]],"")</f>
        <v/>
      </c>
      <c r="Y829" s="13" t="str">
        <f>IF(tblSalaries[[#This Row],[Job Type]]=tblSalaries[[#Headers],[CXO or Top Mgmt.]],tblSalaries[[#This Row],[clean Salary (in local currency)]],"")</f>
        <v/>
      </c>
      <c r="Z829" s="13" t="str">
        <f>IF(tblSalaries[[#This Row],[Job Type]]=tblSalaries[[#Headers],[Engineer]],tblSalaries[[#This Row],[Salary in USD]],"")</f>
        <v/>
      </c>
      <c r="AA829" s="13" t="str">
        <f>IF(tblSalaries[[#This Row],[Job Type]]=tblSalaries[[#Headers],[Manager]],tblSalaries[[#This Row],[Salary in USD]],"")</f>
        <v/>
      </c>
      <c r="AB829" s="13" t="str">
        <f>IF(tblSalaries[[#This Row],[Job Type]]=tblSalaries[[#Headers],[Misc.]],tblSalaries[[#This Row],[Salary in USD]],"")</f>
        <v/>
      </c>
      <c r="AC829" s="13" t="str">
        <f>IF(tblSalaries[[#This Row],[Job Type]]=tblSalaries[[#Headers],[Reporting]],tblSalaries[[#This Row],[Salary in USD]],"")</f>
        <v/>
      </c>
      <c r="AD829" s="13" t="str">
        <f>IF(tblSalaries[[#This Row],[Job Type]]=tblSalaries[[#Headers],[Specialist]],tblSalaries[[#This Row],[Salary in USD]],"")</f>
        <v/>
      </c>
    </row>
    <row r="830" spans="2:30" ht="15" customHeight="1" x14ac:dyDescent="0.25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 s="9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  <c r="N830" t="str">
        <f>IF(tblSalaries[[#This Row],[Years of Experience]]="","",IF(tblSalaries[[#This Row],[Years of Experience]]&lt;=2,1,""))</f>
        <v/>
      </c>
      <c r="O830" t="str">
        <f>IF(tblSalaries[[#This Row],[Years of Experience]]="","",IF(AND(tblSalaries[[#This Row],[Years of Experience]]&gt;2,tblSalaries[[#This Row],[Years of Experience]]&lt;=5),1,""))</f>
        <v/>
      </c>
      <c r="P830">
        <f>IF(tblSalaries[[#This Row],[Years of Experience]]="","",IF(AND(tblSalaries[[#This Row],[Years of Experience]]&gt;5,tblSalaries[[#This Row],[Years of Experience]]&lt;=10),1,""))</f>
        <v>1</v>
      </c>
      <c r="Q830" t="str">
        <f>IF(tblSalaries[[#This Row],[Years of Experience]]="","",IF(AND(tblSalaries[[#This Row],[Years of Experience]]&gt;10,tblSalaries[[#This Row],[Years of Experience]]&lt;=15),1,""))</f>
        <v/>
      </c>
      <c r="R830" t="str">
        <f>IF(tblSalaries[[#This Row],[Years of Experience]]="","",IF(AND(tblSalaries[[#This Row],[Years of Experience]]&gt;16,tblSalaries[[#This Row],[Years of Experience]]&lt;=20),1,""))</f>
        <v/>
      </c>
      <c r="S830" t="str">
        <f>IF(tblSalaries[[#This Row],[Years of Experience]]="","",IF(tblSalaries[[#This Row],[Years of Experience]]&gt;20,1,""))</f>
        <v/>
      </c>
      <c r="T8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30" s="13" t="str">
        <f>IF(tblSalaries[[#This Row],[Job Type]]=tblSalaries[[#Headers],[Accountant]],tblSalaries[[#This Row],[Salary in USD]],"")</f>
        <v/>
      </c>
      <c r="V830" s="13">
        <f>IF(tblSalaries[[#This Row],[Job Type]]=tblSalaries[[#Headers],[Analyst]],tblSalaries[[#This Row],[Salary in USD]],"")</f>
        <v>6000</v>
      </c>
      <c r="W830" s="13" t="str">
        <f>IF(tblSalaries[[#This Row],[Job Type]]=tblSalaries[[#Headers],[Consultant]],tblSalaries[[#This Row],[Salary in USD]],"")</f>
        <v/>
      </c>
      <c r="X830" s="13" t="str">
        <f>IF(tblSalaries[[#This Row],[Job Type]]=tblSalaries[[#Headers],[Controller]],tblSalaries[[#This Row],[Salary in USD]],"")</f>
        <v/>
      </c>
      <c r="Y830" s="13" t="str">
        <f>IF(tblSalaries[[#This Row],[Job Type]]=tblSalaries[[#Headers],[CXO or Top Mgmt.]],tblSalaries[[#This Row],[clean Salary (in local currency)]],"")</f>
        <v/>
      </c>
      <c r="Z830" s="13" t="str">
        <f>IF(tblSalaries[[#This Row],[Job Type]]=tblSalaries[[#Headers],[Engineer]],tblSalaries[[#This Row],[Salary in USD]],"")</f>
        <v/>
      </c>
      <c r="AA830" s="13" t="str">
        <f>IF(tblSalaries[[#This Row],[Job Type]]=tblSalaries[[#Headers],[Manager]],tblSalaries[[#This Row],[Salary in USD]],"")</f>
        <v/>
      </c>
      <c r="AB830" s="13" t="str">
        <f>IF(tblSalaries[[#This Row],[Job Type]]=tblSalaries[[#Headers],[Misc.]],tblSalaries[[#This Row],[Salary in USD]],"")</f>
        <v/>
      </c>
      <c r="AC830" s="13" t="str">
        <f>IF(tblSalaries[[#This Row],[Job Type]]=tblSalaries[[#Headers],[Reporting]],tblSalaries[[#This Row],[Salary in USD]],"")</f>
        <v/>
      </c>
      <c r="AD830" s="13" t="str">
        <f>IF(tblSalaries[[#This Row],[Job Type]]=tblSalaries[[#Headers],[Specialist]],tblSalaries[[#This Row],[Salary in USD]],"")</f>
        <v/>
      </c>
    </row>
    <row r="831" spans="2:30" ht="15" customHeight="1" x14ac:dyDescent="0.25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 s="9">
        <f>tblSalaries[[#This Row],[clean Salary (in local currency)]]*VLOOKUP(tblSalaries[[#This Row],[Currency]],tblXrate[],2,FALSE)</f>
        <v>30000</v>
      </c>
      <c r="H831" t="s">
        <v>721</v>
      </c>
      <c r="I831" t="s">
        <v>3999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  <c r="N831">
        <f>IF(tblSalaries[[#This Row],[Years of Experience]]="","",IF(tblSalaries[[#This Row],[Years of Experience]]&lt;=2,1,""))</f>
        <v>1</v>
      </c>
      <c r="O831" t="str">
        <f>IF(tblSalaries[[#This Row],[Years of Experience]]="","",IF(AND(tblSalaries[[#This Row],[Years of Experience]]&gt;2,tblSalaries[[#This Row],[Years of Experience]]&lt;=5),1,""))</f>
        <v/>
      </c>
      <c r="P831" t="str">
        <f>IF(tblSalaries[[#This Row],[Years of Experience]]="","",IF(AND(tblSalaries[[#This Row],[Years of Experience]]&gt;5,tblSalaries[[#This Row],[Years of Experience]]&lt;=10),1,""))</f>
        <v/>
      </c>
      <c r="Q831" t="str">
        <f>IF(tblSalaries[[#This Row],[Years of Experience]]="","",IF(AND(tblSalaries[[#This Row],[Years of Experience]]&gt;10,tblSalaries[[#This Row],[Years of Experience]]&lt;=15),1,""))</f>
        <v/>
      </c>
      <c r="R831" t="str">
        <f>IF(tblSalaries[[#This Row],[Years of Experience]]="","",IF(AND(tblSalaries[[#This Row],[Years of Experience]]&gt;16,tblSalaries[[#This Row],[Years of Experience]]&lt;=20),1,""))</f>
        <v/>
      </c>
      <c r="S831" t="str">
        <f>IF(tblSalaries[[#This Row],[Years of Experience]]="","",IF(tblSalaries[[#This Row],[Years of Experience]]&gt;20,1,""))</f>
        <v/>
      </c>
      <c r="T8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31" s="13" t="str">
        <f>IF(tblSalaries[[#This Row],[Job Type]]=tblSalaries[[#Headers],[Accountant]],tblSalaries[[#This Row],[Salary in USD]],"")</f>
        <v/>
      </c>
      <c r="V831" s="13" t="str">
        <f>IF(tblSalaries[[#This Row],[Job Type]]=tblSalaries[[#Headers],[Analyst]],tblSalaries[[#This Row],[Salary in USD]],"")</f>
        <v/>
      </c>
      <c r="W831" s="13" t="str">
        <f>IF(tblSalaries[[#This Row],[Job Type]]=tblSalaries[[#Headers],[Consultant]],tblSalaries[[#This Row],[Salary in USD]],"")</f>
        <v/>
      </c>
      <c r="X831" s="13" t="str">
        <f>IF(tblSalaries[[#This Row],[Job Type]]=tblSalaries[[#Headers],[Controller]],tblSalaries[[#This Row],[Salary in USD]],"")</f>
        <v/>
      </c>
      <c r="Y831" s="13" t="str">
        <f>IF(tblSalaries[[#This Row],[Job Type]]=tblSalaries[[#Headers],[CXO or Top Mgmt.]],tblSalaries[[#This Row],[clean Salary (in local currency)]],"")</f>
        <v/>
      </c>
      <c r="Z831" s="13" t="str">
        <f>IF(tblSalaries[[#This Row],[Job Type]]=tblSalaries[[#Headers],[Engineer]],tblSalaries[[#This Row],[Salary in USD]],"")</f>
        <v/>
      </c>
      <c r="AA831" s="13" t="str">
        <f>IF(tblSalaries[[#This Row],[Job Type]]=tblSalaries[[#Headers],[Manager]],tblSalaries[[#This Row],[Salary in USD]],"")</f>
        <v/>
      </c>
      <c r="AB831" s="13" t="str">
        <f>IF(tblSalaries[[#This Row],[Job Type]]=tblSalaries[[#Headers],[Misc.]],tblSalaries[[#This Row],[Salary in USD]],"")</f>
        <v/>
      </c>
      <c r="AC831" s="13">
        <f>IF(tblSalaries[[#This Row],[Job Type]]=tblSalaries[[#Headers],[Reporting]],tblSalaries[[#This Row],[Salary in USD]],"")</f>
        <v>30000</v>
      </c>
      <c r="AD831" s="13" t="str">
        <f>IF(tblSalaries[[#This Row],[Job Type]]=tblSalaries[[#Headers],[Specialist]],tblSalaries[[#This Row],[Salary in USD]],"")</f>
        <v/>
      </c>
    </row>
    <row r="832" spans="2:30" ht="15" customHeight="1" x14ac:dyDescent="0.25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 s="9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  <c r="N832" t="str">
        <f>IF(tblSalaries[[#This Row],[Years of Experience]]="","",IF(tblSalaries[[#This Row],[Years of Experience]]&lt;=2,1,""))</f>
        <v/>
      </c>
      <c r="O832" t="str">
        <f>IF(tblSalaries[[#This Row],[Years of Experience]]="","",IF(AND(tblSalaries[[#This Row],[Years of Experience]]&gt;2,tblSalaries[[#This Row],[Years of Experience]]&lt;=5),1,""))</f>
        <v/>
      </c>
      <c r="P832" t="str">
        <f>IF(tblSalaries[[#This Row],[Years of Experience]]="","",IF(AND(tblSalaries[[#This Row],[Years of Experience]]&gt;5,tblSalaries[[#This Row],[Years of Experience]]&lt;=10),1,""))</f>
        <v/>
      </c>
      <c r="Q832" t="str">
        <f>IF(tblSalaries[[#This Row],[Years of Experience]]="","",IF(AND(tblSalaries[[#This Row],[Years of Experience]]&gt;10,tblSalaries[[#This Row],[Years of Experience]]&lt;=15),1,""))</f>
        <v/>
      </c>
      <c r="R832">
        <f>IF(tblSalaries[[#This Row],[Years of Experience]]="","",IF(AND(tblSalaries[[#This Row],[Years of Experience]]&gt;16,tblSalaries[[#This Row],[Years of Experience]]&lt;=20),1,""))</f>
        <v>1</v>
      </c>
      <c r="S832" t="str">
        <f>IF(tblSalaries[[#This Row],[Years of Experience]]="","",IF(tblSalaries[[#This Row],[Years of Experience]]&gt;20,1,""))</f>
        <v/>
      </c>
      <c r="T8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32" s="13" t="str">
        <f>IF(tblSalaries[[#This Row],[Job Type]]=tblSalaries[[#Headers],[Accountant]],tblSalaries[[#This Row],[Salary in USD]],"")</f>
        <v/>
      </c>
      <c r="V832" s="13" t="str">
        <f>IF(tblSalaries[[#This Row],[Job Type]]=tblSalaries[[#Headers],[Analyst]],tblSalaries[[#This Row],[Salary in USD]],"")</f>
        <v/>
      </c>
      <c r="W832" s="13" t="str">
        <f>IF(tblSalaries[[#This Row],[Job Type]]=tblSalaries[[#Headers],[Consultant]],tblSalaries[[#This Row],[Salary in USD]],"")</f>
        <v/>
      </c>
      <c r="X832" s="13">
        <f>IF(tblSalaries[[#This Row],[Job Type]]=tblSalaries[[#Headers],[Controller]],tblSalaries[[#This Row],[Salary in USD]],"")</f>
        <v>157617.8272067284</v>
      </c>
      <c r="Y832" s="13" t="str">
        <f>IF(tblSalaries[[#This Row],[Job Type]]=tblSalaries[[#Headers],[CXO or Top Mgmt.]],tblSalaries[[#This Row],[clean Salary (in local currency)]],"")</f>
        <v/>
      </c>
      <c r="Z832" s="13" t="str">
        <f>IF(tblSalaries[[#This Row],[Job Type]]=tblSalaries[[#Headers],[Engineer]],tblSalaries[[#This Row],[Salary in USD]],"")</f>
        <v/>
      </c>
      <c r="AA832" s="13" t="str">
        <f>IF(tblSalaries[[#This Row],[Job Type]]=tblSalaries[[#Headers],[Manager]],tblSalaries[[#This Row],[Salary in USD]],"")</f>
        <v/>
      </c>
      <c r="AB832" s="13" t="str">
        <f>IF(tblSalaries[[#This Row],[Job Type]]=tblSalaries[[#Headers],[Misc.]],tblSalaries[[#This Row],[Salary in USD]],"")</f>
        <v/>
      </c>
      <c r="AC832" s="13" t="str">
        <f>IF(tblSalaries[[#This Row],[Job Type]]=tblSalaries[[#Headers],[Reporting]],tblSalaries[[#This Row],[Salary in USD]],"")</f>
        <v/>
      </c>
      <c r="AD832" s="13" t="str">
        <f>IF(tblSalaries[[#This Row],[Job Type]]=tblSalaries[[#Headers],[Specialist]],tblSalaries[[#This Row],[Salary in USD]],"")</f>
        <v/>
      </c>
    </row>
    <row r="833" spans="2:30" ht="15" customHeight="1" x14ac:dyDescent="0.25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 s="9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  <c r="N833" t="str">
        <f>IF(tblSalaries[[#This Row],[Years of Experience]]="","",IF(tblSalaries[[#This Row],[Years of Experience]]&lt;=2,1,""))</f>
        <v/>
      </c>
      <c r="O833" t="str">
        <f>IF(tblSalaries[[#This Row],[Years of Experience]]="","",IF(AND(tblSalaries[[#This Row],[Years of Experience]]&gt;2,tblSalaries[[#This Row],[Years of Experience]]&lt;=5),1,""))</f>
        <v/>
      </c>
      <c r="P833" t="str">
        <f>IF(tblSalaries[[#This Row],[Years of Experience]]="","",IF(AND(tblSalaries[[#This Row],[Years of Experience]]&gt;5,tblSalaries[[#This Row],[Years of Experience]]&lt;=10),1,""))</f>
        <v/>
      </c>
      <c r="Q833" t="str">
        <f>IF(tblSalaries[[#This Row],[Years of Experience]]="","",IF(AND(tblSalaries[[#This Row],[Years of Experience]]&gt;10,tblSalaries[[#This Row],[Years of Experience]]&lt;=15),1,""))</f>
        <v/>
      </c>
      <c r="R833">
        <f>IF(tblSalaries[[#This Row],[Years of Experience]]="","",IF(AND(tblSalaries[[#This Row],[Years of Experience]]&gt;16,tblSalaries[[#This Row],[Years of Experience]]&lt;=20),1,""))</f>
        <v>1</v>
      </c>
      <c r="S833" t="str">
        <f>IF(tblSalaries[[#This Row],[Years of Experience]]="","",IF(tblSalaries[[#This Row],[Years of Experience]]&gt;20,1,""))</f>
        <v/>
      </c>
      <c r="T8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33" s="13" t="str">
        <f>IF(tblSalaries[[#This Row],[Job Type]]=tblSalaries[[#Headers],[Accountant]],tblSalaries[[#This Row],[Salary in USD]],"")</f>
        <v/>
      </c>
      <c r="V833" s="13" t="str">
        <f>IF(tblSalaries[[#This Row],[Job Type]]=tblSalaries[[#Headers],[Analyst]],tblSalaries[[#This Row],[Salary in USD]],"")</f>
        <v/>
      </c>
      <c r="W833" s="13" t="str">
        <f>IF(tblSalaries[[#This Row],[Job Type]]=tblSalaries[[#Headers],[Consultant]],tblSalaries[[#This Row],[Salary in USD]],"")</f>
        <v/>
      </c>
      <c r="X833" s="13" t="str">
        <f>IF(tblSalaries[[#This Row],[Job Type]]=tblSalaries[[#Headers],[Controller]],tblSalaries[[#This Row],[Salary in USD]],"")</f>
        <v/>
      </c>
      <c r="Y833" s="13" t="str">
        <f>IF(tblSalaries[[#This Row],[Job Type]]=tblSalaries[[#Headers],[CXO or Top Mgmt.]],tblSalaries[[#This Row],[clean Salary (in local currency)]],"")</f>
        <v/>
      </c>
      <c r="Z833" s="13" t="str">
        <f>IF(tblSalaries[[#This Row],[Job Type]]=tblSalaries[[#Headers],[Engineer]],tblSalaries[[#This Row],[Salary in USD]],"")</f>
        <v/>
      </c>
      <c r="AA833" s="13">
        <f>IF(tblSalaries[[#This Row],[Job Type]]=tblSalaries[[#Headers],[Manager]],tblSalaries[[#This Row],[Salary in USD]],"")</f>
        <v>21369.500024931083</v>
      </c>
      <c r="AB833" s="13" t="str">
        <f>IF(tblSalaries[[#This Row],[Job Type]]=tblSalaries[[#Headers],[Misc.]],tblSalaries[[#This Row],[Salary in USD]],"")</f>
        <v/>
      </c>
      <c r="AC833" s="13" t="str">
        <f>IF(tblSalaries[[#This Row],[Job Type]]=tblSalaries[[#Headers],[Reporting]],tblSalaries[[#This Row],[Salary in USD]],"")</f>
        <v/>
      </c>
      <c r="AD833" s="13" t="str">
        <f>IF(tblSalaries[[#This Row],[Job Type]]=tblSalaries[[#Headers],[Specialist]],tblSalaries[[#This Row],[Salary in USD]],"")</f>
        <v/>
      </c>
    </row>
    <row r="834" spans="2:30" ht="15" customHeight="1" x14ac:dyDescent="0.25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 s="9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3999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  <c r="N834">
        <f>IF(tblSalaries[[#This Row],[Years of Experience]]="","",IF(tblSalaries[[#This Row],[Years of Experience]]&lt;=2,1,""))</f>
        <v>1</v>
      </c>
      <c r="O834" t="str">
        <f>IF(tblSalaries[[#This Row],[Years of Experience]]="","",IF(AND(tblSalaries[[#This Row],[Years of Experience]]&gt;2,tblSalaries[[#This Row],[Years of Experience]]&lt;=5),1,""))</f>
        <v/>
      </c>
      <c r="P834" t="str">
        <f>IF(tblSalaries[[#This Row],[Years of Experience]]="","",IF(AND(tblSalaries[[#This Row],[Years of Experience]]&gt;5,tblSalaries[[#This Row],[Years of Experience]]&lt;=10),1,""))</f>
        <v/>
      </c>
      <c r="Q834" t="str">
        <f>IF(tblSalaries[[#This Row],[Years of Experience]]="","",IF(AND(tblSalaries[[#This Row],[Years of Experience]]&gt;10,tblSalaries[[#This Row],[Years of Experience]]&lt;=15),1,""))</f>
        <v/>
      </c>
      <c r="R834" t="str">
        <f>IF(tblSalaries[[#This Row],[Years of Experience]]="","",IF(AND(tblSalaries[[#This Row],[Years of Experience]]&gt;16,tblSalaries[[#This Row],[Years of Experience]]&lt;=20),1,""))</f>
        <v/>
      </c>
      <c r="S834" t="str">
        <f>IF(tblSalaries[[#This Row],[Years of Experience]]="","",IF(tblSalaries[[#This Row],[Years of Experience]]&gt;20,1,""))</f>
        <v/>
      </c>
      <c r="T8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34" s="13" t="str">
        <f>IF(tblSalaries[[#This Row],[Job Type]]=tblSalaries[[#Headers],[Accountant]],tblSalaries[[#This Row],[Salary in USD]],"")</f>
        <v/>
      </c>
      <c r="V834" s="13" t="str">
        <f>IF(tblSalaries[[#This Row],[Job Type]]=tblSalaries[[#Headers],[Analyst]],tblSalaries[[#This Row],[Salary in USD]],"")</f>
        <v/>
      </c>
      <c r="W834" s="13" t="str">
        <f>IF(tblSalaries[[#This Row],[Job Type]]=tblSalaries[[#Headers],[Consultant]],tblSalaries[[#This Row],[Salary in USD]],"")</f>
        <v/>
      </c>
      <c r="X834" s="13" t="str">
        <f>IF(tblSalaries[[#This Row],[Job Type]]=tblSalaries[[#Headers],[Controller]],tblSalaries[[#This Row],[Salary in USD]],"")</f>
        <v/>
      </c>
      <c r="Y834" s="13" t="str">
        <f>IF(tblSalaries[[#This Row],[Job Type]]=tblSalaries[[#Headers],[CXO or Top Mgmt.]],tblSalaries[[#This Row],[clean Salary (in local currency)]],"")</f>
        <v/>
      </c>
      <c r="Z834" s="13" t="str">
        <f>IF(tblSalaries[[#This Row],[Job Type]]=tblSalaries[[#Headers],[Engineer]],tblSalaries[[#This Row],[Salary in USD]],"")</f>
        <v/>
      </c>
      <c r="AA834" s="13" t="str">
        <f>IF(tblSalaries[[#This Row],[Job Type]]=tblSalaries[[#Headers],[Manager]],tblSalaries[[#This Row],[Salary in USD]],"")</f>
        <v/>
      </c>
      <c r="AB834" s="13" t="str">
        <f>IF(tblSalaries[[#This Row],[Job Type]]=tblSalaries[[#Headers],[Misc.]],tblSalaries[[#This Row],[Salary in USD]],"")</f>
        <v/>
      </c>
      <c r="AC834" s="13">
        <f>IF(tblSalaries[[#This Row],[Job Type]]=tblSalaries[[#Headers],[Reporting]],tblSalaries[[#This Row],[Salary in USD]],"")</f>
        <v>3561.5833374885137</v>
      </c>
      <c r="AD834" s="13" t="str">
        <f>IF(tblSalaries[[#This Row],[Job Type]]=tblSalaries[[#Headers],[Specialist]],tblSalaries[[#This Row],[Salary in USD]],"")</f>
        <v/>
      </c>
    </row>
    <row r="835" spans="2:30" ht="15" customHeight="1" x14ac:dyDescent="0.25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 s="9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  <c r="N835">
        <f>IF(tblSalaries[[#This Row],[Years of Experience]]="","",IF(tblSalaries[[#This Row],[Years of Experience]]&lt;=2,1,""))</f>
        <v>1</v>
      </c>
      <c r="O835" t="str">
        <f>IF(tblSalaries[[#This Row],[Years of Experience]]="","",IF(AND(tblSalaries[[#This Row],[Years of Experience]]&gt;2,tblSalaries[[#This Row],[Years of Experience]]&lt;=5),1,""))</f>
        <v/>
      </c>
      <c r="P835" t="str">
        <f>IF(tblSalaries[[#This Row],[Years of Experience]]="","",IF(AND(tblSalaries[[#This Row],[Years of Experience]]&gt;5,tblSalaries[[#This Row],[Years of Experience]]&lt;=10),1,""))</f>
        <v/>
      </c>
      <c r="Q835" t="str">
        <f>IF(tblSalaries[[#This Row],[Years of Experience]]="","",IF(AND(tblSalaries[[#This Row],[Years of Experience]]&gt;10,tblSalaries[[#This Row],[Years of Experience]]&lt;=15),1,""))</f>
        <v/>
      </c>
      <c r="R835" t="str">
        <f>IF(tblSalaries[[#This Row],[Years of Experience]]="","",IF(AND(tblSalaries[[#This Row],[Years of Experience]]&gt;16,tblSalaries[[#This Row],[Years of Experience]]&lt;=20),1,""))</f>
        <v/>
      </c>
      <c r="S835" t="str">
        <f>IF(tblSalaries[[#This Row],[Years of Experience]]="","",IF(tblSalaries[[#This Row],[Years of Experience]]&gt;20,1,""))</f>
        <v/>
      </c>
      <c r="T8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35" s="13" t="str">
        <f>IF(tblSalaries[[#This Row],[Job Type]]=tblSalaries[[#Headers],[Accountant]],tblSalaries[[#This Row],[Salary in USD]],"")</f>
        <v/>
      </c>
      <c r="V835" s="13" t="str">
        <f>IF(tblSalaries[[#This Row],[Job Type]]=tblSalaries[[#Headers],[Analyst]],tblSalaries[[#This Row],[Salary in USD]],"")</f>
        <v/>
      </c>
      <c r="W835" s="13" t="str">
        <f>IF(tblSalaries[[#This Row],[Job Type]]=tblSalaries[[#Headers],[Consultant]],tblSalaries[[#This Row],[Salary in USD]],"")</f>
        <v/>
      </c>
      <c r="X835" s="13" t="str">
        <f>IF(tblSalaries[[#This Row],[Job Type]]=tblSalaries[[#Headers],[Controller]],tblSalaries[[#This Row],[Salary in USD]],"")</f>
        <v/>
      </c>
      <c r="Y835" s="13" t="str">
        <f>IF(tblSalaries[[#This Row],[Job Type]]=tblSalaries[[#Headers],[CXO or Top Mgmt.]],tblSalaries[[#This Row],[clean Salary (in local currency)]],"")</f>
        <v/>
      </c>
      <c r="Z835" s="13" t="str">
        <f>IF(tblSalaries[[#This Row],[Job Type]]=tblSalaries[[#Headers],[Engineer]],tblSalaries[[#This Row],[Salary in USD]],"")</f>
        <v/>
      </c>
      <c r="AA835" s="13">
        <f>IF(tblSalaries[[#This Row],[Job Type]]=tblSalaries[[#Headers],[Manager]],tblSalaries[[#This Row],[Salary in USD]],"")</f>
        <v>5000</v>
      </c>
      <c r="AB835" s="13" t="str">
        <f>IF(tblSalaries[[#This Row],[Job Type]]=tblSalaries[[#Headers],[Misc.]],tblSalaries[[#This Row],[Salary in USD]],"")</f>
        <v/>
      </c>
      <c r="AC835" s="13" t="str">
        <f>IF(tblSalaries[[#This Row],[Job Type]]=tblSalaries[[#Headers],[Reporting]],tblSalaries[[#This Row],[Salary in USD]],"")</f>
        <v/>
      </c>
      <c r="AD835" s="13" t="str">
        <f>IF(tblSalaries[[#This Row],[Job Type]]=tblSalaries[[#Headers],[Specialist]],tblSalaries[[#This Row],[Salary in USD]],"")</f>
        <v/>
      </c>
    </row>
    <row r="836" spans="2:30" ht="15" customHeight="1" x14ac:dyDescent="0.25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 s="9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  <c r="N836">
        <f>IF(tblSalaries[[#This Row],[Years of Experience]]="","",IF(tblSalaries[[#This Row],[Years of Experience]]&lt;=2,1,""))</f>
        <v>1</v>
      </c>
      <c r="O836" t="str">
        <f>IF(tblSalaries[[#This Row],[Years of Experience]]="","",IF(AND(tblSalaries[[#This Row],[Years of Experience]]&gt;2,tblSalaries[[#This Row],[Years of Experience]]&lt;=5),1,""))</f>
        <v/>
      </c>
      <c r="P836" t="str">
        <f>IF(tblSalaries[[#This Row],[Years of Experience]]="","",IF(AND(tblSalaries[[#This Row],[Years of Experience]]&gt;5,tblSalaries[[#This Row],[Years of Experience]]&lt;=10),1,""))</f>
        <v/>
      </c>
      <c r="Q836" t="str">
        <f>IF(tblSalaries[[#This Row],[Years of Experience]]="","",IF(AND(tblSalaries[[#This Row],[Years of Experience]]&gt;10,tblSalaries[[#This Row],[Years of Experience]]&lt;=15),1,""))</f>
        <v/>
      </c>
      <c r="R836" t="str">
        <f>IF(tblSalaries[[#This Row],[Years of Experience]]="","",IF(AND(tblSalaries[[#This Row],[Years of Experience]]&gt;16,tblSalaries[[#This Row],[Years of Experience]]&lt;=20),1,""))</f>
        <v/>
      </c>
      <c r="S836" t="str">
        <f>IF(tblSalaries[[#This Row],[Years of Experience]]="","",IF(tblSalaries[[#This Row],[Years of Experience]]&gt;20,1,""))</f>
        <v/>
      </c>
      <c r="T8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36" s="13" t="str">
        <f>IF(tblSalaries[[#This Row],[Job Type]]=tblSalaries[[#Headers],[Accountant]],tblSalaries[[#This Row],[Salary in USD]],"")</f>
        <v/>
      </c>
      <c r="V836" s="13">
        <f>IF(tblSalaries[[#This Row],[Job Type]]=tblSalaries[[#Headers],[Analyst]],tblSalaries[[#This Row],[Salary in USD]],"")</f>
        <v>3561.5833374885137</v>
      </c>
      <c r="W836" s="13" t="str">
        <f>IF(tblSalaries[[#This Row],[Job Type]]=tblSalaries[[#Headers],[Consultant]],tblSalaries[[#This Row],[Salary in USD]],"")</f>
        <v/>
      </c>
      <c r="X836" s="13" t="str">
        <f>IF(tblSalaries[[#This Row],[Job Type]]=tblSalaries[[#Headers],[Controller]],tblSalaries[[#This Row],[Salary in USD]],"")</f>
        <v/>
      </c>
      <c r="Y836" s="13" t="str">
        <f>IF(tblSalaries[[#This Row],[Job Type]]=tblSalaries[[#Headers],[CXO or Top Mgmt.]],tblSalaries[[#This Row],[clean Salary (in local currency)]],"")</f>
        <v/>
      </c>
      <c r="Z836" s="13" t="str">
        <f>IF(tblSalaries[[#This Row],[Job Type]]=tblSalaries[[#Headers],[Engineer]],tblSalaries[[#This Row],[Salary in USD]],"")</f>
        <v/>
      </c>
      <c r="AA836" s="13" t="str">
        <f>IF(tblSalaries[[#This Row],[Job Type]]=tblSalaries[[#Headers],[Manager]],tblSalaries[[#This Row],[Salary in USD]],"")</f>
        <v/>
      </c>
      <c r="AB836" s="13" t="str">
        <f>IF(tblSalaries[[#This Row],[Job Type]]=tblSalaries[[#Headers],[Misc.]],tblSalaries[[#This Row],[Salary in USD]],"")</f>
        <v/>
      </c>
      <c r="AC836" s="13" t="str">
        <f>IF(tblSalaries[[#This Row],[Job Type]]=tblSalaries[[#Headers],[Reporting]],tblSalaries[[#This Row],[Salary in USD]],"")</f>
        <v/>
      </c>
      <c r="AD836" s="13" t="str">
        <f>IF(tblSalaries[[#This Row],[Job Type]]=tblSalaries[[#Headers],[Specialist]],tblSalaries[[#This Row],[Salary in USD]],"")</f>
        <v/>
      </c>
    </row>
    <row r="837" spans="2:30" ht="15" customHeight="1" x14ac:dyDescent="0.25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 s="9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  <c r="N837" t="str">
        <f>IF(tblSalaries[[#This Row],[Years of Experience]]="","",IF(tblSalaries[[#This Row],[Years of Experience]]&lt;=2,1,""))</f>
        <v/>
      </c>
      <c r="O837" t="str">
        <f>IF(tblSalaries[[#This Row],[Years of Experience]]="","",IF(AND(tblSalaries[[#This Row],[Years of Experience]]&gt;2,tblSalaries[[#This Row],[Years of Experience]]&lt;=5),1,""))</f>
        <v/>
      </c>
      <c r="P837">
        <f>IF(tblSalaries[[#This Row],[Years of Experience]]="","",IF(AND(tblSalaries[[#This Row],[Years of Experience]]&gt;5,tblSalaries[[#This Row],[Years of Experience]]&lt;=10),1,""))</f>
        <v>1</v>
      </c>
      <c r="Q837" t="str">
        <f>IF(tblSalaries[[#This Row],[Years of Experience]]="","",IF(AND(tblSalaries[[#This Row],[Years of Experience]]&gt;10,tblSalaries[[#This Row],[Years of Experience]]&lt;=15),1,""))</f>
        <v/>
      </c>
      <c r="R837" t="str">
        <f>IF(tblSalaries[[#This Row],[Years of Experience]]="","",IF(AND(tblSalaries[[#This Row],[Years of Experience]]&gt;16,tblSalaries[[#This Row],[Years of Experience]]&lt;=20),1,""))</f>
        <v/>
      </c>
      <c r="S837" t="str">
        <f>IF(tblSalaries[[#This Row],[Years of Experience]]="","",IF(tblSalaries[[#This Row],[Years of Experience]]&gt;20,1,""))</f>
        <v/>
      </c>
      <c r="T8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37" s="13">
        <f>IF(tblSalaries[[#This Row],[Job Type]]=tblSalaries[[#Headers],[Accountant]],tblSalaries[[#This Row],[Salary in USD]],"")</f>
        <v>38111.983169748237</v>
      </c>
      <c r="V837" s="13" t="str">
        <f>IF(tblSalaries[[#This Row],[Job Type]]=tblSalaries[[#Headers],[Analyst]],tblSalaries[[#This Row],[Salary in USD]],"")</f>
        <v/>
      </c>
      <c r="W837" s="13" t="str">
        <f>IF(tblSalaries[[#This Row],[Job Type]]=tblSalaries[[#Headers],[Consultant]],tblSalaries[[#This Row],[Salary in USD]],"")</f>
        <v/>
      </c>
      <c r="X837" s="13" t="str">
        <f>IF(tblSalaries[[#This Row],[Job Type]]=tblSalaries[[#Headers],[Controller]],tblSalaries[[#This Row],[Salary in USD]],"")</f>
        <v/>
      </c>
      <c r="Y837" s="13" t="str">
        <f>IF(tblSalaries[[#This Row],[Job Type]]=tblSalaries[[#Headers],[CXO or Top Mgmt.]],tblSalaries[[#This Row],[clean Salary (in local currency)]],"")</f>
        <v/>
      </c>
      <c r="Z837" s="13" t="str">
        <f>IF(tblSalaries[[#This Row],[Job Type]]=tblSalaries[[#Headers],[Engineer]],tblSalaries[[#This Row],[Salary in USD]],"")</f>
        <v/>
      </c>
      <c r="AA837" s="13" t="str">
        <f>IF(tblSalaries[[#This Row],[Job Type]]=tblSalaries[[#Headers],[Manager]],tblSalaries[[#This Row],[Salary in USD]],"")</f>
        <v/>
      </c>
      <c r="AB837" s="13" t="str">
        <f>IF(tblSalaries[[#This Row],[Job Type]]=tblSalaries[[#Headers],[Misc.]],tblSalaries[[#This Row],[Salary in USD]],"")</f>
        <v/>
      </c>
      <c r="AC837" s="13" t="str">
        <f>IF(tblSalaries[[#This Row],[Job Type]]=tblSalaries[[#Headers],[Reporting]],tblSalaries[[#This Row],[Salary in USD]],"")</f>
        <v/>
      </c>
      <c r="AD837" s="13" t="str">
        <f>IF(tblSalaries[[#This Row],[Job Type]]=tblSalaries[[#Headers],[Specialist]],tblSalaries[[#This Row],[Salary in USD]],"")</f>
        <v/>
      </c>
    </row>
    <row r="838" spans="2:30" ht="15" customHeight="1" x14ac:dyDescent="0.25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 s="9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  <c r="N838" t="str">
        <f>IF(tblSalaries[[#This Row],[Years of Experience]]="","",IF(tblSalaries[[#This Row],[Years of Experience]]&lt;=2,1,""))</f>
        <v/>
      </c>
      <c r="O838" t="str">
        <f>IF(tblSalaries[[#This Row],[Years of Experience]]="","",IF(AND(tblSalaries[[#This Row],[Years of Experience]]&gt;2,tblSalaries[[#This Row],[Years of Experience]]&lt;=5),1,""))</f>
        <v/>
      </c>
      <c r="P838">
        <f>IF(tblSalaries[[#This Row],[Years of Experience]]="","",IF(AND(tblSalaries[[#This Row],[Years of Experience]]&gt;5,tblSalaries[[#This Row],[Years of Experience]]&lt;=10),1,""))</f>
        <v>1</v>
      </c>
      <c r="Q838" t="str">
        <f>IF(tblSalaries[[#This Row],[Years of Experience]]="","",IF(AND(tblSalaries[[#This Row],[Years of Experience]]&gt;10,tblSalaries[[#This Row],[Years of Experience]]&lt;=15),1,""))</f>
        <v/>
      </c>
      <c r="R838" t="str">
        <f>IF(tblSalaries[[#This Row],[Years of Experience]]="","",IF(AND(tblSalaries[[#This Row],[Years of Experience]]&gt;16,tblSalaries[[#This Row],[Years of Experience]]&lt;=20),1,""))</f>
        <v/>
      </c>
      <c r="S838" t="str">
        <f>IF(tblSalaries[[#This Row],[Years of Experience]]="","",IF(tblSalaries[[#This Row],[Years of Experience]]&gt;20,1,""))</f>
        <v/>
      </c>
      <c r="T8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38" s="13" t="str">
        <f>IF(tblSalaries[[#This Row],[Job Type]]=tblSalaries[[#Headers],[Accountant]],tblSalaries[[#This Row],[Salary in USD]],"")</f>
        <v/>
      </c>
      <c r="V838" s="13">
        <f>IF(tblSalaries[[#This Row],[Job Type]]=tblSalaries[[#Headers],[Analyst]],tblSalaries[[#This Row],[Salary in USD]],"")</f>
        <v>17807.916687442568</v>
      </c>
      <c r="W838" s="13" t="str">
        <f>IF(tblSalaries[[#This Row],[Job Type]]=tblSalaries[[#Headers],[Consultant]],tblSalaries[[#This Row],[Salary in USD]],"")</f>
        <v/>
      </c>
      <c r="X838" s="13" t="str">
        <f>IF(tblSalaries[[#This Row],[Job Type]]=tblSalaries[[#Headers],[Controller]],tblSalaries[[#This Row],[Salary in USD]],"")</f>
        <v/>
      </c>
      <c r="Y838" s="13" t="str">
        <f>IF(tblSalaries[[#This Row],[Job Type]]=tblSalaries[[#Headers],[CXO or Top Mgmt.]],tblSalaries[[#This Row],[clean Salary (in local currency)]],"")</f>
        <v/>
      </c>
      <c r="Z838" s="13" t="str">
        <f>IF(tblSalaries[[#This Row],[Job Type]]=tblSalaries[[#Headers],[Engineer]],tblSalaries[[#This Row],[Salary in USD]],"")</f>
        <v/>
      </c>
      <c r="AA838" s="13" t="str">
        <f>IF(tblSalaries[[#This Row],[Job Type]]=tblSalaries[[#Headers],[Manager]],tblSalaries[[#This Row],[Salary in USD]],"")</f>
        <v/>
      </c>
      <c r="AB838" s="13" t="str">
        <f>IF(tblSalaries[[#This Row],[Job Type]]=tblSalaries[[#Headers],[Misc.]],tblSalaries[[#This Row],[Salary in USD]],"")</f>
        <v/>
      </c>
      <c r="AC838" s="13" t="str">
        <f>IF(tblSalaries[[#This Row],[Job Type]]=tblSalaries[[#Headers],[Reporting]],tblSalaries[[#This Row],[Salary in USD]],"")</f>
        <v/>
      </c>
      <c r="AD838" s="13" t="str">
        <f>IF(tblSalaries[[#This Row],[Job Type]]=tblSalaries[[#Headers],[Specialist]],tblSalaries[[#This Row],[Salary in USD]],"")</f>
        <v/>
      </c>
    </row>
    <row r="839" spans="2:30" ht="15" customHeight="1" x14ac:dyDescent="0.25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 s="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  <c r="N839" t="str">
        <f>IF(tblSalaries[[#This Row],[Years of Experience]]="","",IF(tblSalaries[[#This Row],[Years of Experience]]&lt;=2,1,""))</f>
        <v/>
      </c>
      <c r="O839">
        <f>IF(tblSalaries[[#This Row],[Years of Experience]]="","",IF(AND(tblSalaries[[#This Row],[Years of Experience]]&gt;2,tblSalaries[[#This Row],[Years of Experience]]&lt;=5),1,""))</f>
        <v>1</v>
      </c>
      <c r="P839" t="str">
        <f>IF(tblSalaries[[#This Row],[Years of Experience]]="","",IF(AND(tblSalaries[[#This Row],[Years of Experience]]&gt;5,tblSalaries[[#This Row],[Years of Experience]]&lt;=10),1,""))</f>
        <v/>
      </c>
      <c r="Q839" t="str">
        <f>IF(tblSalaries[[#This Row],[Years of Experience]]="","",IF(AND(tblSalaries[[#This Row],[Years of Experience]]&gt;10,tblSalaries[[#This Row],[Years of Experience]]&lt;=15),1,""))</f>
        <v/>
      </c>
      <c r="R839" t="str">
        <f>IF(tblSalaries[[#This Row],[Years of Experience]]="","",IF(AND(tblSalaries[[#This Row],[Years of Experience]]&gt;16,tblSalaries[[#This Row],[Years of Experience]]&lt;=20),1,""))</f>
        <v/>
      </c>
      <c r="S839" t="str">
        <f>IF(tblSalaries[[#This Row],[Years of Experience]]="","",IF(tblSalaries[[#This Row],[Years of Experience]]&gt;20,1,""))</f>
        <v/>
      </c>
      <c r="T8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39" s="13" t="str">
        <f>IF(tblSalaries[[#This Row],[Job Type]]=tblSalaries[[#Headers],[Accountant]],tblSalaries[[#This Row],[Salary in USD]],"")</f>
        <v/>
      </c>
      <c r="V839" s="13">
        <f>IF(tblSalaries[[#This Row],[Job Type]]=tblSalaries[[#Headers],[Analyst]],tblSalaries[[#This Row],[Salary in USD]],"")</f>
        <v>11575.14584683767</v>
      </c>
      <c r="W839" s="13" t="str">
        <f>IF(tblSalaries[[#This Row],[Job Type]]=tblSalaries[[#Headers],[Consultant]],tblSalaries[[#This Row],[Salary in USD]],"")</f>
        <v/>
      </c>
      <c r="X839" s="13" t="str">
        <f>IF(tblSalaries[[#This Row],[Job Type]]=tblSalaries[[#Headers],[Controller]],tblSalaries[[#This Row],[Salary in USD]],"")</f>
        <v/>
      </c>
      <c r="Y839" s="13" t="str">
        <f>IF(tblSalaries[[#This Row],[Job Type]]=tblSalaries[[#Headers],[CXO or Top Mgmt.]],tblSalaries[[#This Row],[clean Salary (in local currency)]],"")</f>
        <v/>
      </c>
      <c r="Z839" s="13" t="str">
        <f>IF(tblSalaries[[#This Row],[Job Type]]=tblSalaries[[#Headers],[Engineer]],tblSalaries[[#This Row],[Salary in USD]],"")</f>
        <v/>
      </c>
      <c r="AA839" s="13" t="str">
        <f>IF(tblSalaries[[#This Row],[Job Type]]=tblSalaries[[#Headers],[Manager]],tblSalaries[[#This Row],[Salary in USD]],"")</f>
        <v/>
      </c>
      <c r="AB839" s="13" t="str">
        <f>IF(tblSalaries[[#This Row],[Job Type]]=tblSalaries[[#Headers],[Misc.]],tblSalaries[[#This Row],[Salary in USD]],"")</f>
        <v/>
      </c>
      <c r="AC839" s="13" t="str">
        <f>IF(tblSalaries[[#This Row],[Job Type]]=tblSalaries[[#Headers],[Reporting]],tblSalaries[[#This Row],[Salary in USD]],"")</f>
        <v/>
      </c>
      <c r="AD839" s="13" t="str">
        <f>IF(tblSalaries[[#This Row],[Job Type]]=tblSalaries[[#Headers],[Specialist]],tblSalaries[[#This Row],[Salary in USD]],"")</f>
        <v/>
      </c>
    </row>
    <row r="840" spans="2:30" ht="15" customHeight="1" x14ac:dyDescent="0.25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 s="9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  <c r="N840" t="str">
        <f>IF(tblSalaries[[#This Row],[Years of Experience]]="","",IF(tblSalaries[[#This Row],[Years of Experience]]&lt;=2,1,""))</f>
        <v/>
      </c>
      <c r="O840" t="str">
        <f>IF(tblSalaries[[#This Row],[Years of Experience]]="","",IF(AND(tblSalaries[[#This Row],[Years of Experience]]&gt;2,tblSalaries[[#This Row],[Years of Experience]]&lt;=5),1,""))</f>
        <v/>
      </c>
      <c r="P840">
        <f>IF(tblSalaries[[#This Row],[Years of Experience]]="","",IF(AND(tblSalaries[[#This Row],[Years of Experience]]&gt;5,tblSalaries[[#This Row],[Years of Experience]]&lt;=10),1,""))</f>
        <v>1</v>
      </c>
      <c r="Q840" t="str">
        <f>IF(tblSalaries[[#This Row],[Years of Experience]]="","",IF(AND(tblSalaries[[#This Row],[Years of Experience]]&gt;10,tblSalaries[[#This Row],[Years of Experience]]&lt;=15),1,""))</f>
        <v/>
      </c>
      <c r="R840" t="str">
        <f>IF(tblSalaries[[#This Row],[Years of Experience]]="","",IF(AND(tblSalaries[[#This Row],[Years of Experience]]&gt;16,tblSalaries[[#This Row],[Years of Experience]]&lt;=20),1,""))</f>
        <v/>
      </c>
      <c r="S840" t="str">
        <f>IF(tblSalaries[[#This Row],[Years of Experience]]="","",IF(tblSalaries[[#This Row],[Years of Experience]]&gt;20,1,""))</f>
        <v/>
      </c>
      <c r="T8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40" s="13" t="str">
        <f>IF(tblSalaries[[#This Row],[Job Type]]=tblSalaries[[#Headers],[Accountant]],tblSalaries[[#This Row],[Salary in USD]],"")</f>
        <v/>
      </c>
      <c r="V840" s="13" t="str">
        <f>IF(tblSalaries[[#This Row],[Job Type]]=tblSalaries[[#Headers],[Analyst]],tblSalaries[[#This Row],[Salary in USD]],"")</f>
        <v/>
      </c>
      <c r="W840" s="13" t="str">
        <f>IF(tblSalaries[[#This Row],[Job Type]]=tblSalaries[[#Headers],[Consultant]],tblSalaries[[#This Row],[Salary in USD]],"")</f>
        <v/>
      </c>
      <c r="X840" s="13" t="str">
        <f>IF(tblSalaries[[#This Row],[Job Type]]=tblSalaries[[#Headers],[Controller]],tblSalaries[[#This Row],[Salary in USD]],"")</f>
        <v/>
      </c>
      <c r="Y840" s="13" t="str">
        <f>IF(tblSalaries[[#This Row],[Job Type]]=tblSalaries[[#Headers],[CXO or Top Mgmt.]],tblSalaries[[#This Row],[clean Salary (in local currency)]],"")</f>
        <v/>
      </c>
      <c r="Z840" s="13" t="str">
        <f>IF(tblSalaries[[#This Row],[Job Type]]=tblSalaries[[#Headers],[Engineer]],tblSalaries[[#This Row],[Salary in USD]],"")</f>
        <v/>
      </c>
      <c r="AA840" s="13">
        <f>IF(tblSalaries[[#This Row],[Job Type]]=tblSalaries[[#Headers],[Manager]],tblSalaries[[#This Row],[Salary in USD]],"")</f>
        <v>98336.152303032693</v>
      </c>
      <c r="AB840" s="13" t="str">
        <f>IF(tblSalaries[[#This Row],[Job Type]]=tblSalaries[[#Headers],[Misc.]],tblSalaries[[#This Row],[Salary in USD]],"")</f>
        <v/>
      </c>
      <c r="AC840" s="13" t="str">
        <f>IF(tblSalaries[[#This Row],[Job Type]]=tblSalaries[[#Headers],[Reporting]],tblSalaries[[#This Row],[Salary in USD]],"")</f>
        <v/>
      </c>
      <c r="AD840" s="13" t="str">
        <f>IF(tblSalaries[[#This Row],[Job Type]]=tblSalaries[[#Headers],[Specialist]],tblSalaries[[#This Row],[Salary in USD]],"")</f>
        <v/>
      </c>
    </row>
    <row r="841" spans="2:30" ht="15" customHeight="1" x14ac:dyDescent="0.25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 s="9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  <c r="N841" t="str">
        <f>IF(tblSalaries[[#This Row],[Years of Experience]]="","",IF(tblSalaries[[#This Row],[Years of Experience]]&lt;=2,1,""))</f>
        <v/>
      </c>
      <c r="O841" t="str">
        <f>IF(tblSalaries[[#This Row],[Years of Experience]]="","",IF(AND(tblSalaries[[#This Row],[Years of Experience]]&gt;2,tblSalaries[[#This Row],[Years of Experience]]&lt;=5),1,""))</f>
        <v/>
      </c>
      <c r="P841" t="str">
        <f>IF(tblSalaries[[#This Row],[Years of Experience]]="","",IF(AND(tblSalaries[[#This Row],[Years of Experience]]&gt;5,tblSalaries[[#This Row],[Years of Experience]]&lt;=10),1,""))</f>
        <v/>
      </c>
      <c r="Q841">
        <f>IF(tblSalaries[[#This Row],[Years of Experience]]="","",IF(AND(tblSalaries[[#This Row],[Years of Experience]]&gt;10,tblSalaries[[#This Row],[Years of Experience]]&lt;=15),1,""))</f>
        <v>1</v>
      </c>
      <c r="R841" t="str">
        <f>IF(tblSalaries[[#This Row],[Years of Experience]]="","",IF(AND(tblSalaries[[#This Row],[Years of Experience]]&gt;16,tblSalaries[[#This Row],[Years of Experience]]&lt;=20),1,""))</f>
        <v/>
      </c>
      <c r="S841" t="str">
        <f>IF(tblSalaries[[#This Row],[Years of Experience]]="","",IF(tblSalaries[[#This Row],[Years of Experience]]&gt;20,1,""))</f>
        <v/>
      </c>
      <c r="T8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41" s="13" t="str">
        <f>IF(tblSalaries[[#This Row],[Job Type]]=tblSalaries[[#Headers],[Accountant]],tblSalaries[[#This Row],[Salary in USD]],"")</f>
        <v/>
      </c>
      <c r="V841" s="13">
        <f>IF(tblSalaries[[#This Row],[Job Type]]=tblSalaries[[#Headers],[Analyst]],tblSalaries[[#This Row],[Salary in USD]],"")</f>
        <v>92500</v>
      </c>
      <c r="W841" s="13" t="str">
        <f>IF(tblSalaries[[#This Row],[Job Type]]=tblSalaries[[#Headers],[Consultant]],tblSalaries[[#This Row],[Salary in USD]],"")</f>
        <v/>
      </c>
      <c r="X841" s="13" t="str">
        <f>IF(tblSalaries[[#This Row],[Job Type]]=tblSalaries[[#Headers],[Controller]],tblSalaries[[#This Row],[Salary in USD]],"")</f>
        <v/>
      </c>
      <c r="Y841" s="13" t="str">
        <f>IF(tblSalaries[[#This Row],[Job Type]]=tblSalaries[[#Headers],[CXO or Top Mgmt.]],tblSalaries[[#This Row],[clean Salary (in local currency)]],"")</f>
        <v/>
      </c>
      <c r="Z841" s="13" t="str">
        <f>IF(tblSalaries[[#This Row],[Job Type]]=tblSalaries[[#Headers],[Engineer]],tblSalaries[[#This Row],[Salary in USD]],"")</f>
        <v/>
      </c>
      <c r="AA841" s="13" t="str">
        <f>IF(tblSalaries[[#This Row],[Job Type]]=tblSalaries[[#Headers],[Manager]],tblSalaries[[#This Row],[Salary in USD]],"")</f>
        <v/>
      </c>
      <c r="AB841" s="13" t="str">
        <f>IF(tblSalaries[[#This Row],[Job Type]]=tblSalaries[[#Headers],[Misc.]],tblSalaries[[#This Row],[Salary in USD]],"")</f>
        <v/>
      </c>
      <c r="AC841" s="13" t="str">
        <f>IF(tblSalaries[[#This Row],[Job Type]]=tblSalaries[[#Headers],[Reporting]],tblSalaries[[#This Row],[Salary in USD]],"")</f>
        <v/>
      </c>
      <c r="AD841" s="13" t="str">
        <f>IF(tblSalaries[[#This Row],[Job Type]]=tblSalaries[[#Headers],[Specialist]],tblSalaries[[#This Row],[Salary in USD]],"")</f>
        <v/>
      </c>
    </row>
    <row r="842" spans="2:30" ht="15" customHeight="1" x14ac:dyDescent="0.25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 s="9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  <c r="N842">
        <f>IF(tblSalaries[[#This Row],[Years of Experience]]="","",IF(tblSalaries[[#This Row],[Years of Experience]]&lt;=2,1,""))</f>
        <v>1</v>
      </c>
      <c r="O842" t="str">
        <f>IF(tblSalaries[[#This Row],[Years of Experience]]="","",IF(AND(tblSalaries[[#This Row],[Years of Experience]]&gt;2,tblSalaries[[#This Row],[Years of Experience]]&lt;=5),1,""))</f>
        <v/>
      </c>
      <c r="P842" t="str">
        <f>IF(tblSalaries[[#This Row],[Years of Experience]]="","",IF(AND(tblSalaries[[#This Row],[Years of Experience]]&gt;5,tblSalaries[[#This Row],[Years of Experience]]&lt;=10),1,""))</f>
        <v/>
      </c>
      <c r="Q842" t="str">
        <f>IF(tblSalaries[[#This Row],[Years of Experience]]="","",IF(AND(tblSalaries[[#This Row],[Years of Experience]]&gt;10,tblSalaries[[#This Row],[Years of Experience]]&lt;=15),1,""))</f>
        <v/>
      </c>
      <c r="R842" t="str">
        <f>IF(tblSalaries[[#This Row],[Years of Experience]]="","",IF(AND(tblSalaries[[#This Row],[Years of Experience]]&gt;16,tblSalaries[[#This Row],[Years of Experience]]&lt;=20),1,""))</f>
        <v/>
      </c>
      <c r="S842" t="str">
        <f>IF(tblSalaries[[#This Row],[Years of Experience]]="","",IF(tblSalaries[[#This Row],[Years of Experience]]&gt;20,1,""))</f>
        <v/>
      </c>
      <c r="T8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42" s="13" t="str">
        <f>IF(tblSalaries[[#This Row],[Job Type]]=tblSalaries[[#Headers],[Accountant]],tblSalaries[[#This Row],[Salary in USD]],"")</f>
        <v/>
      </c>
      <c r="V842" s="13">
        <f>IF(tblSalaries[[#This Row],[Job Type]]=tblSalaries[[#Headers],[Analyst]],tblSalaries[[#This Row],[Salary in USD]],"")</f>
        <v>9794.354178093412</v>
      </c>
      <c r="W842" s="13" t="str">
        <f>IF(tblSalaries[[#This Row],[Job Type]]=tblSalaries[[#Headers],[Consultant]],tblSalaries[[#This Row],[Salary in USD]],"")</f>
        <v/>
      </c>
      <c r="X842" s="13" t="str">
        <f>IF(tblSalaries[[#This Row],[Job Type]]=tblSalaries[[#Headers],[Controller]],tblSalaries[[#This Row],[Salary in USD]],"")</f>
        <v/>
      </c>
      <c r="Y842" s="13" t="str">
        <f>IF(tblSalaries[[#This Row],[Job Type]]=tblSalaries[[#Headers],[CXO or Top Mgmt.]],tblSalaries[[#This Row],[clean Salary (in local currency)]],"")</f>
        <v/>
      </c>
      <c r="Z842" s="13" t="str">
        <f>IF(tblSalaries[[#This Row],[Job Type]]=tblSalaries[[#Headers],[Engineer]],tblSalaries[[#This Row],[Salary in USD]],"")</f>
        <v/>
      </c>
      <c r="AA842" s="13" t="str">
        <f>IF(tblSalaries[[#This Row],[Job Type]]=tblSalaries[[#Headers],[Manager]],tblSalaries[[#This Row],[Salary in USD]],"")</f>
        <v/>
      </c>
      <c r="AB842" s="13" t="str">
        <f>IF(tblSalaries[[#This Row],[Job Type]]=tblSalaries[[#Headers],[Misc.]],tblSalaries[[#This Row],[Salary in USD]],"")</f>
        <v/>
      </c>
      <c r="AC842" s="13" t="str">
        <f>IF(tblSalaries[[#This Row],[Job Type]]=tblSalaries[[#Headers],[Reporting]],tblSalaries[[#This Row],[Salary in USD]],"")</f>
        <v/>
      </c>
      <c r="AD842" s="13" t="str">
        <f>IF(tblSalaries[[#This Row],[Job Type]]=tblSalaries[[#Headers],[Specialist]],tblSalaries[[#This Row],[Salary in USD]],"")</f>
        <v/>
      </c>
    </row>
    <row r="843" spans="2:30" ht="15" customHeight="1" x14ac:dyDescent="0.25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 s="9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  <c r="N843">
        <f>IF(tblSalaries[[#This Row],[Years of Experience]]="","",IF(tblSalaries[[#This Row],[Years of Experience]]&lt;=2,1,""))</f>
        <v>1</v>
      </c>
      <c r="O843" t="str">
        <f>IF(tblSalaries[[#This Row],[Years of Experience]]="","",IF(AND(tblSalaries[[#This Row],[Years of Experience]]&gt;2,tblSalaries[[#This Row],[Years of Experience]]&lt;=5),1,""))</f>
        <v/>
      </c>
      <c r="P843" t="str">
        <f>IF(tblSalaries[[#This Row],[Years of Experience]]="","",IF(AND(tblSalaries[[#This Row],[Years of Experience]]&gt;5,tblSalaries[[#This Row],[Years of Experience]]&lt;=10),1,""))</f>
        <v/>
      </c>
      <c r="Q843" t="str">
        <f>IF(tblSalaries[[#This Row],[Years of Experience]]="","",IF(AND(tblSalaries[[#This Row],[Years of Experience]]&gt;10,tblSalaries[[#This Row],[Years of Experience]]&lt;=15),1,""))</f>
        <v/>
      </c>
      <c r="R843" t="str">
        <f>IF(tblSalaries[[#This Row],[Years of Experience]]="","",IF(AND(tblSalaries[[#This Row],[Years of Experience]]&gt;16,tblSalaries[[#This Row],[Years of Experience]]&lt;=20),1,""))</f>
        <v/>
      </c>
      <c r="S843" t="str">
        <f>IF(tblSalaries[[#This Row],[Years of Experience]]="","",IF(tblSalaries[[#This Row],[Years of Experience]]&gt;20,1,""))</f>
        <v/>
      </c>
      <c r="T8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43" s="13" t="str">
        <f>IF(tblSalaries[[#This Row],[Job Type]]=tblSalaries[[#Headers],[Accountant]],tblSalaries[[#This Row],[Salary in USD]],"")</f>
        <v/>
      </c>
      <c r="V843" s="13" t="str">
        <f>IF(tblSalaries[[#This Row],[Job Type]]=tblSalaries[[#Headers],[Analyst]],tblSalaries[[#This Row],[Salary in USD]],"")</f>
        <v/>
      </c>
      <c r="W843" s="13" t="str">
        <f>IF(tblSalaries[[#This Row],[Job Type]]=tblSalaries[[#Headers],[Consultant]],tblSalaries[[#This Row],[Salary in USD]],"")</f>
        <v/>
      </c>
      <c r="X843" s="13" t="str">
        <f>IF(tblSalaries[[#This Row],[Job Type]]=tblSalaries[[#Headers],[Controller]],tblSalaries[[#This Row],[Salary in USD]],"")</f>
        <v/>
      </c>
      <c r="Y843" s="13" t="str">
        <f>IF(tblSalaries[[#This Row],[Job Type]]=tblSalaries[[#Headers],[CXO or Top Mgmt.]],tblSalaries[[#This Row],[clean Salary (in local currency)]],"")</f>
        <v/>
      </c>
      <c r="Z843" s="13" t="str">
        <f>IF(tblSalaries[[#This Row],[Job Type]]=tblSalaries[[#Headers],[Engineer]],tblSalaries[[#This Row],[Salary in USD]],"")</f>
        <v/>
      </c>
      <c r="AA843" s="13">
        <f>IF(tblSalaries[[#This Row],[Job Type]]=tblSalaries[[#Headers],[Manager]],tblSalaries[[#This Row],[Salary in USD]],"")</f>
        <v>32000</v>
      </c>
      <c r="AB843" s="13" t="str">
        <f>IF(tblSalaries[[#This Row],[Job Type]]=tblSalaries[[#Headers],[Misc.]],tblSalaries[[#This Row],[Salary in USD]],"")</f>
        <v/>
      </c>
      <c r="AC843" s="13" t="str">
        <f>IF(tblSalaries[[#This Row],[Job Type]]=tblSalaries[[#Headers],[Reporting]],tblSalaries[[#This Row],[Salary in USD]],"")</f>
        <v/>
      </c>
      <c r="AD843" s="13" t="str">
        <f>IF(tblSalaries[[#This Row],[Job Type]]=tblSalaries[[#Headers],[Specialist]],tblSalaries[[#This Row],[Salary in USD]],"")</f>
        <v/>
      </c>
    </row>
    <row r="844" spans="2:30" ht="15" customHeight="1" x14ac:dyDescent="0.25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 s="9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  <c r="N844" t="str">
        <f>IF(tblSalaries[[#This Row],[Years of Experience]]="","",IF(tblSalaries[[#This Row],[Years of Experience]]&lt;=2,1,""))</f>
        <v/>
      </c>
      <c r="O844" t="str">
        <f>IF(tblSalaries[[#This Row],[Years of Experience]]="","",IF(AND(tblSalaries[[#This Row],[Years of Experience]]&gt;2,tblSalaries[[#This Row],[Years of Experience]]&lt;=5),1,""))</f>
        <v/>
      </c>
      <c r="P844">
        <f>IF(tblSalaries[[#This Row],[Years of Experience]]="","",IF(AND(tblSalaries[[#This Row],[Years of Experience]]&gt;5,tblSalaries[[#This Row],[Years of Experience]]&lt;=10),1,""))</f>
        <v>1</v>
      </c>
      <c r="Q844" t="str">
        <f>IF(tblSalaries[[#This Row],[Years of Experience]]="","",IF(AND(tblSalaries[[#This Row],[Years of Experience]]&gt;10,tblSalaries[[#This Row],[Years of Experience]]&lt;=15),1,""))</f>
        <v/>
      </c>
      <c r="R844" t="str">
        <f>IF(tblSalaries[[#This Row],[Years of Experience]]="","",IF(AND(tblSalaries[[#This Row],[Years of Experience]]&gt;16,tblSalaries[[#This Row],[Years of Experience]]&lt;=20),1,""))</f>
        <v/>
      </c>
      <c r="S844" t="str">
        <f>IF(tblSalaries[[#This Row],[Years of Experience]]="","",IF(tblSalaries[[#This Row],[Years of Experience]]&gt;20,1,""))</f>
        <v/>
      </c>
      <c r="T8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44" s="13" t="str">
        <f>IF(tblSalaries[[#This Row],[Job Type]]=tblSalaries[[#Headers],[Accountant]],tblSalaries[[#This Row],[Salary in USD]],"")</f>
        <v/>
      </c>
      <c r="V844" s="13">
        <f>IF(tblSalaries[[#This Row],[Job Type]]=tblSalaries[[#Headers],[Analyst]],tblSalaries[[#This Row],[Salary in USD]],"")</f>
        <v>55000</v>
      </c>
      <c r="W844" s="13" t="str">
        <f>IF(tblSalaries[[#This Row],[Job Type]]=tblSalaries[[#Headers],[Consultant]],tblSalaries[[#This Row],[Salary in USD]],"")</f>
        <v/>
      </c>
      <c r="X844" s="13" t="str">
        <f>IF(tblSalaries[[#This Row],[Job Type]]=tblSalaries[[#Headers],[Controller]],tblSalaries[[#This Row],[Salary in USD]],"")</f>
        <v/>
      </c>
      <c r="Y844" s="13" t="str">
        <f>IF(tblSalaries[[#This Row],[Job Type]]=tblSalaries[[#Headers],[CXO or Top Mgmt.]],tblSalaries[[#This Row],[clean Salary (in local currency)]],"")</f>
        <v/>
      </c>
      <c r="Z844" s="13" t="str">
        <f>IF(tblSalaries[[#This Row],[Job Type]]=tblSalaries[[#Headers],[Engineer]],tblSalaries[[#This Row],[Salary in USD]],"")</f>
        <v/>
      </c>
      <c r="AA844" s="13" t="str">
        <f>IF(tblSalaries[[#This Row],[Job Type]]=tblSalaries[[#Headers],[Manager]],tblSalaries[[#This Row],[Salary in USD]],"")</f>
        <v/>
      </c>
      <c r="AB844" s="13" t="str">
        <f>IF(tblSalaries[[#This Row],[Job Type]]=tblSalaries[[#Headers],[Misc.]],tblSalaries[[#This Row],[Salary in USD]],"")</f>
        <v/>
      </c>
      <c r="AC844" s="13" t="str">
        <f>IF(tblSalaries[[#This Row],[Job Type]]=tblSalaries[[#Headers],[Reporting]],tblSalaries[[#This Row],[Salary in USD]],"")</f>
        <v/>
      </c>
      <c r="AD844" s="13" t="str">
        <f>IF(tblSalaries[[#This Row],[Job Type]]=tblSalaries[[#Headers],[Specialist]],tblSalaries[[#This Row],[Salary in USD]],"")</f>
        <v/>
      </c>
    </row>
    <row r="845" spans="2:30" ht="15" customHeight="1" x14ac:dyDescent="0.25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 s="9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  <c r="N845" t="str">
        <f>IF(tblSalaries[[#This Row],[Years of Experience]]="","",IF(tblSalaries[[#This Row],[Years of Experience]]&lt;=2,1,""))</f>
        <v/>
      </c>
      <c r="O845">
        <f>IF(tblSalaries[[#This Row],[Years of Experience]]="","",IF(AND(tblSalaries[[#This Row],[Years of Experience]]&gt;2,tblSalaries[[#This Row],[Years of Experience]]&lt;=5),1,""))</f>
        <v>1</v>
      </c>
      <c r="P845" t="str">
        <f>IF(tblSalaries[[#This Row],[Years of Experience]]="","",IF(AND(tblSalaries[[#This Row],[Years of Experience]]&gt;5,tblSalaries[[#This Row],[Years of Experience]]&lt;=10),1,""))</f>
        <v/>
      </c>
      <c r="Q845" t="str">
        <f>IF(tblSalaries[[#This Row],[Years of Experience]]="","",IF(AND(tblSalaries[[#This Row],[Years of Experience]]&gt;10,tblSalaries[[#This Row],[Years of Experience]]&lt;=15),1,""))</f>
        <v/>
      </c>
      <c r="R845" t="str">
        <f>IF(tblSalaries[[#This Row],[Years of Experience]]="","",IF(AND(tblSalaries[[#This Row],[Years of Experience]]&gt;16,tblSalaries[[#This Row],[Years of Experience]]&lt;=20),1,""))</f>
        <v/>
      </c>
      <c r="S845" t="str">
        <f>IF(tblSalaries[[#This Row],[Years of Experience]]="","",IF(tblSalaries[[#This Row],[Years of Experience]]&gt;20,1,""))</f>
        <v/>
      </c>
      <c r="T8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45" s="13" t="str">
        <f>IF(tblSalaries[[#This Row],[Job Type]]=tblSalaries[[#Headers],[Accountant]],tblSalaries[[#This Row],[Salary in USD]],"")</f>
        <v/>
      </c>
      <c r="V845" s="13">
        <f>IF(tblSalaries[[#This Row],[Job Type]]=tblSalaries[[#Headers],[Analyst]],tblSalaries[[#This Row],[Salary in USD]],"")</f>
        <v>40000</v>
      </c>
      <c r="W845" s="13" t="str">
        <f>IF(tblSalaries[[#This Row],[Job Type]]=tblSalaries[[#Headers],[Consultant]],tblSalaries[[#This Row],[Salary in USD]],"")</f>
        <v/>
      </c>
      <c r="X845" s="13" t="str">
        <f>IF(tblSalaries[[#This Row],[Job Type]]=tblSalaries[[#Headers],[Controller]],tblSalaries[[#This Row],[Salary in USD]],"")</f>
        <v/>
      </c>
      <c r="Y845" s="13" t="str">
        <f>IF(tblSalaries[[#This Row],[Job Type]]=tblSalaries[[#Headers],[CXO or Top Mgmt.]],tblSalaries[[#This Row],[clean Salary (in local currency)]],"")</f>
        <v/>
      </c>
      <c r="Z845" s="13" t="str">
        <f>IF(tblSalaries[[#This Row],[Job Type]]=tblSalaries[[#Headers],[Engineer]],tblSalaries[[#This Row],[Salary in USD]],"")</f>
        <v/>
      </c>
      <c r="AA845" s="13" t="str">
        <f>IF(tblSalaries[[#This Row],[Job Type]]=tblSalaries[[#Headers],[Manager]],tblSalaries[[#This Row],[Salary in USD]],"")</f>
        <v/>
      </c>
      <c r="AB845" s="13" t="str">
        <f>IF(tblSalaries[[#This Row],[Job Type]]=tblSalaries[[#Headers],[Misc.]],tblSalaries[[#This Row],[Salary in USD]],"")</f>
        <v/>
      </c>
      <c r="AC845" s="13" t="str">
        <f>IF(tblSalaries[[#This Row],[Job Type]]=tblSalaries[[#Headers],[Reporting]],tblSalaries[[#This Row],[Salary in USD]],"")</f>
        <v/>
      </c>
      <c r="AD845" s="13" t="str">
        <f>IF(tblSalaries[[#This Row],[Job Type]]=tblSalaries[[#Headers],[Specialist]],tblSalaries[[#This Row],[Salary in USD]],"")</f>
        <v/>
      </c>
    </row>
    <row r="846" spans="2:30" ht="15" customHeight="1" x14ac:dyDescent="0.25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 s="9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  <c r="N846">
        <f>IF(tblSalaries[[#This Row],[Years of Experience]]="","",IF(tblSalaries[[#This Row],[Years of Experience]]&lt;=2,1,""))</f>
        <v>1</v>
      </c>
      <c r="O846" t="str">
        <f>IF(tblSalaries[[#This Row],[Years of Experience]]="","",IF(AND(tblSalaries[[#This Row],[Years of Experience]]&gt;2,tblSalaries[[#This Row],[Years of Experience]]&lt;=5),1,""))</f>
        <v/>
      </c>
      <c r="P846" t="str">
        <f>IF(tblSalaries[[#This Row],[Years of Experience]]="","",IF(AND(tblSalaries[[#This Row],[Years of Experience]]&gt;5,tblSalaries[[#This Row],[Years of Experience]]&lt;=10),1,""))</f>
        <v/>
      </c>
      <c r="Q846" t="str">
        <f>IF(tblSalaries[[#This Row],[Years of Experience]]="","",IF(AND(tblSalaries[[#This Row],[Years of Experience]]&gt;10,tblSalaries[[#This Row],[Years of Experience]]&lt;=15),1,""))</f>
        <v/>
      </c>
      <c r="R846" t="str">
        <f>IF(tblSalaries[[#This Row],[Years of Experience]]="","",IF(AND(tblSalaries[[#This Row],[Years of Experience]]&gt;16,tblSalaries[[#This Row],[Years of Experience]]&lt;=20),1,""))</f>
        <v/>
      </c>
      <c r="S846" t="str">
        <f>IF(tblSalaries[[#This Row],[Years of Experience]]="","",IF(tblSalaries[[#This Row],[Years of Experience]]&gt;20,1,""))</f>
        <v/>
      </c>
      <c r="T8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46" s="13" t="str">
        <f>IF(tblSalaries[[#This Row],[Job Type]]=tblSalaries[[#Headers],[Accountant]],tblSalaries[[#This Row],[Salary in USD]],"")</f>
        <v/>
      </c>
      <c r="V846" s="13">
        <f>IF(tblSalaries[[#This Row],[Job Type]]=tblSalaries[[#Headers],[Analyst]],tblSalaries[[#This Row],[Salary in USD]],"")</f>
        <v>3000</v>
      </c>
      <c r="W846" s="13" t="str">
        <f>IF(tblSalaries[[#This Row],[Job Type]]=tblSalaries[[#Headers],[Consultant]],tblSalaries[[#This Row],[Salary in USD]],"")</f>
        <v/>
      </c>
      <c r="X846" s="13" t="str">
        <f>IF(tblSalaries[[#This Row],[Job Type]]=tblSalaries[[#Headers],[Controller]],tblSalaries[[#This Row],[Salary in USD]],"")</f>
        <v/>
      </c>
      <c r="Y846" s="13" t="str">
        <f>IF(tblSalaries[[#This Row],[Job Type]]=tblSalaries[[#Headers],[CXO or Top Mgmt.]],tblSalaries[[#This Row],[clean Salary (in local currency)]],"")</f>
        <v/>
      </c>
      <c r="Z846" s="13" t="str">
        <f>IF(tblSalaries[[#This Row],[Job Type]]=tblSalaries[[#Headers],[Engineer]],tblSalaries[[#This Row],[Salary in USD]],"")</f>
        <v/>
      </c>
      <c r="AA846" s="13" t="str">
        <f>IF(tblSalaries[[#This Row],[Job Type]]=tblSalaries[[#Headers],[Manager]],tblSalaries[[#This Row],[Salary in USD]],"")</f>
        <v/>
      </c>
      <c r="AB846" s="13" t="str">
        <f>IF(tblSalaries[[#This Row],[Job Type]]=tblSalaries[[#Headers],[Misc.]],tblSalaries[[#This Row],[Salary in USD]],"")</f>
        <v/>
      </c>
      <c r="AC846" s="13" t="str">
        <f>IF(tblSalaries[[#This Row],[Job Type]]=tblSalaries[[#Headers],[Reporting]],tblSalaries[[#This Row],[Salary in USD]],"")</f>
        <v/>
      </c>
      <c r="AD846" s="13" t="str">
        <f>IF(tblSalaries[[#This Row],[Job Type]]=tblSalaries[[#Headers],[Specialist]],tblSalaries[[#This Row],[Salary in USD]],"")</f>
        <v/>
      </c>
    </row>
    <row r="847" spans="2:30" ht="15" customHeight="1" x14ac:dyDescent="0.25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 s="9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  <c r="N847" t="str">
        <f>IF(tblSalaries[[#This Row],[Years of Experience]]="","",IF(tblSalaries[[#This Row],[Years of Experience]]&lt;=2,1,""))</f>
        <v/>
      </c>
      <c r="O847">
        <f>IF(tblSalaries[[#This Row],[Years of Experience]]="","",IF(AND(tblSalaries[[#This Row],[Years of Experience]]&gt;2,tblSalaries[[#This Row],[Years of Experience]]&lt;=5),1,""))</f>
        <v>1</v>
      </c>
      <c r="P847" t="str">
        <f>IF(tblSalaries[[#This Row],[Years of Experience]]="","",IF(AND(tblSalaries[[#This Row],[Years of Experience]]&gt;5,tblSalaries[[#This Row],[Years of Experience]]&lt;=10),1,""))</f>
        <v/>
      </c>
      <c r="Q847" t="str">
        <f>IF(tblSalaries[[#This Row],[Years of Experience]]="","",IF(AND(tblSalaries[[#This Row],[Years of Experience]]&gt;10,tblSalaries[[#This Row],[Years of Experience]]&lt;=15),1,""))</f>
        <v/>
      </c>
      <c r="R847" t="str">
        <f>IF(tblSalaries[[#This Row],[Years of Experience]]="","",IF(AND(tblSalaries[[#This Row],[Years of Experience]]&gt;16,tblSalaries[[#This Row],[Years of Experience]]&lt;=20),1,""))</f>
        <v/>
      </c>
      <c r="S847" t="str">
        <f>IF(tblSalaries[[#This Row],[Years of Experience]]="","",IF(tblSalaries[[#This Row],[Years of Experience]]&gt;20,1,""))</f>
        <v/>
      </c>
      <c r="T8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47" s="13" t="str">
        <f>IF(tblSalaries[[#This Row],[Job Type]]=tblSalaries[[#Headers],[Accountant]],tblSalaries[[#This Row],[Salary in USD]],"")</f>
        <v/>
      </c>
      <c r="V847" s="13">
        <f>IF(tblSalaries[[#This Row],[Job Type]]=tblSalaries[[#Headers],[Analyst]],tblSalaries[[#This Row],[Salary in USD]],"")</f>
        <v>43600</v>
      </c>
      <c r="W847" s="13" t="str">
        <f>IF(tblSalaries[[#This Row],[Job Type]]=tblSalaries[[#Headers],[Consultant]],tblSalaries[[#This Row],[Salary in USD]],"")</f>
        <v/>
      </c>
      <c r="X847" s="13" t="str">
        <f>IF(tblSalaries[[#This Row],[Job Type]]=tblSalaries[[#Headers],[Controller]],tblSalaries[[#This Row],[Salary in USD]],"")</f>
        <v/>
      </c>
      <c r="Y847" s="13" t="str">
        <f>IF(tblSalaries[[#This Row],[Job Type]]=tblSalaries[[#Headers],[CXO or Top Mgmt.]],tblSalaries[[#This Row],[clean Salary (in local currency)]],"")</f>
        <v/>
      </c>
      <c r="Z847" s="13" t="str">
        <f>IF(tblSalaries[[#This Row],[Job Type]]=tblSalaries[[#Headers],[Engineer]],tblSalaries[[#This Row],[Salary in USD]],"")</f>
        <v/>
      </c>
      <c r="AA847" s="13" t="str">
        <f>IF(tblSalaries[[#This Row],[Job Type]]=tblSalaries[[#Headers],[Manager]],tblSalaries[[#This Row],[Salary in USD]],"")</f>
        <v/>
      </c>
      <c r="AB847" s="13" t="str">
        <f>IF(tblSalaries[[#This Row],[Job Type]]=tblSalaries[[#Headers],[Misc.]],tblSalaries[[#This Row],[Salary in USD]],"")</f>
        <v/>
      </c>
      <c r="AC847" s="13" t="str">
        <f>IF(tblSalaries[[#This Row],[Job Type]]=tblSalaries[[#Headers],[Reporting]],tblSalaries[[#This Row],[Salary in USD]],"")</f>
        <v/>
      </c>
      <c r="AD847" s="13" t="str">
        <f>IF(tblSalaries[[#This Row],[Job Type]]=tblSalaries[[#Headers],[Specialist]],tblSalaries[[#This Row],[Salary in USD]],"")</f>
        <v/>
      </c>
    </row>
    <row r="848" spans="2:30" ht="15" customHeight="1" x14ac:dyDescent="0.25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 s="9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  <c r="N848" t="str">
        <f>IF(tblSalaries[[#This Row],[Years of Experience]]="","",IF(tblSalaries[[#This Row],[Years of Experience]]&lt;=2,1,""))</f>
        <v/>
      </c>
      <c r="O848" t="str">
        <f>IF(tblSalaries[[#This Row],[Years of Experience]]="","",IF(AND(tblSalaries[[#This Row],[Years of Experience]]&gt;2,tblSalaries[[#This Row],[Years of Experience]]&lt;=5),1,""))</f>
        <v/>
      </c>
      <c r="P848">
        <f>IF(tblSalaries[[#This Row],[Years of Experience]]="","",IF(AND(tblSalaries[[#This Row],[Years of Experience]]&gt;5,tblSalaries[[#This Row],[Years of Experience]]&lt;=10),1,""))</f>
        <v>1</v>
      </c>
      <c r="Q848" t="str">
        <f>IF(tblSalaries[[#This Row],[Years of Experience]]="","",IF(AND(tblSalaries[[#This Row],[Years of Experience]]&gt;10,tblSalaries[[#This Row],[Years of Experience]]&lt;=15),1,""))</f>
        <v/>
      </c>
      <c r="R848" t="str">
        <f>IF(tblSalaries[[#This Row],[Years of Experience]]="","",IF(AND(tblSalaries[[#This Row],[Years of Experience]]&gt;16,tblSalaries[[#This Row],[Years of Experience]]&lt;=20),1,""))</f>
        <v/>
      </c>
      <c r="S848" t="str">
        <f>IF(tblSalaries[[#This Row],[Years of Experience]]="","",IF(tblSalaries[[#This Row],[Years of Experience]]&gt;20,1,""))</f>
        <v/>
      </c>
      <c r="T8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48" s="13" t="str">
        <f>IF(tblSalaries[[#This Row],[Job Type]]=tblSalaries[[#Headers],[Accountant]],tblSalaries[[#This Row],[Salary in USD]],"")</f>
        <v/>
      </c>
      <c r="V848" s="13">
        <f>IF(tblSalaries[[#This Row],[Job Type]]=tblSalaries[[#Headers],[Analyst]],tblSalaries[[#This Row],[Salary in USD]],"")</f>
        <v>9616.275011218986</v>
      </c>
      <c r="W848" s="13" t="str">
        <f>IF(tblSalaries[[#This Row],[Job Type]]=tblSalaries[[#Headers],[Consultant]],tblSalaries[[#This Row],[Salary in USD]],"")</f>
        <v/>
      </c>
      <c r="X848" s="13" t="str">
        <f>IF(tblSalaries[[#This Row],[Job Type]]=tblSalaries[[#Headers],[Controller]],tblSalaries[[#This Row],[Salary in USD]],"")</f>
        <v/>
      </c>
      <c r="Y848" s="13" t="str">
        <f>IF(tblSalaries[[#This Row],[Job Type]]=tblSalaries[[#Headers],[CXO or Top Mgmt.]],tblSalaries[[#This Row],[clean Salary (in local currency)]],"")</f>
        <v/>
      </c>
      <c r="Z848" s="13" t="str">
        <f>IF(tblSalaries[[#This Row],[Job Type]]=tblSalaries[[#Headers],[Engineer]],tblSalaries[[#This Row],[Salary in USD]],"")</f>
        <v/>
      </c>
      <c r="AA848" s="13" t="str">
        <f>IF(tblSalaries[[#This Row],[Job Type]]=tblSalaries[[#Headers],[Manager]],tblSalaries[[#This Row],[Salary in USD]],"")</f>
        <v/>
      </c>
      <c r="AB848" s="13" t="str">
        <f>IF(tblSalaries[[#This Row],[Job Type]]=tblSalaries[[#Headers],[Misc.]],tblSalaries[[#This Row],[Salary in USD]],"")</f>
        <v/>
      </c>
      <c r="AC848" s="13" t="str">
        <f>IF(tblSalaries[[#This Row],[Job Type]]=tblSalaries[[#Headers],[Reporting]],tblSalaries[[#This Row],[Salary in USD]],"")</f>
        <v/>
      </c>
      <c r="AD848" s="13" t="str">
        <f>IF(tblSalaries[[#This Row],[Job Type]]=tblSalaries[[#Headers],[Specialist]],tblSalaries[[#This Row],[Salary in USD]],"")</f>
        <v/>
      </c>
    </row>
    <row r="849" spans="2:30" ht="15" customHeight="1" x14ac:dyDescent="0.25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 s="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  <c r="N849" t="str">
        <f>IF(tblSalaries[[#This Row],[Years of Experience]]="","",IF(tblSalaries[[#This Row],[Years of Experience]]&lt;=2,1,""))</f>
        <v/>
      </c>
      <c r="O849" t="str">
        <f>IF(tblSalaries[[#This Row],[Years of Experience]]="","",IF(AND(tblSalaries[[#This Row],[Years of Experience]]&gt;2,tblSalaries[[#This Row],[Years of Experience]]&lt;=5),1,""))</f>
        <v/>
      </c>
      <c r="P849">
        <f>IF(tblSalaries[[#This Row],[Years of Experience]]="","",IF(AND(tblSalaries[[#This Row],[Years of Experience]]&gt;5,tblSalaries[[#This Row],[Years of Experience]]&lt;=10),1,""))</f>
        <v>1</v>
      </c>
      <c r="Q849" t="str">
        <f>IF(tblSalaries[[#This Row],[Years of Experience]]="","",IF(AND(tblSalaries[[#This Row],[Years of Experience]]&gt;10,tblSalaries[[#This Row],[Years of Experience]]&lt;=15),1,""))</f>
        <v/>
      </c>
      <c r="R849" t="str">
        <f>IF(tblSalaries[[#This Row],[Years of Experience]]="","",IF(AND(tblSalaries[[#This Row],[Years of Experience]]&gt;16,tblSalaries[[#This Row],[Years of Experience]]&lt;=20),1,""))</f>
        <v/>
      </c>
      <c r="S849" t="str">
        <f>IF(tblSalaries[[#This Row],[Years of Experience]]="","",IF(tblSalaries[[#This Row],[Years of Experience]]&gt;20,1,""))</f>
        <v/>
      </c>
      <c r="T8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49" s="13" t="str">
        <f>IF(tblSalaries[[#This Row],[Job Type]]=tblSalaries[[#Headers],[Accountant]],tblSalaries[[#This Row],[Salary in USD]],"")</f>
        <v/>
      </c>
      <c r="V849" s="13" t="str">
        <f>IF(tblSalaries[[#This Row],[Job Type]]=tblSalaries[[#Headers],[Analyst]],tblSalaries[[#This Row],[Salary in USD]],"")</f>
        <v/>
      </c>
      <c r="W849" s="13" t="str">
        <f>IF(tblSalaries[[#This Row],[Job Type]]=tblSalaries[[#Headers],[Consultant]],tblSalaries[[#This Row],[Salary in USD]],"")</f>
        <v/>
      </c>
      <c r="X849" s="13" t="str">
        <f>IF(tblSalaries[[#This Row],[Job Type]]=tblSalaries[[#Headers],[Controller]],tblSalaries[[#This Row],[Salary in USD]],"")</f>
        <v/>
      </c>
      <c r="Y849" s="13" t="str">
        <f>IF(tblSalaries[[#This Row],[Job Type]]=tblSalaries[[#Headers],[CXO or Top Mgmt.]],tblSalaries[[#This Row],[clean Salary (in local currency)]],"")</f>
        <v/>
      </c>
      <c r="Z849" s="13" t="str">
        <f>IF(tblSalaries[[#This Row],[Job Type]]=tblSalaries[[#Headers],[Engineer]],tblSalaries[[#This Row],[Salary in USD]],"")</f>
        <v/>
      </c>
      <c r="AA849" s="13">
        <f>IF(tblSalaries[[#This Row],[Job Type]]=tblSalaries[[#Headers],[Manager]],tblSalaries[[#This Row],[Salary in USD]],"")</f>
        <v>35000</v>
      </c>
      <c r="AB849" s="13" t="str">
        <f>IF(tblSalaries[[#This Row],[Job Type]]=tblSalaries[[#Headers],[Misc.]],tblSalaries[[#This Row],[Salary in USD]],"")</f>
        <v/>
      </c>
      <c r="AC849" s="13" t="str">
        <f>IF(tblSalaries[[#This Row],[Job Type]]=tblSalaries[[#Headers],[Reporting]],tblSalaries[[#This Row],[Salary in USD]],"")</f>
        <v/>
      </c>
      <c r="AD849" s="13" t="str">
        <f>IF(tblSalaries[[#This Row],[Job Type]]=tblSalaries[[#Headers],[Specialist]],tblSalaries[[#This Row],[Salary in USD]],"")</f>
        <v/>
      </c>
    </row>
    <row r="850" spans="2:30" ht="15" customHeight="1" x14ac:dyDescent="0.25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 s="9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  <c r="N850" t="str">
        <f>IF(tblSalaries[[#This Row],[Years of Experience]]="","",IF(tblSalaries[[#This Row],[Years of Experience]]&lt;=2,1,""))</f>
        <v/>
      </c>
      <c r="O850" t="str">
        <f>IF(tblSalaries[[#This Row],[Years of Experience]]="","",IF(AND(tblSalaries[[#This Row],[Years of Experience]]&gt;2,tblSalaries[[#This Row],[Years of Experience]]&lt;=5),1,""))</f>
        <v/>
      </c>
      <c r="P850" t="str">
        <f>IF(tblSalaries[[#This Row],[Years of Experience]]="","",IF(AND(tblSalaries[[#This Row],[Years of Experience]]&gt;5,tblSalaries[[#This Row],[Years of Experience]]&lt;=10),1,""))</f>
        <v/>
      </c>
      <c r="Q850">
        <f>IF(tblSalaries[[#This Row],[Years of Experience]]="","",IF(AND(tblSalaries[[#This Row],[Years of Experience]]&gt;10,tblSalaries[[#This Row],[Years of Experience]]&lt;=15),1,""))</f>
        <v>1</v>
      </c>
      <c r="R850" t="str">
        <f>IF(tblSalaries[[#This Row],[Years of Experience]]="","",IF(AND(tblSalaries[[#This Row],[Years of Experience]]&gt;16,tblSalaries[[#This Row],[Years of Experience]]&lt;=20),1,""))</f>
        <v/>
      </c>
      <c r="S850" t="str">
        <f>IF(tblSalaries[[#This Row],[Years of Experience]]="","",IF(tblSalaries[[#This Row],[Years of Experience]]&gt;20,1,""))</f>
        <v/>
      </c>
      <c r="T8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50" s="13" t="str">
        <f>IF(tblSalaries[[#This Row],[Job Type]]=tblSalaries[[#Headers],[Accountant]],tblSalaries[[#This Row],[Salary in USD]],"")</f>
        <v/>
      </c>
      <c r="V850" s="13" t="str">
        <f>IF(tblSalaries[[#This Row],[Job Type]]=tblSalaries[[#Headers],[Analyst]],tblSalaries[[#This Row],[Salary in USD]],"")</f>
        <v/>
      </c>
      <c r="W850" s="13">
        <f>IF(tblSalaries[[#This Row],[Job Type]]=tblSalaries[[#Headers],[Consultant]],tblSalaries[[#This Row],[Salary in USD]],"")</f>
        <v>12000</v>
      </c>
      <c r="X850" s="13" t="str">
        <f>IF(tblSalaries[[#This Row],[Job Type]]=tblSalaries[[#Headers],[Controller]],tblSalaries[[#This Row],[Salary in USD]],"")</f>
        <v/>
      </c>
      <c r="Y850" s="13" t="str">
        <f>IF(tblSalaries[[#This Row],[Job Type]]=tblSalaries[[#Headers],[CXO or Top Mgmt.]],tblSalaries[[#This Row],[clean Salary (in local currency)]],"")</f>
        <v/>
      </c>
      <c r="Z850" s="13" t="str">
        <f>IF(tblSalaries[[#This Row],[Job Type]]=tblSalaries[[#Headers],[Engineer]],tblSalaries[[#This Row],[Salary in USD]],"")</f>
        <v/>
      </c>
      <c r="AA850" s="13" t="str">
        <f>IF(tblSalaries[[#This Row],[Job Type]]=tblSalaries[[#Headers],[Manager]],tblSalaries[[#This Row],[Salary in USD]],"")</f>
        <v/>
      </c>
      <c r="AB850" s="13" t="str">
        <f>IF(tblSalaries[[#This Row],[Job Type]]=tblSalaries[[#Headers],[Misc.]],tblSalaries[[#This Row],[Salary in USD]],"")</f>
        <v/>
      </c>
      <c r="AC850" s="13" t="str">
        <f>IF(tblSalaries[[#This Row],[Job Type]]=tblSalaries[[#Headers],[Reporting]],tblSalaries[[#This Row],[Salary in USD]],"")</f>
        <v/>
      </c>
      <c r="AD850" s="13" t="str">
        <f>IF(tblSalaries[[#This Row],[Job Type]]=tblSalaries[[#Headers],[Specialist]],tblSalaries[[#This Row],[Salary in USD]],"")</f>
        <v/>
      </c>
    </row>
    <row r="851" spans="2:30" ht="15" customHeight="1" x14ac:dyDescent="0.25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 s="9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t="s">
        <v>992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  <c r="N851" t="str">
        <f>IF(tblSalaries[[#This Row],[Years of Experience]]="","",IF(tblSalaries[[#This Row],[Years of Experience]]&lt;=2,1,""))</f>
        <v/>
      </c>
      <c r="O851" t="str">
        <f>IF(tblSalaries[[#This Row],[Years of Experience]]="","",IF(AND(tblSalaries[[#This Row],[Years of Experience]]&gt;2,tblSalaries[[#This Row],[Years of Experience]]&lt;=5),1,""))</f>
        <v/>
      </c>
      <c r="P851" t="str">
        <f>IF(tblSalaries[[#This Row],[Years of Experience]]="","",IF(AND(tblSalaries[[#This Row],[Years of Experience]]&gt;5,tblSalaries[[#This Row],[Years of Experience]]&lt;=10),1,""))</f>
        <v/>
      </c>
      <c r="Q851">
        <f>IF(tblSalaries[[#This Row],[Years of Experience]]="","",IF(AND(tblSalaries[[#This Row],[Years of Experience]]&gt;10,tblSalaries[[#This Row],[Years of Experience]]&lt;=15),1,""))</f>
        <v>1</v>
      </c>
      <c r="R851" t="str">
        <f>IF(tblSalaries[[#This Row],[Years of Experience]]="","",IF(AND(tblSalaries[[#This Row],[Years of Experience]]&gt;16,tblSalaries[[#This Row],[Years of Experience]]&lt;=20),1,""))</f>
        <v/>
      </c>
      <c r="S851" t="str">
        <f>IF(tblSalaries[[#This Row],[Years of Experience]]="","",IF(tblSalaries[[#This Row],[Years of Experience]]&gt;20,1,""))</f>
        <v/>
      </c>
      <c r="T8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51" s="13" t="str">
        <f>IF(tblSalaries[[#This Row],[Job Type]]=tblSalaries[[#Headers],[Accountant]],tblSalaries[[#This Row],[Salary in USD]],"")</f>
        <v/>
      </c>
      <c r="V851" s="13" t="str">
        <f>IF(tblSalaries[[#This Row],[Job Type]]=tblSalaries[[#Headers],[Analyst]],tblSalaries[[#This Row],[Salary in USD]],"")</f>
        <v/>
      </c>
      <c r="W851" s="13">
        <f>IF(tblSalaries[[#This Row],[Job Type]]=tblSalaries[[#Headers],[Consultant]],tblSalaries[[#This Row],[Salary in USD]],"")</f>
        <v>5000</v>
      </c>
      <c r="X851" s="13" t="str">
        <f>IF(tblSalaries[[#This Row],[Job Type]]=tblSalaries[[#Headers],[Controller]],tblSalaries[[#This Row],[Salary in USD]],"")</f>
        <v/>
      </c>
      <c r="Y851" s="13" t="str">
        <f>IF(tblSalaries[[#This Row],[Job Type]]=tblSalaries[[#Headers],[CXO or Top Mgmt.]],tblSalaries[[#This Row],[clean Salary (in local currency)]],"")</f>
        <v/>
      </c>
      <c r="Z851" s="13" t="str">
        <f>IF(tblSalaries[[#This Row],[Job Type]]=tblSalaries[[#Headers],[Engineer]],tblSalaries[[#This Row],[Salary in USD]],"")</f>
        <v/>
      </c>
      <c r="AA851" s="13" t="str">
        <f>IF(tblSalaries[[#This Row],[Job Type]]=tblSalaries[[#Headers],[Manager]],tblSalaries[[#This Row],[Salary in USD]],"")</f>
        <v/>
      </c>
      <c r="AB851" s="13" t="str">
        <f>IF(tblSalaries[[#This Row],[Job Type]]=tblSalaries[[#Headers],[Misc.]],tblSalaries[[#This Row],[Salary in USD]],"")</f>
        <v/>
      </c>
      <c r="AC851" s="13" t="str">
        <f>IF(tblSalaries[[#This Row],[Job Type]]=tblSalaries[[#Headers],[Reporting]],tblSalaries[[#This Row],[Salary in USD]],"")</f>
        <v/>
      </c>
      <c r="AD851" s="13" t="str">
        <f>IF(tblSalaries[[#This Row],[Job Type]]=tblSalaries[[#Headers],[Specialist]],tblSalaries[[#This Row],[Salary in USD]],"")</f>
        <v/>
      </c>
    </row>
    <row r="852" spans="2:30" ht="15" customHeight="1" x14ac:dyDescent="0.25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 s="9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  <c r="N852">
        <f>IF(tblSalaries[[#This Row],[Years of Experience]]="","",IF(tblSalaries[[#This Row],[Years of Experience]]&lt;=2,1,""))</f>
        <v>1</v>
      </c>
      <c r="O852" t="str">
        <f>IF(tblSalaries[[#This Row],[Years of Experience]]="","",IF(AND(tblSalaries[[#This Row],[Years of Experience]]&gt;2,tblSalaries[[#This Row],[Years of Experience]]&lt;=5),1,""))</f>
        <v/>
      </c>
      <c r="P852" t="str">
        <f>IF(tblSalaries[[#This Row],[Years of Experience]]="","",IF(AND(tblSalaries[[#This Row],[Years of Experience]]&gt;5,tblSalaries[[#This Row],[Years of Experience]]&lt;=10),1,""))</f>
        <v/>
      </c>
      <c r="Q852" t="str">
        <f>IF(tblSalaries[[#This Row],[Years of Experience]]="","",IF(AND(tblSalaries[[#This Row],[Years of Experience]]&gt;10,tblSalaries[[#This Row],[Years of Experience]]&lt;=15),1,""))</f>
        <v/>
      </c>
      <c r="R852" t="str">
        <f>IF(tblSalaries[[#This Row],[Years of Experience]]="","",IF(AND(tblSalaries[[#This Row],[Years of Experience]]&gt;16,tblSalaries[[#This Row],[Years of Experience]]&lt;=20),1,""))</f>
        <v/>
      </c>
      <c r="S852" t="str">
        <f>IF(tblSalaries[[#This Row],[Years of Experience]]="","",IF(tblSalaries[[#This Row],[Years of Experience]]&gt;20,1,""))</f>
        <v/>
      </c>
      <c r="T8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52" s="13" t="str">
        <f>IF(tblSalaries[[#This Row],[Job Type]]=tblSalaries[[#Headers],[Accountant]],tblSalaries[[#This Row],[Salary in USD]],"")</f>
        <v/>
      </c>
      <c r="V852" s="13">
        <f>IF(tblSalaries[[#This Row],[Job Type]]=tblSalaries[[#Headers],[Analyst]],tblSalaries[[#This Row],[Salary in USD]],"")</f>
        <v>16337.518501630093</v>
      </c>
      <c r="W852" s="13" t="str">
        <f>IF(tblSalaries[[#This Row],[Job Type]]=tblSalaries[[#Headers],[Consultant]],tblSalaries[[#This Row],[Salary in USD]],"")</f>
        <v/>
      </c>
      <c r="X852" s="13" t="str">
        <f>IF(tblSalaries[[#This Row],[Job Type]]=tblSalaries[[#Headers],[Controller]],tblSalaries[[#This Row],[Salary in USD]],"")</f>
        <v/>
      </c>
      <c r="Y852" s="13" t="str">
        <f>IF(tblSalaries[[#This Row],[Job Type]]=tblSalaries[[#Headers],[CXO or Top Mgmt.]],tblSalaries[[#This Row],[clean Salary (in local currency)]],"")</f>
        <v/>
      </c>
      <c r="Z852" s="13" t="str">
        <f>IF(tblSalaries[[#This Row],[Job Type]]=tblSalaries[[#Headers],[Engineer]],tblSalaries[[#This Row],[Salary in USD]],"")</f>
        <v/>
      </c>
      <c r="AA852" s="13" t="str">
        <f>IF(tblSalaries[[#This Row],[Job Type]]=tblSalaries[[#Headers],[Manager]],tblSalaries[[#This Row],[Salary in USD]],"")</f>
        <v/>
      </c>
      <c r="AB852" s="13" t="str">
        <f>IF(tblSalaries[[#This Row],[Job Type]]=tblSalaries[[#Headers],[Misc.]],tblSalaries[[#This Row],[Salary in USD]],"")</f>
        <v/>
      </c>
      <c r="AC852" s="13" t="str">
        <f>IF(tblSalaries[[#This Row],[Job Type]]=tblSalaries[[#Headers],[Reporting]],tblSalaries[[#This Row],[Salary in USD]],"")</f>
        <v/>
      </c>
      <c r="AD852" s="13" t="str">
        <f>IF(tblSalaries[[#This Row],[Job Type]]=tblSalaries[[#Headers],[Specialist]],tblSalaries[[#This Row],[Salary in USD]],"")</f>
        <v/>
      </c>
    </row>
    <row r="853" spans="2:30" ht="15" customHeight="1" x14ac:dyDescent="0.25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 s="9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  <c r="N853" t="str">
        <f>IF(tblSalaries[[#This Row],[Years of Experience]]="","",IF(tblSalaries[[#This Row],[Years of Experience]]&lt;=2,1,""))</f>
        <v/>
      </c>
      <c r="O853" t="str">
        <f>IF(tblSalaries[[#This Row],[Years of Experience]]="","",IF(AND(tblSalaries[[#This Row],[Years of Experience]]&gt;2,tblSalaries[[#This Row],[Years of Experience]]&lt;=5),1,""))</f>
        <v/>
      </c>
      <c r="P853">
        <f>IF(tblSalaries[[#This Row],[Years of Experience]]="","",IF(AND(tblSalaries[[#This Row],[Years of Experience]]&gt;5,tblSalaries[[#This Row],[Years of Experience]]&lt;=10),1,""))</f>
        <v>1</v>
      </c>
      <c r="Q853" t="str">
        <f>IF(tblSalaries[[#This Row],[Years of Experience]]="","",IF(AND(tblSalaries[[#This Row],[Years of Experience]]&gt;10,tblSalaries[[#This Row],[Years of Experience]]&lt;=15),1,""))</f>
        <v/>
      </c>
      <c r="R853" t="str">
        <f>IF(tblSalaries[[#This Row],[Years of Experience]]="","",IF(AND(tblSalaries[[#This Row],[Years of Experience]]&gt;16,tblSalaries[[#This Row],[Years of Experience]]&lt;=20),1,""))</f>
        <v/>
      </c>
      <c r="S853" t="str">
        <f>IF(tblSalaries[[#This Row],[Years of Experience]]="","",IF(tblSalaries[[#This Row],[Years of Experience]]&gt;20,1,""))</f>
        <v/>
      </c>
      <c r="T8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53" s="13" t="str">
        <f>IF(tblSalaries[[#This Row],[Job Type]]=tblSalaries[[#Headers],[Accountant]],tblSalaries[[#This Row],[Salary in USD]],"")</f>
        <v/>
      </c>
      <c r="V853" s="13">
        <f>IF(tblSalaries[[#This Row],[Job Type]]=tblSalaries[[#Headers],[Analyst]],tblSalaries[[#This Row],[Salary in USD]],"")</f>
        <v>65000</v>
      </c>
      <c r="W853" s="13" t="str">
        <f>IF(tblSalaries[[#This Row],[Job Type]]=tblSalaries[[#Headers],[Consultant]],tblSalaries[[#This Row],[Salary in USD]],"")</f>
        <v/>
      </c>
      <c r="X853" s="13" t="str">
        <f>IF(tblSalaries[[#This Row],[Job Type]]=tblSalaries[[#Headers],[Controller]],tblSalaries[[#This Row],[Salary in USD]],"")</f>
        <v/>
      </c>
      <c r="Y853" s="13" t="str">
        <f>IF(tblSalaries[[#This Row],[Job Type]]=tblSalaries[[#Headers],[CXO or Top Mgmt.]],tblSalaries[[#This Row],[clean Salary (in local currency)]],"")</f>
        <v/>
      </c>
      <c r="Z853" s="13" t="str">
        <f>IF(tblSalaries[[#This Row],[Job Type]]=tblSalaries[[#Headers],[Engineer]],tblSalaries[[#This Row],[Salary in USD]],"")</f>
        <v/>
      </c>
      <c r="AA853" s="13" t="str">
        <f>IF(tblSalaries[[#This Row],[Job Type]]=tblSalaries[[#Headers],[Manager]],tblSalaries[[#This Row],[Salary in USD]],"")</f>
        <v/>
      </c>
      <c r="AB853" s="13" t="str">
        <f>IF(tblSalaries[[#This Row],[Job Type]]=tblSalaries[[#Headers],[Misc.]],tblSalaries[[#This Row],[Salary in USD]],"")</f>
        <v/>
      </c>
      <c r="AC853" s="13" t="str">
        <f>IF(tblSalaries[[#This Row],[Job Type]]=tblSalaries[[#Headers],[Reporting]],tblSalaries[[#This Row],[Salary in USD]],"")</f>
        <v/>
      </c>
      <c r="AD853" s="13" t="str">
        <f>IF(tblSalaries[[#This Row],[Job Type]]=tblSalaries[[#Headers],[Specialist]],tblSalaries[[#This Row],[Salary in USD]],"")</f>
        <v/>
      </c>
    </row>
    <row r="854" spans="2:30" ht="15" customHeight="1" x14ac:dyDescent="0.25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 s="9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  <c r="N854">
        <f>IF(tblSalaries[[#This Row],[Years of Experience]]="","",IF(tblSalaries[[#This Row],[Years of Experience]]&lt;=2,1,""))</f>
        <v>1</v>
      </c>
      <c r="O854" t="str">
        <f>IF(tblSalaries[[#This Row],[Years of Experience]]="","",IF(AND(tblSalaries[[#This Row],[Years of Experience]]&gt;2,tblSalaries[[#This Row],[Years of Experience]]&lt;=5),1,""))</f>
        <v/>
      </c>
      <c r="P854" t="str">
        <f>IF(tblSalaries[[#This Row],[Years of Experience]]="","",IF(AND(tblSalaries[[#This Row],[Years of Experience]]&gt;5,tblSalaries[[#This Row],[Years of Experience]]&lt;=10),1,""))</f>
        <v/>
      </c>
      <c r="Q854" t="str">
        <f>IF(tblSalaries[[#This Row],[Years of Experience]]="","",IF(AND(tblSalaries[[#This Row],[Years of Experience]]&gt;10,tblSalaries[[#This Row],[Years of Experience]]&lt;=15),1,""))</f>
        <v/>
      </c>
      <c r="R854" t="str">
        <f>IF(tblSalaries[[#This Row],[Years of Experience]]="","",IF(AND(tblSalaries[[#This Row],[Years of Experience]]&gt;16,tblSalaries[[#This Row],[Years of Experience]]&lt;=20),1,""))</f>
        <v/>
      </c>
      <c r="S854" t="str">
        <f>IF(tblSalaries[[#This Row],[Years of Experience]]="","",IF(tblSalaries[[#This Row],[Years of Experience]]&gt;20,1,""))</f>
        <v/>
      </c>
      <c r="T8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54" s="13" t="str">
        <f>IF(tblSalaries[[#This Row],[Job Type]]=tblSalaries[[#Headers],[Accountant]],tblSalaries[[#This Row],[Salary in USD]],"")</f>
        <v/>
      </c>
      <c r="V854" s="13">
        <f>IF(tblSalaries[[#This Row],[Job Type]]=tblSalaries[[#Headers],[Analyst]],tblSalaries[[#This Row],[Salary in USD]],"")</f>
        <v>40000</v>
      </c>
      <c r="W854" s="13" t="str">
        <f>IF(tblSalaries[[#This Row],[Job Type]]=tblSalaries[[#Headers],[Consultant]],tblSalaries[[#This Row],[Salary in USD]],"")</f>
        <v/>
      </c>
      <c r="X854" s="13" t="str">
        <f>IF(tblSalaries[[#This Row],[Job Type]]=tblSalaries[[#Headers],[Controller]],tblSalaries[[#This Row],[Salary in USD]],"")</f>
        <v/>
      </c>
      <c r="Y854" s="13" t="str">
        <f>IF(tblSalaries[[#This Row],[Job Type]]=tblSalaries[[#Headers],[CXO or Top Mgmt.]],tblSalaries[[#This Row],[clean Salary (in local currency)]],"")</f>
        <v/>
      </c>
      <c r="Z854" s="13" t="str">
        <f>IF(tblSalaries[[#This Row],[Job Type]]=tblSalaries[[#Headers],[Engineer]],tblSalaries[[#This Row],[Salary in USD]],"")</f>
        <v/>
      </c>
      <c r="AA854" s="13" t="str">
        <f>IF(tblSalaries[[#This Row],[Job Type]]=tblSalaries[[#Headers],[Manager]],tblSalaries[[#This Row],[Salary in USD]],"")</f>
        <v/>
      </c>
      <c r="AB854" s="13" t="str">
        <f>IF(tblSalaries[[#This Row],[Job Type]]=tblSalaries[[#Headers],[Misc.]],tblSalaries[[#This Row],[Salary in USD]],"")</f>
        <v/>
      </c>
      <c r="AC854" s="13" t="str">
        <f>IF(tblSalaries[[#This Row],[Job Type]]=tblSalaries[[#Headers],[Reporting]],tblSalaries[[#This Row],[Salary in USD]],"")</f>
        <v/>
      </c>
      <c r="AD854" s="13" t="str">
        <f>IF(tblSalaries[[#This Row],[Job Type]]=tblSalaries[[#Headers],[Specialist]],tblSalaries[[#This Row],[Salary in USD]],"")</f>
        <v/>
      </c>
    </row>
    <row r="855" spans="2:30" ht="15" customHeight="1" x14ac:dyDescent="0.25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 s="9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  <c r="N855" t="str">
        <f>IF(tblSalaries[[#This Row],[Years of Experience]]="","",IF(tblSalaries[[#This Row],[Years of Experience]]&lt;=2,1,""))</f>
        <v/>
      </c>
      <c r="O855" t="str">
        <f>IF(tblSalaries[[#This Row],[Years of Experience]]="","",IF(AND(tblSalaries[[#This Row],[Years of Experience]]&gt;2,tblSalaries[[#This Row],[Years of Experience]]&lt;=5),1,""))</f>
        <v/>
      </c>
      <c r="P855" t="str">
        <f>IF(tblSalaries[[#This Row],[Years of Experience]]="","",IF(AND(tblSalaries[[#This Row],[Years of Experience]]&gt;5,tblSalaries[[#This Row],[Years of Experience]]&lt;=10),1,""))</f>
        <v/>
      </c>
      <c r="Q855">
        <f>IF(tblSalaries[[#This Row],[Years of Experience]]="","",IF(AND(tblSalaries[[#This Row],[Years of Experience]]&gt;10,tblSalaries[[#This Row],[Years of Experience]]&lt;=15),1,""))</f>
        <v>1</v>
      </c>
      <c r="R855" t="str">
        <f>IF(tblSalaries[[#This Row],[Years of Experience]]="","",IF(AND(tblSalaries[[#This Row],[Years of Experience]]&gt;16,tblSalaries[[#This Row],[Years of Experience]]&lt;=20),1,""))</f>
        <v/>
      </c>
      <c r="S855" t="str">
        <f>IF(tblSalaries[[#This Row],[Years of Experience]]="","",IF(tblSalaries[[#This Row],[Years of Experience]]&gt;20,1,""))</f>
        <v/>
      </c>
      <c r="T8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55" s="13" t="str">
        <f>IF(tblSalaries[[#This Row],[Job Type]]=tblSalaries[[#Headers],[Accountant]],tblSalaries[[#This Row],[Salary in USD]],"")</f>
        <v/>
      </c>
      <c r="V855" s="13" t="str">
        <f>IF(tblSalaries[[#This Row],[Job Type]]=tblSalaries[[#Headers],[Analyst]],tblSalaries[[#This Row],[Salary in USD]],"")</f>
        <v/>
      </c>
      <c r="W855" s="13" t="str">
        <f>IF(tblSalaries[[#This Row],[Job Type]]=tblSalaries[[#Headers],[Consultant]],tblSalaries[[#This Row],[Salary in USD]],"")</f>
        <v/>
      </c>
      <c r="X855" s="13" t="str">
        <f>IF(tblSalaries[[#This Row],[Job Type]]=tblSalaries[[#Headers],[Controller]],tblSalaries[[#This Row],[Salary in USD]],"")</f>
        <v/>
      </c>
      <c r="Y855" s="13" t="str">
        <f>IF(tblSalaries[[#This Row],[Job Type]]=tblSalaries[[#Headers],[CXO or Top Mgmt.]],tblSalaries[[#This Row],[clean Salary (in local currency)]],"")</f>
        <v/>
      </c>
      <c r="Z855" s="13" t="str">
        <f>IF(tblSalaries[[#This Row],[Job Type]]=tblSalaries[[#Headers],[Engineer]],tblSalaries[[#This Row],[Salary in USD]],"")</f>
        <v/>
      </c>
      <c r="AA855" s="13">
        <f>IF(tblSalaries[[#This Row],[Job Type]]=tblSalaries[[#Headers],[Manager]],tblSalaries[[#This Row],[Salary in USD]],"")</f>
        <v>98000</v>
      </c>
      <c r="AB855" s="13" t="str">
        <f>IF(tblSalaries[[#This Row],[Job Type]]=tblSalaries[[#Headers],[Misc.]],tblSalaries[[#This Row],[Salary in USD]],"")</f>
        <v/>
      </c>
      <c r="AC855" s="13" t="str">
        <f>IF(tblSalaries[[#This Row],[Job Type]]=tblSalaries[[#Headers],[Reporting]],tblSalaries[[#This Row],[Salary in USD]],"")</f>
        <v/>
      </c>
      <c r="AD855" s="13" t="str">
        <f>IF(tblSalaries[[#This Row],[Job Type]]=tblSalaries[[#Headers],[Specialist]],tblSalaries[[#This Row],[Salary in USD]],"")</f>
        <v/>
      </c>
    </row>
    <row r="856" spans="2:30" ht="15" customHeight="1" x14ac:dyDescent="0.25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 s="9">
        <f>tblSalaries[[#This Row],[clean Salary (in local currency)]]*VLOOKUP(tblSalaries[[#This Row],[Currency]],tblXrate[],2,FALSE)</f>
        <v>50000</v>
      </c>
      <c r="H856" t="s">
        <v>998</v>
      </c>
      <c r="I856" t="s">
        <v>4001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  <c r="N856" t="str">
        <f>IF(tblSalaries[[#This Row],[Years of Experience]]="","",IF(tblSalaries[[#This Row],[Years of Experience]]&lt;=2,1,""))</f>
        <v/>
      </c>
      <c r="O856" t="str">
        <f>IF(tblSalaries[[#This Row],[Years of Experience]]="","",IF(AND(tblSalaries[[#This Row],[Years of Experience]]&gt;2,tblSalaries[[#This Row],[Years of Experience]]&lt;=5),1,""))</f>
        <v/>
      </c>
      <c r="P856" t="str">
        <f>IF(tblSalaries[[#This Row],[Years of Experience]]="","",IF(AND(tblSalaries[[#This Row],[Years of Experience]]&gt;5,tblSalaries[[#This Row],[Years of Experience]]&lt;=10),1,""))</f>
        <v/>
      </c>
      <c r="Q856">
        <f>IF(tblSalaries[[#This Row],[Years of Experience]]="","",IF(AND(tblSalaries[[#This Row],[Years of Experience]]&gt;10,tblSalaries[[#This Row],[Years of Experience]]&lt;=15),1,""))</f>
        <v>1</v>
      </c>
      <c r="R856" t="str">
        <f>IF(tblSalaries[[#This Row],[Years of Experience]]="","",IF(AND(tblSalaries[[#This Row],[Years of Experience]]&gt;16,tblSalaries[[#This Row],[Years of Experience]]&lt;=20),1,""))</f>
        <v/>
      </c>
      <c r="S856" t="str">
        <f>IF(tblSalaries[[#This Row],[Years of Experience]]="","",IF(tblSalaries[[#This Row],[Years of Experience]]&gt;20,1,""))</f>
        <v/>
      </c>
      <c r="T8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56" s="13" t="str">
        <f>IF(tblSalaries[[#This Row],[Job Type]]=tblSalaries[[#Headers],[Accountant]],tblSalaries[[#This Row],[Salary in USD]],"")</f>
        <v/>
      </c>
      <c r="V856" s="13" t="str">
        <f>IF(tblSalaries[[#This Row],[Job Type]]=tblSalaries[[#Headers],[Analyst]],tblSalaries[[#This Row],[Salary in USD]],"")</f>
        <v/>
      </c>
      <c r="W856" s="13" t="str">
        <f>IF(tblSalaries[[#This Row],[Job Type]]=tblSalaries[[#Headers],[Consultant]],tblSalaries[[#This Row],[Salary in USD]],"")</f>
        <v/>
      </c>
      <c r="X856" s="13" t="str">
        <f>IF(tblSalaries[[#This Row],[Job Type]]=tblSalaries[[#Headers],[Controller]],tblSalaries[[#This Row],[Salary in USD]],"")</f>
        <v/>
      </c>
      <c r="Y856" s="13">
        <f>IF(tblSalaries[[#This Row],[Job Type]]=tblSalaries[[#Headers],[CXO or Top Mgmt.]],tblSalaries[[#This Row],[clean Salary (in local currency)]],"")</f>
        <v>50000</v>
      </c>
      <c r="Z856" s="13" t="str">
        <f>IF(tblSalaries[[#This Row],[Job Type]]=tblSalaries[[#Headers],[Engineer]],tblSalaries[[#This Row],[Salary in USD]],"")</f>
        <v/>
      </c>
      <c r="AA856" s="13" t="str">
        <f>IF(tblSalaries[[#This Row],[Job Type]]=tblSalaries[[#Headers],[Manager]],tblSalaries[[#This Row],[Salary in USD]],"")</f>
        <v/>
      </c>
      <c r="AB856" s="13" t="str">
        <f>IF(tblSalaries[[#This Row],[Job Type]]=tblSalaries[[#Headers],[Misc.]],tblSalaries[[#This Row],[Salary in USD]],"")</f>
        <v/>
      </c>
      <c r="AC856" s="13" t="str">
        <f>IF(tblSalaries[[#This Row],[Job Type]]=tblSalaries[[#Headers],[Reporting]],tblSalaries[[#This Row],[Salary in USD]],"")</f>
        <v/>
      </c>
      <c r="AD856" s="13" t="str">
        <f>IF(tblSalaries[[#This Row],[Job Type]]=tblSalaries[[#Headers],[Specialist]],tblSalaries[[#This Row],[Salary in USD]],"")</f>
        <v/>
      </c>
    </row>
    <row r="857" spans="2:30" ht="15" customHeight="1" x14ac:dyDescent="0.25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 s="9">
        <f>tblSalaries[[#This Row],[clean Salary (in local currency)]]*VLOOKUP(tblSalaries[[#This Row],[Currency]],tblXrate[],2,FALSE)</f>
        <v>135000</v>
      </c>
      <c r="H857" t="s">
        <v>999</v>
      </c>
      <c r="I857" t="s">
        <v>4001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  <c r="N857" t="str">
        <f>IF(tblSalaries[[#This Row],[Years of Experience]]="","",IF(tblSalaries[[#This Row],[Years of Experience]]&lt;=2,1,""))</f>
        <v/>
      </c>
      <c r="O857" t="str">
        <f>IF(tblSalaries[[#This Row],[Years of Experience]]="","",IF(AND(tblSalaries[[#This Row],[Years of Experience]]&gt;2,tblSalaries[[#This Row],[Years of Experience]]&lt;=5),1,""))</f>
        <v/>
      </c>
      <c r="P857" t="str">
        <f>IF(tblSalaries[[#This Row],[Years of Experience]]="","",IF(AND(tblSalaries[[#This Row],[Years of Experience]]&gt;5,tblSalaries[[#This Row],[Years of Experience]]&lt;=10),1,""))</f>
        <v/>
      </c>
      <c r="Q857" t="str">
        <f>IF(tblSalaries[[#This Row],[Years of Experience]]="","",IF(AND(tblSalaries[[#This Row],[Years of Experience]]&gt;10,tblSalaries[[#This Row],[Years of Experience]]&lt;=15),1,""))</f>
        <v/>
      </c>
      <c r="R857" t="str">
        <f>IF(tblSalaries[[#This Row],[Years of Experience]]="","",IF(AND(tblSalaries[[#This Row],[Years of Experience]]&gt;16,tblSalaries[[#This Row],[Years of Experience]]&lt;=20),1,""))</f>
        <v/>
      </c>
      <c r="S857">
        <f>IF(tblSalaries[[#This Row],[Years of Experience]]="","",IF(tblSalaries[[#This Row],[Years of Experience]]&gt;20,1,""))</f>
        <v>1</v>
      </c>
      <c r="T8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857" s="13" t="str">
        <f>IF(tblSalaries[[#This Row],[Job Type]]=tblSalaries[[#Headers],[Accountant]],tblSalaries[[#This Row],[Salary in USD]],"")</f>
        <v/>
      </c>
      <c r="V857" s="13" t="str">
        <f>IF(tblSalaries[[#This Row],[Job Type]]=tblSalaries[[#Headers],[Analyst]],tblSalaries[[#This Row],[Salary in USD]],"")</f>
        <v/>
      </c>
      <c r="W857" s="13" t="str">
        <f>IF(tblSalaries[[#This Row],[Job Type]]=tblSalaries[[#Headers],[Consultant]],tblSalaries[[#This Row],[Salary in USD]],"")</f>
        <v/>
      </c>
      <c r="X857" s="13" t="str">
        <f>IF(tblSalaries[[#This Row],[Job Type]]=tblSalaries[[#Headers],[Controller]],tblSalaries[[#This Row],[Salary in USD]],"")</f>
        <v/>
      </c>
      <c r="Y857" s="13">
        <f>IF(tblSalaries[[#This Row],[Job Type]]=tblSalaries[[#Headers],[CXO or Top Mgmt.]],tblSalaries[[#This Row],[clean Salary (in local currency)]],"")</f>
        <v>135000</v>
      </c>
      <c r="Z857" s="13" t="str">
        <f>IF(tblSalaries[[#This Row],[Job Type]]=tblSalaries[[#Headers],[Engineer]],tblSalaries[[#This Row],[Salary in USD]],"")</f>
        <v/>
      </c>
      <c r="AA857" s="13" t="str">
        <f>IF(tblSalaries[[#This Row],[Job Type]]=tblSalaries[[#Headers],[Manager]],tblSalaries[[#This Row],[Salary in USD]],"")</f>
        <v/>
      </c>
      <c r="AB857" s="13" t="str">
        <f>IF(tblSalaries[[#This Row],[Job Type]]=tblSalaries[[#Headers],[Misc.]],tblSalaries[[#This Row],[Salary in USD]],"")</f>
        <v/>
      </c>
      <c r="AC857" s="13" t="str">
        <f>IF(tblSalaries[[#This Row],[Job Type]]=tblSalaries[[#Headers],[Reporting]],tblSalaries[[#This Row],[Salary in USD]],"")</f>
        <v/>
      </c>
      <c r="AD857" s="13" t="str">
        <f>IF(tblSalaries[[#This Row],[Job Type]]=tblSalaries[[#Headers],[Specialist]],tblSalaries[[#This Row],[Salary in USD]],"")</f>
        <v/>
      </c>
    </row>
    <row r="858" spans="2:30" ht="15" customHeight="1" x14ac:dyDescent="0.25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 s="9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  <c r="N858" t="str">
        <f>IF(tblSalaries[[#This Row],[Years of Experience]]="","",IF(tblSalaries[[#This Row],[Years of Experience]]&lt;=2,1,""))</f>
        <v/>
      </c>
      <c r="O858" t="str">
        <f>IF(tblSalaries[[#This Row],[Years of Experience]]="","",IF(AND(tblSalaries[[#This Row],[Years of Experience]]&gt;2,tblSalaries[[#This Row],[Years of Experience]]&lt;=5),1,""))</f>
        <v/>
      </c>
      <c r="P858">
        <f>IF(tblSalaries[[#This Row],[Years of Experience]]="","",IF(AND(tblSalaries[[#This Row],[Years of Experience]]&gt;5,tblSalaries[[#This Row],[Years of Experience]]&lt;=10),1,""))</f>
        <v>1</v>
      </c>
      <c r="Q858" t="str">
        <f>IF(tblSalaries[[#This Row],[Years of Experience]]="","",IF(AND(tblSalaries[[#This Row],[Years of Experience]]&gt;10,tblSalaries[[#This Row],[Years of Experience]]&lt;=15),1,""))</f>
        <v/>
      </c>
      <c r="R858" t="str">
        <f>IF(tblSalaries[[#This Row],[Years of Experience]]="","",IF(AND(tblSalaries[[#This Row],[Years of Experience]]&gt;16,tblSalaries[[#This Row],[Years of Experience]]&lt;=20),1,""))</f>
        <v/>
      </c>
      <c r="S858" t="str">
        <f>IF(tblSalaries[[#This Row],[Years of Experience]]="","",IF(tblSalaries[[#This Row],[Years of Experience]]&gt;20,1,""))</f>
        <v/>
      </c>
      <c r="T8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58" s="13" t="str">
        <f>IF(tblSalaries[[#This Row],[Job Type]]=tblSalaries[[#Headers],[Accountant]],tblSalaries[[#This Row],[Salary in USD]],"")</f>
        <v/>
      </c>
      <c r="V858" s="13" t="str">
        <f>IF(tblSalaries[[#This Row],[Job Type]]=tblSalaries[[#Headers],[Analyst]],tblSalaries[[#This Row],[Salary in USD]],"")</f>
        <v/>
      </c>
      <c r="W858" s="13" t="str">
        <f>IF(tblSalaries[[#This Row],[Job Type]]=tblSalaries[[#Headers],[Consultant]],tblSalaries[[#This Row],[Salary in USD]],"")</f>
        <v/>
      </c>
      <c r="X858" s="13" t="str">
        <f>IF(tblSalaries[[#This Row],[Job Type]]=tblSalaries[[#Headers],[Controller]],tblSalaries[[#This Row],[Salary in USD]],"")</f>
        <v/>
      </c>
      <c r="Y858" s="13" t="str">
        <f>IF(tblSalaries[[#This Row],[Job Type]]=tblSalaries[[#Headers],[CXO or Top Mgmt.]],tblSalaries[[#This Row],[clean Salary (in local currency)]],"")</f>
        <v/>
      </c>
      <c r="Z858" s="13" t="str">
        <f>IF(tblSalaries[[#This Row],[Job Type]]=tblSalaries[[#Headers],[Engineer]],tblSalaries[[#This Row],[Salary in USD]],"")</f>
        <v/>
      </c>
      <c r="AA858" s="13">
        <f>IF(tblSalaries[[#This Row],[Job Type]]=tblSalaries[[#Headers],[Manager]],tblSalaries[[#This Row],[Salary in USD]],"")</f>
        <v>125000</v>
      </c>
      <c r="AB858" s="13" t="str">
        <f>IF(tblSalaries[[#This Row],[Job Type]]=tblSalaries[[#Headers],[Misc.]],tblSalaries[[#This Row],[Salary in USD]],"")</f>
        <v/>
      </c>
      <c r="AC858" s="13" t="str">
        <f>IF(tblSalaries[[#This Row],[Job Type]]=tblSalaries[[#Headers],[Reporting]],tblSalaries[[#This Row],[Salary in USD]],"")</f>
        <v/>
      </c>
      <c r="AD858" s="13" t="str">
        <f>IF(tblSalaries[[#This Row],[Job Type]]=tblSalaries[[#Headers],[Specialist]],tblSalaries[[#This Row],[Salary in USD]],"")</f>
        <v/>
      </c>
    </row>
    <row r="859" spans="2:30" ht="15" customHeight="1" x14ac:dyDescent="0.25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 s="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  <c r="N859" t="str">
        <f>IF(tblSalaries[[#This Row],[Years of Experience]]="","",IF(tblSalaries[[#This Row],[Years of Experience]]&lt;=2,1,""))</f>
        <v/>
      </c>
      <c r="O859">
        <f>IF(tblSalaries[[#This Row],[Years of Experience]]="","",IF(AND(tblSalaries[[#This Row],[Years of Experience]]&gt;2,tblSalaries[[#This Row],[Years of Experience]]&lt;=5),1,""))</f>
        <v>1</v>
      </c>
      <c r="P859" t="str">
        <f>IF(tblSalaries[[#This Row],[Years of Experience]]="","",IF(AND(tblSalaries[[#This Row],[Years of Experience]]&gt;5,tblSalaries[[#This Row],[Years of Experience]]&lt;=10),1,""))</f>
        <v/>
      </c>
      <c r="Q859" t="str">
        <f>IF(tblSalaries[[#This Row],[Years of Experience]]="","",IF(AND(tblSalaries[[#This Row],[Years of Experience]]&gt;10,tblSalaries[[#This Row],[Years of Experience]]&lt;=15),1,""))</f>
        <v/>
      </c>
      <c r="R859" t="str">
        <f>IF(tblSalaries[[#This Row],[Years of Experience]]="","",IF(AND(tblSalaries[[#This Row],[Years of Experience]]&gt;16,tblSalaries[[#This Row],[Years of Experience]]&lt;=20),1,""))</f>
        <v/>
      </c>
      <c r="S859" t="str">
        <f>IF(tblSalaries[[#This Row],[Years of Experience]]="","",IF(tblSalaries[[#This Row],[Years of Experience]]&gt;20,1,""))</f>
        <v/>
      </c>
      <c r="T8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59" s="13" t="str">
        <f>IF(tblSalaries[[#This Row],[Job Type]]=tblSalaries[[#Headers],[Accountant]],tblSalaries[[#This Row],[Salary in USD]],"")</f>
        <v/>
      </c>
      <c r="V859" s="13">
        <f>IF(tblSalaries[[#This Row],[Job Type]]=tblSalaries[[#Headers],[Analyst]],tblSalaries[[#This Row],[Salary in USD]],"")</f>
        <v>4500</v>
      </c>
      <c r="W859" s="13" t="str">
        <f>IF(tblSalaries[[#This Row],[Job Type]]=tblSalaries[[#Headers],[Consultant]],tblSalaries[[#This Row],[Salary in USD]],"")</f>
        <v/>
      </c>
      <c r="X859" s="13" t="str">
        <f>IF(tblSalaries[[#This Row],[Job Type]]=tblSalaries[[#Headers],[Controller]],tblSalaries[[#This Row],[Salary in USD]],"")</f>
        <v/>
      </c>
      <c r="Y859" s="13" t="str">
        <f>IF(tblSalaries[[#This Row],[Job Type]]=tblSalaries[[#Headers],[CXO or Top Mgmt.]],tblSalaries[[#This Row],[clean Salary (in local currency)]],"")</f>
        <v/>
      </c>
      <c r="Z859" s="13" t="str">
        <f>IF(tblSalaries[[#This Row],[Job Type]]=tblSalaries[[#Headers],[Engineer]],tblSalaries[[#This Row],[Salary in USD]],"")</f>
        <v/>
      </c>
      <c r="AA859" s="13" t="str">
        <f>IF(tblSalaries[[#This Row],[Job Type]]=tblSalaries[[#Headers],[Manager]],tblSalaries[[#This Row],[Salary in USD]],"")</f>
        <v/>
      </c>
      <c r="AB859" s="13" t="str">
        <f>IF(tblSalaries[[#This Row],[Job Type]]=tblSalaries[[#Headers],[Misc.]],tblSalaries[[#This Row],[Salary in USD]],"")</f>
        <v/>
      </c>
      <c r="AC859" s="13" t="str">
        <f>IF(tblSalaries[[#This Row],[Job Type]]=tblSalaries[[#Headers],[Reporting]],tblSalaries[[#This Row],[Salary in USD]],"")</f>
        <v/>
      </c>
      <c r="AD859" s="13" t="str">
        <f>IF(tblSalaries[[#This Row],[Job Type]]=tblSalaries[[#Headers],[Specialist]],tblSalaries[[#This Row],[Salary in USD]],"")</f>
        <v/>
      </c>
    </row>
    <row r="860" spans="2:30" ht="15" customHeight="1" x14ac:dyDescent="0.25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 s="9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  <c r="N860" t="str">
        <f>IF(tblSalaries[[#This Row],[Years of Experience]]="","",IF(tblSalaries[[#This Row],[Years of Experience]]&lt;=2,1,""))</f>
        <v/>
      </c>
      <c r="O860" t="str">
        <f>IF(tblSalaries[[#This Row],[Years of Experience]]="","",IF(AND(tblSalaries[[#This Row],[Years of Experience]]&gt;2,tblSalaries[[#This Row],[Years of Experience]]&lt;=5),1,""))</f>
        <v/>
      </c>
      <c r="P860">
        <f>IF(tblSalaries[[#This Row],[Years of Experience]]="","",IF(AND(tblSalaries[[#This Row],[Years of Experience]]&gt;5,tblSalaries[[#This Row],[Years of Experience]]&lt;=10),1,""))</f>
        <v>1</v>
      </c>
      <c r="Q860" t="str">
        <f>IF(tblSalaries[[#This Row],[Years of Experience]]="","",IF(AND(tblSalaries[[#This Row],[Years of Experience]]&gt;10,tblSalaries[[#This Row],[Years of Experience]]&lt;=15),1,""))</f>
        <v/>
      </c>
      <c r="R860" t="str">
        <f>IF(tblSalaries[[#This Row],[Years of Experience]]="","",IF(AND(tblSalaries[[#This Row],[Years of Experience]]&gt;16,tblSalaries[[#This Row],[Years of Experience]]&lt;=20),1,""))</f>
        <v/>
      </c>
      <c r="S860" t="str">
        <f>IF(tblSalaries[[#This Row],[Years of Experience]]="","",IF(tblSalaries[[#This Row],[Years of Experience]]&gt;20,1,""))</f>
        <v/>
      </c>
      <c r="T8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60" s="13" t="str">
        <f>IF(tblSalaries[[#This Row],[Job Type]]=tblSalaries[[#Headers],[Accountant]],tblSalaries[[#This Row],[Salary in USD]],"")</f>
        <v/>
      </c>
      <c r="V860" s="13">
        <f>IF(tblSalaries[[#This Row],[Job Type]]=tblSalaries[[#Headers],[Analyst]],tblSalaries[[#This Row],[Salary in USD]],"")</f>
        <v>115000</v>
      </c>
      <c r="W860" s="13" t="str">
        <f>IF(tblSalaries[[#This Row],[Job Type]]=tblSalaries[[#Headers],[Consultant]],tblSalaries[[#This Row],[Salary in USD]],"")</f>
        <v/>
      </c>
      <c r="X860" s="13" t="str">
        <f>IF(tblSalaries[[#This Row],[Job Type]]=tblSalaries[[#Headers],[Controller]],tblSalaries[[#This Row],[Salary in USD]],"")</f>
        <v/>
      </c>
      <c r="Y860" s="13" t="str">
        <f>IF(tblSalaries[[#This Row],[Job Type]]=tblSalaries[[#Headers],[CXO or Top Mgmt.]],tblSalaries[[#This Row],[clean Salary (in local currency)]],"")</f>
        <v/>
      </c>
      <c r="Z860" s="13" t="str">
        <f>IF(tblSalaries[[#This Row],[Job Type]]=tblSalaries[[#Headers],[Engineer]],tblSalaries[[#This Row],[Salary in USD]],"")</f>
        <v/>
      </c>
      <c r="AA860" s="13" t="str">
        <f>IF(tblSalaries[[#This Row],[Job Type]]=tblSalaries[[#Headers],[Manager]],tblSalaries[[#This Row],[Salary in USD]],"")</f>
        <v/>
      </c>
      <c r="AB860" s="13" t="str">
        <f>IF(tblSalaries[[#This Row],[Job Type]]=tblSalaries[[#Headers],[Misc.]],tblSalaries[[#This Row],[Salary in USD]],"")</f>
        <v/>
      </c>
      <c r="AC860" s="13" t="str">
        <f>IF(tblSalaries[[#This Row],[Job Type]]=tblSalaries[[#Headers],[Reporting]],tblSalaries[[#This Row],[Salary in USD]],"")</f>
        <v/>
      </c>
      <c r="AD860" s="13" t="str">
        <f>IF(tblSalaries[[#This Row],[Job Type]]=tblSalaries[[#Headers],[Specialist]],tblSalaries[[#This Row],[Salary in USD]],"")</f>
        <v/>
      </c>
    </row>
    <row r="861" spans="2:30" ht="15" customHeight="1" x14ac:dyDescent="0.25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 s="9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  <c r="N861" t="str">
        <f>IF(tblSalaries[[#This Row],[Years of Experience]]="","",IF(tblSalaries[[#This Row],[Years of Experience]]&lt;=2,1,""))</f>
        <v/>
      </c>
      <c r="O861" t="str">
        <f>IF(tblSalaries[[#This Row],[Years of Experience]]="","",IF(AND(tblSalaries[[#This Row],[Years of Experience]]&gt;2,tblSalaries[[#This Row],[Years of Experience]]&lt;=5),1,""))</f>
        <v/>
      </c>
      <c r="P861" t="str">
        <f>IF(tblSalaries[[#This Row],[Years of Experience]]="","",IF(AND(tblSalaries[[#This Row],[Years of Experience]]&gt;5,tblSalaries[[#This Row],[Years of Experience]]&lt;=10),1,""))</f>
        <v/>
      </c>
      <c r="Q861">
        <f>IF(tblSalaries[[#This Row],[Years of Experience]]="","",IF(AND(tblSalaries[[#This Row],[Years of Experience]]&gt;10,tblSalaries[[#This Row],[Years of Experience]]&lt;=15),1,""))</f>
        <v>1</v>
      </c>
      <c r="R861" t="str">
        <f>IF(tblSalaries[[#This Row],[Years of Experience]]="","",IF(AND(tblSalaries[[#This Row],[Years of Experience]]&gt;16,tblSalaries[[#This Row],[Years of Experience]]&lt;=20),1,""))</f>
        <v/>
      </c>
      <c r="S861" t="str">
        <f>IF(tblSalaries[[#This Row],[Years of Experience]]="","",IF(tblSalaries[[#This Row],[Years of Experience]]&gt;20,1,""))</f>
        <v/>
      </c>
      <c r="T8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61" s="13" t="str">
        <f>IF(tblSalaries[[#This Row],[Job Type]]=tblSalaries[[#Headers],[Accountant]],tblSalaries[[#This Row],[Salary in USD]],"")</f>
        <v/>
      </c>
      <c r="V861" s="13">
        <f>IF(tblSalaries[[#This Row],[Job Type]]=tblSalaries[[#Headers],[Analyst]],tblSalaries[[#This Row],[Salary in USD]],"")</f>
        <v>70000</v>
      </c>
      <c r="W861" s="13" t="str">
        <f>IF(tblSalaries[[#This Row],[Job Type]]=tblSalaries[[#Headers],[Consultant]],tblSalaries[[#This Row],[Salary in USD]],"")</f>
        <v/>
      </c>
      <c r="X861" s="13" t="str">
        <f>IF(tblSalaries[[#This Row],[Job Type]]=tblSalaries[[#Headers],[Controller]],tblSalaries[[#This Row],[Salary in USD]],"")</f>
        <v/>
      </c>
      <c r="Y861" s="13" t="str">
        <f>IF(tblSalaries[[#This Row],[Job Type]]=tblSalaries[[#Headers],[CXO or Top Mgmt.]],tblSalaries[[#This Row],[clean Salary (in local currency)]],"")</f>
        <v/>
      </c>
      <c r="Z861" s="13" t="str">
        <f>IF(tblSalaries[[#This Row],[Job Type]]=tblSalaries[[#Headers],[Engineer]],tblSalaries[[#This Row],[Salary in USD]],"")</f>
        <v/>
      </c>
      <c r="AA861" s="13" t="str">
        <f>IF(tblSalaries[[#This Row],[Job Type]]=tblSalaries[[#Headers],[Manager]],tblSalaries[[#This Row],[Salary in USD]],"")</f>
        <v/>
      </c>
      <c r="AB861" s="13" t="str">
        <f>IF(tblSalaries[[#This Row],[Job Type]]=tblSalaries[[#Headers],[Misc.]],tblSalaries[[#This Row],[Salary in USD]],"")</f>
        <v/>
      </c>
      <c r="AC861" s="13" t="str">
        <f>IF(tblSalaries[[#This Row],[Job Type]]=tblSalaries[[#Headers],[Reporting]],tblSalaries[[#This Row],[Salary in USD]],"")</f>
        <v/>
      </c>
      <c r="AD861" s="13" t="str">
        <f>IF(tblSalaries[[#This Row],[Job Type]]=tblSalaries[[#Headers],[Specialist]],tblSalaries[[#This Row],[Salary in USD]],"")</f>
        <v/>
      </c>
    </row>
    <row r="862" spans="2:30" ht="15" customHeight="1" x14ac:dyDescent="0.25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 s="9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  <c r="N862" t="str">
        <f>IF(tblSalaries[[#This Row],[Years of Experience]]="","",IF(tblSalaries[[#This Row],[Years of Experience]]&lt;=2,1,""))</f>
        <v/>
      </c>
      <c r="O862" t="str">
        <f>IF(tblSalaries[[#This Row],[Years of Experience]]="","",IF(AND(tblSalaries[[#This Row],[Years of Experience]]&gt;2,tblSalaries[[#This Row],[Years of Experience]]&lt;=5),1,""))</f>
        <v/>
      </c>
      <c r="P862">
        <f>IF(tblSalaries[[#This Row],[Years of Experience]]="","",IF(AND(tblSalaries[[#This Row],[Years of Experience]]&gt;5,tblSalaries[[#This Row],[Years of Experience]]&lt;=10),1,""))</f>
        <v>1</v>
      </c>
      <c r="Q862" t="str">
        <f>IF(tblSalaries[[#This Row],[Years of Experience]]="","",IF(AND(tblSalaries[[#This Row],[Years of Experience]]&gt;10,tblSalaries[[#This Row],[Years of Experience]]&lt;=15),1,""))</f>
        <v/>
      </c>
      <c r="R862" t="str">
        <f>IF(tblSalaries[[#This Row],[Years of Experience]]="","",IF(AND(tblSalaries[[#This Row],[Years of Experience]]&gt;16,tblSalaries[[#This Row],[Years of Experience]]&lt;=20),1,""))</f>
        <v/>
      </c>
      <c r="S862" t="str">
        <f>IF(tblSalaries[[#This Row],[Years of Experience]]="","",IF(tblSalaries[[#This Row],[Years of Experience]]&gt;20,1,""))</f>
        <v/>
      </c>
      <c r="T8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62" s="13" t="str">
        <f>IF(tblSalaries[[#This Row],[Job Type]]=tblSalaries[[#Headers],[Accountant]],tblSalaries[[#This Row],[Salary in USD]],"")</f>
        <v/>
      </c>
      <c r="V862" s="13">
        <f>IF(tblSalaries[[#This Row],[Job Type]]=tblSalaries[[#Headers],[Analyst]],tblSalaries[[#This Row],[Salary in USD]],"")</f>
        <v>60000</v>
      </c>
      <c r="W862" s="13" t="str">
        <f>IF(tblSalaries[[#This Row],[Job Type]]=tblSalaries[[#Headers],[Consultant]],tblSalaries[[#This Row],[Salary in USD]],"")</f>
        <v/>
      </c>
      <c r="X862" s="13" t="str">
        <f>IF(tblSalaries[[#This Row],[Job Type]]=tblSalaries[[#Headers],[Controller]],tblSalaries[[#This Row],[Salary in USD]],"")</f>
        <v/>
      </c>
      <c r="Y862" s="13" t="str">
        <f>IF(tblSalaries[[#This Row],[Job Type]]=tblSalaries[[#Headers],[CXO or Top Mgmt.]],tblSalaries[[#This Row],[clean Salary (in local currency)]],"")</f>
        <v/>
      </c>
      <c r="Z862" s="13" t="str">
        <f>IF(tblSalaries[[#This Row],[Job Type]]=tblSalaries[[#Headers],[Engineer]],tblSalaries[[#This Row],[Salary in USD]],"")</f>
        <v/>
      </c>
      <c r="AA862" s="13" t="str">
        <f>IF(tblSalaries[[#This Row],[Job Type]]=tblSalaries[[#Headers],[Manager]],tblSalaries[[#This Row],[Salary in USD]],"")</f>
        <v/>
      </c>
      <c r="AB862" s="13" t="str">
        <f>IF(tblSalaries[[#This Row],[Job Type]]=tblSalaries[[#Headers],[Misc.]],tblSalaries[[#This Row],[Salary in USD]],"")</f>
        <v/>
      </c>
      <c r="AC862" s="13" t="str">
        <f>IF(tblSalaries[[#This Row],[Job Type]]=tblSalaries[[#Headers],[Reporting]],tblSalaries[[#This Row],[Salary in USD]],"")</f>
        <v/>
      </c>
      <c r="AD862" s="13" t="str">
        <f>IF(tblSalaries[[#This Row],[Job Type]]=tblSalaries[[#Headers],[Specialist]],tblSalaries[[#This Row],[Salary in USD]],"")</f>
        <v/>
      </c>
    </row>
    <row r="863" spans="2:30" ht="15" customHeight="1" x14ac:dyDescent="0.25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 s="9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  <c r="N863" t="str">
        <f>IF(tblSalaries[[#This Row],[Years of Experience]]="","",IF(tblSalaries[[#This Row],[Years of Experience]]&lt;=2,1,""))</f>
        <v/>
      </c>
      <c r="O863" t="str">
        <f>IF(tblSalaries[[#This Row],[Years of Experience]]="","",IF(AND(tblSalaries[[#This Row],[Years of Experience]]&gt;2,tblSalaries[[#This Row],[Years of Experience]]&lt;=5),1,""))</f>
        <v/>
      </c>
      <c r="P863" t="str">
        <f>IF(tblSalaries[[#This Row],[Years of Experience]]="","",IF(AND(tblSalaries[[#This Row],[Years of Experience]]&gt;5,tblSalaries[[#This Row],[Years of Experience]]&lt;=10),1,""))</f>
        <v/>
      </c>
      <c r="Q863">
        <f>IF(tblSalaries[[#This Row],[Years of Experience]]="","",IF(AND(tblSalaries[[#This Row],[Years of Experience]]&gt;10,tblSalaries[[#This Row],[Years of Experience]]&lt;=15),1,""))</f>
        <v>1</v>
      </c>
      <c r="R863" t="str">
        <f>IF(tblSalaries[[#This Row],[Years of Experience]]="","",IF(AND(tblSalaries[[#This Row],[Years of Experience]]&gt;16,tblSalaries[[#This Row],[Years of Experience]]&lt;=20),1,""))</f>
        <v/>
      </c>
      <c r="S863" t="str">
        <f>IF(tblSalaries[[#This Row],[Years of Experience]]="","",IF(tblSalaries[[#This Row],[Years of Experience]]&gt;20,1,""))</f>
        <v/>
      </c>
      <c r="T8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63" s="13" t="str">
        <f>IF(tblSalaries[[#This Row],[Job Type]]=tblSalaries[[#Headers],[Accountant]],tblSalaries[[#This Row],[Salary in USD]],"")</f>
        <v/>
      </c>
      <c r="V863" s="13" t="str">
        <f>IF(tblSalaries[[#This Row],[Job Type]]=tblSalaries[[#Headers],[Analyst]],tblSalaries[[#This Row],[Salary in USD]],"")</f>
        <v/>
      </c>
      <c r="W863" s="13" t="str">
        <f>IF(tblSalaries[[#This Row],[Job Type]]=tblSalaries[[#Headers],[Consultant]],tblSalaries[[#This Row],[Salary in USD]],"")</f>
        <v/>
      </c>
      <c r="X863" s="13" t="str">
        <f>IF(tblSalaries[[#This Row],[Job Type]]=tblSalaries[[#Headers],[Controller]],tblSalaries[[#This Row],[Salary in USD]],"")</f>
        <v/>
      </c>
      <c r="Y863" s="13" t="str">
        <f>IF(tblSalaries[[#This Row],[Job Type]]=tblSalaries[[#Headers],[CXO or Top Mgmt.]],tblSalaries[[#This Row],[clean Salary (in local currency)]],"")</f>
        <v/>
      </c>
      <c r="Z863" s="13" t="str">
        <f>IF(tblSalaries[[#This Row],[Job Type]]=tblSalaries[[#Headers],[Engineer]],tblSalaries[[#This Row],[Salary in USD]],"")</f>
        <v/>
      </c>
      <c r="AA863" s="13">
        <f>IF(tblSalaries[[#This Row],[Job Type]]=tblSalaries[[#Headers],[Manager]],tblSalaries[[#This Row],[Salary in USD]],"")</f>
        <v>87456</v>
      </c>
      <c r="AB863" s="13" t="str">
        <f>IF(tblSalaries[[#This Row],[Job Type]]=tblSalaries[[#Headers],[Misc.]],tblSalaries[[#This Row],[Salary in USD]],"")</f>
        <v/>
      </c>
      <c r="AC863" s="13" t="str">
        <f>IF(tblSalaries[[#This Row],[Job Type]]=tblSalaries[[#Headers],[Reporting]],tblSalaries[[#This Row],[Salary in USD]],"")</f>
        <v/>
      </c>
      <c r="AD863" s="13" t="str">
        <f>IF(tblSalaries[[#This Row],[Job Type]]=tblSalaries[[#Headers],[Specialist]],tblSalaries[[#This Row],[Salary in USD]],"")</f>
        <v/>
      </c>
    </row>
    <row r="864" spans="2:30" ht="15" customHeight="1" x14ac:dyDescent="0.25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 s="9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  <c r="N864" t="str">
        <f>IF(tblSalaries[[#This Row],[Years of Experience]]="","",IF(tblSalaries[[#This Row],[Years of Experience]]&lt;=2,1,""))</f>
        <v/>
      </c>
      <c r="O864" t="str">
        <f>IF(tblSalaries[[#This Row],[Years of Experience]]="","",IF(AND(tblSalaries[[#This Row],[Years of Experience]]&gt;2,tblSalaries[[#This Row],[Years of Experience]]&lt;=5),1,""))</f>
        <v/>
      </c>
      <c r="P864">
        <f>IF(tblSalaries[[#This Row],[Years of Experience]]="","",IF(AND(tblSalaries[[#This Row],[Years of Experience]]&gt;5,tblSalaries[[#This Row],[Years of Experience]]&lt;=10),1,""))</f>
        <v>1</v>
      </c>
      <c r="Q864" t="str">
        <f>IF(tblSalaries[[#This Row],[Years of Experience]]="","",IF(AND(tblSalaries[[#This Row],[Years of Experience]]&gt;10,tblSalaries[[#This Row],[Years of Experience]]&lt;=15),1,""))</f>
        <v/>
      </c>
      <c r="R864" t="str">
        <f>IF(tblSalaries[[#This Row],[Years of Experience]]="","",IF(AND(tblSalaries[[#This Row],[Years of Experience]]&gt;16,tblSalaries[[#This Row],[Years of Experience]]&lt;=20),1,""))</f>
        <v/>
      </c>
      <c r="S864" t="str">
        <f>IF(tblSalaries[[#This Row],[Years of Experience]]="","",IF(tblSalaries[[#This Row],[Years of Experience]]&gt;20,1,""))</f>
        <v/>
      </c>
      <c r="T8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64" s="13" t="str">
        <f>IF(tblSalaries[[#This Row],[Job Type]]=tblSalaries[[#Headers],[Accountant]],tblSalaries[[#This Row],[Salary in USD]],"")</f>
        <v/>
      </c>
      <c r="V864" s="13">
        <f>IF(tblSalaries[[#This Row],[Job Type]]=tblSalaries[[#Headers],[Analyst]],tblSalaries[[#This Row],[Salary in USD]],"")</f>
        <v>26400</v>
      </c>
      <c r="W864" s="13" t="str">
        <f>IF(tblSalaries[[#This Row],[Job Type]]=tblSalaries[[#Headers],[Consultant]],tblSalaries[[#This Row],[Salary in USD]],"")</f>
        <v/>
      </c>
      <c r="X864" s="13" t="str">
        <f>IF(tblSalaries[[#This Row],[Job Type]]=tblSalaries[[#Headers],[Controller]],tblSalaries[[#This Row],[Salary in USD]],"")</f>
        <v/>
      </c>
      <c r="Y864" s="13" t="str">
        <f>IF(tblSalaries[[#This Row],[Job Type]]=tblSalaries[[#Headers],[CXO or Top Mgmt.]],tblSalaries[[#This Row],[clean Salary (in local currency)]],"")</f>
        <v/>
      </c>
      <c r="Z864" s="13" t="str">
        <f>IF(tblSalaries[[#This Row],[Job Type]]=tblSalaries[[#Headers],[Engineer]],tblSalaries[[#This Row],[Salary in USD]],"")</f>
        <v/>
      </c>
      <c r="AA864" s="13" t="str">
        <f>IF(tblSalaries[[#This Row],[Job Type]]=tblSalaries[[#Headers],[Manager]],tblSalaries[[#This Row],[Salary in USD]],"")</f>
        <v/>
      </c>
      <c r="AB864" s="13" t="str">
        <f>IF(tblSalaries[[#This Row],[Job Type]]=tblSalaries[[#Headers],[Misc.]],tblSalaries[[#This Row],[Salary in USD]],"")</f>
        <v/>
      </c>
      <c r="AC864" s="13" t="str">
        <f>IF(tblSalaries[[#This Row],[Job Type]]=tblSalaries[[#Headers],[Reporting]],tblSalaries[[#This Row],[Salary in USD]],"")</f>
        <v/>
      </c>
      <c r="AD864" s="13" t="str">
        <f>IF(tblSalaries[[#This Row],[Job Type]]=tblSalaries[[#Headers],[Specialist]],tblSalaries[[#This Row],[Salary in USD]],"")</f>
        <v/>
      </c>
    </row>
    <row r="865" spans="2:30" ht="15" customHeight="1" x14ac:dyDescent="0.25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 s="9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  <c r="N865" t="str">
        <f>IF(tblSalaries[[#This Row],[Years of Experience]]="","",IF(tblSalaries[[#This Row],[Years of Experience]]&lt;=2,1,""))</f>
        <v/>
      </c>
      <c r="O865" t="str">
        <f>IF(tblSalaries[[#This Row],[Years of Experience]]="","",IF(AND(tblSalaries[[#This Row],[Years of Experience]]&gt;2,tblSalaries[[#This Row],[Years of Experience]]&lt;=5),1,""))</f>
        <v/>
      </c>
      <c r="P865" t="str">
        <f>IF(tblSalaries[[#This Row],[Years of Experience]]="","",IF(AND(tblSalaries[[#This Row],[Years of Experience]]&gt;5,tblSalaries[[#This Row],[Years of Experience]]&lt;=10),1,""))</f>
        <v/>
      </c>
      <c r="Q865" t="str">
        <f>IF(tblSalaries[[#This Row],[Years of Experience]]="","",IF(AND(tblSalaries[[#This Row],[Years of Experience]]&gt;10,tblSalaries[[#This Row],[Years of Experience]]&lt;=15),1,""))</f>
        <v/>
      </c>
      <c r="R865">
        <f>IF(tblSalaries[[#This Row],[Years of Experience]]="","",IF(AND(tblSalaries[[#This Row],[Years of Experience]]&gt;16,tblSalaries[[#This Row],[Years of Experience]]&lt;=20),1,""))</f>
        <v>1</v>
      </c>
      <c r="S865" t="str">
        <f>IF(tblSalaries[[#This Row],[Years of Experience]]="","",IF(tblSalaries[[#This Row],[Years of Experience]]&gt;20,1,""))</f>
        <v/>
      </c>
      <c r="T8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65" s="13" t="str">
        <f>IF(tblSalaries[[#This Row],[Job Type]]=tblSalaries[[#Headers],[Accountant]],tblSalaries[[#This Row],[Salary in USD]],"")</f>
        <v/>
      </c>
      <c r="V865" s="13" t="str">
        <f>IF(tblSalaries[[#This Row],[Job Type]]=tblSalaries[[#Headers],[Analyst]],tblSalaries[[#This Row],[Salary in USD]],"")</f>
        <v/>
      </c>
      <c r="W865" s="13" t="str">
        <f>IF(tblSalaries[[#This Row],[Job Type]]=tblSalaries[[#Headers],[Consultant]],tblSalaries[[#This Row],[Salary in USD]],"")</f>
        <v/>
      </c>
      <c r="X865" s="13" t="str">
        <f>IF(tblSalaries[[#This Row],[Job Type]]=tblSalaries[[#Headers],[Controller]],tblSalaries[[#This Row],[Salary in USD]],"")</f>
        <v/>
      </c>
      <c r="Y865" s="13" t="str">
        <f>IF(tblSalaries[[#This Row],[Job Type]]=tblSalaries[[#Headers],[CXO or Top Mgmt.]],tblSalaries[[#This Row],[clean Salary (in local currency)]],"")</f>
        <v/>
      </c>
      <c r="Z865" s="13" t="str">
        <f>IF(tblSalaries[[#This Row],[Job Type]]=tblSalaries[[#Headers],[Engineer]],tblSalaries[[#This Row],[Salary in USD]],"")</f>
        <v/>
      </c>
      <c r="AA865" s="13">
        <f>IF(tblSalaries[[#This Row],[Job Type]]=tblSalaries[[#Headers],[Manager]],tblSalaries[[#This Row],[Salary in USD]],"")</f>
        <v>12000</v>
      </c>
      <c r="AB865" s="13" t="str">
        <f>IF(tblSalaries[[#This Row],[Job Type]]=tblSalaries[[#Headers],[Misc.]],tblSalaries[[#This Row],[Salary in USD]],"")</f>
        <v/>
      </c>
      <c r="AC865" s="13" t="str">
        <f>IF(tblSalaries[[#This Row],[Job Type]]=tblSalaries[[#Headers],[Reporting]],tblSalaries[[#This Row],[Salary in USD]],"")</f>
        <v/>
      </c>
      <c r="AD865" s="13" t="str">
        <f>IF(tblSalaries[[#This Row],[Job Type]]=tblSalaries[[#Headers],[Specialist]],tblSalaries[[#This Row],[Salary in USD]],"")</f>
        <v/>
      </c>
    </row>
    <row r="866" spans="2:30" ht="15" customHeight="1" x14ac:dyDescent="0.25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 s="9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  <c r="N866">
        <f>IF(tblSalaries[[#This Row],[Years of Experience]]="","",IF(tblSalaries[[#This Row],[Years of Experience]]&lt;=2,1,""))</f>
        <v>1</v>
      </c>
      <c r="O866" t="str">
        <f>IF(tblSalaries[[#This Row],[Years of Experience]]="","",IF(AND(tblSalaries[[#This Row],[Years of Experience]]&gt;2,tblSalaries[[#This Row],[Years of Experience]]&lt;=5),1,""))</f>
        <v/>
      </c>
      <c r="P866" t="str">
        <f>IF(tblSalaries[[#This Row],[Years of Experience]]="","",IF(AND(tblSalaries[[#This Row],[Years of Experience]]&gt;5,tblSalaries[[#This Row],[Years of Experience]]&lt;=10),1,""))</f>
        <v/>
      </c>
      <c r="Q866" t="str">
        <f>IF(tblSalaries[[#This Row],[Years of Experience]]="","",IF(AND(tblSalaries[[#This Row],[Years of Experience]]&gt;10,tblSalaries[[#This Row],[Years of Experience]]&lt;=15),1,""))</f>
        <v/>
      </c>
      <c r="R866" t="str">
        <f>IF(tblSalaries[[#This Row],[Years of Experience]]="","",IF(AND(tblSalaries[[#This Row],[Years of Experience]]&gt;16,tblSalaries[[#This Row],[Years of Experience]]&lt;=20),1,""))</f>
        <v/>
      </c>
      <c r="S866" t="str">
        <f>IF(tblSalaries[[#This Row],[Years of Experience]]="","",IF(tblSalaries[[#This Row],[Years of Experience]]&gt;20,1,""))</f>
        <v/>
      </c>
      <c r="T8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66" s="13" t="str">
        <f>IF(tblSalaries[[#This Row],[Job Type]]=tblSalaries[[#Headers],[Accountant]],tblSalaries[[#This Row],[Salary in USD]],"")</f>
        <v/>
      </c>
      <c r="V866" s="13">
        <f>IF(tblSalaries[[#This Row],[Job Type]]=tblSalaries[[#Headers],[Analyst]],tblSalaries[[#This Row],[Salary in USD]],"")</f>
        <v>2564.3400029917298</v>
      </c>
      <c r="W866" s="13" t="str">
        <f>IF(tblSalaries[[#This Row],[Job Type]]=tblSalaries[[#Headers],[Consultant]],tblSalaries[[#This Row],[Salary in USD]],"")</f>
        <v/>
      </c>
      <c r="X866" s="13" t="str">
        <f>IF(tblSalaries[[#This Row],[Job Type]]=tblSalaries[[#Headers],[Controller]],tblSalaries[[#This Row],[Salary in USD]],"")</f>
        <v/>
      </c>
      <c r="Y866" s="13" t="str">
        <f>IF(tblSalaries[[#This Row],[Job Type]]=tblSalaries[[#Headers],[CXO or Top Mgmt.]],tblSalaries[[#This Row],[clean Salary (in local currency)]],"")</f>
        <v/>
      </c>
      <c r="Z866" s="13" t="str">
        <f>IF(tblSalaries[[#This Row],[Job Type]]=tblSalaries[[#Headers],[Engineer]],tblSalaries[[#This Row],[Salary in USD]],"")</f>
        <v/>
      </c>
      <c r="AA866" s="13" t="str">
        <f>IF(tblSalaries[[#This Row],[Job Type]]=tblSalaries[[#Headers],[Manager]],tblSalaries[[#This Row],[Salary in USD]],"")</f>
        <v/>
      </c>
      <c r="AB866" s="13" t="str">
        <f>IF(tblSalaries[[#This Row],[Job Type]]=tblSalaries[[#Headers],[Misc.]],tblSalaries[[#This Row],[Salary in USD]],"")</f>
        <v/>
      </c>
      <c r="AC866" s="13" t="str">
        <f>IF(tblSalaries[[#This Row],[Job Type]]=tblSalaries[[#Headers],[Reporting]],tblSalaries[[#This Row],[Salary in USD]],"")</f>
        <v/>
      </c>
      <c r="AD866" s="13" t="str">
        <f>IF(tblSalaries[[#This Row],[Job Type]]=tblSalaries[[#Headers],[Specialist]],tblSalaries[[#This Row],[Salary in USD]],"")</f>
        <v/>
      </c>
    </row>
    <row r="867" spans="2:30" ht="15" customHeight="1" x14ac:dyDescent="0.25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 s="9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  <c r="N867" t="str">
        <f>IF(tblSalaries[[#This Row],[Years of Experience]]="","",IF(tblSalaries[[#This Row],[Years of Experience]]&lt;=2,1,""))</f>
        <v/>
      </c>
      <c r="O867" t="str">
        <f>IF(tblSalaries[[#This Row],[Years of Experience]]="","",IF(AND(tblSalaries[[#This Row],[Years of Experience]]&gt;2,tblSalaries[[#This Row],[Years of Experience]]&lt;=5),1,""))</f>
        <v/>
      </c>
      <c r="P867" t="str">
        <f>IF(tblSalaries[[#This Row],[Years of Experience]]="","",IF(AND(tblSalaries[[#This Row],[Years of Experience]]&gt;5,tblSalaries[[#This Row],[Years of Experience]]&lt;=10),1,""))</f>
        <v/>
      </c>
      <c r="Q867">
        <f>IF(tblSalaries[[#This Row],[Years of Experience]]="","",IF(AND(tblSalaries[[#This Row],[Years of Experience]]&gt;10,tblSalaries[[#This Row],[Years of Experience]]&lt;=15),1,""))</f>
        <v>1</v>
      </c>
      <c r="R867" t="str">
        <f>IF(tblSalaries[[#This Row],[Years of Experience]]="","",IF(AND(tblSalaries[[#This Row],[Years of Experience]]&gt;16,tblSalaries[[#This Row],[Years of Experience]]&lt;=20),1,""))</f>
        <v/>
      </c>
      <c r="S867" t="str">
        <f>IF(tblSalaries[[#This Row],[Years of Experience]]="","",IF(tblSalaries[[#This Row],[Years of Experience]]&gt;20,1,""))</f>
        <v/>
      </c>
      <c r="T8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67" s="13" t="str">
        <f>IF(tblSalaries[[#This Row],[Job Type]]=tblSalaries[[#Headers],[Accountant]],tblSalaries[[#This Row],[Salary in USD]],"")</f>
        <v/>
      </c>
      <c r="V867" s="13" t="str">
        <f>IF(tblSalaries[[#This Row],[Job Type]]=tblSalaries[[#Headers],[Analyst]],tblSalaries[[#This Row],[Salary in USD]],"")</f>
        <v/>
      </c>
      <c r="W867" s="13" t="str">
        <f>IF(tblSalaries[[#This Row],[Job Type]]=tblSalaries[[#Headers],[Consultant]],tblSalaries[[#This Row],[Salary in USD]],"")</f>
        <v/>
      </c>
      <c r="X867" s="13" t="str">
        <f>IF(tblSalaries[[#This Row],[Job Type]]=tblSalaries[[#Headers],[Controller]],tblSalaries[[#This Row],[Salary in USD]],"")</f>
        <v/>
      </c>
      <c r="Y867" s="13" t="str">
        <f>IF(tblSalaries[[#This Row],[Job Type]]=tblSalaries[[#Headers],[CXO or Top Mgmt.]],tblSalaries[[#This Row],[clean Salary (in local currency)]],"")</f>
        <v/>
      </c>
      <c r="Z867" s="13" t="str">
        <f>IF(tblSalaries[[#This Row],[Job Type]]=tblSalaries[[#Headers],[Engineer]],tblSalaries[[#This Row],[Salary in USD]],"")</f>
        <v/>
      </c>
      <c r="AA867" s="13">
        <f>IF(tblSalaries[[#This Row],[Job Type]]=tblSalaries[[#Headers],[Manager]],tblSalaries[[#This Row],[Salary in USD]],"")</f>
        <v>62000</v>
      </c>
      <c r="AB867" s="13" t="str">
        <f>IF(tblSalaries[[#This Row],[Job Type]]=tblSalaries[[#Headers],[Misc.]],tblSalaries[[#This Row],[Salary in USD]],"")</f>
        <v/>
      </c>
      <c r="AC867" s="13" t="str">
        <f>IF(tblSalaries[[#This Row],[Job Type]]=tblSalaries[[#Headers],[Reporting]],tblSalaries[[#This Row],[Salary in USD]],"")</f>
        <v/>
      </c>
      <c r="AD867" s="13" t="str">
        <f>IF(tblSalaries[[#This Row],[Job Type]]=tblSalaries[[#Headers],[Specialist]],tblSalaries[[#This Row],[Salary in USD]],"")</f>
        <v/>
      </c>
    </row>
    <row r="868" spans="2:30" ht="15" customHeight="1" x14ac:dyDescent="0.25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 s="9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  <c r="N868" t="str">
        <f>IF(tblSalaries[[#This Row],[Years of Experience]]="","",IF(tblSalaries[[#This Row],[Years of Experience]]&lt;=2,1,""))</f>
        <v/>
      </c>
      <c r="O868" t="str">
        <f>IF(tblSalaries[[#This Row],[Years of Experience]]="","",IF(AND(tblSalaries[[#This Row],[Years of Experience]]&gt;2,tblSalaries[[#This Row],[Years of Experience]]&lt;=5),1,""))</f>
        <v/>
      </c>
      <c r="P868">
        <f>IF(tblSalaries[[#This Row],[Years of Experience]]="","",IF(AND(tblSalaries[[#This Row],[Years of Experience]]&gt;5,tblSalaries[[#This Row],[Years of Experience]]&lt;=10),1,""))</f>
        <v>1</v>
      </c>
      <c r="Q868" t="str">
        <f>IF(tblSalaries[[#This Row],[Years of Experience]]="","",IF(AND(tblSalaries[[#This Row],[Years of Experience]]&gt;10,tblSalaries[[#This Row],[Years of Experience]]&lt;=15),1,""))</f>
        <v/>
      </c>
      <c r="R868" t="str">
        <f>IF(tblSalaries[[#This Row],[Years of Experience]]="","",IF(AND(tblSalaries[[#This Row],[Years of Experience]]&gt;16,tblSalaries[[#This Row],[Years of Experience]]&lt;=20),1,""))</f>
        <v/>
      </c>
      <c r="S868" t="str">
        <f>IF(tblSalaries[[#This Row],[Years of Experience]]="","",IF(tblSalaries[[#This Row],[Years of Experience]]&gt;20,1,""))</f>
        <v/>
      </c>
      <c r="T8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68" s="13" t="str">
        <f>IF(tblSalaries[[#This Row],[Job Type]]=tblSalaries[[#Headers],[Accountant]],tblSalaries[[#This Row],[Salary in USD]],"")</f>
        <v/>
      </c>
      <c r="V868" s="13">
        <f>IF(tblSalaries[[#This Row],[Job Type]]=tblSalaries[[#Headers],[Analyst]],tblSalaries[[#This Row],[Salary in USD]],"")</f>
        <v>5342.3750062327708</v>
      </c>
      <c r="W868" s="13" t="str">
        <f>IF(tblSalaries[[#This Row],[Job Type]]=tblSalaries[[#Headers],[Consultant]],tblSalaries[[#This Row],[Salary in USD]],"")</f>
        <v/>
      </c>
      <c r="X868" s="13" t="str">
        <f>IF(tblSalaries[[#This Row],[Job Type]]=tblSalaries[[#Headers],[Controller]],tblSalaries[[#This Row],[Salary in USD]],"")</f>
        <v/>
      </c>
      <c r="Y868" s="13" t="str">
        <f>IF(tblSalaries[[#This Row],[Job Type]]=tblSalaries[[#Headers],[CXO or Top Mgmt.]],tblSalaries[[#This Row],[clean Salary (in local currency)]],"")</f>
        <v/>
      </c>
      <c r="Z868" s="13" t="str">
        <f>IF(tblSalaries[[#This Row],[Job Type]]=tblSalaries[[#Headers],[Engineer]],tblSalaries[[#This Row],[Salary in USD]],"")</f>
        <v/>
      </c>
      <c r="AA868" s="13" t="str">
        <f>IF(tblSalaries[[#This Row],[Job Type]]=tblSalaries[[#Headers],[Manager]],tblSalaries[[#This Row],[Salary in USD]],"")</f>
        <v/>
      </c>
      <c r="AB868" s="13" t="str">
        <f>IF(tblSalaries[[#This Row],[Job Type]]=tblSalaries[[#Headers],[Misc.]],tblSalaries[[#This Row],[Salary in USD]],"")</f>
        <v/>
      </c>
      <c r="AC868" s="13" t="str">
        <f>IF(tblSalaries[[#This Row],[Job Type]]=tblSalaries[[#Headers],[Reporting]],tblSalaries[[#This Row],[Salary in USD]],"")</f>
        <v/>
      </c>
      <c r="AD868" s="13" t="str">
        <f>IF(tblSalaries[[#This Row],[Job Type]]=tblSalaries[[#Headers],[Specialist]],tblSalaries[[#This Row],[Salary in USD]],"")</f>
        <v/>
      </c>
    </row>
    <row r="869" spans="2:30" ht="15" customHeight="1" x14ac:dyDescent="0.25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 s="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  <c r="N869" t="str">
        <f>IF(tblSalaries[[#This Row],[Years of Experience]]="","",IF(tblSalaries[[#This Row],[Years of Experience]]&lt;=2,1,""))</f>
        <v/>
      </c>
      <c r="O869">
        <f>IF(tblSalaries[[#This Row],[Years of Experience]]="","",IF(AND(tblSalaries[[#This Row],[Years of Experience]]&gt;2,tblSalaries[[#This Row],[Years of Experience]]&lt;=5),1,""))</f>
        <v>1</v>
      </c>
      <c r="P869" t="str">
        <f>IF(tblSalaries[[#This Row],[Years of Experience]]="","",IF(AND(tblSalaries[[#This Row],[Years of Experience]]&gt;5,tblSalaries[[#This Row],[Years of Experience]]&lt;=10),1,""))</f>
        <v/>
      </c>
      <c r="Q869" t="str">
        <f>IF(tblSalaries[[#This Row],[Years of Experience]]="","",IF(AND(tblSalaries[[#This Row],[Years of Experience]]&gt;10,tblSalaries[[#This Row],[Years of Experience]]&lt;=15),1,""))</f>
        <v/>
      </c>
      <c r="R869" t="str">
        <f>IF(tblSalaries[[#This Row],[Years of Experience]]="","",IF(AND(tblSalaries[[#This Row],[Years of Experience]]&gt;16,tblSalaries[[#This Row],[Years of Experience]]&lt;=20),1,""))</f>
        <v/>
      </c>
      <c r="S869" t="str">
        <f>IF(tblSalaries[[#This Row],[Years of Experience]]="","",IF(tblSalaries[[#This Row],[Years of Experience]]&gt;20,1,""))</f>
        <v/>
      </c>
      <c r="T8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69" s="13" t="str">
        <f>IF(tblSalaries[[#This Row],[Job Type]]=tblSalaries[[#Headers],[Accountant]],tblSalaries[[#This Row],[Salary in USD]],"")</f>
        <v/>
      </c>
      <c r="V869" s="13">
        <f>IF(tblSalaries[[#This Row],[Job Type]]=tblSalaries[[#Headers],[Analyst]],tblSalaries[[#This Row],[Salary in USD]],"")</f>
        <v>50815.977559664309</v>
      </c>
      <c r="W869" s="13" t="str">
        <f>IF(tblSalaries[[#This Row],[Job Type]]=tblSalaries[[#Headers],[Consultant]],tblSalaries[[#This Row],[Salary in USD]],"")</f>
        <v/>
      </c>
      <c r="X869" s="13" t="str">
        <f>IF(tblSalaries[[#This Row],[Job Type]]=tblSalaries[[#Headers],[Controller]],tblSalaries[[#This Row],[Salary in USD]],"")</f>
        <v/>
      </c>
      <c r="Y869" s="13" t="str">
        <f>IF(tblSalaries[[#This Row],[Job Type]]=tblSalaries[[#Headers],[CXO or Top Mgmt.]],tblSalaries[[#This Row],[clean Salary (in local currency)]],"")</f>
        <v/>
      </c>
      <c r="Z869" s="13" t="str">
        <f>IF(tblSalaries[[#This Row],[Job Type]]=tblSalaries[[#Headers],[Engineer]],tblSalaries[[#This Row],[Salary in USD]],"")</f>
        <v/>
      </c>
      <c r="AA869" s="13" t="str">
        <f>IF(tblSalaries[[#This Row],[Job Type]]=tblSalaries[[#Headers],[Manager]],tblSalaries[[#This Row],[Salary in USD]],"")</f>
        <v/>
      </c>
      <c r="AB869" s="13" t="str">
        <f>IF(tblSalaries[[#This Row],[Job Type]]=tblSalaries[[#Headers],[Misc.]],tblSalaries[[#This Row],[Salary in USD]],"")</f>
        <v/>
      </c>
      <c r="AC869" s="13" t="str">
        <f>IF(tblSalaries[[#This Row],[Job Type]]=tblSalaries[[#Headers],[Reporting]],tblSalaries[[#This Row],[Salary in USD]],"")</f>
        <v/>
      </c>
      <c r="AD869" s="13" t="str">
        <f>IF(tblSalaries[[#This Row],[Job Type]]=tblSalaries[[#Headers],[Specialist]],tblSalaries[[#This Row],[Salary in USD]],"")</f>
        <v/>
      </c>
    </row>
    <row r="870" spans="2:30" ht="15" customHeight="1" x14ac:dyDescent="0.25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 s="9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  <c r="N870" t="str">
        <f>IF(tblSalaries[[#This Row],[Years of Experience]]="","",IF(tblSalaries[[#This Row],[Years of Experience]]&lt;=2,1,""))</f>
        <v/>
      </c>
      <c r="O870">
        <f>IF(tblSalaries[[#This Row],[Years of Experience]]="","",IF(AND(tblSalaries[[#This Row],[Years of Experience]]&gt;2,tblSalaries[[#This Row],[Years of Experience]]&lt;=5),1,""))</f>
        <v>1</v>
      </c>
      <c r="P870" t="str">
        <f>IF(tblSalaries[[#This Row],[Years of Experience]]="","",IF(AND(tblSalaries[[#This Row],[Years of Experience]]&gt;5,tblSalaries[[#This Row],[Years of Experience]]&lt;=10),1,""))</f>
        <v/>
      </c>
      <c r="Q870" t="str">
        <f>IF(tblSalaries[[#This Row],[Years of Experience]]="","",IF(AND(tblSalaries[[#This Row],[Years of Experience]]&gt;10,tblSalaries[[#This Row],[Years of Experience]]&lt;=15),1,""))</f>
        <v/>
      </c>
      <c r="R870" t="str">
        <f>IF(tblSalaries[[#This Row],[Years of Experience]]="","",IF(AND(tblSalaries[[#This Row],[Years of Experience]]&gt;16,tblSalaries[[#This Row],[Years of Experience]]&lt;=20),1,""))</f>
        <v/>
      </c>
      <c r="S870" t="str">
        <f>IF(tblSalaries[[#This Row],[Years of Experience]]="","",IF(tblSalaries[[#This Row],[Years of Experience]]&gt;20,1,""))</f>
        <v/>
      </c>
      <c r="T8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0" s="13" t="str">
        <f>IF(tblSalaries[[#This Row],[Job Type]]=tblSalaries[[#Headers],[Accountant]],tblSalaries[[#This Row],[Salary in USD]],"")</f>
        <v/>
      </c>
      <c r="V870" s="13" t="str">
        <f>IF(tblSalaries[[#This Row],[Job Type]]=tblSalaries[[#Headers],[Analyst]],tblSalaries[[#This Row],[Salary in USD]],"")</f>
        <v/>
      </c>
      <c r="W870" s="13" t="str">
        <f>IF(tblSalaries[[#This Row],[Job Type]]=tblSalaries[[#Headers],[Consultant]],tblSalaries[[#This Row],[Salary in USD]],"")</f>
        <v/>
      </c>
      <c r="X870" s="13" t="str">
        <f>IF(tblSalaries[[#This Row],[Job Type]]=tblSalaries[[#Headers],[Controller]],tblSalaries[[#This Row],[Salary in USD]],"")</f>
        <v/>
      </c>
      <c r="Y870" s="13" t="str">
        <f>IF(tblSalaries[[#This Row],[Job Type]]=tblSalaries[[#Headers],[CXO or Top Mgmt.]],tblSalaries[[#This Row],[clean Salary (in local currency)]],"")</f>
        <v/>
      </c>
      <c r="Z870" s="13" t="str">
        <f>IF(tblSalaries[[#This Row],[Job Type]]=tblSalaries[[#Headers],[Engineer]],tblSalaries[[#This Row],[Salary in USD]],"")</f>
        <v/>
      </c>
      <c r="AA870" s="13">
        <f>IF(tblSalaries[[#This Row],[Job Type]]=tblSalaries[[#Headers],[Manager]],tblSalaries[[#This Row],[Salary in USD]],"")</f>
        <v>25560</v>
      </c>
      <c r="AB870" s="13" t="str">
        <f>IF(tblSalaries[[#This Row],[Job Type]]=tblSalaries[[#Headers],[Misc.]],tblSalaries[[#This Row],[Salary in USD]],"")</f>
        <v/>
      </c>
      <c r="AC870" s="13" t="str">
        <f>IF(tblSalaries[[#This Row],[Job Type]]=tblSalaries[[#Headers],[Reporting]],tblSalaries[[#This Row],[Salary in USD]],"")</f>
        <v/>
      </c>
      <c r="AD870" s="13" t="str">
        <f>IF(tblSalaries[[#This Row],[Job Type]]=tblSalaries[[#Headers],[Specialist]],tblSalaries[[#This Row],[Salary in USD]],"")</f>
        <v/>
      </c>
    </row>
    <row r="871" spans="2:30" ht="15" customHeight="1" x14ac:dyDescent="0.25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 s="9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  <c r="N871" t="str">
        <f>IF(tblSalaries[[#This Row],[Years of Experience]]="","",IF(tblSalaries[[#This Row],[Years of Experience]]&lt;=2,1,""))</f>
        <v/>
      </c>
      <c r="O871">
        <f>IF(tblSalaries[[#This Row],[Years of Experience]]="","",IF(AND(tblSalaries[[#This Row],[Years of Experience]]&gt;2,tblSalaries[[#This Row],[Years of Experience]]&lt;=5),1,""))</f>
        <v>1</v>
      </c>
      <c r="P871" t="str">
        <f>IF(tblSalaries[[#This Row],[Years of Experience]]="","",IF(AND(tblSalaries[[#This Row],[Years of Experience]]&gt;5,tblSalaries[[#This Row],[Years of Experience]]&lt;=10),1,""))</f>
        <v/>
      </c>
      <c r="Q871" t="str">
        <f>IF(tblSalaries[[#This Row],[Years of Experience]]="","",IF(AND(tblSalaries[[#This Row],[Years of Experience]]&gt;10,tblSalaries[[#This Row],[Years of Experience]]&lt;=15),1,""))</f>
        <v/>
      </c>
      <c r="R871" t="str">
        <f>IF(tblSalaries[[#This Row],[Years of Experience]]="","",IF(AND(tblSalaries[[#This Row],[Years of Experience]]&gt;16,tblSalaries[[#This Row],[Years of Experience]]&lt;=20),1,""))</f>
        <v/>
      </c>
      <c r="S871" t="str">
        <f>IF(tblSalaries[[#This Row],[Years of Experience]]="","",IF(tblSalaries[[#This Row],[Years of Experience]]&gt;20,1,""))</f>
        <v/>
      </c>
      <c r="T8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1" s="13">
        <f>IF(tblSalaries[[#This Row],[Job Type]]=tblSalaries[[#Headers],[Accountant]],tblSalaries[[#This Row],[Salary in USD]],"")</f>
        <v>12821.700014958649</v>
      </c>
      <c r="V871" s="13" t="str">
        <f>IF(tblSalaries[[#This Row],[Job Type]]=tblSalaries[[#Headers],[Analyst]],tblSalaries[[#This Row],[Salary in USD]],"")</f>
        <v/>
      </c>
      <c r="W871" s="13" t="str">
        <f>IF(tblSalaries[[#This Row],[Job Type]]=tblSalaries[[#Headers],[Consultant]],tblSalaries[[#This Row],[Salary in USD]],"")</f>
        <v/>
      </c>
      <c r="X871" s="13" t="str">
        <f>IF(tblSalaries[[#This Row],[Job Type]]=tblSalaries[[#Headers],[Controller]],tblSalaries[[#This Row],[Salary in USD]],"")</f>
        <v/>
      </c>
      <c r="Y871" s="13" t="str">
        <f>IF(tblSalaries[[#This Row],[Job Type]]=tblSalaries[[#Headers],[CXO or Top Mgmt.]],tblSalaries[[#This Row],[clean Salary (in local currency)]],"")</f>
        <v/>
      </c>
      <c r="Z871" s="13" t="str">
        <f>IF(tblSalaries[[#This Row],[Job Type]]=tblSalaries[[#Headers],[Engineer]],tblSalaries[[#This Row],[Salary in USD]],"")</f>
        <v/>
      </c>
      <c r="AA871" s="13" t="str">
        <f>IF(tblSalaries[[#This Row],[Job Type]]=tblSalaries[[#Headers],[Manager]],tblSalaries[[#This Row],[Salary in USD]],"")</f>
        <v/>
      </c>
      <c r="AB871" s="13" t="str">
        <f>IF(tblSalaries[[#This Row],[Job Type]]=tblSalaries[[#Headers],[Misc.]],tblSalaries[[#This Row],[Salary in USD]],"")</f>
        <v/>
      </c>
      <c r="AC871" s="13" t="str">
        <f>IF(tblSalaries[[#This Row],[Job Type]]=tblSalaries[[#Headers],[Reporting]],tblSalaries[[#This Row],[Salary in USD]],"")</f>
        <v/>
      </c>
      <c r="AD871" s="13" t="str">
        <f>IF(tblSalaries[[#This Row],[Job Type]]=tblSalaries[[#Headers],[Specialist]],tblSalaries[[#This Row],[Salary in USD]],"")</f>
        <v/>
      </c>
    </row>
    <row r="872" spans="2:30" ht="15" customHeight="1" x14ac:dyDescent="0.25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 s="9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  <c r="N872" t="str">
        <f>IF(tblSalaries[[#This Row],[Years of Experience]]="","",IF(tblSalaries[[#This Row],[Years of Experience]]&lt;=2,1,""))</f>
        <v/>
      </c>
      <c r="O872">
        <f>IF(tblSalaries[[#This Row],[Years of Experience]]="","",IF(AND(tblSalaries[[#This Row],[Years of Experience]]&gt;2,tblSalaries[[#This Row],[Years of Experience]]&lt;=5),1,""))</f>
        <v>1</v>
      </c>
      <c r="P872" t="str">
        <f>IF(tblSalaries[[#This Row],[Years of Experience]]="","",IF(AND(tblSalaries[[#This Row],[Years of Experience]]&gt;5,tblSalaries[[#This Row],[Years of Experience]]&lt;=10),1,""))</f>
        <v/>
      </c>
      <c r="Q872" t="str">
        <f>IF(tblSalaries[[#This Row],[Years of Experience]]="","",IF(AND(tblSalaries[[#This Row],[Years of Experience]]&gt;10,tblSalaries[[#This Row],[Years of Experience]]&lt;=15),1,""))</f>
        <v/>
      </c>
      <c r="R872" t="str">
        <f>IF(tblSalaries[[#This Row],[Years of Experience]]="","",IF(AND(tblSalaries[[#This Row],[Years of Experience]]&gt;16,tblSalaries[[#This Row],[Years of Experience]]&lt;=20),1,""))</f>
        <v/>
      </c>
      <c r="S872" t="str">
        <f>IF(tblSalaries[[#This Row],[Years of Experience]]="","",IF(tblSalaries[[#This Row],[Years of Experience]]&gt;20,1,""))</f>
        <v/>
      </c>
      <c r="T8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2" s="13" t="str">
        <f>IF(tblSalaries[[#This Row],[Job Type]]=tblSalaries[[#Headers],[Accountant]],tblSalaries[[#This Row],[Salary in USD]],"")</f>
        <v/>
      </c>
      <c r="V872" s="13" t="str">
        <f>IF(tblSalaries[[#This Row],[Job Type]]=tblSalaries[[#Headers],[Analyst]],tblSalaries[[#This Row],[Salary in USD]],"")</f>
        <v/>
      </c>
      <c r="W872" s="13" t="str">
        <f>IF(tblSalaries[[#This Row],[Job Type]]=tblSalaries[[#Headers],[Consultant]],tblSalaries[[#This Row],[Salary in USD]],"")</f>
        <v/>
      </c>
      <c r="X872" s="13" t="str">
        <f>IF(tblSalaries[[#This Row],[Job Type]]=tblSalaries[[#Headers],[Controller]],tblSalaries[[#This Row],[Salary in USD]],"")</f>
        <v/>
      </c>
      <c r="Y872" s="13" t="str">
        <f>IF(tblSalaries[[#This Row],[Job Type]]=tblSalaries[[#Headers],[CXO or Top Mgmt.]],tblSalaries[[#This Row],[clean Salary (in local currency)]],"")</f>
        <v/>
      </c>
      <c r="Z872" s="13" t="str">
        <f>IF(tblSalaries[[#This Row],[Job Type]]=tblSalaries[[#Headers],[Engineer]],tblSalaries[[#This Row],[Salary in USD]],"")</f>
        <v/>
      </c>
      <c r="AA872" s="13">
        <f>IF(tblSalaries[[#This Row],[Job Type]]=tblSalaries[[#Headers],[Manager]],tblSalaries[[#This Row],[Salary in USD]],"")</f>
        <v>10684.750012465542</v>
      </c>
      <c r="AB872" s="13" t="str">
        <f>IF(tblSalaries[[#This Row],[Job Type]]=tblSalaries[[#Headers],[Misc.]],tblSalaries[[#This Row],[Salary in USD]],"")</f>
        <v/>
      </c>
      <c r="AC872" s="13" t="str">
        <f>IF(tblSalaries[[#This Row],[Job Type]]=tblSalaries[[#Headers],[Reporting]],tblSalaries[[#This Row],[Salary in USD]],"")</f>
        <v/>
      </c>
      <c r="AD872" s="13" t="str">
        <f>IF(tblSalaries[[#This Row],[Job Type]]=tblSalaries[[#Headers],[Specialist]],tblSalaries[[#This Row],[Salary in USD]],"")</f>
        <v/>
      </c>
    </row>
    <row r="873" spans="2:30" ht="15" customHeight="1" x14ac:dyDescent="0.25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 s="9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  <c r="N873" t="str">
        <f>IF(tblSalaries[[#This Row],[Years of Experience]]="","",IF(tblSalaries[[#This Row],[Years of Experience]]&lt;=2,1,""))</f>
        <v/>
      </c>
      <c r="O873">
        <f>IF(tblSalaries[[#This Row],[Years of Experience]]="","",IF(AND(tblSalaries[[#This Row],[Years of Experience]]&gt;2,tblSalaries[[#This Row],[Years of Experience]]&lt;=5),1,""))</f>
        <v>1</v>
      </c>
      <c r="P873" t="str">
        <f>IF(tblSalaries[[#This Row],[Years of Experience]]="","",IF(AND(tblSalaries[[#This Row],[Years of Experience]]&gt;5,tblSalaries[[#This Row],[Years of Experience]]&lt;=10),1,""))</f>
        <v/>
      </c>
      <c r="Q873" t="str">
        <f>IF(tblSalaries[[#This Row],[Years of Experience]]="","",IF(AND(tblSalaries[[#This Row],[Years of Experience]]&gt;10,tblSalaries[[#This Row],[Years of Experience]]&lt;=15),1,""))</f>
        <v/>
      </c>
      <c r="R873" t="str">
        <f>IF(tblSalaries[[#This Row],[Years of Experience]]="","",IF(AND(tblSalaries[[#This Row],[Years of Experience]]&gt;16,tblSalaries[[#This Row],[Years of Experience]]&lt;=20),1,""))</f>
        <v/>
      </c>
      <c r="S873" t="str">
        <f>IF(tblSalaries[[#This Row],[Years of Experience]]="","",IF(tblSalaries[[#This Row],[Years of Experience]]&gt;20,1,""))</f>
        <v/>
      </c>
      <c r="T8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3" s="13" t="str">
        <f>IF(tblSalaries[[#This Row],[Job Type]]=tblSalaries[[#Headers],[Accountant]],tblSalaries[[#This Row],[Salary in USD]],"")</f>
        <v/>
      </c>
      <c r="V873" s="13" t="str">
        <f>IF(tblSalaries[[#This Row],[Job Type]]=tblSalaries[[#Headers],[Analyst]],tblSalaries[[#This Row],[Salary in USD]],"")</f>
        <v/>
      </c>
      <c r="W873" s="13" t="str">
        <f>IF(tblSalaries[[#This Row],[Job Type]]=tblSalaries[[#Headers],[Consultant]],tblSalaries[[#This Row],[Salary in USD]],"")</f>
        <v/>
      </c>
      <c r="X873" s="13" t="str">
        <f>IF(tblSalaries[[#This Row],[Job Type]]=tblSalaries[[#Headers],[Controller]],tblSalaries[[#This Row],[Salary in USD]],"")</f>
        <v/>
      </c>
      <c r="Y873" s="13" t="str">
        <f>IF(tblSalaries[[#This Row],[Job Type]]=tblSalaries[[#Headers],[CXO or Top Mgmt.]],tblSalaries[[#This Row],[clean Salary (in local currency)]],"")</f>
        <v/>
      </c>
      <c r="Z873" s="13" t="str">
        <f>IF(tblSalaries[[#This Row],[Job Type]]=tblSalaries[[#Headers],[Engineer]],tblSalaries[[#This Row],[Salary in USD]],"")</f>
        <v/>
      </c>
      <c r="AA873" s="13">
        <f>IF(tblSalaries[[#This Row],[Job Type]]=tblSalaries[[#Headers],[Manager]],tblSalaries[[#This Row],[Salary in USD]],"")</f>
        <v>4457.9172610556352</v>
      </c>
      <c r="AB873" s="13" t="str">
        <f>IF(tblSalaries[[#This Row],[Job Type]]=tblSalaries[[#Headers],[Misc.]],tblSalaries[[#This Row],[Salary in USD]],"")</f>
        <v/>
      </c>
      <c r="AC873" s="13" t="str">
        <f>IF(tblSalaries[[#This Row],[Job Type]]=tblSalaries[[#Headers],[Reporting]],tblSalaries[[#This Row],[Salary in USD]],"")</f>
        <v/>
      </c>
      <c r="AD873" s="13" t="str">
        <f>IF(tblSalaries[[#This Row],[Job Type]]=tblSalaries[[#Headers],[Specialist]],tblSalaries[[#This Row],[Salary in USD]],"")</f>
        <v/>
      </c>
    </row>
    <row r="874" spans="2:30" ht="15" customHeight="1" x14ac:dyDescent="0.25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 s="9">
        <f>tblSalaries[[#This Row],[clean Salary (in local currency)]]*VLOOKUP(tblSalaries[[#This Row],[Currency]],tblXrate[],2,FALSE)</f>
        <v>125000</v>
      </c>
      <c r="H874" t="s">
        <v>1024</v>
      </c>
      <c r="I874" t="s">
        <v>4001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  <c r="N874" t="str">
        <f>IF(tblSalaries[[#This Row],[Years of Experience]]="","",IF(tblSalaries[[#This Row],[Years of Experience]]&lt;=2,1,""))</f>
        <v/>
      </c>
      <c r="O874" t="str">
        <f>IF(tblSalaries[[#This Row],[Years of Experience]]="","",IF(AND(tblSalaries[[#This Row],[Years of Experience]]&gt;2,tblSalaries[[#This Row],[Years of Experience]]&lt;=5),1,""))</f>
        <v/>
      </c>
      <c r="P874" t="str">
        <f>IF(tblSalaries[[#This Row],[Years of Experience]]="","",IF(AND(tblSalaries[[#This Row],[Years of Experience]]&gt;5,tblSalaries[[#This Row],[Years of Experience]]&lt;=10),1,""))</f>
        <v/>
      </c>
      <c r="Q874" t="str">
        <f>IF(tblSalaries[[#This Row],[Years of Experience]]="","",IF(AND(tblSalaries[[#This Row],[Years of Experience]]&gt;10,tblSalaries[[#This Row],[Years of Experience]]&lt;=15),1,""))</f>
        <v/>
      </c>
      <c r="R874">
        <f>IF(tblSalaries[[#This Row],[Years of Experience]]="","",IF(AND(tblSalaries[[#This Row],[Years of Experience]]&gt;16,tblSalaries[[#This Row],[Years of Experience]]&lt;=20),1,""))</f>
        <v>1</v>
      </c>
      <c r="S874" t="str">
        <f>IF(tblSalaries[[#This Row],[Years of Experience]]="","",IF(tblSalaries[[#This Row],[Years of Experience]]&gt;20,1,""))</f>
        <v/>
      </c>
      <c r="T8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74" s="13" t="str">
        <f>IF(tblSalaries[[#This Row],[Job Type]]=tblSalaries[[#Headers],[Accountant]],tblSalaries[[#This Row],[Salary in USD]],"")</f>
        <v/>
      </c>
      <c r="V874" s="13" t="str">
        <f>IF(tblSalaries[[#This Row],[Job Type]]=tblSalaries[[#Headers],[Analyst]],tblSalaries[[#This Row],[Salary in USD]],"")</f>
        <v/>
      </c>
      <c r="W874" s="13" t="str">
        <f>IF(tblSalaries[[#This Row],[Job Type]]=tblSalaries[[#Headers],[Consultant]],tblSalaries[[#This Row],[Salary in USD]],"")</f>
        <v/>
      </c>
      <c r="X874" s="13" t="str">
        <f>IF(tblSalaries[[#This Row],[Job Type]]=tblSalaries[[#Headers],[Controller]],tblSalaries[[#This Row],[Salary in USD]],"")</f>
        <v/>
      </c>
      <c r="Y874" s="13">
        <f>IF(tblSalaries[[#This Row],[Job Type]]=tblSalaries[[#Headers],[CXO or Top Mgmt.]],tblSalaries[[#This Row],[clean Salary (in local currency)]],"")</f>
        <v>125000</v>
      </c>
      <c r="Z874" s="13" t="str">
        <f>IF(tblSalaries[[#This Row],[Job Type]]=tblSalaries[[#Headers],[Engineer]],tblSalaries[[#This Row],[Salary in USD]],"")</f>
        <v/>
      </c>
      <c r="AA874" s="13" t="str">
        <f>IF(tblSalaries[[#This Row],[Job Type]]=tblSalaries[[#Headers],[Manager]],tblSalaries[[#This Row],[Salary in USD]],"")</f>
        <v/>
      </c>
      <c r="AB874" s="13" t="str">
        <f>IF(tblSalaries[[#This Row],[Job Type]]=tblSalaries[[#Headers],[Misc.]],tblSalaries[[#This Row],[Salary in USD]],"")</f>
        <v/>
      </c>
      <c r="AC874" s="13" t="str">
        <f>IF(tblSalaries[[#This Row],[Job Type]]=tblSalaries[[#Headers],[Reporting]],tblSalaries[[#This Row],[Salary in USD]],"")</f>
        <v/>
      </c>
      <c r="AD874" s="13" t="str">
        <f>IF(tblSalaries[[#This Row],[Job Type]]=tblSalaries[[#Headers],[Specialist]],tblSalaries[[#This Row],[Salary in USD]],"")</f>
        <v/>
      </c>
    </row>
    <row r="875" spans="2:30" ht="15" customHeight="1" x14ac:dyDescent="0.25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 s="9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  <c r="N875">
        <f>IF(tblSalaries[[#This Row],[Years of Experience]]="","",IF(tblSalaries[[#This Row],[Years of Experience]]&lt;=2,1,""))</f>
        <v>1</v>
      </c>
      <c r="O875" t="str">
        <f>IF(tblSalaries[[#This Row],[Years of Experience]]="","",IF(AND(tblSalaries[[#This Row],[Years of Experience]]&gt;2,tblSalaries[[#This Row],[Years of Experience]]&lt;=5),1,""))</f>
        <v/>
      </c>
      <c r="P875" t="str">
        <f>IF(tblSalaries[[#This Row],[Years of Experience]]="","",IF(AND(tblSalaries[[#This Row],[Years of Experience]]&gt;5,tblSalaries[[#This Row],[Years of Experience]]&lt;=10),1,""))</f>
        <v/>
      </c>
      <c r="Q875" t="str">
        <f>IF(tblSalaries[[#This Row],[Years of Experience]]="","",IF(AND(tblSalaries[[#This Row],[Years of Experience]]&gt;10,tblSalaries[[#This Row],[Years of Experience]]&lt;=15),1,""))</f>
        <v/>
      </c>
      <c r="R875" t="str">
        <f>IF(tblSalaries[[#This Row],[Years of Experience]]="","",IF(AND(tblSalaries[[#This Row],[Years of Experience]]&gt;16,tblSalaries[[#This Row],[Years of Experience]]&lt;=20),1,""))</f>
        <v/>
      </c>
      <c r="S875" t="str">
        <f>IF(tblSalaries[[#This Row],[Years of Experience]]="","",IF(tblSalaries[[#This Row],[Years of Experience]]&gt;20,1,""))</f>
        <v/>
      </c>
      <c r="T8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75" s="13" t="str">
        <f>IF(tblSalaries[[#This Row],[Job Type]]=tblSalaries[[#Headers],[Accountant]],tblSalaries[[#This Row],[Salary in USD]],"")</f>
        <v/>
      </c>
      <c r="V875" s="13">
        <f>IF(tblSalaries[[#This Row],[Job Type]]=tblSalaries[[#Headers],[Analyst]],tblSalaries[[#This Row],[Salary in USD]],"")</f>
        <v>43000</v>
      </c>
      <c r="W875" s="13" t="str">
        <f>IF(tblSalaries[[#This Row],[Job Type]]=tblSalaries[[#Headers],[Consultant]],tblSalaries[[#This Row],[Salary in USD]],"")</f>
        <v/>
      </c>
      <c r="X875" s="13" t="str">
        <f>IF(tblSalaries[[#This Row],[Job Type]]=tblSalaries[[#Headers],[Controller]],tblSalaries[[#This Row],[Salary in USD]],"")</f>
        <v/>
      </c>
      <c r="Y875" s="13" t="str">
        <f>IF(tblSalaries[[#This Row],[Job Type]]=tblSalaries[[#Headers],[CXO or Top Mgmt.]],tblSalaries[[#This Row],[clean Salary (in local currency)]],"")</f>
        <v/>
      </c>
      <c r="Z875" s="13" t="str">
        <f>IF(tblSalaries[[#This Row],[Job Type]]=tblSalaries[[#Headers],[Engineer]],tblSalaries[[#This Row],[Salary in USD]],"")</f>
        <v/>
      </c>
      <c r="AA875" s="13" t="str">
        <f>IF(tblSalaries[[#This Row],[Job Type]]=tblSalaries[[#Headers],[Manager]],tblSalaries[[#This Row],[Salary in USD]],"")</f>
        <v/>
      </c>
      <c r="AB875" s="13" t="str">
        <f>IF(tblSalaries[[#This Row],[Job Type]]=tblSalaries[[#Headers],[Misc.]],tblSalaries[[#This Row],[Salary in USD]],"")</f>
        <v/>
      </c>
      <c r="AC875" s="13" t="str">
        <f>IF(tblSalaries[[#This Row],[Job Type]]=tblSalaries[[#Headers],[Reporting]],tblSalaries[[#This Row],[Salary in USD]],"")</f>
        <v/>
      </c>
      <c r="AD875" s="13" t="str">
        <f>IF(tblSalaries[[#This Row],[Job Type]]=tblSalaries[[#Headers],[Specialist]],tblSalaries[[#This Row],[Salary in USD]],"")</f>
        <v/>
      </c>
    </row>
    <row r="876" spans="2:30" ht="15" customHeight="1" x14ac:dyDescent="0.25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 s="9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  <c r="N876" t="str">
        <f>IF(tblSalaries[[#This Row],[Years of Experience]]="","",IF(tblSalaries[[#This Row],[Years of Experience]]&lt;=2,1,""))</f>
        <v/>
      </c>
      <c r="O876" t="str">
        <f>IF(tblSalaries[[#This Row],[Years of Experience]]="","",IF(AND(tblSalaries[[#This Row],[Years of Experience]]&gt;2,tblSalaries[[#This Row],[Years of Experience]]&lt;=5),1,""))</f>
        <v/>
      </c>
      <c r="P876">
        <f>IF(tblSalaries[[#This Row],[Years of Experience]]="","",IF(AND(tblSalaries[[#This Row],[Years of Experience]]&gt;5,tblSalaries[[#This Row],[Years of Experience]]&lt;=10),1,""))</f>
        <v>1</v>
      </c>
      <c r="Q876" t="str">
        <f>IF(tblSalaries[[#This Row],[Years of Experience]]="","",IF(AND(tblSalaries[[#This Row],[Years of Experience]]&gt;10,tblSalaries[[#This Row],[Years of Experience]]&lt;=15),1,""))</f>
        <v/>
      </c>
      <c r="R876" t="str">
        <f>IF(tblSalaries[[#This Row],[Years of Experience]]="","",IF(AND(tblSalaries[[#This Row],[Years of Experience]]&gt;16,tblSalaries[[#This Row],[Years of Experience]]&lt;=20),1,""))</f>
        <v/>
      </c>
      <c r="S876" t="str">
        <f>IF(tblSalaries[[#This Row],[Years of Experience]]="","",IF(tblSalaries[[#This Row],[Years of Experience]]&gt;20,1,""))</f>
        <v/>
      </c>
      <c r="T8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76" s="13" t="str">
        <f>IF(tblSalaries[[#This Row],[Job Type]]=tblSalaries[[#Headers],[Accountant]],tblSalaries[[#This Row],[Salary in USD]],"")</f>
        <v/>
      </c>
      <c r="V876" s="13" t="str">
        <f>IF(tblSalaries[[#This Row],[Job Type]]=tblSalaries[[#Headers],[Analyst]],tblSalaries[[#This Row],[Salary in USD]],"")</f>
        <v/>
      </c>
      <c r="W876" s="13" t="str">
        <f>IF(tblSalaries[[#This Row],[Job Type]]=tblSalaries[[#Headers],[Consultant]],tblSalaries[[#This Row],[Salary in USD]],"")</f>
        <v/>
      </c>
      <c r="X876" s="13" t="str">
        <f>IF(tblSalaries[[#This Row],[Job Type]]=tblSalaries[[#Headers],[Controller]],tblSalaries[[#This Row],[Salary in USD]],"")</f>
        <v/>
      </c>
      <c r="Y876" s="13" t="str">
        <f>IF(tblSalaries[[#This Row],[Job Type]]=tblSalaries[[#Headers],[CXO or Top Mgmt.]],tblSalaries[[#This Row],[clean Salary (in local currency)]],"")</f>
        <v/>
      </c>
      <c r="Z876" s="13">
        <f>IF(tblSalaries[[#This Row],[Job Type]]=tblSalaries[[#Headers],[Engineer]],tblSalaries[[#This Row],[Salary in USD]],"")</f>
        <v>7123.1666749770275</v>
      </c>
      <c r="AA876" s="13" t="str">
        <f>IF(tblSalaries[[#This Row],[Job Type]]=tblSalaries[[#Headers],[Manager]],tblSalaries[[#This Row],[Salary in USD]],"")</f>
        <v/>
      </c>
      <c r="AB876" s="13" t="str">
        <f>IF(tblSalaries[[#This Row],[Job Type]]=tblSalaries[[#Headers],[Misc.]],tblSalaries[[#This Row],[Salary in USD]],"")</f>
        <v/>
      </c>
      <c r="AC876" s="13" t="str">
        <f>IF(tblSalaries[[#This Row],[Job Type]]=tblSalaries[[#Headers],[Reporting]],tblSalaries[[#This Row],[Salary in USD]],"")</f>
        <v/>
      </c>
      <c r="AD876" s="13" t="str">
        <f>IF(tblSalaries[[#This Row],[Job Type]]=tblSalaries[[#Headers],[Specialist]],tblSalaries[[#This Row],[Salary in USD]],"")</f>
        <v/>
      </c>
    </row>
    <row r="877" spans="2:30" ht="15" customHeight="1" x14ac:dyDescent="0.25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 s="9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t="s">
        <v>1027</v>
      </c>
      <c r="K877" t="str">
        <f>VLOOKUP(tblSalaries[[#This Row],[Where do you work]],tblCountries[[Actual]:[Mapping]],2,FALSE)</f>
        <v>Viet Nam</v>
      </c>
      <c r="L877" t="s">
        <v>9</v>
      </c>
      <c r="M877">
        <v>4</v>
      </c>
      <c r="N877" t="str">
        <f>IF(tblSalaries[[#This Row],[Years of Experience]]="","",IF(tblSalaries[[#This Row],[Years of Experience]]&lt;=2,1,""))</f>
        <v/>
      </c>
      <c r="O877">
        <f>IF(tblSalaries[[#This Row],[Years of Experience]]="","",IF(AND(tblSalaries[[#This Row],[Years of Experience]]&gt;2,tblSalaries[[#This Row],[Years of Experience]]&lt;=5),1,""))</f>
        <v>1</v>
      </c>
      <c r="P877" t="str">
        <f>IF(tblSalaries[[#This Row],[Years of Experience]]="","",IF(AND(tblSalaries[[#This Row],[Years of Experience]]&gt;5,tblSalaries[[#This Row],[Years of Experience]]&lt;=10),1,""))</f>
        <v/>
      </c>
      <c r="Q877" t="str">
        <f>IF(tblSalaries[[#This Row],[Years of Experience]]="","",IF(AND(tblSalaries[[#This Row],[Years of Experience]]&gt;10,tblSalaries[[#This Row],[Years of Experience]]&lt;=15),1,""))</f>
        <v/>
      </c>
      <c r="R877" t="str">
        <f>IF(tblSalaries[[#This Row],[Years of Experience]]="","",IF(AND(tblSalaries[[#This Row],[Years of Experience]]&gt;16,tblSalaries[[#This Row],[Years of Experience]]&lt;=20),1,""))</f>
        <v/>
      </c>
      <c r="S877" t="str">
        <f>IF(tblSalaries[[#This Row],[Years of Experience]]="","",IF(tblSalaries[[#This Row],[Years of Experience]]&gt;20,1,""))</f>
        <v/>
      </c>
      <c r="T8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7" s="13">
        <f>IF(tblSalaries[[#This Row],[Job Type]]=tblSalaries[[#Headers],[Accountant]],tblSalaries[[#This Row],[Salary in USD]],"")</f>
        <v>10000</v>
      </c>
      <c r="V877" s="13" t="str">
        <f>IF(tblSalaries[[#This Row],[Job Type]]=tblSalaries[[#Headers],[Analyst]],tblSalaries[[#This Row],[Salary in USD]],"")</f>
        <v/>
      </c>
      <c r="W877" s="13" t="str">
        <f>IF(tblSalaries[[#This Row],[Job Type]]=tblSalaries[[#Headers],[Consultant]],tblSalaries[[#This Row],[Salary in USD]],"")</f>
        <v/>
      </c>
      <c r="X877" s="13" t="str">
        <f>IF(tblSalaries[[#This Row],[Job Type]]=tblSalaries[[#Headers],[Controller]],tblSalaries[[#This Row],[Salary in USD]],"")</f>
        <v/>
      </c>
      <c r="Y877" s="13" t="str">
        <f>IF(tblSalaries[[#This Row],[Job Type]]=tblSalaries[[#Headers],[CXO or Top Mgmt.]],tblSalaries[[#This Row],[clean Salary (in local currency)]],"")</f>
        <v/>
      </c>
      <c r="Z877" s="13" t="str">
        <f>IF(tblSalaries[[#This Row],[Job Type]]=tblSalaries[[#Headers],[Engineer]],tblSalaries[[#This Row],[Salary in USD]],"")</f>
        <v/>
      </c>
      <c r="AA877" s="13" t="str">
        <f>IF(tblSalaries[[#This Row],[Job Type]]=tblSalaries[[#Headers],[Manager]],tblSalaries[[#This Row],[Salary in USD]],"")</f>
        <v/>
      </c>
      <c r="AB877" s="13" t="str">
        <f>IF(tblSalaries[[#This Row],[Job Type]]=tblSalaries[[#Headers],[Misc.]],tblSalaries[[#This Row],[Salary in USD]],"")</f>
        <v/>
      </c>
      <c r="AC877" s="13" t="str">
        <f>IF(tblSalaries[[#This Row],[Job Type]]=tblSalaries[[#Headers],[Reporting]],tblSalaries[[#This Row],[Salary in USD]],"")</f>
        <v/>
      </c>
      <c r="AD877" s="13" t="str">
        <f>IF(tblSalaries[[#This Row],[Job Type]]=tblSalaries[[#Headers],[Specialist]],tblSalaries[[#This Row],[Salary in USD]],"")</f>
        <v/>
      </c>
    </row>
    <row r="878" spans="2:30" ht="15" customHeight="1" x14ac:dyDescent="0.25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 s="9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  <c r="N878" t="str">
        <f>IF(tblSalaries[[#This Row],[Years of Experience]]="","",IF(tblSalaries[[#This Row],[Years of Experience]]&lt;=2,1,""))</f>
        <v/>
      </c>
      <c r="O878">
        <f>IF(tblSalaries[[#This Row],[Years of Experience]]="","",IF(AND(tblSalaries[[#This Row],[Years of Experience]]&gt;2,tblSalaries[[#This Row],[Years of Experience]]&lt;=5),1,""))</f>
        <v>1</v>
      </c>
      <c r="P878" t="str">
        <f>IF(tblSalaries[[#This Row],[Years of Experience]]="","",IF(AND(tblSalaries[[#This Row],[Years of Experience]]&gt;5,tblSalaries[[#This Row],[Years of Experience]]&lt;=10),1,""))</f>
        <v/>
      </c>
      <c r="Q878" t="str">
        <f>IF(tblSalaries[[#This Row],[Years of Experience]]="","",IF(AND(tblSalaries[[#This Row],[Years of Experience]]&gt;10,tblSalaries[[#This Row],[Years of Experience]]&lt;=15),1,""))</f>
        <v/>
      </c>
      <c r="R878" t="str">
        <f>IF(tblSalaries[[#This Row],[Years of Experience]]="","",IF(AND(tblSalaries[[#This Row],[Years of Experience]]&gt;16,tblSalaries[[#This Row],[Years of Experience]]&lt;=20),1,""))</f>
        <v/>
      </c>
      <c r="S878" t="str">
        <f>IF(tblSalaries[[#This Row],[Years of Experience]]="","",IF(tblSalaries[[#This Row],[Years of Experience]]&gt;20,1,""))</f>
        <v/>
      </c>
      <c r="T8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78" s="13" t="str">
        <f>IF(tblSalaries[[#This Row],[Job Type]]=tblSalaries[[#Headers],[Accountant]],tblSalaries[[#This Row],[Salary in USD]],"")</f>
        <v/>
      </c>
      <c r="V878" s="13" t="str">
        <f>IF(tblSalaries[[#This Row],[Job Type]]=tblSalaries[[#Headers],[Analyst]],tblSalaries[[#This Row],[Salary in USD]],"")</f>
        <v/>
      </c>
      <c r="W878" s="13" t="str">
        <f>IF(tblSalaries[[#This Row],[Job Type]]=tblSalaries[[#Headers],[Consultant]],tblSalaries[[#This Row],[Salary in USD]],"")</f>
        <v/>
      </c>
      <c r="X878" s="13" t="str">
        <f>IF(tblSalaries[[#This Row],[Job Type]]=tblSalaries[[#Headers],[Controller]],tblSalaries[[#This Row],[Salary in USD]],"")</f>
        <v/>
      </c>
      <c r="Y878" s="13" t="str">
        <f>IF(tblSalaries[[#This Row],[Job Type]]=tblSalaries[[#Headers],[CXO or Top Mgmt.]],tblSalaries[[#This Row],[clean Salary (in local currency)]],"")</f>
        <v/>
      </c>
      <c r="Z878" s="13" t="str">
        <f>IF(tblSalaries[[#This Row],[Job Type]]=tblSalaries[[#Headers],[Engineer]],tblSalaries[[#This Row],[Salary in USD]],"")</f>
        <v/>
      </c>
      <c r="AA878" s="13">
        <f>IF(tblSalaries[[#This Row],[Job Type]]=tblSalaries[[#Headers],[Manager]],tblSalaries[[#This Row],[Salary in USD]],"")</f>
        <v>8903.9583437212841</v>
      </c>
      <c r="AB878" s="13" t="str">
        <f>IF(tblSalaries[[#This Row],[Job Type]]=tblSalaries[[#Headers],[Misc.]],tblSalaries[[#This Row],[Salary in USD]],"")</f>
        <v/>
      </c>
      <c r="AC878" s="13" t="str">
        <f>IF(tblSalaries[[#This Row],[Job Type]]=tblSalaries[[#Headers],[Reporting]],tblSalaries[[#This Row],[Salary in USD]],"")</f>
        <v/>
      </c>
      <c r="AD878" s="13" t="str">
        <f>IF(tblSalaries[[#This Row],[Job Type]]=tblSalaries[[#Headers],[Specialist]],tblSalaries[[#This Row],[Salary in USD]],"")</f>
        <v/>
      </c>
    </row>
    <row r="879" spans="2:30" ht="15" customHeight="1" x14ac:dyDescent="0.25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 s="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  <c r="N879" t="str">
        <f>IF(tblSalaries[[#This Row],[Years of Experience]]="","",IF(tblSalaries[[#This Row],[Years of Experience]]&lt;=2,1,""))</f>
        <v/>
      </c>
      <c r="O879" t="str">
        <f>IF(tblSalaries[[#This Row],[Years of Experience]]="","",IF(AND(tblSalaries[[#This Row],[Years of Experience]]&gt;2,tblSalaries[[#This Row],[Years of Experience]]&lt;=5),1,""))</f>
        <v/>
      </c>
      <c r="P879" t="str">
        <f>IF(tblSalaries[[#This Row],[Years of Experience]]="","",IF(AND(tblSalaries[[#This Row],[Years of Experience]]&gt;5,tblSalaries[[#This Row],[Years of Experience]]&lt;=10),1,""))</f>
        <v/>
      </c>
      <c r="Q879">
        <f>IF(tblSalaries[[#This Row],[Years of Experience]]="","",IF(AND(tblSalaries[[#This Row],[Years of Experience]]&gt;10,tblSalaries[[#This Row],[Years of Experience]]&lt;=15),1,""))</f>
        <v>1</v>
      </c>
      <c r="R879" t="str">
        <f>IF(tblSalaries[[#This Row],[Years of Experience]]="","",IF(AND(tblSalaries[[#This Row],[Years of Experience]]&gt;16,tblSalaries[[#This Row],[Years of Experience]]&lt;=20),1,""))</f>
        <v/>
      </c>
      <c r="S879" t="str">
        <f>IF(tblSalaries[[#This Row],[Years of Experience]]="","",IF(tblSalaries[[#This Row],[Years of Experience]]&gt;20,1,""))</f>
        <v/>
      </c>
      <c r="T8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79" s="13">
        <f>IF(tblSalaries[[#This Row],[Job Type]]=tblSalaries[[#Headers],[Accountant]],tblSalaries[[#This Row],[Salary in USD]],"")</f>
        <v>36500</v>
      </c>
      <c r="V879" s="13" t="str">
        <f>IF(tblSalaries[[#This Row],[Job Type]]=tblSalaries[[#Headers],[Analyst]],tblSalaries[[#This Row],[Salary in USD]],"")</f>
        <v/>
      </c>
      <c r="W879" s="13" t="str">
        <f>IF(tblSalaries[[#This Row],[Job Type]]=tblSalaries[[#Headers],[Consultant]],tblSalaries[[#This Row],[Salary in USD]],"")</f>
        <v/>
      </c>
      <c r="X879" s="13" t="str">
        <f>IF(tblSalaries[[#This Row],[Job Type]]=tblSalaries[[#Headers],[Controller]],tblSalaries[[#This Row],[Salary in USD]],"")</f>
        <v/>
      </c>
      <c r="Y879" s="13" t="str">
        <f>IF(tblSalaries[[#This Row],[Job Type]]=tblSalaries[[#Headers],[CXO or Top Mgmt.]],tblSalaries[[#This Row],[clean Salary (in local currency)]],"")</f>
        <v/>
      </c>
      <c r="Z879" s="13" t="str">
        <f>IF(tblSalaries[[#This Row],[Job Type]]=tblSalaries[[#Headers],[Engineer]],tblSalaries[[#This Row],[Salary in USD]],"")</f>
        <v/>
      </c>
      <c r="AA879" s="13" t="str">
        <f>IF(tblSalaries[[#This Row],[Job Type]]=tblSalaries[[#Headers],[Manager]],tblSalaries[[#This Row],[Salary in USD]],"")</f>
        <v/>
      </c>
      <c r="AB879" s="13" t="str">
        <f>IF(tblSalaries[[#This Row],[Job Type]]=tblSalaries[[#Headers],[Misc.]],tblSalaries[[#This Row],[Salary in USD]],"")</f>
        <v/>
      </c>
      <c r="AC879" s="13" t="str">
        <f>IF(tblSalaries[[#This Row],[Job Type]]=tblSalaries[[#Headers],[Reporting]],tblSalaries[[#This Row],[Salary in USD]],"")</f>
        <v/>
      </c>
      <c r="AD879" s="13" t="str">
        <f>IF(tblSalaries[[#This Row],[Job Type]]=tblSalaries[[#Headers],[Specialist]],tblSalaries[[#This Row],[Salary in USD]],"")</f>
        <v/>
      </c>
    </row>
    <row r="880" spans="2:30" ht="15" customHeight="1" x14ac:dyDescent="0.25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 s="9">
        <f>tblSalaries[[#This Row],[clean Salary (in local currency)]]*VLOOKUP(tblSalaries[[#This Row],[Currency]],tblXrate[],2,FALSE)</f>
        <v>100000</v>
      </c>
      <c r="H880" t="s">
        <v>139</v>
      </c>
      <c r="I880" t="s">
        <v>4001</v>
      </c>
      <c r="J880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  <c r="N880" t="str">
        <f>IF(tblSalaries[[#This Row],[Years of Experience]]="","",IF(tblSalaries[[#This Row],[Years of Experience]]&lt;=2,1,""))</f>
        <v/>
      </c>
      <c r="O880" t="str">
        <f>IF(tblSalaries[[#This Row],[Years of Experience]]="","",IF(AND(tblSalaries[[#This Row],[Years of Experience]]&gt;2,tblSalaries[[#This Row],[Years of Experience]]&lt;=5),1,""))</f>
        <v/>
      </c>
      <c r="P880">
        <f>IF(tblSalaries[[#This Row],[Years of Experience]]="","",IF(AND(tblSalaries[[#This Row],[Years of Experience]]&gt;5,tblSalaries[[#This Row],[Years of Experience]]&lt;=10),1,""))</f>
        <v>1</v>
      </c>
      <c r="Q880" t="str">
        <f>IF(tblSalaries[[#This Row],[Years of Experience]]="","",IF(AND(tblSalaries[[#This Row],[Years of Experience]]&gt;10,tblSalaries[[#This Row],[Years of Experience]]&lt;=15),1,""))</f>
        <v/>
      </c>
      <c r="R880" t="str">
        <f>IF(tblSalaries[[#This Row],[Years of Experience]]="","",IF(AND(tblSalaries[[#This Row],[Years of Experience]]&gt;16,tblSalaries[[#This Row],[Years of Experience]]&lt;=20),1,""))</f>
        <v/>
      </c>
      <c r="S880" t="str">
        <f>IF(tblSalaries[[#This Row],[Years of Experience]]="","",IF(tblSalaries[[#This Row],[Years of Experience]]&gt;20,1,""))</f>
        <v/>
      </c>
      <c r="T8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80" s="13" t="str">
        <f>IF(tblSalaries[[#This Row],[Job Type]]=tblSalaries[[#Headers],[Accountant]],tblSalaries[[#This Row],[Salary in USD]],"")</f>
        <v/>
      </c>
      <c r="V880" s="13" t="str">
        <f>IF(tblSalaries[[#This Row],[Job Type]]=tblSalaries[[#Headers],[Analyst]],tblSalaries[[#This Row],[Salary in USD]],"")</f>
        <v/>
      </c>
      <c r="W880" s="13" t="str">
        <f>IF(tblSalaries[[#This Row],[Job Type]]=tblSalaries[[#Headers],[Consultant]],tblSalaries[[#This Row],[Salary in USD]],"")</f>
        <v/>
      </c>
      <c r="X880" s="13" t="str">
        <f>IF(tblSalaries[[#This Row],[Job Type]]=tblSalaries[[#Headers],[Controller]],tblSalaries[[#This Row],[Salary in USD]],"")</f>
        <v/>
      </c>
      <c r="Y880" s="13">
        <f>IF(tblSalaries[[#This Row],[Job Type]]=tblSalaries[[#Headers],[CXO or Top Mgmt.]],tblSalaries[[#This Row],[clean Salary (in local currency)]],"")</f>
        <v>100000</v>
      </c>
      <c r="Z880" s="13" t="str">
        <f>IF(tblSalaries[[#This Row],[Job Type]]=tblSalaries[[#Headers],[Engineer]],tblSalaries[[#This Row],[Salary in USD]],"")</f>
        <v/>
      </c>
      <c r="AA880" s="13" t="str">
        <f>IF(tblSalaries[[#This Row],[Job Type]]=tblSalaries[[#Headers],[Manager]],tblSalaries[[#This Row],[Salary in USD]],"")</f>
        <v/>
      </c>
      <c r="AB880" s="13" t="str">
        <f>IF(tblSalaries[[#This Row],[Job Type]]=tblSalaries[[#Headers],[Misc.]],tblSalaries[[#This Row],[Salary in USD]],"")</f>
        <v/>
      </c>
      <c r="AC880" s="13" t="str">
        <f>IF(tblSalaries[[#This Row],[Job Type]]=tblSalaries[[#Headers],[Reporting]],tblSalaries[[#This Row],[Salary in USD]],"")</f>
        <v/>
      </c>
      <c r="AD880" s="13" t="str">
        <f>IF(tblSalaries[[#This Row],[Job Type]]=tblSalaries[[#Headers],[Specialist]],tblSalaries[[#This Row],[Salary in USD]],"")</f>
        <v/>
      </c>
    </row>
    <row r="881" spans="2:30" ht="15" customHeight="1" x14ac:dyDescent="0.25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 s="9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  <c r="N881" t="str">
        <f>IF(tblSalaries[[#This Row],[Years of Experience]]="","",IF(tblSalaries[[#This Row],[Years of Experience]]&lt;=2,1,""))</f>
        <v/>
      </c>
      <c r="O881" t="str">
        <f>IF(tblSalaries[[#This Row],[Years of Experience]]="","",IF(AND(tblSalaries[[#This Row],[Years of Experience]]&gt;2,tblSalaries[[#This Row],[Years of Experience]]&lt;=5),1,""))</f>
        <v/>
      </c>
      <c r="P881">
        <f>IF(tblSalaries[[#This Row],[Years of Experience]]="","",IF(AND(tblSalaries[[#This Row],[Years of Experience]]&gt;5,tblSalaries[[#This Row],[Years of Experience]]&lt;=10),1,""))</f>
        <v>1</v>
      </c>
      <c r="Q881" t="str">
        <f>IF(tblSalaries[[#This Row],[Years of Experience]]="","",IF(AND(tblSalaries[[#This Row],[Years of Experience]]&gt;10,tblSalaries[[#This Row],[Years of Experience]]&lt;=15),1,""))</f>
        <v/>
      </c>
      <c r="R881" t="str">
        <f>IF(tblSalaries[[#This Row],[Years of Experience]]="","",IF(AND(tblSalaries[[#This Row],[Years of Experience]]&gt;16,tblSalaries[[#This Row],[Years of Experience]]&lt;=20),1,""))</f>
        <v/>
      </c>
      <c r="S881" t="str">
        <f>IF(tblSalaries[[#This Row],[Years of Experience]]="","",IF(tblSalaries[[#This Row],[Years of Experience]]&gt;20,1,""))</f>
        <v/>
      </c>
      <c r="T8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81" s="13">
        <f>IF(tblSalaries[[#This Row],[Job Type]]=tblSalaries[[#Headers],[Accountant]],tblSalaries[[#This Row],[Salary in USD]],"")</f>
        <v>7123.1666749770275</v>
      </c>
      <c r="V881" s="13" t="str">
        <f>IF(tblSalaries[[#This Row],[Job Type]]=tblSalaries[[#Headers],[Analyst]],tblSalaries[[#This Row],[Salary in USD]],"")</f>
        <v/>
      </c>
      <c r="W881" s="13" t="str">
        <f>IF(tblSalaries[[#This Row],[Job Type]]=tblSalaries[[#Headers],[Consultant]],tblSalaries[[#This Row],[Salary in USD]],"")</f>
        <v/>
      </c>
      <c r="X881" s="13" t="str">
        <f>IF(tblSalaries[[#This Row],[Job Type]]=tblSalaries[[#Headers],[Controller]],tblSalaries[[#This Row],[Salary in USD]],"")</f>
        <v/>
      </c>
      <c r="Y881" s="13" t="str">
        <f>IF(tblSalaries[[#This Row],[Job Type]]=tblSalaries[[#Headers],[CXO or Top Mgmt.]],tblSalaries[[#This Row],[clean Salary (in local currency)]],"")</f>
        <v/>
      </c>
      <c r="Z881" s="13" t="str">
        <f>IF(tblSalaries[[#This Row],[Job Type]]=tblSalaries[[#Headers],[Engineer]],tblSalaries[[#This Row],[Salary in USD]],"")</f>
        <v/>
      </c>
      <c r="AA881" s="13" t="str">
        <f>IF(tblSalaries[[#This Row],[Job Type]]=tblSalaries[[#Headers],[Manager]],tblSalaries[[#This Row],[Salary in USD]],"")</f>
        <v/>
      </c>
      <c r="AB881" s="13" t="str">
        <f>IF(tblSalaries[[#This Row],[Job Type]]=tblSalaries[[#Headers],[Misc.]],tblSalaries[[#This Row],[Salary in USD]],"")</f>
        <v/>
      </c>
      <c r="AC881" s="13" t="str">
        <f>IF(tblSalaries[[#This Row],[Job Type]]=tblSalaries[[#Headers],[Reporting]],tblSalaries[[#This Row],[Salary in USD]],"")</f>
        <v/>
      </c>
      <c r="AD881" s="13" t="str">
        <f>IF(tblSalaries[[#This Row],[Job Type]]=tblSalaries[[#Headers],[Specialist]],tblSalaries[[#This Row],[Salary in USD]],"")</f>
        <v/>
      </c>
    </row>
    <row r="882" spans="2:30" ht="15" customHeight="1" x14ac:dyDescent="0.25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 s="9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  <c r="N882" t="str">
        <f>IF(tblSalaries[[#This Row],[Years of Experience]]="","",IF(tblSalaries[[#This Row],[Years of Experience]]&lt;=2,1,""))</f>
        <v/>
      </c>
      <c r="O882" t="str">
        <f>IF(tblSalaries[[#This Row],[Years of Experience]]="","",IF(AND(tblSalaries[[#This Row],[Years of Experience]]&gt;2,tblSalaries[[#This Row],[Years of Experience]]&lt;=5),1,""))</f>
        <v/>
      </c>
      <c r="P882">
        <f>IF(tblSalaries[[#This Row],[Years of Experience]]="","",IF(AND(tblSalaries[[#This Row],[Years of Experience]]&gt;5,tblSalaries[[#This Row],[Years of Experience]]&lt;=10),1,""))</f>
        <v>1</v>
      </c>
      <c r="Q882" t="str">
        <f>IF(tblSalaries[[#This Row],[Years of Experience]]="","",IF(AND(tblSalaries[[#This Row],[Years of Experience]]&gt;10,tblSalaries[[#This Row],[Years of Experience]]&lt;=15),1,""))</f>
        <v/>
      </c>
      <c r="R882" t="str">
        <f>IF(tblSalaries[[#This Row],[Years of Experience]]="","",IF(AND(tblSalaries[[#This Row],[Years of Experience]]&gt;16,tblSalaries[[#This Row],[Years of Experience]]&lt;=20),1,""))</f>
        <v/>
      </c>
      <c r="S882" t="str">
        <f>IF(tblSalaries[[#This Row],[Years of Experience]]="","",IF(tblSalaries[[#This Row],[Years of Experience]]&gt;20,1,""))</f>
        <v/>
      </c>
      <c r="T8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82" s="13" t="str">
        <f>IF(tblSalaries[[#This Row],[Job Type]]=tblSalaries[[#Headers],[Accountant]],tblSalaries[[#This Row],[Salary in USD]],"")</f>
        <v/>
      </c>
      <c r="V882" s="13" t="str">
        <f>IF(tblSalaries[[#This Row],[Job Type]]=tblSalaries[[#Headers],[Analyst]],tblSalaries[[#This Row],[Salary in USD]],"")</f>
        <v/>
      </c>
      <c r="W882" s="13" t="str">
        <f>IF(tblSalaries[[#This Row],[Job Type]]=tblSalaries[[#Headers],[Consultant]],tblSalaries[[#This Row],[Salary in USD]],"")</f>
        <v/>
      </c>
      <c r="X882" s="13" t="str">
        <f>IF(tblSalaries[[#This Row],[Job Type]]=tblSalaries[[#Headers],[Controller]],tblSalaries[[#This Row],[Salary in USD]],"")</f>
        <v/>
      </c>
      <c r="Y882" s="13" t="str">
        <f>IF(tblSalaries[[#This Row],[Job Type]]=tblSalaries[[#Headers],[CXO or Top Mgmt.]],tblSalaries[[#This Row],[clean Salary (in local currency)]],"")</f>
        <v/>
      </c>
      <c r="Z882" s="13" t="str">
        <f>IF(tblSalaries[[#This Row],[Job Type]]=tblSalaries[[#Headers],[Engineer]],tblSalaries[[#This Row],[Salary in USD]],"")</f>
        <v/>
      </c>
      <c r="AA882" s="13">
        <f>IF(tblSalaries[[#This Row],[Job Type]]=tblSalaries[[#Headers],[Manager]],tblSalaries[[#This Row],[Salary in USD]],"")</f>
        <v>40958.208381117904</v>
      </c>
      <c r="AB882" s="13" t="str">
        <f>IF(tblSalaries[[#This Row],[Job Type]]=tblSalaries[[#Headers],[Misc.]],tblSalaries[[#This Row],[Salary in USD]],"")</f>
        <v/>
      </c>
      <c r="AC882" s="13" t="str">
        <f>IF(tblSalaries[[#This Row],[Job Type]]=tblSalaries[[#Headers],[Reporting]],tblSalaries[[#This Row],[Salary in USD]],"")</f>
        <v/>
      </c>
      <c r="AD882" s="13" t="str">
        <f>IF(tblSalaries[[#This Row],[Job Type]]=tblSalaries[[#Headers],[Specialist]],tblSalaries[[#This Row],[Salary in USD]],"")</f>
        <v/>
      </c>
    </row>
    <row r="883" spans="2:30" ht="15" customHeight="1" x14ac:dyDescent="0.25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 s="9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4001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  <c r="N883" t="str">
        <f>IF(tblSalaries[[#This Row],[Years of Experience]]="","",IF(tblSalaries[[#This Row],[Years of Experience]]&lt;=2,1,""))</f>
        <v/>
      </c>
      <c r="O883" t="str">
        <f>IF(tblSalaries[[#This Row],[Years of Experience]]="","",IF(AND(tblSalaries[[#This Row],[Years of Experience]]&gt;2,tblSalaries[[#This Row],[Years of Experience]]&lt;=5),1,""))</f>
        <v/>
      </c>
      <c r="P883" t="str">
        <f>IF(tblSalaries[[#This Row],[Years of Experience]]="","",IF(AND(tblSalaries[[#This Row],[Years of Experience]]&gt;5,tblSalaries[[#This Row],[Years of Experience]]&lt;=10),1,""))</f>
        <v/>
      </c>
      <c r="Q883" t="str">
        <f>IF(tblSalaries[[#This Row],[Years of Experience]]="","",IF(AND(tblSalaries[[#This Row],[Years of Experience]]&gt;10,tblSalaries[[#This Row],[Years of Experience]]&lt;=15),1,""))</f>
        <v/>
      </c>
      <c r="R883">
        <f>IF(tblSalaries[[#This Row],[Years of Experience]]="","",IF(AND(tblSalaries[[#This Row],[Years of Experience]]&gt;16,tblSalaries[[#This Row],[Years of Experience]]&lt;=20),1,""))</f>
        <v>1</v>
      </c>
      <c r="S883" t="str">
        <f>IF(tblSalaries[[#This Row],[Years of Experience]]="","",IF(tblSalaries[[#This Row],[Years of Experience]]&gt;20,1,""))</f>
        <v/>
      </c>
      <c r="T8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883" s="13" t="str">
        <f>IF(tblSalaries[[#This Row],[Job Type]]=tblSalaries[[#Headers],[Accountant]],tblSalaries[[#This Row],[Salary in USD]],"")</f>
        <v/>
      </c>
      <c r="V883" s="13" t="str">
        <f>IF(tblSalaries[[#This Row],[Job Type]]=tblSalaries[[#Headers],[Analyst]],tblSalaries[[#This Row],[Salary in USD]],"")</f>
        <v/>
      </c>
      <c r="W883" s="13" t="str">
        <f>IF(tblSalaries[[#This Row],[Job Type]]=tblSalaries[[#Headers],[Consultant]],tblSalaries[[#This Row],[Salary in USD]],"")</f>
        <v/>
      </c>
      <c r="X883" s="13" t="str">
        <f>IF(tblSalaries[[#This Row],[Job Type]]=tblSalaries[[#Headers],[Controller]],tblSalaries[[#This Row],[Salary in USD]],"")</f>
        <v/>
      </c>
      <c r="Y883" s="13">
        <f>IF(tblSalaries[[#This Row],[Job Type]]=tblSalaries[[#Headers],[CXO or Top Mgmt.]],tblSalaries[[#This Row],[clean Salary (in local currency)]],"")</f>
        <v>1200000</v>
      </c>
      <c r="Z883" s="13" t="str">
        <f>IF(tblSalaries[[#This Row],[Job Type]]=tblSalaries[[#Headers],[Engineer]],tblSalaries[[#This Row],[Salary in USD]],"")</f>
        <v/>
      </c>
      <c r="AA883" s="13" t="str">
        <f>IF(tblSalaries[[#This Row],[Job Type]]=tblSalaries[[#Headers],[Manager]],tblSalaries[[#This Row],[Salary in USD]],"")</f>
        <v/>
      </c>
      <c r="AB883" s="13" t="str">
        <f>IF(tblSalaries[[#This Row],[Job Type]]=tblSalaries[[#Headers],[Misc.]],tblSalaries[[#This Row],[Salary in USD]],"")</f>
        <v/>
      </c>
      <c r="AC883" s="13" t="str">
        <f>IF(tblSalaries[[#This Row],[Job Type]]=tblSalaries[[#Headers],[Reporting]],tblSalaries[[#This Row],[Salary in USD]],"")</f>
        <v/>
      </c>
      <c r="AD883" s="13" t="str">
        <f>IF(tblSalaries[[#This Row],[Job Type]]=tblSalaries[[#Headers],[Specialist]],tblSalaries[[#This Row],[Salary in USD]],"")</f>
        <v/>
      </c>
    </row>
    <row r="884" spans="2:30" ht="15" customHeight="1" x14ac:dyDescent="0.25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 s="9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  <c r="N884" t="str">
        <f>IF(tblSalaries[[#This Row],[Years of Experience]]="","",IF(tblSalaries[[#This Row],[Years of Experience]]&lt;=2,1,""))</f>
        <v/>
      </c>
      <c r="O884">
        <f>IF(tblSalaries[[#This Row],[Years of Experience]]="","",IF(AND(tblSalaries[[#This Row],[Years of Experience]]&gt;2,tblSalaries[[#This Row],[Years of Experience]]&lt;=5),1,""))</f>
        <v>1</v>
      </c>
      <c r="P884" t="str">
        <f>IF(tblSalaries[[#This Row],[Years of Experience]]="","",IF(AND(tblSalaries[[#This Row],[Years of Experience]]&gt;5,tblSalaries[[#This Row],[Years of Experience]]&lt;=10),1,""))</f>
        <v/>
      </c>
      <c r="Q884" t="str">
        <f>IF(tblSalaries[[#This Row],[Years of Experience]]="","",IF(AND(tblSalaries[[#This Row],[Years of Experience]]&gt;10,tblSalaries[[#This Row],[Years of Experience]]&lt;=15),1,""))</f>
        <v/>
      </c>
      <c r="R884" t="str">
        <f>IF(tblSalaries[[#This Row],[Years of Experience]]="","",IF(AND(tblSalaries[[#This Row],[Years of Experience]]&gt;16,tblSalaries[[#This Row],[Years of Experience]]&lt;=20),1,""))</f>
        <v/>
      </c>
      <c r="S884" t="str">
        <f>IF(tblSalaries[[#This Row],[Years of Experience]]="","",IF(tblSalaries[[#This Row],[Years of Experience]]&gt;20,1,""))</f>
        <v/>
      </c>
      <c r="T8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84" s="13" t="str">
        <f>IF(tblSalaries[[#This Row],[Job Type]]=tblSalaries[[#Headers],[Accountant]],tblSalaries[[#This Row],[Salary in USD]],"")</f>
        <v/>
      </c>
      <c r="V884" s="13" t="str">
        <f>IF(tblSalaries[[#This Row],[Job Type]]=tblSalaries[[#Headers],[Analyst]],tblSalaries[[#This Row],[Salary in USD]],"")</f>
        <v/>
      </c>
      <c r="W884" s="13" t="str">
        <f>IF(tblSalaries[[#This Row],[Job Type]]=tblSalaries[[#Headers],[Consultant]],tblSalaries[[#This Row],[Salary in USD]],"")</f>
        <v/>
      </c>
      <c r="X884" s="13" t="str">
        <f>IF(tblSalaries[[#This Row],[Job Type]]=tblSalaries[[#Headers],[Controller]],tblSalaries[[#This Row],[Salary in USD]],"")</f>
        <v/>
      </c>
      <c r="Y884" s="13" t="str">
        <f>IF(tblSalaries[[#This Row],[Job Type]]=tblSalaries[[#Headers],[CXO or Top Mgmt.]],tblSalaries[[#This Row],[clean Salary (in local currency)]],"")</f>
        <v/>
      </c>
      <c r="Z884" s="13" t="str">
        <f>IF(tblSalaries[[#This Row],[Job Type]]=tblSalaries[[#Headers],[Engineer]],tblSalaries[[#This Row],[Salary in USD]],"")</f>
        <v/>
      </c>
      <c r="AA884" s="13">
        <f>IF(tblSalaries[[#This Row],[Job Type]]=tblSalaries[[#Headers],[Manager]],tblSalaries[[#This Row],[Salary in USD]],"")</f>
        <v>2136.9500024931081</v>
      </c>
      <c r="AB884" s="13" t="str">
        <f>IF(tblSalaries[[#This Row],[Job Type]]=tblSalaries[[#Headers],[Misc.]],tblSalaries[[#This Row],[Salary in USD]],"")</f>
        <v/>
      </c>
      <c r="AC884" s="13" t="str">
        <f>IF(tblSalaries[[#This Row],[Job Type]]=tblSalaries[[#Headers],[Reporting]],tblSalaries[[#This Row],[Salary in USD]],"")</f>
        <v/>
      </c>
      <c r="AD884" s="13" t="str">
        <f>IF(tblSalaries[[#This Row],[Job Type]]=tblSalaries[[#Headers],[Specialist]],tblSalaries[[#This Row],[Salary in USD]],"")</f>
        <v/>
      </c>
    </row>
    <row r="885" spans="2:30" ht="15" customHeight="1" x14ac:dyDescent="0.25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 s="9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  <c r="N885" t="str">
        <f>IF(tblSalaries[[#This Row],[Years of Experience]]="","",IF(tblSalaries[[#This Row],[Years of Experience]]&lt;=2,1,""))</f>
        <v/>
      </c>
      <c r="O885">
        <f>IF(tblSalaries[[#This Row],[Years of Experience]]="","",IF(AND(tblSalaries[[#This Row],[Years of Experience]]&gt;2,tblSalaries[[#This Row],[Years of Experience]]&lt;=5),1,""))</f>
        <v>1</v>
      </c>
      <c r="P885" t="str">
        <f>IF(tblSalaries[[#This Row],[Years of Experience]]="","",IF(AND(tblSalaries[[#This Row],[Years of Experience]]&gt;5,tblSalaries[[#This Row],[Years of Experience]]&lt;=10),1,""))</f>
        <v/>
      </c>
      <c r="Q885" t="str">
        <f>IF(tblSalaries[[#This Row],[Years of Experience]]="","",IF(AND(tblSalaries[[#This Row],[Years of Experience]]&gt;10,tblSalaries[[#This Row],[Years of Experience]]&lt;=15),1,""))</f>
        <v/>
      </c>
      <c r="R885" t="str">
        <f>IF(tblSalaries[[#This Row],[Years of Experience]]="","",IF(AND(tblSalaries[[#This Row],[Years of Experience]]&gt;16,tblSalaries[[#This Row],[Years of Experience]]&lt;=20),1,""))</f>
        <v/>
      </c>
      <c r="S885" t="str">
        <f>IF(tblSalaries[[#This Row],[Years of Experience]]="","",IF(tblSalaries[[#This Row],[Years of Experience]]&gt;20,1,""))</f>
        <v/>
      </c>
      <c r="T8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85" s="13" t="str">
        <f>IF(tblSalaries[[#This Row],[Job Type]]=tblSalaries[[#Headers],[Accountant]],tblSalaries[[#This Row],[Salary in USD]],"")</f>
        <v/>
      </c>
      <c r="V885" s="13" t="str">
        <f>IF(tblSalaries[[#This Row],[Job Type]]=tblSalaries[[#Headers],[Analyst]],tblSalaries[[#This Row],[Salary in USD]],"")</f>
        <v/>
      </c>
      <c r="W885" s="13" t="str">
        <f>IF(tblSalaries[[#This Row],[Job Type]]=tblSalaries[[#Headers],[Consultant]],tblSalaries[[#This Row],[Salary in USD]],"")</f>
        <v/>
      </c>
      <c r="X885" s="13" t="str">
        <f>IF(tblSalaries[[#This Row],[Job Type]]=tblSalaries[[#Headers],[Controller]],tblSalaries[[#This Row],[Salary in USD]],"")</f>
        <v/>
      </c>
      <c r="Y885" s="13" t="str">
        <f>IF(tblSalaries[[#This Row],[Job Type]]=tblSalaries[[#Headers],[CXO or Top Mgmt.]],tblSalaries[[#This Row],[clean Salary (in local currency)]],"")</f>
        <v/>
      </c>
      <c r="Z885" s="13">
        <f>IF(tblSalaries[[#This Row],[Job Type]]=tblSalaries[[#Headers],[Engineer]],tblSalaries[[#This Row],[Salary in USD]],"")</f>
        <v>8903.9583437212841</v>
      </c>
      <c r="AA885" s="13" t="str">
        <f>IF(tblSalaries[[#This Row],[Job Type]]=tblSalaries[[#Headers],[Manager]],tblSalaries[[#This Row],[Salary in USD]],"")</f>
        <v/>
      </c>
      <c r="AB885" s="13" t="str">
        <f>IF(tblSalaries[[#This Row],[Job Type]]=tblSalaries[[#Headers],[Misc.]],tblSalaries[[#This Row],[Salary in USD]],"")</f>
        <v/>
      </c>
      <c r="AC885" s="13" t="str">
        <f>IF(tblSalaries[[#This Row],[Job Type]]=tblSalaries[[#Headers],[Reporting]],tblSalaries[[#This Row],[Salary in USD]],"")</f>
        <v/>
      </c>
      <c r="AD885" s="13" t="str">
        <f>IF(tblSalaries[[#This Row],[Job Type]]=tblSalaries[[#Headers],[Specialist]],tblSalaries[[#This Row],[Salary in USD]],"")</f>
        <v/>
      </c>
    </row>
    <row r="886" spans="2:30" ht="15" customHeight="1" x14ac:dyDescent="0.25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 s="9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  <c r="N886" t="str">
        <f>IF(tblSalaries[[#This Row],[Years of Experience]]="","",IF(tblSalaries[[#This Row],[Years of Experience]]&lt;=2,1,""))</f>
        <v/>
      </c>
      <c r="O886">
        <f>IF(tblSalaries[[#This Row],[Years of Experience]]="","",IF(AND(tblSalaries[[#This Row],[Years of Experience]]&gt;2,tblSalaries[[#This Row],[Years of Experience]]&lt;=5),1,""))</f>
        <v>1</v>
      </c>
      <c r="P886" t="str">
        <f>IF(tblSalaries[[#This Row],[Years of Experience]]="","",IF(AND(tblSalaries[[#This Row],[Years of Experience]]&gt;5,tblSalaries[[#This Row],[Years of Experience]]&lt;=10),1,""))</f>
        <v/>
      </c>
      <c r="Q886" t="str">
        <f>IF(tblSalaries[[#This Row],[Years of Experience]]="","",IF(AND(tblSalaries[[#This Row],[Years of Experience]]&gt;10,tblSalaries[[#This Row],[Years of Experience]]&lt;=15),1,""))</f>
        <v/>
      </c>
      <c r="R886" t="str">
        <f>IF(tblSalaries[[#This Row],[Years of Experience]]="","",IF(AND(tblSalaries[[#This Row],[Years of Experience]]&gt;16,tblSalaries[[#This Row],[Years of Experience]]&lt;=20),1,""))</f>
        <v/>
      </c>
      <c r="S886" t="str">
        <f>IF(tblSalaries[[#This Row],[Years of Experience]]="","",IF(tblSalaries[[#This Row],[Years of Experience]]&gt;20,1,""))</f>
        <v/>
      </c>
      <c r="T8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86" s="13" t="str">
        <f>IF(tblSalaries[[#This Row],[Job Type]]=tblSalaries[[#Headers],[Accountant]],tblSalaries[[#This Row],[Salary in USD]],"")</f>
        <v/>
      </c>
      <c r="V886" s="13" t="str">
        <f>IF(tblSalaries[[#This Row],[Job Type]]=tblSalaries[[#Headers],[Analyst]],tblSalaries[[#This Row],[Salary in USD]],"")</f>
        <v/>
      </c>
      <c r="W886" s="13" t="str">
        <f>IF(tblSalaries[[#This Row],[Job Type]]=tblSalaries[[#Headers],[Consultant]],tblSalaries[[#This Row],[Salary in USD]],"")</f>
        <v/>
      </c>
      <c r="X886" s="13" t="str">
        <f>IF(tblSalaries[[#This Row],[Job Type]]=tblSalaries[[#Headers],[Controller]],tblSalaries[[#This Row],[Salary in USD]],"")</f>
        <v/>
      </c>
      <c r="Y886" s="13" t="str">
        <f>IF(tblSalaries[[#This Row],[Job Type]]=tblSalaries[[#Headers],[CXO or Top Mgmt.]],tblSalaries[[#This Row],[clean Salary (in local currency)]],"")</f>
        <v/>
      </c>
      <c r="Z886" s="13" t="str">
        <f>IF(tblSalaries[[#This Row],[Job Type]]=tblSalaries[[#Headers],[Engineer]],tblSalaries[[#This Row],[Salary in USD]],"")</f>
        <v/>
      </c>
      <c r="AA886" s="13">
        <f>IF(tblSalaries[[#This Row],[Job Type]]=tblSalaries[[#Headers],[Manager]],tblSalaries[[#This Row],[Salary in USD]],"")</f>
        <v>17807.916687442568</v>
      </c>
      <c r="AB886" s="13" t="str">
        <f>IF(tblSalaries[[#This Row],[Job Type]]=tblSalaries[[#Headers],[Misc.]],tblSalaries[[#This Row],[Salary in USD]],"")</f>
        <v/>
      </c>
      <c r="AC886" s="13" t="str">
        <f>IF(tblSalaries[[#This Row],[Job Type]]=tblSalaries[[#Headers],[Reporting]],tblSalaries[[#This Row],[Salary in USD]],"")</f>
        <v/>
      </c>
      <c r="AD886" s="13" t="str">
        <f>IF(tblSalaries[[#This Row],[Job Type]]=tblSalaries[[#Headers],[Specialist]],tblSalaries[[#This Row],[Salary in USD]],"")</f>
        <v/>
      </c>
    </row>
    <row r="887" spans="2:30" ht="15" customHeight="1" x14ac:dyDescent="0.25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 s="9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  <c r="N887" t="str">
        <f>IF(tblSalaries[[#This Row],[Years of Experience]]="","",IF(tblSalaries[[#This Row],[Years of Experience]]&lt;=2,1,""))</f>
        <v/>
      </c>
      <c r="O887">
        <f>IF(tblSalaries[[#This Row],[Years of Experience]]="","",IF(AND(tblSalaries[[#This Row],[Years of Experience]]&gt;2,tblSalaries[[#This Row],[Years of Experience]]&lt;=5),1,""))</f>
        <v>1</v>
      </c>
      <c r="P887" t="str">
        <f>IF(tblSalaries[[#This Row],[Years of Experience]]="","",IF(AND(tblSalaries[[#This Row],[Years of Experience]]&gt;5,tblSalaries[[#This Row],[Years of Experience]]&lt;=10),1,""))</f>
        <v/>
      </c>
      <c r="Q887" t="str">
        <f>IF(tblSalaries[[#This Row],[Years of Experience]]="","",IF(AND(tblSalaries[[#This Row],[Years of Experience]]&gt;10,tblSalaries[[#This Row],[Years of Experience]]&lt;=15),1,""))</f>
        <v/>
      </c>
      <c r="R887" t="str">
        <f>IF(tblSalaries[[#This Row],[Years of Experience]]="","",IF(AND(tblSalaries[[#This Row],[Years of Experience]]&gt;16,tblSalaries[[#This Row],[Years of Experience]]&lt;=20),1,""))</f>
        <v/>
      </c>
      <c r="S887" t="str">
        <f>IF(tblSalaries[[#This Row],[Years of Experience]]="","",IF(tblSalaries[[#This Row],[Years of Experience]]&gt;20,1,""))</f>
        <v/>
      </c>
      <c r="T8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87" s="13" t="str">
        <f>IF(tblSalaries[[#This Row],[Job Type]]=tblSalaries[[#Headers],[Accountant]],tblSalaries[[#This Row],[Salary in USD]],"")</f>
        <v/>
      </c>
      <c r="V887" s="13" t="str">
        <f>IF(tblSalaries[[#This Row],[Job Type]]=tblSalaries[[#Headers],[Analyst]],tblSalaries[[#This Row],[Salary in USD]],"")</f>
        <v/>
      </c>
      <c r="W887" s="13" t="str">
        <f>IF(tblSalaries[[#This Row],[Job Type]]=tblSalaries[[#Headers],[Consultant]],tblSalaries[[#This Row],[Salary in USD]],"")</f>
        <v/>
      </c>
      <c r="X887" s="13" t="str">
        <f>IF(tblSalaries[[#This Row],[Job Type]]=tblSalaries[[#Headers],[Controller]],tblSalaries[[#This Row],[Salary in USD]],"")</f>
        <v/>
      </c>
      <c r="Y887" s="13" t="str">
        <f>IF(tblSalaries[[#This Row],[Job Type]]=tblSalaries[[#Headers],[CXO or Top Mgmt.]],tblSalaries[[#This Row],[clean Salary (in local currency)]],"")</f>
        <v/>
      </c>
      <c r="Z887" s="13" t="str">
        <f>IF(tblSalaries[[#This Row],[Job Type]]=tblSalaries[[#Headers],[Engineer]],tblSalaries[[#This Row],[Salary in USD]],"")</f>
        <v/>
      </c>
      <c r="AA887" s="13">
        <f>IF(tblSalaries[[#This Row],[Job Type]]=tblSalaries[[#Headers],[Manager]],tblSalaries[[#This Row],[Salary in USD]],"")</f>
        <v>15136.729184326183</v>
      </c>
      <c r="AB887" s="13" t="str">
        <f>IF(tblSalaries[[#This Row],[Job Type]]=tblSalaries[[#Headers],[Misc.]],tblSalaries[[#This Row],[Salary in USD]],"")</f>
        <v/>
      </c>
      <c r="AC887" s="13" t="str">
        <f>IF(tblSalaries[[#This Row],[Job Type]]=tblSalaries[[#Headers],[Reporting]],tblSalaries[[#This Row],[Salary in USD]],"")</f>
        <v/>
      </c>
      <c r="AD887" s="13" t="str">
        <f>IF(tblSalaries[[#This Row],[Job Type]]=tblSalaries[[#Headers],[Specialist]],tblSalaries[[#This Row],[Salary in USD]],"")</f>
        <v/>
      </c>
    </row>
    <row r="888" spans="2:30" ht="15" customHeight="1" x14ac:dyDescent="0.25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 s="9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  <c r="N888" t="str">
        <f>IF(tblSalaries[[#This Row],[Years of Experience]]="","",IF(tblSalaries[[#This Row],[Years of Experience]]&lt;=2,1,""))</f>
        <v/>
      </c>
      <c r="O888" t="str">
        <f>IF(tblSalaries[[#This Row],[Years of Experience]]="","",IF(AND(tblSalaries[[#This Row],[Years of Experience]]&gt;2,tblSalaries[[#This Row],[Years of Experience]]&lt;=5),1,""))</f>
        <v/>
      </c>
      <c r="P888">
        <f>IF(tblSalaries[[#This Row],[Years of Experience]]="","",IF(AND(tblSalaries[[#This Row],[Years of Experience]]&gt;5,tblSalaries[[#This Row],[Years of Experience]]&lt;=10),1,""))</f>
        <v>1</v>
      </c>
      <c r="Q888" t="str">
        <f>IF(tblSalaries[[#This Row],[Years of Experience]]="","",IF(AND(tblSalaries[[#This Row],[Years of Experience]]&gt;10,tblSalaries[[#This Row],[Years of Experience]]&lt;=15),1,""))</f>
        <v/>
      </c>
      <c r="R888" t="str">
        <f>IF(tblSalaries[[#This Row],[Years of Experience]]="","",IF(AND(tblSalaries[[#This Row],[Years of Experience]]&gt;16,tblSalaries[[#This Row],[Years of Experience]]&lt;=20),1,""))</f>
        <v/>
      </c>
      <c r="S888" t="str">
        <f>IF(tblSalaries[[#This Row],[Years of Experience]]="","",IF(tblSalaries[[#This Row],[Years of Experience]]&gt;20,1,""))</f>
        <v/>
      </c>
      <c r="T8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88" s="13" t="str">
        <f>IF(tblSalaries[[#This Row],[Job Type]]=tblSalaries[[#Headers],[Accountant]],tblSalaries[[#This Row],[Salary in USD]],"")</f>
        <v/>
      </c>
      <c r="V888" s="13">
        <f>IF(tblSalaries[[#This Row],[Job Type]]=tblSalaries[[#Headers],[Analyst]],tblSalaries[[#This Row],[Salary in USD]],"")</f>
        <v>3982.448779308334</v>
      </c>
      <c r="W888" s="13" t="str">
        <f>IF(tblSalaries[[#This Row],[Job Type]]=tblSalaries[[#Headers],[Consultant]],tblSalaries[[#This Row],[Salary in USD]],"")</f>
        <v/>
      </c>
      <c r="X888" s="13" t="str">
        <f>IF(tblSalaries[[#This Row],[Job Type]]=tblSalaries[[#Headers],[Controller]],tblSalaries[[#This Row],[Salary in USD]],"")</f>
        <v/>
      </c>
      <c r="Y888" s="13" t="str">
        <f>IF(tblSalaries[[#This Row],[Job Type]]=tblSalaries[[#Headers],[CXO or Top Mgmt.]],tblSalaries[[#This Row],[clean Salary (in local currency)]],"")</f>
        <v/>
      </c>
      <c r="Z888" s="13" t="str">
        <f>IF(tblSalaries[[#This Row],[Job Type]]=tblSalaries[[#Headers],[Engineer]],tblSalaries[[#This Row],[Salary in USD]],"")</f>
        <v/>
      </c>
      <c r="AA888" s="13" t="str">
        <f>IF(tblSalaries[[#This Row],[Job Type]]=tblSalaries[[#Headers],[Manager]],tblSalaries[[#This Row],[Salary in USD]],"")</f>
        <v/>
      </c>
      <c r="AB888" s="13" t="str">
        <f>IF(tblSalaries[[#This Row],[Job Type]]=tblSalaries[[#Headers],[Misc.]],tblSalaries[[#This Row],[Salary in USD]],"")</f>
        <v/>
      </c>
      <c r="AC888" s="13" t="str">
        <f>IF(tblSalaries[[#This Row],[Job Type]]=tblSalaries[[#Headers],[Reporting]],tblSalaries[[#This Row],[Salary in USD]],"")</f>
        <v/>
      </c>
      <c r="AD888" s="13" t="str">
        <f>IF(tblSalaries[[#This Row],[Job Type]]=tblSalaries[[#Headers],[Specialist]],tblSalaries[[#This Row],[Salary in USD]],"")</f>
        <v/>
      </c>
    </row>
    <row r="889" spans="2:30" ht="15" customHeight="1" x14ac:dyDescent="0.25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 s="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t="s">
        <v>1043</v>
      </c>
      <c r="K889" t="str">
        <f>VLOOKUP(tblSalaries[[#This Row],[Where do you work]],tblCountries[[Actual]:[Mapping]],2,FALSE)</f>
        <v xml:space="preserve">Kuwait </v>
      </c>
      <c r="L889" t="s">
        <v>9</v>
      </c>
      <c r="M889">
        <v>13</v>
      </c>
      <c r="N889" t="str">
        <f>IF(tblSalaries[[#This Row],[Years of Experience]]="","",IF(tblSalaries[[#This Row],[Years of Experience]]&lt;=2,1,""))</f>
        <v/>
      </c>
      <c r="O889" t="str">
        <f>IF(tblSalaries[[#This Row],[Years of Experience]]="","",IF(AND(tblSalaries[[#This Row],[Years of Experience]]&gt;2,tblSalaries[[#This Row],[Years of Experience]]&lt;=5),1,""))</f>
        <v/>
      </c>
      <c r="P889" t="str">
        <f>IF(tblSalaries[[#This Row],[Years of Experience]]="","",IF(AND(tblSalaries[[#This Row],[Years of Experience]]&gt;5,tblSalaries[[#This Row],[Years of Experience]]&lt;=10),1,""))</f>
        <v/>
      </c>
      <c r="Q889">
        <f>IF(tblSalaries[[#This Row],[Years of Experience]]="","",IF(AND(tblSalaries[[#This Row],[Years of Experience]]&gt;10,tblSalaries[[#This Row],[Years of Experience]]&lt;=15),1,""))</f>
        <v>1</v>
      </c>
      <c r="R889" t="str">
        <f>IF(tblSalaries[[#This Row],[Years of Experience]]="","",IF(AND(tblSalaries[[#This Row],[Years of Experience]]&gt;16,tblSalaries[[#This Row],[Years of Experience]]&lt;=20),1,""))</f>
        <v/>
      </c>
      <c r="S889" t="str">
        <f>IF(tblSalaries[[#This Row],[Years of Experience]]="","",IF(tblSalaries[[#This Row],[Years of Experience]]&gt;20,1,""))</f>
        <v/>
      </c>
      <c r="T8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889" s="13" t="str">
        <f>IF(tblSalaries[[#This Row],[Job Type]]=tblSalaries[[#Headers],[Accountant]],tblSalaries[[#This Row],[Salary in USD]],"")</f>
        <v/>
      </c>
      <c r="V889" s="13" t="str">
        <f>IF(tblSalaries[[#This Row],[Job Type]]=tblSalaries[[#Headers],[Analyst]],tblSalaries[[#This Row],[Salary in USD]],"")</f>
        <v/>
      </c>
      <c r="W889" s="13" t="str">
        <f>IF(tblSalaries[[#This Row],[Job Type]]=tblSalaries[[#Headers],[Consultant]],tblSalaries[[#This Row],[Salary in USD]],"")</f>
        <v/>
      </c>
      <c r="X889" s="13">
        <f>IF(tblSalaries[[#This Row],[Job Type]]=tblSalaries[[#Headers],[Controller]],tblSalaries[[#This Row],[Salary in USD]],"")</f>
        <v>15600</v>
      </c>
      <c r="Y889" s="13" t="str">
        <f>IF(tblSalaries[[#This Row],[Job Type]]=tblSalaries[[#Headers],[CXO or Top Mgmt.]],tblSalaries[[#This Row],[clean Salary (in local currency)]],"")</f>
        <v/>
      </c>
      <c r="Z889" s="13" t="str">
        <f>IF(tblSalaries[[#This Row],[Job Type]]=tblSalaries[[#Headers],[Engineer]],tblSalaries[[#This Row],[Salary in USD]],"")</f>
        <v/>
      </c>
      <c r="AA889" s="13" t="str">
        <f>IF(tblSalaries[[#This Row],[Job Type]]=tblSalaries[[#Headers],[Manager]],tblSalaries[[#This Row],[Salary in USD]],"")</f>
        <v/>
      </c>
      <c r="AB889" s="13" t="str">
        <f>IF(tblSalaries[[#This Row],[Job Type]]=tblSalaries[[#Headers],[Misc.]],tblSalaries[[#This Row],[Salary in USD]],"")</f>
        <v/>
      </c>
      <c r="AC889" s="13" t="str">
        <f>IF(tblSalaries[[#This Row],[Job Type]]=tblSalaries[[#Headers],[Reporting]],tblSalaries[[#This Row],[Salary in USD]],"")</f>
        <v/>
      </c>
      <c r="AD889" s="13" t="str">
        <f>IF(tblSalaries[[#This Row],[Job Type]]=tblSalaries[[#Headers],[Specialist]],tblSalaries[[#This Row],[Salary in USD]],"")</f>
        <v/>
      </c>
    </row>
    <row r="890" spans="2:30" ht="15" customHeight="1" x14ac:dyDescent="0.25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 s="9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  <c r="N890" t="str">
        <f>IF(tblSalaries[[#This Row],[Years of Experience]]="","",IF(tblSalaries[[#This Row],[Years of Experience]]&lt;=2,1,""))</f>
        <v/>
      </c>
      <c r="O890">
        <f>IF(tblSalaries[[#This Row],[Years of Experience]]="","",IF(AND(tblSalaries[[#This Row],[Years of Experience]]&gt;2,tblSalaries[[#This Row],[Years of Experience]]&lt;=5),1,""))</f>
        <v>1</v>
      </c>
      <c r="P890" t="str">
        <f>IF(tblSalaries[[#This Row],[Years of Experience]]="","",IF(AND(tblSalaries[[#This Row],[Years of Experience]]&gt;5,tblSalaries[[#This Row],[Years of Experience]]&lt;=10),1,""))</f>
        <v/>
      </c>
      <c r="Q890" t="str">
        <f>IF(tblSalaries[[#This Row],[Years of Experience]]="","",IF(AND(tblSalaries[[#This Row],[Years of Experience]]&gt;10,tblSalaries[[#This Row],[Years of Experience]]&lt;=15),1,""))</f>
        <v/>
      </c>
      <c r="R890" t="str">
        <f>IF(tblSalaries[[#This Row],[Years of Experience]]="","",IF(AND(tblSalaries[[#This Row],[Years of Experience]]&gt;16,tblSalaries[[#This Row],[Years of Experience]]&lt;=20),1,""))</f>
        <v/>
      </c>
      <c r="S890" t="str">
        <f>IF(tblSalaries[[#This Row],[Years of Experience]]="","",IF(tblSalaries[[#This Row],[Years of Experience]]&gt;20,1,""))</f>
        <v/>
      </c>
      <c r="T8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90" s="13" t="str">
        <f>IF(tblSalaries[[#This Row],[Job Type]]=tblSalaries[[#Headers],[Accountant]],tblSalaries[[#This Row],[Salary in USD]],"")</f>
        <v/>
      </c>
      <c r="V890" s="13">
        <f>IF(tblSalaries[[#This Row],[Job Type]]=tblSalaries[[#Headers],[Analyst]],tblSalaries[[#This Row],[Salary in USD]],"")</f>
        <v>3205.4250037396623</v>
      </c>
      <c r="W890" s="13" t="str">
        <f>IF(tblSalaries[[#This Row],[Job Type]]=tblSalaries[[#Headers],[Consultant]],tblSalaries[[#This Row],[Salary in USD]],"")</f>
        <v/>
      </c>
      <c r="X890" s="13" t="str">
        <f>IF(tblSalaries[[#This Row],[Job Type]]=tblSalaries[[#Headers],[Controller]],tblSalaries[[#This Row],[Salary in USD]],"")</f>
        <v/>
      </c>
      <c r="Y890" s="13" t="str">
        <f>IF(tblSalaries[[#This Row],[Job Type]]=tblSalaries[[#Headers],[CXO or Top Mgmt.]],tblSalaries[[#This Row],[clean Salary (in local currency)]],"")</f>
        <v/>
      </c>
      <c r="Z890" s="13" t="str">
        <f>IF(tblSalaries[[#This Row],[Job Type]]=tblSalaries[[#Headers],[Engineer]],tblSalaries[[#This Row],[Salary in USD]],"")</f>
        <v/>
      </c>
      <c r="AA890" s="13" t="str">
        <f>IF(tblSalaries[[#This Row],[Job Type]]=tblSalaries[[#Headers],[Manager]],tblSalaries[[#This Row],[Salary in USD]],"")</f>
        <v/>
      </c>
      <c r="AB890" s="13" t="str">
        <f>IF(tblSalaries[[#This Row],[Job Type]]=tblSalaries[[#Headers],[Misc.]],tblSalaries[[#This Row],[Salary in USD]],"")</f>
        <v/>
      </c>
      <c r="AC890" s="13" t="str">
        <f>IF(tblSalaries[[#This Row],[Job Type]]=tblSalaries[[#Headers],[Reporting]],tblSalaries[[#This Row],[Salary in USD]],"")</f>
        <v/>
      </c>
      <c r="AD890" s="13" t="str">
        <f>IF(tblSalaries[[#This Row],[Job Type]]=tblSalaries[[#Headers],[Specialist]],tblSalaries[[#This Row],[Salary in USD]],"")</f>
        <v/>
      </c>
    </row>
    <row r="891" spans="2:30" ht="15" customHeight="1" x14ac:dyDescent="0.25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 s="9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  <c r="N891" t="str">
        <f>IF(tblSalaries[[#This Row],[Years of Experience]]="","",IF(tblSalaries[[#This Row],[Years of Experience]]&lt;=2,1,""))</f>
        <v/>
      </c>
      <c r="O891" t="str">
        <f>IF(tblSalaries[[#This Row],[Years of Experience]]="","",IF(AND(tblSalaries[[#This Row],[Years of Experience]]&gt;2,tblSalaries[[#This Row],[Years of Experience]]&lt;=5),1,""))</f>
        <v/>
      </c>
      <c r="P891">
        <f>IF(tblSalaries[[#This Row],[Years of Experience]]="","",IF(AND(tblSalaries[[#This Row],[Years of Experience]]&gt;5,tblSalaries[[#This Row],[Years of Experience]]&lt;=10),1,""))</f>
        <v>1</v>
      </c>
      <c r="Q891" t="str">
        <f>IF(tblSalaries[[#This Row],[Years of Experience]]="","",IF(AND(tblSalaries[[#This Row],[Years of Experience]]&gt;10,tblSalaries[[#This Row],[Years of Experience]]&lt;=15),1,""))</f>
        <v/>
      </c>
      <c r="R891" t="str">
        <f>IF(tblSalaries[[#This Row],[Years of Experience]]="","",IF(AND(tblSalaries[[#This Row],[Years of Experience]]&gt;16,tblSalaries[[#This Row],[Years of Experience]]&lt;=20),1,""))</f>
        <v/>
      </c>
      <c r="S891" t="str">
        <f>IF(tblSalaries[[#This Row],[Years of Experience]]="","",IF(tblSalaries[[#This Row],[Years of Experience]]&gt;20,1,""))</f>
        <v/>
      </c>
      <c r="T8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91" s="13" t="str">
        <f>IF(tblSalaries[[#This Row],[Job Type]]=tblSalaries[[#Headers],[Accountant]],tblSalaries[[#This Row],[Salary in USD]],"")</f>
        <v/>
      </c>
      <c r="V891" s="13" t="str">
        <f>IF(tblSalaries[[#This Row],[Job Type]]=tblSalaries[[#Headers],[Analyst]],tblSalaries[[#This Row],[Salary in USD]],"")</f>
        <v/>
      </c>
      <c r="W891" s="13" t="str">
        <f>IF(tblSalaries[[#This Row],[Job Type]]=tblSalaries[[#Headers],[Consultant]],tblSalaries[[#This Row],[Salary in USD]],"")</f>
        <v/>
      </c>
      <c r="X891" s="13" t="str">
        <f>IF(tblSalaries[[#This Row],[Job Type]]=tblSalaries[[#Headers],[Controller]],tblSalaries[[#This Row],[Salary in USD]],"")</f>
        <v/>
      </c>
      <c r="Y891" s="13" t="str">
        <f>IF(tblSalaries[[#This Row],[Job Type]]=tblSalaries[[#Headers],[CXO or Top Mgmt.]],tblSalaries[[#This Row],[clean Salary (in local currency)]],"")</f>
        <v/>
      </c>
      <c r="Z891" s="13" t="str">
        <f>IF(tblSalaries[[#This Row],[Job Type]]=tblSalaries[[#Headers],[Engineer]],tblSalaries[[#This Row],[Salary in USD]],"")</f>
        <v/>
      </c>
      <c r="AA891" s="13">
        <f>IF(tblSalaries[[#This Row],[Job Type]]=tblSalaries[[#Headers],[Manager]],tblSalaries[[#This Row],[Salary in USD]],"")</f>
        <v>10000</v>
      </c>
      <c r="AB891" s="13" t="str">
        <f>IF(tblSalaries[[#This Row],[Job Type]]=tblSalaries[[#Headers],[Misc.]],tblSalaries[[#This Row],[Salary in USD]],"")</f>
        <v/>
      </c>
      <c r="AC891" s="13" t="str">
        <f>IF(tblSalaries[[#This Row],[Job Type]]=tblSalaries[[#Headers],[Reporting]],tblSalaries[[#This Row],[Salary in USD]],"")</f>
        <v/>
      </c>
      <c r="AD891" s="13" t="str">
        <f>IF(tblSalaries[[#This Row],[Job Type]]=tblSalaries[[#Headers],[Specialist]],tblSalaries[[#This Row],[Salary in USD]],"")</f>
        <v/>
      </c>
    </row>
    <row r="892" spans="2:30" ht="15" customHeight="1" x14ac:dyDescent="0.25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 s="9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  <c r="N892" t="str">
        <f>IF(tblSalaries[[#This Row],[Years of Experience]]="","",IF(tblSalaries[[#This Row],[Years of Experience]]&lt;=2,1,""))</f>
        <v/>
      </c>
      <c r="O892" t="str">
        <f>IF(tblSalaries[[#This Row],[Years of Experience]]="","",IF(AND(tblSalaries[[#This Row],[Years of Experience]]&gt;2,tblSalaries[[#This Row],[Years of Experience]]&lt;=5),1,""))</f>
        <v/>
      </c>
      <c r="P892">
        <f>IF(tblSalaries[[#This Row],[Years of Experience]]="","",IF(AND(tblSalaries[[#This Row],[Years of Experience]]&gt;5,tblSalaries[[#This Row],[Years of Experience]]&lt;=10),1,""))</f>
        <v>1</v>
      </c>
      <c r="Q892" t="str">
        <f>IF(tblSalaries[[#This Row],[Years of Experience]]="","",IF(AND(tblSalaries[[#This Row],[Years of Experience]]&gt;10,tblSalaries[[#This Row],[Years of Experience]]&lt;=15),1,""))</f>
        <v/>
      </c>
      <c r="R892" t="str">
        <f>IF(tblSalaries[[#This Row],[Years of Experience]]="","",IF(AND(tblSalaries[[#This Row],[Years of Experience]]&gt;16,tblSalaries[[#This Row],[Years of Experience]]&lt;=20),1,""))</f>
        <v/>
      </c>
      <c r="S892" t="str">
        <f>IF(tblSalaries[[#This Row],[Years of Experience]]="","",IF(tblSalaries[[#This Row],[Years of Experience]]&gt;20,1,""))</f>
        <v/>
      </c>
      <c r="T8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92" s="13" t="str">
        <f>IF(tblSalaries[[#This Row],[Job Type]]=tblSalaries[[#Headers],[Accountant]],tblSalaries[[#This Row],[Salary in USD]],"")</f>
        <v/>
      </c>
      <c r="V892" s="13">
        <f>IF(tblSalaries[[#This Row],[Job Type]]=tblSalaries[[#Headers],[Analyst]],tblSalaries[[#This Row],[Salary in USD]],"")</f>
        <v>75010</v>
      </c>
      <c r="W892" s="13" t="str">
        <f>IF(tblSalaries[[#This Row],[Job Type]]=tblSalaries[[#Headers],[Consultant]],tblSalaries[[#This Row],[Salary in USD]],"")</f>
        <v/>
      </c>
      <c r="X892" s="13" t="str">
        <f>IF(tblSalaries[[#This Row],[Job Type]]=tblSalaries[[#Headers],[Controller]],tblSalaries[[#This Row],[Salary in USD]],"")</f>
        <v/>
      </c>
      <c r="Y892" s="13" t="str">
        <f>IF(tblSalaries[[#This Row],[Job Type]]=tblSalaries[[#Headers],[CXO or Top Mgmt.]],tblSalaries[[#This Row],[clean Salary (in local currency)]],"")</f>
        <v/>
      </c>
      <c r="Z892" s="13" t="str">
        <f>IF(tblSalaries[[#This Row],[Job Type]]=tblSalaries[[#Headers],[Engineer]],tblSalaries[[#This Row],[Salary in USD]],"")</f>
        <v/>
      </c>
      <c r="AA892" s="13" t="str">
        <f>IF(tblSalaries[[#This Row],[Job Type]]=tblSalaries[[#Headers],[Manager]],tblSalaries[[#This Row],[Salary in USD]],"")</f>
        <v/>
      </c>
      <c r="AB892" s="13" t="str">
        <f>IF(tblSalaries[[#This Row],[Job Type]]=tblSalaries[[#Headers],[Misc.]],tblSalaries[[#This Row],[Salary in USD]],"")</f>
        <v/>
      </c>
      <c r="AC892" s="13" t="str">
        <f>IF(tblSalaries[[#This Row],[Job Type]]=tblSalaries[[#Headers],[Reporting]],tblSalaries[[#This Row],[Salary in USD]],"")</f>
        <v/>
      </c>
      <c r="AD892" s="13" t="str">
        <f>IF(tblSalaries[[#This Row],[Job Type]]=tblSalaries[[#Headers],[Specialist]],tblSalaries[[#This Row],[Salary in USD]],"")</f>
        <v/>
      </c>
    </row>
    <row r="893" spans="2:30" ht="15" customHeight="1" x14ac:dyDescent="0.25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 s="9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  <c r="N893" t="str">
        <f>IF(tblSalaries[[#This Row],[Years of Experience]]="","",IF(tblSalaries[[#This Row],[Years of Experience]]&lt;=2,1,""))</f>
        <v/>
      </c>
      <c r="O893" t="str">
        <f>IF(tblSalaries[[#This Row],[Years of Experience]]="","",IF(AND(tblSalaries[[#This Row],[Years of Experience]]&gt;2,tblSalaries[[#This Row],[Years of Experience]]&lt;=5),1,""))</f>
        <v/>
      </c>
      <c r="P893">
        <f>IF(tblSalaries[[#This Row],[Years of Experience]]="","",IF(AND(tblSalaries[[#This Row],[Years of Experience]]&gt;5,tblSalaries[[#This Row],[Years of Experience]]&lt;=10),1,""))</f>
        <v>1</v>
      </c>
      <c r="Q893" t="str">
        <f>IF(tblSalaries[[#This Row],[Years of Experience]]="","",IF(AND(tblSalaries[[#This Row],[Years of Experience]]&gt;10,tblSalaries[[#This Row],[Years of Experience]]&lt;=15),1,""))</f>
        <v/>
      </c>
      <c r="R893" t="str">
        <f>IF(tblSalaries[[#This Row],[Years of Experience]]="","",IF(AND(tblSalaries[[#This Row],[Years of Experience]]&gt;16,tblSalaries[[#This Row],[Years of Experience]]&lt;=20),1,""))</f>
        <v/>
      </c>
      <c r="S893" t="str">
        <f>IF(tblSalaries[[#This Row],[Years of Experience]]="","",IF(tblSalaries[[#This Row],[Years of Experience]]&gt;20,1,""))</f>
        <v/>
      </c>
      <c r="T8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93" s="13" t="str">
        <f>IF(tblSalaries[[#This Row],[Job Type]]=tblSalaries[[#Headers],[Accountant]],tblSalaries[[#This Row],[Salary in USD]],"")</f>
        <v/>
      </c>
      <c r="V893" s="13" t="str">
        <f>IF(tblSalaries[[#This Row],[Job Type]]=tblSalaries[[#Headers],[Analyst]],tblSalaries[[#This Row],[Salary in USD]],"")</f>
        <v/>
      </c>
      <c r="W893" s="13" t="str">
        <f>IF(tblSalaries[[#This Row],[Job Type]]=tblSalaries[[#Headers],[Consultant]],tblSalaries[[#This Row],[Salary in USD]],"")</f>
        <v/>
      </c>
      <c r="X893" s="13" t="str">
        <f>IF(tblSalaries[[#This Row],[Job Type]]=tblSalaries[[#Headers],[Controller]],tblSalaries[[#This Row],[Salary in USD]],"")</f>
        <v/>
      </c>
      <c r="Y893" s="13" t="str">
        <f>IF(tblSalaries[[#This Row],[Job Type]]=tblSalaries[[#Headers],[CXO or Top Mgmt.]],tblSalaries[[#This Row],[clean Salary (in local currency)]],"")</f>
        <v/>
      </c>
      <c r="Z893" s="13" t="str">
        <f>IF(tblSalaries[[#This Row],[Job Type]]=tblSalaries[[#Headers],[Engineer]],tblSalaries[[#This Row],[Salary in USD]],"")</f>
        <v/>
      </c>
      <c r="AA893" s="13">
        <f>IF(tblSalaries[[#This Row],[Job Type]]=tblSalaries[[#Headers],[Manager]],tblSalaries[[#This Row],[Salary in USD]],"")</f>
        <v>10684.750012465542</v>
      </c>
      <c r="AB893" s="13" t="str">
        <f>IF(tblSalaries[[#This Row],[Job Type]]=tblSalaries[[#Headers],[Misc.]],tblSalaries[[#This Row],[Salary in USD]],"")</f>
        <v/>
      </c>
      <c r="AC893" s="13" t="str">
        <f>IF(tblSalaries[[#This Row],[Job Type]]=tblSalaries[[#Headers],[Reporting]],tblSalaries[[#This Row],[Salary in USD]],"")</f>
        <v/>
      </c>
      <c r="AD893" s="13" t="str">
        <f>IF(tblSalaries[[#This Row],[Job Type]]=tblSalaries[[#Headers],[Specialist]],tblSalaries[[#This Row],[Salary in USD]],"")</f>
        <v/>
      </c>
    </row>
    <row r="894" spans="2:30" ht="15" customHeight="1" x14ac:dyDescent="0.25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 s="9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  <c r="N894" t="str">
        <f>IF(tblSalaries[[#This Row],[Years of Experience]]="","",IF(tblSalaries[[#This Row],[Years of Experience]]&lt;=2,1,""))</f>
        <v/>
      </c>
      <c r="O894">
        <f>IF(tblSalaries[[#This Row],[Years of Experience]]="","",IF(AND(tblSalaries[[#This Row],[Years of Experience]]&gt;2,tblSalaries[[#This Row],[Years of Experience]]&lt;=5),1,""))</f>
        <v>1</v>
      </c>
      <c r="P894" t="str">
        <f>IF(tblSalaries[[#This Row],[Years of Experience]]="","",IF(AND(tblSalaries[[#This Row],[Years of Experience]]&gt;5,tblSalaries[[#This Row],[Years of Experience]]&lt;=10),1,""))</f>
        <v/>
      </c>
      <c r="Q894" t="str">
        <f>IF(tblSalaries[[#This Row],[Years of Experience]]="","",IF(AND(tblSalaries[[#This Row],[Years of Experience]]&gt;10,tblSalaries[[#This Row],[Years of Experience]]&lt;=15),1,""))</f>
        <v/>
      </c>
      <c r="R894" t="str">
        <f>IF(tblSalaries[[#This Row],[Years of Experience]]="","",IF(AND(tblSalaries[[#This Row],[Years of Experience]]&gt;16,tblSalaries[[#This Row],[Years of Experience]]&lt;=20),1,""))</f>
        <v/>
      </c>
      <c r="S894" t="str">
        <f>IF(tblSalaries[[#This Row],[Years of Experience]]="","",IF(tblSalaries[[#This Row],[Years of Experience]]&gt;20,1,""))</f>
        <v/>
      </c>
      <c r="T8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94" s="13" t="str">
        <f>IF(tblSalaries[[#This Row],[Job Type]]=tblSalaries[[#Headers],[Accountant]],tblSalaries[[#This Row],[Salary in USD]],"")</f>
        <v/>
      </c>
      <c r="V894" s="13" t="str">
        <f>IF(tblSalaries[[#This Row],[Job Type]]=tblSalaries[[#Headers],[Analyst]],tblSalaries[[#This Row],[Salary in USD]],"")</f>
        <v/>
      </c>
      <c r="W894" s="13" t="str">
        <f>IF(tblSalaries[[#This Row],[Job Type]]=tblSalaries[[#Headers],[Consultant]],tblSalaries[[#This Row],[Salary in USD]],"")</f>
        <v/>
      </c>
      <c r="X894" s="13" t="str">
        <f>IF(tblSalaries[[#This Row],[Job Type]]=tblSalaries[[#Headers],[Controller]],tblSalaries[[#This Row],[Salary in USD]],"")</f>
        <v/>
      </c>
      <c r="Y894" s="13" t="str">
        <f>IF(tblSalaries[[#This Row],[Job Type]]=tblSalaries[[#Headers],[CXO or Top Mgmt.]],tblSalaries[[#This Row],[clean Salary (in local currency)]],"")</f>
        <v/>
      </c>
      <c r="Z894" s="13" t="str">
        <f>IF(tblSalaries[[#This Row],[Job Type]]=tblSalaries[[#Headers],[Engineer]],tblSalaries[[#This Row],[Salary in USD]],"")</f>
        <v/>
      </c>
      <c r="AA894" s="13">
        <f>IF(tblSalaries[[#This Row],[Job Type]]=tblSalaries[[#Headers],[Manager]],tblSalaries[[#This Row],[Salary in USD]],"")</f>
        <v>16350</v>
      </c>
      <c r="AB894" s="13" t="str">
        <f>IF(tblSalaries[[#This Row],[Job Type]]=tblSalaries[[#Headers],[Misc.]],tblSalaries[[#This Row],[Salary in USD]],"")</f>
        <v/>
      </c>
      <c r="AC894" s="13" t="str">
        <f>IF(tblSalaries[[#This Row],[Job Type]]=tblSalaries[[#Headers],[Reporting]],tblSalaries[[#This Row],[Salary in USD]],"")</f>
        <v/>
      </c>
      <c r="AD894" s="13" t="str">
        <f>IF(tblSalaries[[#This Row],[Job Type]]=tblSalaries[[#Headers],[Specialist]],tblSalaries[[#This Row],[Salary in USD]],"")</f>
        <v/>
      </c>
    </row>
    <row r="895" spans="2:30" ht="15" customHeight="1" x14ac:dyDescent="0.25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 s="9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  <c r="N895" t="str">
        <f>IF(tblSalaries[[#This Row],[Years of Experience]]="","",IF(tblSalaries[[#This Row],[Years of Experience]]&lt;=2,1,""))</f>
        <v/>
      </c>
      <c r="O895" t="str">
        <f>IF(tblSalaries[[#This Row],[Years of Experience]]="","",IF(AND(tblSalaries[[#This Row],[Years of Experience]]&gt;2,tblSalaries[[#This Row],[Years of Experience]]&lt;=5),1,""))</f>
        <v/>
      </c>
      <c r="P895">
        <f>IF(tblSalaries[[#This Row],[Years of Experience]]="","",IF(AND(tblSalaries[[#This Row],[Years of Experience]]&gt;5,tblSalaries[[#This Row],[Years of Experience]]&lt;=10),1,""))</f>
        <v>1</v>
      </c>
      <c r="Q895" t="str">
        <f>IF(tblSalaries[[#This Row],[Years of Experience]]="","",IF(AND(tblSalaries[[#This Row],[Years of Experience]]&gt;10,tblSalaries[[#This Row],[Years of Experience]]&lt;=15),1,""))</f>
        <v/>
      </c>
      <c r="R895" t="str">
        <f>IF(tblSalaries[[#This Row],[Years of Experience]]="","",IF(AND(tblSalaries[[#This Row],[Years of Experience]]&gt;16,tblSalaries[[#This Row],[Years of Experience]]&lt;=20),1,""))</f>
        <v/>
      </c>
      <c r="S895" t="str">
        <f>IF(tblSalaries[[#This Row],[Years of Experience]]="","",IF(tblSalaries[[#This Row],[Years of Experience]]&gt;20,1,""))</f>
        <v/>
      </c>
      <c r="T8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95" s="13">
        <f>IF(tblSalaries[[#This Row],[Job Type]]=tblSalaries[[#Headers],[Accountant]],tblSalaries[[#This Row],[Salary in USD]],"")</f>
        <v>126094.26176538273</v>
      </c>
      <c r="V895" s="13" t="str">
        <f>IF(tblSalaries[[#This Row],[Job Type]]=tblSalaries[[#Headers],[Analyst]],tblSalaries[[#This Row],[Salary in USD]],"")</f>
        <v/>
      </c>
      <c r="W895" s="13" t="str">
        <f>IF(tblSalaries[[#This Row],[Job Type]]=tblSalaries[[#Headers],[Consultant]],tblSalaries[[#This Row],[Salary in USD]],"")</f>
        <v/>
      </c>
      <c r="X895" s="13" t="str">
        <f>IF(tblSalaries[[#This Row],[Job Type]]=tblSalaries[[#Headers],[Controller]],tblSalaries[[#This Row],[Salary in USD]],"")</f>
        <v/>
      </c>
      <c r="Y895" s="13" t="str">
        <f>IF(tblSalaries[[#This Row],[Job Type]]=tblSalaries[[#Headers],[CXO or Top Mgmt.]],tblSalaries[[#This Row],[clean Salary (in local currency)]],"")</f>
        <v/>
      </c>
      <c r="Z895" s="13" t="str">
        <f>IF(tblSalaries[[#This Row],[Job Type]]=tblSalaries[[#Headers],[Engineer]],tblSalaries[[#This Row],[Salary in USD]],"")</f>
        <v/>
      </c>
      <c r="AA895" s="13" t="str">
        <f>IF(tblSalaries[[#This Row],[Job Type]]=tblSalaries[[#Headers],[Manager]],tblSalaries[[#This Row],[Salary in USD]],"")</f>
        <v/>
      </c>
      <c r="AB895" s="13" t="str">
        <f>IF(tblSalaries[[#This Row],[Job Type]]=tblSalaries[[#Headers],[Misc.]],tblSalaries[[#This Row],[Salary in USD]],"")</f>
        <v/>
      </c>
      <c r="AC895" s="13" t="str">
        <f>IF(tblSalaries[[#This Row],[Job Type]]=tblSalaries[[#Headers],[Reporting]],tblSalaries[[#This Row],[Salary in USD]],"")</f>
        <v/>
      </c>
      <c r="AD895" s="13" t="str">
        <f>IF(tblSalaries[[#This Row],[Job Type]]=tblSalaries[[#Headers],[Specialist]],tblSalaries[[#This Row],[Salary in USD]],"")</f>
        <v/>
      </c>
    </row>
    <row r="896" spans="2:30" ht="15" customHeight="1" x14ac:dyDescent="0.25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 s="9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  <c r="N896" t="str">
        <f>IF(tblSalaries[[#This Row],[Years of Experience]]="","",IF(tblSalaries[[#This Row],[Years of Experience]]&lt;=2,1,""))</f>
        <v/>
      </c>
      <c r="O896" t="str">
        <f>IF(tblSalaries[[#This Row],[Years of Experience]]="","",IF(AND(tblSalaries[[#This Row],[Years of Experience]]&gt;2,tblSalaries[[#This Row],[Years of Experience]]&lt;=5),1,""))</f>
        <v/>
      </c>
      <c r="P896">
        <f>IF(tblSalaries[[#This Row],[Years of Experience]]="","",IF(AND(tblSalaries[[#This Row],[Years of Experience]]&gt;5,tblSalaries[[#This Row],[Years of Experience]]&lt;=10),1,""))</f>
        <v>1</v>
      </c>
      <c r="Q896" t="str">
        <f>IF(tblSalaries[[#This Row],[Years of Experience]]="","",IF(AND(tblSalaries[[#This Row],[Years of Experience]]&gt;10,tblSalaries[[#This Row],[Years of Experience]]&lt;=15),1,""))</f>
        <v/>
      </c>
      <c r="R896" t="str">
        <f>IF(tblSalaries[[#This Row],[Years of Experience]]="","",IF(AND(tblSalaries[[#This Row],[Years of Experience]]&gt;16,tblSalaries[[#This Row],[Years of Experience]]&lt;=20),1,""))</f>
        <v/>
      </c>
      <c r="S896" t="str">
        <f>IF(tblSalaries[[#This Row],[Years of Experience]]="","",IF(tblSalaries[[#This Row],[Years of Experience]]&gt;20,1,""))</f>
        <v/>
      </c>
      <c r="T8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896" s="13">
        <f>IF(tblSalaries[[#This Row],[Job Type]]=tblSalaries[[#Headers],[Accountant]],tblSalaries[[#This Row],[Salary in USD]],"")</f>
        <v>60000</v>
      </c>
      <c r="V896" s="13" t="str">
        <f>IF(tblSalaries[[#This Row],[Job Type]]=tblSalaries[[#Headers],[Analyst]],tblSalaries[[#This Row],[Salary in USD]],"")</f>
        <v/>
      </c>
      <c r="W896" s="13" t="str">
        <f>IF(tblSalaries[[#This Row],[Job Type]]=tblSalaries[[#Headers],[Consultant]],tblSalaries[[#This Row],[Salary in USD]],"")</f>
        <v/>
      </c>
      <c r="X896" s="13" t="str">
        <f>IF(tblSalaries[[#This Row],[Job Type]]=tblSalaries[[#Headers],[Controller]],tblSalaries[[#This Row],[Salary in USD]],"")</f>
        <v/>
      </c>
      <c r="Y896" s="13" t="str">
        <f>IF(tblSalaries[[#This Row],[Job Type]]=tblSalaries[[#Headers],[CXO or Top Mgmt.]],tblSalaries[[#This Row],[clean Salary (in local currency)]],"")</f>
        <v/>
      </c>
      <c r="Z896" s="13" t="str">
        <f>IF(tblSalaries[[#This Row],[Job Type]]=tblSalaries[[#Headers],[Engineer]],tblSalaries[[#This Row],[Salary in USD]],"")</f>
        <v/>
      </c>
      <c r="AA896" s="13" t="str">
        <f>IF(tblSalaries[[#This Row],[Job Type]]=tblSalaries[[#Headers],[Manager]],tblSalaries[[#This Row],[Salary in USD]],"")</f>
        <v/>
      </c>
      <c r="AB896" s="13" t="str">
        <f>IF(tblSalaries[[#This Row],[Job Type]]=tblSalaries[[#Headers],[Misc.]],tblSalaries[[#This Row],[Salary in USD]],"")</f>
        <v/>
      </c>
      <c r="AC896" s="13" t="str">
        <f>IF(tblSalaries[[#This Row],[Job Type]]=tblSalaries[[#Headers],[Reporting]],tblSalaries[[#This Row],[Salary in USD]],"")</f>
        <v/>
      </c>
      <c r="AD896" s="13" t="str">
        <f>IF(tblSalaries[[#This Row],[Job Type]]=tblSalaries[[#Headers],[Specialist]],tblSalaries[[#This Row],[Salary in USD]],"")</f>
        <v/>
      </c>
    </row>
    <row r="897" spans="2:30" ht="15" customHeight="1" x14ac:dyDescent="0.25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 s="9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  <c r="N897" t="str">
        <f>IF(tblSalaries[[#This Row],[Years of Experience]]="","",IF(tblSalaries[[#This Row],[Years of Experience]]&lt;=2,1,""))</f>
        <v/>
      </c>
      <c r="O897">
        <f>IF(tblSalaries[[#This Row],[Years of Experience]]="","",IF(AND(tblSalaries[[#This Row],[Years of Experience]]&gt;2,tblSalaries[[#This Row],[Years of Experience]]&lt;=5),1,""))</f>
        <v>1</v>
      </c>
      <c r="P897" t="str">
        <f>IF(tblSalaries[[#This Row],[Years of Experience]]="","",IF(AND(tblSalaries[[#This Row],[Years of Experience]]&gt;5,tblSalaries[[#This Row],[Years of Experience]]&lt;=10),1,""))</f>
        <v/>
      </c>
      <c r="Q897" t="str">
        <f>IF(tblSalaries[[#This Row],[Years of Experience]]="","",IF(AND(tblSalaries[[#This Row],[Years of Experience]]&gt;10,tblSalaries[[#This Row],[Years of Experience]]&lt;=15),1,""))</f>
        <v/>
      </c>
      <c r="R897" t="str">
        <f>IF(tblSalaries[[#This Row],[Years of Experience]]="","",IF(AND(tblSalaries[[#This Row],[Years of Experience]]&gt;16,tblSalaries[[#This Row],[Years of Experience]]&lt;=20),1,""))</f>
        <v/>
      </c>
      <c r="S897" t="str">
        <f>IF(tblSalaries[[#This Row],[Years of Experience]]="","",IF(tblSalaries[[#This Row],[Years of Experience]]&gt;20,1,""))</f>
        <v/>
      </c>
      <c r="T8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97" s="13" t="str">
        <f>IF(tblSalaries[[#This Row],[Job Type]]=tblSalaries[[#Headers],[Accountant]],tblSalaries[[#This Row],[Salary in USD]],"")</f>
        <v/>
      </c>
      <c r="V897" s="13" t="str">
        <f>IF(tblSalaries[[#This Row],[Job Type]]=tblSalaries[[#Headers],[Analyst]],tblSalaries[[#This Row],[Salary in USD]],"")</f>
        <v/>
      </c>
      <c r="W897" s="13" t="str">
        <f>IF(tblSalaries[[#This Row],[Job Type]]=tblSalaries[[#Headers],[Consultant]],tblSalaries[[#This Row],[Salary in USD]],"")</f>
        <v/>
      </c>
      <c r="X897" s="13" t="str">
        <f>IF(tblSalaries[[#This Row],[Job Type]]=tblSalaries[[#Headers],[Controller]],tblSalaries[[#This Row],[Salary in USD]],"")</f>
        <v/>
      </c>
      <c r="Y897" s="13" t="str">
        <f>IF(tblSalaries[[#This Row],[Job Type]]=tblSalaries[[#Headers],[CXO or Top Mgmt.]],tblSalaries[[#This Row],[clean Salary (in local currency)]],"")</f>
        <v/>
      </c>
      <c r="Z897" s="13" t="str">
        <f>IF(tblSalaries[[#This Row],[Job Type]]=tblSalaries[[#Headers],[Engineer]],tblSalaries[[#This Row],[Salary in USD]],"")</f>
        <v/>
      </c>
      <c r="AA897" s="13">
        <f>IF(tblSalaries[[#This Row],[Job Type]]=tblSalaries[[#Headers],[Manager]],tblSalaries[[#This Row],[Salary in USD]],"")</f>
        <v>23150.291693675339</v>
      </c>
      <c r="AB897" s="13" t="str">
        <f>IF(tblSalaries[[#This Row],[Job Type]]=tblSalaries[[#Headers],[Misc.]],tblSalaries[[#This Row],[Salary in USD]],"")</f>
        <v/>
      </c>
      <c r="AC897" s="13" t="str">
        <f>IF(tblSalaries[[#This Row],[Job Type]]=tblSalaries[[#Headers],[Reporting]],tblSalaries[[#This Row],[Salary in USD]],"")</f>
        <v/>
      </c>
      <c r="AD897" s="13" t="str">
        <f>IF(tblSalaries[[#This Row],[Job Type]]=tblSalaries[[#Headers],[Specialist]],tblSalaries[[#This Row],[Salary in USD]],"")</f>
        <v/>
      </c>
    </row>
    <row r="898" spans="2:30" ht="15" customHeight="1" x14ac:dyDescent="0.25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 s="9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  <c r="N898">
        <f>IF(tblSalaries[[#This Row],[Years of Experience]]="","",IF(tblSalaries[[#This Row],[Years of Experience]]&lt;=2,1,""))</f>
        <v>1</v>
      </c>
      <c r="O898" t="str">
        <f>IF(tblSalaries[[#This Row],[Years of Experience]]="","",IF(AND(tblSalaries[[#This Row],[Years of Experience]]&gt;2,tblSalaries[[#This Row],[Years of Experience]]&lt;=5),1,""))</f>
        <v/>
      </c>
      <c r="P898" t="str">
        <f>IF(tblSalaries[[#This Row],[Years of Experience]]="","",IF(AND(tblSalaries[[#This Row],[Years of Experience]]&gt;5,tblSalaries[[#This Row],[Years of Experience]]&lt;=10),1,""))</f>
        <v/>
      </c>
      <c r="Q898" t="str">
        <f>IF(tblSalaries[[#This Row],[Years of Experience]]="","",IF(AND(tblSalaries[[#This Row],[Years of Experience]]&gt;10,tblSalaries[[#This Row],[Years of Experience]]&lt;=15),1,""))</f>
        <v/>
      </c>
      <c r="R898" t="str">
        <f>IF(tblSalaries[[#This Row],[Years of Experience]]="","",IF(AND(tblSalaries[[#This Row],[Years of Experience]]&gt;16,tblSalaries[[#This Row],[Years of Experience]]&lt;=20),1,""))</f>
        <v/>
      </c>
      <c r="S898" t="str">
        <f>IF(tblSalaries[[#This Row],[Years of Experience]]="","",IF(tblSalaries[[#This Row],[Years of Experience]]&gt;20,1,""))</f>
        <v/>
      </c>
      <c r="T8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898" s="13" t="str">
        <f>IF(tblSalaries[[#This Row],[Job Type]]=tblSalaries[[#Headers],[Accountant]],tblSalaries[[#This Row],[Salary in USD]],"")</f>
        <v/>
      </c>
      <c r="V898" s="13">
        <f>IF(tblSalaries[[#This Row],[Job Type]]=tblSalaries[[#Headers],[Analyst]],tblSalaries[[#This Row],[Salary in USD]],"")</f>
        <v>13801.135432767991</v>
      </c>
      <c r="W898" s="13" t="str">
        <f>IF(tblSalaries[[#This Row],[Job Type]]=tblSalaries[[#Headers],[Consultant]],tblSalaries[[#This Row],[Salary in USD]],"")</f>
        <v/>
      </c>
      <c r="X898" s="13" t="str">
        <f>IF(tblSalaries[[#This Row],[Job Type]]=tblSalaries[[#Headers],[Controller]],tblSalaries[[#This Row],[Salary in USD]],"")</f>
        <v/>
      </c>
      <c r="Y898" s="13" t="str">
        <f>IF(tblSalaries[[#This Row],[Job Type]]=tblSalaries[[#Headers],[CXO or Top Mgmt.]],tblSalaries[[#This Row],[clean Salary (in local currency)]],"")</f>
        <v/>
      </c>
      <c r="Z898" s="13" t="str">
        <f>IF(tblSalaries[[#This Row],[Job Type]]=tblSalaries[[#Headers],[Engineer]],tblSalaries[[#This Row],[Salary in USD]],"")</f>
        <v/>
      </c>
      <c r="AA898" s="13" t="str">
        <f>IF(tblSalaries[[#This Row],[Job Type]]=tblSalaries[[#Headers],[Manager]],tblSalaries[[#This Row],[Salary in USD]],"")</f>
        <v/>
      </c>
      <c r="AB898" s="13" t="str">
        <f>IF(tblSalaries[[#This Row],[Job Type]]=tblSalaries[[#Headers],[Misc.]],tblSalaries[[#This Row],[Salary in USD]],"")</f>
        <v/>
      </c>
      <c r="AC898" s="13" t="str">
        <f>IF(tblSalaries[[#This Row],[Job Type]]=tblSalaries[[#Headers],[Reporting]],tblSalaries[[#This Row],[Salary in USD]],"")</f>
        <v/>
      </c>
      <c r="AD898" s="13" t="str">
        <f>IF(tblSalaries[[#This Row],[Job Type]]=tblSalaries[[#Headers],[Specialist]],tblSalaries[[#This Row],[Salary in USD]],"")</f>
        <v/>
      </c>
    </row>
    <row r="899" spans="2:30" ht="15" customHeight="1" x14ac:dyDescent="0.25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 s="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  <c r="N899" t="str">
        <f>IF(tblSalaries[[#This Row],[Years of Experience]]="","",IF(tblSalaries[[#This Row],[Years of Experience]]&lt;=2,1,""))</f>
        <v/>
      </c>
      <c r="O899">
        <f>IF(tblSalaries[[#This Row],[Years of Experience]]="","",IF(AND(tblSalaries[[#This Row],[Years of Experience]]&gt;2,tblSalaries[[#This Row],[Years of Experience]]&lt;=5),1,""))</f>
        <v>1</v>
      </c>
      <c r="P899" t="str">
        <f>IF(tblSalaries[[#This Row],[Years of Experience]]="","",IF(AND(tblSalaries[[#This Row],[Years of Experience]]&gt;5,tblSalaries[[#This Row],[Years of Experience]]&lt;=10),1,""))</f>
        <v/>
      </c>
      <c r="Q899" t="str">
        <f>IF(tblSalaries[[#This Row],[Years of Experience]]="","",IF(AND(tblSalaries[[#This Row],[Years of Experience]]&gt;10,tblSalaries[[#This Row],[Years of Experience]]&lt;=15),1,""))</f>
        <v/>
      </c>
      <c r="R899" t="str">
        <f>IF(tblSalaries[[#This Row],[Years of Experience]]="","",IF(AND(tblSalaries[[#This Row],[Years of Experience]]&gt;16,tblSalaries[[#This Row],[Years of Experience]]&lt;=20),1,""))</f>
        <v/>
      </c>
      <c r="S899" t="str">
        <f>IF(tblSalaries[[#This Row],[Years of Experience]]="","",IF(tblSalaries[[#This Row],[Years of Experience]]&gt;20,1,""))</f>
        <v/>
      </c>
      <c r="T8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899" s="13" t="str">
        <f>IF(tblSalaries[[#This Row],[Job Type]]=tblSalaries[[#Headers],[Accountant]],tblSalaries[[#This Row],[Salary in USD]],"")</f>
        <v/>
      </c>
      <c r="V899" s="13" t="str">
        <f>IF(tblSalaries[[#This Row],[Job Type]]=tblSalaries[[#Headers],[Analyst]],tblSalaries[[#This Row],[Salary in USD]],"")</f>
        <v/>
      </c>
      <c r="W899" s="13" t="str">
        <f>IF(tblSalaries[[#This Row],[Job Type]]=tblSalaries[[#Headers],[Consultant]],tblSalaries[[#This Row],[Salary in USD]],"")</f>
        <v/>
      </c>
      <c r="X899" s="13" t="str">
        <f>IF(tblSalaries[[#This Row],[Job Type]]=tblSalaries[[#Headers],[Controller]],tblSalaries[[#This Row],[Salary in USD]],"")</f>
        <v/>
      </c>
      <c r="Y899" s="13" t="str">
        <f>IF(tblSalaries[[#This Row],[Job Type]]=tblSalaries[[#Headers],[CXO or Top Mgmt.]],tblSalaries[[#This Row],[clean Salary (in local currency)]],"")</f>
        <v/>
      </c>
      <c r="Z899" s="13" t="str">
        <f>IF(tblSalaries[[#This Row],[Job Type]]=tblSalaries[[#Headers],[Engineer]],tblSalaries[[#This Row],[Salary in USD]],"")</f>
        <v/>
      </c>
      <c r="AA899" s="13">
        <f>IF(tblSalaries[[#This Row],[Job Type]]=tblSalaries[[#Headers],[Manager]],tblSalaries[[#This Row],[Salary in USD]],"")</f>
        <v>18698.312521814696</v>
      </c>
      <c r="AB899" s="13" t="str">
        <f>IF(tblSalaries[[#This Row],[Job Type]]=tblSalaries[[#Headers],[Misc.]],tblSalaries[[#This Row],[Salary in USD]],"")</f>
        <v/>
      </c>
      <c r="AC899" s="13" t="str">
        <f>IF(tblSalaries[[#This Row],[Job Type]]=tblSalaries[[#Headers],[Reporting]],tblSalaries[[#This Row],[Salary in USD]],"")</f>
        <v/>
      </c>
      <c r="AD899" s="13" t="str">
        <f>IF(tblSalaries[[#This Row],[Job Type]]=tblSalaries[[#Headers],[Specialist]],tblSalaries[[#This Row],[Salary in USD]],"")</f>
        <v/>
      </c>
    </row>
    <row r="900" spans="2:30" ht="15" customHeight="1" x14ac:dyDescent="0.25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 s="9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  <c r="N900" t="str">
        <f>IF(tblSalaries[[#This Row],[Years of Experience]]="","",IF(tblSalaries[[#This Row],[Years of Experience]]&lt;=2,1,""))</f>
        <v/>
      </c>
      <c r="O900" t="str">
        <f>IF(tblSalaries[[#This Row],[Years of Experience]]="","",IF(AND(tblSalaries[[#This Row],[Years of Experience]]&gt;2,tblSalaries[[#This Row],[Years of Experience]]&lt;=5),1,""))</f>
        <v/>
      </c>
      <c r="P900">
        <f>IF(tblSalaries[[#This Row],[Years of Experience]]="","",IF(AND(tblSalaries[[#This Row],[Years of Experience]]&gt;5,tblSalaries[[#This Row],[Years of Experience]]&lt;=10),1,""))</f>
        <v>1</v>
      </c>
      <c r="Q900" t="str">
        <f>IF(tblSalaries[[#This Row],[Years of Experience]]="","",IF(AND(tblSalaries[[#This Row],[Years of Experience]]&gt;10,tblSalaries[[#This Row],[Years of Experience]]&lt;=15),1,""))</f>
        <v/>
      </c>
      <c r="R900" t="str">
        <f>IF(tblSalaries[[#This Row],[Years of Experience]]="","",IF(AND(tblSalaries[[#This Row],[Years of Experience]]&gt;16,tblSalaries[[#This Row],[Years of Experience]]&lt;=20),1,""))</f>
        <v/>
      </c>
      <c r="S900" t="str">
        <f>IF(tblSalaries[[#This Row],[Years of Experience]]="","",IF(tblSalaries[[#This Row],[Years of Experience]]&gt;20,1,""))</f>
        <v/>
      </c>
      <c r="T9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00" s="13" t="str">
        <f>IF(tblSalaries[[#This Row],[Job Type]]=tblSalaries[[#Headers],[Accountant]],tblSalaries[[#This Row],[Salary in USD]],"")</f>
        <v/>
      </c>
      <c r="V900" s="13" t="str">
        <f>IF(tblSalaries[[#This Row],[Job Type]]=tblSalaries[[#Headers],[Analyst]],tblSalaries[[#This Row],[Salary in USD]],"")</f>
        <v/>
      </c>
      <c r="W900" s="13" t="str">
        <f>IF(tblSalaries[[#This Row],[Job Type]]=tblSalaries[[#Headers],[Consultant]],tblSalaries[[#This Row],[Salary in USD]],"")</f>
        <v/>
      </c>
      <c r="X900" s="13">
        <f>IF(tblSalaries[[#This Row],[Job Type]]=tblSalaries[[#Headers],[Controller]],tblSalaries[[#This Row],[Salary in USD]],"")</f>
        <v>36000</v>
      </c>
      <c r="Y900" s="13" t="str">
        <f>IF(tblSalaries[[#This Row],[Job Type]]=tblSalaries[[#Headers],[CXO or Top Mgmt.]],tblSalaries[[#This Row],[clean Salary (in local currency)]],"")</f>
        <v/>
      </c>
      <c r="Z900" s="13" t="str">
        <f>IF(tblSalaries[[#This Row],[Job Type]]=tblSalaries[[#Headers],[Engineer]],tblSalaries[[#This Row],[Salary in USD]],"")</f>
        <v/>
      </c>
      <c r="AA900" s="13" t="str">
        <f>IF(tblSalaries[[#This Row],[Job Type]]=tblSalaries[[#Headers],[Manager]],tblSalaries[[#This Row],[Salary in USD]],"")</f>
        <v/>
      </c>
      <c r="AB900" s="13" t="str">
        <f>IF(tblSalaries[[#This Row],[Job Type]]=tblSalaries[[#Headers],[Misc.]],tblSalaries[[#This Row],[Salary in USD]],"")</f>
        <v/>
      </c>
      <c r="AC900" s="13" t="str">
        <f>IF(tblSalaries[[#This Row],[Job Type]]=tblSalaries[[#Headers],[Reporting]],tblSalaries[[#This Row],[Salary in USD]],"")</f>
        <v/>
      </c>
      <c r="AD900" s="13" t="str">
        <f>IF(tblSalaries[[#This Row],[Job Type]]=tblSalaries[[#Headers],[Specialist]],tblSalaries[[#This Row],[Salary in USD]],"")</f>
        <v/>
      </c>
    </row>
    <row r="901" spans="2:30" ht="15" customHeight="1" x14ac:dyDescent="0.25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 s="9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  <c r="N901" t="str">
        <f>IF(tblSalaries[[#This Row],[Years of Experience]]="","",IF(tblSalaries[[#This Row],[Years of Experience]]&lt;=2,1,""))</f>
        <v/>
      </c>
      <c r="O901" t="str">
        <f>IF(tblSalaries[[#This Row],[Years of Experience]]="","",IF(AND(tblSalaries[[#This Row],[Years of Experience]]&gt;2,tblSalaries[[#This Row],[Years of Experience]]&lt;=5),1,""))</f>
        <v/>
      </c>
      <c r="P901">
        <f>IF(tblSalaries[[#This Row],[Years of Experience]]="","",IF(AND(tblSalaries[[#This Row],[Years of Experience]]&gt;5,tblSalaries[[#This Row],[Years of Experience]]&lt;=10),1,""))</f>
        <v>1</v>
      </c>
      <c r="Q901" t="str">
        <f>IF(tblSalaries[[#This Row],[Years of Experience]]="","",IF(AND(tblSalaries[[#This Row],[Years of Experience]]&gt;10,tblSalaries[[#This Row],[Years of Experience]]&lt;=15),1,""))</f>
        <v/>
      </c>
      <c r="R901" t="str">
        <f>IF(tblSalaries[[#This Row],[Years of Experience]]="","",IF(AND(tblSalaries[[#This Row],[Years of Experience]]&gt;16,tblSalaries[[#This Row],[Years of Experience]]&lt;=20),1,""))</f>
        <v/>
      </c>
      <c r="S901" t="str">
        <f>IF(tblSalaries[[#This Row],[Years of Experience]]="","",IF(tblSalaries[[#This Row],[Years of Experience]]&gt;20,1,""))</f>
        <v/>
      </c>
      <c r="T9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01" s="13" t="str">
        <f>IF(tblSalaries[[#This Row],[Job Type]]=tblSalaries[[#Headers],[Accountant]],tblSalaries[[#This Row],[Salary in USD]],"")</f>
        <v/>
      </c>
      <c r="V901" s="13" t="str">
        <f>IF(tblSalaries[[#This Row],[Job Type]]=tblSalaries[[#Headers],[Analyst]],tblSalaries[[#This Row],[Salary in USD]],"")</f>
        <v/>
      </c>
      <c r="W901" s="13" t="str">
        <f>IF(tblSalaries[[#This Row],[Job Type]]=tblSalaries[[#Headers],[Consultant]],tblSalaries[[#This Row],[Salary in USD]],"")</f>
        <v/>
      </c>
      <c r="X901" s="13" t="str">
        <f>IF(tblSalaries[[#This Row],[Job Type]]=tblSalaries[[#Headers],[Controller]],tblSalaries[[#This Row],[Salary in USD]],"")</f>
        <v/>
      </c>
      <c r="Y901" s="13" t="str">
        <f>IF(tblSalaries[[#This Row],[Job Type]]=tblSalaries[[#Headers],[CXO or Top Mgmt.]],tblSalaries[[#This Row],[clean Salary (in local currency)]],"")</f>
        <v/>
      </c>
      <c r="Z901" s="13" t="str">
        <f>IF(tblSalaries[[#This Row],[Job Type]]=tblSalaries[[#Headers],[Engineer]],tblSalaries[[#This Row],[Salary in USD]],"")</f>
        <v/>
      </c>
      <c r="AA901" s="13">
        <f>IF(tblSalaries[[#This Row],[Job Type]]=tblSalaries[[#Headers],[Manager]],tblSalaries[[#This Row],[Salary in USD]],"")</f>
        <v>8654.6475100970874</v>
      </c>
      <c r="AB901" s="13" t="str">
        <f>IF(tblSalaries[[#This Row],[Job Type]]=tblSalaries[[#Headers],[Misc.]],tblSalaries[[#This Row],[Salary in USD]],"")</f>
        <v/>
      </c>
      <c r="AC901" s="13" t="str">
        <f>IF(tblSalaries[[#This Row],[Job Type]]=tblSalaries[[#Headers],[Reporting]],tblSalaries[[#This Row],[Salary in USD]],"")</f>
        <v/>
      </c>
      <c r="AD901" s="13" t="str">
        <f>IF(tblSalaries[[#This Row],[Job Type]]=tblSalaries[[#Headers],[Specialist]],tblSalaries[[#This Row],[Salary in USD]],"")</f>
        <v/>
      </c>
    </row>
    <row r="902" spans="2:30" ht="15" customHeight="1" x14ac:dyDescent="0.25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 s="9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  <c r="N902" t="str">
        <f>IF(tblSalaries[[#This Row],[Years of Experience]]="","",IF(tblSalaries[[#This Row],[Years of Experience]]&lt;=2,1,""))</f>
        <v/>
      </c>
      <c r="O902" t="str">
        <f>IF(tblSalaries[[#This Row],[Years of Experience]]="","",IF(AND(tblSalaries[[#This Row],[Years of Experience]]&gt;2,tblSalaries[[#This Row],[Years of Experience]]&lt;=5),1,""))</f>
        <v/>
      </c>
      <c r="P902" t="str">
        <f>IF(tblSalaries[[#This Row],[Years of Experience]]="","",IF(AND(tblSalaries[[#This Row],[Years of Experience]]&gt;5,tblSalaries[[#This Row],[Years of Experience]]&lt;=10),1,""))</f>
        <v/>
      </c>
      <c r="Q902">
        <f>IF(tblSalaries[[#This Row],[Years of Experience]]="","",IF(AND(tblSalaries[[#This Row],[Years of Experience]]&gt;10,tblSalaries[[#This Row],[Years of Experience]]&lt;=15),1,""))</f>
        <v>1</v>
      </c>
      <c r="R902" t="str">
        <f>IF(tblSalaries[[#This Row],[Years of Experience]]="","",IF(AND(tblSalaries[[#This Row],[Years of Experience]]&gt;16,tblSalaries[[#This Row],[Years of Experience]]&lt;=20),1,""))</f>
        <v/>
      </c>
      <c r="S902" t="str">
        <f>IF(tblSalaries[[#This Row],[Years of Experience]]="","",IF(tblSalaries[[#This Row],[Years of Experience]]&gt;20,1,""))</f>
        <v/>
      </c>
      <c r="T9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02" s="13" t="str">
        <f>IF(tblSalaries[[#This Row],[Job Type]]=tblSalaries[[#Headers],[Accountant]],tblSalaries[[#This Row],[Salary in USD]],"")</f>
        <v/>
      </c>
      <c r="V902" s="13" t="str">
        <f>IF(tblSalaries[[#This Row],[Job Type]]=tblSalaries[[#Headers],[Analyst]],tblSalaries[[#This Row],[Salary in USD]],"")</f>
        <v/>
      </c>
      <c r="W902" s="13" t="str">
        <f>IF(tblSalaries[[#This Row],[Job Type]]=tblSalaries[[#Headers],[Consultant]],tblSalaries[[#This Row],[Salary in USD]],"")</f>
        <v/>
      </c>
      <c r="X902" s="13" t="str">
        <f>IF(tblSalaries[[#This Row],[Job Type]]=tblSalaries[[#Headers],[Controller]],tblSalaries[[#This Row],[Salary in USD]],"")</f>
        <v/>
      </c>
      <c r="Y902" s="13" t="str">
        <f>IF(tblSalaries[[#This Row],[Job Type]]=tblSalaries[[#Headers],[CXO or Top Mgmt.]],tblSalaries[[#This Row],[clean Salary (in local currency)]],"")</f>
        <v/>
      </c>
      <c r="Z902" s="13" t="str">
        <f>IF(tblSalaries[[#This Row],[Job Type]]=tblSalaries[[#Headers],[Engineer]],tblSalaries[[#This Row],[Salary in USD]],"")</f>
        <v/>
      </c>
      <c r="AA902" s="13">
        <f>IF(tblSalaries[[#This Row],[Job Type]]=tblSalaries[[#Headers],[Manager]],tblSalaries[[#This Row],[Salary in USD]],"")</f>
        <v>102451.58768437347</v>
      </c>
      <c r="AB902" s="13" t="str">
        <f>IF(tblSalaries[[#This Row],[Job Type]]=tblSalaries[[#Headers],[Misc.]],tblSalaries[[#This Row],[Salary in USD]],"")</f>
        <v/>
      </c>
      <c r="AC902" s="13" t="str">
        <f>IF(tblSalaries[[#This Row],[Job Type]]=tblSalaries[[#Headers],[Reporting]],tblSalaries[[#This Row],[Salary in USD]],"")</f>
        <v/>
      </c>
      <c r="AD902" s="13" t="str">
        <f>IF(tblSalaries[[#This Row],[Job Type]]=tblSalaries[[#Headers],[Specialist]],tblSalaries[[#This Row],[Salary in USD]],"")</f>
        <v/>
      </c>
    </row>
    <row r="903" spans="2:30" ht="15" customHeight="1" x14ac:dyDescent="0.25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 s="9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  <c r="N903" t="str">
        <f>IF(tblSalaries[[#This Row],[Years of Experience]]="","",IF(tblSalaries[[#This Row],[Years of Experience]]&lt;=2,1,""))</f>
        <v/>
      </c>
      <c r="O903" t="str">
        <f>IF(tblSalaries[[#This Row],[Years of Experience]]="","",IF(AND(tblSalaries[[#This Row],[Years of Experience]]&gt;2,tblSalaries[[#This Row],[Years of Experience]]&lt;=5),1,""))</f>
        <v/>
      </c>
      <c r="P903" t="str">
        <f>IF(tblSalaries[[#This Row],[Years of Experience]]="","",IF(AND(tblSalaries[[#This Row],[Years of Experience]]&gt;5,tblSalaries[[#This Row],[Years of Experience]]&lt;=10),1,""))</f>
        <v/>
      </c>
      <c r="Q903" t="str">
        <f>IF(tblSalaries[[#This Row],[Years of Experience]]="","",IF(AND(tblSalaries[[#This Row],[Years of Experience]]&gt;10,tblSalaries[[#This Row],[Years of Experience]]&lt;=15),1,""))</f>
        <v/>
      </c>
      <c r="R903">
        <f>IF(tblSalaries[[#This Row],[Years of Experience]]="","",IF(AND(tblSalaries[[#This Row],[Years of Experience]]&gt;16,tblSalaries[[#This Row],[Years of Experience]]&lt;=20),1,""))</f>
        <v>1</v>
      </c>
      <c r="S903" t="str">
        <f>IF(tblSalaries[[#This Row],[Years of Experience]]="","",IF(tblSalaries[[#This Row],[Years of Experience]]&gt;20,1,""))</f>
        <v/>
      </c>
      <c r="T9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03" s="13" t="str">
        <f>IF(tblSalaries[[#This Row],[Job Type]]=tblSalaries[[#Headers],[Accountant]],tblSalaries[[#This Row],[Salary in USD]],"")</f>
        <v/>
      </c>
      <c r="V903" s="13">
        <f>IF(tblSalaries[[#This Row],[Job Type]]=tblSalaries[[#Headers],[Analyst]],tblSalaries[[#This Row],[Salary in USD]],"")</f>
        <v>36400</v>
      </c>
      <c r="W903" s="13" t="str">
        <f>IF(tblSalaries[[#This Row],[Job Type]]=tblSalaries[[#Headers],[Consultant]],tblSalaries[[#This Row],[Salary in USD]],"")</f>
        <v/>
      </c>
      <c r="X903" s="13" t="str">
        <f>IF(tblSalaries[[#This Row],[Job Type]]=tblSalaries[[#Headers],[Controller]],tblSalaries[[#This Row],[Salary in USD]],"")</f>
        <v/>
      </c>
      <c r="Y903" s="13" t="str">
        <f>IF(tblSalaries[[#This Row],[Job Type]]=tblSalaries[[#Headers],[CXO or Top Mgmt.]],tblSalaries[[#This Row],[clean Salary (in local currency)]],"")</f>
        <v/>
      </c>
      <c r="Z903" s="13" t="str">
        <f>IF(tblSalaries[[#This Row],[Job Type]]=tblSalaries[[#Headers],[Engineer]],tblSalaries[[#This Row],[Salary in USD]],"")</f>
        <v/>
      </c>
      <c r="AA903" s="13" t="str">
        <f>IF(tblSalaries[[#This Row],[Job Type]]=tblSalaries[[#Headers],[Manager]],tblSalaries[[#This Row],[Salary in USD]],"")</f>
        <v/>
      </c>
      <c r="AB903" s="13" t="str">
        <f>IF(tblSalaries[[#This Row],[Job Type]]=tblSalaries[[#Headers],[Misc.]],tblSalaries[[#This Row],[Salary in USD]],"")</f>
        <v/>
      </c>
      <c r="AC903" s="13" t="str">
        <f>IF(tblSalaries[[#This Row],[Job Type]]=tblSalaries[[#Headers],[Reporting]],tblSalaries[[#This Row],[Salary in USD]],"")</f>
        <v/>
      </c>
      <c r="AD903" s="13" t="str">
        <f>IF(tblSalaries[[#This Row],[Job Type]]=tblSalaries[[#Headers],[Specialist]],tblSalaries[[#This Row],[Salary in USD]],"")</f>
        <v/>
      </c>
    </row>
    <row r="904" spans="2:30" ht="15" customHeight="1" x14ac:dyDescent="0.25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 s="9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  <c r="N904" t="str">
        <f>IF(tblSalaries[[#This Row],[Years of Experience]]="","",IF(tblSalaries[[#This Row],[Years of Experience]]&lt;=2,1,""))</f>
        <v/>
      </c>
      <c r="O904" t="str">
        <f>IF(tblSalaries[[#This Row],[Years of Experience]]="","",IF(AND(tblSalaries[[#This Row],[Years of Experience]]&gt;2,tblSalaries[[#This Row],[Years of Experience]]&lt;=5),1,""))</f>
        <v/>
      </c>
      <c r="P904" t="str">
        <f>IF(tblSalaries[[#This Row],[Years of Experience]]="","",IF(AND(tblSalaries[[#This Row],[Years of Experience]]&gt;5,tblSalaries[[#This Row],[Years of Experience]]&lt;=10),1,""))</f>
        <v/>
      </c>
      <c r="Q904" t="str">
        <f>IF(tblSalaries[[#This Row],[Years of Experience]]="","",IF(AND(tblSalaries[[#This Row],[Years of Experience]]&gt;10,tblSalaries[[#This Row],[Years of Experience]]&lt;=15),1,""))</f>
        <v/>
      </c>
      <c r="R904" t="str">
        <f>IF(tblSalaries[[#This Row],[Years of Experience]]="","",IF(AND(tblSalaries[[#This Row],[Years of Experience]]&gt;16,tblSalaries[[#This Row],[Years of Experience]]&lt;=20),1,""))</f>
        <v/>
      </c>
      <c r="S904" t="str">
        <f>IF(tblSalaries[[#This Row],[Years of Experience]]="","",IF(tblSalaries[[#This Row],[Years of Experience]]&gt;20,1,""))</f>
        <v/>
      </c>
      <c r="T9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904" s="13" t="str">
        <f>IF(tblSalaries[[#This Row],[Job Type]]=tblSalaries[[#Headers],[Accountant]],tblSalaries[[#This Row],[Salary in USD]],"")</f>
        <v/>
      </c>
      <c r="V904" s="13" t="str">
        <f>IF(tblSalaries[[#This Row],[Job Type]]=tblSalaries[[#Headers],[Analyst]],tblSalaries[[#This Row],[Salary in USD]],"")</f>
        <v/>
      </c>
      <c r="W904" s="13">
        <f>IF(tblSalaries[[#This Row],[Job Type]]=tblSalaries[[#Headers],[Consultant]],tblSalaries[[#This Row],[Salary in USD]],"")</f>
        <v>101206.40684944032</v>
      </c>
      <c r="X904" s="13" t="str">
        <f>IF(tblSalaries[[#This Row],[Job Type]]=tblSalaries[[#Headers],[Controller]],tblSalaries[[#This Row],[Salary in USD]],"")</f>
        <v/>
      </c>
      <c r="Y904" s="13" t="str">
        <f>IF(tblSalaries[[#This Row],[Job Type]]=tblSalaries[[#Headers],[CXO or Top Mgmt.]],tblSalaries[[#This Row],[clean Salary (in local currency)]],"")</f>
        <v/>
      </c>
      <c r="Z904" s="13" t="str">
        <f>IF(tblSalaries[[#This Row],[Job Type]]=tblSalaries[[#Headers],[Engineer]],tblSalaries[[#This Row],[Salary in USD]],"")</f>
        <v/>
      </c>
      <c r="AA904" s="13" t="str">
        <f>IF(tblSalaries[[#This Row],[Job Type]]=tblSalaries[[#Headers],[Manager]],tblSalaries[[#This Row],[Salary in USD]],"")</f>
        <v/>
      </c>
      <c r="AB904" s="13" t="str">
        <f>IF(tblSalaries[[#This Row],[Job Type]]=tblSalaries[[#Headers],[Misc.]],tblSalaries[[#This Row],[Salary in USD]],"")</f>
        <v/>
      </c>
      <c r="AC904" s="13" t="str">
        <f>IF(tblSalaries[[#This Row],[Job Type]]=tblSalaries[[#Headers],[Reporting]],tblSalaries[[#This Row],[Salary in USD]],"")</f>
        <v/>
      </c>
      <c r="AD904" s="13" t="str">
        <f>IF(tblSalaries[[#This Row],[Job Type]]=tblSalaries[[#Headers],[Specialist]],tblSalaries[[#This Row],[Salary in USD]],"")</f>
        <v/>
      </c>
    </row>
    <row r="905" spans="2:30" ht="15" customHeight="1" x14ac:dyDescent="0.25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 s="9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  <c r="N905">
        <f>IF(tblSalaries[[#This Row],[Years of Experience]]="","",IF(tblSalaries[[#This Row],[Years of Experience]]&lt;=2,1,""))</f>
        <v>1</v>
      </c>
      <c r="O905" t="str">
        <f>IF(tblSalaries[[#This Row],[Years of Experience]]="","",IF(AND(tblSalaries[[#This Row],[Years of Experience]]&gt;2,tblSalaries[[#This Row],[Years of Experience]]&lt;=5),1,""))</f>
        <v/>
      </c>
      <c r="P905" t="str">
        <f>IF(tblSalaries[[#This Row],[Years of Experience]]="","",IF(AND(tblSalaries[[#This Row],[Years of Experience]]&gt;5,tblSalaries[[#This Row],[Years of Experience]]&lt;=10),1,""))</f>
        <v/>
      </c>
      <c r="Q905" t="str">
        <f>IF(tblSalaries[[#This Row],[Years of Experience]]="","",IF(AND(tblSalaries[[#This Row],[Years of Experience]]&gt;10,tblSalaries[[#This Row],[Years of Experience]]&lt;=15),1,""))</f>
        <v/>
      </c>
      <c r="R905" t="str">
        <f>IF(tblSalaries[[#This Row],[Years of Experience]]="","",IF(AND(tblSalaries[[#This Row],[Years of Experience]]&gt;16,tblSalaries[[#This Row],[Years of Experience]]&lt;=20),1,""))</f>
        <v/>
      </c>
      <c r="S905" t="str">
        <f>IF(tblSalaries[[#This Row],[Years of Experience]]="","",IF(tblSalaries[[#This Row],[Years of Experience]]&gt;20,1,""))</f>
        <v/>
      </c>
      <c r="T9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05" s="13" t="str">
        <f>IF(tblSalaries[[#This Row],[Job Type]]=tblSalaries[[#Headers],[Accountant]],tblSalaries[[#This Row],[Salary in USD]],"")</f>
        <v/>
      </c>
      <c r="V905" s="13">
        <f>IF(tblSalaries[[#This Row],[Job Type]]=tblSalaries[[#Headers],[Analyst]],tblSalaries[[#This Row],[Salary in USD]],"")</f>
        <v>5342.3750062327708</v>
      </c>
      <c r="W905" s="13" t="str">
        <f>IF(tblSalaries[[#This Row],[Job Type]]=tblSalaries[[#Headers],[Consultant]],tblSalaries[[#This Row],[Salary in USD]],"")</f>
        <v/>
      </c>
      <c r="X905" s="13" t="str">
        <f>IF(tblSalaries[[#This Row],[Job Type]]=tblSalaries[[#Headers],[Controller]],tblSalaries[[#This Row],[Salary in USD]],"")</f>
        <v/>
      </c>
      <c r="Y905" s="13" t="str">
        <f>IF(tblSalaries[[#This Row],[Job Type]]=tblSalaries[[#Headers],[CXO or Top Mgmt.]],tblSalaries[[#This Row],[clean Salary (in local currency)]],"")</f>
        <v/>
      </c>
      <c r="Z905" s="13" t="str">
        <f>IF(tblSalaries[[#This Row],[Job Type]]=tblSalaries[[#Headers],[Engineer]],tblSalaries[[#This Row],[Salary in USD]],"")</f>
        <v/>
      </c>
      <c r="AA905" s="13" t="str">
        <f>IF(tblSalaries[[#This Row],[Job Type]]=tblSalaries[[#Headers],[Manager]],tblSalaries[[#This Row],[Salary in USD]],"")</f>
        <v/>
      </c>
      <c r="AB905" s="13" t="str">
        <f>IF(tblSalaries[[#This Row],[Job Type]]=tblSalaries[[#Headers],[Misc.]],tblSalaries[[#This Row],[Salary in USD]],"")</f>
        <v/>
      </c>
      <c r="AC905" s="13" t="str">
        <f>IF(tblSalaries[[#This Row],[Job Type]]=tblSalaries[[#Headers],[Reporting]],tblSalaries[[#This Row],[Salary in USD]],"")</f>
        <v/>
      </c>
      <c r="AD905" s="13" t="str">
        <f>IF(tblSalaries[[#This Row],[Job Type]]=tblSalaries[[#Headers],[Specialist]],tblSalaries[[#This Row],[Salary in USD]],"")</f>
        <v/>
      </c>
    </row>
    <row r="906" spans="2:30" ht="15" customHeight="1" x14ac:dyDescent="0.25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 s="9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  <c r="N906" t="str">
        <f>IF(tblSalaries[[#This Row],[Years of Experience]]="","",IF(tblSalaries[[#This Row],[Years of Experience]]&lt;=2,1,""))</f>
        <v/>
      </c>
      <c r="O906" t="str">
        <f>IF(tblSalaries[[#This Row],[Years of Experience]]="","",IF(AND(tblSalaries[[#This Row],[Years of Experience]]&gt;2,tblSalaries[[#This Row],[Years of Experience]]&lt;=5),1,""))</f>
        <v/>
      </c>
      <c r="P906" t="str">
        <f>IF(tblSalaries[[#This Row],[Years of Experience]]="","",IF(AND(tblSalaries[[#This Row],[Years of Experience]]&gt;5,tblSalaries[[#This Row],[Years of Experience]]&lt;=10),1,""))</f>
        <v/>
      </c>
      <c r="Q906">
        <f>IF(tblSalaries[[#This Row],[Years of Experience]]="","",IF(AND(tblSalaries[[#This Row],[Years of Experience]]&gt;10,tblSalaries[[#This Row],[Years of Experience]]&lt;=15),1,""))</f>
        <v>1</v>
      </c>
      <c r="R906" t="str">
        <f>IF(tblSalaries[[#This Row],[Years of Experience]]="","",IF(AND(tblSalaries[[#This Row],[Years of Experience]]&gt;16,tblSalaries[[#This Row],[Years of Experience]]&lt;=20),1,""))</f>
        <v/>
      </c>
      <c r="S906" t="str">
        <f>IF(tblSalaries[[#This Row],[Years of Experience]]="","",IF(tblSalaries[[#This Row],[Years of Experience]]&gt;20,1,""))</f>
        <v/>
      </c>
      <c r="T9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06" s="13" t="str">
        <f>IF(tblSalaries[[#This Row],[Job Type]]=tblSalaries[[#Headers],[Accountant]],tblSalaries[[#This Row],[Salary in USD]],"")</f>
        <v/>
      </c>
      <c r="V906" s="13">
        <f>IF(tblSalaries[[#This Row],[Job Type]]=tblSalaries[[#Headers],[Analyst]],tblSalaries[[#This Row],[Salary in USD]],"")</f>
        <v>28310.79811950968</v>
      </c>
      <c r="W906" s="13" t="str">
        <f>IF(tblSalaries[[#This Row],[Job Type]]=tblSalaries[[#Headers],[Consultant]],tblSalaries[[#This Row],[Salary in USD]],"")</f>
        <v/>
      </c>
      <c r="X906" s="13" t="str">
        <f>IF(tblSalaries[[#This Row],[Job Type]]=tblSalaries[[#Headers],[Controller]],tblSalaries[[#This Row],[Salary in USD]],"")</f>
        <v/>
      </c>
      <c r="Y906" s="13" t="str">
        <f>IF(tblSalaries[[#This Row],[Job Type]]=tblSalaries[[#Headers],[CXO or Top Mgmt.]],tblSalaries[[#This Row],[clean Salary (in local currency)]],"")</f>
        <v/>
      </c>
      <c r="Z906" s="13" t="str">
        <f>IF(tblSalaries[[#This Row],[Job Type]]=tblSalaries[[#Headers],[Engineer]],tblSalaries[[#This Row],[Salary in USD]],"")</f>
        <v/>
      </c>
      <c r="AA906" s="13" t="str">
        <f>IF(tblSalaries[[#This Row],[Job Type]]=tblSalaries[[#Headers],[Manager]],tblSalaries[[#This Row],[Salary in USD]],"")</f>
        <v/>
      </c>
      <c r="AB906" s="13" t="str">
        <f>IF(tblSalaries[[#This Row],[Job Type]]=tblSalaries[[#Headers],[Misc.]],tblSalaries[[#This Row],[Salary in USD]],"")</f>
        <v/>
      </c>
      <c r="AC906" s="13" t="str">
        <f>IF(tblSalaries[[#This Row],[Job Type]]=tblSalaries[[#Headers],[Reporting]],tblSalaries[[#This Row],[Salary in USD]],"")</f>
        <v/>
      </c>
      <c r="AD906" s="13" t="str">
        <f>IF(tblSalaries[[#This Row],[Job Type]]=tblSalaries[[#Headers],[Specialist]],tblSalaries[[#This Row],[Salary in USD]],"")</f>
        <v/>
      </c>
    </row>
    <row r="907" spans="2:30" ht="15" customHeight="1" x14ac:dyDescent="0.25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 s="9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  <c r="N907" t="str">
        <f>IF(tblSalaries[[#This Row],[Years of Experience]]="","",IF(tblSalaries[[#This Row],[Years of Experience]]&lt;=2,1,""))</f>
        <v/>
      </c>
      <c r="O907" t="str">
        <f>IF(tblSalaries[[#This Row],[Years of Experience]]="","",IF(AND(tblSalaries[[#This Row],[Years of Experience]]&gt;2,tblSalaries[[#This Row],[Years of Experience]]&lt;=5),1,""))</f>
        <v/>
      </c>
      <c r="P907">
        <f>IF(tblSalaries[[#This Row],[Years of Experience]]="","",IF(AND(tblSalaries[[#This Row],[Years of Experience]]&gt;5,tblSalaries[[#This Row],[Years of Experience]]&lt;=10),1,""))</f>
        <v>1</v>
      </c>
      <c r="Q907" t="str">
        <f>IF(tblSalaries[[#This Row],[Years of Experience]]="","",IF(AND(tblSalaries[[#This Row],[Years of Experience]]&gt;10,tblSalaries[[#This Row],[Years of Experience]]&lt;=15),1,""))</f>
        <v/>
      </c>
      <c r="R907" t="str">
        <f>IF(tblSalaries[[#This Row],[Years of Experience]]="","",IF(AND(tblSalaries[[#This Row],[Years of Experience]]&gt;16,tblSalaries[[#This Row],[Years of Experience]]&lt;=20),1,""))</f>
        <v/>
      </c>
      <c r="S907" t="str">
        <f>IF(tblSalaries[[#This Row],[Years of Experience]]="","",IF(tblSalaries[[#This Row],[Years of Experience]]&gt;20,1,""))</f>
        <v/>
      </c>
      <c r="T9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07" s="13" t="str">
        <f>IF(tblSalaries[[#This Row],[Job Type]]=tblSalaries[[#Headers],[Accountant]],tblSalaries[[#This Row],[Salary in USD]],"")</f>
        <v/>
      </c>
      <c r="V907" s="13" t="str">
        <f>IF(tblSalaries[[#This Row],[Job Type]]=tblSalaries[[#Headers],[Analyst]],tblSalaries[[#This Row],[Salary in USD]],"")</f>
        <v/>
      </c>
      <c r="W907" s="13" t="str">
        <f>IF(tblSalaries[[#This Row],[Job Type]]=tblSalaries[[#Headers],[Consultant]],tblSalaries[[#This Row],[Salary in USD]],"")</f>
        <v/>
      </c>
      <c r="X907" s="13" t="str">
        <f>IF(tblSalaries[[#This Row],[Job Type]]=tblSalaries[[#Headers],[Controller]],tblSalaries[[#This Row],[Salary in USD]],"")</f>
        <v/>
      </c>
      <c r="Y907" s="13" t="str">
        <f>IF(tblSalaries[[#This Row],[Job Type]]=tblSalaries[[#Headers],[CXO or Top Mgmt.]],tblSalaries[[#This Row],[clean Salary (in local currency)]],"")</f>
        <v/>
      </c>
      <c r="Z907" s="13" t="str">
        <f>IF(tblSalaries[[#This Row],[Job Type]]=tblSalaries[[#Headers],[Engineer]],tblSalaries[[#This Row],[Salary in USD]],"")</f>
        <v/>
      </c>
      <c r="AA907" s="13">
        <f>IF(tblSalaries[[#This Row],[Job Type]]=tblSalaries[[#Headers],[Manager]],tblSalaries[[#This Row],[Salary in USD]],"")</f>
        <v>26043.18849932796</v>
      </c>
      <c r="AB907" s="13" t="str">
        <f>IF(tblSalaries[[#This Row],[Job Type]]=tblSalaries[[#Headers],[Misc.]],tblSalaries[[#This Row],[Salary in USD]],"")</f>
        <v/>
      </c>
      <c r="AC907" s="13" t="str">
        <f>IF(tblSalaries[[#This Row],[Job Type]]=tblSalaries[[#Headers],[Reporting]],tblSalaries[[#This Row],[Salary in USD]],"")</f>
        <v/>
      </c>
      <c r="AD907" s="13" t="str">
        <f>IF(tblSalaries[[#This Row],[Job Type]]=tblSalaries[[#Headers],[Specialist]],tblSalaries[[#This Row],[Salary in USD]],"")</f>
        <v/>
      </c>
    </row>
    <row r="908" spans="2:30" ht="15" customHeight="1" x14ac:dyDescent="0.25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 s="9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  <c r="N908" t="str">
        <f>IF(tblSalaries[[#This Row],[Years of Experience]]="","",IF(tblSalaries[[#This Row],[Years of Experience]]&lt;=2,1,""))</f>
        <v/>
      </c>
      <c r="O908" t="str">
        <f>IF(tblSalaries[[#This Row],[Years of Experience]]="","",IF(AND(tblSalaries[[#This Row],[Years of Experience]]&gt;2,tblSalaries[[#This Row],[Years of Experience]]&lt;=5),1,""))</f>
        <v/>
      </c>
      <c r="P908">
        <f>IF(tblSalaries[[#This Row],[Years of Experience]]="","",IF(AND(tblSalaries[[#This Row],[Years of Experience]]&gt;5,tblSalaries[[#This Row],[Years of Experience]]&lt;=10),1,""))</f>
        <v>1</v>
      </c>
      <c r="Q908" t="str">
        <f>IF(tblSalaries[[#This Row],[Years of Experience]]="","",IF(AND(tblSalaries[[#This Row],[Years of Experience]]&gt;10,tblSalaries[[#This Row],[Years of Experience]]&lt;=15),1,""))</f>
        <v/>
      </c>
      <c r="R908" t="str">
        <f>IF(tblSalaries[[#This Row],[Years of Experience]]="","",IF(AND(tblSalaries[[#This Row],[Years of Experience]]&gt;16,tblSalaries[[#This Row],[Years of Experience]]&lt;=20),1,""))</f>
        <v/>
      </c>
      <c r="S908" t="str">
        <f>IF(tblSalaries[[#This Row],[Years of Experience]]="","",IF(tblSalaries[[#This Row],[Years of Experience]]&gt;20,1,""))</f>
        <v/>
      </c>
      <c r="T9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08" s="13" t="str">
        <f>IF(tblSalaries[[#This Row],[Job Type]]=tblSalaries[[#Headers],[Accountant]],tblSalaries[[#This Row],[Salary in USD]],"")</f>
        <v/>
      </c>
      <c r="V908" s="13">
        <f>IF(tblSalaries[[#This Row],[Job Type]]=tblSalaries[[#Headers],[Analyst]],tblSalaries[[#This Row],[Salary in USD]],"")</f>
        <v>96891.417358250401</v>
      </c>
      <c r="W908" s="13" t="str">
        <f>IF(tblSalaries[[#This Row],[Job Type]]=tblSalaries[[#Headers],[Consultant]],tblSalaries[[#This Row],[Salary in USD]],"")</f>
        <v/>
      </c>
      <c r="X908" s="13" t="str">
        <f>IF(tblSalaries[[#This Row],[Job Type]]=tblSalaries[[#Headers],[Controller]],tblSalaries[[#This Row],[Salary in USD]],"")</f>
        <v/>
      </c>
      <c r="Y908" s="13" t="str">
        <f>IF(tblSalaries[[#This Row],[Job Type]]=tblSalaries[[#Headers],[CXO or Top Mgmt.]],tblSalaries[[#This Row],[clean Salary (in local currency)]],"")</f>
        <v/>
      </c>
      <c r="Z908" s="13" t="str">
        <f>IF(tblSalaries[[#This Row],[Job Type]]=tblSalaries[[#Headers],[Engineer]],tblSalaries[[#This Row],[Salary in USD]],"")</f>
        <v/>
      </c>
      <c r="AA908" s="13" t="str">
        <f>IF(tblSalaries[[#This Row],[Job Type]]=tblSalaries[[#Headers],[Manager]],tblSalaries[[#This Row],[Salary in USD]],"")</f>
        <v/>
      </c>
      <c r="AB908" s="13" t="str">
        <f>IF(tblSalaries[[#This Row],[Job Type]]=tblSalaries[[#Headers],[Misc.]],tblSalaries[[#This Row],[Salary in USD]],"")</f>
        <v/>
      </c>
      <c r="AC908" s="13" t="str">
        <f>IF(tblSalaries[[#This Row],[Job Type]]=tblSalaries[[#Headers],[Reporting]],tblSalaries[[#This Row],[Salary in USD]],"")</f>
        <v/>
      </c>
      <c r="AD908" s="13" t="str">
        <f>IF(tblSalaries[[#This Row],[Job Type]]=tblSalaries[[#Headers],[Specialist]],tblSalaries[[#This Row],[Salary in USD]],"")</f>
        <v/>
      </c>
    </row>
    <row r="909" spans="2:30" ht="15" customHeight="1" x14ac:dyDescent="0.25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 s="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  <c r="N909" t="str">
        <f>IF(tblSalaries[[#This Row],[Years of Experience]]="","",IF(tblSalaries[[#This Row],[Years of Experience]]&lt;=2,1,""))</f>
        <v/>
      </c>
      <c r="O909">
        <f>IF(tblSalaries[[#This Row],[Years of Experience]]="","",IF(AND(tblSalaries[[#This Row],[Years of Experience]]&gt;2,tblSalaries[[#This Row],[Years of Experience]]&lt;=5),1,""))</f>
        <v>1</v>
      </c>
      <c r="P909" t="str">
        <f>IF(tblSalaries[[#This Row],[Years of Experience]]="","",IF(AND(tblSalaries[[#This Row],[Years of Experience]]&gt;5,tblSalaries[[#This Row],[Years of Experience]]&lt;=10),1,""))</f>
        <v/>
      </c>
      <c r="Q909" t="str">
        <f>IF(tblSalaries[[#This Row],[Years of Experience]]="","",IF(AND(tblSalaries[[#This Row],[Years of Experience]]&gt;10,tblSalaries[[#This Row],[Years of Experience]]&lt;=15),1,""))</f>
        <v/>
      </c>
      <c r="R909" t="str">
        <f>IF(tblSalaries[[#This Row],[Years of Experience]]="","",IF(AND(tblSalaries[[#This Row],[Years of Experience]]&gt;16,tblSalaries[[#This Row],[Years of Experience]]&lt;=20),1,""))</f>
        <v/>
      </c>
      <c r="S909" t="str">
        <f>IF(tblSalaries[[#This Row],[Years of Experience]]="","",IF(tblSalaries[[#This Row],[Years of Experience]]&gt;20,1,""))</f>
        <v/>
      </c>
      <c r="T9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09" s="13" t="str">
        <f>IF(tblSalaries[[#This Row],[Job Type]]=tblSalaries[[#Headers],[Accountant]],tblSalaries[[#This Row],[Salary in USD]],"")</f>
        <v/>
      </c>
      <c r="V909" s="13" t="str">
        <f>IF(tblSalaries[[#This Row],[Job Type]]=tblSalaries[[#Headers],[Analyst]],tblSalaries[[#This Row],[Salary in USD]],"")</f>
        <v/>
      </c>
      <c r="W909" s="13" t="str">
        <f>IF(tblSalaries[[#This Row],[Job Type]]=tblSalaries[[#Headers],[Consultant]],tblSalaries[[#This Row],[Salary in USD]],"")</f>
        <v/>
      </c>
      <c r="X909" s="13">
        <f>IF(tblSalaries[[#This Row],[Job Type]]=tblSalaries[[#Headers],[Controller]],tblSalaries[[#This Row],[Salary in USD]],"")</f>
        <v>2564.3400029917298</v>
      </c>
      <c r="Y909" s="13" t="str">
        <f>IF(tblSalaries[[#This Row],[Job Type]]=tblSalaries[[#Headers],[CXO or Top Mgmt.]],tblSalaries[[#This Row],[clean Salary (in local currency)]],"")</f>
        <v/>
      </c>
      <c r="Z909" s="13" t="str">
        <f>IF(tblSalaries[[#This Row],[Job Type]]=tblSalaries[[#Headers],[Engineer]],tblSalaries[[#This Row],[Salary in USD]],"")</f>
        <v/>
      </c>
      <c r="AA909" s="13" t="str">
        <f>IF(tblSalaries[[#This Row],[Job Type]]=tblSalaries[[#Headers],[Manager]],tblSalaries[[#This Row],[Salary in USD]],"")</f>
        <v/>
      </c>
      <c r="AB909" s="13" t="str">
        <f>IF(tblSalaries[[#This Row],[Job Type]]=tblSalaries[[#Headers],[Misc.]],tblSalaries[[#This Row],[Salary in USD]],"")</f>
        <v/>
      </c>
      <c r="AC909" s="13" t="str">
        <f>IF(tblSalaries[[#This Row],[Job Type]]=tblSalaries[[#Headers],[Reporting]],tblSalaries[[#This Row],[Salary in USD]],"")</f>
        <v/>
      </c>
      <c r="AD909" s="13" t="str">
        <f>IF(tblSalaries[[#This Row],[Job Type]]=tblSalaries[[#Headers],[Specialist]],tblSalaries[[#This Row],[Salary in USD]],"")</f>
        <v/>
      </c>
    </row>
    <row r="910" spans="2:30" ht="15" customHeight="1" x14ac:dyDescent="0.25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 s="9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3999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  <c r="N910" t="str">
        <f>IF(tblSalaries[[#This Row],[Years of Experience]]="","",IF(tblSalaries[[#This Row],[Years of Experience]]&lt;=2,1,""))</f>
        <v/>
      </c>
      <c r="O910" t="str">
        <f>IF(tblSalaries[[#This Row],[Years of Experience]]="","",IF(AND(tblSalaries[[#This Row],[Years of Experience]]&gt;2,tblSalaries[[#This Row],[Years of Experience]]&lt;=5),1,""))</f>
        <v/>
      </c>
      <c r="P910">
        <f>IF(tblSalaries[[#This Row],[Years of Experience]]="","",IF(AND(tblSalaries[[#This Row],[Years of Experience]]&gt;5,tblSalaries[[#This Row],[Years of Experience]]&lt;=10),1,""))</f>
        <v>1</v>
      </c>
      <c r="Q910" t="str">
        <f>IF(tblSalaries[[#This Row],[Years of Experience]]="","",IF(AND(tblSalaries[[#This Row],[Years of Experience]]&gt;10,tblSalaries[[#This Row],[Years of Experience]]&lt;=15),1,""))</f>
        <v/>
      </c>
      <c r="R910" t="str">
        <f>IF(tblSalaries[[#This Row],[Years of Experience]]="","",IF(AND(tblSalaries[[#This Row],[Years of Experience]]&gt;16,tblSalaries[[#This Row],[Years of Experience]]&lt;=20),1,""))</f>
        <v/>
      </c>
      <c r="S910" t="str">
        <f>IF(tblSalaries[[#This Row],[Years of Experience]]="","",IF(tblSalaries[[#This Row],[Years of Experience]]&gt;20,1,""))</f>
        <v/>
      </c>
      <c r="T9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10" s="13" t="str">
        <f>IF(tblSalaries[[#This Row],[Job Type]]=tblSalaries[[#Headers],[Accountant]],tblSalaries[[#This Row],[Salary in USD]],"")</f>
        <v/>
      </c>
      <c r="V910" s="13" t="str">
        <f>IF(tblSalaries[[#This Row],[Job Type]]=tblSalaries[[#Headers],[Analyst]],tblSalaries[[#This Row],[Salary in USD]],"")</f>
        <v/>
      </c>
      <c r="W910" s="13" t="str">
        <f>IF(tblSalaries[[#This Row],[Job Type]]=tblSalaries[[#Headers],[Consultant]],tblSalaries[[#This Row],[Salary in USD]],"")</f>
        <v/>
      </c>
      <c r="X910" s="13" t="str">
        <f>IF(tblSalaries[[#This Row],[Job Type]]=tblSalaries[[#Headers],[Controller]],tblSalaries[[#This Row],[Salary in USD]],"")</f>
        <v/>
      </c>
      <c r="Y910" s="13" t="str">
        <f>IF(tblSalaries[[#This Row],[Job Type]]=tblSalaries[[#Headers],[CXO or Top Mgmt.]],tblSalaries[[#This Row],[clean Salary (in local currency)]],"")</f>
        <v/>
      </c>
      <c r="Z910" s="13" t="str">
        <f>IF(tblSalaries[[#This Row],[Job Type]]=tblSalaries[[#Headers],[Engineer]],tblSalaries[[#This Row],[Salary in USD]],"")</f>
        <v/>
      </c>
      <c r="AA910" s="13" t="str">
        <f>IF(tblSalaries[[#This Row],[Job Type]]=tblSalaries[[#Headers],[Manager]],tblSalaries[[#This Row],[Salary in USD]],"")</f>
        <v/>
      </c>
      <c r="AB910" s="13" t="str">
        <f>IF(tblSalaries[[#This Row],[Job Type]]=tblSalaries[[#Headers],[Misc.]],tblSalaries[[#This Row],[Salary in USD]],"")</f>
        <v/>
      </c>
      <c r="AC910" s="13">
        <f>IF(tblSalaries[[#This Row],[Job Type]]=tblSalaries[[#Headers],[Reporting]],tblSalaries[[#This Row],[Salary in USD]],"")</f>
        <v>3205.4250037396623</v>
      </c>
      <c r="AD910" s="13" t="str">
        <f>IF(tblSalaries[[#This Row],[Job Type]]=tblSalaries[[#Headers],[Specialist]],tblSalaries[[#This Row],[Salary in USD]],"")</f>
        <v/>
      </c>
    </row>
    <row r="911" spans="2:30" ht="15" customHeight="1" x14ac:dyDescent="0.25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 s="9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  <c r="N911" t="str">
        <f>IF(tblSalaries[[#This Row],[Years of Experience]]="","",IF(tblSalaries[[#This Row],[Years of Experience]]&lt;=2,1,""))</f>
        <v/>
      </c>
      <c r="O911" t="str">
        <f>IF(tblSalaries[[#This Row],[Years of Experience]]="","",IF(AND(tblSalaries[[#This Row],[Years of Experience]]&gt;2,tblSalaries[[#This Row],[Years of Experience]]&lt;=5),1,""))</f>
        <v/>
      </c>
      <c r="P911">
        <f>IF(tblSalaries[[#This Row],[Years of Experience]]="","",IF(AND(tblSalaries[[#This Row],[Years of Experience]]&gt;5,tblSalaries[[#This Row],[Years of Experience]]&lt;=10),1,""))</f>
        <v>1</v>
      </c>
      <c r="Q911" t="str">
        <f>IF(tblSalaries[[#This Row],[Years of Experience]]="","",IF(AND(tblSalaries[[#This Row],[Years of Experience]]&gt;10,tblSalaries[[#This Row],[Years of Experience]]&lt;=15),1,""))</f>
        <v/>
      </c>
      <c r="R911" t="str">
        <f>IF(tblSalaries[[#This Row],[Years of Experience]]="","",IF(AND(tblSalaries[[#This Row],[Years of Experience]]&gt;16,tblSalaries[[#This Row],[Years of Experience]]&lt;=20),1,""))</f>
        <v/>
      </c>
      <c r="S911" t="str">
        <f>IF(tblSalaries[[#This Row],[Years of Experience]]="","",IF(tblSalaries[[#This Row],[Years of Experience]]&gt;20,1,""))</f>
        <v/>
      </c>
      <c r="T9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11" s="13" t="str">
        <f>IF(tblSalaries[[#This Row],[Job Type]]=tblSalaries[[#Headers],[Accountant]],tblSalaries[[#This Row],[Salary in USD]],"")</f>
        <v/>
      </c>
      <c r="V911" s="13">
        <f>IF(tblSalaries[[#This Row],[Job Type]]=tblSalaries[[#Headers],[Analyst]],tblSalaries[[#This Row],[Salary in USD]],"")</f>
        <v>10684.750012465542</v>
      </c>
      <c r="W911" s="13" t="str">
        <f>IF(tblSalaries[[#This Row],[Job Type]]=tblSalaries[[#Headers],[Consultant]],tblSalaries[[#This Row],[Salary in USD]],"")</f>
        <v/>
      </c>
      <c r="X911" s="13" t="str">
        <f>IF(tblSalaries[[#This Row],[Job Type]]=tblSalaries[[#Headers],[Controller]],tblSalaries[[#This Row],[Salary in USD]],"")</f>
        <v/>
      </c>
      <c r="Y911" s="13" t="str">
        <f>IF(tblSalaries[[#This Row],[Job Type]]=tblSalaries[[#Headers],[CXO or Top Mgmt.]],tblSalaries[[#This Row],[clean Salary (in local currency)]],"")</f>
        <v/>
      </c>
      <c r="Z911" s="13" t="str">
        <f>IF(tblSalaries[[#This Row],[Job Type]]=tblSalaries[[#Headers],[Engineer]],tblSalaries[[#This Row],[Salary in USD]],"")</f>
        <v/>
      </c>
      <c r="AA911" s="13" t="str">
        <f>IF(tblSalaries[[#This Row],[Job Type]]=tblSalaries[[#Headers],[Manager]],tblSalaries[[#This Row],[Salary in USD]],"")</f>
        <v/>
      </c>
      <c r="AB911" s="13" t="str">
        <f>IF(tblSalaries[[#This Row],[Job Type]]=tblSalaries[[#Headers],[Misc.]],tblSalaries[[#This Row],[Salary in USD]],"")</f>
        <v/>
      </c>
      <c r="AC911" s="13" t="str">
        <f>IF(tblSalaries[[#This Row],[Job Type]]=tblSalaries[[#Headers],[Reporting]],tblSalaries[[#This Row],[Salary in USD]],"")</f>
        <v/>
      </c>
      <c r="AD911" s="13" t="str">
        <f>IF(tblSalaries[[#This Row],[Job Type]]=tblSalaries[[#Headers],[Specialist]],tblSalaries[[#This Row],[Salary in USD]],"")</f>
        <v/>
      </c>
    </row>
    <row r="912" spans="2:30" ht="15" customHeight="1" x14ac:dyDescent="0.25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 s="9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  <c r="N912" t="str">
        <f>IF(tblSalaries[[#This Row],[Years of Experience]]="","",IF(tblSalaries[[#This Row],[Years of Experience]]&lt;=2,1,""))</f>
        <v/>
      </c>
      <c r="O912" t="str">
        <f>IF(tblSalaries[[#This Row],[Years of Experience]]="","",IF(AND(tblSalaries[[#This Row],[Years of Experience]]&gt;2,tblSalaries[[#This Row],[Years of Experience]]&lt;=5),1,""))</f>
        <v/>
      </c>
      <c r="P912" t="str">
        <f>IF(tblSalaries[[#This Row],[Years of Experience]]="","",IF(AND(tblSalaries[[#This Row],[Years of Experience]]&gt;5,tblSalaries[[#This Row],[Years of Experience]]&lt;=10),1,""))</f>
        <v/>
      </c>
      <c r="Q912" t="str">
        <f>IF(tblSalaries[[#This Row],[Years of Experience]]="","",IF(AND(tblSalaries[[#This Row],[Years of Experience]]&gt;10,tblSalaries[[#This Row],[Years of Experience]]&lt;=15),1,""))</f>
        <v/>
      </c>
      <c r="R912" t="str">
        <f>IF(tblSalaries[[#This Row],[Years of Experience]]="","",IF(AND(tblSalaries[[#This Row],[Years of Experience]]&gt;16,tblSalaries[[#This Row],[Years of Experience]]&lt;=20),1,""))</f>
        <v/>
      </c>
      <c r="S912">
        <f>IF(tblSalaries[[#This Row],[Years of Experience]]="","",IF(tblSalaries[[#This Row],[Years of Experience]]&gt;20,1,""))</f>
        <v>1</v>
      </c>
      <c r="T9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912" s="13" t="str">
        <f>IF(tblSalaries[[#This Row],[Job Type]]=tblSalaries[[#Headers],[Accountant]],tblSalaries[[#This Row],[Salary in USD]],"")</f>
        <v/>
      </c>
      <c r="V912" s="13" t="str">
        <f>IF(tblSalaries[[#This Row],[Job Type]]=tblSalaries[[#Headers],[Analyst]],tblSalaries[[#This Row],[Salary in USD]],"")</f>
        <v/>
      </c>
      <c r="W912" s="13" t="str">
        <f>IF(tblSalaries[[#This Row],[Job Type]]=tblSalaries[[#Headers],[Consultant]],tblSalaries[[#This Row],[Salary in USD]],"")</f>
        <v/>
      </c>
      <c r="X912" s="13">
        <f>IF(tblSalaries[[#This Row],[Job Type]]=tblSalaries[[#Headers],[Controller]],tblSalaries[[#This Row],[Salary in USD]],"")</f>
        <v>150000</v>
      </c>
      <c r="Y912" s="13" t="str">
        <f>IF(tblSalaries[[#This Row],[Job Type]]=tblSalaries[[#Headers],[CXO or Top Mgmt.]],tblSalaries[[#This Row],[clean Salary (in local currency)]],"")</f>
        <v/>
      </c>
      <c r="Z912" s="13" t="str">
        <f>IF(tblSalaries[[#This Row],[Job Type]]=tblSalaries[[#Headers],[Engineer]],tblSalaries[[#This Row],[Salary in USD]],"")</f>
        <v/>
      </c>
      <c r="AA912" s="13" t="str">
        <f>IF(tblSalaries[[#This Row],[Job Type]]=tblSalaries[[#Headers],[Manager]],tblSalaries[[#This Row],[Salary in USD]],"")</f>
        <v/>
      </c>
      <c r="AB912" s="13" t="str">
        <f>IF(tblSalaries[[#This Row],[Job Type]]=tblSalaries[[#Headers],[Misc.]],tblSalaries[[#This Row],[Salary in USD]],"")</f>
        <v/>
      </c>
      <c r="AC912" s="13" t="str">
        <f>IF(tblSalaries[[#This Row],[Job Type]]=tblSalaries[[#Headers],[Reporting]],tblSalaries[[#This Row],[Salary in USD]],"")</f>
        <v/>
      </c>
      <c r="AD912" s="13" t="str">
        <f>IF(tblSalaries[[#This Row],[Job Type]]=tblSalaries[[#Headers],[Specialist]],tblSalaries[[#This Row],[Salary in USD]],"")</f>
        <v/>
      </c>
    </row>
    <row r="913" spans="2:30" ht="15" customHeight="1" x14ac:dyDescent="0.25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 s="9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  <c r="N913" t="str">
        <f>IF(tblSalaries[[#This Row],[Years of Experience]]="","",IF(tblSalaries[[#This Row],[Years of Experience]]&lt;=2,1,""))</f>
        <v/>
      </c>
      <c r="O913">
        <f>IF(tblSalaries[[#This Row],[Years of Experience]]="","",IF(AND(tblSalaries[[#This Row],[Years of Experience]]&gt;2,tblSalaries[[#This Row],[Years of Experience]]&lt;=5),1,""))</f>
        <v>1</v>
      </c>
      <c r="P913" t="str">
        <f>IF(tblSalaries[[#This Row],[Years of Experience]]="","",IF(AND(tblSalaries[[#This Row],[Years of Experience]]&gt;5,tblSalaries[[#This Row],[Years of Experience]]&lt;=10),1,""))</f>
        <v/>
      </c>
      <c r="Q913" t="str">
        <f>IF(tblSalaries[[#This Row],[Years of Experience]]="","",IF(AND(tblSalaries[[#This Row],[Years of Experience]]&gt;10,tblSalaries[[#This Row],[Years of Experience]]&lt;=15),1,""))</f>
        <v/>
      </c>
      <c r="R913" t="str">
        <f>IF(tblSalaries[[#This Row],[Years of Experience]]="","",IF(AND(tblSalaries[[#This Row],[Years of Experience]]&gt;16,tblSalaries[[#This Row],[Years of Experience]]&lt;=20),1,""))</f>
        <v/>
      </c>
      <c r="S913" t="str">
        <f>IF(tblSalaries[[#This Row],[Years of Experience]]="","",IF(tblSalaries[[#This Row],[Years of Experience]]&gt;20,1,""))</f>
        <v/>
      </c>
      <c r="T9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13" s="13" t="str">
        <f>IF(tblSalaries[[#This Row],[Job Type]]=tblSalaries[[#Headers],[Accountant]],tblSalaries[[#This Row],[Salary in USD]],"")</f>
        <v/>
      </c>
      <c r="V913" s="13" t="str">
        <f>IF(tblSalaries[[#This Row],[Job Type]]=tblSalaries[[#Headers],[Analyst]],tblSalaries[[#This Row],[Salary in USD]],"")</f>
        <v/>
      </c>
      <c r="W913" s="13" t="str">
        <f>IF(tblSalaries[[#This Row],[Job Type]]=tblSalaries[[#Headers],[Consultant]],tblSalaries[[#This Row],[Salary in USD]],"")</f>
        <v/>
      </c>
      <c r="X913" s="13" t="str">
        <f>IF(tblSalaries[[#This Row],[Job Type]]=tblSalaries[[#Headers],[Controller]],tblSalaries[[#This Row],[Salary in USD]],"")</f>
        <v/>
      </c>
      <c r="Y913" s="13" t="str">
        <f>IF(tblSalaries[[#This Row],[Job Type]]=tblSalaries[[#Headers],[CXO or Top Mgmt.]],tblSalaries[[#This Row],[clean Salary (in local currency)]],"")</f>
        <v/>
      </c>
      <c r="Z913" s="13" t="str">
        <f>IF(tblSalaries[[#This Row],[Job Type]]=tblSalaries[[#Headers],[Engineer]],tblSalaries[[#This Row],[Salary in USD]],"")</f>
        <v/>
      </c>
      <c r="AA913" s="13">
        <f>IF(tblSalaries[[#This Row],[Job Type]]=tblSalaries[[#Headers],[Manager]],tblSalaries[[#This Row],[Salary in USD]],"")</f>
        <v>12465.541681209797</v>
      </c>
      <c r="AB913" s="13" t="str">
        <f>IF(tblSalaries[[#This Row],[Job Type]]=tblSalaries[[#Headers],[Misc.]],tblSalaries[[#This Row],[Salary in USD]],"")</f>
        <v/>
      </c>
      <c r="AC913" s="13" t="str">
        <f>IF(tblSalaries[[#This Row],[Job Type]]=tblSalaries[[#Headers],[Reporting]],tblSalaries[[#This Row],[Salary in USD]],"")</f>
        <v/>
      </c>
      <c r="AD913" s="13" t="str">
        <f>IF(tblSalaries[[#This Row],[Job Type]]=tblSalaries[[#Headers],[Specialist]],tblSalaries[[#This Row],[Salary in USD]],"")</f>
        <v/>
      </c>
    </row>
    <row r="914" spans="2:30" ht="15" customHeight="1" x14ac:dyDescent="0.25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 s="9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  <c r="N914" t="str">
        <f>IF(tblSalaries[[#This Row],[Years of Experience]]="","",IF(tblSalaries[[#This Row],[Years of Experience]]&lt;=2,1,""))</f>
        <v/>
      </c>
      <c r="O914">
        <f>IF(tblSalaries[[#This Row],[Years of Experience]]="","",IF(AND(tblSalaries[[#This Row],[Years of Experience]]&gt;2,tblSalaries[[#This Row],[Years of Experience]]&lt;=5),1,""))</f>
        <v>1</v>
      </c>
      <c r="P914" t="str">
        <f>IF(tblSalaries[[#This Row],[Years of Experience]]="","",IF(AND(tblSalaries[[#This Row],[Years of Experience]]&gt;5,tblSalaries[[#This Row],[Years of Experience]]&lt;=10),1,""))</f>
        <v/>
      </c>
      <c r="Q914" t="str">
        <f>IF(tblSalaries[[#This Row],[Years of Experience]]="","",IF(AND(tblSalaries[[#This Row],[Years of Experience]]&gt;10,tblSalaries[[#This Row],[Years of Experience]]&lt;=15),1,""))</f>
        <v/>
      </c>
      <c r="R914" t="str">
        <f>IF(tblSalaries[[#This Row],[Years of Experience]]="","",IF(AND(tblSalaries[[#This Row],[Years of Experience]]&gt;16,tblSalaries[[#This Row],[Years of Experience]]&lt;=20),1,""))</f>
        <v/>
      </c>
      <c r="S914" t="str">
        <f>IF(tblSalaries[[#This Row],[Years of Experience]]="","",IF(tblSalaries[[#This Row],[Years of Experience]]&gt;20,1,""))</f>
        <v/>
      </c>
      <c r="T9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14" s="13" t="str">
        <f>IF(tblSalaries[[#This Row],[Job Type]]=tblSalaries[[#Headers],[Accountant]],tblSalaries[[#This Row],[Salary in USD]],"")</f>
        <v/>
      </c>
      <c r="V914" s="13">
        <f>IF(tblSalaries[[#This Row],[Job Type]]=tblSalaries[[#Headers],[Analyst]],tblSalaries[[#This Row],[Salary in USD]],"")</f>
        <v>19055.991584874118</v>
      </c>
      <c r="W914" s="13" t="str">
        <f>IF(tblSalaries[[#This Row],[Job Type]]=tblSalaries[[#Headers],[Consultant]],tblSalaries[[#This Row],[Salary in USD]],"")</f>
        <v/>
      </c>
      <c r="X914" s="13" t="str">
        <f>IF(tblSalaries[[#This Row],[Job Type]]=tblSalaries[[#Headers],[Controller]],tblSalaries[[#This Row],[Salary in USD]],"")</f>
        <v/>
      </c>
      <c r="Y914" s="13" t="str">
        <f>IF(tblSalaries[[#This Row],[Job Type]]=tblSalaries[[#Headers],[CXO or Top Mgmt.]],tblSalaries[[#This Row],[clean Salary (in local currency)]],"")</f>
        <v/>
      </c>
      <c r="Z914" s="13" t="str">
        <f>IF(tblSalaries[[#This Row],[Job Type]]=tblSalaries[[#Headers],[Engineer]],tblSalaries[[#This Row],[Salary in USD]],"")</f>
        <v/>
      </c>
      <c r="AA914" s="13" t="str">
        <f>IF(tblSalaries[[#This Row],[Job Type]]=tblSalaries[[#Headers],[Manager]],tblSalaries[[#This Row],[Salary in USD]],"")</f>
        <v/>
      </c>
      <c r="AB914" s="13" t="str">
        <f>IF(tblSalaries[[#This Row],[Job Type]]=tblSalaries[[#Headers],[Misc.]],tblSalaries[[#This Row],[Salary in USD]],"")</f>
        <v/>
      </c>
      <c r="AC914" s="13" t="str">
        <f>IF(tblSalaries[[#This Row],[Job Type]]=tblSalaries[[#Headers],[Reporting]],tblSalaries[[#This Row],[Salary in USD]],"")</f>
        <v/>
      </c>
      <c r="AD914" s="13" t="str">
        <f>IF(tblSalaries[[#This Row],[Job Type]]=tblSalaries[[#Headers],[Specialist]],tblSalaries[[#This Row],[Salary in USD]],"")</f>
        <v/>
      </c>
    </row>
    <row r="915" spans="2:30" ht="15" customHeight="1" x14ac:dyDescent="0.25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 s="9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  <c r="N915" t="str">
        <f>IF(tblSalaries[[#This Row],[Years of Experience]]="","",IF(tblSalaries[[#This Row],[Years of Experience]]&lt;=2,1,""))</f>
        <v/>
      </c>
      <c r="O915" t="str">
        <f>IF(tblSalaries[[#This Row],[Years of Experience]]="","",IF(AND(tblSalaries[[#This Row],[Years of Experience]]&gt;2,tblSalaries[[#This Row],[Years of Experience]]&lt;=5),1,""))</f>
        <v/>
      </c>
      <c r="P915" t="str">
        <f>IF(tblSalaries[[#This Row],[Years of Experience]]="","",IF(AND(tblSalaries[[#This Row],[Years of Experience]]&gt;5,tblSalaries[[#This Row],[Years of Experience]]&lt;=10),1,""))</f>
        <v/>
      </c>
      <c r="Q915" t="str">
        <f>IF(tblSalaries[[#This Row],[Years of Experience]]="","",IF(AND(tblSalaries[[#This Row],[Years of Experience]]&gt;10,tblSalaries[[#This Row],[Years of Experience]]&lt;=15),1,""))</f>
        <v/>
      </c>
      <c r="R915">
        <f>IF(tblSalaries[[#This Row],[Years of Experience]]="","",IF(AND(tblSalaries[[#This Row],[Years of Experience]]&gt;16,tblSalaries[[#This Row],[Years of Experience]]&lt;=20),1,""))</f>
        <v>1</v>
      </c>
      <c r="S915" t="str">
        <f>IF(tblSalaries[[#This Row],[Years of Experience]]="","",IF(tblSalaries[[#This Row],[Years of Experience]]&gt;20,1,""))</f>
        <v/>
      </c>
      <c r="T9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15" s="13" t="str">
        <f>IF(tblSalaries[[#This Row],[Job Type]]=tblSalaries[[#Headers],[Accountant]],tblSalaries[[#This Row],[Salary in USD]],"")</f>
        <v/>
      </c>
      <c r="V915" s="13">
        <f>IF(tblSalaries[[#This Row],[Job Type]]=tblSalaries[[#Headers],[Analyst]],tblSalaries[[#This Row],[Salary in USD]],"")</f>
        <v>105000</v>
      </c>
      <c r="W915" s="13" t="str">
        <f>IF(tblSalaries[[#This Row],[Job Type]]=tblSalaries[[#Headers],[Consultant]],tblSalaries[[#This Row],[Salary in USD]],"")</f>
        <v/>
      </c>
      <c r="X915" s="13" t="str">
        <f>IF(tblSalaries[[#This Row],[Job Type]]=tblSalaries[[#Headers],[Controller]],tblSalaries[[#This Row],[Salary in USD]],"")</f>
        <v/>
      </c>
      <c r="Y915" s="13" t="str">
        <f>IF(tblSalaries[[#This Row],[Job Type]]=tblSalaries[[#Headers],[CXO or Top Mgmt.]],tblSalaries[[#This Row],[clean Salary (in local currency)]],"")</f>
        <v/>
      </c>
      <c r="Z915" s="13" t="str">
        <f>IF(tblSalaries[[#This Row],[Job Type]]=tblSalaries[[#Headers],[Engineer]],tblSalaries[[#This Row],[Salary in USD]],"")</f>
        <v/>
      </c>
      <c r="AA915" s="13" t="str">
        <f>IF(tblSalaries[[#This Row],[Job Type]]=tblSalaries[[#Headers],[Manager]],tblSalaries[[#This Row],[Salary in USD]],"")</f>
        <v/>
      </c>
      <c r="AB915" s="13" t="str">
        <f>IF(tblSalaries[[#This Row],[Job Type]]=tblSalaries[[#Headers],[Misc.]],tblSalaries[[#This Row],[Salary in USD]],"")</f>
        <v/>
      </c>
      <c r="AC915" s="13" t="str">
        <f>IF(tblSalaries[[#This Row],[Job Type]]=tblSalaries[[#Headers],[Reporting]],tblSalaries[[#This Row],[Salary in USD]],"")</f>
        <v/>
      </c>
      <c r="AD915" s="13" t="str">
        <f>IF(tblSalaries[[#This Row],[Job Type]]=tblSalaries[[#Headers],[Specialist]],tblSalaries[[#This Row],[Salary in USD]],"")</f>
        <v/>
      </c>
    </row>
    <row r="916" spans="2:30" ht="15" customHeight="1" x14ac:dyDescent="0.25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 s="9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  <c r="N916" t="str">
        <f>IF(tblSalaries[[#This Row],[Years of Experience]]="","",IF(tblSalaries[[#This Row],[Years of Experience]]&lt;=2,1,""))</f>
        <v/>
      </c>
      <c r="O916">
        <f>IF(tblSalaries[[#This Row],[Years of Experience]]="","",IF(AND(tblSalaries[[#This Row],[Years of Experience]]&gt;2,tblSalaries[[#This Row],[Years of Experience]]&lt;=5),1,""))</f>
        <v>1</v>
      </c>
      <c r="P916" t="str">
        <f>IF(tblSalaries[[#This Row],[Years of Experience]]="","",IF(AND(tblSalaries[[#This Row],[Years of Experience]]&gt;5,tblSalaries[[#This Row],[Years of Experience]]&lt;=10),1,""))</f>
        <v/>
      </c>
      <c r="Q916" t="str">
        <f>IF(tblSalaries[[#This Row],[Years of Experience]]="","",IF(AND(tblSalaries[[#This Row],[Years of Experience]]&gt;10,tblSalaries[[#This Row],[Years of Experience]]&lt;=15),1,""))</f>
        <v/>
      </c>
      <c r="R916" t="str">
        <f>IF(tblSalaries[[#This Row],[Years of Experience]]="","",IF(AND(tblSalaries[[#This Row],[Years of Experience]]&gt;16,tblSalaries[[#This Row],[Years of Experience]]&lt;=20),1,""))</f>
        <v/>
      </c>
      <c r="S916" t="str">
        <f>IF(tblSalaries[[#This Row],[Years of Experience]]="","",IF(tblSalaries[[#This Row],[Years of Experience]]&gt;20,1,""))</f>
        <v/>
      </c>
      <c r="T9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16" s="13" t="str">
        <f>IF(tblSalaries[[#This Row],[Job Type]]=tblSalaries[[#Headers],[Accountant]],tblSalaries[[#This Row],[Salary in USD]],"")</f>
        <v/>
      </c>
      <c r="V916" s="13">
        <f>IF(tblSalaries[[#This Row],[Job Type]]=tblSalaries[[#Headers],[Analyst]],tblSalaries[[#This Row],[Salary in USD]],"")</f>
        <v>24000</v>
      </c>
      <c r="W916" s="13" t="str">
        <f>IF(tblSalaries[[#This Row],[Job Type]]=tblSalaries[[#Headers],[Consultant]],tblSalaries[[#This Row],[Salary in USD]],"")</f>
        <v/>
      </c>
      <c r="X916" s="13" t="str">
        <f>IF(tblSalaries[[#This Row],[Job Type]]=tblSalaries[[#Headers],[Controller]],tblSalaries[[#This Row],[Salary in USD]],"")</f>
        <v/>
      </c>
      <c r="Y916" s="13" t="str">
        <f>IF(tblSalaries[[#This Row],[Job Type]]=tblSalaries[[#Headers],[CXO or Top Mgmt.]],tblSalaries[[#This Row],[clean Salary (in local currency)]],"")</f>
        <v/>
      </c>
      <c r="Z916" s="13" t="str">
        <f>IF(tblSalaries[[#This Row],[Job Type]]=tblSalaries[[#Headers],[Engineer]],tblSalaries[[#This Row],[Salary in USD]],"")</f>
        <v/>
      </c>
      <c r="AA916" s="13" t="str">
        <f>IF(tblSalaries[[#This Row],[Job Type]]=tblSalaries[[#Headers],[Manager]],tblSalaries[[#This Row],[Salary in USD]],"")</f>
        <v/>
      </c>
      <c r="AB916" s="13" t="str">
        <f>IF(tblSalaries[[#This Row],[Job Type]]=tblSalaries[[#Headers],[Misc.]],tblSalaries[[#This Row],[Salary in USD]],"")</f>
        <v/>
      </c>
      <c r="AC916" s="13" t="str">
        <f>IF(tblSalaries[[#This Row],[Job Type]]=tblSalaries[[#Headers],[Reporting]],tblSalaries[[#This Row],[Salary in USD]],"")</f>
        <v/>
      </c>
      <c r="AD916" s="13" t="str">
        <f>IF(tblSalaries[[#This Row],[Job Type]]=tblSalaries[[#Headers],[Specialist]],tblSalaries[[#This Row],[Salary in USD]],"")</f>
        <v/>
      </c>
    </row>
    <row r="917" spans="2:30" ht="15" customHeight="1" x14ac:dyDescent="0.25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 s="9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  <c r="N917" t="str">
        <f>IF(tblSalaries[[#This Row],[Years of Experience]]="","",IF(tblSalaries[[#This Row],[Years of Experience]]&lt;=2,1,""))</f>
        <v/>
      </c>
      <c r="O917" t="str">
        <f>IF(tblSalaries[[#This Row],[Years of Experience]]="","",IF(AND(tblSalaries[[#This Row],[Years of Experience]]&gt;2,tblSalaries[[#This Row],[Years of Experience]]&lt;=5),1,""))</f>
        <v/>
      </c>
      <c r="P917">
        <f>IF(tblSalaries[[#This Row],[Years of Experience]]="","",IF(AND(tblSalaries[[#This Row],[Years of Experience]]&gt;5,tblSalaries[[#This Row],[Years of Experience]]&lt;=10),1,""))</f>
        <v>1</v>
      </c>
      <c r="Q917" t="str">
        <f>IF(tblSalaries[[#This Row],[Years of Experience]]="","",IF(AND(tblSalaries[[#This Row],[Years of Experience]]&gt;10,tblSalaries[[#This Row],[Years of Experience]]&lt;=15),1,""))</f>
        <v/>
      </c>
      <c r="R917" t="str">
        <f>IF(tblSalaries[[#This Row],[Years of Experience]]="","",IF(AND(tblSalaries[[#This Row],[Years of Experience]]&gt;16,tblSalaries[[#This Row],[Years of Experience]]&lt;=20),1,""))</f>
        <v/>
      </c>
      <c r="S917" t="str">
        <f>IF(tblSalaries[[#This Row],[Years of Experience]]="","",IF(tblSalaries[[#This Row],[Years of Experience]]&gt;20,1,""))</f>
        <v/>
      </c>
      <c r="T9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17" s="13" t="str">
        <f>IF(tblSalaries[[#This Row],[Job Type]]=tblSalaries[[#Headers],[Accountant]],tblSalaries[[#This Row],[Salary in USD]],"")</f>
        <v/>
      </c>
      <c r="V917" s="13">
        <f>IF(tblSalaries[[#This Row],[Job Type]]=tblSalaries[[#Headers],[Analyst]],tblSalaries[[#This Row],[Salary in USD]],"")</f>
        <v>78808.913603364199</v>
      </c>
      <c r="W917" s="13" t="str">
        <f>IF(tblSalaries[[#This Row],[Job Type]]=tblSalaries[[#Headers],[Consultant]],tblSalaries[[#This Row],[Salary in USD]],"")</f>
        <v/>
      </c>
      <c r="X917" s="13" t="str">
        <f>IF(tblSalaries[[#This Row],[Job Type]]=tblSalaries[[#Headers],[Controller]],tblSalaries[[#This Row],[Salary in USD]],"")</f>
        <v/>
      </c>
      <c r="Y917" s="13" t="str">
        <f>IF(tblSalaries[[#This Row],[Job Type]]=tblSalaries[[#Headers],[CXO or Top Mgmt.]],tblSalaries[[#This Row],[clean Salary (in local currency)]],"")</f>
        <v/>
      </c>
      <c r="Z917" s="13" t="str">
        <f>IF(tblSalaries[[#This Row],[Job Type]]=tblSalaries[[#Headers],[Engineer]],tblSalaries[[#This Row],[Salary in USD]],"")</f>
        <v/>
      </c>
      <c r="AA917" s="13" t="str">
        <f>IF(tblSalaries[[#This Row],[Job Type]]=tblSalaries[[#Headers],[Manager]],tblSalaries[[#This Row],[Salary in USD]],"")</f>
        <v/>
      </c>
      <c r="AB917" s="13" t="str">
        <f>IF(tblSalaries[[#This Row],[Job Type]]=tblSalaries[[#Headers],[Misc.]],tblSalaries[[#This Row],[Salary in USD]],"")</f>
        <v/>
      </c>
      <c r="AC917" s="13" t="str">
        <f>IF(tblSalaries[[#This Row],[Job Type]]=tblSalaries[[#Headers],[Reporting]],tblSalaries[[#This Row],[Salary in USD]],"")</f>
        <v/>
      </c>
      <c r="AD917" s="13" t="str">
        <f>IF(tblSalaries[[#This Row],[Job Type]]=tblSalaries[[#Headers],[Specialist]],tblSalaries[[#This Row],[Salary in USD]],"")</f>
        <v/>
      </c>
    </row>
    <row r="918" spans="2:30" ht="15" customHeight="1" x14ac:dyDescent="0.25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 s="9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  <c r="N918" t="str">
        <f>IF(tblSalaries[[#This Row],[Years of Experience]]="","",IF(tblSalaries[[#This Row],[Years of Experience]]&lt;=2,1,""))</f>
        <v/>
      </c>
      <c r="O918" t="str">
        <f>IF(tblSalaries[[#This Row],[Years of Experience]]="","",IF(AND(tblSalaries[[#This Row],[Years of Experience]]&gt;2,tblSalaries[[#This Row],[Years of Experience]]&lt;=5),1,""))</f>
        <v/>
      </c>
      <c r="P918" t="str">
        <f>IF(tblSalaries[[#This Row],[Years of Experience]]="","",IF(AND(tblSalaries[[#This Row],[Years of Experience]]&gt;5,tblSalaries[[#This Row],[Years of Experience]]&lt;=10),1,""))</f>
        <v/>
      </c>
      <c r="Q918">
        <f>IF(tblSalaries[[#This Row],[Years of Experience]]="","",IF(AND(tblSalaries[[#This Row],[Years of Experience]]&gt;10,tblSalaries[[#This Row],[Years of Experience]]&lt;=15),1,""))</f>
        <v>1</v>
      </c>
      <c r="R918" t="str">
        <f>IF(tblSalaries[[#This Row],[Years of Experience]]="","",IF(AND(tblSalaries[[#This Row],[Years of Experience]]&gt;16,tblSalaries[[#This Row],[Years of Experience]]&lt;=20),1,""))</f>
        <v/>
      </c>
      <c r="S918" t="str">
        <f>IF(tblSalaries[[#This Row],[Years of Experience]]="","",IF(tblSalaries[[#This Row],[Years of Experience]]&gt;20,1,""))</f>
        <v/>
      </c>
      <c r="T9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18" s="13" t="str">
        <f>IF(tblSalaries[[#This Row],[Job Type]]=tblSalaries[[#Headers],[Accountant]],tblSalaries[[#This Row],[Salary in USD]],"")</f>
        <v/>
      </c>
      <c r="V918" s="13" t="str">
        <f>IF(tblSalaries[[#This Row],[Job Type]]=tblSalaries[[#Headers],[Analyst]],tblSalaries[[#This Row],[Salary in USD]],"")</f>
        <v/>
      </c>
      <c r="W918" s="13" t="str">
        <f>IF(tblSalaries[[#This Row],[Job Type]]=tblSalaries[[#Headers],[Consultant]],tblSalaries[[#This Row],[Salary in USD]],"")</f>
        <v/>
      </c>
      <c r="X918" s="13">
        <f>IF(tblSalaries[[#This Row],[Job Type]]=tblSalaries[[#Headers],[Controller]],tblSalaries[[#This Row],[Salary in USD]],"")</f>
        <v>42000</v>
      </c>
      <c r="Y918" s="13" t="str">
        <f>IF(tblSalaries[[#This Row],[Job Type]]=tblSalaries[[#Headers],[CXO or Top Mgmt.]],tblSalaries[[#This Row],[clean Salary (in local currency)]],"")</f>
        <v/>
      </c>
      <c r="Z918" s="13" t="str">
        <f>IF(tblSalaries[[#This Row],[Job Type]]=tblSalaries[[#Headers],[Engineer]],tblSalaries[[#This Row],[Salary in USD]],"")</f>
        <v/>
      </c>
      <c r="AA918" s="13" t="str">
        <f>IF(tblSalaries[[#This Row],[Job Type]]=tblSalaries[[#Headers],[Manager]],tblSalaries[[#This Row],[Salary in USD]],"")</f>
        <v/>
      </c>
      <c r="AB918" s="13" t="str">
        <f>IF(tblSalaries[[#This Row],[Job Type]]=tblSalaries[[#Headers],[Misc.]],tblSalaries[[#This Row],[Salary in USD]],"")</f>
        <v/>
      </c>
      <c r="AC918" s="13" t="str">
        <f>IF(tblSalaries[[#This Row],[Job Type]]=tblSalaries[[#Headers],[Reporting]],tblSalaries[[#This Row],[Salary in USD]],"")</f>
        <v/>
      </c>
      <c r="AD918" s="13" t="str">
        <f>IF(tblSalaries[[#This Row],[Job Type]]=tblSalaries[[#Headers],[Specialist]],tblSalaries[[#This Row],[Salary in USD]],"")</f>
        <v/>
      </c>
    </row>
    <row r="919" spans="2:30" ht="15" customHeight="1" x14ac:dyDescent="0.25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 s="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  <c r="N919" t="str">
        <f>IF(tblSalaries[[#This Row],[Years of Experience]]="","",IF(tblSalaries[[#This Row],[Years of Experience]]&lt;=2,1,""))</f>
        <v/>
      </c>
      <c r="O919" t="str">
        <f>IF(tblSalaries[[#This Row],[Years of Experience]]="","",IF(AND(tblSalaries[[#This Row],[Years of Experience]]&gt;2,tblSalaries[[#This Row],[Years of Experience]]&lt;=5),1,""))</f>
        <v/>
      </c>
      <c r="P919">
        <f>IF(tblSalaries[[#This Row],[Years of Experience]]="","",IF(AND(tblSalaries[[#This Row],[Years of Experience]]&gt;5,tblSalaries[[#This Row],[Years of Experience]]&lt;=10),1,""))</f>
        <v>1</v>
      </c>
      <c r="Q919" t="str">
        <f>IF(tblSalaries[[#This Row],[Years of Experience]]="","",IF(AND(tblSalaries[[#This Row],[Years of Experience]]&gt;10,tblSalaries[[#This Row],[Years of Experience]]&lt;=15),1,""))</f>
        <v/>
      </c>
      <c r="R919" t="str">
        <f>IF(tblSalaries[[#This Row],[Years of Experience]]="","",IF(AND(tblSalaries[[#This Row],[Years of Experience]]&gt;16,tblSalaries[[#This Row],[Years of Experience]]&lt;=20),1,""))</f>
        <v/>
      </c>
      <c r="S919" t="str">
        <f>IF(tblSalaries[[#This Row],[Years of Experience]]="","",IF(tblSalaries[[#This Row],[Years of Experience]]&gt;20,1,""))</f>
        <v/>
      </c>
      <c r="T9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19" s="13" t="str">
        <f>IF(tblSalaries[[#This Row],[Job Type]]=tblSalaries[[#Headers],[Accountant]],tblSalaries[[#This Row],[Salary in USD]],"")</f>
        <v/>
      </c>
      <c r="V919" s="13">
        <f>IF(tblSalaries[[#This Row],[Job Type]]=tblSalaries[[#Headers],[Analyst]],tblSalaries[[#This Row],[Salary in USD]],"")</f>
        <v>9490.1984044603923</v>
      </c>
      <c r="W919" s="13" t="str">
        <f>IF(tblSalaries[[#This Row],[Job Type]]=tblSalaries[[#Headers],[Consultant]],tblSalaries[[#This Row],[Salary in USD]],"")</f>
        <v/>
      </c>
      <c r="X919" s="13" t="str">
        <f>IF(tblSalaries[[#This Row],[Job Type]]=tblSalaries[[#Headers],[Controller]],tblSalaries[[#This Row],[Salary in USD]],"")</f>
        <v/>
      </c>
      <c r="Y919" s="13" t="str">
        <f>IF(tblSalaries[[#This Row],[Job Type]]=tblSalaries[[#Headers],[CXO or Top Mgmt.]],tblSalaries[[#This Row],[clean Salary (in local currency)]],"")</f>
        <v/>
      </c>
      <c r="Z919" s="13" t="str">
        <f>IF(tblSalaries[[#This Row],[Job Type]]=tblSalaries[[#Headers],[Engineer]],tblSalaries[[#This Row],[Salary in USD]],"")</f>
        <v/>
      </c>
      <c r="AA919" s="13" t="str">
        <f>IF(tblSalaries[[#This Row],[Job Type]]=tblSalaries[[#Headers],[Manager]],tblSalaries[[#This Row],[Salary in USD]],"")</f>
        <v/>
      </c>
      <c r="AB919" s="13" t="str">
        <f>IF(tblSalaries[[#This Row],[Job Type]]=tblSalaries[[#Headers],[Misc.]],tblSalaries[[#This Row],[Salary in USD]],"")</f>
        <v/>
      </c>
      <c r="AC919" s="13" t="str">
        <f>IF(tblSalaries[[#This Row],[Job Type]]=tblSalaries[[#Headers],[Reporting]],tblSalaries[[#This Row],[Salary in USD]],"")</f>
        <v/>
      </c>
      <c r="AD919" s="13" t="str">
        <f>IF(tblSalaries[[#This Row],[Job Type]]=tblSalaries[[#Headers],[Specialist]],tblSalaries[[#This Row],[Salary in USD]],"")</f>
        <v/>
      </c>
    </row>
    <row r="920" spans="2:30" ht="15" customHeight="1" x14ac:dyDescent="0.25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 s="9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  <c r="N920" t="str">
        <f>IF(tblSalaries[[#This Row],[Years of Experience]]="","",IF(tblSalaries[[#This Row],[Years of Experience]]&lt;=2,1,""))</f>
        <v/>
      </c>
      <c r="O920">
        <f>IF(tblSalaries[[#This Row],[Years of Experience]]="","",IF(AND(tblSalaries[[#This Row],[Years of Experience]]&gt;2,tblSalaries[[#This Row],[Years of Experience]]&lt;=5),1,""))</f>
        <v>1</v>
      </c>
      <c r="P920" t="str">
        <f>IF(tblSalaries[[#This Row],[Years of Experience]]="","",IF(AND(tblSalaries[[#This Row],[Years of Experience]]&gt;5,tblSalaries[[#This Row],[Years of Experience]]&lt;=10),1,""))</f>
        <v/>
      </c>
      <c r="Q920" t="str">
        <f>IF(tblSalaries[[#This Row],[Years of Experience]]="","",IF(AND(tblSalaries[[#This Row],[Years of Experience]]&gt;10,tblSalaries[[#This Row],[Years of Experience]]&lt;=15),1,""))</f>
        <v/>
      </c>
      <c r="R920" t="str">
        <f>IF(tblSalaries[[#This Row],[Years of Experience]]="","",IF(AND(tblSalaries[[#This Row],[Years of Experience]]&gt;16,tblSalaries[[#This Row],[Years of Experience]]&lt;=20),1,""))</f>
        <v/>
      </c>
      <c r="S920" t="str">
        <f>IF(tblSalaries[[#This Row],[Years of Experience]]="","",IF(tblSalaries[[#This Row],[Years of Experience]]&gt;20,1,""))</f>
        <v/>
      </c>
      <c r="T9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20" s="13" t="str">
        <f>IF(tblSalaries[[#This Row],[Job Type]]=tblSalaries[[#Headers],[Accountant]],tblSalaries[[#This Row],[Salary in USD]],"")</f>
        <v/>
      </c>
      <c r="V920" s="13" t="str">
        <f>IF(tblSalaries[[#This Row],[Job Type]]=tblSalaries[[#Headers],[Analyst]],tblSalaries[[#This Row],[Salary in USD]],"")</f>
        <v/>
      </c>
      <c r="W920" s="13">
        <f>IF(tblSalaries[[#This Row],[Job Type]]=tblSalaries[[#Headers],[Consultant]],tblSalaries[[#This Row],[Salary in USD]],"")</f>
        <v>60000</v>
      </c>
      <c r="X920" s="13" t="str">
        <f>IF(tblSalaries[[#This Row],[Job Type]]=tblSalaries[[#Headers],[Controller]],tblSalaries[[#This Row],[Salary in USD]],"")</f>
        <v/>
      </c>
      <c r="Y920" s="13" t="str">
        <f>IF(tblSalaries[[#This Row],[Job Type]]=tblSalaries[[#Headers],[CXO or Top Mgmt.]],tblSalaries[[#This Row],[clean Salary (in local currency)]],"")</f>
        <v/>
      </c>
      <c r="Z920" s="13" t="str">
        <f>IF(tblSalaries[[#This Row],[Job Type]]=tblSalaries[[#Headers],[Engineer]],tblSalaries[[#This Row],[Salary in USD]],"")</f>
        <v/>
      </c>
      <c r="AA920" s="13" t="str">
        <f>IF(tblSalaries[[#This Row],[Job Type]]=tblSalaries[[#Headers],[Manager]],tblSalaries[[#This Row],[Salary in USD]],"")</f>
        <v/>
      </c>
      <c r="AB920" s="13" t="str">
        <f>IF(tblSalaries[[#This Row],[Job Type]]=tblSalaries[[#Headers],[Misc.]],tblSalaries[[#This Row],[Salary in USD]],"")</f>
        <v/>
      </c>
      <c r="AC920" s="13" t="str">
        <f>IF(tblSalaries[[#This Row],[Job Type]]=tblSalaries[[#Headers],[Reporting]],tblSalaries[[#This Row],[Salary in USD]],"")</f>
        <v/>
      </c>
      <c r="AD920" s="13" t="str">
        <f>IF(tblSalaries[[#This Row],[Job Type]]=tblSalaries[[#Headers],[Specialist]],tblSalaries[[#This Row],[Salary in USD]],"")</f>
        <v/>
      </c>
    </row>
    <row r="921" spans="2:30" ht="15" customHeight="1" x14ac:dyDescent="0.25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 s="9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  <c r="N921" t="str">
        <f>IF(tblSalaries[[#This Row],[Years of Experience]]="","",IF(tblSalaries[[#This Row],[Years of Experience]]&lt;=2,1,""))</f>
        <v/>
      </c>
      <c r="O921" t="str">
        <f>IF(tblSalaries[[#This Row],[Years of Experience]]="","",IF(AND(tblSalaries[[#This Row],[Years of Experience]]&gt;2,tblSalaries[[#This Row],[Years of Experience]]&lt;=5),1,""))</f>
        <v/>
      </c>
      <c r="P921">
        <f>IF(tblSalaries[[#This Row],[Years of Experience]]="","",IF(AND(tblSalaries[[#This Row],[Years of Experience]]&gt;5,tblSalaries[[#This Row],[Years of Experience]]&lt;=10),1,""))</f>
        <v>1</v>
      </c>
      <c r="Q921" t="str">
        <f>IF(tblSalaries[[#This Row],[Years of Experience]]="","",IF(AND(tblSalaries[[#This Row],[Years of Experience]]&gt;10,tblSalaries[[#This Row],[Years of Experience]]&lt;=15),1,""))</f>
        <v/>
      </c>
      <c r="R921" t="str">
        <f>IF(tblSalaries[[#This Row],[Years of Experience]]="","",IF(AND(tblSalaries[[#This Row],[Years of Experience]]&gt;16,tblSalaries[[#This Row],[Years of Experience]]&lt;=20),1,""))</f>
        <v/>
      </c>
      <c r="S921" t="str">
        <f>IF(tblSalaries[[#This Row],[Years of Experience]]="","",IF(tblSalaries[[#This Row],[Years of Experience]]&gt;20,1,""))</f>
        <v/>
      </c>
      <c r="T9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21" s="13" t="str">
        <f>IF(tblSalaries[[#This Row],[Job Type]]=tblSalaries[[#Headers],[Accountant]],tblSalaries[[#This Row],[Salary in USD]],"")</f>
        <v/>
      </c>
      <c r="V921" s="13" t="str">
        <f>IF(tblSalaries[[#This Row],[Job Type]]=tblSalaries[[#Headers],[Analyst]],tblSalaries[[#This Row],[Salary in USD]],"")</f>
        <v/>
      </c>
      <c r="W921" s="13" t="str">
        <f>IF(tblSalaries[[#This Row],[Job Type]]=tblSalaries[[#Headers],[Consultant]],tblSalaries[[#This Row],[Salary in USD]],"")</f>
        <v/>
      </c>
      <c r="X921" s="13" t="str">
        <f>IF(tblSalaries[[#This Row],[Job Type]]=tblSalaries[[#Headers],[Controller]],tblSalaries[[#This Row],[Salary in USD]],"")</f>
        <v/>
      </c>
      <c r="Y921" s="13" t="str">
        <f>IF(tblSalaries[[#This Row],[Job Type]]=tblSalaries[[#Headers],[CXO or Top Mgmt.]],tblSalaries[[#This Row],[clean Salary (in local currency)]],"")</f>
        <v/>
      </c>
      <c r="Z921" s="13" t="str">
        <f>IF(tblSalaries[[#This Row],[Job Type]]=tblSalaries[[#Headers],[Engineer]],tblSalaries[[#This Row],[Salary in USD]],"")</f>
        <v/>
      </c>
      <c r="AA921" s="13">
        <f>IF(tblSalaries[[#This Row],[Job Type]]=tblSalaries[[#Headers],[Manager]],tblSalaries[[#This Row],[Salary in USD]],"")</f>
        <v>17807.916687442568</v>
      </c>
      <c r="AB921" s="13" t="str">
        <f>IF(tblSalaries[[#This Row],[Job Type]]=tblSalaries[[#Headers],[Misc.]],tblSalaries[[#This Row],[Salary in USD]],"")</f>
        <v/>
      </c>
      <c r="AC921" s="13" t="str">
        <f>IF(tblSalaries[[#This Row],[Job Type]]=tblSalaries[[#Headers],[Reporting]],tblSalaries[[#This Row],[Salary in USD]],"")</f>
        <v/>
      </c>
      <c r="AD921" s="13" t="str">
        <f>IF(tblSalaries[[#This Row],[Job Type]]=tblSalaries[[#Headers],[Specialist]],tblSalaries[[#This Row],[Salary in USD]],"")</f>
        <v/>
      </c>
    </row>
    <row r="922" spans="2:30" ht="15" customHeight="1" x14ac:dyDescent="0.25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 s="9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  <c r="N922">
        <f>IF(tblSalaries[[#This Row],[Years of Experience]]="","",IF(tblSalaries[[#This Row],[Years of Experience]]&lt;=2,1,""))</f>
        <v>1</v>
      </c>
      <c r="O922" t="str">
        <f>IF(tblSalaries[[#This Row],[Years of Experience]]="","",IF(AND(tblSalaries[[#This Row],[Years of Experience]]&gt;2,tblSalaries[[#This Row],[Years of Experience]]&lt;=5),1,""))</f>
        <v/>
      </c>
      <c r="P922" t="str">
        <f>IF(tblSalaries[[#This Row],[Years of Experience]]="","",IF(AND(tblSalaries[[#This Row],[Years of Experience]]&gt;5,tblSalaries[[#This Row],[Years of Experience]]&lt;=10),1,""))</f>
        <v/>
      </c>
      <c r="Q922" t="str">
        <f>IF(tblSalaries[[#This Row],[Years of Experience]]="","",IF(AND(tblSalaries[[#This Row],[Years of Experience]]&gt;10,tblSalaries[[#This Row],[Years of Experience]]&lt;=15),1,""))</f>
        <v/>
      </c>
      <c r="R922" t="str">
        <f>IF(tblSalaries[[#This Row],[Years of Experience]]="","",IF(AND(tblSalaries[[#This Row],[Years of Experience]]&gt;16,tblSalaries[[#This Row],[Years of Experience]]&lt;=20),1,""))</f>
        <v/>
      </c>
      <c r="S922" t="str">
        <f>IF(tblSalaries[[#This Row],[Years of Experience]]="","",IF(tblSalaries[[#This Row],[Years of Experience]]&gt;20,1,""))</f>
        <v/>
      </c>
      <c r="T9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22" s="13" t="str">
        <f>IF(tblSalaries[[#This Row],[Job Type]]=tblSalaries[[#Headers],[Accountant]],tblSalaries[[#This Row],[Salary in USD]],"")</f>
        <v/>
      </c>
      <c r="V922" s="13">
        <f>IF(tblSalaries[[#This Row],[Job Type]]=tblSalaries[[#Headers],[Analyst]],tblSalaries[[#This Row],[Salary in USD]],"")</f>
        <v>12465.541681209797</v>
      </c>
      <c r="W922" s="13" t="str">
        <f>IF(tblSalaries[[#This Row],[Job Type]]=tblSalaries[[#Headers],[Consultant]],tblSalaries[[#This Row],[Salary in USD]],"")</f>
        <v/>
      </c>
      <c r="X922" s="13" t="str">
        <f>IF(tblSalaries[[#This Row],[Job Type]]=tblSalaries[[#Headers],[Controller]],tblSalaries[[#This Row],[Salary in USD]],"")</f>
        <v/>
      </c>
      <c r="Y922" s="13" t="str">
        <f>IF(tblSalaries[[#This Row],[Job Type]]=tblSalaries[[#Headers],[CXO or Top Mgmt.]],tblSalaries[[#This Row],[clean Salary (in local currency)]],"")</f>
        <v/>
      </c>
      <c r="Z922" s="13" t="str">
        <f>IF(tblSalaries[[#This Row],[Job Type]]=tblSalaries[[#Headers],[Engineer]],tblSalaries[[#This Row],[Salary in USD]],"")</f>
        <v/>
      </c>
      <c r="AA922" s="13" t="str">
        <f>IF(tblSalaries[[#This Row],[Job Type]]=tblSalaries[[#Headers],[Manager]],tblSalaries[[#This Row],[Salary in USD]],"")</f>
        <v/>
      </c>
      <c r="AB922" s="13" t="str">
        <f>IF(tblSalaries[[#This Row],[Job Type]]=tblSalaries[[#Headers],[Misc.]],tblSalaries[[#This Row],[Salary in USD]],"")</f>
        <v/>
      </c>
      <c r="AC922" s="13" t="str">
        <f>IF(tblSalaries[[#This Row],[Job Type]]=tblSalaries[[#Headers],[Reporting]],tblSalaries[[#This Row],[Salary in USD]],"")</f>
        <v/>
      </c>
      <c r="AD922" s="13" t="str">
        <f>IF(tblSalaries[[#This Row],[Job Type]]=tblSalaries[[#Headers],[Specialist]],tblSalaries[[#This Row],[Salary in USD]],"")</f>
        <v/>
      </c>
    </row>
    <row r="923" spans="2:30" ht="15" customHeight="1" x14ac:dyDescent="0.25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 s="9">
        <f>tblSalaries[[#This Row],[clean Salary (in local currency)]]*VLOOKUP(tblSalaries[[#This Row],[Currency]],tblXrate[],2,FALSE)</f>
        <v>20571</v>
      </c>
      <c r="H923" t="s">
        <v>29</v>
      </c>
      <c r="I923" t="s">
        <v>4001</v>
      </c>
      <c r="J923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  <c r="N923" t="str">
        <f>IF(tblSalaries[[#This Row],[Years of Experience]]="","",IF(tblSalaries[[#This Row],[Years of Experience]]&lt;=2,1,""))</f>
        <v/>
      </c>
      <c r="O923" t="str">
        <f>IF(tblSalaries[[#This Row],[Years of Experience]]="","",IF(AND(tblSalaries[[#This Row],[Years of Experience]]&gt;2,tblSalaries[[#This Row],[Years of Experience]]&lt;=5),1,""))</f>
        <v/>
      </c>
      <c r="P923">
        <f>IF(tblSalaries[[#This Row],[Years of Experience]]="","",IF(AND(tblSalaries[[#This Row],[Years of Experience]]&gt;5,tblSalaries[[#This Row],[Years of Experience]]&lt;=10),1,""))</f>
        <v>1</v>
      </c>
      <c r="Q923" t="str">
        <f>IF(tblSalaries[[#This Row],[Years of Experience]]="","",IF(AND(tblSalaries[[#This Row],[Years of Experience]]&gt;10,tblSalaries[[#This Row],[Years of Experience]]&lt;=15),1,""))</f>
        <v/>
      </c>
      <c r="R923" t="str">
        <f>IF(tblSalaries[[#This Row],[Years of Experience]]="","",IF(AND(tblSalaries[[#This Row],[Years of Experience]]&gt;16,tblSalaries[[#This Row],[Years of Experience]]&lt;=20),1,""))</f>
        <v/>
      </c>
      <c r="S923" t="str">
        <f>IF(tblSalaries[[#This Row],[Years of Experience]]="","",IF(tblSalaries[[#This Row],[Years of Experience]]&gt;20,1,""))</f>
        <v/>
      </c>
      <c r="T9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23" s="13" t="str">
        <f>IF(tblSalaries[[#This Row],[Job Type]]=tblSalaries[[#Headers],[Accountant]],tblSalaries[[#This Row],[Salary in USD]],"")</f>
        <v/>
      </c>
      <c r="V923" s="13" t="str">
        <f>IF(tblSalaries[[#This Row],[Job Type]]=tblSalaries[[#Headers],[Analyst]],tblSalaries[[#This Row],[Salary in USD]],"")</f>
        <v/>
      </c>
      <c r="W923" s="13" t="str">
        <f>IF(tblSalaries[[#This Row],[Job Type]]=tblSalaries[[#Headers],[Consultant]],tblSalaries[[#This Row],[Salary in USD]],"")</f>
        <v/>
      </c>
      <c r="X923" s="13" t="str">
        <f>IF(tblSalaries[[#This Row],[Job Type]]=tblSalaries[[#Headers],[Controller]],tblSalaries[[#This Row],[Salary in USD]],"")</f>
        <v/>
      </c>
      <c r="Y923" s="13">
        <f>IF(tblSalaries[[#This Row],[Job Type]]=tblSalaries[[#Headers],[CXO or Top Mgmt.]],tblSalaries[[#This Row],[clean Salary (in local currency)]],"")</f>
        <v>20571</v>
      </c>
      <c r="Z923" s="13" t="str">
        <f>IF(tblSalaries[[#This Row],[Job Type]]=tblSalaries[[#Headers],[Engineer]],tblSalaries[[#This Row],[Salary in USD]],"")</f>
        <v/>
      </c>
      <c r="AA923" s="13" t="str">
        <f>IF(tblSalaries[[#This Row],[Job Type]]=tblSalaries[[#Headers],[Manager]],tblSalaries[[#This Row],[Salary in USD]],"")</f>
        <v/>
      </c>
      <c r="AB923" s="13" t="str">
        <f>IF(tblSalaries[[#This Row],[Job Type]]=tblSalaries[[#Headers],[Misc.]],tblSalaries[[#This Row],[Salary in USD]],"")</f>
        <v/>
      </c>
      <c r="AC923" s="13" t="str">
        <f>IF(tblSalaries[[#This Row],[Job Type]]=tblSalaries[[#Headers],[Reporting]],tblSalaries[[#This Row],[Salary in USD]],"")</f>
        <v/>
      </c>
      <c r="AD923" s="13" t="str">
        <f>IF(tblSalaries[[#This Row],[Job Type]]=tblSalaries[[#Headers],[Specialist]],tblSalaries[[#This Row],[Salary in USD]],"")</f>
        <v/>
      </c>
    </row>
    <row r="924" spans="2:30" ht="15" customHeight="1" x14ac:dyDescent="0.25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 s="9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  <c r="N924" t="str">
        <f>IF(tblSalaries[[#This Row],[Years of Experience]]="","",IF(tblSalaries[[#This Row],[Years of Experience]]&lt;=2,1,""))</f>
        <v/>
      </c>
      <c r="O924" t="str">
        <f>IF(tblSalaries[[#This Row],[Years of Experience]]="","",IF(AND(tblSalaries[[#This Row],[Years of Experience]]&gt;2,tblSalaries[[#This Row],[Years of Experience]]&lt;=5),1,""))</f>
        <v/>
      </c>
      <c r="P924">
        <f>IF(tblSalaries[[#This Row],[Years of Experience]]="","",IF(AND(tblSalaries[[#This Row],[Years of Experience]]&gt;5,tblSalaries[[#This Row],[Years of Experience]]&lt;=10),1,""))</f>
        <v>1</v>
      </c>
      <c r="Q924" t="str">
        <f>IF(tblSalaries[[#This Row],[Years of Experience]]="","",IF(AND(tblSalaries[[#This Row],[Years of Experience]]&gt;10,tblSalaries[[#This Row],[Years of Experience]]&lt;=15),1,""))</f>
        <v/>
      </c>
      <c r="R924" t="str">
        <f>IF(tblSalaries[[#This Row],[Years of Experience]]="","",IF(AND(tblSalaries[[#This Row],[Years of Experience]]&gt;16,tblSalaries[[#This Row],[Years of Experience]]&lt;=20),1,""))</f>
        <v/>
      </c>
      <c r="S924" t="str">
        <f>IF(tblSalaries[[#This Row],[Years of Experience]]="","",IF(tblSalaries[[#This Row],[Years of Experience]]&gt;20,1,""))</f>
        <v/>
      </c>
      <c r="T9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24" s="13" t="str">
        <f>IF(tblSalaries[[#This Row],[Job Type]]=tblSalaries[[#Headers],[Accountant]],tblSalaries[[#This Row],[Salary in USD]],"")</f>
        <v/>
      </c>
      <c r="V924" s="13" t="str">
        <f>IF(tblSalaries[[#This Row],[Job Type]]=tblSalaries[[#Headers],[Analyst]],tblSalaries[[#This Row],[Salary in USD]],"")</f>
        <v/>
      </c>
      <c r="W924" s="13" t="str">
        <f>IF(tblSalaries[[#This Row],[Job Type]]=tblSalaries[[#Headers],[Consultant]],tblSalaries[[#This Row],[Salary in USD]],"")</f>
        <v/>
      </c>
      <c r="X924" s="13" t="str">
        <f>IF(tblSalaries[[#This Row],[Job Type]]=tblSalaries[[#Headers],[Controller]],tblSalaries[[#This Row],[Salary in USD]],"")</f>
        <v/>
      </c>
      <c r="Y924" s="13" t="str">
        <f>IF(tblSalaries[[#This Row],[Job Type]]=tblSalaries[[#Headers],[CXO or Top Mgmt.]],tblSalaries[[#This Row],[clean Salary (in local currency)]],"")</f>
        <v/>
      </c>
      <c r="Z924" s="13" t="str">
        <f>IF(tblSalaries[[#This Row],[Job Type]]=tblSalaries[[#Headers],[Engineer]],tblSalaries[[#This Row],[Salary in USD]],"")</f>
        <v/>
      </c>
      <c r="AA924" s="13">
        <f>IF(tblSalaries[[#This Row],[Job Type]]=tblSalaries[[#Headers],[Manager]],tblSalaries[[#This Row],[Salary in USD]],"")</f>
        <v>3480</v>
      </c>
      <c r="AB924" s="13" t="str">
        <f>IF(tblSalaries[[#This Row],[Job Type]]=tblSalaries[[#Headers],[Misc.]],tblSalaries[[#This Row],[Salary in USD]],"")</f>
        <v/>
      </c>
      <c r="AC924" s="13" t="str">
        <f>IF(tblSalaries[[#This Row],[Job Type]]=tblSalaries[[#Headers],[Reporting]],tblSalaries[[#This Row],[Salary in USD]],"")</f>
        <v/>
      </c>
      <c r="AD924" s="13" t="str">
        <f>IF(tblSalaries[[#This Row],[Job Type]]=tblSalaries[[#Headers],[Specialist]],tblSalaries[[#This Row],[Salary in USD]],"")</f>
        <v/>
      </c>
    </row>
    <row r="925" spans="2:30" ht="15" customHeight="1" x14ac:dyDescent="0.25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 s="9">
        <f>tblSalaries[[#This Row],[clean Salary (in local currency)]]*VLOOKUP(tblSalaries[[#This Row],[Currency]],tblXrate[],2,FALSE)</f>
        <v>18060</v>
      </c>
      <c r="H925" t="s">
        <v>1076</v>
      </c>
      <c r="I925" t="s">
        <v>3999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  <c r="N925" t="str">
        <f>IF(tblSalaries[[#This Row],[Years of Experience]]="","",IF(tblSalaries[[#This Row],[Years of Experience]]&lt;=2,1,""))</f>
        <v/>
      </c>
      <c r="O925" t="str">
        <f>IF(tblSalaries[[#This Row],[Years of Experience]]="","",IF(AND(tblSalaries[[#This Row],[Years of Experience]]&gt;2,tblSalaries[[#This Row],[Years of Experience]]&lt;=5),1,""))</f>
        <v/>
      </c>
      <c r="P925" t="str">
        <f>IF(tblSalaries[[#This Row],[Years of Experience]]="","",IF(AND(tblSalaries[[#This Row],[Years of Experience]]&gt;5,tblSalaries[[#This Row],[Years of Experience]]&lt;=10),1,""))</f>
        <v/>
      </c>
      <c r="Q925">
        <f>IF(tblSalaries[[#This Row],[Years of Experience]]="","",IF(AND(tblSalaries[[#This Row],[Years of Experience]]&gt;10,tblSalaries[[#This Row],[Years of Experience]]&lt;=15),1,""))</f>
        <v>1</v>
      </c>
      <c r="R925" t="str">
        <f>IF(tblSalaries[[#This Row],[Years of Experience]]="","",IF(AND(tblSalaries[[#This Row],[Years of Experience]]&gt;16,tblSalaries[[#This Row],[Years of Experience]]&lt;=20),1,""))</f>
        <v/>
      </c>
      <c r="S925" t="str">
        <f>IF(tblSalaries[[#This Row],[Years of Experience]]="","",IF(tblSalaries[[#This Row],[Years of Experience]]&gt;20,1,""))</f>
        <v/>
      </c>
      <c r="T9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25" s="13" t="str">
        <f>IF(tblSalaries[[#This Row],[Job Type]]=tblSalaries[[#Headers],[Accountant]],tblSalaries[[#This Row],[Salary in USD]],"")</f>
        <v/>
      </c>
      <c r="V925" s="13" t="str">
        <f>IF(tblSalaries[[#This Row],[Job Type]]=tblSalaries[[#Headers],[Analyst]],tblSalaries[[#This Row],[Salary in USD]],"")</f>
        <v/>
      </c>
      <c r="W925" s="13" t="str">
        <f>IF(tblSalaries[[#This Row],[Job Type]]=tblSalaries[[#Headers],[Consultant]],tblSalaries[[#This Row],[Salary in USD]],"")</f>
        <v/>
      </c>
      <c r="X925" s="13" t="str">
        <f>IF(tblSalaries[[#This Row],[Job Type]]=tblSalaries[[#Headers],[Controller]],tblSalaries[[#This Row],[Salary in USD]],"")</f>
        <v/>
      </c>
      <c r="Y925" s="13" t="str">
        <f>IF(tblSalaries[[#This Row],[Job Type]]=tblSalaries[[#Headers],[CXO or Top Mgmt.]],tblSalaries[[#This Row],[clean Salary (in local currency)]],"")</f>
        <v/>
      </c>
      <c r="Z925" s="13" t="str">
        <f>IF(tblSalaries[[#This Row],[Job Type]]=tblSalaries[[#Headers],[Engineer]],tblSalaries[[#This Row],[Salary in USD]],"")</f>
        <v/>
      </c>
      <c r="AA925" s="13" t="str">
        <f>IF(tblSalaries[[#This Row],[Job Type]]=tblSalaries[[#Headers],[Manager]],tblSalaries[[#This Row],[Salary in USD]],"")</f>
        <v/>
      </c>
      <c r="AB925" s="13" t="str">
        <f>IF(tblSalaries[[#This Row],[Job Type]]=tblSalaries[[#Headers],[Misc.]],tblSalaries[[#This Row],[Salary in USD]],"")</f>
        <v/>
      </c>
      <c r="AC925" s="13">
        <f>IF(tblSalaries[[#This Row],[Job Type]]=tblSalaries[[#Headers],[Reporting]],tblSalaries[[#This Row],[Salary in USD]],"")</f>
        <v>18060</v>
      </c>
      <c r="AD925" s="13" t="str">
        <f>IF(tblSalaries[[#This Row],[Job Type]]=tblSalaries[[#Headers],[Specialist]],tblSalaries[[#This Row],[Salary in USD]],"")</f>
        <v/>
      </c>
    </row>
    <row r="926" spans="2:30" ht="15" customHeight="1" x14ac:dyDescent="0.25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 s="9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t="s">
        <v>1078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  <c r="N926" t="str">
        <f>IF(tblSalaries[[#This Row],[Years of Experience]]="","",IF(tblSalaries[[#This Row],[Years of Experience]]&lt;=2,1,""))</f>
        <v/>
      </c>
      <c r="O926" t="str">
        <f>IF(tblSalaries[[#This Row],[Years of Experience]]="","",IF(AND(tblSalaries[[#This Row],[Years of Experience]]&gt;2,tblSalaries[[#This Row],[Years of Experience]]&lt;=5),1,""))</f>
        <v/>
      </c>
      <c r="P926" t="str">
        <f>IF(tblSalaries[[#This Row],[Years of Experience]]="","",IF(AND(tblSalaries[[#This Row],[Years of Experience]]&gt;5,tblSalaries[[#This Row],[Years of Experience]]&lt;=10),1,""))</f>
        <v/>
      </c>
      <c r="Q926" t="str">
        <f>IF(tblSalaries[[#This Row],[Years of Experience]]="","",IF(AND(tblSalaries[[#This Row],[Years of Experience]]&gt;10,tblSalaries[[#This Row],[Years of Experience]]&lt;=15),1,""))</f>
        <v/>
      </c>
      <c r="R926" t="str">
        <f>IF(tblSalaries[[#This Row],[Years of Experience]]="","",IF(AND(tblSalaries[[#This Row],[Years of Experience]]&gt;16,tblSalaries[[#This Row],[Years of Experience]]&lt;=20),1,""))</f>
        <v/>
      </c>
      <c r="S926">
        <f>IF(tblSalaries[[#This Row],[Years of Experience]]="","",IF(tblSalaries[[#This Row],[Years of Experience]]&gt;20,1,""))</f>
        <v>1</v>
      </c>
      <c r="T9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926" s="13">
        <f>IF(tblSalaries[[#This Row],[Job Type]]=tblSalaries[[#Headers],[Accountant]],tblSalaries[[#This Row],[Salary in USD]],"")</f>
        <v>30000</v>
      </c>
      <c r="V926" s="13" t="str">
        <f>IF(tblSalaries[[#This Row],[Job Type]]=tblSalaries[[#Headers],[Analyst]],tblSalaries[[#This Row],[Salary in USD]],"")</f>
        <v/>
      </c>
      <c r="W926" s="13" t="str">
        <f>IF(tblSalaries[[#This Row],[Job Type]]=tblSalaries[[#Headers],[Consultant]],tblSalaries[[#This Row],[Salary in USD]],"")</f>
        <v/>
      </c>
      <c r="X926" s="13" t="str">
        <f>IF(tblSalaries[[#This Row],[Job Type]]=tblSalaries[[#Headers],[Controller]],tblSalaries[[#This Row],[Salary in USD]],"")</f>
        <v/>
      </c>
      <c r="Y926" s="13" t="str">
        <f>IF(tblSalaries[[#This Row],[Job Type]]=tblSalaries[[#Headers],[CXO or Top Mgmt.]],tblSalaries[[#This Row],[clean Salary (in local currency)]],"")</f>
        <v/>
      </c>
      <c r="Z926" s="13" t="str">
        <f>IF(tblSalaries[[#This Row],[Job Type]]=tblSalaries[[#Headers],[Engineer]],tblSalaries[[#This Row],[Salary in USD]],"")</f>
        <v/>
      </c>
      <c r="AA926" s="13" t="str">
        <f>IF(tblSalaries[[#This Row],[Job Type]]=tblSalaries[[#Headers],[Manager]],tblSalaries[[#This Row],[Salary in USD]],"")</f>
        <v/>
      </c>
      <c r="AB926" s="13" t="str">
        <f>IF(tblSalaries[[#This Row],[Job Type]]=tblSalaries[[#Headers],[Misc.]],tblSalaries[[#This Row],[Salary in USD]],"")</f>
        <v/>
      </c>
      <c r="AC926" s="13" t="str">
        <f>IF(tblSalaries[[#This Row],[Job Type]]=tblSalaries[[#Headers],[Reporting]],tblSalaries[[#This Row],[Salary in USD]],"")</f>
        <v/>
      </c>
      <c r="AD926" s="13" t="str">
        <f>IF(tblSalaries[[#This Row],[Job Type]]=tblSalaries[[#Headers],[Specialist]],tblSalaries[[#This Row],[Salary in USD]],"")</f>
        <v/>
      </c>
    </row>
    <row r="927" spans="2:30" ht="15" customHeight="1" x14ac:dyDescent="0.25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 s="9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  <c r="N927" t="str">
        <f>IF(tblSalaries[[#This Row],[Years of Experience]]="","",IF(tblSalaries[[#This Row],[Years of Experience]]&lt;=2,1,""))</f>
        <v/>
      </c>
      <c r="O927" t="str">
        <f>IF(tblSalaries[[#This Row],[Years of Experience]]="","",IF(AND(tblSalaries[[#This Row],[Years of Experience]]&gt;2,tblSalaries[[#This Row],[Years of Experience]]&lt;=5),1,""))</f>
        <v/>
      </c>
      <c r="P927">
        <f>IF(tblSalaries[[#This Row],[Years of Experience]]="","",IF(AND(tblSalaries[[#This Row],[Years of Experience]]&gt;5,tblSalaries[[#This Row],[Years of Experience]]&lt;=10),1,""))</f>
        <v>1</v>
      </c>
      <c r="Q927" t="str">
        <f>IF(tblSalaries[[#This Row],[Years of Experience]]="","",IF(AND(tblSalaries[[#This Row],[Years of Experience]]&gt;10,tblSalaries[[#This Row],[Years of Experience]]&lt;=15),1,""))</f>
        <v/>
      </c>
      <c r="R927" t="str">
        <f>IF(tblSalaries[[#This Row],[Years of Experience]]="","",IF(AND(tblSalaries[[#This Row],[Years of Experience]]&gt;16,tblSalaries[[#This Row],[Years of Experience]]&lt;=20),1,""))</f>
        <v/>
      </c>
      <c r="S927" t="str">
        <f>IF(tblSalaries[[#This Row],[Years of Experience]]="","",IF(tblSalaries[[#This Row],[Years of Experience]]&gt;20,1,""))</f>
        <v/>
      </c>
      <c r="T9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27" s="13" t="str">
        <f>IF(tblSalaries[[#This Row],[Job Type]]=tblSalaries[[#Headers],[Accountant]],tblSalaries[[#This Row],[Salary in USD]],"")</f>
        <v/>
      </c>
      <c r="V927" s="13" t="str">
        <f>IF(tblSalaries[[#This Row],[Job Type]]=tblSalaries[[#Headers],[Analyst]],tblSalaries[[#This Row],[Salary in USD]],"")</f>
        <v/>
      </c>
      <c r="W927" s="13" t="str">
        <f>IF(tblSalaries[[#This Row],[Job Type]]=tblSalaries[[#Headers],[Consultant]],tblSalaries[[#This Row],[Salary in USD]],"")</f>
        <v/>
      </c>
      <c r="X927" s="13" t="str">
        <f>IF(tblSalaries[[#This Row],[Job Type]]=tblSalaries[[#Headers],[Controller]],tblSalaries[[#This Row],[Salary in USD]],"")</f>
        <v/>
      </c>
      <c r="Y927" s="13" t="str">
        <f>IF(tblSalaries[[#This Row],[Job Type]]=tblSalaries[[#Headers],[CXO or Top Mgmt.]],tblSalaries[[#This Row],[clean Salary (in local currency)]],"")</f>
        <v/>
      </c>
      <c r="Z927" s="13" t="str">
        <f>IF(tblSalaries[[#This Row],[Job Type]]=tblSalaries[[#Headers],[Engineer]],tblSalaries[[#This Row],[Salary in USD]],"")</f>
        <v/>
      </c>
      <c r="AA927" s="13">
        <f>IF(tblSalaries[[#This Row],[Job Type]]=tblSalaries[[#Headers],[Manager]],tblSalaries[[#This Row],[Salary in USD]],"")</f>
        <v>24000</v>
      </c>
      <c r="AB927" s="13" t="str">
        <f>IF(tblSalaries[[#This Row],[Job Type]]=tblSalaries[[#Headers],[Misc.]],tblSalaries[[#This Row],[Salary in USD]],"")</f>
        <v/>
      </c>
      <c r="AC927" s="13" t="str">
        <f>IF(tblSalaries[[#This Row],[Job Type]]=tblSalaries[[#Headers],[Reporting]],tblSalaries[[#This Row],[Salary in USD]],"")</f>
        <v/>
      </c>
      <c r="AD927" s="13" t="str">
        <f>IF(tblSalaries[[#This Row],[Job Type]]=tblSalaries[[#Headers],[Specialist]],tblSalaries[[#This Row],[Salary in USD]],"")</f>
        <v/>
      </c>
    </row>
    <row r="928" spans="2:30" ht="15" customHeight="1" x14ac:dyDescent="0.25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 s="9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  <c r="N928" t="str">
        <f>IF(tblSalaries[[#This Row],[Years of Experience]]="","",IF(tblSalaries[[#This Row],[Years of Experience]]&lt;=2,1,""))</f>
        <v/>
      </c>
      <c r="O928">
        <f>IF(tblSalaries[[#This Row],[Years of Experience]]="","",IF(AND(tblSalaries[[#This Row],[Years of Experience]]&gt;2,tblSalaries[[#This Row],[Years of Experience]]&lt;=5),1,""))</f>
        <v>1</v>
      </c>
      <c r="P928" t="str">
        <f>IF(tblSalaries[[#This Row],[Years of Experience]]="","",IF(AND(tblSalaries[[#This Row],[Years of Experience]]&gt;5,tblSalaries[[#This Row],[Years of Experience]]&lt;=10),1,""))</f>
        <v/>
      </c>
      <c r="Q928" t="str">
        <f>IF(tblSalaries[[#This Row],[Years of Experience]]="","",IF(AND(tblSalaries[[#This Row],[Years of Experience]]&gt;10,tblSalaries[[#This Row],[Years of Experience]]&lt;=15),1,""))</f>
        <v/>
      </c>
      <c r="R928" t="str">
        <f>IF(tblSalaries[[#This Row],[Years of Experience]]="","",IF(AND(tblSalaries[[#This Row],[Years of Experience]]&gt;16,tblSalaries[[#This Row],[Years of Experience]]&lt;=20),1,""))</f>
        <v/>
      </c>
      <c r="S928" t="str">
        <f>IF(tblSalaries[[#This Row],[Years of Experience]]="","",IF(tblSalaries[[#This Row],[Years of Experience]]&gt;20,1,""))</f>
        <v/>
      </c>
      <c r="T9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28" s="13" t="str">
        <f>IF(tblSalaries[[#This Row],[Job Type]]=tblSalaries[[#Headers],[Accountant]],tblSalaries[[#This Row],[Salary in USD]],"")</f>
        <v/>
      </c>
      <c r="V928" s="13" t="str">
        <f>IF(tblSalaries[[#This Row],[Job Type]]=tblSalaries[[#Headers],[Analyst]],tblSalaries[[#This Row],[Salary in USD]],"")</f>
        <v/>
      </c>
      <c r="W928" s="13">
        <f>IF(tblSalaries[[#This Row],[Job Type]]=tblSalaries[[#Headers],[Consultant]],tblSalaries[[#This Row],[Salary in USD]],"")</f>
        <v>80289.244544269619</v>
      </c>
      <c r="X928" s="13" t="str">
        <f>IF(tblSalaries[[#This Row],[Job Type]]=tblSalaries[[#Headers],[Controller]],tblSalaries[[#This Row],[Salary in USD]],"")</f>
        <v/>
      </c>
      <c r="Y928" s="13" t="str">
        <f>IF(tblSalaries[[#This Row],[Job Type]]=tblSalaries[[#Headers],[CXO or Top Mgmt.]],tblSalaries[[#This Row],[clean Salary (in local currency)]],"")</f>
        <v/>
      </c>
      <c r="Z928" s="13" t="str">
        <f>IF(tblSalaries[[#This Row],[Job Type]]=tblSalaries[[#Headers],[Engineer]],tblSalaries[[#This Row],[Salary in USD]],"")</f>
        <v/>
      </c>
      <c r="AA928" s="13" t="str">
        <f>IF(tblSalaries[[#This Row],[Job Type]]=tblSalaries[[#Headers],[Manager]],tblSalaries[[#This Row],[Salary in USD]],"")</f>
        <v/>
      </c>
      <c r="AB928" s="13" t="str">
        <f>IF(tblSalaries[[#This Row],[Job Type]]=tblSalaries[[#Headers],[Misc.]],tblSalaries[[#This Row],[Salary in USD]],"")</f>
        <v/>
      </c>
      <c r="AC928" s="13" t="str">
        <f>IF(tblSalaries[[#This Row],[Job Type]]=tblSalaries[[#Headers],[Reporting]],tblSalaries[[#This Row],[Salary in USD]],"")</f>
        <v/>
      </c>
      <c r="AD928" s="13" t="str">
        <f>IF(tblSalaries[[#This Row],[Job Type]]=tblSalaries[[#Headers],[Specialist]],tblSalaries[[#This Row],[Salary in USD]],"")</f>
        <v/>
      </c>
    </row>
    <row r="929" spans="2:30" ht="15" customHeight="1" x14ac:dyDescent="0.25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 s="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  <c r="N929" t="str">
        <f>IF(tblSalaries[[#This Row],[Years of Experience]]="","",IF(tblSalaries[[#This Row],[Years of Experience]]&lt;=2,1,""))</f>
        <v/>
      </c>
      <c r="O929">
        <f>IF(tblSalaries[[#This Row],[Years of Experience]]="","",IF(AND(tblSalaries[[#This Row],[Years of Experience]]&gt;2,tblSalaries[[#This Row],[Years of Experience]]&lt;=5),1,""))</f>
        <v>1</v>
      </c>
      <c r="P929" t="str">
        <f>IF(tblSalaries[[#This Row],[Years of Experience]]="","",IF(AND(tblSalaries[[#This Row],[Years of Experience]]&gt;5,tblSalaries[[#This Row],[Years of Experience]]&lt;=10),1,""))</f>
        <v/>
      </c>
      <c r="Q929" t="str">
        <f>IF(tblSalaries[[#This Row],[Years of Experience]]="","",IF(AND(tblSalaries[[#This Row],[Years of Experience]]&gt;10,tblSalaries[[#This Row],[Years of Experience]]&lt;=15),1,""))</f>
        <v/>
      </c>
      <c r="R929" t="str">
        <f>IF(tblSalaries[[#This Row],[Years of Experience]]="","",IF(AND(tblSalaries[[#This Row],[Years of Experience]]&gt;16,tblSalaries[[#This Row],[Years of Experience]]&lt;=20),1,""))</f>
        <v/>
      </c>
      <c r="S929" t="str">
        <f>IF(tblSalaries[[#This Row],[Years of Experience]]="","",IF(tblSalaries[[#This Row],[Years of Experience]]&gt;20,1,""))</f>
        <v/>
      </c>
      <c r="T9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29" s="13" t="str">
        <f>IF(tblSalaries[[#This Row],[Job Type]]=tblSalaries[[#Headers],[Accountant]],tblSalaries[[#This Row],[Salary in USD]],"")</f>
        <v/>
      </c>
      <c r="V929" s="13" t="str">
        <f>IF(tblSalaries[[#This Row],[Job Type]]=tblSalaries[[#Headers],[Analyst]],tblSalaries[[#This Row],[Salary in USD]],"")</f>
        <v/>
      </c>
      <c r="W929" s="13" t="str">
        <f>IF(tblSalaries[[#This Row],[Job Type]]=tblSalaries[[#Headers],[Consultant]],tblSalaries[[#This Row],[Salary in USD]],"")</f>
        <v/>
      </c>
      <c r="X929" s="13" t="str">
        <f>IF(tblSalaries[[#This Row],[Job Type]]=tblSalaries[[#Headers],[Controller]],tblSalaries[[#This Row],[Salary in USD]],"")</f>
        <v/>
      </c>
      <c r="Y929" s="13" t="str">
        <f>IF(tblSalaries[[#This Row],[Job Type]]=tblSalaries[[#Headers],[CXO or Top Mgmt.]],tblSalaries[[#This Row],[clean Salary (in local currency)]],"")</f>
        <v/>
      </c>
      <c r="Z929" s="13" t="str">
        <f>IF(tblSalaries[[#This Row],[Job Type]]=tblSalaries[[#Headers],[Engineer]],tblSalaries[[#This Row],[Salary in USD]],"")</f>
        <v/>
      </c>
      <c r="AA929" s="13">
        <f>IF(tblSalaries[[#This Row],[Job Type]]=tblSalaries[[#Headers],[Manager]],tblSalaries[[#This Row],[Salary in USD]],"")</f>
        <v>70000</v>
      </c>
      <c r="AB929" s="13" t="str">
        <f>IF(tblSalaries[[#This Row],[Job Type]]=tblSalaries[[#Headers],[Misc.]],tblSalaries[[#This Row],[Salary in USD]],"")</f>
        <v/>
      </c>
      <c r="AC929" s="13" t="str">
        <f>IF(tblSalaries[[#This Row],[Job Type]]=tblSalaries[[#Headers],[Reporting]],tblSalaries[[#This Row],[Salary in USD]],"")</f>
        <v/>
      </c>
      <c r="AD929" s="13" t="str">
        <f>IF(tblSalaries[[#This Row],[Job Type]]=tblSalaries[[#Headers],[Specialist]],tblSalaries[[#This Row],[Salary in USD]],"")</f>
        <v/>
      </c>
    </row>
    <row r="930" spans="2:30" ht="15" customHeight="1" x14ac:dyDescent="0.25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 s="9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  <c r="N930">
        <f>IF(tblSalaries[[#This Row],[Years of Experience]]="","",IF(tblSalaries[[#This Row],[Years of Experience]]&lt;=2,1,""))</f>
        <v>1</v>
      </c>
      <c r="O930" t="str">
        <f>IF(tblSalaries[[#This Row],[Years of Experience]]="","",IF(AND(tblSalaries[[#This Row],[Years of Experience]]&gt;2,tblSalaries[[#This Row],[Years of Experience]]&lt;=5),1,""))</f>
        <v/>
      </c>
      <c r="P930" t="str">
        <f>IF(tblSalaries[[#This Row],[Years of Experience]]="","",IF(AND(tblSalaries[[#This Row],[Years of Experience]]&gt;5,tblSalaries[[#This Row],[Years of Experience]]&lt;=10),1,""))</f>
        <v/>
      </c>
      <c r="Q930" t="str">
        <f>IF(tblSalaries[[#This Row],[Years of Experience]]="","",IF(AND(tblSalaries[[#This Row],[Years of Experience]]&gt;10,tblSalaries[[#This Row],[Years of Experience]]&lt;=15),1,""))</f>
        <v/>
      </c>
      <c r="R930" t="str">
        <f>IF(tblSalaries[[#This Row],[Years of Experience]]="","",IF(AND(tblSalaries[[#This Row],[Years of Experience]]&gt;16,tblSalaries[[#This Row],[Years of Experience]]&lt;=20),1,""))</f>
        <v/>
      </c>
      <c r="S930" t="str">
        <f>IF(tblSalaries[[#This Row],[Years of Experience]]="","",IF(tblSalaries[[#This Row],[Years of Experience]]&gt;20,1,""))</f>
        <v/>
      </c>
      <c r="T9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30" s="13" t="str">
        <f>IF(tblSalaries[[#This Row],[Job Type]]=tblSalaries[[#Headers],[Accountant]],tblSalaries[[#This Row],[Salary in USD]],"")</f>
        <v/>
      </c>
      <c r="V930" s="13" t="str">
        <f>IF(tblSalaries[[#This Row],[Job Type]]=tblSalaries[[#Headers],[Analyst]],tblSalaries[[#This Row],[Salary in USD]],"")</f>
        <v/>
      </c>
      <c r="W930" s="13" t="str">
        <f>IF(tblSalaries[[#This Row],[Job Type]]=tblSalaries[[#Headers],[Consultant]],tblSalaries[[#This Row],[Salary in USD]],"")</f>
        <v/>
      </c>
      <c r="X930" s="13" t="str">
        <f>IF(tblSalaries[[#This Row],[Job Type]]=tblSalaries[[#Headers],[Controller]],tblSalaries[[#This Row],[Salary in USD]],"")</f>
        <v/>
      </c>
      <c r="Y930" s="13" t="str">
        <f>IF(tblSalaries[[#This Row],[Job Type]]=tblSalaries[[#Headers],[CXO or Top Mgmt.]],tblSalaries[[#This Row],[clean Salary (in local currency)]],"")</f>
        <v/>
      </c>
      <c r="Z930" s="13" t="str">
        <f>IF(tblSalaries[[#This Row],[Job Type]]=tblSalaries[[#Headers],[Engineer]],tblSalaries[[#This Row],[Salary in USD]],"")</f>
        <v/>
      </c>
      <c r="AA930" s="13">
        <f>IF(tblSalaries[[#This Row],[Job Type]]=tblSalaries[[#Headers],[Manager]],tblSalaries[[#This Row],[Salary in USD]],"")</f>
        <v>8547.8000099724322</v>
      </c>
      <c r="AB930" s="13" t="str">
        <f>IF(tblSalaries[[#This Row],[Job Type]]=tblSalaries[[#Headers],[Misc.]],tblSalaries[[#This Row],[Salary in USD]],"")</f>
        <v/>
      </c>
      <c r="AC930" s="13" t="str">
        <f>IF(tblSalaries[[#This Row],[Job Type]]=tblSalaries[[#Headers],[Reporting]],tblSalaries[[#This Row],[Salary in USD]],"")</f>
        <v/>
      </c>
      <c r="AD930" s="13" t="str">
        <f>IF(tblSalaries[[#This Row],[Job Type]]=tblSalaries[[#Headers],[Specialist]],tblSalaries[[#This Row],[Salary in USD]],"")</f>
        <v/>
      </c>
    </row>
    <row r="931" spans="2:30" ht="15" customHeight="1" x14ac:dyDescent="0.25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 s="9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  <c r="N931" t="str">
        <f>IF(tblSalaries[[#This Row],[Years of Experience]]="","",IF(tblSalaries[[#This Row],[Years of Experience]]&lt;=2,1,""))</f>
        <v/>
      </c>
      <c r="O931" t="str">
        <f>IF(tblSalaries[[#This Row],[Years of Experience]]="","",IF(AND(tblSalaries[[#This Row],[Years of Experience]]&gt;2,tblSalaries[[#This Row],[Years of Experience]]&lt;=5),1,""))</f>
        <v/>
      </c>
      <c r="P931" t="str">
        <f>IF(tblSalaries[[#This Row],[Years of Experience]]="","",IF(AND(tblSalaries[[#This Row],[Years of Experience]]&gt;5,tblSalaries[[#This Row],[Years of Experience]]&lt;=10),1,""))</f>
        <v/>
      </c>
      <c r="Q931">
        <f>IF(tblSalaries[[#This Row],[Years of Experience]]="","",IF(AND(tblSalaries[[#This Row],[Years of Experience]]&gt;10,tblSalaries[[#This Row],[Years of Experience]]&lt;=15),1,""))</f>
        <v>1</v>
      </c>
      <c r="R931" t="str">
        <f>IF(tblSalaries[[#This Row],[Years of Experience]]="","",IF(AND(tblSalaries[[#This Row],[Years of Experience]]&gt;16,tblSalaries[[#This Row],[Years of Experience]]&lt;=20),1,""))</f>
        <v/>
      </c>
      <c r="S931" t="str">
        <f>IF(tblSalaries[[#This Row],[Years of Experience]]="","",IF(tblSalaries[[#This Row],[Years of Experience]]&gt;20,1,""))</f>
        <v/>
      </c>
      <c r="T9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31" s="13" t="str">
        <f>IF(tblSalaries[[#This Row],[Job Type]]=tblSalaries[[#Headers],[Accountant]],tblSalaries[[#This Row],[Salary in USD]],"")</f>
        <v/>
      </c>
      <c r="V931" s="13">
        <f>IF(tblSalaries[[#This Row],[Job Type]]=tblSalaries[[#Headers],[Analyst]],tblSalaries[[#This Row],[Salary in USD]],"")</f>
        <v>10684.750012465542</v>
      </c>
      <c r="W931" s="13" t="str">
        <f>IF(tblSalaries[[#This Row],[Job Type]]=tblSalaries[[#Headers],[Consultant]],tblSalaries[[#This Row],[Salary in USD]],"")</f>
        <v/>
      </c>
      <c r="X931" s="13" t="str">
        <f>IF(tblSalaries[[#This Row],[Job Type]]=tblSalaries[[#Headers],[Controller]],tblSalaries[[#This Row],[Salary in USD]],"")</f>
        <v/>
      </c>
      <c r="Y931" s="13" t="str">
        <f>IF(tblSalaries[[#This Row],[Job Type]]=tblSalaries[[#Headers],[CXO or Top Mgmt.]],tblSalaries[[#This Row],[clean Salary (in local currency)]],"")</f>
        <v/>
      </c>
      <c r="Z931" s="13" t="str">
        <f>IF(tblSalaries[[#This Row],[Job Type]]=tblSalaries[[#Headers],[Engineer]],tblSalaries[[#This Row],[Salary in USD]],"")</f>
        <v/>
      </c>
      <c r="AA931" s="13" t="str">
        <f>IF(tblSalaries[[#This Row],[Job Type]]=tblSalaries[[#Headers],[Manager]],tblSalaries[[#This Row],[Salary in USD]],"")</f>
        <v/>
      </c>
      <c r="AB931" s="13" t="str">
        <f>IF(tblSalaries[[#This Row],[Job Type]]=tblSalaries[[#Headers],[Misc.]],tblSalaries[[#This Row],[Salary in USD]],"")</f>
        <v/>
      </c>
      <c r="AC931" s="13" t="str">
        <f>IF(tblSalaries[[#This Row],[Job Type]]=tblSalaries[[#Headers],[Reporting]],tblSalaries[[#This Row],[Salary in USD]],"")</f>
        <v/>
      </c>
      <c r="AD931" s="13" t="str">
        <f>IF(tblSalaries[[#This Row],[Job Type]]=tblSalaries[[#Headers],[Specialist]],tblSalaries[[#This Row],[Salary in USD]],"")</f>
        <v/>
      </c>
    </row>
    <row r="932" spans="2:30" ht="15" customHeight="1" x14ac:dyDescent="0.25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 s="9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  <c r="N932" t="str">
        <f>IF(tblSalaries[[#This Row],[Years of Experience]]="","",IF(tblSalaries[[#This Row],[Years of Experience]]&lt;=2,1,""))</f>
        <v/>
      </c>
      <c r="O932">
        <f>IF(tblSalaries[[#This Row],[Years of Experience]]="","",IF(AND(tblSalaries[[#This Row],[Years of Experience]]&gt;2,tblSalaries[[#This Row],[Years of Experience]]&lt;=5),1,""))</f>
        <v>1</v>
      </c>
      <c r="P932" t="str">
        <f>IF(tblSalaries[[#This Row],[Years of Experience]]="","",IF(AND(tblSalaries[[#This Row],[Years of Experience]]&gt;5,tblSalaries[[#This Row],[Years of Experience]]&lt;=10),1,""))</f>
        <v/>
      </c>
      <c r="Q932" t="str">
        <f>IF(tblSalaries[[#This Row],[Years of Experience]]="","",IF(AND(tblSalaries[[#This Row],[Years of Experience]]&gt;10,tblSalaries[[#This Row],[Years of Experience]]&lt;=15),1,""))</f>
        <v/>
      </c>
      <c r="R932" t="str">
        <f>IF(tblSalaries[[#This Row],[Years of Experience]]="","",IF(AND(tblSalaries[[#This Row],[Years of Experience]]&gt;16,tblSalaries[[#This Row],[Years of Experience]]&lt;=20),1,""))</f>
        <v/>
      </c>
      <c r="S932" t="str">
        <f>IF(tblSalaries[[#This Row],[Years of Experience]]="","",IF(tblSalaries[[#This Row],[Years of Experience]]&gt;20,1,""))</f>
        <v/>
      </c>
      <c r="T9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32" s="13" t="str">
        <f>IF(tblSalaries[[#This Row],[Job Type]]=tblSalaries[[#Headers],[Accountant]],tblSalaries[[#This Row],[Salary in USD]],"")</f>
        <v/>
      </c>
      <c r="V932" s="13">
        <f>IF(tblSalaries[[#This Row],[Job Type]]=tblSalaries[[#Headers],[Analyst]],tblSalaries[[#This Row],[Salary in USD]],"")</f>
        <v>10684.750012465542</v>
      </c>
      <c r="W932" s="13" t="str">
        <f>IF(tblSalaries[[#This Row],[Job Type]]=tblSalaries[[#Headers],[Consultant]],tblSalaries[[#This Row],[Salary in USD]],"")</f>
        <v/>
      </c>
      <c r="X932" s="13" t="str">
        <f>IF(tblSalaries[[#This Row],[Job Type]]=tblSalaries[[#Headers],[Controller]],tblSalaries[[#This Row],[Salary in USD]],"")</f>
        <v/>
      </c>
      <c r="Y932" s="13" t="str">
        <f>IF(tblSalaries[[#This Row],[Job Type]]=tblSalaries[[#Headers],[CXO or Top Mgmt.]],tblSalaries[[#This Row],[clean Salary (in local currency)]],"")</f>
        <v/>
      </c>
      <c r="Z932" s="13" t="str">
        <f>IF(tblSalaries[[#This Row],[Job Type]]=tblSalaries[[#Headers],[Engineer]],tblSalaries[[#This Row],[Salary in USD]],"")</f>
        <v/>
      </c>
      <c r="AA932" s="13" t="str">
        <f>IF(tblSalaries[[#This Row],[Job Type]]=tblSalaries[[#Headers],[Manager]],tblSalaries[[#This Row],[Salary in USD]],"")</f>
        <v/>
      </c>
      <c r="AB932" s="13" t="str">
        <f>IF(tblSalaries[[#This Row],[Job Type]]=tblSalaries[[#Headers],[Misc.]],tblSalaries[[#This Row],[Salary in USD]],"")</f>
        <v/>
      </c>
      <c r="AC932" s="13" t="str">
        <f>IF(tblSalaries[[#This Row],[Job Type]]=tblSalaries[[#Headers],[Reporting]],tblSalaries[[#This Row],[Salary in USD]],"")</f>
        <v/>
      </c>
      <c r="AD932" s="13" t="str">
        <f>IF(tblSalaries[[#This Row],[Job Type]]=tblSalaries[[#Headers],[Specialist]],tblSalaries[[#This Row],[Salary in USD]],"")</f>
        <v/>
      </c>
    </row>
    <row r="933" spans="2:30" ht="15" customHeight="1" x14ac:dyDescent="0.25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 s="9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  <c r="N933">
        <f>IF(tblSalaries[[#This Row],[Years of Experience]]="","",IF(tblSalaries[[#This Row],[Years of Experience]]&lt;=2,1,""))</f>
        <v>1</v>
      </c>
      <c r="O933" t="str">
        <f>IF(tblSalaries[[#This Row],[Years of Experience]]="","",IF(AND(tblSalaries[[#This Row],[Years of Experience]]&gt;2,tblSalaries[[#This Row],[Years of Experience]]&lt;=5),1,""))</f>
        <v/>
      </c>
      <c r="P933" t="str">
        <f>IF(tblSalaries[[#This Row],[Years of Experience]]="","",IF(AND(tblSalaries[[#This Row],[Years of Experience]]&gt;5,tblSalaries[[#This Row],[Years of Experience]]&lt;=10),1,""))</f>
        <v/>
      </c>
      <c r="Q933" t="str">
        <f>IF(tblSalaries[[#This Row],[Years of Experience]]="","",IF(AND(tblSalaries[[#This Row],[Years of Experience]]&gt;10,tblSalaries[[#This Row],[Years of Experience]]&lt;=15),1,""))</f>
        <v/>
      </c>
      <c r="R933" t="str">
        <f>IF(tblSalaries[[#This Row],[Years of Experience]]="","",IF(AND(tblSalaries[[#This Row],[Years of Experience]]&gt;16,tblSalaries[[#This Row],[Years of Experience]]&lt;=20),1,""))</f>
        <v/>
      </c>
      <c r="S933" t="str">
        <f>IF(tblSalaries[[#This Row],[Years of Experience]]="","",IF(tblSalaries[[#This Row],[Years of Experience]]&gt;20,1,""))</f>
        <v/>
      </c>
      <c r="T9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33" s="13">
        <f>IF(tblSalaries[[#This Row],[Job Type]]=tblSalaries[[#Headers],[Accountant]],tblSalaries[[#This Row],[Salary in USD]],"")</f>
        <v>20000</v>
      </c>
      <c r="V933" s="13" t="str">
        <f>IF(tblSalaries[[#This Row],[Job Type]]=tblSalaries[[#Headers],[Analyst]],tblSalaries[[#This Row],[Salary in USD]],"")</f>
        <v/>
      </c>
      <c r="W933" s="13" t="str">
        <f>IF(tblSalaries[[#This Row],[Job Type]]=tblSalaries[[#Headers],[Consultant]],tblSalaries[[#This Row],[Salary in USD]],"")</f>
        <v/>
      </c>
      <c r="X933" s="13" t="str">
        <f>IF(tblSalaries[[#This Row],[Job Type]]=tblSalaries[[#Headers],[Controller]],tblSalaries[[#This Row],[Salary in USD]],"")</f>
        <v/>
      </c>
      <c r="Y933" s="13" t="str">
        <f>IF(tblSalaries[[#This Row],[Job Type]]=tblSalaries[[#Headers],[CXO or Top Mgmt.]],tblSalaries[[#This Row],[clean Salary (in local currency)]],"")</f>
        <v/>
      </c>
      <c r="Z933" s="13" t="str">
        <f>IF(tblSalaries[[#This Row],[Job Type]]=tblSalaries[[#Headers],[Engineer]],tblSalaries[[#This Row],[Salary in USD]],"")</f>
        <v/>
      </c>
      <c r="AA933" s="13" t="str">
        <f>IF(tblSalaries[[#This Row],[Job Type]]=tblSalaries[[#Headers],[Manager]],tblSalaries[[#This Row],[Salary in USD]],"")</f>
        <v/>
      </c>
      <c r="AB933" s="13" t="str">
        <f>IF(tblSalaries[[#This Row],[Job Type]]=tblSalaries[[#Headers],[Misc.]],tblSalaries[[#This Row],[Salary in USD]],"")</f>
        <v/>
      </c>
      <c r="AC933" s="13" t="str">
        <f>IF(tblSalaries[[#This Row],[Job Type]]=tblSalaries[[#Headers],[Reporting]],tblSalaries[[#This Row],[Salary in USD]],"")</f>
        <v/>
      </c>
      <c r="AD933" s="13" t="str">
        <f>IF(tblSalaries[[#This Row],[Job Type]]=tblSalaries[[#Headers],[Specialist]],tblSalaries[[#This Row],[Salary in USD]],"")</f>
        <v/>
      </c>
    </row>
    <row r="934" spans="2:30" ht="15" customHeight="1" x14ac:dyDescent="0.25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 s="9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  <c r="N934" t="str">
        <f>IF(tblSalaries[[#This Row],[Years of Experience]]="","",IF(tblSalaries[[#This Row],[Years of Experience]]&lt;=2,1,""))</f>
        <v/>
      </c>
      <c r="O934">
        <f>IF(tblSalaries[[#This Row],[Years of Experience]]="","",IF(AND(tblSalaries[[#This Row],[Years of Experience]]&gt;2,tblSalaries[[#This Row],[Years of Experience]]&lt;=5),1,""))</f>
        <v>1</v>
      </c>
      <c r="P934" t="str">
        <f>IF(tblSalaries[[#This Row],[Years of Experience]]="","",IF(AND(tblSalaries[[#This Row],[Years of Experience]]&gt;5,tblSalaries[[#This Row],[Years of Experience]]&lt;=10),1,""))</f>
        <v/>
      </c>
      <c r="Q934" t="str">
        <f>IF(tblSalaries[[#This Row],[Years of Experience]]="","",IF(AND(tblSalaries[[#This Row],[Years of Experience]]&gt;10,tblSalaries[[#This Row],[Years of Experience]]&lt;=15),1,""))</f>
        <v/>
      </c>
      <c r="R934" t="str">
        <f>IF(tblSalaries[[#This Row],[Years of Experience]]="","",IF(AND(tblSalaries[[#This Row],[Years of Experience]]&gt;16,tblSalaries[[#This Row],[Years of Experience]]&lt;=20),1,""))</f>
        <v/>
      </c>
      <c r="S934" t="str">
        <f>IF(tblSalaries[[#This Row],[Years of Experience]]="","",IF(tblSalaries[[#This Row],[Years of Experience]]&gt;20,1,""))</f>
        <v/>
      </c>
      <c r="T9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34" s="13" t="str">
        <f>IF(tblSalaries[[#This Row],[Job Type]]=tblSalaries[[#Headers],[Accountant]],tblSalaries[[#This Row],[Salary in USD]],"")</f>
        <v/>
      </c>
      <c r="V934" s="13" t="str">
        <f>IF(tblSalaries[[#This Row],[Job Type]]=tblSalaries[[#Headers],[Analyst]],tblSalaries[[#This Row],[Salary in USD]],"")</f>
        <v/>
      </c>
      <c r="W934" s="13">
        <f>IF(tblSalaries[[#This Row],[Job Type]]=tblSalaries[[#Headers],[Consultant]],tblSalaries[[#This Row],[Salary in USD]],"")</f>
        <v>53356.776437647524</v>
      </c>
      <c r="X934" s="13" t="str">
        <f>IF(tblSalaries[[#This Row],[Job Type]]=tblSalaries[[#Headers],[Controller]],tblSalaries[[#This Row],[Salary in USD]],"")</f>
        <v/>
      </c>
      <c r="Y934" s="13" t="str">
        <f>IF(tblSalaries[[#This Row],[Job Type]]=tblSalaries[[#Headers],[CXO or Top Mgmt.]],tblSalaries[[#This Row],[clean Salary (in local currency)]],"")</f>
        <v/>
      </c>
      <c r="Z934" s="13" t="str">
        <f>IF(tblSalaries[[#This Row],[Job Type]]=tblSalaries[[#Headers],[Engineer]],tblSalaries[[#This Row],[Salary in USD]],"")</f>
        <v/>
      </c>
      <c r="AA934" s="13" t="str">
        <f>IF(tblSalaries[[#This Row],[Job Type]]=tblSalaries[[#Headers],[Manager]],tblSalaries[[#This Row],[Salary in USD]],"")</f>
        <v/>
      </c>
      <c r="AB934" s="13" t="str">
        <f>IF(tblSalaries[[#This Row],[Job Type]]=tblSalaries[[#Headers],[Misc.]],tblSalaries[[#This Row],[Salary in USD]],"")</f>
        <v/>
      </c>
      <c r="AC934" s="13" t="str">
        <f>IF(tblSalaries[[#This Row],[Job Type]]=tblSalaries[[#Headers],[Reporting]],tblSalaries[[#This Row],[Salary in USD]],"")</f>
        <v/>
      </c>
      <c r="AD934" s="13" t="str">
        <f>IF(tblSalaries[[#This Row],[Job Type]]=tblSalaries[[#Headers],[Specialist]],tblSalaries[[#This Row],[Salary in USD]],"")</f>
        <v/>
      </c>
    </row>
    <row r="935" spans="2:30" ht="15" customHeight="1" x14ac:dyDescent="0.25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 s="9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  <c r="N935" t="str">
        <f>IF(tblSalaries[[#This Row],[Years of Experience]]="","",IF(tblSalaries[[#This Row],[Years of Experience]]&lt;=2,1,""))</f>
        <v/>
      </c>
      <c r="O935">
        <f>IF(tblSalaries[[#This Row],[Years of Experience]]="","",IF(AND(tblSalaries[[#This Row],[Years of Experience]]&gt;2,tblSalaries[[#This Row],[Years of Experience]]&lt;=5),1,""))</f>
        <v>1</v>
      </c>
      <c r="P935" t="str">
        <f>IF(tblSalaries[[#This Row],[Years of Experience]]="","",IF(AND(tblSalaries[[#This Row],[Years of Experience]]&gt;5,tblSalaries[[#This Row],[Years of Experience]]&lt;=10),1,""))</f>
        <v/>
      </c>
      <c r="Q935" t="str">
        <f>IF(tblSalaries[[#This Row],[Years of Experience]]="","",IF(AND(tblSalaries[[#This Row],[Years of Experience]]&gt;10,tblSalaries[[#This Row],[Years of Experience]]&lt;=15),1,""))</f>
        <v/>
      </c>
      <c r="R935" t="str">
        <f>IF(tblSalaries[[#This Row],[Years of Experience]]="","",IF(AND(tblSalaries[[#This Row],[Years of Experience]]&gt;16,tblSalaries[[#This Row],[Years of Experience]]&lt;=20),1,""))</f>
        <v/>
      </c>
      <c r="S935" t="str">
        <f>IF(tblSalaries[[#This Row],[Years of Experience]]="","",IF(tblSalaries[[#This Row],[Years of Experience]]&gt;20,1,""))</f>
        <v/>
      </c>
      <c r="T9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35" s="13">
        <f>IF(tblSalaries[[#This Row],[Job Type]]=tblSalaries[[#Headers],[Accountant]],tblSalaries[[#This Row],[Salary in USD]],"")</f>
        <v>36000</v>
      </c>
      <c r="V935" s="13" t="str">
        <f>IF(tblSalaries[[#This Row],[Job Type]]=tblSalaries[[#Headers],[Analyst]],tblSalaries[[#This Row],[Salary in USD]],"")</f>
        <v/>
      </c>
      <c r="W935" s="13" t="str">
        <f>IF(tblSalaries[[#This Row],[Job Type]]=tblSalaries[[#Headers],[Consultant]],tblSalaries[[#This Row],[Salary in USD]],"")</f>
        <v/>
      </c>
      <c r="X935" s="13" t="str">
        <f>IF(tblSalaries[[#This Row],[Job Type]]=tblSalaries[[#Headers],[Controller]],tblSalaries[[#This Row],[Salary in USD]],"")</f>
        <v/>
      </c>
      <c r="Y935" s="13" t="str">
        <f>IF(tblSalaries[[#This Row],[Job Type]]=tblSalaries[[#Headers],[CXO or Top Mgmt.]],tblSalaries[[#This Row],[clean Salary (in local currency)]],"")</f>
        <v/>
      </c>
      <c r="Z935" s="13" t="str">
        <f>IF(tblSalaries[[#This Row],[Job Type]]=tblSalaries[[#Headers],[Engineer]],tblSalaries[[#This Row],[Salary in USD]],"")</f>
        <v/>
      </c>
      <c r="AA935" s="13" t="str">
        <f>IF(tblSalaries[[#This Row],[Job Type]]=tblSalaries[[#Headers],[Manager]],tblSalaries[[#This Row],[Salary in USD]],"")</f>
        <v/>
      </c>
      <c r="AB935" s="13" t="str">
        <f>IF(tblSalaries[[#This Row],[Job Type]]=tblSalaries[[#Headers],[Misc.]],tblSalaries[[#This Row],[Salary in USD]],"")</f>
        <v/>
      </c>
      <c r="AC935" s="13" t="str">
        <f>IF(tblSalaries[[#This Row],[Job Type]]=tblSalaries[[#Headers],[Reporting]],tblSalaries[[#This Row],[Salary in USD]],"")</f>
        <v/>
      </c>
      <c r="AD935" s="13" t="str">
        <f>IF(tblSalaries[[#This Row],[Job Type]]=tblSalaries[[#Headers],[Specialist]],tblSalaries[[#This Row],[Salary in USD]],"")</f>
        <v/>
      </c>
    </row>
    <row r="936" spans="2:30" ht="15" customHeight="1" x14ac:dyDescent="0.25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 s="9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  <c r="N936" t="str">
        <f>IF(tblSalaries[[#This Row],[Years of Experience]]="","",IF(tblSalaries[[#This Row],[Years of Experience]]&lt;=2,1,""))</f>
        <v/>
      </c>
      <c r="O936">
        <f>IF(tblSalaries[[#This Row],[Years of Experience]]="","",IF(AND(tblSalaries[[#This Row],[Years of Experience]]&gt;2,tblSalaries[[#This Row],[Years of Experience]]&lt;=5),1,""))</f>
        <v>1</v>
      </c>
      <c r="P936" t="str">
        <f>IF(tblSalaries[[#This Row],[Years of Experience]]="","",IF(AND(tblSalaries[[#This Row],[Years of Experience]]&gt;5,tblSalaries[[#This Row],[Years of Experience]]&lt;=10),1,""))</f>
        <v/>
      </c>
      <c r="Q936" t="str">
        <f>IF(tblSalaries[[#This Row],[Years of Experience]]="","",IF(AND(tblSalaries[[#This Row],[Years of Experience]]&gt;10,tblSalaries[[#This Row],[Years of Experience]]&lt;=15),1,""))</f>
        <v/>
      </c>
      <c r="R936" t="str">
        <f>IF(tblSalaries[[#This Row],[Years of Experience]]="","",IF(AND(tblSalaries[[#This Row],[Years of Experience]]&gt;16,tblSalaries[[#This Row],[Years of Experience]]&lt;=20),1,""))</f>
        <v/>
      </c>
      <c r="S936" t="str">
        <f>IF(tblSalaries[[#This Row],[Years of Experience]]="","",IF(tblSalaries[[#This Row],[Years of Experience]]&gt;20,1,""))</f>
        <v/>
      </c>
      <c r="T9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36" s="13" t="str">
        <f>IF(tblSalaries[[#This Row],[Job Type]]=tblSalaries[[#Headers],[Accountant]],tblSalaries[[#This Row],[Salary in USD]],"")</f>
        <v/>
      </c>
      <c r="V936" s="13" t="str">
        <f>IF(tblSalaries[[#This Row],[Job Type]]=tblSalaries[[#Headers],[Analyst]],tblSalaries[[#This Row],[Salary in USD]],"")</f>
        <v/>
      </c>
      <c r="W936" s="13" t="str">
        <f>IF(tblSalaries[[#This Row],[Job Type]]=tblSalaries[[#Headers],[Consultant]],tblSalaries[[#This Row],[Salary in USD]],"")</f>
        <v/>
      </c>
      <c r="X936" s="13" t="str">
        <f>IF(tblSalaries[[#This Row],[Job Type]]=tblSalaries[[#Headers],[Controller]],tblSalaries[[#This Row],[Salary in USD]],"")</f>
        <v/>
      </c>
      <c r="Y936" s="13" t="str">
        <f>IF(tblSalaries[[#This Row],[Job Type]]=tblSalaries[[#Headers],[CXO or Top Mgmt.]],tblSalaries[[#This Row],[clean Salary (in local currency)]],"")</f>
        <v/>
      </c>
      <c r="Z936" s="13">
        <f>IF(tblSalaries[[#This Row],[Job Type]]=tblSalaries[[#Headers],[Engineer]],tblSalaries[[#This Row],[Salary in USD]],"")</f>
        <v>57000</v>
      </c>
      <c r="AA936" s="13" t="str">
        <f>IF(tblSalaries[[#This Row],[Job Type]]=tblSalaries[[#Headers],[Manager]],tblSalaries[[#This Row],[Salary in USD]],"")</f>
        <v/>
      </c>
      <c r="AB936" s="13" t="str">
        <f>IF(tblSalaries[[#This Row],[Job Type]]=tblSalaries[[#Headers],[Misc.]],tblSalaries[[#This Row],[Salary in USD]],"")</f>
        <v/>
      </c>
      <c r="AC936" s="13" t="str">
        <f>IF(tblSalaries[[#This Row],[Job Type]]=tblSalaries[[#Headers],[Reporting]],tblSalaries[[#This Row],[Salary in USD]],"")</f>
        <v/>
      </c>
      <c r="AD936" s="13" t="str">
        <f>IF(tblSalaries[[#This Row],[Job Type]]=tblSalaries[[#Headers],[Specialist]],tblSalaries[[#This Row],[Salary in USD]],"")</f>
        <v/>
      </c>
    </row>
    <row r="937" spans="2:30" ht="15" customHeight="1" x14ac:dyDescent="0.25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 s="9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  <c r="N937" t="str">
        <f>IF(tblSalaries[[#This Row],[Years of Experience]]="","",IF(tblSalaries[[#This Row],[Years of Experience]]&lt;=2,1,""))</f>
        <v/>
      </c>
      <c r="O937" t="str">
        <f>IF(tblSalaries[[#This Row],[Years of Experience]]="","",IF(AND(tblSalaries[[#This Row],[Years of Experience]]&gt;2,tblSalaries[[#This Row],[Years of Experience]]&lt;=5),1,""))</f>
        <v/>
      </c>
      <c r="P937" t="str">
        <f>IF(tblSalaries[[#This Row],[Years of Experience]]="","",IF(AND(tblSalaries[[#This Row],[Years of Experience]]&gt;5,tblSalaries[[#This Row],[Years of Experience]]&lt;=10),1,""))</f>
        <v/>
      </c>
      <c r="Q937">
        <f>IF(tblSalaries[[#This Row],[Years of Experience]]="","",IF(AND(tblSalaries[[#This Row],[Years of Experience]]&gt;10,tblSalaries[[#This Row],[Years of Experience]]&lt;=15),1,""))</f>
        <v>1</v>
      </c>
      <c r="R937" t="str">
        <f>IF(tblSalaries[[#This Row],[Years of Experience]]="","",IF(AND(tblSalaries[[#This Row],[Years of Experience]]&gt;16,tblSalaries[[#This Row],[Years of Experience]]&lt;=20),1,""))</f>
        <v/>
      </c>
      <c r="S937" t="str">
        <f>IF(tblSalaries[[#This Row],[Years of Experience]]="","",IF(tblSalaries[[#This Row],[Years of Experience]]&gt;20,1,""))</f>
        <v/>
      </c>
      <c r="T9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37" s="13" t="str">
        <f>IF(tblSalaries[[#This Row],[Job Type]]=tblSalaries[[#Headers],[Accountant]],tblSalaries[[#This Row],[Salary in USD]],"")</f>
        <v/>
      </c>
      <c r="V937" s="13" t="str">
        <f>IF(tblSalaries[[#This Row],[Job Type]]=tblSalaries[[#Headers],[Analyst]],tblSalaries[[#This Row],[Salary in USD]],"")</f>
        <v/>
      </c>
      <c r="W937" s="13" t="str">
        <f>IF(tblSalaries[[#This Row],[Job Type]]=tblSalaries[[#Headers],[Consultant]],tblSalaries[[#This Row],[Salary in USD]],"")</f>
        <v/>
      </c>
      <c r="X937" s="13" t="str">
        <f>IF(tblSalaries[[#This Row],[Job Type]]=tblSalaries[[#Headers],[Controller]],tblSalaries[[#This Row],[Salary in USD]],"")</f>
        <v/>
      </c>
      <c r="Y937" s="13" t="str">
        <f>IF(tblSalaries[[#This Row],[Job Type]]=tblSalaries[[#Headers],[CXO or Top Mgmt.]],tblSalaries[[#This Row],[clean Salary (in local currency)]],"")</f>
        <v/>
      </c>
      <c r="Z937" s="13" t="str">
        <f>IF(tblSalaries[[#This Row],[Job Type]]=tblSalaries[[#Headers],[Engineer]],tblSalaries[[#This Row],[Salary in USD]],"")</f>
        <v/>
      </c>
      <c r="AA937" s="13">
        <f>IF(tblSalaries[[#This Row],[Job Type]]=tblSalaries[[#Headers],[Manager]],tblSalaries[[#This Row],[Salary in USD]],"")</f>
        <v>135000</v>
      </c>
      <c r="AB937" s="13" t="str">
        <f>IF(tblSalaries[[#This Row],[Job Type]]=tblSalaries[[#Headers],[Misc.]],tblSalaries[[#This Row],[Salary in USD]],"")</f>
        <v/>
      </c>
      <c r="AC937" s="13" t="str">
        <f>IF(tblSalaries[[#This Row],[Job Type]]=tblSalaries[[#Headers],[Reporting]],tblSalaries[[#This Row],[Salary in USD]],"")</f>
        <v/>
      </c>
      <c r="AD937" s="13" t="str">
        <f>IF(tblSalaries[[#This Row],[Job Type]]=tblSalaries[[#Headers],[Specialist]],tblSalaries[[#This Row],[Salary in USD]],"")</f>
        <v/>
      </c>
    </row>
    <row r="938" spans="2:30" ht="15" customHeight="1" x14ac:dyDescent="0.25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 s="9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  <c r="N938" t="str">
        <f>IF(tblSalaries[[#This Row],[Years of Experience]]="","",IF(tblSalaries[[#This Row],[Years of Experience]]&lt;=2,1,""))</f>
        <v/>
      </c>
      <c r="O938">
        <f>IF(tblSalaries[[#This Row],[Years of Experience]]="","",IF(AND(tblSalaries[[#This Row],[Years of Experience]]&gt;2,tblSalaries[[#This Row],[Years of Experience]]&lt;=5),1,""))</f>
        <v>1</v>
      </c>
      <c r="P938" t="str">
        <f>IF(tblSalaries[[#This Row],[Years of Experience]]="","",IF(AND(tblSalaries[[#This Row],[Years of Experience]]&gt;5,tblSalaries[[#This Row],[Years of Experience]]&lt;=10),1,""))</f>
        <v/>
      </c>
      <c r="Q938" t="str">
        <f>IF(tblSalaries[[#This Row],[Years of Experience]]="","",IF(AND(tblSalaries[[#This Row],[Years of Experience]]&gt;10,tblSalaries[[#This Row],[Years of Experience]]&lt;=15),1,""))</f>
        <v/>
      </c>
      <c r="R938" t="str">
        <f>IF(tblSalaries[[#This Row],[Years of Experience]]="","",IF(AND(tblSalaries[[#This Row],[Years of Experience]]&gt;16,tblSalaries[[#This Row],[Years of Experience]]&lt;=20),1,""))</f>
        <v/>
      </c>
      <c r="S938" t="str">
        <f>IF(tblSalaries[[#This Row],[Years of Experience]]="","",IF(tblSalaries[[#This Row],[Years of Experience]]&gt;20,1,""))</f>
        <v/>
      </c>
      <c r="T9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38" s="13" t="str">
        <f>IF(tblSalaries[[#This Row],[Job Type]]=tblSalaries[[#Headers],[Accountant]],tblSalaries[[#This Row],[Salary in USD]],"")</f>
        <v/>
      </c>
      <c r="V938" s="13">
        <f>IF(tblSalaries[[#This Row],[Job Type]]=tblSalaries[[#Headers],[Analyst]],tblSalaries[[#This Row],[Salary in USD]],"")</f>
        <v>95279.957924370581</v>
      </c>
      <c r="W938" s="13" t="str">
        <f>IF(tblSalaries[[#This Row],[Job Type]]=tblSalaries[[#Headers],[Consultant]],tblSalaries[[#This Row],[Salary in USD]],"")</f>
        <v/>
      </c>
      <c r="X938" s="13" t="str">
        <f>IF(tblSalaries[[#This Row],[Job Type]]=tblSalaries[[#Headers],[Controller]],tblSalaries[[#This Row],[Salary in USD]],"")</f>
        <v/>
      </c>
      <c r="Y938" s="13" t="str">
        <f>IF(tblSalaries[[#This Row],[Job Type]]=tblSalaries[[#Headers],[CXO or Top Mgmt.]],tblSalaries[[#This Row],[clean Salary (in local currency)]],"")</f>
        <v/>
      </c>
      <c r="Z938" s="13" t="str">
        <f>IF(tblSalaries[[#This Row],[Job Type]]=tblSalaries[[#Headers],[Engineer]],tblSalaries[[#This Row],[Salary in USD]],"")</f>
        <v/>
      </c>
      <c r="AA938" s="13" t="str">
        <f>IF(tblSalaries[[#This Row],[Job Type]]=tblSalaries[[#Headers],[Manager]],tblSalaries[[#This Row],[Salary in USD]],"")</f>
        <v/>
      </c>
      <c r="AB938" s="13" t="str">
        <f>IF(tblSalaries[[#This Row],[Job Type]]=tblSalaries[[#Headers],[Misc.]],tblSalaries[[#This Row],[Salary in USD]],"")</f>
        <v/>
      </c>
      <c r="AC938" s="13" t="str">
        <f>IF(tblSalaries[[#This Row],[Job Type]]=tblSalaries[[#Headers],[Reporting]],tblSalaries[[#This Row],[Salary in USD]],"")</f>
        <v/>
      </c>
      <c r="AD938" s="13" t="str">
        <f>IF(tblSalaries[[#This Row],[Job Type]]=tblSalaries[[#Headers],[Specialist]],tblSalaries[[#This Row],[Salary in USD]],"")</f>
        <v/>
      </c>
    </row>
    <row r="939" spans="2:30" ht="15" customHeight="1" x14ac:dyDescent="0.25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 s="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  <c r="N939" t="str">
        <f>IF(tblSalaries[[#This Row],[Years of Experience]]="","",IF(tblSalaries[[#This Row],[Years of Experience]]&lt;=2,1,""))</f>
        <v/>
      </c>
      <c r="O939" t="str">
        <f>IF(tblSalaries[[#This Row],[Years of Experience]]="","",IF(AND(tblSalaries[[#This Row],[Years of Experience]]&gt;2,tblSalaries[[#This Row],[Years of Experience]]&lt;=5),1,""))</f>
        <v/>
      </c>
      <c r="P939">
        <f>IF(tblSalaries[[#This Row],[Years of Experience]]="","",IF(AND(tblSalaries[[#This Row],[Years of Experience]]&gt;5,tblSalaries[[#This Row],[Years of Experience]]&lt;=10),1,""))</f>
        <v>1</v>
      </c>
      <c r="Q939" t="str">
        <f>IF(tblSalaries[[#This Row],[Years of Experience]]="","",IF(AND(tblSalaries[[#This Row],[Years of Experience]]&gt;10,tblSalaries[[#This Row],[Years of Experience]]&lt;=15),1,""))</f>
        <v/>
      </c>
      <c r="R939" t="str">
        <f>IF(tblSalaries[[#This Row],[Years of Experience]]="","",IF(AND(tblSalaries[[#This Row],[Years of Experience]]&gt;16,tblSalaries[[#This Row],[Years of Experience]]&lt;=20),1,""))</f>
        <v/>
      </c>
      <c r="S939" t="str">
        <f>IF(tblSalaries[[#This Row],[Years of Experience]]="","",IF(tblSalaries[[#This Row],[Years of Experience]]&gt;20,1,""))</f>
        <v/>
      </c>
      <c r="T9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39" s="13" t="str">
        <f>IF(tblSalaries[[#This Row],[Job Type]]=tblSalaries[[#Headers],[Accountant]],tblSalaries[[#This Row],[Salary in USD]],"")</f>
        <v/>
      </c>
      <c r="V939" s="13">
        <f>IF(tblSalaries[[#This Row],[Job Type]]=tblSalaries[[#Headers],[Analyst]],tblSalaries[[#This Row],[Salary in USD]],"")</f>
        <v>57167.974754622352</v>
      </c>
      <c r="W939" s="13" t="str">
        <f>IF(tblSalaries[[#This Row],[Job Type]]=tblSalaries[[#Headers],[Consultant]],tblSalaries[[#This Row],[Salary in USD]],"")</f>
        <v/>
      </c>
      <c r="X939" s="13" t="str">
        <f>IF(tblSalaries[[#This Row],[Job Type]]=tblSalaries[[#Headers],[Controller]],tblSalaries[[#This Row],[Salary in USD]],"")</f>
        <v/>
      </c>
      <c r="Y939" s="13" t="str">
        <f>IF(tblSalaries[[#This Row],[Job Type]]=tblSalaries[[#Headers],[CXO or Top Mgmt.]],tblSalaries[[#This Row],[clean Salary (in local currency)]],"")</f>
        <v/>
      </c>
      <c r="Z939" s="13" t="str">
        <f>IF(tblSalaries[[#This Row],[Job Type]]=tblSalaries[[#Headers],[Engineer]],tblSalaries[[#This Row],[Salary in USD]],"")</f>
        <v/>
      </c>
      <c r="AA939" s="13" t="str">
        <f>IF(tblSalaries[[#This Row],[Job Type]]=tblSalaries[[#Headers],[Manager]],tblSalaries[[#This Row],[Salary in USD]],"")</f>
        <v/>
      </c>
      <c r="AB939" s="13" t="str">
        <f>IF(tblSalaries[[#This Row],[Job Type]]=tblSalaries[[#Headers],[Misc.]],tblSalaries[[#This Row],[Salary in USD]],"")</f>
        <v/>
      </c>
      <c r="AC939" s="13" t="str">
        <f>IF(tblSalaries[[#This Row],[Job Type]]=tblSalaries[[#Headers],[Reporting]],tblSalaries[[#This Row],[Salary in USD]],"")</f>
        <v/>
      </c>
      <c r="AD939" s="13" t="str">
        <f>IF(tblSalaries[[#This Row],[Job Type]]=tblSalaries[[#Headers],[Specialist]],tblSalaries[[#This Row],[Salary in USD]],"")</f>
        <v/>
      </c>
    </row>
    <row r="940" spans="2:30" ht="15" customHeight="1" x14ac:dyDescent="0.25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 s="9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  <c r="N940" t="str">
        <f>IF(tblSalaries[[#This Row],[Years of Experience]]="","",IF(tblSalaries[[#This Row],[Years of Experience]]&lt;=2,1,""))</f>
        <v/>
      </c>
      <c r="O940">
        <f>IF(tblSalaries[[#This Row],[Years of Experience]]="","",IF(AND(tblSalaries[[#This Row],[Years of Experience]]&gt;2,tblSalaries[[#This Row],[Years of Experience]]&lt;=5),1,""))</f>
        <v>1</v>
      </c>
      <c r="P940" t="str">
        <f>IF(tblSalaries[[#This Row],[Years of Experience]]="","",IF(AND(tblSalaries[[#This Row],[Years of Experience]]&gt;5,tblSalaries[[#This Row],[Years of Experience]]&lt;=10),1,""))</f>
        <v/>
      </c>
      <c r="Q940" t="str">
        <f>IF(tblSalaries[[#This Row],[Years of Experience]]="","",IF(AND(tblSalaries[[#This Row],[Years of Experience]]&gt;10,tblSalaries[[#This Row],[Years of Experience]]&lt;=15),1,""))</f>
        <v/>
      </c>
      <c r="R940" t="str">
        <f>IF(tblSalaries[[#This Row],[Years of Experience]]="","",IF(AND(tblSalaries[[#This Row],[Years of Experience]]&gt;16,tblSalaries[[#This Row],[Years of Experience]]&lt;=20),1,""))</f>
        <v/>
      </c>
      <c r="S940" t="str">
        <f>IF(tblSalaries[[#This Row],[Years of Experience]]="","",IF(tblSalaries[[#This Row],[Years of Experience]]&gt;20,1,""))</f>
        <v/>
      </c>
      <c r="T9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40" s="13" t="str">
        <f>IF(tblSalaries[[#This Row],[Job Type]]=tblSalaries[[#Headers],[Accountant]],tblSalaries[[#This Row],[Salary in USD]],"")</f>
        <v/>
      </c>
      <c r="V940" s="13" t="str">
        <f>IF(tblSalaries[[#This Row],[Job Type]]=tblSalaries[[#Headers],[Analyst]],tblSalaries[[#This Row],[Salary in USD]],"")</f>
        <v/>
      </c>
      <c r="W940" s="13" t="str">
        <f>IF(tblSalaries[[#This Row],[Job Type]]=tblSalaries[[#Headers],[Consultant]],tblSalaries[[#This Row],[Salary in USD]],"")</f>
        <v/>
      </c>
      <c r="X940" s="13" t="str">
        <f>IF(tblSalaries[[#This Row],[Job Type]]=tblSalaries[[#Headers],[Controller]],tblSalaries[[#This Row],[Salary in USD]],"")</f>
        <v/>
      </c>
      <c r="Y940" s="13" t="str">
        <f>IF(tblSalaries[[#This Row],[Job Type]]=tblSalaries[[#Headers],[CXO or Top Mgmt.]],tblSalaries[[#This Row],[clean Salary (in local currency)]],"")</f>
        <v/>
      </c>
      <c r="Z940" s="13" t="str">
        <f>IF(tblSalaries[[#This Row],[Job Type]]=tblSalaries[[#Headers],[Engineer]],tblSalaries[[#This Row],[Salary in USD]],"")</f>
        <v/>
      </c>
      <c r="AA940" s="13">
        <f>IF(tblSalaries[[#This Row],[Job Type]]=tblSalaries[[#Headers],[Manager]],tblSalaries[[#This Row],[Salary in USD]],"")</f>
        <v>12326.656394453004</v>
      </c>
      <c r="AB940" s="13" t="str">
        <f>IF(tblSalaries[[#This Row],[Job Type]]=tblSalaries[[#Headers],[Misc.]],tblSalaries[[#This Row],[Salary in USD]],"")</f>
        <v/>
      </c>
      <c r="AC940" s="13" t="str">
        <f>IF(tblSalaries[[#This Row],[Job Type]]=tblSalaries[[#Headers],[Reporting]],tblSalaries[[#This Row],[Salary in USD]],"")</f>
        <v/>
      </c>
      <c r="AD940" s="13" t="str">
        <f>IF(tblSalaries[[#This Row],[Job Type]]=tblSalaries[[#Headers],[Specialist]],tblSalaries[[#This Row],[Salary in USD]],"")</f>
        <v/>
      </c>
    </row>
    <row r="941" spans="2:30" ht="15" customHeight="1" x14ac:dyDescent="0.25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 s="9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  <c r="N941" t="str">
        <f>IF(tblSalaries[[#This Row],[Years of Experience]]="","",IF(tblSalaries[[#This Row],[Years of Experience]]&lt;=2,1,""))</f>
        <v/>
      </c>
      <c r="O941">
        <f>IF(tblSalaries[[#This Row],[Years of Experience]]="","",IF(AND(tblSalaries[[#This Row],[Years of Experience]]&gt;2,tblSalaries[[#This Row],[Years of Experience]]&lt;=5),1,""))</f>
        <v>1</v>
      </c>
      <c r="P941" t="str">
        <f>IF(tblSalaries[[#This Row],[Years of Experience]]="","",IF(AND(tblSalaries[[#This Row],[Years of Experience]]&gt;5,tblSalaries[[#This Row],[Years of Experience]]&lt;=10),1,""))</f>
        <v/>
      </c>
      <c r="Q941" t="str">
        <f>IF(tblSalaries[[#This Row],[Years of Experience]]="","",IF(AND(tblSalaries[[#This Row],[Years of Experience]]&gt;10,tblSalaries[[#This Row],[Years of Experience]]&lt;=15),1,""))</f>
        <v/>
      </c>
      <c r="R941" t="str">
        <f>IF(tblSalaries[[#This Row],[Years of Experience]]="","",IF(AND(tblSalaries[[#This Row],[Years of Experience]]&gt;16,tblSalaries[[#This Row],[Years of Experience]]&lt;=20),1,""))</f>
        <v/>
      </c>
      <c r="S941" t="str">
        <f>IF(tblSalaries[[#This Row],[Years of Experience]]="","",IF(tblSalaries[[#This Row],[Years of Experience]]&gt;20,1,""))</f>
        <v/>
      </c>
      <c r="T9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41" s="13" t="str">
        <f>IF(tblSalaries[[#This Row],[Job Type]]=tblSalaries[[#Headers],[Accountant]],tblSalaries[[#This Row],[Salary in USD]],"")</f>
        <v/>
      </c>
      <c r="V941" s="13">
        <f>IF(tblSalaries[[#This Row],[Job Type]]=tblSalaries[[#Headers],[Analyst]],tblSalaries[[#This Row],[Salary in USD]],"")</f>
        <v>8000</v>
      </c>
      <c r="W941" s="13" t="str">
        <f>IF(tblSalaries[[#This Row],[Job Type]]=tblSalaries[[#Headers],[Consultant]],tblSalaries[[#This Row],[Salary in USD]],"")</f>
        <v/>
      </c>
      <c r="X941" s="13" t="str">
        <f>IF(tblSalaries[[#This Row],[Job Type]]=tblSalaries[[#Headers],[Controller]],tblSalaries[[#This Row],[Salary in USD]],"")</f>
        <v/>
      </c>
      <c r="Y941" s="13" t="str">
        <f>IF(tblSalaries[[#This Row],[Job Type]]=tblSalaries[[#Headers],[CXO or Top Mgmt.]],tblSalaries[[#This Row],[clean Salary (in local currency)]],"")</f>
        <v/>
      </c>
      <c r="Z941" s="13" t="str">
        <f>IF(tblSalaries[[#This Row],[Job Type]]=tblSalaries[[#Headers],[Engineer]],tblSalaries[[#This Row],[Salary in USD]],"")</f>
        <v/>
      </c>
      <c r="AA941" s="13" t="str">
        <f>IF(tblSalaries[[#This Row],[Job Type]]=tblSalaries[[#Headers],[Manager]],tblSalaries[[#This Row],[Salary in USD]],"")</f>
        <v/>
      </c>
      <c r="AB941" s="13" t="str">
        <f>IF(tblSalaries[[#This Row],[Job Type]]=tblSalaries[[#Headers],[Misc.]],tblSalaries[[#This Row],[Salary in USD]],"")</f>
        <v/>
      </c>
      <c r="AC941" s="13" t="str">
        <f>IF(tblSalaries[[#This Row],[Job Type]]=tblSalaries[[#Headers],[Reporting]],tblSalaries[[#This Row],[Salary in USD]],"")</f>
        <v/>
      </c>
      <c r="AD941" s="13" t="str">
        <f>IF(tblSalaries[[#This Row],[Job Type]]=tblSalaries[[#Headers],[Specialist]],tblSalaries[[#This Row],[Salary in USD]],"")</f>
        <v/>
      </c>
    </row>
    <row r="942" spans="2:30" ht="15" customHeight="1" x14ac:dyDescent="0.25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 s="9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  <c r="N942" t="str">
        <f>IF(tblSalaries[[#This Row],[Years of Experience]]="","",IF(tblSalaries[[#This Row],[Years of Experience]]&lt;=2,1,""))</f>
        <v/>
      </c>
      <c r="O942">
        <f>IF(tblSalaries[[#This Row],[Years of Experience]]="","",IF(AND(tblSalaries[[#This Row],[Years of Experience]]&gt;2,tblSalaries[[#This Row],[Years of Experience]]&lt;=5),1,""))</f>
        <v>1</v>
      </c>
      <c r="P942" t="str">
        <f>IF(tblSalaries[[#This Row],[Years of Experience]]="","",IF(AND(tblSalaries[[#This Row],[Years of Experience]]&gt;5,tblSalaries[[#This Row],[Years of Experience]]&lt;=10),1,""))</f>
        <v/>
      </c>
      <c r="Q942" t="str">
        <f>IF(tblSalaries[[#This Row],[Years of Experience]]="","",IF(AND(tblSalaries[[#This Row],[Years of Experience]]&gt;10,tblSalaries[[#This Row],[Years of Experience]]&lt;=15),1,""))</f>
        <v/>
      </c>
      <c r="R942" t="str">
        <f>IF(tblSalaries[[#This Row],[Years of Experience]]="","",IF(AND(tblSalaries[[#This Row],[Years of Experience]]&gt;16,tblSalaries[[#This Row],[Years of Experience]]&lt;=20),1,""))</f>
        <v/>
      </c>
      <c r="S942" t="str">
        <f>IF(tblSalaries[[#This Row],[Years of Experience]]="","",IF(tblSalaries[[#This Row],[Years of Experience]]&gt;20,1,""))</f>
        <v/>
      </c>
      <c r="T9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42" s="13" t="str">
        <f>IF(tblSalaries[[#This Row],[Job Type]]=tblSalaries[[#Headers],[Accountant]],tblSalaries[[#This Row],[Salary in USD]],"")</f>
        <v/>
      </c>
      <c r="V942" s="13" t="str">
        <f>IF(tblSalaries[[#This Row],[Job Type]]=tblSalaries[[#Headers],[Analyst]],tblSalaries[[#This Row],[Salary in USD]],"")</f>
        <v/>
      </c>
      <c r="W942" s="13" t="str">
        <f>IF(tblSalaries[[#This Row],[Job Type]]=tblSalaries[[#Headers],[Consultant]],tblSalaries[[#This Row],[Salary in USD]],"")</f>
        <v/>
      </c>
      <c r="X942" s="13" t="str">
        <f>IF(tblSalaries[[#This Row],[Job Type]]=tblSalaries[[#Headers],[Controller]],tblSalaries[[#This Row],[Salary in USD]],"")</f>
        <v/>
      </c>
      <c r="Y942" s="13" t="str">
        <f>IF(tblSalaries[[#This Row],[Job Type]]=tblSalaries[[#Headers],[CXO or Top Mgmt.]],tblSalaries[[#This Row],[clean Salary (in local currency)]],"")</f>
        <v/>
      </c>
      <c r="Z942" s="13" t="str">
        <f>IF(tblSalaries[[#This Row],[Job Type]]=tblSalaries[[#Headers],[Engineer]],tblSalaries[[#This Row],[Salary in USD]],"")</f>
        <v/>
      </c>
      <c r="AA942" s="13">
        <f>IF(tblSalaries[[#This Row],[Job Type]]=tblSalaries[[#Headers],[Manager]],tblSalaries[[#This Row],[Salary in USD]],"")</f>
        <v>48000</v>
      </c>
      <c r="AB942" s="13" t="str">
        <f>IF(tblSalaries[[#This Row],[Job Type]]=tblSalaries[[#Headers],[Misc.]],tblSalaries[[#This Row],[Salary in USD]],"")</f>
        <v/>
      </c>
      <c r="AC942" s="13" t="str">
        <f>IF(tblSalaries[[#This Row],[Job Type]]=tblSalaries[[#Headers],[Reporting]],tblSalaries[[#This Row],[Salary in USD]],"")</f>
        <v/>
      </c>
      <c r="AD942" s="13" t="str">
        <f>IF(tblSalaries[[#This Row],[Job Type]]=tblSalaries[[#Headers],[Specialist]],tblSalaries[[#This Row],[Salary in USD]],"")</f>
        <v/>
      </c>
    </row>
    <row r="943" spans="2:30" ht="15" customHeight="1" x14ac:dyDescent="0.25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 s="9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  <c r="N943" t="str">
        <f>IF(tblSalaries[[#This Row],[Years of Experience]]="","",IF(tblSalaries[[#This Row],[Years of Experience]]&lt;=2,1,""))</f>
        <v/>
      </c>
      <c r="O943">
        <f>IF(tblSalaries[[#This Row],[Years of Experience]]="","",IF(AND(tblSalaries[[#This Row],[Years of Experience]]&gt;2,tblSalaries[[#This Row],[Years of Experience]]&lt;=5),1,""))</f>
        <v>1</v>
      </c>
      <c r="P943" t="str">
        <f>IF(tblSalaries[[#This Row],[Years of Experience]]="","",IF(AND(tblSalaries[[#This Row],[Years of Experience]]&gt;5,tblSalaries[[#This Row],[Years of Experience]]&lt;=10),1,""))</f>
        <v/>
      </c>
      <c r="Q943" t="str">
        <f>IF(tblSalaries[[#This Row],[Years of Experience]]="","",IF(AND(tblSalaries[[#This Row],[Years of Experience]]&gt;10,tblSalaries[[#This Row],[Years of Experience]]&lt;=15),1,""))</f>
        <v/>
      </c>
      <c r="R943" t="str">
        <f>IF(tblSalaries[[#This Row],[Years of Experience]]="","",IF(AND(tblSalaries[[#This Row],[Years of Experience]]&gt;16,tblSalaries[[#This Row],[Years of Experience]]&lt;=20),1,""))</f>
        <v/>
      </c>
      <c r="S943" t="str">
        <f>IF(tblSalaries[[#This Row],[Years of Experience]]="","",IF(tblSalaries[[#This Row],[Years of Experience]]&gt;20,1,""))</f>
        <v/>
      </c>
      <c r="T9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43" s="13" t="str">
        <f>IF(tblSalaries[[#This Row],[Job Type]]=tblSalaries[[#Headers],[Accountant]],tblSalaries[[#This Row],[Salary in USD]],"")</f>
        <v/>
      </c>
      <c r="V943" s="13">
        <f>IF(tblSalaries[[#This Row],[Job Type]]=tblSalaries[[#Headers],[Analyst]],tblSalaries[[#This Row],[Salary in USD]],"")</f>
        <v>40000</v>
      </c>
      <c r="W943" s="13" t="str">
        <f>IF(tblSalaries[[#This Row],[Job Type]]=tblSalaries[[#Headers],[Consultant]],tblSalaries[[#This Row],[Salary in USD]],"")</f>
        <v/>
      </c>
      <c r="X943" s="13" t="str">
        <f>IF(tblSalaries[[#This Row],[Job Type]]=tblSalaries[[#Headers],[Controller]],tblSalaries[[#This Row],[Salary in USD]],"")</f>
        <v/>
      </c>
      <c r="Y943" s="13" t="str">
        <f>IF(tblSalaries[[#This Row],[Job Type]]=tblSalaries[[#Headers],[CXO or Top Mgmt.]],tblSalaries[[#This Row],[clean Salary (in local currency)]],"")</f>
        <v/>
      </c>
      <c r="Z943" s="13" t="str">
        <f>IF(tblSalaries[[#This Row],[Job Type]]=tblSalaries[[#Headers],[Engineer]],tblSalaries[[#This Row],[Salary in USD]],"")</f>
        <v/>
      </c>
      <c r="AA943" s="13" t="str">
        <f>IF(tblSalaries[[#This Row],[Job Type]]=tblSalaries[[#Headers],[Manager]],tblSalaries[[#This Row],[Salary in USD]],"")</f>
        <v/>
      </c>
      <c r="AB943" s="13" t="str">
        <f>IF(tblSalaries[[#This Row],[Job Type]]=tblSalaries[[#Headers],[Misc.]],tblSalaries[[#This Row],[Salary in USD]],"")</f>
        <v/>
      </c>
      <c r="AC943" s="13" t="str">
        <f>IF(tblSalaries[[#This Row],[Job Type]]=tblSalaries[[#Headers],[Reporting]],tblSalaries[[#This Row],[Salary in USD]],"")</f>
        <v/>
      </c>
      <c r="AD943" s="13" t="str">
        <f>IF(tblSalaries[[#This Row],[Job Type]]=tblSalaries[[#Headers],[Specialist]],tblSalaries[[#This Row],[Salary in USD]],"")</f>
        <v/>
      </c>
    </row>
    <row r="944" spans="2:30" ht="15" customHeight="1" x14ac:dyDescent="0.25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 s="9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  <c r="N944" t="str">
        <f>IF(tblSalaries[[#This Row],[Years of Experience]]="","",IF(tblSalaries[[#This Row],[Years of Experience]]&lt;=2,1,""))</f>
        <v/>
      </c>
      <c r="O944" t="str">
        <f>IF(tblSalaries[[#This Row],[Years of Experience]]="","",IF(AND(tblSalaries[[#This Row],[Years of Experience]]&gt;2,tblSalaries[[#This Row],[Years of Experience]]&lt;=5),1,""))</f>
        <v/>
      </c>
      <c r="P944">
        <f>IF(tblSalaries[[#This Row],[Years of Experience]]="","",IF(AND(tblSalaries[[#This Row],[Years of Experience]]&gt;5,tblSalaries[[#This Row],[Years of Experience]]&lt;=10),1,""))</f>
        <v>1</v>
      </c>
      <c r="Q944" t="str">
        <f>IF(tblSalaries[[#This Row],[Years of Experience]]="","",IF(AND(tblSalaries[[#This Row],[Years of Experience]]&gt;10,tblSalaries[[#This Row],[Years of Experience]]&lt;=15),1,""))</f>
        <v/>
      </c>
      <c r="R944" t="str">
        <f>IF(tblSalaries[[#This Row],[Years of Experience]]="","",IF(AND(tblSalaries[[#This Row],[Years of Experience]]&gt;16,tblSalaries[[#This Row],[Years of Experience]]&lt;=20),1,""))</f>
        <v/>
      </c>
      <c r="S944" t="str">
        <f>IF(tblSalaries[[#This Row],[Years of Experience]]="","",IF(tblSalaries[[#This Row],[Years of Experience]]&gt;20,1,""))</f>
        <v/>
      </c>
      <c r="T9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44" s="13" t="str">
        <f>IF(tblSalaries[[#This Row],[Job Type]]=tblSalaries[[#Headers],[Accountant]],tblSalaries[[#This Row],[Salary in USD]],"")</f>
        <v/>
      </c>
      <c r="V944" s="13">
        <f>IF(tblSalaries[[#This Row],[Job Type]]=tblSalaries[[#Headers],[Analyst]],tblSalaries[[#This Row],[Salary in USD]],"")</f>
        <v>59819.107020370408</v>
      </c>
      <c r="W944" s="13" t="str">
        <f>IF(tblSalaries[[#This Row],[Job Type]]=tblSalaries[[#Headers],[Consultant]],tblSalaries[[#This Row],[Salary in USD]],"")</f>
        <v/>
      </c>
      <c r="X944" s="13" t="str">
        <f>IF(tblSalaries[[#This Row],[Job Type]]=tblSalaries[[#Headers],[Controller]],tblSalaries[[#This Row],[Salary in USD]],"")</f>
        <v/>
      </c>
      <c r="Y944" s="13" t="str">
        <f>IF(tblSalaries[[#This Row],[Job Type]]=tblSalaries[[#Headers],[CXO or Top Mgmt.]],tblSalaries[[#This Row],[clean Salary (in local currency)]],"")</f>
        <v/>
      </c>
      <c r="Z944" s="13" t="str">
        <f>IF(tblSalaries[[#This Row],[Job Type]]=tblSalaries[[#Headers],[Engineer]],tblSalaries[[#This Row],[Salary in USD]],"")</f>
        <v/>
      </c>
      <c r="AA944" s="13" t="str">
        <f>IF(tblSalaries[[#This Row],[Job Type]]=tblSalaries[[#Headers],[Manager]],tblSalaries[[#This Row],[Salary in USD]],"")</f>
        <v/>
      </c>
      <c r="AB944" s="13" t="str">
        <f>IF(tblSalaries[[#This Row],[Job Type]]=tblSalaries[[#Headers],[Misc.]],tblSalaries[[#This Row],[Salary in USD]],"")</f>
        <v/>
      </c>
      <c r="AC944" s="13" t="str">
        <f>IF(tblSalaries[[#This Row],[Job Type]]=tblSalaries[[#Headers],[Reporting]],tblSalaries[[#This Row],[Salary in USD]],"")</f>
        <v/>
      </c>
      <c r="AD944" s="13" t="str">
        <f>IF(tblSalaries[[#This Row],[Job Type]]=tblSalaries[[#Headers],[Specialist]],tblSalaries[[#This Row],[Salary in USD]],"")</f>
        <v/>
      </c>
    </row>
    <row r="945" spans="2:30" ht="15" customHeight="1" x14ac:dyDescent="0.25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 s="9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  <c r="N945" t="str">
        <f>IF(tblSalaries[[#This Row],[Years of Experience]]="","",IF(tblSalaries[[#This Row],[Years of Experience]]&lt;=2,1,""))</f>
        <v/>
      </c>
      <c r="O945" t="str">
        <f>IF(tblSalaries[[#This Row],[Years of Experience]]="","",IF(AND(tblSalaries[[#This Row],[Years of Experience]]&gt;2,tblSalaries[[#This Row],[Years of Experience]]&lt;=5),1,""))</f>
        <v/>
      </c>
      <c r="P945" t="str">
        <f>IF(tblSalaries[[#This Row],[Years of Experience]]="","",IF(AND(tblSalaries[[#This Row],[Years of Experience]]&gt;5,tblSalaries[[#This Row],[Years of Experience]]&lt;=10),1,""))</f>
        <v/>
      </c>
      <c r="Q945" t="str">
        <f>IF(tblSalaries[[#This Row],[Years of Experience]]="","",IF(AND(tblSalaries[[#This Row],[Years of Experience]]&gt;10,tblSalaries[[#This Row],[Years of Experience]]&lt;=15),1,""))</f>
        <v/>
      </c>
      <c r="R945">
        <f>IF(tblSalaries[[#This Row],[Years of Experience]]="","",IF(AND(tblSalaries[[#This Row],[Years of Experience]]&gt;16,tblSalaries[[#This Row],[Years of Experience]]&lt;=20),1,""))</f>
        <v>1</v>
      </c>
      <c r="S945" t="str">
        <f>IF(tblSalaries[[#This Row],[Years of Experience]]="","",IF(tblSalaries[[#This Row],[Years of Experience]]&gt;20,1,""))</f>
        <v/>
      </c>
      <c r="T9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45" s="13" t="str">
        <f>IF(tblSalaries[[#This Row],[Job Type]]=tblSalaries[[#Headers],[Accountant]],tblSalaries[[#This Row],[Salary in USD]],"")</f>
        <v/>
      </c>
      <c r="V945" s="13">
        <f>IF(tblSalaries[[#This Row],[Job Type]]=tblSalaries[[#Headers],[Analyst]],tblSalaries[[#This Row],[Salary in USD]],"")</f>
        <v>150000</v>
      </c>
      <c r="W945" s="13" t="str">
        <f>IF(tblSalaries[[#This Row],[Job Type]]=tblSalaries[[#Headers],[Consultant]],tblSalaries[[#This Row],[Salary in USD]],"")</f>
        <v/>
      </c>
      <c r="X945" s="13" t="str">
        <f>IF(tblSalaries[[#This Row],[Job Type]]=tblSalaries[[#Headers],[Controller]],tblSalaries[[#This Row],[Salary in USD]],"")</f>
        <v/>
      </c>
      <c r="Y945" s="13" t="str">
        <f>IF(tblSalaries[[#This Row],[Job Type]]=tblSalaries[[#Headers],[CXO or Top Mgmt.]],tblSalaries[[#This Row],[clean Salary (in local currency)]],"")</f>
        <v/>
      </c>
      <c r="Z945" s="13" t="str">
        <f>IF(tblSalaries[[#This Row],[Job Type]]=tblSalaries[[#Headers],[Engineer]],tblSalaries[[#This Row],[Salary in USD]],"")</f>
        <v/>
      </c>
      <c r="AA945" s="13" t="str">
        <f>IF(tblSalaries[[#This Row],[Job Type]]=tblSalaries[[#Headers],[Manager]],tblSalaries[[#This Row],[Salary in USD]],"")</f>
        <v/>
      </c>
      <c r="AB945" s="13" t="str">
        <f>IF(tblSalaries[[#This Row],[Job Type]]=tblSalaries[[#Headers],[Misc.]],tblSalaries[[#This Row],[Salary in USD]],"")</f>
        <v/>
      </c>
      <c r="AC945" s="13" t="str">
        <f>IF(tblSalaries[[#This Row],[Job Type]]=tblSalaries[[#Headers],[Reporting]],tblSalaries[[#This Row],[Salary in USD]],"")</f>
        <v/>
      </c>
      <c r="AD945" s="13" t="str">
        <f>IF(tblSalaries[[#This Row],[Job Type]]=tblSalaries[[#Headers],[Specialist]],tblSalaries[[#This Row],[Salary in USD]],"")</f>
        <v/>
      </c>
    </row>
    <row r="946" spans="2:30" ht="15" customHeight="1" x14ac:dyDescent="0.25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 s="9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  <c r="N946" t="str">
        <f>IF(tblSalaries[[#This Row],[Years of Experience]]="","",IF(tblSalaries[[#This Row],[Years of Experience]]&lt;=2,1,""))</f>
        <v/>
      </c>
      <c r="O946" t="str">
        <f>IF(tblSalaries[[#This Row],[Years of Experience]]="","",IF(AND(tblSalaries[[#This Row],[Years of Experience]]&gt;2,tblSalaries[[#This Row],[Years of Experience]]&lt;=5),1,""))</f>
        <v/>
      </c>
      <c r="P946" t="str">
        <f>IF(tblSalaries[[#This Row],[Years of Experience]]="","",IF(AND(tblSalaries[[#This Row],[Years of Experience]]&gt;5,tblSalaries[[#This Row],[Years of Experience]]&lt;=10),1,""))</f>
        <v/>
      </c>
      <c r="Q946" t="str">
        <f>IF(tblSalaries[[#This Row],[Years of Experience]]="","",IF(AND(tblSalaries[[#This Row],[Years of Experience]]&gt;10,tblSalaries[[#This Row],[Years of Experience]]&lt;=15),1,""))</f>
        <v/>
      </c>
      <c r="R946" t="str">
        <f>IF(tblSalaries[[#This Row],[Years of Experience]]="","",IF(AND(tblSalaries[[#This Row],[Years of Experience]]&gt;16,tblSalaries[[#This Row],[Years of Experience]]&lt;=20),1,""))</f>
        <v/>
      </c>
      <c r="S946">
        <f>IF(tblSalaries[[#This Row],[Years of Experience]]="","",IF(tblSalaries[[#This Row],[Years of Experience]]&gt;20,1,""))</f>
        <v>1</v>
      </c>
      <c r="T9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946" s="13" t="str">
        <f>IF(tblSalaries[[#This Row],[Job Type]]=tblSalaries[[#Headers],[Accountant]],tblSalaries[[#This Row],[Salary in USD]],"")</f>
        <v/>
      </c>
      <c r="V946" s="13" t="str">
        <f>IF(tblSalaries[[#This Row],[Job Type]]=tblSalaries[[#Headers],[Analyst]],tblSalaries[[#This Row],[Salary in USD]],"")</f>
        <v/>
      </c>
      <c r="W946" s="13" t="str">
        <f>IF(tblSalaries[[#This Row],[Job Type]]=tblSalaries[[#Headers],[Consultant]],tblSalaries[[#This Row],[Salary in USD]],"")</f>
        <v/>
      </c>
      <c r="X946" s="13" t="str">
        <f>IF(tblSalaries[[#This Row],[Job Type]]=tblSalaries[[#Headers],[Controller]],tblSalaries[[#This Row],[Salary in USD]],"")</f>
        <v/>
      </c>
      <c r="Y946" s="13" t="str">
        <f>IF(tblSalaries[[#This Row],[Job Type]]=tblSalaries[[#Headers],[CXO or Top Mgmt.]],tblSalaries[[#This Row],[clean Salary (in local currency)]],"")</f>
        <v/>
      </c>
      <c r="Z946" s="13" t="str">
        <f>IF(tblSalaries[[#This Row],[Job Type]]=tblSalaries[[#Headers],[Engineer]],tblSalaries[[#This Row],[Salary in USD]],"")</f>
        <v/>
      </c>
      <c r="AA946" s="13">
        <f>IF(tblSalaries[[#This Row],[Job Type]]=tblSalaries[[#Headers],[Manager]],tblSalaries[[#This Row],[Salary in USD]],"")</f>
        <v>81592.772512210868</v>
      </c>
      <c r="AB946" s="13" t="str">
        <f>IF(tblSalaries[[#This Row],[Job Type]]=tblSalaries[[#Headers],[Misc.]],tblSalaries[[#This Row],[Salary in USD]],"")</f>
        <v/>
      </c>
      <c r="AC946" s="13" t="str">
        <f>IF(tblSalaries[[#This Row],[Job Type]]=tblSalaries[[#Headers],[Reporting]],tblSalaries[[#This Row],[Salary in USD]],"")</f>
        <v/>
      </c>
      <c r="AD946" s="13" t="str">
        <f>IF(tblSalaries[[#This Row],[Job Type]]=tblSalaries[[#Headers],[Specialist]],tblSalaries[[#This Row],[Salary in USD]],"")</f>
        <v/>
      </c>
    </row>
    <row r="947" spans="2:30" ht="15" customHeight="1" x14ac:dyDescent="0.25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 s="9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  <c r="N947" t="str">
        <f>IF(tblSalaries[[#This Row],[Years of Experience]]="","",IF(tblSalaries[[#This Row],[Years of Experience]]&lt;=2,1,""))</f>
        <v/>
      </c>
      <c r="O947" t="str">
        <f>IF(tblSalaries[[#This Row],[Years of Experience]]="","",IF(AND(tblSalaries[[#This Row],[Years of Experience]]&gt;2,tblSalaries[[#This Row],[Years of Experience]]&lt;=5),1,""))</f>
        <v/>
      </c>
      <c r="P947" t="str">
        <f>IF(tblSalaries[[#This Row],[Years of Experience]]="","",IF(AND(tblSalaries[[#This Row],[Years of Experience]]&gt;5,tblSalaries[[#This Row],[Years of Experience]]&lt;=10),1,""))</f>
        <v/>
      </c>
      <c r="Q947" t="str">
        <f>IF(tblSalaries[[#This Row],[Years of Experience]]="","",IF(AND(tblSalaries[[#This Row],[Years of Experience]]&gt;10,tblSalaries[[#This Row],[Years of Experience]]&lt;=15),1,""))</f>
        <v/>
      </c>
      <c r="R947">
        <f>IF(tblSalaries[[#This Row],[Years of Experience]]="","",IF(AND(tblSalaries[[#This Row],[Years of Experience]]&gt;16,tblSalaries[[#This Row],[Years of Experience]]&lt;=20),1,""))</f>
        <v>1</v>
      </c>
      <c r="S947" t="str">
        <f>IF(tblSalaries[[#This Row],[Years of Experience]]="","",IF(tblSalaries[[#This Row],[Years of Experience]]&gt;20,1,""))</f>
        <v/>
      </c>
      <c r="T9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47" s="13" t="str">
        <f>IF(tblSalaries[[#This Row],[Job Type]]=tblSalaries[[#Headers],[Accountant]],tblSalaries[[#This Row],[Salary in USD]],"")</f>
        <v/>
      </c>
      <c r="V947" s="13">
        <f>IF(tblSalaries[[#This Row],[Job Type]]=tblSalaries[[#Headers],[Analyst]],tblSalaries[[#This Row],[Salary in USD]],"")</f>
        <v>96891.417358250401</v>
      </c>
      <c r="W947" s="13" t="str">
        <f>IF(tblSalaries[[#This Row],[Job Type]]=tblSalaries[[#Headers],[Consultant]],tblSalaries[[#This Row],[Salary in USD]],"")</f>
        <v/>
      </c>
      <c r="X947" s="13" t="str">
        <f>IF(tblSalaries[[#This Row],[Job Type]]=tblSalaries[[#Headers],[Controller]],tblSalaries[[#This Row],[Salary in USD]],"")</f>
        <v/>
      </c>
      <c r="Y947" s="13" t="str">
        <f>IF(tblSalaries[[#This Row],[Job Type]]=tblSalaries[[#Headers],[CXO or Top Mgmt.]],tblSalaries[[#This Row],[clean Salary (in local currency)]],"")</f>
        <v/>
      </c>
      <c r="Z947" s="13" t="str">
        <f>IF(tblSalaries[[#This Row],[Job Type]]=tblSalaries[[#Headers],[Engineer]],tblSalaries[[#This Row],[Salary in USD]],"")</f>
        <v/>
      </c>
      <c r="AA947" s="13" t="str">
        <f>IF(tblSalaries[[#This Row],[Job Type]]=tblSalaries[[#Headers],[Manager]],tblSalaries[[#This Row],[Salary in USD]],"")</f>
        <v/>
      </c>
      <c r="AB947" s="13" t="str">
        <f>IF(tblSalaries[[#This Row],[Job Type]]=tblSalaries[[#Headers],[Misc.]],tblSalaries[[#This Row],[Salary in USD]],"")</f>
        <v/>
      </c>
      <c r="AC947" s="13" t="str">
        <f>IF(tblSalaries[[#This Row],[Job Type]]=tblSalaries[[#Headers],[Reporting]],tblSalaries[[#This Row],[Salary in USD]],"")</f>
        <v/>
      </c>
      <c r="AD947" s="13" t="str">
        <f>IF(tblSalaries[[#This Row],[Job Type]]=tblSalaries[[#Headers],[Specialist]],tblSalaries[[#This Row],[Salary in USD]],"")</f>
        <v/>
      </c>
    </row>
    <row r="948" spans="2:30" ht="15" customHeight="1" x14ac:dyDescent="0.25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 s="9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  <c r="N948" t="str">
        <f>IF(tblSalaries[[#This Row],[Years of Experience]]="","",IF(tblSalaries[[#This Row],[Years of Experience]]&lt;=2,1,""))</f>
        <v/>
      </c>
      <c r="O948" t="str">
        <f>IF(tblSalaries[[#This Row],[Years of Experience]]="","",IF(AND(tblSalaries[[#This Row],[Years of Experience]]&gt;2,tblSalaries[[#This Row],[Years of Experience]]&lt;=5),1,""))</f>
        <v/>
      </c>
      <c r="P948" t="str">
        <f>IF(tblSalaries[[#This Row],[Years of Experience]]="","",IF(AND(tblSalaries[[#This Row],[Years of Experience]]&gt;5,tblSalaries[[#This Row],[Years of Experience]]&lt;=10),1,""))</f>
        <v/>
      </c>
      <c r="Q948">
        <f>IF(tblSalaries[[#This Row],[Years of Experience]]="","",IF(AND(tblSalaries[[#This Row],[Years of Experience]]&gt;10,tblSalaries[[#This Row],[Years of Experience]]&lt;=15),1,""))</f>
        <v>1</v>
      </c>
      <c r="R948" t="str">
        <f>IF(tblSalaries[[#This Row],[Years of Experience]]="","",IF(AND(tblSalaries[[#This Row],[Years of Experience]]&gt;16,tblSalaries[[#This Row],[Years of Experience]]&lt;=20),1,""))</f>
        <v/>
      </c>
      <c r="S948" t="str">
        <f>IF(tblSalaries[[#This Row],[Years of Experience]]="","",IF(tblSalaries[[#This Row],[Years of Experience]]&gt;20,1,""))</f>
        <v/>
      </c>
      <c r="T9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48" s="13" t="str">
        <f>IF(tblSalaries[[#This Row],[Job Type]]=tblSalaries[[#Headers],[Accountant]],tblSalaries[[#This Row],[Salary in USD]],"")</f>
        <v/>
      </c>
      <c r="V948" s="13">
        <f>IF(tblSalaries[[#This Row],[Job Type]]=tblSalaries[[#Headers],[Analyst]],tblSalaries[[#This Row],[Salary in USD]],"")</f>
        <v>91791.869076237213</v>
      </c>
      <c r="W948" s="13" t="str">
        <f>IF(tblSalaries[[#This Row],[Job Type]]=tblSalaries[[#Headers],[Consultant]],tblSalaries[[#This Row],[Salary in USD]],"")</f>
        <v/>
      </c>
      <c r="X948" s="13" t="str">
        <f>IF(tblSalaries[[#This Row],[Job Type]]=tblSalaries[[#Headers],[Controller]],tblSalaries[[#This Row],[Salary in USD]],"")</f>
        <v/>
      </c>
      <c r="Y948" s="13" t="str">
        <f>IF(tblSalaries[[#This Row],[Job Type]]=tblSalaries[[#Headers],[CXO or Top Mgmt.]],tblSalaries[[#This Row],[clean Salary (in local currency)]],"")</f>
        <v/>
      </c>
      <c r="Z948" s="13" t="str">
        <f>IF(tblSalaries[[#This Row],[Job Type]]=tblSalaries[[#Headers],[Engineer]],tblSalaries[[#This Row],[Salary in USD]],"")</f>
        <v/>
      </c>
      <c r="AA948" s="13" t="str">
        <f>IF(tblSalaries[[#This Row],[Job Type]]=tblSalaries[[#Headers],[Manager]],tblSalaries[[#This Row],[Salary in USD]],"")</f>
        <v/>
      </c>
      <c r="AB948" s="13" t="str">
        <f>IF(tblSalaries[[#This Row],[Job Type]]=tblSalaries[[#Headers],[Misc.]],tblSalaries[[#This Row],[Salary in USD]],"")</f>
        <v/>
      </c>
      <c r="AC948" s="13" t="str">
        <f>IF(tblSalaries[[#This Row],[Job Type]]=tblSalaries[[#Headers],[Reporting]],tblSalaries[[#This Row],[Salary in USD]],"")</f>
        <v/>
      </c>
      <c r="AD948" s="13" t="str">
        <f>IF(tblSalaries[[#This Row],[Job Type]]=tblSalaries[[#Headers],[Specialist]],tblSalaries[[#This Row],[Salary in USD]],"")</f>
        <v/>
      </c>
    </row>
    <row r="949" spans="2:30" ht="15" customHeight="1" x14ac:dyDescent="0.25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 s="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  <c r="N949">
        <f>IF(tblSalaries[[#This Row],[Years of Experience]]="","",IF(tblSalaries[[#This Row],[Years of Experience]]&lt;=2,1,""))</f>
        <v>1</v>
      </c>
      <c r="O949" t="str">
        <f>IF(tblSalaries[[#This Row],[Years of Experience]]="","",IF(AND(tblSalaries[[#This Row],[Years of Experience]]&gt;2,tblSalaries[[#This Row],[Years of Experience]]&lt;=5),1,""))</f>
        <v/>
      </c>
      <c r="P949" t="str">
        <f>IF(tblSalaries[[#This Row],[Years of Experience]]="","",IF(AND(tblSalaries[[#This Row],[Years of Experience]]&gt;5,tblSalaries[[#This Row],[Years of Experience]]&lt;=10),1,""))</f>
        <v/>
      </c>
      <c r="Q949" t="str">
        <f>IF(tblSalaries[[#This Row],[Years of Experience]]="","",IF(AND(tblSalaries[[#This Row],[Years of Experience]]&gt;10,tblSalaries[[#This Row],[Years of Experience]]&lt;=15),1,""))</f>
        <v/>
      </c>
      <c r="R949" t="str">
        <f>IF(tblSalaries[[#This Row],[Years of Experience]]="","",IF(AND(tblSalaries[[#This Row],[Years of Experience]]&gt;16,tblSalaries[[#This Row],[Years of Experience]]&lt;=20),1,""))</f>
        <v/>
      </c>
      <c r="S949" t="str">
        <f>IF(tblSalaries[[#This Row],[Years of Experience]]="","",IF(tblSalaries[[#This Row],[Years of Experience]]&gt;20,1,""))</f>
        <v/>
      </c>
      <c r="T9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49" s="13" t="str">
        <f>IF(tblSalaries[[#This Row],[Job Type]]=tblSalaries[[#Headers],[Accountant]],tblSalaries[[#This Row],[Salary in USD]],"")</f>
        <v/>
      </c>
      <c r="V949" s="13">
        <f>IF(tblSalaries[[#This Row],[Job Type]]=tblSalaries[[#Headers],[Analyst]],tblSalaries[[#This Row],[Salary in USD]],"")</f>
        <v>15000</v>
      </c>
      <c r="W949" s="13" t="str">
        <f>IF(tblSalaries[[#This Row],[Job Type]]=tblSalaries[[#Headers],[Consultant]],tblSalaries[[#This Row],[Salary in USD]],"")</f>
        <v/>
      </c>
      <c r="X949" s="13" t="str">
        <f>IF(tblSalaries[[#This Row],[Job Type]]=tblSalaries[[#Headers],[Controller]],tblSalaries[[#This Row],[Salary in USD]],"")</f>
        <v/>
      </c>
      <c r="Y949" s="13" t="str">
        <f>IF(tblSalaries[[#This Row],[Job Type]]=tblSalaries[[#Headers],[CXO or Top Mgmt.]],tblSalaries[[#This Row],[clean Salary (in local currency)]],"")</f>
        <v/>
      </c>
      <c r="Z949" s="13" t="str">
        <f>IF(tblSalaries[[#This Row],[Job Type]]=tblSalaries[[#Headers],[Engineer]],tblSalaries[[#This Row],[Salary in USD]],"")</f>
        <v/>
      </c>
      <c r="AA949" s="13" t="str">
        <f>IF(tblSalaries[[#This Row],[Job Type]]=tblSalaries[[#Headers],[Manager]],tblSalaries[[#This Row],[Salary in USD]],"")</f>
        <v/>
      </c>
      <c r="AB949" s="13" t="str">
        <f>IF(tblSalaries[[#This Row],[Job Type]]=tblSalaries[[#Headers],[Misc.]],tblSalaries[[#This Row],[Salary in USD]],"")</f>
        <v/>
      </c>
      <c r="AC949" s="13" t="str">
        <f>IF(tblSalaries[[#This Row],[Job Type]]=tblSalaries[[#Headers],[Reporting]],tblSalaries[[#This Row],[Salary in USD]],"")</f>
        <v/>
      </c>
      <c r="AD949" s="13" t="str">
        <f>IF(tblSalaries[[#This Row],[Job Type]]=tblSalaries[[#Headers],[Specialist]],tblSalaries[[#This Row],[Salary in USD]],"")</f>
        <v/>
      </c>
    </row>
    <row r="950" spans="2:30" ht="15" customHeight="1" x14ac:dyDescent="0.25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 s="9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  <c r="N950" t="str">
        <f>IF(tblSalaries[[#This Row],[Years of Experience]]="","",IF(tblSalaries[[#This Row],[Years of Experience]]&lt;=2,1,""))</f>
        <v/>
      </c>
      <c r="O950">
        <f>IF(tblSalaries[[#This Row],[Years of Experience]]="","",IF(AND(tblSalaries[[#This Row],[Years of Experience]]&gt;2,tblSalaries[[#This Row],[Years of Experience]]&lt;=5),1,""))</f>
        <v>1</v>
      </c>
      <c r="P950" t="str">
        <f>IF(tblSalaries[[#This Row],[Years of Experience]]="","",IF(AND(tblSalaries[[#This Row],[Years of Experience]]&gt;5,tblSalaries[[#This Row],[Years of Experience]]&lt;=10),1,""))</f>
        <v/>
      </c>
      <c r="Q950" t="str">
        <f>IF(tblSalaries[[#This Row],[Years of Experience]]="","",IF(AND(tblSalaries[[#This Row],[Years of Experience]]&gt;10,tblSalaries[[#This Row],[Years of Experience]]&lt;=15),1,""))</f>
        <v/>
      </c>
      <c r="R950" t="str">
        <f>IF(tblSalaries[[#This Row],[Years of Experience]]="","",IF(AND(tblSalaries[[#This Row],[Years of Experience]]&gt;16,tblSalaries[[#This Row],[Years of Experience]]&lt;=20),1,""))</f>
        <v/>
      </c>
      <c r="S950" t="str">
        <f>IF(tblSalaries[[#This Row],[Years of Experience]]="","",IF(tblSalaries[[#This Row],[Years of Experience]]&gt;20,1,""))</f>
        <v/>
      </c>
      <c r="T9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50" s="13" t="str">
        <f>IF(tblSalaries[[#This Row],[Job Type]]=tblSalaries[[#Headers],[Accountant]],tblSalaries[[#This Row],[Salary in USD]],"")</f>
        <v/>
      </c>
      <c r="V950" s="13" t="str">
        <f>IF(tblSalaries[[#This Row],[Job Type]]=tblSalaries[[#Headers],[Analyst]],tblSalaries[[#This Row],[Salary in USD]],"")</f>
        <v/>
      </c>
      <c r="W950" s="13" t="str">
        <f>IF(tblSalaries[[#This Row],[Job Type]]=tblSalaries[[#Headers],[Consultant]],tblSalaries[[#This Row],[Salary in USD]],"")</f>
        <v/>
      </c>
      <c r="X950" s="13" t="str">
        <f>IF(tblSalaries[[#This Row],[Job Type]]=tblSalaries[[#Headers],[Controller]],tblSalaries[[#This Row],[Salary in USD]],"")</f>
        <v/>
      </c>
      <c r="Y950" s="13" t="str">
        <f>IF(tblSalaries[[#This Row],[Job Type]]=tblSalaries[[#Headers],[CXO or Top Mgmt.]],tblSalaries[[#This Row],[clean Salary (in local currency)]],"")</f>
        <v/>
      </c>
      <c r="Z950" s="13" t="str">
        <f>IF(tblSalaries[[#This Row],[Job Type]]=tblSalaries[[#Headers],[Engineer]],tblSalaries[[#This Row],[Salary in USD]],"")</f>
        <v/>
      </c>
      <c r="AA950" s="13">
        <f>IF(tblSalaries[[#This Row],[Job Type]]=tblSalaries[[#Headers],[Manager]],tblSalaries[[#This Row],[Salary in USD]],"")</f>
        <v>66294.12766617132</v>
      </c>
      <c r="AB950" s="13" t="str">
        <f>IF(tblSalaries[[#This Row],[Job Type]]=tblSalaries[[#Headers],[Misc.]],tblSalaries[[#This Row],[Salary in USD]],"")</f>
        <v/>
      </c>
      <c r="AC950" s="13" t="str">
        <f>IF(tblSalaries[[#This Row],[Job Type]]=tblSalaries[[#Headers],[Reporting]],tblSalaries[[#This Row],[Salary in USD]],"")</f>
        <v/>
      </c>
      <c r="AD950" s="13" t="str">
        <f>IF(tblSalaries[[#This Row],[Job Type]]=tblSalaries[[#Headers],[Specialist]],tblSalaries[[#This Row],[Salary in USD]],"")</f>
        <v/>
      </c>
    </row>
    <row r="951" spans="2:30" ht="15" customHeight="1" x14ac:dyDescent="0.25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 s="9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  <c r="N951" t="str">
        <f>IF(tblSalaries[[#This Row],[Years of Experience]]="","",IF(tblSalaries[[#This Row],[Years of Experience]]&lt;=2,1,""))</f>
        <v/>
      </c>
      <c r="O951" t="str">
        <f>IF(tblSalaries[[#This Row],[Years of Experience]]="","",IF(AND(tblSalaries[[#This Row],[Years of Experience]]&gt;2,tblSalaries[[#This Row],[Years of Experience]]&lt;=5),1,""))</f>
        <v/>
      </c>
      <c r="P951">
        <f>IF(tblSalaries[[#This Row],[Years of Experience]]="","",IF(AND(tblSalaries[[#This Row],[Years of Experience]]&gt;5,tblSalaries[[#This Row],[Years of Experience]]&lt;=10),1,""))</f>
        <v>1</v>
      </c>
      <c r="Q951" t="str">
        <f>IF(tblSalaries[[#This Row],[Years of Experience]]="","",IF(AND(tblSalaries[[#This Row],[Years of Experience]]&gt;10,tblSalaries[[#This Row],[Years of Experience]]&lt;=15),1,""))</f>
        <v/>
      </c>
      <c r="R951" t="str">
        <f>IF(tblSalaries[[#This Row],[Years of Experience]]="","",IF(AND(tblSalaries[[#This Row],[Years of Experience]]&gt;16,tblSalaries[[#This Row],[Years of Experience]]&lt;=20),1,""))</f>
        <v/>
      </c>
      <c r="S951" t="str">
        <f>IF(tblSalaries[[#This Row],[Years of Experience]]="","",IF(tblSalaries[[#This Row],[Years of Experience]]&gt;20,1,""))</f>
        <v/>
      </c>
      <c r="T9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51" s="13" t="str">
        <f>IF(tblSalaries[[#This Row],[Job Type]]=tblSalaries[[#Headers],[Accountant]],tblSalaries[[#This Row],[Salary in USD]],"")</f>
        <v/>
      </c>
      <c r="V951" s="13" t="str">
        <f>IF(tblSalaries[[#This Row],[Job Type]]=tblSalaries[[#Headers],[Analyst]],tblSalaries[[#This Row],[Salary in USD]],"")</f>
        <v/>
      </c>
      <c r="W951" s="13">
        <f>IF(tblSalaries[[#This Row],[Job Type]]=tblSalaries[[#Headers],[Consultant]],tblSalaries[[#This Row],[Salary in USD]],"")</f>
        <v>101990.96564026357</v>
      </c>
      <c r="X951" s="13" t="str">
        <f>IF(tblSalaries[[#This Row],[Job Type]]=tblSalaries[[#Headers],[Controller]],tblSalaries[[#This Row],[Salary in USD]],"")</f>
        <v/>
      </c>
      <c r="Y951" s="13" t="str">
        <f>IF(tblSalaries[[#This Row],[Job Type]]=tblSalaries[[#Headers],[CXO or Top Mgmt.]],tblSalaries[[#This Row],[clean Salary (in local currency)]],"")</f>
        <v/>
      </c>
      <c r="Z951" s="13" t="str">
        <f>IF(tblSalaries[[#This Row],[Job Type]]=tblSalaries[[#Headers],[Engineer]],tblSalaries[[#This Row],[Salary in USD]],"")</f>
        <v/>
      </c>
      <c r="AA951" s="13" t="str">
        <f>IF(tblSalaries[[#This Row],[Job Type]]=tblSalaries[[#Headers],[Manager]],tblSalaries[[#This Row],[Salary in USD]],"")</f>
        <v/>
      </c>
      <c r="AB951" s="13" t="str">
        <f>IF(tblSalaries[[#This Row],[Job Type]]=tblSalaries[[#Headers],[Misc.]],tblSalaries[[#This Row],[Salary in USD]],"")</f>
        <v/>
      </c>
      <c r="AC951" s="13" t="str">
        <f>IF(tblSalaries[[#This Row],[Job Type]]=tblSalaries[[#Headers],[Reporting]],tblSalaries[[#This Row],[Salary in USD]],"")</f>
        <v/>
      </c>
      <c r="AD951" s="13" t="str">
        <f>IF(tblSalaries[[#This Row],[Job Type]]=tblSalaries[[#Headers],[Specialist]],tblSalaries[[#This Row],[Salary in USD]],"")</f>
        <v/>
      </c>
    </row>
    <row r="952" spans="2:30" ht="15" customHeight="1" x14ac:dyDescent="0.25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 s="9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  <c r="N952" t="str">
        <f>IF(tblSalaries[[#This Row],[Years of Experience]]="","",IF(tblSalaries[[#This Row],[Years of Experience]]&lt;=2,1,""))</f>
        <v/>
      </c>
      <c r="O952">
        <f>IF(tblSalaries[[#This Row],[Years of Experience]]="","",IF(AND(tblSalaries[[#This Row],[Years of Experience]]&gt;2,tblSalaries[[#This Row],[Years of Experience]]&lt;=5),1,""))</f>
        <v>1</v>
      </c>
      <c r="P952" t="str">
        <f>IF(tblSalaries[[#This Row],[Years of Experience]]="","",IF(AND(tblSalaries[[#This Row],[Years of Experience]]&gt;5,tblSalaries[[#This Row],[Years of Experience]]&lt;=10),1,""))</f>
        <v/>
      </c>
      <c r="Q952" t="str">
        <f>IF(tblSalaries[[#This Row],[Years of Experience]]="","",IF(AND(tblSalaries[[#This Row],[Years of Experience]]&gt;10,tblSalaries[[#This Row],[Years of Experience]]&lt;=15),1,""))</f>
        <v/>
      </c>
      <c r="R952" t="str">
        <f>IF(tblSalaries[[#This Row],[Years of Experience]]="","",IF(AND(tblSalaries[[#This Row],[Years of Experience]]&gt;16,tblSalaries[[#This Row],[Years of Experience]]&lt;=20),1,""))</f>
        <v/>
      </c>
      <c r="S952" t="str">
        <f>IF(tblSalaries[[#This Row],[Years of Experience]]="","",IF(tblSalaries[[#This Row],[Years of Experience]]&gt;20,1,""))</f>
        <v/>
      </c>
      <c r="T9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52" s="13" t="str">
        <f>IF(tblSalaries[[#This Row],[Job Type]]=tblSalaries[[#Headers],[Accountant]],tblSalaries[[#This Row],[Salary in USD]],"")</f>
        <v/>
      </c>
      <c r="V952" s="13" t="str">
        <f>IF(tblSalaries[[#This Row],[Job Type]]=tblSalaries[[#Headers],[Analyst]],tblSalaries[[#This Row],[Salary in USD]],"")</f>
        <v/>
      </c>
      <c r="W952" s="13" t="str">
        <f>IF(tblSalaries[[#This Row],[Job Type]]=tblSalaries[[#Headers],[Consultant]],tblSalaries[[#This Row],[Salary in USD]],"")</f>
        <v/>
      </c>
      <c r="X952" s="13" t="str">
        <f>IF(tblSalaries[[#This Row],[Job Type]]=tblSalaries[[#Headers],[Controller]],tblSalaries[[#This Row],[Salary in USD]],"")</f>
        <v/>
      </c>
      <c r="Y952" s="13" t="str">
        <f>IF(tblSalaries[[#This Row],[Job Type]]=tblSalaries[[#Headers],[CXO or Top Mgmt.]],tblSalaries[[#This Row],[clean Salary (in local currency)]],"")</f>
        <v/>
      </c>
      <c r="Z952" s="13" t="str">
        <f>IF(tblSalaries[[#This Row],[Job Type]]=tblSalaries[[#Headers],[Engineer]],tblSalaries[[#This Row],[Salary in USD]],"")</f>
        <v/>
      </c>
      <c r="AA952" s="13">
        <f>IF(tblSalaries[[#This Row],[Job Type]]=tblSalaries[[#Headers],[Manager]],tblSalaries[[#This Row],[Salary in USD]],"")</f>
        <v>60000</v>
      </c>
      <c r="AB952" s="13" t="str">
        <f>IF(tblSalaries[[#This Row],[Job Type]]=tblSalaries[[#Headers],[Misc.]],tblSalaries[[#This Row],[Salary in USD]],"")</f>
        <v/>
      </c>
      <c r="AC952" s="13" t="str">
        <f>IF(tblSalaries[[#This Row],[Job Type]]=tblSalaries[[#Headers],[Reporting]],tblSalaries[[#This Row],[Salary in USD]],"")</f>
        <v/>
      </c>
      <c r="AD952" s="13" t="str">
        <f>IF(tblSalaries[[#This Row],[Job Type]]=tblSalaries[[#Headers],[Specialist]],tblSalaries[[#This Row],[Salary in USD]],"")</f>
        <v/>
      </c>
    </row>
    <row r="953" spans="2:30" ht="15" customHeight="1" x14ac:dyDescent="0.25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 s="9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  <c r="N953">
        <f>IF(tblSalaries[[#This Row],[Years of Experience]]="","",IF(tblSalaries[[#This Row],[Years of Experience]]&lt;=2,1,""))</f>
        <v>1</v>
      </c>
      <c r="O953" t="str">
        <f>IF(tblSalaries[[#This Row],[Years of Experience]]="","",IF(AND(tblSalaries[[#This Row],[Years of Experience]]&gt;2,tblSalaries[[#This Row],[Years of Experience]]&lt;=5),1,""))</f>
        <v/>
      </c>
      <c r="P953" t="str">
        <f>IF(tblSalaries[[#This Row],[Years of Experience]]="","",IF(AND(tblSalaries[[#This Row],[Years of Experience]]&gt;5,tblSalaries[[#This Row],[Years of Experience]]&lt;=10),1,""))</f>
        <v/>
      </c>
      <c r="Q953" t="str">
        <f>IF(tblSalaries[[#This Row],[Years of Experience]]="","",IF(AND(tblSalaries[[#This Row],[Years of Experience]]&gt;10,tblSalaries[[#This Row],[Years of Experience]]&lt;=15),1,""))</f>
        <v/>
      </c>
      <c r="R953" t="str">
        <f>IF(tblSalaries[[#This Row],[Years of Experience]]="","",IF(AND(tblSalaries[[#This Row],[Years of Experience]]&gt;16,tblSalaries[[#This Row],[Years of Experience]]&lt;=20),1,""))</f>
        <v/>
      </c>
      <c r="S953" t="str">
        <f>IF(tblSalaries[[#This Row],[Years of Experience]]="","",IF(tblSalaries[[#This Row],[Years of Experience]]&gt;20,1,""))</f>
        <v/>
      </c>
      <c r="T9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53" s="13" t="str">
        <f>IF(tblSalaries[[#This Row],[Job Type]]=tblSalaries[[#Headers],[Accountant]],tblSalaries[[#This Row],[Salary in USD]],"")</f>
        <v/>
      </c>
      <c r="V953" s="13" t="str">
        <f>IF(tblSalaries[[#This Row],[Job Type]]=tblSalaries[[#Headers],[Analyst]],tblSalaries[[#This Row],[Salary in USD]],"")</f>
        <v/>
      </c>
      <c r="W953" s="13" t="str">
        <f>IF(tblSalaries[[#This Row],[Job Type]]=tblSalaries[[#Headers],[Consultant]],tblSalaries[[#This Row],[Salary in USD]],"")</f>
        <v/>
      </c>
      <c r="X953" s="13" t="str">
        <f>IF(tblSalaries[[#This Row],[Job Type]]=tblSalaries[[#Headers],[Controller]],tblSalaries[[#This Row],[Salary in USD]],"")</f>
        <v/>
      </c>
      <c r="Y953" s="13" t="str">
        <f>IF(tblSalaries[[#This Row],[Job Type]]=tblSalaries[[#Headers],[CXO or Top Mgmt.]],tblSalaries[[#This Row],[clean Salary (in local currency)]],"")</f>
        <v/>
      </c>
      <c r="Z953" s="13" t="str">
        <f>IF(tblSalaries[[#This Row],[Job Type]]=tblSalaries[[#Headers],[Engineer]],tblSalaries[[#This Row],[Salary in USD]],"")</f>
        <v/>
      </c>
      <c r="AA953" s="13">
        <f>IF(tblSalaries[[#This Row],[Job Type]]=tblSalaries[[#Headers],[Manager]],tblSalaries[[#This Row],[Salary in USD]],"")</f>
        <v>43856.11522531334</v>
      </c>
      <c r="AB953" s="13" t="str">
        <f>IF(tblSalaries[[#This Row],[Job Type]]=tblSalaries[[#Headers],[Misc.]],tblSalaries[[#This Row],[Salary in USD]],"")</f>
        <v/>
      </c>
      <c r="AC953" s="13" t="str">
        <f>IF(tblSalaries[[#This Row],[Job Type]]=tblSalaries[[#Headers],[Reporting]],tblSalaries[[#This Row],[Salary in USD]],"")</f>
        <v/>
      </c>
      <c r="AD953" s="13" t="str">
        <f>IF(tblSalaries[[#This Row],[Job Type]]=tblSalaries[[#Headers],[Specialist]],tblSalaries[[#This Row],[Salary in USD]],"")</f>
        <v/>
      </c>
    </row>
    <row r="954" spans="2:30" ht="15" customHeight="1" x14ac:dyDescent="0.25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 s="9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  <c r="N954">
        <f>IF(tblSalaries[[#This Row],[Years of Experience]]="","",IF(tblSalaries[[#This Row],[Years of Experience]]&lt;=2,1,""))</f>
        <v>1</v>
      </c>
      <c r="O954" t="str">
        <f>IF(tblSalaries[[#This Row],[Years of Experience]]="","",IF(AND(tblSalaries[[#This Row],[Years of Experience]]&gt;2,tblSalaries[[#This Row],[Years of Experience]]&lt;=5),1,""))</f>
        <v/>
      </c>
      <c r="P954" t="str">
        <f>IF(tblSalaries[[#This Row],[Years of Experience]]="","",IF(AND(tblSalaries[[#This Row],[Years of Experience]]&gt;5,tblSalaries[[#This Row],[Years of Experience]]&lt;=10),1,""))</f>
        <v/>
      </c>
      <c r="Q954" t="str">
        <f>IF(tblSalaries[[#This Row],[Years of Experience]]="","",IF(AND(tblSalaries[[#This Row],[Years of Experience]]&gt;10,tblSalaries[[#This Row],[Years of Experience]]&lt;=15),1,""))</f>
        <v/>
      </c>
      <c r="R954" t="str">
        <f>IF(tblSalaries[[#This Row],[Years of Experience]]="","",IF(AND(tblSalaries[[#This Row],[Years of Experience]]&gt;16,tblSalaries[[#This Row],[Years of Experience]]&lt;=20),1,""))</f>
        <v/>
      </c>
      <c r="S954" t="str">
        <f>IF(tblSalaries[[#This Row],[Years of Experience]]="","",IF(tblSalaries[[#This Row],[Years of Experience]]&gt;20,1,""))</f>
        <v/>
      </c>
      <c r="T9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54" s="13" t="str">
        <f>IF(tblSalaries[[#This Row],[Job Type]]=tblSalaries[[#Headers],[Accountant]],tblSalaries[[#This Row],[Salary in USD]],"")</f>
        <v/>
      </c>
      <c r="V954" s="13">
        <f>IF(tblSalaries[[#This Row],[Job Type]]=tblSalaries[[#Headers],[Analyst]],tblSalaries[[#This Row],[Salary in USD]],"")</f>
        <v>45616</v>
      </c>
      <c r="W954" s="13" t="str">
        <f>IF(tblSalaries[[#This Row],[Job Type]]=tblSalaries[[#Headers],[Consultant]],tblSalaries[[#This Row],[Salary in USD]],"")</f>
        <v/>
      </c>
      <c r="X954" s="13" t="str">
        <f>IF(tblSalaries[[#This Row],[Job Type]]=tblSalaries[[#Headers],[Controller]],tblSalaries[[#This Row],[Salary in USD]],"")</f>
        <v/>
      </c>
      <c r="Y954" s="13" t="str">
        <f>IF(tblSalaries[[#This Row],[Job Type]]=tblSalaries[[#Headers],[CXO or Top Mgmt.]],tblSalaries[[#This Row],[clean Salary (in local currency)]],"")</f>
        <v/>
      </c>
      <c r="Z954" s="13" t="str">
        <f>IF(tblSalaries[[#This Row],[Job Type]]=tblSalaries[[#Headers],[Engineer]],tblSalaries[[#This Row],[Salary in USD]],"")</f>
        <v/>
      </c>
      <c r="AA954" s="13" t="str">
        <f>IF(tblSalaries[[#This Row],[Job Type]]=tblSalaries[[#Headers],[Manager]],tblSalaries[[#This Row],[Salary in USD]],"")</f>
        <v/>
      </c>
      <c r="AB954" s="13" t="str">
        <f>IF(tblSalaries[[#This Row],[Job Type]]=tblSalaries[[#Headers],[Misc.]],tblSalaries[[#This Row],[Salary in USD]],"")</f>
        <v/>
      </c>
      <c r="AC954" s="13" t="str">
        <f>IF(tblSalaries[[#This Row],[Job Type]]=tblSalaries[[#Headers],[Reporting]],tblSalaries[[#This Row],[Salary in USD]],"")</f>
        <v/>
      </c>
      <c r="AD954" s="13" t="str">
        <f>IF(tblSalaries[[#This Row],[Job Type]]=tblSalaries[[#Headers],[Specialist]],tblSalaries[[#This Row],[Salary in USD]],"")</f>
        <v/>
      </c>
    </row>
    <row r="955" spans="2:30" ht="15" customHeight="1" x14ac:dyDescent="0.25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 s="9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  <c r="N955" t="str">
        <f>IF(tblSalaries[[#This Row],[Years of Experience]]="","",IF(tblSalaries[[#This Row],[Years of Experience]]&lt;=2,1,""))</f>
        <v/>
      </c>
      <c r="O955" t="str">
        <f>IF(tblSalaries[[#This Row],[Years of Experience]]="","",IF(AND(tblSalaries[[#This Row],[Years of Experience]]&gt;2,tblSalaries[[#This Row],[Years of Experience]]&lt;=5),1,""))</f>
        <v/>
      </c>
      <c r="P955" t="str">
        <f>IF(tblSalaries[[#This Row],[Years of Experience]]="","",IF(AND(tblSalaries[[#This Row],[Years of Experience]]&gt;5,tblSalaries[[#This Row],[Years of Experience]]&lt;=10),1,""))</f>
        <v/>
      </c>
      <c r="Q955" t="str">
        <f>IF(tblSalaries[[#This Row],[Years of Experience]]="","",IF(AND(tblSalaries[[#This Row],[Years of Experience]]&gt;10,tblSalaries[[#This Row],[Years of Experience]]&lt;=15),1,""))</f>
        <v/>
      </c>
      <c r="R955">
        <f>IF(tblSalaries[[#This Row],[Years of Experience]]="","",IF(AND(tblSalaries[[#This Row],[Years of Experience]]&gt;16,tblSalaries[[#This Row],[Years of Experience]]&lt;=20),1,""))</f>
        <v>1</v>
      </c>
      <c r="S955" t="str">
        <f>IF(tblSalaries[[#This Row],[Years of Experience]]="","",IF(tblSalaries[[#This Row],[Years of Experience]]&gt;20,1,""))</f>
        <v/>
      </c>
      <c r="T9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55" s="13">
        <f>IF(tblSalaries[[#This Row],[Job Type]]=tblSalaries[[#Headers],[Accountant]],tblSalaries[[#This Row],[Salary in USD]],"")</f>
        <v>75770.868892469181</v>
      </c>
      <c r="V955" s="13" t="str">
        <f>IF(tblSalaries[[#This Row],[Job Type]]=tblSalaries[[#Headers],[Analyst]],tblSalaries[[#This Row],[Salary in USD]],"")</f>
        <v/>
      </c>
      <c r="W955" s="13" t="str">
        <f>IF(tblSalaries[[#This Row],[Job Type]]=tblSalaries[[#Headers],[Consultant]],tblSalaries[[#This Row],[Salary in USD]],"")</f>
        <v/>
      </c>
      <c r="X955" s="13" t="str">
        <f>IF(tblSalaries[[#This Row],[Job Type]]=tblSalaries[[#Headers],[Controller]],tblSalaries[[#This Row],[Salary in USD]],"")</f>
        <v/>
      </c>
      <c r="Y955" s="13" t="str">
        <f>IF(tblSalaries[[#This Row],[Job Type]]=tblSalaries[[#Headers],[CXO or Top Mgmt.]],tblSalaries[[#This Row],[clean Salary (in local currency)]],"")</f>
        <v/>
      </c>
      <c r="Z955" s="13" t="str">
        <f>IF(tblSalaries[[#This Row],[Job Type]]=tblSalaries[[#Headers],[Engineer]],tblSalaries[[#This Row],[Salary in USD]],"")</f>
        <v/>
      </c>
      <c r="AA955" s="13" t="str">
        <f>IF(tblSalaries[[#This Row],[Job Type]]=tblSalaries[[#Headers],[Manager]],tblSalaries[[#This Row],[Salary in USD]],"")</f>
        <v/>
      </c>
      <c r="AB955" s="13" t="str">
        <f>IF(tblSalaries[[#This Row],[Job Type]]=tblSalaries[[#Headers],[Misc.]],tblSalaries[[#This Row],[Salary in USD]],"")</f>
        <v/>
      </c>
      <c r="AC955" s="13" t="str">
        <f>IF(tblSalaries[[#This Row],[Job Type]]=tblSalaries[[#Headers],[Reporting]],tblSalaries[[#This Row],[Salary in USD]],"")</f>
        <v/>
      </c>
      <c r="AD955" s="13" t="str">
        <f>IF(tblSalaries[[#This Row],[Job Type]]=tblSalaries[[#Headers],[Specialist]],tblSalaries[[#This Row],[Salary in USD]],"")</f>
        <v/>
      </c>
    </row>
    <row r="956" spans="2:30" ht="15" customHeight="1" x14ac:dyDescent="0.25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 s="9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  <c r="N956">
        <f>IF(tblSalaries[[#This Row],[Years of Experience]]="","",IF(tblSalaries[[#This Row],[Years of Experience]]&lt;=2,1,""))</f>
        <v>1</v>
      </c>
      <c r="O956" t="str">
        <f>IF(tblSalaries[[#This Row],[Years of Experience]]="","",IF(AND(tblSalaries[[#This Row],[Years of Experience]]&gt;2,tblSalaries[[#This Row],[Years of Experience]]&lt;=5),1,""))</f>
        <v/>
      </c>
      <c r="P956" t="str">
        <f>IF(tblSalaries[[#This Row],[Years of Experience]]="","",IF(AND(tblSalaries[[#This Row],[Years of Experience]]&gt;5,tblSalaries[[#This Row],[Years of Experience]]&lt;=10),1,""))</f>
        <v/>
      </c>
      <c r="Q956" t="str">
        <f>IF(tblSalaries[[#This Row],[Years of Experience]]="","",IF(AND(tblSalaries[[#This Row],[Years of Experience]]&gt;10,tblSalaries[[#This Row],[Years of Experience]]&lt;=15),1,""))</f>
        <v/>
      </c>
      <c r="R956" t="str">
        <f>IF(tblSalaries[[#This Row],[Years of Experience]]="","",IF(AND(tblSalaries[[#This Row],[Years of Experience]]&gt;16,tblSalaries[[#This Row],[Years of Experience]]&lt;=20),1,""))</f>
        <v/>
      </c>
      <c r="S956" t="str">
        <f>IF(tblSalaries[[#This Row],[Years of Experience]]="","",IF(tblSalaries[[#This Row],[Years of Experience]]&gt;20,1,""))</f>
        <v/>
      </c>
      <c r="T9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56" s="13" t="str">
        <f>IF(tblSalaries[[#This Row],[Job Type]]=tblSalaries[[#Headers],[Accountant]],tblSalaries[[#This Row],[Salary in USD]],"")</f>
        <v/>
      </c>
      <c r="V956" s="13" t="str">
        <f>IF(tblSalaries[[#This Row],[Job Type]]=tblSalaries[[#Headers],[Analyst]],tblSalaries[[#This Row],[Salary in USD]],"")</f>
        <v/>
      </c>
      <c r="W956" s="13" t="str">
        <f>IF(tblSalaries[[#This Row],[Job Type]]=tblSalaries[[#Headers],[Consultant]],tblSalaries[[#This Row],[Salary in USD]],"")</f>
        <v/>
      </c>
      <c r="X956" s="13" t="str">
        <f>IF(tblSalaries[[#This Row],[Job Type]]=tblSalaries[[#Headers],[Controller]],tblSalaries[[#This Row],[Salary in USD]],"")</f>
        <v/>
      </c>
      <c r="Y956" s="13" t="str">
        <f>IF(tblSalaries[[#This Row],[Job Type]]=tblSalaries[[#Headers],[CXO or Top Mgmt.]],tblSalaries[[#This Row],[clean Salary (in local currency)]],"")</f>
        <v/>
      </c>
      <c r="Z956" s="13" t="str">
        <f>IF(tblSalaries[[#This Row],[Job Type]]=tblSalaries[[#Headers],[Engineer]],tblSalaries[[#This Row],[Salary in USD]],"")</f>
        <v/>
      </c>
      <c r="AA956" s="13">
        <f>IF(tblSalaries[[#This Row],[Job Type]]=tblSalaries[[#Headers],[Manager]],tblSalaries[[#This Row],[Salary in USD]],"")</f>
        <v>57726.886552389187</v>
      </c>
      <c r="AB956" s="13" t="str">
        <f>IF(tblSalaries[[#This Row],[Job Type]]=tblSalaries[[#Headers],[Misc.]],tblSalaries[[#This Row],[Salary in USD]],"")</f>
        <v/>
      </c>
      <c r="AC956" s="13" t="str">
        <f>IF(tblSalaries[[#This Row],[Job Type]]=tblSalaries[[#Headers],[Reporting]],tblSalaries[[#This Row],[Salary in USD]],"")</f>
        <v/>
      </c>
      <c r="AD956" s="13" t="str">
        <f>IF(tblSalaries[[#This Row],[Job Type]]=tblSalaries[[#Headers],[Specialist]],tblSalaries[[#This Row],[Salary in USD]],"")</f>
        <v/>
      </c>
    </row>
    <row r="957" spans="2:30" ht="15" customHeight="1" x14ac:dyDescent="0.25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 s="9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  <c r="N957">
        <f>IF(tblSalaries[[#This Row],[Years of Experience]]="","",IF(tblSalaries[[#This Row],[Years of Experience]]&lt;=2,1,""))</f>
        <v>1</v>
      </c>
      <c r="O957" t="str">
        <f>IF(tblSalaries[[#This Row],[Years of Experience]]="","",IF(AND(tblSalaries[[#This Row],[Years of Experience]]&gt;2,tblSalaries[[#This Row],[Years of Experience]]&lt;=5),1,""))</f>
        <v/>
      </c>
      <c r="P957" t="str">
        <f>IF(tblSalaries[[#This Row],[Years of Experience]]="","",IF(AND(tblSalaries[[#This Row],[Years of Experience]]&gt;5,tblSalaries[[#This Row],[Years of Experience]]&lt;=10),1,""))</f>
        <v/>
      </c>
      <c r="Q957" t="str">
        <f>IF(tblSalaries[[#This Row],[Years of Experience]]="","",IF(AND(tblSalaries[[#This Row],[Years of Experience]]&gt;10,tblSalaries[[#This Row],[Years of Experience]]&lt;=15),1,""))</f>
        <v/>
      </c>
      <c r="R957" t="str">
        <f>IF(tblSalaries[[#This Row],[Years of Experience]]="","",IF(AND(tblSalaries[[#This Row],[Years of Experience]]&gt;16,tblSalaries[[#This Row],[Years of Experience]]&lt;=20),1,""))</f>
        <v/>
      </c>
      <c r="S957" t="str">
        <f>IF(tblSalaries[[#This Row],[Years of Experience]]="","",IF(tblSalaries[[#This Row],[Years of Experience]]&gt;20,1,""))</f>
        <v/>
      </c>
      <c r="T9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57" s="13" t="str">
        <f>IF(tblSalaries[[#This Row],[Job Type]]=tblSalaries[[#Headers],[Accountant]],tblSalaries[[#This Row],[Salary in USD]],"")</f>
        <v/>
      </c>
      <c r="V957" s="13">
        <f>IF(tblSalaries[[#This Row],[Job Type]]=tblSalaries[[#Headers],[Analyst]],tblSalaries[[#This Row],[Salary in USD]],"")</f>
        <v>20000</v>
      </c>
      <c r="W957" s="13" t="str">
        <f>IF(tblSalaries[[#This Row],[Job Type]]=tblSalaries[[#Headers],[Consultant]],tblSalaries[[#This Row],[Salary in USD]],"")</f>
        <v/>
      </c>
      <c r="X957" s="13" t="str">
        <f>IF(tblSalaries[[#This Row],[Job Type]]=tblSalaries[[#Headers],[Controller]],tblSalaries[[#This Row],[Salary in USD]],"")</f>
        <v/>
      </c>
      <c r="Y957" s="13" t="str">
        <f>IF(tblSalaries[[#This Row],[Job Type]]=tblSalaries[[#Headers],[CXO or Top Mgmt.]],tblSalaries[[#This Row],[clean Salary (in local currency)]],"")</f>
        <v/>
      </c>
      <c r="Z957" s="13" t="str">
        <f>IF(tblSalaries[[#This Row],[Job Type]]=tblSalaries[[#Headers],[Engineer]],tblSalaries[[#This Row],[Salary in USD]],"")</f>
        <v/>
      </c>
      <c r="AA957" s="13" t="str">
        <f>IF(tblSalaries[[#This Row],[Job Type]]=tblSalaries[[#Headers],[Manager]],tblSalaries[[#This Row],[Salary in USD]],"")</f>
        <v/>
      </c>
      <c r="AB957" s="13" t="str">
        <f>IF(tblSalaries[[#This Row],[Job Type]]=tblSalaries[[#Headers],[Misc.]],tblSalaries[[#This Row],[Salary in USD]],"")</f>
        <v/>
      </c>
      <c r="AC957" s="13" t="str">
        <f>IF(tblSalaries[[#This Row],[Job Type]]=tblSalaries[[#Headers],[Reporting]],tblSalaries[[#This Row],[Salary in USD]],"")</f>
        <v/>
      </c>
      <c r="AD957" s="13" t="str">
        <f>IF(tblSalaries[[#This Row],[Job Type]]=tblSalaries[[#Headers],[Specialist]],tblSalaries[[#This Row],[Salary in USD]],"")</f>
        <v/>
      </c>
    </row>
    <row r="958" spans="2:30" ht="15" customHeight="1" x14ac:dyDescent="0.25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 s="9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  <c r="N958" t="str">
        <f>IF(tblSalaries[[#This Row],[Years of Experience]]="","",IF(tblSalaries[[#This Row],[Years of Experience]]&lt;=2,1,""))</f>
        <v/>
      </c>
      <c r="O958" t="str">
        <f>IF(tblSalaries[[#This Row],[Years of Experience]]="","",IF(AND(tblSalaries[[#This Row],[Years of Experience]]&gt;2,tblSalaries[[#This Row],[Years of Experience]]&lt;=5),1,""))</f>
        <v/>
      </c>
      <c r="P958" t="str">
        <f>IF(tblSalaries[[#This Row],[Years of Experience]]="","",IF(AND(tblSalaries[[#This Row],[Years of Experience]]&gt;5,tblSalaries[[#This Row],[Years of Experience]]&lt;=10),1,""))</f>
        <v/>
      </c>
      <c r="Q958">
        <f>IF(tblSalaries[[#This Row],[Years of Experience]]="","",IF(AND(tblSalaries[[#This Row],[Years of Experience]]&gt;10,tblSalaries[[#This Row],[Years of Experience]]&lt;=15),1,""))</f>
        <v>1</v>
      </c>
      <c r="R958" t="str">
        <f>IF(tblSalaries[[#This Row],[Years of Experience]]="","",IF(AND(tblSalaries[[#This Row],[Years of Experience]]&gt;16,tblSalaries[[#This Row],[Years of Experience]]&lt;=20),1,""))</f>
        <v/>
      </c>
      <c r="S958" t="str">
        <f>IF(tblSalaries[[#This Row],[Years of Experience]]="","",IF(tblSalaries[[#This Row],[Years of Experience]]&gt;20,1,""))</f>
        <v/>
      </c>
      <c r="T9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58" s="13" t="str">
        <f>IF(tblSalaries[[#This Row],[Job Type]]=tblSalaries[[#Headers],[Accountant]],tblSalaries[[#This Row],[Salary in USD]],"")</f>
        <v/>
      </c>
      <c r="V958" s="13" t="str">
        <f>IF(tblSalaries[[#This Row],[Job Type]]=tblSalaries[[#Headers],[Analyst]],tblSalaries[[#This Row],[Salary in USD]],"")</f>
        <v/>
      </c>
      <c r="W958" s="13" t="str">
        <f>IF(tblSalaries[[#This Row],[Job Type]]=tblSalaries[[#Headers],[Consultant]],tblSalaries[[#This Row],[Salary in USD]],"")</f>
        <v/>
      </c>
      <c r="X958" s="13" t="str">
        <f>IF(tblSalaries[[#This Row],[Job Type]]=tblSalaries[[#Headers],[Controller]],tblSalaries[[#This Row],[Salary in USD]],"")</f>
        <v/>
      </c>
      <c r="Y958" s="13" t="str">
        <f>IF(tblSalaries[[#This Row],[Job Type]]=tblSalaries[[#Headers],[CXO or Top Mgmt.]],tblSalaries[[#This Row],[clean Salary (in local currency)]],"")</f>
        <v/>
      </c>
      <c r="Z958" s="13" t="str">
        <f>IF(tblSalaries[[#This Row],[Job Type]]=tblSalaries[[#Headers],[Engineer]],tblSalaries[[#This Row],[Salary in USD]],"")</f>
        <v/>
      </c>
      <c r="AA958" s="13">
        <f>IF(tblSalaries[[#This Row],[Job Type]]=tblSalaries[[#Headers],[Manager]],tblSalaries[[#This Row],[Salary in USD]],"")</f>
        <v>203981.93128052715</v>
      </c>
      <c r="AB958" s="13" t="str">
        <f>IF(tblSalaries[[#This Row],[Job Type]]=tblSalaries[[#Headers],[Misc.]],tblSalaries[[#This Row],[Salary in USD]],"")</f>
        <v/>
      </c>
      <c r="AC958" s="13" t="str">
        <f>IF(tblSalaries[[#This Row],[Job Type]]=tblSalaries[[#Headers],[Reporting]],tblSalaries[[#This Row],[Salary in USD]],"")</f>
        <v/>
      </c>
      <c r="AD958" s="13" t="str">
        <f>IF(tblSalaries[[#This Row],[Job Type]]=tblSalaries[[#Headers],[Specialist]],tblSalaries[[#This Row],[Salary in USD]],"")</f>
        <v/>
      </c>
    </row>
    <row r="959" spans="2:30" ht="15" customHeight="1" x14ac:dyDescent="0.25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 s="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  <c r="N959" t="str">
        <f>IF(tblSalaries[[#This Row],[Years of Experience]]="","",IF(tblSalaries[[#This Row],[Years of Experience]]&lt;=2,1,""))</f>
        <v/>
      </c>
      <c r="O959">
        <f>IF(tblSalaries[[#This Row],[Years of Experience]]="","",IF(AND(tblSalaries[[#This Row],[Years of Experience]]&gt;2,tblSalaries[[#This Row],[Years of Experience]]&lt;=5),1,""))</f>
        <v>1</v>
      </c>
      <c r="P959" t="str">
        <f>IF(tblSalaries[[#This Row],[Years of Experience]]="","",IF(AND(tblSalaries[[#This Row],[Years of Experience]]&gt;5,tblSalaries[[#This Row],[Years of Experience]]&lt;=10),1,""))</f>
        <v/>
      </c>
      <c r="Q959" t="str">
        <f>IF(tblSalaries[[#This Row],[Years of Experience]]="","",IF(AND(tblSalaries[[#This Row],[Years of Experience]]&gt;10,tblSalaries[[#This Row],[Years of Experience]]&lt;=15),1,""))</f>
        <v/>
      </c>
      <c r="R959" t="str">
        <f>IF(tblSalaries[[#This Row],[Years of Experience]]="","",IF(AND(tblSalaries[[#This Row],[Years of Experience]]&gt;16,tblSalaries[[#This Row],[Years of Experience]]&lt;=20),1,""))</f>
        <v/>
      </c>
      <c r="S959" t="str">
        <f>IF(tblSalaries[[#This Row],[Years of Experience]]="","",IF(tblSalaries[[#This Row],[Years of Experience]]&gt;20,1,""))</f>
        <v/>
      </c>
      <c r="T9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59" s="13" t="str">
        <f>IF(tblSalaries[[#This Row],[Job Type]]=tblSalaries[[#Headers],[Accountant]],tblSalaries[[#This Row],[Salary in USD]],"")</f>
        <v/>
      </c>
      <c r="V959" s="13" t="str">
        <f>IF(tblSalaries[[#This Row],[Job Type]]=tblSalaries[[#Headers],[Analyst]],tblSalaries[[#This Row],[Salary in USD]],"")</f>
        <v/>
      </c>
      <c r="W959" s="13" t="str">
        <f>IF(tblSalaries[[#This Row],[Job Type]]=tblSalaries[[#Headers],[Consultant]],tblSalaries[[#This Row],[Salary in USD]],"")</f>
        <v/>
      </c>
      <c r="X959" s="13">
        <f>IF(tblSalaries[[#This Row],[Job Type]]=tblSalaries[[#Headers],[Controller]],tblSalaries[[#This Row],[Salary in USD]],"")</f>
        <v>50995.482820131787</v>
      </c>
      <c r="Y959" s="13" t="str">
        <f>IF(tblSalaries[[#This Row],[Job Type]]=tblSalaries[[#Headers],[CXO or Top Mgmt.]],tblSalaries[[#This Row],[clean Salary (in local currency)]],"")</f>
        <v/>
      </c>
      <c r="Z959" s="13" t="str">
        <f>IF(tblSalaries[[#This Row],[Job Type]]=tblSalaries[[#Headers],[Engineer]],tblSalaries[[#This Row],[Salary in USD]],"")</f>
        <v/>
      </c>
      <c r="AA959" s="13" t="str">
        <f>IF(tblSalaries[[#This Row],[Job Type]]=tblSalaries[[#Headers],[Manager]],tblSalaries[[#This Row],[Salary in USD]],"")</f>
        <v/>
      </c>
      <c r="AB959" s="13" t="str">
        <f>IF(tblSalaries[[#This Row],[Job Type]]=tblSalaries[[#Headers],[Misc.]],tblSalaries[[#This Row],[Salary in USD]],"")</f>
        <v/>
      </c>
      <c r="AC959" s="13" t="str">
        <f>IF(tblSalaries[[#This Row],[Job Type]]=tblSalaries[[#Headers],[Reporting]],tblSalaries[[#This Row],[Salary in USD]],"")</f>
        <v/>
      </c>
      <c r="AD959" s="13" t="str">
        <f>IF(tblSalaries[[#This Row],[Job Type]]=tblSalaries[[#Headers],[Specialist]],tblSalaries[[#This Row],[Salary in USD]],"")</f>
        <v/>
      </c>
    </row>
    <row r="960" spans="2:30" ht="15" customHeight="1" x14ac:dyDescent="0.25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 s="9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4001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  <c r="N960" t="str">
        <f>IF(tblSalaries[[#This Row],[Years of Experience]]="","",IF(tblSalaries[[#This Row],[Years of Experience]]&lt;=2,1,""))</f>
        <v/>
      </c>
      <c r="O960" t="str">
        <f>IF(tblSalaries[[#This Row],[Years of Experience]]="","",IF(AND(tblSalaries[[#This Row],[Years of Experience]]&gt;2,tblSalaries[[#This Row],[Years of Experience]]&lt;=5),1,""))</f>
        <v/>
      </c>
      <c r="P960" t="str">
        <f>IF(tblSalaries[[#This Row],[Years of Experience]]="","",IF(AND(tblSalaries[[#This Row],[Years of Experience]]&gt;5,tblSalaries[[#This Row],[Years of Experience]]&lt;=10),1,""))</f>
        <v/>
      </c>
      <c r="Q960">
        <f>IF(tblSalaries[[#This Row],[Years of Experience]]="","",IF(AND(tblSalaries[[#This Row],[Years of Experience]]&gt;10,tblSalaries[[#This Row],[Years of Experience]]&lt;=15),1,""))</f>
        <v>1</v>
      </c>
      <c r="R960" t="str">
        <f>IF(tblSalaries[[#This Row],[Years of Experience]]="","",IF(AND(tblSalaries[[#This Row],[Years of Experience]]&gt;16,tblSalaries[[#This Row],[Years of Experience]]&lt;=20),1,""))</f>
        <v/>
      </c>
      <c r="S960" t="str">
        <f>IF(tblSalaries[[#This Row],[Years of Experience]]="","",IF(tblSalaries[[#This Row],[Years of Experience]]&gt;20,1,""))</f>
        <v/>
      </c>
      <c r="T9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60" s="13" t="str">
        <f>IF(tblSalaries[[#This Row],[Job Type]]=tblSalaries[[#Headers],[Accountant]],tblSalaries[[#This Row],[Salary in USD]],"")</f>
        <v/>
      </c>
      <c r="V960" s="13" t="str">
        <f>IF(tblSalaries[[#This Row],[Job Type]]=tblSalaries[[#Headers],[Analyst]],tblSalaries[[#This Row],[Salary in USD]],"")</f>
        <v/>
      </c>
      <c r="W960" s="13" t="str">
        <f>IF(tblSalaries[[#This Row],[Job Type]]=tblSalaries[[#Headers],[Consultant]],tblSalaries[[#This Row],[Salary in USD]],"")</f>
        <v/>
      </c>
      <c r="X960" s="13" t="str">
        <f>IF(tblSalaries[[#This Row],[Job Type]]=tblSalaries[[#Headers],[Controller]],tblSalaries[[#This Row],[Salary in USD]],"")</f>
        <v/>
      </c>
      <c r="Y960" s="13">
        <f>IF(tblSalaries[[#This Row],[Job Type]]=tblSalaries[[#Headers],[CXO or Top Mgmt.]],tblSalaries[[#This Row],[clean Salary (in local currency)]],"")</f>
        <v>125000</v>
      </c>
      <c r="Z960" s="13" t="str">
        <f>IF(tblSalaries[[#This Row],[Job Type]]=tblSalaries[[#Headers],[Engineer]],tblSalaries[[#This Row],[Salary in USD]],"")</f>
        <v/>
      </c>
      <c r="AA960" s="13" t="str">
        <f>IF(tblSalaries[[#This Row],[Job Type]]=tblSalaries[[#Headers],[Manager]],tblSalaries[[#This Row],[Salary in USD]],"")</f>
        <v/>
      </c>
      <c r="AB960" s="13" t="str">
        <f>IF(tblSalaries[[#This Row],[Job Type]]=tblSalaries[[#Headers],[Misc.]],tblSalaries[[#This Row],[Salary in USD]],"")</f>
        <v/>
      </c>
      <c r="AC960" s="13" t="str">
        <f>IF(tblSalaries[[#This Row],[Job Type]]=tblSalaries[[#Headers],[Reporting]],tblSalaries[[#This Row],[Salary in USD]],"")</f>
        <v/>
      </c>
      <c r="AD960" s="13" t="str">
        <f>IF(tblSalaries[[#This Row],[Job Type]]=tblSalaries[[#Headers],[Specialist]],tblSalaries[[#This Row],[Salary in USD]],"")</f>
        <v/>
      </c>
    </row>
    <row r="961" spans="2:30" ht="15" customHeight="1" x14ac:dyDescent="0.25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 s="9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  <c r="N961" t="str">
        <f>IF(tblSalaries[[#This Row],[Years of Experience]]="","",IF(tblSalaries[[#This Row],[Years of Experience]]&lt;=2,1,""))</f>
        <v/>
      </c>
      <c r="O961">
        <f>IF(tblSalaries[[#This Row],[Years of Experience]]="","",IF(AND(tblSalaries[[#This Row],[Years of Experience]]&gt;2,tblSalaries[[#This Row],[Years of Experience]]&lt;=5),1,""))</f>
        <v>1</v>
      </c>
      <c r="P961" t="str">
        <f>IF(tblSalaries[[#This Row],[Years of Experience]]="","",IF(AND(tblSalaries[[#This Row],[Years of Experience]]&gt;5,tblSalaries[[#This Row],[Years of Experience]]&lt;=10),1,""))</f>
        <v/>
      </c>
      <c r="Q961" t="str">
        <f>IF(tblSalaries[[#This Row],[Years of Experience]]="","",IF(AND(tblSalaries[[#This Row],[Years of Experience]]&gt;10,tblSalaries[[#This Row],[Years of Experience]]&lt;=15),1,""))</f>
        <v/>
      </c>
      <c r="R961" t="str">
        <f>IF(tblSalaries[[#This Row],[Years of Experience]]="","",IF(AND(tblSalaries[[#This Row],[Years of Experience]]&gt;16,tblSalaries[[#This Row],[Years of Experience]]&lt;=20),1,""))</f>
        <v/>
      </c>
      <c r="S961" t="str">
        <f>IF(tblSalaries[[#This Row],[Years of Experience]]="","",IF(tblSalaries[[#This Row],[Years of Experience]]&gt;20,1,""))</f>
        <v/>
      </c>
      <c r="T9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61" s="13" t="str">
        <f>IF(tblSalaries[[#This Row],[Job Type]]=tblSalaries[[#Headers],[Accountant]],tblSalaries[[#This Row],[Salary in USD]],"")</f>
        <v/>
      </c>
      <c r="V961" s="13">
        <f>IF(tblSalaries[[#This Row],[Job Type]]=tblSalaries[[#Headers],[Analyst]],tblSalaries[[#This Row],[Salary in USD]],"")</f>
        <v>66294.12766617132</v>
      </c>
      <c r="W961" s="13" t="str">
        <f>IF(tblSalaries[[#This Row],[Job Type]]=tblSalaries[[#Headers],[Consultant]],tblSalaries[[#This Row],[Salary in USD]],"")</f>
        <v/>
      </c>
      <c r="X961" s="13" t="str">
        <f>IF(tblSalaries[[#This Row],[Job Type]]=tblSalaries[[#Headers],[Controller]],tblSalaries[[#This Row],[Salary in USD]],"")</f>
        <v/>
      </c>
      <c r="Y961" s="13" t="str">
        <f>IF(tblSalaries[[#This Row],[Job Type]]=tblSalaries[[#Headers],[CXO or Top Mgmt.]],tblSalaries[[#This Row],[clean Salary (in local currency)]],"")</f>
        <v/>
      </c>
      <c r="Z961" s="13" t="str">
        <f>IF(tblSalaries[[#This Row],[Job Type]]=tblSalaries[[#Headers],[Engineer]],tblSalaries[[#This Row],[Salary in USD]],"")</f>
        <v/>
      </c>
      <c r="AA961" s="13" t="str">
        <f>IF(tblSalaries[[#This Row],[Job Type]]=tblSalaries[[#Headers],[Manager]],tblSalaries[[#This Row],[Salary in USD]],"")</f>
        <v/>
      </c>
      <c r="AB961" s="13" t="str">
        <f>IF(tblSalaries[[#This Row],[Job Type]]=tblSalaries[[#Headers],[Misc.]],tblSalaries[[#This Row],[Salary in USD]],"")</f>
        <v/>
      </c>
      <c r="AC961" s="13" t="str">
        <f>IF(tblSalaries[[#This Row],[Job Type]]=tblSalaries[[#Headers],[Reporting]],tblSalaries[[#This Row],[Salary in USD]],"")</f>
        <v/>
      </c>
      <c r="AD961" s="13" t="str">
        <f>IF(tblSalaries[[#This Row],[Job Type]]=tblSalaries[[#Headers],[Specialist]],tblSalaries[[#This Row],[Salary in USD]],"")</f>
        <v/>
      </c>
    </row>
    <row r="962" spans="2:30" ht="15" customHeight="1" x14ac:dyDescent="0.25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 s="9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  <c r="N962" t="str">
        <f>IF(tblSalaries[[#This Row],[Years of Experience]]="","",IF(tblSalaries[[#This Row],[Years of Experience]]&lt;=2,1,""))</f>
        <v/>
      </c>
      <c r="O962">
        <f>IF(tblSalaries[[#This Row],[Years of Experience]]="","",IF(AND(tblSalaries[[#This Row],[Years of Experience]]&gt;2,tblSalaries[[#This Row],[Years of Experience]]&lt;=5),1,""))</f>
        <v>1</v>
      </c>
      <c r="P962" t="str">
        <f>IF(tblSalaries[[#This Row],[Years of Experience]]="","",IF(AND(tblSalaries[[#This Row],[Years of Experience]]&gt;5,tblSalaries[[#This Row],[Years of Experience]]&lt;=10),1,""))</f>
        <v/>
      </c>
      <c r="Q962" t="str">
        <f>IF(tblSalaries[[#This Row],[Years of Experience]]="","",IF(AND(tblSalaries[[#This Row],[Years of Experience]]&gt;10,tblSalaries[[#This Row],[Years of Experience]]&lt;=15),1,""))</f>
        <v/>
      </c>
      <c r="R962" t="str">
        <f>IF(tblSalaries[[#This Row],[Years of Experience]]="","",IF(AND(tblSalaries[[#This Row],[Years of Experience]]&gt;16,tblSalaries[[#This Row],[Years of Experience]]&lt;=20),1,""))</f>
        <v/>
      </c>
      <c r="S962" t="str">
        <f>IF(tblSalaries[[#This Row],[Years of Experience]]="","",IF(tblSalaries[[#This Row],[Years of Experience]]&gt;20,1,""))</f>
        <v/>
      </c>
      <c r="T9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62" s="13" t="str">
        <f>IF(tblSalaries[[#This Row],[Job Type]]=tblSalaries[[#Headers],[Accountant]],tblSalaries[[#This Row],[Salary in USD]],"")</f>
        <v/>
      </c>
      <c r="V962" s="13">
        <f>IF(tblSalaries[[#This Row],[Job Type]]=tblSalaries[[#Headers],[Analyst]],tblSalaries[[#This Row],[Salary in USD]],"")</f>
        <v>63234.398696963413</v>
      </c>
      <c r="W962" s="13" t="str">
        <f>IF(tblSalaries[[#This Row],[Job Type]]=tblSalaries[[#Headers],[Consultant]],tblSalaries[[#This Row],[Salary in USD]],"")</f>
        <v/>
      </c>
      <c r="X962" s="13" t="str">
        <f>IF(tblSalaries[[#This Row],[Job Type]]=tblSalaries[[#Headers],[Controller]],tblSalaries[[#This Row],[Salary in USD]],"")</f>
        <v/>
      </c>
      <c r="Y962" s="13" t="str">
        <f>IF(tblSalaries[[#This Row],[Job Type]]=tblSalaries[[#Headers],[CXO or Top Mgmt.]],tblSalaries[[#This Row],[clean Salary (in local currency)]],"")</f>
        <v/>
      </c>
      <c r="Z962" s="13" t="str">
        <f>IF(tblSalaries[[#This Row],[Job Type]]=tblSalaries[[#Headers],[Engineer]],tblSalaries[[#This Row],[Salary in USD]],"")</f>
        <v/>
      </c>
      <c r="AA962" s="13" t="str">
        <f>IF(tblSalaries[[#This Row],[Job Type]]=tblSalaries[[#Headers],[Manager]],tblSalaries[[#This Row],[Salary in USD]],"")</f>
        <v/>
      </c>
      <c r="AB962" s="13" t="str">
        <f>IF(tblSalaries[[#This Row],[Job Type]]=tblSalaries[[#Headers],[Misc.]],tblSalaries[[#This Row],[Salary in USD]],"")</f>
        <v/>
      </c>
      <c r="AC962" s="13" t="str">
        <f>IF(tblSalaries[[#This Row],[Job Type]]=tblSalaries[[#Headers],[Reporting]],tblSalaries[[#This Row],[Salary in USD]],"")</f>
        <v/>
      </c>
      <c r="AD962" s="13" t="str">
        <f>IF(tblSalaries[[#This Row],[Job Type]]=tblSalaries[[#Headers],[Specialist]],tblSalaries[[#This Row],[Salary in USD]],"")</f>
        <v/>
      </c>
    </row>
    <row r="963" spans="2:30" ht="15" customHeight="1" x14ac:dyDescent="0.25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 s="9">
        <f>tblSalaries[[#This Row],[clean Salary (in local currency)]]*VLOOKUP(tblSalaries[[#This Row],[Currency]],tblXrate[],2,FALSE)</f>
        <v>260000</v>
      </c>
      <c r="H963" t="s">
        <v>29</v>
      </c>
      <c r="I963" t="s">
        <v>4001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  <c r="N963" t="str">
        <f>IF(tblSalaries[[#This Row],[Years of Experience]]="","",IF(tblSalaries[[#This Row],[Years of Experience]]&lt;=2,1,""))</f>
        <v/>
      </c>
      <c r="O963" t="str">
        <f>IF(tblSalaries[[#This Row],[Years of Experience]]="","",IF(AND(tblSalaries[[#This Row],[Years of Experience]]&gt;2,tblSalaries[[#This Row],[Years of Experience]]&lt;=5),1,""))</f>
        <v/>
      </c>
      <c r="P963">
        <f>IF(tblSalaries[[#This Row],[Years of Experience]]="","",IF(AND(tblSalaries[[#This Row],[Years of Experience]]&gt;5,tblSalaries[[#This Row],[Years of Experience]]&lt;=10),1,""))</f>
        <v>1</v>
      </c>
      <c r="Q963" t="str">
        <f>IF(tblSalaries[[#This Row],[Years of Experience]]="","",IF(AND(tblSalaries[[#This Row],[Years of Experience]]&gt;10,tblSalaries[[#This Row],[Years of Experience]]&lt;=15),1,""))</f>
        <v/>
      </c>
      <c r="R963" t="str">
        <f>IF(tblSalaries[[#This Row],[Years of Experience]]="","",IF(AND(tblSalaries[[#This Row],[Years of Experience]]&gt;16,tblSalaries[[#This Row],[Years of Experience]]&lt;=20),1,""))</f>
        <v/>
      </c>
      <c r="S963" t="str">
        <f>IF(tblSalaries[[#This Row],[Years of Experience]]="","",IF(tblSalaries[[#This Row],[Years of Experience]]&gt;20,1,""))</f>
        <v/>
      </c>
      <c r="T9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63" s="13" t="str">
        <f>IF(tblSalaries[[#This Row],[Job Type]]=tblSalaries[[#Headers],[Accountant]],tblSalaries[[#This Row],[Salary in USD]],"")</f>
        <v/>
      </c>
      <c r="V963" s="13" t="str">
        <f>IF(tblSalaries[[#This Row],[Job Type]]=tblSalaries[[#Headers],[Analyst]],tblSalaries[[#This Row],[Salary in USD]],"")</f>
        <v/>
      </c>
      <c r="W963" s="13" t="str">
        <f>IF(tblSalaries[[#This Row],[Job Type]]=tblSalaries[[#Headers],[Consultant]],tblSalaries[[#This Row],[Salary in USD]],"")</f>
        <v/>
      </c>
      <c r="X963" s="13" t="str">
        <f>IF(tblSalaries[[#This Row],[Job Type]]=tblSalaries[[#Headers],[Controller]],tblSalaries[[#This Row],[Salary in USD]],"")</f>
        <v/>
      </c>
      <c r="Y963" s="13">
        <f>IF(tblSalaries[[#This Row],[Job Type]]=tblSalaries[[#Headers],[CXO or Top Mgmt.]],tblSalaries[[#This Row],[clean Salary (in local currency)]],"")</f>
        <v>260000</v>
      </c>
      <c r="Z963" s="13" t="str">
        <f>IF(tblSalaries[[#This Row],[Job Type]]=tblSalaries[[#Headers],[Engineer]],tblSalaries[[#This Row],[Salary in USD]],"")</f>
        <v/>
      </c>
      <c r="AA963" s="13" t="str">
        <f>IF(tblSalaries[[#This Row],[Job Type]]=tblSalaries[[#Headers],[Manager]],tblSalaries[[#This Row],[Salary in USD]],"")</f>
        <v/>
      </c>
      <c r="AB963" s="13" t="str">
        <f>IF(tblSalaries[[#This Row],[Job Type]]=tblSalaries[[#Headers],[Misc.]],tblSalaries[[#This Row],[Salary in USD]],"")</f>
        <v/>
      </c>
      <c r="AC963" s="13" t="str">
        <f>IF(tblSalaries[[#This Row],[Job Type]]=tblSalaries[[#Headers],[Reporting]],tblSalaries[[#This Row],[Salary in USD]],"")</f>
        <v/>
      </c>
      <c r="AD963" s="13" t="str">
        <f>IF(tblSalaries[[#This Row],[Job Type]]=tblSalaries[[#Headers],[Specialist]],tblSalaries[[#This Row],[Salary in USD]],"")</f>
        <v/>
      </c>
    </row>
    <row r="964" spans="2:30" ht="15" customHeight="1" x14ac:dyDescent="0.25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 s="9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  <c r="N964" t="str">
        <f>IF(tblSalaries[[#This Row],[Years of Experience]]="","",IF(tblSalaries[[#This Row],[Years of Experience]]&lt;=2,1,""))</f>
        <v/>
      </c>
      <c r="O964" t="str">
        <f>IF(tblSalaries[[#This Row],[Years of Experience]]="","",IF(AND(tblSalaries[[#This Row],[Years of Experience]]&gt;2,tblSalaries[[#This Row],[Years of Experience]]&lt;=5),1,""))</f>
        <v/>
      </c>
      <c r="P964">
        <f>IF(tblSalaries[[#This Row],[Years of Experience]]="","",IF(AND(tblSalaries[[#This Row],[Years of Experience]]&gt;5,tblSalaries[[#This Row],[Years of Experience]]&lt;=10),1,""))</f>
        <v>1</v>
      </c>
      <c r="Q964" t="str">
        <f>IF(tblSalaries[[#This Row],[Years of Experience]]="","",IF(AND(tblSalaries[[#This Row],[Years of Experience]]&gt;10,tblSalaries[[#This Row],[Years of Experience]]&lt;=15),1,""))</f>
        <v/>
      </c>
      <c r="R964" t="str">
        <f>IF(tblSalaries[[#This Row],[Years of Experience]]="","",IF(AND(tblSalaries[[#This Row],[Years of Experience]]&gt;16,tblSalaries[[#This Row],[Years of Experience]]&lt;=20),1,""))</f>
        <v/>
      </c>
      <c r="S964" t="str">
        <f>IF(tblSalaries[[#This Row],[Years of Experience]]="","",IF(tblSalaries[[#This Row],[Years of Experience]]&gt;20,1,""))</f>
        <v/>
      </c>
      <c r="T9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64" s="13" t="str">
        <f>IF(tblSalaries[[#This Row],[Job Type]]=tblSalaries[[#Headers],[Accountant]],tblSalaries[[#This Row],[Salary in USD]],"")</f>
        <v/>
      </c>
      <c r="V964" s="13" t="str">
        <f>IF(tblSalaries[[#This Row],[Job Type]]=tblSalaries[[#Headers],[Analyst]],tblSalaries[[#This Row],[Salary in USD]],"")</f>
        <v/>
      </c>
      <c r="W964" s="13" t="str">
        <f>IF(tblSalaries[[#This Row],[Job Type]]=tblSalaries[[#Headers],[Consultant]],tblSalaries[[#This Row],[Salary in USD]],"")</f>
        <v/>
      </c>
      <c r="X964" s="13" t="str">
        <f>IF(tblSalaries[[#This Row],[Job Type]]=tblSalaries[[#Headers],[Controller]],tblSalaries[[#This Row],[Salary in USD]],"")</f>
        <v/>
      </c>
      <c r="Y964" s="13" t="str">
        <f>IF(tblSalaries[[#This Row],[Job Type]]=tblSalaries[[#Headers],[CXO or Top Mgmt.]],tblSalaries[[#This Row],[clean Salary (in local currency)]],"")</f>
        <v/>
      </c>
      <c r="Z964" s="13" t="str">
        <f>IF(tblSalaries[[#This Row],[Job Type]]=tblSalaries[[#Headers],[Engineer]],tblSalaries[[#This Row],[Salary in USD]],"")</f>
        <v/>
      </c>
      <c r="AA964" s="13">
        <f>IF(tblSalaries[[#This Row],[Job Type]]=tblSalaries[[#Headers],[Manager]],tblSalaries[[#This Row],[Salary in USD]],"")</f>
        <v>112190.06220428993</v>
      </c>
      <c r="AB964" s="13" t="str">
        <f>IF(tblSalaries[[#This Row],[Job Type]]=tblSalaries[[#Headers],[Misc.]],tblSalaries[[#This Row],[Salary in USD]],"")</f>
        <v/>
      </c>
      <c r="AC964" s="13" t="str">
        <f>IF(tblSalaries[[#This Row],[Job Type]]=tblSalaries[[#Headers],[Reporting]],tblSalaries[[#This Row],[Salary in USD]],"")</f>
        <v/>
      </c>
      <c r="AD964" s="13" t="str">
        <f>IF(tblSalaries[[#This Row],[Job Type]]=tblSalaries[[#Headers],[Specialist]],tblSalaries[[#This Row],[Salary in USD]],"")</f>
        <v/>
      </c>
    </row>
    <row r="965" spans="2:30" ht="15" customHeight="1" x14ac:dyDescent="0.25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 s="9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  <c r="N965" t="str">
        <f>IF(tblSalaries[[#This Row],[Years of Experience]]="","",IF(tblSalaries[[#This Row],[Years of Experience]]&lt;=2,1,""))</f>
        <v/>
      </c>
      <c r="O965" t="str">
        <f>IF(tblSalaries[[#This Row],[Years of Experience]]="","",IF(AND(tblSalaries[[#This Row],[Years of Experience]]&gt;2,tblSalaries[[#This Row],[Years of Experience]]&lt;=5),1,""))</f>
        <v/>
      </c>
      <c r="P965">
        <f>IF(tblSalaries[[#This Row],[Years of Experience]]="","",IF(AND(tblSalaries[[#This Row],[Years of Experience]]&gt;5,tblSalaries[[#This Row],[Years of Experience]]&lt;=10),1,""))</f>
        <v>1</v>
      </c>
      <c r="Q965" t="str">
        <f>IF(tblSalaries[[#This Row],[Years of Experience]]="","",IF(AND(tblSalaries[[#This Row],[Years of Experience]]&gt;10,tblSalaries[[#This Row],[Years of Experience]]&lt;=15),1,""))</f>
        <v/>
      </c>
      <c r="R965" t="str">
        <f>IF(tblSalaries[[#This Row],[Years of Experience]]="","",IF(AND(tblSalaries[[#This Row],[Years of Experience]]&gt;16,tblSalaries[[#This Row],[Years of Experience]]&lt;=20),1,""))</f>
        <v/>
      </c>
      <c r="S965" t="str">
        <f>IF(tblSalaries[[#This Row],[Years of Experience]]="","",IF(tblSalaries[[#This Row],[Years of Experience]]&gt;20,1,""))</f>
        <v/>
      </c>
      <c r="T9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65" s="13" t="str">
        <f>IF(tblSalaries[[#This Row],[Job Type]]=tblSalaries[[#Headers],[Accountant]],tblSalaries[[#This Row],[Salary in USD]],"")</f>
        <v/>
      </c>
      <c r="V965" s="13" t="str">
        <f>IF(tblSalaries[[#This Row],[Job Type]]=tblSalaries[[#Headers],[Analyst]],tblSalaries[[#This Row],[Salary in USD]],"")</f>
        <v/>
      </c>
      <c r="W965" s="13" t="str">
        <f>IF(tblSalaries[[#This Row],[Job Type]]=tblSalaries[[#Headers],[Consultant]],tblSalaries[[#This Row],[Salary in USD]],"")</f>
        <v/>
      </c>
      <c r="X965" s="13" t="str">
        <f>IF(tblSalaries[[#This Row],[Job Type]]=tblSalaries[[#Headers],[Controller]],tblSalaries[[#This Row],[Salary in USD]],"")</f>
        <v/>
      </c>
      <c r="Y965" s="13" t="str">
        <f>IF(tblSalaries[[#This Row],[Job Type]]=tblSalaries[[#Headers],[CXO or Top Mgmt.]],tblSalaries[[#This Row],[clean Salary (in local currency)]],"")</f>
        <v/>
      </c>
      <c r="Z965" s="13" t="str">
        <f>IF(tblSalaries[[#This Row],[Job Type]]=tblSalaries[[#Headers],[Engineer]],tblSalaries[[#This Row],[Salary in USD]],"")</f>
        <v/>
      </c>
      <c r="AA965" s="13">
        <f>IF(tblSalaries[[#This Row],[Job Type]]=tblSalaries[[#Headers],[Manager]],tblSalaries[[#This Row],[Salary in USD]],"")</f>
        <v>71393.675948184507</v>
      </c>
      <c r="AB965" s="13" t="str">
        <f>IF(tblSalaries[[#This Row],[Job Type]]=tblSalaries[[#Headers],[Misc.]],tblSalaries[[#This Row],[Salary in USD]],"")</f>
        <v/>
      </c>
      <c r="AC965" s="13" t="str">
        <f>IF(tblSalaries[[#This Row],[Job Type]]=tblSalaries[[#Headers],[Reporting]],tblSalaries[[#This Row],[Salary in USD]],"")</f>
        <v/>
      </c>
      <c r="AD965" s="13" t="str">
        <f>IF(tblSalaries[[#This Row],[Job Type]]=tblSalaries[[#Headers],[Specialist]],tblSalaries[[#This Row],[Salary in USD]],"")</f>
        <v/>
      </c>
    </row>
    <row r="966" spans="2:30" ht="15" customHeight="1" x14ac:dyDescent="0.25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 s="9">
        <f>tblSalaries[[#This Row],[clean Salary (in local currency)]]*VLOOKUP(tblSalaries[[#This Row],[Currency]],tblXrate[],2,FALSE)</f>
        <v>85000</v>
      </c>
      <c r="H966" t="s">
        <v>1116</v>
      </c>
      <c r="I966" t="s">
        <v>3999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  <c r="N966" t="str">
        <f>IF(tblSalaries[[#This Row],[Years of Experience]]="","",IF(tblSalaries[[#This Row],[Years of Experience]]&lt;=2,1,""))</f>
        <v/>
      </c>
      <c r="O966" t="str">
        <f>IF(tblSalaries[[#This Row],[Years of Experience]]="","",IF(AND(tblSalaries[[#This Row],[Years of Experience]]&gt;2,tblSalaries[[#This Row],[Years of Experience]]&lt;=5),1,""))</f>
        <v/>
      </c>
      <c r="P966">
        <f>IF(tblSalaries[[#This Row],[Years of Experience]]="","",IF(AND(tblSalaries[[#This Row],[Years of Experience]]&gt;5,tblSalaries[[#This Row],[Years of Experience]]&lt;=10),1,""))</f>
        <v>1</v>
      </c>
      <c r="Q966" t="str">
        <f>IF(tblSalaries[[#This Row],[Years of Experience]]="","",IF(AND(tblSalaries[[#This Row],[Years of Experience]]&gt;10,tblSalaries[[#This Row],[Years of Experience]]&lt;=15),1,""))</f>
        <v/>
      </c>
      <c r="R966" t="str">
        <f>IF(tblSalaries[[#This Row],[Years of Experience]]="","",IF(AND(tblSalaries[[#This Row],[Years of Experience]]&gt;16,tblSalaries[[#This Row],[Years of Experience]]&lt;=20),1,""))</f>
        <v/>
      </c>
      <c r="S966" t="str">
        <f>IF(tblSalaries[[#This Row],[Years of Experience]]="","",IF(tblSalaries[[#This Row],[Years of Experience]]&gt;20,1,""))</f>
        <v/>
      </c>
      <c r="T9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66" s="13" t="str">
        <f>IF(tblSalaries[[#This Row],[Job Type]]=tblSalaries[[#Headers],[Accountant]],tblSalaries[[#This Row],[Salary in USD]],"")</f>
        <v/>
      </c>
      <c r="V966" s="13" t="str">
        <f>IF(tblSalaries[[#This Row],[Job Type]]=tblSalaries[[#Headers],[Analyst]],tblSalaries[[#This Row],[Salary in USD]],"")</f>
        <v/>
      </c>
      <c r="W966" s="13" t="str">
        <f>IF(tblSalaries[[#This Row],[Job Type]]=tblSalaries[[#Headers],[Consultant]],tblSalaries[[#This Row],[Salary in USD]],"")</f>
        <v/>
      </c>
      <c r="X966" s="13" t="str">
        <f>IF(tblSalaries[[#This Row],[Job Type]]=tblSalaries[[#Headers],[Controller]],tblSalaries[[#This Row],[Salary in USD]],"")</f>
        <v/>
      </c>
      <c r="Y966" s="13" t="str">
        <f>IF(tblSalaries[[#This Row],[Job Type]]=tblSalaries[[#Headers],[CXO or Top Mgmt.]],tblSalaries[[#This Row],[clean Salary (in local currency)]],"")</f>
        <v/>
      </c>
      <c r="Z966" s="13" t="str">
        <f>IF(tblSalaries[[#This Row],[Job Type]]=tblSalaries[[#Headers],[Engineer]],tblSalaries[[#This Row],[Salary in USD]],"")</f>
        <v/>
      </c>
      <c r="AA966" s="13" t="str">
        <f>IF(tblSalaries[[#This Row],[Job Type]]=tblSalaries[[#Headers],[Manager]],tblSalaries[[#This Row],[Salary in USD]],"")</f>
        <v/>
      </c>
      <c r="AB966" s="13" t="str">
        <f>IF(tblSalaries[[#This Row],[Job Type]]=tblSalaries[[#Headers],[Misc.]],tblSalaries[[#This Row],[Salary in USD]],"")</f>
        <v/>
      </c>
      <c r="AC966" s="13">
        <f>IF(tblSalaries[[#This Row],[Job Type]]=tblSalaries[[#Headers],[Reporting]],tblSalaries[[#This Row],[Salary in USD]],"")</f>
        <v>85000</v>
      </c>
      <c r="AD966" s="13" t="str">
        <f>IF(tblSalaries[[#This Row],[Job Type]]=tblSalaries[[#Headers],[Specialist]],tblSalaries[[#This Row],[Salary in USD]],"")</f>
        <v/>
      </c>
    </row>
    <row r="967" spans="2:30" ht="15" customHeight="1" x14ac:dyDescent="0.25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 s="9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  <c r="N967" t="str">
        <f>IF(tblSalaries[[#This Row],[Years of Experience]]="","",IF(tblSalaries[[#This Row],[Years of Experience]]&lt;=2,1,""))</f>
        <v/>
      </c>
      <c r="O967">
        <f>IF(tblSalaries[[#This Row],[Years of Experience]]="","",IF(AND(tblSalaries[[#This Row],[Years of Experience]]&gt;2,tblSalaries[[#This Row],[Years of Experience]]&lt;=5),1,""))</f>
        <v>1</v>
      </c>
      <c r="P967" t="str">
        <f>IF(tblSalaries[[#This Row],[Years of Experience]]="","",IF(AND(tblSalaries[[#This Row],[Years of Experience]]&gt;5,tblSalaries[[#This Row],[Years of Experience]]&lt;=10),1,""))</f>
        <v/>
      </c>
      <c r="Q967" t="str">
        <f>IF(tblSalaries[[#This Row],[Years of Experience]]="","",IF(AND(tblSalaries[[#This Row],[Years of Experience]]&gt;10,tblSalaries[[#This Row],[Years of Experience]]&lt;=15),1,""))</f>
        <v/>
      </c>
      <c r="R967" t="str">
        <f>IF(tblSalaries[[#This Row],[Years of Experience]]="","",IF(AND(tblSalaries[[#This Row],[Years of Experience]]&gt;16,tblSalaries[[#This Row],[Years of Experience]]&lt;=20),1,""))</f>
        <v/>
      </c>
      <c r="S967" t="str">
        <f>IF(tblSalaries[[#This Row],[Years of Experience]]="","",IF(tblSalaries[[#This Row],[Years of Experience]]&gt;20,1,""))</f>
        <v/>
      </c>
      <c r="T9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67" s="13" t="str">
        <f>IF(tblSalaries[[#This Row],[Job Type]]=tblSalaries[[#Headers],[Accountant]],tblSalaries[[#This Row],[Salary in USD]],"")</f>
        <v/>
      </c>
      <c r="V967" s="13">
        <f>IF(tblSalaries[[#This Row],[Job Type]]=tblSalaries[[#Headers],[Analyst]],tblSalaries[[#This Row],[Salary in USD]],"")</f>
        <v>95871.50770184776</v>
      </c>
      <c r="W967" s="13" t="str">
        <f>IF(tblSalaries[[#This Row],[Job Type]]=tblSalaries[[#Headers],[Consultant]],tblSalaries[[#This Row],[Salary in USD]],"")</f>
        <v/>
      </c>
      <c r="X967" s="13" t="str">
        <f>IF(tblSalaries[[#This Row],[Job Type]]=tblSalaries[[#Headers],[Controller]],tblSalaries[[#This Row],[Salary in USD]],"")</f>
        <v/>
      </c>
      <c r="Y967" s="13" t="str">
        <f>IF(tblSalaries[[#This Row],[Job Type]]=tblSalaries[[#Headers],[CXO or Top Mgmt.]],tblSalaries[[#This Row],[clean Salary (in local currency)]],"")</f>
        <v/>
      </c>
      <c r="Z967" s="13" t="str">
        <f>IF(tblSalaries[[#This Row],[Job Type]]=tblSalaries[[#Headers],[Engineer]],tblSalaries[[#This Row],[Salary in USD]],"")</f>
        <v/>
      </c>
      <c r="AA967" s="13" t="str">
        <f>IF(tblSalaries[[#This Row],[Job Type]]=tblSalaries[[#Headers],[Manager]],tblSalaries[[#This Row],[Salary in USD]],"")</f>
        <v/>
      </c>
      <c r="AB967" s="13" t="str">
        <f>IF(tblSalaries[[#This Row],[Job Type]]=tblSalaries[[#Headers],[Misc.]],tblSalaries[[#This Row],[Salary in USD]],"")</f>
        <v/>
      </c>
      <c r="AC967" s="13" t="str">
        <f>IF(tblSalaries[[#This Row],[Job Type]]=tblSalaries[[#Headers],[Reporting]],tblSalaries[[#This Row],[Salary in USD]],"")</f>
        <v/>
      </c>
      <c r="AD967" s="13" t="str">
        <f>IF(tblSalaries[[#This Row],[Job Type]]=tblSalaries[[#Headers],[Specialist]],tblSalaries[[#This Row],[Salary in USD]],"")</f>
        <v/>
      </c>
    </row>
    <row r="968" spans="2:30" ht="15" customHeight="1" x14ac:dyDescent="0.25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 s="9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  <c r="N968" t="str">
        <f>IF(tblSalaries[[#This Row],[Years of Experience]]="","",IF(tblSalaries[[#This Row],[Years of Experience]]&lt;=2,1,""))</f>
        <v/>
      </c>
      <c r="O968" t="str">
        <f>IF(tblSalaries[[#This Row],[Years of Experience]]="","",IF(AND(tblSalaries[[#This Row],[Years of Experience]]&gt;2,tblSalaries[[#This Row],[Years of Experience]]&lt;=5),1,""))</f>
        <v/>
      </c>
      <c r="P968" t="str">
        <f>IF(tblSalaries[[#This Row],[Years of Experience]]="","",IF(AND(tblSalaries[[#This Row],[Years of Experience]]&gt;5,tblSalaries[[#This Row],[Years of Experience]]&lt;=10),1,""))</f>
        <v/>
      </c>
      <c r="Q968" t="str">
        <f>IF(tblSalaries[[#This Row],[Years of Experience]]="","",IF(AND(tblSalaries[[#This Row],[Years of Experience]]&gt;10,tblSalaries[[#This Row],[Years of Experience]]&lt;=15),1,""))</f>
        <v/>
      </c>
      <c r="R968" t="str">
        <f>IF(tblSalaries[[#This Row],[Years of Experience]]="","",IF(AND(tblSalaries[[#This Row],[Years of Experience]]&gt;16,tblSalaries[[#This Row],[Years of Experience]]&lt;=20),1,""))</f>
        <v/>
      </c>
      <c r="S968">
        <f>IF(tblSalaries[[#This Row],[Years of Experience]]="","",IF(tblSalaries[[#This Row],[Years of Experience]]&gt;20,1,""))</f>
        <v>1</v>
      </c>
      <c r="T9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968" s="13" t="str">
        <f>IF(tblSalaries[[#This Row],[Job Type]]=tblSalaries[[#Headers],[Accountant]],tblSalaries[[#This Row],[Salary in USD]],"")</f>
        <v/>
      </c>
      <c r="V968" s="13" t="str">
        <f>IF(tblSalaries[[#This Row],[Job Type]]=tblSalaries[[#Headers],[Analyst]],tblSalaries[[#This Row],[Salary in USD]],"")</f>
        <v/>
      </c>
      <c r="W968" s="13" t="str">
        <f>IF(tblSalaries[[#This Row],[Job Type]]=tblSalaries[[#Headers],[Consultant]],tblSalaries[[#This Row],[Salary in USD]],"")</f>
        <v/>
      </c>
      <c r="X968" s="13" t="str">
        <f>IF(tblSalaries[[#This Row],[Job Type]]=tblSalaries[[#Headers],[Controller]],tblSalaries[[#This Row],[Salary in USD]],"")</f>
        <v/>
      </c>
      <c r="Y968" s="13" t="str">
        <f>IF(tblSalaries[[#This Row],[Job Type]]=tblSalaries[[#Headers],[CXO or Top Mgmt.]],tblSalaries[[#This Row],[clean Salary (in local currency)]],"")</f>
        <v/>
      </c>
      <c r="Z968" s="13" t="str">
        <f>IF(tblSalaries[[#This Row],[Job Type]]=tblSalaries[[#Headers],[Engineer]],tblSalaries[[#This Row],[Salary in USD]],"")</f>
        <v/>
      </c>
      <c r="AA968" s="13">
        <f>IF(tblSalaries[[#This Row],[Job Type]]=tblSalaries[[#Headers],[Manager]],tblSalaries[[#This Row],[Salary in USD]],"")</f>
        <v>109130.33323508203</v>
      </c>
      <c r="AB968" s="13" t="str">
        <f>IF(tblSalaries[[#This Row],[Job Type]]=tblSalaries[[#Headers],[Misc.]],tblSalaries[[#This Row],[Salary in USD]],"")</f>
        <v/>
      </c>
      <c r="AC968" s="13" t="str">
        <f>IF(tblSalaries[[#This Row],[Job Type]]=tblSalaries[[#Headers],[Reporting]],tblSalaries[[#This Row],[Salary in USD]],"")</f>
        <v/>
      </c>
      <c r="AD968" s="13" t="str">
        <f>IF(tblSalaries[[#This Row],[Job Type]]=tblSalaries[[#Headers],[Specialist]],tblSalaries[[#This Row],[Salary in USD]],"")</f>
        <v/>
      </c>
    </row>
    <row r="969" spans="2:30" ht="15" customHeight="1" x14ac:dyDescent="0.25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 s="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1118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  <c r="N969" t="str">
        <f>IF(tblSalaries[[#This Row],[Years of Experience]]="","",IF(tblSalaries[[#This Row],[Years of Experience]]&lt;=2,1,""))</f>
        <v/>
      </c>
      <c r="O969">
        <f>IF(tblSalaries[[#This Row],[Years of Experience]]="","",IF(AND(tblSalaries[[#This Row],[Years of Experience]]&gt;2,tblSalaries[[#This Row],[Years of Experience]]&lt;=5),1,""))</f>
        <v>1</v>
      </c>
      <c r="P969" t="str">
        <f>IF(tblSalaries[[#This Row],[Years of Experience]]="","",IF(AND(tblSalaries[[#This Row],[Years of Experience]]&gt;5,tblSalaries[[#This Row],[Years of Experience]]&lt;=10),1,""))</f>
        <v/>
      </c>
      <c r="Q969" t="str">
        <f>IF(tblSalaries[[#This Row],[Years of Experience]]="","",IF(AND(tblSalaries[[#This Row],[Years of Experience]]&gt;10,tblSalaries[[#This Row],[Years of Experience]]&lt;=15),1,""))</f>
        <v/>
      </c>
      <c r="R969" t="str">
        <f>IF(tblSalaries[[#This Row],[Years of Experience]]="","",IF(AND(tblSalaries[[#This Row],[Years of Experience]]&gt;16,tblSalaries[[#This Row],[Years of Experience]]&lt;=20),1,""))</f>
        <v/>
      </c>
      <c r="S969" t="str">
        <f>IF(tblSalaries[[#This Row],[Years of Experience]]="","",IF(tblSalaries[[#This Row],[Years of Experience]]&gt;20,1,""))</f>
        <v/>
      </c>
      <c r="T9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69" s="13" t="str">
        <f>IF(tblSalaries[[#This Row],[Job Type]]=tblSalaries[[#Headers],[Accountant]],tblSalaries[[#This Row],[Salary in USD]],"")</f>
        <v/>
      </c>
      <c r="V969" s="13" t="str">
        <f>IF(tblSalaries[[#This Row],[Job Type]]=tblSalaries[[#Headers],[Analyst]],tblSalaries[[#This Row],[Salary in USD]],"")</f>
        <v/>
      </c>
      <c r="W969" s="13" t="str">
        <f>IF(tblSalaries[[#This Row],[Job Type]]=tblSalaries[[#Headers],[Consultant]],tblSalaries[[#This Row],[Salary in USD]],"")</f>
        <v/>
      </c>
      <c r="X969" s="13" t="str">
        <f>IF(tblSalaries[[#This Row],[Job Type]]=tblSalaries[[#Headers],[Controller]],tblSalaries[[#This Row],[Salary in USD]],"")</f>
        <v/>
      </c>
      <c r="Y969" s="13" t="str">
        <f>IF(tblSalaries[[#This Row],[Job Type]]=tblSalaries[[#Headers],[CXO or Top Mgmt.]],tblSalaries[[#This Row],[clean Salary (in local currency)]],"")</f>
        <v/>
      </c>
      <c r="Z969" s="13" t="str">
        <f>IF(tblSalaries[[#This Row],[Job Type]]=tblSalaries[[#Headers],[Engineer]],tblSalaries[[#This Row],[Salary in USD]],"")</f>
        <v/>
      </c>
      <c r="AA969" s="13">
        <f>IF(tblSalaries[[#This Row],[Job Type]]=tblSalaries[[#Headers],[Manager]],tblSalaries[[#This Row],[Salary in USD]],"")</f>
        <v>36000</v>
      </c>
      <c r="AB969" s="13" t="str">
        <f>IF(tblSalaries[[#This Row],[Job Type]]=tblSalaries[[#Headers],[Misc.]],tblSalaries[[#This Row],[Salary in USD]],"")</f>
        <v/>
      </c>
      <c r="AC969" s="13" t="str">
        <f>IF(tblSalaries[[#This Row],[Job Type]]=tblSalaries[[#Headers],[Reporting]],tblSalaries[[#This Row],[Salary in USD]],"")</f>
        <v/>
      </c>
      <c r="AD969" s="13" t="str">
        <f>IF(tblSalaries[[#This Row],[Job Type]]=tblSalaries[[#Headers],[Specialist]],tblSalaries[[#This Row],[Salary in USD]],"")</f>
        <v/>
      </c>
    </row>
    <row r="970" spans="2:30" ht="15" customHeight="1" x14ac:dyDescent="0.25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 s="9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  <c r="N970">
        <f>IF(tblSalaries[[#This Row],[Years of Experience]]="","",IF(tblSalaries[[#This Row],[Years of Experience]]&lt;=2,1,""))</f>
        <v>1</v>
      </c>
      <c r="O970" t="str">
        <f>IF(tblSalaries[[#This Row],[Years of Experience]]="","",IF(AND(tblSalaries[[#This Row],[Years of Experience]]&gt;2,tblSalaries[[#This Row],[Years of Experience]]&lt;=5),1,""))</f>
        <v/>
      </c>
      <c r="P970" t="str">
        <f>IF(tblSalaries[[#This Row],[Years of Experience]]="","",IF(AND(tblSalaries[[#This Row],[Years of Experience]]&gt;5,tblSalaries[[#This Row],[Years of Experience]]&lt;=10),1,""))</f>
        <v/>
      </c>
      <c r="Q970" t="str">
        <f>IF(tblSalaries[[#This Row],[Years of Experience]]="","",IF(AND(tblSalaries[[#This Row],[Years of Experience]]&gt;10,tblSalaries[[#This Row],[Years of Experience]]&lt;=15),1,""))</f>
        <v/>
      </c>
      <c r="R970" t="str">
        <f>IF(tblSalaries[[#This Row],[Years of Experience]]="","",IF(AND(tblSalaries[[#This Row],[Years of Experience]]&gt;16,tblSalaries[[#This Row],[Years of Experience]]&lt;=20),1,""))</f>
        <v/>
      </c>
      <c r="S970" t="str">
        <f>IF(tblSalaries[[#This Row],[Years of Experience]]="","",IF(tblSalaries[[#This Row],[Years of Experience]]&gt;20,1,""))</f>
        <v/>
      </c>
      <c r="T9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70" s="13" t="str">
        <f>IF(tblSalaries[[#This Row],[Job Type]]=tblSalaries[[#Headers],[Accountant]],tblSalaries[[#This Row],[Salary in USD]],"")</f>
        <v/>
      </c>
      <c r="V970" s="13">
        <f>IF(tblSalaries[[#This Row],[Job Type]]=tblSalaries[[#Headers],[Analyst]],tblSalaries[[#This Row],[Salary in USD]],"")</f>
        <v>122389.15876831629</v>
      </c>
      <c r="W970" s="13" t="str">
        <f>IF(tblSalaries[[#This Row],[Job Type]]=tblSalaries[[#Headers],[Consultant]],tblSalaries[[#This Row],[Salary in USD]],"")</f>
        <v/>
      </c>
      <c r="X970" s="13" t="str">
        <f>IF(tblSalaries[[#This Row],[Job Type]]=tblSalaries[[#Headers],[Controller]],tblSalaries[[#This Row],[Salary in USD]],"")</f>
        <v/>
      </c>
      <c r="Y970" s="13" t="str">
        <f>IF(tblSalaries[[#This Row],[Job Type]]=tblSalaries[[#Headers],[CXO or Top Mgmt.]],tblSalaries[[#This Row],[clean Salary (in local currency)]],"")</f>
        <v/>
      </c>
      <c r="Z970" s="13" t="str">
        <f>IF(tblSalaries[[#This Row],[Job Type]]=tblSalaries[[#Headers],[Engineer]],tblSalaries[[#This Row],[Salary in USD]],"")</f>
        <v/>
      </c>
      <c r="AA970" s="13" t="str">
        <f>IF(tblSalaries[[#This Row],[Job Type]]=tblSalaries[[#Headers],[Manager]],tblSalaries[[#This Row],[Salary in USD]],"")</f>
        <v/>
      </c>
      <c r="AB970" s="13" t="str">
        <f>IF(tblSalaries[[#This Row],[Job Type]]=tblSalaries[[#Headers],[Misc.]],tblSalaries[[#This Row],[Salary in USD]],"")</f>
        <v/>
      </c>
      <c r="AC970" s="13" t="str">
        <f>IF(tblSalaries[[#This Row],[Job Type]]=tblSalaries[[#Headers],[Reporting]],tblSalaries[[#This Row],[Salary in USD]],"")</f>
        <v/>
      </c>
      <c r="AD970" s="13" t="str">
        <f>IF(tblSalaries[[#This Row],[Job Type]]=tblSalaries[[#Headers],[Specialist]],tblSalaries[[#This Row],[Salary in USD]],"")</f>
        <v/>
      </c>
    </row>
    <row r="971" spans="2:30" ht="15" customHeight="1" x14ac:dyDescent="0.25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 s="9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  <c r="N971" t="str">
        <f>IF(tblSalaries[[#This Row],[Years of Experience]]="","",IF(tblSalaries[[#This Row],[Years of Experience]]&lt;=2,1,""))</f>
        <v/>
      </c>
      <c r="O971">
        <f>IF(tblSalaries[[#This Row],[Years of Experience]]="","",IF(AND(tblSalaries[[#This Row],[Years of Experience]]&gt;2,tblSalaries[[#This Row],[Years of Experience]]&lt;=5),1,""))</f>
        <v>1</v>
      </c>
      <c r="P971" t="str">
        <f>IF(tblSalaries[[#This Row],[Years of Experience]]="","",IF(AND(tblSalaries[[#This Row],[Years of Experience]]&gt;5,tblSalaries[[#This Row],[Years of Experience]]&lt;=10),1,""))</f>
        <v/>
      </c>
      <c r="Q971" t="str">
        <f>IF(tblSalaries[[#This Row],[Years of Experience]]="","",IF(AND(tblSalaries[[#This Row],[Years of Experience]]&gt;10,tblSalaries[[#This Row],[Years of Experience]]&lt;=15),1,""))</f>
        <v/>
      </c>
      <c r="R971" t="str">
        <f>IF(tblSalaries[[#This Row],[Years of Experience]]="","",IF(AND(tblSalaries[[#This Row],[Years of Experience]]&gt;16,tblSalaries[[#This Row],[Years of Experience]]&lt;=20),1,""))</f>
        <v/>
      </c>
      <c r="S971" t="str">
        <f>IF(tblSalaries[[#This Row],[Years of Experience]]="","",IF(tblSalaries[[#This Row],[Years of Experience]]&gt;20,1,""))</f>
        <v/>
      </c>
      <c r="T9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71" s="13" t="str">
        <f>IF(tblSalaries[[#This Row],[Job Type]]=tblSalaries[[#Headers],[Accountant]],tblSalaries[[#This Row],[Salary in USD]],"")</f>
        <v/>
      </c>
      <c r="V971" s="13">
        <f>IF(tblSalaries[[#This Row],[Job Type]]=tblSalaries[[#Headers],[Analyst]],tblSalaries[[#This Row],[Salary in USD]],"")</f>
        <v>53035.30213293706</v>
      </c>
      <c r="W971" s="13" t="str">
        <f>IF(tblSalaries[[#This Row],[Job Type]]=tblSalaries[[#Headers],[Consultant]],tblSalaries[[#This Row],[Salary in USD]],"")</f>
        <v/>
      </c>
      <c r="X971" s="13" t="str">
        <f>IF(tblSalaries[[#This Row],[Job Type]]=tblSalaries[[#Headers],[Controller]],tblSalaries[[#This Row],[Salary in USD]],"")</f>
        <v/>
      </c>
      <c r="Y971" s="13" t="str">
        <f>IF(tblSalaries[[#This Row],[Job Type]]=tblSalaries[[#Headers],[CXO or Top Mgmt.]],tblSalaries[[#This Row],[clean Salary (in local currency)]],"")</f>
        <v/>
      </c>
      <c r="Z971" s="13" t="str">
        <f>IF(tblSalaries[[#This Row],[Job Type]]=tblSalaries[[#Headers],[Engineer]],tblSalaries[[#This Row],[Salary in USD]],"")</f>
        <v/>
      </c>
      <c r="AA971" s="13" t="str">
        <f>IF(tblSalaries[[#This Row],[Job Type]]=tblSalaries[[#Headers],[Manager]],tblSalaries[[#This Row],[Salary in USD]],"")</f>
        <v/>
      </c>
      <c r="AB971" s="13" t="str">
        <f>IF(tblSalaries[[#This Row],[Job Type]]=tblSalaries[[#Headers],[Misc.]],tblSalaries[[#This Row],[Salary in USD]],"")</f>
        <v/>
      </c>
      <c r="AC971" s="13" t="str">
        <f>IF(tblSalaries[[#This Row],[Job Type]]=tblSalaries[[#Headers],[Reporting]],tblSalaries[[#This Row],[Salary in USD]],"")</f>
        <v/>
      </c>
      <c r="AD971" s="13" t="str">
        <f>IF(tblSalaries[[#This Row],[Job Type]]=tblSalaries[[#Headers],[Specialist]],tblSalaries[[#This Row],[Salary in USD]],"")</f>
        <v/>
      </c>
    </row>
    <row r="972" spans="2:30" ht="15" customHeight="1" x14ac:dyDescent="0.25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 s="9">
        <f>tblSalaries[[#This Row],[clean Salary (in local currency)]]*VLOOKUP(tblSalaries[[#This Row],[Currency]],tblXrate[],2,FALSE)</f>
        <v>125000</v>
      </c>
      <c r="H972" t="s">
        <v>1121</v>
      </c>
      <c r="I972" t="s">
        <v>4001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  <c r="N972" t="str">
        <f>IF(tblSalaries[[#This Row],[Years of Experience]]="","",IF(tblSalaries[[#This Row],[Years of Experience]]&lt;=2,1,""))</f>
        <v/>
      </c>
      <c r="O972" t="str">
        <f>IF(tblSalaries[[#This Row],[Years of Experience]]="","",IF(AND(tblSalaries[[#This Row],[Years of Experience]]&gt;2,tblSalaries[[#This Row],[Years of Experience]]&lt;=5),1,""))</f>
        <v/>
      </c>
      <c r="P972">
        <f>IF(tblSalaries[[#This Row],[Years of Experience]]="","",IF(AND(tblSalaries[[#This Row],[Years of Experience]]&gt;5,tblSalaries[[#This Row],[Years of Experience]]&lt;=10),1,""))</f>
        <v>1</v>
      </c>
      <c r="Q972" t="str">
        <f>IF(tblSalaries[[#This Row],[Years of Experience]]="","",IF(AND(tblSalaries[[#This Row],[Years of Experience]]&gt;10,tblSalaries[[#This Row],[Years of Experience]]&lt;=15),1,""))</f>
        <v/>
      </c>
      <c r="R972" t="str">
        <f>IF(tblSalaries[[#This Row],[Years of Experience]]="","",IF(AND(tblSalaries[[#This Row],[Years of Experience]]&gt;16,tblSalaries[[#This Row],[Years of Experience]]&lt;=20),1,""))</f>
        <v/>
      </c>
      <c r="S972" t="str">
        <f>IF(tblSalaries[[#This Row],[Years of Experience]]="","",IF(tblSalaries[[#This Row],[Years of Experience]]&gt;20,1,""))</f>
        <v/>
      </c>
      <c r="T9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72" s="13" t="str">
        <f>IF(tblSalaries[[#This Row],[Job Type]]=tblSalaries[[#Headers],[Accountant]],tblSalaries[[#This Row],[Salary in USD]],"")</f>
        <v/>
      </c>
      <c r="V972" s="13" t="str">
        <f>IF(tblSalaries[[#This Row],[Job Type]]=tblSalaries[[#Headers],[Analyst]],tblSalaries[[#This Row],[Salary in USD]],"")</f>
        <v/>
      </c>
      <c r="W972" s="13" t="str">
        <f>IF(tblSalaries[[#This Row],[Job Type]]=tblSalaries[[#Headers],[Consultant]],tblSalaries[[#This Row],[Salary in USD]],"")</f>
        <v/>
      </c>
      <c r="X972" s="13" t="str">
        <f>IF(tblSalaries[[#This Row],[Job Type]]=tblSalaries[[#Headers],[Controller]],tblSalaries[[#This Row],[Salary in USD]],"")</f>
        <v/>
      </c>
      <c r="Y972" s="13">
        <f>IF(tblSalaries[[#This Row],[Job Type]]=tblSalaries[[#Headers],[CXO or Top Mgmt.]],tblSalaries[[#This Row],[clean Salary (in local currency)]],"")</f>
        <v>125000</v>
      </c>
      <c r="Z972" s="13" t="str">
        <f>IF(tblSalaries[[#This Row],[Job Type]]=tblSalaries[[#Headers],[Engineer]],tblSalaries[[#This Row],[Salary in USD]],"")</f>
        <v/>
      </c>
      <c r="AA972" s="13" t="str">
        <f>IF(tblSalaries[[#This Row],[Job Type]]=tblSalaries[[#Headers],[Manager]],tblSalaries[[#This Row],[Salary in USD]],"")</f>
        <v/>
      </c>
      <c r="AB972" s="13" t="str">
        <f>IF(tblSalaries[[#This Row],[Job Type]]=tblSalaries[[#Headers],[Misc.]],tblSalaries[[#This Row],[Salary in USD]],"")</f>
        <v/>
      </c>
      <c r="AC972" s="13" t="str">
        <f>IF(tblSalaries[[#This Row],[Job Type]]=tblSalaries[[#Headers],[Reporting]],tblSalaries[[#This Row],[Salary in USD]],"")</f>
        <v/>
      </c>
      <c r="AD972" s="13" t="str">
        <f>IF(tblSalaries[[#This Row],[Job Type]]=tblSalaries[[#Headers],[Specialist]],tblSalaries[[#This Row],[Salary in USD]],"")</f>
        <v/>
      </c>
    </row>
    <row r="973" spans="2:30" ht="15" customHeight="1" x14ac:dyDescent="0.25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 s="9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t="s">
        <v>1123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  <c r="N973" t="str">
        <f>IF(tblSalaries[[#This Row],[Years of Experience]]="","",IF(tblSalaries[[#This Row],[Years of Experience]]&lt;=2,1,""))</f>
        <v/>
      </c>
      <c r="O973" t="str">
        <f>IF(tblSalaries[[#This Row],[Years of Experience]]="","",IF(AND(tblSalaries[[#This Row],[Years of Experience]]&gt;2,tblSalaries[[#This Row],[Years of Experience]]&lt;=5),1,""))</f>
        <v/>
      </c>
      <c r="P973">
        <f>IF(tblSalaries[[#This Row],[Years of Experience]]="","",IF(AND(tblSalaries[[#This Row],[Years of Experience]]&gt;5,tblSalaries[[#This Row],[Years of Experience]]&lt;=10),1,""))</f>
        <v>1</v>
      </c>
      <c r="Q973" t="str">
        <f>IF(tblSalaries[[#This Row],[Years of Experience]]="","",IF(AND(tblSalaries[[#This Row],[Years of Experience]]&gt;10,tblSalaries[[#This Row],[Years of Experience]]&lt;=15),1,""))</f>
        <v/>
      </c>
      <c r="R973" t="str">
        <f>IF(tblSalaries[[#This Row],[Years of Experience]]="","",IF(AND(tblSalaries[[#This Row],[Years of Experience]]&gt;16,tblSalaries[[#This Row],[Years of Experience]]&lt;=20),1,""))</f>
        <v/>
      </c>
      <c r="S973" t="str">
        <f>IF(tblSalaries[[#This Row],[Years of Experience]]="","",IF(tblSalaries[[#This Row],[Years of Experience]]&gt;20,1,""))</f>
        <v/>
      </c>
      <c r="T9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73" s="13" t="str">
        <f>IF(tblSalaries[[#This Row],[Job Type]]=tblSalaries[[#Headers],[Accountant]],tblSalaries[[#This Row],[Salary in USD]],"")</f>
        <v/>
      </c>
      <c r="V973" s="13">
        <f>IF(tblSalaries[[#This Row],[Job Type]]=tblSalaries[[#Headers],[Analyst]],tblSalaries[[#This Row],[Salary in USD]],"")</f>
        <v>19000</v>
      </c>
      <c r="W973" s="13" t="str">
        <f>IF(tblSalaries[[#This Row],[Job Type]]=tblSalaries[[#Headers],[Consultant]],tblSalaries[[#This Row],[Salary in USD]],"")</f>
        <v/>
      </c>
      <c r="X973" s="13" t="str">
        <f>IF(tblSalaries[[#This Row],[Job Type]]=tblSalaries[[#Headers],[Controller]],tblSalaries[[#This Row],[Salary in USD]],"")</f>
        <v/>
      </c>
      <c r="Y973" s="13" t="str">
        <f>IF(tblSalaries[[#This Row],[Job Type]]=tblSalaries[[#Headers],[CXO or Top Mgmt.]],tblSalaries[[#This Row],[clean Salary (in local currency)]],"")</f>
        <v/>
      </c>
      <c r="Z973" s="13" t="str">
        <f>IF(tblSalaries[[#This Row],[Job Type]]=tblSalaries[[#Headers],[Engineer]],tblSalaries[[#This Row],[Salary in USD]],"")</f>
        <v/>
      </c>
      <c r="AA973" s="13" t="str">
        <f>IF(tblSalaries[[#This Row],[Job Type]]=tblSalaries[[#Headers],[Manager]],tblSalaries[[#This Row],[Salary in USD]],"")</f>
        <v/>
      </c>
      <c r="AB973" s="13" t="str">
        <f>IF(tblSalaries[[#This Row],[Job Type]]=tblSalaries[[#Headers],[Misc.]],tblSalaries[[#This Row],[Salary in USD]],"")</f>
        <v/>
      </c>
      <c r="AC973" s="13" t="str">
        <f>IF(tblSalaries[[#This Row],[Job Type]]=tblSalaries[[#Headers],[Reporting]],tblSalaries[[#This Row],[Salary in USD]],"")</f>
        <v/>
      </c>
      <c r="AD973" s="13" t="str">
        <f>IF(tblSalaries[[#This Row],[Job Type]]=tblSalaries[[#Headers],[Specialist]],tblSalaries[[#This Row],[Salary in USD]],"")</f>
        <v/>
      </c>
    </row>
    <row r="974" spans="2:30" ht="15" customHeight="1" x14ac:dyDescent="0.25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 s="9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  <c r="N974" t="str">
        <f>IF(tblSalaries[[#This Row],[Years of Experience]]="","",IF(tblSalaries[[#This Row],[Years of Experience]]&lt;=2,1,""))</f>
        <v/>
      </c>
      <c r="O974" t="str">
        <f>IF(tblSalaries[[#This Row],[Years of Experience]]="","",IF(AND(tblSalaries[[#This Row],[Years of Experience]]&gt;2,tblSalaries[[#This Row],[Years of Experience]]&lt;=5),1,""))</f>
        <v/>
      </c>
      <c r="P974">
        <f>IF(tblSalaries[[#This Row],[Years of Experience]]="","",IF(AND(tblSalaries[[#This Row],[Years of Experience]]&gt;5,tblSalaries[[#This Row],[Years of Experience]]&lt;=10),1,""))</f>
        <v>1</v>
      </c>
      <c r="Q974" t="str">
        <f>IF(tblSalaries[[#This Row],[Years of Experience]]="","",IF(AND(tblSalaries[[#This Row],[Years of Experience]]&gt;10,tblSalaries[[#This Row],[Years of Experience]]&lt;=15),1,""))</f>
        <v/>
      </c>
      <c r="R974" t="str">
        <f>IF(tblSalaries[[#This Row],[Years of Experience]]="","",IF(AND(tblSalaries[[#This Row],[Years of Experience]]&gt;16,tblSalaries[[#This Row],[Years of Experience]]&lt;=20),1,""))</f>
        <v/>
      </c>
      <c r="S974" t="str">
        <f>IF(tblSalaries[[#This Row],[Years of Experience]]="","",IF(tblSalaries[[#This Row],[Years of Experience]]&gt;20,1,""))</f>
        <v/>
      </c>
      <c r="T9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74" s="13" t="str">
        <f>IF(tblSalaries[[#This Row],[Job Type]]=tblSalaries[[#Headers],[Accountant]],tblSalaries[[#This Row],[Salary in USD]],"")</f>
        <v/>
      </c>
      <c r="V974" s="13">
        <f>IF(tblSalaries[[#This Row],[Job Type]]=tblSalaries[[#Headers],[Analyst]],tblSalaries[[#This Row],[Salary in USD]],"")</f>
        <v>93831.688389042494</v>
      </c>
      <c r="W974" s="13" t="str">
        <f>IF(tblSalaries[[#This Row],[Job Type]]=tblSalaries[[#Headers],[Consultant]],tblSalaries[[#This Row],[Salary in USD]],"")</f>
        <v/>
      </c>
      <c r="X974" s="13" t="str">
        <f>IF(tblSalaries[[#This Row],[Job Type]]=tblSalaries[[#Headers],[Controller]],tblSalaries[[#This Row],[Salary in USD]],"")</f>
        <v/>
      </c>
      <c r="Y974" s="13" t="str">
        <f>IF(tblSalaries[[#This Row],[Job Type]]=tblSalaries[[#Headers],[CXO or Top Mgmt.]],tblSalaries[[#This Row],[clean Salary (in local currency)]],"")</f>
        <v/>
      </c>
      <c r="Z974" s="13" t="str">
        <f>IF(tblSalaries[[#This Row],[Job Type]]=tblSalaries[[#Headers],[Engineer]],tblSalaries[[#This Row],[Salary in USD]],"")</f>
        <v/>
      </c>
      <c r="AA974" s="13" t="str">
        <f>IF(tblSalaries[[#This Row],[Job Type]]=tblSalaries[[#Headers],[Manager]],tblSalaries[[#This Row],[Salary in USD]],"")</f>
        <v/>
      </c>
      <c r="AB974" s="13" t="str">
        <f>IF(tblSalaries[[#This Row],[Job Type]]=tblSalaries[[#Headers],[Misc.]],tblSalaries[[#This Row],[Salary in USD]],"")</f>
        <v/>
      </c>
      <c r="AC974" s="13" t="str">
        <f>IF(tblSalaries[[#This Row],[Job Type]]=tblSalaries[[#Headers],[Reporting]],tblSalaries[[#This Row],[Salary in USD]],"")</f>
        <v/>
      </c>
      <c r="AD974" s="13" t="str">
        <f>IF(tblSalaries[[#This Row],[Job Type]]=tblSalaries[[#Headers],[Specialist]],tblSalaries[[#This Row],[Salary in USD]],"")</f>
        <v/>
      </c>
    </row>
    <row r="975" spans="2:30" ht="15" customHeight="1" x14ac:dyDescent="0.25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 s="9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  <c r="N975" t="str">
        <f>IF(tblSalaries[[#This Row],[Years of Experience]]="","",IF(tblSalaries[[#This Row],[Years of Experience]]&lt;=2,1,""))</f>
        <v/>
      </c>
      <c r="O975" t="str">
        <f>IF(tblSalaries[[#This Row],[Years of Experience]]="","",IF(AND(tblSalaries[[#This Row],[Years of Experience]]&gt;2,tblSalaries[[#This Row],[Years of Experience]]&lt;=5),1,""))</f>
        <v/>
      </c>
      <c r="P975" t="str">
        <f>IF(tblSalaries[[#This Row],[Years of Experience]]="","",IF(AND(tblSalaries[[#This Row],[Years of Experience]]&gt;5,tblSalaries[[#This Row],[Years of Experience]]&lt;=10),1,""))</f>
        <v/>
      </c>
      <c r="Q975" t="str">
        <f>IF(tblSalaries[[#This Row],[Years of Experience]]="","",IF(AND(tblSalaries[[#This Row],[Years of Experience]]&gt;10,tblSalaries[[#This Row],[Years of Experience]]&lt;=15),1,""))</f>
        <v/>
      </c>
      <c r="R975">
        <f>IF(tblSalaries[[#This Row],[Years of Experience]]="","",IF(AND(tblSalaries[[#This Row],[Years of Experience]]&gt;16,tblSalaries[[#This Row],[Years of Experience]]&lt;=20),1,""))</f>
        <v>1</v>
      </c>
      <c r="S975" t="str">
        <f>IF(tblSalaries[[#This Row],[Years of Experience]]="","",IF(tblSalaries[[#This Row],[Years of Experience]]&gt;20,1,""))</f>
        <v/>
      </c>
      <c r="T9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975" s="13" t="str">
        <f>IF(tblSalaries[[#This Row],[Job Type]]=tblSalaries[[#Headers],[Accountant]],tblSalaries[[#This Row],[Salary in USD]],"")</f>
        <v/>
      </c>
      <c r="V975" s="13">
        <f>IF(tblSalaries[[#This Row],[Job Type]]=tblSalaries[[#Headers],[Analyst]],tblSalaries[[#This Row],[Salary in USD]],"")</f>
        <v>101990.96564026357</v>
      </c>
      <c r="W975" s="13" t="str">
        <f>IF(tblSalaries[[#This Row],[Job Type]]=tblSalaries[[#Headers],[Consultant]],tblSalaries[[#This Row],[Salary in USD]],"")</f>
        <v/>
      </c>
      <c r="X975" s="13" t="str">
        <f>IF(tblSalaries[[#This Row],[Job Type]]=tblSalaries[[#Headers],[Controller]],tblSalaries[[#This Row],[Salary in USD]],"")</f>
        <v/>
      </c>
      <c r="Y975" s="13" t="str">
        <f>IF(tblSalaries[[#This Row],[Job Type]]=tblSalaries[[#Headers],[CXO or Top Mgmt.]],tblSalaries[[#This Row],[clean Salary (in local currency)]],"")</f>
        <v/>
      </c>
      <c r="Z975" s="13" t="str">
        <f>IF(tblSalaries[[#This Row],[Job Type]]=tblSalaries[[#Headers],[Engineer]],tblSalaries[[#This Row],[Salary in USD]],"")</f>
        <v/>
      </c>
      <c r="AA975" s="13" t="str">
        <f>IF(tblSalaries[[#This Row],[Job Type]]=tblSalaries[[#Headers],[Manager]],tblSalaries[[#This Row],[Salary in USD]],"")</f>
        <v/>
      </c>
      <c r="AB975" s="13" t="str">
        <f>IF(tblSalaries[[#This Row],[Job Type]]=tblSalaries[[#Headers],[Misc.]],tblSalaries[[#This Row],[Salary in USD]],"")</f>
        <v/>
      </c>
      <c r="AC975" s="13" t="str">
        <f>IF(tblSalaries[[#This Row],[Job Type]]=tblSalaries[[#Headers],[Reporting]],tblSalaries[[#This Row],[Salary in USD]],"")</f>
        <v/>
      </c>
      <c r="AD975" s="13" t="str">
        <f>IF(tblSalaries[[#This Row],[Job Type]]=tblSalaries[[#Headers],[Specialist]],tblSalaries[[#This Row],[Salary in USD]],"")</f>
        <v/>
      </c>
    </row>
    <row r="976" spans="2:30" ht="15" customHeight="1" x14ac:dyDescent="0.25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 s="9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  <c r="N976" t="str">
        <f>IF(tblSalaries[[#This Row],[Years of Experience]]="","",IF(tblSalaries[[#This Row],[Years of Experience]]&lt;=2,1,""))</f>
        <v/>
      </c>
      <c r="O976">
        <f>IF(tblSalaries[[#This Row],[Years of Experience]]="","",IF(AND(tblSalaries[[#This Row],[Years of Experience]]&gt;2,tblSalaries[[#This Row],[Years of Experience]]&lt;=5),1,""))</f>
        <v>1</v>
      </c>
      <c r="P976" t="str">
        <f>IF(tblSalaries[[#This Row],[Years of Experience]]="","",IF(AND(tblSalaries[[#This Row],[Years of Experience]]&gt;5,tblSalaries[[#This Row],[Years of Experience]]&lt;=10),1,""))</f>
        <v/>
      </c>
      <c r="Q976" t="str">
        <f>IF(tblSalaries[[#This Row],[Years of Experience]]="","",IF(AND(tblSalaries[[#This Row],[Years of Experience]]&gt;10,tblSalaries[[#This Row],[Years of Experience]]&lt;=15),1,""))</f>
        <v/>
      </c>
      <c r="R976" t="str">
        <f>IF(tblSalaries[[#This Row],[Years of Experience]]="","",IF(AND(tblSalaries[[#This Row],[Years of Experience]]&gt;16,tblSalaries[[#This Row],[Years of Experience]]&lt;=20),1,""))</f>
        <v/>
      </c>
      <c r="S976" t="str">
        <f>IF(tblSalaries[[#This Row],[Years of Experience]]="","",IF(tblSalaries[[#This Row],[Years of Experience]]&gt;20,1,""))</f>
        <v/>
      </c>
      <c r="T9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76" s="13" t="str">
        <f>IF(tblSalaries[[#This Row],[Job Type]]=tblSalaries[[#Headers],[Accountant]],tblSalaries[[#This Row],[Salary in USD]],"")</f>
        <v/>
      </c>
      <c r="V976" s="13">
        <f>IF(tblSalaries[[#This Row],[Job Type]]=tblSalaries[[#Headers],[Analyst]],tblSalaries[[#This Row],[Salary in USD]],"")</f>
        <v>122389.15876831629</v>
      </c>
      <c r="W976" s="13" t="str">
        <f>IF(tblSalaries[[#This Row],[Job Type]]=tblSalaries[[#Headers],[Consultant]],tblSalaries[[#This Row],[Salary in USD]],"")</f>
        <v/>
      </c>
      <c r="X976" s="13" t="str">
        <f>IF(tblSalaries[[#This Row],[Job Type]]=tblSalaries[[#Headers],[Controller]],tblSalaries[[#This Row],[Salary in USD]],"")</f>
        <v/>
      </c>
      <c r="Y976" s="13" t="str">
        <f>IF(tblSalaries[[#This Row],[Job Type]]=tblSalaries[[#Headers],[CXO or Top Mgmt.]],tblSalaries[[#This Row],[clean Salary (in local currency)]],"")</f>
        <v/>
      </c>
      <c r="Z976" s="13" t="str">
        <f>IF(tblSalaries[[#This Row],[Job Type]]=tblSalaries[[#Headers],[Engineer]],tblSalaries[[#This Row],[Salary in USD]],"")</f>
        <v/>
      </c>
      <c r="AA976" s="13" t="str">
        <f>IF(tblSalaries[[#This Row],[Job Type]]=tblSalaries[[#Headers],[Manager]],tblSalaries[[#This Row],[Salary in USD]],"")</f>
        <v/>
      </c>
      <c r="AB976" s="13" t="str">
        <f>IF(tblSalaries[[#This Row],[Job Type]]=tblSalaries[[#Headers],[Misc.]],tblSalaries[[#This Row],[Salary in USD]],"")</f>
        <v/>
      </c>
      <c r="AC976" s="13" t="str">
        <f>IF(tblSalaries[[#This Row],[Job Type]]=tblSalaries[[#Headers],[Reporting]],tblSalaries[[#This Row],[Salary in USD]],"")</f>
        <v/>
      </c>
      <c r="AD976" s="13" t="str">
        <f>IF(tblSalaries[[#This Row],[Job Type]]=tblSalaries[[#Headers],[Specialist]],tblSalaries[[#This Row],[Salary in USD]],"")</f>
        <v/>
      </c>
    </row>
    <row r="977" spans="2:30" ht="15" customHeight="1" x14ac:dyDescent="0.25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 s="9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  <c r="N977" t="str">
        <f>IF(tblSalaries[[#This Row],[Years of Experience]]="","",IF(tblSalaries[[#This Row],[Years of Experience]]&lt;=2,1,""))</f>
        <v/>
      </c>
      <c r="O977">
        <f>IF(tblSalaries[[#This Row],[Years of Experience]]="","",IF(AND(tblSalaries[[#This Row],[Years of Experience]]&gt;2,tblSalaries[[#This Row],[Years of Experience]]&lt;=5),1,""))</f>
        <v>1</v>
      </c>
      <c r="P977" t="str">
        <f>IF(tblSalaries[[#This Row],[Years of Experience]]="","",IF(AND(tblSalaries[[#This Row],[Years of Experience]]&gt;5,tblSalaries[[#This Row],[Years of Experience]]&lt;=10),1,""))</f>
        <v/>
      </c>
      <c r="Q977" t="str">
        <f>IF(tblSalaries[[#This Row],[Years of Experience]]="","",IF(AND(tblSalaries[[#This Row],[Years of Experience]]&gt;10,tblSalaries[[#This Row],[Years of Experience]]&lt;=15),1,""))</f>
        <v/>
      </c>
      <c r="R977" t="str">
        <f>IF(tblSalaries[[#This Row],[Years of Experience]]="","",IF(AND(tblSalaries[[#This Row],[Years of Experience]]&gt;16,tblSalaries[[#This Row],[Years of Experience]]&lt;=20),1,""))</f>
        <v/>
      </c>
      <c r="S977" t="str">
        <f>IF(tblSalaries[[#This Row],[Years of Experience]]="","",IF(tblSalaries[[#This Row],[Years of Experience]]&gt;20,1,""))</f>
        <v/>
      </c>
      <c r="T9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77" s="13" t="str">
        <f>IF(tblSalaries[[#This Row],[Job Type]]=tblSalaries[[#Headers],[Accountant]],tblSalaries[[#This Row],[Salary in USD]],"")</f>
        <v/>
      </c>
      <c r="V977" s="13">
        <f>IF(tblSalaries[[#This Row],[Job Type]]=tblSalaries[[#Headers],[Analyst]],tblSalaries[[#This Row],[Salary in USD]],"")</f>
        <v>34417.653306061438</v>
      </c>
      <c r="W977" s="13" t="str">
        <f>IF(tblSalaries[[#This Row],[Job Type]]=tblSalaries[[#Headers],[Consultant]],tblSalaries[[#This Row],[Salary in USD]],"")</f>
        <v/>
      </c>
      <c r="X977" s="13" t="str">
        <f>IF(tblSalaries[[#This Row],[Job Type]]=tblSalaries[[#Headers],[Controller]],tblSalaries[[#This Row],[Salary in USD]],"")</f>
        <v/>
      </c>
      <c r="Y977" s="13" t="str">
        <f>IF(tblSalaries[[#This Row],[Job Type]]=tblSalaries[[#Headers],[CXO or Top Mgmt.]],tblSalaries[[#This Row],[clean Salary (in local currency)]],"")</f>
        <v/>
      </c>
      <c r="Z977" s="13" t="str">
        <f>IF(tblSalaries[[#This Row],[Job Type]]=tblSalaries[[#Headers],[Engineer]],tblSalaries[[#This Row],[Salary in USD]],"")</f>
        <v/>
      </c>
      <c r="AA977" s="13" t="str">
        <f>IF(tblSalaries[[#This Row],[Job Type]]=tblSalaries[[#Headers],[Manager]],tblSalaries[[#This Row],[Salary in USD]],"")</f>
        <v/>
      </c>
      <c r="AB977" s="13" t="str">
        <f>IF(tblSalaries[[#This Row],[Job Type]]=tblSalaries[[#Headers],[Misc.]],tblSalaries[[#This Row],[Salary in USD]],"")</f>
        <v/>
      </c>
      <c r="AC977" s="13" t="str">
        <f>IF(tblSalaries[[#This Row],[Job Type]]=tblSalaries[[#Headers],[Reporting]],tblSalaries[[#This Row],[Salary in USD]],"")</f>
        <v/>
      </c>
      <c r="AD977" s="13" t="str">
        <f>IF(tblSalaries[[#This Row],[Job Type]]=tblSalaries[[#Headers],[Specialist]],tblSalaries[[#This Row],[Salary in USD]],"")</f>
        <v/>
      </c>
    </row>
    <row r="978" spans="2:30" ht="15" customHeight="1" x14ac:dyDescent="0.25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 s="9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  <c r="N978" t="str">
        <f>IF(tblSalaries[[#This Row],[Years of Experience]]="","",IF(tblSalaries[[#This Row],[Years of Experience]]&lt;=2,1,""))</f>
        <v/>
      </c>
      <c r="O978">
        <f>IF(tblSalaries[[#This Row],[Years of Experience]]="","",IF(AND(tblSalaries[[#This Row],[Years of Experience]]&gt;2,tblSalaries[[#This Row],[Years of Experience]]&lt;=5),1,""))</f>
        <v>1</v>
      </c>
      <c r="P978" t="str">
        <f>IF(tblSalaries[[#This Row],[Years of Experience]]="","",IF(AND(tblSalaries[[#This Row],[Years of Experience]]&gt;5,tblSalaries[[#This Row],[Years of Experience]]&lt;=10),1,""))</f>
        <v/>
      </c>
      <c r="Q978" t="str">
        <f>IF(tblSalaries[[#This Row],[Years of Experience]]="","",IF(AND(tblSalaries[[#This Row],[Years of Experience]]&gt;10,tblSalaries[[#This Row],[Years of Experience]]&lt;=15),1,""))</f>
        <v/>
      </c>
      <c r="R978" t="str">
        <f>IF(tblSalaries[[#This Row],[Years of Experience]]="","",IF(AND(tblSalaries[[#This Row],[Years of Experience]]&gt;16,tblSalaries[[#This Row],[Years of Experience]]&lt;=20),1,""))</f>
        <v/>
      </c>
      <c r="S978" t="str">
        <f>IF(tblSalaries[[#This Row],[Years of Experience]]="","",IF(tblSalaries[[#This Row],[Years of Experience]]&gt;20,1,""))</f>
        <v/>
      </c>
      <c r="T9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78" s="13" t="str">
        <f>IF(tblSalaries[[#This Row],[Job Type]]=tblSalaries[[#Headers],[Accountant]],tblSalaries[[#This Row],[Salary in USD]],"")</f>
        <v/>
      </c>
      <c r="V978" s="13" t="str">
        <f>IF(tblSalaries[[#This Row],[Job Type]]=tblSalaries[[#Headers],[Analyst]],tblSalaries[[#This Row],[Salary in USD]],"")</f>
        <v/>
      </c>
      <c r="W978" s="13" t="str">
        <f>IF(tblSalaries[[#This Row],[Job Type]]=tblSalaries[[#Headers],[Consultant]],tblSalaries[[#This Row],[Salary in USD]],"")</f>
        <v/>
      </c>
      <c r="X978" s="13" t="str">
        <f>IF(tblSalaries[[#This Row],[Job Type]]=tblSalaries[[#Headers],[Controller]],tblSalaries[[#This Row],[Salary in USD]],"")</f>
        <v/>
      </c>
      <c r="Y978" s="13" t="str">
        <f>IF(tblSalaries[[#This Row],[Job Type]]=tblSalaries[[#Headers],[CXO or Top Mgmt.]],tblSalaries[[#This Row],[clean Salary (in local currency)]],"")</f>
        <v/>
      </c>
      <c r="Z978" s="13" t="str">
        <f>IF(tblSalaries[[#This Row],[Job Type]]=tblSalaries[[#Headers],[Engineer]],tblSalaries[[#This Row],[Salary in USD]],"")</f>
        <v/>
      </c>
      <c r="AA978" s="13">
        <f>IF(tblSalaries[[#This Row],[Job Type]]=tblSalaries[[#Headers],[Manager]],tblSalaries[[#This Row],[Salary in USD]],"")</f>
        <v>12000</v>
      </c>
      <c r="AB978" s="13" t="str">
        <f>IF(tblSalaries[[#This Row],[Job Type]]=tblSalaries[[#Headers],[Misc.]],tblSalaries[[#This Row],[Salary in USD]],"")</f>
        <v/>
      </c>
      <c r="AC978" s="13" t="str">
        <f>IF(tblSalaries[[#This Row],[Job Type]]=tblSalaries[[#Headers],[Reporting]],tblSalaries[[#This Row],[Salary in USD]],"")</f>
        <v/>
      </c>
      <c r="AD978" s="13" t="str">
        <f>IF(tblSalaries[[#This Row],[Job Type]]=tblSalaries[[#Headers],[Specialist]],tblSalaries[[#This Row],[Salary in USD]],"")</f>
        <v/>
      </c>
    </row>
    <row r="979" spans="2:30" ht="15" customHeight="1" x14ac:dyDescent="0.25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 s="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  <c r="N979">
        <f>IF(tblSalaries[[#This Row],[Years of Experience]]="","",IF(tblSalaries[[#This Row],[Years of Experience]]&lt;=2,1,""))</f>
        <v>1</v>
      </c>
      <c r="O979" t="str">
        <f>IF(tblSalaries[[#This Row],[Years of Experience]]="","",IF(AND(tblSalaries[[#This Row],[Years of Experience]]&gt;2,tblSalaries[[#This Row],[Years of Experience]]&lt;=5),1,""))</f>
        <v/>
      </c>
      <c r="P979" t="str">
        <f>IF(tblSalaries[[#This Row],[Years of Experience]]="","",IF(AND(tblSalaries[[#This Row],[Years of Experience]]&gt;5,tblSalaries[[#This Row],[Years of Experience]]&lt;=10),1,""))</f>
        <v/>
      </c>
      <c r="Q979" t="str">
        <f>IF(tblSalaries[[#This Row],[Years of Experience]]="","",IF(AND(tblSalaries[[#This Row],[Years of Experience]]&gt;10,tblSalaries[[#This Row],[Years of Experience]]&lt;=15),1,""))</f>
        <v/>
      </c>
      <c r="R979" t="str">
        <f>IF(tblSalaries[[#This Row],[Years of Experience]]="","",IF(AND(tblSalaries[[#This Row],[Years of Experience]]&gt;16,tblSalaries[[#This Row],[Years of Experience]]&lt;=20),1,""))</f>
        <v/>
      </c>
      <c r="S979" t="str">
        <f>IF(tblSalaries[[#This Row],[Years of Experience]]="","",IF(tblSalaries[[#This Row],[Years of Experience]]&gt;20,1,""))</f>
        <v/>
      </c>
      <c r="T9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79" s="13" t="str">
        <f>IF(tblSalaries[[#This Row],[Job Type]]=tblSalaries[[#Headers],[Accountant]],tblSalaries[[#This Row],[Salary in USD]],"")</f>
        <v/>
      </c>
      <c r="V979" s="13" t="str">
        <f>IF(tblSalaries[[#This Row],[Job Type]]=tblSalaries[[#Headers],[Analyst]],tblSalaries[[#This Row],[Salary in USD]],"")</f>
        <v/>
      </c>
      <c r="W979" s="13" t="str">
        <f>IF(tblSalaries[[#This Row],[Job Type]]=tblSalaries[[#Headers],[Consultant]],tblSalaries[[#This Row],[Salary in USD]],"")</f>
        <v/>
      </c>
      <c r="X979" s="13" t="str">
        <f>IF(tblSalaries[[#This Row],[Job Type]]=tblSalaries[[#Headers],[Controller]],tblSalaries[[#This Row],[Salary in USD]],"")</f>
        <v/>
      </c>
      <c r="Y979" s="13" t="str">
        <f>IF(tblSalaries[[#This Row],[Job Type]]=tblSalaries[[#Headers],[CXO or Top Mgmt.]],tblSalaries[[#This Row],[clean Salary (in local currency)]],"")</f>
        <v/>
      </c>
      <c r="Z979" s="13" t="str">
        <f>IF(tblSalaries[[#This Row],[Job Type]]=tblSalaries[[#Headers],[Engineer]],tblSalaries[[#This Row],[Salary in USD]],"")</f>
        <v/>
      </c>
      <c r="AA979" s="13">
        <f>IF(tblSalaries[[#This Row],[Job Type]]=tblSalaries[[#Headers],[Manager]],tblSalaries[[#This Row],[Salary in USD]],"")</f>
        <v>3632.815004238284</v>
      </c>
      <c r="AB979" s="13" t="str">
        <f>IF(tblSalaries[[#This Row],[Job Type]]=tblSalaries[[#Headers],[Misc.]],tblSalaries[[#This Row],[Salary in USD]],"")</f>
        <v/>
      </c>
      <c r="AC979" s="13" t="str">
        <f>IF(tblSalaries[[#This Row],[Job Type]]=tblSalaries[[#Headers],[Reporting]],tblSalaries[[#This Row],[Salary in USD]],"")</f>
        <v/>
      </c>
      <c r="AD979" s="13" t="str">
        <f>IF(tblSalaries[[#This Row],[Job Type]]=tblSalaries[[#Headers],[Specialist]],tblSalaries[[#This Row],[Salary in USD]],"")</f>
        <v/>
      </c>
    </row>
    <row r="980" spans="2:30" ht="15" customHeight="1" x14ac:dyDescent="0.25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 s="9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  <c r="N980" t="str">
        <f>IF(tblSalaries[[#This Row],[Years of Experience]]="","",IF(tblSalaries[[#This Row],[Years of Experience]]&lt;=2,1,""))</f>
        <v/>
      </c>
      <c r="O980" t="str">
        <f>IF(tblSalaries[[#This Row],[Years of Experience]]="","",IF(AND(tblSalaries[[#This Row],[Years of Experience]]&gt;2,tblSalaries[[#This Row],[Years of Experience]]&lt;=5),1,""))</f>
        <v/>
      </c>
      <c r="P980">
        <f>IF(tblSalaries[[#This Row],[Years of Experience]]="","",IF(AND(tblSalaries[[#This Row],[Years of Experience]]&gt;5,tblSalaries[[#This Row],[Years of Experience]]&lt;=10),1,""))</f>
        <v>1</v>
      </c>
      <c r="Q980" t="str">
        <f>IF(tblSalaries[[#This Row],[Years of Experience]]="","",IF(AND(tblSalaries[[#This Row],[Years of Experience]]&gt;10,tblSalaries[[#This Row],[Years of Experience]]&lt;=15),1,""))</f>
        <v/>
      </c>
      <c r="R980" t="str">
        <f>IF(tblSalaries[[#This Row],[Years of Experience]]="","",IF(AND(tblSalaries[[#This Row],[Years of Experience]]&gt;16,tblSalaries[[#This Row],[Years of Experience]]&lt;=20),1,""))</f>
        <v/>
      </c>
      <c r="S980" t="str">
        <f>IF(tblSalaries[[#This Row],[Years of Experience]]="","",IF(tblSalaries[[#This Row],[Years of Experience]]&gt;20,1,""))</f>
        <v/>
      </c>
      <c r="T9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0" s="13" t="str">
        <f>IF(tblSalaries[[#This Row],[Job Type]]=tblSalaries[[#Headers],[Accountant]],tblSalaries[[#This Row],[Salary in USD]],"")</f>
        <v/>
      </c>
      <c r="V980" s="13" t="str">
        <f>IF(tblSalaries[[#This Row],[Job Type]]=tblSalaries[[#Headers],[Analyst]],tblSalaries[[#This Row],[Salary in USD]],"")</f>
        <v/>
      </c>
      <c r="W980" s="13">
        <f>IF(tblSalaries[[#This Row],[Job Type]]=tblSalaries[[#Headers],[Consultant]],tblSalaries[[#This Row],[Salary in USD]],"")</f>
        <v>21369.500024931083</v>
      </c>
      <c r="X980" s="13" t="str">
        <f>IF(tblSalaries[[#This Row],[Job Type]]=tblSalaries[[#Headers],[Controller]],tblSalaries[[#This Row],[Salary in USD]],"")</f>
        <v/>
      </c>
      <c r="Y980" s="13" t="str">
        <f>IF(tblSalaries[[#This Row],[Job Type]]=tblSalaries[[#Headers],[CXO or Top Mgmt.]],tblSalaries[[#This Row],[clean Salary (in local currency)]],"")</f>
        <v/>
      </c>
      <c r="Z980" s="13" t="str">
        <f>IF(tblSalaries[[#This Row],[Job Type]]=tblSalaries[[#Headers],[Engineer]],tblSalaries[[#This Row],[Salary in USD]],"")</f>
        <v/>
      </c>
      <c r="AA980" s="13" t="str">
        <f>IF(tblSalaries[[#This Row],[Job Type]]=tblSalaries[[#Headers],[Manager]],tblSalaries[[#This Row],[Salary in USD]],"")</f>
        <v/>
      </c>
      <c r="AB980" s="13" t="str">
        <f>IF(tblSalaries[[#This Row],[Job Type]]=tblSalaries[[#Headers],[Misc.]],tblSalaries[[#This Row],[Salary in USD]],"")</f>
        <v/>
      </c>
      <c r="AC980" s="13" t="str">
        <f>IF(tblSalaries[[#This Row],[Job Type]]=tblSalaries[[#Headers],[Reporting]],tblSalaries[[#This Row],[Salary in USD]],"")</f>
        <v/>
      </c>
      <c r="AD980" s="13" t="str">
        <f>IF(tblSalaries[[#This Row],[Job Type]]=tblSalaries[[#Headers],[Specialist]],tblSalaries[[#This Row],[Salary in USD]],"")</f>
        <v/>
      </c>
    </row>
    <row r="981" spans="2:30" ht="15" customHeight="1" x14ac:dyDescent="0.25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 s="9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  <c r="N981" t="str">
        <f>IF(tblSalaries[[#This Row],[Years of Experience]]="","",IF(tblSalaries[[#This Row],[Years of Experience]]&lt;=2,1,""))</f>
        <v/>
      </c>
      <c r="O981" t="str">
        <f>IF(tblSalaries[[#This Row],[Years of Experience]]="","",IF(AND(tblSalaries[[#This Row],[Years of Experience]]&gt;2,tblSalaries[[#This Row],[Years of Experience]]&lt;=5),1,""))</f>
        <v/>
      </c>
      <c r="P981">
        <f>IF(tblSalaries[[#This Row],[Years of Experience]]="","",IF(AND(tblSalaries[[#This Row],[Years of Experience]]&gt;5,tblSalaries[[#This Row],[Years of Experience]]&lt;=10),1,""))</f>
        <v>1</v>
      </c>
      <c r="Q981" t="str">
        <f>IF(tblSalaries[[#This Row],[Years of Experience]]="","",IF(AND(tblSalaries[[#This Row],[Years of Experience]]&gt;10,tblSalaries[[#This Row],[Years of Experience]]&lt;=15),1,""))</f>
        <v/>
      </c>
      <c r="R981" t="str">
        <f>IF(tblSalaries[[#This Row],[Years of Experience]]="","",IF(AND(tblSalaries[[#This Row],[Years of Experience]]&gt;16,tblSalaries[[#This Row],[Years of Experience]]&lt;=20),1,""))</f>
        <v/>
      </c>
      <c r="S981" t="str">
        <f>IF(tblSalaries[[#This Row],[Years of Experience]]="","",IF(tblSalaries[[#This Row],[Years of Experience]]&gt;20,1,""))</f>
        <v/>
      </c>
      <c r="T9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1" s="13" t="str">
        <f>IF(tblSalaries[[#This Row],[Job Type]]=tblSalaries[[#Headers],[Accountant]],tblSalaries[[#This Row],[Salary in USD]],"")</f>
        <v/>
      </c>
      <c r="V981" s="13">
        <f>IF(tblSalaries[[#This Row],[Job Type]]=tblSalaries[[#Headers],[Analyst]],tblSalaries[[#This Row],[Salary in USD]],"")</f>
        <v>8903.9583437212841</v>
      </c>
      <c r="W981" s="13" t="str">
        <f>IF(tblSalaries[[#This Row],[Job Type]]=tblSalaries[[#Headers],[Consultant]],tblSalaries[[#This Row],[Salary in USD]],"")</f>
        <v/>
      </c>
      <c r="X981" s="13" t="str">
        <f>IF(tblSalaries[[#This Row],[Job Type]]=tblSalaries[[#Headers],[Controller]],tblSalaries[[#This Row],[Salary in USD]],"")</f>
        <v/>
      </c>
      <c r="Y981" s="13" t="str">
        <f>IF(tblSalaries[[#This Row],[Job Type]]=tblSalaries[[#Headers],[CXO or Top Mgmt.]],tblSalaries[[#This Row],[clean Salary (in local currency)]],"")</f>
        <v/>
      </c>
      <c r="Z981" s="13" t="str">
        <f>IF(tblSalaries[[#This Row],[Job Type]]=tblSalaries[[#Headers],[Engineer]],tblSalaries[[#This Row],[Salary in USD]],"")</f>
        <v/>
      </c>
      <c r="AA981" s="13" t="str">
        <f>IF(tblSalaries[[#This Row],[Job Type]]=tblSalaries[[#Headers],[Manager]],tblSalaries[[#This Row],[Salary in USD]],"")</f>
        <v/>
      </c>
      <c r="AB981" s="13" t="str">
        <f>IF(tblSalaries[[#This Row],[Job Type]]=tblSalaries[[#Headers],[Misc.]],tblSalaries[[#This Row],[Salary in USD]],"")</f>
        <v/>
      </c>
      <c r="AC981" s="13" t="str">
        <f>IF(tblSalaries[[#This Row],[Job Type]]=tblSalaries[[#Headers],[Reporting]],tblSalaries[[#This Row],[Salary in USD]],"")</f>
        <v/>
      </c>
      <c r="AD981" s="13" t="str">
        <f>IF(tblSalaries[[#This Row],[Job Type]]=tblSalaries[[#Headers],[Specialist]],tblSalaries[[#This Row],[Salary in USD]],"")</f>
        <v/>
      </c>
    </row>
    <row r="982" spans="2:30" ht="15" customHeight="1" x14ac:dyDescent="0.25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 s="9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  <c r="N982">
        <f>IF(tblSalaries[[#This Row],[Years of Experience]]="","",IF(tblSalaries[[#This Row],[Years of Experience]]&lt;=2,1,""))</f>
        <v>1</v>
      </c>
      <c r="O982" t="str">
        <f>IF(tblSalaries[[#This Row],[Years of Experience]]="","",IF(AND(tblSalaries[[#This Row],[Years of Experience]]&gt;2,tblSalaries[[#This Row],[Years of Experience]]&lt;=5),1,""))</f>
        <v/>
      </c>
      <c r="P982" t="str">
        <f>IF(tblSalaries[[#This Row],[Years of Experience]]="","",IF(AND(tblSalaries[[#This Row],[Years of Experience]]&gt;5,tblSalaries[[#This Row],[Years of Experience]]&lt;=10),1,""))</f>
        <v/>
      </c>
      <c r="Q982" t="str">
        <f>IF(tblSalaries[[#This Row],[Years of Experience]]="","",IF(AND(tblSalaries[[#This Row],[Years of Experience]]&gt;10,tblSalaries[[#This Row],[Years of Experience]]&lt;=15),1,""))</f>
        <v/>
      </c>
      <c r="R982" t="str">
        <f>IF(tblSalaries[[#This Row],[Years of Experience]]="","",IF(AND(tblSalaries[[#This Row],[Years of Experience]]&gt;16,tblSalaries[[#This Row],[Years of Experience]]&lt;=20),1,""))</f>
        <v/>
      </c>
      <c r="S982" t="str">
        <f>IF(tblSalaries[[#This Row],[Years of Experience]]="","",IF(tblSalaries[[#This Row],[Years of Experience]]&gt;20,1,""))</f>
        <v/>
      </c>
      <c r="T9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82" s="13" t="str">
        <f>IF(tblSalaries[[#This Row],[Job Type]]=tblSalaries[[#Headers],[Accountant]],tblSalaries[[#This Row],[Salary in USD]],"")</f>
        <v/>
      </c>
      <c r="V982" s="13" t="str">
        <f>IF(tblSalaries[[#This Row],[Job Type]]=tblSalaries[[#Headers],[Analyst]],tblSalaries[[#This Row],[Salary in USD]],"")</f>
        <v/>
      </c>
      <c r="W982" s="13" t="str">
        <f>IF(tblSalaries[[#This Row],[Job Type]]=tblSalaries[[#Headers],[Consultant]],tblSalaries[[#This Row],[Salary in USD]],"")</f>
        <v/>
      </c>
      <c r="X982" s="13" t="str">
        <f>IF(tblSalaries[[#This Row],[Job Type]]=tblSalaries[[#Headers],[Controller]],tblSalaries[[#This Row],[Salary in USD]],"")</f>
        <v/>
      </c>
      <c r="Y982" s="13" t="str">
        <f>IF(tblSalaries[[#This Row],[Job Type]]=tblSalaries[[#Headers],[CXO or Top Mgmt.]],tblSalaries[[#This Row],[clean Salary (in local currency)]],"")</f>
        <v/>
      </c>
      <c r="Z982" s="13" t="str">
        <f>IF(tblSalaries[[#This Row],[Job Type]]=tblSalaries[[#Headers],[Engineer]],tblSalaries[[#This Row],[Salary in USD]],"")</f>
        <v/>
      </c>
      <c r="AA982" s="13">
        <f>IF(tblSalaries[[#This Row],[Job Type]]=tblSalaries[[#Headers],[Manager]],tblSalaries[[#This Row],[Salary in USD]],"")</f>
        <v>15206.427249917633</v>
      </c>
      <c r="AB982" s="13" t="str">
        <f>IF(tblSalaries[[#This Row],[Job Type]]=tblSalaries[[#Headers],[Misc.]],tblSalaries[[#This Row],[Salary in USD]],"")</f>
        <v/>
      </c>
      <c r="AC982" s="13" t="str">
        <f>IF(tblSalaries[[#This Row],[Job Type]]=tblSalaries[[#Headers],[Reporting]],tblSalaries[[#This Row],[Salary in USD]],"")</f>
        <v/>
      </c>
      <c r="AD982" s="13" t="str">
        <f>IF(tblSalaries[[#This Row],[Job Type]]=tblSalaries[[#Headers],[Specialist]],tblSalaries[[#This Row],[Salary in USD]],"")</f>
        <v/>
      </c>
    </row>
    <row r="983" spans="2:30" ht="15" customHeight="1" x14ac:dyDescent="0.25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 s="9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  <c r="N983" t="str">
        <f>IF(tblSalaries[[#This Row],[Years of Experience]]="","",IF(tblSalaries[[#This Row],[Years of Experience]]&lt;=2,1,""))</f>
        <v/>
      </c>
      <c r="O983" t="str">
        <f>IF(tblSalaries[[#This Row],[Years of Experience]]="","",IF(AND(tblSalaries[[#This Row],[Years of Experience]]&gt;2,tblSalaries[[#This Row],[Years of Experience]]&lt;=5),1,""))</f>
        <v/>
      </c>
      <c r="P983" t="str">
        <f>IF(tblSalaries[[#This Row],[Years of Experience]]="","",IF(AND(tblSalaries[[#This Row],[Years of Experience]]&gt;5,tblSalaries[[#This Row],[Years of Experience]]&lt;=10),1,""))</f>
        <v/>
      </c>
      <c r="Q983" t="str">
        <f>IF(tblSalaries[[#This Row],[Years of Experience]]="","",IF(AND(tblSalaries[[#This Row],[Years of Experience]]&gt;10,tblSalaries[[#This Row],[Years of Experience]]&lt;=15),1,""))</f>
        <v/>
      </c>
      <c r="R983" t="str">
        <f>IF(tblSalaries[[#This Row],[Years of Experience]]="","",IF(AND(tblSalaries[[#This Row],[Years of Experience]]&gt;16,tblSalaries[[#This Row],[Years of Experience]]&lt;=20),1,""))</f>
        <v/>
      </c>
      <c r="S983">
        <f>IF(tblSalaries[[#This Row],[Years of Experience]]="","",IF(tblSalaries[[#This Row],[Years of Experience]]&gt;20,1,""))</f>
        <v>1</v>
      </c>
      <c r="T9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983" s="13" t="str">
        <f>IF(tblSalaries[[#This Row],[Job Type]]=tblSalaries[[#Headers],[Accountant]],tblSalaries[[#This Row],[Salary in USD]],"")</f>
        <v/>
      </c>
      <c r="V983" s="13" t="str">
        <f>IF(tblSalaries[[#This Row],[Job Type]]=tblSalaries[[#Headers],[Analyst]],tblSalaries[[#This Row],[Salary in USD]],"")</f>
        <v/>
      </c>
      <c r="W983" s="13" t="str">
        <f>IF(tblSalaries[[#This Row],[Job Type]]=tblSalaries[[#Headers],[Consultant]],tblSalaries[[#This Row],[Salary in USD]],"")</f>
        <v/>
      </c>
      <c r="X983" s="13" t="str">
        <f>IF(tblSalaries[[#This Row],[Job Type]]=tblSalaries[[#Headers],[Controller]],tblSalaries[[#This Row],[Salary in USD]],"")</f>
        <v/>
      </c>
      <c r="Y983" s="13" t="str">
        <f>IF(tblSalaries[[#This Row],[Job Type]]=tblSalaries[[#Headers],[CXO or Top Mgmt.]],tblSalaries[[#This Row],[clean Salary (in local currency)]],"")</f>
        <v/>
      </c>
      <c r="Z983" s="13" t="str">
        <f>IF(tblSalaries[[#This Row],[Job Type]]=tblSalaries[[#Headers],[Engineer]],tblSalaries[[#This Row],[Salary in USD]],"")</f>
        <v/>
      </c>
      <c r="AA983" s="13">
        <f>IF(tblSalaries[[#This Row],[Job Type]]=tblSalaries[[#Headers],[Manager]],tblSalaries[[#This Row],[Salary in USD]],"")</f>
        <v>143565.85684888897</v>
      </c>
      <c r="AB983" s="13" t="str">
        <f>IF(tblSalaries[[#This Row],[Job Type]]=tblSalaries[[#Headers],[Misc.]],tblSalaries[[#This Row],[Salary in USD]],"")</f>
        <v/>
      </c>
      <c r="AC983" s="13" t="str">
        <f>IF(tblSalaries[[#This Row],[Job Type]]=tblSalaries[[#Headers],[Reporting]],tblSalaries[[#This Row],[Salary in USD]],"")</f>
        <v/>
      </c>
      <c r="AD983" s="13" t="str">
        <f>IF(tblSalaries[[#This Row],[Job Type]]=tblSalaries[[#Headers],[Specialist]],tblSalaries[[#This Row],[Salary in USD]],"")</f>
        <v/>
      </c>
    </row>
    <row r="984" spans="2:30" ht="15" customHeight="1" x14ac:dyDescent="0.25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 s="9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  <c r="N984" t="str">
        <f>IF(tblSalaries[[#This Row],[Years of Experience]]="","",IF(tblSalaries[[#This Row],[Years of Experience]]&lt;=2,1,""))</f>
        <v/>
      </c>
      <c r="O984" t="str">
        <f>IF(tblSalaries[[#This Row],[Years of Experience]]="","",IF(AND(tblSalaries[[#This Row],[Years of Experience]]&gt;2,tblSalaries[[#This Row],[Years of Experience]]&lt;=5),1,""))</f>
        <v/>
      </c>
      <c r="P984">
        <f>IF(tblSalaries[[#This Row],[Years of Experience]]="","",IF(AND(tblSalaries[[#This Row],[Years of Experience]]&gt;5,tblSalaries[[#This Row],[Years of Experience]]&lt;=10),1,""))</f>
        <v>1</v>
      </c>
      <c r="Q984" t="str">
        <f>IF(tblSalaries[[#This Row],[Years of Experience]]="","",IF(AND(tblSalaries[[#This Row],[Years of Experience]]&gt;10,tblSalaries[[#This Row],[Years of Experience]]&lt;=15),1,""))</f>
        <v/>
      </c>
      <c r="R984" t="str">
        <f>IF(tblSalaries[[#This Row],[Years of Experience]]="","",IF(AND(tblSalaries[[#This Row],[Years of Experience]]&gt;16,tblSalaries[[#This Row],[Years of Experience]]&lt;=20),1,""))</f>
        <v/>
      </c>
      <c r="S984" t="str">
        <f>IF(tblSalaries[[#This Row],[Years of Experience]]="","",IF(tblSalaries[[#This Row],[Years of Experience]]&gt;20,1,""))</f>
        <v/>
      </c>
      <c r="T9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4" s="13" t="str">
        <f>IF(tblSalaries[[#This Row],[Job Type]]=tblSalaries[[#Headers],[Accountant]],tblSalaries[[#This Row],[Salary in USD]],"")</f>
        <v/>
      </c>
      <c r="V984" s="13" t="str">
        <f>IF(tblSalaries[[#This Row],[Job Type]]=tblSalaries[[#Headers],[Analyst]],tblSalaries[[#This Row],[Salary in USD]],"")</f>
        <v/>
      </c>
      <c r="W984" s="13" t="str">
        <f>IF(tblSalaries[[#This Row],[Job Type]]=tblSalaries[[#Headers],[Consultant]],tblSalaries[[#This Row],[Salary in USD]],"")</f>
        <v/>
      </c>
      <c r="X984" s="13" t="str">
        <f>IF(tblSalaries[[#This Row],[Job Type]]=tblSalaries[[#Headers],[Controller]],tblSalaries[[#This Row],[Salary in USD]],"")</f>
        <v/>
      </c>
      <c r="Y984" s="13" t="str">
        <f>IF(tblSalaries[[#This Row],[Job Type]]=tblSalaries[[#Headers],[CXO or Top Mgmt.]],tblSalaries[[#This Row],[clean Salary (in local currency)]],"")</f>
        <v/>
      </c>
      <c r="Z984" s="13" t="str">
        <f>IF(tblSalaries[[#This Row],[Job Type]]=tblSalaries[[#Headers],[Engineer]],tblSalaries[[#This Row],[Salary in USD]],"")</f>
        <v/>
      </c>
      <c r="AA984" s="13">
        <f>IF(tblSalaries[[#This Row],[Job Type]]=tblSalaries[[#Headers],[Manager]],tblSalaries[[#This Row],[Salary in USD]],"")</f>
        <v>9705.3145946561999</v>
      </c>
      <c r="AB984" s="13" t="str">
        <f>IF(tblSalaries[[#This Row],[Job Type]]=tblSalaries[[#Headers],[Misc.]],tblSalaries[[#This Row],[Salary in USD]],"")</f>
        <v/>
      </c>
      <c r="AC984" s="13" t="str">
        <f>IF(tblSalaries[[#This Row],[Job Type]]=tblSalaries[[#Headers],[Reporting]],tblSalaries[[#This Row],[Salary in USD]],"")</f>
        <v/>
      </c>
      <c r="AD984" s="13" t="str">
        <f>IF(tblSalaries[[#This Row],[Job Type]]=tblSalaries[[#Headers],[Specialist]],tblSalaries[[#This Row],[Salary in USD]],"")</f>
        <v/>
      </c>
    </row>
    <row r="985" spans="2:30" ht="15" customHeight="1" x14ac:dyDescent="0.25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 s="9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  <c r="N985" t="str">
        <f>IF(tblSalaries[[#This Row],[Years of Experience]]="","",IF(tblSalaries[[#This Row],[Years of Experience]]&lt;=2,1,""))</f>
        <v/>
      </c>
      <c r="O985" t="str">
        <f>IF(tblSalaries[[#This Row],[Years of Experience]]="","",IF(AND(tblSalaries[[#This Row],[Years of Experience]]&gt;2,tblSalaries[[#This Row],[Years of Experience]]&lt;=5),1,""))</f>
        <v/>
      </c>
      <c r="P985">
        <f>IF(tblSalaries[[#This Row],[Years of Experience]]="","",IF(AND(tblSalaries[[#This Row],[Years of Experience]]&gt;5,tblSalaries[[#This Row],[Years of Experience]]&lt;=10),1,""))</f>
        <v>1</v>
      </c>
      <c r="Q985" t="str">
        <f>IF(tblSalaries[[#This Row],[Years of Experience]]="","",IF(AND(tblSalaries[[#This Row],[Years of Experience]]&gt;10,tblSalaries[[#This Row],[Years of Experience]]&lt;=15),1,""))</f>
        <v/>
      </c>
      <c r="R985" t="str">
        <f>IF(tblSalaries[[#This Row],[Years of Experience]]="","",IF(AND(tblSalaries[[#This Row],[Years of Experience]]&gt;16,tblSalaries[[#This Row],[Years of Experience]]&lt;=20),1,""))</f>
        <v/>
      </c>
      <c r="S985" t="str">
        <f>IF(tblSalaries[[#This Row],[Years of Experience]]="","",IF(tblSalaries[[#This Row],[Years of Experience]]&gt;20,1,""))</f>
        <v/>
      </c>
      <c r="T9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5" s="13" t="str">
        <f>IF(tblSalaries[[#This Row],[Job Type]]=tblSalaries[[#Headers],[Accountant]],tblSalaries[[#This Row],[Salary in USD]],"")</f>
        <v/>
      </c>
      <c r="V985" s="13" t="str">
        <f>IF(tblSalaries[[#This Row],[Job Type]]=tblSalaries[[#Headers],[Analyst]],tblSalaries[[#This Row],[Salary in USD]],"")</f>
        <v/>
      </c>
      <c r="W985" s="13" t="str">
        <f>IF(tblSalaries[[#This Row],[Job Type]]=tblSalaries[[#Headers],[Consultant]],tblSalaries[[#This Row],[Salary in USD]],"")</f>
        <v/>
      </c>
      <c r="X985" s="13" t="str">
        <f>IF(tblSalaries[[#This Row],[Job Type]]=tblSalaries[[#Headers],[Controller]],tblSalaries[[#This Row],[Salary in USD]],"")</f>
        <v/>
      </c>
      <c r="Y985" s="13" t="str">
        <f>IF(tblSalaries[[#This Row],[Job Type]]=tblSalaries[[#Headers],[CXO or Top Mgmt.]],tblSalaries[[#This Row],[clean Salary (in local currency)]],"")</f>
        <v/>
      </c>
      <c r="Z985" s="13" t="str">
        <f>IF(tblSalaries[[#This Row],[Job Type]]=tblSalaries[[#Headers],[Engineer]],tblSalaries[[#This Row],[Salary in USD]],"")</f>
        <v/>
      </c>
      <c r="AA985" s="13">
        <f>IF(tblSalaries[[#This Row],[Job Type]]=tblSalaries[[#Headers],[Manager]],tblSalaries[[#This Row],[Salary in USD]],"")</f>
        <v>17807.916687442568</v>
      </c>
      <c r="AB985" s="13" t="str">
        <f>IF(tblSalaries[[#This Row],[Job Type]]=tblSalaries[[#Headers],[Misc.]],tblSalaries[[#This Row],[Salary in USD]],"")</f>
        <v/>
      </c>
      <c r="AC985" s="13" t="str">
        <f>IF(tblSalaries[[#This Row],[Job Type]]=tblSalaries[[#Headers],[Reporting]],tblSalaries[[#This Row],[Salary in USD]],"")</f>
        <v/>
      </c>
      <c r="AD985" s="13" t="str">
        <f>IF(tblSalaries[[#This Row],[Job Type]]=tblSalaries[[#Headers],[Specialist]],tblSalaries[[#This Row],[Salary in USD]],"")</f>
        <v/>
      </c>
    </row>
    <row r="986" spans="2:30" ht="15" customHeight="1" x14ac:dyDescent="0.25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 s="9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t="s">
        <v>1137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  <c r="N986" t="str">
        <f>IF(tblSalaries[[#This Row],[Years of Experience]]="","",IF(tblSalaries[[#This Row],[Years of Experience]]&lt;=2,1,""))</f>
        <v/>
      </c>
      <c r="O986" t="str">
        <f>IF(tblSalaries[[#This Row],[Years of Experience]]="","",IF(AND(tblSalaries[[#This Row],[Years of Experience]]&gt;2,tblSalaries[[#This Row],[Years of Experience]]&lt;=5),1,""))</f>
        <v/>
      </c>
      <c r="P986">
        <f>IF(tblSalaries[[#This Row],[Years of Experience]]="","",IF(AND(tblSalaries[[#This Row],[Years of Experience]]&gt;5,tblSalaries[[#This Row],[Years of Experience]]&lt;=10),1,""))</f>
        <v>1</v>
      </c>
      <c r="Q986" t="str">
        <f>IF(tblSalaries[[#This Row],[Years of Experience]]="","",IF(AND(tblSalaries[[#This Row],[Years of Experience]]&gt;10,tblSalaries[[#This Row],[Years of Experience]]&lt;=15),1,""))</f>
        <v/>
      </c>
      <c r="R986" t="str">
        <f>IF(tblSalaries[[#This Row],[Years of Experience]]="","",IF(AND(tblSalaries[[#This Row],[Years of Experience]]&gt;16,tblSalaries[[#This Row],[Years of Experience]]&lt;=20),1,""))</f>
        <v/>
      </c>
      <c r="S986" t="str">
        <f>IF(tblSalaries[[#This Row],[Years of Experience]]="","",IF(tblSalaries[[#This Row],[Years of Experience]]&gt;20,1,""))</f>
        <v/>
      </c>
      <c r="T9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6" s="13" t="str">
        <f>IF(tblSalaries[[#This Row],[Job Type]]=tblSalaries[[#Headers],[Accountant]],tblSalaries[[#This Row],[Salary in USD]],"")</f>
        <v/>
      </c>
      <c r="V986" s="13">
        <f>IF(tblSalaries[[#This Row],[Job Type]]=tblSalaries[[#Headers],[Analyst]],tblSalaries[[#This Row],[Salary in USD]],"")</f>
        <v>3205.4250037396623</v>
      </c>
      <c r="W986" s="13" t="str">
        <f>IF(tblSalaries[[#This Row],[Job Type]]=tblSalaries[[#Headers],[Consultant]],tblSalaries[[#This Row],[Salary in USD]],"")</f>
        <v/>
      </c>
      <c r="X986" s="13" t="str">
        <f>IF(tblSalaries[[#This Row],[Job Type]]=tblSalaries[[#Headers],[Controller]],tblSalaries[[#This Row],[Salary in USD]],"")</f>
        <v/>
      </c>
      <c r="Y986" s="13" t="str">
        <f>IF(tblSalaries[[#This Row],[Job Type]]=tblSalaries[[#Headers],[CXO or Top Mgmt.]],tblSalaries[[#This Row],[clean Salary (in local currency)]],"")</f>
        <v/>
      </c>
      <c r="Z986" s="13" t="str">
        <f>IF(tblSalaries[[#This Row],[Job Type]]=tblSalaries[[#Headers],[Engineer]],tblSalaries[[#This Row],[Salary in USD]],"")</f>
        <v/>
      </c>
      <c r="AA986" s="13" t="str">
        <f>IF(tblSalaries[[#This Row],[Job Type]]=tblSalaries[[#Headers],[Manager]],tblSalaries[[#This Row],[Salary in USD]],"")</f>
        <v/>
      </c>
      <c r="AB986" s="13" t="str">
        <f>IF(tblSalaries[[#This Row],[Job Type]]=tblSalaries[[#Headers],[Misc.]],tblSalaries[[#This Row],[Salary in USD]],"")</f>
        <v/>
      </c>
      <c r="AC986" s="13" t="str">
        <f>IF(tblSalaries[[#This Row],[Job Type]]=tblSalaries[[#Headers],[Reporting]],tblSalaries[[#This Row],[Salary in USD]],"")</f>
        <v/>
      </c>
      <c r="AD986" s="13" t="str">
        <f>IF(tblSalaries[[#This Row],[Job Type]]=tblSalaries[[#Headers],[Specialist]],tblSalaries[[#This Row],[Salary in USD]],"")</f>
        <v/>
      </c>
    </row>
    <row r="987" spans="2:30" ht="15" customHeight="1" x14ac:dyDescent="0.25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 s="9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  <c r="N987" t="str">
        <f>IF(tblSalaries[[#This Row],[Years of Experience]]="","",IF(tblSalaries[[#This Row],[Years of Experience]]&lt;=2,1,""))</f>
        <v/>
      </c>
      <c r="O987">
        <f>IF(tblSalaries[[#This Row],[Years of Experience]]="","",IF(AND(tblSalaries[[#This Row],[Years of Experience]]&gt;2,tblSalaries[[#This Row],[Years of Experience]]&lt;=5),1,""))</f>
        <v>1</v>
      </c>
      <c r="P987" t="str">
        <f>IF(tblSalaries[[#This Row],[Years of Experience]]="","",IF(AND(tblSalaries[[#This Row],[Years of Experience]]&gt;5,tblSalaries[[#This Row],[Years of Experience]]&lt;=10),1,""))</f>
        <v/>
      </c>
      <c r="Q987" t="str">
        <f>IF(tblSalaries[[#This Row],[Years of Experience]]="","",IF(AND(tblSalaries[[#This Row],[Years of Experience]]&gt;10,tblSalaries[[#This Row],[Years of Experience]]&lt;=15),1,""))</f>
        <v/>
      </c>
      <c r="R987" t="str">
        <f>IF(tblSalaries[[#This Row],[Years of Experience]]="","",IF(AND(tblSalaries[[#This Row],[Years of Experience]]&gt;16,tblSalaries[[#This Row],[Years of Experience]]&lt;=20),1,""))</f>
        <v/>
      </c>
      <c r="S987" t="str">
        <f>IF(tblSalaries[[#This Row],[Years of Experience]]="","",IF(tblSalaries[[#This Row],[Years of Experience]]&gt;20,1,""))</f>
        <v/>
      </c>
      <c r="T9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87" s="13">
        <f>IF(tblSalaries[[#This Row],[Job Type]]=tblSalaries[[#Headers],[Accountant]],tblSalaries[[#This Row],[Salary in USD]],"")</f>
        <v>45000</v>
      </c>
      <c r="V987" s="13" t="str">
        <f>IF(tblSalaries[[#This Row],[Job Type]]=tblSalaries[[#Headers],[Analyst]],tblSalaries[[#This Row],[Salary in USD]],"")</f>
        <v/>
      </c>
      <c r="W987" s="13" t="str">
        <f>IF(tblSalaries[[#This Row],[Job Type]]=tblSalaries[[#Headers],[Consultant]],tblSalaries[[#This Row],[Salary in USD]],"")</f>
        <v/>
      </c>
      <c r="X987" s="13" t="str">
        <f>IF(tblSalaries[[#This Row],[Job Type]]=tblSalaries[[#Headers],[Controller]],tblSalaries[[#This Row],[Salary in USD]],"")</f>
        <v/>
      </c>
      <c r="Y987" s="13" t="str">
        <f>IF(tblSalaries[[#This Row],[Job Type]]=tblSalaries[[#Headers],[CXO or Top Mgmt.]],tblSalaries[[#This Row],[clean Salary (in local currency)]],"")</f>
        <v/>
      </c>
      <c r="Z987" s="13" t="str">
        <f>IF(tblSalaries[[#This Row],[Job Type]]=tblSalaries[[#Headers],[Engineer]],tblSalaries[[#This Row],[Salary in USD]],"")</f>
        <v/>
      </c>
      <c r="AA987" s="13" t="str">
        <f>IF(tblSalaries[[#This Row],[Job Type]]=tblSalaries[[#Headers],[Manager]],tblSalaries[[#This Row],[Salary in USD]],"")</f>
        <v/>
      </c>
      <c r="AB987" s="13" t="str">
        <f>IF(tblSalaries[[#This Row],[Job Type]]=tblSalaries[[#Headers],[Misc.]],tblSalaries[[#This Row],[Salary in USD]],"")</f>
        <v/>
      </c>
      <c r="AC987" s="13" t="str">
        <f>IF(tblSalaries[[#This Row],[Job Type]]=tblSalaries[[#Headers],[Reporting]],tblSalaries[[#This Row],[Salary in USD]],"")</f>
        <v/>
      </c>
      <c r="AD987" s="13" t="str">
        <f>IF(tblSalaries[[#This Row],[Job Type]]=tblSalaries[[#Headers],[Specialist]],tblSalaries[[#This Row],[Salary in USD]],"")</f>
        <v/>
      </c>
    </row>
    <row r="988" spans="2:30" ht="15" customHeight="1" x14ac:dyDescent="0.25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 s="9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  <c r="N988" t="str">
        <f>IF(tblSalaries[[#This Row],[Years of Experience]]="","",IF(tblSalaries[[#This Row],[Years of Experience]]&lt;=2,1,""))</f>
        <v/>
      </c>
      <c r="O988" t="str">
        <f>IF(tblSalaries[[#This Row],[Years of Experience]]="","",IF(AND(tblSalaries[[#This Row],[Years of Experience]]&gt;2,tblSalaries[[#This Row],[Years of Experience]]&lt;=5),1,""))</f>
        <v/>
      </c>
      <c r="P988">
        <f>IF(tblSalaries[[#This Row],[Years of Experience]]="","",IF(AND(tblSalaries[[#This Row],[Years of Experience]]&gt;5,tblSalaries[[#This Row],[Years of Experience]]&lt;=10),1,""))</f>
        <v>1</v>
      </c>
      <c r="Q988" t="str">
        <f>IF(tblSalaries[[#This Row],[Years of Experience]]="","",IF(AND(tblSalaries[[#This Row],[Years of Experience]]&gt;10,tblSalaries[[#This Row],[Years of Experience]]&lt;=15),1,""))</f>
        <v/>
      </c>
      <c r="R988" t="str">
        <f>IF(tblSalaries[[#This Row],[Years of Experience]]="","",IF(AND(tblSalaries[[#This Row],[Years of Experience]]&gt;16,tblSalaries[[#This Row],[Years of Experience]]&lt;=20),1,""))</f>
        <v/>
      </c>
      <c r="S988" t="str">
        <f>IF(tblSalaries[[#This Row],[Years of Experience]]="","",IF(tblSalaries[[#This Row],[Years of Experience]]&gt;20,1,""))</f>
        <v/>
      </c>
      <c r="T9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88" s="13" t="str">
        <f>IF(tblSalaries[[#This Row],[Job Type]]=tblSalaries[[#Headers],[Accountant]],tblSalaries[[#This Row],[Salary in USD]],"")</f>
        <v/>
      </c>
      <c r="V988" s="13" t="str">
        <f>IF(tblSalaries[[#This Row],[Job Type]]=tblSalaries[[#Headers],[Analyst]],tblSalaries[[#This Row],[Salary in USD]],"")</f>
        <v/>
      </c>
      <c r="W988" s="13" t="str">
        <f>IF(tblSalaries[[#This Row],[Job Type]]=tblSalaries[[#Headers],[Consultant]],tblSalaries[[#This Row],[Salary in USD]],"")</f>
        <v/>
      </c>
      <c r="X988" s="13" t="str">
        <f>IF(tblSalaries[[#This Row],[Job Type]]=tblSalaries[[#Headers],[Controller]],tblSalaries[[#This Row],[Salary in USD]],"")</f>
        <v/>
      </c>
      <c r="Y988" s="13" t="str">
        <f>IF(tblSalaries[[#This Row],[Job Type]]=tblSalaries[[#Headers],[CXO or Top Mgmt.]],tblSalaries[[#This Row],[clean Salary (in local currency)]],"")</f>
        <v/>
      </c>
      <c r="Z988" s="13" t="str">
        <f>IF(tblSalaries[[#This Row],[Job Type]]=tblSalaries[[#Headers],[Engineer]],tblSalaries[[#This Row],[Salary in USD]],"")</f>
        <v/>
      </c>
      <c r="AA988" s="13">
        <f>IF(tblSalaries[[#This Row],[Job Type]]=tblSalaries[[#Headers],[Manager]],tblSalaries[[#This Row],[Salary in USD]],"")</f>
        <v>12465.541681209797</v>
      </c>
      <c r="AB988" s="13" t="str">
        <f>IF(tblSalaries[[#This Row],[Job Type]]=tblSalaries[[#Headers],[Misc.]],tblSalaries[[#This Row],[Salary in USD]],"")</f>
        <v/>
      </c>
      <c r="AC988" s="13" t="str">
        <f>IF(tblSalaries[[#This Row],[Job Type]]=tblSalaries[[#Headers],[Reporting]],tblSalaries[[#This Row],[Salary in USD]],"")</f>
        <v/>
      </c>
      <c r="AD988" s="13" t="str">
        <f>IF(tblSalaries[[#This Row],[Job Type]]=tblSalaries[[#Headers],[Specialist]],tblSalaries[[#This Row],[Salary in USD]],"")</f>
        <v/>
      </c>
    </row>
    <row r="989" spans="2:30" ht="15" customHeight="1" x14ac:dyDescent="0.25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 s="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  <c r="N989" t="str">
        <f>IF(tblSalaries[[#This Row],[Years of Experience]]="","",IF(tblSalaries[[#This Row],[Years of Experience]]&lt;=2,1,""))</f>
        <v/>
      </c>
      <c r="O989" t="str">
        <f>IF(tblSalaries[[#This Row],[Years of Experience]]="","",IF(AND(tblSalaries[[#This Row],[Years of Experience]]&gt;2,tblSalaries[[#This Row],[Years of Experience]]&lt;=5),1,""))</f>
        <v/>
      </c>
      <c r="P989" t="str">
        <f>IF(tblSalaries[[#This Row],[Years of Experience]]="","",IF(AND(tblSalaries[[#This Row],[Years of Experience]]&gt;5,tblSalaries[[#This Row],[Years of Experience]]&lt;=10),1,""))</f>
        <v/>
      </c>
      <c r="Q989">
        <f>IF(tblSalaries[[#This Row],[Years of Experience]]="","",IF(AND(tblSalaries[[#This Row],[Years of Experience]]&gt;10,tblSalaries[[#This Row],[Years of Experience]]&lt;=15),1,""))</f>
        <v>1</v>
      </c>
      <c r="R989" t="str">
        <f>IF(tblSalaries[[#This Row],[Years of Experience]]="","",IF(AND(tblSalaries[[#This Row],[Years of Experience]]&gt;16,tblSalaries[[#This Row],[Years of Experience]]&lt;=20),1,""))</f>
        <v/>
      </c>
      <c r="S989" t="str">
        <f>IF(tblSalaries[[#This Row],[Years of Experience]]="","",IF(tblSalaries[[#This Row],[Years of Experience]]&gt;20,1,""))</f>
        <v/>
      </c>
      <c r="T9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989" s="13" t="str">
        <f>IF(tblSalaries[[#This Row],[Job Type]]=tblSalaries[[#Headers],[Accountant]],tblSalaries[[#This Row],[Salary in USD]],"")</f>
        <v/>
      </c>
      <c r="V989" s="13">
        <f>IF(tblSalaries[[#This Row],[Job Type]]=tblSalaries[[#Headers],[Analyst]],tblSalaries[[#This Row],[Salary in USD]],"")</f>
        <v>95871.50770184776</v>
      </c>
      <c r="W989" s="13" t="str">
        <f>IF(tblSalaries[[#This Row],[Job Type]]=tblSalaries[[#Headers],[Consultant]],tblSalaries[[#This Row],[Salary in USD]],"")</f>
        <v/>
      </c>
      <c r="X989" s="13" t="str">
        <f>IF(tblSalaries[[#This Row],[Job Type]]=tblSalaries[[#Headers],[Controller]],tblSalaries[[#This Row],[Salary in USD]],"")</f>
        <v/>
      </c>
      <c r="Y989" s="13" t="str">
        <f>IF(tblSalaries[[#This Row],[Job Type]]=tblSalaries[[#Headers],[CXO or Top Mgmt.]],tblSalaries[[#This Row],[clean Salary (in local currency)]],"")</f>
        <v/>
      </c>
      <c r="Z989" s="13" t="str">
        <f>IF(tblSalaries[[#This Row],[Job Type]]=tblSalaries[[#Headers],[Engineer]],tblSalaries[[#This Row],[Salary in USD]],"")</f>
        <v/>
      </c>
      <c r="AA989" s="13" t="str">
        <f>IF(tblSalaries[[#This Row],[Job Type]]=tblSalaries[[#Headers],[Manager]],tblSalaries[[#This Row],[Salary in USD]],"")</f>
        <v/>
      </c>
      <c r="AB989" s="13" t="str">
        <f>IF(tblSalaries[[#This Row],[Job Type]]=tblSalaries[[#Headers],[Misc.]],tblSalaries[[#This Row],[Salary in USD]],"")</f>
        <v/>
      </c>
      <c r="AC989" s="13" t="str">
        <f>IF(tblSalaries[[#This Row],[Job Type]]=tblSalaries[[#Headers],[Reporting]],tblSalaries[[#This Row],[Salary in USD]],"")</f>
        <v/>
      </c>
      <c r="AD989" s="13" t="str">
        <f>IF(tblSalaries[[#This Row],[Job Type]]=tblSalaries[[#Headers],[Specialist]],tblSalaries[[#This Row],[Salary in USD]],"")</f>
        <v/>
      </c>
    </row>
    <row r="990" spans="2:30" ht="15" customHeight="1" x14ac:dyDescent="0.25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 s="9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  <c r="N990" t="str">
        <f>IF(tblSalaries[[#This Row],[Years of Experience]]="","",IF(tblSalaries[[#This Row],[Years of Experience]]&lt;=2,1,""))</f>
        <v/>
      </c>
      <c r="O990" t="str">
        <f>IF(tblSalaries[[#This Row],[Years of Experience]]="","",IF(AND(tblSalaries[[#This Row],[Years of Experience]]&gt;2,tblSalaries[[#This Row],[Years of Experience]]&lt;=5),1,""))</f>
        <v/>
      </c>
      <c r="P990">
        <f>IF(tblSalaries[[#This Row],[Years of Experience]]="","",IF(AND(tblSalaries[[#This Row],[Years of Experience]]&gt;5,tblSalaries[[#This Row],[Years of Experience]]&lt;=10),1,""))</f>
        <v>1</v>
      </c>
      <c r="Q990" t="str">
        <f>IF(tblSalaries[[#This Row],[Years of Experience]]="","",IF(AND(tblSalaries[[#This Row],[Years of Experience]]&gt;10,tblSalaries[[#This Row],[Years of Experience]]&lt;=15),1,""))</f>
        <v/>
      </c>
      <c r="R990" t="str">
        <f>IF(tblSalaries[[#This Row],[Years of Experience]]="","",IF(AND(tblSalaries[[#This Row],[Years of Experience]]&gt;16,tblSalaries[[#This Row],[Years of Experience]]&lt;=20),1,""))</f>
        <v/>
      </c>
      <c r="S990" t="str">
        <f>IF(tblSalaries[[#This Row],[Years of Experience]]="","",IF(tblSalaries[[#This Row],[Years of Experience]]&gt;20,1,""))</f>
        <v/>
      </c>
      <c r="T9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90" s="13" t="str">
        <f>IF(tblSalaries[[#This Row],[Job Type]]=tblSalaries[[#Headers],[Accountant]],tblSalaries[[#This Row],[Salary in USD]],"")</f>
        <v/>
      </c>
      <c r="V990" s="13" t="str">
        <f>IF(tblSalaries[[#This Row],[Job Type]]=tblSalaries[[#Headers],[Analyst]],tblSalaries[[#This Row],[Salary in USD]],"")</f>
        <v/>
      </c>
      <c r="W990" s="13">
        <f>IF(tblSalaries[[#This Row],[Job Type]]=tblSalaries[[#Headers],[Consultant]],tblSalaries[[#This Row],[Salary in USD]],"")</f>
        <v>173384.64158844808</v>
      </c>
      <c r="X990" s="13" t="str">
        <f>IF(tblSalaries[[#This Row],[Job Type]]=tblSalaries[[#Headers],[Controller]],tblSalaries[[#This Row],[Salary in USD]],"")</f>
        <v/>
      </c>
      <c r="Y990" s="13" t="str">
        <f>IF(tblSalaries[[#This Row],[Job Type]]=tblSalaries[[#Headers],[CXO or Top Mgmt.]],tblSalaries[[#This Row],[clean Salary (in local currency)]],"")</f>
        <v/>
      </c>
      <c r="Z990" s="13" t="str">
        <f>IF(tblSalaries[[#This Row],[Job Type]]=tblSalaries[[#Headers],[Engineer]],tblSalaries[[#This Row],[Salary in USD]],"")</f>
        <v/>
      </c>
      <c r="AA990" s="13" t="str">
        <f>IF(tblSalaries[[#This Row],[Job Type]]=tblSalaries[[#Headers],[Manager]],tblSalaries[[#This Row],[Salary in USD]],"")</f>
        <v/>
      </c>
      <c r="AB990" s="13" t="str">
        <f>IF(tblSalaries[[#This Row],[Job Type]]=tblSalaries[[#Headers],[Misc.]],tblSalaries[[#This Row],[Salary in USD]],"")</f>
        <v/>
      </c>
      <c r="AC990" s="13" t="str">
        <f>IF(tblSalaries[[#This Row],[Job Type]]=tblSalaries[[#Headers],[Reporting]],tblSalaries[[#This Row],[Salary in USD]],"")</f>
        <v/>
      </c>
      <c r="AD990" s="13" t="str">
        <f>IF(tblSalaries[[#This Row],[Job Type]]=tblSalaries[[#Headers],[Specialist]],tblSalaries[[#This Row],[Salary in USD]],"")</f>
        <v/>
      </c>
    </row>
    <row r="991" spans="2:30" ht="15" customHeight="1" x14ac:dyDescent="0.25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 s="9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  <c r="N991">
        <f>IF(tblSalaries[[#This Row],[Years of Experience]]="","",IF(tblSalaries[[#This Row],[Years of Experience]]&lt;=2,1,""))</f>
        <v>1</v>
      </c>
      <c r="O991" t="str">
        <f>IF(tblSalaries[[#This Row],[Years of Experience]]="","",IF(AND(tblSalaries[[#This Row],[Years of Experience]]&gt;2,tblSalaries[[#This Row],[Years of Experience]]&lt;=5),1,""))</f>
        <v/>
      </c>
      <c r="P991" t="str">
        <f>IF(tblSalaries[[#This Row],[Years of Experience]]="","",IF(AND(tblSalaries[[#This Row],[Years of Experience]]&gt;5,tblSalaries[[#This Row],[Years of Experience]]&lt;=10),1,""))</f>
        <v/>
      </c>
      <c r="Q991" t="str">
        <f>IF(tblSalaries[[#This Row],[Years of Experience]]="","",IF(AND(tblSalaries[[#This Row],[Years of Experience]]&gt;10,tblSalaries[[#This Row],[Years of Experience]]&lt;=15),1,""))</f>
        <v/>
      </c>
      <c r="R991" t="str">
        <f>IF(tblSalaries[[#This Row],[Years of Experience]]="","",IF(AND(tblSalaries[[#This Row],[Years of Experience]]&gt;16,tblSalaries[[#This Row],[Years of Experience]]&lt;=20),1,""))</f>
        <v/>
      </c>
      <c r="S991" t="str">
        <f>IF(tblSalaries[[#This Row],[Years of Experience]]="","",IF(tblSalaries[[#This Row],[Years of Experience]]&gt;20,1,""))</f>
        <v/>
      </c>
      <c r="T9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91" s="13" t="str">
        <f>IF(tblSalaries[[#This Row],[Job Type]]=tblSalaries[[#Headers],[Accountant]],tblSalaries[[#This Row],[Salary in USD]],"")</f>
        <v/>
      </c>
      <c r="V991" s="13" t="str">
        <f>IF(tblSalaries[[#This Row],[Job Type]]=tblSalaries[[#Headers],[Analyst]],tblSalaries[[#This Row],[Salary in USD]],"")</f>
        <v/>
      </c>
      <c r="W991" s="13" t="str">
        <f>IF(tblSalaries[[#This Row],[Job Type]]=tblSalaries[[#Headers],[Consultant]],tblSalaries[[#This Row],[Salary in USD]],"")</f>
        <v/>
      </c>
      <c r="X991" s="13" t="str">
        <f>IF(tblSalaries[[#This Row],[Job Type]]=tblSalaries[[#Headers],[Controller]],tblSalaries[[#This Row],[Salary in USD]],"")</f>
        <v/>
      </c>
      <c r="Y991" s="13" t="str">
        <f>IF(tblSalaries[[#This Row],[Job Type]]=tblSalaries[[#Headers],[CXO or Top Mgmt.]],tblSalaries[[#This Row],[clean Salary (in local currency)]],"")</f>
        <v/>
      </c>
      <c r="Z991" s="13" t="str">
        <f>IF(tblSalaries[[#This Row],[Job Type]]=tblSalaries[[#Headers],[Engineer]],tblSalaries[[#This Row],[Salary in USD]],"")</f>
        <v/>
      </c>
      <c r="AA991" s="13">
        <f>IF(tblSalaries[[#This Row],[Job Type]]=tblSalaries[[#Headers],[Manager]],tblSalaries[[#This Row],[Salary in USD]],"")</f>
        <v>11575.14584683767</v>
      </c>
      <c r="AB991" s="13" t="str">
        <f>IF(tblSalaries[[#This Row],[Job Type]]=tblSalaries[[#Headers],[Misc.]],tblSalaries[[#This Row],[Salary in USD]],"")</f>
        <v/>
      </c>
      <c r="AC991" s="13" t="str">
        <f>IF(tblSalaries[[#This Row],[Job Type]]=tblSalaries[[#Headers],[Reporting]],tblSalaries[[#This Row],[Salary in USD]],"")</f>
        <v/>
      </c>
      <c r="AD991" s="13" t="str">
        <f>IF(tblSalaries[[#This Row],[Job Type]]=tblSalaries[[#Headers],[Specialist]],tblSalaries[[#This Row],[Salary in USD]],"")</f>
        <v/>
      </c>
    </row>
    <row r="992" spans="2:30" ht="15" customHeight="1" x14ac:dyDescent="0.25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 s="9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  <c r="N992" t="str">
        <f>IF(tblSalaries[[#This Row],[Years of Experience]]="","",IF(tblSalaries[[#This Row],[Years of Experience]]&lt;=2,1,""))</f>
        <v/>
      </c>
      <c r="O992" t="str">
        <f>IF(tblSalaries[[#This Row],[Years of Experience]]="","",IF(AND(tblSalaries[[#This Row],[Years of Experience]]&gt;2,tblSalaries[[#This Row],[Years of Experience]]&lt;=5),1,""))</f>
        <v/>
      </c>
      <c r="P992">
        <f>IF(tblSalaries[[#This Row],[Years of Experience]]="","",IF(AND(tblSalaries[[#This Row],[Years of Experience]]&gt;5,tblSalaries[[#This Row],[Years of Experience]]&lt;=10),1,""))</f>
        <v>1</v>
      </c>
      <c r="Q992" t="str">
        <f>IF(tblSalaries[[#This Row],[Years of Experience]]="","",IF(AND(tblSalaries[[#This Row],[Years of Experience]]&gt;10,tblSalaries[[#This Row],[Years of Experience]]&lt;=15),1,""))</f>
        <v/>
      </c>
      <c r="R992" t="str">
        <f>IF(tblSalaries[[#This Row],[Years of Experience]]="","",IF(AND(tblSalaries[[#This Row],[Years of Experience]]&gt;16,tblSalaries[[#This Row],[Years of Experience]]&lt;=20),1,""))</f>
        <v/>
      </c>
      <c r="S992" t="str">
        <f>IF(tblSalaries[[#This Row],[Years of Experience]]="","",IF(tblSalaries[[#This Row],[Years of Experience]]&gt;20,1,""))</f>
        <v/>
      </c>
      <c r="T9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92" s="13" t="str">
        <f>IF(tblSalaries[[#This Row],[Job Type]]=tblSalaries[[#Headers],[Accountant]],tblSalaries[[#This Row],[Salary in USD]],"")</f>
        <v/>
      </c>
      <c r="V992" s="13" t="str">
        <f>IF(tblSalaries[[#This Row],[Job Type]]=tblSalaries[[#Headers],[Analyst]],tblSalaries[[#This Row],[Salary in USD]],"")</f>
        <v/>
      </c>
      <c r="W992" s="13" t="str">
        <f>IF(tblSalaries[[#This Row],[Job Type]]=tblSalaries[[#Headers],[Consultant]],tblSalaries[[#This Row],[Salary in USD]],"")</f>
        <v/>
      </c>
      <c r="X992" s="13" t="str">
        <f>IF(tblSalaries[[#This Row],[Job Type]]=tblSalaries[[#Headers],[Controller]],tblSalaries[[#This Row],[Salary in USD]],"")</f>
        <v/>
      </c>
      <c r="Y992" s="13" t="str">
        <f>IF(tblSalaries[[#This Row],[Job Type]]=tblSalaries[[#Headers],[CXO or Top Mgmt.]],tblSalaries[[#This Row],[clean Salary (in local currency)]],"")</f>
        <v/>
      </c>
      <c r="Z992" s="13" t="str">
        <f>IF(tblSalaries[[#This Row],[Job Type]]=tblSalaries[[#Headers],[Engineer]],tblSalaries[[#This Row],[Salary in USD]],"")</f>
        <v/>
      </c>
      <c r="AA992" s="13" t="str">
        <f>IF(tblSalaries[[#This Row],[Job Type]]=tblSalaries[[#Headers],[Manager]],tblSalaries[[#This Row],[Salary in USD]],"")</f>
        <v/>
      </c>
      <c r="AB992" s="13" t="str">
        <f>IF(tblSalaries[[#This Row],[Job Type]]=tblSalaries[[#Headers],[Misc.]],tblSalaries[[#This Row],[Salary in USD]],"")</f>
        <v/>
      </c>
      <c r="AC992" s="13" t="str">
        <f>IF(tblSalaries[[#This Row],[Job Type]]=tblSalaries[[#Headers],[Reporting]],tblSalaries[[#This Row],[Salary in USD]],"")</f>
        <v/>
      </c>
      <c r="AD992" s="13">
        <f>IF(tblSalaries[[#This Row],[Job Type]]=tblSalaries[[#Headers],[Specialist]],tblSalaries[[#This Row],[Salary in USD]],"")</f>
        <v>18000</v>
      </c>
    </row>
    <row r="993" spans="2:30" ht="15" customHeight="1" x14ac:dyDescent="0.25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 s="9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4001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  <c r="N993">
        <f>IF(tblSalaries[[#This Row],[Years of Experience]]="","",IF(tblSalaries[[#This Row],[Years of Experience]]&lt;=2,1,""))</f>
        <v>1</v>
      </c>
      <c r="O993" t="str">
        <f>IF(tblSalaries[[#This Row],[Years of Experience]]="","",IF(AND(tblSalaries[[#This Row],[Years of Experience]]&gt;2,tblSalaries[[#This Row],[Years of Experience]]&lt;=5),1,""))</f>
        <v/>
      </c>
      <c r="P993" t="str">
        <f>IF(tblSalaries[[#This Row],[Years of Experience]]="","",IF(AND(tblSalaries[[#This Row],[Years of Experience]]&gt;5,tblSalaries[[#This Row],[Years of Experience]]&lt;=10),1,""))</f>
        <v/>
      </c>
      <c r="Q993" t="str">
        <f>IF(tblSalaries[[#This Row],[Years of Experience]]="","",IF(AND(tblSalaries[[#This Row],[Years of Experience]]&gt;10,tblSalaries[[#This Row],[Years of Experience]]&lt;=15),1,""))</f>
        <v/>
      </c>
      <c r="R993" t="str">
        <f>IF(tblSalaries[[#This Row],[Years of Experience]]="","",IF(AND(tblSalaries[[#This Row],[Years of Experience]]&gt;16,tblSalaries[[#This Row],[Years of Experience]]&lt;=20),1,""))</f>
        <v/>
      </c>
      <c r="S993" t="str">
        <f>IF(tblSalaries[[#This Row],[Years of Experience]]="","",IF(tblSalaries[[#This Row],[Years of Experience]]&gt;20,1,""))</f>
        <v/>
      </c>
      <c r="T9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993" s="13" t="str">
        <f>IF(tblSalaries[[#This Row],[Job Type]]=tblSalaries[[#Headers],[Accountant]],tblSalaries[[#This Row],[Salary in USD]],"")</f>
        <v/>
      </c>
      <c r="V993" s="13" t="str">
        <f>IF(tblSalaries[[#This Row],[Job Type]]=tblSalaries[[#Headers],[Analyst]],tblSalaries[[#This Row],[Salary in USD]],"")</f>
        <v/>
      </c>
      <c r="W993" s="13" t="str">
        <f>IF(tblSalaries[[#This Row],[Job Type]]=tblSalaries[[#Headers],[Consultant]],tblSalaries[[#This Row],[Salary in USD]],"")</f>
        <v/>
      </c>
      <c r="X993" s="13" t="str">
        <f>IF(tblSalaries[[#This Row],[Job Type]]=tblSalaries[[#Headers],[Controller]],tblSalaries[[#This Row],[Salary in USD]],"")</f>
        <v/>
      </c>
      <c r="Y993" s="13">
        <f>IF(tblSalaries[[#This Row],[Job Type]]=tblSalaries[[#Headers],[CXO or Top Mgmt.]],tblSalaries[[#This Row],[clean Salary (in local currency)]],"")</f>
        <v>70000</v>
      </c>
      <c r="Z993" s="13" t="str">
        <f>IF(tblSalaries[[#This Row],[Job Type]]=tblSalaries[[#Headers],[Engineer]],tblSalaries[[#This Row],[Salary in USD]],"")</f>
        <v/>
      </c>
      <c r="AA993" s="13" t="str">
        <f>IF(tblSalaries[[#This Row],[Job Type]]=tblSalaries[[#Headers],[Manager]],tblSalaries[[#This Row],[Salary in USD]],"")</f>
        <v/>
      </c>
      <c r="AB993" s="13" t="str">
        <f>IF(tblSalaries[[#This Row],[Job Type]]=tblSalaries[[#Headers],[Misc.]],tblSalaries[[#This Row],[Salary in USD]],"")</f>
        <v/>
      </c>
      <c r="AC993" s="13" t="str">
        <f>IF(tblSalaries[[#This Row],[Job Type]]=tblSalaries[[#Headers],[Reporting]],tblSalaries[[#This Row],[Salary in USD]],"")</f>
        <v/>
      </c>
      <c r="AD993" s="13" t="str">
        <f>IF(tblSalaries[[#This Row],[Job Type]]=tblSalaries[[#Headers],[Specialist]],tblSalaries[[#This Row],[Salary in USD]],"")</f>
        <v/>
      </c>
    </row>
    <row r="994" spans="2:30" ht="15" customHeight="1" x14ac:dyDescent="0.25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 s="9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  <c r="N994" t="str">
        <f>IF(tblSalaries[[#This Row],[Years of Experience]]="","",IF(tblSalaries[[#This Row],[Years of Experience]]&lt;=2,1,""))</f>
        <v/>
      </c>
      <c r="O994">
        <f>IF(tblSalaries[[#This Row],[Years of Experience]]="","",IF(AND(tblSalaries[[#This Row],[Years of Experience]]&gt;2,tblSalaries[[#This Row],[Years of Experience]]&lt;=5),1,""))</f>
        <v>1</v>
      </c>
      <c r="P994" t="str">
        <f>IF(tblSalaries[[#This Row],[Years of Experience]]="","",IF(AND(tblSalaries[[#This Row],[Years of Experience]]&gt;5,tblSalaries[[#This Row],[Years of Experience]]&lt;=10),1,""))</f>
        <v/>
      </c>
      <c r="Q994" t="str">
        <f>IF(tblSalaries[[#This Row],[Years of Experience]]="","",IF(AND(tblSalaries[[#This Row],[Years of Experience]]&gt;10,tblSalaries[[#This Row],[Years of Experience]]&lt;=15),1,""))</f>
        <v/>
      </c>
      <c r="R994" t="str">
        <f>IF(tblSalaries[[#This Row],[Years of Experience]]="","",IF(AND(tblSalaries[[#This Row],[Years of Experience]]&gt;16,tblSalaries[[#This Row],[Years of Experience]]&lt;=20),1,""))</f>
        <v/>
      </c>
      <c r="S994" t="str">
        <f>IF(tblSalaries[[#This Row],[Years of Experience]]="","",IF(tblSalaries[[#This Row],[Years of Experience]]&gt;20,1,""))</f>
        <v/>
      </c>
      <c r="T9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94" s="13" t="str">
        <f>IF(tblSalaries[[#This Row],[Job Type]]=tblSalaries[[#Headers],[Accountant]],tblSalaries[[#This Row],[Salary in USD]],"")</f>
        <v/>
      </c>
      <c r="V994" s="13">
        <f>IF(tblSalaries[[#This Row],[Job Type]]=tblSalaries[[#Headers],[Analyst]],tblSalaries[[#This Row],[Salary in USD]],"")</f>
        <v>6232.7708406048987</v>
      </c>
      <c r="W994" s="13" t="str">
        <f>IF(tblSalaries[[#This Row],[Job Type]]=tblSalaries[[#Headers],[Consultant]],tblSalaries[[#This Row],[Salary in USD]],"")</f>
        <v/>
      </c>
      <c r="X994" s="13" t="str">
        <f>IF(tblSalaries[[#This Row],[Job Type]]=tblSalaries[[#Headers],[Controller]],tblSalaries[[#This Row],[Salary in USD]],"")</f>
        <v/>
      </c>
      <c r="Y994" s="13" t="str">
        <f>IF(tblSalaries[[#This Row],[Job Type]]=tblSalaries[[#Headers],[CXO or Top Mgmt.]],tblSalaries[[#This Row],[clean Salary (in local currency)]],"")</f>
        <v/>
      </c>
      <c r="Z994" s="13" t="str">
        <f>IF(tblSalaries[[#This Row],[Job Type]]=tblSalaries[[#Headers],[Engineer]],tblSalaries[[#This Row],[Salary in USD]],"")</f>
        <v/>
      </c>
      <c r="AA994" s="13" t="str">
        <f>IF(tblSalaries[[#This Row],[Job Type]]=tblSalaries[[#Headers],[Manager]],tblSalaries[[#This Row],[Salary in USD]],"")</f>
        <v/>
      </c>
      <c r="AB994" s="13" t="str">
        <f>IF(tblSalaries[[#This Row],[Job Type]]=tblSalaries[[#Headers],[Misc.]],tblSalaries[[#This Row],[Salary in USD]],"")</f>
        <v/>
      </c>
      <c r="AC994" s="13" t="str">
        <f>IF(tblSalaries[[#This Row],[Job Type]]=tblSalaries[[#Headers],[Reporting]],tblSalaries[[#This Row],[Salary in USD]],"")</f>
        <v/>
      </c>
      <c r="AD994" s="13" t="str">
        <f>IF(tblSalaries[[#This Row],[Job Type]]=tblSalaries[[#Headers],[Specialist]],tblSalaries[[#This Row],[Salary in USD]],"")</f>
        <v/>
      </c>
    </row>
    <row r="995" spans="2:30" ht="15" customHeight="1" x14ac:dyDescent="0.25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 s="9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  <c r="N995" t="str">
        <f>IF(tblSalaries[[#This Row],[Years of Experience]]="","",IF(tblSalaries[[#This Row],[Years of Experience]]&lt;=2,1,""))</f>
        <v/>
      </c>
      <c r="O995">
        <f>IF(tblSalaries[[#This Row],[Years of Experience]]="","",IF(AND(tblSalaries[[#This Row],[Years of Experience]]&gt;2,tblSalaries[[#This Row],[Years of Experience]]&lt;=5),1,""))</f>
        <v>1</v>
      </c>
      <c r="P995" t="str">
        <f>IF(tblSalaries[[#This Row],[Years of Experience]]="","",IF(AND(tblSalaries[[#This Row],[Years of Experience]]&gt;5,tblSalaries[[#This Row],[Years of Experience]]&lt;=10),1,""))</f>
        <v/>
      </c>
      <c r="Q995" t="str">
        <f>IF(tblSalaries[[#This Row],[Years of Experience]]="","",IF(AND(tblSalaries[[#This Row],[Years of Experience]]&gt;10,tblSalaries[[#This Row],[Years of Experience]]&lt;=15),1,""))</f>
        <v/>
      </c>
      <c r="R995" t="str">
        <f>IF(tblSalaries[[#This Row],[Years of Experience]]="","",IF(AND(tblSalaries[[#This Row],[Years of Experience]]&gt;16,tblSalaries[[#This Row],[Years of Experience]]&lt;=20),1,""))</f>
        <v/>
      </c>
      <c r="S995" t="str">
        <f>IF(tblSalaries[[#This Row],[Years of Experience]]="","",IF(tblSalaries[[#This Row],[Years of Experience]]&gt;20,1,""))</f>
        <v/>
      </c>
      <c r="T9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95" s="13" t="str">
        <f>IF(tblSalaries[[#This Row],[Job Type]]=tblSalaries[[#Headers],[Accountant]],tblSalaries[[#This Row],[Salary in USD]],"")</f>
        <v/>
      </c>
      <c r="V995" s="13" t="str">
        <f>IF(tblSalaries[[#This Row],[Job Type]]=tblSalaries[[#Headers],[Analyst]],tblSalaries[[#This Row],[Salary in USD]],"")</f>
        <v/>
      </c>
      <c r="W995" s="13" t="str">
        <f>IF(tblSalaries[[#This Row],[Job Type]]=tblSalaries[[#Headers],[Consultant]],tblSalaries[[#This Row],[Salary in USD]],"")</f>
        <v/>
      </c>
      <c r="X995" s="13" t="str">
        <f>IF(tblSalaries[[#This Row],[Job Type]]=tblSalaries[[#Headers],[Controller]],tblSalaries[[#This Row],[Salary in USD]],"")</f>
        <v/>
      </c>
      <c r="Y995" s="13" t="str">
        <f>IF(tblSalaries[[#This Row],[Job Type]]=tblSalaries[[#Headers],[CXO or Top Mgmt.]],tblSalaries[[#This Row],[clean Salary (in local currency)]],"")</f>
        <v/>
      </c>
      <c r="Z995" s="13" t="str">
        <f>IF(tblSalaries[[#This Row],[Job Type]]=tblSalaries[[#Headers],[Engineer]],tblSalaries[[#This Row],[Salary in USD]],"")</f>
        <v/>
      </c>
      <c r="AA995" s="13">
        <f>IF(tblSalaries[[#This Row],[Job Type]]=tblSalaries[[#Headers],[Manager]],tblSalaries[[#This Row],[Salary in USD]],"")</f>
        <v>1805.7739622442759</v>
      </c>
      <c r="AB995" s="13" t="str">
        <f>IF(tblSalaries[[#This Row],[Job Type]]=tblSalaries[[#Headers],[Misc.]],tblSalaries[[#This Row],[Salary in USD]],"")</f>
        <v/>
      </c>
      <c r="AC995" s="13" t="str">
        <f>IF(tblSalaries[[#This Row],[Job Type]]=tblSalaries[[#Headers],[Reporting]],tblSalaries[[#This Row],[Salary in USD]],"")</f>
        <v/>
      </c>
      <c r="AD995" s="13" t="str">
        <f>IF(tblSalaries[[#This Row],[Job Type]]=tblSalaries[[#Headers],[Specialist]],tblSalaries[[#This Row],[Salary in USD]],"")</f>
        <v/>
      </c>
    </row>
    <row r="996" spans="2:30" ht="15" customHeight="1" x14ac:dyDescent="0.25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 s="9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  <c r="N996" t="str">
        <f>IF(tblSalaries[[#This Row],[Years of Experience]]="","",IF(tblSalaries[[#This Row],[Years of Experience]]&lt;=2,1,""))</f>
        <v/>
      </c>
      <c r="O996" t="str">
        <f>IF(tblSalaries[[#This Row],[Years of Experience]]="","",IF(AND(tblSalaries[[#This Row],[Years of Experience]]&gt;2,tblSalaries[[#This Row],[Years of Experience]]&lt;=5),1,""))</f>
        <v/>
      </c>
      <c r="P996">
        <f>IF(tblSalaries[[#This Row],[Years of Experience]]="","",IF(AND(tblSalaries[[#This Row],[Years of Experience]]&gt;5,tblSalaries[[#This Row],[Years of Experience]]&lt;=10),1,""))</f>
        <v>1</v>
      </c>
      <c r="Q996" t="str">
        <f>IF(tblSalaries[[#This Row],[Years of Experience]]="","",IF(AND(tblSalaries[[#This Row],[Years of Experience]]&gt;10,tblSalaries[[#This Row],[Years of Experience]]&lt;=15),1,""))</f>
        <v/>
      </c>
      <c r="R996" t="str">
        <f>IF(tblSalaries[[#This Row],[Years of Experience]]="","",IF(AND(tblSalaries[[#This Row],[Years of Experience]]&gt;16,tblSalaries[[#This Row],[Years of Experience]]&lt;=20),1,""))</f>
        <v/>
      </c>
      <c r="S996" t="str">
        <f>IF(tblSalaries[[#This Row],[Years of Experience]]="","",IF(tblSalaries[[#This Row],[Years of Experience]]&gt;20,1,""))</f>
        <v/>
      </c>
      <c r="T9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996" s="13" t="str">
        <f>IF(tblSalaries[[#This Row],[Job Type]]=tblSalaries[[#Headers],[Accountant]],tblSalaries[[#This Row],[Salary in USD]],"")</f>
        <v/>
      </c>
      <c r="V996" s="13">
        <f>IF(tblSalaries[[#This Row],[Job Type]]=tblSalaries[[#Headers],[Analyst]],tblSalaries[[#This Row],[Salary in USD]],"")</f>
        <v>11397.066679963244</v>
      </c>
      <c r="W996" s="13" t="str">
        <f>IF(tblSalaries[[#This Row],[Job Type]]=tblSalaries[[#Headers],[Consultant]],tblSalaries[[#This Row],[Salary in USD]],"")</f>
        <v/>
      </c>
      <c r="X996" s="13" t="str">
        <f>IF(tblSalaries[[#This Row],[Job Type]]=tblSalaries[[#Headers],[Controller]],tblSalaries[[#This Row],[Salary in USD]],"")</f>
        <v/>
      </c>
      <c r="Y996" s="13" t="str">
        <f>IF(tblSalaries[[#This Row],[Job Type]]=tblSalaries[[#Headers],[CXO or Top Mgmt.]],tblSalaries[[#This Row],[clean Salary (in local currency)]],"")</f>
        <v/>
      </c>
      <c r="Z996" s="13" t="str">
        <f>IF(tblSalaries[[#This Row],[Job Type]]=tblSalaries[[#Headers],[Engineer]],tblSalaries[[#This Row],[Salary in USD]],"")</f>
        <v/>
      </c>
      <c r="AA996" s="13" t="str">
        <f>IF(tblSalaries[[#This Row],[Job Type]]=tblSalaries[[#Headers],[Manager]],tblSalaries[[#This Row],[Salary in USD]],"")</f>
        <v/>
      </c>
      <c r="AB996" s="13" t="str">
        <f>IF(tblSalaries[[#This Row],[Job Type]]=tblSalaries[[#Headers],[Misc.]],tblSalaries[[#This Row],[Salary in USD]],"")</f>
        <v/>
      </c>
      <c r="AC996" s="13" t="str">
        <f>IF(tblSalaries[[#This Row],[Job Type]]=tblSalaries[[#Headers],[Reporting]],tblSalaries[[#This Row],[Salary in USD]],"")</f>
        <v/>
      </c>
      <c r="AD996" s="13" t="str">
        <f>IF(tblSalaries[[#This Row],[Job Type]]=tblSalaries[[#Headers],[Specialist]],tblSalaries[[#This Row],[Salary in USD]],"")</f>
        <v/>
      </c>
    </row>
    <row r="997" spans="2:30" ht="15" customHeight="1" x14ac:dyDescent="0.25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 s="9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  <c r="N997" t="str">
        <f>IF(tblSalaries[[#This Row],[Years of Experience]]="","",IF(tblSalaries[[#This Row],[Years of Experience]]&lt;=2,1,""))</f>
        <v/>
      </c>
      <c r="O997">
        <f>IF(tblSalaries[[#This Row],[Years of Experience]]="","",IF(AND(tblSalaries[[#This Row],[Years of Experience]]&gt;2,tblSalaries[[#This Row],[Years of Experience]]&lt;=5),1,""))</f>
        <v>1</v>
      </c>
      <c r="P997" t="str">
        <f>IF(tblSalaries[[#This Row],[Years of Experience]]="","",IF(AND(tblSalaries[[#This Row],[Years of Experience]]&gt;5,tblSalaries[[#This Row],[Years of Experience]]&lt;=10),1,""))</f>
        <v/>
      </c>
      <c r="Q997" t="str">
        <f>IF(tblSalaries[[#This Row],[Years of Experience]]="","",IF(AND(tblSalaries[[#This Row],[Years of Experience]]&gt;10,tblSalaries[[#This Row],[Years of Experience]]&lt;=15),1,""))</f>
        <v/>
      </c>
      <c r="R997" t="str">
        <f>IF(tblSalaries[[#This Row],[Years of Experience]]="","",IF(AND(tblSalaries[[#This Row],[Years of Experience]]&gt;16,tblSalaries[[#This Row],[Years of Experience]]&lt;=20),1,""))</f>
        <v/>
      </c>
      <c r="S997" t="str">
        <f>IF(tblSalaries[[#This Row],[Years of Experience]]="","",IF(tblSalaries[[#This Row],[Years of Experience]]&gt;20,1,""))</f>
        <v/>
      </c>
      <c r="T9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97" s="13" t="str">
        <f>IF(tblSalaries[[#This Row],[Job Type]]=tblSalaries[[#Headers],[Accountant]],tblSalaries[[#This Row],[Salary in USD]],"")</f>
        <v/>
      </c>
      <c r="V997" s="13" t="str">
        <f>IF(tblSalaries[[#This Row],[Job Type]]=tblSalaries[[#Headers],[Analyst]],tblSalaries[[#This Row],[Salary in USD]],"")</f>
        <v/>
      </c>
      <c r="W997" s="13" t="str">
        <f>IF(tblSalaries[[#This Row],[Job Type]]=tblSalaries[[#Headers],[Consultant]],tblSalaries[[#This Row],[Salary in USD]],"")</f>
        <v/>
      </c>
      <c r="X997" s="13" t="str">
        <f>IF(tblSalaries[[#This Row],[Job Type]]=tblSalaries[[#Headers],[Controller]],tblSalaries[[#This Row],[Salary in USD]],"")</f>
        <v/>
      </c>
      <c r="Y997" s="13" t="str">
        <f>IF(tblSalaries[[#This Row],[Job Type]]=tblSalaries[[#Headers],[CXO or Top Mgmt.]],tblSalaries[[#This Row],[clean Salary (in local currency)]],"")</f>
        <v/>
      </c>
      <c r="Z997" s="13" t="str">
        <f>IF(tblSalaries[[#This Row],[Job Type]]=tblSalaries[[#Headers],[Engineer]],tblSalaries[[#This Row],[Salary in USD]],"")</f>
        <v/>
      </c>
      <c r="AA997" s="13">
        <f>IF(tblSalaries[[#This Row],[Job Type]]=tblSalaries[[#Headers],[Manager]],tblSalaries[[#This Row],[Salary in USD]],"")</f>
        <v>15000</v>
      </c>
      <c r="AB997" s="13" t="str">
        <f>IF(tblSalaries[[#This Row],[Job Type]]=tblSalaries[[#Headers],[Misc.]],tblSalaries[[#This Row],[Salary in USD]],"")</f>
        <v/>
      </c>
      <c r="AC997" s="13" t="str">
        <f>IF(tblSalaries[[#This Row],[Job Type]]=tblSalaries[[#Headers],[Reporting]],tblSalaries[[#This Row],[Salary in USD]],"")</f>
        <v/>
      </c>
      <c r="AD997" s="13" t="str">
        <f>IF(tblSalaries[[#This Row],[Job Type]]=tblSalaries[[#Headers],[Specialist]],tblSalaries[[#This Row],[Salary in USD]],"")</f>
        <v/>
      </c>
    </row>
    <row r="998" spans="2:30" ht="15" customHeight="1" x14ac:dyDescent="0.25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 s="9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  <c r="N998" t="str">
        <f>IF(tblSalaries[[#This Row],[Years of Experience]]="","",IF(tblSalaries[[#This Row],[Years of Experience]]&lt;=2,1,""))</f>
        <v/>
      </c>
      <c r="O998">
        <f>IF(tblSalaries[[#This Row],[Years of Experience]]="","",IF(AND(tblSalaries[[#This Row],[Years of Experience]]&gt;2,tblSalaries[[#This Row],[Years of Experience]]&lt;=5),1,""))</f>
        <v>1</v>
      </c>
      <c r="P998" t="str">
        <f>IF(tblSalaries[[#This Row],[Years of Experience]]="","",IF(AND(tblSalaries[[#This Row],[Years of Experience]]&gt;5,tblSalaries[[#This Row],[Years of Experience]]&lt;=10),1,""))</f>
        <v/>
      </c>
      <c r="Q998" t="str">
        <f>IF(tblSalaries[[#This Row],[Years of Experience]]="","",IF(AND(tblSalaries[[#This Row],[Years of Experience]]&gt;10,tblSalaries[[#This Row],[Years of Experience]]&lt;=15),1,""))</f>
        <v/>
      </c>
      <c r="R998" t="str">
        <f>IF(tblSalaries[[#This Row],[Years of Experience]]="","",IF(AND(tblSalaries[[#This Row],[Years of Experience]]&gt;16,tblSalaries[[#This Row],[Years of Experience]]&lt;=20),1,""))</f>
        <v/>
      </c>
      <c r="S998" t="str">
        <f>IF(tblSalaries[[#This Row],[Years of Experience]]="","",IF(tblSalaries[[#This Row],[Years of Experience]]&gt;20,1,""))</f>
        <v/>
      </c>
      <c r="T9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98" s="13" t="str">
        <f>IF(tblSalaries[[#This Row],[Job Type]]=tblSalaries[[#Headers],[Accountant]],tblSalaries[[#This Row],[Salary in USD]],"")</f>
        <v/>
      </c>
      <c r="V998" s="13" t="str">
        <f>IF(tblSalaries[[#This Row],[Job Type]]=tblSalaries[[#Headers],[Analyst]],tblSalaries[[#This Row],[Salary in USD]],"")</f>
        <v/>
      </c>
      <c r="W998" s="13" t="str">
        <f>IF(tblSalaries[[#This Row],[Job Type]]=tblSalaries[[#Headers],[Consultant]],tblSalaries[[#This Row],[Salary in USD]],"")</f>
        <v/>
      </c>
      <c r="X998" s="13" t="str">
        <f>IF(tblSalaries[[#This Row],[Job Type]]=tblSalaries[[#Headers],[Controller]],tblSalaries[[#This Row],[Salary in USD]],"")</f>
        <v/>
      </c>
      <c r="Y998" s="13" t="str">
        <f>IF(tblSalaries[[#This Row],[Job Type]]=tblSalaries[[#Headers],[CXO or Top Mgmt.]],tblSalaries[[#This Row],[clean Salary (in local currency)]],"")</f>
        <v/>
      </c>
      <c r="Z998" s="13" t="str">
        <f>IF(tblSalaries[[#This Row],[Job Type]]=tblSalaries[[#Headers],[Engineer]],tblSalaries[[#This Row],[Salary in USD]],"")</f>
        <v/>
      </c>
      <c r="AA998" s="13">
        <f>IF(tblSalaries[[#This Row],[Job Type]]=tblSalaries[[#Headers],[Manager]],tblSalaries[[#This Row],[Salary in USD]],"")</f>
        <v>37612.869087708088</v>
      </c>
      <c r="AB998" s="13" t="str">
        <f>IF(tblSalaries[[#This Row],[Job Type]]=tblSalaries[[#Headers],[Misc.]],tblSalaries[[#This Row],[Salary in USD]],"")</f>
        <v/>
      </c>
      <c r="AC998" s="13" t="str">
        <f>IF(tblSalaries[[#This Row],[Job Type]]=tblSalaries[[#Headers],[Reporting]],tblSalaries[[#This Row],[Salary in USD]],"")</f>
        <v/>
      </c>
      <c r="AD998" s="13" t="str">
        <f>IF(tblSalaries[[#This Row],[Job Type]]=tblSalaries[[#Headers],[Specialist]],tblSalaries[[#This Row],[Salary in USD]],"")</f>
        <v/>
      </c>
    </row>
    <row r="999" spans="2:30" ht="15" customHeight="1" x14ac:dyDescent="0.25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 s="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  <c r="N999" t="str">
        <f>IF(tblSalaries[[#This Row],[Years of Experience]]="","",IF(tblSalaries[[#This Row],[Years of Experience]]&lt;=2,1,""))</f>
        <v/>
      </c>
      <c r="O999">
        <f>IF(tblSalaries[[#This Row],[Years of Experience]]="","",IF(AND(tblSalaries[[#This Row],[Years of Experience]]&gt;2,tblSalaries[[#This Row],[Years of Experience]]&lt;=5),1,""))</f>
        <v>1</v>
      </c>
      <c r="P999" t="str">
        <f>IF(tblSalaries[[#This Row],[Years of Experience]]="","",IF(AND(tblSalaries[[#This Row],[Years of Experience]]&gt;5,tblSalaries[[#This Row],[Years of Experience]]&lt;=10),1,""))</f>
        <v/>
      </c>
      <c r="Q999" t="str">
        <f>IF(tblSalaries[[#This Row],[Years of Experience]]="","",IF(AND(tblSalaries[[#This Row],[Years of Experience]]&gt;10,tblSalaries[[#This Row],[Years of Experience]]&lt;=15),1,""))</f>
        <v/>
      </c>
      <c r="R999" t="str">
        <f>IF(tblSalaries[[#This Row],[Years of Experience]]="","",IF(AND(tblSalaries[[#This Row],[Years of Experience]]&gt;16,tblSalaries[[#This Row],[Years of Experience]]&lt;=20),1,""))</f>
        <v/>
      </c>
      <c r="S999" t="str">
        <f>IF(tblSalaries[[#This Row],[Years of Experience]]="","",IF(tblSalaries[[#This Row],[Years of Experience]]&gt;20,1,""))</f>
        <v/>
      </c>
      <c r="T9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999" s="13" t="str">
        <f>IF(tblSalaries[[#This Row],[Job Type]]=tblSalaries[[#Headers],[Accountant]],tblSalaries[[#This Row],[Salary in USD]],"")</f>
        <v/>
      </c>
      <c r="V999" s="13">
        <f>IF(tblSalaries[[#This Row],[Job Type]]=tblSalaries[[#Headers],[Analyst]],tblSalaries[[#This Row],[Salary in USD]],"")</f>
        <v>6499.8895909165376</v>
      </c>
      <c r="W999" s="13" t="str">
        <f>IF(tblSalaries[[#This Row],[Job Type]]=tblSalaries[[#Headers],[Consultant]],tblSalaries[[#This Row],[Salary in USD]],"")</f>
        <v/>
      </c>
      <c r="X999" s="13" t="str">
        <f>IF(tblSalaries[[#This Row],[Job Type]]=tblSalaries[[#Headers],[Controller]],tblSalaries[[#This Row],[Salary in USD]],"")</f>
        <v/>
      </c>
      <c r="Y999" s="13" t="str">
        <f>IF(tblSalaries[[#This Row],[Job Type]]=tblSalaries[[#Headers],[CXO or Top Mgmt.]],tblSalaries[[#This Row],[clean Salary (in local currency)]],"")</f>
        <v/>
      </c>
      <c r="Z999" s="13" t="str">
        <f>IF(tblSalaries[[#This Row],[Job Type]]=tblSalaries[[#Headers],[Engineer]],tblSalaries[[#This Row],[Salary in USD]],"")</f>
        <v/>
      </c>
      <c r="AA999" s="13" t="str">
        <f>IF(tblSalaries[[#This Row],[Job Type]]=tblSalaries[[#Headers],[Manager]],tblSalaries[[#This Row],[Salary in USD]],"")</f>
        <v/>
      </c>
      <c r="AB999" s="13" t="str">
        <f>IF(tblSalaries[[#This Row],[Job Type]]=tblSalaries[[#Headers],[Misc.]],tblSalaries[[#This Row],[Salary in USD]],"")</f>
        <v/>
      </c>
      <c r="AC999" s="13" t="str">
        <f>IF(tblSalaries[[#This Row],[Job Type]]=tblSalaries[[#Headers],[Reporting]],tblSalaries[[#This Row],[Salary in USD]],"")</f>
        <v/>
      </c>
      <c r="AD999" s="13" t="str">
        <f>IF(tblSalaries[[#This Row],[Job Type]]=tblSalaries[[#Headers],[Specialist]],tblSalaries[[#This Row],[Salary in USD]],"")</f>
        <v/>
      </c>
    </row>
    <row r="1000" spans="2:30" ht="15" customHeight="1" x14ac:dyDescent="0.25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 s="9">
        <f>tblSalaries[[#This Row],[clean Salary (in local currency)]]*VLOOKUP(tblSalaries[[#This Row],[Currency]],tblXrate[],2,FALSE)</f>
        <v>20000</v>
      </c>
      <c r="H1000" t="s">
        <v>1155</v>
      </c>
      <c r="I1000" t="s">
        <v>3999</v>
      </c>
      <c r="J1000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  <c r="N1000" t="str">
        <f>IF(tblSalaries[[#This Row],[Years of Experience]]="","",IF(tblSalaries[[#This Row],[Years of Experience]]&lt;=2,1,""))</f>
        <v/>
      </c>
      <c r="O1000" t="str">
        <f>IF(tblSalaries[[#This Row],[Years of Experience]]="","",IF(AND(tblSalaries[[#This Row],[Years of Experience]]&gt;2,tblSalaries[[#This Row],[Years of Experience]]&lt;=5),1,""))</f>
        <v/>
      </c>
      <c r="P1000">
        <f>IF(tblSalaries[[#This Row],[Years of Experience]]="","",IF(AND(tblSalaries[[#This Row],[Years of Experience]]&gt;5,tblSalaries[[#This Row],[Years of Experience]]&lt;=10),1,""))</f>
        <v>1</v>
      </c>
      <c r="Q1000" t="str">
        <f>IF(tblSalaries[[#This Row],[Years of Experience]]="","",IF(AND(tblSalaries[[#This Row],[Years of Experience]]&gt;10,tblSalaries[[#This Row],[Years of Experience]]&lt;=15),1,""))</f>
        <v/>
      </c>
      <c r="R1000" t="str">
        <f>IF(tblSalaries[[#This Row],[Years of Experience]]="","",IF(AND(tblSalaries[[#This Row],[Years of Experience]]&gt;16,tblSalaries[[#This Row],[Years of Experience]]&lt;=20),1,""))</f>
        <v/>
      </c>
      <c r="S1000" t="str">
        <f>IF(tblSalaries[[#This Row],[Years of Experience]]="","",IF(tblSalaries[[#This Row],[Years of Experience]]&gt;20,1,""))</f>
        <v/>
      </c>
      <c r="T10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00" s="13" t="str">
        <f>IF(tblSalaries[[#This Row],[Job Type]]=tblSalaries[[#Headers],[Accountant]],tblSalaries[[#This Row],[Salary in USD]],"")</f>
        <v/>
      </c>
      <c r="V1000" s="13" t="str">
        <f>IF(tblSalaries[[#This Row],[Job Type]]=tblSalaries[[#Headers],[Analyst]],tblSalaries[[#This Row],[Salary in USD]],"")</f>
        <v/>
      </c>
      <c r="W1000" s="13" t="str">
        <f>IF(tblSalaries[[#This Row],[Job Type]]=tblSalaries[[#Headers],[Consultant]],tblSalaries[[#This Row],[Salary in USD]],"")</f>
        <v/>
      </c>
      <c r="X1000" s="13" t="str">
        <f>IF(tblSalaries[[#This Row],[Job Type]]=tblSalaries[[#Headers],[Controller]],tblSalaries[[#This Row],[Salary in USD]],"")</f>
        <v/>
      </c>
      <c r="Y1000" s="13" t="str">
        <f>IF(tblSalaries[[#This Row],[Job Type]]=tblSalaries[[#Headers],[CXO or Top Mgmt.]],tblSalaries[[#This Row],[clean Salary (in local currency)]],"")</f>
        <v/>
      </c>
      <c r="Z1000" s="13" t="str">
        <f>IF(tblSalaries[[#This Row],[Job Type]]=tblSalaries[[#Headers],[Engineer]],tblSalaries[[#This Row],[Salary in USD]],"")</f>
        <v/>
      </c>
      <c r="AA1000" s="13" t="str">
        <f>IF(tblSalaries[[#This Row],[Job Type]]=tblSalaries[[#Headers],[Manager]],tblSalaries[[#This Row],[Salary in USD]],"")</f>
        <v/>
      </c>
      <c r="AB1000" s="13" t="str">
        <f>IF(tblSalaries[[#This Row],[Job Type]]=tblSalaries[[#Headers],[Misc.]],tblSalaries[[#This Row],[Salary in USD]],"")</f>
        <v/>
      </c>
      <c r="AC1000" s="13">
        <f>IF(tblSalaries[[#This Row],[Job Type]]=tblSalaries[[#Headers],[Reporting]],tblSalaries[[#This Row],[Salary in USD]],"")</f>
        <v>20000</v>
      </c>
      <c r="AD1000" s="13" t="str">
        <f>IF(tblSalaries[[#This Row],[Job Type]]=tblSalaries[[#Headers],[Specialist]],tblSalaries[[#This Row],[Salary in USD]],"")</f>
        <v/>
      </c>
    </row>
    <row r="1001" spans="2:30" ht="15" customHeight="1" x14ac:dyDescent="0.25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 s="9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  <c r="N1001" t="str">
        <f>IF(tblSalaries[[#This Row],[Years of Experience]]="","",IF(tblSalaries[[#This Row],[Years of Experience]]&lt;=2,1,""))</f>
        <v/>
      </c>
      <c r="O1001" t="str">
        <f>IF(tblSalaries[[#This Row],[Years of Experience]]="","",IF(AND(tblSalaries[[#This Row],[Years of Experience]]&gt;2,tblSalaries[[#This Row],[Years of Experience]]&lt;=5),1,""))</f>
        <v/>
      </c>
      <c r="P1001">
        <f>IF(tblSalaries[[#This Row],[Years of Experience]]="","",IF(AND(tblSalaries[[#This Row],[Years of Experience]]&gt;5,tblSalaries[[#This Row],[Years of Experience]]&lt;=10),1,""))</f>
        <v>1</v>
      </c>
      <c r="Q1001" t="str">
        <f>IF(tblSalaries[[#This Row],[Years of Experience]]="","",IF(AND(tblSalaries[[#This Row],[Years of Experience]]&gt;10,tblSalaries[[#This Row],[Years of Experience]]&lt;=15),1,""))</f>
        <v/>
      </c>
      <c r="R1001" t="str">
        <f>IF(tblSalaries[[#This Row],[Years of Experience]]="","",IF(AND(tblSalaries[[#This Row],[Years of Experience]]&gt;16,tblSalaries[[#This Row],[Years of Experience]]&lt;=20),1,""))</f>
        <v/>
      </c>
      <c r="S1001" t="str">
        <f>IF(tblSalaries[[#This Row],[Years of Experience]]="","",IF(tblSalaries[[#This Row],[Years of Experience]]&gt;20,1,""))</f>
        <v/>
      </c>
      <c r="T10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01" s="13" t="str">
        <f>IF(tblSalaries[[#This Row],[Job Type]]=tblSalaries[[#Headers],[Accountant]],tblSalaries[[#This Row],[Salary in USD]],"")</f>
        <v/>
      </c>
      <c r="V1001" s="13" t="str">
        <f>IF(tblSalaries[[#This Row],[Job Type]]=tblSalaries[[#Headers],[Analyst]],tblSalaries[[#This Row],[Salary in USD]],"")</f>
        <v/>
      </c>
      <c r="W1001" s="13" t="str">
        <f>IF(tblSalaries[[#This Row],[Job Type]]=tblSalaries[[#Headers],[Consultant]],tblSalaries[[#This Row],[Salary in USD]],"")</f>
        <v/>
      </c>
      <c r="X1001" s="13" t="str">
        <f>IF(tblSalaries[[#This Row],[Job Type]]=tblSalaries[[#Headers],[Controller]],tblSalaries[[#This Row],[Salary in USD]],"")</f>
        <v/>
      </c>
      <c r="Y1001" s="13" t="str">
        <f>IF(tblSalaries[[#This Row],[Job Type]]=tblSalaries[[#Headers],[CXO or Top Mgmt.]],tblSalaries[[#This Row],[clean Salary (in local currency)]],"")</f>
        <v/>
      </c>
      <c r="Z1001" s="13">
        <f>IF(tblSalaries[[#This Row],[Job Type]]=tblSalaries[[#Headers],[Engineer]],tblSalaries[[#This Row],[Salary in USD]],"")</f>
        <v>7265</v>
      </c>
      <c r="AA1001" s="13" t="str">
        <f>IF(tblSalaries[[#This Row],[Job Type]]=tblSalaries[[#Headers],[Manager]],tblSalaries[[#This Row],[Salary in USD]],"")</f>
        <v/>
      </c>
      <c r="AB1001" s="13" t="str">
        <f>IF(tblSalaries[[#This Row],[Job Type]]=tblSalaries[[#Headers],[Misc.]],tblSalaries[[#This Row],[Salary in USD]],"")</f>
        <v/>
      </c>
      <c r="AC1001" s="13" t="str">
        <f>IF(tblSalaries[[#This Row],[Job Type]]=tblSalaries[[#Headers],[Reporting]],tblSalaries[[#This Row],[Salary in USD]],"")</f>
        <v/>
      </c>
      <c r="AD1001" s="13" t="str">
        <f>IF(tblSalaries[[#This Row],[Job Type]]=tblSalaries[[#Headers],[Specialist]],tblSalaries[[#This Row],[Salary in USD]],"")</f>
        <v/>
      </c>
    </row>
    <row r="1002" spans="2:30" ht="15" customHeight="1" x14ac:dyDescent="0.25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 s="9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  <c r="N1002" t="str">
        <f>IF(tblSalaries[[#This Row],[Years of Experience]]="","",IF(tblSalaries[[#This Row],[Years of Experience]]&lt;=2,1,""))</f>
        <v/>
      </c>
      <c r="O1002" t="str">
        <f>IF(tblSalaries[[#This Row],[Years of Experience]]="","",IF(AND(tblSalaries[[#This Row],[Years of Experience]]&gt;2,tblSalaries[[#This Row],[Years of Experience]]&lt;=5),1,""))</f>
        <v/>
      </c>
      <c r="P1002" t="str">
        <f>IF(tblSalaries[[#This Row],[Years of Experience]]="","",IF(AND(tblSalaries[[#This Row],[Years of Experience]]&gt;5,tblSalaries[[#This Row],[Years of Experience]]&lt;=10),1,""))</f>
        <v/>
      </c>
      <c r="Q1002">
        <f>IF(tblSalaries[[#This Row],[Years of Experience]]="","",IF(AND(tblSalaries[[#This Row],[Years of Experience]]&gt;10,tblSalaries[[#This Row],[Years of Experience]]&lt;=15),1,""))</f>
        <v>1</v>
      </c>
      <c r="R1002" t="str">
        <f>IF(tblSalaries[[#This Row],[Years of Experience]]="","",IF(AND(tblSalaries[[#This Row],[Years of Experience]]&gt;16,tblSalaries[[#This Row],[Years of Experience]]&lt;=20),1,""))</f>
        <v/>
      </c>
      <c r="S1002" t="str">
        <f>IF(tblSalaries[[#This Row],[Years of Experience]]="","",IF(tblSalaries[[#This Row],[Years of Experience]]&gt;20,1,""))</f>
        <v/>
      </c>
      <c r="T10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02" s="13" t="str">
        <f>IF(tblSalaries[[#This Row],[Job Type]]=tblSalaries[[#Headers],[Accountant]],tblSalaries[[#This Row],[Salary in USD]],"")</f>
        <v/>
      </c>
      <c r="V1002" s="13" t="str">
        <f>IF(tblSalaries[[#This Row],[Job Type]]=tblSalaries[[#Headers],[Analyst]],tblSalaries[[#This Row],[Salary in USD]],"")</f>
        <v/>
      </c>
      <c r="W1002" s="13" t="str">
        <f>IF(tblSalaries[[#This Row],[Job Type]]=tblSalaries[[#Headers],[Consultant]],tblSalaries[[#This Row],[Salary in USD]],"")</f>
        <v/>
      </c>
      <c r="X1002" s="13" t="str">
        <f>IF(tblSalaries[[#This Row],[Job Type]]=tblSalaries[[#Headers],[Controller]],tblSalaries[[#This Row],[Salary in USD]],"")</f>
        <v/>
      </c>
      <c r="Y1002" s="13" t="str">
        <f>IF(tblSalaries[[#This Row],[Job Type]]=tblSalaries[[#Headers],[CXO or Top Mgmt.]],tblSalaries[[#This Row],[clean Salary (in local currency)]],"")</f>
        <v/>
      </c>
      <c r="Z1002" s="13" t="str">
        <f>IF(tblSalaries[[#This Row],[Job Type]]=tblSalaries[[#Headers],[Engineer]],tblSalaries[[#This Row],[Salary in USD]],"")</f>
        <v/>
      </c>
      <c r="AA1002" s="13">
        <f>IF(tblSalaries[[#This Row],[Job Type]]=tblSalaries[[#Headers],[Manager]],tblSalaries[[#This Row],[Salary in USD]],"")</f>
        <v>72571.80269935554</v>
      </c>
      <c r="AB1002" s="13" t="str">
        <f>IF(tblSalaries[[#This Row],[Job Type]]=tblSalaries[[#Headers],[Misc.]],tblSalaries[[#This Row],[Salary in USD]],"")</f>
        <v/>
      </c>
      <c r="AC1002" s="13" t="str">
        <f>IF(tblSalaries[[#This Row],[Job Type]]=tblSalaries[[#Headers],[Reporting]],tblSalaries[[#This Row],[Salary in USD]],"")</f>
        <v/>
      </c>
      <c r="AD1002" s="13" t="str">
        <f>IF(tblSalaries[[#This Row],[Job Type]]=tblSalaries[[#Headers],[Specialist]],tblSalaries[[#This Row],[Salary in USD]],"")</f>
        <v/>
      </c>
    </row>
    <row r="1003" spans="2:30" ht="15" customHeight="1" x14ac:dyDescent="0.25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 s="9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  <c r="N1003" t="str">
        <f>IF(tblSalaries[[#This Row],[Years of Experience]]="","",IF(tblSalaries[[#This Row],[Years of Experience]]&lt;=2,1,""))</f>
        <v/>
      </c>
      <c r="O1003" t="str">
        <f>IF(tblSalaries[[#This Row],[Years of Experience]]="","",IF(AND(tblSalaries[[#This Row],[Years of Experience]]&gt;2,tblSalaries[[#This Row],[Years of Experience]]&lt;=5),1,""))</f>
        <v/>
      </c>
      <c r="P1003" t="str">
        <f>IF(tblSalaries[[#This Row],[Years of Experience]]="","",IF(AND(tblSalaries[[#This Row],[Years of Experience]]&gt;5,tblSalaries[[#This Row],[Years of Experience]]&lt;=10),1,""))</f>
        <v/>
      </c>
      <c r="Q1003">
        <f>IF(tblSalaries[[#This Row],[Years of Experience]]="","",IF(AND(tblSalaries[[#This Row],[Years of Experience]]&gt;10,tblSalaries[[#This Row],[Years of Experience]]&lt;=15),1,""))</f>
        <v>1</v>
      </c>
      <c r="R1003" t="str">
        <f>IF(tblSalaries[[#This Row],[Years of Experience]]="","",IF(AND(tblSalaries[[#This Row],[Years of Experience]]&gt;16,tblSalaries[[#This Row],[Years of Experience]]&lt;=20),1,""))</f>
        <v/>
      </c>
      <c r="S1003" t="str">
        <f>IF(tblSalaries[[#This Row],[Years of Experience]]="","",IF(tblSalaries[[#This Row],[Years of Experience]]&gt;20,1,""))</f>
        <v/>
      </c>
      <c r="T10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03" s="13" t="str">
        <f>IF(tblSalaries[[#This Row],[Job Type]]=tblSalaries[[#Headers],[Accountant]],tblSalaries[[#This Row],[Salary in USD]],"")</f>
        <v/>
      </c>
      <c r="V1003" s="13" t="str">
        <f>IF(tblSalaries[[#This Row],[Job Type]]=tblSalaries[[#Headers],[Analyst]],tblSalaries[[#This Row],[Salary in USD]],"")</f>
        <v/>
      </c>
      <c r="W1003" s="13" t="str">
        <f>IF(tblSalaries[[#This Row],[Job Type]]=tblSalaries[[#Headers],[Consultant]],tblSalaries[[#This Row],[Salary in USD]],"")</f>
        <v/>
      </c>
      <c r="X1003" s="13" t="str">
        <f>IF(tblSalaries[[#This Row],[Job Type]]=tblSalaries[[#Headers],[Controller]],tblSalaries[[#This Row],[Salary in USD]],"")</f>
        <v/>
      </c>
      <c r="Y1003" s="13" t="str">
        <f>IF(tblSalaries[[#This Row],[Job Type]]=tblSalaries[[#Headers],[CXO or Top Mgmt.]],tblSalaries[[#This Row],[clean Salary (in local currency)]],"")</f>
        <v/>
      </c>
      <c r="Z1003" s="13" t="str">
        <f>IF(tblSalaries[[#This Row],[Job Type]]=tblSalaries[[#Headers],[Engineer]],tblSalaries[[#This Row],[Salary in USD]],"")</f>
        <v/>
      </c>
      <c r="AA1003" s="13">
        <f>IF(tblSalaries[[#This Row],[Job Type]]=tblSalaries[[#Headers],[Manager]],tblSalaries[[#This Row],[Salary in USD]],"")</f>
        <v>8013.5625093491553</v>
      </c>
      <c r="AB1003" s="13" t="str">
        <f>IF(tblSalaries[[#This Row],[Job Type]]=tblSalaries[[#Headers],[Misc.]],tblSalaries[[#This Row],[Salary in USD]],"")</f>
        <v/>
      </c>
      <c r="AC1003" s="13" t="str">
        <f>IF(tblSalaries[[#This Row],[Job Type]]=tblSalaries[[#Headers],[Reporting]],tblSalaries[[#This Row],[Salary in USD]],"")</f>
        <v/>
      </c>
      <c r="AD1003" s="13" t="str">
        <f>IF(tblSalaries[[#This Row],[Job Type]]=tblSalaries[[#Headers],[Specialist]],tblSalaries[[#This Row],[Salary in USD]],"")</f>
        <v/>
      </c>
    </row>
    <row r="1004" spans="2:30" ht="15" customHeight="1" x14ac:dyDescent="0.25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 s="9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  <c r="N1004" t="str">
        <f>IF(tblSalaries[[#This Row],[Years of Experience]]="","",IF(tblSalaries[[#This Row],[Years of Experience]]&lt;=2,1,""))</f>
        <v/>
      </c>
      <c r="O1004">
        <f>IF(tblSalaries[[#This Row],[Years of Experience]]="","",IF(AND(tblSalaries[[#This Row],[Years of Experience]]&gt;2,tblSalaries[[#This Row],[Years of Experience]]&lt;=5),1,""))</f>
        <v>1</v>
      </c>
      <c r="P1004" t="str">
        <f>IF(tblSalaries[[#This Row],[Years of Experience]]="","",IF(AND(tblSalaries[[#This Row],[Years of Experience]]&gt;5,tblSalaries[[#This Row],[Years of Experience]]&lt;=10),1,""))</f>
        <v/>
      </c>
      <c r="Q1004" t="str">
        <f>IF(tblSalaries[[#This Row],[Years of Experience]]="","",IF(AND(tblSalaries[[#This Row],[Years of Experience]]&gt;10,tblSalaries[[#This Row],[Years of Experience]]&lt;=15),1,""))</f>
        <v/>
      </c>
      <c r="R1004" t="str">
        <f>IF(tblSalaries[[#This Row],[Years of Experience]]="","",IF(AND(tblSalaries[[#This Row],[Years of Experience]]&gt;16,tblSalaries[[#This Row],[Years of Experience]]&lt;=20),1,""))</f>
        <v/>
      </c>
      <c r="S1004" t="str">
        <f>IF(tblSalaries[[#This Row],[Years of Experience]]="","",IF(tblSalaries[[#This Row],[Years of Experience]]&gt;20,1,""))</f>
        <v/>
      </c>
      <c r="T10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04" s="13" t="str">
        <f>IF(tblSalaries[[#This Row],[Job Type]]=tblSalaries[[#Headers],[Accountant]],tblSalaries[[#This Row],[Salary in USD]],"")</f>
        <v/>
      </c>
      <c r="V1004" s="13">
        <f>IF(tblSalaries[[#This Row],[Job Type]]=tblSalaries[[#Headers],[Analyst]],tblSalaries[[#This Row],[Salary in USD]],"")</f>
        <v>10150.512511842264</v>
      </c>
      <c r="W1004" s="13" t="str">
        <f>IF(tblSalaries[[#This Row],[Job Type]]=tblSalaries[[#Headers],[Consultant]],tblSalaries[[#This Row],[Salary in USD]],"")</f>
        <v/>
      </c>
      <c r="X1004" s="13" t="str">
        <f>IF(tblSalaries[[#This Row],[Job Type]]=tblSalaries[[#Headers],[Controller]],tblSalaries[[#This Row],[Salary in USD]],"")</f>
        <v/>
      </c>
      <c r="Y1004" s="13" t="str">
        <f>IF(tblSalaries[[#This Row],[Job Type]]=tblSalaries[[#Headers],[CXO or Top Mgmt.]],tblSalaries[[#This Row],[clean Salary (in local currency)]],"")</f>
        <v/>
      </c>
      <c r="Z1004" s="13" t="str">
        <f>IF(tblSalaries[[#This Row],[Job Type]]=tblSalaries[[#Headers],[Engineer]],tblSalaries[[#This Row],[Salary in USD]],"")</f>
        <v/>
      </c>
      <c r="AA1004" s="13" t="str">
        <f>IF(tblSalaries[[#This Row],[Job Type]]=tblSalaries[[#Headers],[Manager]],tblSalaries[[#This Row],[Salary in USD]],"")</f>
        <v/>
      </c>
      <c r="AB1004" s="13" t="str">
        <f>IF(tblSalaries[[#This Row],[Job Type]]=tblSalaries[[#Headers],[Misc.]],tblSalaries[[#This Row],[Salary in USD]],"")</f>
        <v/>
      </c>
      <c r="AC1004" s="13" t="str">
        <f>IF(tblSalaries[[#This Row],[Job Type]]=tblSalaries[[#Headers],[Reporting]],tblSalaries[[#This Row],[Salary in USD]],"")</f>
        <v/>
      </c>
      <c r="AD1004" s="13" t="str">
        <f>IF(tblSalaries[[#This Row],[Job Type]]=tblSalaries[[#Headers],[Specialist]],tblSalaries[[#This Row],[Salary in USD]],"")</f>
        <v/>
      </c>
    </row>
    <row r="1005" spans="2:30" ht="15" customHeight="1" x14ac:dyDescent="0.25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 s="9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  <c r="N1005" t="str">
        <f>IF(tblSalaries[[#This Row],[Years of Experience]]="","",IF(tblSalaries[[#This Row],[Years of Experience]]&lt;=2,1,""))</f>
        <v/>
      </c>
      <c r="O1005" t="str">
        <f>IF(tblSalaries[[#This Row],[Years of Experience]]="","",IF(AND(tblSalaries[[#This Row],[Years of Experience]]&gt;2,tblSalaries[[#This Row],[Years of Experience]]&lt;=5),1,""))</f>
        <v/>
      </c>
      <c r="P1005">
        <f>IF(tblSalaries[[#This Row],[Years of Experience]]="","",IF(AND(tblSalaries[[#This Row],[Years of Experience]]&gt;5,tblSalaries[[#This Row],[Years of Experience]]&lt;=10),1,""))</f>
        <v>1</v>
      </c>
      <c r="Q1005" t="str">
        <f>IF(tblSalaries[[#This Row],[Years of Experience]]="","",IF(AND(tblSalaries[[#This Row],[Years of Experience]]&gt;10,tblSalaries[[#This Row],[Years of Experience]]&lt;=15),1,""))</f>
        <v/>
      </c>
      <c r="R1005" t="str">
        <f>IF(tblSalaries[[#This Row],[Years of Experience]]="","",IF(AND(tblSalaries[[#This Row],[Years of Experience]]&gt;16,tblSalaries[[#This Row],[Years of Experience]]&lt;=20),1,""))</f>
        <v/>
      </c>
      <c r="S1005" t="str">
        <f>IF(tblSalaries[[#This Row],[Years of Experience]]="","",IF(tblSalaries[[#This Row],[Years of Experience]]&gt;20,1,""))</f>
        <v/>
      </c>
      <c r="T10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05" s="13" t="str">
        <f>IF(tblSalaries[[#This Row],[Job Type]]=tblSalaries[[#Headers],[Accountant]],tblSalaries[[#This Row],[Salary in USD]],"")</f>
        <v/>
      </c>
      <c r="V1005" s="13" t="str">
        <f>IF(tblSalaries[[#This Row],[Job Type]]=tblSalaries[[#Headers],[Analyst]],tblSalaries[[#This Row],[Salary in USD]],"")</f>
        <v/>
      </c>
      <c r="W1005" s="13" t="str">
        <f>IF(tblSalaries[[#This Row],[Job Type]]=tblSalaries[[#Headers],[Consultant]],tblSalaries[[#This Row],[Salary in USD]],"")</f>
        <v/>
      </c>
      <c r="X1005" s="13">
        <f>IF(tblSalaries[[#This Row],[Job Type]]=tblSalaries[[#Headers],[Controller]],tblSalaries[[#This Row],[Salary in USD]],"")</f>
        <v>65000</v>
      </c>
      <c r="Y1005" s="13" t="str">
        <f>IF(tblSalaries[[#This Row],[Job Type]]=tblSalaries[[#Headers],[CXO or Top Mgmt.]],tblSalaries[[#This Row],[clean Salary (in local currency)]],"")</f>
        <v/>
      </c>
      <c r="Z1005" s="13" t="str">
        <f>IF(tblSalaries[[#This Row],[Job Type]]=tblSalaries[[#Headers],[Engineer]],tblSalaries[[#This Row],[Salary in USD]],"")</f>
        <v/>
      </c>
      <c r="AA1005" s="13" t="str">
        <f>IF(tblSalaries[[#This Row],[Job Type]]=tblSalaries[[#Headers],[Manager]],tblSalaries[[#This Row],[Salary in USD]],"")</f>
        <v/>
      </c>
      <c r="AB1005" s="13" t="str">
        <f>IF(tblSalaries[[#This Row],[Job Type]]=tblSalaries[[#Headers],[Misc.]],tblSalaries[[#This Row],[Salary in USD]],"")</f>
        <v/>
      </c>
      <c r="AC1005" s="13" t="str">
        <f>IF(tblSalaries[[#This Row],[Job Type]]=tblSalaries[[#Headers],[Reporting]],tblSalaries[[#This Row],[Salary in USD]],"")</f>
        <v/>
      </c>
      <c r="AD1005" s="13" t="str">
        <f>IF(tblSalaries[[#This Row],[Job Type]]=tblSalaries[[#Headers],[Specialist]],tblSalaries[[#This Row],[Salary in USD]],"")</f>
        <v/>
      </c>
    </row>
    <row r="1006" spans="2:30" ht="15" customHeight="1" x14ac:dyDescent="0.25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 s="9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  <c r="N1006" t="str">
        <f>IF(tblSalaries[[#This Row],[Years of Experience]]="","",IF(tblSalaries[[#This Row],[Years of Experience]]&lt;=2,1,""))</f>
        <v/>
      </c>
      <c r="O1006">
        <f>IF(tblSalaries[[#This Row],[Years of Experience]]="","",IF(AND(tblSalaries[[#This Row],[Years of Experience]]&gt;2,tblSalaries[[#This Row],[Years of Experience]]&lt;=5),1,""))</f>
        <v>1</v>
      </c>
      <c r="P1006" t="str">
        <f>IF(tblSalaries[[#This Row],[Years of Experience]]="","",IF(AND(tblSalaries[[#This Row],[Years of Experience]]&gt;5,tblSalaries[[#This Row],[Years of Experience]]&lt;=10),1,""))</f>
        <v/>
      </c>
      <c r="Q1006" t="str">
        <f>IF(tblSalaries[[#This Row],[Years of Experience]]="","",IF(AND(tblSalaries[[#This Row],[Years of Experience]]&gt;10,tblSalaries[[#This Row],[Years of Experience]]&lt;=15),1,""))</f>
        <v/>
      </c>
      <c r="R1006" t="str">
        <f>IF(tblSalaries[[#This Row],[Years of Experience]]="","",IF(AND(tblSalaries[[#This Row],[Years of Experience]]&gt;16,tblSalaries[[#This Row],[Years of Experience]]&lt;=20),1,""))</f>
        <v/>
      </c>
      <c r="S1006" t="str">
        <f>IF(tblSalaries[[#This Row],[Years of Experience]]="","",IF(tblSalaries[[#This Row],[Years of Experience]]&gt;20,1,""))</f>
        <v/>
      </c>
      <c r="T10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06" s="13" t="str">
        <f>IF(tblSalaries[[#This Row],[Job Type]]=tblSalaries[[#Headers],[Accountant]],tblSalaries[[#This Row],[Salary in USD]],"")</f>
        <v/>
      </c>
      <c r="V1006" s="13" t="str">
        <f>IF(tblSalaries[[#This Row],[Job Type]]=tblSalaries[[#Headers],[Analyst]],tblSalaries[[#This Row],[Salary in USD]],"")</f>
        <v/>
      </c>
      <c r="W1006" s="13" t="str">
        <f>IF(tblSalaries[[#This Row],[Job Type]]=tblSalaries[[#Headers],[Consultant]],tblSalaries[[#This Row],[Salary in USD]],"")</f>
        <v/>
      </c>
      <c r="X1006" s="13" t="str">
        <f>IF(tblSalaries[[#This Row],[Job Type]]=tblSalaries[[#Headers],[Controller]],tblSalaries[[#This Row],[Salary in USD]],"")</f>
        <v/>
      </c>
      <c r="Y1006" s="13" t="str">
        <f>IF(tblSalaries[[#This Row],[Job Type]]=tblSalaries[[#Headers],[CXO or Top Mgmt.]],tblSalaries[[#This Row],[clean Salary (in local currency)]],"")</f>
        <v/>
      </c>
      <c r="Z1006" s="13" t="str">
        <f>IF(tblSalaries[[#This Row],[Job Type]]=tblSalaries[[#Headers],[Engineer]],tblSalaries[[#This Row],[Salary in USD]],"")</f>
        <v/>
      </c>
      <c r="AA1006" s="13">
        <f>IF(tblSalaries[[#This Row],[Job Type]]=tblSalaries[[#Headers],[Manager]],tblSalaries[[#This Row],[Salary in USD]],"")</f>
        <v>3184.2266150397395</v>
      </c>
      <c r="AB1006" s="13" t="str">
        <f>IF(tblSalaries[[#This Row],[Job Type]]=tblSalaries[[#Headers],[Misc.]],tblSalaries[[#This Row],[Salary in USD]],"")</f>
        <v/>
      </c>
      <c r="AC1006" s="13" t="str">
        <f>IF(tblSalaries[[#This Row],[Job Type]]=tblSalaries[[#Headers],[Reporting]],tblSalaries[[#This Row],[Salary in USD]],"")</f>
        <v/>
      </c>
      <c r="AD1006" s="13" t="str">
        <f>IF(tblSalaries[[#This Row],[Job Type]]=tblSalaries[[#Headers],[Specialist]],tblSalaries[[#This Row],[Salary in USD]],"")</f>
        <v/>
      </c>
    </row>
    <row r="1007" spans="2:30" ht="15" customHeight="1" x14ac:dyDescent="0.25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 s="9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  <c r="N1007" t="str">
        <f>IF(tblSalaries[[#This Row],[Years of Experience]]="","",IF(tblSalaries[[#This Row],[Years of Experience]]&lt;=2,1,""))</f>
        <v/>
      </c>
      <c r="O1007" t="str">
        <f>IF(tblSalaries[[#This Row],[Years of Experience]]="","",IF(AND(tblSalaries[[#This Row],[Years of Experience]]&gt;2,tblSalaries[[#This Row],[Years of Experience]]&lt;=5),1,""))</f>
        <v/>
      </c>
      <c r="P1007" t="str">
        <f>IF(tblSalaries[[#This Row],[Years of Experience]]="","",IF(AND(tblSalaries[[#This Row],[Years of Experience]]&gt;5,tblSalaries[[#This Row],[Years of Experience]]&lt;=10),1,""))</f>
        <v/>
      </c>
      <c r="Q1007">
        <f>IF(tblSalaries[[#This Row],[Years of Experience]]="","",IF(AND(tblSalaries[[#This Row],[Years of Experience]]&gt;10,tblSalaries[[#This Row],[Years of Experience]]&lt;=15),1,""))</f>
        <v>1</v>
      </c>
      <c r="R1007" t="str">
        <f>IF(tblSalaries[[#This Row],[Years of Experience]]="","",IF(AND(tblSalaries[[#This Row],[Years of Experience]]&gt;16,tblSalaries[[#This Row],[Years of Experience]]&lt;=20),1,""))</f>
        <v/>
      </c>
      <c r="S1007" t="str">
        <f>IF(tblSalaries[[#This Row],[Years of Experience]]="","",IF(tblSalaries[[#This Row],[Years of Experience]]&gt;20,1,""))</f>
        <v/>
      </c>
      <c r="T10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07" s="13" t="str">
        <f>IF(tblSalaries[[#This Row],[Job Type]]=tblSalaries[[#Headers],[Accountant]],tblSalaries[[#This Row],[Salary in USD]],"")</f>
        <v/>
      </c>
      <c r="V1007" s="13" t="str">
        <f>IF(tblSalaries[[#This Row],[Job Type]]=tblSalaries[[#Headers],[Analyst]],tblSalaries[[#This Row],[Salary in USD]],"")</f>
        <v/>
      </c>
      <c r="W1007" s="13" t="str">
        <f>IF(tblSalaries[[#This Row],[Job Type]]=tblSalaries[[#Headers],[Consultant]],tblSalaries[[#This Row],[Salary in USD]],"")</f>
        <v/>
      </c>
      <c r="X1007" s="13" t="str">
        <f>IF(tblSalaries[[#This Row],[Job Type]]=tblSalaries[[#Headers],[Controller]],tblSalaries[[#This Row],[Salary in USD]],"")</f>
        <v/>
      </c>
      <c r="Y1007" s="13" t="str">
        <f>IF(tblSalaries[[#This Row],[Job Type]]=tblSalaries[[#Headers],[CXO or Top Mgmt.]],tblSalaries[[#This Row],[clean Salary (in local currency)]],"")</f>
        <v/>
      </c>
      <c r="Z1007" s="13" t="str">
        <f>IF(tblSalaries[[#This Row],[Job Type]]=tblSalaries[[#Headers],[Engineer]],tblSalaries[[#This Row],[Salary in USD]],"")</f>
        <v/>
      </c>
      <c r="AA1007" s="13">
        <f>IF(tblSalaries[[#This Row],[Job Type]]=tblSalaries[[#Headers],[Manager]],tblSalaries[[#This Row],[Salary in USD]],"")</f>
        <v>10898.445012714852</v>
      </c>
      <c r="AB1007" s="13" t="str">
        <f>IF(tblSalaries[[#This Row],[Job Type]]=tblSalaries[[#Headers],[Misc.]],tblSalaries[[#This Row],[Salary in USD]],"")</f>
        <v/>
      </c>
      <c r="AC1007" s="13" t="str">
        <f>IF(tblSalaries[[#This Row],[Job Type]]=tblSalaries[[#Headers],[Reporting]],tblSalaries[[#This Row],[Salary in USD]],"")</f>
        <v/>
      </c>
      <c r="AD1007" s="13" t="str">
        <f>IF(tblSalaries[[#This Row],[Job Type]]=tblSalaries[[#Headers],[Specialist]],tblSalaries[[#This Row],[Salary in USD]],"")</f>
        <v/>
      </c>
    </row>
    <row r="1008" spans="2:30" ht="15" customHeight="1" x14ac:dyDescent="0.25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 s="9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  <c r="N1008" t="str">
        <f>IF(tblSalaries[[#This Row],[Years of Experience]]="","",IF(tblSalaries[[#This Row],[Years of Experience]]&lt;=2,1,""))</f>
        <v/>
      </c>
      <c r="O1008">
        <f>IF(tblSalaries[[#This Row],[Years of Experience]]="","",IF(AND(tblSalaries[[#This Row],[Years of Experience]]&gt;2,tblSalaries[[#This Row],[Years of Experience]]&lt;=5),1,""))</f>
        <v>1</v>
      </c>
      <c r="P1008" t="str">
        <f>IF(tblSalaries[[#This Row],[Years of Experience]]="","",IF(AND(tblSalaries[[#This Row],[Years of Experience]]&gt;5,tblSalaries[[#This Row],[Years of Experience]]&lt;=10),1,""))</f>
        <v/>
      </c>
      <c r="Q1008" t="str">
        <f>IF(tblSalaries[[#This Row],[Years of Experience]]="","",IF(AND(tblSalaries[[#This Row],[Years of Experience]]&gt;10,tblSalaries[[#This Row],[Years of Experience]]&lt;=15),1,""))</f>
        <v/>
      </c>
      <c r="R1008" t="str">
        <f>IF(tblSalaries[[#This Row],[Years of Experience]]="","",IF(AND(tblSalaries[[#This Row],[Years of Experience]]&gt;16,tblSalaries[[#This Row],[Years of Experience]]&lt;=20),1,""))</f>
        <v/>
      </c>
      <c r="S1008" t="str">
        <f>IF(tblSalaries[[#This Row],[Years of Experience]]="","",IF(tblSalaries[[#This Row],[Years of Experience]]&gt;20,1,""))</f>
        <v/>
      </c>
      <c r="T10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08" s="13" t="str">
        <f>IF(tblSalaries[[#This Row],[Job Type]]=tblSalaries[[#Headers],[Accountant]],tblSalaries[[#This Row],[Salary in USD]],"")</f>
        <v/>
      </c>
      <c r="V1008" s="13" t="str">
        <f>IF(tblSalaries[[#This Row],[Job Type]]=tblSalaries[[#Headers],[Analyst]],tblSalaries[[#This Row],[Salary in USD]],"")</f>
        <v/>
      </c>
      <c r="W1008" s="13" t="str">
        <f>IF(tblSalaries[[#This Row],[Job Type]]=tblSalaries[[#Headers],[Consultant]],tblSalaries[[#This Row],[Salary in USD]],"")</f>
        <v/>
      </c>
      <c r="X1008" s="13" t="str">
        <f>IF(tblSalaries[[#This Row],[Job Type]]=tblSalaries[[#Headers],[Controller]],tblSalaries[[#This Row],[Salary in USD]],"")</f>
        <v/>
      </c>
      <c r="Y1008" s="13" t="str">
        <f>IF(tblSalaries[[#This Row],[Job Type]]=tblSalaries[[#Headers],[CXO or Top Mgmt.]],tblSalaries[[#This Row],[clean Salary (in local currency)]],"")</f>
        <v/>
      </c>
      <c r="Z1008" s="13" t="str">
        <f>IF(tblSalaries[[#This Row],[Job Type]]=tblSalaries[[#Headers],[Engineer]],tblSalaries[[#This Row],[Salary in USD]],"")</f>
        <v/>
      </c>
      <c r="AA1008" s="13">
        <f>IF(tblSalaries[[#This Row],[Job Type]]=tblSalaries[[#Headers],[Manager]],tblSalaries[[#This Row],[Salary in USD]],"")</f>
        <v>10800</v>
      </c>
      <c r="AB1008" s="13" t="str">
        <f>IF(tblSalaries[[#This Row],[Job Type]]=tblSalaries[[#Headers],[Misc.]],tblSalaries[[#This Row],[Salary in USD]],"")</f>
        <v/>
      </c>
      <c r="AC1008" s="13" t="str">
        <f>IF(tblSalaries[[#This Row],[Job Type]]=tblSalaries[[#Headers],[Reporting]],tblSalaries[[#This Row],[Salary in USD]],"")</f>
        <v/>
      </c>
      <c r="AD1008" s="13" t="str">
        <f>IF(tblSalaries[[#This Row],[Job Type]]=tblSalaries[[#Headers],[Specialist]],tblSalaries[[#This Row],[Salary in USD]],"")</f>
        <v/>
      </c>
    </row>
    <row r="1009" spans="2:30" ht="15" customHeight="1" x14ac:dyDescent="0.25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 s="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  <c r="N1009" t="str">
        <f>IF(tblSalaries[[#This Row],[Years of Experience]]="","",IF(tblSalaries[[#This Row],[Years of Experience]]&lt;=2,1,""))</f>
        <v/>
      </c>
      <c r="O1009">
        <f>IF(tblSalaries[[#This Row],[Years of Experience]]="","",IF(AND(tblSalaries[[#This Row],[Years of Experience]]&gt;2,tblSalaries[[#This Row],[Years of Experience]]&lt;=5),1,""))</f>
        <v>1</v>
      </c>
      <c r="P1009" t="str">
        <f>IF(tblSalaries[[#This Row],[Years of Experience]]="","",IF(AND(tblSalaries[[#This Row],[Years of Experience]]&gt;5,tblSalaries[[#This Row],[Years of Experience]]&lt;=10),1,""))</f>
        <v/>
      </c>
      <c r="Q1009" t="str">
        <f>IF(tblSalaries[[#This Row],[Years of Experience]]="","",IF(AND(tblSalaries[[#This Row],[Years of Experience]]&gt;10,tblSalaries[[#This Row],[Years of Experience]]&lt;=15),1,""))</f>
        <v/>
      </c>
      <c r="R1009" t="str">
        <f>IF(tblSalaries[[#This Row],[Years of Experience]]="","",IF(AND(tblSalaries[[#This Row],[Years of Experience]]&gt;16,tblSalaries[[#This Row],[Years of Experience]]&lt;=20),1,""))</f>
        <v/>
      </c>
      <c r="S1009" t="str">
        <f>IF(tblSalaries[[#This Row],[Years of Experience]]="","",IF(tblSalaries[[#This Row],[Years of Experience]]&gt;20,1,""))</f>
        <v/>
      </c>
      <c r="T10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09" s="13" t="str">
        <f>IF(tblSalaries[[#This Row],[Job Type]]=tblSalaries[[#Headers],[Accountant]],tblSalaries[[#This Row],[Salary in USD]],"")</f>
        <v/>
      </c>
      <c r="V1009" s="13">
        <f>IF(tblSalaries[[#This Row],[Job Type]]=tblSalaries[[#Headers],[Analyst]],tblSalaries[[#This Row],[Salary in USD]],"")</f>
        <v>2136.9500024931081</v>
      </c>
      <c r="W1009" s="13" t="str">
        <f>IF(tblSalaries[[#This Row],[Job Type]]=tblSalaries[[#Headers],[Consultant]],tblSalaries[[#This Row],[Salary in USD]],"")</f>
        <v/>
      </c>
      <c r="X1009" s="13" t="str">
        <f>IF(tblSalaries[[#This Row],[Job Type]]=tblSalaries[[#Headers],[Controller]],tblSalaries[[#This Row],[Salary in USD]],"")</f>
        <v/>
      </c>
      <c r="Y1009" s="13" t="str">
        <f>IF(tblSalaries[[#This Row],[Job Type]]=tblSalaries[[#Headers],[CXO or Top Mgmt.]],tblSalaries[[#This Row],[clean Salary (in local currency)]],"")</f>
        <v/>
      </c>
      <c r="Z1009" s="13" t="str">
        <f>IF(tblSalaries[[#This Row],[Job Type]]=tblSalaries[[#Headers],[Engineer]],tblSalaries[[#This Row],[Salary in USD]],"")</f>
        <v/>
      </c>
      <c r="AA1009" s="13" t="str">
        <f>IF(tblSalaries[[#This Row],[Job Type]]=tblSalaries[[#Headers],[Manager]],tblSalaries[[#This Row],[Salary in USD]],"")</f>
        <v/>
      </c>
      <c r="AB1009" s="13" t="str">
        <f>IF(tblSalaries[[#This Row],[Job Type]]=tblSalaries[[#Headers],[Misc.]],tblSalaries[[#This Row],[Salary in USD]],"")</f>
        <v/>
      </c>
      <c r="AC1009" s="13" t="str">
        <f>IF(tblSalaries[[#This Row],[Job Type]]=tblSalaries[[#Headers],[Reporting]],tblSalaries[[#This Row],[Salary in USD]],"")</f>
        <v/>
      </c>
      <c r="AD1009" s="13" t="str">
        <f>IF(tblSalaries[[#This Row],[Job Type]]=tblSalaries[[#Headers],[Specialist]],tblSalaries[[#This Row],[Salary in USD]],"")</f>
        <v/>
      </c>
    </row>
    <row r="1010" spans="2:30" ht="15" customHeight="1" x14ac:dyDescent="0.25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 s="9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  <c r="N1010" t="str">
        <f>IF(tblSalaries[[#This Row],[Years of Experience]]="","",IF(tblSalaries[[#This Row],[Years of Experience]]&lt;=2,1,""))</f>
        <v/>
      </c>
      <c r="O1010">
        <f>IF(tblSalaries[[#This Row],[Years of Experience]]="","",IF(AND(tblSalaries[[#This Row],[Years of Experience]]&gt;2,tblSalaries[[#This Row],[Years of Experience]]&lt;=5),1,""))</f>
        <v>1</v>
      </c>
      <c r="P1010" t="str">
        <f>IF(tblSalaries[[#This Row],[Years of Experience]]="","",IF(AND(tblSalaries[[#This Row],[Years of Experience]]&gt;5,tblSalaries[[#This Row],[Years of Experience]]&lt;=10),1,""))</f>
        <v/>
      </c>
      <c r="Q1010" t="str">
        <f>IF(tblSalaries[[#This Row],[Years of Experience]]="","",IF(AND(tblSalaries[[#This Row],[Years of Experience]]&gt;10,tblSalaries[[#This Row],[Years of Experience]]&lt;=15),1,""))</f>
        <v/>
      </c>
      <c r="R1010" t="str">
        <f>IF(tblSalaries[[#This Row],[Years of Experience]]="","",IF(AND(tblSalaries[[#This Row],[Years of Experience]]&gt;16,tblSalaries[[#This Row],[Years of Experience]]&lt;=20),1,""))</f>
        <v/>
      </c>
      <c r="S1010" t="str">
        <f>IF(tblSalaries[[#This Row],[Years of Experience]]="","",IF(tblSalaries[[#This Row],[Years of Experience]]&gt;20,1,""))</f>
        <v/>
      </c>
      <c r="T10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0" s="13" t="str">
        <f>IF(tblSalaries[[#This Row],[Job Type]]=tblSalaries[[#Headers],[Accountant]],tblSalaries[[#This Row],[Salary in USD]],"")</f>
        <v/>
      </c>
      <c r="V1010" s="13" t="str">
        <f>IF(tblSalaries[[#This Row],[Job Type]]=tblSalaries[[#Headers],[Analyst]],tblSalaries[[#This Row],[Salary in USD]],"")</f>
        <v/>
      </c>
      <c r="W1010" s="13" t="str">
        <f>IF(tblSalaries[[#This Row],[Job Type]]=tblSalaries[[#Headers],[Consultant]],tblSalaries[[#This Row],[Salary in USD]],"")</f>
        <v/>
      </c>
      <c r="X1010" s="13" t="str">
        <f>IF(tblSalaries[[#This Row],[Job Type]]=tblSalaries[[#Headers],[Controller]],tblSalaries[[#This Row],[Salary in USD]],"")</f>
        <v/>
      </c>
      <c r="Y1010" s="13" t="str">
        <f>IF(tblSalaries[[#This Row],[Job Type]]=tblSalaries[[#Headers],[CXO or Top Mgmt.]],tblSalaries[[#This Row],[clean Salary (in local currency)]],"")</f>
        <v/>
      </c>
      <c r="Z1010" s="13">
        <f>IF(tblSalaries[[#This Row],[Job Type]]=tblSalaries[[#Headers],[Engineer]],tblSalaries[[#This Row],[Salary in USD]],"")</f>
        <v>45000</v>
      </c>
      <c r="AA1010" s="13" t="str">
        <f>IF(tblSalaries[[#This Row],[Job Type]]=tblSalaries[[#Headers],[Manager]],tblSalaries[[#This Row],[Salary in USD]],"")</f>
        <v/>
      </c>
      <c r="AB1010" s="13" t="str">
        <f>IF(tblSalaries[[#This Row],[Job Type]]=tblSalaries[[#Headers],[Misc.]],tblSalaries[[#This Row],[Salary in USD]],"")</f>
        <v/>
      </c>
      <c r="AC1010" s="13" t="str">
        <f>IF(tblSalaries[[#This Row],[Job Type]]=tblSalaries[[#Headers],[Reporting]],tblSalaries[[#This Row],[Salary in USD]],"")</f>
        <v/>
      </c>
      <c r="AD1010" s="13" t="str">
        <f>IF(tblSalaries[[#This Row],[Job Type]]=tblSalaries[[#Headers],[Specialist]],tblSalaries[[#This Row],[Salary in USD]],"")</f>
        <v/>
      </c>
    </row>
    <row r="1011" spans="2:30" ht="15" customHeight="1" x14ac:dyDescent="0.25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 s="9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  <c r="N1011" t="str">
        <f>IF(tblSalaries[[#This Row],[Years of Experience]]="","",IF(tblSalaries[[#This Row],[Years of Experience]]&lt;=2,1,""))</f>
        <v/>
      </c>
      <c r="O1011">
        <f>IF(tblSalaries[[#This Row],[Years of Experience]]="","",IF(AND(tblSalaries[[#This Row],[Years of Experience]]&gt;2,tblSalaries[[#This Row],[Years of Experience]]&lt;=5),1,""))</f>
        <v>1</v>
      </c>
      <c r="P1011" t="str">
        <f>IF(tblSalaries[[#This Row],[Years of Experience]]="","",IF(AND(tblSalaries[[#This Row],[Years of Experience]]&gt;5,tblSalaries[[#This Row],[Years of Experience]]&lt;=10),1,""))</f>
        <v/>
      </c>
      <c r="Q1011" t="str">
        <f>IF(tblSalaries[[#This Row],[Years of Experience]]="","",IF(AND(tblSalaries[[#This Row],[Years of Experience]]&gt;10,tblSalaries[[#This Row],[Years of Experience]]&lt;=15),1,""))</f>
        <v/>
      </c>
      <c r="R1011" t="str">
        <f>IF(tblSalaries[[#This Row],[Years of Experience]]="","",IF(AND(tblSalaries[[#This Row],[Years of Experience]]&gt;16,tblSalaries[[#This Row],[Years of Experience]]&lt;=20),1,""))</f>
        <v/>
      </c>
      <c r="S1011" t="str">
        <f>IF(tblSalaries[[#This Row],[Years of Experience]]="","",IF(tblSalaries[[#This Row],[Years of Experience]]&gt;20,1,""))</f>
        <v/>
      </c>
      <c r="T10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1" s="13" t="str">
        <f>IF(tblSalaries[[#This Row],[Job Type]]=tblSalaries[[#Headers],[Accountant]],tblSalaries[[#This Row],[Salary in USD]],"")</f>
        <v/>
      </c>
      <c r="V1011" s="13" t="str">
        <f>IF(tblSalaries[[#This Row],[Job Type]]=tblSalaries[[#Headers],[Analyst]],tblSalaries[[#This Row],[Salary in USD]],"")</f>
        <v/>
      </c>
      <c r="W1011" s="13" t="str">
        <f>IF(tblSalaries[[#This Row],[Job Type]]=tblSalaries[[#Headers],[Consultant]],tblSalaries[[#This Row],[Salary in USD]],"")</f>
        <v/>
      </c>
      <c r="X1011" s="13" t="str">
        <f>IF(tblSalaries[[#This Row],[Job Type]]=tblSalaries[[#Headers],[Controller]],tblSalaries[[#This Row],[Salary in USD]],"")</f>
        <v/>
      </c>
      <c r="Y1011" s="13" t="str">
        <f>IF(tblSalaries[[#This Row],[Job Type]]=tblSalaries[[#Headers],[CXO or Top Mgmt.]],tblSalaries[[#This Row],[clean Salary (in local currency)]],"")</f>
        <v/>
      </c>
      <c r="Z1011" s="13" t="str">
        <f>IF(tblSalaries[[#This Row],[Job Type]]=tblSalaries[[#Headers],[Engineer]],tblSalaries[[#This Row],[Salary in USD]],"")</f>
        <v/>
      </c>
      <c r="AA1011" s="13">
        <f>IF(tblSalaries[[#This Row],[Job Type]]=tblSalaries[[#Headers],[Manager]],tblSalaries[[#This Row],[Salary in USD]],"")</f>
        <v>7123.1666749770275</v>
      </c>
      <c r="AB1011" s="13" t="str">
        <f>IF(tblSalaries[[#This Row],[Job Type]]=tblSalaries[[#Headers],[Misc.]],tblSalaries[[#This Row],[Salary in USD]],"")</f>
        <v/>
      </c>
      <c r="AC1011" s="13" t="str">
        <f>IF(tblSalaries[[#This Row],[Job Type]]=tblSalaries[[#Headers],[Reporting]],tblSalaries[[#This Row],[Salary in USD]],"")</f>
        <v/>
      </c>
      <c r="AD1011" s="13" t="str">
        <f>IF(tblSalaries[[#This Row],[Job Type]]=tblSalaries[[#Headers],[Specialist]],tblSalaries[[#This Row],[Salary in USD]],"")</f>
        <v/>
      </c>
    </row>
    <row r="1012" spans="2:30" ht="15" customHeight="1" x14ac:dyDescent="0.25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 s="9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  <c r="N1012" t="str">
        <f>IF(tblSalaries[[#This Row],[Years of Experience]]="","",IF(tblSalaries[[#This Row],[Years of Experience]]&lt;=2,1,""))</f>
        <v/>
      </c>
      <c r="O1012">
        <f>IF(tblSalaries[[#This Row],[Years of Experience]]="","",IF(AND(tblSalaries[[#This Row],[Years of Experience]]&gt;2,tblSalaries[[#This Row],[Years of Experience]]&lt;=5),1,""))</f>
        <v>1</v>
      </c>
      <c r="P1012" t="str">
        <f>IF(tblSalaries[[#This Row],[Years of Experience]]="","",IF(AND(tblSalaries[[#This Row],[Years of Experience]]&gt;5,tblSalaries[[#This Row],[Years of Experience]]&lt;=10),1,""))</f>
        <v/>
      </c>
      <c r="Q1012" t="str">
        <f>IF(tblSalaries[[#This Row],[Years of Experience]]="","",IF(AND(tblSalaries[[#This Row],[Years of Experience]]&gt;10,tblSalaries[[#This Row],[Years of Experience]]&lt;=15),1,""))</f>
        <v/>
      </c>
      <c r="R1012" t="str">
        <f>IF(tblSalaries[[#This Row],[Years of Experience]]="","",IF(AND(tblSalaries[[#This Row],[Years of Experience]]&gt;16,tblSalaries[[#This Row],[Years of Experience]]&lt;=20),1,""))</f>
        <v/>
      </c>
      <c r="S1012" t="str">
        <f>IF(tblSalaries[[#This Row],[Years of Experience]]="","",IF(tblSalaries[[#This Row],[Years of Experience]]&gt;20,1,""))</f>
        <v/>
      </c>
      <c r="T10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2" s="13">
        <f>IF(tblSalaries[[#This Row],[Job Type]]=tblSalaries[[#Headers],[Accountant]],tblSalaries[[#This Row],[Salary in USD]],"")</f>
        <v>5342.3750062327708</v>
      </c>
      <c r="V1012" s="13" t="str">
        <f>IF(tblSalaries[[#This Row],[Job Type]]=tblSalaries[[#Headers],[Analyst]],tblSalaries[[#This Row],[Salary in USD]],"")</f>
        <v/>
      </c>
      <c r="W1012" s="13" t="str">
        <f>IF(tblSalaries[[#This Row],[Job Type]]=tblSalaries[[#Headers],[Consultant]],tblSalaries[[#This Row],[Salary in USD]],"")</f>
        <v/>
      </c>
      <c r="X1012" s="13" t="str">
        <f>IF(tblSalaries[[#This Row],[Job Type]]=tblSalaries[[#Headers],[Controller]],tblSalaries[[#This Row],[Salary in USD]],"")</f>
        <v/>
      </c>
      <c r="Y1012" s="13" t="str">
        <f>IF(tblSalaries[[#This Row],[Job Type]]=tblSalaries[[#Headers],[CXO or Top Mgmt.]],tblSalaries[[#This Row],[clean Salary (in local currency)]],"")</f>
        <v/>
      </c>
      <c r="Z1012" s="13" t="str">
        <f>IF(tblSalaries[[#This Row],[Job Type]]=tblSalaries[[#Headers],[Engineer]],tblSalaries[[#This Row],[Salary in USD]],"")</f>
        <v/>
      </c>
      <c r="AA1012" s="13" t="str">
        <f>IF(tblSalaries[[#This Row],[Job Type]]=tblSalaries[[#Headers],[Manager]],tblSalaries[[#This Row],[Salary in USD]],"")</f>
        <v/>
      </c>
      <c r="AB1012" s="13" t="str">
        <f>IF(tblSalaries[[#This Row],[Job Type]]=tblSalaries[[#Headers],[Misc.]],tblSalaries[[#This Row],[Salary in USD]],"")</f>
        <v/>
      </c>
      <c r="AC1012" s="13" t="str">
        <f>IF(tblSalaries[[#This Row],[Job Type]]=tblSalaries[[#Headers],[Reporting]],tblSalaries[[#This Row],[Salary in USD]],"")</f>
        <v/>
      </c>
      <c r="AD1012" s="13" t="str">
        <f>IF(tblSalaries[[#This Row],[Job Type]]=tblSalaries[[#Headers],[Specialist]],tblSalaries[[#This Row],[Salary in USD]],"")</f>
        <v/>
      </c>
    </row>
    <row r="1013" spans="2:30" ht="15" customHeight="1" x14ac:dyDescent="0.25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 s="9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  <c r="N1013" t="str">
        <f>IF(tblSalaries[[#This Row],[Years of Experience]]="","",IF(tblSalaries[[#This Row],[Years of Experience]]&lt;=2,1,""))</f>
        <v/>
      </c>
      <c r="O1013">
        <f>IF(tblSalaries[[#This Row],[Years of Experience]]="","",IF(AND(tblSalaries[[#This Row],[Years of Experience]]&gt;2,tblSalaries[[#This Row],[Years of Experience]]&lt;=5),1,""))</f>
        <v>1</v>
      </c>
      <c r="P1013" t="str">
        <f>IF(tblSalaries[[#This Row],[Years of Experience]]="","",IF(AND(tblSalaries[[#This Row],[Years of Experience]]&gt;5,tblSalaries[[#This Row],[Years of Experience]]&lt;=10),1,""))</f>
        <v/>
      </c>
      <c r="Q1013" t="str">
        <f>IF(tblSalaries[[#This Row],[Years of Experience]]="","",IF(AND(tblSalaries[[#This Row],[Years of Experience]]&gt;10,tblSalaries[[#This Row],[Years of Experience]]&lt;=15),1,""))</f>
        <v/>
      </c>
      <c r="R1013" t="str">
        <f>IF(tblSalaries[[#This Row],[Years of Experience]]="","",IF(AND(tblSalaries[[#This Row],[Years of Experience]]&gt;16,tblSalaries[[#This Row],[Years of Experience]]&lt;=20),1,""))</f>
        <v/>
      </c>
      <c r="S1013" t="str">
        <f>IF(tblSalaries[[#This Row],[Years of Experience]]="","",IF(tblSalaries[[#This Row],[Years of Experience]]&gt;20,1,""))</f>
        <v/>
      </c>
      <c r="T10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3" s="13" t="str">
        <f>IF(tblSalaries[[#This Row],[Job Type]]=tblSalaries[[#Headers],[Accountant]],tblSalaries[[#This Row],[Salary in USD]],"")</f>
        <v/>
      </c>
      <c r="V1013" s="13" t="str">
        <f>IF(tblSalaries[[#This Row],[Job Type]]=tblSalaries[[#Headers],[Analyst]],tblSalaries[[#This Row],[Salary in USD]],"")</f>
        <v/>
      </c>
      <c r="W1013" s="13" t="str">
        <f>IF(tblSalaries[[#This Row],[Job Type]]=tblSalaries[[#Headers],[Consultant]],tblSalaries[[#This Row],[Salary in USD]],"")</f>
        <v/>
      </c>
      <c r="X1013" s="13" t="str">
        <f>IF(tblSalaries[[#This Row],[Job Type]]=tblSalaries[[#Headers],[Controller]],tblSalaries[[#This Row],[Salary in USD]],"")</f>
        <v/>
      </c>
      <c r="Y1013" s="13" t="str">
        <f>IF(tblSalaries[[#This Row],[Job Type]]=tblSalaries[[#Headers],[CXO or Top Mgmt.]],tblSalaries[[#This Row],[clean Salary (in local currency)]],"")</f>
        <v/>
      </c>
      <c r="Z1013" s="13" t="str">
        <f>IF(tblSalaries[[#This Row],[Job Type]]=tblSalaries[[#Headers],[Engineer]],tblSalaries[[#This Row],[Salary in USD]],"")</f>
        <v/>
      </c>
      <c r="AA1013" s="13">
        <f>IF(tblSalaries[[#This Row],[Job Type]]=tblSalaries[[#Headers],[Manager]],tblSalaries[[#This Row],[Salary in USD]],"")</f>
        <v>18000</v>
      </c>
      <c r="AB1013" s="13" t="str">
        <f>IF(tblSalaries[[#This Row],[Job Type]]=tblSalaries[[#Headers],[Misc.]],tblSalaries[[#This Row],[Salary in USD]],"")</f>
        <v/>
      </c>
      <c r="AC1013" s="13" t="str">
        <f>IF(tblSalaries[[#This Row],[Job Type]]=tblSalaries[[#Headers],[Reporting]],tblSalaries[[#This Row],[Salary in USD]],"")</f>
        <v/>
      </c>
      <c r="AD1013" s="13" t="str">
        <f>IF(tblSalaries[[#This Row],[Job Type]]=tblSalaries[[#Headers],[Specialist]],tblSalaries[[#This Row],[Salary in USD]],"")</f>
        <v/>
      </c>
    </row>
    <row r="1014" spans="2:30" ht="15" customHeight="1" x14ac:dyDescent="0.25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 s="9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  <c r="N1014">
        <f>IF(tblSalaries[[#This Row],[Years of Experience]]="","",IF(tblSalaries[[#This Row],[Years of Experience]]&lt;=2,1,""))</f>
        <v>1</v>
      </c>
      <c r="O1014" t="str">
        <f>IF(tblSalaries[[#This Row],[Years of Experience]]="","",IF(AND(tblSalaries[[#This Row],[Years of Experience]]&gt;2,tblSalaries[[#This Row],[Years of Experience]]&lt;=5),1,""))</f>
        <v/>
      </c>
      <c r="P1014" t="str">
        <f>IF(tblSalaries[[#This Row],[Years of Experience]]="","",IF(AND(tblSalaries[[#This Row],[Years of Experience]]&gt;5,tblSalaries[[#This Row],[Years of Experience]]&lt;=10),1,""))</f>
        <v/>
      </c>
      <c r="Q1014" t="str">
        <f>IF(tblSalaries[[#This Row],[Years of Experience]]="","",IF(AND(tblSalaries[[#This Row],[Years of Experience]]&gt;10,tblSalaries[[#This Row],[Years of Experience]]&lt;=15),1,""))</f>
        <v/>
      </c>
      <c r="R1014" t="str">
        <f>IF(tblSalaries[[#This Row],[Years of Experience]]="","",IF(AND(tblSalaries[[#This Row],[Years of Experience]]&gt;16,tblSalaries[[#This Row],[Years of Experience]]&lt;=20),1,""))</f>
        <v/>
      </c>
      <c r="S1014" t="str">
        <f>IF(tblSalaries[[#This Row],[Years of Experience]]="","",IF(tblSalaries[[#This Row],[Years of Experience]]&gt;20,1,""))</f>
        <v/>
      </c>
      <c r="T10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14" s="13" t="str">
        <f>IF(tblSalaries[[#This Row],[Job Type]]=tblSalaries[[#Headers],[Accountant]],tblSalaries[[#This Row],[Salary in USD]],"")</f>
        <v/>
      </c>
      <c r="V1014" s="13" t="str">
        <f>IF(tblSalaries[[#This Row],[Job Type]]=tblSalaries[[#Headers],[Analyst]],tblSalaries[[#This Row],[Salary in USD]],"")</f>
        <v/>
      </c>
      <c r="W1014" s="13" t="str">
        <f>IF(tblSalaries[[#This Row],[Job Type]]=tblSalaries[[#Headers],[Consultant]],tblSalaries[[#This Row],[Salary in USD]],"")</f>
        <v/>
      </c>
      <c r="X1014" s="13" t="str">
        <f>IF(tblSalaries[[#This Row],[Job Type]]=tblSalaries[[#Headers],[Controller]],tblSalaries[[#This Row],[Salary in USD]],"")</f>
        <v/>
      </c>
      <c r="Y1014" s="13" t="str">
        <f>IF(tblSalaries[[#This Row],[Job Type]]=tblSalaries[[#Headers],[CXO or Top Mgmt.]],tblSalaries[[#This Row],[clean Salary (in local currency)]],"")</f>
        <v/>
      </c>
      <c r="Z1014" s="13" t="str">
        <f>IF(tblSalaries[[#This Row],[Job Type]]=tblSalaries[[#Headers],[Engineer]],tblSalaries[[#This Row],[Salary in USD]],"")</f>
        <v/>
      </c>
      <c r="AA1014" s="13">
        <f>IF(tblSalaries[[#This Row],[Job Type]]=tblSalaries[[#Headers],[Manager]],tblSalaries[[#This Row],[Salary in USD]],"")</f>
        <v>4840.0244548604041</v>
      </c>
      <c r="AB1014" s="13" t="str">
        <f>IF(tblSalaries[[#This Row],[Job Type]]=tblSalaries[[#Headers],[Misc.]],tblSalaries[[#This Row],[Salary in USD]],"")</f>
        <v/>
      </c>
      <c r="AC1014" s="13" t="str">
        <f>IF(tblSalaries[[#This Row],[Job Type]]=tblSalaries[[#Headers],[Reporting]],tblSalaries[[#This Row],[Salary in USD]],"")</f>
        <v/>
      </c>
      <c r="AD1014" s="13" t="str">
        <f>IF(tblSalaries[[#This Row],[Job Type]]=tblSalaries[[#Headers],[Specialist]],tblSalaries[[#This Row],[Salary in USD]],"")</f>
        <v/>
      </c>
    </row>
    <row r="1015" spans="2:30" ht="15" customHeight="1" x14ac:dyDescent="0.25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 s="9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  <c r="N1015" t="str">
        <f>IF(tblSalaries[[#This Row],[Years of Experience]]="","",IF(tblSalaries[[#This Row],[Years of Experience]]&lt;=2,1,""))</f>
        <v/>
      </c>
      <c r="O1015" t="str">
        <f>IF(tblSalaries[[#This Row],[Years of Experience]]="","",IF(AND(tblSalaries[[#This Row],[Years of Experience]]&gt;2,tblSalaries[[#This Row],[Years of Experience]]&lt;=5),1,""))</f>
        <v/>
      </c>
      <c r="P1015">
        <f>IF(tblSalaries[[#This Row],[Years of Experience]]="","",IF(AND(tblSalaries[[#This Row],[Years of Experience]]&gt;5,tblSalaries[[#This Row],[Years of Experience]]&lt;=10),1,""))</f>
        <v>1</v>
      </c>
      <c r="Q1015" t="str">
        <f>IF(tblSalaries[[#This Row],[Years of Experience]]="","",IF(AND(tblSalaries[[#This Row],[Years of Experience]]&gt;10,tblSalaries[[#This Row],[Years of Experience]]&lt;=15),1,""))</f>
        <v/>
      </c>
      <c r="R1015" t="str">
        <f>IF(tblSalaries[[#This Row],[Years of Experience]]="","",IF(AND(tblSalaries[[#This Row],[Years of Experience]]&gt;16,tblSalaries[[#This Row],[Years of Experience]]&lt;=20),1,""))</f>
        <v/>
      </c>
      <c r="S1015" t="str">
        <f>IF(tblSalaries[[#This Row],[Years of Experience]]="","",IF(tblSalaries[[#This Row],[Years of Experience]]&gt;20,1,""))</f>
        <v/>
      </c>
      <c r="T10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15" s="13" t="str">
        <f>IF(tblSalaries[[#This Row],[Job Type]]=tblSalaries[[#Headers],[Accountant]],tblSalaries[[#This Row],[Salary in USD]],"")</f>
        <v/>
      </c>
      <c r="V1015" s="13">
        <f>IF(tblSalaries[[#This Row],[Job Type]]=tblSalaries[[#Headers],[Analyst]],tblSalaries[[#This Row],[Salary in USD]],"")</f>
        <v>7479.3250087258784</v>
      </c>
      <c r="W1015" s="13" t="str">
        <f>IF(tblSalaries[[#This Row],[Job Type]]=tblSalaries[[#Headers],[Consultant]],tblSalaries[[#This Row],[Salary in USD]],"")</f>
        <v/>
      </c>
      <c r="X1015" s="13" t="str">
        <f>IF(tblSalaries[[#This Row],[Job Type]]=tblSalaries[[#Headers],[Controller]],tblSalaries[[#This Row],[Salary in USD]],"")</f>
        <v/>
      </c>
      <c r="Y1015" s="13" t="str">
        <f>IF(tblSalaries[[#This Row],[Job Type]]=tblSalaries[[#Headers],[CXO or Top Mgmt.]],tblSalaries[[#This Row],[clean Salary (in local currency)]],"")</f>
        <v/>
      </c>
      <c r="Z1015" s="13" t="str">
        <f>IF(tblSalaries[[#This Row],[Job Type]]=tblSalaries[[#Headers],[Engineer]],tblSalaries[[#This Row],[Salary in USD]],"")</f>
        <v/>
      </c>
      <c r="AA1015" s="13" t="str">
        <f>IF(tblSalaries[[#This Row],[Job Type]]=tblSalaries[[#Headers],[Manager]],tblSalaries[[#This Row],[Salary in USD]],"")</f>
        <v/>
      </c>
      <c r="AB1015" s="13" t="str">
        <f>IF(tblSalaries[[#This Row],[Job Type]]=tblSalaries[[#Headers],[Misc.]],tblSalaries[[#This Row],[Salary in USD]],"")</f>
        <v/>
      </c>
      <c r="AC1015" s="13" t="str">
        <f>IF(tblSalaries[[#This Row],[Job Type]]=tblSalaries[[#Headers],[Reporting]],tblSalaries[[#This Row],[Salary in USD]],"")</f>
        <v/>
      </c>
      <c r="AD1015" s="13" t="str">
        <f>IF(tblSalaries[[#This Row],[Job Type]]=tblSalaries[[#Headers],[Specialist]],tblSalaries[[#This Row],[Salary in USD]],"")</f>
        <v/>
      </c>
    </row>
    <row r="1016" spans="2:30" ht="15" customHeight="1" x14ac:dyDescent="0.25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 s="9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3999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  <c r="N1016" t="str">
        <f>IF(tblSalaries[[#This Row],[Years of Experience]]="","",IF(tblSalaries[[#This Row],[Years of Experience]]&lt;=2,1,""))</f>
        <v/>
      </c>
      <c r="O1016">
        <f>IF(tblSalaries[[#This Row],[Years of Experience]]="","",IF(AND(tblSalaries[[#This Row],[Years of Experience]]&gt;2,tblSalaries[[#This Row],[Years of Experience]]&lt;=5),1,""))</f>
        <v>1</v>
      </c>
      <c r="P1016" t="str">
        <f>IF(tblSalaries[[#This Row],[Years of Experience]]="","",IF(AND(tblSalaries[[#This Row],[Years of Experience]]&gt;5,tblSalaries[[#This Row],[Years of Experience]]&lt;=10),1,""))</f>
        <v/>
      </c>
      <c r="Q1016" t="str">
        <f>IF(tblSalaries[[#This Row],[Years of Experience]]="","",IF(AND(tblSalaries[[#This Row],[Years of Experience]]&gt;10,tblSalaries[[#This Row],[Years of Experience]]&lt;=15),1,""))</f>
        <v/>
      </c>
      <c r="R1016" t="str">
        <f>IF(tblSalaries[[#This Row],[Years of Experience]]="","",IF(AND(tblSalaries[[#This Row],[Years of Experience]]&gt;16,tblSalaries[[#This Row],[Years of Experience]]&lt;=20),1,""))</f>
        <v/>
      </c>
      <c r="S1016" t="str">
        <f>IF(tblSalaries[[#This Row],[Years of Experience]]="","",IF(tblSalaries[[#This Row],[Years of Experience]]&gt;20,1,""))</f>
        <v/>
      </c>
      <c r="T10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6" s="13" t="str">
        <f>IF(tblSalaries[[#This Row],[Job Type]]=tblSalaries[[#Headers],[Accountant]],tblSalaries[[#This Row],[Salary in USD]],"")</f>
        <v/>
      </c>
      <c r="V1016" s="13" t="str">
        <f>IF(tblSalaries[[#This Row],[Job Type]]=tblSalaries[[#Headers],[Analyst]],tblSalaries[[#This Row],[Salary in USD]],"")</f>
        <v/>
      </c>
      <c r="W1016" s="13" t="str">
        <f>IF(tblSalaries[[#This Row],[Job Type]]=tblSalaries[[#Headers],[Consultant]],tblSalaries[[#This Row],[Salary in USD]],"")</f>
        <v/>
      </c>
      <c r="X1016" s="13" t="str">
        <f>IF(tblSalaries[[#This Row],[Job Type]]=tblSalaries[[#Headers],[Controller]],tblSalaries[[#This Row],[Salary in USD]],"")</f>
        <v/>
      </c>
      <c r="Y1016" s="13" t="str">
        <f>IF(tblSalaries[[#This Row],[Job Type]]=tblSalaries[[#Headers],[CXO or Top Mgmt.]],tblSalaries[[#This Row],[clean Salary (in local currency)]],"")</f>
        <v/>
      </c>
      <c r="Z1016" s="13" t="str">
        <f>IF(tblSalaries[[#This Row],[Job Type]]=tblSalaries[[#Headers],[Engineer]],tblSalaries[[#This Row],[Salary in USD]],"")</f>
        <v/>
      </c>
      <c r="AA1016" s="13" t="str">
        <f>IF(tblSalaries[[#This Row],[Job Type]]=tblSalaries[[#Headers],[Manager]],tblSalaries[[#This Row],[Salary in USD]],"")</f>
        <v/>
      </c>
      <c r="AB1016" s="13" t="str">
        <f>IF(tblSalaries[[#This Row],[Job Type]]=tblSalaries[[#Headers],[Misc.]],tblSalaries[[#This Row],[Salary in USD]],"")</f>
        <v/>
      </c>
      <c r="AC1016" s="13">
        <f>IF(tblSalaries[[#This Row],[Job Type]]=tblSalaries[[#Headers],[Reporting]],tblSalaries[[#This Row],[Salary in USD]],"")</f>
        <v>3739.6625043629392</v>
      </c>
      <c r="AD1016" s="13" t="str">
        <f>IF(tblSalaries[[#This Row],[Job Type]]=tblSalaries[[#Headers],[Specialist]],tblSalaries[[#This Row],[Salary in USD]],"")</f>
        <v/>
      </c>
    </row>
    <row r="1017" spans="2:30" ht="15" customHeight="1" x14ac:dyDescent="0.25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 s="9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  <c r="N1017" t="str">
        <f>IF(tblSalaries[[#This Row],[Years of Experience]]="","",IF(tblSalaries[[#This Row],[Years of Experience]]&lt;=2,1,""))</f>
        <v/>
      </c>
      <c r="O1017">
        <f>IF(tblSalaries[[#This Row],[Years of Experience]]="","",IF(AND(tblSalaries[[#This Row],[Years of Experience]]&gt;2,tblSalaries[[#This Row],[Years of Experience]]&lt;=5),1,""))</f>
        <v>1</v>
      </c>
      <c r="P1017" t="str">
        <f>IF(tblSalaries[[#This Row],[Years of Experience]]="","",IF(AND(tblSalaries[[#This Row],[Years of Experience]]&gt;5,tblSalaries[[#This Row],[Years of Experience]]&lt;=10),1,""))</f>
        <v/>
      </c>
      <c r="Q1017" t="str">
        <f>IF(tblSalaries[[#This Row],[Years of Experience]]="","",IF(AND(tblSalaries[[#This Row],[Years of Experience]]&gt;10,tblSalaries[[#This Row],[Years of Experience]]&lt;=15),1,""))</f>
        <v/>
      </c>
      <c r="R1017" t="str">
        <f>IF(tblSalaries[[#This Row],[Years of Experience]]="","",IF(AND(tblSalaries[[#This Row],[Years of Experience]]&gt;16,tblSalaries[[#This Row],[Years of Experience]]&lt;=20),1,""))</f>
        <v/>
      </c>
      <c r="S1017" t="str">
        <f>IF(tblSalaries[[#This Row],[Years of Experience]]="","",IF(tblSalaries[[#This Row],[Years of Experience]]&gt;20,1,""))</f>
        <v/>
      </c>
      <c r="T10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7" s="13" t="str">
        <f>IF(tblSalaries[[#This Row],[Job Type]]=tblSalaries[[#Headers],[Accountant]],tblSalaries[[#This Row],[Salary in USD]],"")</f>
        <v/>
      </c>
      <c r="V1017" s="13" t="str">
        <f>IF(tblSalaries[[#This Row],[Job Type]]=tblSalaries[[#Headers],[Analyst]],tblSalaries[[#This Row],[Salary in USD]],"")</f>
        <v/>
      </c>
      <c r="W1017" s="13" t="str">
        <f>IF(tblSalaries[[#This Row],[Job Type]]=tblSalaries[[#Headers],[Consultant]],tblSalaries[[#This Row],[Salary in USD]],"")</f>
        <v/>
      </c>
      <c r="X1017" s="13" t="str">
        <f>IF(tblSalaries[[#This Row],[Job Type]]=tblSalaries[[#Headers],[Controller]],tblSalaries[[#This Row],[Salary in USD]],"")</f>
        <v/>
      </c>
      <c r="Y1017" s="13" t="str">
        <f>IF(tblSalaries[[#This Row],[Job Type]]=tblSalaries[[#Headers],[CXO or Top Mgmt.]],tblSalaries[[#This Row],[clean Salary (in local currency)]],"")</f>
        <v/>
      </c>
      <c r="Z1017" s="13" t="str">
        <f>IF(tblSalaries[[#This Row],[Job Type]]=tblSalaries[[#Headers],[Engineer]],tblSalaries[[#This Row],[Salary in USD]],"")</f>
        <v/>
      </c>
      <c r="AA1017" s="13">
        <f>IF(tblSalaries[[#This Row],[Job Type]]=tblSalaries[[#Headers],[Manager]],tblSalaries[[#This Row],[Salary in USD]],"")</f>
        <v>42000</v>
      </c>
      <c r="AB1017" s="13" t="str">
        <f>IF(tblSalaries[[#This Row],[Job Type]]=tblSalaries[[#Headers],[Misc.]],tblSalaries[[#This Row],[Salary in USD]],"")</f>
        <v/>
      </c>
      <c r="AC1017" s="13" t="str">
        <f>IF(tblSalaries[[#This Row],[Job Type]]=tblSalaries[[#Headers],[Reporting]],tblSalaries[[#This Row],[Salary in USD]],"")</f>
        <v/>
      </c>
      <c r="AD1017" s="13" t="str">
        <f>IF(tblSalaries[[#This Row],[Job Type]]=tblSalaries[[#Headers],[Specialist]],tblSalaries[[#This Row],[Salary in USD]],"")</f>
        <v/>
      </c>
    </row>
    <row r="1018" spans="2:30" ht="15" customHeight="1" x14ac:dyDescent="0.25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 s="9">
        <f>tblSalaries[[#This Row],[clean Salary (in local currency)]]*VLOOKUP(tblSalaries[[#This Row],[Currency]],tblXrate[],2,FALSE)</f>
        <v>28000</v>
      </c>
      <c r="H1018" t="s">
        <v>1082</v>
      </c>
      <c r="I1018" t="s">
        <v>3999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  <c r="N1018" t="str">
        <f>IF(tblSalaries[[#This Row],[Years of Experience]]="","",IF(tblSalaries[[#This Row],[Years of Experience]]&lt;=2,1,""))</f>
        <v/>
      </c>
      <c r="O1018">
        <f>IF(tblSalaries[[#This Row],[Years of Experience]]="","",IF(AND(tblSalaries[[#This Row],[Years of Experience]]&gt;2,tblSalaries[[#This Row],[Years of Experience]]&lt;=5),1,""))</f>
        <v>1</v>
      </c>
      <c r="P1018" t="str">
        <f>IF(tblSalaries[[#This Row],[Years of Experience]]="","",IF(AND(tblSalaries[[#This Row],[Years of Experience]]&gt;5,tblSalaries[[#This Row],[Years of Experience]]&lt;=10),1,""))</f>
        <v/>
      </c>
      <c r="Q1018" t="str">
        <f>IF(tblSalaries[[#This Row],[Years of Experience]]="","",IF(AND(tblSalaries[[#This Row],[Years of Experience]]&gt;10,tblSalaries[[#This Row],[Years of Experience]]&lt;=15),1,""))</f>
        <v/>
      </c>
      <c r="R1018" t="str">
        <f>IF(tblSalaries[[#This Row],[Years of Experience]]="","",IF(AND(tblSalaries[[#This Row],[Years of Experience]]&gt;16,tblSalaries[[#This Row],[Years of Experience]]&lt;=20),1,""))</f>
        <v/>
      </c>
      <c r="S1018" t="str">
        <f>IF(tblSalaries[[#This Row],[Years of Experience]]="","",IF(tblSalaries[[#This Row],[Years of Experience]]&gt;20,1,""))</f>
        <v/>
      </c>
      <c r="T10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8" s="13" t="str">
        <f>IF(tblSalaries[[#This Row],[Job Type]]=tblSalaries[[#Headers],[Accountant]],tblSalaries[[#This Row],[Salary in USD]],"")</f>
        <v/>
      </c>
      <c r="V1018" s="13" t="str">
        <f>IF(tblSalaries[[#This Row],[Job Type]]=tblSalaries[[#Headers],[Analyst]],tblSalaries[[#This Row],[Salary in USD]],"")</f>
        <v/>
      </c>
      <c r="W1018" s="13" t="str">
        <f>IF(tblSalaries[[#This Row],[Job Type]]=tblSalaries[[#Headers],[Consultant]],tblSalaries[[#This Row],[Salary in USD]],"")</f>
        <v/>
      </c>
      <c r="X1018" s="13" t="str">
        <f>IF(tblSalaries[[#This Row],[Job Type]]=tblSalaries[[#Headers],[Controller]],tblSalaries[[#This Row],[Salary in USD]],"")</f>
        <v/>
      </c>
      <c r="Y1018" s="13" t="str">
        <f>IF(tblSalaries[[#This Row],[Job Type]]=tblSalaries[[#Headers],[CXO or Top Mgmt.]],tblSalaries[[#This Row],[clean Salary (in local currency)]],"")</f>
        <v/>
      </c>
      <c r="Z1018" s="13" t="str">
        <f>IF(tblSalaries[[#This Row],[Job Type]]=tblSalaries[[#Headers],[Engineer]],tblSalaries[[#This Row],[Salary in USD]],"")</f>
        <v/>
      </c>
      <c r="AA1018" s="13" t="str">
        <f>IF(tblSalaries[[#This Row],[Job Type]]=tblSalaries[[#Headers],[Manager]],tblSalaries[[#This Row],[Salary in USD]],"")</f>
        <v/>
      </c>
      <c r="AB1018" s="13" t="str">
        <f>IF(tblSalaries[[#This Row],[Job Type]]=tblSalaries[[#Headers],[Misc.]],tblSalaries[[#This Row],[Salary in USD]],"")</f>
        <v/>
      </c>
      <c r="AC1018" s="13">
        <f>IF(tblSalaries[[#This Row],[Job Type]]=tblSalaries[[#Headers],[Reporting]],tblSalaries[[#This Row],[Salary in USD]],"")</f>
        <v>28000</v>
      </c>
      <c r="AD1018" s="13" t="str">
        <f>IF(tblSalaries[[#This Row],[Job Type]]=tblSalaries[[#Headers],[Specialist]],tblSalaries[[#This Row],[Salary in USD]],"")</f>
        <v/>
      </c>
    </row>
    <row r="1019" spans="2:30" ht="15" customHeight="1" x14ac:dyDescent="0.25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 s="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  <c r="N1019" t="str">
        <f>IF(tblSalaries[[#This Row],[Years of Experience]]="","",IF(tblSalaries[[#This Row],[Years of Experience]]&lt;=2,1,""))</f>
        <v/>
      </c>
      <c r="O1019">
        <f>IF(tblSalaries[[#This Row],[Years of Experience]]="","",IF(AND(tblSalaries[[#This Row],[Years of Experience]]&gt;2,tblSalaries[[#This Row],[Years of Experience]]&lt;=5),1,""))</f>
        <v>1</v>
      </c>
      <c r="P1019" t="str">
        <f>IF(tblSalaries[[#This Row],[Years of Experience]]="","",IF(AND(tblSalaries[[#This Row],[Years of Experience]]&gt;5,tblSalaries[[#This Row],[Years of Experience]]&lt;=10),1,""))</f>
        <v/>
      </c>
      <c r="Q1019" t="str">
        <f>IF(tblSalaries[[#This Row],[Years of Experience]]="","",IF(AND(tblSalaries[[#This Row],[Years of Experience]]&gt;10,tblSalaries[[#This Row],[Years of Experience]]&lt;=15),1,""))</f>
        <v/>
      </c>
      <c r="R1019" t="str">
        <f>IF(tblSalaries[[#This Row],[Years of Experience]]="","",IF(AND(tblSalaries[[#This Row],[Years of Experience]]&gt;16,tblSalaries[[#This Row],[Years of Experience]]&lt;=20),1,""))</f>
        <v/>
      </c>
      <c r="S1019" t="str">
        <f>IF(tblSalaries[[#This Row],[Years of Experience]]="","",IF(tblSalaries[[#This Row],[Years of Experience]]&gt;20,1,""))</f>
        <v/>
      </c>
      <c r="T10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19" s="13" t="str">
        <f>IF(tblSalaries[[#This Row],[Job Type]]=tblSalaries[[#Headers],[Accountant]],tblSalaries[[#This Row],[Salary in USD]],"")</f>
        <v/>
      </c>
      <c r="V1019" s="13" t="str">
        <f>IF(tblSalaries[[#This Row],[Job Type]]=tblSalaries[[#Headers],[Analyst]],tblSalaries[[#This Row],[Salary in USD]],"")</f>
        <v/>
      </c>
      <c r="W1019" s="13" t="str">
        <f>IF(tblSalaries[[#This Row],[Job Type]]=tblSalaries[[#Headers],[Consultant]],tblSalaries[[#This Row],[Salary in USD]],"")</f>
        <v/>
      </c>
      <c r="X1019" s="13" t="str">
        <f>IF(tblSalaries[[#This Row],[Job Type]]=tblSalaries[[#Headers],[Controller]],tblSalaries[[#This Row],[Salary in USD]],"")</f>
        <v/>
      </c>
      <c r="Y1019" s="13" t="str">
        <f>IF(tblSalaries[[#This Row],[Job Type]]=tblSalaries[[#Headers],[CXO or Top Mgmt.]],tblSalaries[[#This Row],[clean Salary (in local currency)]],"")</f>
        <v/>
      </c>
      <c r="Z1019" s="13" t="str">
        <f>IF(tblSalaries[[#This Row],[Job Type]]=tblSalaries[[#Headers],[Engineer]],tblSalaries[[#This Row],[Salary in USD]],"")</f>
        <v/>
      </c>
      <c r="AA1019" s="13">
        <f>IF(tblSalaries[[#This Row],[Job Type]]=tblSalaries[[#Headers],[Manager]],tblSalaries[[#This Row],[Salary in USD]],"")</f>
        <v>6000</v>
      </c>
      <c r="AB1019" s="13" t="str">
        <f>IF(tblSalaries[[#This Row],[Job Type]]=tblSalaries[[#Headers],[Misc.]],tblSalaries[[#This Row],[Salary in USD]],"")</f>
        <v/>
      </c>
      <c r="AC1019" s="13" t="str">
        <f>IF(tblSalaries[[#This Row],[Job Type]]=tblSalaries[[#Headers],[Reporting]],tblSalaries[[#This Row],[Salary in USD]],"")</f>
        <v/>
      </c>
      <c r="AD1019" s="13" t="str">
        <f>IF(tblSalaries[[#This Row],[Job Type]]=tblSalaries[[#Headers],[Specialist]],tblSalaries[[#This Row],[Salary in USD]],"")</f>
        <v/>
      </c>
    </row>
    <row r="1020" spans="2:30" ht="15" customHeight="1" x14ac:dyDescent="0.25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 s="9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  <c r="N1020" t="str">
        <f>IF(tblSalaries[[#This Row],[Years of Experience]]="","",IF(tblSalaries[[#This Row],[Years of Experience]]&lt;=2,1,""))</f>
        <v/>
      </c>
      <c r="O1020" t="str">
        <f>IF(tblSalaries[[#This Row],[Years of Experience]]="","",IF(AND(tblSalaries[[#This Row],[Years of Experience]]&gt;2,tblSalaries[[#This Row],[Years of Experience]]&lt;=5),1,""))</f>
        <v/>
      </c>
      <c r="P1020">
        <f>IF(tblSalaries[[#This Row],[Years of Experience]]="","",IF(AND(tblSalaries[[#This Row],[Years of Experience]]&gt;5,tblSalaries[[#This Row],[Years of Experience]]&lt;=10),1,""))</f>
        <v>1</v>
      </c>
      <c r="Q1020" t="str">
        <f>IF(tblSalaries[[#This Row],[Years of Experience]]="","",IF(AND(tblSalaries[[#This Row],[Years of Experience]]&gt;10,tblSalaries[[#This Row],[Years of Experience]]&lt;=15),1,""))</f>
        <v/>
      </c>
      <c r="R1020" t="str">
        <f>IF(tblSalaries[[#This Row],[Years of Experience]]="","",IF(AND(tblSalaries[[#This Row],[Years of Experience]]&gt;16,tblSalaries[[#This Row],[Years of Experience]]&lt;=20),1,""))</f>
        <v/>
      </c>
      <c r="S1020" t="str">
        <f>IF(tblSalaries[[#This Row],[Years of Experience]]="","",IF(tblSalaries[[#This Row],[Years of Experience]]&gt;20,1,""))</f>
        <v/>
      </c>
      <c r="T10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20" s="13" t="str">
        <f>IF(tblSalaries[[#This Row],[Job Type]]=tblSalaries[[#Headers],[Accountant]],tblSalaries[[#This Row],[Salary in USD]],"")</f>
        <v/>
      </c>
      <c r="V1020" s="13">
        <f>IF(tblSalaries[[#This Row],[Job Type]]=tblSalaries[[#Headers],[Analyst]],tblSalaries[[#This Row],[Salary in USD]],"")</f>
        <v>43867.345148271634</v>
      </c>
      <c r="W1020" s="13" t="str">
        <f>IF(tblSalaries[[#This Row],[Job Type]]=tblSalaries[[#Headers],[Consultant]],tblSalaries[[#This Row],[Salary in USD]],"")</f>
        <v/>
      </c>
      <c r="X1020" s="13" t="str">
        <f>IF(tblSalaries[[#This Row],[Job Type]]=tblSalaries[[#Headers],[Controller]],tblSalaries[[#This Row],[Salary in USD]],"")</f>
        <v/>
      </c>
      <c r="Y1020" s="13" t="str">
        <f>IF(tblSalaries[[#This Row],[Job Type]]=tblSalaries[[#Headers],[CXO or Top Mgmt.]],tblSalaries[[#This Row],[clean Salary (in local currency)]],"")</f>
        <v/>
      </c>
      <c r="Z1020" s="13" t="str">
        <f>IF(tblSalaries[[#This Row],[Job Type]]=tblSalaries[[#Headers],[Engineer]],tblSalaries[[#This Row],[Salary in USD]],"")</f>
        <v/>
      </c>
      <c r="AA1020" s="13" t="str">
        <f>IF(tblSalaries[[#This Row],[Job Type]]=tblSalaries[[#Headers],[Manager]],tblSalaries[[#This Row],[Salary in USD]],"")</f>
        <v/>
      </c>
      <c r="AB1020" s="13" t="str">
        <f>IF(tblSalaries[[#This Row],[Job Type]]=tblSalaries[[#Headers],[Misc.]],tblSalaries[[#This Row],[Salary in USD]],"")</f>
        <v/>
      </c>
      <c r="AC1020" s="13" t="str">
        <f>IF(tblSalaries[[#This Row],[Job Type]]=tblSalaries[[#Headers],[Reporting]],tblSalaries[[#This Row],[Salary in USD]],"")</f>
        <v/>
      </c>
      <c r="AD1020" s="13" t="str">
        <f>IF(tblSalaries[[#This Row],[Job Type]]=tblSalaries[[#Headers],[Specialist]],tblSalaries[[#This Row],[Salary in USD]],"")</f>
        <v/>
      </c>
    </row>
    <row r="1021" spans="2:30" ht="15" customHeight="1" x14ac:dyDescent="0.25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 s="9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  <c r="N1021" t="str">
        <f>IF(tblSalaries[[#This Row],[Years of Experience]]="","",IF(tblSalaries[[#This Row],[Years of Experience]]&lt;=2,1,""))</f>
        <v/>
      </c>
      <c r="O1021" t="str">
        <f>IF(tblSalaries[[#This Row],[Years of Experience]]="","",IF(AND(tblSalaries[[#This Row],[Years of Experience]]&gt;2,tblSalaries[[#This Row],[Years of Experience]]&lt;=5),1,""))</f>
        <v/>
      </c>
      <c r="P1021" t="str">
        <f>IF(tblSalaries[[#This Row],[Years of Experience]]="","",IF(AND(tblSalaries[[#This Row],[Years of Experience]]&gt;5,tblSalaries[[#This Row],[Years of Experience]]&lt;=10),1,""))</f>
        <v/>
      </c>
      <c r="Q1021" t="str">
        <f>IF(tblSalaries[[#This Row],[Years of Experience]]="","",IF(AND(tblSalaries[[#This Row],[Years of Experience]]&gt;10,tblSalaries[[#This Row],[Years of Experience]]&lt;=15),1,""))</f>
        <v/>
      </c>
      <c r="R1021" t="str">
        <f>IF(tblSalaries[[#This Row],[Years of Experience]]="","",IF(AND(tblSalaries[[#This Row],[Years of Experience]]&gt;16,tblSalaries[[#This Row],[Years of Experience]]&lt;=20),1,""))</f>
        <v/>
      </c>
      <c r="S1021">
        <f>IF(tblSalaries[[#This Row],[Years of Experience]]="","",IF(tblSalaries[[#This Row],[Years of Experience]]&gt;20,1,""))</f>
        <v>1</v>
      </c>
      <c r="T10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21" s="13" t="str">
        <f>IF(tblSalaries[[#This Row],[Job Type]]=tblSalaries[[#Headers],[Accountant]],tblSalaries[[#This Row],[Salary in USD]],"")</f>
        <v/>
      </c>
      <c r="V1021" s="13">
        <f>IF(tblSalaries[[#This Row],[Job Type]]=tblSalaries[[#Headers],[Analyst]],tblSalaries[[#This Row],[Salary in USD]],"")</f>
        <v>17807.916687442568</v>
      </c>
      <c r="W1021" s="13" t="str">
        <f>IF(tblSalaries[[#This Row],[Job Type]]=tblSalaries[[#Headers],[Consultant]],tblSalaries[[#This Row],[Salary in USD]],"")</f>
        <v/>
      </c>
      <c r="X1021" s="13" t="str">
        <f>IF(tblSalaries[[#This Row],[Job Type]]=tblSalaries[[#Headers],[Controller]],tblSalaries[[#This Row],[Salary in USD]],"")</f>
        <v/>
      </c>
      <c r="Y1021" s="13" t="str">
        <f>IF(tblSalaries[[#This Row],[Job Type]]=tblSalaries[[#Headers],[CXO or Top Mgmt.]],tblSalaries[[#This Row],[clean Salary (in local currency)]],"")</f>
        <v/>
      </c>
      <c r="Z1021" s="13" t="str">
        <f>IF(tblSalaries[[#This Row],[Job Type]]=tblSalaries[[#Headers],[Engineer]],tblSalaries[[#This Row],[Salary in USD]],"")</f>
        <v/>
      </c>
      <c r="AA1021" s="13" t="str">
        <f>IF(tblSalaries[[#This Row],[Job Type]]=tblSalaries[[#Headers],[Manager]],tblSalaries[[#This Row],[Salary in USD]],"")</f>
        <v/>
      </c>
      <c r="AB1021" s="13" t="str">
        <f>IF(tblSalaries[[#This Row],[Job Type]]=tblSalaries[[#Headers],[Misc.]],tblSalaries[[#This Row],[Salary in USD]],"")</f>
        <v/>
      </c>
      <c r="AC1021" s="13" t="str">
        <f>IF(tblSalaries[[#This Row],[Job Type]]=tblSalaries[[#Headers],[Reporting]],tblSalaries[[#This Row],[Salary in USD]],"")</f>
        <v/>
      </c>
      <c r="AD1021" s="13" t="str">
        <f>IF(tblSalaries[[#This Row],[Job Type]]=tblSalaries[[#Headers],[Specialist]],tblSalaries[[#This Row],[Salary in USD]],"")</f>
        <v/>
      </c>
    </row>
    <row r="1022" spans="2:30" ht="15" customHeight="1" x14ac:dyDescent="0.25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 s="9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  <c r="N1022" t="str">
        <f>IF(tblSalaries[[#This Row],[Years of Experience]]="","",IF(tblSalaries[[#This Row],[Years of Experience]]&lt;=2,1,""))</f>
        <v/>
      </c>
      <c r="O1022" t="str">
        <f>IF(tblSalaries[[#This Row],[Years of Experience]]="","",IF(AND(tblSalaries[[#This Row],[Years of Experience]]&gt;2,tblSalaries[[#This Row],[Years of Experience]]&lt;=5),1,""))</f>
        <v/>
      </c>
      <c r="P1022" t="str">
        <f>IF(tblSalaries[[#This Row],[Years of Experience]]="","",IF(AND(tblSalaries[[#This Row],[Years of Experience]]&gt;5,tblSalaries[[#This Row],[Years of Experience]]&lt;=10),1,""))</f>
        <v/>
      </c>
      <c r="Q1022">
        <f>IF(tblSalaries[[#This Row],[Years of Experience]]="","",IF(AND(tblSalaries[[#This Row],[Years of Experience]]&gt;10,tblSalaries[[#This Row],[Years of Experience]]&lt;=15),1,""))</f>
        <v>1</v>
      </c>
      <c r="R1022" t="str">
        <f>IF(tblSalaries[[#This Row],[Years of Experience]]="","",IF(AND(tblSalaries[[#This Row],[Years of Experience]]&gt;16,tblSalaries[[#This Row],[Years of Experience]]&lt;=20),1,""))</f>
        <v/>
      </c>
      <c r="S1022" t="str">
        <f>IF(tblSalaries[[#This Row],[Years of Experience]]="","",IF(tblSalaries[[#This Row],[Years of Experience]]&gt;20,1,""))</f>
        <v/>
      </c>
      <c r="T10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22" s="13" t="str">
        <f>IF(tblSalaries[[#This Row],[Job Type]]=tblSalaries[[#Headers],[Accountant]],tblSalaries[[#This Row],[Salary in USD]],"")</f>
        <v/>
      </c>
      <c r="V1022" s="13">
        <f>IF(tblSalaries[[#This Row],[Job Type]]=tblSalaries[[#Headers],[Analyst]],tblSalaries[[#This Row],[Salary in USD]],"")</f>
        <v>10684.750012465542</v>
      </c>
      <c r="W1022" s="13" t="str">
        <f>IF(tblSalaries[[#This Row],[Job Type]]=tblSalaries[[#Headers],[Consultant]],tblSalaries[[#This Row],[Salary in USD]],"")</f>
        <v/>
      </c>
      <c r="X1022" s="13" t="str">
        <f>IF(tblSalaries[[#This Row],[Job Type]]=tblSalaries[[#Headers],[Controller]],tblSalaries[[#This Row],[Salary in USD]],"")</f>
        <v/>
      </c>
      <c r="Y1022" s="13" t="str">
        <f>IF(tblSalaries[[#This Row],[Job Type]]=tblSalaries[[#Headers],[CXO or Top Mgmt.]],tblSalaries[[#This Row],[clean Salary (in local currency)]],"")</f>
        <v/>
      </c>
      <c r="Z1022" s="13" t="str">
        <f>IF(tblSalaries[[#This Row],[Job Type]]=tblSalaries[[#Headers],[Engineer]],tblSalaries[[#This Row],[Salary in USD]],"")</f>
        <v/>
      </c>
      <c r="AA1022" s="13" t="str">
        <f>IF(tblSalaries[[#This Row],[Job Type]]=tblSalaries[[#Headers],[Manager]],tblSalaries[[#This Row],[Salary in USD]],"")</f>
        <v/>
      </c>
      <c r="AB1022" s="13" t="str">
        <f>IF(tblSalaries[[#This Row],[Job Type]]=tblSalaries[[#Headers],[Misc.]],tblSalaries[[#This Row],[Salary in USD]],"")</f>
        <v/>
      </c>
      <c r="AC1022" s="13" t="str">
        <f>IF(tblSalaries[[#This Row],[Job Type]]=tblSalaries[[#Headers],[Reporting]],tblSalaries[[#This Row],[Salary in USD]],"")</f>
        <v/>
      </c>
      <c r="AD1022" s="13" t="str">
        <f>IF(tblSalaries[[#This Row],[Job Type]]=tblSalaries[[#Headers],[Specialist]],tblSalaries[[#This Row],[Salary in USD]],"")</f>
        <v/>
      </c>
    </row>
    <row r="1023" spans="2:30" ht="15" customHeight="1" x14ac:dyDescent="0.25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 s="9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  <c r="N1023" t="str">
        <f>IF(tblSalaries[[#This Row],[Years of Experience]]="","",IF(tblSalaries[[#This Row],[Years of Experience]]&lt;=2,1,""))</f>
        <v/>
      </c>
      <c r="O1023">
        <f>IF(tblSalaries[[#This Row],[Years of Experience]]="","",IF(AND(tblSalaries[[#This Row],[Years of Experience]]&gt;2,tblSalaries[[#This Row],[Years of Experience]]&lt;=5),1,""))</f>
        <v>1</v>
      </c>
      <c r="P1023" t="str">
        <f>IF(tblSalaries[[#This Row],[Years of Experience]]="","",IF(AND(tblSalaries[[#This Row],[Years of Experience]]&gt;5,tblSalaries[[#This Row],[Years of Experience]]&lt;=10),1,""))</f>
        <v/>
      </c>
      <c r="Q1023" t="str">
        <f>IF(tblSalaries[[#This Row],[Years of Experience]]="","",IF(AND(tblSalaries[[#This Row],[Years of Experience]]&gt;10,tblSalaries[[#This Row],[Years of Experience]]&lt;=15),1,""))</f>
        <v/>
      </c>
      <c r="R1023" t="str">
        <f>IF(tblSalaries[[#This Row],[Years of Experience]]="","",IF(AND(tblSalaries[[#This Row],[Years of Experience]]&gt;16,tblSalaries[[#This Row],[Years of Experience]]&lt;=20),1,""))</f>
        <v/>
      </c>
      <c r="S1023" t="str">
        <f>IF(tblSalaries[[#This Row],[Years of Experience]]="","",IF(tblSalaries[[#This Row],[Years of Experience]]&gt;20,1,""))</f>
        <v/>
      </c>
      <c r="T10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23" s="13" t="str">
        <f>IF(tblSalaries[[#This Row],[Job Type]]=tblSalaries[[#Headers],[Accountant]],tblSalaries[[#This Row],[Salary in USD]],"")</f>
        <v/>
      </c>
      <c r="V1023" s="13" t="str">
        <f>IF(tblSalaries[[#This Row],[Job Type]]=tblSalaries[[#Headers],[Analyst]],tblSalaries[[#This Row],[Salary in USD]],"")</f>
        <v/>
      </c>
      <c r="W1023" s="13">
        <f>IF(tblSalaries[[#This Row],[Job Type]]=tblSalaries[[#Headers],[Consultant]],tblSalaries[[#This Row],[Salary in USD]],"")</f>
        <v>60000</v>
      </c>
      <c r="X1023" s="13" t="str">
        <f>IF(tblSalaries[[#This Row],[Job Type]]=tblSalaries[[#Headers],[Controller]],tblSalaries[[#This Row],[Salary in USD]],"")</f>
        <v/>
      </c>
      <c r="Y1023" s="13" t="str">
        <f>IF(tblSalaries[[#This Row],[Job Type]]=tblSalaries[[#Headers],[CXO or Top Mgmt.]],tblSalaries[[#This Row],[clean Salary (in local currency)]],"")</f>
        <v/>
      </c>
      <c r="Z1023" s="13" t="str">
        <f>IF(tblSalaries[[#This Row],[Job Type]]=tblSalaries[[#Headers],[Engineer]],tblSalaries[[#This Row],[Salary in USD]],"")</f>
        <v/>
      </c>
      <c r="AA1023" s="13" t="str">
        <f>IF(tblSalaries[[#This Row],[Job Type]]=tblSalaries[[#Headers],[Manager]],tblSalaries[[#This Row],[Salary in USD]],"")</f>
        <v/>
      </c>
      <c r="AB1023" s="13" t="str">
        <f>IF(tblSalaries[[#This Row],[Job Type]]=tblSalaries[[#Headers],[Misc.]],tblSalaries[[#This Row],[Salary in USD]],"")</f>
        <v/>
      </c>
      <c r="AC1023" s="13" t="str">
        <f>IF(tblSalaries[[#This Row],[Job Type]]=tblSalaries[[#Headers],[Reporting]],tblSalaries[[#This Row],[Salary in USD]],"")</f>
        <v/>
      </c>
      <c r="AD1023" s="13" t="str">
        <f>IF(tblSalaries[[#This Row],[Job Type]]=tblSalaries[[#Headers],[Specialist]],tblSalaries[[#This Row],[Salary in USD]],"")</f>
        <v/>
      </c>
    </row>
    <row r="1024" spans="2:30" ht="15" customHeight="1" x14ac:dyDescent="0.25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 s="9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3999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  <c r="N1024" t="str">
        <f>IF(tblSalaries[[#This Row],[Years of Experience]]="","",IF(tblSalaries[[#This Row],[Years of Experience]]&lt;=2,1,""))</f>
        <v/>
      </c>
      <c r="O1024" t="str">
        <f>IF(tblSalaries[[#This Row],[Years of Experience]]="","",IF(AND(tblSalaries[[#This Row],[Years of Experience]]&gt;2,tblSalaries[[#This Row],[Years of Experience]]&lt;=5),1,""))</f>
        <v/>
      </c>
      <c r="P1024">
        <f>IF(tblSalaries[[#This Row],[Years of Experience]]="","",IF(AND(tblSalaries[[#This Row],[Years of Experience]]&gt;5,tblSalaries[[#This Row],[Years of Experience]]&lt;=10),1,""))</f>
        <v>1</v>
      </c>
      <c r="Q1024" t="str">
        <f>IF(tblSalaries[[#This Row],[Years of Experience]]="","",IF(AND(tblSalaries[[#This Row],[Years of Experience]]&gt;10,tblSalaries[[#This Row],[Years of Experience]]&lt;=15),1,""))</f>
        <v/>
      </c>
      <c r="R1024" t="str">
        <f>IF(tblSalaries[[#This Row],[Years of Experience]]="","",IF(AND(tblSalaries[[#This Row],[Years of Experience]]&gt;16,tblSalaries[[#This Row],[Years of Experience]]&lt;=20),1,""))</f>
        <v/>
      </c>
      <c r="S1024" t="str">
        <f>IF(tblSalaries[[#This Row],[Years of Experience]]="","",IF(tblSalaries[[#This Row],[Years of Experience]]&gt;20,1,""))</f>
        <v/>
      </c>
      <c r="T10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24" s="13" t="str">
        <f>IF(tblSalaries[[#This Row],[Job Type]]=tblSalaries[[#Headers],[Accountant]],tblSalaries[[#This Row],[Salary in USD]],"")</f>
        <v/>
      </c>
      <c r="V1024" s="13" t="str">
        <f>IF(tblSalaries[[#This Row],[Job Type]]=tblSalaries[[#Headers],[Analyst]],tblSalaries[[#This Row],[Salary in USD]],"")</f>
        <v/>
      </c>
      <c r="W1024" s="13" t="str">
        <f>IF(tblSalaries[[#This Row],[Job Type]]=tblSalaries[[#Headers],[Consultant]],tblSalaries[[#This Row],[Salary in USD]],"")</f>
        <v/>
      </c>
      <c r="X1024" s="13" t="str">
        <f>IF(tblSalaries[[#This Row],[Job Type]]=tblSalaries[[#Headers],[Controller]],tblSalaries[[#This Row],[Salary in USD]],"")</f>
        <v/>
      </c>
      <c r="Y1024" s="13" t="str">
        <f>IF(tblSalaries[[#This Row],[Job Type]]=tblSalaries[[#Headers],[CXO or Top Mgmt.]],tblSalaries[[#This Row],[clean Salary (in local currency)]],"")</f>
        <v/>
      </c>
      <c r="Z1024" s="13" t="str">
        <f>IF(tblSalaries[[#This Row],[Job Type]]=tblSalaries[[#Headers],[Engineer]],tblSalaries[[#This Row],[Salary in USD]],"")</f>
        <v/>
      </c>
      <c r="AA1024" s="13" t="str">
        <f>IF(tblSalaries[[#This Row],[Job Type]]=tblSalaries[[#Headers],[Manager]],tblSalaries[[#This Row],[Salary in USD]],"")</f>
        <v/>
      </c>
      <c r="AB1024" s="13" t="str">
        <f>IF(tblSalaries[[#This Row],[Job Type]]=tblSalaries[[#Headers],[Misc.]],tblSalaries[[#This Row],[Salary in USD]],"")</f>
        <v/>
      </c>
      <c r="AC1024" s="13">
        <f>IF(tblSalaries[[#This Row],[Job Type]]=tblSalaries[[#Headers],[Reporting]],tblSalaries[[#This Row],[Salary in USD]],"")</f>
        <v>8476.5683432226633</v>
      </c>
      <c r="AD1024" s="13" t="str">
        <f>IF(tblSalaries[[#This Row],[Job Type]]=tblSalaries[[#Headers],[Specialist]],tblSalaries[[#This Row],[Salary in USD]],"")</f>
        <v/>
      </c>
    </row>
    <row r="1025" spans="2:30" ht="15" customHeight="1" x14ac:dyDescent="0.25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 s="9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  <c r="N1025" t="str">
        <f>IF(tblSalaries[[#This Row],[Years of Experience]]="","",IF(tblSalaries[[#This Row],[Years of Experience]]&lt;=2,1,""))</f>
        <v/>
      </c>
      <c r="O1025" t="str">
        <f>IF(tblSalaries[[#This Row],[Years of Experience]]="","",IF(AND(tblSalaries[[#This Row],[Years of Experience]]&gt;2,tblSalaries[[#This Row],[Years of Experience]]&lt;=5),1,""))</f>
        <v/>
      </c>
      <c r="P1025">
        <f>IF(tblSalaries[[#This Row],[Years of Experience]]="","",IF(AND(tblSalaries[[#This Row],[Years of Experience]]&gt;5,tblSalaries[[#This Row],[Years of Experience]]&lt;=10),1,""))</f>
        <v>1</v>
      </c>
      <c r="Q1025" t="str">
        <f>IF(tblSalaries[[#This Row],[Years of Experience]]="","",IF(AND(tblSalaries[[#This Row],[Years of Experience]]&gt;10,tblSalaries[[#This Row],[Years of Experience]]&lt;=15),1,""))</f>
        <v/>
      </c>
      <c r="R1025" t="str">
        <f>IF(tblSalaries[[#This Row],[Years of Experience]]="","",IF(AND(tblSalaries[[#This Row],[Years of Experience]]&gt;16,tblSalaries[[#This Row],[Years of Experience]]&lt;=20),1,""))</f>
        <v/>
      </c>
      <c r="S1025" t="str">
        <f>IF(tblSalaries[[#This Row],[Years of Experience]]="","",IF(tblSalaries[[#This Row],[Years of Experience]]&gt;20,1,""))</f>
        <v/>
      </c>
      <c r="T10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25" s="13" t="str">
        <f>IF(tblSalaries[[#This Row],[Job Type]]=tblSalaries[[#Headers],[Accountant]],tblSalaries[[#This Row],[Salary in USD]],"")</f>
        <v/>
      </c>
      <c r="V1025" s="13" t="str">
        <f>IF(tblSalaries[[#This Row],[Job Type]]=tblSalaries[[#Headers],[Analyst]],tblSalaries[[#This Row],[Salary in USD]],"")</f>
        <v/>
      </c>
      <c r="W1025" s="13" t="str">
        <f>IF(tblSalaries[[#This Row],[Job Type]]=tblSalaries[[#Headers],[Consultant]],tblSalaries[[#This Row],[Salary in USD]],"")</f>
        <v/>
      </c>
      <c r="X1025" s="13">
        <f>IF(tblSalaries[[#This Row],[Job Type]]=tblSalaries[[#Headers],[Controller]],tblSalaries[[#This Row],[Salary in USD]],"")</f>
        <v>8700</v>
      </c>
      <c r="Y1025" s="13" t="str">
        <f>IF(tblSalaries[[#This Row],[Job Type]]=tblSalaries[[#Headers],[CXO or Top Mgmt.]],tblSalaries[[#This Row],[clean Salary (in local currency)]],"")</f>
        <v/>
      </c>
      <c r="Z1025" s="13" t="str">
        <f>IF(tblSalaries[[#This Row],[Job Type]]=tblSalaries[[#Headers],[Engineer]],tblSalaries[[#This Row],[Salary in USD]],"")</f>
        <v/>
      </c>
      <c r="AA1025" s="13" t="str">
        <f>IF(tblSalaries[[#This Row],[Job Type]]=tblSalaries[[#Headers],[Manager]],tblSalaries[[#This Row],[Salary in USD]],"")</f>
        <v/>
      </c>
      <c r="AB1025" s="13" t="str">
        <f>IF(tblSalaries[[#This Row],[Job Type]]=tblSalaries[[#Headers],[Misc.]],tblSalaries[[#This Row],[Salary in USD]],"")</f>
        <v/>
      </c>
      <c r="AC1025" s="13" t="str">
        <f>IF(tblSalaries[[#This Row],[Job Type]]=tblSalaries[[#Headers],[Reporting]],tblSalaries[[#This Row],[Salary in USD]],"")</f>
        <v/>
      </c>
      <c r="AD1025" s="13" t="str">
        <f>IF(tblSalaries[[#This Row],[Job Type]]=tblSalaries[[#Headers],[Specialist]],tblSalaries[[#This Row],[Salary in USD]],"")</f>
        <v/>
      </c>
    </row>
    <row r="1026" spans="2:30" ht="15" customHeight="1" x14ac:dyDescent="0.25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 s="9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  <c r="N1026" t="str">
        <f>IF(tblSalaries[[#This Row],[Years of Experience]]="","",IF(tblSalaries[[#This Row],[Years of Experience]]&lt;=2,1,""))</f>
        <v/>
      </c>
      <c r="O1026" t="str">
        <f>IF(tblSalaries[[#This Row],[Years of Experience]]="","",IF(AND(tblSalaries[[#This Row],[Years of Experience]]&gt;2,tblSalaries[[#This Row],[Years of Experience]]&lt;=5),1,""))</f>
        <v/>
      </c>
      <c r="P1026">
        <f>IF(tblSalaries[[#This Row],[Years of Experience]]="","",IF(AND(tblSalaries[[#This Row],[Years of Experience]]&gt;5,tblSalaries[[#This Row],[Years of Experience]]&lt;=10),1,""))</f>
        <v>1</v>
      </c>
      <c r="Q1026" t="str">
        <f>IF(tblSalaries[[#This Row],[Years of Experience]]="","",IF(AND(tblSalaries[[#This Row],[Years of Experience]]&gt;10,tblSalaries[[#This Row],[Years of Experience]]&lt;=15),1,""))</f>
        <v/>
      </c>
      <c r="R1026" t="str">
        <f>IF(tblSalaries[[#This Row],[Years of Experience]]="","",IF(AND(tblSalaries[[#This Row],[Years of Experience]]&gt;16,tblSalaries[[#This Row],[Years of Experience]]&lt;=20),1,""))</f>
        <v/>
      </c>
      <c r="S1026" t="str">
        <f>IF(tblSalaries[[#This Row],[Years of Experience]]="","",IF(tblSalaries[[#This Row],[Years of Experience]]&gt;20,1,""))</f>
        <v/>
      </c>
      <c r="T10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26" s="13" t="str">
        <f>IF(tblSalaries[[#This Row],[Job Type]]=tblSalaries[[#Headers],[Accountant]],tblSalaries[[#This Row],[Salary in USD]],"")</f>
        <v/>
      </c>
      <c r="V1026" s="13" t="str">
        <f>IF(tblSalaries[[#This Row],[Job Type]]=tblSalaries[[#Headers],[Analyst]],tblSalaries[[#This Row],[Salary in USD]],"")</f>
        <v/>
      </c>
      <c r="W1026" s="13" t="str">
        <f>IF(tblSalaries[[#This Row],[Job Type]]=tblSalaries[[#Headers],[Consultant]],tblSalaries[[#This Row],[Salary in USD]],"")</f>
        <v/>
      </c>
      <c r="X1026" s="13" t="str">
        <f>IF(tblSalaries[[#This Row],[Job Type]]=tblSalaries[[#Headers],[Controller]],tblSalaries[[#This Row],[Salary in USD]],"")</f>
        <v/>
      </c>
      <c r="Y1026" s="13" t="str">
        <f>IF(tblSalaries[[#This Row],[Job Type]]=tblSalaries[[#Headers],[CXO or Top Mgmt.]],tblSalaries[[#This Row],[clean Salary (in local currency)]],"")</f>
        <v/>
      </c>
      <c r="Z1026" s="13" t="str">
        <f>IF(tblSalaries[[#This Row],[Job Type]]=tblSalaries[[#Headers],[Engineer]],tblSalaries[[#This Row],[Salary in USD]],"")</f>
        <v/>
      </c>
      <c r="AA1026" s="13">
        <f>IF(tblSalaries[[#This Row],[Job Type]]=tblSalaries[[#Headers],[Manager]],tblSalaries[[#This Row],[Salary in USD]],"")</f>
        <v>3561.5833374885137</v>
      </c>
      <c r="AB1026" s="13" t="str">
        <f>IF(tblSalaries[[#This Row],[Job Type]]=tblSalaries[[#Headers],[Misc.]],tblSalaries[[#This Row],[Salary in USD]],"")</f>
        <v/>
      </c>
      <c r="AC1026" s="13" t="str">
        <f>IF(tblSalaries[[#This Row],[Job Type]]=tblSalaries[[#Headers],[Reporting]],tblSalaries[[#This Row],[Salary in USD]],"")</f>
        <v/>
      </c>
      <c r="AD1026" s="13" t="str">
        <f>IF(tblSalaries[[#This Row],[Job Type]]=tblSalaries[[#Headers],[Specialist]],tblSalaries[[#This Row],[Salary in USD]],"")</f>
        <v/>
      </c>
    </row>
    <row r="1027" spans="2:30" ht="15" customHeight="1" x14ac:dyDescent="0.25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 s="9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3999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  <c r="N1027" t="str">
        <f>IF(tblSalaries[[#This Row],[Years of Experience]]="","",IF(tblSalaries[[#This Row],[Years of Experience]]&lt;=2,1,""))</f>
        <v/>
      </c>
      <c r="O1027">
        <f>IF(tblSalaries[[#This Row],[Years of Experience]]="","",IF(AND(tblSalaries[[#This Row],[Years of Experience]]&gt;2,tblSalaries[[#This Row],[Years of Experience]]&lt;=5),1,""))</f>
        <v>1</v>
      </c>
      <c r="P1027" t="str">
        <f>IF(tblSalaries[[#This Row],[Years of Experience]]="","",IF(AND(tblSalaries[[#This Row],[Years of Experience]]&gt;5,tblSalaries[[#This Row],[Years of Experience]]&lt;=10),1,""))</f>
        <v/>
      </c>
      <c r="Q1027" t="str">
        <f>IF(tblSalaries[[#This Row],[Years of Experience]]="","",IF(AND(tblSalaries[[#This Row],[Years of Experience]]&gt;10,tblSalaries[[#This Row],[Years of Experience]]&lt;=15),1,""))</f>
        <v/>
      </c>
      <c r="R1027" t="str">
        <f>IF(tblSalaries[[#This Row],[Years of Experience]]="","",IF(AND(tblSalaries[[#This Row],[Years of Experience]]&gt;16,tblSalaries[[#This Row],[Years of Experience]]&lt;=20),1,""))</f>
        <v/>
      </c>
      <c r="S1027" t="str">
        <f>IF(tblSalaries[[#This Row],[Years of Experience]]="","",IF(tblSalaries[[#This Row],[Years of Experience]]&gt;20,1,""))</f>
        <v/>
      </c>
      <c r="T10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27" s="13" t="str">
        <f>IF(tblSalaries[[#This Row],[Job Type]]=tblSalaries[[#Headers],[Accountant]],tblSalaries[[#This Row],[Salary in USD]],"")</f>
        <v/>
      </c>
      <c r="V1027" s="13" t="str">
        <f>IF(tblSalaries[[#This Row],[Job Type]]=tblSalaries[[#Headers],[Analyst]],tblSalaries[[#This Row],[Salary in USD]],"")</f>
        <v/>
      </c>
      <c r="W1027" s="13" t="str">
        <f>IF(tblSalaries[[#This Row],[Job Type]]=tblSalaries[[#Headers],[Consultant]],tblSalaries[[#This Row],[Salary in USD]],"")</f>
        <v/>
      </c>
      <c r="X1027" s="13" t="str">
        <f>IF(tblSalaries[[#This Row],[Job Type]]=tblSalaries[[#Headers],[Controller]],tblSalaries[[#This Row],[Salary in USD]],"")</f>
        <v/>
      </c>
      <c r="Y1027" s="13" t="str">
        <f>IF(tblSalaries[[#This Row],[Job Type]]=tblSalaries[[#Headers],[CXO or Top Mgmt.]],tblSalaries[[#This Row],[clean Salary (in local currency)]],"")</f>
        <v/>
      </c>
      <c r="Z1027" s="13" t="str">
        <f>IF(tblSalaries[[#This Row],[Job Type]]=tblSalaries[[#Headers],[Engineer]],tblSalaries[[#This Row],[Salary in USD]],"")</f>
        <v/>
      </c>
      <c r="AA1027" s="13" t="str">
        <f>IF(tblSalaries[[#This Row],[Job Type]]=tblSalaries[[#Headers],[Manager]],tblSalaries[[#This Row],[Salary in USD]],"")</f>
        <v/>
      </c>
      <c r="AB1027" s="13" t="str">
        <f>IF(tblSalaries[[#This Row],[Job Type]]=tblSalaries[[#Headers],[Misc.]],tblSalaries[[#This Row],[Salary in USD]],"")</f>
        <v/>
      </c>
      <c r="AC1027" s="13">
        <f>IF(tblSalaries[[#This Row],[Job Type]]=tblSalaries[[#Headers],[Reporting]],tblSalaries[[#This Row],[Salary in USD]],"")</f>
        <v>3205.4250037396623</v>
      </c>
      <c r="AD1027" s="13" t="str">
        <f>IF(tblSalaries[[#This Row],[Job Type]]=tblSalaries[[#Headers],[Specialist]],tblSalaries[[#This Row],[Salary in USD]],"")</f>
        <v/>
      </c>
    </row>
    <row r="1028" spans="2:30" ht="15" customHeight="1" x14ac:dyDescent="0.25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 s="9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  <c r="N1028" t="str">
        <f>IF(tblSalaries[[#This Row],[Years of Experience]]="","",IF(tblSalaries[[#This Row],[Years of Experience]]&lt;=2,1,""))</f>
        <v/>
      </c>
      <c r="O1028">
        <f>IF(tblSalaries[[#This Row],[Years of Experience]]="","",IF(AND(tblSalaries[[#This Row],[Years of Experience]]&gt;2,tblSalaries[[#This Row],[Years of Experience]]&lt;=5),1,""))</f>
        <v>1</v>
      </c>
      <c r="P1028" t="str">
        <f>IF(tblSalaries[[#This Row],[Years of Experience]]="","",IF(AND(tblSalaries[[#This Row],[Years of Experience]]&gt;5,tblSalaries[[#This Row],[Years of Experience]]&lt;=10),1,""))</f>
        <v/>
      </c>
      <c r="Q1028" t="str">
        <f>IF(tblSalaries[[#This Row],[Years of Experience]]="","",IF(AND(tblSalaries[[#This Row],[Years of Experience]]&gt;10,tblSalaries[[#This Row],[Years of Experience]]&lt;=15),1,""))</f>
        <v/>
      </c>
      <c r="R1028" t="str">
        <f>IF(tblSalaries[[#This Row],[Years of Experience]]="","",IF(AND(tblSalaries[[#This Row],[Years of Experience]]&gt;16,tblSalaries[[#This Row],[Years of Experience]]&lt;=20),1,""))</f>
        <v/>
      </c>
      <c r="S1028" t="str">
        <f>IF(tblSalaries[[#This Row],[Years of Experience]]="","",IF(tblSalaries[[#This Row],[Years of Experience]]&gt;20,1,""))</f>
        <v/>
      </c>
      <c r="T10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28" s="13">
        <f>IF(tblSalaries[[#This Row],[Job Type]]=tblSalaries[[#Headers],[Accountant]],tblSalaries[[#This Row],[Salary in USD]],"")</f>
        <v>4487.5950052355274</v>
      </c>
      <c r="V1028" s="13" t="str">
        <f>IF(tblSalaries[[#This Row],[Job Type]]=tblSalaries[[#Headers],[Analyst]],tblSalaries[[#This Row],[Salary in USD]],"")</f>
        <v/>
      </c>
      <c r="W1028" s="13" t="str">
        <f>IF(tblSalaries[[#This Row],[Job Type]]=tblSalaries[[#Headers],[Consultant]],tblSalaries[[#This Row],[Salary in USD]],"")</f>
        <v/>
      </c>
      <c r="X1028" s="13" t="str">
        <f>IF(tblSalaries[[#This Row],[Job Type]]=tblSalaries[[#Headers],[Controller]],tblSalaries[[#This Row],[Salary in USD]],"")</f>
        <v/>
      </c>
      <c r="Y1028" s="13" t="str">
        <f>IF(tblSalaries[[#This Row],[Job Type]]=tblSalaries[[#Headers],[CXO or Top Mgmt.]],tblSalaries[[#This Row],[clean Salary (in local currency)]],"")</f>
        <v/>
      </c>
      <c r="Z1028" s="13" t="str">
        <f>IF(tblSalaries[[#This Row],[Job Type]]=tblSalaries[[#Headers],[Engineer]],tblSalaries[[#This Row],[Salary in USD]],"")</f>
        <v/>
      </c>
      <c r="AA1028" s="13" t="str">
        <f>IF(tblSalaries[[#This Row],[Job Type]]=tblSalaries[[#Headers],[Manager]],tblSalaries[[#This Row],[Salary in USD]],"")</f>
        <v/>
      </c>
      <c r="AB1028" s="13" t="str">
        <f>IF(tblSalaries[[#This Row],[Job Type]]=tblSalaries[[#Headers],[Misc.]],tblSalaries[[#This Row],[Salary in USD]],"")</f>
        <v/>
      </c>
      <c r="AC1028" s="13" t="str">
        <f>IF(tblSalaries[[#This Row],[Job Type]]=tblSalaries[[#Headers],[Reporting]],tblSalaries[[#This Row],[Salary in USD]],"")</f>
        <v/>
      </c>
      <c r="AD1028" s="13" t="str">
        <f>IF(tblSalaries[[#This Row],[Job Type]]=tblSalaries[[#Headers],[Specialist]],tblSalaries[[#This Row],[Salary in USD]],"")</f>
        <v/>
      </c>
    </row>
    <row r="1029" spans="2:30" ht="15" customHeight="1" x14ac:dyDescent="0.25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 s="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  <c r="N1029" t="str">
        <f>IF(tblSalaries[[#This Row],[Years of Experience]]="","",IF(tblSalaries[[#This Row],[Years of Experience]]&lt;=2,1,""))</f>
        <v/>
      </c>
      <c r="O1029">
        <f>IF(tblSalaries[[#This Row],[Years of Experience]]="","",IF(AND(tblSalaries[[#This Row],[Years of Experience]]&gt;2,tblSalaries[[#This Row],[Years of Experience]]&lt;=5),1,""))</f>
        <v>1</v>
      </c>
      <c r="P1029" t="str">
        <f>IF(tblSalaries[[#This Row],[Years of Experience]]="","",IF(AND(tblSalaries[[#This Row],[Years of Experience]]&gt;5,tblSalaries[[#This Row],[Years of Experience]]&lt;=10),1,""))</f>
        <v/>
      </c>
      <c r="Q1029" t="str">
        <f>IF(tblSalaries[[#This Row],[Years of Experience]]="","",IF(AND(tblSalaries[[#This Row],[Years of Experience]]&gt;10,tblSalaries[[#This Row],[Years of Experience]]&lt;=15),1,""))</f>
        <v/>
      </c>
      <c r="R1029" t="str">
        <f>IF(tblSalaries[[#This Row],[Years of Experience]]="","",IF(AND(tblSalaries[[#This Row],[Years of Experience]]&gt;16,tblSalaries[[#This Row],[Years of Experience]]&lt;=20),1,""))</f>
        <v/>
      </c>
      <c r="S1029" t="str">
        <f>IF(tblSalaries[[#This Row],[Years of Experience]]="","",IF(tblSalaries[[#This Row],[Years of Experience]]&gt;20,1,""))</f>
        <v/>
      </c>
      <c r="T10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29" s="13" t="str">
        <f>IF(tblSalaries[[#This Row],[Job Type]]=tblSalaries[[#Headers],[Accountant]],tblSalaries[[#This Row],[Salary in USD]],"")</f>
        <v/>
      </c>
      <c r="V1029" s="13">
        <f>IF(tblSalaries[[#This Row],[Job Type]]=tblSalaries[[#Headers],[Analyst]],tblSalaries[[#This Row],[Salary in USD]],"")</f>
        <v>12465.541681209797</v>
      </c>
      <c r="W1029" s="13" t="str">
        <f>IF(tblSalaries[[#This Row],[Job Type]]=tblSalaries[[#Headers],[Consultant]],tblSalaries[[#This Row],[Salary in USD]],"")</f>
        <v/>
      </c>
      <c r="X1029" s="13" t="str">
        <f>IF(tblSalaries[[#This Row],[Job Type]]=tblSalaries[[#Headers],[Controller]],tblSalaries[[#This Row],[Salary in USD]],"")</f>
        <v/>
      </c>
      <c r="Y1029" s="13" t="str">
        <f>IF(tblSalaries[[#This Row],[Job Type]]=tblSalaries[[#Headers],[CXO or Top Mgmt.]],tblSalaries[[#This Row],[clean Salary (in local currency)]],"")</f>
        <v/>
      </c>
      <c r="Z1029" s="13" t="str">
        <f>IF(tblSalaries[[#This Row],[Job Type]]=tblSalaries[[#Headers],[Engineer]],tblSalaries[[#This Row],[Salary in USD]],"")</f>
        <v/>
      </c>
      <c r="AA1029" s="13" t="str">
        <f>IF(tblSalaries[[#This Row],[Job Type]]=tblSalaries[[#Headers],[Manager]],tblSalaries[[#This Row],[Salary in USD]],"")</f>
        <v/>
      </c>
      <c r="AB1029" s="13" t="str">
        <f>IF(tblSalaries[[#This Row],[Job Type]]=tblSalaries[[#Headers],[Misc.]],tblSalaries[[#This Row],[Salary in USD]],"")</f>
        <v/>
      </c>
      <c r="AC1029" s="13" t="str">
        <f>IF(tblSalaries[[#This Row],[Job Type]]=tblSalaries[[#Headers],[Reporting]],tblSalaries[[#This Row],[Salary in USD]],"")</f>
        <v/>
      </c>
      <c r="AD1029" s="13" t="str">
        <f>IF(tblSalaries[[#This Row],[Job Type]]=tblSalaries[[#Headers],[Specialist]],tblSalaries[[#This Row],[Salary in USD]],"")</f>
        <v/>
      </c>
    </row>
    <row r="1030" spans="2:30" ht="15" customHeight="1" x14ac:dyDescent="0.25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 s="9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  <c r="N1030" t="str">
        <f>IF(tblSalaries[[#This Row],[Years of Experience]]="","",IF(tblSalaries[[#This Row],[Years of Experience]]&lt;=2,1,""))</f>
        <v/>
      </c>
      <c r="O1030" t="str">
        <f>IF(tblSalaries[[#This Row],[Years of Experience]]="","",IF(AND(tblSalaries[[#This Row],[Years of Experience]]&gt;2,tblSalaries[[#This Row],[Years of Experience]]&lt;=5),1,""))</f>
        <v/>
      </c>
      <c r="P1030" t="str">
        <f>IF(tblSalaries[[#This Row],[Years of Experience]]="","",IF(AND(tblSalaries[[#This Row],[Years of Experience]]&gt;5,tblSalaries[[#This Row],[Years of Experience]]&lt;=10),1,""))</f>
        <v/>
      </c>
      <c r="Q1030">
        <f>IF(tblSalaries[[#This Row],[Years of Experience]]="","",IF(AND(tblSalaries[[#This Row],[Years of Experience]]&gt;10,tblSalaries[[#This Row],[Years of Experience]]&lt;=15),1,""))</f>
        <v>1</v>
      </c>
      <c r="R1030" t="str">
        <f>IF(tblSalaries[[#This Row],[Years of Experience]]="","",IF(AND(tblSalaries[[#This Row],[Years of Experience]]&gt;16,tblSalaries[[#This Row],[Years of Experience]]&lt;=20),1,""))</f>
        <v/>
      </c>
      <c r="S1030" t="str">
        <f>IF(tblSalaries[[#This Row],[Years of Experience]]="","",IF(tblSalaries[[#This Row],[Years of Experience]]&gt;20,1,""))</f>
        <v/>
      </c>
      <c r="T10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30" s="13">
        <f>IF(tblSalaries[[#This Row],[Job Type]]=tblSalaries[[#Headers],[Accountant]],tblSalaries[[#This Row],[Salary in USD]],"")</f>
        <v>2400</v>
      </c>
      <c r="V1030" s="13" t="str">
        <f>IF(tblSalaries[[#This Row],[Job Type]]=tblSalaries[[#Headers],[Analyst]],tblSalaries[[#This Row],[Salary in USD]],"")</f>
        <v/>
      </c>
      <c r="W1030" s="13" t="str">
        <f>IF(tblSalaries[[#This Row],[Job Type]]=tblSalaries[[#Headers],[Consultant]],tblSalaries[[#This Row],[Salary in USD]],"")</f>
        <v/>
      </c>
      <c r="X1030" s="13" t="str">
        <f>IF(tblSalaries[[#This Row],[Job Type]]=tblSalaries[[#Headers],[Controller]],tblSalaries[[#This Row],[Salary in USD]],"")</f>
        <v/>
      </c>
      <c r="Y1030" s="13" t="str">
        <f>IF(tblSalaries[[#This Row],[Job Type]]=tblSalaries[[#Headers],[CXO or Top Mgmt.]],tblSalaries[[#This Row],[clean Salary (in local currency)]],"")</f>
        <v/>
      </c>
      <c r="Z1030" s="13" t="str">
        <f>IF(tblSalaries[[#This Row],[Job Type]]=tblSalaries[[#Headers],[Engineer]],tblSalaries[[#This Row],[Salary in USD]],"")</f>
        <v/>
      </c>
      <c r="AA1030" s="13" t="str">
        <f>IF(tblSalaries[[#This Row],[Job Type]]=tblSalaries[[#Headers],[Manager]],tblSalaries[[#This Row],[Salary in USD]],"")</f>
        <v/>
      </c>
      <c r="AB1030" s="13" t="str">
        <f>IF(tblSalaries[[#This Row],[Job Type]]=tblSalaries[[#Headers],[Misc.]],tblSalaries[[#This Row],[Salary in USD]],"")</f>
        <v/>
      </c>
      <c r="AC1030" s="13" t="str">
        <f>IF(tblSalaries[[#This Row],[Job Type]]=tblSalaries[[#Headers],[Reporting]],tblSalaries[[#This Row],[Salary in USD]],"")</f>
        <v/>
      </c>
      <c r="AD1030" s="13" t="str">
        <f>IF(tblSalaries[[#This Row],[Job Type]]=tblSalaries[[#Headers],[Specialist]],tblSalaries[[#This Row],[Salary in USD]],"")</f>
        <v/>
      </c>
    </row>
    <row r="1031" spans="2:30" ht="15" customHeight="1" x14ac:dyDescent="0.25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 s="9">
        <f>tblSalaries[[#This Row],[clean Salary (in local currency)]]*VLOOKUP(tblSalaries[[#This Row],[Currency]],tblXrate[],2,FALSE)</f>
        <v>55000</v>
      </c>
      <c r="H1031" t="s">
        <v>467</v>
      </c>
      <c r="I1031" t="s">
        <v>3999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  <c r="N1031" t="str">
        <f>IF(tblSalaries[[#This Row],[Years of Experience]]="","",IF(tblSalaries[[#This Row],[Years of Experience]]&lt;=2,1,""))</f>
        <v/>
      </c>
      <c r="O1031" t="str">
        <f>IF(tblSalaries[[#This Row],[Years of Experience]]="","",IF(AND(tblSalaries[[#This Row],[Years of Experience]]&gt;2,tblSalaries[[#This Row],[Years of Experience]]&lt;=5),1,""))</f>
        <v/>
      </c>
      <c r="P1031">
        <f>IF(tblSalaries[[#This Row],[Years of Experience]]="","",IF(AND(tblSalaries[[#This Row],[Years of Experience]]&gt;5,tblSalaries[[#This Row],[Years of Experience]]&lt;=10),1,""))</f>
        <v>1</v>
      </c>
      <c r="Q1031" t="str">
        <f>IF(tblSalaries[[#This Row],[Years of Experience]]="","",IF(AND(tblSalaries[[#This Row],[Years of Experience]]&gt;10,tblSalaries[[#This Row],[Years of Experience]]&lt;=15),1,""))</f>
        <v/>
      </c>
      <c r="R1031" t="str">
        <f>IF(tblSalaries[[#This Row],[Years of Experience]]="","",IF(AND(tblSalaries[[#This Row],[Years of Experience]]&gt;16,tblSalaries[[#This Row],[Years of Experience]]&lt;=20),1,""))</f>
        <v/>
      </c>
      <c r="S1031" t="str">
        <f>IF(tblSalaries[[#This Row],[Years of Experience]]="","",IF(tblSalaries[[#This Row],[Years of Experience]]&gt;20,1,""))</f>
        <v/>
      </c>
      <c r="T10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31" s="13" t="str">
        <f>IF(tblSalaries[[#This Row],[Job Type]]=tblSalaries[[#Headers],[Accountant]],tblSalaries[[#This Row],[Salary in USD]],"")</f>
        <v/>
      </c>
      <c r="V1031" s="13" t="str">
        <f>IF(tblSalaries[[#This Row],[Job Type]]=tblSalaries[[#Headers],[Analyst]],tblSalaries[[#This Row],[Salary in USD]],"")</f>
        <v/>
      </c>
      <c r="W1031" s="13" t="str">
        <f>IF(tblSalaries[[#This Row],[Job Type]]=tblSalaries[[#Headers],[Consultant]],tblSalaries[[#This Row],[Salary in USD]],"")</f>
        <v/>
      </c>
      <c r="X1031" s="13" t="str">
        <f>IF(tblSalaries[[#This Row],[Job Type]]=tblSalaries[[#Headers],[Controller]],tblSalaries[[#This Row],[Salary in USD]],"")</f>
        <v/>
      </c>
      <c r="Y1031" s="13" t="str">
        <f>IF(tblSalaries[[#This Row],[Job Type]]=tblSalaries[[#Headers],[CXO or Top Mgmt.]],tblSalaries[[#This Row],[clean Salary (in local currency)]],"")</f>
        <v/>
      </c>
      <c r="Z1031" s="13" t="str">
        <f>IF(tblSalaries[[#This Row],[Job Type]]=tblSalaries[[#Headers],[Engineer]],tblSalaries[[#This Row],[Salary in USD]],"")</f>
        <v/>
      </c>
      <c r="AA1031" s="13" t="str">
        <f>IF(tblSalaries[[#This Row],[Job Type]]=tblSalaries[[#Headers],[Manager]],tblSalaries[[#This Row],[Salary in USD]],"")</f>
        <v/>
      </c>
      <c r="AB1031" s="13" t="str">
        <f>IF(tblSalaries[[#This Row],[Job Type]]=tblSalaries[[#Headers],[Misc.]],tblSalaries[[#This Row],[Salary in USD]],"")</f>
        <v/>
      </c>
      <c r="AC1031" s="13">
        <f>IF(tblSalaries[[#This Row],[Job Type]]=tblSalaries[[#Headers],[Reporting]],tblSalaries[[#This Row],[Salary in USD]],"")</f>
        <v>55000</v>
      </c>
      <c r="AD1031" s="13" t="str">
        <f>IF(tblSalaries[[#This Row],[Job Type]]=tblSalaries[[#Headers],[Specialist]],tblSalaries[[#This Row],[Salary in USD]],"")</f>
        <v/>
      </c>
    </row>
    <row r="1032" spans="2:30" ht="15" customHeight="1" x14ac:dyDescent="0.25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 s="9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  <c r="N1032" t="str">
        <f>IF(tblSalaries[[#This Row],[Years of Experience]]="","",IF(tblSalaries[[#This Row],[Years of Experience]]&lt;=2,1,""))</f>
        <v/>
      </c>
      <c r="O1032">
        <f>IF(tblSalaries[[#This Row],[Years of Experience]]="","",IF(AND(tblSalaries[[#This Row],[Years of Experience]]&gt;2,tblSalaries[[#This Row],[Years of Experience]]&lt;=5),1,""))</f>
        <v>1</v>
      </c>
      <c r="P1032" t="str">
        <f>IF(tblSalaries[[#This Row],[Years of Experience]]="","",IF(AND(tblSalaries[[#This Row],[Years of Experience]]&gt;5,tblSalaries[[#This Row],[Years of Experience]]&lt;=10),1,""))</f>
        <v/>
      </c>
      <c r="Q1032" t="str">
        <f>IF(tblSalaries[[#This Row],[Years of Experience]]="","",IF(AND(tblSalaries[[#This Row],[Years of Experience]]&gt;10,tblSalaries[[#This Row],[Years of Experience]]&lt;=15),1,""))</f>
        <v/>
      </c>
      <c r="R1032" t="str">
        <f>IF(tblSalaries[[#This Row],[Years of Experience]]="","",IF(AND(tblSalaries[[#This Row],[Years of Experience]]&gt;16,tblSalaries[[#This Row],[Years of Experience]]&lt;=20),1,""))</f>
        <v/>
      </c>
      <c r="S1032" t="str">
        <f>IF(tblSalaries[[#This Row],[Years of Experience]]="","",IF(tblSalaries[[#This Row],[Years of Experience]]&gt;20,1,""))</f>
        <v/>
      </c>
      <c r="T10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32" s="13" t="str">
        <f>IF(tblSalaries[[#This Row],[Job Type]]=tblSalaries[[#Headers],[Accountant]],tblSalaries[[#This Row],[Salary in USD]],"")</f>
        <v/>
      </c>
      <c r="V1032" s="13" t="str">
        <f>IF(tblSalaries[[#This Row],[Job Type]]=tblSalaries[[#Headers],[Analyst]],tblSalaries[[#This Row],[Salary in USD]],"")</f>
        <v/>
      </c>
      <c r="W1032" s="13" t="str">
        <f>IF(tblSalaries[[#This Row],[Job Type]]=tblSalaries[[#Headers],[Consultant]],tblSalaries[[#This Row],[Salary in USD]],"")</f>
        <v/>
      </c>
      <c r="X1032" s="13">
        <f>IF(tblSalaries[[#This Row],[Job Type]]=tblSalaries[[#Headers],[Controller]],tblSalaries[[#This Row],[Salary in USD]],"")</f>
        <v>12000</v>
      </c>
      <c r="Y1032" s="13" t="str">
        <f>IF(tblSalaries[[#This Row],[Job Type]]=tblSalaries[[#Headers],[CXO or Top Mgmt.]],tblSalaries[[#This Row],[clean Salary (in local currency)]],"")</f>
        <v/>
      </c>
      <c r="Z1032" s="13" t="str">
        <f>IF(tblSalaries[[#This Row],[Job Type]]=tblSalaries[[#Headers],[Engineer]],tblSalaries[[#This Row],[Salary in USD]],"")</f>
        <v/>
      </c>
      <c r="AA1032" s="13" t="str">
        <f>IF(tblSalaries[[#This Row],[Job Type]]=tblSalaries[[#Headers],[Manager]],tblSalaries[[#This Row],[Salary in USD]],"")</f>
        <v/>
      </c>
      <c r="AB1032" s="13" t="str">
        <f>IF(tblSalaries[[#This Row],[Job Type]]=tblSalaries[[#Headers],[Misc.]],tblSalaries[[#This Row],[Salary in USD]],"")</f>
        <v/>
      </c>
      <c r="AC1032" s="13" t="str">
        <f>IF(tblSalaries[[#This Row],[Job Type]]=tblSalaries[[#Headers],[Reporting]],tblSalaries[[#This Row],[Salary in USD]],"")</f>
        <v/>
      </c>
      <c r="AD1032" s="13" t="str">
        <f>IF(tblSalaries[[#This Row],[Job Type]]=tblSalaries[[#Headers],[Specialist]],tblSalaries[[#This Row],[Salary in USD]],"")</f>
        <v/>
      </c>
    </row>
    <row r="1033" spans="2:30" ht="15" customHeight="1" x14ac:dyDescent="0.25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 s="9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  <c r="N1033" t="str">
        <f>IF(tblSalaries[[#This Row],[Years of Experience]]="","",IF(tblSalaries[[#This Row],[Years of Experience]]&lt;=2,1,""))</f>
        <v/>
      </c>
      <c r="O1033" t="str">
        <f>IF(tblSalaries[[#This Row],[Years of Experience]]="","",IF(AND(tblSalaries[[#This Row],[Years of Experience]]&gt;2,tblSalaries[[#This Row],[Years of Experience]]&lt;=5),1,""))</f>
        <v/>
      </c>
      <c r="P1033">
        <f>IF(tblSalaries[[#This Row],[Years of Experience]]="","",IF(AND(tblSalaries[[#This Row],[Years of Experience]]&gt;5,tblSalaries[[#This Row],[Years of Experience]]&lt;=10),1,""))</f>
        <v>1</v>
      </c>
      <c r="Q1033" t="str">
        <f>IF(tblSalaries[[#This Row],[Years of Experience]]="","",IF(AND(tblSalaries[[#This Row],[Years of Experience]]&gt;10,tblSalaries[[#This Row],[Years of Experience]]&lt;=15),1,""))</f>
        <v/>
      </c>
      <c r="R1033" t="str">
        <f>IF(tblSalaries[[#This Row],[Years of Experience]]="","",IF(AND(tblSalaries[[#This Row],[Years of Experience]]&gt;16,tblSalaries[[#This Row],[Years of Experience]]&lt;=20),1,""))</f>
        <v/>
      </c>
      <c r="S1033" t="str">
        <f>IF(tblSalaries[[#This Row],[Years of Experience]]="","",IF(tblSalaries[[#This Row],[Years of Experience]]&gt;20,1,""))</f>
        <v/>
      </c>
      <c r="T10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33" s="13" t="str">
        <f>IF(tblSalaries[[#This Row],[Job Type]]=tblSalaries[[#Headers],[Accountant]],tblSalaries[[#This Row],[Salary in USD]],"")</f>
        <v/>
      </c>
      <c r="V1033" s="13" t="str">
        <f>IF(tblSalaries[[#This Row],[Job Type]]=tblSalaries[[#Headers],[Analyst]],tblSalaries[[#This Row],[Salary in USD]],"")</f>
        <v/>
      </c>
      <c r="W1033" s="13" t="str">
        <f>IF(tblSalaries[[#This Row],[Job Type]]=tblSalaries[[#Headers],[Consultant]],tblSalaries[[#This Row],[Salary in USD]],"")</f>
        <v/>
      </c>
      <c r="X1033" s="13" t="str">
        <f>IF(tblSalaries[[#This Row],[Job Type]]=tblSalaries[[#Headers],[Controller]],tblSalaries[[#This Row],[Salary in USD]],"")</f>
        <v/>
      </c>
      <c r="Y1033" s="13" t="str">
        <f>IF(tblSalaries[[#This Row],[Job Type]]=tblSalaries[[#Headers],[CXO or Top Mgmt.]],tblSalaries[[#This Row],[clean Salary (in local currency)]],"")</f>
        <v/>
      </c>
      <c r="Z1033" s="13" t="str">
        <f>IF(tblSalaries[[#This Row],[Job Type]]=tblSalaries[[#Headers],[Engineer]],tblSalaries[[#This Row],[Salary in USD]],"")</f>
        <v/>
      </c>
      <c r="AA1033" s="13">
        <f>IF(tblSalaries[[#This Row],[Job Type]]=tblSalaries[[#Headers],[Manager]],tblSalaries[[#This Row],[Salary in USD]],"")</f>
        <v>55262.375596134938</v>
      </c>
      <c r="AB1033" s="13" t="str">
        <f>IF(tblSalaries[[#This Row],[Job Type]]=tblSalaries[[#Headers],[Misc.]],tblSalaries[[#This Row],[Salary in USD]],"")</f>
        <v/>
      </c>
      <c r="AC1033" s="13" t="str">
        <f>IF(tblSalaries[[#This Row],[Job Type]]=tblSalaries[[#Headers],[Reporting]],tblSalaries[[#This Row],[Salary in USD]],"")</f>
        <v/>
      </c>
      <c r="AD1033" s="13" t="str">
        <f>IF(tblSalaries[[#This Row],[Job Type]]=tblSalaries[[#Headers],[Specialist]],tblSalaries[[#This Row],[Salary in USD]],"")</f>
        <v/>
      </c>
    </row>
    <row r="1034" spans="2:30" ht="15" customHeight="1" x14ac:dyDescent="0.25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 s="9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  <c r="N1034">
        <f>IF(tblSalaries[[#This Row],[Years of Experience]]="","",IF(tblSalaries[[#This Row],[Years of Experience]]&lt;=2,1,""))</f>
        <v>1</v>
      </c>
      <c r="O1034" t="str">
        <f>IF(tblSalaries[[#This Row],[Years of Experience]]="","",IF(AND(tblSalaries[[#This Row],[Years of Experience]]&gt;2,tblSalaries[[#This Row],[Years of Experience]]&lt;=5),1,""))</f>
        <v/>
      </c>
      <c r="P1034" t="str">
        <f>IF(tblSalaries[[#This Row],[Years of Experience]]="","",IF(AND(tblSalaries[[#This Row],[Years of Experience]]&gt;5,tblSalaries[[#This Row],[Years of Experience]]&lt;=10),1,""))</f>
        <v/>
      </c>
      <c r="Q1034" t="str">
        <f>IF(tblSalaries[[#This Row],[Years of Experience]]="","",IF(AND(tblSalaries[[#This Row],[Years of Experience]]&gt;10,tblSalaries[[#This Row],[Years of Experience]]&lt;=15),1,""))</f>
        <v/>
      </c>
      <c r="R1034" t="str">
        <f>IF(tblSalaries[[#This Row],[Years of Experience]]="","",IF(AND(tblSalaries[[#This Row],[Years of Experience]]&gt;16,tblSalaries[[#This Row],[Years of Experience]]&lt;=20),1,""))</f>
        <v/>
      </c>
      <c r="S1034" t="str">
        <f>IF(tblSalaries[[#This Row],[Years of Experience]]="","",IF(tblSalaries[[#This Row],[Years of Experience]]&gt;20,1,""))</f>
        <v/>
      </c>
      <c r="T10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34" s="13" t="str">
        <f>IF(tblSalaries[[#This Row],[Job Type]]=tblSalaries[[#Headers],[Accountant]],tblSalaries[[#This Row],[Salary in USD]],"")</f>
        <v/>
      </c>
      <c r="V1034" s="13" t="str">
        <f>IF(tblSalaries[[#This Row],[Job Type]]=tblSalaries[[#Headers],[Analyst]],tblSalaries[[#This Row],[Salary in USD]],"")</f>
        <v/>
      </c>
      <c r="W1034" s="13" t="str">
        <f>IF(tblSalaries[[#This Row],[Job Type]]=tblSalaries[[#Headers],[Consultant]],tblSalaries[[#This Row],[Salary in USD]],"")</f>
        <v/>
      </c>
      <c r="X1034" s="13" t="str">
        <f>IF(tblSalaries[[#This Row],[Job Type]]=tblSalaries[[#Headers],[Controller]],tblSalaries[[#This Row],[Salary in USD]],"")</f>
        <v/>
      </c>
      <c r="Y1034" s="13" t="str">
        <f>IF(tblSalaries[[#This Row],[Job Type]]=tblSalaries[[#Headers],[CXO or Top Mgmt.]],tblSalaries[[#This Row],[clean Salary (in local currency)]],"")</f>
        <v/>
      </c>
      <c r="Z1034" s="13" t="str">
        <f>IF(tblSalaries[[#This Row],[Job Type]]=tblSalaries[[#Headers],[Engineer]],tblSalaries[[#This Row],[Salary in USD]],"")</f>
        <v/>
      </c>
      <c r="AA1034" s="13">
        <f>IF(tblSalaries[[#This Row],[Job Type]]=tblSalaries[[#Headers],[Manager]],tblSalaries[[#This Row],[Salary in USD]],"")</f>
        <v>21369.500024931083</v>
      </c>
      <c r="AB1034" s="13" t="str">
        <f>IF(tblSalaries[[#This Row],[Job Type]]=tblSalaries[[#Headers],[Misc.]],tblSalaries[[#This Row],[Salary in USD]],"")</f>
        <v/>
      </c>
      <c r="AC1034" s="13" t="str">
        <f>IF(tblSalaries[[#This Row],[Job Type]]=tblSalaries[[#Headers],[Reporting]],tblSalaries[[#This Row],[Salary in USD]],"")</f>
        <v/>
      </c>
      <c r="AD1034" s="13" t="str">
        <f>IF(tblSalaries[[#This Row],[Job Type]]=tblSalaries[[#Headers],[Specialist]],tblSalaries[[#This Row],[Salary in USD]],"")</f>
        <v/>
      </c>
    </row>
    <row r="1035" spans="2:30" ht="15" customHeight="1" x14ac:dyDescent="0.25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 s="9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  <c r="N1035" t="str">
        <f>IF(tblSalaries[[#This Row],[Years of Experience]]="","",IF(tblSalaries[[#This Row],[Years of Experience]]&lt;=2,1,""))</f>
        <v/>
      </c>
      <c r="O1035" t="str">
        <f>IF(tblSalaries[[#This Row],[Years of Experience]]="","",IF(AND(tblSalaries[[#This Row],[Years of Experience]]&gt;2,tblSalaries[[#This Row],[Years of Experience]]&lt;=5),1,""))</f>
        <v/>
      </c>
      <c r="P1035">
        <f>IF(tblSalaries[[#This Row],[Years of Experience]]="","",IF(AND(tblSalaries[[#This Row],[Years of Experience]]&gt;5,tblSalaries[[#This Row],[Years of Experience]]&lt;=10),1,""))</f>
        <v>1</v>
      </c>
      <c r="Q1035" t="str">
        <f>IF(tblSalaries[[#This Row],[Years of Experience]]="","",IF(AND(tblSalaries[[#This Row],[Years of Experience]]&gt;10,tblSalaries[[#This Row],[Years of Experience]]&lt;=15),1,""))</f>
        <v/>
      </c>
      <c r="R1035" t="str">
        <f>IF(tblSalaries[[#This Row],[Years of Experience]]="","",IF(AND(tblSalaries[[#This Row],[Years of Experience]]&gt;16,tblSalaries[[#This Row],[Years of Experience]]&lt;=20),1,""))</f>
        <v/>
      </c>
      <c r="S1035" t="str">
        <f>IF(tblSalaries[[#This Row],[Years of Experience]]="","",IF(tblSalaries[[#This Row],[Years of Experience]]&gt;20,1,""))</f>
        <v/>
      </c>
      <c r="T10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35" s="13" t="str">
        <f>IF(tblSalaries[[#This Row],[Job Type]]=tblSalaries[[#Headers],[Accountant]],tblSalaries[[#This Row],[Salary in USD]],"")</f>
        <v/>
      </c>
      <c r="V1035" s="13" t="str">
        <f>IF(tblSalaries[[#This Row],[Job Type]]=tblSalaries[[#Headers],[Analyst]],tblSalaries[[#This Row],[Salary in USD]],"")</f>
        <v/>
      </c>
      <c r="W1035" s="13">
        <f>IF(tblSalaries[[#This Row],[Job Type]]=tblSalaries[[#Headers],[Consultant]],tblSalaries[[#This Row],[Salary in USD]],"")</f>
        <v>40980.635073749385</v>
      </c>
      <c r="X1035" s="13" t="str">
        <f>IF(tblSalaries[[#This Row],[Job Type]]=tblSalaries[[#Headers],[Controller]],tblSalaries[[#This Row],[Salary in USD]],"")</f>
        <v/>
      </c>
      <c r="Y1035" s="13" t="str">
        <f>IF(tblSalaries[[#This Row],[Job Type]]=tblSalaries[[#Headers],[CXO or Top Mgmt.]],tblSalaries[[#This Row],[clean Salary (in local currency)]],"")</f>
        <v/>
      </c>
      <c r="Z1035" s="13" t="str">
        <f>IF(tblSalaries[[#This Row],[Job Type]]=tblSalaries[[#Headers],[Engineer]],tblSalaries[[#This Row],[Salary in USD]],"")</f>
        <v/>
      </c>
      <c r="AA1035" s="13" t="str">
        <f>IF(tblSalaries[[#This Row],[Job Type]]=tblSalaries[[#Headers],[Manager]],tblSalaries[[#This Row],[Salary in USD]],"")</f>
        <v/>
      </c>
      <c r="AB1035" s="13" t="str">
        <f>IF(tblSalaries[[#This Row],[Job Type]]=tblSalaries[[#Headers],[Misc.]],tblSalaries[[#This Row],[Salary in USD]],"")</f>
        <v/>
      </c>
      <c r="AC1035" s="13" t="str">
        <f>IF(tblSalaries[[#This Row],[Job Type]]=tblSalaries[[#Headers],[Reporting]],tblSalaries[[#This Row],[Salary in USD]],"")</f>
        <v/>
      </c>
      <c r="AD1035" s="13" t="str">
        <f>IF(tblSalaries[[#This Row],[Job Type]]=tblSalaries[[#Headers],[Specialist]],tblSalaries[[#This Row],[Salary in USD]],"")</f>
        <v/>
      </c>
    </row>
    <row r="1036" spans="2:30" ht="15" customHeight="1" x14ac:dyDescent="0.25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 s="9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  <c r="N1036" t="str">
        <f>IF(tblSalaries[[#This Row],[Years of Experience]]="","",IF(tblSalaries[[#This Row],[Years of Experience]]&lt;=2,1,""))</f>
        <v/>
      </c>
      <c r="O1036">
        <f>IF(tblSalaries[[#This Row],[Years of Experience]]="","",IF(AND(tblSalaries[[#This Row],[Years of Experience]]&gt;2,tblSalaries[[#This Row],[Years of Experience]]&lt;=5),1,""))</f>
        <v>1</v>
      </c>
      <c r="P1036" t="str">
        <f>IF(tblSalaries[[#This Row],[Years of Experience]]="","",IF(AND(tblSalaries[[#This Row],[Years of Experience]]&gt;5,tblSalaries[[#This Row],[Years of Experience]]&lt;=10),1,""))</f>
        <v/>
      </c>
      <c r="Q1036" t="str">
        <f>IF(tblSalaries[[#This Row],[Years of Experience]]="","",IF(AND(tblSalaries[[#This Row],[Years of Experience]]&gt;10,tblSalaries[[#This Row],[Years of Experience]]&lt;=15),1,""))</f>
        <v/>
      </c>
      <c r="R1036" t="str">
        <f>IF(tblSalaries[[#This Row],[Years of Experience]]="","",IF(AND(tblSalaries[[#This Row],[Years of Experience]]&gt;16,tblSalaries[[#This Row],[Years of Experience]]&lt;=20),1,""))</f>
        <v/>
      </c>
      <c r="S1036" t="str">
        <f>IF(tblSalaries[[#This Row],[Years of Experience]]="","",IF(tblSalaries[[#This Row],[Years of Experience]]&gt;20,1,""))</f>
        <v/>
      </c>
      <c r="T10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36" s="13" t="str">
        <f>IF(tblSalaries[[#This Row],[Job Type]]=tblSalaries[[#Headers],[Accountant]],tblSalaries[[#This Row],[Salary in USD]],"")</f>
        <v/>
      </c>
      <c r="V1036" s="13">
        <f>IF(tblSalaries[[#This Row],[Job Type]]=tblSalaries[[#Headers],[Analyst]],tblSalaries[[#This Row],[Salary in USD]],"")</f>
        <v>50995.482820131787</v>
      </c>
      <c r="W1036" s="13" t="str">
        <f>IF(tblSalaries[[#This Row],[Job Type]]=tblSalaries[[#Headers],[Consultant]],tblSalaries[[#This Row],[Salary in USD]],"")</f>
        <v/>
      </c>
      <c r="X1036" s="13" t="str">
        <f>IF(tblSalaries[[#This Row],[Job Type]]=tblSalaries[[#Headers],[Controller]],tblSalaries[[#This Row],[Salary in USD]],"")</f>
        <v/>
      </c>
      <c r="Y1036" s="13" t="str">
        <f>IF(tblSalaries[[#This Row],[Job Type]]=tblSalaries[[#Headers],[CXO or Top Mgmt.]],tblSalaries[[#This Row],[clean Salary (in local currency)]],"")</f>
        <v/>
      </c>
      <c r="Z1036" s="13" t="str">
        <f>IF(tblSalaries[[#This Row],[Job Type]]=tblSalaries[[#Headers],[Engineer]],tblSalaries[[#This Row],[Salary in USD]],"")</f>
        <v/>
      </c>
      <c r="AA1036" s="13" t="str">
        <f>IF(tblSalaries[[#This Row],[Job Type]]=tblSalaries[[#Headers],[Manager]],tblSalaries[[#This Row],[Salary in USD]],"")</f>
        <v/>
      </c>
      <c r="AB1036" s="13" t="str">
        <f>IF(tblSalaries[[#This Row],[Job Type]]=tblSalaries[[#Headers],[Misc.]],tblSalaries[[#This Row],[Salary in USD]],"")</f>
        <v/>
      </c>
      <c r="AC1036" s="13" t="str">
        <f>IF(tblSalaries[[#This Row],[Job Type]]=tblSalaries[[#Headers],[Reporting]],tblSalaries[[#This Row],[Salary in USD]],"")</f>
        <v/>
      </c>
      <c r="AD1036" s="13" t="str">
        <f>IF(tblSalaries[[#This Row],[Job Type]]=tblSalaries[[#Headers],[Specialist]],tblSalaries[[#This Row],[Salary in USD]],"")</f>
        <v/>
      </c>
    </row>
    <row r="1037" spans="2:30" ht="15" customHeight="1" x14ac:dyDescent="0.25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 s="9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  <c r="N1037" t="str">
        <f>IF(tblSalaries[[#This Row],[Years of Experience]]="","",IF(tblSalaries[[#This Row],[Years of Experience]]&lt;=2,1,""))</f>
        <v/>
      </c>
      <c r="O1037" t="str">
        <f>IF(tblSalaries[[#This Row],[Years of Experience]]="","",IF(AND(tblSalaries[[#This Row],[Years of Experience]]&gt;2,tblSalaries[[#This Row],[Years of Experience]]&lt;=5),1,""))</f>
        <v/>
      </c>
      <c r="P1037" t="str">
        <f>IF(tblSalaries[[#This Row],[Years of Experience]]="","",IF(AND(tblSalaries[[#This Row],[Years of Experience]]&gt;5,tblSalaries[[#This Row],[Years of Experience]]&lt;=10),1,""))</f>
        <v/>
      </c>
      <c r="Q1037" t="str">
        <f>IF(tblSalaries[[#This Row],[Years of Experience]]="","",IF(AND(tblSalaries[[#This Row],[Years of Experience]]&gt;10,tblSalaries[[#This Row],[Years of Experience]]&lt;=15),1,""))</f>
        <v/>
      </c>
      <c r="R1037" t="str">
        <f>IF(tblSalaries[[#This Row],[Years of Experience]]="","",IF(AND(tblSalaries[[#This Row],[Years of Experience]]&gt;16,tblSalaries[[#This Row],[Years of Experience]]&lt;=20),1,""))</f>
        <v/>
      </c>
      <c r="S1037" t="str">
        <f>IF(tblSalaries[[#This Row],[Years of Experience]]="","",IF(tblSalaries[[#This Row],[Years of Experience]]&gt;20,1,""))</f>
        <v/>
      </c>
      <c r="T10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37" s="13" t="str">
        <f>IF(tblSalaries[[#This Row],[Job Type]]=tblSalaries[[#Headers],[Accountant]],tblSalaries[[#This Row],[Salary in USD]],"")</f>
        <v/>
      </c>
      <c r="V1037" s="13" t="str">
        <f>IF(tblSalaries[[#This Row],[Job Type]]=tblSalaries[[#Headers],[Analyst]],tblSalaries[[#This Row],[Salary in USD]],"")</f>
        <v/>
      </c>
      <c r="W1037" s="13" t="str">
        <f>IF(tblSalaries[[#This Row],[Job Type]]=tblSalaries[[#Headers],[Consultant]],tblSalaries[[#This Row],[Salary in USD]],"")</f>
        <v/>
      </c>
      <c r="X1037" s="13" t="str">
        <f>IF(tblSalaries[[#This Row],[Job Type]]=tblSalaries[[#Headers],[Controller]],tblSalaries[[#This Row],[Salary in USD]],"")</f>
        <v/>
      </c>
      <c r="Y1037" s="13" t="str">
        <f>IF(tblSalaries[[#This Row],[Job Type]]=tblSalaries[[#Headers],[CXO or Top Mgmt.]],tblSalaries[[#This Row],[clean Salary (in local currency)]],"")</f>
        <v/>
      </c>
      <c r="Z1037" s="13" t="str">
        <f>IF(tblSalaries[[#This Row],[Job Type]]=tblSalaries[[#Headers],[Engineer]],tblSalaries[[#This Row],[Salary in USD]],"")</f>
        <v/>
      </c>
      <c r="AA1037" s="13">
        <f>IF(tblSalaries[[#This Row],[Job Type]]=tblSalaries[[#Headers],[Manager]],tblSalaries[[#This Row],[Salary in USD]],"")</f>
        <v>20326.391023865726</v>
      </c>
      <c r="AB1037" s="13" t="str">
        <f>IF(tblSalaries[[#This Row],[Job Type]]=tblSalaries[[#Headers],[Misc.]],tblSalaries[[#This Row],[Salary in USD]],"")</f>
        <v/>
      </c>
      <c r="AC1037" s="13" t="str">
        <f>IF(tblSalaries[[#This Row],[Job Type]]=tblSalaries[[#Headers],[Reporting]],tblSalaries[[#This Row],[Salary in USD]],"")</f>
        <v/>
      </c>
      <c r="AD1037" s="13" t="str">
        <f>IF(tblSalaries[[#This Row],[Job Type]]=tblSalaries[[#Headers],[Specialist]],tblSalaries[[#This Row],[Salary in USD]],"")</f>
        <v/>
      </c>
    </row>
    <row r="1038" spans="2:30" ht="15" customHeight="1" x14ac:dyDescent="0.25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 s="9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  <c r="N1038" t="str">
        <f>IF(tblSalaries[[#This Row],[Years of Experience]]="","",IF(tblSalaries[[#This Row],[Years of Experience]]&lt;=2,1,""))</f>
        <v/>
      </c>
      <c r="O1038" t="str">
        <f>IF(tblSalaries[[#This Row],[Years of Experience]]="","",IF(AND(tblSalaries[[#This Row],[Years of Experience]]&gt;2,tblSalaries[[#This Row],[Years of Experience]]&lt;=5),1,""))</f>
        <v/>
      </c>
      <c r="P1038">
        <f>IF(tblSalaries[[#This Row],[Years of Experience]]="","",IF(AND(tblSalaries[[#This Row],[Years of Experience]]&gt;5,tblSalaries[[#This Row],[Years of Experience]]&lt;=10),1,""))</f>
        <v>1</v>
      </c>
      <c r="Q1038" t="str">
        <f>IF(tblSalaries[[#This Row],[Years of Experience]]="","",IF(AND(tblSalaries[[#This Row],[Years of Experience]]&gt;10,tblSalaries[[#This Row],[Years of Experience]]&lt;=15),1,""))</f>
        <v/>
      </c>
      <c r="R1038" t="str">
        <f>IF(tblSalaries[[#This Row],[Years of Experience]]="","",IF(AND(tblSalaries[[#This Row],[Years of Experience]]&gt;16,tblSalaries[[#This Row],[Years of Experience]]&lt;=20),1,""))</f>
        <v/>
      </c>
      <c r="S1038" t="str">
        <f>IF(tblSalaries[[#This Row],[Years of Experience]]="","",IF(tblSalaries[[#This Row],[Years of Experience]]&gt;20,1,""))</f>
        <v/>
      </c>
      <c r="T10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38" s="13" t="str">
        <f>IF(tblSalaries[[#This Row],[Job Type]]=tblSalaries[[#Headers],[Accountant]],tblSalaries[[#This Row],[Salary in USD]],"")</f>
        <v/>
      </c>
      <c r="V1038" s="13" t="str">
        <f>IF(tblSalaries[[#This Row],[Job Type]]=tblSalaries[[#Headers],[Analyst]],tblSalaries[[#This Row],[Salary in USD]],"")</f>
        <v/>
      </c>
      <c r="W1038" s="13">
        <f>IF(tblSalaries[[#This Row],[Job Type]]=tblSalaries[[#Headers],[Consultant]],tblSalaries[[#This Row],[Salary in USD]],"")</f>
        <v>12000</v>
      </c>
      <c r="X1038" s="13" t="str">
        <f>IF(tblSalaries[[#This Row],[Job Type]]=tblSalaries[[#Headers],[Controller]],tblSalaries[[#This Row],[Salary in USD]],"")</f>
        <v/>
      </c>
      <c r="Y1038" s="13" t="str">
        <f>IF(tblSalaries[[#This Row],[Job Type]]=tblSalaries[[#Headers],[CXO or Top Mgmt.]],tblSalaries[[#This Row],[clean Salary (in local currency)]],"")</f>
        <v/>
      </c>
      <c r="Z1038" s="13" t="str">
        <f>IF(tblSalaries[[#This Row],[Job Type]]=tblSalaries[[#Headers],[Engineer]],tblSalaries[[#This Row],[Salary in USD]],"")</f>
        <v/>
      </c>
      <c r="AA1038" s="13" t="str">
        <f>IF(tblSalaries[[#This Row],[Job Type]]=tblSalaries[[#Headers],[Manager]],tblSalaries[[#This Row],[Salary in USD]],"")</f>
        <v/>
      </c>
      <c r="AB1038" s="13" t="str">
        <f>IF(tblSalaries[[#This Row],[Job Type]]=tblSalaries[[#Headers],[Misc.]],tblSalaries[[#This Row],[Salary in USD]],"")</f>
        <v/>
      </c>
      <c r="AC1038" s="13" t="str">
        <f>IF(tblSalaries[[#This Row],[Job Type]]=tblSalaries[[#Headers],[Reporting]],tblSalaries[[#This Row],[Salary in USD]],"")</f>
        <v/>
      </c>
      <c r="AD1038" s="13" t="str">
        <f>IF(tblSalaries[[#This Row],[Job Type]]=tblSalaries[[#Headers],[Specialist]],tblSalaries[[#This Row],[Salary in USD]],"")</f>
        <v/>
      </c>
    </row>
    <row r="1039" spans="2:30" ht="15" customHeight="1" x14ac:dyDescent="0.25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 s="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  <c r="N1039" t="str">
        <f>IF(tblSalaries[[#This Row],[Years of Experience]]="","",IF(tblSalaries[[#This Row],[Years of Experience]]&lt;=2,1,""))</f>
        <v/>
      </c>
      <c r="O1039" t="str">
        <f>IF(tblSalaries[[#This Row],[Years of Experience]]="","",IF(AND(tblSalaries[[#This Row],[Years of Experience]]&gt;2,tblSalaries[[#This Row],[Years of Experience]]&lt;=5),1,""))</f>
        <v/>
      </c>
      <c r="P1039" t="str">
        <f>IF(tblSalaries[[#This Row],[Years of Experience]]="","",IF(AND(tblSalaries[[#This Row],[Years of Experience]]&gt;5,tblSalaries[[#This Row],[Years of Experience]]&lt;=10),1,""))</f>
        <v/>
      </c>
      <c r="Q1039" t="str">
        <f>IF(tblSalaries[[#This Row],[Years of Experience]]="","",IF(AND(tblSalaries[[#This Row],[Years of Experience]]&gt;10,tblSalaries[[#This Row],[Years of Experience]]&lt;=15),1,""))</f>
        <v/>
      </c>
      <c r="R1039">
        <f>IF(tblSalaries[[#This Row],[Years of Experience]]="","",IF(AND(tblSalaries[[#This Row],[Years of Experience]]&gt;16,tblSalaries[[#This Row],[Years of Experience]]&lt;=20),1,""))</f>
        <v>1</v>
      </c>
      <c r="S1039" t="str">
        <f>IF(tblSalaries[[#This Row],[Years of Experience]]="","",IF(tblSalaries[[#This Row],[Years of Experience]]&gt;20,1,""))</f>
        <v/>
      </c>
      <c r="T10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039" s="13">
        <f>IF(tblSalaries[[#This Row],[Job Type]]=tblSalaries[[#Headers],[Accountant]],tblSalaries[[#This Row],[Salary in USD]],"")</f>
        <v>29261.227167098674</v>
      </c>
      <c r="V1039" s="13" t="str">
        <f>IF(tblSalaries[[#This Row],[Job Type]]=tblSalaries[[#Headers],[Analyst]],tblSalaries[[#This Row],[Salary in USD]],"")</f>
        <v/>
      </c>
      <c r="W1039" s="13" t="str">
        <f>IF(tblSalaries[[#This Row],[Job Type]]=tblSalaries[[#Headers],[Consultant]],tblSalaries[[#This Row],[Salary in USD]],"")</f>
        <v/>
      </c>
      <c r="X1039" s="13" t="str">
        <f>IF(tblSalaries[[#This Row],[Job Type]]=tblSalaries[[#Headers],[Controller]],tblSalaries[[#This Row],[Salary in USD]],"")</f>
        <v/>
      </c>
      <c r="Y1039" s="13" t="str">
        <f>IF(tblSalaries[[#This Row],[Job Type]]=tblSalaries[[#Headers],[CXO or Top Mgmt.]],tblSalaries[[#This Row],[clean Salary (in local currency)]],"")</f>
        <v/>
      </c>
      <c r="Z1039" s="13" t="str">
        <f>IF(tblSalaries[[#This Row],[Job Type]]=tblSalaries[[#Headers],[Engineer]],tblSalaries[[#This Row],[Salary in USD]],"")</f>
        <v/>
      </c>
      <c r="AA1039" s="13" t="str">
        <f>IF(tblSalaries[[#This Row],[Job Type]]=tblSalaries[[#Headers],[Manager]],tblSalaries[[#This Row],[Salary in USD]],"")</f>
        <v/>
      </c>
      <c r="AB1039" s="13" t="str">
        <f>IF(tblSalaries[[#This Row],[Job Type]]=tblSalaries[[#Headers],[Misc.]],tblSalaries[[#This Row],[Salary in USD]],"")</f>
        <v/>
      </c>
      <c r="AC1039" s="13" t="str">
        <f>IF(tblSalaries[[#This Row],[Job Type]]=tblSalaries[[#Headers],[Reporting]],tblSalaries[[#This Row],[Salary in USD]],"")</f>
        <v/>
      </c>
      <c r="AD1039" s="13" t="str">
        <f>IF(tblSalaries[[#This Row],[Job Type]]=tblSalaries[[#Headers],[Specialist]],tblSalaries[[#This Row],[Salary in USD]],"")</f>
        <v/>
      </c>
    </row>
    <row r="1040" spans="2:30" ht="15" customHeight="1" x14ac:dyDescent="0.25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 s="9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4001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  <c r="N1040" t="str">
        <f>IF(tblSalaries[[#This Row],[Years of Experience]]="","",IF(tblSalaries[[#This Row],[Years of Experience]]&lt;=2,1,""))</f>
        <v/>
      </c>
      <c r="O1040" t="str">
        <f>IF(tblSalaries[[#This Row],[Years of Experience]]="","",IF(AND(tblSalaries[[#This Row],[Years of Experience]]&gt;2,tblSalaries[[#This Row],[Years of Experience]]&lt;=5),1,""))</f>
        <v/>
      </c>
      <c r="P1040">
        <f>IF(tblSalaries[[#This Row],[Years of Experience]]="","",IF(AND(tblSalaries[[#This Row],[Years of Experience]]&gt;5,tblSalaries[[#This Row],[Years of Experience]]&lt;=10),1,""))</f>
        <v>1</v>
      </c>
      <c r="Q1040" t="str">
        <f>IF(tblSalaries[[#This Row],[Years of Experience]]="","",IF(AND(tblSalaries[[#This Row],[Years of Experience]]&gt;10,tblSalaries[[#This Row],[Years of Experience]]&lt;=15),1,""))</f>
        <v/>
      </c>
      <c r="R1040" t="str">
        <f>IF(tblSalaries[[#This Row],[Years of Experience]]="","",IF(AND(tblSalaries[[#This Row],[Years of Experience]]&gt;16,tblSalaries[[#This Row],[Years of Experience]]&lt;=20),1,""))</f>
        <v/>
      </c>
      <c r="S1040" t="str">
        <f>IF(tblSalaries[[#This Row],[Years of Experience]]="","",IF(tblSalaries[[#This Row],[Years of Experience]]&gt;20,1,""))</f>
        <v/>
      </c>
      <c r="T10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40" s="13" t="str">
        <f>IF(tblSalaries[[#This Row],[Job Type]]=tblSalaries[[#Headers],[Accountant]],tblSalaries[[#This Row],[Salary in USD]],"")</f>
        <v/>
      </c>
      <c r="V1040" s="13" t="str">
        <f>IF(tblSalaries[[#This Row],[Job Type]]=tblSalaries[[#Headers],[Analyst]],tblSalaries[[#This Row],[Salary in USD]],"")</f>
        <v/>
      </c>
      <c r="W1040" s="13" t="str">
        <f>IF(tblSalaries[[#This Row],[Job Type]]=tblSalaries[[#Headers],[Consultant]],tblSalaries[[#This Row],[Salary in USD]],"")</f>
        <v/>
      </c>
      <c r="X1040" s="13" t="str">
        <f>IF(tblSalaries[[#This Row],[Job Type]]=tblSalaries[[#Headers],[Controller]],tblSalaries[[#This Row],[Salary in USD]],"")</f>
        <v/>
      </c>
      <c r="Y1040" s="13">
        <f>IF(tblSalaries[[#This Row],[Job Type]]=tblSalaries[[#Headers],[CXO or Top Mgmt.]],tblSalaries[[#This Row],[clean Salary (in local currency)]],"")</f>
        <v>120000</v>
      </c>
      <c r="Z1040" s="13" t="str">
        <f>IF(tblSalaries[[#This Row],[Job Type]]=tblSalaries[[#Headers],[Engineer]],tblSalaries[[#This Row],[Salary in USD]],"")</f>
        <v/>
      </c>
      <c r="AA1040" s="13" t="str">
        <f>IF(tblSalaries[[#This Row],[Job Type]]=tblSalaries[[#Headers],[Manager]],tblSalaries[[#This Row],[Salary in USD]],"")</f>
        <v/>
      </c>
      <c r="AB1040" s="13" t="str">
        <f>IF(tblSalaries[[#This Row],[Job Type]]=tblSalaries[[#Headers],[Misc.]],tblSalaries[[#This Row],[Salary in USD]],"")</f>
        <v/>
      </c>
      <c r="AC1040" s="13" t="str">
        <f>IF(tblSalaries[[#This Row],[Job Type]]=tblSalaries[[#Headers],[Reporting]],tblSalaries[[#This Row],[Salary in USD]],"")</f>
        <v/>
      </c>
      <c r="AD1040" s="13" t="str">
        <f>IF(tblSalaries[[#This Row],[Job Type]]=tblSalaries[[#Headers],[Specialist]],tblSalaries[[#This Row],[Salary in USD]],"")</f>
        <v/>
      </c>
    </row>
    <row r="1041" spans="2:30" ht="15" customHeight="1" x14ac:dyDescent="0.25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 s="9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  <c r="N1041" t="str">
        <f>IF(tblSalaries[[#This Row],[Years of Experience]]="","",IF(tblSalaries[[#This Row],[Years of Experience]]&lt;=2,1,""))</f>
        <v/>
      </c>
      <c r="O1041">
        <f>IF(tblSalaries[[#This Row],[Years of Experience]]="","",IF(AND(tblSalaries[[#This Row],[Years of Experience]]&gt;2,tblSalaries[[#This Row],[Years of Experience]]&lt;=5),1,""))</f>
        <v>1</v>
      </c>
      <c r="P1041" t="str">
        <f>IF(tblSalaries[[#This Row],[Years of Experience]]="","",IF(AND(tblSalaries[[#This Row],[Years of Experience]]&gt;5,tblSalaries[[#This Row],[Years of Experience]]&lt;=10),1,""))</f>
        <v/>
      </c>
      <c r="Q1041" t="str">
        <f>IF(tblSalaries[[#This Row],[Years of Experience]]="","",IF(AND(tblSalaries[[#This Row],[Years of Experience]]&gt;10,tblSalaries[[#This Row],[Years of Experience]]&lt;=15),1,""))</f>
        <v/>
      </c>
      <c r="R1041" t="str">
        <f>IF(tblSalaries[[#This Row],[Years of Experience]]="","",IF(AND(tblSalaries[[#This Row],[Years of Experience]]&gt;16,tblSalaries[[#This Row],[Years of Experience]]&lt;=20),1,""))</f>
        <v/>
      </c>
      <c r="S1041" t="str">
        <f>IF(tblSalaries[[#This Row],[Years of Experience]]="","",IF(tblSalaries[[#This Row],[Years of Experience]]&gt;20,1,""))</f>
        <v/>
      </c>
      <c r="T10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41" s="13">
        <f>IF(tblSalaries[[#This Row],[Job Type]]=tblSalaries[[#Headers],[Accountant]],tblSalaries[[#This Row],[Salary in USD]],"")</f>
        <v>7265.630008476568</v>
      </c>
      <c r="V1041" s="13" t="str">
        <f>IF(tblSalaries[[#This Row],[Job Type]]=tblSalaries[[#Headers],[Analyst]],tblSalaries[[#This Row],[Salary in USD]],"")</f>
        <v/>
      </c>
      <c r="W1041" s="13" t="str">
        <f>IF(tblSalaries[[#This Row],[Job Type]]=tblSalaries[[#Headers],[Consultant]],tblSalaries[[#This Row],[Salary in USD]],"")</f>
        <v/>
      </c>
      <c r="X1041" s="13" t="str">
        <f>IF(tblSalaries[[#This Row],[Job Type]]=tblSalaries[[#Headers],[Controller]],tblSalaries[[#This Row],[Salary in USD]],"")</f>
        <v/>
      </c>
      <c r="Y1041" s="13" t="str">
        <f>IF(tblSalaries[[#This Row],[Job Type]]=tblSalaries[[#Headers],[CXO or Top Mgmt.]],tblSalaries[[#This Row],[clean Salary (in local currency)]],"")</f>
        <v/>
      </c>
      <c r="Z1041" s="13" t="str">
        <f>IF(tblSalaries[[#This Row],[Job Type]]=tblSalaries[[#Headers],[Engineer]],tblSalaries[[#This Row],[Salary in USD]],"")</f>
        <v/>
      </c>
      <c r="AA1041" s="13" t="str">
        <f>IF(tblSalaries[[#This Row],[Job Type]]=tblSalaries[[#Headers],[Manager]],tblSalaries[[#This Row],[Salary in USD]],"")</f>
        <v/>
      </c>
      <c r="AB1041" s="13" t="str">
        <f>IF(tblSalaries[[#This Row],[Job Type]]=tblSalaries[[#Headers],[Misc.]],tblSalaries[[#This Row],[Salary in USD]],"")</f>
        <v/>
      </c>
      <c r="AC1041" s="13" t="str">
        <f>IF(tblSalaries[[#This Row],[Job Type]]=tblSalaries[[#Headers],[Reporting]],tblSalaries[[#This Row],[Salary in USD]],"")</f>
        <v/>
      </c>
      <c r="AD1041" s="13" t="str">
        <f>IF(tblSalaries[[#This Row],[Job Type]]=tblSalaries[[#Headers],[Specialist]],tblSalaries[[#This Row],[Salary in USD]],"")</f>
        <v/>
      </c>
    </row>
    <row r="1042" spans="2:30" ht="15" customHeight="1" x14ac:dyDescent="0.25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 s="9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  <c r="N1042" t="str">
        <f>IF(tblSalaries[[#This Row],[Years of Experience]]="","",IF(tblSalaries[[#This Row],[Years of Experience]]&lt;=2,1,""))</f>
        <v/>
      </c>
      <c r="O1042" t="str">
        <f>IF(tblSalaries[[#This Row],[Years of Experience]]="","",IF(AND(tblSalaries[[#This Row],[Years of Experience]]&gt;2,tblSalaries[[#This Row],[Years of Experience]]&lt;=5),1,""))</f>
        <v/>
      </c>
      <c r="P1042" t="str">
        <f>IF(tblSalaries[[#This Row],[Years of Experience]]="","",IF(AND(tblSalaries[[#This Row],[Years of Experience]]&gt;5,tblSalaries[[#This Row],[Years of Experience]]&lt;=10),1,""))</f>
        <v/>
      </c>
      <c r="Q1042" t="str">
        <f>IF(tblSalaries[[#This Row],[Years of Experience]]="","",IF(AND(tblSalaries[[#This Row],[Years of Experience]]&gt;10,tblSalaries[[#This Row],[Years of Experience]]&lt;=15),1,""))</f>
        <v/>
      </c>
      <c r="R1042" t="str">
        <f>IF(tblSalaries[[#This Row],[Years of Experience]]="","",IF(AND(tblSalaries[[#This Row],[Years of Experience]]&gt;16,tblSalaries[[#This Row],[Years of Experience]]&lt;=20),1,""))</f>
        <v/>
      </c>
      <c r="S1042" t="str">
        <f>IF(tblSalaries[[#This Row],[Years of Experience]]="","",IF(tblSalaries[[#This Row],[Years of Experience]]&gt;20,1,""))</f>
        <v/>
      </c>
      <c r="T10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042" s="13" t="str">
        <f>IF(tblSalaries[[#This Row],[Job Type]]=tblSalaries[[#Headers],[Accountant]],tblSalaries[[#This Row],[Salary in USD]],"")</f>
        <v/>
      </c>
      <c r="V1042" s="13">
        <f>IF(tblSalaries[[#This Row],[Job Type]]=tblSalaries[[#Headers],[Analyst]],tblSalaries[[#This Row],[Salary in USD]],"")</f>
        <v>44132.991617883956</v>
      </c>
      <c r="W1042" s="13" t="str">
        <f>IF(tblSalaries[[#This Row],[Job Type]]=tblSalaries[[#Headers],[Consultant]],tblSalaries[[#This Row],[Salary in USD]],"")</f>
        <v/>
      </c>
      <c r="X1042" s="13" t="str">
        <f>IF(tblSalaries[[#This Row],[Job Type]]=tblSalaries[[#Headers],[Controller]],tblSalaries[[#This Row],[Salary in USD]],"")</f>
        <v/>
      </c>
      <c r="Y1042" s="13" t="str">
        <f>IF(tblSalaries[[#This Row],[Job Type]]=tblSalaries[[#Headers],[CXO or Top Mgmt.]],tblSalaries[[#This Row],[clean Salary (in local currency)]],"")</f>
        <v/>
      </c>
      <c r="Z1042" s="13" t="str">
        <f>IF(tblSalaries[[#This Row],[Job Type]]=tblSalaries[[#Headers],[Engineer]],tblSalaries[[#This Row],[Salary in USD]],"")</f>
        <v/>
      </c>
      <c r="AA1042" s="13" t="str">
        <f>IF(tblSalaries[[#This Row],[Job Type]]=tblSalaries[[#Headers],[Manager]],tblSalaries[[#This Row],[Salary in USD]],"")</f>
        <v/>
      </c>
      <c r="AB1042" s="13" t="str">
        <f>IF(tblSalaries[[#This Row],[Job Type]]=tblSalaries[[#Headers],[Misc.]],tblSalaries[[#This Row],[Salary in USD]],"")</f>
        <v/>
      </c>
      <c r="AC1042" s="13" t="str">
        <f>IF(tblSalaries[[#This Row],[Job Type]]=tblSalaries[[#Headers],[Reporting]],tblSalaries[[#This Row],[Salary in USD]],"")</f>
        <v/>
      </c>
      <c r="AD1042" s="13" t="str">
        <f>IF(tblSalaries[[#This Row],[Job Type]]=tblSalaries[[#Headers],[Specialist]],tblSalaries[[#This Row],[Salary in USD]],"")</f>
        <v/>
      </c>
    </row>
    <row r="1043" spans="2:30" ht="15" customHeight="1" x14ac:dyDescent="0.25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 s="9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  <c r="N1043" t="str">
        <f>IF(tblSalaries[[#This Row],[Years of Experience]]="","",IF(tblSalaries[[#This Row],[Years of Experience]]&lt;=2,1,""))</f>
        <v/>
      </c>
      <c r="O1043" t="str">
        <f>IF(tblSalaries[[#This Row],[Years of Experience]]="","",IF(AND(tblSalaries[[#This Row],[Years of Experience]]&gt;2,tblSalaries[[#This Row],[Years of Experience]]&lt;=5),1,""))</f>
        <v/>
      </c>
      <c r="P1043">
        <f>IF(tblSalaries[[#This Row],[Years of Experience]]="","",IF(AND(tblSalaries[[#This Row],[Years of Experience]]&gt;5,tblSalaries[[#This Row],[Years of Experience]]&lt;=10),1,""))</f>
        <v>1</v>
      </c>
      <c r="Q1043" t="str">
        <f>IF(tblSalaries[[#This Row],[Years of Experience]]="","",IF(AND(tblSalaries[[#This Row],[Years of Experience]]&gt;10,tblSalaries[[#This Row],[Years of Experience]]&lt;=15),1,""))</f>
        <v/>
      </c>
      <c r="R1043" t="str">
        <f>IF(tblSalaries[[#This Row],[Years of Experience]]="","",IF(AND(tblSalaries[[#This Row],[Years of Experience]]&gt;16,tblSalaries[[#This Row],[Years of Experience]]&lt;=20),1,""))</f>
        <v/>
      </c>
      <c r="S1043" t="str">
        <f>IF(tblSalaries[[#This Row],[Years of Experience]]="","",IF(tblSalaries[[#This Row],[Years of Experience]]&gt;20,1,""))</f>
        <v/>
      </c>
      <c r="T10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43" s="13" t="str">
        <f>IF(tblSalaries[[#This Row],[Job Type]]=tblSalaries[[#Headers],[Accountant]],tblSalaries[[#This Row],[Salary in USD]],"")</f>
        <v/>
      </c>
      <c r="V1043" s="13">
        <f>IF(tblSalaries[[#This Row],[Job Type]]=tblSalaries[[#Headers],[Analyst]],tblSalaries[[#This Row],[Salary in USD]],"")</f>
        <v>9438.1958443445619</v>
      </c>
      <c r="W1043" s="13" t="str">
        <f>IF(tblSalaries[[#This Row],[Job Type]]=tblSalaries[[#Headers],[Consultant]],tblSalaries[[#This Row],[Salary in USD]],"")</f>
        <v/>
      </c>
      <c r="X1043" s="13" t="str">
        <f>IF(tblSalaries[[#This Row],[Job Type]]=tblSalaries[[#Headers],[Controller]],tblSalaries[[#This Row],[Salary in USD]],"")</f>
        <v/>
      </c>
      <c r="Y1043" s="13" t="str">
        <f>IF(tblSalaries[[#This Row],[Job Type]]=tblSalaries[[#Headers],[CXO or Top Mgmt.]],tblSalaries[[#This Row],[clean Salary (in local currency)]],"")</f>
        <v/>
      </c>
      <c r="Z1043" s="13" t="str">
        <f>IF(tblSalaries[[#This Row],[Job Type]]=tblSalaries[[#Headers],[Engineer]],tblSalaries[[#This Row],[Salary in USD]],"")</f>
        <v/>
      </c>
      <c r="AA1043" s="13" t="str">
        <f>IF(tblSalaries[[#This Row],[Job Type]]=tblSalaries[[#Headers],[Manager]],tblSalaries[[#This Row],[Salary in USD]],"")</f>
        <v/>
      </c>
      <c r="AB1043" s="13" t="str">
        <f>IF(tblSalaries[[#This Row],[Job Type]]=tblSalaries[[#Headers],[Misc.]],tblSalaries[[#This Row],[Salary in USD]],"")</f>
        <v/>
      </c>
      <c r="AC1043" s="13" t="str">
        <f>IF(tblSalaries[[#This Row],[Job Type]]=tblSalaries[[#Headers],[Reporting]],tblSalaries[[#This Row],[Salary in USD]],"")</f>
        <v/>
      </c>
      <c r="AD1043" s="13" t="str">
        <f>IF(tblSalaries[[#This Row],[Job Type]]=tblSalaries[[#Headers],[Specialist]],tblSalaries[[#This Row],[Salary in USD]],"")</f>
        <v/>
      </c>
    </row>
    <row r="1044" spans="2:30" ht="15" customHeight="1" x14ac:dyDescent="0.25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 s="9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  <c r="N1044" t="str">
        <f>IF(tblSalaries[[#This Row],[Years of Experience]]="","",IF(tblSalaries[[#This Row],[Years of Experience]]&lt;=2,1,""))</f>
        <v/>
      </c>
      <c r="O1044" t="str">
        <f>IF(tblSalaries[[#This Row],[Years of Experience]]="","",IF(AND(tblSalaries[[#This Row],[Years of Experience]]&gt;2,tblSalaries[[#This Row],[Years of Experience]]&lt;=5),1,""))</f>
        <v/>
      </c>
      <c r="P1044">
        <f>IF(tblSalaries[[#This Row],[Years of Experience]]="","",IF(AND(tblSalaries[[#This Row],[Years of Experience]]&gt;5,tblSalaries[[#This Row],[Years of Experience]]&lt;=10),1,""))</f>
        <v>1</v>
      </c>
      <c r="Q1044" t="str">
        <f>IF(tblSalaries[[#This Row],[Years of Experience]]="","",IF(AND(tblSalaries[[#This Row],[Years of Experience]]&gt;10,tblSalaries[[#This Row],[Years of Experience]]&lt;=15),1,""))</f>
        <v/>
      </c>
      <c r="R1044" t="str">
        <f>IF(tblSalaries[[#This Row],[Years of Experience]]="","",IF(AND(tblSalaries[[#This Row],[Years of Experience]]&gt;16,tblSalaries[[#This Row],[Years of Experience]]&lt;=20),1,""))</f>
        <v/>
      </c>
      <c r="S1044" t="str">
        <f>IF(tblSalaries[[#This Row],[Years of Experience]]="","",IF(tblSalaries[[#This Row],[Years of Experience]]&gt;20,1,""))</f>
        <v/>
      </c>
      <c r="T10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44" s="13" t="str">
        <f>IF(tblSalaries[[#This Row],[Job Type]]=tblSalaries[[#Headers],[Accountant]],tblSalaries[[#This Row],[Salary in USD]],"")</f>
        <v/>
      </c>
      <c r="V1044" s="13">
        <f>IF(tblSalaries[[#This Row],[Job Type]]=tblSalaries[[#Headers],[Analyst]],tblSalaries[[#This Row],[Salary in USD]],"")</f>
        <v>18000</v>
      </c>
      <c r="W1044" s="13" t="str">
        <f>IF(tblSalaries[[#This Row],[Job Type]]=tblSalaries[[#Headers],[Consultant]],tblSalaries[[#This Row],[Salary in USD]],"")</f>
        <v/>
      </c>
      <c r="X1044" s="13" t="str">
        <f>IF(tblSalaries[[#This Row],[Job Type]]=tblSalaries[[#Headers],[Controller]],tblSalaries[[#This Row],[Salary in USD]],"")</f>
        <v/>
      </c>
      <c r="Y1044" s="13" t="str">
        <f>IF(tblSalaries[[#This Row],[Job Type]]=tblSalaries[[#Headers],[CXO or Top Mgmt.]],tblSalaries[[#This Row],[clean Salary (in local currency)]],"")</f>
        <v/>
      </c>
      <c r="Z1044" s="13" t="str">
        <f>IF(tblSalaries[[#This Row],[Job Type]]=tblSalaries[[#Headers],[Engineer]],tblSalaries[[#This Row],[Salary in USD]],"")</f>
        <v/>
      </c>
      <c r="AA1044" s="13" t="str">
        <f>IF(tblSalaries[[#This Row],[Job Type]]=tblSalaries[[#Headers],[Manager]],tblSalaries[[#This Row],[Salary in USD]],"")</f>
        <v/>
      </c>
      <c r="AB1044" s="13" t="str">
        <f>IF(tblSalaries[[#This Row],[Job Type]]=tblSalaries[[#Headers],[Misc.]],tblSalaries[[#This Row],[Salary in USD]],"")</f>
        <v/>
      </c>
      <c r="AC1044" s="13" t="str">
        <f>IF(tblSalaries[[#This Row],[Job Type]]=tblSalaries[[#Headers],[Reporting]],tblSalaries[[#This Row],[Salary in USD]],"")</f>
        <v/>
      </c>
      <c r="AD1044" s="13" t="str">
        <f>IF(tblSalaries[[#This Row],[Job Type]]=tblSalaries[[#Headers],[Specialist]],tblSalaries[[#This Row],[Salary in USD]],"")</f>
        <v/>
      </c>
    </row>
    <row r="1045" spans="2:30" ht="15" customHeight="1" x14ac:dyDescent="0.25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 s="9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  <c r="N1045" t="str">
        <f>IF(tblSalaries[[#This Row],[Years of Experience]]="","",IF(tblSalaries[[#This Row],[Years of Experience]]&lt;=2,1,""))</f>
        <v/>
      </c>
      <c r="O1045">
        <f>IF(tblSalaries[[#This Row],[Years of Experience]]="","",IF(AND(tblSalaries[[#This Row],[Years of Experience]]&gt;2,tblSalaries[[#This Row],[Years of Experience]]&lt;=5),1,""))</f>
        <v>1</v>
      </c>
      <c r="P1045" t="str">
        <f>IF(tblSalaries[[#This Row],[Years of Experience]]="","",IF(AND(tblSalaries[[#This Row],[Years of Experience]]&gt;5,tblSalaries[[#This Row],[Years of Experience]]&lt;=10),1,""))</f>
        <v/>
      </c>
      <c r="Q1045" t="str">
        <f>IF(tblSalaries[[#This Row],[Years of Experience]]="","",IF(AND(tblSalaries[[#This Row],[Years of Experience]]&gt;10,tblSalaries[[#This Row],[Years of Experience]]&lt;=15),1,""))</f>
        <v/>
      </c>
      <c r="R1045" t="str">
        <f>IF(tblSalaries[[#This Row],[Years of Experience]]="","",IF(AND(tblSalaries[[#This Row],[Years of Experience]]&gt;16,tblSalaries[[#This Row],[Years of Experience]]&lt;=20),1,""))</f>
        <v/>
      </c>
      <c r="S1045" t="str">
        <f>IF(tblSalaries[[#This Row],[Years of Experience]]="","",IF(tblSalaries[[#This Row],[Years of Experience]]&gt;20,1,""))</f>
        <v/>
      </c>
      <c r="T10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45" s="13" t="str">
        <f>IF(tblSalaries[[#This Row],[Job Type]]=tblSalaries[[#Headers],[Accountant]],tblSalaries[[#This Row],[Salary in USD]],"")</f>
        <v/>
      </c>
      <c r="V1045" s="13" t="str">
        <f>IF(tblSalaries[[#This Row],[Job Type]]=tblSalaries[[#Headers],[Analyst]],tblSalaries[[#This Row],[Salary in USD]],"")</f>
        <v/>
      </c>
      <c r="W1045" s="13" t="str">
        <f>IF(tblSalaries[[#This Row],[Job Type]]=tblSalaries[[#Headers],[Consultant]],tblSalaries[[#This Row],[Salary in USD]],"")</f>
        <v/>
      </c>
      <c r="X1045" s="13" t="str">
        <f>IF(tblSalaries[[#This Row],[Job Type]]=tblSalaries[[#Headers],[Controller]],tblSalaries[[#This Row],[Salary in USD]],"")</f>
        <v/>
      </c>
      <c r="Y1045" s="13" t="str">
        <f>IF(tblSalaries[[#This Row],[Job Type]]=tblSalaries[[#Headers],[CXO or Top Mgmt.]],tblSalaries[[#This Row],[clean Salary (in local currency)]],"")</f>
        <v/>
      </c>
      <c r="Z1045" s="13" t="str">
        <f>IF(tblSalaries[[#This Row],[Job Type]]=tblSalaries[[#Headers],[Engineer]],tblSalaries[[#This Row],[Salary in USD]],"")</f>
        <v/>
      </c>
      <c r="AA1045" s="13">
        <f>IF(tblSalaries[[#This Row],[Job Type]]=tblSalaries[[#Headers],[Manager]],tblSalaries[[#This Row],[Salary in USD]],"")</f>
        <v>3561.5833374885137</v>
      </c>
      <c r="AB1045" s="13" t="str">
        <f>IF(tblSalaries[[#This Row],[Job Type]]=tblSalaries[[#Headers],[Misc.]],tblSalaries[[#This Row],[Salary in USD]],"")</f>
        <v/>
      </c>
      <c r="AC1045" s="13" t="str">
        <f>IF(tblSalaries[[#This Row],[Job Type]]=tblSalaries[[#Headers],[Reporting]],tblSalaries[[#This Row],[Salary in USD]],"")</f>
        <v/>
      </c>
      <c r="AD1045" s="13" t="str">
        <f>IF(tblSalaries[[#This Row],[Job Type]]=tblSalaries[[#Headers],[Specialist]],tblSalaries[[#This Row],[Salary in USD]],"")</f>
        <v/>
      </c>
    </row>
    <row r="1046" spans="2:30" ht="15" customHeight="1" x14ac:dyDescent="0.25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 s="9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3999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  <c r="N1046" t="str">
        <f>IF(tblSalaries[[#This Row],[Years of Experience]]="","",IF(tblSalaries[[#This Row],[Years of Experience]]&lt;=2,1,""))</f>
        <v/>
      </c>
      <c r="O1046">
        <f>IF(tblSalaries[[#This Row],[Years of Experience]]="","",IF(AND(tblSalaries[[#This Row],[Years of Experience]]&gt;2,tblSalaries[[#This Row],[Years of Experience]]&lt;=5),1,""))</f>
        <v>1</v>
      </c>
      <c r="P1046" t="str">
        <f>IF(tblSalaries[[#This Row],[Years of Experience]]="","",IF(AND(tblSalaries[[#This Row],[Years of Experience]]&gt;5,tblSalaries[[#This Row],[Years of Experience]]&lt;=10),1,""))</f>
        <v/>
      </c>
      <c r="Q1046" t="str">
        <f>IF(tblSalaries[[#This Row],[Years of Experience]]="","",IF(AND(tblSalaries[[#This Row],[Years of Experience]]&gt;10,tblSalaries[[#This Row],[Years of Experience]]&lt;=15),1,""))</f>
        <v/>
      </c>
      <c r="R1046" t="str">
        <f>IF(tblSalaries[[#This Row],[Years of Experience]]="","",IF(AND(tblSalaries[[#This Row],[Years of Experience]]&gt;16,tblSalaries[[#This Row],[Years of Experience]]&lt;=20),1,""))</f>
        <v/>
      </c>
      <c r="S1046" t="str">
        <f>IF(tblSalaries[[#This Row],[Years of Experience]]="","",IF(tblSalaries[[#This Row],[Years of Experience]]&gt;20,1,""))</f>
        <v/>
      </c>
      <c r="T10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46" s="13" t="str">
        <f>IF(tblSalaries[[#This Row],[Job Type]]=tblSalaries[[#Headers],[Accountant]],tblSalaries[[#This Row],[Salary in USD]],"")</f>
        <v/>
      </c>
      <c r="V1046" s="13" t="str">
        <f>IF(tblSalaries[[#This Row],[Job Type]]=tblSalaries[[#Headers],[Analyst]],tblSalaries[[#This Row],[Salary in USD]],"")</f>
        <v/>
      </c>
      <c r="W1046" s="13" t="str">
        <f>IF(tblSalaries[[#This Row],[Job Type]]=tblSalaries[[#Headers],[Consultant]],tblSalaries[[#This Row],[Salary in USD]],"")</f>
        <v/>
      </c>
      <c r="X1046" s="13" t="str">
        <f>IF(tblSalaries[[#This Row],[Job Type]]=tblSalaries[[#Headers],[Controller]],tblSalaries[[#This Row],[Salary in USD]],"")</f>
        <v/>
      </c>
      <c r="Y1046" s="13" t="str">
        <f>IF(tblSalaries[[#This Row],[Job Type]]=tblSalaries[[#Headers],[CXO or Top Mgmt.]],tblSalaries[[#This Row],[clean Salary (in local currency)]],"")</f>
        <v/>
      </c>
      <c r="Z1046" s="13" t="str">
        <f>IF(tblSalaries[[#This Row],[Job Type]]=tblSalaries[[#Headers],[Engineer]],tblSalaries[[#This Row],[Salary in USD]],"")</f>
        <v/>
      </c>
      <c r="AA1046" s="13" t="str">
        <f>IF(tblSalaries[[#This Row],[Job Type]]=tblSalaries[[#Headers],[Manager]],tblSalaries[[#This Row],[Salary in USD]],"")</f>
        <v/>
      </c>
      <c r="AB1046" s="13" t="str">
        <f>IF(tblSalaries[[#This Row],[Job Type]]=tblSalaries[[#Headers],[Misc.]],tblSalaries[[#This Row],[Salary in USD]],"")</f>
        <v/>
      </c>
      <c r="AC1046" s="13">
        <f>IF(tblSalaries[[#This Row],[Job Type]]=tblSalaries[[#Headers],[Reporting]],tblSalaries[[#This Row],[Salary in USD]],"")</f>
        <v>3561.5833374885137</v>
      </c>
      <c r="AD1046" s="13" t="str">
        <f>IF(tblSalaries[[#This Row],[Job Type]]=tblSalaries[[#Headers],[Specialist]],tblSalaries[[#This Row],[Salary in USD]],"")</f>
        <v/>
      </c>
    </row>
    <row r="1047" spans="2:30" ht="15" customHeight="1" x14ac:dyDescent="0.25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 s="9">
        <f>tblSalaries[[#This Row],[clean Salary (in local currency)]]*VLOOKUP(tblSalaries[[#This Row],[Currency]],tblXrate[],2,FALSE)</f>
        <v>5100</v>
      </c>
      <c r="H1047" t="s">
        <v>721</v>
      </c>
      <c r="I1047" t="s">
        <v>3999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  <c r="N1047" t="str">
        <f>IF(tblSalaries[[#This Row],[Years of Experience]]="","",IF(tblSalaries[[#This Row],[Years of Experience]]&lt;=2,1,""))</f>
        <v/>
      </c>
      <c r="O1047" t="str">
        <f>IF(tblSalaries[[#This Row],[Years of Experience]]="","",IF(AND(tblSalaries[[#This Row],[Years of Experience]]&gt;2,tblSalaries[[#This Row],[Years of Experience]]&lt;=5),1,""))</f>
        <v/>
      </c>
      <c r="P1047">
        <f>IF(tblSalaries[[#This Row],[Years of Experience]]="","",IF(AND(tblSalaries[[#This Row],[Years of Experience]]&gt;5,tblSalaries[[#This Row],[Years of Experience]]&lt;=10),1,""))</f>
        <v>1</v>
      </c>
      <c r="Q1047" t="str">
        <f>IF(tblSalaries[[#This Row],[Years of Experience]]="","",IF(AND(tblSalaries[[#This Row],[Years of Experience]]&gt;10,tblSalaries[[#This Row],[Years of Experience]]&lt;=15),1,""))</f>
        <v/>
      </c>
      <c r="R1047" t="str">
        <f>IF(tblSalaries[[#This Row],[Years of Experience]]="","",IF(AND(tblSalaries[[#This Row],[Years of Experience]]&gt;16,tblSalaries[[#This Row],[Years of Experience]]&lt;=20),1,""))</f>
        <v/>
      </c>
      <c r="S1047" t="str">
        <f>IF(tblSalaries[[#This Row],[Years of Experience]]="","",IF(tblSalaries[[#This Row],[Years of Experience]]&gt;20,1,""))</f>
        <v/>
      </c>
      <c r="T10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47" s="13" t="str">
        <f>IF(tblSalaries[[#This Row],[Job Type]]=tblSalaries[[#Headers],[Accountant]],tblSalaries[[#This Row],[Salary in USD]],"")</f>
        <v/>
      </c>
      <c r="V1047" s="13" t="str">
        <f>IF(tblSalaries[[#This Row],[Job Type]]=tblSalaries[[#Headers],[Analyst]],tblSalaries[[#This Row],[Salary in USD]],"")</f>
        <v/>
      </c>
      <c r="W1047" s="13" t="str">
        <f>IF(tblSalaries[[#This Row],[Job Type]]=tblSalaries[[#Headers],[Consultant]],tblSalaries[[#This Row],[Salary in USD]],"")</f>
        <v/>
      </c>
      <c r="X1047" s="13" t="str">
        <f>IF(tblSalaries[[#This Row],[Job Type]]=tblSalaries[[#Headers],[Controller]],tblSalaries[[#This Row],[Salary in USD]],"")</f>
        <v/>
      </c>
      <c r="Y1047" s="13" t="str">
        <f>IF(tblSalaries[[#This Row],[Job Type]]=tblSalaries[[#Headers],[CXO or Top Mgmt.]],tblSalaries[[#This Row],[clean Salary (in local currency)]],"")</f>
        <v/>
      </c>
      <c r="Z1047" s="13" t="str">
        <f>IF(tblSalaries[[#This Row],[Job Type]]=tblSalaries[[#Headers],[Engineer]],tblSalaries[[#This Row],[Salary in USD]],"")</f>
        <v/>
      </c>
      <c r="AA1047" s="13" t="str">
        <f>IF(tblSalaries[[#This Row],[Job Type]]=tblSalaries[[#Headers],[Manager]],tblSalaries[[#This Row],[Salary in USD]],"")</f>
        <v/>
      </c>
      <c r="AB1047" s="13" t="str">
        <f>IF(tblSalaries[[#This Row],[Job Type]]=tblSalaries[[#Headers],[Misc.]],tblSalaries[[#This Row],[Salary in USD]],"")</f>
        <v/>
      </c>
      <c r="AC1047" s="13">
        <f>IF(tblSalaries[[#This Row],[Job Type]]=tblSalaries[[#Headers],[Reporting]],tblSalaries[[#This Row],[Salary in USD]],"")</f>
        <v>5100</v>
      </c>
      <c r="AD1047" s="13" t="str">
        <f>IF(tblSalaries[[#This Row],[Job Type]]=tblSalaries[[#Headers],[Specialist]],tblSalaries[[#This Row],[Salary in USD]],"")</f>
        <v/>
      </c>
    </row>
    <row r="1048" spans="2:30" ht="15" customHeight="1" x14ac:dyDescent="0.25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 s="9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  <c r="N1048" t="str">
        <f>IF(tblSalaries[[#This Row],[Years of Experience]]="","",IF(tblSalaries[[#This Row],[Years of Experience]]&lt;=2,1,""))</f>
        <v/>
      </c>
      <c r="O1048" t="str">
        <f>IF(tblSalaries[[#This Row],[Years of Experience]]="","",IF(AND(tblSalaries[[#This Row],[Years of Experience]]&gt;2,tblSalaries[[#This Row],[Years of Experience]]&lt;=5),1,""))</f>
        <v/>
      </c>
      <c r="P1048">
        <f>IF(tblSalaries[[#This Row],[Years of Experience]]="","",IF(AND(tblSalaries[[#This Row],[Years of Experience]]&gt;5,tblSalaries[[#This Row],[Years of Experience]]&lt;=10),1,""))</f>
        <v>1</v>
      </c>
      <c r="Q1048" t="str">
        <f>IF(tblSalaries[[#This Row],[Years of Experience]]="","",IF(AND(tblSalaries[[#This Row],[Years of Experience]]&gt;10,tblSalaries[[#This Row],[Years of Experience]]&lt;=15),1,""))</f>
        <v/>
      </c>
      <c r="R1048" t="str">
        <f>IF(tblSalaries[[#This Row],[Years of Experience]]="","",IF(AND(tblSalaries[[#This Row],[Years of Experience]]&gt;16,tblSalaries[[#This Row],[Years of Experience]]&lt;=20),1,""))</f>
        <v/>
      </c>
      <c r="S1048" t="str">
        <f>IF(tblSalaries[[#This Row],[Years of Experience]]="","",IF(tblSalaries[[#This Row],[Years of Experience]]&gt;20,1,""))</f>
        <v/>
      </c>
      <c r="T10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48" s="13" t="str">
        <f>IF(tblSalaries[[#This Row],[Job Type]]=tblSalaries[[#Headers],[Accountant]],tblSalaries[[#This Row],[Salary in USD]],"")</f>
        <v/>
      </c>
      <c r="V1048" s="13">
        <f>IF(tblSalaries[[#This Row],[Job Type]]=tblSalaries[[#Headers],[Analyst]],tblSalaries[[#This Row],[Salary in USD]],"")</f>
        <v>21369.500024931083</v>
      </c>
      <c r="W1048" s="13" t="str">
        <f>IF(tblSalaries[[#This Row],[Job Type]]=tblSalaries[[#Headers],[Consultant]],tblSalaries[[#This Row],[Salary in USD]],"")</f>
        <v/>
      </c>
      <c r="X1048" s="13" t="str">
        <f>IF(tblSalaries[[#This Row],[Job Type]]=tblSalaries[[#Headers],[Controller]],tblSalaries[[#This Row],[Salary in USD]],"")</f>
        <v/>
      </c>
      <c r="Y1048" s="13" t="str">
        <f>IF(tblSalaries[[#This Row],[Job Type]]=tblSalaries[[#Headers],[CXO or Top Mgmt.]],tblSalaries[[#This Row],[clean Salary (in local currency)]],"")</f>
        <v/>
      </c>
      <c r="Z1048" s="13" t="str">
        <f>IF(tblSalaries[[#This Row],[Job Type]]=tblSalaries[[#Headers],[Engineer]],tblSalaries[[#This Row],[Salary in USD]],"")</f>
        <v/>
      </c>
      <c r="AA1048" s="13" t="str">
        <f>IF(tblSalaries[[#This Row],[Job Type]]=tblSalaries[[#Headers],[Manager]],tblSalaries[[#This Row],[Salary in USD]],"")</f>
        <v/>
      </c>
      <c r="AB1048" s="13" t="str">
        <f>IF(tblSalaries[[#This Row],[Job Type]]=tblSalaries[[#Headers],[Misc.]],tblSalaries[[#This Row],[Salary in USD]],"")</f>
        <v/>
      </c>
      <c r="AC1048" s="13" t="str">
        <f>IF(tblSalaries[[#This Row],[Job Type]]=tblSalaries[[#Headers],[Reporting]],tblSalaries[[#This Row],[Salary in USD]],"")</f>
        <v/>
      </c>
      <c r="AD1048" s="13" t="str">
        <f>IF(tblSalaries[[#This Row],[Job Type]]=tblSalaries[[#Headers],[Specialist]],tblSalaries[[#This Row],[Salary in USD]],"")</f>
        <v/>
      </c>
    </row>
    <row r="1049" spans="2:30" ht="15" customHeight="1" x14ac:dyDescent="0.25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 s="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  <c r="N1049">
        <f>IF(tblSalaries[[#This Row],[Years of Experience]]="","",IF(tblSalaries[[#This Row],[Years of Experience]]&lt;=2,1,""))</f>
        <v>1</v>
      </c>
      <c r="O1049" t="str">
        <f>IF(tblSalaries[[#This Row],[Years of Experience]]="","",IF(AND(tblSalaries[[#This Row],[Years of Experience]]&gt;2,tblSalaries[[#This Row],[Years of Experience]]&lt;=5),1,""))</f>
        <v/>
      </c>
      <c r="P1049" t="str">
        <f>IF(tblSalaries[[#This Row],[Years of Experience]]="","",IF(AND(tblSalaries[[#This Row],[Years of Experience]]&gt;5,tblSalaries[[#This Row],[Years of Experience]]&lt;=10),1,""))</f>
        <v/>
      </c>
      <c r="Q1049" t="str">
        <f>IF(tblSalaries[[#This Row],[Years of Experience]]="","",IF(AND(tblSalaries[[#This Row],[Years of Experience]]&gt;10,tblSalaries[[#This Row],[Years of Experience]]&lt;=15),1,""))</f>
        <v/>
      </c>
      <c r="R1049" t="str">
        <f>IF(tblSalaries[[#This Row],[Years of Experience]]="","",IF(AND(tblSalaries[[#This Row],[Years of Experience]]&gt;16,tblSalaries[[#This Row],[Years of Experience]]&lt;=20),1,""))</f>
        <v/>
      </c>
      <c r="S1049" t="str">
        <f>IF(tblSalaries[[#This Row],[Years of Experience]]="","",IF(tblSalaries[[#This Row],[Years of Experience]]&gt;20,1,""))</f>
        <v/>
      </c>
      <c r="T10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49" s="13" t="str">
        <f>IF(tblSalaries[[#This Row],[Job Type]]=tblSalaries[[#Headers],[Accountant]],tblSalaries[[#This Row],[Salary in USD]],"")</f>
        <v/>
      </c>
      <c r="V1049" s="13" t="str">
        <f>IF(tblSalaries[[#This Row],[Job Type]]=tblSalaries[[#Headers],[Analyst]],tblSalaries[[#This Row],[Salary in USD]],"")</f>
        <v/>
      </c>
      <c r="W1049" s="13">
        <f>IF(tblSalaries[[#This Row],[Job Type]]=tblSalaries[[#Headers],[Consultant]],tblSalaries[[#This Row],[Salary in USD]],"")</f>
        <v>5342.3750062327708</v>
      </c>
      <c r="X1049" s="13" t="str">
        <f>IF(tblSalaries[[#This Row],[Job Type]]=tblSalaries[[#Headers],[Controller]],tblSalaries[[#This Row],[Salary in USD]],"")</f>
        <v/>
      </c>
      <c r="Y1049" s="13" t="str">
        <f>IF(tblSalaries[[#This Row],[Job Type]]=tblSalaries[[#Headers],[CXO or Top Mgmt.]],tblSalaries[[#This Row],[clean Salary (in local currency)]],"")</f>
        <v/>
      </c>
      <c r="Z1049" s="13" t="str">
        <f>IF(tblSalaries[[#This Row],[Job Type]]=tblSalaries[[#Headers],[Engineer]],tblSalaries[[#This Row],[Salary in USD]],"")</f>
        <v/>
      </c>
      <c r="AA1049" s="13" t="str">
        <f>IF(tblSalaries[[#This Row],[Job Type]]=tblSalaries[[#Headers],[Manager]],tblSalaries[[#This Row],[Salary in USD]],"")</f>
        <v/>
      </c>
      <c r="AB1049" s="13" t="str">
        <f>IF(tblSalaries[[#This Row],[Job Type]]=tblSalaries[[#Headers],[Misc.]],tblSalaries[[#This Row],[Salary in USD]],"")</f>
        <v/>
      </c>
      <c r="AC1049" s="13" t="str">
        <f>IF(tblSalaries[[#This Row],[Job Type]]=tblSalaries[[#Headers],[Reporting]],tblSalaries[[#This Row],[Salary in USD]],"")</f>
        <v/>
      </c>
      <c r="AD1049" s="13" t="str">
        <f>IF(tblSalaries[[#This Row],[Job Type]]=tblSalaries[[#Headers],[Specialist]],tblSalaries[[#This Row],[Salary in USD]],"")</f>
        <v/>
      </c>
    </row>
    <row r="1050" spans="2:30" ht="15" customHeight="1" x14ac:dyDescent="0.25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 s="9">
        <f>tblSalaries[[#This Row],[clean Salary (in local currency)]]*VLOOKUP(tblSalaries[[#This Row],[Currency]],tblXrate[],2,FALSE)</f>
        <v>50000</v>
      </c>
      <c r="H1050" t="s">
        <v>593</v>
      </c>
      <c r="I1050" t="s">
        <v>4001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  <c r="N1050" t="str">
        <f>IF(tblSalaries[[#This Row],[Years of Experience]]="","",IF(tblSalaries[[#This Row],[Years of Experience]]&lt;=2,1,""))</f>
        <v/>
      </c>
      <c r="O1050" t="str">
        <f>IF(tblSalaries[[#This Row],[Years of Experience]]="","",IF(AND(tblSalaries[[#This Row],[Years of Experience]]&gt;2,tblSalaries[[#This Row],[Years of Experience]]&lt;=5),1,""))</f>
        <v/>
      </c>
      <c r="P1050" t="str">
        <f>IF(tblSalaries[[#This Row],[Years of Experience]]="","",IF(AND(tblSalaries[[#This Row],[Years of Experience]]&gt;5,tblSalaries[[#This Row],[Years of Experience]]&lt;=10),1,""))</f>
        <v/>
      </c>
      <c r="Q1050" t="str">
        <f>IF(tblSalaries[[#This Row],[Years of Experience]]="","",IF(AND(tblSalaries[[#This Row],[Years of Experience]]&gt;10,tblSalaries[[#This Row],[Years of Experience]]&lt;=15),1,""))</f>
        <v/>
      </c>
      <c r="R1050" t="str">
        <f>IF(tblSalaries[[#This Row],[Years of Experience]]="","",IF(AND(tblSalaries[[#This Row],[Years of Experience]]&gt;16,tblSalaries[[#This Row],[Years of Experience]]&lt;=20),1,""))</f>
        <v/>
      </c>
      <c r="S1050">
        <f>IF(tblSalaries[[#This Row],[Years of Experience]]="","",IF(tblSalaries[[#This Row],[Years of Experience]]&gt;20,1,""))</f>
        <v>1</v>
      </c>
      <c r="T10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50" s="13" t="str">
        <f>IF(tblSalaries[[#This Row],[Job Type]]=tblSalaries[[#Headers],[Accountant]],tblSalaries[[#This Row],[Salary in USD]],"")</f>
        <v/>
      </c>
      <c r="V1050" s="13" t="str">
        <f>IF(tblSalaries[[#This Row],[Job Type]]=tblSalaries[[#Headers],[Analyst]],tblSalaries[[#This Row],[Salary in USD]],"")</f>
        <v/>
      </c>
      <c r="W1050" s="13" t="str">
        <f>IF(tblSalaries[[#This Row],[Job Type]]=tblSalaries[[#Headers],[Consultant]],tblSalaries[[#This Row],[Salary in USD]],"")</f>
        <v/>
      </c>
      <c r="X1050" s="13" t="str">
        <f>IF(tblSalaries[[#This Row],[Job Type]]=tblSalaries[[#Headers],[Controller]],tblSalaries[[#This Row],[Salary in USD]],"")</f>
        <v/>
      </c>
      <c r="Y1050" s="13">
        <f>IF(tblSalaries[[#This Row],[Job Type]]=tblSalaries[[#Headers],[CXO or Top Mgmt.]],tblSalaries[[#This Row],[clean Salary (in local currency)]],"")</f>
        <v>50000</v>
      </c>
      <c r="Z1050" s="13" t="str">
        <f>IF(tblSalaries[[#This Row],[Job Type]]=tblSalaries[[#Headers],[Engineer]],tblSalaries[[#This Row],[Salary in USD]],"")</f>
        <v/>
      </c>
      <c r="AA1050" s="13" t="str">
        <f>IF(tblSalaries[[#This Row],[Job Type]]=tblSalaries[[#Headers],[Manager]],tblSalaries[[#This Row],[Salary in USD]],"")</f>
        <v/>
      </c>
      <c r="AB1050" s="13" t="str">
        <f>IF(tblSalaries[[#This Row],[Job Type]]=tblSalaries[[#Headers],[Misc.]],tblSalaries[[#This Row],[Salary in USD]],"")</f>
        <v/>
      </c>
      <c r="AC1050" s="13" t="str">
        <f>IF(tblSalaries[[#This Row],[Job Type]]=tblSalaries[[#Headers],[Reporting]],tblSalaries[[#This Row],[Salary in USD]],"")</f>
        <v/>
      </c>
      <c r="AD1050" s="13" t="str">
        <f>IF(tblSalaries[[#This Row],[Job Type]]=tblSalaries[[#Headers],[Specialist]],tblSalaries[[#This Row],[Salary in USD]],"")</f>
        <v/>
      </c>
    </row>
    <row r="1051" spans="2:30" ht="15" customHeight="1" x14ac:dyDescent="0.25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 s="9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  <c r="N1051" t="str">
        <f>IF(tblSalaries[[#This Row],[Years of Experience]]="","",IF(tblSalaries[[#This Row],[Years of Experience]]&lt;=2,1,""))</f>
        <v/>
      </c>
      <c r="O1051" t="str">
        <f>IF(tblSalaries[[#This Row],[Years of Experience]]="","",IF(AND(tblSalaries[[#This Row],[Years of Experience]]&gt;2,tblSalaries[[#This Row],[Years of Experience]]&lt;=5),1,""))</f>
        <v/>
      </c>
      <c r="P1051">
        <f>IF(tblSalaries[[#This Row],[Years of Experience]]="","",IF(AND(tblSalaries[[#This Row],[Years of Experience]]&gt;5,tblSalaries[[#This Row],[Years of Experience]]&lt;=10),1,""))</f>
        <v>1</v>
      </c>
      <c r="Q1051" t="str">
        <f>IF(tblSalaries[[#This Row],[Years of Experience]]="","",IF(AND(tblSalaries[[#This Row],[Years of Experience]]&gt;10,tblSalaries[[#This Row],[Years of Experience]]&lt;=15),1,""))</f>
        <v/>
      </c>
      <c r="R1051" t="str">
        <f>IF(tblSalaries[[#This Row],[Years of Experience]]="","",IF(AND(tblSalaries[[#This Row],[Years of Experience]]&gt;16,tblSalaries[[#This Row],[Years of Experience]]&lt;=20),1,""))</f>
        <v/>
      </c>
      <c r="S1051" t="str">
        <f>IF(tblSalaries[[#This Row],[Years of Experience]]="","",IF(tblSalaries[[#This Row],[Years of Experience]]&gt;20,1,""))</f>
        <v/>
      </c>
      <c r="T10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51" s="13" t="str">
        <f>IF(tblSalaries[[#This Row],[Job Type]]=tblSalaries[[#Headers],[Accountant]],tblSalaries[[#This Row],[Salary in USD]],"")</f>
        <v/>
      </c>
      <c r="V1051" s="13" t="str">
        <f>IF(tblSalaries[[#This Row],[Job Type]]=tblSalaries[[#Headers],[Analyst]],tblSalaries[[#This Row],[Salary in USD]],"")</f>
        <v/>
      </c>
      <c r="W1051" s="13" t="str">
        <f>IF(tblSalaries[[#This Row],[Job Type]]=tblSalaries[[#Headers],[Consultant]],tblSalaries[[#This Row],[Salary in USD]],"")</f>
        <v/>
      </c>
      <c r="X1051" s="13" t="str">
        <f>IF(tblSalaries[[#This Row],[Job Type]]=tblSalaries[[#Headers],[Controller]],tblSalaries[[#This Row],[Salary in USD]],"")</f>
        <v/>
      </c>
      <c r="Y1051" s="13" t="str">
        <f>IF(tblSalaries[[#This Row],[Job Type]]=tblSalaries[[#Headers],[CXO or Top Mgmt.]],tblSalaries[[#This Row],[clean Salary (in local currency)]],"")</f>
        <v/>
      </c>
      <c r="Z1051" s="13" t="str">
        <f>IF(tblSalaries[[#This Row],[Job Type]]=tblSalaries[[#Headers],[Engineer]],tblSalaries[[#This Row],[Salary in USD]],"")</f>
        <v/>
      </c>
      <c r="AA1051" s="13">
        <f>IF(tblSalaries[[#This Row],[Job Type]]=tblSalaries[[#Headers],[Manager]],tblSalaries[[#This Row],[Salary in USD]],"")</f>
        <v>28492.66669990811</v>
      </c>
      <c r="AB1051" s="13" t="str">
        <f>IF(tblSalaries[[#This Row],[Job Type]]=tblSalaries[[#Headers],[Misc.]],tblSalaries[[#This Row],[Salary in USD]],"")</f>
        <v/>
      </c>
      <c r="AC1051" s="13" t="str">
        <f>IF(tblSalaries[[#This Row],[Job Type]]=tblSalaries[[#Headers],[Reporting]],tblSalaries[[#This Row],[Salary in USD]],"")</f>
        <v/>
      </c>
      <c r="AD1051" s="13" t="str">
        <f>IF(tblSalaries[[#This Row],[Job Type]]=tblSalaries[[#Headers],[Specialist]],tblSalaries[[#This Row],[Salary in USD]],"")</f>
        <v/>
      </c>
    </row>
    <row r="1052" spans="2:30" ht="15" customHeight="1" x14ac:dyDescent="0.25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 s="9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  <c r="N1052">
        <f>IF(tblSalaries[[#This Row],[Years of Experience]]="","",IF(tblSalaries[[#This Row],[Years of Experience]]&lt;=2,1,""))</f>
        <v>1</v>
      </c>
      <c r="O1052" t="str">
        <f>IF(tblSalaries[[#This Row],[Years of Experience]]="","",IF(AND(tblSalaries[[#This Row],[Years of Experience]]&gt;2,tblSalaries[[#This Row],[Years of Experience]]&lt;=5),1,""))</f>
        <v/>
      </c>
      <c r="P1052" t="str">
        <f>IF(tblSalaries[[#This Row],[Years of Experience]]="","",IF(AND(tblSalaries[[#This Row],[Years of Experience]]&gt;5,tblSalaries[[#This Row],[Years of Experience]]&lt;=10),1,""))</f>
        <v/>
      </c>
      <c r="Q1052" t="str">
        <f>IF(tblSalaries[[#This Row],[Years of Experience]]="","",IF(AND(tblSalaries[[#This Row],[Years of Experience]]&gt;10,tblSalaries[[#This Row],[Years of Experience]]&lt;=15),1,""))</f>
        <v/>
      </c>
      <c r="R1052" t="str">
        <f>IF(tblSalaries[[#This Row],[Years of Experience]]="","",IF(AND(tblSalaries[[#This Row],[Years of Experience]]&gt;16,tblSalaries[[#This Row],[Years of Experience]]&lt;=20),1,""))</f>
        <v/>
      </c>
      <c r="S1052" t="str">
        <f>IF(tblSalaries[[#This Row],[Years of Experience]]="","",IF(tblSalaries[[#This Row],[Years of Experience]]&gt;20,1,""))</f>
        <v/>
      </c>
      <c r="T10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52" s="13" t="str">
        <f>IF(tblSalaries[[#This Row],[Job Type]]=tblSalaries[[#Headers],[Accountant]],tblSalaries[[#This Row],[Salary in USD]],"")</f>
        <v/>
      </c>
      <c r="V1052" s="13">
        <f>IF(tblSalaries[[#This Row],[Job Type]]=tblSalaries[[#Headers],[Analyst]],tblSalaries[[#This Row],[Salary in USD]],"")</f>
        <v>24588.381044249632</v>
      </c>
      <c r="W1052" s="13" t="str">
        <f>IF(tblSalaries[[#This Row],[Job Type]]=tblSalaries[[#Headers],[Consultant]],tblSalaries[[#This Row],[Salary in USD]],"")</f>
        <v/>
      </c>
      <c r="X1052" s="13" t="str">
        <f>IF(tblSalaries[[#This Row],[Job Type]]=tblSalaries[[#Headers],[Controller]],tblSalaries[[#This Row],[Salary in USD]],"")</f>
        <v/>
      </c>
      <c r="Y1052" s="13" t="str">
        <f>IF(tblSalaries[[#This Row],[Job Type]]=tblSalaries[[#Headers],[CXO or Top Mgmt.]],tblSalaries[[#This Row],[clean Salary (in local currency)]],"")</f>
        <v/>
      </c>
      <c r="Z1052" s="13" t="str">
        <f>IF(tblSalaries[[#This Row],[Job Type]]=tblSalaries[[#Headers],[Engineer]],tblSalaries[[#This Row],[Salary in USD]],"")</f>
        <v/>
      </c>
      <c r="AA1052" s="13" t="str">
        <f>IF(tblSalaries[[#This Row],[Job Type]]=tblSalaries[[#Headers],[Manager]],tblSalaries[[#This Row],[Salary in USD]],"")</f>
        <v/>
      </c>
      <c r="AB1052" s="13" t="str">
        <f>IF(tblSalaries[[#This Row],[Job Type]]=tblSalaries[[#Headers],[Misc.]],tblSalaries[[#This Row],[Salary in USD]],"")</f>
        <v/>
      </c>
      <c r="AC1052" s="13" t="str">
        <f>IF(tblSalaries[[#This Row],[Job Type]]=tblSalaries[[#Headers],[Reporting]],tblSalaries[[#This Row],[Salary in USD]],"")</f>
        <v/>
      </c>
      <c r="AD1052" s="13" t="str">
        <f>IF(tblSalaries[[#This Row],[Job Type]]=tblSalaries[[#Headers],[Specialist]],tblSalaries[[#This Row],[Salary in USD]],"")</f>
        <v/>
      </c>
    </row>
    <row r="1053" spans="2:30" ht="15" customHeight="1" x14ac:dyDescent="0.25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 s="9">
        <f>tblSalaries[[#This Row],[clean Salary (in local currency)]]*VLOOKUP(tblSalaries[[#This Row],[Currency]],tblXrate[],2,FALSE)</f>
        <v>7000</v>
      </c>
      <c r="H1053" t="s">
        <v>721</v>
      </c>
      <c r="I1053" t="s">
        <v>3999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  <c r="N1053" t="str">
        <f>IF(tblSalaries[[#This Row],[Years of Experience]]="","",IF(tblSalaries[[#This Row],[Years of Experience]]&lt;=2,1,""))</f>
        <v/>
      </c>
      <c r="O1053">
        <f>IF(tblSalaries[[#This Row],[Years of Experience]]="","",IF(AND(tblSalaries[[#This Row],[Years of Experience]]&gt;2,tblSalaries[[#This Row],[Years of Experience]]&lt;=5),1,""))</f>
        <v>1</v>
      </c>
      <c r="P1053" t="str">
        <f>IF(tblSalaries[[#This Row],[Years of Experience]]="","",IF(AND(tblSalaries[[#This Row],[Years of Experience]]&gt;5,tblSalaries[[#This Row],[Years of Experience]]&lt;=10),1,""))</f>
        <v/>
      </c>
      <c r="Q1053" t="str">
        <f>IF(tblSalaries[[#This Row],[Years of Experience]]="","",IF(AND(tblSalaries[[#This Row],[Years of Experience]]&gt;10,tblSalaries[[#This Row],[Years of Experience]]&lt;=15),1,""))</f>
        <v/>
      </c>
      <c r="R1053" t="str">
        <f>IF(tblSalaries[[#This Row],[Years of Experience]]="","",IF(AND(tblSalaries[[#This Row],[Years of Experience]]&gt;16,tblSalaries[[#This Row],[Years of Experience]]&lt;=20),1,""))</f>
        <v/>
      </c>
      <c r="S1053" t="str">
        <f>IF(tblSalaries[[#This Row],[Years of Experience]]="","",IF(tblSalaries[[#This Row],[Years of Experience]]&gt;20,1,""))</f>
        <v/>
      </c>
      <c r="T10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53" s="13" t="str">
        <f>IF(tblSalaries[[#This Row],[Job Type]]=tblSalaries[[#Headers],[Accountant]],tblSalaries[[#This Row],[Salary in USD]],"")</f>
        <v/>
      </c>
      <c r="V1053" s="13" t="str">
        <f>IF(tblSalaries[[#This Row],[Job Type]]=tblSalaries[[#Headers],[Analyst]],tblSalaries[[#This Row],[Salary in USD]],"")</f>
        <v/>
      </c>
      <c r="W1053" s="13" t="str">
        <f>IF(tblSalaries[[#This Row],[Job Type]]=tblSalaries[[#Headers],[Consultant]],tblSalaries[[#This Row],[Salary in USD]],"")</f>
        <v/>
      </c>
      <c r="X1053" s="13" t="str">
        <f>IF(tblSalaries[[#This Row],[Job Type]]=tblSalaries[[#Headers],[Controller]],tblSalaries[[#This Row],[Salary in USD]],"")</f>
        <v/>
      </c>
      <c r="Y1053" s="13" t="str">
        <f>IF(tblSalaries[[#This Row],[Job Type]]=tblSalaries[[#Headers],[CXO or Top Mgmt.]],tblSalaries[[#This Row],[clean Salary (in local currency)]],"")</f>
        <v/>
      </c>
      <c r="Z1053" s="13" t="str">
        <f>IF(tblSalaries[[#This Row],[Job Type]]=tblSalaries[[#Headers],[Engineer]],tblSalaries[[#This Row],[Salary in USD]],"")</f>
        <v/>
      </c>
      <c r="AA1053" s="13" t="str">
        <f>IF(tblSalaries[[#This Row],[Job Type]]=tblSalaries[[#Headers],[Manager]],tblSalaries[[#This Row],[Salary in USD]],"")</f>
        <v/>
      </c>
      <c r="AB1053" s="13" t="str">
        <f>IF(tblSalaries[[#This Row],[Job Type]]=tblSalaries[[#Headers],[Misc.]],tblSalaries[[#This Row],[Salary in USD]],"")</f>
        <v/>
      </c>
      <c r="AC1053" s="13">
        <f>IF(tblSalaries[[#This Row],[Job Type]]=tblSalaries[[#Headers],[Reporting]],tblSalaries[[#This Row],[Salary in USD]],"")</f>
        <v>7000</v>
      </c>
      <c r="AD1053" s="13" t="str">
        <f>IF(tblSalaries[[#This Row],[Job Type]]=tblSalaries[[#Headers],[Specialist]],tblSalaries[[#This Row],[Salary in USD]],"")</f>
        <v/>
      </c>
    </row>
    <row r="1054" spans="2:30" ht="15" customHeight="1" x14ac:dyDescent="0.25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 s="9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  <c r="N1054" t="str">
        <f>IF(tblSalaries[[#This Row],[Years of Experience]]="","",IF(tblSalaries[[#This Row],[Years of Experience]]&lt;=2,1,""))</f>
        <v/>
      </c>
      <c r="O1054" t="str">
        <f>IF(tblSalaries[[#This Row],[Years of Experience]]="","",IF(AND(tblSalaries[[#This Row],[Years of Experience]]&gt;2,tblSalaries[[#This Row],[Years of Experience]]&lt;=5),1,""))</f>
        <v/>
      </c>
      <c r="P1054">
        <f>IF(tblSalaries[[#This Row],[Years of Experience]]="","",IF(AND(tblSalaries[[#This Row],[Years of Experience]]&gt;5,tblSalaries[[#This Row],[Years of Experience]]&lt;=10),1,""))</f>
        <v>1</v>
      </c>
      <c r="Q1054" t="str">
        <f>IF(tblSalaries[[#This Row],[Years of Experience]]="","",IF(AND(tblSalaries[[#This Row],[Years of Experience]]&gt;10,tblSalaries[[#This Row],[Years of Experience]]&lt;=15),1,""))</f>
        <v/>
      </c>
      <c r="R1054" t="str">
        <f>IF(tblSalaries[[#This Row],[Years of Experience]]="","",IF(AND(tblSalaries[[#This Row],[Years of Experience]]&gt;16,tblSalaries[[#This Row],[Years of Experience]]&lt;=20),1,""))</f>
        <v/>
      </c>
      <c r="S1054" t="str">
        <f>IF(tblSalaries[[#This Row],[Years of Experience]]="","",IF(tblSalaries[[#This Row],[Years of Experience]]&gt;20,1,""))</f>
        <v/>
      </c>
      <c r="T10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54" s="13" t="str">
        <f>IF(tblSalaries[[#This Row],[Job Type]]=tblSalaries[[#Headers],[Accountant]],tblSalaries[[#This Row],[Salary in USD]],"")</f>
        <v/>
      </c>
      <c r="V1054" s="13">
        <f>IF(tblSalaries[[#This Row],[Job Type]]=tblSalaries[[#Headers],[Analyst]],tblSalaries[[#This Row],[Salary in USD]],"")</f>
        <v>7799.8675090998449</v>
      </c>
      <c r="W1054" s="13" t="str">
        <f>IF(tblSalaries[[#This Row],[Job Type]]=tblSalaries[[#Headers],[Consultant]],tblSalaries[[#This Row],[Salary in USD]],"")</f>
        <v/>
      </c>
      <c r="X1054" s="13" t="str">
        <f>IF(tblSalaries[[#This Row],[Job Type]]=tblSalaries[[#Headers],[Controller]],tblSalaries[[#This Row],[Salary in USD]],"")</f>
        <v/>
      </c>
      <c r="Y1054" s="13" t="str">
        <f>IF(tblSalaries[[#This Row],[Job Type]]=tblSalaries[[#Headers],[CXO or Top Mgmt.]],tblSalaries[[#This Row],[clean Salary (in local currency)]],"")</f>
        <v/>
      </c>
      <c r="Z1054" s="13" t="str">
        <f>IF(tblSalaries[[#This Row],[Job Type]]=tblSalaries[[#Headers],[Engineer]],tblSalaries[[#This Row],[Salary in USD]],"")</f>
        <v/>
      </c>
      <c r="AA1054" s="13" t="str">
        <f>IF(tblSalaries[[#This Row],[Job Type]]=tblSalaries[[#Headers],[Manager]],tblSalaries[[#This Row],[Salary in USD]],"")</f>
        <v/>
      </c>
      <c r="AB1054" s="13" t="str">
        <f>IF(tblSalaries[[#This Row],[Job Type]]=tblSalaries[[#Headers],[Misc.]],tblSalaries[[#This Row],[Salary in USD]],"")</f>
        <v/>
      </c>
      <c r="AC1054" s="13" t="str">
        <f>IF(tblSalaries[[#This Row],[Job Type]]=tblSalaries[[#Headers],[Reporting]],tblSalaries[[#This Row],[Salary in USD]],"")</f>
        <v/>
      </c>
      <c r="AD1054" s="13" t="str">
        <f>IF(tblSalaries[[#This Row],[Job Type]]=tblSalaries[[#Headers],[Specialist]],tblSalaries[[#This Row],[Salary in USD]],"")</f>
        <v/>
      </c>
    </row>
    <row r="1055" spans="2:30" ht="15" customHeight="1" x14ac:dyDescent="0.25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 s="9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  <c r="N1055" t="str">
        <f>IF(tblSalaries[[#This Row],[Years of Experience]]="","",IF(tblSalaries[[#This Row],[Years of Experience]]&lt;=2,1,""))</f>
        <v/>
      </c>
      <c r="O1055" t="str">
        <f>IF(tblSalaries[[#This Row],[Years of Experience]]="","",IF(AND(tblSalaries[[#This Row],[Years of Experience]]&gt;2,tblSalaries[[#This Row],[Years of Experience]]&lt;=5),1,""))</f>
        <v/>
      </c>
      <c r="P1055" t="str">
        <f>IF(tblSalaries[[#This Row],[Years of Experience]]="","",IF(AND(tblSalaries[[#This Row],[Years of Experience]]&gt;5,tblSalaries[[#This Row],[Years of Experience]]&lt;=10),1,""))</f>
        <v/>
      </c>
      <c r="Q1055">
        <f>IF(tblSalaries[[#This Row],[Years of Experience]]="","",IF(AND(tblSalaries[[#This Row],[Years of Experience]]&gt;10,tblSalaries[[#This Row],[Years of Experience]]&lt;=15),1,""))</f>
        <v>1</v>
      </c>
      <c r="R1055" t="str">
        <f>IF(tblSalaries[[#This Row],[Years of Experience]]="","",IF(AND(tblSalaries[[#This Row],[Years of Experience]]&gt;16,tblSalaries[[#This Row],[Years of Experience]]&lt;=20),1,""))</f>
        <v/>
      </c>
      <c r="S1055" t="str">
        <f>IF(tblSalaries[[#This Row],[Years of Experience]]="","",IF(tblSalaries[[#This Row],[Years of Experience]]&gt;20,1,""))</f>
        <v/>
      </c>
      <c r="T10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55" s="13" t="str">
        <f>IF(tblSalaries[[#This Row],[Job Type]]=tblSalaries[[#Headers],[Accountant]],tblSalaries[[#This Row],[Salary in USD]],"")</f>
        <v/>
      </c>
      <c r="V1055" s="13" t="str">
        <f>IF(tblSalaries[[#This Row],[Job Type]]=tblSalaries[[#Headers],[Analyst]],tblSalaries[[#This Row],[Salary in USD]],"")</f>
        <v/>
      </c>
      <c r="W1055" s="13" t="str">
        <f>IF(tblSalaries[[#This Row],[Job Type]]=tblSalaries[[#Headers],[Consultant]],tblSalaries[[#This Row],[Salary in USD]],"")</f>
        <v/>
      </c>
      <c r="X1055" s="13" t="str">
        <f>IF(tblSalaries[[#This Row],[Job Type]]=tblSalaries[[#Headers],[Controller]],tblSalaries[[#This Row],[Salary in USD]],"")</f>
        <v/>
      </c>
      <c r="Y1055" s="13" t="str">
        <f>IF(tblSalaries[[#This Row],[Job Type]]=tblSalaries[[#Headers],[CXO or Top Mgmt.]],tblSalaries[[#This Row],[clean Salary (in local currency)]],"")</f>
        <v/>
      </c>
      <c r="Z1055" s="13" t="str">
        <f>IF(tblSalaries[[#This Row],[Job Type]]=tblSalaries[[#Headers],[Engineer]],tblSalaries[[#This Row],[Salary in USD]],"")</f>
        <v/>
      </c>
      <c r="AA1055" s="13">
        <f>IF(tblSalaries[[#This Row],[Job Type]]=tblSalaries[[#Headers],[Manager]],tblSalaries[[#This Row],[Salary in USD]],"")</f>
        <v>78808.913603364199</v>
      </c>
      <c r="AB1055" s="13" t="str">
        <f>IF(tblSalaries[[#This Row],[Job Type]]=tblSalaries[[#Headers],[Misc.]],tblSalaries[[#This Row],[Salary in USD]],"")</f>
        <v/>
      </c>
      <c r="AC1055" s="13" t="str">
        <f>IF(tblSalaries[[#This Row],[Job Type]]=tblSalaries[[#Headers],[Reporting]],tblSalaries[[#This Row],[Salary in USD]],"")</f>
        <v/>
      </c>
      <c r="AD1055" s="13" t="str">
        <f>IF(tblSalaries[[#This Row],[Job Type]]=tblSalaries[[#Headers],[Specialist]],tblSalaries[[#This Row],[Salary in USD]],"")</f>
        <v/>
      </c>
    </row>
    <row r="1056" spans="2:30" ht="15" customHeight="1" x14ac:dyDescent="0.25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 s="9">
        <f>tblSalaries[[#This Row],[clean Salary (in local currency)]]*VLOOKUP(tblSalaries[[#This Row],[Currency]],tblXrate[],2,FALSE)</f>
        <v>6720</v>
      </c>
      <c r="H1056" t="s">
        <v>721</v>
      </c>
      <c r="I1056" t="s">
        <v>3999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  <c r="N1056" t="str">
        <f>IF(tblSalaries[[#This Row],[Years of Experience]]="","",IF(tblSalaries[[#This Row],[Years of Experience]]&lt;=2,1,""))</f>
        <v/>
      </c>
      <c r="O1056" t="str">
        <f>IF(tblSalaries[[#This Row],[Years of Experience]]="","",IF(AND(tblSalaries[[#This Row],[Years of Experience]]&gt;2,tblSalaries[[#This Row],[Years of Experience]]&lt;=5),1,""))</f>
        <v/>
      </c>
      <c r="P1056">
        <f>IF(tblSalaries[[#This Row],[Years of Experience]]="","",IF(AND(tblSalaries[[#This Row],[Years of Experience]]&gt;5,tblSalaries[[#This Row],[Years of Experience]]&lt;=10),1,""))</f>
        <v>1</v>
      </c>
      <c r="Q1056" t="str">
        <f>IF(tblSalaries[[#This Row],[Years of Experience]]="","",IF(AND(tblSalaries[[#This Row],[Years of Experience]]&gt;10,tblSalaries[[#This Row],[Years of Experience]]&lt;=15),1,""))</f>
        <v/>
      </c>
      <c r="R1056" t="str">
        <f>IF(tblSalaries[[#This Row],[Years of Experience]]="","",IF(AND(tblSalaries[[#This Row],[Years of Experience]]&gt;16,tblSalaries[[#This Row],[Years of Experience]]&lt;=20),1,""))</f>
        <v/>
      </c>
      <c r="S1056" t="str">
        <f>IF(tblSalaries[[#This Row],[Years of Experience]]="","",IF(tblSalaries[[#This Row],[Years of Experience]]&gt;20,1,""))</f>
        <v/>
      </c>
      <c r="T10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56" s="13" t="str">
        <f>IF(tblSalaries[[#This Row],[Job Type]]=tblSalaries[[#Headers],[Accountant]],tblSalaries[[#This Row],[Salary in USD]],"")</f>
        <v/>
      </c>
      <c r="V1056" s="13" t="str">
        <f>IF(tblSalaries[[#This Row],[Job Type]]=tblSalaries[[#Headers],[Analyst]],tblSalaries[[#This Row],[Salary in USD]],"")</f>
        <v/>
      </c>
      <c r="W1056" s="13" t="str">
        <f>IF(tblSalaries[[#This Row],[Job Type]]=tblSalaries[[#Headers],[Consultant]],tblSalaries[[#This Row],[Salary in USD]],"")</f>
        <v/>
      </c>
      <c r="X1056" s="13" t="str">
        <f>IF(tblSalaries[[#This Row],[Job Type]]=tblSalaries[[#Headers],[Controller]],tblSalaries[[#This Row],[Salary in USD]],"")</f>
        <v/>
      </c>
      <c r="Y1056" s="13" t="str">
        <f>IF(tblSalaries[[#This Row],[Job Type]]=tblSalaries[[#Headers],[CXO or Top Mgmt.]],tblSalaries[[#This Row],[clean Salary (in local currency)]],"")</f>
        <v/>
      </c>
      <c r="Z1056" s="13" t="str">
        <f>IF(tblSalaries[[#This Row],[Job Type]]=tblSalaries[[#Headers],[Engineer]],tblSalaries[[#This Row],[Salary in USD]],"")</f>
        <v/>
      </c>
      <c r="AA1056" s="13" t="str">
        <f>IF(tblSalaries[[#This Row],[Job Type]]=tblSalaries[[#Headers],[Manager]],tblSalaries[[#This Row],[Salary in USD]],"")</f>
        <v/>
      </c>
      <c r="AB1056" s="13" t="str">
        <f>IF(tblSalaries[[#This Row],[Job Type]]=tblSalaries[[#Headers],[Misc.]],tblSalaries[[#This Row],[Salary in USD]],"")</f>
        <v/>
      </c>
      <c r="AC1056" s="13">
        <f>IF(tblSalaries[[#This Row],[Job Type]]=tblSalaries[[#Headers],[Reporting]],tblSalaries[[#This Row],[Salary in USD]],"")</f>
        <v>6720</v>
      </c>
      <c r="AD1056" s="13" t="str">
        <f>IF(tblSalaries[[#This Row],[Job Type]]=tblSalaries[[#Headers],[Specialist]],tblSalaries[[#This Row],[Salary in USD]],"")</f>
        <v/>
      </c>
    </row>
    <row r="1057" spans="2:30" ht="15" customHeight="1" x14ac:dyDescent="0.25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 s="9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3999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  <c r="N1057" t="str">
        <f>IF(tblSalaries[[#This Row],[Years of Experience]]="","",IF(tblSalaries[[#This Row],[Years of Experience]]&lt;=2,1,""))</f>
        <v/>
      </c>
      <c r="O1057">
        <f>IF(tblSalaries[[#This Row],[Years of Experience]]="","",IF(AND(tblSalaries[[#This Row],[Years of Experience]]&gt;2,tblSalaries[[#This Row],[Years of Experience]]&lt;=5),1,""))</f>
        <v>1</v>
      </c>
      <c r="P1057" t="str">
        <f>IF(tblSalaries[[#This Row],[Years of Experience]]="","",IF(AND(tblSalaries[[#This Row],[Years of Experience]]&gt;5,tblSalaries[[#This Row],[Years of Experience]]&lt;=10),1,""))</f>
        <v/>
      </c>
      <c r="Q1057" t="str">
        <f>IF(tblSalaries[[#This Row],[Years of Experience]]="","",IF(AND(tblSalaries[[#This Row],[Years of Experience]]&gt;10,tblSalaries[[#This Row],[Years of Experience]]&lt;=15),1,""))</f>
        <v/>
      </c>
      <c r="R1057" t="str">
        <f>IF(tblSalaries[[#This Row],[Years of Experience]]="","",IF(AND(tblSalaries[[#This Row],[Years of Experience]]&gt;16,tblSalaries[[#This Row],[Years of Experience]]&lt;=20),1,""))</f>
        <v/>
      </c>
      <c r="S1057" t="str">
        <f>IF(tblSalaries[[#This Row],[Years of Experience]]="","",IF(tblSalaries[[#This Row],[Years of Experience]]&gt;20,1,""))</f>
        <v/>
      </c>
      <c r="T10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57" s="13" t="str">
        <f>IF(tblSalaries[[#This Row],[Job Type]]=tblSalaries[[#Headers],[Accountant]],tblSalaries[[#This Row],[Salary in USD]],"")</f>
        <v/>
      </c>
      <c r="V1057" s="13" t="str">
        <f>IF(tblSalaries[[#This Row],[Job Type]]=tblSalaries[[#Headers],[Analyst]],tblSalaries[[#This Row],[Salary in USD]],"")</f>
        <v/>
      </c>
      <c r="W1057" s="13" t="str">
        <f>IF(tblSalaries[[#This Row],[Job Type]]=tblSalaries[[#Headers],[Consultant]],tblSalaries[[#This Row],[Salary in USD]],"")</f>
        <v/>
      </c>
      <c r="X1057" s="13" t="str">
        <f>IF(tblSalaries[[#This Row],[Job Type]]=tblSalaries[[#Headers],[Controller]],tblSalaries[[#This Row],[Salary in USD]],"")</f>
        <v/>
      </c>
      <c r="Y1057" s="13" t="str">
        <f>IF(tblSalaries[[#This Row],[Job Type]]=tblSalaries[[#Headers],[CXO or Top Mgmt.]],tblSalaries[[#This Row],[clean Salary (in local currency)]],"")</f>
        <v/>
      </c>
      <c r="Z1057" s="13" t="str">
        <f>IF(tblSalaries[[#This Row],[Job Type]]=tblSalaries[[#Headers],[Engineer]],tblSalaries[[#This Row],[Salary in USD]],"")</f>
        <v/>
      </c>
      <c r="AA1057" s="13" t="str">
        <f>IF(tblSalaries[[#This Row],[Job Type]]=tblSalaries[[#Headers],[Manager]],tblSalaries[[#This Row],[Salary in USD]],"")</f>
        <v/>
      </c>
      <c r="AB1057" s="13" t="str">
        <f>IF(tblSalaries[[#This Row],[Job Type]]=tblSalaries[[#Headers],[Misc.]],tblSalaries[[#This Row],[Salary in USD]],"")</f>
        <v/>
      </c>
      <c r="AC1057" s="13">
        <f>IF(tblSalaries[[#This Row],[Job Type]]=tblSalaries[[#Headers],[Reporting]],tblSalaries[[#This Row],[Salary in USD]],"")</f>
        <v>4451.9791718606421</v>
      </c>
      <c r="AD1057" s="13" t="str">
        <f>IF(tblSalaries[[#This Row],[Job Type]]=tblSalaries[[#Headers],[Specialist]],tblSalaries[[#This Row],[Salary in USD]],"")</f>
        <v/>
      </c>
    </row>
    <row r="1058" spans="2:30" ht="15" customHeight="1" x14ac:dyDescent="0.25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 s="9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  <c r="N1058" t="str">
        <f>IF(tblSalaries[[#This Row],[Years of Experience]]="","",IF(tblSalaries[[#This Row],[Years of Experience]]&lt;=2,1,""))</f>
        <v/>
      </c>
      <c r="O1058" t="str">
        <f>IF(tblSalaries[[#This Row],[Years of Experience]]="","",IF(AND(tblSalaries[[#This Row],[Years of Experience]]&gt;2,tblSalaries[[#This Row],[Years of Experience]]&lt;=5),1,""))</f>
        <v/>
      </c>
      <c r="P1058" t="str">
        <f>IF(tblSalaries[[#This Row],[Years of Experience]]="","",IF(AND(tblSalaries[[#This Row],[Years of Experience]]&gt;5,tblSalaries[[#This Row],[Years of Experience]]&lt;=10),1,""))</f>
        <v/>
      </c>
      <c r="Q1058">
        <f>IF(tblSalaries[[#This Row],[Years of Experience]]="","",IF(AND(tblSalaries[[#This Row],[Years of Experience]]&gt;10,tblSalaries[[#This Row],[Years of Experience]]&lt;=15),1,""))</f>
        <v>1</v>
      </c>
      <c r="R1058" t="str">
        <f>IF(tblSalaries[[#This Row],[Years of Experience]]="","",IF(AND(tblSalaries[[#This Row],[Years of Experience]]&gt;16,tblSalaries[[#This Row],[Years of Experience]]&lt;=20),1,""))</f>
        <v/>
      </c>
      <c r="S1058" t="str">
        <f>IF(tblSalaries[[#This Row],[Years of Experience]]="","",IF(tblSalaries[[#This Row],[Years of Experience]]&gt;20,1,""))</f>
        <v/>
      </c>
      <c r="T10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58" s="13" t="str">
        <f>IF(tblSalaries[[#This Row],[Job Type]]=tblSalaries[[#Headers],[Accountant]],tblSalaries[[#This Row],[Salary in USD]],"")</f>
        <v/>
      </c>
      <c r="V1058" s="13">
        <f>IF(tblSalaries[[#This Row],[Job Type]]=tblSalaries[[#Headers],[Analyst]],tblSalaries[[#This Row],[Salary in USD]],"")</f>
        <v>47285.348162018527</v>
      </c>
      <c r="W1058" s="13" t="str">
        <f>IF(tblSalaries[[#This Row],[Job Type]]=tblSalaries[[#Headers],[Consultant]],tblSalaries[[#This Row],[Salary in USD]],"")</f>
        <v/>
      </c>
      <c r="X1058" s="13" t="str">
        <f>IF(tblSalaries[[#This Row],[Job Type]]=tblSalaries[[#Headers],[Controller]],tblSalaries[[#This Row],[Salary in USD]],"")</f>
        <v/>
      </c>
      <c r="Y1058" s="13" t="str">
        <f>IF(tblSalaries[[#This Row],[Job Type]]=tblSalaries[[#Headers],[CXO or Top Mgmt.]],tblSalaries[[#This Row],[clean Salary (in local currency)]],"")</f>
        <v/>
      </c>
      <c r="Z1058" s="13" t="str">
        <f>IF(tblSalaries[[#This Row],[Job Type]]=tblSalaries[[#Headers],[Engineer]],tblSalaries[[#This Row],[Salary in USD]],"")</f>
        <v/>
      </c>
      <c r="AA1058" s="13" t="str">
        <f>IF(tblSalaries[[#This Row],[Job Type]]=tblSalaries[[#Headers],[Manager]],tblSalaries[[#This Row],[Salary in USD]],"")</f>
        <v/>
      </c>
      <c r="AB1058" s="13" t="str">
        <f>IF(tblSalaries[[#This Row],[Job Type]]=tblSalaries[[#Headers],[Misc.]],tblSalaries[[#This Row],[Salary in USD]],"")</f>
        <v/>
      </c>
      <c r="AC1058" s="13" t="str">
        <f>IF(tblSalaries[[#This Row],[Job Type]]=tblSalaries[[#Headers],[Reporting]],tblSalaries[[#This Row],[Salary in USD]],"")</f>
        <v/>
      </c>
      <c r="AD1058" s="13" t="str">
        <f>IF(tblSalaries[[#This Row],[Job Type]]=tblSalaries[[#Headers],[Specialist]],tblSalaries[[#This Row],[Salary in USD]],"")</f>
        <v/>
      </c>
    </row>
    <row r="1059" spans="2:30" ht="15" customHeight="1" x14ac:dyDescent="0.25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 s="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  <c r="N1059" t="str">
        <f>IF(tblSalaries[[#This Row],[Years of Experience]]="","",IF(tblSalaries[[#This Row],[Years of Experience]]&lt;=2,1,""))</f>
        <v/>
      </c>
      <c r="O1059" t="str">
        <f>IF(tblSalaries[[#This Row],[Years of Experience]]="","",IF(AND(tblSalaries[[#This Row],[Years of Experience]]&gt;2,tblSalaries[[#This Row],[Years of Experience]]&lt;=5),1,""))</f>
        <v/>
      </c>
      <c r="P1059">
        <f>IF(tblSalaries[[#This Row],[Years of Experience]]="","",IF(AND(tblSalaries[[#This Row],[Years of Experience]]&gt;5,tblSalaries[[#This Row],[Years of Experience]]&lt;=10),1,""))</f>
        <v>1</v>
      </c>
      <c r="Q1059" t="str">
        <f>IF(tblSalaries[[#This Row],[Years of Experience]]="","",IF(AND(tblSalaries[[#This Row],[Years of Experience]]&gt;10,tblSalaries[[#This Row],[Years of Experience]]&lt;=15),1,""))</f>
        <v/>
      </c>
      <c r="R1059" t="str">
        <f>IF(tblSalaries[[#This Row],[Years of Experience]]="","",IF(AND(tblSalaries[[#This Row],[Years of Experience]]&gt;16,tblSalaries[[#This Row],[Years of Experience]]&lt;=20),1,""))</f>
        <v/>
      </c>
      <c r="S1059" t="str">
        <f>IF(tblSalaries[[#This Row],[Years of Experience]]="","",IF(tblSalaries[[#This Row],[Years of Experience]]&gt;20,1,""))</f>
        <v/>
      </c>
      <c r="T10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59" s="13" t="str">
        <f>IF(tblSalaries[[#This Row],[Job Type]]=tblSalaries[[#Headers],[Accountant]],tblSalaries[[#This Row],[Salary in USD]],"")</f>
        <v/>
      </c>
      <c r="V1059" s="13">
        <f>IF(tblSalaries[[#This Row],[Job Type]]=tblSalaries[[#Headers],[Analyst]],tblSalaries[[#This Row],[Salary in USD]],"")</f>
        <v>7200</v>
      </c>
      <c r="W1059" s="13" t="str">
        <f>IF(tblSalaries[[#This Row],[Job Type]]=tblSalaries[[#Headers],[Consultant]],tblSalaries[[#This Row],[Salary in USD]],"")</f>
        <v/>
      </c>
      <c r="X1059" s="13" t="str">
        <f>IF(tblSalaries[[#This Row],[Job Type]]=tblSalaries[[#Headers],[Controller]],tblSalaries[[#This Row],[Salary in USD]],"")</f>
        <v/>
      </c>
      <c r="Y1059" s="13" t="str">
        <f>IF(tblSalaries[[#This Row],[Job Type]]=tblSalaries[[#Headers],[CXO or Top Mgmt.]],tblSalaries[[#This Row],[clean Salary (in local currency)]],"")</f>
        <v/>
      </c>
      <c r="Z1059" s="13" t="str">
        <f>IF(tblSalaries[[#This Row],[Job Type]]=tblSalaries[[#Headers],[Engineer]],tblSalaries[[#This Row],[Salary in USD]],"")</f>
        <v/>
      </c>
      <c r="AA1059" s="13" t="str">
        <f>IF(tblSalaries[[#This Row],[Job Type]]=tblSalaries[[#Headers],[Manager]],tblSalaries[[#This Row],[Salary in USD]],"")</f>
        <v/>
      </c>
      <c r="AB1059" s="13" t="str">
        <f>IF(tblSalaries[[#This Row],[Job Type]]=tblSalaries[[#Headers],[Misc.]],tblSalaries[[#This Row],[Salary in USD]],"")</f>
        <v/>
      </c>
      <c r="AC1059" s="13" t="str">
        <f>IF(tblSalaries[[#This Row],[Job Type]]=tblSalaries[[#Headers],[Reporting]],tblSalaries[[#This Row],[Salary in USD]],"")</f>
        <v/>
      </c>
      <c r="AD1059" s="13" t="str">
        <f>IF(tblSalaries[[#This Row],[Job Type]]=tblSalaries[[#Headers],[Specialist]],tblSalaries[[#This Row],[Salary in USD]],"")</f>
        <v/>
      </c>
    </row>
    <row r="1060" spans="2:30" ht="15" customHeight="1" x14ac:dyDescent="0.25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 s="9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4001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  <c r="N1060" t="str">
        <f>IF(tblSalaries[[#This Row],[Years of Experience]]="","",IF(tblSalaries[[#This Row],[Years of Experience]]&lt;=2,1,""))</f>
        <v/>
      </c>
      <c r="O1060" t="str">
        <f>IF(tblSalaries[[#This Row],[Years of Experience]]="","",IF(AND(tblSalaries[[#This Row],[Years of Experience]]&gt;2,tblSalaries[[#This Row],[Years of Experience]]&lt;=5),1,""))</f>
        <v/>
      </c>
      <c r="P1060">
        <f>IF(tblSalaries[[#This Row],[Years of Experience]]="","",IF(AND(tblSalaries[[#This Row],[Years of Experience]]&gt;5,tblSalaries[[#This Row],[Years of Experience]]&lt;=10),1,""))</f>
        <v>1</v>
      </c>
      <c r="Q1060" t="str">
        <f>IF(tblSalaries[[#This Row],[Years of Experience]]="","",IF(AND(tblSalaries[[#This Row],[Years of Experience]]&gt;10,tblSalaries[[#This Row],[Years of Experience]]&lt;=15),1,""))</f>
        <v/>
      </c>
      <c r="R1060" t="str">
        <f>IF(tblSalaries[[#This Row],[Years of Experience]]="","",IF(AND(tblSalaries[[#This Row],[Years of Experience]]&gt;16,tblSalaries[[#This Row],[Years of Experience]]&lt;=20),1,""))</f>
        <v/>
      </c>
      <c r="S1060" t="str">
        <f>IF(tblSalaries[[#This Row],[Years of Experience]]="","",IF(tblSalaries[[#This Row],[Years of Experience]]&gt;20,1,""))</f>
        <v/>
      </c>
      <c r="T10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60" s="13" t="str">
        <f>IF(tblSalaries[[#This Row],[Job Type]]=tblSalaries[[#Headers],[Accountant]],tblSalaries[[#This Row],[Salary in USD]],"")</f>
        <v/>
      </c>
      <c r="V1060" s="13" t="str">
        <f>IF(tblSalaries[[#This Row],[Job Type]]=tblSalaries[[#Headers],[Analyst]],tblSalaries[[#This Row],[Salary in USD]],"")</f>
        <v/>
      </c>
      <c r="W1060" s="13" t="str">
        <f>IF(tblSalaries[[#This Row],[Job Type]]=tblSalaries[[#Headers],[Consultant]],tblSalaries[[#This Row],[Salary in USD]],"")</f>
        <v/>
      </c>
      <c r="X1060" s="13" t="str">
        <f>IF(tblSalaries[[#This Row],[Job Type]]=tblSalaries[[#Headers],[Controller]],tblSalaries[[#This Row],[Salary in USD]],"")</f>
        <v/>
      </c>
      <c r="Y1060" s="13">
        <f>IF(tblSalaries[[#This Row],[Job Type]]=tblSalaries[[#Headers],[CXO or Top Mgmt.]],tblSalaries[[#This Row],[clean Salary (in local currency)]],"")</f>
        <v>2500000</v>
      </c>
      <c r="Z1060" s="13" t="str">
        <f>IF(tblSalaries[[#This Row],[Job Type]]=tblSalaries[[#Headers],[Engineer]],tblSalaries[[#This Row],[Salary in USD]],"")</f>
        <v/>
      </c>
      <c r="AA1060" s="13" t="str">
        <f>IF(tblSalaries[[#This Row],[Job Type]]=tblSalaries[[#Headers],[Manager]],tblSalaries[[#This Row],[Salary in USD]],"")</f>
        <v/>
      </c>
      <c r="AB1060" s="13" t="str">
        <f>IF(tblSalaries[[#This Row],[Job Type]]=tblSalaries[[#Headers],[Misc.]],tblSalaries[[#This Row],[Salary in USD]],"")</f>
        <v/>
      </c>
      <c r="AC1060" s="13" t="str">
        <f>IF(tblSalaries[[#This Row],[Job Type]]=tblSalaries[[#Headers],[Reporting]],tblSalaries[[#This Row],[Salary in USD]],"")</f>
        <v/>
      </c>
      <c r="AD1060" s="13" t="str">
        <f>IF(tblSalaries[[#This Row],[Job Type]]=tblSalaries[[#Headers],[Specialist]],tblSalaries[[#This Row],[Salary in USD]],"")</f>
        <v/>
      </c>
    </row>
    <row r="1061" spans="2:30" ht="15" customHeight="1" x14ac:dyDescent="0.25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 s="9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  <c r="N1061" t="str">
        <f>IF(tblSalaries[[#This Row],[Years of Experience]]="","",IF(tblSalaries[[#This Row],[Years of Experience]]&lt;=2,1,""))</f>
        <v/>
      </c>
      <c r="O1061">
        <f>IF(tblSalaries[[#This Row],[Years of Experience]]="","",IF(AND(tblSalaries[[#This Row],[Years of Experience]]&gt;2,tblSalaries[[#This Row],[Years of Experience]]&lt;=5),1,""))</f>
        <v>1</v>
      </c>
      <c r="P1061" t="str">
        <f>IF(tblSalaries[[#This Row],[Years of Experience]]="","",IF(AND(tblSalaries[[#This Row],[Years of Experience]]&gt;5,tblSalaries[[#This Row],[Years of Experience]]&lt;=10),1,""))</f>
        <v/>
      </c>
      <c r="Q1061" t="str">
        <f>IF(tblSalaries[[#This Row],[Years of Experience]]="","",IF(AND(tblSalaries[[#This Row],[Years of Experience]]&gt;10,tblSalaries[[#This Row],[Years of Experience]]&lt;=15),1,""))</f>
        <v/>
      </c>
      <c r="R1061" t="str">
        <f>IF(tblSalaries[[#This Row],[Years of Experience]]="","",IF(AND(tblSalaries[[#This Row],[Years of Experience]]&gt;16,tblSalaries[[#This Row],[Years of Experience]]&lt;=20),1,""))</f>
        <v/>
      </c>
      <c r="S1061" t="str">
        <f>IF(tblSalaries[[#This Row],[Years of Experience]]="","",IF(tblSalaries[[#This Row],[Years of Experience]]&gt;20,1,""))</f>
        <v/>
      </c>
      <c r="T10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61" s="13">
        <f>IF(tblSalaries[[#This Row],[Job Type]]=tblSalaries[[#Headers],[Accountant]],tblSalaries[[#This Row],[Salary in USD]],"")</f>
        <v>2493.1083362419595</v>
      </c>
      <c r="V1061" s="13" t="str">
        <f>IF(tblSalaries[[#This Row],[Job Type]]=tblSalaries[[#Headers],[Analyst]],tblSalaries[[#This Row],[Salary in USD]],"")</f>
        <v/>
      </c>
      <c r="W1061" s="13" t="str">
        <f>IF(tblSalaries[[#This Row],[Job Type]]=tblSalaries[[#Headers],[Consultant]],tblSalaries[[#This Row],[Salary in USD]],"")</f>
        <v/>
      </c>
      <c r="X1061" s="13" t="str">
        <f>IF(tblSalaries[[#This Row],[Job Type]]=tblSalaries[[#Headers],[Controller]],tblSalaries[[#This Row],[Salary in USD]],"")</f>
        <v/>
      </c>
      <c r="Y1061" s="13" t="str">
        <f>IF(tblSalaries[[#This Row],[Job Type]]=tblSalaries[[#Headers],[CXO or Top Mgmt.]],tblSalaries[[#This Row],[clean Salary (in local currency)]],"")</f>
        <v/>
      </c>
      <c r="Z1061" s="13" t="str">
        <f>IF(tblSalaries[[#This Row],[Job Type]]=tblSalaries[[#Headers],[Engineer]],tblSalaries[[#This Row],[Salary in USD]],"")</f>
        <v/>
      </c>
      <c r="AA1061" s="13" t="str">
        <f>IF(tblSalaries[[#This Row],[Job Type]]=tblSalaries[[#Headers],[Manager]],tblSalaries[[#This Row],[Salary in USD]],"")</f>
        <v/>
      </c>
      <c r="AB1061" s="13" t="str">
        <f>IF(tblSalaries[[#This Row],[Job Type]]=tblSalaries[[#Headers],[Misc.]],tblSalaries[[#This Row],[Salary in USD]],"")</f>
        <v/>
      </c>
      <c r="AC1061" s="13" t="str">
        <f>IF(tblSalaries[[#This Row],[Job Type]]=tblSalaries[[#Headers],[Reporting]],tblSalaries[[#This Row],[Salary in USD]],"")</f>
        <v/>
      </c>
      <c r="AD1061" s="13" t="str">
        <f>IF(tblSalaries[[#This Row],[Job Type]]=tblSalaries[[#Headers],[Specialist]],tblSalaries[[#This Row],[Salary in USD]],"")</f>
        <v/>
      </c>
    </row>
    <row r="1062" spans="2:30" ht="15" customHeight="1" x14ac:dyDescent="0.25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 s="9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  <c r="N1062">
        <f>IF(tblSalaries[[#This Row],[Years of Experience]]="","",IF(tblSalaries[[#This Row],[Years of Experience]]&lt;=2,1,""))</f>
        <v>1</v>
      </c>
      <c r="O1062" t="str">
        <f>IF(tblSalaries[[#This Row],[Years of Experience]]="","",IF(AND(tblSalaries[[#This Row],[Years of Experience]]&gt;2,tblSalaries[[#This Row],[Years of Experience]]&lt;=5),1,""))</f>
        <v/>
      </c>
      <c r="P1062" t="str">
        <f>IF(tblSalaries[[#This Row],[Years of Experience]]="","",IF(AND(tblSalaries[[#This Row],[Years of Experience]]&gt;5,tblSalaries[[#This Row],[Years of Experience]]&lt;=10),1,""))</f>
        <v/>
      </c>
      <c r="Q1062" t="str">
        <f>IF(tblSalaries[[#This Row],[Years of Experience]]="","",IF(AND(tblSalaries[[#This Row],[Years of Experience]]&gt;10,tblSalaries[[#This Row],[Years of Experience]]&lt;=15),1,""))</f>
        <v/>
      </c>
      <c r="R1062" t="str">
        <f>IF(tblSalaries[[#This Row],[Years of Experience]]="","",IF(AND(tblSalaries[[#This Row],[Years of Experience]]&gt;16,tblSalaries[[#This Row],[Years of Experience]]&lt;=20),1,""))</f>
        <v/>
      </c>
      <c r="S1062" t="str">
        <f>IF(tblSalaries[[#This Row],[Years of Experience]]="","",IF(tblSalaries[[#This Row],[Years of Experience]]&gt;20,1,""))</f>
        <v/>
      </c>
      <c r="T10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62" s="13" t="str">
        <f>IF(tblSalaries[[#This Row],[Job Type]]=tblSalaries[[#Headers],[Accountant]],tblSalaries[[#This Row],[Salary in USD]],"")</f>
        <v/>
      </c>
      <c r="V1062" s="13">
        <f>IF(tblSalaries[[#This Row],[Job Type]]=tblSalaries[[#Headers],[Analyst]],tblSalaries[[#This Row],[Salary in USD]],"")</f>
        <v>31523.565441345683</v>
      </c>
      <c r="W1062" s="13" t="str">
        <f>IF(tblSalaries[[#This Row],[Job Type]]=tblSalaries[[#Headers],[Consultant]],tblSalaries[[#This Row],[Salary in USD]],"")</f>
        <v/>
      </c>
      <c r="X1062" s="13" t="str">
        <f>IF(tblSalaries[[#This Row],[Job Type]]=tblSalaries[[#Headers],[Controller]],tblSalaries[[#This Row],[Salary in USD]],"")</f>
        <v/>
      </c>
      <c r="Y1062" s="13" t="str">
        <f>IF(tblSalaries[[#This Row],[Job Type]]=tblSalaries[[#Headers],[CXO or Top Mgmt.]],tblSalaries[[#This Row],[clean Salary (in local currency)]],"")</f>
        <v/>
      </c>
      <c r="Z1062" s="13" t="str">
        <f>IF(tblSalaries[[#This Row],[Job Type]]=tblSalaries[[#Headers],[Engineer]],tblSalaries[[#This Row],[Salary in USD]],"")</f>
        <v/>
      </c>
      <c r="AA1062" s="13" t="str">
        <f>IF(tblSalaries[[#This Row],[Job Type]]=tblSalaries[[#Headers],[Manager]],tblSalaries[[#This Row],[Salary in USD]],"")</f>
        <v/>
      </c>
      <c r="AB1062" s="13" t="str">
        <f>IF(tblSalaries[[#This Row],[Job Type]]=tblSalaries[[#Headers],[Misc.]],tblSalaries[[#This Row],[Salary in USD]],"")</f>
        <v/>
      </c>
      <c r="AC1062" s="13" t="str">
        <f>IF(tblSalaries[[#This Row],[Job Type]]=tblSalaries[[#Headers],[Reporting]],tblSalaries[[#This Row],[Salary in USD]],"")</f>
        <v/>
      </c>
      <c r="AD1062" s="13" t="str">
        <f>IF(tblSalaries[[#This Row],[Job Type]]=tblSalaries[[#Headers],[Specialist]],tblSalaries[[#This Row],[Salary in USD]],"")</f>
        <v/>
      </c>
    </row>
    <row r="1063" spans="2:30" ht="15" customHeight="1" x14ac:dyDescent="0.25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 s="9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  <c r="N1063" t="str">
        <f>IF(tblSalaries[[#This Row],[Years of Experience]]="","",IF(tblSalaries[[#This Row],[Years of Experience]]&lt;=2,1,""))</f>
        <v/>
      </c>
      <c r="O1063" t="str">
        <f>IF(tblSalaries[[#This Row],[Years of Experience]]="","",IF(AND(tblSalaries[[#This Row],[Years of Experience]]&gt;2,tblSalaries[[#This Row],[Years of Experience]]&lt;=5),1,""))</f>
        <v/>
      </c>
      <c r="P1063">
        <f>IF(tblSalaries[[#This Row],[Years of Experience]]="","",IF(AND(tblSalaries[[#This Row],[Years of Experience]]&gt;5,tblSalaries[[#This Row],[Years of Experience]]&lt;=10),1,""))</f>
        <v>1</v>
      </c>
      <c r="Q1063" t="str">
        <f>IF(tblSalaries[[#This Row],[Years of Experience]]="","",IF(AND(tblSalaries[[#This Row],[Years of Experience]]&gt;10,tblSalaries[[#This Row],[Years of Experience]]&lt;=15),1,""))</f>
        <v/>
      </c>
      <c r="R1063" t="str">
        <f>IF(tblSalaries[[#This Row],[Years of Experience]]="","",IF(AND(tblSalaries[[#This Row],[Years of Experience]]&gt;16,tblSalaries[[#This Row],[Years of Experience]]&lt;=20),1,""))</f>
        <v/>
      </c>
      <c r="S1063" t="str">
        <f>IF(tblSalaries[[#This Row],[Years of Experience]]="","",IF(tblSalaries[[#This Row],[Years of Experience]]&gt;20,1,""))</f>
        <v/>
      </c>
      <c r="T10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63" s="13" t="str">
        <f>IF(tblSalaries[[#This Row],[Job Type]]=tblSalaries[[#Headers],[Accountant]],tblSalaries[[#This Row],[Salary in USD]],"")</f>
        <v/>
      </c>
      <c r="V1063" s="13" t="str">
        <f>IF(tblSalaries[[#This Row],[Job Type]]=tblSalaries[[#Headers],[Analyst]],tblSalaries[[#This Row],[Salary in USD]],"")</f>
        <v/>
      </c>
      <c r="W1063" s="13" t="str">
        <f>IF(tblSalaries[[#This Row],[Job Type]]=tblSalaries[[#Headers],[Consultant]],tblSalaries[[#This Row],[Salary in USD]],"")</f>
        <v/>
      </c>
      <c r="X1063" s="13">
        <f>IF(tblSalaries[[#This Row],[Job Type]]=tblSalaries[[#Headers],[Controller]],tblSalaries[[#This Row],[Salary in USD]],"")</f>
        <v>21369.500024931083</v>
      </c>
      <c r="Y1063" s="13" t="str">
        <f>IF(tblSalaries[[#This Row],[Job Type]]=tblSalaries[[#Headers],[CXO or Top Mgmt.]],tblSalaries[[#This Row],[clean Salary (in local currency)]],"")</f>
        <v/>
      </c>
      <c r="Z1063" s="13" t="str">
        <f>IF(tblSalaries[[#This Row],[Job Type]]=tblSalaries[[#Headers],[Engineer]],tblSalaries[[#This Row],[Salary in USD]],"")</f>
        <v/>
      </c>
      <c r="AA1063" s="13" t="str">
        <f>IF(tblSalaries[[#This Row],[Job Type]]=tblSalaries[[#Headers],[Manager]],tblSalaries[[#This Row],[Salary in USD]],"")</f>
        <v/>
      </c>
      <c r="AB1063" s="13" t="str">
        <f>IF(tblSalaries[[#This Row],[Job Type]]=tblSalaries[[#Headers],[Misc.]],tblSalaries[[#This Row],[Salary in USD]],"")</f>
        <v/>
      </c>
      <c r="AC1063" s="13" t="str">
        <f>IF(tblSalaries[[#This Row],[Job Type]]=tblSalaries[[#Headers],[Reporting]],tblSalaries[[#This Row],[Salary in USD]],"")</f>
        <v/>
      </c>
      <c r="AD1063" s="13" t="str">
        <f>IF(tblSalaries[[#This Row],[Job Type]]=tblSalaries[[#Headers],[Specialist]],tblSalaries[[#This Row],[Salary in USD]],"")</f>
        <v/>
      </c>
    </row>
    <row r="1064" spans="2:30" ht="15" customHeight="1" x14ac:dyDescent="0.25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 s="9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  <c r="N1064" t="str">
        <f>IF(tblSalaries[[#This Row],[Years of Experience]]="","",IF(tblSalaries[[#This Row],[Years of Experience]]&lt;=2,1,""))</f>
        <v/>
      </c>
      <c r="O1064" t="str">
        <f>IF(tblSalaries[[#This Row],[Years of Experience]]="","",IF(AND(tblSalaries[[#This Row],[Years of Experience]]&gt;2,tblSalaries[[#This Row],[Years of Experience]]&lt;=5),1,""))</f>
        <v/>
      </c>
      <c r="P1064">
        <f>IF(tblSalaries[[#This Row],[Years of Experience]]="","",IF(AND(tblSalaries[[#This Row],[Years of Experience]]&gt;5,tblSalaries[[#This Row],[Years of Experience]]&lt;=10),1,""))</f>
        <v>1</v>
      </c>
      <c r="Q1064" t="str">
        <f>IF(tblSalaries[[#This Row],[Years of Experience]]="","",IF(AND(tblSalaries[[#This Row],[Years of Experience]]&gt;10,tblSalaries[[#This Row],[Years of Experience]]&lt;=15),1,""))</f>
        <v/>
      </c>
      <c r="R1064" t="str">
        <f>IF(tblSalaries[[#This Row],[Years of Experience]]="","",IF(AND(tblSalaries[[#This Row],[Years of Experience]]&gt;16,tblSalaries[[#This Row],[Years of Experience]]&lt;=20),1,""))</f>
        <v/>
      </c>
      <c r="S1064" t="str">
        <f>IF(tblSalaries[[#This Row],[Years of Experience]]="","",IF(tblSalaries[[#This Row],[Years of Experience]]&gt;20,1,""))</f>
        <v/>
      </c>
      <c r="T10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64" s="13" t="str">
        <f>IF(tblSalaries[[#This Row],[Job Type]]=tblSalaries[[#Headers],[Accountant]],tblSalaries[[#This Row],[Salary in USD]],"")</f>
        <v/>
      </c>
      <c r="V1064" s="13" t="str">
        <f>IF(tblSalaries[[#This Row],[Job Type]]=tblSalaries[[#Headers],[Analyst]],tblSalaries[[#This Row],[Salary in USD]],"")</f>
        <v/>
      </c>
      <c r="W1064" s="13">
        <f>IF(tblSalaries[[#This Row],[Job Type]]=tblSalaries[[#Headers],[Consultant]],tblSalaries[[#This Row],[Salary in USD]],"")</f>
        <v>126094.26176538273</v>
      </c>
      <c r="X1064" s="13" t="str">
        <f>IF(tblSalaries[[#This Row],[Job Type]]=tblSalaries[[#Headers],[Controller]],tblSalaries[[#This Row],[Salary in USD]],"")</f>
        <v/>
      </c>
      <c r="Y1064" s="13" t="str">
        <f>IF(tblSalaries[[#This Row],[Job Type]]=tblSalaries[[#Headers],[CXO or Top Mgmt.]],tblSalaries[[#This Row],[clean Salary (in local currency)]],"")</f>
        <v/>
      </c>
      <c r="Z1064" s="13" t="str">
        <f>IF(tblSalaries[[#This Row],[Job Type]]=tblSalaries[[#Headers],[Engineer]],tblSalaries[[#This Row],[Salary in USD]],"")</f>
        <v/>
      </c>
      <c r="AA1064" s="13" t="str">
        <f>IF(tblSalaries[[#This Row],[Job Type]]=tblSalaries[[#Headers],[Manager]],tblSalaries[[#This Row],[Salary in USD]],"")</f>
        <v/>
      </c>
      <c r="AB1064" s="13" t="str">
        <f>IF(tblSalaries[[#This Row],[Job Type]]=tblSalaries[[#Headers],[Misc.]],tblSalaries[[#This Row],[Salary in USD]],"")</f>
        <v/>
      </c>
      <c r="AC1064" s="13" t="str">
        <f>IF(tblSalaries[[#This Row],[Job Type]]=tblSalaries[[#Headers],[Reporting]],tblSalaries[[#This Row],[Salary in USD]],"")</f>
        <v/>
      </c>
      <c r="AD1064" s="13" t="str">
        <f>IF(tblSalaries[[#This Row],[Job Type]]=tblSalaries[[#Headers],[Specialist]],tblSalaries[[#This Row],[Salary in USD]],"")</f>
        <v/>
      </c>
    </row>
    <row r="1065" spans="2:30" ht="15" customHeight="1" x14ac:dyDescent="0.25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 s="9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  <c r="N1065">
        <f>IF(tblSalaries[[#This Row],[Years of Experience]]="","",IF(tblSalaries[[#This Row],[Years of Experience]]&lt;=2,1,""))</f>
        <v>1</v>
      </c>
      <c r="O1065" t="str">
        <f>IF(tblSalaries[[#This Row],[Years of Experience]]="","",IF(AND(tblSalaries[[#This Row],[Years of Experience]]&gt;2,tblSalaries[[#This Row],[Years of Experience]]&lt;=5),1,""))</f>
        <v/>
      </c>
      <c r="P1065" t="str">
        <f>IF(tblSalaries[[#This Row],[Years of Experience]]="","",IF(AND(tblSalaries[[#This Row],[Years of Experience]]&gt;5,tblSalaries[[#This Row],[Years of Experience]]&lt;=10),1,""))</f>
        <v/>
      </c>
      <c r="Q1065" t="str">
        <f>IF(tblSalaries[[#This Row],[Years of Experience]]="","",IF(AND(tblSalaries[[#This Row],[Years of Experience]]&gt;10,tblSalaries[[#This Row],[Years of Experience]]&lt;=15),1,""))</f>
        <v/>
      </c>
      <c r="R1065" t="str">
        <f>IF(tblSalaries[[#This Row],[Years of Experience]]="","",IF(AND(tblSalaries[[#This Row],[Years of Experience]]&gt;16,tblSalaries[[#This Row],[Years of Experience]]&lt;=20),1,""))</f>
        <v/>
      </c>
      <c r="S1065" t="str">
        <f>IF(tblSalaries[[#This Row],[Years of Experience]]="","",IF(tblSalaries[[#This Row],[Years of Experience]]&gt;20,1,""))</f>
        <v/>
      </c>
      <c r="T10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065" s="13" t="str">
        <f>IF(tblSalaries[[#This Row],[Job Type]]=tblSalaries[[#Headers],[Accountant]],tblSalaries[[#This Row],[Salary in USD]],"")</f>
        <v/>
      </c>
      <c r="V1065" s="13" t="str">
        <f>IF(tblSalaries[[#This Row],[Job Type]]=tblSalaries[[#Headers],[Analyst]],tblSalaries[[#This Row],[Salary in USD]],"")</f>
        <v/>
      </c>
      <c r="W1065" s="13" t="str">
        <f>IF(tblSalaries[[#This Row],[Job Type]]=tblSalaries[[#Headers],[Consultant]],tblSalaries[[#This Row],[Salary in USD]],"")</f>
        <v/>
      </c>
      <c r="X1065" s="13" t="str">
        <f>IF(tblSalaries[[#This Row],[Job Type]]=tblSalaries[[#Headers],[Controller]],tblSalaries[[#This Row],[Salary in USD]],"")</f>
        <v/>
      </c>
      <c r="Y1065" s="13" t="str">
        <f>IF(tblSalaries[[#This Row],[Job Type]]=tblSalaries[[#Headers],[CXO or Top Mgmt.]],tblSalaries[[#This Row],[clean Salary (in local currency)]],"")</f>
        <v/>
      </c>
      <c r="Z1065" s="13" t="str">
        <f>IF(tblSalaries[[#This Row],[Job Type]]=tblSalaries[[#Headers],[Engineer]],tblSalaries[[#This Row],[Salary in USD]],"")</f>
        <v/>
      </c>
      <c r="AA1065" s="13" t="str">
        <f>IF(tblSalaries[[#This Row],[Job Type]]=tblSalaries[[#Headers],[Manager]],tblSalaries[[#This Row],[Salary in USD]],"")</f>
        <v/>
      </c>
      <c r="AB1065" s="13" t="str">
        <f>IF(tblSalaries[[#This Row],[Job Type]]=tblSalaries[[#Headers],[Misc.]],tblSalaries[[#This Row],[Salary in USD]],"")</f>
        <v/>
      </c>
      <c r="AC1065" s="13" t="str">
        <f>IF(tblSalaries[[#This Row],[Job Type]]=tblSalaries[[#Headers],[Reporting]],tblSalaries[[#This Row],[Salary in USD]],"")</f>
        <v/>
      </c>
      <c r="AD1065" s="13">
        <f>IF(tblSalaries[[#This Row],[Job Type]]=tblSalaries[[#Headers],[Specialist]],tblSalaries[[#This Row],[Salary in USD]],"")</f>
        <v>99299.231140238902</v>
      </c>
    </row>
    <row r="1066" spans="2:30" ht="15" customHeight="1" x14ac:dyDescent="0.25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 s="9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4001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  <c r="N1066" t="str">
        <f>IF(tblSalaries[[#This Row],[Years of Experience]]="","",IF(tblSalaries[[#This Row],[Years of Experience]]&lt;=2,1,""))</f>
        <v/>
      </c>
      <c r="O1066" t="str">
        <f>IF(tblSalaries[[#This Row],[Years of Experience]]="","",IF(AND(tblSalaries[[#This Row],[Years of Experience]]&gt;2,tblSalaries[[#This Row],[Years of Experience]]&lt;=5),1,""))</f>
        <v/>
      </c>
      <c r="P1066" t="str">
        <f>IF(tblSalaries[[#This Row],[Years of Experience]]="","",IF(AND(tblSalaries[[#This Row],[Years of Experience]]&gt;5,tblSalaries[[#This Row],[Years of Experience]]&lt;=10),1,""))</f>
        <v/>
      </c>
      <c r="Q1066" t="str">
        <f>IF(tblSalaries[[#This Row],[Years of Experience]]="","",IF(AND(tblSalaries[[#This Row],[Years of Experience]]&gt;10,tblSalaries[[#This Row],[Years of Experience]]&lt;=15),1,""))</f>
        <v/>
      </c>
      <c r="R1066" t="str">
        <f>IF(tblSalaries[[#This Row],[Years of Experience]]="","",IF(AND(tblSalaries[[#This Row],[Years of Experience]]&gt;16,tblSalaries[[#This Row],[Years of Experience]]&lt;=20),1,""))</f>
        <v/>
      </c>
      <c r="S1066">
        <f>IF(tblSalaries[[#This Row],[Years of Experience]]="","",IF(tblSalaries[[#This Row],[Years of Experience]]&gt;20,1,""))</f>
        <v>1</v>
      </c>
      <c r="T10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66" s="13" t="str">
        <f>IF(tblSalaries[[#This Row],[Job Type]]=tblSalaries[[#Headers],[Accountant]],tblSalaries[[#This Row],[Salary in USD]],"")</f>
        <v/>
      </c>
      <c r="V1066" s="13" t="str">
        <f>IF(tblSalaries[[#This Row],[Job Type]]=tblSalaries[[#Headers],[Analyst]],tblSalaries[[#This Row],[Salary in USD]],"")</f>
        <v/>
      </c>
      <c r="W1066" s="13" t="str">
        <f>IF(tblSalaries[[#This Row],[Job Type]]=tblSalaries[[#Headers],[Consultant]],tblSalaries[[#This Row],[Salary in USD]],"")</f>
        <v/>
      </c>
      <c r="X1066" s="13" t="str">
        <f>IF(tblSalaries[[#This Row],[Job Type]]=tblSalaries[[#Headers],[Controller]],tblSalaries[[#This Row],[Salary in USD]],"")</f>
        <v/>
      </c>
      <c r="Y1066" s="13">
        <f>IF(tblSalaries[[#This Row],[Job Type]]=tblSalaries[[#Headers],[CXO or Top Mgmt.]],tblSalaries[[#This Row],[clean Salary (in local currency)]],"")</f>
        <v>55000</v>
      </c>
      <c r="Z1066" s="13" t="str">
        <f>IF(tblSalaries[[#This Row],[Job Type]]=tblSalaries[[#Headers],[Engineer]],tblSalaries[[#This Row],[Salary in USD]],"")</f>
        <v/>
      </c>
      <c r="AA1066" s="13" t="str">
        <f>IF(tblSalaries[[#This Row],[Job Type]]=tblSalaries[[#Headers],[Manager]],tblSalaries[[#This Row],[Salary in USD]],"")</f>
        <v/>
      </c>
      <c r="AB1066" s="13" t="str">
        <f>IF(tblSalaries[[#This Row],[Job Type]]=tblSalaries[[#Headers],[Misc.]],tblSalaries[[#This Row],[Salary in USD]],"")</f>
        <v/>
      </c>
      <c r="AC1066" s="13" t="str">
        <f>IF(tblSalaries[[#This Row],[Job Type]]=tblSalaries[[#Headers],[Reporting]],tblSalaries[[#This Row],[Salary in USD]],"")</f>
        <v/>
      </c>
      <c r="AD1066" s="13" t="str">
        <f>IF(tblSalaries[[#This Row],[Job Type]]=tblSalaries[[#Headers],[Specialist]],tblSalaries[[#This Row],[Salary in USD]],"")</f>
        <v/>
      </c>
    </row>
    <row r="1067" spans="2:30" ht="15" customHeight="1" x14ac:dyDescent="0.25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 s="9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  <c r="N1067" t="str">
        <f>IF(tblSalaries[[#This Row],[Years of Experience]]="","",IF(tblSalaries[[#This Row],[Years of Experience]]&lt;=2,1,""))</f>
        <v/>
      </c>
      <c r="O1067" t="str">
        <f>IF(tblSalaries[[#This Row],[Years of Experience]]="","",IF(AND(tblSalaries[[#This Row],[Years of Experience]]&gt;2,tblSalaries[[#This Row],[Years of Experience]]&lt;=5),1,""))</f>
        <v/>
      </c>
      <c r="P1067" t="str">
        <f>IF(tblSalaries[[#This Row],[Years of Experience]]="","",IF(AND(tblSalaries[[#This Row],[Years of Experience]]&gt;5,tblSalaries[[#This Row],[Years of Experience]]&lt;=10),1,""))</f>
        <v/>
      </c>
      <c r="Q1067" t="str">
        <f>IF(tblSalaries[[#This Row],[Years of Experience]]="","",IF(AND(tblSalaries[[#This Row],[Years of Experience]]&gt;10,tblSalaries[[#This Row],[Years of Experience]]&lt;=15),1,""))</f>
        <v/>
      </c>
      <c r="R1067" t="str">
        <f>IF(tblSalaries[[#This Row],[Years of Experience]]="","",IF(AND(tblSalaries[[#This Row],[Years of Experience]]&gt;16,tblSalaries[[#This Row],[Years of Experience]]&lt;=20),1,""))</f>
        <v/>
      </c>
      <c r="S1067">
        <f>IF(tblSalaries[[#This Row],[Years of Experience]]="","",IF(tblSalaries[[#This Row],[Years of Experience]]&gt;20,1,""))</f>
        <v>1</v>
      </c>
      <c r="T10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67" s="13" t="str">
        <f>IF(tblSalaries[[#This Row],[Job Type]]=tblSalaries[[#Headers],[Accountant]],tblSalaries[[#This Row],[Salary in USD]],"")</f>
        <v/>
      </c>
      <c r="V1067" s="13" t="str">
        <f>IF(tblSalaries[[#This Row],[Job Type]]=tblSalaries[[#Headers],[Analyst]],tblSalaries[[#This Row],[Salary in USD]],"")</f>
        <v/>
      </c>
      <c r="W1067" s="13" t="str">
        <f>IF(tblSalaries[[#This Row],[Job Type]]=tblSalaries[[#Headers],[Consultant]],tblSalaries[[#This Row],[Salary in USD]],"")</f>
        <v/>
      </c>
      <c r="X1067" s="13" t="str">
        <f>IF(tblSalaries[[#This Row],[Job Type]]=tblSalaries[[#Headers],[Controller]],tblSalaries[[#This Row],[Salary in USD]],"")</f>
        <v/>
      </c>
      <c r="Y1067" s="13" t="str">
        <f>IF(tblSalaries[[#This Row],[Job Type]]=tblSalaries[[#Headers],[CXO or Top Mgmt.]],tblSalaries[[#This Row],[clean Salary (in local currency)]],"")</f>
        <v/>
      </c>
      <c r="Z1067" s="13" t="str">
        <f>IF(tblSalaries[[#This Row],[Job Type]]=tblSalaries[[#Headers],[Engineer]],tblSalaries[[#This Row],[Salary in USD]],"")</f>
        <v/>
      </c>
      <c r="AA1067" s="13">
        <f>IF(tblSalaries[[#This Row],[Job Type]]=tblSalaries[[#Headers],[Manager]],tblSalaries[[#This Row],[Salary in USD]],"")</f>
        <v>50000</v>
      </c>
      <c r="AB1067" s="13" t="str">
        <f>IF(tblSalaries[[#This Row],[Job Type]]=tblSalaries[[#Headers],[Misc.]],tblSalaries[[#This Row],[Salary in USD]],"")</f>
        <v/>
      </c>
      <c r="AC1067" s="13" t="str">
        <f>IF(tblSalaries[[#This Row],[Job Type]]=tblSalaries[[#Headers],[Reporting]],tblSalaries[[#This Row],[Salary in USD]],"")</f>
        <v/>
      </c>
      <c r="AD1067" s="13" t="str">
        <f>IF(tblSalaries[[#This Row],[Job Type]]=tblSalaries[[#Headers],[Specialist]],tblSalaries[[#This Row],[Salary in USD]],"")</f>
        <v/>
      </c>
    </row>
    <row r="1068" spans="2:30" ht="15" customHeight="1" x14ac:dyDescent="0.25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 s="9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  <c r="N1068" t="str">
        <f>IF(tblSalaries[[#This Row],[Years of Experience]]="","",IF(tblSalaries[[#This Row],[Years of Experience]]&lt;=2,1,""))</f>
        <v/>
      </c>
      <c r="O1068">
        <f>IF(tblSalaries[[#This Row],[Years of Experience]]="","",IF(AND(tblSalaries[[#This Row],[Years of Experience]]&gt;2,tblSalaries[[#This Row],[Years of Experience]]&lt;=5),1,""))</f>
        <v>1</v>
      </c>
      <c r="P1068" t="str">
        <f>IF(tblSalaries[[#This Row],[Years of Experience]]="","",IF(AND(tblSalaries[[#This Row],[Years of Experience]]&gt;5,tblSalaries[[#This Row],[Years of Experience]]&lt;=10),1,""))</f>
        <v/>
      </c>
      <c r="Q1068" t="str">
        <f>IF(tblSalaries[[#This Row],[Years of Experience]]="","",IF(AND(tblSalaries[[#This Row],[Years of Experience]]&gt;10,tblSalaries[[#This Row],[Years of Experience]]&lt;=15),1,""))</f>
        <v/>
      </c>
      <c r="R1068" t="str">
        <f>IF(tblSalaries[[#This Row],[Years of Experience]]="","",IF(AND(tblSalaries[[#This Row],[Years of Experience]]&gt;16,tblSalaries[[#This Row],[Years of Experience]]&lt;=20),1,""))</f>
        <v/>
      </c>
      <c r="S1068" t="str">
        <f>IF(tblSalaries[[#This Row],[Years of Experience]]="","",IF(tblSalaries[[#This Row],[Years of Experience]]&gt;20,1,""))</f>
        <v/>
      </c>
      <c r="T10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68" s="13" t="str">
        <f>IF(tblSalaries[[#This Row],[Job Type]]=tblSalaries[[#Headers],[Accountant]],tblSalaries[[#This Row],[Salary in USD]],"")</f>
        <v/>
      </c>
      <c r="V1068" s="13">
        <f>IF(tblSalaries[[#This Row],[Job Type]]=tblSalaries[[#Headers],[Analyst]],tblSalaries[[#This Row],[Salary in USD]],"")</f>
        <v>4273.9000049862161</v>
      </c>
      <c r="W1068" s="13" t="str">
        <f>IF(tblSalaries[[#This Row],[Job Type]]=tblSalaries[[#Headers],[Consultant]],tblSalaries[[#This Row],[Salary in USD]],"")</f>
        <v/>
      </c>
      <c r="X1068" s="13" t="str">
        <f>IF(tblSalaries[[#This Row],[Job Type]]=tblSalaries[[#Headers],[Controller]],tblSalaries[[#This Row],[Salary in USD]],"")</f>
        <v/>
      </c>
      <c r="Y1068" s="13" t="str">
        <f>IF(tblSalaries[[#This Row],[Job Type]]=tblSalaries[[#Headers],[CXO or Top Mgmt.]],tblSalaries[[#This Row],[clean Salary (in local currency)]],"")</f>
        <v/>
      </c>
      <c r="Z1068" s="13" t="str">
        <f>IF(tblSalaries[[#This Row],[Job Type]]=tblSalaries[[#Headers],[Engineer]],tblSalaries[[#This Row],[Salary in USD]],"")</f>
        <v/>
      </c>
      <c r="AA1068" s="13" t="str">
        <f>IF(tblSalaries[[#This Row],[Job Type]]=tblSalaries[[#Headers],[Manager]],tblSalaries[[#This Row],[Salary in USD]],"")</f>
        <v/>
      </c>
      <c r="AB1068" s="13" t="str">
        <f>IF(tblSalaries[[#This Row],[Job Type]]=tblSalaries[[#Headers],[Misc.]],tblSalaries[[#This Row],[Salary in USD]],"")</f>
        <v/>
      </c>
      <c r="AC1068" s="13" t="str">
        <f>IF(tblSalaries[[#This Row],[Job Type]]=tblSalaries[[#Headers],[Reporting]],tblSalaries[[#This Row],[Salary in USD]],"")</f>
        <v/>
      </c>
      <c r="AD1068" s="13" t="str">
        <f>IF(tblSalaries[[#This Row],[Job Type]]=tblSalaries[[#Headers],[Specialist]],tblSalaries[[#This Row],[Salary in USD]],"")</f>
        <v/>
      </c>
    </row>
    <row r="1069" spans="2:30" ht="15" customHeight="1" x14ac:dyDescent="0.25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 s="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3999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  <c r="N1069" t="str">
        <f>IF(tblSalaries[[#This Row],[Years of Experience]]="","",IF(tblSalaries[[#This Row],[Years of Experience]]&lt;=2,1,""))</f>
        <v/>
      </c>
      <c r="O1069">
        <f>IF(tblSalaries[[#This Row],[Years of Experience]]="","",IF(AND(tblSalaries[[#This Row],[Years of Experience]]&gt;2,tblSalaries[[#This Row],[Years of Experience]]&lt;=5),1,""))</f>
        <v>1</v>
      </c>
      <c r="P1069" t="str">
        <f>IF(tblSalaries[[#This Row],[Years of Experience]]="","",IF(AND(tblSalaries[[#This Row],[Years of Experience]]&gt;5,tblSalaries[[#This Row],[Years of Experience]]&lt;=10),1,""))</f>
        <v/>
      </c>
      <c r="Q1069" t="str">
        <f>IF(tblSalaries[[#This Row],[Years of Experience]]="","",IF(AND(tblSalaries[[#This Row],[Years of Experience]]&gt;10,tblSalaries[[#This Row],[Years of Experience]]&lt;=15),1,""))</f>
        <v/>
      </c>
      <c r="R1069" t="str">
        <f>IF(tblSalaries[[#This Row],[Years of Experience]]="","",IF(AND(tblSalaries[[#This Row],[Years of Experience]]&gt;16,tblSalaries[[#This Row],[Years of Experience]]&lt;=20),1,""))</f>
        <v/>
      </c>
      <c r="S1069" t="str">
        <f>IF(tblSalaries[[#This Row],[Years of Experience]]="","",IF(tblSalaries[[#This Row],[Years of Experience]]&gt;20,1,""))</f>
        <v/>
      </c>
      <c r="T10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69" s="13" t="str">
        <f>IF(tblSalaries[[#This Row],[Job Type]]=tblSalaries[[#Headers],[Accountant]],tblSalaries[[#This Row],[Salary in USD]],"")</f>
        <v/>
      </c>
      <c r="V1069" s="13" t="str">
        <f>IF(tblSalaries[[#This Row],[Job Type]]=tblSalaries[[#Headers],[Analyst]],tblSalaries[[#This Row],[Salary in USD]],"")</f>
        <v/>
      </c>
      <c r="W1069" s="13" t="str">
        <f>IF(tblSalaries[[#This Row],[Job Type]]=tblSalaries[[#Headers],[Consultant]],tblSalaries[[#This Row],[Salary in USD]],"")</f>
        <v/>
      </c>
      <c r="X1069" s="13" t="str">
        <f>IF(tblSalaries[[#This Row],[Job Type]]=tblSalaries[[#Headers],[Controller]],tblSalaries[[#This Row],[Salary in USD]],"")</f>
        <v/>
      </c>
      <c r="Y1069" s="13" t="str">
        <f>IF(tblSalaries[[#This Row],[Job Type]]=tblSalaries[[#Headers],[CXO or Top Mgmt.]],tblSalaries[[#This Row],[clean Salary (in local currency)]],"")</f>
        <v/>
      </c>
      <c r="Z1069" s="13" t="str">
        <f>IF(tblSalaries[[#This Row],[Job Type]]=tblSalaries[[#Headers],[Engineer]],tblSalaries[[#This Row],[Salary in USD]],"")</f>
        <v/>
      </c>
      <c r="AA1069" s="13" t="str">
        <f>IF(tblSalaries[[#This Row],[Job Type]]=tblSalaries[[#Headers],[Manager]],tblSalaries[[#This Row],[Salary in USD]],"")</f>
        <v/>
      </c>
      <c r="AB1069" s="13" t="str">
        <f>IF(tblSalaries[[#This Row],[Job Type]]=tblSalaries[[#Headers],[Misc.]],tblSalaries[[#This Row],[Salary in USD]],"")</f>
        <v/>
      </c>
      <c r="AC1069" s="13">
        <f>IF(tblSalaries[[#This Row],[Job Type]]=tblSalaries[[#Headers],[Reporting]],tblSalaries[[#This Row],[Salary in USD]],"")</f>
        <v>4451.9791718606421</v>
      </c>
      <c r="AD1069" s="13" t="str">
        <f>IF(tblSalaries[[#This Row],[Job Type]]=tblSalaries[[#Headers],[Specialist]],tblSalaries[[#This Row],[Salary in USD]],"")</f>
        <v/>
      </c>
    </row>
    <row r="1070" spans="2:30" ht="15" customHeight="1" x14ac:dyDescent="0.25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 s="9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  <c r="N1070" t="str">
        <f>IF(tblSalaries[[#This Row],[Years of Experience]]="","",IF(tblSalaries[[#This Row],[Years of Experience]]&lt;=2,1,""))</f>
        <v/>
      </c>
      <c r="O1070" t="str">
        <f>IF(tblSalaries[[#This Row],[Years of Experience]]="","",IF(AND(tblSalaries[[#This Row],[Years of Experience]]&gt;2,tblSalaries[[#This Row],[Years of Experience]]&lt;=5),1,""))</f>
        <v/>
      </c>
      <c r="P1070">
        <f>IF(tblSalaries[[#This Row],[Years of Experience]]="","",IF(AND(tblSalaries[[#This Row],[Years of Experience]]&gt;5,tblSalaries[[#This Row],[Years of Experience]]&lt;=10),1,""))</f>
        <v>1</v>
      </c>
      <c r="Q1070" t="str">
        <f>IF(tblSalaries[[#This Row],[Years of Experience]]="","",IF(AND(tblSalaries[[#This Row],[Years of Experience]]&gt;10,tblSalaries[[#This Row],[Years of Experience]]&lt;=15),1,""))</f>
        <v/>
      </c>
      <c r="R1070" t="str">
        <f>IF(tblSalaries[[#This Row],[Years of Experience]]="","",IF(AND(tblSalaries[[#This Row],[Years of Experience]]&gt;16,tblSalaries[[#This Row],[Years of Experience]]&lt;=20),1,""))</f>
        <v/>
      </c>
      <c r="S1070" t="str">
        <f>IF(tblSalaries[[#This Row],[Years of Experience]]="","",IF(tblSalaries[[#This Row],[Years of Experience]]&gt;20,1,""))</f>
        <v/>
      </c>
      <c r="T10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70" s="13" t="str">
        <f>IF(tblSalaries[[#This Row],[Job Type]]=tblSalaries[[#Headers],[Accountant]],tblSalaries[[#This Row],[Salary in USD]],"")</f>
        <v/>
      </c>
      <c r="V1070" s="13">
        <f>IF(tblSalaries[[#This Row],[Job Type]]=tblSalaries[[#Headers],[Analyst]],tblSalaries[[#This Row],[Salary in USD]],"")</f>
        <v>10684.750012465542</v>
      </c>
      <c r="W1070" s="13" t="str">
        <f>IF(tblSalaries[[#This Row],[Job Type]]=tblSalaries[[#Headers],[Consultant]],tblSalaries[[#This Row],[Salary in USD]],"")</f>
        <v/>
      </c>
      <c r="X1070" s="13" t="str">
        <f>IF(tblSalaries[[#This Row],[Job Type]]=tblSalaries[[#Headers],[Controller]],tblSalaries[[#This Row],[Salary in USD]],"")</f>
        <v/>
      </c>
      <c r="Y1070" s="13" t="str">
        <f>IF(tblSalaries[[#This Row],[Job Type]]=tblSalaries[[#Headers],[CXO or Top Mgmt.]],tblSalaries[[#This Row],[clean Salary (in local currency)]],"")</f>
        <v/>
      </c>
      <c r="Z1070" s="13" t="str">
        <f>IF(tblSalaries[[#This Row],[Job Type]]=tblSalaries[[#Headers],[Engineer]],tblSalaries[[#This Row],[Salary in USD]],"")</f>
        <v/>
      </c>
      <c r="AA1070" s="13" t="str">
        <f>IF(tblSalaries[[#This Row],[Job Type]]=tblSalaries[[#Headers],[Manager]],tblSalaries[[#This Row],[Salary in USD]],"")</f>
        <v/>
      </c>
      <c r="AB1070" s="13" t="str">
        <f>IF(tblSalaries[[#This Row],[Job Type]]=tblSalaries[[#Headers],[Misc.]],tblSalaries[[#This Row],[Salary in USD]],"")</f>
        <v/>
      </c>
      <c r="AC1070" s="13" t="str">
        <f>IF(tblSalaries[[#This Row],[Job Type]]=tblSalaries[[#Headers],[Reporting]],tblSalaries[[#This Row],[Salary in USD]],"")</f>
        <v/>
      </c>
      <c r="AD1070" s="13" t="str">
        <f>IF(tblSalaries[[#This Row],[Job Type]]=tblSalaries[[#Headers],[Specialist]],tblSalaries[[#This Row],[Salary in USD]],"")</f>
        <v/>
      </c>
    </row>
    <row r="1071" spans="2:30" ht="15" customHeight="1" x14ac:dyDescent="0.25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 s="9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  <c r="N1071" t="str">
        <f>IF(tblSalaries[[#This Row],[Years of Experience]]="","",IF(tblSalaries[[#This Row],[Years of Experience]]&lt;=2,1,""))</f>
        <v/>
      </c>
      <c r="O1071" t="str">
        <f>IF(tblSalaries[[#This Row],[Years of Experience]]="","",IF(AND(tblSalaries[[#This Row],[Years of Experience]]&gt;2,tblSalaries[[#This Row],[Years of Experience]]&lt;=5),1,""))</f>
        <v/>
      </c>
      <c r="P1071" t="str">
        <f>IF(tblSalaries[[#This Row],[Years of Experience]]="","",IF(AND(tblSalaries[[#This Row],[Years of Experience]]&gt;5,tblSalaries[[#This Row],[Years of Experience]]&lt;=10),1,""))</f>
        <v/>
      </c>
      <c r="Q1071" t="str">
        <f>IF(tblSalaries[[#This Row],[Years of Experience]]="","",IF(AND(tblSalaries[[#This Row],[Years of Experience]]&gt;10,tblSalaries[[#This Row],[Years of Experience]]&lt;=15),1,""))</f>
        <v/>
      </c>
      <c r="R1071" t="str">
        <f>IF(tblSalaries[[#This Row],[Years of Experience]]="","",IF(AND(tblSalaries[[#This Row],[Years of Experience]]&gt;16,tblSalaries[[#This Row],[Years of Experience]]&lt;=20),1,""))</f>
        <v/>
      </c>
      <c r="S1071">
        <f>IF(tblSalaries[[#This Row],[Years of Experience]]="","",IF(tblSalaries[[#This Row],[Years of Experience]]&gt;20,1,""))</f>
        <v>1</v>
      </c>
      <c r="T10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71" s="13" t="str">
        <f>IF(tblSalaries[[#This Row],[Job Type]]=tblSalaries[[#Headers],[Accountant]],tblSalaries[[#This Row],[Salary in USD]],"")</f>
        <v/>
      </c>
      <c r="V1071" s="13" t="str">
        <f>IF(tblSalaries[[#This Row],[Job Type]]=tblSalaries[[#Headers],[Analyst]],tblSalaries[[#This Row],[Salary in USD]],"")</f>
        <v/>
      </c>
      <c r="W1071" s="13" t="str">
        <f>IF(tblSalaries[[#This Row],[Job Type]]=tblSalaries[[#Headers],[Consultant]],tblSalaries[[#This Row],[Salary in USD]],"")</f>
        <v/>
      </c>
      <c r="X1071" s="13" t="str">
        <f>IF(tblSalaries[[#This Row],[Job Type]]=tblSalaries[[#Headers],[Controller]],tblSalaries[[#This Row],[Salary in USD]],"")</f>
        <v/>
      </c>
      <c r="Y1071" s="13" t="str">
        <f>IF(tblSalaries[[#This Row],[Job Type]]=tblSalaries[[#Headers],[CXO or Top Mgmt.]],tblSalaries[[#This Row],[clean Salary (in local currency)]],"")</f>
        <v/>
      </c>
      <c r="Z1071" s="13" t="str">
        <f>IF(tblSalaries[[#This Row],[Job Type]]=tblSalaries[[#Headers],[Engineer]],tblSalaries[[#This Row],[Salary in USD]],"")</f>
        <v/>
      </c>
      <c r="AA1071" s="13">
        <f>IF(tblSalaries[[#This Row],[Job Type]]=tblSalaries[[#Headers],[Manager]],tblSalaries[[#This Row],[Salary in USD]],"")</f>
        <v>63835.220018725006</v>
      </c>
      <c r="AB1071" s="13" t="str">
        <f>IF(tblSalaries[[#This Row],[Job Type]]=tblSalaries[[#Headers],[Misc.]],tblSalaries[[#This Row],[Salary in USD]],"")</f>
        <v/>
      </c>
      <c r="AC1071" s="13" t="str">
        <f>IF(tblSalaries[[#This Row],[Job Type]]=tblSalaries[[#Headers],[Reporting]],tblSalaries[[#This Row],[Salary in USD]],"")</f>
        <v/>
      </c>
      <c r="AD1071" s="13" t="str">
        <f>IF(tblSalaries[[#This Row],[Job Type]]=tblSalaries[[#Headers],[Specialist]],tblSalaries[[#This Row],[Salary in USD]],"")</f>
        <v/>
      </c>
    </row>
    <row r="1072" spans="2:30" ht="15" customHeight="1" x14ac:dyDescent="0.25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 s="9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  <c r="N1072" t="str">
        <f>IF(tblSalaries[[#This Row],[Years of Experience]]="","",IF(tblSalaries[[#This Row],[Years of Experience]]&lt;=2,1,""))</f>
        <v/>
      </c>
      <c r="O1072">
        <f>IF(tblSalaries[[#This Row],[Years of Experience]]="","",IF(AND(tblSalaries[[#This Row],[Years of Experience]]&gt;2,tblSalaries[[#This Row],[Years of Experience]]&lt;=5),1,""))</f>
        <v>1</v>
      </c>
      <c r="P1072" t="str">
        <f>IF(tblSalaries[[#This Row],[Years of Experience]]="","",IF(AND(tblSalaries[[#This Row],[Years of Experience]]&gt;5,tblSalaries[[#This Row],[Years of Experience]]&lt;=10),1,""))</f>
        <v/>
      </c>
      <c r="Q1072" t="str">
        <f>IF(tblSalaries[[#This Row],[Years of Experience]]="","",IF(AND(tblSalaries[[#This Row],[Years of Experience]]&gt;10,tblSalaries[[#This Row],[Years of Experience]]&lt;=15),1,""))</f>
        <v/>
      </c>
      <c r="R1072" t="str">
        <f>IF(tblSalaries[[#This Row],[Years of Experience]]="","",IF(AND(tblSalaries[[#This Row],[Years of Experience]]&gt;16,tblSalaries[[#This Row],[Years of Experience]]&lt;=20),1,""))</f>
        <v/>
      </c>
      <c r="S1072" t="str">
        <f>IF(tblSalaries[[#This Row],[Years of Experience]]="","",IF(tblSalaries[[#This Row],[Years of Experience]]&gt;20,1,""))</f>
        <v/>
      </c>
      <c r="T10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72" s="13" t="str">
        <f>IF(tblSalaries[[#This Row],[Job Type]]=tblSalaries[[#Headers],[Accountant]],tblSalaries[[#This Row],[Salary in USD]],"")</f>
        <v/>
      </c>
      <c r="V1072" s="13">
        <f>IF(tblSalaries[[#This Row],[Job Type]]=tblSalaries[[#Headers],[Analyst]],tblSalaries[[#This Row],[Salary in USD]],"")</f>
        <v>36252.100257547536</v>
      </c>
      <c r="W1072" s="13" t="str">
        <f>IF(tblSalaries[[#This Row],[Job Type]]=tblSalaries[[#Headers],[Consultant]],tblSalaries[[#This Row],[Salary in USD]],"")</f>
        <v/>
      </c>
      <c r="X1072" s="13" t="str">
        <f>IF(tblSalaries[[#This Row],[Job Type]]=tblSalaries[[#Headers],[Controller]],tblSalaries[[#This Row],[Salary in USD]],"")</f>
        <v/>
      </c>
      <c r="Y1072" s="13" t="str">
        <f>IF(tblSalaries[[#This Row],[Job Type]]=tblSalaries[[#Headers],[CXO or Top Mgmt.]],tblSalaries[[#This Row],[clean Salary (in local currency)]],"")</f>
        <v/>
      </c>
      <c r="Z1072" s="13" t="str">
        <f>IF(tblSalaries[[#This Row],[Job Type]]=tblSalaries[[#Headers],[Engineer]],tblSalaries[[#This Row],[Salary in USD]],"")</f>
        <v/>
      </c>
      <c r="AA1072" s="13" t="str">
        <f>IF(tblSalaries[[#This Row],[Job Type]]=tblSalaries[[#Headers],[Manager]],tblSalaries[[#This Row],[Salary in USD]],"")</f>
        <v/>
      </c>
      <c r="AB1072" s="13" t="str">
        <f>IF(tblSalaries[[#This Row],[Job Type]]=tblSalaries[[#Headers],[Misc.]],tblSalaries[[#This Row],[Salary in USD]],"")</f>
        <v/>
      </c>
      <c r="AC1072" s="13" t="str">
        <f>IF(tblSalaries[[#This Row],[Job Type]]=tblSalaries[[#Headers],[Reporting]],tblSalaries[[#This Row],[Salary in USD]],"")</f>
        <v/>
      </c>
      <c r="AD1072" s="13" t="str">
        <f>IF(tblSalaries[[#This Row],[Job Type]]=tblSalaries[[#Headers],[Specialist]],tblSalaries[[#This Row],[Salary in USD]],"")</f>
        <v/>
      </c>
    </row>
    <row r="1073" spans="2:30" ht="15" customHeight="1" x14ac:dyDescent="0.25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 s="9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  <c r="N1073" t="str">
        <f>IF(tblSalaries[[#This Row],[Years of Experience]]="","",IF(tblSalaries[[#This Row],[Years of Experience]]&lt;=2,1,""))</f>
        <v/>
      </c>
      <c r="O1073" t="str">
        <f>IF(tblSalaries[[#This Row],[Years of Experience]]="","",IF(AND(tblSalaries[[#This Row],[Years of Experience]]&gt;2,tblSalaries[[#This Row],[Years of Experience]]&lt;=5),1,""))</f>
        <v/>
      </c>
      <c r="P1073">
        <f>IF(tblSalaries[[#This Row],[Years of Experience]]="","",IF(AND(tblSalaries[[#This Row],[Years of Experience]]&gt;5,tblSalaries[[#This Row],[Years of Experience]]&lt;=10),1,""))</f>
        <v>1</v>
      </c>
      <c r="Q1073" t="str">
        <f>IF(tblSalaries[[#This Row],[Years of Experience]]="","",IF(AND(tblSalaries[[#This Row],[Years of Experience]]&gt;10,tblSalaries[[#This Row],[Years of Experience]]&lt;=15),1,""))</f>
        <v/>
      </c>
      <c r="R1073" t="str">
        <f>IF(tblSalaries[[#This Row],[Years of Experience]]="","",IF(AND(tblSalaries[[#This Row],[Years of Experience]]&gt;16,tblSalaries[[#This Row],[Years of Experience]]&lt;=20),1,""))</f>
        <v/>
      </c>
      <c r="S1073" t="str">
        <f>IF(tblSalaries[[#This Row],[Years of Experience]]="","",IF(tblSalaries[[#This Row],[Years of Experience]]&gt;20,1,""))</f>
        <v/>
      </c>
      <c r="T10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73" s="13" t="str">
        <f>IF(tblSalaries[[#This Row],[Job Type]]=tblSalaries[[#Headers],[Accountant]],tblSalaries[[#This Row],[Salary in USD]],"")</f>
        <v/>
      </c>
      <c r="V1073" s="13" t="str">
        <f>IF(tblSalaries[[#This Row],[Job Type]]=tblSalaries[[#Headers],[Analyst]],tblSalaries[[#This Row],[Salary in USD]],"")</f>
        <v/>
      </c>
      <c r="W1073" s="13" t="str">
        <f>IF(tblSalaries[[#This Row],[Job Type]]=tblSalaries[[#Headers],[Consultant]],tblSalaries[[#This Row],[Salary in USD]],"")</f>
        <v/>
      </c>
      <c r="X1073" s="13" t="str">
        <f>IF(tblSalaries[[#This Row],[Job Type]]=tblSalaries[[#Headers],[Controller]],tblSalaries[[#This Row],[Salary in USD]],"")</f>
        <v/>
      </c>
      <c r="Y1073" s="13" t="str">
        <f>IF(tblSalaries[[#This Row],[Job Type]]=tblSalaries[[#Headers],[CXO or Top Mgmt.]],tblSalaries[[#This Row],[clean Salary (in local currency)]],"")</f>
        <v/>
      </c>
      <c r="Z1073" s="13" t="str">
        <f>IF(tblSalaries[[#This Row],[Job Type]]=tblSalaries[[#Headers],[Engineer]],tblSalaries[[#This Row],[Salary in USD]],"")</f>
        <v/>
      </c>
      <c r="AA1073" s="13">
        <f>IF(tblSalaries[[#This Row],[Job Type]]=tblSalaries[[#Headers],[Manager]],tblSalaries[[#This Row],[Salary in USD]],"")</f>
        <v>7960</v>
      </c>
      <c r="AB1073" s="13" t="str">
        <f>IF(tblSalaries[[#This Row],[Job Type]]=tblSalaries[[#Headers],[Misc.]],tblSalaries[[#This Row],[Salary in USD]],"")</f>
        <v/>
      </c>
      <c r="AC1073" s="13" t="str">
        <f>IF(tblSalaries[[#This Row],[Job Type]]=tblSalaries[[#Headers],[Reporting]],tblSalaries[[#This Row],[Salary in USD]],"")</f>
        <v/>
      </c>
      <c r="AD1073" s="13" t="str">
        <f>IF(tblSalaries[[#This Row],[Job Type]]=tblSalaries[[#Headers],[Specialist]],tblSalaries[[#This Row],[Salary in USD]],"")</f>
        <v/>
      </c>
    </row>
    <row r="1074" spans="2:30" ht="15" customHeight="1" x14ac:dyDescent="0.25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 s="9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  <c r="N1074" t="str">
        <f>IF(tblSalaries[[#This Row],[Years of Experience]]="","",IF(tblSalaries[[#This Row],[Years of Experience]]&lt;=2,1,""))</f>
        <v/>
      </c>
      <c r="O1074" t="str">
        <f>IF(tblSalaries[[#This Row],[Years of Experience]]="","",IF(AND(tblSalaries[[#This Row],[Years of Experience]]&gt;2,tblSalaries[[#This Row],[Years of Experience]]&lt;=5),1,""))</f>
        <v/>
      </c>
      <c r="P1074" t="str">
        <f>IF(tblSalaries[[#This Row],[Years of Experience]]="","",IF(AND(tblSalaries[[#This Row],[Years of Experience]]&gt;5,tblSalaries[[#This Row],[Years of Experience]]&lt;=10),1,""))</f>
        <v/>
      </c>
      <c r="Q1074" t="str">
        <f>IF(tblSalaries[[#This Row],[Years of Experience]]="","",IF(AND(tblSalaries[[#This Row],[Years of Experience]]&gt;10,tblSalaries[[#This Row],[Years of Experience]]&lt;=15),1,""))</f>
        <v/>
      </c>
      <c r="R1074" t="str">
        <f>IF(tblSalaries[[#This Row],[Years of Experience]]="","",IF(AND(tblSalaries[[#This Row],[Years of Experience]]&gt;16,tblSalaries[[#This Row],[Years of Experience]]&lt;=20),1,""))</f>
        <v/>
      </c>
      <c r="S1074">
        <f>IF(tblSalaries[[#This Row],[Years of Experience]]="","",IF(tblSalaries[[#This Row],[Years of Experience]]&gt;20,1,""))</f>
        <v>1</v>
      </c>
      <c r="T10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074" s="13" t="str">
        <f>IF(tblSalaries[[#This Row],[Job Type]]=tblSalaries[[#Headers],[Accountant]],tblSalaries[[#This Row],[Salary in USD]],"")</f>
        <v/>
      </c>
      <c r="V1074" s="13">
        <f>IF(tblSalaries[[#This Row],[Job Type]]=tblSalaries[[#Headers],[Analyst]],tblSalaries[[#This Row],[Salary in USD]],"")</f>
        <v>8903.9583437212841</v>
      </c>
      <c r="W1074" s="13" t="str">
        <f>IF(tblSalaries[[#This Row],[Job Type]]=tblSalaries[[#Headers],[Consultant]],tblSalaries[[#This Row],[Salary in USD]],"")</f>
        <v/>
      </c>
      <c r="X1074" s="13" t="str">
        <f>IF(tblSalaries[[#This Row],[Job Type]]=tblSalaries[[#Headers],[Controller]],tblSalaries[[#This Row],[Salary in USD]],"")</f>
        <v/>
      </c>
      <c r="Y1074" s="13" t="str">
        <f>IF(tblSalaries[[#This Row],[Job Type]]=tblSalaries[[#Headers],[CXO or Top Mgmt.]],tblSalaries[[#This Row],[clean Salary (in local currency)]],"")</f>
        <v/>
      </c>
      <c r="Z1074" s="13" t="str">
        <f>IF(tblSalaries[[#This Row],[Job Type]]=tblSalaries[[#Headers],[Engineer]],tblSalaries[[#This Row],[Salary in USD]],"")</f>
        <v/>
      </c>
      <c r="AA1074" s="13" t="str">
        <f>IF(tblSalaries[[#This Row],[Job Type]]=tblSalaries[[#Headers],[Manager]],tblSalaries[[#This Row],[Salary in USD]],"")</f>
        <v/>
      </c>
      <c r="AB1074" s="13" t="str">
        <f>IF(tblSalaries[[#This Row],[Job Type]]=tblSalaries[[#Headers],[Misc.]],tblSalaries[[#This Row],[Salary in USD]],"")</f>
        <v/>
      </c>
      <c r="AC1074" s="13" t="str">
        <f>IF(tblSalaries[[#This Row],[Job Type]]=tblSalaries[[#Headers],[Reporting]],tblSalaries[[#This Row],[Salary in USD]],"")</f>
        <v/>
      </c>
      <c r="AD1074" s="13" t="str">
        <f>IF(tblSalaries[[#This Row],[Job Type]]=tblSalaries[[#Headers],[Specialist]],tblSalaries[[#This Row],[Salary in USD]],"")</f>
        <v/>
      </c>
    </row>
    <row r="1075" spans="2:30" ht="15" customHeight="1" x14ac:dyDescent="0.25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 s="9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  <c r="N1075" t="str">
        <f>IF(tblSalaries[[#This Row],[Years of Experience]]="","",IF(tblSalaries[[#This Row],[Years of Experience]]&lt;=2,1,""))</f>
        <v/>
      </c>
      <c r="O1075">
        <f>IF(tblSalaries[[#This Row],[Years of Experience]]="","",IF(AND(tblSalaries[[#This Row],[Years of Experience]]&gt;2,tblSalaries[[#This Row],[Years of Experience]]&lt;=5),1,""))</f>
        <v>1</v>
      </c>
      <c r="P1075" t="str">
        <f>IF(tblSalaries[[#This Row],[Years of Experience]]="","",IF(AND(tblSalaries[[#This Row],[Years of Experience]]&gt;5,tblSalaries[[#This Row],[Years of Experience]]&lt;=10),1,""))</f>
        <v/>
      </c>
      <c r="Q1075" t="str">
        <f>IF(tblSalaries[[#This Row],[Years of Experience]]="","",IF(AND(tblSalaries[[#This Row],[Years of Experience]]&gt;10,tblSalaries[[#This Row],[Years of Experience]]&lt;=15),1,""))</f>
        <v/>
      </c>
      <c r="R1075" t="str">
        <f>IF(tblSalaries[[#This Row],[Years of Experience]]="","",IF(AND(tblSalaries[[#This Row],[Years of Experience]]&gt;16,tblSalaries[[#This Row],[Years of Experience]]&lt;=20),1,""))</f>
        <v/>
      </c>
      <c r="S1075" t="str">
        <f>IF(tblSalaries[[#This Row],[Years of Experience]]="","",IF(tblSalaries[[#This Row],[Years of Experience]]&gt;20,1,""))</f>
        <v/>
      </c>
      <c r="T10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75" s="13" t="str">
        <f>IF(tblSalaries[[#This Row],[Job Type]]=tblSalaries[[#Headers],[Accountant]],tblSalaries[[#This Row],[Salary in USD]],"")</f>
        <v/>
      </c>
      <c r="V1075" s="13">
        <f>IF(tblSalaries[[#This Row],[Job Type]]=tblSalaries[[#Headers],[Analyst]],tblSalaries[[#This Row],[Salary in USD]],"")</f>
        <v>50815.977559664309</v>
      </c>
      <c r="W1075" s="13" t="str">
        <f>IF(tblSalaries[[#This Row],[Job Type]]=tblSalaries[[#Headers],[Consultant]],tblSalaries[[#This Row],[Salary in USD]],"")</f>
        <v/>
      </c>
      <c r="X1075" s="13" t="str">
        <f>IF(tblSalaries[[#This Row],[Job Type]]=tblSalaries[[#Headers],[Controller]],tblSalaries[[#This Row],[Salary in USD]],"")</f>
        <v/>
      </c>
      <c r="Y1075" s="13" t="str">
        <f>IF(tblSalaries[[#This Row],[Job Type]]=tblSalaries[[#Headers],[CXO or Top Mgmt.]],tblSalaries[[#This Row],[clean Salary (in local currency)]],"")</f>
        <v/>
      </c>
      <c r="Z1075" s="13" t="str">
        <f>IF(tblSalaries[[#This Row],[Job Type]]=tblSalaries[[#Headers],[Engineer]],tblSalaries[[#This Row],[Salary in USD]],"")</f>
        <v/>
      </c>
      <c r="AA1075" s="13" t="str">
        <f>IF(tblSalaries[[#This Row],[Job Type]]=tblSalaries[[#Headers],[Manager]],tblSalaries[[#This Row],[Salary in USD]],"")</f>
        <v/>
      </c>
      <c r="AB1075" s="13" t="str">
        <f>IF(tblSalaries[[#This Row],[Job Type]]=tblSalaries[[#Headers],[Misc.]],tblSalaries[[#This Row],[Salary in USD]],"")</f>
        <v/>
      </c>
      <c r="AC1075" s="13" t="str">
        <f>IF(tblSalaries[[#This Row],[Job Type]]=tblSalaries[[#Headers],[Reporting]],tblSalaries[[#This Row],[Salary in USD]],"")</f>
        <v/>
      </c>
      <c r="AD1075" s="13" t="str">
        <f>IF(tblSalaries[[#This Row],[Job Type]]=tblSalaries[[#Headers],[Specialist]],tblSalaries[[#This Row],[Salary in USD]],"")</f>
        <v/>
      </c>
    </row>
    <row r="1076" spans="2:30" ht="15" customHeight="1" x14ac:dyDescent="0.25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 s="9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  <c r="N1076" t="str">
        <f>IF(tblSalaries[[#This Row],[Years of Experience]]="","",IF(tblSalaries[[#This Row],[Years of Experience]]&lt;=2,1,""))</f>
        <v/>
      </c>
      <c r="O1076">
        <f>IF(tblSalaries[[#This Row],[Years of Experience]]="","",IF(AND(tblSalaries[[#This Row],[Years of Experience]]&gt;2,tblSalaries[[#This Row],[Years of Experience]]&lt;=5),1,""))</f>
        <v>1</v>
      </c>
      <c r="P1076" t="str">
        <f>IF(tblSalaries[[#This Row],[Years of Experience]]="","",IF(AND(tblSalaries[[#This Row],[Years of Experience]]&gt;5,tblSalaries[[#This Row],[Years of Experience]]&lt;=10),1,""))</f>
        <v/>
      </c>
      <c r="Q1076" t="str">
        <f>IF(tblSalaries[[#This Row],[Years of Experience]]="","",IF(AND(tblSalaries[[#This Row],[Years of Experience]]&gt;10,tblSalaries[[#This Row],[Years of Experience]]&lt;=15),1,""))</f>
        <v/>
      </c>
      <c r="R1076" t="str">
        <f>IF(tblSalaries[[#This Row],[Years of Experience]]="","",IF(AND(tblSalaries[[#This Row],[Years of Experience]]&gt;16,tblSalaries[[#This Row],[Years of Experience]]&lt;=20),1,""))</f>
        <v/>
      </c>
      <c r="S1076" t="str">
        <f>IF(tblSalaries[[#This Row],[Years of Experience]]="","",IF(tblSalaries[[#This Row],[Years of Experience]]&gt;20,1,""))</f>
        <v/>
      </c>
      <c r="T10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76" s="13" t="str">
        <f>IF(tblSalaries[[#This Row],[Job Type]]=tblSalaries[[#Headers],[Accountant]],tblSalaries[[#This Row],[Salary in USD]],"")</f>
        <v/>
      </c>
      <c r="V1076" s="13">
        <f>IF(tblSalaries[[#This Row],[Job Type]]=tblSalaries[[#Headers],[Analyst]],tblSalaries[[#This Row],[Salary in USD]],"")</f>
        <v>47285.348162018527</v>
      </c>
      <c r="W1076" s="13" t="str">
        <f>IF(tblSalaries[[#This Row],[Job Type]]=tblSalaries[[#Headers],[Consultant]],tblSalaries[[#This Row],[Salary in USD]],"")</f>
        <v/>
      </c>
      <c r="X1076" s="13" t="str">
        <f>IF(tblSalaries[[#This Row],[Job Type]]=tblSalaries[[#Headers],[Controller]],tblSalaries[[#This Row],[Salary in USD]],"")</f>
        <v/>
      </c>
      <c r="Y1076" s="13" t="str">
        <f>IF(tblSalaries[[#This Row],[Job Type]]=tblSalaries[[#Headers],[CXO or Top Mgmt.]],tblSalaries[[#This Row],[clean Salary (in local currency)]],"")</f>
        <v/>
      </c>
      <c r="Z1076" s="13" t="str">
        <f>IF(tblSalaries[[#This Row],[Job Type]]=tblSalaries[[#Headers],[Engineer]],tblSalaries[[#This Row],[Salary in USD]],"")</f>
        <v/>
      </c>
      <c r="AA1076" s="13" t="str">
        <f>IF(tblSalaries[[#This Row],[Job Type]]=tblSalaries[[#Headers],[Manager]],tblSalaries[[#This Row],[Salary in USD]],"")</f>
        <v/>
      </c>
      <c r="AB1076" s="13" t="str">
        <f>IF(tblSalaries[[#This Row],[Job Type]]=tblSalaries[[#Headers],[Misc.]],tblSalaries[[#This Row],[Salary in USD]],"")</f>
        <v/>
      </c>
      <c r="AC1076" s="13" t="str">
        <f>IF(tblSalaries[[#This Row],[Job Type]]=tblSalaries[[#Headers],[Reporting]],tblSalaries[[#This Row],[Salary in USD]],"")</f>
        <v/>
      </c>
      <c r="AD1076" s="13" t="str">
        <f>IF(tblSalaries[[#This Row],[Job Type]]=tblSalaries[[#Headers],[Specialist]],tblSalaries[[#This Row],[Salary in USD]],"")</f>
        <v/>
      </c>
    </row>
    <row r="1077" spans="2:30" ht="15" customHeight="1" x14ac:dyDescent="0.25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 s="9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  <c r="N1077" t="str">
        <f>IF(tblSalaries[[#This Row],[Years of Experience]]="","",IF(tblSalaries[[#This Row],[Years of Experience]]&lt;=2,1,""))</f>
        <v/>
      </c>
      <c r="O1077" t="str">
        <f>IF(tblSalaries[[#This Row],[Years of Experience]]="","",IF(AND(tblSalaries[[#This Row],[Years of Experience]]&gt;2,tblSalaries[[#This Row],[Years of Experience]]&lt;=5),1,""))</f>
        <v/>
      </c>
      <c r="P1077">
        <f>IF(tblSalaries[[#This Row],[Years of Experience]]="","",IF(AND(tblSalaries[[#This Row],[Years of Experience]]&gt;5,tblSalaries[[#This Row],[Years of Experience]]&lt;=10),1,""))</f>
        <v>1</v>
      </c>
      <c r="Q1077" t="str">
        <f>IF(tblSalaries[[#This Row],[Years of Experience]]="","",IF(AND(tblSalaries[[#This Row],[Years of Experience]]&gt;10,tblSalaries[[#This Row],[Years of Experience]]&lt;=15),1,""))</f>
        <v/>
      </c>
      <c r="R1077" t="str">
        <f>IF(tblSalaries[[#This Row],[Years of Experience]]="","",IF(AND(tblSalaries[[#This Row],[Years of Experience]]&gt;16,tblSalaries[[#This Row],[Years of Experience]]&lt;=20),1,""))</f>
        <v/>
      </c>
      <c r="S1077" t="str">
        <f>IF(tblSalaries[[#This Row],[Years of Experience]]="","",IF(tblSalaries[[#This Row],[Years of Experience]]&gt;20,1,""))</f>
        <v/>
      </c>
      <c r="T10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77" s="13" t="str">
        <f>IF(tblSalaries[[#This Row],[Job Type]]=tblSalaries[[#Headers],[Accountant]],tblSalaries[[#This Row],[Salary in USD]],"")</f>
        <v/>
      </c>
      <c r="V1077" s="13" t="str">
        <f>IF(tblSalaries[[#This Row],[Job Type]]=tblSalaries[[#Headers],[Analyst]],tblSalaries[[#This Row],[Salary in USD]],"")</f>
        <v/>
      </c>
      <c r="W1077" s="13" t="str">
        <f>IF(tblSalaries[[#This Row],[Job Type]]=tblSalaries[[#Headers],[Consultant]],tblSalaries[[#This Row],[Salary in USD]],"")</f>
        <v/>
      </c>
      <c r="X1077" s="13" t="str">
        <f>IF(tblSalaries[[#This Row],[Job Type]]=tblSalaries[[#Headers],[Controller]],tblSalaries[[#This Row],[Salary in USD]],"")</f>
        <v/>
      </c>
      <c r="Y1077" s="13" t="str">
        <f>IF(tblSalaries[[#This Row],[Job Type]]=tblSalaries[[#Headers],[CXO or Top Mgmt.]],tblSalaries[[#This Row],[clean Salary (in local currency)]],"")</f>
        <v/>
      </c>
      <c r="Z1077" s="13" t="str">
        <f>IF(tblSalaries[[#This Row],[Job Type]]=tblSalaries[[#Headers],[Engineer]],tblSalaries[[#This Row],[Salary in USD]],"")</f>
        <v/>
      </c>
      <c r="AA1077" s="13">
        <f>IF(tblSalaries[[#This Row],[Job Type]]=tblSalaries[[#Headers],[Manager]],tblSalaries[[#This Row],[Salary in USD]],"")</f>
        <v>75656.557059229643</v>
      </c>
      <c r="AB1077" s="13" t="str">
        <f>IF(tblSalaries[[#This Row],[Job Type]]=tblSalaries[[#Headers],[Misc.]],tblSalaries[[#This Row],[Salary in USD]],"")</f>
        <v/>
      </c>
      <c r="AC1077" s="13" t="str">
        <f>IF(tblSalaries[[#This Row],[Job Type]]=tblSalaries[[#Headers],[Reporting]],tblSalaries[[#This Row],[Salary in USD]],"")</f>
        <v/>
      </c>
      <c r="AD1077" s="13" t="str">
        <f>IF(tblSalaries[[#This Row],[Job Type]]=tblSalaries[[#Headers],[Specialist]],tblSalaries[[#This Row],[Salary in USD]],"")</f>
        <v/>
      </c>
    </row>
    <row r="1078" spans="2:30" ht="15" customHeight="1" x14ac:dyDescent="0.25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 s="9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  <c r="N1078" t="str">
        <f>IF(tblSalaries[[#This Row],[Years of Experience]]="","",IF(tblSalaries[[#This Row],[Years of Experience]]&lt;=2,1,""))</f>
        <v/>
      </c>
      <c r="O1078" t="str">
        <f>IF(tblSalaries[[#This Row],[Years of Experience]]="","",IF(AND(tblSalaries[[#This Row],[Years of Experience]]&gt;2,tblSalaries[[#This Row],[Years of Experience]]&lt;=5),1,""))</f>
        <v/>
      </c>
      <c r="P1078" t="str">
        <f>IF(tblSalaries[[#This Row],[Years of Experience]]="","",IF(AND(tblSalaries[[#This Row],[Years of Experience]]&gt;5,tblSalaries[[#This Row],[Years of Experience]]&lt;=10),1,""))</f>
        <v/>
      </c>
      <c r="Q1078" t="str">
        <f>IF(tblSalaries[[#This Row],[Years of Experience]]="","",IF(AND(tblSalaries[[#This Row],[Years of Experience]]&gt;10,tblSalaries[[#This Row],[Years of Experience]]&lt;=15),1,""))</f>
        <v/>
      </c>
      <c r="R1078">
        <f>IF(tblSalaries[[#This Row],[Years of Experience]]="","",IF(AND(tblSalaries[[#This Row],[Years of Experience]]&gt;16,tblSalaries[[#This Row],[Years of Experience]]&lt;=20),1,""))</f>
        <v>1</v>
      </c>
      <c r="S1078" t="str">
        <f>IF(tblSalaries[[#This Row],[Years of Experience]]="","",IF(tblSalaries[[#This Row],[Years of Experience]]&gt;20,1,""))</f>
        <v/>
      </c>
      <c r="T10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078" s="13">
        <f>IF(tblSalaries[[#This Row],[Job Type]]=tblSalaries[[#Headers],[Accountant]],tblSalaries[[#This Row],[Salary in USD]],"")</f>
        <v>4273.9000049862161</v>
      </c>
      <c r="V1078" s="13" t="str">
        <f>IF(tblSalaries[[#This Row],[Job Type]]=tblSalaries[[#Headers],[Analyst]],tblSalaries[[#This Row],[Salary in USD]],"")</f>
        <v/>
      </c>
      <c r="W1078" s="13" t="str">
        <f>IF(tblSalaries[[#This Row],[Job Type]]=tblSalaries[[#Headers],[Consultant]],tblSalaries[[#This Row],[Salary in USD]],"")</f>
        <v/>
      </c>
      <c r="X1078" s="13" t="str">
        <f>IF(tblSalaries[[#This Row],[Job Type]]=tblSalaries[[#Headers],[Controller]],tblSalaries[[#This Row],[Salary in USD]],"")</f>
        <v/>
      </c>
      <c r="Y1078" s="13" t="str">
        <f>IF(tblSalaries[[#This Row],[Job Type]]=tblSalaries[[#Headers],[CXO or Top Mgmt.]],tblSalaries[[#This Row],[clean Salary (in local currency)]],"")</f>
        <v/>
      </c>
      <c r="Z1078" s="13" t="str">
        <f>IF(tblSalaries[[#This Row],[Job Type]]=tblSalaries[[#Headers],[Engineer]],tblSalaries[[#This Row],[Salary in USD]],"")</f>
        <v/>
      </c>
      <c r="AA1078" s="13" t="str">
        <f>IF(tblSalaries[[#This Row],[Job Type]]=tblSalaries[[#Headers],[Manager]],tblSalaries[[#This Row],[Salary in USD]],"")</f>
        <v/>
      </c>
      <c r="AB1078" s="13" t="str">
        <f>IF(tblSalaries[[#This Row],[Job Type]]=tblSalaries[[#Headers],[Misc.]],tblSalaries[[#This Row],[Salary in USD]],"")</f>
        <v/>
      </c>
      <c r="AC1078" s="13" t="str">
        <f>IF(tblSalaries[[#This Row],[Job Type]]=tblSalaries[[#Headers],[Reporting]],tblSalaries[[#This Row],[Salary in USD]],"")</f>
        <v/>
      </c>
      <c r="AD1078" s="13" t="str">
        <f>IF(tblSalaries[[#This Row],[Job Type]]=tblSalaries[[#Headers],[Specialist]],tblSalaries[[#This Row],[Salary in USD]],"")</f>
        <v/>
      </c>
    </row>
    <row r="1079" spans="2:30" ht="15" customHeight="1" x14ac:dyDescent="0.25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 s="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  <c r="N1079" t="str">
        <f>IF(tblSalaries[[#This Row],[Years of Experience]]="","",IF(tblSalaries[[#This Row],[Years of Experience]]&lt;=2,1,""))</f>
        <v/>
      </c>
      <c r="O1079" t="str">
        <f>IF(tblSalaries[[#This Row],[Years of Experience]]="","",IF(AND(tblSalaries[[#This Row],[Years of Experience]]&gt;2,tblSalaries[[#This Row],[Years of Experience]]&lt;=5),1,""))</f>
        <v/>
      </c>
      <c r="P1079" t="str">
        <f>IF(tblSalaries[[#This Row],[Years of Experience]]="","",IF(AND(tblSalaries[[#This Row],[Years of Experience]]&gt;5,tblSalaries[[#This Row],[Years of Experience]]&lt;=10),1,""))</f>
        <v/>
      </c>
      <c r="Q1079">
        <f>IF(tblSalaries[[#This Row],[Years of Experience]]="","",IF(AND(tblSalaries[[#This Row],[Years of Experience]]&gt;10,tblSalaries[[#This Row],[Years of Experience]]&lt;=15),1,""))</f>
        <v>1</v>
      </c>
      <c r="R1079" t="str">
        <f>IF(tblSalaries[[#This Row],[Years of Experience]]="","",IF(AND(tblSalaries[[#This Row],[Years of Experience]]&gt;16,tblSalaries[[#This Row],[Years of Experience]]&lt;=20),1,""))</f>
        <v/>
      </c>
      <c r="S1079" t="str">
        <f>IF(tblSalaries[[#This Row],[Years of Experience]]="","",IF(tblSalaries[[#This Row],[Years of Experience]]&gt;20,1,""))</f>
        <v/>
      </c>
      <c r="T10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79" s="13" t="str">
        <f>IF(tblSalaries[[#This Row],[Job Type]]=tblSalaries[[#Headers],[Accountant]],tblSalaries[[#This Row],[Salary in USD]],"")</f>
        <v/>
      </c>
      <c r="V1079" s="13">
        <f>IF(tblSalaries[[#This Row],[Job Type]]=tblSalaries[[#Headers],[Analyst]],tblSalaries[[#This Row],[Salary in USD]],"")</f>
        <v>47004.779242689488</v>
      </c>
      <c r="W1079" s="13" t="str">
        <f>IF(tblSalaries[[#This Row],[Job Type]]=tblSalaries[[#Headers],[Consultant]],tblSalaries[[#This Row],[Salary in USD]],"")</f>
        <v/>
      </c>
      <c r="X1079" s="13" t="str">
        <f>IF(tblSalaries[[#This Row],[Job Type]]=tblSalaries[[#Headers],[Controller]],tblSalaries[[#This Row],[Salary in USD]],"")</f>
        <v/>
      </c>
      <c r="Y1079" s="13" t="str">
        <f>IF(tblSalaries[[#This Row],[Job Type]]=tblSalaries[[#Headers],[CXO or Top Mgmt.]],tblSalaries[[#This Row],[clean Salary (in local currency)]],"")</f>
        <v/>
      </c>
      <c r="Z1079" s="13" t="str">
        <f>IF(tblSalaries[[#This Row],[Job Type]]=tblSalaries[[#Headers],[Engineer]],tblSalaries[[#This Row],[Salary in USD]],"")</f>
        <v/>
      </c>
      <c r="AA1079" s="13" t="str">
        <f>IF(tblSalaries[[#This Row],[Job Type]]=tblSalaries[[#Headers],[Manager]],tblSalaries[[#This Row],[Salary in USD]],"")</f>
        <v/>
      </c>
      <c r="AB1079" s="13" t="str">
        <f>IF(tblSalaries[[#This Row],[Job Type]]=tblSalaries[[#Headers],[Misc.]],tblSalaries[[#This Row],[Salary in USD]],"")</f>
        <v/>
      </c>
      <c r="AC1079" s="13" t="str">
        <f>IF(tblSalaries[[#This Row],[Job Type]]=tblSalaries[[#Headers],[Reporting]],tblSalaries[[#This Row],[Salary in USD]],"")</f>
        <v/>
      </c>
      <c r="AD1079" s="13" t="str">
        <f>IF(tblSalaries[[#This Row],[Job Type]]=tblSalaries[[#Headers],[Specialist]],tblSalaries[[#This Row],[Salary in USD]],"")</f>
        <v/>
      </c>
    </row>
    <row r="1080" spans="2:30" ht="15" customHeight="1" x14ac:dyDescent="0.25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 s="9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  <c r="N1080" t="str">
        <f>IF(tblSalaries[[#This Row],[Years of Experience]]="","",IF(tblSalaries[[#This Row],[Years of Experience]]&lt;=2,1,""))</f>
        <v/>
      </c>
      <c r="O1080" t="str">
        <f>IF(tblSalaries[[#This Row],[Years of Experience]]="","",IF(AND(tblSalaries[[#This Row],[Years of Experience]]&gt;2,tblSalaries[[#This Row],[Years of Experience]]&lt;=5),1,""))</f>
        <v/>
      </c>
      <c r="P1080">
        <f>IF(tblSalaries[[#This Row],[Years of Experience]]="","",IF(AND(tblSalaries[[#This Row],[Years of Experience]]&gt;5,tblSalaries[[#This Row],[Years of Experience]]&lt;=10),1,""))</f>
        <v>1</v>
      </c>
      <c r="Q1080" t="str">
        <f>IF(tblSalaries[[#This Row],[Years of Experience]]="","",IF(AND(tblSalaries[[#This Row],[Years of Experience]]&gt;10,tblSalaries[[#This Row],[Years of Experience]]&lt;=15),1,""))</f>
        <v/>
      </c>
      <c r="R1080" t="str">
        <f>IF(tblSalaries[[#This Row],[Years of Experience]]="","",IF(AND(tblSalaries[[#This Row],[Years of Experience]]&gt;16,tblSalaries[[#This Row],[Years of Experience]]&lt;=20),1,""))</f>
        <v/>
      </c>
      <c r="S1080" t="str">
        <f>IF(tblSalaries[[#This Row],[Years of Experience]]="","",IF(tblSalaries[[#This Row],[Years of Experience]]&gt;20,1,""))</f>
        <v/>
      </c>
      <c r="T10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80" s="13" t="str">
        <f>IF(tblSalaries[[#This Row],[Job Type]]=tblSalaries[[#Headers],[Accountant]],tblSalaries[[#This Row],[Salary in USD]],"")</f>
        <v/>
      </c>
      <c r="V1080" s="13">
        <f>IF(tblSalaries[[#This Row],[Job Type]]=tblSalaries[[#Headers],[Analyst]],tblSalaries[[#This Row],[Salary in USD]],"")</f>
        <v>47285.348162018527</v>
      </c>
      <c r="W1080" s="13" t="str">
        <f>IF(tblSalaries[[#This Row],[Job Type]]=tblSalaries[[#Headers],[Consultant]],tblSalaries[[#This Row],[Salary in USD]],"")</f>
        <v/>
      </c>
      <c r="X1080" s="13" t="str">
        <f>IF(tblSalaries[[#This Row],[Job Type]]=tblSalaries[[#Headers],[Controller]],tblSalaries[[#This Row],[Salary in USD]],"")</f>
        <v/>
      </c>
      <c r="Y1080" s="13" t="str">
        <f>IF(tblSalaries[[#This Row],[Job Type]]=tblSalaries[[#Headers],[CXO or Top Mgmt.]],tblSalaries[[#This Row],[clean Salary (in local currency)]],"")</f>
        <v/>
      </c>
      <c r="Z1080" s="13" t="str">
        <f>IF(tblSalaries[[#This Row],[Job Type]]=tblSalaries[[#Headers],[Engineer]],tblSalaries[[#This Row],[Salary in USD]],"")</f>
        <v/>
      </c>
      <c r="AA1080" s="13" t="str">
        <f>IF(tblSalaries[[#This Row],[Job Type]]=tblSalaries[[#Headers],[Manager]],tblSalaries[[#This Row],[Salary in USD]],"")</f>
        <v/>
      </c>
      <c r="AB1080" s="13" t="str">
        <f>IF(tblSalaries[[#This Row],[Job Type]]=tblSalaries[[#Headers],[Misc.]],tblSalaries[[#This Row],[Salary in USD]],"")</f>
        <v/>
      </c>
      <c r="AC1080" s="13" t="str">
        <f>IF(tblSalaries[[#This Row],[Job Type]]=tblSalaries[[#Headers],[Reporting]],tblSalaries[[#This Row],[Salary in USD]],"")</f>
        <v/>
      </c>
      <c r="AD1080" s="13" t="str">
        <f>IF(tblSalaries[[#This Row],[Job Type]]=tblSalaries[[#Headers],[Specialist]],tblSalaries[[#This Row],[Salary in USD]],"")</f>
        <v/>
      </c>
    </row>
    <row r="1081" spans="2:30" ht="15" customHeight="1" x14ac:dyDescent="0.25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 s="9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  <c r="N1081" t="str">
        <f>IF(tblSalaries[[#This Row],[Years of Experience]]="","",IF(tblSalaries[[#This Row],[Years of Experience]]&lt;=2,1,""))</f>
        <v/>
      </c>
      <c r="O1081" t="str">
        <f>IF(tblSalaries[[#This Row],[Years of Experience]]="","",IF(AND(tblSalaries[[#This Row],[Years of Experience]]&gt;2,tblSalaries[[#This Row],[Years of Experience]]&lt;=5),1,""))</f>
        <v/>
      </c>
      <c r="P1081">
        <f>IF(tblSalaries[[#This Row],[Years of Experience]]="","",IF(AND(tblSalaries[[#This Row],[Years of Experience]]&gt;5,tblSalaries[[#This Row],[Years of Experience]]&lt;=10),1,""))</f>
        <v>1</v>
      </c>
      <c r="Q1081" t="str">
        <f>IF(tblSalaries[[#This Row],[Years of Experience]]="","",IF(AND(tblSalaries[[#This Row],[Years of Experience]]&gt;10,tblSalaries[[#This Row],[Years of Experience]]&lt;=15),1,""))</f>
        <v/>
      </c>
      <c r="R1081" t="str">
        <f>IF(tblSalaries[[#This Row],[Years of Experience]]="","",IF(AND(tblSalaries[[#This Row],[Years of Experience]]&gt;16,tblSalaries[[#This Row],[Years of Experience]]&lt;=20),1,""))</f>
        <v/>
      </c>
      <c r="S1081" t="str">
        <f>IF(tblSalaries[[#This Row],[Years of Experience]]="","",IF(tblSalaries[[#This Row],[Years of Experience]]&gt;20,1,""))</f>
        <v/>
      </c>
      <c r="T10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81" s="13" t="str">
        <f>IF(tblSalaries[[#This Row],[Job Type]]=tblSalaries[[#Headers],[Accountant]],tblSalaries[[#This Row],[Salary in USD]],"")</f>
        <v/>
      </c>
      <c r="V1081" s="13">
        <f>IF(tblSalaries[[#This Row],[Job Type]]=tblSalaries[[#Headers],[Analyst]],tblSalaries[[#This Row],[Salary in USD]],"")</f>
        <v>91418.339779902482</v>
      </c>
      <c r="W1081" s="13" t="str">
        <f>IF(tblSalaries[[#This Row],[Job Type]]=tblSalaries[[#Headers],[Consultant]],tblSalaries[[#This Row],[Salary in USD]],"")</f>
        <v/>
      </c>
      <c r="X1081" s="13" t="str">
        <f>IF(tblSalaries[[#This Row],[Job Type]]=tblSalaries[[#Headers],[Controller]],tblSalaries[[#This Row],[Salary in USD]],"")</f>
        <v/>
      </c>
      <c r="Y1081" s="13" t="str">
        <f>IF(tblSalaries[[#This Row],[Job Type]]=tblSalaries[[#Headers],[CXO or Top Mgmt.]],tblSalaries[[#This Row],[clean Salary (in local currency)]],"")</f>
        <v/>
      </c>
      <c r="Z1081" s="13" t="str">
        <f>IF(tblSalaries[[#This Row],[Job Type]]=tblSalaries[[#Headers],[Engineer]],tblSalaries[[#This Row],[Salary in USD]],"")</f>
        <v/>
      </c>
      <c r="AA1081" s="13" t="str">
        <f>IF(tblSalaries[[#This Row],[Job Type]]=tblSalaries[[#Headers],[Manager]],tblSalaries[[#This Row],[Salary in USD]],"")</f>
        <v/>
      </c>
      <c r="AB1081" s="13" t="str">
        <f>IF(tblSalaries[[#This Row],[Job Type]]=tblSalaries[[#Headers],[Misc.]],tblSalaries[[#This Row],[Salary in USD]],"")</f>
        <v/>
      </c>
      <c r="AC1081" s="13" t="str">
        <f>IF(tblSalaries[[#This Row],[Job Type]]=tblSalaries[[#Headers],[Reporting]],tblSalaries[[#This Row],[Salary in USD]],"")</f>
        <v/>
      </c>
      <c r="AD1081" s="13" t="str">
        <f>IF(tblSalaries[[#This Row],[Job Type]]=tblSalaries[[#Headers],[Specialist]],tblSalaries[[#This Row],[Salary in USD]],"")</f>
        <v/>
      </c>
    </row>
    <row r="1082" spans="2:30" ht="15" customHeight="1" x14ac:dyDescent="0.25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 s="9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  <c r="N1082" t="str">
        <f>IF(tblSalaries[[#This Row],[Years of Experience]]="","",IF(tblSalaries[[#This Row],[Years of Experience]]&lt;=2,1,""))</f>
        <v/>
      </c>
      <c r="O1082" t="str">
        <f>IF(tblSalaries[[#This Row],[Years of Experience]]="","",IF(AND(tblSalaries[[#This Row],[Years of Experience]]&gt;2,tblSalaries[[#This Row],[Years of Experience]]&lt;=5),1,""))</f>
        <v/>
      </c>
      <c r="P1082" t="str">
        <f>IF(tblSalaries[[#This Row],[Years of Experience]]="","",IF(AND(tblSalaries[[#This Row],[Years of Experience]]&gt;5,tblSalaries[[#This Row],[Years of Experience]]&lt;=10),1,""))</f>
        <v/>
      </c>
      <c r="Q1082">
        <f>IF(tblSalaries[[#This Row],[Years of Experience]]="","",IF(AND(tblSalaries[[#This Row],[Years of Experience]]&gt;10,tblSalaries[[#This Row],[Years of Experience]]&lt;=15),1,""))</f>
        <v>1</v>
      </c>
      <c r="R1082" t="str">
        <f>IF(tblSalaries[[#This Row],[Years of Experience]]="","",IF(AND(tblSalaries[[#This Row],[Years of Experience]]&gt;16,tblSalaries[[#This Row],[Years of Experience]]&lt;=20),1,""))</f>
        <v/>
      </c>
      <c r="S1082" t="str">
        <f>IF(tblSalaries[[#This Row],[Years of Experience]]="","",IF(tblSalaries[[#This Row],[Years of Experience]]&gt;20,1,""))</f>
        <v/>
      </c>
      <c r="T10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82" s="13" t="str">
        <f>IF(tblSalaries[[#This Row],[Job Type]]=tblSalaries[[#Headers],[Accountant]],tblSalaries[[#This Row],[Salary in USD]],"")</f>
        <v/>
      </c>
      <c r="V1082" s="13">
        <f>IF(tblSalaries[[#This Row],[Job Type]]=tblSalaries[[#Headers],[Analyst]],tblSalaries[[#This Row],[Salary in USD]],"")</f>
        <v>124518.08349331544</v>
      </c>
      <c r="W1082" s="13" t="str">
        <f>IF(tblSalaries[[#This Row],[Job Type]]=tblSalaries[[#Headers],[Consultant]],tblSalaries[[#This Row],[Salary in USD]],"")</f>
        <v/>
      </c>
      <c r="X1082" s="13" t="str">
        <f>IF(tblSalaries[[#This Row],[Job Type]]=tblSalaries[[#Headers],[Controller]],tblSalaries[[#This Row],[Salary in USD]],"")</f>
        <v/>
      </c>
      <c r="Y1082" s="13" t="str">
        <f>IF(tblSalaries[[#This Row],[Job Type]]=tblSalaries[[#Headers],[CXO or Top Mgmt.]],tblSalaries[[#This Row],[clean Salary (in local currency)]],"")</f>
        <v/>
      </c>
      <c r="Z1082" s="13" t="str">
        <f>IF(tblSalaries[[#This Row],[Job Type]]=tblSalaries[[#Headers],[Engineer]],tblSalaries[[#This Row],[Salary in USD]],"")</f>
        <v/>
      </c>
      <c r="AA1082" s="13" t="str">
        <f>IF(tblSalaries[[#This Row],[Job Type]]=tblSalaries[[#Headers],[Manager]],tblSalaries[[#This Row],[Salary in USD]],"")</f>
        <v/>
      </c>
      <c r="AB1082" s="13" t="str">
        <f>IF(tblSalaries[[#This Row],[Job Type]]=tblSalaries[[#Headers],[Misc.]],tblSalaries[[#This Row],[Salary in USD]],"")</f>
        <v/>
      </c>
      <c r="AC1082" s="13" t="str">
        <f>IF(tblSalaries[[#This Row],[Job Type]]=tblSalaries[[#Headers],[Reporting]],tblSalaries[[#This Row],[Salary in USD]],"")</f>
        <v/>
      </c>
      <c r="AD1082" s="13" t="str">
        <f>IF(tblSalaries[[#This Row],[Job Type]]=tblSalaries[[#Headers],[Specialist]],tblSalaries[[#This Row],[Salary in USD]],"")</f>
        <v/>
      </c>
    </row>
    <row r="1083" spans="2:30" ht="15" customHeight="1" x14ac:dyDescent="0.25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 s="9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  <c r="N1083" t="str">
        <f>IF(tblSalaries[[#This Row],[Years of Experience]]="","",IF(tblSalaries[[#This Row],[Years of Experience]]&lt;=2,1,""))</f>
        <v/>
      </c>
      <c r="O1083">
        <f>IF(tblSalaries[[#This Row],[Years of Experience]]="","",IF(AND(tblSalaries[[#This Row],[Years of Experience]]&gt;2,tblSalaries[[#This Row],[Years of Experience]]&lt;=5),1,""))</f>
        <v>1</v>
      </c>
      <c r="P1083" t="str">
        <f>IF(tblSalaries[[#This Row],[Years of Experience]]="","",IF(AND(tblSalaries[[#This Row],[Years of Experience]]&gt;5,tblSalaries[[#This Row],[Years of Experience]]&lt;=10),1,""))</f>
        <v/>
      </c>
      <c r="Q1083" t="str">
        <f>IF(tblSalaries[[#This Row],[Years of Experience]]="","",IF(AND(tblSalaries[[#This Row],[Years of Experience]]&gt;10,tblSalaries[[#This Row],[Years of Experience]]&lt;=15),1,""))</f>
        <v/>
      </c>
      <c r="R1083" t="str">
        <f>IF(tblSalaries[[#This Row],[Years of Experience]]="","",IF(AND(tblSalaries[[#This Row],[Years of Experience]]&gt;16,tblSalaries[[#This Row],[Years of Experience]]&lt;=20),1,""))</f>
        <v/>
      </c>
      <c r="S1083" t="str">
        <f>IF(tblSalaries[[#This Row],[Years of Experience]]="","",IF(tblSalaries[[#This Row],[Years of Experience]]&gt;20,1,""))</f>
        <v/>
      </c>
      <c r="T10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83" s="13" t="str">
        <f>IF(tblSalaries[[#This Row],[Job Type]]=tblSalaries[[#Headers],[Accountant]],tblSalaries[[#This Row],[Salary in USD]],"")</f>
        <v/>
      </c>
      <c r="V1083" s="13">
        <f>IF(tblSalaries[[#This Row],[Job Type]]=tblSalaries[[#Headers],[Analyst]],tblSalaries[[#This Row],[Salary in USD]],"")</f>
        <v>69213.140283018583</v>
      </c>
      <c r="W1083" s="13" t="str">
        <f>IF(tblSalaries[[#This Row],[Job Type]]=tblSalaries[[#Headers],[Consultant]],tblSalaries[[#This Row],[Salary in USD]],"")</f>
        <v/>
      </c>
      <c r="X1083" s="13" t="str">
        <f>IF(tblSalaries[[#This Row],[Job Type]]=tblSalaries[[#Headers],[Controller]],tblSalaries[[#This Row],[Salary in USD]],"")</f>
        <v/>
      </c>
      <c r="Y1083" s="13" t="str">
        <f>IF(tblSalaries[[#This Row],[Job Type]]=tblSalaries[[#Headers],[CXO or Top Mgmt.]],tblSalaries[[#This Row],[clean Salary (in local currency)]],"")</f>
        <v/>
      </c>
      <c r="Z1083" s="13" t="str">
        <f>IF(tblSalaries[[#This Row],[Job Type]]=tblSalaries[[#Headers],[Engineer]],tblSalaries[[#This Row],[Salary in USD]],"")</f>
        <v/>
      </c>
      <c r="AA1083" s="13" t="str">
        <f>IF(tblSalaries[[#This Row],[Job Type]]=tblSalaries[[#Headers],[Manager]],tblSalaries[[#This Row],[Salary in USD]],"")</f>
        <v/>
      </c>
      <c r="AB1083" s="13" t="str">
        <f>IF(tblSalaries[[#This Row],[Job Type]]=tblSalaries[[#Headers],[Misc.]],tblSalaries[[#This Row],[Salary in USD]],"")</f>
        <v/>
      </c>
      <c r="AC1083" s="13" t="str">
        <f>IF(tblSalaries[[#This Row],[Job Type]]=tblSalaries[[#Headers],[Reporting]],tblSalaries[[#This Row],[Salary in USD]],"")</f>
        <v/>
      </c>
      <c r="AD1083" s="13" t="str">
        <f>IF(tblSalaries[[#This Row],[Job Type]]=tblSalaries[[#Headers],[Specialist]],tblSalaries[[#This Row],[Salary in USD]],"")</f>
        <v/>
      </c>
    </row>
    <row r="1084" spans="2:30" ht="15" customHeight="1" x14ac:dyDescent="0.25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 s="9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  <c r="N1084" t="str">
        <f>IF(tblSalaries[[#This Row],[Years of Experience]]="","",IF(tblSalaries[[#This Row],[Years of Experience]]&lt;=2,1,""))</f>
        <v/>
      </c>
      <c r="O1084">
        <f>IF(tblSalaries[[#This Row],[Years of Experience]]="","",IF(AND(tblSalaries[[#This Row],[Years of Experience]]&gt;2,tblSalaries[[#This Row],[Years of Experience]]&lt;=5),1,""))</f>
        <v>1</v>
      </c>
      <c r="P1084" t="str">
        <f>IF(tblSalaries[[#This Row],[Years of Experience]]="","",IF(AND(tblSalaries[[#This Row],[Years of Experience]]&gt;5,tblSalaries[[#This Row],[Years of Experience]]&lt;=10),1,""))</f>
        <v/>
      </c>
      <c r="Q1084" t="str">
        <f>IF(tblSalaries[[#This Row],[Years of Experience]]="","",IF(AND(tblSalaries[[#This Row],[Years of Experience]]&gt;10,tblSalaries[[#This Row],[Years of Experience]]&lt;=15),1,""))</f>
        <v/>
      </c>
      <c r="R1084" t="str">
        <f>IF(tblSalaries[[#This Row],[Years of Experience]]="","",IF(AND(tblSalaries[[#This Row],[Years of Experience]]&gt;16,tblSalaries[[#This Row],[Years of Experience]]&lt;=20),1,""))</f>
        <v/>
      </c>
      <c r="S1084" t="str">
        <f>IF(tblSalaries[[#This Row],[Years of Experience]]="","",IF(tblSalaries[[#This Row],[Years of Experience]]&gt;20,1,""))</f>
        <v/>
      </c>
      <c r="T10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84" s="13" t="str">
        <f>IF(tblSalaries[[#This Row],[Job Type]]=tblSalaries[[#Headers],[Accountant]],tblSalaries[[#This Row],[Salary in USD]],"")</f>
        <v/>
      </c>
      <c r="V1084" s="13" t="str">
        <f>IF(tblSalaries[[#This Row],[Job Type]]=tblSalaries[[#Headers],[Analyst]],tblSalaries[[#This Row],[Salary in USD]],"")</f>
        <v/>
      </c>
      <c r="W1084" s="13" t="str">
        <f>IF(tblSalaries[[#This Row],[Job Type]]=tblSalaries[[#Headers],[Consultant]],tblSalaries[[#This Row],[Salary in USD]],"")</f>
        <v/>
      </c>
      <c r="X1084" s="13" t="str">
        <f>IF(tblSalaries[[#This Row],[Job Type]]=tblSalaries[[#Headers],[Controller]],tblSalaries[[#This Row],[Salary in USD]],"")</f>
        <v/>
      </c>
      <c r="Y1084" s="13" t="str">
        <f>IF(tblSalaries[[#This Row],[Job Type]]=tblSalaries[[#Headers],[CXO or Top Mgmt.]],tblSalaries[[#This Row],[clean Salary (in local currency)]],"")</f>
        <v/>
      </c>
      <c r="Z1084" s="13" t="str">
        <f>IF(tblSalaries[[#This Row],[Job Type]]=tblSalaries[[#Headers],[Engineer]],tblSalaries[[#This Row],[Salary in USD]],"")</f>
        <v/>
      </c>
      <c r="AA1084" s="13">
        <f>IF(tblSalaries[[#This Row],[Job Type]]=tblSalaries[[#Headers],[Manager]],tblSalaries[[#This Row],[Salary in USD]],"")</f>
        <v>3500</v>
      </c>
      <c r="AB1084" s="13" t="str">
        <f>IF(tblSalaries[[#This Row],[Job Type]]=tblSalaries[[#Headers],[Misc.]],tblSalaries[[#This Row],[Salary in USD]],"")</f>
        <v/>
      </c>
      <c r="AC1084" s="13" t="str">
        <f>IF(tblSalaries[[#This Row],[Job Type]]=tblSalaries[[#Headers],[Reporting]],tblSalaries[[#This Row],[Salary in USD]],"")</f>
        <v/>
      </c>
      <c r="AD1084" s="13" t="str">
        <f>IF(tblSalaries[[#This Row],[Job Type]]=tblSalaries[[#Headers],[Specialist]],tblSalaries[[#This Row],[Salary in USD]],"")</f>
        <v/>
      </c>
    </row>
    <row r="1085" spans="2:30" ht="15" customHeight="1" x14ac:dyDescent="0.25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 s="9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  <c r="N1085" t="str">
        <f>IF(tblSalaries[[#This Row],[Years of Experience]]="","",IF(tblSalaries[[#This Row],[Years of Experience]]&lt;=2,1,""))</f>
        <v/>
      </c>
      <c r="O1085" t="str">
        <f>IF(tblSalaries[[#This Row],[Years of Experience]]="","",IF(AND(tblSalaries[[#This Row],[Years of Experience]]&gt;2,tblSalaries[[#This Row],[Years of Experience]]&lt;=5),1,""))</f>
        <v/>
      </c>
      <c r="P1085" t="str">
        <f>IF(tblSalaries[[#This Row],[Years of Experience]]="","",IF(AND(tblSalaries[[#This Row],[Years of Experience]]&gt;5,tblSalaries[[#This Row],[Years of Experience]]&lt;=10),1,""))</f>
        <v/>
      </c>
      <c r="Q1085" t="str">
        <f>IF(tblSalaries[[#This Row],[Years of Experience]]="","",IF(AND(tblSalaries[[#This Row],[Years of Experience]]&gt;10,tblSalaries[[#This Row],[Years of Experience]]&lt;=15),1,""))</f>
        <v/>
      </c>
      <c r="R1085">
        <f>IF(tblSalaries[[#This Row],[Years of Experience]]="","",IF(AND(tblSalaries[[#This Row],[Years of Experience]]&gt;16,tblSalaries[[#This Row],[Years of Experience]]&lt;=20),1,""))</f>
        <v>1</v>
      </c>
      <c r="S1085" t="str">
        <f>IF(tblSalaries[[#This Row],[Years of Experience]]="","",IF(tblSalaries[[#This Row],[Years of Experience]]&gt;20,1,""))</f>
        <v/>
      </c>
      <c r="T10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085" s="13" t="str">
        <f>IF(tblSalaries[[#This Row],[Job Type]]=tblSalaries[[#Headers],[Accountant]],tblSalaries[[#This Row],[Salary in USD]],"")</f>
        <v/>
      </c>
      <c r="V1085" s="13" t="str">
        <f>IF(tblSalaries[[#This Row],[Job Type]]=tblSalaries[[#Headers],[Analyst]],tblSalaries[[#This Row],[Salary in USD]],"")</f>
        <v/>
      </c>
      <c r="W1085" s="13" t="str">
        <f>IF(tblSalaries[[#This Row],[Job Type]]=tblSalaries[[#Headers],[Consultant]],tblSalaries[[#This Row],[Salary in USD]],"")</f>
        <v/>
      </c>
      <c r="X1085" s="13" t="str">
        <f>IF(tblSalaries[[#This Row],[Job Type]]=tblSalaries[[#Headers],[Controller]],tblSalaries[[#This Row],[Salary in USD]],"")</f>
        <v/>
      </c>
      <c r="Y1085" s="13" t="str">
        <f>IF(tblSalaries[[#This Row],[Job Type]]=tblSalaries[[#Headers],[CXO or Top Mgmt.]],tblSalaries[[#This Row],[clean Salary (in local currency)]],"")</f>
        <v/>
      </c>
      <c r="Z1085" s="13" t="str">
        <f>IF(tblSalaries[[#This Row],[Job Type]]=tblSalaries[[#Headers],[Engineer]],tblSalaries[[#This Row],[Salary in USD]],"")</f>
        <v/>
      </c>
      <c r="AA1085" s="13">
        <f>IF(tblSalaries[[#This Row],[Job Type]]=tblSalaries[[#Headers],[Manager]],tblSalaries[[#This Row],[Salary in USD]],"")</f>
        <v>63047.130882691366</v>
      </c>
      <c r="AB1085" s="13" t="str">
        <f>IF(tblSalaries[[#This Row],[Job Type]]=tblSalaries[[#Headers],[Misc.]],tblSalaries[[#This Row],[Salary in USD]],"")</f>
        <v/>
      </c>
      <c r="AC1085" s="13" t="str">
        <f>IF(tblSalaries[[#This Row],[Job Type]]=tblSalaries[[#Headers],[Reporting]],tblSalaries[[#This Row],[Salary in USD]],"")</f>
        <v/>
      </c>
      <c r="AD1085" s="13" t="str">
        <f>IF(tblSalaries[[#This Row],[Job Type]]=tblSalaries[[#Headers],[Specialist]],tblSalaries[[#This Row],[Salary in USD]],"")</f>
        <v/>
      </c>
    </row>
    <row r="1086" spans="2:30" ht="15" customHeight="1" x14ac:dyDescent="0.25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 s="9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  <c r="N1086" t="str">
        <f>IF(tblSalaries[[#This Row],[Years of Experience]]="","",IF(tblSalaries[[#This Row],[Years of Experience]]&lt;=2,1,""))</f>
        <v/>
      </c>
      <c r="O1086" t="str">
        <f>IF(tblSalaries[[#This Row],[Years of Experience]]="","",IF(AND(tblSalaries[[#This Row],[Years of Experience]]&gt;2,tblSalaries[[#This Row],[Years of Experience]]&lt;=5),1,""))</f>
        <v/>
      </c>
      <c r="P1086" t="str">
        <f>IF(tblSalaries[[#This Row],[Years of Experience]]="","",IF(AND(tblSalaries[[#This Row],[Years of Experience]]&gt;5,tblSalaries[[#This Row],[Years of Experience]]&lt;=10),1,""))</f>
        <v/>
      </c>
      <c r="Q1086">
        <f>IF(tblSalaries[[#This Row],[Years of Experience]]="","",IF(AND(tblSalaries[[#This Row],[Years of Experience]]&gt;10,tblSalaries[[#This Row],[Years of Experience]]&lt;=15),1,""))</f>
        <v>1</v>
      </c>
      <c r="R1086" t="str">
        <f>IF(tblSalaries[[#This Row],[Years of Experience]]="","",IF(AND(tblSalaries[[#This Row],[Years of Experience]]&gt;16,tblSalaries[[#This Row],[Years of Experience]]&lt;=20),1,""))</f>
        <v/>
      </c>
      <c r="S1086" t="str">
        <f>IF(tblSalaries[[#This Row],[Years of Experience]]="","",IF(tblSalaries[[#This Row],[Years of Experience]]&gt;20,1,""))</f>
        <v/>
      </c>
      <c r="T10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86" s="13" t="str">
        <f>IF(tblSalaries[[#This Row],[Job Type]]=tblSalaries[[#Headers],[Accountant]],tblSalaries[[#This Row],[Salary in USD]],"")</f>
        <v/>
      </c>
      <c r="V1086" s="13" t="str">
        <f>IF(tblSalaries[[#This Row],[Job Type]]=tblSalaries[[#Headers],[Analyst]],tblSalaries[[#This Row],[Salary in USD]],"")</f>
        <v/>
      </c>
      <c r="W1086" s="13" t="str">
        <f>IF(tblSalaries[[#This Row],[Job Type]]=tblSalaries[[#Headers],[Consultant]],tblSalaries[[#This Row],[Salary in USD]],"")</f>
        <v/>
      </c>
      <c r="X1086" s="13" t="str">
        <f>IF(tblSalaries[[#This Row],[Job Type]]=tblSalaries[[#Headers],[Controller]],tblSalaries[[#This Row],[Salary in USD]],"")</f>
        <v/>
      </c>
      <c r="Y1086" s="13" t="str">
        <f>IF(tblSalaries[[#This Row],[Job Type]]=tblSalaries[[#Headers],[CXO or Top Mgmt.]],tblSalaries[[#This Row],[clean Salary (in local currency)]],"")</f>
        <v/>
      </c>
      <c r="Z1086" s="13" t="str">
        <f>IF(tblSalaries[[#This Row],[Job Type]]=tblSalaries[[#Headers],[Engineer]],tblSalaries[[#This Row],[Salary in USD]],"")</f>
        <v/>
      </c>
      <c r="AA1086" s="13">
        <f>IF(tblSalaries[[#This Row],[Job Type]]=tblSalaries[[#Headers],[Manager]],tblSalaries[[#This Row],[Salary in USD]],"")</f>
        <v>72412.768022521646</v>
      </c>
      <c r="AB1086" s="13" t="str">
        <f>IF(tblSalaries[[#This Row],[Job Type]]=tblSalaries[[#Headers],[Misc.]],tblSalaries[[#This Row],[Salary in USD]],"")</f>
        <v/>
      </c>
      <c r="AC1086" s="13" t="str">
        <f>IF(tblSalaries[[#This Row],[Job Type]]=tblSalaries[[#Headers],[Reporting]],tblSalaries[[#This Row],[Salary in USD]],"")</f>
        <v/>
      </c>
      <c r="AD1086" s="13" t="str">
        <f>IF(tblSalaries[[#This Row],[Job Type]]=tblSalaries[[#Headers],[Specialist]],tblSalaries[[#This Row],[Salary in USD]],"")</f>
        <v/>
      </c>
    </row>
    <row r="1087" spans="2:30" ht="15" customHeight="1" x14ac:dyDescent="0.25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 s="9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  <c r="N1087" t="str">
        <f>IF(tblSalaries[[#This Row],[Years of Experience]]="","",IF(tblSalaries[[#This Row],[Years of Experience]]&lt;=2,1,""))</f>
        <v/>
      </c>
      <c r="O1087" t="str">
        <f>IF(tblSalaries[[#This Row],[Years of Experience]]="","",IF(AND(tblSalaries[[#This Row],[Years of Experience]]&gt;2,tblSalaries[[#This Row],[Years of Experience]]&lt;=5),1,""))</f>
        <v/>
      </c>
      <c r="P1087">
        <f>IF(tblSalaries[[#This Row],[Years of Experience]]="","",IF(AND(tblSalaries[[#This Row],[Years of Experience]]&gt;5,tblSalaries[[#This Row],[Years of Experience]]&lt;=10),1,""))</f>
        <v>1</v>
      </c>
      <c r="Q1087" t="str">
        <f>IF(tblSalaries[[#This Row],[Years of Experience]]="","",IF(AND(tblSalaries[[#This Row],[Years of Experience]]&gt;10,tblSalaries[[#This Row],[Years of Experience]]&lt;=15),1,""))</f>
        <v/>
      </c>
      <c r="R1087" t="str">
        <f>IF(tblSalaries[[#This Row],[Years of Experience]]="","",IF(AND(tblSalaries[[#This Row],[Years of Experience]]&gt;16,tblSalaries[[#This Row],[Years of Experience]]&lt;=20),1,""))</f>
        <v/>
      </c>
      <c r="S1087" t="str">
        <f>IF(tblSalaries[[#This Row],[Years of Experience]]="","",IF(tblSalaries[[#This Row],[Years of Experience]]&gt;20,1,""))</f>
        <v/>
      </c>
      <c r="T10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87" s="13">
        <f>IF(tblSalaries[[#This Row],[Job Type]]=tblSalaries[[#Headers],[Accountant]],tblSalaries[[#This Row],[Salary in USD]],"")</f>
        <v>50815.977559664309</v>
      </c>
      <c r="V1087" s="13" t="str">
        <f>IF(tblSalaries[[#This Row],[Job Type]]=tblSalaries[[#Headers],[Analyst]],tblSalaries[[#This Row],[Salary in USD]],"")</f>
        <v/>
      </c>
      <c r="W1087" s="13" t="str">
        <f>IF(tblSalaries[[#This Row],[Job Type]]=tblSalaries[[#Headers],[Consultant]],tblSalaries[[#This Row],[Salary in USD]],"")</f>
        <v/>
      </c>
      <c r="X1087" s="13" t="str">
        <f>IF(tblSalaries[[#This Row],[Job Type]]=tblSalaries[[#Headers],[Controller]],tblSalaries[[#This Row],[Salary in USD]],"")</f>
        <v/>
      </c>
      <c r="Y1087" s="13" t="str">
        <f>IF(tblSalaries[[#This Row],[Job Type]]=tblSalaries[[#Headers],[CXO or Top Mgmt.]],tblSalaries[[#This Row],[clean Salary (in local currency)]],"")</f>
        <v/>
      </c>
      <c r="Z1087" s="13" t="str">
        <f>IF(tblSalaries[[#This Row],[Job Type]]=tblSalaries[[#Headers],[Engineer]],tblSalaries[[#This Row],[Salary in USD]],"")</f>
        <v/>
      </c>
      <c r="AA1087" s="13" t="str">
        <f>IF(tblSalaries[[#This Row],[Job Type]]=tblSalaries[[#Headers],[Manager]],tblSalaries[[#This Row],[Salary in USD]],"")</f>
        <v/>
      </c>
      <c r="AB1087" s="13" t="str">
        <f>IF(tblSalaries[[#This Row],[Job Type]]=tblSalaries[[#Headers],[Misc.]],tblSalaries[[#This Row],[Salary in USD]],"")</f>
        <v/>
      </c>
      <c r="AC1087" s="13" t="str">
        <f>IF(tblSalaries[[#This Row],[Job Type]]=tblSalaries[[#Headers],[Reporting]],tblSalaries[[#This Row],[Salary in USD]],"")</f>
        <v/>
      </c>
      <c r="AD1087" s="13" t="str">
        <f>IF(tblSalaries[[#This Row],[Job Type]]=tblSalaries[[#Headers],[Specialist]],tblSalaries[[#This Row],[Salary in USD]],"")</f>
        <v/>
      </c>
    </row>
    <row r="1088" spans="2:30" ht="15" customHeight="1" x14ac:dyDescent="0.25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 s="9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  <c r="N1088" t="str">
        <f>IF(tblSalaries[[#This Row],[Years of Experience]]="","",IF(tblSalaries[[#This Row],[Years of Experience]]&lt;=2,1,""))</f>
        <v/>
      </c>
      <c r="O1088">
        <f>IF(tblSalaries[[#This Row],[Years of Experience]]="","",IF(AND(tblSalaries[[#This Row],[Years of Experience]]&gt;2,tblSalaries[[#This Row],[Years of Experience]]&lt;=5),1,""))</f>
        <v>1</v>
      </c>
      <c r="P1088" t="str">
        <f>IF(tblSalaries[[#This Row],[Years of Experience]]="","",IF(AND(tblSalaries[[#This Row],[Years of Experience]]&gt;5,tblSalaries[[#This Row],[Years of Experience]]&lt;=10),1,""))</f>
        <v/>
      </c>
      <c r="Q1088" t="str">
        <f>IF(tblSalaries[[#This Row],[Years of Experience]]="","",IF(AND(tblSalaries[[#This Row],[Years of Experience]]&gt;10,tblSalaries[[#This Row],[Years of Experience]]&lt;=15),1,""))</f>
        <v/>
      </c>
      <c r="R1088" t="str">
        <f>IF(tblSalaries[[#This Row],[Years of Experience]]="","",IF(AND(tblSalaries[[#This Row],[Years of Experience]]&gt;16,tblSalaries[[#This Row],[Years of Experience]]&lt;=20),1,""))</f>
        <v/>
      </c>
      <c r="S1088" t="str">
        <f>IF(tblSalaries[[#This Row],[Years of Experience]]="","",IF(tblSalaries[[#This Row],[Years of Experience]]&gt;20,1,""))</f>
        <v/>
      </c>
      <c r="T10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88" s="13" t="str">
        <f>IF(tblSalaries[[#This Row],[Job Type]]=tblSalaries[[#Headers],[Accountant]],tblSalaries[[#This Row],[Salary in USD]],"")</f>
        <v/>
      </c>
      <c r="V1088" s="13" t="str">
        <f>IF(tblSalaries[[#This Row],[Job Type]]=tblSalaries[[#Headers],[Analyst]],tblSalaries[[#This Row],[Salary in USD]],"")</f>
        <v/>
      </c>
      <c r="W1088" s="13" t="str">
        <f>IF(tblSalaries[[#This Row],[Job Type]]=tblSalaries[[#Headers],[Consultant]],tblSalaries[[#This Row],[Salary in USD]],"")</f>
        <v/>
      </c>
      <c r="X1088" s="13" t="str">
        <f>IF(tblSalaries[[#This Row],[Job Type]]=tblSalaries[[#Headers],[Controller]],tblSalaries[[#This Row],[Salary in USD]],"")</f>
        <v/>
      </c>
      <c r="Y1088" s="13" t="str">
        <f>IF(tblSalaries[[#This Row],[Job Type]]=tblSalaries[[#Headers],[CXO or Top Mgmt.]],tblSalaries[[#This Row],[clean Salary (in local currency)]],"")</f>
        <v/>
      </c>
      <c r="Z1088" s="13" t="str">
        <f>IF(tblSalaries[[#This Row],[Job Type]]=tblSalaries[[#Headers],[Engineer]],tblSalaries[[#This Row],[Salary in USD]],"")</f>
        <v/>
      </c>
      <c r="AA1088" s="13">
        <f>IF(tblSalaries[[#This Row],[Job Type]]=tblSalaries[[#Headers],[Manager]],tblSalaries[[#This Row],[Salary in USD]],"")</f>
        <v>21369.500024931083</v>
      </c>
      <c r="AB1088" s="13" t="str">
        <f>IF(tblSalaries[[#This Row],[Job Type]]=tblSalaries[[#Headers],[Misc.]],tblSalaries[[#This Row],[Salary in USD]],"")</f>
        <v/>
      </c>
      <c r="AC1088" s="13" t="str">
        <f>IF(tblSalaries[[#This Row],[Job Type]]=tblSalaries[[#Headers],[Reporting]],tblSalaries[[#This Row],[Salary in USD]],"")</f>
        <v/>
      </c>
      <c r="AD1088" s="13" t="str">
        <f>IF(tblSalaries[[#This Row],[Job Type]]=tblSalaries[[#Headers],[Specialist]],tblSalaries[[#This Row],[Salary in USD]],"")</f>
        <v/>
      </c>
    </row>
    <row r="1089" spans="2:30" ht="15" customHeight="1" x14ac:dyDescent="0.25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 s="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  <c r="N1089" t="str">
        <f>IF(tblSalaries[[#This Row],[Years of Experience]]="","",IF(tblSalaries[[#This Row],[Years of Experience]]&lt;=2,1,""))</f>
        <v/>
      </c>
      <c r="O1089" t="str">
        <f>IF(tblSalaries[[#This Row],[Years of Experience]]="","",IF(AND(tblSalaries[[#This Row],[Years of Experience]]&gt;2,tblSalaries[[#This Row],[Years of Experience]]&lt;=5),1,""))</f>
        <v/>
      </c>
      <c r="P1089">
        <f>IF(tblSalaries[[#This Row],[Years of Experience]]="","",IF(AND(tblSalaries[[#This Row],[Years of Experience]]&gt;5,tblSalaries[[#This Row],[Years of Experience]]&lt;=10),1,""))</f>
        <v>1</v>
      </c>
      <c r="Q1089" t="str">
        <f>IF(tblSalaries[[#This Row],[Years of Experience]]="","",IF(AND(tblSalaries[[#This Row],[Years of Experience]]&gt;10,tblSalaries[[#This Row],[Years of Experience]]&lt;=15),1,""))</f>
        <v/>
      </c>
      <c r="R1089" t="str">
        <f>IF(tblSalaries[[#This Row],[Years of Experience]]="","",IF(AND(tblSalaries[[#This Row],[Years of Experience]]&gt;16,tblSalaries[[#This Row],[Years of Experience]]&lt;=20),1,""))</f>
        <v/>
      </c>
      <c r="S1089" t="str">
        <f>IF(tblSalaries[[#This Row],[Years of Experience]]="","",IF(tblSalaries[[#This Row],[Years of Experience]]&gt;20,1,""))</f>
        <v/>
      </c>
      <c r="T10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89" s="13" t="str">
        <f>IF(tblSalaries[[#This Row],[Job Type]]=tblSalaries[[#Headers],[Accountant]],tblSalaries[[#This Row],[Salary in USD]],"")</f>
        <v/>
      </c>
      <c r="V1089" s="13">
        <f>IF(tblSalaries[[#This Row],[Job Type]]=tblSalaries[[#Headers],[Analyst]],tblSalaries[[#This Row],[Salary in USD]],"")</f>
        <v>55166.239522354947</v>
      </c>
      <c r="W1089" s="13" t="str">
        <f>IF(tblSalaries[[#This Row],[Job Type]]=tblSalaries[[#Headers],[Consultant]],tblSalaries[[#This Row],[Salary in USD]],"")</f>
        <v/>
      </c>
      <c r="X1089" s="13" t="str">
        <f>IF(tblSalaries[[#This Row],[Job Type]]=tblSalaries[[#Headers],[Controller]],tblSalaries[[#This Row],[Salary in USD]],"")</f>
        <v/>
      </c>
      <c r="Y1089" s="13" t="str">
        <f>IF(tblSalaries[[#This Row],[Job Type]]=tblSalaries[[#Headers],[CXO or Top Mgmt.]],tblSalaries[[#This Row],[clean Salary (in local currency)]],"")</f>
        <v/>
      </c>
      <c r="Z1089" s="13" t="str">
        <f>IF(tblSalaries[[#This Row],[Job Type]]=tblSalaries[[#Headers],[Engineer]],tblSalaries[[#This Row],[Salary in USD]],"")</f>
        <v/>
      </c>
      <c r="AA1089" s="13" t="str">
        <f>IF(tblSalaries[[#This Row],[Job Type]]=tblSalaries[[#Headers],[Manager]],tblSalaries[[#This Row],[Salary in USD]],"")</f>
        <v/>
      </c>
      <c r="AB1089" s="13" t="str">
        <f>IF(tblSalaries[[#This Row],[Job Type]]=tblSalaries[[#Headers],[Misc.]],tblSalaries[[#This Row],[Salary in USD]],"")</f>
        <v/>
      </c>
      <c r="AC1089" s="13" t="str">
        <f>IF(tblSalaries[[#This Row],[Job Type]]=tblSalaries[[#Headers],[Reporting]],tblSalaries[[#This Row],[Salary in USD]],"")</f>
        <v/>
      </c>
      <c r="AD1089" s="13" t="str">
        <f>IF(tblSalaries[[#This Row],[Job Type]]=tblSalaries[[#Headers],[Specialist]],tblSalaries[[#This Row],[Salary in USD]],"")</f>
        <v/>
      </c>
    </row>
    <row r="1090" spans="2:30" ht="15" customHeight="1" x14ac:dyDescent="0.25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 s="9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  <c r="N1090" t="str">
        <f>IF(tblSalaries[[#This Row],[Years of Experience]]="","",IF(tblSalaries[[#This Row],[Years of Experience]]&lt;=2,1,""))</f>
        <v/>
      </c>
      <c r="O1090">
        <f>IF(tblSalaries[[#This Row],[Years of Experience]]="","",IF(AND(tblSalaries[[#This Row],[Years of Experience]]&gt;2,tblSalaries[[#This Row],[Years of Experience]]&lt;=5),1,""))</f>
        <v>1</v>
      </c>
      <c r="P1090" t="str">
        <f>IF(tblSalaries[[#This Row],[Years of Experience]]="","",IF(AND(tblSalaries[[#This Row],[Years of Experience]]&gt;5,tblSalaries[[#This Row],[Years of Experience]]&lt;=10),1,""))</f>
        <v/>
      </c>
      <c r="Q1090" t="str">
        <f>IF(tblSalaries[[#This Row],[Years of Experience]]="","",IF(AND(tblSalaries[[#This Row],[Years of Experience]]&gt;10,tblSalaries[[#This Row],[Years of Experience]]&lt;=15),1,""))</f>
        <v/>
      </c>
      <c r="R1090" t="str">
        <f>IF(tblSalaries[[#This Row],[Years of Experience]]="","",IF(AND(tblSalaries[[#This Row],[Years of Experience]]&gt;16,tblSalaries[[#This Row],[Years of Experience]]&lt;=20),1,""))</f>
        <v/>
      </c>
      <c r="S1090" t="str">
        <f>IF(tblSalaries[[#This Row],[Years of Experience]]="","",IF(tblSalaries[[#This Row],[Years of Experience]]&gt;20,1,""))</f>
        <v/>
      </c>
      <c r="T10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90" s="13" t="str">
        <f>IF(tblSalaries[[#This Row],[Job Type]]=tblSalaries[[#Headers],[Accountant]],tblSalaries[[#This Row],[Salary in USD]],"")</f>
        <v/>
      </c>
      <c r="V1090" s="13">
        <f>IF(tblSalaries[[#This Row],[Job Type]]=tblSalaries[[#Headers],[Analyst]],tblSalaries[[#This Row],[Salary in USD]],"")</f>
        <v>3205.4250037396623</v>
      </c>
      <c r="W1090" s="13" t="str">
        <f>IF(tblSalaries[[#This Row],[Job Type]]=tblSalaries[[#Headers],[Consultant]],tblSalaries[[#This Row],[Salary in USD]],"")</f>
        <v/>
      </c>
      <c r="X1090" s="13" t="str">
        <f>IF(tblSalaries[[#This Row],[Job Type]]=tblSalaries[[#Headers],[Controller]],tblSalaries[[#This Row],[Salary in USD]],"")</f>
        <v/>
      </c>
      <c r="Y1090" s="13" t="str">
        <f>IF(tblSalaries[[#This Row],[Job Type]]=tblSalaries[[#Headers],[CXO or Top Mgmt.]],tblSalaries[[#This Row],[clean Salary (in local currency)]],"")</f>
        <v/>
      </c>
      <c r="Z1090" s="13" t="str">
        <f>IF(tblSalaries[[#This Row],[Job Type]]=tblSalaries[[#Headers],[Engineer]],tblSalaries[[#This Row],[Salary in USD]],"")</f>
        <v/>
      </c>
      <c r="AA1090" s="13" t="str">
        <f>IF(tblSalaries[[#This Row],[Job Type]]=tblSalaries[[#Headers],[Manager]],tblSalaries[[#This Row],[Salary in USD]],"")</f>
        <v/>
      </c>
      <c r="AB1090" s="13" t="str">
        <f>IF(tblSalaries[[#This Row],[Job Type]]=tblSalaries[[#Headers],[Misc.]],tblSalaries[[#This Row],[Salary in USD]],"")</f>
        <v/>
      </c>
      <c r="AC1090" s="13" t="str">
        <f>IF(tblSalaries[[#This Row],[Job Type]]=tblSalaries[[#Headers],[Reporting]],tblSalaries[[#This Row],[Salary in USD]],"")</f>
        <v/>
      </c>
      <c r="AD1090" s="13" t="str">
        <f>IF(tblSalaries[[#This Row],[Job Type]]=tblSalaries[[#Headers],[Specialist]],tblSalaries[[#This Row],[Salary in USD]],"")</f>
        <v/>
      </c>
    </row>
    <row r="1091" spans="2:30" ht="15" customHeight="1" x14ac:dyDescent="0.25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 s="9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  <c r="N1091" t="str">
        <f>IF(tblSalaries[[#This Row],[Years of Experience]]="","",IF(tblSalaries[[#This Row],[Years of Experience]]&lt;=2,1,""))</f>
        <v/>
      </c>
      <c r="O1091" t="str">
        <f>IF(tblSalaries[[#This Row],[Years of Experience]]="","",IF(AND(tblSalaries[[#This Row],[Years of Experience]]&gt;2,tblSalaries[[#This Row],[Years of Experience]]&lt;=5),1,""))</f>
        <v/>
      </c>
      <c r="P1091">
        <f>IF(tblSalaries[[#This Row],[Years of Experience]]="","",IF(AND(tblSalaries[[#This Row],[Years of Experience]]&gt;5,tblSalaries[[#This Row],[Years of Experience]]&lt;=10),1,""))</f>
        <v>1</v>
      </c>
      <c r="Q1091" t="str">
        <f>IF(tblSalaries[[#This Row],[Years of Experience]]="","",IF(AND(tblSalaries[[#This Row],[Years of Experience]]&gt;10,tblSalaries[[#This Row],[Years of Experience]]&lt;=15),1,""))</f>
        <v/>
      </c>
      <c r="R1091" t="str">
        <f>IF(tblSalaries[[#This Row],[Years of Experience]]="","",IF(AND(tblSalaries[[#This Row],[Years of Experience]]&gt;16,tblSalaries[[#This Row],[Years of Experience]]&lt;=20),1,""))</f>
        <v/>
      </c>
      <c r="S1091" t="str">
        <f>IF(tblSalaries[[#This Row],[Years of Experience]]="","",IF(tblSalaries[[#This Row],[Years of Experience]]&gt;20,1,""))</f>
        <v/>
      </c>
      <c r="T10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91" s="13">
        <f>IF(tblSalaries[[#This Row],[Job Type]]=tblSalaries[[#Headers],[Accountant]],tblSalaries[[#This Row],[Salary in USD]],"")</f>
        <v>10684.750012465542</v>
      </c>
      <c r="V1091" s="13" t="str">
        <f>IF(tblSalaries[[#This Row],[Job Type]]=tblSalaries[[#Headers],[Analyst]],tblSalaries[[#This Row],[Salary in USD]],"")</f>
        <v/>
      </c>
      <c r="W1091" s="13" t="str">
        <f>IF(tblSalaries[[#This Row],[Job Type]]=tblSalaries[[#Headers],[Consultant]],tblSalaries[[#This Row],[Salary in USD]],"")</f>
        <v/>
      </c>
      <c r="X1091" s="13" t="str">
        <f>IF(tblSalaries[[#This Row],[Job Type]]=tblSalaries[[#Headers],[Controller]],tblSalaries[[#This Row],[Salary in USD]],"")</f>
        <v/>
      </c>
      <c r="Y1091" s="13" t="str">
        <f>IF(tblSalaries[[#This Row],[Job Type]]=tblSalaries[[#Headers],[CXO or Top Mgmt.]],tblSalaries[[#This Row],[clean Salary (in local currency)]],"")</f>
        <v/>
      </c>
      <c r="Z1091" s="13" t="str">
        <f>IF(tblSalaries[[#This Row],[Job Type]]=tblSalaries[[#Headers],[Engineer]],tblSalaries[[#This Row],[Salary in USD]],"")</f>
        <v/>
      </c>
      <c r="AA1091" s="13" t="str">
        <f>IF(tblSalaries[[#This Row],[Job Type]]=tblSalaries[[#Headers],[Manager]],tblSalaries[[#This Row],[Salary in USD]],"")</f>
        <v/>
      </c>
      <c r="AB1091" s="13" t="str">
        <f>IF(tblSalaries[[#This Row],[Job Type]]=tblSalaries[[#Headers],[Misc.]],tblSalaries[[#This Row],[Salary in USD]],"")</f>
        <v/>
      </c>
      <c r="AC1091" s="13" t="str">
        <f>IF(tblSalaries[[#This Row],[Job Type]]=tblSalaries[[#Headers],[Reporting]],tblSalaries[[#This Row],[Salary in USD]],"")</f>
        <v/>
      </c>
      <c r="AD1091" s="13" t="str">
        <f>IF(tblSalaries[[#This Row],[Job Type]]=tblSalaries[[#Headers],[Specialist]],tblSalaries[[#This Row],[Salary in USD]],"")</f>
        <v/>
      </c>
    </row>
    <row r="1092" spans="2:30" ht="15" customHeight="1" x14ac:dyDescent="0.25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 s="9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  <c r="N1092" t="str">
        <f>IF(tblSalaries[[#This Row],[Years of Experience]]="","",IF(tblSalaries[[#This Row],[Years of Experience]]&lt;=2,1,""))</f>
        <v/>
      </c>
      <c r="O1092">
        <f>IF(tblSalaries[[#This Row],[Years of Experience]]="","",IF(AND(tblSalaries[[#This Row],[Years of Experience]]&gt;2,tblSalaries[[#This Row],[Years of Experience]]&lt;=5),1,""))</f>
        <v>1</v>
      </c>
      <c r="P1092" t="str">
        <f>IF(tblSalaries[[#This Row],[Years of Experience]]="","",IF(AND(tblSalaries[[#This Row],[Years of Experience]]&gt;5,tblSalaries[[#This Row],[Years of Experience]]&lt;=10),1,""))</f>
        <v/>
      </c>
      <c r="Q1092" t="str">
        <f>IF(tblSalaries[[#This Row],[Years of Experience]]="","",IF(AND(tblSalaries[[#This Row],[Years of Experience]]&gt;10,tblSalaries[[#This Row],[Years of Experience]]&lt;=15),1,""))</f>
        <v/>
      </c>
      <c r="R1092" t="str">
        <f>IF(tblSalaries[[#This Row],[Years of Experience]]="","",IF(AND(tblSalaries[[#This Row],[Years of Experience]]&gt;16,tblSalaries[[#This Row],[Years of Experience]]&lt;=20),1,""))</f>
        <v/>
      </c>
      <c r="S1092" t="str">
        <f>IF(tblSalaries[[#This Row],[Years of Experience]]="","",IF(tblSalaries[[#This Row],[Years of Experience]]&gt;20,1,""))</f>
        <v/>
      </c>
      <c r="T10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92" s="13" t="str">
        <f>IF(tblSalaries[[#This Row],[Job Type]]=tblSalaries[[#Headers],[Accountant]],tblSalaries[[#This Row],[Salary in USD]],"")</f>
        <v/>
      </c>
      <c r="V1092" s="13">
        <f>IF(tblSalaries[[#This Row],[Job Type]]=tblSalaries[[#Headers],[Analyst]],tblSalaries[[#This Row],[Salary in USD]],"")</f>
        <v>5342.3750062327708</v>
      </c>
      <c r="W1092" s="13" t="str">
        <f>IF(tblSalaries[[#This Row],[Job Type]]=tblSalaries[[#Headers],[Consultant]],tblSalaries[[#This Row],[Salary in USD]],"")</f>
        <v/>
      </c>
      <c r="X1092" s="13" t="str">
        <f>IF(tblSalaries[[#This Row],[Job Type]]=tblSalaries[[#Headers],[Controller]],tblSalaries[[#This Row],[Salary in USD]],"")</f>
        <v/>
      </c>
      <c r="Y1092" s="13" t="str">
        <f>IF(tblSalaries[[#This Row],[Job Type]]=tblSalaries[[#Headers],[CXO or Top Mgmt.]],tblSalaries[[#This Row],[clean Salary (in local currency)]],"")</f>
        <v/>
      </c>
      <c r="Z1092" s="13" t="str">
        <f>IF(tblSalaries[[#This Row],[Job Type]]=tblSalaries[[#Headers],[Engineer]],tblSalaries[[#This Row],[Salary in USD]],"")</f>
        <v/>
      </c>
      <c r="AA1092" s="13" t="str">
        <f>IF(tblSalaries[[#This Row],[Job Type]]=tblSalaries[[#Headers],[Manager]],tblSalaries[[#This Row],[Salary in USD]],"")</f>
        <v/>
      </c>
      <c r="AB1092" s="13" t="str">
        <f>IF(tblSalaries[[#This Row],[Job Type]]=tblSalaries[[#Headers],[Misc.]],tblSalaries[[#This Row],[Salary in USD]],"")</f>
        <v/>
      </c>
      <c r="AC1092" s="13" t="str">
        <f>IF(tblSalaries[[#This Row],[Job Type]]=tblSalaries[[#Headers],[Reporting]],tblSalaries[[#This Row],[Salary in USD]],"")</f>
        <v/>
      </c>
      <c r="AD1092" s="13" t="str">
        <f>IF(tblSalaries[[#This Row],[Job Type]]=tblSalaries[[#Headers],[Specialist]],tblSalaries[[#This Row],[Salary in USD]],"")</f>
        <v/>
      </c>
    </row>
    <row r="1093" spans="2:30" ht="15" customHeight="1" x14ac:dyDescent="0.25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 s="9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  <c r="N1093" t="str">
        <f>IF(tblSalaries[[#This Row],[Years of Experience]]="","",IF(tblSalaries[[#This Row],[Years of Experience]]&lt;=2,1,""))</f>
        <v/>
      </c>
      <c r="O1093" t="str">
        <f>IF(tblSalaries[[#This Row],[Years of Experience]]="","",IF(AND(tblSalaries[[#This Row],[Years of Experience]]&gt;2,tblSalaries[[#This Row],[Years of Experience]]&lt;=5),1,""))</f>
        <v/>
      </c>
      <c r="P1093">
        <f>IF(tblSalaries[[#This Row],[Years of Experience]]="","",IF(AND(tblSalaries[[#This Row],[Years of Experience]]&gt;5,tblSalaries[[#This Row],[Years of Experience]]&lt;=10),1,""))</f>
        <v>1</v>
      </c>
      <c r="Q1093" t="str">
        <f>IF(tblSalaries[[#This Row],[Years of Experience]]="","",IF(AND(tblSalaries[[#This Row],[Years of Experience]]&gt;10,tblSalaries[[#This Row],[Years of Experience]]&lt;=15),1,""))</f>
        <v/>
      </c>
      <c r="R1093" t="str">
        <f>IF(tblSalaries[[#This Row],[Years of Experience]]="","",IF(AND(tblSalaries[[#This Row],[Years of Experience]]&gt;16,tblSalaries[[#This Row],[Years of Experience]]&lt;=20),1,""))</f>
        <v/>
      </c>
      <c r="S1093" t="str">
        <f>IF(tblSalaries[[#This Row],[Years of Experience]]="","",IF(tblSalaries[[#This Row],[Years of Experience]]&gt;20,1,""))</f>
        <v/>
      </c>
      <c r="T10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93" s="13" t="str">
        <f>IF(tblSalaries[[#This Row],[Job Type]]=tblSalaries[[#Headers],[Accountant]],tblSalaries[[#This Row],[Salary in USD]],"")</f>
        <v/>
      </c>
      <c r="V1093" s="13" t="str">
        <f>IF(tblSalaries[[#This Row],[Job Type]]=tblSalaries[[#Headers],[Analyst]],tblSalaries[[#This Row],[Salary in USD]],"")</f>
        <v/>
      </c>
      <c r="W1093" s="13" t="str">
        <f>IF(tblSalaries[[#This Row],[Job Type]]=tblSalaries[[#Headers],[Consultant]],tblSalaries[[#This Row],[Salary in USD]],"")</f>
        <v/>
      </c>
      <c r="X1093" s="13" t="str">
        <f>IF(tblSalaries[[#This Row],[Job Type]]=tblSalaries[[#Headers],[Controller]],tblSalaries[[#This Row],[Salary in USD]],"")</f>
        <v/>
      </c>
      <c r="Y1093" s="13" t="str">
        <f>IF(tblSalaries[[#This Row],[Job Type]]=tblSalaries[[#Headers],[CXO or Top Mgmt.]],tblSalaries[[#This Row],[clean Salary (in local currency)]],"")</f>
        <v/>
      </c>
      <c r="Z1093" s="13" t="str">
        <f>IF(tblSalaries[[#This Row],[Job Type]]=tblSalaries[[#Headers],[Engineer]],tblSalaries[[#This Row],[Salary in USD]],"")</f>
        <v/>
      </c>
      <c r="AA1093" s="13">
        <f>IF(tblSalaries[[#This Row],[Job Type]]=tblSalaries[[#Headers],[Manager]],tblSalaries[[#This Row],[Salary in USD]],"")</f>
        <v>118213.37040504631</v>
      </c>
      <c r="AB1093" s="13" t="str">
        <f>IF(tblSalaries[[#This Row],[Job Type]]=tblSalaries[[#Headers],[Misc.]],tblSalaries[[#This Row],[Salary in USD]],"")</f>
        <v/>
      </c>
      <c r="AC1093" s="13" t="str">
        <f>IF(tblSalaries[[#This Row],[Job Type]]=tblSalaries[[#Headers],[Reporting]],tblSalaries[[#This Row],[Salary in USD]],"")</f>
        <v/>
      </c>
      <c r="AD1093" s="13" t="str">
        <f>IF(tblSalaries[[#This Row],[Job Type]]=tblSalaries[[#Headers],[Specialist]],tblSalaries[[#This Row],[Salary in USD]],"")</f>
        <v/>
      </c>
    </row>
    <row r="1094" spans="2:30" ht="15" customHeight="1" x14ac:dyDescent="0.25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 s="9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  <c r="N1094" t="str">
        <f>IF(tblSalaries[[#This Row],[Years of Experience]]="","",IF(tblSalaries[[#This Row],[Years of Experience]]&lt;=2,1,""))</f>
        <v/>
      </c>
      <c r="O1094" t="str">
        <f>IF(tblSalaries[[#This Row],[Years of Experience]]="","",IF(AND(tblSalaries[[#This Row],[Years of Experience]]&gt;2,tblSalaries[[#This Row],[Years of Experience]]&lt;=5),1,""))</f>
        <v/>
      </c>
      <c r="P1094" t="str">
        <f>IF(tblSalaries[[#This Row],[Years of Experience]]="","",IF(AND(tblSalaries[[#This Row],[Years of Experience]]&gt;5,tblSalaries[[#This Row],[Years of Experience]]&lt;=10),1,""))</f>
        <v/>
      </c>
      <c r="Q1094">
        <f>IF(tblSalaries[[#This Row],[Years of Experience]]="","",IF(AND(tblSalaries[[#This Row],[Years of Experience]]&gt;10,tblSalaries[[#This Row],[Years of Experience]]&lt;=15),1,""))</f>
        <v>1</v>
      </c>
      <c r="R1094" t="str">
        <f>IF(tblSalaries[[#This Row],[Years of Experience]]="","",IF(AND(tblSalaries[[#This Row],[Years of Experience]]&gt;16,tblSalaries[[#This Row],[Years of Experience]]&lt;=20),1,""))</f>
        <v/>
      </c>
      <c r="S1094" t="str">
        <f>IF(tblSalaries[[#This Row],[Years of Experience]]="","",IF(tblSalaries[[#This Row],[Years of Experience]]&gt;20,1,""))</f>
        <v/>
      </c>
      <c r="T10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94" s="13" t="str">
        <f>IF(tblSalaries[[#This Row],[Job Type]]=tblSalaries[[#Headers],[Accountant]],tblSalaries[[#This Row],[Salary in USD]],"")</f>
        <v/>
      </c>
      <c r="V1094" s="13" t="str">
        <f>IF(tblSalaries[[#This Row],[Job Type]]=tblSalaries[[#Headers],[Analyst]],tblSalaries[[#This Row],[Salary in USD]],"")</f>
        <v/>
      </c>
      <c r="W1094" s="13" t="str">
        <f>IF(tblSalaries[[#This Row],[Job Type]]=tblSalaries[[#Headers],[Consultant]],tblSalaries[[#This Row],[Salary in USD]],"")</f>
        <v/>
      </c>
      <c r="X1094" s="13" t="str">
        <f>IF(tblSalaries[[#This Row],[Job Type]]=tblSalaries[[#Headers],[Controller]],tblSalaries[[#This Row],[Salary in USD]],"")</f>
        <v/>
      </c>
      <c r="Y1094" s="13" t="str">
        <f>IF(tblSalaries[[#This Row],[Job Type]]=tblSalaries[[#Headers],[CXO or Top Mgmt.]],tblSalaries[[#This Row],[clean Salary (in local currency)]],"")</f>
        <v/>
      </c>
      <c r="Z1094" s="13" t="str">
        <f>IF(tblSalaries[[#This Row],[Job Type]]=tblSalaries[[#Headers],[Engineer]],tblSalaries[[#This Row],[Salary in USD]],"")</f>
        <v/>
      </c>
      <c r="AA1094" s="13">
        <f>IF(tblSalaries[[#This Row],[Job Type]]=tblSalaries[[#Headers],[Manager]],tblSalaries[[#This Row],[Salary in USD]],"")</f>
        <v>12192.177986291113</v>
      </c>
      <c r="AB1094" s="13" t="str">
        <f>IF(tblSalaries[[#This Row],[Job Type]]=tblSalaries[[#Headers],[Misc.]],tblSalaries[[#This Row],[Salary in USD]],"")</f>
        <v/>
      </c>
      <c r="AC1094" s="13" t="str">
        <f>IF(tblSalaries[[#This Row],[Job Type]]=tblSalaries[[#Headers],[Reporting]],tblSalaries[[#This Row],[Salary in USD]],"")</f>
        <v/>
      </c>
      <c r="AD1094" s="13" t="str">
        <f>IF(tblSalaries[[#This Row],[Job Type]]=tblSalaries[[#Headers],[Specialist]],tblSalaries[[#This Row],[Salary in USD]],"")</f>
        <v/>
      </c>
    </row>
    <row r="1095" spans="2:30" ht="15" customHeight="1" x14ac:dyDescent="0.25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 s="9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4001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  <c r="N1095" t="str">
        <f>IF(tblSalaries[[#This Row],[Years of Experience]]="","",IF(tblSalaries[[#This Row],[Years of Experience]]&lt;=2,1,""))</f>
        <v/>
      </c>
      <c r="O1095" t="str">
        <f>IF(tblSalaries[[#This Row],[Years of Experience]]="","",IF(AND(tblSalaries[[#This Row],[Years of Experience]]&gt;2,tblSalaries[[#This Row],[Years of Experience]]&lt;=5),1,""))</f>
        <v/>
      </c>
      <c r="P1095">
        <f>IF(tblSalaries[[#This Row],[Years of Experience]]="","",IF(AND(tblSalaries[[#This Row],[Years of Experience]]&gt;5,tblSalaries[[#This Row],[Years of Experience]]&lt;=10),1,""))</f>
        <v>1</v>
      </c>
      <c r="Q1095" t="str">
        <f>IF(tblSalaries[[#This Row],[Years of Experience]]="","",IF(AND(tblSalaries[[#This Row],[Years of Experience]]&gt;10,tblSalaries[[#This Row],[Years of Experience]]&lt;=15),1,""))</f>
        <v/>
      </c>
      <c r="R1095" t="str">
        <f>IF(tblSalaries[[#This Row],[Years of Experience]]="","",IF(AND(tblSalaries[[#This Row],[Years of Experience]]&gt;16,tblSalaries[[#This Row],[Years of Experience]]&lt;=20),1,""))</f>
        <v/>
      </c>
      <c r="S1095" t="str">
        <f>IF(tblSalaries[[#This Row],[Years of Experience]]="","",IF(tblSalaries[[#This Row],[Years of Experience]]&gt;20,1,""))</f>
        <v/>
      </c>
      <c r="T10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95" s="13" t="str">
        <f>IF(tblSalaries[[#This Row],[Job Type]]=tblSalaries[[#Headers],[Accountant]],tblSalaries[[#This Row],[Salary in USD]],"")</f>
        <v/>
      </c>
      <c r="V1095" s="13" t="str">
        <f>IF(tblSalaries[[#This Row],[Job Type]]=tblSalaries[[#Headers],[Analyst]],tblSalaries[[#This Row],[Salary in USD]],"")</f>
        <v/>
      </c>
      <c r="W1095" s="13" t="str">
        <f>IF(tblSalaries[[#This Row],[Job Type]]=tblSalaries[[#Headers],[Consultant]],tblSalaries[[#This Row],[Salary in USD]],"")</f>
        <v/>
      </c>
      <c r="X1095" s="13" t="str">
        <f>IF(tblSalaries[[#This Row],[Job Type]]=tblSalaries[[#Headers],[Controller]],tblSalaries[[#This Row],[Salary in USD]],"")</f>
        <v/>
      </c>
      <c r="Y1095" s="13">
        <f>IF(tblSalaries[[#This Row],[Job Type]]=tblSalaries[[#Headers],[CXO or Top Mgmt.]],tblSalaries[[#This Row],[clean Salary (in local currency)]],"")</f>
        <v>45000</v>
      </c>
      <c r="Z1095" s="13" t="str">
        <f>IF(tblSalaries[[#This Row],[Job Type]]=tblSalaries[[#Headers],[Engineer]],tblSalaries[[#This Row],[Salary in USD]],"")</f>
        <v/>
      </c>
      <c r="AA1095" s="13" t="str">
        <f>IF(tblSalaries[[#This Row],[Job Type]]=tblSalaries[[#Headers],[Manager]],tblSalaries[[#This Row],[Salary in USD]],"")</f>
        <v/>
      </c>
      <c r="AB1095" s="13" t="str">
        <f>IF(tblSalaries[[#This Row],[Job Type]]=tblSalaries[[#Headers],[Misc.]],tblSalaries[[#This Row],[Salary in USD]],"")</f>
        <v/>
      </c>
      <c r="AC1095" s="13" t="str">
        <f>IF(tblSalaries[[#This Row],[Job Type]]=tblSalaries[[#Headers],[Reporting]],tblSalaries[[#This Row],[Salary in USD]],"")</f>
        <v/>
      </c>
      <c r="AD1095" s="13" t="str">
        <f>IF(tblSalaries[[#This Row],[Job Type]]=tblSalaries[[#Headers],[Specialist]],tblSalaries[[#This Row],[Salary in USD]],"")</f>
        <v/>
      </c>
    </row>
    <row r="1096" spans="2:30" ht="15" customHeight="1" x14ac:dyDescent="0.25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 s="9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  <c r="N1096" t="str">
        <f>IF(tblSalaries[[#This Row],[Years of Experience]]="","",IF(tblSalaries[[#This Row],[Years of Experience]]&lt;=2,1,""))</f>
        <v/>
      </c>
      <c r="O1096">
        <f>IF(tblSalaries[[#This Row],[Years of Experience]]="","",IF(AND(tblSalaries[[#This Row],[Years of Experience]]&gt;2,tblSalaries[[#This Row],[Years of Experience]]&lt;=5),1,""))</f>
        <v>1</v>
      </c>
      <c r="P1096" t="str">
        <f>IF(tblSalaries[[#This Row],[Years of Experience]]="","",IF(AND(tblSalaries[[#This Row],[Years of Experience]]&gt;5,tblSalaries[[#This Row],[Years of Experience]]&lt;=10),1,""))</f>
        <v/>
      </c>
      <c r="Q1096" t="str">
        <f>IF(tblSalaries[[#This Row],[Years of Experience]]="","",IF(AND(tblSalaries[[#This Row],[Years of Experience]]&gt;10,tblSalaries[[#This Row],[Years of Experience]]&lt;=15),1,""))</f>
        <v/>
      </c>
      <c r="R1096" t="str">
        <f>IF(tblSalaries[[#This Row],[Years of Experience]]="","",IF(AND(tblSalaries[[#This Row],[Years of Experience]]&gt;16,tblSalaries[[#This Row],[Years of Experience]]&lt;=20),1,""))</f>
        <v/>
      </c>
      <c r="S1096" t="str">
        <f>IF(tblSalaries[[#This Row],[Years of Experience]]="","",IF(tblSalaries[[#This Row],[Years of Experience]]&gt;20,1,""))</f>
        <v/>
      </c>
      <c r="T10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096" s="13" t="str">
        <f>IF(tblSalaries[[#This Row],[Job Type]]=tblSalaries[[#Headers],[Accountant]],tblSalaries[[#This Row],[Salary in USD]],"")</f>
        <v/>
      </c>
      <c r="V1096" s="13">
        <f>IF(tblSalaries[[#This Row],[Job Type]]=tblSalaries[[#Headers],[Analyst]],tblSalaries[[#This Row],[Salary in USD]],"")</f>
        <v>39404.456801682099</v>
      </c>
      <c r="W1096" s="13" t="str">
        <f>IF(tblSalaries[[#This Row],[Job Type]]=tblSalaries[[#Headers],[Consultant]],tblSalaries[[#This Row],[Salary in USD]],"")</f>
        <v/>
      </c>
      <c r="X1096" s="13" t="str">
        <f>IF(tblSalaries[[#This Row],[Job Type]]=tblSalaries[[#Headers],[Controller]],tblSalaries[[#This Row],[Salary in USD]],"")</f>
        <v/>
      </c>
      <c r="Y1096" s="13" t="str">
        <f>IF(tblSalaries[[#This Row],[Job Type]]=tblSalaries[[#Headers],[CXO or Top Mgmt.]],tblSalaries[[#This Row],[clean Salary (in local currency)]],"")</f>
        <v/>
      </c>
      <c r="Z1096" s="13" t="str">
        <f>IF(tblSalaries[[#This Row],[Job Type]]=tblSalaries[[#Headers],[Engineer]],tblSalaries[[#This Row],[Salary in USD]],"")</f>
        <v/>
      </c>
      <c r="AA1096" s="13" t="str">
        <f>IF(tblSalaries[[#This Row],[Job Type]]=tblSalaries[[#Headers],[Manager]],tblSalaries[[#This Row],[Salary in USD]],"")</f>
        <v/>
      </c>
      <c r="AB1096" s="13" t="str">
        <f>IF(tblSalaries[[#This Row],[Job Type]]=tblSalaries[[#Headers],[Misc.]],tblSalaries[[#This Row],[Salary in USD]],"")</f>
        <v/>
      </c>
      <c r="AC1096" s="13" t="str">
        <f>IF(tblSalaries[[#This Row],[Job Type]]=tblSalaries[[#Headers],[Reporting]],tblSalaries[[#This Row],[Salary in USD]],"")</f>
        <v/>
      </c>
      <c r="AD1096" s="13" t="str">
        <f>IF(tblSalaries[[#This Row],[Job Type]]=tblSalaries[[#Headers],[Specialist]],tblSalaries[[#This Row],[Salary in USD]],"")</f>
        <v/>
      </c>
    </row>
    <row r="1097" spans="2:30" ht="15" customHeight="1" x14ac:dyDescent="0.25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 s="9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  <c r="N1097" t="str">
        <f>IF(tblSalaries[[#This Row],[Years of Experience]]="","",IF(tblSalaries[[#This Row],[Years of Experience]]&lt;=2,1,""))</f>
        <v/>
      </c>
      <c r="O1097" t="str">
        <f>IF(tblSalaries[[#This Row],[Years of Experience]]="","",IF(AND(tblSalaries[[#This Row],[Years of Experience]]&gt;2,tblSalaries[[#This Row],[Years of Experience]]&lt;=5),1,""))</f>
        <v/>
      </c>
      <c r="P1097">
        <f>IF(tblSalaries[[#This Row],[Years of Experience]]="","",IF(AND(tblSalaries[[#This Row],[Years of Experience]]&gt;5,tblSalaries[[#This Row],[Years of Experience]]&lt;=10),1,""))</f>
        <v>1</v>
      </c>
      <c r="Q1097" t="str">
        <f>IF(tblSalaries[[#This Row],[Years of Experience]]="","",IF(AND(tblSalaries[[#This Row],[Years of Experience]]&gt;10,tblSalaries[[#This Row],[Years of Experience]]&lt;=15),1,""))</f>
        <v/>
      </c>
      <c r="R1097" t="str">
        <f>IF(tblSalaries[[#This Row],[Years of Experience]]="","",IF(AND(tblSalaries[[#This Row],[Years of Experience]]&gt;16,tblSalaries[[#This Row],[Years of Experience]]&lt;=20),1,""))</f>
        <v/>
      </c>
      <c r="S1097" t="str">
        <f>IF(tblSalaries[[#This Row],[Years of Experience]]="","",IF(tblSalaries[[#This Row],[Years of Experience]]&gt;20,1,""))</f>
        <v/>
      </c>
      <c r="T10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097" s="13" t="str">
        <f>IF(tblSalaries[[#This Row],[Job Type]]=tblSalaries[[#Headers],[Accountant]],tblSalaries[[#This Row],[Salary in USD]],"")</f>
        <v/>
      </c>
      <c r="V1097" s="13">
        <f>IF(tblSalaries[[#This Row],[Job Type]]=tblSalaries[[#Headers],[Analyst]],tblSalaries[[#This Row],[Salary in USD]],"")</f>
        <v>18987</v>
      </c>
      <c r="W1097" s="13" t="str">
        <f>IF(tblSalaries[[#This Row],[Job Type]]=tblSalaries[[#Headers],[Consultant]],tblSalaries[[#This Row],[Salary in USD]],"")</f>
        <v/>
      </c>
      <c r="X1097" s="13" t="str">
        <f>IF(tblSalaries[[#This Row],[Job Type]]=tblSalaries[[#Headers],[Controller]],tblSalaries[[#This Row],[Salary in USD]],"")</f>
        <v/>
      </c>
      <c r="Y1097" s="13" t="str">
        <f>IF(tblSalaries[[#This Row],[Job Type]]=tblSalaries[[#Headers],[CXO or Top Mgmt.]],tblSalaries[[#This Row],[clean Salary (in local currency)]],"")</f>
        <v/>
      </c>
      <c r="Z1097" s="13" t="str">
        <f>IF(tblSalaries[[#This Row],[Job Type]]=tblSalaries[[#Headers],[Engineer]],tblSalaries[[#This Row],[Salary in USD]],"")</f>
        <v/>
      </c>
      <c r="AA1097" s="13" t="str">
        <f>IF(tblSalaries[[#This Row],[Job Type]]=tblSalaries[[#Headers],[Manager]],tblSalaries[[#This Row],[Salary in USD]],"")</f>
        <v/>
      </c>
      <c r="AB1097" s="13" t="str">
        <f>IF(tblSalaries[[#This Row],[Job Type]]=tblSalaries[[#Headers],[Misc.]],tblSalaries[[#This Row],[Salary in USD]],"")</f>
        <v/>
      </c>
      <c r="AC1097" s="13" t="str">
        <f>IF(tblSalaries[[#This Row],[Job Type]]=tblSalaries[[#Headers],[Reporting]],tblSalaries[[#This Row],[Salary in USD]],"")</f>
        <v/>
      </c>
      <c r="AD1097" s="13" t="str">
        <f>IF(tblSalaries[[#This Row],[Job Type]]=tblSalaries[[#Headers],[Specialist]],tblSalaries[[#This Row],[Salary in USD]],"")</f>
        <v/>
      </c>
    </row>
    <row r="1098" spans="2:30" ht="15" customHeight="1" x14ac:dyDescent="0.25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 s="9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  <c r="N1098" t="str">
        <f>IF(tblSalaries[[#This Row],[Years of Experience]]="","",IF(tblSalaries[[#This Row],[Years of Experience]]&lt;=2,1,""))</f>
        <v/>
      </c>
      <c r="O1098" t="str">
        <f>IF(tblSalaries[[#This Row],[Years of Experience]]="","",IF(AND(tblSalaries[[#This Row],[Years of Experience]]&gt;2,tblSalaries[[#This Row],[Years of Experience]]&lt;=5),1,""))</f>
        <v/>
      </c>
      <c r="P1098" t="str">
        <f>IF(tblSalaries[[#This Row],[Years of Experience]]="","",IF(AND(tblSalaries[[#This Row],[Years of Experience]]&gt;5,tblSalaries[[#This Row],[Years of Experience]]&lt;=10),1,""))</f>
        <v/>
      </c>
      <c r="Q1098">
        <f>IF(tblSalaries[[#This Row],[Years of Experience]]="","",IF(AND(tblSalaries[[#This Row],[Years of Experience]]&gt;10,tblSalaries[[#This Row],[Years of Experience]]&lt;=15),1,""))</f>
        <v>1</v>
      </c>
      <c r="R1098" t="str">
        <f>IF(tblSalaries[[#This Row],[Years of Experience]]="","",IF(AND(tblSalaries[[#This Row],[Years of Experience]]&gt;16,tblSalaries[[#This Row],[Years of Experience]]&lt;=20),1,""))</f>
        <v/>
      </c>
      <c r="S1098" t="str">
        <f>IF(tblSalaries[[#This Row],[Years of Experience]]="","",IF(tblSalaries[[#This Row],[Years of Experience]]&gt;20,1,""))</f>
        <v/>
      </c>
      <c r="T10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98" s="13" t="str">
        <f>IF(tblSalaries[[#This Row],[Job Type]]=tblSalaries[[#Headers],[Accountant]],tblSalaries[[#This Row],[Salary in USD]],"")</f>
        <v/>
      </c>
      <c r="V1098" s="13" t="str">
        <f>IF(tblSalaries[[#This Row],[Job Type]]=tblSalaries[[#Headers],[Analyst]],tblSalaries[[#This Row],[Salary in USD]],"")</f>
        <v/>
      </c>
      <c r="W1098" s="13" t="str">
        <f>IF(tblSalaries[[#This Row],[Job Type]]=tblSalaries[[#Headers],[Consultant]],tblSalaries[[#This Row],[Salary in USD]],"")</f>
        <v/>
      </c>
      <c r="X1098" s="13" t="str">
        <f>IF(tblSalaries[[#This Row],[Job Type]]=tblSalaries[[#Headers],[Controller]],tblSalaries[[#This Row],[Salary in USD]],"")</f>
        <v/>
      </c>
      <c r="Y1098" s="13" t="str">
        <f>IF(tblSalaries[[#This Row],[Job Type]]=tblSalaries[[#Headers],[CXO or Top Mgmt.]],tblSalaries[[#This Row],[clean Salary (in local currency)]],"")</f>
        <v/>
      </c>
      <c r="Z1098" s="13" t="str">
        <f>IF(tblSalaries[[#This Row],[Job Type]]=tblSalaries[[#Headers],[Engineer]],tblSalaries[[#This Row],[Salary in USD]],"")</f>
        <v/>
      </c>
      <c r="AA1098" s="13">
        <f>IF(tblSalaries[[#This Row],[Job Type]]=tblSalaries[[#Headers],[Manager]],tblSalaries[[#This Row],[Salary in USD]],"")</f>
        <v>44921.080753917595</v>
      </c>
      <c r="AB1098" s="13" t="str">
        <f>IF(tblSalaries[[#This Row],[Job Type]]=tblSalaries[[#Headers],[Misc.]],tblSalaries[[#This Row],[Salary in USD]],"")</f>
        <v/>
      </c>
      <c r="AC1098" s="13" t="str">
        <f>IF(tblSalaries[[#This Row],[Job Type]]=tblSalaries[[#Headers],[Reporting]],tblSalaries[[#This Row],[Salary in USD]],"")</f>
        <v/>
      </c>
      <c r="AD1098" s="13" t="str">
        <f>IF(tblSalaries[[#This Row],[Job Type]]=tblSalaries[[#Headers],[Specialist]],tblSalaries[[#This Row],[Salary in USD]],"")</f>
        <v/>
      </c>
    </row>
    <row r="1099" spans="2:30" ht="15" customHeight="1" x14ac:dyDescent="0.25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 s="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  <c r="N1099" t="str">
        <f>IF(tblSalaries[[#This Row],[Years of Experience]]="","",IF(tblSalaries[[#This Row],[Years of Experience]]&lt;=2,1,""))</f>
        <v/>
      </c>
      <c r="O1099" t="str">
        <f>IF(tblSalaries[[#This Row],[Years of Experience]]="","",IF(AND(tblSalaries[[#This Row],[Years of Experience]]&gt;2,tblSalaries[[#This Row],[Years of Experience]]&lt;=5),1,""))</f>
        <v/>
      </c>
      <c r="P1099" t="str">
        <f>IF(tblSalaries[[#This Row],[Years of Experience]]="","",IF(AND(tblSalaries[[#This Row],[Years of Experience]]&gt;5,tblSalaries[[#This Row],[Years of Experience]]&lt;=10),1,""))</f>
        <v/>
      </c>
      <c r="Q1099">
        <f>IF(tblSalaries[[#This Row],[Years of Experience]]="","",IF(AND(tblSalaries[[#This Row],[Years of Experience]]&gt;10,tblSalaries[[#This Row],[Years of Experience]]&lt;=15),1,""))</f>
        <v>1</v>
      </c>
      <c r="R1099" t="str">
        <f>IF(tblSalaries[[#This Row],[Years of Experience]]="","",IF(AND(tblSalaries[[#This Row],[Years of Experience]]&gt;16,tblSalaries[[#This Row],[Years of Experience]]&lt;=20),1,""))</f>
        <v/>
      </c>
      <c r="S1099" t="str">
        <f>IF(tblSalaries[[#This Row],[Years of Experience]]="","",IF(tblSalaries[[#This Row],[Years of Experience]]&gt;20,1,""))</f>
        <v/>
      </c>
      <c r="T10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099" s="13" t="str">
        <f>IF(tblSalaries[[#This Row],[Job Type]]=tblSalaries[[#Headers],[Accountant]],tblSalaries[[#This Row],[Salary in USD]],"")</f>
        <v/>
      </c>
      <c r="V1099" s="13" t="str">
        <f>IF(tblSalaries[[#This Row],[Job Type]]=tblSalaries[[#Headers],[Analyst]],tblSalaries[[#This Row],[Salary in USD]],"")</f>
        <v/>
      </c>
      <c r="W1099" s="13" t="str">
        <f>IF(tblSalaries[[#This Row],[Job Type]]=tblSalaries[[#Headers],[Consultant]],tblSalaries[[#This Row],[Salary in USD]],"")</f>
        <v/>
      </c>
      <c r="X1099" s="13" t="str">
        <f>IF(tblSalaries[[#This Row],[Job Type]]=tblSalaries[[#Headers],[Controller]],tblSalaries[[#This Row],[Salary in USD]],"")</f>
        <v/>
      </c>
      <c r="Y1099" s="13" t="str">
        <f>IF(tblSalaries[[#This Row],[Job Type]]=tblSalaries[[#Headers],[CXO or Top Mgmt.]],tblSalaries[[#This Row],[clean Salary (in local currency)]],"")</f>
        <v/>
      </c>
      <c r="Z1099" s="13" t="str">
        <f>IF(tblSalaries[[#This Row],[Job Type]]=tblSalaries[[#Headers],[Engineer]],tblSalaries[[#This Row],[Salary in USD]],"")</f>
        <v/>
      </c>
      <c r="AA1099" s="13">
        <f>IF(tblSalaries[[#This Row],[Job Type]]=tblSalaries[[#Headers],[Manager]],tblSalaries[[#This Row],[Salary in USD]],"")</f>
        <v>60000</v>
      </c>
      <c r="AB1099" s="13" t="str">
        <f>IF(tblSalaries[[#This Row],[Job Type]]=tblSalaries[[#Headers],[Misc.]],tblSalaries[[#This Row],[Salary in USD]],"")</f>
        <v/>
      </c>
      <c r="AC1099" s="13" t="str">
        <f>IF(tblSalaries[[#This Row],[Job Type]]=tblSalaries[[#Headers],[Reporting]],tblSalaries[[#This Row],[Salary in USD]],"")</f>
        <v/>
      </c>
      <c r="AD1099" s="13" t="str">
        <f>IF(tblSalaries[[#This Row],[Job Type]]=tblSalaries[[#Headers],[Specialist]],tblSalaries[[#This Row],[Salary in USD]],"")</f>
        <v/>
      </c>
    </row>
    <row r="1100" spans="2:30" ht="15" customHeight="1" x14ac:dyDescent="0.25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 s="9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  <c r="N1100" t="str">
        <f>IF(tblSalaries[[#This Row],[Years of Experience]]="","",IF(tblSalaries[[#This Row],[Years of Experience]]&lt;=2,1,""))</f>
        <v/>
      </c>
      <c r="O1100">
        <f>IF(tblSalaries[[#This Row],[Years of Experience]]="","",IF(AND(tblSalaries[[#This Row],[Years of Experience]]&gt;2,tblSalaries[[#This Row],[Years of Experience]]&lt;=5),1,""))</f>
        <v>1</v>
      </c>
      <c r="P1100" t="str">
        <f>IF(tblSalaries[[#This Row],[Years of Experience]]="","",IF(AND(tblSalaries[[#This Row],[Years of Experience]]&gt;5,tblSalaries[[#This Row],[Years of Experience]]&lt;=10),1,""))</f>
        <v/>
      </c>
      <c r="Q1100" t="str">
        <f>IF(tblSalaries[[#This Row],[Years of Experience]]="","",IF(AND(tblSalaries[[#This Row],[Years of Experience]]&gt;10,tblSalaries[[#This Row],[Years of Experience]]&lt;=15),1,""))</f>
        <v/>
      </c>
      <c r="R1100" t="str">
        <f>IF(tblSalaries[[#This Row],[Years of Experience]]="","",IF(AND(tblSalaries[[#This Row],[Years of Experience]]&gt;16,tblSalaries[[#This Row],[Years of Experience]]&lt;=20),1,""))</f>
        <v/>
      </c>
      <c r="S1100" t="str">
        <f>IF(tblSalaries[[#This Row],[Years of Experience]]="","",IF(tblSalaries[[#This Row],[Years of Experience]]&gt;20,1,""))</f>
        <v/>
      </c>
      <c r="T11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00" s="13" t="str">
        <f>IF(tblSalaries[[#This Row],[Job Type]]=tblSalaries[[#Headers],[Accountant]],tblSalaries[[#This Row],[Salary in USD]],"")</f>
        <v/>
      </c>
      <c r="V1100" s="13" t="str">
        <f>IF(tblSalaries[[#This Row],[Job Type]]=tblSalaries[[#Headers],[Analyst]],tblSalaries[[#This Row],[Salary in USD]],"")</f>
        <v/>
      </c>
      <c r="W1100" s="13" t="str">
        <f>IF(tblSalaries[[#This Row],[Job Type]]=tblSalaries[[#Headers],[Consultant]],tblSalaries[[#This Row],[Salary in USD]],"")</f>
        <v/>
      </c>
      <c r="X1100" s="13" t="str">
        <f>IF(tblSalaries[[#This Row],[Job Type]]=tblSalaries[[#Headers],[Controller]],tblSalaries[[#This Row],[Salary in USD]],"")</f>
        <v/>
      </c>
      <c r="Y1100" s="13" t="str">
        <f>IF(tblSalaries[[#This Row],[Job Type]]=tblSalaries[[#Headers],[CXO or Top Mgmt.]],tblSalaries[[#This Row],[clean Salary (in local currency)]],"")</f>
        <v/>
      </c>
      <c r="Z1100" s="13" t="str">
        <f>IF(tblSalaries[[#This Row],[Job Type]]=tblSalaries[[#Headers],[Engineer]],tblSalaries[[#This Row],[Salary in USD]],"")</f>
        <v/>
      </c>
      <c r="AA1100" s="13">
        <f>IF(tblSalaries[[#This Row],[Job Type]]=tblSalaries[[#Headers],[Manager]],tblSalaries[[#This Row],[Salary in USD]],"")</f>
        <v>71243.257897441246</v>
      </c>
      <c r="AB1100" s="13" t="str">
        <f>IF(tblSalaries[[#This Row],[Job Type]]=tblSalaries[[#Headers],[Misc.]],tblSalaries[[#This Row],[Salary in USD]],"")</f>
        <v/>
      </c>
      <c r="AC1100" s="13" t="str">
        <f>IF(tblSalaries[[#This Row],[Job Type]]=tblSalaries[[#Headers],[Reporting]],tblSalaries[[#This Row],[Salary in USD]],"")</f>
        <v/>
      </c>
      <c r="AD1100" s="13" t="str">
        <f>IF(tblSalaries[[#This Row],[Job Type]]=tblSalaries[[#Headers],[Specialist]],tblSalaries[[#This Row],[Salary in USD]],"")</f>
        <v/>
      </c>
    </row>
    <row r="1101" spans="2:30" ht="15" customHeight="1" x14ac:dyDescent="0.25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 s="9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  <c r="N1101" t="str">
        <f>IF(tblSalaries[[#This Row],[Years of Experience]]="","",IF(tblSalaries[[#This Row],[Years of Experience]]&lt;=2,1,""))</f>
        <v/>
      </c>
      <c r="O1101" t="str">
        <f>IF(tblSalaries[[#This Row],[Years of Experience]]="","",IF(AND(tblSalaries[[#This Row],[Years of Experience]]&gt;2,tblSalaries[[#This Row],[Years of Experience]]&lt;=5),1,""))</f>
        <v/>
      </c>
      <c r="P1101" t="str">
        <f>IF(tblSalaries[[#This Row],[Years of Experience]]="","",IF(AND(tblSalaries[[#This Row],[Years of Experience]]&gt;5,tblSalaries[[#This Row],[Years of Experience]]&lt;=10),1,""))</f>
        <v/>
      </c>
      <c r="Q1101" t="str">
        <f>IF(tblSalaries[[#This Row],[Years of Experience]]="","",IF(AND(tblSalaries[[#This Row],[Years of Experience]]&gt;10,tblSalaries[[#This Row],[Years of Experience]]&lt;=15),1,""))</f>
        <v/>
      </c>
      <c r="R1101" t="str">
        <f>IF(tblSalaries[[#This Row],[Years of Experience]]="","",IF(AND(tblSalaries[[#This Row],[Years of Experience]]&gt;16,tblSalaries[[#This Row],[Years of Experience]]&lt;=20),1,""))</f>
        <v/>
      </c>
      <c r="S1101" t="str">
        <f>IF(tblSalaries[[#This Row],[Years of Experience]]="","",IF(tblSalaries[[#This Row],[Years of Experience]]&gt;20,1,""))</f>
        <v/>
      </c>
      <c r="T11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101" s="13" t="str">
        <f>IF(tblSalaries[[#This Row],[Job Type]]=tblSalaries[[#Headers],[Accountant]],tblSalaries[[#This Row],[Salary in USD]],"")</f>
        <v/>
      </c>
      <c r="V1101" s="13" t="str">
        <f>IF(tblSalaries[[#This Row],[Job Type]]=tblSalaries[[#Headers],[Analyst]],tblSalaries[[#This Row],[Salary in USD]],"")</f>
        <v/>
      </c>
      <c r="W1101" s="13" t="str">
        <f>IF(tblSalaries[[#This Row],[Job Type]]=tblSalaries[[#Headers],[Consultant]],tblSalaries[[#This Row],[Salary in USD]],"")</f>
        <v/>
      </c>
      <c r="X1101" s="13" t="str">
        <f>IF(tblSalaries[[#This Row],[Job Type]]=tblSalaries[[#Headers],[Controller]],tblSalaries[[#This Row],[Salary in USD]],"")</f>
        <v/>
      </c>
      <c r="Y1101" s="13" t="str">
        <f>IF(tblSalaries[[#This Row],[Job Type]]=tblSalaries[[#Headers],[CXO or Top Mgmt.]],tblSalaries[[#This Row],[clean Salary (in local currency)]],"")</f>
        <v/>
      </c>
      <c r="Z1101" s="13" t="str">
        <f>IF(tblSalaries[[#This Row],[Job Type]]=tblSalaries[[#Headers],[Engineer]],tblSalaries[[#This Row],[Salary in USD]],"")</f>
        <v/>
      </c>
      <c r="AA1101" s="13">
        <f>IF(tblSalaries[[#This Row],[Job Type]]=tblSalaries[[#Headers],[Manager]],tblSalaries[[#This Row],[Salary in USD]],"")</f>
        <v>4487.5950052355274</v>
      </c>
      <c r="AB1101" s="13" t="str">
        <f>IF(tblSalaries[[#This Row],[Job Type]]=tblSalaries[[#Headers],[Misc.]],tblSalaries[[#This Row],[Salary in USD]],"")</f>
        <v/>
      </c>
      <c r="AC1101" s="13" t="str">
        <f>IF(tblSalaries[[#This Row],[Job Type]]=tblSalaries[[#Headers],[Reporting]],tblSalaries[[#This Row],[Salary in USD]],"")</f>
        <v/>
      </c>
      <c r="AD1101" s="13" t="str">
        <f>IF(tblSalaries[[#This Row],[Job Type]]=tblSalaries[[#Headers],[Specialist]],tblSalaries[[#This Row],[Salary in USD]],"")</f>
        <v/>
      </c>
    </row>
    <row r="1102" spans="2:30" ht="15" customHeight="1" x14ac:dyDescent="0.25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 s="9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  <c r="N1102" t="str">
        <f>IF(tblSalaries[[#This Row],[Years of Experience]]="","",IF(tblSalaries[[#This Row],[Years of Experience]]&lt;=2,1,""))</f>
        <v/>
      </c>
      <c r="O1102" t="str">
        <f>IF(tblSalaries[[#This Row],[Years of Experience]]="","",IF(AND(tblSalaries[[#This Row],[Years of Experience]]&gt;2,tblSalaries[[#This Row],[Years of Experience]]&lt;=5),1,""))</f>
        <v/>
      </c>
      <c r="P1102">
        <f>IF(tblSalaries[[#This Row],[Years of Experience]]="","",IF(AND(tblSalaries[[#This Row],[Years of Experience]]&gt;5,tblSalaries[[#This Row],[Years of Experience]]&lt;=10),1,""))</f>
        <v>1</v>
      </c>
      <c r="Q1102" t="str">
        <f>IF(tblSalaries[[#This Row],[Years of Experience]]="","",IF(AND(tblSalaries[[#This Row],[Years of Experience]]&gt;10,tblSalaries[[#This Row],[Years of Experience]]&lt;=15),1,""))</f>
        <v/>
      </c>
      <c r="R1102" t="str">
        <f>IF(tblSalaries[[#This Row],[Years of Experience]]="","",IF(AND(tblSalaries[[#This Row],[Years of Experience]]&gt;16,tblSalaries[[#This Row],[Years of Experience]]&lt;=20),1,""))</f>
        <v/>
      </c>
      <c r="S1102" t="str">
        <f>IF(tblSalaries[[#This Row],[Years of Experience]]="","",IF(tblSalaries[[#This Row],[Years of Experience]]&gt;20,1,""))</f>
        <v/>
      </c>
      <c r="T11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02" s="13">
        <f>IF(tblSalaries[[#This Row],[Job Type]]=tblSalaries[[#Headers],[Accountant]],tblSalaries[[#This Row],[Salary in USD]],"")</f>
        <v>4314.929445034084</v>
      </c>
      <c r="V1102" s="13" t="str">
        <f>IF(tblSalaries[[#This Row],[Job Type]]=tblSalaries[[#Headers],[Analyst]],tblSalaries[[#This Row],[Salary in USD]],"")</f>
        <v/>
      </c>
      <c r="W1102" s="13" t="str">
        <f>IF(tblSalaries[[#This Row],[Job Type]]=tblSalaries[[#Headers],[Consultant]],tblSalaries[[#This Row],[Salary in USD]],"")</f>
        <v/>
      </c>
      <c r="X1102" s="13" t="str">
        <f>IF(tblSalaries[[#This Row],[Job Type]]=tblSalaries[[#Headers],[Controller]],tblSalaries[[#This Row],[Salary in USD]],"")</f>
        <v/>
      </c>
      <c r="Y1102" s="13" t="str">
        <f>IF(tblSalaries[[#This Row],[Job Type]]=tblSalaries[[#Headers],[CXO or Top Mgmt.]],tblSalaries[[#This Row],[clean Salary (in local currency)]],"")</f>
        <v/>
      </c>
      <c r="Z1102" s="13" t="str">
        <f>IF(tblSalaries[[#This Row],[Job Type]]=tblSalaries[[#Headers],[Engineer]],tblSalaries[[#This Row],[Salary in USD]],"")</f>
        <v/>
      </c>
      <c r="AA1102" s="13" t="str">
        <f>IF(tblSalaries[[#This Row],[Job Type]]=tblSalaries[[#Headers],[Manager]],tblSalaries[[#This Row],[Salary in USD]],"")</f>
        <v/>
      </c>
      <c r="AB1102" s="13" t="str">
        <f>IF(tblSalaries[[#This Row],[Job Type]]=tblSalaries[[#Headers],[Misc.]],tblSalaries[[#This Row],[Salary in USD]],"")</f>
        <v/>
      </c>
      <c r="AC1102" s="13" t="str">
        <f>IF(tblSalaries[[#This Row],[Job Type]]=tblSalaries[[#Headers],[Reporting]],tblSalaries[[#This Row],[Salary in USD]],"")</f>
        <v/>
      </c>
      <c r="AD1102" s="13" t="str">
        <f>IF(tblSalaries[[#This Row],[Job Type]]=tblSalaries[[#Headers],[Specialist]],tblSalaries[[#This Row],[Salary in USD]],"")</f>
        <v/>
      </c>
    </row>
    <row r="1103" spans="2:30" ht="15" customHeight="1" x14ac:dyDescent="0.25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 s="9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  <c r="N1103">
        <f>IF(tblSalaries[[#This Row],[Years of Experience]]="","",IF(tblSalaries[[#This Row],[Years of Experience]]&lt;=2,1,""))</f>
        <v>1</v>
      </c>
      <c r="O1103" t="str">
        <f>IF(tblSalaries[[#This Row],[Years of Experience]]="","",IF(AND(tblSalaries[[#This Row],[Years of Experience]]&gt;2,tblSalaries[[#This Row],[Years of Experience]]&lt;=5),1,""))</f>
        <v/>
      </c>
      <c r="P1103" t="str">
        <f>IF(tblSalaries[[#This Row],[Years of Experience]]="","",IF(AND(tblSalaries[[#This Row],[Years of Experience]]&gt;5,tblSalaries[[#This Row],[Years of Experience]]&lt;=10),1,""))</f>
        <v/>
      </c>
      <c r="Q1103" t="str">
        <f>IF(tblSalaries[[#This Row],[Years of Experience]]="","",IF(AND(tblSalaries[[#This Row],[Years of Experience]]&gt;10,tblSalaries[[#This Row],[Years of Experience]]&lt;=15),1,""))</f>
        <v/>
      </c>
      <c r="R1103" t="str">
        <f>IF(tblSalaries[[#This Row],[Years of Experience]]="","",IF(AND(tblSalaries[[#This Row],[Years of Experience]]&gt;16,tblSalaries[[#This Row],[Years of Experience]]&lt;=20),1,""))</f>
        <v/>
      </c>
      <c r="S1103" t="str">
        <f>IF(tblSalaries[[#This Row],[Years of Experience]]="","",IF(tblSalaries[[#This Row],[Years of Experience]]&gt;20,1,""))</f>
        <v/>
      </c>
      <c r="T11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03" s="13" t="str">
        <f>IF(tblSalaries[[#This Row],[Job Type]]=tblSalaries[[#Headers],[Accountant]],tblSalaries[[#This Row],[Salary in USD]],"")</f>
        <v/>
      </c>
      <c r="V1103" s="13">
        <f>IF(tblSalaries[[#This Row],[Job Type]]=tblSalaries[[#Headers],[Analyst]],tblSalaries[[#This Row],[Salary in USD]],"")</f>
        <v>3739.6625043629392</v>
      </c>
      <c r="W1103" s="13" t="str">
        <f>IF(tblSalaries[[#This Row],[Job Type]]=tblSalaries[[#Headers],[Consultant]],tblSalaries[[#This Row],[Salary in USD]],"")</f>
        <v/>
      </c>
      <c r="X1103" s="13" t="str">
        <f>IF(tblSalaries[[#This Row],[Job Type]]=tblSalaries[[#Headers],[Controller]],tblSalaries[[#This Row],[Salary in USD]],"")</f>
        <v/>
      </c>
      <c r="Y1103" s="13" t="str">
        <f>IF(tblSalaries[[#This Row],[Job Type]]=tblSalaries[[#Headers],[CXO or Top Mgmt.]],tblSalaries[[#This Row],[clean Salary (in local currency)]],"")</f>
        <v/>
      </c>
      <c r="Z1103" s="13" t="str">
        <f>IF(tblSalaries[[#This Row],[Job Type]]=tblSalaries[[#Headers],[Engineer]],tblSalaries[[#This Row],[Salary in USD]],"")</f>
        <v/>
      </c>
      <c r="AA1103" s="13" t="str">
        <f>IF(tblSalaries[[#This Row],[Job Type]]=tblSalaries[[#Headers],[Manager]],tblSalaries[[#This Row],[Salary in USD]],"")</f>
        <v/>
      </c>
      <c r="AB1103" s="13" t="str">
        <f>IF(tblSalaries[[#This Row],[Job Type]]=tblSalaries[[#Headers],[Misc.]],tblSalaries[[#This Row],[Salary in USD]],"")</f>
        <v/>
      </c>
      <c r="AC1103" s="13" t="str">
        <f>IF(tblSalaries[[#This Row],[Job Type]]=tblSalaries[[#Headers],[Reporting]],tblSalaries[[#This Row],[Salary in USD]],"")</f>
        <v/>
      </c>
      <c r="AD1103" s="13" t="str">
        <f>IF(tblSalaries[[#This Row],[Job Type]]=tblSalaries[[#Headers],[Specialist]],tblSalaries[[#This Row],[Salary in USD]],"")</f>
        <v/>
      </c>
    </row>
    <row r="1104" spans="2:30" ht="15" customHeight="1" x14ac:dyDescent="0.25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 s="9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  <c r="N1104" t="str">
        <f>IF(tblSalaries[[#This Row],[Years of Experience]]="","",IF(tblSalaries[[#This Row],[Years of Experience]]&lt;=2,1,""))</f>
        <v/>
      </c>
      <c r="O1104">
        <f>IF(tblSalaries[[#This Row],[Years of Experience]]="","",IF(AND(tblSalaries[[#This Row],[Years of Experience]]&gt;2,tblSalaries[[#This Row],[Years of Experience]]&lt;=5),1,""))</f>
        <v>1</v>
      </c>
      <c r="P1104" t="str">
        <f>IF(tblSalaries[[#This Row],[Years of Experience]]="","",IF(AND(tblSalaries[[#This Row],[Years of Experience]]&gt;5,tblSalaries[[#This Row],[Years of Experience]]&lt;=10),1,""))</f>
        <v/>
      </c>
      <c r="Q1104" t="str">
        <f>IF(tblSalaries[[#This Row],[Years of Experience]]="","",IF(AND(tblSalaries[[#This Row],[Years of Experience]]&gt;10,tblSalaries[[#This Row],[Years of Experience]]&lt;=15),1,""))</f>
        <v/>
      </c>
      <c r="R1104" t="str">
        <f>IF(tblSalaries[[#This Row],[Years of Experience]]="","",IF(AND(tblSalaries[[#This Row],[Years of Experience]]&gt;16,tblSalaries[[#This Row],[Years of Experience]]&lt;=20),1,""))</f>
        <v/>
      </c>
      <c r="S1104" t="str">
        <f>IF(tblSalaries[[#This Row],[Years of Experience]]="","",IF(tblSalaries[[#This Row],[Years of Experience]]&gt;20,1,""))</f>
        <v/>
      </c>
      <c r="T11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04" s="13" t="str">
        <f>IF(tblSalaries[[#This Row],[Job Type]]=tblSalaries[[#Headers],[Accountant]],tblSalaries[[#This Row],[Salary in USD]],"")</f>
        <v/>
      </c>
      <c r="V1104" s="13" t="str">
        <f>IF(tblSalaries[[#This Row],[Job Type]]=tblSalaries[[#Headers],[Analyst]],tblSalaries[[#This Row],[Salary in USD]],"")</f>
        <v/>
      </c>
      <c r="W1104" s="13" t="str">
        <f>IF(tblSalaries[[#This Row],[Job Type]]=tblSalaries[[#Headers],[Consultant]],tblSalaries[[#This Row],[Salary in USD]],"")</f>
        <v/>
      </c>
      <c r="X1104" s="13" t="str">
        <f>IF(tblSalaries[[#This Row],[Job Type]]=tblSalaries[[#Headers],[Controller]],tblSalaries[[#This Row],[Salary in USD]],"")</f>
        <v/>
      </c>
      <c r="Y1104" s="13" t="str">
        <f>IF(tblSalaries[[#This Row],[Job Type]]=tblSalaries[[#Headers],[CXO or Top Mgmt.]],tblSalaries[[#This Row],[clean Salary (in local currency)]],"")</f>
        <v/>
      </c>
      <c r="Z1104" s="13" t="str">
        <f>IF(tblSalaries[[#This Row],[Job Type]]=tblSalaries[[#Headers],[Engineer]],tblSalaries[[#This Row],[Salary in USD]],"")</f>
        <v/>
      </c>
      <c r="AA1104" s="13">
        <f>IF(tblSalaries[[#This Row],[Job Type]]=tblSalaries[[#Headers],[Manager]],tblSalaries[[#This Row],[Salary in USD]],"")</f>
        <v>76223.966339496474</v>
      </c>
      <c r="AB1104" s="13" t="str">
        <f>IF(tblSalaries[[#This Row],[Job Type]]=tblSalaries[[#Headers],[Misc.]],tblSalaries[[#This Row],[Salary in USD]],"")</f>
        <v/>
      </c>
      <c r="AC1104" s="13" t="str">
        <f>IF(tblSalaries[[#This Row],[Job Type]]=tblSalaries[[#Headers],[Reporting]],tblSalaries[[#This Row],[Salary in USD]],"")</f>
        <v/>
      </c>
      <c r="AD1104" s="13" t="str">
        <f>IF(tblSalaries[[#This Row],[Job Type]]=tblSalaries[[#Headers],[Specialist]],tblSalaries[[#This Row],[Salary in USD]],"")</f>
        <v/>
      </c>
    </row>
    <row r="1105" spans="2:30" ht="15" customHeight="1" x14ac:dyDescent="0.25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 s="9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  <c r="N1105" t="str">
        <f>IF(tblSalaries[[#This Row],[Years of Experience]]="","",IF(tblSalaries[[#This Row],[Years of Experience]]&lt;=2,1,""))</f>
        <v/>
      </c>
      <c r="O1105" t="str">
        <f>IF(tblSalaries[[#This Row],[Years of Experience]]="","",IF(AND(tblSalaries[[#This Row],[Years of Experience]]&gt;2,tblSalaries[[#This Row],[Years of Experience]]&lt;=5),1,""))</f>
        <v/>
      </c>
      <c r="P1105" t="str">
        <f>IF(tblSalaries[[#This Row],[Years of Experience]]="","",IF(AND(tblSalaries[[#This Row],[Years of Experience]]&gt;5,tblSalaries[[#This Row],[Years of Experience]]&lt;=10),1,""))</f>
        <v/>
      </c>
      <c r="Q1105">
        <f>IF(tblSalaries[[#This Row],[Years of Experience]]="","",IF(AND(tblSalaries[[#This Row],[Years of Experience]]&gt;10,tblSalaries[[#This Row],[Years of Experience]]&lt;=15),1,""))</f>
        <v>1</v>
      </c>
      <c r="R1105" t="str">
        <f>IF(tblSalaries[[#This Row],[Years of Experience]]="","",IF(AND(tblSalaries[[#This Row],[Years of Experience]]&gt;16,tblSalaries[[#This Row],[Years of Experience]]&lt;=20),1,""))</f>
        <v/>
      </c>
      <c r="S1105" t="str">
        <f>IF(tblSalaries[[#This Row],[Years of Experience]]="","",IF(tblSalaries[[#This Row],[Years of Experience]]&gt;20,1,""))</f>
        <v/>
      </c>
      <c r="T11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05" s="13" t="str">
        <f>IF(tblSalaries[[#This Row],[Job Type]]=tblSalaries[[#Headers],[Accountant]],tblSalaries[[#This Row],[Salary in USD]],"")</f>
        <v/>
      </c>
      <c r="V1105" s="13" t="str">
        <f>IF(tblSalaries[[#This Row],[Job Type]]=tblSalaries[[#Headers],[Analyst]],tblSalaries[[#This Row],[Salary in USD]],"")</f>
        <v/>
      </c>
      <c r="W1105" s="13" t="str">
        <f>IF(tblSalaries[[#This Row],[Job Type]]=tblSalaries[[#Headers],[Consultant]],tblSalaries[[#This Row],[Salary in USD]],"")</f>
        <v/>
      </c>
      <c r="X1105" s="13" t="str">
        <f>IF(tblSalaries[[#This Row],[Job Type]]=tblSalaries[[#Headers],[Controller]],tblSalaries[[#This Row],[Salary in USD]],"")</f>
        <v/>
      </c>
      <c r="Y1105" s="13" t="str">
        <f>IF(tblSalaries[[#This Row],[Job Type]]=tblSalaries[[#Headers],[CXO or Top Mgmt.]],tblSalaries[[#This Row],[clean Salary (in local currency)]],"")</f>
        <v/>
      </c>
      <c r="Z1105" s="13" t="str">
        <f>IF(tblSalaries[[#This Row],[Job Type]]=tblSalaries[[#Headers],[Engineer]],tblSalaries[[#This Row],[Salary in USD]],"")</f>
        <v/>
      </c>
      <c r="AA1105" s="13">
        <f>IF(tblSalaries[[#This Row],[Job Type]]=tblSalaries[[#Headers],[Manager]],tblSalaries[[#This Row],[Salary in USD]],"")</f>
        <v>32666.305522511171</v>
      </c>
      <c r="AB1105" s="13" t="str">
        <f>IF(tblSalaries[[#This Row],[Job Type]]=tblSalaries[[#Headers],[Misc.]],tblSalaries[[#This Row],[Salary in USD]],"")</f>
        <v/>
      </c>
      <c r="AC1105" s="13" t="str">
        <f>IF(tblSalaries[[#This Row],[Job Type]]=tblSalaries[[#Headers],[Reporting]],tblSalaries[[#This Row],[Salary in USD]],"")</f>
        <v/>
      </c>
      <c r="AD1105" s="13" t="str">
        <f>IF(tblSalaries[[#This Row],[Job Type]]=tblSalaries[[#Headers],[Specialist]],tblSalaries[[#This Row],[Salary in USD]],"")</f>
        <v/>
      </c>
    </row>
    <row r="1106" spans="2:30" ht="15" customHeight="1" x14ac:dyDescent="0.25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 s="9">
        <f>tblSalaries[[#This Row],[clean Salary (in local currency)]]*VLOOKUP(tblSalaries[[#This Row],[Currency]],tblXrate[],2,FALSE)</f>
        <v>19000</v>
      </c>
      <c r="H1106" t="s">
        <v>1261</v>
      </c>
      <c r="I1106" t="s">
        <v>3999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  <c r="N1106" t="str">
        <f>IF(tblSalaries[[#This Row],[Years of Experience]]="","",IF(tblSalaries[[#This Row],[Years of Experience]]&lt;=2,1,""))</f>
        <v/>
      </c>
      <c r="O1106" t="str">
        <f>IF(tblSalaries[[#This Row],[Years of Experience]]="","",IF(AND(tblSalaries[[#This Row],[Years of Experience]]&gt;2,tblSalaries[[#This Row],[Years of Experience]]&lt;=5),1,""))</f>
        <v/>
      </c>
      <c r="P1106">
        <f>IF(tblSalaries[[#This Row],[Years of Experience]]="","",IF(AND(tblSalaries[[#This Row],[Years of Experience]]&gt;5,tblSalaries[[#This Row],[Years of Experience]]&lt;=10),1,""))</f>
        <v>1</v>
      </c>
      <c r="Q1106" t="str">
        <f>IF(tblSalaries[[#This Row],[Years of Experience]]="","",IF(AND(tblSalaries[[#This Row],[Years of Experience]]&gt;10,tblSalaries[[#This Row],[Years of Experience]]&lt;=15),1,""))</f>
        <v/>
      </c>
      <c r="R1106" t="str">
        <f>IF(tblSalaries[[#This Row],[Years of Experience]]="","",IF(AND(tblSalaries[[#This Row],[Years of Experience]]&gt;16,tblSalaries[[#This Row],[Years of Experience]]&lt;=20),1,""))</f>
        <v/>
      </c>
      <c r="S1106" t="str">
        <f>IF(tblSalaries[[#This Row],[Years of Experience]]="","",IF(tblSalaries[[#This Row],[Years of Experience]]&gt;20,1,""))</f>
        <v/>
      </c>
      <c r="T11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06" s="13" t="str">
        <f>IF(tblSalaries[[#This Row],[Job Type]]=tblSalaries[[#Headers],[Accountant]],tblSalaries[[#This Row],[Salary in USD]],"")</f>
        <v/>
      </c>
      <c r="V1106" s="13" t="str">
        <f>IF(tblSalaries[[#This Row],[Job Type]]=tblSalaries[[#Headers],[Analyst]],tblSalaries[[#This Row],[Salary in USD]],"")</f>
        <v/>
      </c>
      <c r="W1106" s="13" t="str">
        <f>IF(tblSalaries[[#This Row],[Job Type]]=tblSalaries[[#Headers],[Consultant]],tblSalaries[[#This Row],[Salary in USD]],"")</f>
        <v/>
      </c>
      <c r="X1106" s="13" t="str">
        <f>IF(tblSalaries[[#This Row],[Job Type]]=tblSalaries[[#Headers],[Controller]],tblSalaries[[#This Row],[Salary in USD]],"")</f>
        <v/>
      </c>
      <c r="Y1106" s="13" t="str">
        <f>IF(tblSalaries[[#This Row],[Job Type]]=tblSalaries[[#Headers],[CXO or Top Mgmt.]],tblSalaries[[#This Row],[clean Salary (in local currency)]],"")</f>
        <v/>
      </c>
      <c r="Z1106" s="13" t="str">
        <f>IF(tblSalaries[[#This Row],[Job Type]]=tblSalaries[[#Headers],[Engineer]],tblSalaries[[#This Row],[Salary in USD]],"")</f>
        <v/>
      </c>
      <c r="AA1106" s="13" t="str">
        <f>IF(tblSalaries[[#This Row],[Job Type]]=tblSalaries[[#Headers],[Manager]],tblSalaries[[#This Row],[Salary in USD]],"")</f>
        <v/>
      </c>
      <c r="AB1106" s="13" t="str">
        <f>IF(tblSalaries[[#This Row],[Job Type]]=tblSalaries[[#Headers],[Misc.]],tblSalaries[[#This Row],[Salary in USD]],"")</f>
        <v/>
      </c>
      <c r="AC1106" s="13">
        <f>IF(tblSalaries[[#This Row],[Job Type]]=tblSalaries[[#Headers],[Reporting]],tblSalaries[[#This Row],[Salary in USD]],"")</f>
        <v>19000</v>
      </c>
      <c r="AD1106" s="13" t="str">
        <f>IF(tblSalaries[[#This Row],[Job Type]]=tblSalaries[[#Headers],[Specialist]],tblSalaries[[#This Row],[Salary in USD]],"")</f>
        <v/>
      </c>
    </row>
    <row r="1107" spans="2:30" ht="15" customHeight="1" x14ac:dyDescent="0.25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 s="9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  <c r="N1107" t="str">
        <f>IF(tblSalaries[[#This Row],[Years of Experience]]="","",IF(tblSalaries[[#This Row],[Years of Experience]]&lt;=2,1,""))</f>
        <v/>
      </c>
      <c r="O1107" t="str">
        <f>IF(tblSalaries[[#This Row],[Years of Experience]]="","",IF(AND(tblSalaries[[#This Row],[Years of Experience]]&gt;2,tblSalaries[[#This Row],[Years of Experience]]&lt;=5),1,""))</f>
        <v/>
      </c>
      <c r="P1107" t="str">
        <f>IF(tblSalaries[[#This Row],[Years of Experience]]="","",IF(AND(tblSalaries[[#This Row],[Years of Experience]]&gt;5,tblSalaries[[#This Row],[Years of Experience]]&lt;=10),1,""))</f>
        <v/>
      </c>
      <c r="Q1107">
        <f>IF(tblSalaries[[#This Row],[Years of Experience]]="","",IF(AND(tblSalaries[[#This Row],[Years of Experience]]&gt;10,tblSalaries[[#This Row],[Years of Experience]]&lt;=15),1,""))</f>
        <v>1</v>
      </c>
      <c r="R1107" t="str">
        <f>IF(tblSalaries[[#This Row],[Years of Experience]]="","",IF(AND(tblSalaries[[#This Row],[Years of Experience]]&gt;16,tblSalaries[[#This Row],[Years of Experience]]&lt;=20),1,""))</f>
        <v/>
      </c>
      <c r="S1107" t="str">
        <f>IF(tblSalaries[[#This Row],[Years of Experience]]="","",IF(tblSalaries[[#This Row],[Years of Experience]]&gt;20,1,""))</f>
        <v/>
      </c>
      <c r="T11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07" s="13" t="str">
        <f>IF(tblSalaries[[#This Row],[Job Type]]=tblSalaries[[#Headers],[Accountant]],tblSalaries[[#This Row],[Salary in USD]],"")</f>
        <v/>
      </c>
      <c r="V1107" s="13" t="str">
        <f>IF(tblSalaries[[#This Row],[Job Type]]=tblSalaries[[#Headers],[Analyst]],tblSalaries[[#This Row],[Salary in USD]],"")</f>
        <v/>
      </c>
      <c r="W1107" s="13" t="str">
        <f>IF(tblSalaries[[#This Row],[Job Type]]=tblSalaries[[#Headers],[Consultant]],tblSalaries[[#This Row],[Salary in USD]],"")</f>
        <v/>
      </c>
      <c r="X1107" s="13" t="str">
        <f>IF(tblSalaries[[#This Row],[Job Type]]=tblSalaries[[#Headers],[Controller]],tblSalaries[[#This Row],[Salary in USD]],"")</f>
        <v/>
      </c>
      <c r="Y1107" s="13" t="str">
        <f>IF(tblSalaries[[#This Row],[Job Type]]=tblSalaries[[#Headers],[CXO or Top Mgmt.]],tblSalaries[[#This Row],[clean Salary (in local currency)]],"")</f>
        <v/>
      </c>
      <c r="Z1107" s="13">
        <f>IF(tblSalaries[[#This Row],[Job Type]]=tblSalaries[[#Headers],[Engineer]],tblSalaries[[#This Row],[Salary in USD]],"")</f>
        <v>63519.971949580387</v>
      </c>
      <c r="AA1107" s="13" t="str">
        <f>IF(tblSalaries[[#This Row],[Job Type]]=tblSalaries[[#Headers],[Manager]],tblSalaries[[#This Row],[Salary in USD]],"")</f>
        <v/>
      </c>
      <c r="AB1107" s="13" t="str">
        <f>IF(tblSalaries[[#This Row],[Job Type]]=tblSalaries[[#Headers],[Misc.]],tblSalaries[[#This Row],[Salary in USD]],"")</f>
        <v/>
      </c>
      <c r="AC1107" s="13" t="str">
        <f>IF(tblSalaries[[#This Row],[Job Type]]=tblSalaries[[#Headers],[Reporting]],tblSalaries[[#This Row],[Salary in USD]],"")</f>
        <v/>
      </c>
      <c r="AD1107" s="13" t="str">
        <f>IF(tblSalaries[[#This Row],[Job Type]]=tblSalaries[[#Headers],[Specialist]],tblSalaries[[#This Row],[Salary in USD]],"")</f>
        <v/>
      </c>
    </row>
    <row r="1108" spans="2:30" ht="15" customHeight="1" x14ac:dyDescent="0.25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 s="9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  <c r="N1108" t="str">
        <f>IF(tblSalaries[[#This Row],[Years of Experience]]="","",IF(tblSalaries[[#This Row],[Years of Experience]]&lt;=2,1,""))</f>
        <v/>
      </c>
      <c r="O1108" t="str">
        <f>IF(tblSalaries[[#This Row],[Years of Experience]]="","",IF(AND(tblSalaries[[#This Row],[Years of Experience]]&gt;2,tblSalaries[[#This Row],[Years of Experience]]&lt;=5),1,""))</f>
        <v/>
      </c>
      <c r="P1108" t="str">
        <f>IF(tblSalaries[[#This Row],[Years of Experience]]="","",IF(AND(tblSalaries[[#This Row],[Years of Experience]]&gt;5,tblSalaries[[#This Row],[Years of Experience]]&lt;=10),1,""))</f>
        <v/>
      </c>
      <c r="Q1108" t="str">
        <f>IF(tblSalaries[[#This Row],[Years of Experience]]="","",IF(AND(tblSalaries[[#This Row],[Years of Experience]]&gt;10,tblSalaries[[#This Row],[Years of Experience]]&lt;=15),1,""))</f>
        <v/>
      </c>
      <c r="R1108" t="str">
        <f>IF(tblSalaries[[#This Row],[Years of Experience]]="","",IF(AND(tblSalaries[[#This Row],[Years of Experience]]&gt;16,tblSalaries[[#This Row],[Years of Experience]]&lt;=20),1,""))</f>
        <v/>
      </c>
      <c r="S1108">
        <f>IF(tblSalaries[[#This Row],[Years of Experience]]="","",IF(tblSalaries[[#This Row],[Years of Experience]]&gt;20,1,""))</f>
        <v>1</v>
      </c>
      <c r="T11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08" s="13" t="str">
        <f>IF(tblSalaries[[#This Row],[Job Type]]=tblSalaries[[#Headers],[Accountant]],tblSalaries[[#This Row],[Salary in USD]],"")</f>
        <v/>
      </c>
      <c r="V1108" s="13" t="str">
        <f>IF(tblSalaries[[#This Row],[Job Type]]=tblSalaries[[#Headers],[Analyst]],tblSalaries[[#This Row],[Salary in USD]],"")</f>
        <v/>
      </c>
      <c r="W1108" s="13" t="str">
        <f>IF(tblSalaries[[#This Row],[Job Type]]=tblSalaries[[#Headers],[Consultant]],tblSalaries[[#This Row],[Salary in USD]],"")</f>
        <v/>
      </c>
      <c r="X1108" s="13" t="str">
        <f>IF(tblSalaries[[#This Row],[Job Type]]=tblSalaries[[#Headers],[Controller]],tblSalaries[[#This Row],[Salary in USD]],"")</f>
        <v/>
      </c>
      <c r="Y1108" s="13" t="str">
        <f>IF(tblSalaries[[#This Row],[Job Type]]=tblSalaries[[#Headers],[CXO or Top Mgmt.]],tblSalaries[[#This Row],[clean Salary (in local currency)]],"")</f>
        <v/>
      </c>
      <c r="Z1108" s="13" t="str">
        <f>IF(tblSalaries[[#This Row],[Job Type]]=tblSalaries[[#Headers],[Engineer]],tblSalaries[[#This Row],[Salary in USD]],"")</f>
        <v/>
      </c>
      <c r="AA1108" s="13">
        <f>IF(tblSalaries[[#This Row],[Job Type]]=tblSalaries[[#Headers],[Manager]],tblSalaries[[#This Row],[Salary in USD]],"")</f>
        <v>16027.125018698311</v>
      </c>
      <c r="AB1108" s="13" t="str">
        <f>IF(tblSalaries[[#This Row],[Job Type]]=tblSalaries[[#Headers],[Misc.]],tblSalaries[[#This Row],[Salary in USD]],"")</f>
        <v/>
      </c>
      <c r="AC1108" s="13" t="str">
        <f>IF(tblSalaries[[#This Row],[Job Type]]=tblSalaries[[#Headers],[Reporting]],tblSalaries[[#This Row],[Salary in USD]],"")</f>
        <v/>
      </c>
      <c r="AD1108" s="13" t="str">
        <f>IF(tblSalaries[[#This Row],[Job Type]]=tblSalaries[[#Headers],[Specialist]],tblSalaries[[#This Row],[Salary in USD]],"")</f>
        <v/>
      </c>
    </row>
    <row r="1109" spans="2:30" ht="15" customHeight="1" x14ac:dyDescent="0.25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 s="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3999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  <c r="N1109" t="str">
        <f>IF(tblSalaries[[#This Row],[Years of Experience]]="","",IF(tblSalaries[[#This Row],[Years of Experience]]&lt;=2,1,""))</f>
        <v/>
      </c>
      <c r="O1109" t="str">
        <f>IF(tblSalaries[[#This Row],[Years of Experience]]="","",IF(AND(tblSalaries[[#This Row],[Years of Experience]]&gt;2,tblSalaries[[#This Row],[Years of Experience]]&lt;=5),1,""))</f>
        <v/>
      </c>
      <c r="P1109">
        <f>IF(tblSalaries[[#This Row],[Years of Experience]]="","",IF(AND(tblSalaries[[#This Row],[Years of Experience]]&gt;5,tblSalaries[[#This Row],[Years of Experience]]&lt;=10),1,""))</f>
        <v>1</v>
      </c>
      <c r="Q1109" t="str">
        <f>IF(tblSalaries[[#This Row],[Years of Experience]]="","",IF(AND(tblSalaries[[#This Row],[Years of Experience]]&gt;10,tblSalaries[[#This Row],[Years of Experience]]&lt;=15),1,""))</f>
        <v/>
      </c>
      <c r="R1109" t="str">
        <f>IF(tblSalaries[[#This Row],[Years of Experience]]="","",IF(AND(tblSalaries[[#This Row],[Years of Experience]]&gt;16,tblSalaries[[#This Row],[Years of Experience]]&lt;=20),1,""))</f>
        <v/>
      </c>
      <c r="S1109" t="str">
        <f>IF(tblSalaries[[#This Row],[Years of Experience]]="","",IF(tblSalaries[[#This Row],[Years of Experience]]&gt;20,1,""))</f>
        <v/>
      </c>
      <c r="T11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09" s="13" t="str">
        <f>IF(tblSalaries[[#This Row],[Job Type]]=tblSalaries[[#Headers],[Accountant]],tblSalaries[[#This Row],[Salary in USD]],"")</f>
        <v/>
      </c>
      <c r="V1109" s="13" t="str">
        <f>IF(tblSalaries[[#This Row],[Job Type]]=tblSalaries[[#Headers],[Analyst]],tblSalaries[[#This Row],[Salary in USD]],"")</f>
        <v/>
      </c>
      <c r="W1109" s="13" t="str">
        <f>IF(tblSalaries[[#This Row],[Job Type]]=tblSalaries[[#Headers],[Consultant]],tblSalaries[[#This Row],[Salary in USD]],"")</f>
        <v/>
      </c>
      <c r="X1109" s="13" t="str">
        <f>IF(tblSalaries[[#This Row],[Job Type]]=tblSalaries[[#Headers],[Controller]],tblSalaries[[#This Row],[Salary in USD]],"")</f>
        <v/>
      </c>
      <c r="Y1109" s="13" t="str">
        <f>IF(tblSalaries[[#This Row],[Job Type]]=tblSalaries[[#Headers],[CXO or Top Mgmt.]],tblSalaries[[#This Row],[clean Salary (in local currency)]],"")</f>
        <v/>
      </c>
      <c r="Z1109" s="13" t="str">
        <f>IF(tblSalaries[[#This Row],[Job Type]]=tblSalaries[[#Headers],[Engineer]],tblSalaries[[#This Row],[Salary in USD]],"")</f>
        <v/>
      </c>
      <c r="AA1109" s="13" t="str">
        <f>IF(tblSalaries[[#This Row],[Job Type]]=tblSalaries[[#Headers],[Manager]],tblSalaries[[#This Row],[Salary in USD]],"")</f>
        <v/>
      </c>
      <c r="AB1109" s="13" t="str">
        <f>IF(tblSalaries[[#This Row],[Job Type]]=tblSalaries[[#Headers],[Misc.]],tblSalaries[[#This Row],[Salary in USD]],"")</f>
        <v/>
      </c>
      <c r="AC1109" s="13">
        <f>IF(tblSalaries[[#This Row],[Job Type]]=tblSalaries[[#Headers],[Reporting]],tblSalaries[[#This Row],[Salary in USD]],"")</f>
        <v>7123.1666749770275</v>
      </c>
      <c r="AD1109" s="13" t="str">
        <f>IF(tblSalaries[[#This Row],[Job Type]]=tblSalaries[[#Headers],[Specialist]],tblSalaries[[#This Row],[Salary in USD]],"")</f>
        <v/>
      </c>
    </row>
    <row r="1110" spans="2:30" ht="15" customHeight="1" x14ac:dyDescent="0.25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 s="9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  <c r="N1110" t="str">
        <f>IF(tblSalaries[[#This Row],[Years of Experience]]="","",IF(tblSalaries[[#This Row],[Years of Experience]]&lt;=2,1,""))</f>
        <v/>
      </c>
      <c r="O1110">
        <f>IF(tblSalaries[[#This Row],[Years of Experience]]="","",IF(AND(tblSalaries[[#This Row],[Years of Experience]]&gt;2,tblSalaries[[#This Row],[Years of Experience]]&lt;=5),1,""))</f>
        <v>1</v>
      </c>
      <c r="P1110" t="str">
        <f>IF(tblSalaries[[#This Row],[Years of Experience]]="","",IF(AND(tblSalaries[[#This Row],[Years of Experience]]&gt;5,tblSalaries[[#This Row],[Years of Experience]]&lt;=10),1,""))</f>
        <v/>
      </c>
      <c r="Q1110" t="str">
        <f>IF(tblSalaries[[#This Row],[Years of Experience]]="","",IF(AND(tblSalaries[[#This Row],[Years of Experience]]&gt;10,tblSalaries[[#This Row],[Years of Experience]]&lt;=15),1,""))</f>
        <v/>
      </c>
      <c r="R1110" t="str">
        <f>IF(tblSalaries[[#This Row],[Years of Experience]]="","",IF(AND(tblSalaries[[#This Row],[Years of Experience]]&gt;16,tblSalaries[[#This Row],[Years of Experience]]&lt;=20),1,""))</f>
        <v/>
      </c>
      <c r="S1110" t="str">
        <f>IF(tblSalaries[[#This Row],[Years of Experience]]="","",IF(tblSalaries[[#This Row],[Years of Experience]]&gt;20,1,""))</f>
        <v/>
      </c>
      <c r="T11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10" s="13" t="str">
        <f>IF(tblSalaries[[#This Row],[Job Type]]=tblSalaries[[#Headers],[Accountant]],tblSalaries[[#This Row],[Salary in USD]],"")</f>
        <v/>
      </c>
      <c r="V1110" s="13" t="str">
        <f>IF(tblSalaries[[#This Row],[Job Type]]=tblSalaries[[#Headers],[Analyst]],tblSalaries[[#This Row],[Salary in USD]],"")</f>
        <v/>
      </c>
      <c r="W1110" s="13" t="str">
        <f>IF(tblSalaries[[#This Row],[Job Type]]=tblSalaries[[#Headers],[Consultant]],tblSalaries[[#This Row],[Salary in USD]],"")</f>
        <v/>
      </c>
      <c r="X1110" s="13" t="str">
        <f>IF(tblSalaries[[#This Row],[Job Type]]=tblSalaries[[#Headers],[Controller]],tblSalaries[[#This Row],[Salary in USD]],"")</f>
        <v/>
      </c>
      <c r="Y1110" s="13" t="str">
        <f>IF(tblSalaries[[#This Row],[Job Type]]=tblSalaries[[#Headers],[CXO or Top Mgmt.]],tblSalaries[[#This Row],[clean Salary (in local currency)]],"")</f>
        <v/>
      </c>
      <c r="Z1110" s="13" t="str">
        <f>IF(tblSalaries[[#This Row],[Job Type]]=tblSalaries[[#Headers],[Engineer]],tblSalaries[[#This Row],[Salary in USD]],"")</f>
        <v/>
      </c>
      <c r="AA1110" s="13">
        <f>IF(tblSalaries[[#This Row],[Job Type]]=tblSalaries[[#Headers],[Manager]],tblSalaries[[#This Row],[Salary in USD]],"")</f>
        <v>2675.675098121621</v>
      </c>
      <c r="AB1110" s="13" t="str">
        <f>IF(tblSalaries[[#This Row],[Job Type]]=tblSalaries[[#Headers],[Misc.]],tblSalaries[[#This Row],[Salary in USD]],"")</f>
        <v/>
      </c>
      <c r="AC1110" s="13" t="str">
        <f>IF(tblSalaries[[#This Row],[Job Type]]=tblSalaries[[#Headers],[Reporting]],tblSalaries[[#This Row],[Salary in USD]],"")</f>
        <v/>
      </c>
      <c r="AD1110" s="13" t="str">
        <f>IF(tblSalaries[[#This Row],[Job Type]]=tblSalaries[[#Headers],[Specialist]],tblSalaries[[#This Row],[Salary in USD]],"")</f>
        <v/>
      </c>
    </row>
    <row r="1111" spans="2:30" ht="15" customHeight="1" x14ac:dyDescent="0.25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 s="9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3999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  <c r="N1111">
        <f>IF(tblSalaries[[#This Row],[Years of Experience]]="","",IF(tblSalaries[[#This Row],[Years of Experience]]&lt;=2,1,""))</f>
        <v>1</v>
      </c>
      <c r="O1111" t="str">
        <f>IF(tblSalaries[[#This Row],[Years of Experience]]="","",IF(AND(tblSalaries[[#This Row],[Years of Experience]]&gt;2,tblSalaries[[#This Row],[Years of Experience]]&lt;=5),1,""))</f>
        <v/>
      </c>
      <c r="P1111" t="str">
        <f>IF(tblSalaries[[#This Row],[Years of Experience]]="","",IF(AND(tblSalaries[[#This Row],[Years of Experience]]&gt;5,tblSalaries[[#This Row],[Years of Experience]]&lt;=10),1,""))</f>
        <v/>
      </c>
      <c r="Q1111" t="str">
        <f>IF(tblSalaries[[#This Row],[Years of Experience]]="","",IF(AND(tblSalaries[[#This Row],[Years of Experience]]&gt;10,tblSalaries[[#This Row],[Years of Experience]]&lt;=15),1,""))</f>
        <v/>
      </c>
      <c r="R1111" t="str">
        <f>IF(tblSalaries[[#This Row],[Years of Experience]]="","",IF(AND(tblSalaries[[#This Row],[Years of Experience]]&gt;16,tblSalaries[[#This Row],[Years of Experience]]&lt;=20),1,""))</f>
        <v/>
      </c>
      <c r="S1111" t="str">
        <f>IF(tblSalaries[[#This Row],[Years of Experience]]="","",IF(tblSalaries[[#This Row],[Years of Experience]]&gt;20,1,""))</f>
        <v/>
      </c>
      <c r="T11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11" s="13" t="str">
        <f>IF(tblSalaries[[#This Row],[Job Type]]=tblSalaries[[#Headers],[Accountant]],tblSalaries[[#This Row],[Salary in USD]],"")</f>
        <v/>
      </c>
      <c r="V1111" s="13" t="str">
        <f>IF(tblSalaries[[#This Row],[Job Type]]=tblSalaries[[#Headers],[Analyst]],tblSalaries[[#This Row],[Salary in USD]],"")</f>
        <v/>
      </c>
      <c r="W1111" s="13" t="str">
        <f>IF(tblSalaries[[#This Row],[Job Type]]=tblSalaries[[#Headers],[Consultant]],tblSalaries[[#This Row],[Salary in USD]],"")</f>
        <v/>
      </c>
      <c r="X1111" s="13" t="str">
        <f>IF(tblSalaries[[#This Row],[Job Type]]=tblSalaries[[#Headers],[Controller]],tblSalaries[[#This Row],[Salary in USD]],"")</f>
        <v/>
      </c>
      <c r="Y1111" s="13" t="str">
        <f>IF(tblSalaries[[#This Row],[Job Type]]=tblSalaries[[#Headers],[CXO or Top Mgmt.]],tblSalaries[[#This Row],[clean Salary (in local currency)]],"")</f>
        <v/>
      </c>
      <c r="Z1111" s="13" t="str">
        <f>IF(tblSalaries[[#This Row],[Job Type]]=tblSalaries[[#Headers],[Engineer]],tblSalaries[[#This Row],[Salary in USD]],"")</f>
        <v/>
      </c>
      <c r="AA1111" s="13" t="str">
        <f>IF(tblSalaries[[#This Row],[Job Type]]=tblSalaries[[#Headers],[Manager]],tblSalaries[[#This Row],[Salary in USD]],"")</f>
        <v/>
      </c>
      <c r="AB1111" s="13" t="str">
        <f>IF(tblSalaries[[#This Row],[Job Type]]=tblSalaries[[#Headers],[Misc.]],tblSalaries[[#This Row],[Salary in USD]],"")</f>
        <v/>
      </c>
      <c r="AC1111" s="13">
        <f>IF(tblSalaries[[#This Row],[Job Type]]=tblSalaries[[#Headers],[Reporting]],tblSalaries[[#This Row],[Salary in USD]],"")</f>
        <v>23642.674081009263</v>
      </c>
      <c r="AD1111" s="13" t="str">
        <f>IF(tblSalaries[[#This Row],[Job Type]]=tblSalaries[[#Headers],[Specialist]],tblSalaries[[#This Row],[Salary in USD]],"")</f>
        <v/>
      </c>
    </row>
    <row r="1112" spans="2:30" ht="15" customHeight="1" x14ac:dyDescent="0.25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 s="9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  <c r="N1112" t="str">
        <f>IF(tblSalaries[[#This Row],[Years of Experience]]="","",IF(tblSalaries[[#This Row],[Years of Experience]]&lt;=2,1,""))</f>
        <v/>
      </c>
      <c r="O1112" t="str">
        <f>IF(tblSalaries[[#This Row],[Years of Experience]]="","",IF(AND(tblSalaries[[#This Row],[Years of Experience]]&gt;2,tblSalaries[[#This Row],[Years of Experience]]&lt;=5),1,""))</f>
        <v/>
      </c>
      <c r="P1112" t="str">
        <f>IF(tblSalaries[[#This Row],[Years of Experience]]="","",IF(AND(tblSalaries[[#This Row],[Years of Experience]]&gt;5,tblSalaries[[#This Row],[Years of Experience]]&lt;=10),1,""))</f>
        <v/>
      </c>
      <c r="Q1112">
        <f>IF(tblSalaries[[#This Row],[Years of Experience]]="","",IF(AND(tblSalaries[[#This Row],[Years of Experience]]&gt;10,tblSalaries[[#This Row],[Years of Experience]]&lt;=15),1,""))</f>
        <v>1</v>
      </c>
      <c r="R1112" t="str">
        <f>IF(tblSalaries[[#This Row],[Years of Experience]]="","",IF(AND(tblSalaries[[#This Row],[Years of Experience]]&gt;16,tblSalaries[[#This Row],[Years of Experience]]&lt;=20),1,""))</f>
        <v/>
      </c>
      <c r="S1112" t="str">
        <f>IF(tblSalaries[[#This Row],[Years of Experience]]="","",IF(tblSalaries[[#This Row],[Years of Experience]]&gt;20,1,""))</f>
        <v/>
      </c>
      <c r="T11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12" s="13" t="str">
        <f>IF(tblSalaries[[#This Row],[Job Type]]=tblSalaries[[#Headers],[Accountant]],tblSalaries[[#This Row],[Salary in USD]],"")</f>
        <v/>
      </c>
      <c r="V1112" s="13" t="str">
        <f>IF(tblSalaries[[#This Row],[Job Type]]=tblSalaries[[#Headers],[Analyst]],tblSalaries[[#This Row],[Salary in USD]],"")</f>
        <v/>
      </c>
      <c r="W1112" s="13" t="str">
        <f>IF(tblSalaries[[#This Row],[Job Type]]=tblSalaries[[#Headers],[Consultant]],tblSalaries[[#This Row],[Salary in USD]],"")</f>
        <v/>
      </c>
      <c r="X1112" s="13" t="str">
        <f>IF(tblSalaries[[#This Row],[Job Type]]=tblSalaries[[#Headers],[Controller]],tblSalaries[[#This Row],[Salary in USD]],"")</f>
        <v/>
      </c>
      <c r="Y1112" s="13" t="str">
        <f>IF(tblSalaries[[#This Row],[Job Type]]=tblSalaries[[#Headers],[CXO or Top Mgmt.]],tblSalaries[[#This Row],[clean Salary (in local currency)]],"")</f>
        <v/>
      </c>
      <c r="Z1112" s="13" t="str">
        <f>IF(tblSalaries[[#This Row],[Job Type]]=tblSalaries[[#Headers],[Engineer]],tblSalaries[[#This Row],[Salary in USD]],"")</f>
        <v/>
      </c>
      <c r="AA1112" s="13">
        <f>IF(tblSalaries[[#This Row],[Job Type]]=tblSalaries[[#Headers],[Manager]],tblSalaries[[#This Row],[Salary in USD]],"")</f>
        <v>57167.974754622352</v>
      </c>
      <c r="AB1112" s="13" t="str">
        <f>IF(tblSalaries[[#This Row],[Job Type]]=tblSalaries[[#Headers],[Misc.]],tblSalaries[[#This Row],[Salary in USD]],"")</f>
        <v/>
      </c>
      <c r="AC1112" s="13" t="str">
        <f>IF(tblSalaries[[#This Row],[Job Type]]=tblSalaries[[#Headers],[Reporting]],tblSalaries[[#This Row],[Salary in USD]],"")</f>
        <v/>
      </c>
      <c r="AD1112" s="13" t="str">
        <f>IF(tblSalaries[[#This Row],[Job Type]]=tblSalaries[[#Headers],[Specialist]],tblSalaries[[#This Row],[Salary in USD]],"")</f>
        <v/>
      </c>
    </row>
    <row r="1113" spans="2:30" ht="15" customHeight="1" x14ac:dyDescent="0.25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 s="9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  <c r="N1113" t="str">
        <f>IF(tblSalaries[[#This Row],[Years of Experience]]="","",IF(tblSalaries[[#This Row],[Years of Experience]]&lt;=2,1,""))</f>
        <v/>
      </c>
      <c r="O1113" t="str">
        <f>IF(tblSalaries[[#This Row],[Years of Experience]]="","",IF(AND(tblSalaries[[#This Row],[Years of Experience]]&gt;2,tblSalaries[[#This Row],[Years of Experience]]&lt;=5),1,""))</f>
        <v/>
      </c>
      <c r="P1113">
        <f>IF(tblSalaries[[#This Row],[Years of Experience]]="","",IF(AND(tblSalaries[[#This Row],[Years of Experience]]&gt;5,tblSalaries[[#This Row],[Years of Experience]]&lt;=10),1,""))</f>
        <v>1</v>
      </c>
      <c r="Q1113" t="str">
        <f>IF(tblSalaries[[#This Row],[Years of Experience]]="","",IF(AND(tblSalaries[[#This Row],[Years of Experience]]&gt;10,tblSalaries[[#This Row],[Years of Experience]]&lt;=15),1,""))</f>
        <v/>
      </c>
      <c r="R1113" t="str">
        <f>IF(tblSalaries[[#This Row],[Years of Experience]]="","",IF(AND(tblSalaries[[#This Row],[Years of Experience]]&gt;16,tblSalaries[[#This Row],[Years of Experience]]&lt;=20),1,""))</f>
        <v/>
      </c>
      <c r="S1113" t="str">
        <f>IF(tblSalaries[[#This Row],[Years of Experience]]="","",IF(tblSalaries[[#This Row],[Years of Experience]]&gt;20,1,""))</f>
        <v/>
      </c>
      <c r="T11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13" s="13" t="str">
        <f>IF(tblSalaries[[#This Row],[Job Type]]=tblSalaries[[#Headers],[Accountant]],tblSalaries[[#This Row],[Salary in USD]],"")</f>
        <v/>
      </c>
      <c r="V1113" s="13" t="str">
        <f>IF(tblSalaries[[#This Row],[Job Type]]=tblSalaries[[#Headers],[Analyst]],tblSalaries[[#This Row],[Salary in USD]],"")</f>
        <v/>
      </c>
      <c r="W1113" s="13" t="str">
        <f>IF(tblSalaries[[#This Row],[Job Type]]=tblSalaries[[#Headers],[Consultant]],tblSalaries[[#This Row],[Salary in USD]],"")</f>
        <v/>
      </c>
      <c r="X1113" s="13" t="str">
        <f>IF(tblSalaries[[#This Row],[Job Type]]=tblSalaries[[#Headers],[Controller]],tblSalaries[[#This Row],[Salary in USD]],"")</f>
        <v/>
      </c>
      <c r="Y1113" s="13" t="str">
        <f>IF(tblSalaries[[#This Row],[Job Type]]=tblSalaries[[#Headers],[CXO or Top Mgmt.]],tblSalaries[[#This Row],[clean Salary (in local currency)]],"")</f>
        <v/>
      </c>
      <c r="Z1113" s="13" t="str">
        <f>IF(tblSalaries[[#This Row],[Job Type]]=tblSalaries[[#Headers],[Engineer]],tblSalaries[[#This Row],[Salary in USD]],"")</f>
        <v/>
      </c>
      <c r="AA1113" s="13">
        <f>IF(tblSalaries[[#This Row],[Job Type]]=tblSalaries[[#Headers],[Manager]],tblSalaries[[#This Row],[Salary in USD]],"")</f>
        <v>42739.000049862167</v>
      </c>
      <c r="AB1113" s="13" t="str">
        <f>IF(tblSalaries[[#This Row],[Job Type]]=tblSalaries[[#Headers],[Misc.]],tblSalaries[[#This Row],[Salary in USD]],"")</f>
        <v/>
      </c>
      <c r="AC1113" s="13" t="str">
        <f>IF(tblSalaries[[#This Row],[Job Type]]=tblSalaries[[#Headers],[Reporting]],tblSalaries[[#This Row],[Salary in USD]],"")</f>
        <v/>
      </c>
      <c r="AD1113" s="13" t="str">
        <f>IF(tblSalaries[[#This Row],[Job Type]]=tblSalaries[[#Headers],[Specialist]],tblSalaries[[#This Row],[Salary in USD]],"")</f>
        <v/>
      </c>
    </row>
    <row r="1114" spans="2:30" ht="15" customHeight="1" x14ac:dyDescent="0.25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 s="9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  <c r="N1114">
        <f>IF(tblSalaries[[#This Row],[Years of Experience]]="","",IF(tblSalaries[[#This Row],[Years of Experience]]&lt;=2,1,""))</f>
        <v>1</v>
      </c>
      <c r="O1114" t="str">
        <f>IF(tblSalaries[[#This Row],[Years of Experience]]="","",IF(AND(tblSalaries[[#This Row],[Years of Experience]]&gt;2,tblSalaries[[#This Row],[Years of Experience]]&lt;=5),1,""))</f>
        <v/>
      </c>
      <c r="P1114" t="str">
        <f>IF(tblSalaries[[#This Row],[Years of Experience]]="","",IF(AND(tblSalaries[[#This Row],[Years of Experience]]&gt;5,tblSalaries[[#This Row],[Years of Experience]]&lt;=10),1,""))</f>
        <v/>
      </c>
      <c r="Q1114" t="str">
        <f>IF(tblSalaries[[#This Row],[Years of Experience]]="","",IF(AND(tblSalaries[[#This Row],[Years of Experience]]&gt;10,tblSalaries[[#This Row],[Years of Experience]]&lt;=15),1,""))</f>
        <v/>
      </c>
      <c r="R1114" t="str">
        <f>IF(tblSalaries[[#This Row],[Years of Experience]]="","",IF(AND(tblSalaries[[#This Row],[Years of Experience]]&gt;16,tblSalaries[[#This Row],[Years of Experience]]&lt;=20),1,""))</f>
        <v/>
      </c>
      <c r="S1114" t="str">
        <f>IF(tblSalaries[[#This Row],[Years of Experience]]="","",IF(tblSalaries[[#This Row],[Years of Experience]]&gt;20,1,""))</f>
        <v/>
      </c>
      <c r="T11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14" s="13" t="str">
        <f>IF(tblSalaries[[#This Row],[Job Type]]=tblSalaries[[#Headers],[Accountant]],tblSalaries[[#This Row],[Salary in USD]],"")</f>
        <v/>
      </c>
      <c r="V1114" s="13" t="str">
        <f>IF(tblSalaries[[#This Row],[Job Type]]=tblSalaries[[#Headers],[Analyst]],tblSalaries[[#This Row],[Salary in USD]],"")</f>
        <v/>
      </c>
      <c r="W1114" s="13" t="str">
        <f>IF(tblSalaries[[#This Row],[Job Type]]=tblSalaries[[#Headers],[Consultant]],tblSalaries[[#This Row],[Salary in USD]],"")</f>
        <v/>
      </c>
      <c r="X1114" s="13" t="str">
        <f>IF(tblSalaries[[#This Row],[Job Type]]=tblSalaries[[#Headers],[Controller]],tblSalaries[[#This Row],[Salary in USD]],"")</f>
        <v/>
      </c>
      <c r="Y1114" s="13" t="str">
        <f>IF(tblSalaries[[#This Row],[Job Type]]=tblSalaries[[#Headers],[CXO or Top Mgmt.]],tblSalaries[[#This Row],[clean Salary (in local currency)]],"")</f>
        <v/>
      </c>
      <c r="Z1114" s="13" t="str">
        <f>IF(tblSalaries[[#This Row],[Job Type]]=tblSalaries[[#Headers],[Engineer]],tblSalaries[[#This Row],[Salary in USD]],"")</f>
        <v/>
      </c>
      <c r="AA1114" s="13">
        <f>IF(tblSalaries[[#This Row],[Job Type]]=tblSalaries[[#Headers],[Manager]],tblSalaries[[#This Row],[Salary in USD]],"")</f>
        <v>5120.2912876821438</v>
      </c>
      <c r="AB1114" s="13" t="str">
        <f>IF(tblSalaries[[#This Row],[Job Type]]=tblSalaries[[#Headers],[Misc.]],tblSalaries[[#This Row],[Salary in USD]],"")</f>
        <v/>
      </c>
      <c r="AC1114" s="13" t="str">
        <f>IF(tblSalaries[[#This Row],[Job Type]]=tblSalaries[[#Headers],[Reporting]],tblSalaries[[#This Row],[Salary in USD]],"")</f>
        <v/>
      </c>
      <c r="AD1114" s="13" t="str">
        <f>IF(tblSalaries[[#This Row],[Job Type]]=tblSalaries[[#Headers],[Specialist]],tblSalaries[[#This Row],[Salary in USD]],"")</f>
        <v/>
      </c>
    </row>
    <row r="1115" spans="2:30" ht="15" customHeight="1" x14ac:dyDescent="0.25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 s="9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4001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  <c r="N1115" t="str">
        <f>IF(tblSalaries[[#This Row],[Years of Experience]]="","",IF(tblSalaries[[#This Row],[Years of Experience]]&lt;=2,1,""))</f>
        <v/>
      </c>
      <c r="O1115" t="str">
        <f>IF(tblSalaries[[#This Row],[Years of Experience]]="","",IF(AND(tblSalaries[[#This Row],[Years of Experience]]&gt;2,tblSalaries[[#This Row],[Years of Experience]]&lt;=5),1,""))</f>
        <v/>
      </c>
      <c r="P1115" t="str">
        <f>IF(tblSalaries[[#This Row],[Years of Experience]]="","",IF(AND(tblSalaries[[#This Row],[Years of Experience]]&gt;5,tblSalaries[[#This Row],[Years of Experience]]&lt;=10),1,""))</f>
        <v/>
      </c>
      <c r="Q1115" t="str">
        <f>IF(tblSalaries[[#This Row],[Years of Experience]]="","",IF(AND(tblSalaries[[#This Row],[Years of Experience]]&gt;10,tblSalaries[[#This Row],[Years of Experience]]&lt;=15),1,""))</f>
        <v/>
      </c>
      <c r="R1115">
        <f>IF(tblSalaries[[#This Row],[Years of Experience]]="","",IF(AND(tblSalaries[[#This Row],[Years of Experience]]&gt;16,tblSalaries[[#This Row],[Years of Experience]]&lt;=20),1,""))</f>
        <v>1</v>
      </c>
      <c r="S1115" t="str">
        <f>IF(tblSalaries[[#This Row],[Years of Experience]]="","",IF(tblSalaries[[#This Row],[Years of Experience]]&gt;20,1,""))</f>
        <v/>
      </c>
      <c r="T11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15" s="13" t="str">
        <f>IF(tblSalaries[[#This Row],[Job Type]]=tblSalaries[[#Headers],[Accountant]],tblSalaries[[#This Row],[Salary in USD]],"")</f>
        <v/>
      </c>
      <c r="V1115" s="13" t="str">
        <f>IF(tblSalaries[[#This Row],[Job Type]]=tblSalaries[[#Headers],[Analyst]],tblSalaries[[#This Row],[Salary in USD]],"")</f>
        <v/>
      </c>
      <c r="W1115" s="13" t="str">
        <f>IF(tblSalaries[[#This Row],[Job Type]]=tblSalaries[[#Headers],[Consultant]],tblSalaries[[#This Row],[Salary in USD]],"")</f>
        <v/>
      </c>
      <c r="X1115" s="13" t="str">
        <f>IF(tblSalaries[[#This Row],[Job Type]]=tblSalaries[[#Headers],[Controller]],tblSalaries[[#This Row],[Salary in USD]],"")</f>
        <v/>
      </c>
      <c r="Y1115" s="13">
        <f>IF(tblSalaries[[#This Row],[Job Type]]=tblSalaries[[#Headers],[CXO or Top Mgmt.]],tblSalaries[[#This Row],[clean Salary (in local currency)]],"")</f>
        <v>100000</v>
      </c>
      <c r="Z1115" s="13" t="str">
        <f>IF(tblSalaries[[#This Row],[Job Type]]=tblSalaries[[#Headers],[Engineer]],tblSalaries[[#This Row],[Salary in USD]],"")</f>
        <v/>
      </c>
      <c r="AA1115" s="13" t="str">
        <f>IF(tblSalaries[[#This Row],[Job Type]]=tblSalaries[[#Headers],[Manager]],tblSalaries[[#This Row],[Salary in USD]],"")</f>
        <v/>
      </c>
      <c r="AB1115" s="13" t="str">
        <f>IF(tblSalaries[[#This Row],[Job Type]]=tblSalaries[[#Headers],[Misc.]],tblSalaries[[#This Row],[Salary in USD]],"")</f>
        <v/>
      </c>
      <c r="AC1115" s="13" t="str">
        <f>IF(tblSalaries[[#This Row],[Job Type]]=tblSalaries[[#Headers],[Reporting]],tblSalaries[[#This Row],[Salary in USD]],"")</f>
        <v/>
      </c>
      <c r="AD1115" s="13" t="str">
        <f>IF(tblSalaries[[#This Row],[Job Type]]=tblSalaries[[#Headers],[Specialist]],tblSalaries[[#This Row],[Salary in USD]],"")</f>
        <v/>
      </c>
    </row>
    <row r="1116" spans="2:30" ht="15" customHeight="1" x14ac:dyDescent="0.25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 s="9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  <c r="N1116" t="str">
        <f>IF(tblSalaries[[#This Row],[Years of Experience]]="","",IF(tblSalaries[[#This Row],[Years of Experience]]&lt;=2,1,""))</f>
        <v/>
      </c>
      <c r="O1116">
        <f>IF(tblSalaries[[#This Row],[Years of Experience]]="","",IF(AND(tblSalaries[[#This Row],[Years of Experience]]&gt;2,tblSalaries[[#This Row],[Years of Experience]]&lt;=5),1,""))</f>
        <v>1</v>
      </c>
      <c r="P1116" t="str">
        <f>IF(tblSalaries[[#This Row],[Years of Experience]]="","",IF(AND(tblSalaries[[#This Row],[Years of Experience]]&gt;5,tblSalaries[[#This Row],[Years of Experience]]&lt;=10),1,""))</f>
        <v/>
      </c>
      <c r="Q1116" t="str">
        <f>IF(tblSalaries[[#This Row],[Years of Experience]]="","",IF(AND(tblSalaries[[#This Row],[Years of Experience]]&gt;10,tblSalaries[[#This Row],[Years of Experience]]&lt;=15),1,""))</f>
        <v/>
      </c>
      <c r="R1116" t="str">
        <f>IF(tblSalaries[[#This Row],[Years of Experience]]="","",IF(AND(tblSalaries[[#This Row],[Years of Experience]]&gt;16,tblSalaries[[#This Row],[Years of Experience]]&lt;=20),1,""))</f>
        <v/>
      </c>
      <c r="S1116" t="str">
        <f>IF(tblSalaries[[#This Row],[Years of Experience]]="","",IF(tblSalaries[[#This Row],[Years of Experience]]&gt;20,1,""))</f>
        <v/>
      </c>
      <c r="T11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16" s="13" t="str">
        <f>IF(tblSalaries[[#This Row],[Job Type]]=tblSalaries[[#Headers],[Accountant]],tblSalaries[[#This Row],[Salary in USD]],"")</f>
        <v/>
      </c>
      <c r="V1116" s="13" t="str">
        <f>IF(tblSalaries[[#This Row],[Job Type]]=tblSalaries[[#Headers],[Analyst]],tblSalaries[[#This Row],[Salary in USD]],"")</f>
        <v/>
      </c>
      <c r="W1116" s="13" t="str">
        <f>IF(tblSalaries[[#This Row],[Job Type]]=tblSalaries[[#Headers],[Consultant]],tblSalaries[[#This Row],[Salary in USD]],"")</f>
        <v/>
      </c>
      <c r="X1116" s="13" t="str">
        <f>IF(tblSalaries[[#This Row],[Job Type]]=tblSalaries[[#Headers],[Controller]],tblSalaries[[#This Row],[Salary in USD]],"")</f>
        <v/>
      </c>
      <c r="Y1116" s="13" t="str">
        <f>IF(tblSalaries[[#This Row],[Job Type]]=tblSalaries[[#Headers],[CXO or Top Mgmt.]],tblSalaries[[#This Row],[clean Salary (in local currency)]],"")</f>
        <v/>
      </c>
      <c r="Z1116" s="13" t="str">
        <f>IF(tblSalaries[[#This Row],[Job Type]]=tblSalaries[[#Headers],[Engineer]],tblSalaries[[#This Row],[Salary in USD]],"")</f>
        <v/>
      </c>
      <c r="AA1116" s="13">
        <f>IF(tblSalaries[[#This Row],[Job Type]]=tblSalaries[[#Headers],[Manager]],tblSalaries[[#This Row],[Salary in USD]],"")</f>
        <v>90000</v>
      </c>
      <c r="AB1116" s="13" t="str">
        <f>IF(tblSalaries[[#This Row],[Job Type]]=tblSalaries[[#Headers],[Misc.]],tblSalaries[[#This Row],[Salary in USD]],"")</f>
        <v/>
      </c>
      <c r="AC1116" s="13" t="str">
        <f>IF(tblSalaries[[#This Row],[Job Type]]=tblSalaries[[#Headers],[Reporting]],tblSalaries[[#This Row],[Salary in USD]],"")</f>
        <v/>
      </c>
      <c r="AD1116" s="13" t="str">
        <f>IF(tblSalaries[[#This Row],[Job Type]]=tblSalaries[[#Headers],[Specialist]],tblSalaries[[#This Row],[Salary in USD]],"")</f>
        <v/>
      </c>
    </row>
    <row r="1117" spans="2:30" ht="15" customHeight="1" x14ac:dyDescent="0.25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 s="9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  <c r="N1117">
        <f>IF(tblSalaries[[#This Row],[Years of Experience]]="","",IF(tblSalaries[[#This Row],[Years of Experience]]&lt;=2,1,""))</f>
        <v>1</v>
      </c>
      <c r="O1117" t="str">
        <f>IF(tblSalaries[[#This Row],[Years of Experience]]="","",IF(AND(tblSalaries[[#This Row],[Years of Experience]]&gt;2,tblSalaries[[#This Row],[Years of Experience]]&lt;=5),1,""))</f>
        <v/>
      </c>
      <c r="P1117" t="str">
        <f>IF(tblSalaries[[#This Row],[Years of Experience]]="","",IF(AND(tblSalaries[[#This Row],[Years of Experience]]&gt;5,tblSalaries[[#This Row],[Years of Experience]]&lt;=10),1,""))</f>
        <v/>
      </c>
      <c r="Q1117" t="str">
        <f>IF(tblSalaries[[#This Row],[Years of Experience]]="","",IF(AND(tblSalaries[[#This Row],[Years of Experience]]&gt;10,tblSalaries[[#This Row],[Years of Experience]]&lt;=15),1,""))</f>
        <v/>
      </c>
      <c r="R1117" t="str">
        <f>IF(tblSalaries[[#This Row],[Years of Experience]]="","",IF(AND(tblSalaries[[#This Row],[Years of Experience]]&gt;16,tblSalaries[[#This Row],[Years of Experience]]&lt;=20),1,""))</f>
        <v/>
      </c>
      <c r="S1117" t="str">
        <f>IF(tblSalaries[[#This Row],[Years of Experience]]="","",IF(tblSalaries[[#This Row],[Years of Experience]]&gt;20,1,""))</f>
        <v/>
      </c>
      <c r="T11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17" s="13" t="str">
        <f>IF(tblSalaries[[#This Row],[Job Type]]=tblSalaries[[#Headers],[Accountant]],tblSalaries[[#This Row],[Salary in USD]],"")</f>
        <v/>
      </c>
      <c r="V1117" s="13" t="str">
        <f>IF(tblSalaries[[#This Row],[Job Type]]=tblSalaries[[#Headers],[Analyst]],tblSalaries[[#This Row],[Salary in USD]],"")</f>
        <v/>
      </c>
      <c r="W1117" s="13" t="str">
        <f>IF(tblSalaries[[#This Row],[Job Type]]=tblSalaries[[#Headers],[Consultant]],tblSalaries[[#This Row],[Salary in USD]],"")</f>
        <v/>
      </c>
      <c r="X1117" s="13" t="str">
        <f>IF(tblSalaries[[#This Row],[Job Type]]=tblSalaries[[#Headers],[Controller]],tblSalaries[[#This Row],[Salary in USD]],"")</f>
        <v/>
      </c>
      <c r="Y1117" s="13" t="str">
        <f>IF(tblSalaries[[#This Row],[Job Type]]=tblSalaries[[#Headers],[CXO or Top Mgmt.]],tblSalaries[[#This Row],[clean Salary (in local currency)]],"")</f>
        <v/>
      </c>
      <c r="Z1117" s="13">
        <f>IF(tblSalaries[[#This Row],[Job Type]]=tblSalaries[[#Headers],[Engineer]],tblSalaries[[#This Row],[Salary in USD]],"")</f>
        <v>7123.1666749770275</v>
      </c>
      <c r="AA1117" s="13" t="str">
        <f>IF(tblSalaries[[#This Row],[Job Type]]=tblSalaries[[#Headers],[Manager]],tblSalaries[[#This Row],[Salary in USD]],"")</f>
        <v/>
      </c>
      <c r="AB1117" s="13" t="str">
        <f>IF(tblSalaries[[#This Row],[Job Type]]=tblSalaries[[#Headers],[Misc.]],tblSalaries[[#This Row],[Salary in USD]],"")</f>
        <v/>
      </c>
      <c r="AC1117" s="13" t="str">
        <f>IF(tblSalaries[[#This Row],[Job Type]]=tblSalaries[[#Headers],[Reporting]],tblSalaries[[#This Row],[Salary in USD]],"")</f>
        <v/>
      </c>
      <c r="AD1117" s="13" t="str">
        <f>IF(tblSalaries[[#This Row],[Job Type]]=tblSalaries[[#Headers],[Specialist]],tblSalaries[[#This Row],[Salary in USD]],"")</f>
        <v/>
      </c>
    </row>
    <row r="1118" spans="2:30" ht="15" customHeight="1" x14ac:dyDescent="0.25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 s="9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  <c r="N1118" t="str">
        <f>IF(tblSalaries[[#This Row],[Years of Experience]]="","",IF(tblSalaries[[#This Row],[Years of Experience]]&lt;=2,1,""))</f>
        <v/>
      </c>
      <c r="O1118">
        <f>IF(tblSalaries[[#This Row],[Years of Experience]]="","",IF(AND(tblSalaries[[#This Row],[Years of Experience]]&gt;2,tblSalaries[[#This Row],[Years of Experience]]&lt;=5),1,""))</f>
        <v>1</v>
      </c>
      <c r="P1118" t="str">
        <f>IF(tblSalaries[[#This Row],[Years of Experience]]="","",IF(AND(tblSalaries[[#This Row],[Years of Experience]]&gt;5,tblSalaries[[#This Row],[Years of Experience]]&lt;=10),1,""))</f>
        <v/>
      </c>
      <c r="Q1118" t="str">
        <f>IF(tblSalaries[[#This Row],[Years of Experience]]="","",IF(AND(tblSalaries[[#This Row],[Years of Experience]]&gt;10,tblSalaries[[#This Row],[Years of Experience]]&lt;=15),1,""))</f>
        <v/>
      </c>
      <c r="R1118" t="str">
        <f>IF(tblSalaries[[#This Row],[Years of Experience]]="","",IF(AND(tblSalaries[[#This Row],[Years of Experience]]&gt;16,tblSalaries[[#This Row],[Years of Experience]]&lt;=20),1,""))</f>
        <v/>
      </c>
      <c r="S1118" t="str">
        <f>IF(tblSalaries[[#This Row],[Years of Experience]]="","",IF(tblSalaries[[#This Row],[Years of Experience]]&gt;20,1,""))</f>
        <v/>
      </c>
      <c r="T11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18" s="13" t="str">
        <f>IF(tblSalaries[[#This Row],[Job Type]]=tblSalaries[[#Headers],[Accountant]],tblSalaries[[#This Row],[Salary in USD]],"")</f>
        <v/>
      </c>
      <c r="V1118" s="13">
        <f>IF(tblSalaries[[#This Row],[Job Type]]=tblSalaries[[#Headers],[Analyst]],tblSalaries[[#This Row],[Salary in USD]],"")</f>
        <v>10000</v>
      </c>
      <c r="W1118" s="13" t="str">
        <f>IF(tblSalaries[[#This Row],[Job Type]]=tblSalaries[[#Headers],[Consultant]],tblSalaries[[#This Row],[Salary in USD]],"")</f>
        <v/>
      </c>
      <c r="X1118" s="13" t="str">
        <f>IF(tblSalaries[[#This Row],[Job Type]]=tblSalaries[[#Headers],[Controller]],tblSalaries[[#This Row],[Salary in USD]],"")</f>
        <v/>
      </c>
      <c r="Y1118" s="13" t="str">
        <f>IF(tblSalaries[[#This Row],[Job Type]]=tblSalaries[[#Headers],[CXO or Top Mgmt.]],tblSalaries[[#This Row],[clean Salary (in local currency)]],"")</f>
        <v/>
      </c>
      <c r="Z1118" s="13" t="str">
        <f>IF(tblSalaries[[#This Row],[Job Type]]=tblSalaries[[#Headers],[Engineer]],tblSalaries[[#This Row],[Salary in USD]],"")</f>
        <v/>
      </c>
      <c r="AA1118" s="13" t="str">
        <f>IF(tblSalaries[[#This Row],[Job Type]]=tblSalaries[[#Headers],[Manager]],tblSalaries[[#This Row],[Salary in USD]],"")</f>
        <v/>
      </c>
      <c r="AB1118" s="13" t="str">
        <f>IF(tblSalaries[[#This Row],[Job Type]]=tblSalaries[[#Headers],[Misc.]],tblSalaries[[#This Row],[Salary in USD]],"")</f>
        <v/>
      </c>
      <c r="AC1118" s="13" t="str">
        <f>IF(tblSalaries[[#This Row],[Job Type]]=tblSalaries[[#Headers],[Reporting]],tblSalaries[[#This Row],[Salary in USD]],"")</f>
        <v/>
      </c>
      <c r="AD1118" s="13" t="str">
        <f>IF(tblSalaries[[#This Row],[Job Type]]=tblSalaries[[#Headers],[Specialist]],tblSalaries[[#This Row],[Salary in USD]],"")</f>
        <v/>
      </c>
    </row>
    <row r="1119" spans="2:30" ht="15" customHeight="1" x14ac:dyDescent="0.25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 s="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  <c r="N1119" t="str">
        <f>IF(tblSalaries[[#This Row],[Years of Experience]]="","",IF(tblSalaries[[#This Row],[Years of Experience]]&lt;=2,1,""))</f>
        <v/>
      </c>
      <c r="O1119" t="str">
        <f>IF(tblSalaries[[#This Row],[Years of Experience]]="","",IF(AND(tblSalaries[[#This Row],[Years of Experience]]&gt;2,tblSalaries[[#This Row],[Years of Experience]]&lt;=5),1,""))</f>
        <v/>
      </c>
      <c r="P1119" t="str">
        <f>IF(tblSalaries[[#This Row],[Years of Experience]]="","",IF(AND(tblSalaries[[#This Row],[Years of Experience]]&gt;5,tblSalaries[[#This Row],[Years of Experience]]&lt;=10),1,""))</f>
        <v/>
      </c>
      <c r="Q1119">
        <f>IF(tblSalaries[[#This Row],[Years of Experience]]="","",IF(AND(tblSalaries[[#This Row],[Years of Experience]]&gt;10,tblSalaries[[#This Row],[Years of Experience]]&lt;=15),1,""))</f>
        <v>1</v>
      </c>
      <c r="R1119" t="str">
        <f>IF(tblSalaries[[#This Row],[Years of Experience]]="","",IF(AND(tblSalaries[[#This Row],[Years of Experience]]&gt;16,tblSalaries[[#This Row],[Years of Experience]]&lt;=20),1,""))</f>
        <v/>
      </c>
      <c r="S1119" t="str">
        <f>IF(tblSalaries[[#This Row],[Years of Experience]]="","",IF(tblSalaries[[#This Row],[Years of Experience]]&gt;20,1,""))</f>
        <v/>
      </c>
      <c r="T11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19" s="13" t="str">
        <f>IF(tblSalaries[[#This Row],[Job Type]]=tblSalaries[[#Headers],[Accountant]],tblSalaries[[#This Row],[Salary in USD]],"")</f>
        <v/>
      </c>
      <c r="V1119" s="13">
        <f>IF(tblSalaries[[#This Row],[Job Type]]=tblSalaries[[#Headers],[Analyst]],tblSalaries[[#This Row],[Salary in USD]],"")</f>
        <v>45709.169889951241</v>
      </c>
      <c r="W1119" s="13" t="str">
        <f>IF(tblSalaries[[#This Row],[Job Type]]=tblSalaries[[#Headers],[Consultant]],tblSalaries[[#This Row],[Salary in USD]],"")</f>
        <v/>
      </c>
      <c r="X1119" s="13" t="str">
        <f>IF(tblSalaries[[#This Row],[Job Type]]=tblSalaries[[#Headers],[Controller]],tblSalaries[[#This Row],[Salary in USD]],"")</f>
        <v/>
      </c>
      <c r="Y1119" s="13" t="str">
        <f>IF(tblSalaries[[#This Row],[Job Type]]=tblSalaries[[#Headers],[CXO or Top Mgmt.]],tblSalaries[[#This Row],[clean Salary (in local currency)]],"")</f>
        <v/>
      </c>
      <c r="Z1119" s="13" t="str">
        <f>IF(tblSalaries[[#This Row],[Job Type]]=tblSalaries[[#Headers],[Engineer]],tblSalaries[[#This Row],[Salary in USD]],"")</f>
        <v/>
      </c>
      <c r="AA1119" s="13" t="str">
        <f>IF(tblSalaries[[#This Row],[Job Type]]=tblSalaries[[#Headers],[Manager]],tblSalaries[[#This Row],[Salary in USD]],"")</f>
        <v/>
      </c>
      <c r="AB1119" s="13" t="str">
        <f>IF(tblSalaries[[#This Row],[Job Type]]=tblSalaries[[#Headers],[Misc.]],tblSalaries[[#This Row],[Salary in USD]],"")</f>
        <v/>
      </c>
      <c r="AC1119" s="13" t="str">
        <f>IF(tblSalaries[[#This Row],[Job Type]]=tblSalaries[[#Headers],[Reporting]],tblSalaries[[#This Row],[Salary in USD]],"")</f>
        <v/>
      </c>
      <c r="AD1119" s="13" t="str">
        <f>IF(tblSalaries[[#This Row],[Job Type]]=tblSalaries[[#Headers],[Specialist]],tblSalaries[[#This Row],[Salary in USD]],"")</f>
        <v/>
      </c>
    </row>
    <row r="1120" spans="2:30" ht="15" customHeight="1" x14ac:dyDescent="0.25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 s="9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3999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  <c r="N1120" t="str">
        <f>IF(tblSalaries[[#This Row],[Years of Experience]]="","",IF(tblSalaries[[#This Row],[Years of Experience]]&lt;=2,1,""))</f>
        <v/>
      </c>
      <c r="O1120">
        <f>IF(tblSalaries[[#This Row],[Years of Experience]]="","",IF(AND(tblSalaries[[#This Row],[Years of Experience]]&gt;2,tblSalaries[[#This Row],[Years of Experience]]&lt;=5),1,""))</f>
        <v>1</v>
      </c>
      <c r="P1120" t="str">
        <f>IF(tblSalaries[[#This Row],[Years of Experience]]="","",IF(AND(tblSalaries[[#This Row],[Years of Experience]]&gt;5,tblSalaries[[#This Row],[Years of Experience]]&lt;=10),1,""))</f>
        <v/>
      </c>
      <c r="Q1120" t="str">
        <f>IF(tblSalaries[[#This Row],[Years of Experience]]="","",IF(AND(tblSalaries[[#This Row],[Years of Experience]]&gt;10,tblSalaries[[#This Row],[Years of Experience]]&lt;=15),1,""))</f>
        <v/>
      </c>
      <c r="R1120" t="str">
        <f>IF(tblSalaries[[#This Row],[Years of Experience]]="","",IF(AND(tblSalaries[[#This Row],[Years of Experience]]&gt;16,tblSalaries[[#This Row],[Years of Experience]]&lt;=20),1,""))</f>
        <v/>
      </c>
      <c r="S1120" t="str">
        <f>IF(tblSalaries[[#This Row],[Years of Experience]]="","",IF(tblSalaries[[#This Row],[Years of Experience]]&gt;20,1,""))</f>
        <v/>
      </c>
      <c r="T11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20" s="13" t="str">
        <f>IF(tblSalaries[[#This Row],[Job Type]]=tblSalaries[[#Headers],[Accountant]],tblSalaries[[#This Row],[Salary in USD]],"")</f>
        <v/>
      </c>
      <c r="V1120" s="13" t="str">
        <f>IF(tblSalaries[[#This Row],[Job Type]]=tblSalaries[[#Headers],[Analyst]],tblSalaries[[#This Row],[Salary in USD]],"")</f>
        <v/>
      </c>
      <c r="W1120" s="13" t="str">
        <f>IF(tblSalaries[[#This Row],[Job Type]]=tblSalaries[[#Headers],[Consultant]],tblSalaries[[#This Row],[Salary in USD]],"")</f>
        <v/>
      </c>
      <c r="X1120" s="13" t="str">
        <f>IF(tblSalaries[[#This Row],[Job Type]]=tblSalaries[[#Headers],[Controller]],tblSalaries[[#This Row],[Salary in USD]],"")</f>
        <v/>
      </c>
      <c r="Y1120" s="13" t="str">
        <f>IF(tblSalaries[[#This Row],[Job Type]]=tblSalaries[[#Headers],[CXO or Top Mgmt.]],tblSalaries[[#This Row],[clean Salary (in local currency)]],"")</f>
        <v/>
      </c>
      <c r="Z1120" s="13" t="str">
        <f>IF(tblSalaries[[#This Row],[Job Type]]=tblSalaries[[#Headers],[Engineer]],tblSalaries[[#This Row],[Salary in USD]],"")</f>
        <v/>
      </c>
      <c r="AA1120" s="13" t="str">
        <f>IF(tblSalaries[[#This Row],[Job Type]]=tblSalaries[[#Headers],[Manager]],tblSalaries[[#This Row],[Salary in USD]],"")</f>
        <v/>
      </c>
      <c r="AB1120" s="13" t="str">
        <f>IF(tblSalaries[[#This Row],[Job Type]]=tblSalaries[[#Headers],[Misc.]],tblSalaries[[#This Row],[Salary in USD]],"")</f>
        <v/>
      </c>
      <c r="AC1120" s="13">
        <f>IF(tblSalaries[[#This Row],[Job Type]]=tblSalaries[[#Headers],[Reporting]],tblSalaries[[#This Row],[Salary in USD]],"")</f>
        <v>3561.5833374885137</v>
      </c>
      <c r="AD1120" s="13" t="str">
        <f>IF(tblSalaries[[#This Row],[Job Type]]=tblSalaries[[#Headers],[Specialist]],tblSalaries[[#This Row],[Salary in USD]],"")</f>
        <v/>
      </c>
    </row>
    <row r="1121" spans="2:30" ht="15" customHeight="1" x14ac:dyDescent="0.25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 s="9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  <c r="N1121" t="str">
        <f>IF(tblSalaries[[#This Row],[Years of Experience]]="","",IF(tblSalaries[[#This Row],[Years of Experience]]&lt;=2,1,""))</f>
        <v/>
      </c>
      <c r="O1121" t="str">
        <f>IF(tblSalaries[[#This Row],[Years of Experience]]="","",IF(AND(tblSalaries[[#This Row],[Years of Experience]]&gt;2,tblSalaries[[#This Row],[Years of Experience]]&lt;=5),1,""))</f>
        <v/>
      </c>
      <c r="P1121" t="str">
        <f>IF(tblSalaries[[#This Row],[Years of Experience]]="","",IF(AND(tblSalaries[[#This Row],[Years of Experience]]&gt;5,tblSalaries[[#This Row],[Years of Experience]]&lt;=10),1,""))</f>
        <v/>
      </c>
      <c r="Q1121">
        <f>IF(tblSalaries[[#This Row],[Years of Experience]]="","",IF(AND(tblSalaries[[#This Row],[Years of Experience]]&gt;10,tblSalaries[[#This Row],[Years of Experience]]&lt;=15),1,""))</f>
        <v>1</v>
      </c>
      <c r="R1121" t="str">
        <f>IF(tblSalaries[[#This Row],[Years of Experience]]="","",IF(AND(tblSalaries[[#This Row],[Years of Experience]]&gt;16,tblSalaries[[#This Row],[Years of Experience]]&lt;=20),1,""))</f>
        <v/>
      </c>
      <c r="S1121" t="str">
        <f>IF(tblSalaries[[#This Row],[Years of Experience]]="","",IF(tblSalaries[[#This Row],[Years of Experience]]&gt;20,1,""))</f>
        <v/>
      </c>
      <c r="T11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21" s="13" t="str">
        <f>IF(tblSalaries[[#This Row],[Job Type]]=tblSalaries[[#Headers],[Accountant]],tblSalaries[[#This Row],[Salary in USD]],"")</f>
        <v/>
      </c>
      <c r="V1121" s="13">
        <f>IF(tblSalaries[[#This Row],[Job Type]]=tblSalaries[[#Headers],[Analyst]],tblSalaries[[#This Row],[Salary in USD]],"")</f>
        <v>38111.983169748237</v>
      </c>
      <c r="W1121" s="13" t="str">
        <f>IF(tblSalaries[[#This Row],[Job Type]]=tblSalaries[[#Headers],[Consultant]],tblSalaries[[#This Row],[Salary in USD]],"")</f>
        <v/>
      </c>
      <c r="X1121" s="13" t="str">
        <f>IF(tblSalaries[[#This Row],[Job Type]]=tblSalaries[[#Headers],[Controller]],tblSalaries[[#This Row],[Salary in USD]],"")</f>
        <v/>
      </c>
      <c r="Y1121" s="13" t="str">
        <f>IF(tblSalaries[[#This Row],[Job Type]]=tblSalaries[[#Headers],[CXO or Top Mgmt.]],tblSalaries[[#This Row],[clean Salary (in local currency)]],"")</f>
        <v/>
      </c>
      <c r="Z1121" s="13" t="str">
        <f>IF(tblSalaries[[#This Row],[Job Type]]=tblSalaries[[#Headers],[Engineer]],tblSalaries[[#This Row],[Salary in USD]],"")</f>
        <v/>
      </c>
      <c r="AA1121" s="13" t="str">
        <f>IF(tblSalaries[[#This Row],[Job Type]]=tblSalaries[[#Headers],[Manager]],tblSalaries[[#This Row],[Salary in USD]],"")</f>
        <v/>
      </c>
      <c r="AB1121" s="13" t="str">
        <f>IF(tblSalaries[[#This Row],[Job Type]]=tblSalaries[[#Headers],[Misc.]],tblSalaries[[#This Row],[Salary in USD]],"")</f>
        <v/>
      </c>
      <c r="AC1121" s="13" t="str">
        <f>IF(tblSalaries[[#This Row],[Job Type]]=tblSalaries[[#Headers],[Reporting]],tblSalaries[[#This Row],[Salary in USD]],"")</f>
        <v/>
      </c>
      <c r="AD1121" s="13" t="str">
        <f>IF(tblSalaries[[#This Row],[Job Type]]=tblSalaries[[#Headers],[Specialist]],tblSalaries[[#This Row],[Salary in USD]],"")</f>
        <v/>
      </c>
    </row>
    <row r="1122" spans="2:30" ht="15" customHeight="1" x14ac:dyDescent="0.25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 s="9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  <c r="N1122" t="str">
        <f>IF(tblSalaries[[#This Row],[Years of Experience]]="","",IF(tblSalaries[[#This Row],[Years of Experience]]&lt;=2,1,""))</f>
        <v/>
      </c>
      <c r="O1122">
        <f>IF(tblSalaries[[#This Row],[Years of Experience]]="","",IF(AND(tblSalaries[[#This Row],[Years of Experience]]&gt;2,tblSalaries[[#This Row],[Years of Experience]]&lt;=5),1,""))</f>
        <v>1</v>
      </c>
      <c r="P1122" t="str">
        <f>IF(tblSalaries[[#This Row],[Years of Experience]]="","",IF(AND(tblSalaries[[#This Row],[Years of Experience]]&gt;5,tblSalaries[[#This Row],[Years of Experience]]&lt;=10),1,""))</f>
        <v/>
      </c>
      <c r="Q1122" t="str">
        <f>IF(tblSalaries[[#This Row],[Years of Experience]]="","",IF(AND(tblSalaries[[#This Row],[Years of Experience]]&gt;10,tblSalaries[[#This Row],[Years of Experience]]&lt;=15),1,""))</f>
        <v/>
      </c>
      <c r="R1122" t="str">
        <f>IF(tblSalaries[[#This Row],[Years of Experience]]="","",IF(AND(tblSalaries[[#This Row],[Years of Experience]]&gt;16,tblSalaries[[#This Row],[Years of Experience]]&lt;=20),1,""))</f>
        <v/>
      </c>
      <c r="S1122" t="str">
        <f>IF(tblSalaries[[#This Row],[Years of Experience]]="","",IF(tblSalaries[[#This Row],[Years of Experience]]&gt;20,1,""))</f>
        <v/>
      </c>
      <c r="T11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22" s="13" t="str">
        <f>IF(tblSalaries[[#This Row],[Job Type]]=tblSalaries[[#Headers],[Accountant]],tblSalaries[[#This Row],[Salary in USD]],"")</f>
        <v/>
      </c>
      <c r="V1122" s="13">
        <f>IF(tblSalaries[[#This Row],[Job Type]]=tblSalaries[[#Headers],[Analyst]],tblSalaries[[#This Row],[Salary in USD]],"")</f>
        <v>60000</v>
      </c>
      <c r="W1122" s="13" t="str">
        <f>IF(tblSalaries[[#This Row],[Job Type]]=tblSalaries[[#Headers],[Consultant]],tblSalaries[[#This Row],[Salary in USD]],"")</f>
        <v/>
      </c>
      <c r="X1122" s="13" t="str">
        <f>IF(tblSalaries[[#This Row],[Job Type]]=tblSalaries[[#Headers],[Controller]],tblSalaries[[#This Row],[Salary in USD]],"")</f>
        <v/>
      </c>
      <c r="Y1122" s="13" t="str">
        <f>IF(tblSalaries[[#This Row],[Job Type]]=tblSalaries[[#Headers],[CXO or Top Mgmt.]],tblSalaries[[#This Row],[clean Salary (in local currency)]],"")</f>
        <v/>
      </c>
      <c r="Z1122" s="13" t="str">
        <f>IF(tblSalaries[[#This Row],[Job Type]]=tblSalaries[[#Headers],[Engineer]],tblSalaries[[#This Row],[Salary in USD]],"")</f>
        <v/>
      </c>
      <c r="AA1122" s="13" t="str">
        <f>IF(tblSalaries[[#This Row],[Job Type]]=tblSalaries[[#Headers],[Manager]],tblSalaries[[#This Row],[Salary in USD]],"")</f>
        <v/>
      </c>
      <c r="AB1122" s="13" t="str">
        <f>IF(tblSalaries[[#This Row],[Job Type]]=tblSalaries[[#Headers],[Misc.]],tblSalaries[[#This Row],[Salary in USD]],"")</f>
        <v/>
      </c>
      <c r="AC1122" s="13" t="str">
        <f>IF(tblSalaries[[#This Row],[Job Type]]=tblSalaries[[#Headers],[Reporting]],tblSalaries[[#This Row],[Salary in USD]],"")</f>
        <v/>
      </c>
      <c r="AD1122" s="13" t="str">
        <f>IF(tblSalaries[[#This Row],[Job Type]]=tblSalaries[[#Headers],[Specialist]],tblSalaries[[#This Row],[Salary in USD]],"")</f>
        <v/>
      </c>
    </row>
    <row r="1123" spans="2:30" ht="15" customHeight="1" x14ac:dyDescent="0.25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 s="9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  <c r="N1123">
        <f>IF(tblSalaries[[#This Row],[Years of Experience]]="","",IF(tblSalaries[[#This Row],[Years of Experience]]&lt;=2,1,""))</f>
        <v>1</v>
      </c>
      <c r="O1123" t="str">
        <f>IF(tblSalaries[[#This Row],[Years of Experience]]="","",IF(AND(tblSalaries[[#This Row],[Years of Experience]]&gt;2,tblSalaries[[#This Row],[Years of Experience]]&lt;=5),1,""))</f>
        <v/>
      </c>
      <c r="P1123" t="str">
        <f>IF(tblSalaries[[#This Row],[Years of Experience]]="","",IF(AND(tblSalaries[[#This Row],[Years of Experience]]&gt;5,tblSalaries[[#This Row],[Years of Experience]]&lt;=10),1,""))</f>
        <v/>
      </c>
      <c r="Q1123" t="str">
        <f>IF(tblSalaries[[#This Row],[Years of Experience]]="","",IF(AND(tblSalaries[[#This Row],[Years of Experience]]&gt;10,tblSalaries[[#This Row],[Years of Experience]]&lt;=15),1,""))</f>
        <v/>
      </c>
      <c r="R1123" t="str">
        <f>IF(tblSalaries[[#This Row],[Years of Experience]]="","",IF(AND(tblSalaries[[#This Row],[Years of Experience]]&gt;16,tblSalaries[[#This Row],[Years of Experience]]&lt;=20),1,""))</f>
        <v/>
      </c>
      <c r="S1123" t="str">
        <f>IF(tblSalaries[[#This Row],[Years of Experience]]="","",IF(tblSalaries[[#This Row],[Years of Experience]]&gt;20,1,""))</f>
        <v/>
      </c>
      <c r="T11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23" s="13" t="str">
        <f>IF(tblSalaries[[#This Row],[Job Type]]=tblSalaries[[#Headers],[Accountant]],tblSalaries[[#This Row],[Salary in USD]],"")</f>
        <v/>
      </c>
      <c r="V1123" s="13" t="str">
        <f>IF(tblSalaries[[#This Row],[Job Type]]=tblSalaries[[#Headers],[Analyst]],tblSalaries[[#This Row],[Salary in USD]],"")</f>
        <v/>
      </c>
      <c r="W1123" s="13" t="str">
        <f>IF(tblSalaries[[#This Row],[Job Type]]=tblSalaries[[#Headers],[Consultant]],tblSalaries[[#This Row],[Salary in USD]],"")</f>
        <v/>
      </c>
      <c r="X1123" s="13" t="str">
        <f>IF(tblSalaries[[#This Row],[Job Type]]=tblSalaries[[#Headers],[Controller]],tblSalaries[[#This Row],[Salary in USD]],"")</f>
        <v/>
      </c>
      <c r="Y1123" s="13" t="str">
        <f>IF(tblSalaries[[#This Row],[Job Type]]=tblSalaries[[#Headers],[CXO or Top Mgmt.]],tblSalaries[[#This Row],[clean Salary (in local currency)]],"")</f>
        <v/>
      </c>
      <c r="Z1123" s="13">
        <f>IF(tblSalaries[[#This Row],[Job Type]]=tblSalaries[[#Headers],[Engineer]],tblSalaries[[#This Row],[Salary in USD]],"")</f>
        <v>40000</v>
      </c>
      <c r="AA1123" s="13" t="str">
        <f>IF(tblSalaries[[#This Row],[Job Type]]=tblSalaries[[#Headers],[Manager]],tblSalaries[[#This Row],[Salary in USD]],"")</f>
        <v/>
      </c>
      <c r="AB1123" s="13" t="str">
        <f>IF(tblSalaries[[#This Row],[Job Type]]=tblSalaries[[#Headers],[Misc.]],tblSalaries[[#This Row],[Salary in USD]],"")</f>
        <v/>
      </c>
      <c r="AC1123" s="13" t="str">
        <f>IF(tblSalaries[[#This Row],[Job Type]]=tblSalaries[[#Headers],[Reporting]],tblSalaries[[#This Row],[Salary in USD]],"")</f>
        <v/>
      </c>
      <c r="AD1123" s="13" t="str">
        <f>IF(tblSalaries[[#This Row],[Job Type]]=tblSalaries[[#Headers],[Specialist]],tblSalaries[[#This Row],[Salary in USD]],"")</f>
        <v/>
      </c>
    </row>
    <row r="1124" spans="2:30" ht="15" customHeight="1" x14ac:dyDescent="0.25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 s="9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  <c r="N1124" t="str">
        <f>IF(tblSalaries[[#This Row],[Years of Experience]]="","",IF(tblSalaries[[#This Row],[Years of Experience]]&lt;=2,1,""))</f>
        <v/>
      </c>
      <c r="O1124" t="str">
        <f>IF(tblSalaries[[#This Row],[Years of Experience]]="","",IF(AND(tblSalaries[[#This Row],[Years of Experience]]&gt;2,tblSalaries[[#This Row],[Years of Experience]]&lt;=5),1,""))</f>
        <v/>
      </c>
      <c r="P1124">
        <f>IF(tblSalaries[[#This Row],[Years of Experience]]="","",IF(AND(tblSalaries[[#This Row],[Years of Experience]]&gt;5,tblSalaries[[#This Row],[Years of Experience]]&lt;=10),1,""))</f>
        <v>1</v>
      </c>
      <c r="Q1124" t="str">
        <f>IF(tblSalaries[[#This Row],[Years of Experience]]="","",IF(AND(tblSalaries[[#This Row],[Years of Experience]]&gt;10,tblSalaries[[#This Row],[Years of Experience]]&lt;=15),1,""))</f>
        <v/>
      </c>
      <c r="R1124" t="str">
        <f>IF(tblSalaries[[#This Row],[Years of Experience]]="","",IF(AND(tblSalaries[[#This Row],[Years of Experience]]&gt;16,tblSalaries[[#This Row],[Years of Experience]]&lt;=20),1,""))</f>
        <v/>
      </c>
      <c r="S1124" t="str">
        <f>IF(tblSalaries[[#This Row],[Years of Experience]]="","",IF(tblSalaries[[#This Row],[Years of Experience]]&gt;20,1,""))</f>
        <v/>
      </c>
      <c r="T11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24" s="13" t="str">
        <f>IF(tblSalaries[[#This Row],[Job Type]]=tblSalaries[[#Headers],[Accountant]],tblSalaries[[#This Row],[Salary in USD]],"")</f>
        <v/>
      </c>
      <c r="V1124" s="13">
        <f>IF(tblSalaries[[#This Row],[Job Type]]=tblSalaries[[#Headers],[Analyst]],tblSalaries[[#This Row],[Salary in USD]],"")</f>
        <v>15190.15293438851</v>
      </c>
      <c r="W1124" s="13" t="str">
        <f>IF(tblSalaries[[#This Row],[Job Type]]=tblSalaries[[#Headers],[Consultant]],tblSalaries[[#This Row],[Salary in USD]],"")</f>
        <v/>
      </c>
      <c r="X1124" s="13" t="str">
        <f>IF(tblSalaries[[#This Row],[Job Type]]=tblSalaries[[#Headers],[Controller]],tblSalaries[[#This Row],[Salary in USD]],"")</f>
        <v/>
      </c>
      <c r="Y1124" s="13" t="str">
        <f>IF(tblSalaries[[#This Row],[Job Type]]=tblSalaries[[#Headers],[CXO or Top Mgmt.]],tblSalaries[[#This Row],[clean Salary (in local currency)]],"")</f>
        <v/>
      </c>
      <c r="Z1124" s="13" t="str">
        <f>IF(tblSalaries[[#This Row],[Job Type]]=tblSalaries[[#Headers],[Engineer]],tblSalaries[[#This Row],[Salary in USD]],"")</f>
        <v/>
      </c>
      <c r="AA1124" s="13" t="str">
        <f>IF(tblSalaries[[#This Row],[Job Type]]=tblSalaries[[#Headers],[Manager]],tblSalaries[[#This Row],[Salary in USD]],"")</f>
        <v/>
      </c>
      <c r="AB1124" s="13" t="str">
        <f>IF(tblSalaries[[#This Row],[Job Type]]=tblSalaries[[#Headers],[Misc.]],tblSalaries[[#This Row],[Salary in USD]],"")</f>
        <v/>
      </c>
      <c r="AC1124" s="13" t="str">
        <f>IF(tblSalaries[[#This Row],[Job Type]]=tblSalaries[[#Headers],[Reporting]],tblSalaries[[#This Row],[Salary in USD]],"")</f>
        <v/>
      </c>
      <c r="AD1124" s="13" t="str">
        <f>IF(tblSalaries[[#This Row],[Job Type]]=tblSalaries[[#Headers],[Specialist]],tblSalaries[[#This Row],[Salary in USD]],"")</f>
        <v/>
      </c>
    </row>
    <row r="1125" spans="2:30" ht="15" customHeight="1" x14ac:dyDescent="0.25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 s="9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  <c r="N1125" t="str">
        <f>IF(tblSalaries[[#This Row],[Years of Experience]]="","",IF(tblSalaries[[#This Row],[Years of Experience]]&lt;=2,1,""))</f>
        <v/>
      </c>
      <c r="O1125" t="str">
        <f>IF(tblSalaries[[#This Row],[Years of Experience]]="","",IF(AND(tblSalaries[[#This Row],[Years of Experience]]&gt;2,tblSalaries[[#This Row],[Years of Experience]]&lt;=5),1,""))</f>
        <v/>
      </c>
      <c r="P1125" t="str">
        <f>IF(tblSalaries[[#This Row],[Years of Experience]]="","",IF(AND(tblSalaries[[#This Row],[Years of Experience]]&gt;5,tblSalaries[[#This Row],[Years of Experience]]&lt;=10),1,""))</f>
        <v/>
      </c>
      <c r="Q1125" t="str">
        <f>IF(tblSalaries[[#This Row],[Years of Experience]]="","",IF(AND(tblSalaries[[#This Row],[Years of Experience]]&gt;10,tblSalaries[[#This Row],[Years of Experience]]&lt;=15),1,""))</f>
        <v/>
      </c>
      <c r="R1125">
        <f>IF(tblSalaries[[#This Row],[Years of Experience]]="","",IF(AND(tblSalaries[[#This Row],[Years of Experience]]&gt;16,tblSalaries[[#This Row],[Years of Experience]]&lt;=20),1,""))</f>
        <v>1</v>
      </c>
      <c r="S1125" t="str">
        <f>IF(tblSalaries[[#This Row],[Years of Experience]]="","",IF(tblSalaries[[#This Row],[Years of Experience]]&gt;20,1,""))</f>
        <v/>
      </c>
      <c r="T11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25" s="13" t="str">
        <f>IF(tblSalaries[[#This Row],[Job Type]]=tblSalaries[[#Headers],[Accountant]],tblSalaries[[#This Row],[Salary in USD]],"")</f>
        <v/>
      </c>
      <c r="V1125" s="13" t="str">
        <f>IF(tblSalaries[[#This Row],[Job Type]]=tblSalaries[[#Headers],[Analyst]],tblSalaries[[#This Row],[Salary in USD]],"")</f>
        <v/>
      </c>
      <c r="W1125" s="13" t="str">
        <f>IF(tblSalaries[[#This Row],[Job Type]]=tblSalaries[[#Headers],[Consultant]],tblSalaries[[#This Row],[Salary in USD]],"")</f>
        <v/>
      </c>
      <c r="X1125" s="13" t="str">
        <f>IF(tblSalaries[[#This Row],[Job Type]]=tblSalaries[[#Headers],[Controller]],tblSalaries[[#This Row],[Salary in USD]],"")</f>
        <v/>
      </c>
      <c r="Y1125" s="13" t="str">
        <f>IF(tblSalaries[[#This Row],[Job Type]]=tblSalaries[[#Headers],[CXO or Top Mgmt.]],tblSalaries[[#This Row],[clean Salary (in local currency)]],"")</f>
        <v/>
      </c>
      <c r="Z1125" s="13" t="str">
        <f>IF(tblSalaries[[#This Row],[Job Type]]=tblSalaries[[#Headers],[Engineer]],tblSalaries[[#This Row],[Salary in USD]],"")</f>
        <v/>
      </c>
      <c r="AA1125" s="13">
        <f>IF(tblSalaries[[#This Row],[Job Type]]=tblSalaries[[#Headers],[Manager]],tblSalaries[[#This Row],[Salary in USD]],"")</f>
        <v>114335.9495092447</v>
      </c>
      <c r="AB1125" s="13" t="str">
        <f>IF(tblSalaries[[#This Row],[Job Type]]=tblSalaries[[#Headers],[Misc.]],tblSalaries[[#This Row],[Salary in USD]],"")</f>
        <v/>
      </c>
      <c r="AC1125" s="13" t="str">
        <f>IF(tblSalaries[[#This Row],[Job Type]]=tblSalaries[[#Headers],[Reporting]],tblSalaries[[#This Row],[Salary in USD]],"")</f>
        <v/>
      </c>
      <c r="AD1125" s="13" t="str">
        <f>IF(tblSalaries[[#This Row],[Job Type]]=tblSalaries[[#Headers],[Specialist]],tblSalaries[[#This Row],[Salary in USD]],"")</f>
        <v/>
      </c>
    </row>
    <row r="1126" spans="2:30" ht="15" customHeight="1" x14ac:dyDescent="0.25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 s="9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  <c r="N1126" t="str">
        <f>IF(tblSalaries[[#This Row],[Years of Experience]]="","",IF(tblSalaries[[#This Row],[Years of Experience]]&lt;=2,1,""))</f>
        <v/>
      </c>
      <c r="O1126" t="str">
        <f>IF(tblSalaries[[#This Row],[Years of Experience]]="","",IF(AND(tblSalaries[[#This Row],[Years of Experience]]&gt;2,tblSalaries[[#This Row],[Years of Experience]]&lt;=5),1,""))</f>
        <v/>
      </c>
      <c r="P1126">
        <f>IF(tblSalaries[[#This Row],[Years of Experience]]="","",IF(AND(tblSalaries[[#This Row],[Years of Experience]]&gt;5,tblSalaries[[#This Row],[Years of Experience]]&lt;=10),1,""))</f>
        <v>1</v>
      </c>
      <c r="Q1126" t="str">
        <f>IF(tblSalaries[[#This Row],[Years of Experience]]="","",IF(AND(tblSalaries[[#This Row],[Years of Experience]]&gt;10,tblSalaries[[#This Row],[Years of Experience]]&lt;=15),1,""))</f>
        <v/>
      </c>
      <c r="R1126" t="str">
        <f>IF(tblSalaries[[#This Row],[Years of Experience]]="","",IF(AND(tblSalaries[[#This Row],[Years of Experience]]&gt;16,tblSalaries[[#This Row],[Years of Experience]]&lt;=20),1,""))</f>
        <v/>
      </c>
      <c r="S1126" t="str">
        <f>IF(tblSalaries[[#This Row],[Years of Experience]]="","",IF(tblSalaries[[#This Row],[Years of Experience]]&gt;20,1,""))</f>
        <v/>
      </c>
      <c r="T11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26" s="13" t="str">
        <f>IF(tblSalaries[[#This Row],[Job Type]]=tblSalaries[[#Headers],[Accountant]],tblSalaries[[#This Row],[Salary in USD]],"")</f>
        <v/>
      </c>
      <c r="V1126" s="13" t="str">
        <f>IF(tblSalaries[[#This Row],[Job Type]]=tblSalaries[[#Headers],[Analyst]],tblSalaries[[#This Row],[Salary in USD]],"")</f>
        <v/>
      </c>
      <c r="W1126" s="13" t="str">
        <f>IF(tblSalaries[[#This Row],[Job Type]]=tblSalaries[[#Headers],[Consultant]],tblSalaries[[#This Row],[Salary in USD]],"")</f>
        <v/>
      </c>
      <c r="X1126" s="13" t="str">
        <f>IF(tblSalaries[[#This Row],[Job Type]]=tblSalaries[[#Headers],[Controller]],tblSalaries[[#This Row],[Salary in USD]],"")</f>
        <v/>
      </c>
      <c r="Y1126" s="13" t="str">
        <f>IF(tblSalaries[[#This Row],[Job Type]]=tblSalaries[[#Headers],[CXO or Top Mgmt.]],tblSalaries[[#This Row],[clean Salary (in local currency)]],"")</f>
        <v/>
      </c>
      <c r="Z1126" s="13" t="str">
        <f>IF(tblSalaries[[#This Row],[Job Type]]=tblSalaries[[#Headers],[Engineer]],tblSalaries[[#This Row],[Salary in USD]],"")</f>
        <v/>
      </c>
      <c r="AA1126" s="13">
        <f>IF(tblSalaries[[#This Row],[Job Type]]=tblSalaries[[#Headers],[Manager]],tblSalaries[[#This Row],[Salary in USD]],"")</f>
        <v>36252.100257547536</v>
      </c>
      <c r="AB1126" s="13" t="str">
        <f>IF(tblSalaries[[#This Row],[Job Type]]=tblSalaries[[#Headers],[Misc.]],tblSalaries[[#This Row],[Salary in USD]],"")</f>
        <v/>
      </c>
      <c r="AC1126" s="13" t="str">
        <f>IF(tblSalaries[[#This Row],[Job Type]]=tblSalaries[[#Headers],[Reporting]],tblSalaries[[#This Row],[Salary in USD]],"")</f>
        <v/>
      </c>
      <c r="AD1126" s="13" t="str">
        <f>IF(tblSalaries[[#This Row],[Job Type]]=tblSalaries[[#Headers],[Specialist]],tblSalaries[[#This Row],[Salary in USD]],"")</f>
        <v/>
      </c>
    </row>
    <row r="1127" spans="2:30" ht="15" customHeight="1" x14ac:dyDescent="0.25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 s="9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  <c r="N1127" t="str">
        <f>IF(tblSalaries[[#This Row],[Years of Experience]]="","",IF(tblSalaries[[#This Row],[Years of Experience]]&lt;=2,1,""))</f>
        <v/>
      </c>
      <c r="O1127">
        <f>IF(tblSalaries[[#This Row],[Years of Experience]]="","",IF(AND(tblSalaries[[#This Row],[Years of Experience]]&gt;2,tblSalaries[[#This Row],[Years of Experience]]&lt;=5),1,""))</f>
        <v>1</v>
      </c>
      <c r="P1127" t="str">
        <f>IF(tblSalaries[[#This Row],[Years of Experience]]="","",IF(AND(tblSalaries[[#This Row],[Years of Experience]]&gt;5,tblSalaries[[#This Row],[Years of Experience]]&lt;=10),1,""))</f>
        <v/>
      </c>
      <c r="Q1127" t="str">
        <f>IF(tblSalaries[[#This Row],[Years of Experience]]="","",IF(AND(tblSalaries[[#This Row],[Years of Experience]]&gt;10,tblSalaries[[#This Row],[Years of Experience]]&lt;=15),1,""))</f>
        <v/>
      </c>
      <c r="R1127" t="str">
        <f>IF(tblSalaries[[#This Row],[Years of Experience]]="","",IF(AND(tblSalaries[[#This Row],[Years of Experience]]&gt;16,tblSalaries[[#This Row],[Years of Experience]]&lt;=20),1,""))</f>
        <v/>
      </c>
      <c r="S1127" t="str">
        <f>IF(tblSalaries[[#This Row],[Years of Experience]]="","",IF(tblSalaries[[#This Row],[Years of Experience]]&gt;20,1,""))</f>
        <v/>
      </c>
      <c r="T11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27" s="13">
        <f>IF(tblSalaries[[#This Row],[Job Type]]=tblSalaries[[#Headers],[Accountant]],tblSalaries[[#This Row],[Salary in USD]],"")</f>
        <v>47285.348162018527</v>
      </c>
      <c r="V1127" s="13" t="str">
        <f>IF(tblSalaries[[#This Row],[Job Type]]=tblSalaries[[#Headers],[Analyst]],tblSalaries[[#This Row],[Salary in USD]],"")</f>
        <v/>
      </c>
      <c r="W1127" s="13" t="str">
        <f>IF(tblSalaries[[#This Row],[Job Type]]=tblSalaries[[#Headers],[Consultant]],tblSalaries[[#This Row],[Salary in USD]],"")</f>
        <v/>
      </c>
      <c r="X1127" s="13" t="str">
        <f>IF(tblSalaries[[#This Row],[Job Type]]=tblSalaries[[#Headers],[Controller]],tblSalaries[[#This Row],[Salary in USD]],"")</f>
        <v/>
      </c>
      <c r="Y1127" s="13" t="str">
        <f>IF(tblSalaries[[#This Row],[Job Type]]=tblSalaries[[#Headers],[CXO or Top Mgmt.]],tblSalaries[[#This Row],[clean Salary (in local currency)]],"")</f>
        <v/>
      </c>
      <c r="Z1127" s="13" t="str">
        <f>IF(tblSalaries[[#This Row],[Job Type]]=tblSalaries[[#Headers],[Engineer]],tblSalaries[[#This Row],[Salary in USD]],"")</f>
        <v/>
      </c>
      <c r="AA1127" s="13" t="str">
        <f>IF(tblSalaries[[#This Row],[Job Type]]=tblSalaries[[#Headers],[Manager]],tblSalaries[[#This Row],[Salary in USD]],"")</f>
        <v/>
      </c>
      <c r="AB1127" s="13" t="str">
        <f>IF(tblSalaries[[#This Row],[Job Type]]=tblSalaries[[#Headers],[Misc.]],tblSalaries[[#This Row],[Salary in USD]],"")</f>
        <v/>
      </c>
      <c r="AC1127" s="13" t="str">
        <f>IF(tblSalaries[[#This Row],[Job Type]]=tblSalaries[[#Headers],[Reporting]],tblSalaries[[#This Row],[Salary in USD]],"")</f>
        <v/>
      </c>
      <c r="AD1127" s="13" t="str">
        <f>IF(tblSalaries[[#This Row],[Job Type]]=tblSalaries[[#Headers],[Specialist]],tblSalaries[[#This Row],[Salary in USD]],"")</f>
        <v/>
      </c>
    </row>
    <row r="1128" spans="2:30" ht="15" customHeight="1" x14ac:dyDescent="0.25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 s="9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  <c r="N1128" t="str">
        <f>IF(tblSalaries[[#This Row],[Years of Experience]]="","",IF(tblSalaries[[#This Row],[Years of Experience]]&lt;=2,1,""))</f>
        <v/>
      </c>
      <c r="O1128" t="str">
        <f>IF(tblSalaries[[#This Row],[Years of Experience]]="","",IF(AND(tblSalaries[[#This Row],[Years of Experience]]&gt;2,tblSalaries[[#This Row],[Years of Experience]]&lt;=5),1,""))</f>
        <v/>
      </c>
      <c r="P1128" t="str">
        <f>IF(tblSalaries[[#This Row],[Years of Experience]]="","",IF(AND(tblSalaries[[#This Row],[Years of Experience]]&gt;5,tblSalaries[[#This Row],[Years of Experience]]&lt;=10),1,""))</f>
        <v/>
      </c>
      <c r="Q1128" t="str">
        <f>IF(tblSalaries[[#This Row],[Years of Experience]]="","",IF(AND(tblSalaries[[#This Row],[Years of Experience]]&gt;10,tblSalaries[[#This Row],[Years of Experience]]&lt;=15),1,""))</f>
        <v/>
      </c>
      <c r="R1128">
        <f>IF(tblSalaries[[#This Row],[Years of Experience]]="","",IF(AND(tblSalaries[[#This Row],[Years of Experience]]&gt;16,tblSalaries[[#This Row],[Years of Experience]]&lt;=20),1,""))</f>
        <v>1</v>
      </c>
      <c r="S1128" t="str">
        <f>IF(tblSalaries[[#This Row],[Years of Experience]]="","",IF(tblSalaries[[#This Row],[Years of Experience]]&gt;20,1,""))</f>
        <v/>
      </c>
      <c r="T11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28" s="13" t="str">
        <f>IF(tblSalaries[[#This Row],[Job Type]]=tblSalaries[[#Headers],[Accountant]],tblSalaries[[#This Row],[Salary in USD]],"")</f>
        <v/>
      </c>
      <c r="V1128" s="13" t="str">
        <f>IF(tblSalaries[[#This Row],[Job Type]]=tblSalaries[[#Headers],[Analyst]],tblSalaries[[#This Row],[Salary in USD]],"")</f>
        <v/>
      </c>
      <c r="W1128" s="13">
        <f>IF(tblSalaries[[#This Row],[Job Type]]=tblSalaries[[#Headers],[Consultant]],tblSalaries[[#This Row],[Salary in USD]],"")</f>
        <v>88927.960729412545</v>
      </c>
      <c r="X1128" s="13" t="str">
        <f>IF(tblSalaries[[#This Row],[Job Type]]=tblSalaries[[#Headers],[Controller]],tblSalaries[[#This Row],[Salary in USD]],"")</f>
        <v/>
      </c>
      <c r="Y1128" s="13" t="str">
        <f>IF(tblSalaries[[#This Row],[Job Type]]=tblSalaries[[#Headers],[CXO or Top Mgmt.]],tblSalaries[[#This Row],[clean Salary (in local currency)]],"")</f>
        <v/>
      </c>
      <c r="Z1128" s="13" t="str">
        <f>IF(tblSalaries[[#This Row],[Job Type]]=tblSalaries[[#Headers],[Engineer]],tblSalaries[[#This Row],[Salary in USD]],"")</f>
        <v/>
      </c>
      <c r="AA1128" s="13" t="str">
        <f>IF(tblSalaries[[#This Row],[Job Type]]=tblSalaries[[#Headers],[Manager]],tblSalaries[[#This Row],[Salary in USD]],"")</f>
        <v/>
      </c>
      <c r="AB1128" s="13" t="str">
        <f>IF(tblSalaries[[#This Row],[Job Type]]=tblSalaries[[#Headers],[Misc.]],tblSalaries[[#This Row],[Salary in USD]],"")</f>
        <v/>
      </c>
      <c r="AC1128" s="13" t="str">
        <f>IF(tblSalaries[[#This Row],[Job Type]]=tblSalaries[[#Headers],[Reporting]],tblSalaries[[#This Row],[Salary in USD]],"")</f>
        <v/>
      </c>
      <c r="AD1128" s="13" t="str">
        <f>IF(tblSalaries[[#This Row],[Job Type]]=tblSalaries[[#Headers],[Specialist]],tblSalaries[[#This Row],[Salary in USD]],"")</f>
        <v/>
      </c>
    </row>
    <row r="1129" spans="2:30" ht="15" customHeight="1" x14ac:dyDescent="0.25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 s="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  <c r="N1129" t="str">
        <f>IF(tblSalaries[[#This Row],[Years of Experience]]="","",IF(tblSalaries[[#This Row],[Years of Experience]]&lt;=2,1,""))</f>
        <v/>
      </c>
      <c r="O1129">
        <f>IF(tblSalaries[[#This Row],[Years of Experience]]="","",IF(AND(tblSalaries[[#This Row],[Years of Experience]]&gt;2,tblSalaries[[#This Row],[Years of Experience]]&lt;=5),1,""))</f>
        <v>1</v>
      </c>
      <c r="P1129" t="str">
        <f>IF(tblSalaries[[#This Row],[Years of Experience]]="","",IF(AND(tblSalaries[[#This Row],[Years of Experience]]&gt;5,tblSalaries[[#This Row],[Years of Experience]]&lt;=10),1,""))</f>
        <v/>
      </c>
      <c r="Q1129" t="str">
        <f>IF(tblSalaries[[#This Row],[Years of Experience]]="","",IF(AND(tblSalaries[[#This Row],[Years of Experience]]&gt;10,tblSalaries[[#This Row],[Years of Experience]]&lt;=15),1,""))</f>
        <v/>
      </c>
      <c r="R1129" t="str">
        <f>IF(tblSalaries[[#This Row],[Years of Experience]]="","",IF(AND(tblSalaries[[#This Row],[Years of Experience]]&gt;16,tblSalaries[[#This Row],[Years of Experience]]&lt;=20),1,""))</f>
        <v/>
      </c>
      <c r="S1129" t="str">
        <f>IF(tblSalaries[[#This Row],[Years of Experience]]="","",IF(tblSalaries[[#This Row],[Years of Experience]]&gt;20,1,""))</f>
        <v/>
      </c>
      <c r="T11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29" s="13">
        <f>IF(tblSalaries[[#This Row],[Job Type]]=tblSalaries[[#Headers],[Accountant]],tblSalaries[[#This Row],[Salary in USD]],"")</f>
        <v>6000</v>
      </c>
      <c r="V1129" s="13" t="str">
        <f>IF(tblSalaries[[#This Row],[Job Type]]=tblSalaries[[#Headers],[Analyst]],tblSalaries[[#This Row],[Salary in USD]],"")</f>
        <v/>
      </c>
      <c r="W1129" s="13" t="str">
        <f>IF(tblSalaries[[#This Row],[Job Type]]=tblSalaries[[#Headers],[Consultant]],tblSalaries[[#This Row],[Salary in USD]],"")</f>
        <v/>
      </c>
      <c r="X1129" s="13" t="str">
        <f>IF(tblSalaries[[#This Row],[Job Type]]=tblSalaries[[#Headers],[Controller]],tblSalaries[[#This Row],[Salary in USD]],"")</f>
        <v/>
      </c>
      <c r="Y1129" s="13" t="str">
        <f>IF(tblSalaries[[#This Row],[Job Type]]=tblSalaries[[#Headers],[CXO or Top Mgmt.]],tblSalaries[[#This Row],[clean Salary (in local currency)]],"")</f>
        <v/>
      </c>
      <c r="Z1129" s="13" t="str">
        <f>IF(tblSalaries[[#This Row],[Job Type]]=tblSalaries[[#Headers],[Engineer]],tblSalaries[[#This Row],[Salary in USD]],"")</f>
        <v/>
      </c>
      <c r="AA1129" s="13" t="str">
        <f>IF(tblSalaries[[#This Row],[Job Type]]=tblSalaries[[#Headers],[Manager]],tblSalaries[[#This Row],[Salary in USD]],"")</f>
        <v/>
      </c>
      <c r="AB1129" s="13" t="str">
        <f>IF(tblSalaries[[#This Row],[Job Type]]=tblSalaries[[#Headers],[Misc.]],tblSalaries[[#This Row],[Salary in USD]],"")</f>
        <v/>
      </c>
      <c r="AC1129" s="13" t="str">
        <f>IF(tblSalaries[[#This Row],[Job Type]]=tblSalaries[[#Headers],[Reporting]],tblSalaries[[#This Row],[Salary in USD]],"")</f>
        <v/>
      </c>
      <c r="AD1129" s="13" t="str">
        <f>IF(tblSalaries[[#This Row],[Job Type]]=tblSalaries[[#Headers],[Specialist]],tblSalaries[[#This Row],[Salary in USD]],"")</f>
        <v/>
      </c>
    </row>
    <row r="1130" spans="2:30" ht="15" customHeight="1" x14ac:dyDescent="0.25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 s="9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  <c r="N1130" t="str">
        <f>IF(tblSalaries[[#This Row],[Years of Experience]]="","",IF(tblSalaries[[#This Row],[Years of Experience]]&lt;=2,1,""))</f>
        <v/>
      </c>
      <c r="O1130" t="str">
        <f>IF(tblSalaries[[#This Row],[Years of Experience]]="","",IF(AND(tblSalaries[[#This Row],[Years of Experience]]&gt;2,tblSalaries[[#This Row],[Years of Experience]]&lt;=5),1,""))</f>
        <v/>
      </c>
      <c r="P1130" t="str">
        <f>IF(tblSalaries[[#This Row],[Years of Experience]]="","",IF(AND(tblSalaries[[#This Row],[Years of Experience]]&gt;5,tblSalaries[[#This Row],[Years of Experience]]&lt;=10),1,""))</f>
        <v/>
      </c>
      <c r="Q1130" t="str">
        <f>IF(tblSalaries[[#This Row],[Years of Experience]]="","",IF(AND(tblSalaries[[#This Row],[Years of Experience]]&gt;10,tblSalaries[[#This Row],[Years of Experience]]&lt;=15),1,""))</f>
        <v/>
      </c>
      <c r="R1130">
        <f>IF(tblSalaries[[#This Row],[Years of Experience]]="","",IF(AND(tblSalaries[[#This Row],[Years of Experience]]&gt;16,tblSalaries[[#This Row],[Years of Experience]]&lt;=20),1,""))</f>
        <v>1</v>
      </c>
      <c r="S1130" t="str">
        <f>IF(tblSalaries[[#This Row],[Years of Experience]]="","",IF(tblSalaries[[#This Row],[Years of Experience]]&gt;20,1,""))</f>
        <v/>
      </c>
      <c r="T11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30" s="13" t="str">
        <f>IF(tblSalaries[[#This Row],[Job Type]]=tblSalaries[[#Headers],[Accountant]],tblSalaries[[#This Row],[Salary in USD]],"")</f>
        <v/>
      </c>
      <c r="V1130" s="13">
        <f>IF(tblSalaries[[#This Row],[Job Type]]=tblSalaries[[#Headers],[Analyst]],tblSalaries[[#This Row],[Salary in USD]],"")</f>
        <v>35000</v>
      </c>
      <c r="W1130" s="13" t="str">
        <f>IF(tblSalaries[[#This Row],[Job Type]]=tblSalaries[[#Headers],[Consultant]],tblSalaries[[#This Row],[Salary in USD]],"")</f>
        <v/>
      </c>
      <c r="X1130" s="13" t="str">
        <f>IF(tblSalaries[[#This Row],[Job Type]]=tblSalaries[[#Headers],[Controller]],tblSalaries[[#This Row],[Salary in USD]],"")</f>
        <v/>
      </c>
      <c r="Y1130" s="13" t="str">
        <f>IF(tblSalaries[[#This Row],[Job Type]]=tblSalaries[[#Headers],[CXO or Top Mgmt.]],tblSalaries[[#This Row],[clean Salary (in local currency)]],"")</f>
        <v/>
      </c>
      <c r="Z1130" s="13" t="str">
        <f>IF(tblSalaries[[#This Row],[Job Type]]=tblSalaries[[#Headers],[Engineer]],tblSalaries[[#This Row],[Salary in USD]],"")</f>
        <v/>
      </c>
      <c r="AA1130" s="13" t="str">
        <f>IF(tblSalaries[[#This Row],[Job Type]]=tblSalaries[[#Headers],[Manager]],tblSalaries[[#This Row],[Salary in USD]],"")</f>
        <v/>
      </c>
      <c r="AB1130" s="13" t="str">
        <f>IF(tblSalaries[[#This Row],[Job Type]]=tblSalaries[[#Headers],[Misc.]],tblSalaries[[#This Row],[Salary in USD]],"")</f>
        <v/>
      </c>
      <c r="AC1130" s="13" t="str">
        <f>IF(tblSalaries[[#This Row],[Job Type]]=tblSalaries[[#Headers],[Reporting]],tblSalaries[[#This Row],[Salary in USD]],"")</f>
        <v/>
      </c>
      <c r="AD1130" s="13" t="str">
        <f>IF(tblSalaries[[#This Row],[Job Type]]=tblSalaries[[#Headers],[Specialist]],tblSalaries[[#This Row],[Salary in USD]],"")</f>
        <v/>
      </c>
    </row>
    <row r="1131" spans="2:30" ht="15" customHeight="1" x14ac:dyDescent="0.25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 s="9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  <c r="N1131" t="str">
        <f>IF(tblSalaries[[#This Row],[Years of Experience]]="","",IF(tblSalaries[[#This Row],[Years of Experience]]&lt;=2,1,""))</f>
        <v/>
      </c>
      <c r="O1131" t="str">
        <f>IF(tblSalaries[[#This Row],[Years of Experience]]="","",IF(AND(tblSalaries[[#This Row],[Years of Experience]]&gt;2,tblSalaries[[#This Row],[Years of Experience]]&lt;=5),1,""))</f>
        <v/>
      </c>
      <c r="P1131">
        <f>IF(tblSalaries[[#This Row],[Years of Experience]]="","",IF(AND(tblSalaries[[#This Row],[Years of Experience]]&gt;5,tblSalaries[[#This Row],[Years of Experience]]&lt;=10),1,""))</f>
        <v>1</v>
      </c>
      <c r="Q1131" t="str">
        <f>IF(tblSalaries[[#This Row],[Years of Experience]]="","",IF(AND(tblSalaries[[#This Row],[Years of Experience]]&gt;10,tblSalaries[[#This Row],[Years of Experience]]&lt;=15),1,""))</f>
        <v/>
      </c>
      <c r="R1131" t="str">
        <f>IF(tblSalaries[[#This Row],[Years of Experience]]="","",IF(AND(tblSalaries[[#This Row],[Years of Experience]]&gt;16,tblSalaries[[#This Row],[Years of Experience]]&lt;=20),1,""))</f>
        <v/>
      </c>
      <c r="S1131" t="str">
        <f>IF(tblSalaries[[#This Row],[Years of Experience]]="","",IF(tblSalaries[[#This Row],[Years of Experience]]&gt;20,1,""))</f>
        <v/>
      </c>
      <c r="T11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31" s="13" t="str">
        <f>IF(tblSalaries[[#This Row],[Job Type]]=tblSalaries[[#Headers],[Accountant]],tblSalaries[[#This Row],[Salary in USD]],"")</f>
        <v/>
      </c>
      <c r="V1131" s="13">
        <f>IF(tblSalaries[[#This Row],[Job Type]]=tblSalaries[[#Headers],[Analyst]],tblSalaries[[#This Row],[Salary in USD]],"")</f>
        <v>55166.239522354947</v>
      </c>
      <c r="W1131" s="13" t="str">
        <f>IF(tblSalaries[[#This Row],[Job Type]]=tblSalaries[[#Headers],[Consultant]],tblSalaries[[#This Row],[Salary in USD]],"")</f>
        <v/>
      </c>
      <c r="X1131" s="13" t="str">
        <f>IF(tblSalaries[[#This Row],[Job Type]]=tblSalaries[[#Headers],[Controller]],tblSalaries[[#This Row],[Salary in USD]],"")</f>
        <v/>
      </c>
      <c r="Y1131" s="13" t="str">
        <f>IF(tblSalaries[[#This Row],[Job Type]]=tblSalaries[[#Headers],[CXO or Top Mgmt.]],tblSalaries[[#This Row],[clean Salary (in local currency)]],"")</f>
        <v/>
      </c>
      <c r="Z1131" s="13" t="str">
        <f>IF(tblSalaries[[#This Row],[Job Type]]=tblSalaries[[#Headers],[Engineer]],tblSalaries[[#This Row],[Salary in USD]],"")</f>
        <v/>
      </c>
      <c r="AA1131" s="13" t="str">
        <f>IF(tblSalaries[[#This Row],[Job Type]]=tblSalaries[[#Headers],[Manager]],tblSalaries[[#This Row],[Salary in USD]],"")</f>
        <v/>
      </c>
      <c r="AB1131" s="13" t="str">
        <f>IF(tblSalaries[[#This Row],[Job Type]]=tblSalaries[[#Headers],[Misc.]],tblSalaries[[#This Row],[Salary in USD]],"")</f>
        <v/>
      </c>
      <c r="AC1131" s="13" t="str">
        <f>IF(tblSalaries[[#This Row],[Job Type]]=tblSalaries[[#Headers],[Reporting]],tblSalaries[[#This Row],[Salary in USD]],"")</f>
        <v/>
      </c>
      <c r="AD1131" s="13" t="str">
        <f>IF(tblSalaries[[#This Row],[Job Type]]=tblSalaries[[#Headers],[Specialist]],tblSalaries[[#This Row],[Salary in USD]],"")</f>
        <v/>
      </c>
    </row>
    <row r="1132" spans="2:30" ht="15" customHeight="1" x14ac:dyDescent="0.25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 s="9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  <c r="N1132" t="str">
        <f>IF(tblSalaries[[#This Row],[Years of Experience]]="","",IF(tblSalaries[[#This Row],[Years of Experience]]&lt;=2,1,""))</f>
        <v/>
      </c>
      <c r="O1132" t="str">
        <f>IF(tblSalaries[[#This Row],[Years of Experience]]="","",IF(AND(tblSalaries[[#This Row],[Years of Experience]]&gt;2,tblSalaries[[#This Row],[Years of Experience]]&lt;=5),1,""))</f>
        <v/>
      </c>
      <c r="P1132">
        <f>IF(tblSalaries[[#This Row],[Years of Experience]]="","",IF(AND(tblSalaries[[#This Row],[Years of Experience]]&gt;5,tblSalaries[[#This Row],[Years of Experience]]&lt;=10),1,""))</f>
        <v>1</v>
      </c>
      <c r="Q1132" t="str">
        <f>IF(tblSalaries[[#This Row],[Years of Experience]]="","",IF(AND(tblSalaries[[#This Row],[Years of Experience]]&gt;10,tblSalaries[[#This Row],[Years of Experience]]&lt;=15),1,""))</f>
        <v/>
      </c>
      <c r="R1132" t="str">
        <f>IF(tblSalaries[[#This Row],[Years of Experience]]="","",IF(AND(tblSalaries[[#This Row],[Years of Experience]]&gt;16,tblSalaries[[#This Row],[Years of Experience]]&lt;=20),1,""))</f>
        <v/>
      </c>
      <c r="S1132" t="str">
        <f>IF(tblSalaries[[#This Row],[Years of Experience]]="","",IF(tblSalaries[[#This Row],[Years of Experience]]&gt;20,1,""))</f>
        <v/>
      </c>
      <c r="T11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32" s="13">
        <f>IF(tblSalaries[[#This Row],[Job Type]]=tblSalaries[[#Headers],[Accountant]],tblSalaries[[#This Row],[Salary in USD]],"")</f>
        <v>1783.166904422254</v>
      </c>
      <c r="V1132" s="13" t="str">
        <f>IF(tblSalaries[[#This Row],[Job Type]]=tblSalaries[[#Headers],[Analyst]],tblSalaries[[#This Row],[Salary in USD]],"")</f>
        <v/>
      </c>
      <c r="W1132" s="13" t="str">
        <f>IF(tblSalaries[[#This Row],[Job Type]]=tblSalaries[[#Headers],[Consultant]],tblSalaries[[#This Row],[Salary in USD]],"")</f>
        <v/>
      </c>
      <c r="X1132" s="13" t="str">
        <f>IF(tblSalaries[[#This Row],[Job Type]]=tblSalaries[[#Headers],[Controller]],tblSalaries[[#This Row],[Salary in USD]],"")</f>
        <v/>
      </c>
      <c r="Y1132" s="13" t="str">
        <f>IF(tblSalaries[[#This Row],[Job Type]]=tblSalaries[[#Headers],[CXO or Top Mgmt.]],tblSalaries[[#This Row],[clean Salary (in local currency)]],"")</f>
        <v/>
      </c>
      <c r="Z1132" s="13" t="str">
        <f>IF(tblSalaries[[#This Row],[Job Type]]=tblSalaries[[#Headers],[Engineer]],tblSalaries[[#This Row],[Salary in USD]],"")</f>
        <v/>
      </c>
      <c r="AA1132" s="13" t="str">
        <f>IF(tblSalaries[[#This Row],[Job Type]]=tblSalaries[[#Headers],[Manager]],tblSalaries[[#This Row],[Salary in USD]],"")</f>
        <v/>
      </c>
      <c r="AB1132" s="13" t="str">
        <f>IF(tblSalaries[[#This Row],[Job Type]]=tblSalaries[[#Headers],[Misc.]],tblSalaries[[#This Row],[Salary in USD]],"")</f>
        <v/>
      </c>
      <c r="AC1132" s="13" t="str">
        <f>IF(tblSalaries[[#This Row],[Job Type]]=tblSalaries[[#Headers],[Reporting]],tblSalaries[[#This Row],[Salary in USD]],"")</f>
        <v/>
      </c>
      <c r="AD1132" s="13" t="str">
        <f>IF(tblSalaries[[#This Row],[Job Type]]=tblSalaries[[#Headers],[Specialist]],tblSalaries[[#This Row],[Salary in USD]],"")</f>
        <v/>
      </c>
    </row>
    <row r="1133" spans="2:30" ht="15" customHeight="1" x14ac:dyDescent="0.25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 s="9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  <c r="N1133" t="str">
        <f>IF(tblSalaries[[#This Row],[Years of Experience]]="","",IF(tblSalaries[[#This Row],[Years of Experience]]&lt;=2,1,""))</f>
        <v/>
      </c>
      <c r="O1133" t="str">
        <f>IF(tblSalaries[[#This Row],[Years of Experience]]="","",IF(AND(tblSalaries[[#This Row],[Years of Experience]]&gt;2,tblSalaries[[#This Row],[Years of Experience]]&lt;=5),1,""))</f>
        <v/>
      </c>
      <c r="P1133" t="str">
        <f>IF(tblSalaries[[#This Row],[Years of Experience]]="","",IF(AND(tblSalaries[[#This Row],[Years of Experience]]&gt;5,tblSalaries[[#This Row],[Years of Experience]]&lt;=10),1,""))</f>
        <v/>
      </c>
      <c r="Q1133">
        <f>IF(tblSalaries[[#This Row],[Years of Experience]]="","",IF(AND(tblSalaries[[#This Row],[Years of Experience]]&gt;10,tblSalaries[[#This Row],[Years of Experience]]&lt;=15),1,""))</f>
        <v>1</v>
      </c>
      <c r="R1133" t="str">
        <f>IF(tblSalaries[[#This Row],[Years of Experience]]="","",IF(AND(tblSalaries[[#This Row],[Years of Experience]]&gt;16,tblSalaries[[#This Row],[Years of Experience]]&lt;=20),1,""))</f>
        <v/>
      </c>
      <c r="S1133" t="str">
        <f>IF(tblSalaries[[#This Row],[Years of Experience]]="","",IF(tblSalaries[[#This Row],[Years of Experience]]&gt;20,1,""))</f>
        <v/>
      </c>
      <c r="T11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33" s="13" t="str">
        <f>IF(tblSalaries[[#This Row],[Job Type]]=tblSalaries[[#Headers],[Accountant]],tblSalaries[[#This Row],[Salary in USD]],"")</f>
        <v/>
      </c>
      <c r="V1133" s="13" t="str">
        <f>IF(tblSalaries[[#This Row],[Job Type]]=tblSalaries[[#Headers],[Analyst]],tblSalaries[[#This Row],[Salary in USD]],"")</f>
        <v/>
      </c>
      <c r="W1133" s="13" t="str">
        <f>IF(tblSalaries[[#This Row],[Job Type]]=tblSalaries[[#Headers],[Consultant]],tblSalaries[[#This Row],[Salary in USD]],"")</f>
        <v/>
      </c>
      <c r="X1133" s="13" t="str">
        <f>IF(tblSalaries[[#This Row],[Job Type]]=tblSalaries[[#Headers],[Controller]],tblSalaries[[#This Row],[Salary in USD]],"")</f>
        <v/>
      </c>
      <c r="Y1133" s="13" t="str">
        <f>IF(tblSalaries[[#This Row],[Job Type]]=tblSalaries[[#Headers],[CXO or Top Mgmt.]],tblSalaries[[#This Row],[clean Salary (in local currency)]],"")</f>
        <v/>
      </c>
      <c r="Z1133" s="13" t="str">
        <f>IF(tblSalaries[[#This Row],[Job Type]]=tblSalaries[[#Headers],[Engineer]],tblSalaries[[#This Row],[Salary in USD]],"")</f>
        <v/>
      </c>
      <c r="AA1133" s="13">
        <f>IF(tblSalaries[[#This Row],[Job Type]]=tblSalaries[[#Headers],[Manager]],tblSalaries[[#This Row],[Salary in USD]],"")</f>
        <v>13500</v>
      </c>
      <c r="AB1133" s="13" t="str">
        <f>IF(tblSalaries[[#This Row],[Job Type]]=tblSalaries[[#Headers],[Misc.]],tblSalaries[[#This Row],[Salary in USD]],"")</f>
        <v/>
      </c>
      <c r="AC1133" s="13" t="str">
        <f>IF(tblSalaries[[#This Row],[Job Type]]=tblSalaries[[#Headers],[Reporting]],tblSalaries[[#This Row],[Salary in USD]],"")</f>
        <v/>
      </c>
      <c r="AD1133" s="13" t="str">
        <f>IF(tblSalaries[[#This Row],[Job Type]]=tblSalaries[[#Headers],[Specialist]],tblSalaries[[#This Row],[Salary in USD]],"")</f>
        <v/>
      </c>
    </row>
    <row r="1134" spans="2:30" ht="15" customHeight="1" x14ac:dyDescent="0.25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 s="9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  <c r="N1134" t="str">
        <f>IF(tblSalaries[[#This Row],[Years of Experience]]="","",IF(tblSalaries[[#This Row],[Years of Experience]]&lt;=2,1,""))</f>
        <v/>
      </c>
      <c r="O1134">
        <f>IF(tblSalaries[[#This Row],[Years of Experience]]="","",IF(AND(tblSalaries[[#This Row],[Years of Experience]]&gt;2,tblSalaries[[#This Row],[Years of Experience]]&lt;=5),1,""))</f>
        <v>1</v>
      </c>
      <c r="P1134" t="str">
        <f>IF(tblSalaries[[#This Row],[Years of Experience]]="","",IF(AND(tblSalaries[[#This Row],[Years of Experience]]&gt;5,tblSalaries[[#This Row],[Years of Experience]]&lt;=10),1,""))</f>
        <v/>
      </c>
      <c r="Q1134" t="str">
        <f>IF(tblSalaries[[#This Row],[Years of Experience]]="","",IF(AND(tblSalaries[[#This Row],[Years of Experience]]&gt;10,tblSalaries[[#This Row],[Years of Experience]]&lt;=15),1,""))</f>
        <v/>
      </c>
      <c r="R1134" t="str">
        <f>IF(tblSalaries[[#This Row],[Years of Experience]]="","",IF(AND(tblSalaries[[#This Row],[Years of Experience]]&gt;16,tblSalaries[[#This Row],[Years of Experience]]&lt;=20),1,""))</f>
        <v/>
      </c>
      <c r="S1134" t="str">
        <f>IF(tblSalaries[[#This Row],[Years of Experience]]="","",IF(tblSalaries[[#This Row],[Years of Experience]]&gt;20,1,""))</f>
        <v/>
      </c>
      <c r="T11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34" s="13">
        <f>IF(tblSalaries[[#This Row],[Job Type]]=tblSalaries[[#Headers],[Accountant]],tblSalaries[[#This Row],[Salary in USD]],"")</f>
        <v>59106.685202523156</v>
      </c>
      <c r="V1134" s="13" t="str">
        <f>IF(tblSalaries[[#This Row],[Job Type]]=tblSalaries[[#Headers],[Analyst]],tblSalaries[[#This Row],[Salary in USD]],"")</f>
        <v/>
      </c>
      <c r="W1134" s="13" t="str">
        <f>IF(tblSalaries[[#This Row],[Job Type]]=tblSalaries[[#Headers],[Consultant]],tblSalaries[[#This Row],[Salary in USD]],"")</f>
        <v/>
      </c>
      <c r="X1134" s="13" t="str">
        <f>IF(tblSalaries[[#This Row],[Job Type]]=tblSalaries[[#Headers],[Controller]],tblSalaries[[#This Row],[Salary in USD]],"")</f>
        <v/>
      </c>
      <c r="Y1134" s="13" t="str">
        <f>IF(tblSalaries[[#This Row],[Job Type]]=tblSalaries[[#Headers],[CXO or Top Mgmt.]],tblSalaries[[#This Row],[clean Salary (in local currency)]],"")</f>
        <v/>
      </c>
      <c r="Z1134" s="13" t="str">
        <f>IF(tblSalaries[[#This Row],[Job Type]]=tblSalaries[[#Headers],[Engineer]],tblSalaries[[#This Row],[Salary in USD]],"")</f>
        <v/>
      </c>
      <c r="AA1134" s="13" t="str">
        <f>IF(tblSalaries[[#This Row],[Job Type]]=tblSalaries[[#Headers],[Manager]],tblSalaries[[#This Row],[Salary in USD]],"")</f>
        <v/>
      </c>
      <c r="AB1134" s="13" t="str">
        <f>IF(tblSalaries[[#This Row],[Job Type]]=tblSalaries[[#Headers],[Misc.]],tblSalaries[[#This Row],[Salary in USD]],"")</f>
        <v/>
      </c>
      <c r="AC1134" s="13" t="str">
        <f>IF(tblSalaries[[#This Row],[Job Type]]=tblSalaries[[#Headers],[Reporting]],tblSalaries[[#This Row],[Salary in USD]],"")</f>
        <v/>
      </c>
      <c r="AD1134" s="13" t="str">
        <f>IF(tblSalaries[[#This Row],[Job Type]]=tblSalaries[[#Headers],[Specialist]],tblSalaries[[#This Row],[Salary in USD]],"")</f>
        <v/>
      </c>
    </row>
    <row r="1135" spans="2:30" ht="15" customHeight="1" x14ac:dyDescent="0.25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 s="9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  <c r="N1135" t="str">
        <f>IF(tblSalaries[[#This Row],[Years of Experience]]="","",IF(tblSalaries[[#This Row],[Years of Experience]]&lt;=2,1,""))</f>
        <v/>
      </c>
      <c r="O1135">
        <f>IF(tblSalaries[[#This Row],[Years of Experience]]="","",IF(AND(tblSalaries[[#This Row],[Years of Experience]]&gt;2,tblSalaries[[#This Row],[Years of Experience]]&lt;=5),1,""))</f>
        <v>1</v>
      </c>
      <c r="P1135" t="str">
        <f>IF(tblSalaries[[#This Row],[Years of Experience]]="","",IF(AND(tblSalaries[[#This Row],[Years of Experience]]&gt;5,tblSalaries[[#This Row],[Years of Experience]]&lt;=10),1,""))</f>
        <v/>
      </c>
      <c r="Q1135" t="str">
        <f>IF(tblSalaries[[#This Row],[Years of Experience]]="","",IF(AND(tblSalaries[[#This Row],[Years of Experience]]&gt;10,tblSalaries[[#This Row],[Years of Experience]]&lt;=15),1,""))</f>
        <v/>
      </c>
      <c r="R1135" t="str">
        <f>IF(tblSalaries[[#This Row],[Years of Experience]]="","",IF(AND(tblSalaries[[#This Row],[Years of Experience]]&gt;16,tblSalaries[[#This Row],[Years of Experience]]&lt;=20),1,""))</f>
        <v/>
      </c>
      <c r="S1135" t="str">
        <f>IF(tblSalaries[[#This Row],[Years of Experience]]="","",IF(tblSalaries[[#This Row],[Years of Experience]]&gt;20,1,""))</f>
        <v/>
      </c>
      <c r="T11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35" s="13" t="str">
        <f>IF(tblSalaries[[#This Row],[Job Type]]=tblSalaries[[#Headers],[Accountant]],tblSalaries[[#This Row],[Salary in USD]],"")</f>
        <v/>
      </c>
      <c r="V1135" s="13" t="str">
        <f>IF(tblSalaries[[#This Row],[Job Type]]=tblSalaries[[#Headers],[Analyst]],tblSalaries[[#This Row],[Salary in USD]],"")</f>
        <v/>
      </c>
      <c r="W1135" s="13" t="str">
        <f>IF(tblSalaries[[#This Row],[Job Type]]=tblSalaries[[#Headers],[Consultant]],tblSalaries[[#This Row],[Salary in USD]],"")</f>
        <v/>
      </c>
      <c r="X1135" s="13" t="str">
        <f>IF(tblSalaries[[#This Row],[Job Type]]=tblSalaries[[#Headers],[Controller]],tblSalaries[[#This Row],[Salary in USD]],"")</f>
        <v/>
      </c>
      <c r="Y1135" s="13" t="str">
        <f>IF(tblSalaries[[#This Row],[Job Type]]=tblSalaries[[#Headers],[CXO or Top Mgmt.]],tblSalaries[[#This Row],[clean Salary (in local currency)]],"")</f>
        <v/>
      </c>
      <c r="Z1135" s="13" t="str">
        <f>IF(tblSalaries[[#This Row],[Job Type]]=tblSalaries[[#Headers],[Engineer]],tblSalaries[[#This Row],[Salary in USD]],"")</f>
        <v/>
      </c>
      <c r="AA1135" s="13">
        <f>IF(tblSalaries[[#This Row],[Job Type]]=tblSalaries[[#Headers],[Manager]],tblSalaries[[#This Row],[Salary in USD]],"")</f>
        <v>12608.005014709339</v>
      </c>
      <c r="AB1135" s="13" t="str">
        <f>IF(tblSalaries[[#This Row],[Job Type]]=tblSalaries[[#Headers],[Misc.]],tblSalaries[[#This Row],[Salary in USD]],"")</f>
        <v/>
      </c>
      <c r="AC1135" s="13" t="str">
        <f>IF(tblSalaries[[#This Row],[Job Type]]=tblSalaries[[#Headers],[Reporting]],tblSalaries[[#This Row],[Salary in USD]],"")</f>
        <v/>
      </c>
      <c r="AD1135" s="13" t="str">
        <f>IF(tblSalaries[[#This Row],[Job Type]]=tblSalaries[[#Headers],[Specialist]],tblSalaries[[#This Row],[Salary in USD]],"")</f>
        <v/>
      </c>
    </row>
    <row r="1136" spans="2:30" ht="15" customHeight="1" x14ac:dyDescent="0.25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 s="9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  <c r="N1136" t="str">
        <f>IF(tblSalaries[[#This Row],[Years of Experience]]="","",IF(tblSalaries[[#This Row],[Years of Experience]]&lt;=2,1,""))</f>
        <v/>
      </c>
      <c r="O1136" t="str">
        <f>IF(tblSalaries[[#This Row],[Years of Experience]]="","",IF(AND(tblSalaries[[#This Row],[Years of Experience]]&gt;2,tblSalaries[[#This Row],[Years of Experience]]&lt;=5),1,""))</f>
        <v/>
      </c>
      <c r="P1136" t="str">
        <f>IF(tblSalaries[[#This Row],[Years of Experience]]="","",IF(AND(tblSalaries[[#This Row],[Years of Experience]]&gt;5,tblSalaries[[#This Row],[Years of Experience]]&lt;=10),1,""))</f>
        <v/>
      </c>
      <c r="Q1136">
        <f>IF(tblSalaries[[#This Row],[Years of Experience]]="","",IF(AND(tblSalaries[[#This Row],[Years of Experience]]&gt;10,tblSalaries[[#This Row],[Years of Experience]]&lt;=15),1,""))</f>
        <v>1</v>
      </c>
      <c r="R1136" t="str">
        <f>IF(tblSalaries[[#This Row],[Years of Experience]]="","",IF(AND(tblSalaries[[#This Row],[Years of Experience]]&gt;16,tblSalaries[[#This Row],[Years of Experience]]&lt;=20),1,""))</f>
        <v/>
      </c>
      <c r="S1136" t="str">
        <f>IF(tblSalaries[[#This Row],[Years of Experience]]="","",IF(tblSalaries[[#This Row],[Years of Experience]]&gt;20,1,""))</f>
        <v/>
      </c>
      <c r="T11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36" s="13">
        <f>IF(tblSalaries[[#This Row],[Job Type]]=tblSalaries[[#Headers],[Accountant]],tblSalaries[[#This Row],[Salary in USD]],"")</f>
        <v>44654.095718350931</v>
      </c>
      <c r="V1136" s="13" t="str">
        <f>IF(tblSalaries[[#This Row],[Job Type]]=tblSalaries[[#Headers],[Analyst]],tblSalaries[[#This Row],[Salary in USD]],"")</f>
        <v/>
      </c>
      <c r="W1136" s="13" t="str">
        <f>IF(tblSalaries[[#This Row],[Job Type]]=tblSalaries[[#Headers],[Consultant]],tblSalaries[[#This Row],[Salary in USD]],"")</f>
        <v/>
      </c>
      <c r="X1136" s="13" t="str">
        <f>IF(tblSalaries[[#This Row],[Job Type]]=tblSalaries[[#Headers],[Controller]],tblSalaries[[#This Row],[Salary in USD]],"")</f>
        <v/>
      </c>
      <c r="Y1136" s="13" t="str">
        <f>IF(tblSalaries[[#This Row],[Job Type]]=tblSalaries[[#Headers],[CXO or Top Mgmt.]],tblSalaries[[#This Row],[clean Salary (in local currency)]],"")</f>
        <v/>
      </c>
      <c r="Z1136" s="13" t="str">
        <f>IF(tblSalaries[[#This Row],[Job Type]]=tblSalaries[[#Headers],[Engineer]],tblSalaries[[#This Row],[Salary in USD]],"")</f>
        <v/>
      </c>
      <c r="AA1136" s="13" t="str">
        <f>IF(tblSalaries[[#This Row],[Job Type]]=tblSalaries[[#Headers],[Manager]],tblSalaries[[#This Row],[Salary in USD]],"")</f>
        <v/>
      </c>
      <c r="AB1136" s="13" t="str">
        <f>IF(tblSalaries[[#This Row],[Job Type]]=tblSalaries[[#Headers],[Misc.]],tblSalaries[[#This Row],[Salary in USD]],"")</f>
        <v/>
      </c>
      <c r="AC1136" s="13" t="str">
        <f>IF(tblSalaries[[#This Row],[Job Type]]=tblSalaries[[#Headers],[Reporting]],tblSalaries[[#This Row],[Salary in USD]],"")</f>
        <v/>
      </c>
      <c r="AD1136" s="13" t="str">
        <f>IF(tblSalaries[[#This Row],[Job Type]]=tblSalaries[[#Headers],[Specialist]],tblSalaries[[#This Row],[Salary in USD]],"")</f>
        <v/>
      </c>
    </row>
    <row r="1137" spans="2:30" ht="15" customHeight="1" x14ac:dyDescent="0.25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 s="9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  <c r="N1137" t="str">
        <f>IF(tblSalaries[[#This Row],[Years of Experience]]="","",IF(tblSalaries[[#This Row],[Years of Experience]]&lt;=2,1,""))</f>
        <v/>
      </c>
      <c r="O1137" t="str">
        <f>IF(tblSalaries[[#This Row],[Years of Experience]]="","",IF(AND(tblSalaries[[#This Row],[Years of Experience]]&gt;2,tblSalaries[[#This Row],[Years of Experience]]&lt;=5),1,""))</f>
        <v/>
      </c>
      <c r="P1137" t="str">
        <f>IF(tblSalaries[[#This Row],[Years of Experience]]="","",IF(AND(tblSalaries[[#This Row],[Years of Experience]]&gt;5,tblSalaries[[#This Row],[Years of Experience]]&lt;=10),1,""))</f>
        <v/>
      </c>
      <c r="Q1137" t="str">
        <f>IF(tblSalaries[[#This Row],[Years of Experience]]="","",IF(AND(tblSalaries[[#This Row],[Years of Experience]]&gt;10,tblSalaries[[#This Row],[Years of Experience]]&lt;=15),1,""))</f>
        <v/>
      </c>
      <c r="R1137">
        <f>IF(tblSalaries[[#This Row],[Years of Experience]]="","",IF(AND(tblSalaries[[#This Row],[Years of Experience]]&gt;16,tblSalaries[[#This Row],[Years of Experience]]&lt;=20),1,""))</f>
        <v>1</v>
      </c>
      <c r="S1137" t="str">
        <f>IF(tblSalaries[[#This Row],[Years of Experience]]="","",IF(tblSalaries[[#This Row],[Years of Experience]]&gt;20,1,""))</f>
        <v/>
      </c>
      <c r="T11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37" s="13" t="str">
        <f>IF(tblSalaries[[#This Row],[Job Type]]=tblSalaries[[#Headers],[Accountant]],tblSalaries[[#This Row],[Salary in USD]],"")</f>
        <v/>
      </c>
      <c r="V1137" s="13">
        <f>IF(tblSalaries[[#This Row],[Job Type]]=tblSalaries[[#Headers],[Analyst]],tblSalaries[[#This Row],[Salary in USD]],"")</f>
        <v>69000</v>
      </c>
      <c r="W1137" s="13" t="str">
        <f>IF(tblSalaries[[#This Row],[Job Type]]=tblSalaries[[#Headers],[Consultant]],tblSalaries[[#This Row],[Salary in USD]],"")</f>
        <v/>
      </c>
      <c r="X1137" s="13" t="str">
        <f>IF(tblSalaries[[#This Row],[Job Type]]=tblSalaries[[#Headers],[Controller]],tblSalaries[[#This Row],[Salary in USD]],"")</f>
        <v/>
      </c>
      <c r="Y1137" s="13" t="str">
        <f>IF(tblSalaries[[#This Row],[Job Type]]=tblSalaries[[#Headers],[CXO or Top Mgmt.]],tblSalaries[[#This Row],[clean Salary (in local currency)]],"")</f>
        <v/>
      </c>
      <c r="Z1137" s="13" t="str">
        <f>IF(tblSalaries[[#This Row],[Job Type]]=tblSalaries[[#Headers],[Engineer]],tblSalaries[[#This Row],[Salary in USD]],"")</f>
        <v/>
      </c>
      <c r="AA1137" s="13" t="str">
        <f>IF(tblSalaries[[#This Row],[Job Type]]=tblSalaries[[#Headers],[Manager]],tblSalaries[[#This Row],[Salary in USD]],"")</f>
        <v/>
      </c>
      <c r="AB1137" s="13" t="str">
        <f>IF(tblSalaries[[#This Row],[Job Type]]=tblSalaries[[#Headers],[Misc.]],tblSalaries[[#This Row],[Salary in USD]],"")</f>
        <v/>
      </c>
      <c r="AC1137" s="13" t="str">
        <f>IF(tblSalaries[[#This Row],[Job Type]]=tblSalaries[[#Headers],[Reporting]],tblSalaries[[#This Row],[Salary in USD]],"")</f>
        <v/>
      </c>
      <c r="AD1137" s="13" t="str">
        <f>IF(tblSalaries[[#This Row],[Job Type]]=tblSalaries[[#Headers],[Specialist]],tblSalaries[[#This Row],[Salary in USD]],"")</f>
        <v/>
      </c>
    </row>
    <row r="1138" spans="2:30" ht="15" customHeight="1" x14ac:dyDescent="0.25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 s="9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  <c r="N1138" t="str">
        <f>IF(tblSalaries[[#This Row],[Years of Experience]]="","",IF(tblSalaries[[#This Row],[Years of Experience]]&lt;=2,1,""))</f>
        <v/>
      </c>
      <c r="O1138" t="str">
        <f>IF(tblSalaries[[#This Row],[Years of Experience]]="","",IF(AND(tblSalaries[[#This Row],[Years of Experience]]&gt;2,tblSalaries[[#This Row],[Years of Experience]]&lt;=5),1,""))</f>
        <v/>
      </c>
      <c r="P1138">
        <f>IF(tblSalaries[[#This Row],[Years of Experience]]="","",IF(AND(tblSalaries[[#This Row],[Years of Experience]]&gt;5,tblSalaries[[#This Row],[Years of Experience]]&lt;=10),1,""))</f>
        <v>1</v>
      </c>
      <c r="Q1138" t="str">
        <f>IF(tblSalaries[[#This Row],[Years of Experience]]="","",IF(AND(tblSalaries[[#This Row],[Years of Experience]]&gt;10,tblSalaries[[#This Row],[Years of Experience]]&lt;=15),1,""))</f>
        <v/>
      </c>
      <c r="R1138" t="str">
        <f>IF(tblSalaries[[#This Row],[Years of Experience]]="","",IF(AND(tblSalaries[[#This Row],[Years of Experience]]&gt;16,tblSalaries[[#This Row],[Years of Experience]]&lt;=20),1,""))</f>
        <v/>
      </c>
      <c r="S1138" t="str">
        <f>IF(tblSalaries[[#This Row],[Years of Experience]]="","",IF(tblSalaries[[#This Row],[Years of Experience]]&gt;20,1,""))</f>
        <v/>
      </c>
      <c r="T11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38" s="13" t="str">
        <f>IF(tblSalaries[[#This Row],[Job Type]]=tblSalaries[[#Headers],[Accountant]],tblSalaries[[#This Row],[Salary in USD]],"")</f>
        <v/>
      </c>
      <c r="V1138" s="13" t="str">
        <f>IF(tblSalaries[[#This Row],[Job Type]]=tblSalaries[[#Headers],[Analyst]],tblSalaries[[#This Row],[Salary in USD]],"")</f>
        <v/>
      </c>
      <c r="W1138" s="13" t="str">
        <f>IF(tblSalaries[[#This Row],[Job Type]]=tblSalaries[[#Headers],[Consultant]],tblSalaries[[#This Row],[Salary in USD]],"")</f>
        <v/>
      </c>
      <c r="X1138" s="13" t="str">
        <f>IF(tblSalaries[[#This Row],[Job Type]]=tblSalaries[[#Headers],[Controller]],tblSalaries[[#This Row],[Salary in USD]],"")</f>
        <v/>
      </c>
      <c r="Y1138" s="13" t="str">
        <f>IF(tblSalaries[[#This Row],[Job Type]]=tblSalaries[[#Headers],[CXO or Top Mgmt.]],tblSalaries[[#This Row],[clean Salary (in local currency)]],"")</f>
        <v/>
      </c>
      <c r="Z1138" s="13" t="str">
        <f>IF(tblSalaries[[#This Row],[Job Type]]=tblSalaries[[#Headers],[Engineer]],tblSalaries[[#This Row],[Salary in USD]],"")</f>
        <v/>
      </c>
      <c r="AA1138" s="13">
        <f>IF(tblSalaries[[#This Row],[Job Type]]=tblSalaries[[#Headers],[Manager]],tblSalaries[[#This Row],[Salary in USD]],"")</f>
        <v>6000</v>
      </c>
      <c r="AB1138" s="13" t="str">
        <f>IF(tblSalaries[[#This Row],[Job Type]]=tblSalaries[[#Headers],[Misc.]],tblSalaries[[#This Row],[Salary in USD]],"")</f>
        <v/>
      </c>
      <c r="AC1138" s="13" t="str">
        <f>IF(tblSalaries[[#This Row],[Job Type]]=tblSalaries[[#Headers],[Reporting]],tblSalaries[[#This Row],[Salary in USD]],"")</f>
        <v/>
      </c>
      <c r="AD1138" s="13" t="str">
        <f>IF(tblSalaries[[#This Row],[Job Type]]=tblSalaries[[#Headers],[Specialist]],tblSalaries[[#This Row],[Salary in USD]],"")</f>
        <v/>
      </c>
    </row>
    <row r="1139" spans="2:30" ht="15" customHeight="1" x14ac:dyDescent="0.25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 s="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  <c r="N1139" t="str">
        <f>IF(tblSalaries[[#This Row],[Years of Experience]]="","",IF(tblSalaries[[#This Row],[Years of Experience]]&lt;=2,1,""))</f>
        <v/>
      </c>
      <c r="O1139" t="str">
        <f>IF(tblSalaries[[#This Row],[Years of Experience]]="","",IF(AND(tblSalaries[[#This Row],[Years of Experience]]&gt;2,tblSalaries[[#This Row],[Years of Experience]]&lt;=5),1,""))</f>
        <v/>
      </c>
      <c r="P1139" t="str">
        <f>IF(tblSalaries[[#This Row],[Years of Experience]]="","",IF(AND(tblSalaries[[#This Row],[Years of Experience]]&gt;5,tblSalaries[[#This Row],[Years of Experience]]&lt;=10),1,""))</f>
        <v/>
      </c>
      <c r="Q1139" t="str">
        <f>IF(tblSalaries[[#This Row],[Years of Experience]]="","",IF(AND(tblSalaries[[#This Row],[Years of Experience]]&gt;10,tblSalaries[[#This Row],[Years of Experience]]&lt;=15),1,""))</f>
        <v/>
      </c>
      <c r="R1139" t="str">
        <f>IF(tblSalaries[[#This Row],[Years of Experience]]="","",IF(AND(tblSalaries[[#This Row],[Years of Experience]]&gt;16,tblSalaries[[#This Row],[Years of Experience]]&lt;=20),1,""))</f>
        <v/>
      </c>
      <c r="S1139">
        <f>IF(tblSalaries[[#This Row],[Years of Experience]]="","",IF(tblSalaries[[#This Row],[Years of Experience]]&gt;20,1,""))</f>
        <v>1</v>
      </c>
      <c r="T11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39" s="13" t="str">
        <f>IF(tblSalaries[[#This Row],[Job Type]]=tblSalaries[[#Headers],[Accountant]],tblSalaries[[#This Row],[Salary in USD]],"")</f>
        <v/>
      </c>
      <c r="V1139" s="13" t="str">
        <f>IF(tblSalaries[[#This Row],[Job Type]]=tblSalaries[[#Headers],[Analyst]],tblSalaries[[#This Row],[Salary in USD]],"")</f>
        <v/>
      </c>
      <c r="W1139" s="13" t="str">
        <f>IF(tblSalaries[[#This Row],[Job Type]]=tblSalaries[[#Headers],[Consultant]],tblSalaries[[#This Row],[Salary in USD]],"")</f>
        <v/>
      </c>
      <c r="X1139" s="13" t="str">
        <f>IF(tblSalaries[[#This Row],[Job Type]]=tblSalaries[[#Headers],[Controller]],tblSalaries[[#This Row],[Salary in USD]],"")</f>
        <v/>
      </c>
      <c r="Y1139" s="13" t="str">
        <f>IF(tblSalaries[[#This Row],[Job Type]]=tblSalaries[[#Headers],[CXO or Top Mgmt.]],tblSalaries[[#This Row],[clean Salary (in local currency)]],"")</f>
        <v/>
      </c>
      <c r="Z1139" s="13" t="str">
        <f>IF(tblSalaries[[#This Row],[Job Type]]=tblSalaries[[#Headers],[Engineer]],tblSalaries[[#This Row],[Salary in USD]],"")</f>
        <v/>
      </c>
      <c r="AA1139" s="13">
        <f>IF(tblSalaries[[#This Row],[Job Type]]=tblSalaries[[#Headers],[Manager]],tblSalaries[[#This Row],[Salary in USD]],"")</f>
        <v>8903.9583437212841</v>
      </c>
      <c r="AB1139" s="13" t="str">
        <f>IF(tblSalaries[[#This Row],[Job Type]]=tblSalaries[[#Headers],[Misc.]],tblSalaries[[#This Row],[Salary in USD]],"")</f>
        <v/>
      </c>
      <c r="AC1139" s="13" t="str">
        <f>IF(tblSalaries[[#This Row],[Job Type]]=tblSalaries[[#Headers],[Reporting]],tblSalaries[[#This Row],[Salary in USD]],"")</f>
        <v/>
      </c>
      <c r="AD1139" s="13" t="str">
        <f>IF(tblSalaries[[#This Row],[Job Type]]=tblSalaries[[#Headers],[Specialist]],tblSalaries[[#This Row],[Salary in USD]],"")</f>
        <v/>
      </c>
    </row>
    <row r="1140" spans="2:30" ht="15" customHeight="1" x14ac:dyDescent="0.25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 s="9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  <c r="N1140" t="str">
        <f>IF(tblSalaries[[#This Row],[Years of Experience]]="","",IF(tblSalaries[[#This Row],[Years of Experience]]&lt;=2,1,""))</f>
        <v/>
      </c>
      <c r="O1140" t="str">
        <f>IF(tblSalaries[[#This Row],[Years of Experience]]="","",IF(AND(tblSalaries[[#This Row],[Years of Experience]]&gt;2,tblSalaries[[#This Row],[Years of Experience]]&lt;=5),1,""))</f>
        <v/>
      </c>
      <c r="P1140" t="str">
        <f>IF(tblSalaries[[#This Row],[Years of Experience]]="","",IF(AND(tblSalaries[[#This Row],[Years of Experience]]&gt;5,tblSalaries[[#This Row],[Years of Experience]]&lt;=10),1,""))</f>
        <v/>
      </c>
      <c r="Q1140" t="str">
        <f>IF(tblSalaries[[#This Row],[Years of Experience]]="","",IF(AND(tblSalaries[[#This Row],[Years of Experience]]&gt;10,tblSalaries[[#This Row],[Years of Experience]]&lt;=15),1,""))</f>
        <v/>
      </c>
      <c r="R1140">
        <f>IF(tblSalaries[[#This Row],[Years of Experience]]="","",IF(AND(tblSalaries[[#This Row],[Years of Experience]]&gt;16,tblSalaries[[#This Row],[Years of Experience]]&lt;=20),1,""))</f>
        <v>1</v>
      </c>
      <c r="S1140" t="str">
        <f>IF(tblSalaries[[#This Row],[Years of Experience]]="","",IF(tblSalaries[[#This Row],[Years of Experience]]&gt;20,1,""))</f>
        <v/>
      </c>
      <c r="T11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40" s="13" t="str">
        <f>IF(tblSalaries[[#This Row],[Job Type]]=tblSalaries[[#Headers],[Accountant]],tblSalaries[[#This Row],[Salary in USD]],"")</f>
        <v/>
      </c>
      <c r="V1140" s="13" t="str">
        <f>IF(tblSalaries[[#This Row],[Job Type]]=tblSalaries[[#Headers],[Analyst]],tblSalaries[[#This Row],[Salary in USD]],"")</f>
        <v/>
      </c>
      <c r="W1140" s="13" t="str">
        <f>IF(tblSalaries[[#This Row],[Job Type]]=tblSalaries[[#Headers],[Consultant]],tblSalaries[[#This Row],[Salary in USD]],"")</f>
        <v/>
      </c>
      <c r="X1140" s="13" t="str">
        <f>IF(tblSalaries[[#This Row],[Job Type]]=tblSalaries[[#Headers],[Controller]],tblSalaries[[#This Row],[Salary in USD]],"")</f>
        <v/>
      </c>
      <c r="Y1140" s="13" t="str">
        <f>IF(tblSalaries[[#This Row],[Job Type]]=tblSalaries[[#Headers],[CXO or Top Mgmt.]],tblSalaries[[#This Row],[clean Salary (in local currency)]],"")</f>
        <v/>
      </c>
      <c r="Z1140" s="13" t="str">
        <f>IF(tblSalaries[[#This Row],[Job Type]]=tblSalaries[[#Headers],[Engineer]],tblSalaries[[#This Row],[Salary in USD]],"")</f>
        <v/>
      </c>
      <c r="AA1140" s="13">
        <f>IF(tblSalaries[[#This Row],[Job Type]]=tblSalaries[[#Headers],[Manager]],tblSalaries[[#This Row],[Salary in USD]],"")</f>
        <v>30000</v>
      </c>
      <c r="AB1140" s="13" t="str">
        <f>IF(tblSalaries[[#This Row],[Job Type]]=tblSalaries[[#Headers],[Misc.]],tblSalaries[[#This Row],[Salary in USD]],"")</f>
        <v/>
      </c>
      <c r="AC1140" s="13" t="str">
        <f>IF(tblSalaries[[#This Row],[Job Type]]=tblSalaries[[#Headers],[Reporting]],tblSalaries[[#This Row],[Salary in USD]],"")</f>
        <v/>
      </c>
      <c r="AD1140" s="13" t="str">
        <f>IF(tblSalaries[[#This Row],[Job Type]]=tblSalaries[[#Headers],[Specialist]],tblSalaries[[#This Row],[Salary in USD]],"")</f>
        <v/>
      </c>
    </row>
    <row r="1141" spans="2:30" ht="15" customHeight="1" x14ac:dyDescent="0.25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 s="9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  <c r="N1141">
        <f>IF(tblSalaries[[#This Row],[Years of Experience]]="","",IF(tblSalaries[[#This Row],[Years of Experience]]&lt;=2,1,""))</f>
        <v>1</v>
      </c>
      <c r="O1141" t="str">
        <f>IF(tblSalaries[[#This Row],[Years of Experience]]="","",IF(AND(tblSalaries[[#This Row],[Years of Experience]]&gt;2,tblSalaries[[#This Row],[Years of Experience]]&lt;=5),1,""))</f>
        <v/>
      </c>
      <c r="P1141" t="str">
        <f>IF(tblSalaries[[#This Row],[Years of Experience]]="","",IF(AND(tblSalaries[[#This Row],[Years of Experience]]&gt;5,tblSalaries[[#This Row],[Years of Experience]]&lt;=10),1,""))</f>
        <v/>
      </c>
      <c r="Q1141" t="str">
        <f>IF(tblSalaries[[#This Row],[Years of Experience]]="","",IF(AND(tblSalaries[[#This Row],[Years of Experience]]&gt;10,tblSalaries[[#This Row],[Years of Experience]]&lt;=15),1,""))</f>
        <v/>
      </c>
      <c r="R1141" t="str">
        <f>IF(tblSalaries[[#This Row],[Years of Experience]]="","",IF(AND(tblSalaries[[#This Row],[Years of Experience]]&gt;16,tblSalaries[[#This Row],[Years of Experience]]&lt;=20),1,""))</f>
        <v/>
      </c>
      <c r="S1141" t="str">
        <f>IF(tblSalaries[[#This Row],[Years of Experience]]="","",IF(tblSalaries[[#This Row],[Years of Experience]]&gt;20,1,""))</f>
        <v/>
      </c>
      <c r="T11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41" s="13" t="str">
        <f>IF(tblSalaries[[#This Row],[Job Type]]=tblSalaries[[#Headers],[Accountant]],tblSalaries[[#This Row],[Salary in USD]],"")</f>
        <v/>
      </c>
      <c r="V1141" s="13">
        <f>IF(tblSalaries[[#This Row],[Job Type]]=tblSalaries[[#Headers],[Analyst]],tblSalaries[[#This Row],[Salary in USD]],"")</f>
        <v>8600</v>
      </c>
      <c r="W1141" s="13" t="str">
        <f>IF(tblSalaries[[#This Row],[Job Type]]=tblSalaries[[#Headers],[Consultant]],tblSalaries[[#This Row],[Salary in USD]],"")</f>
        <v/>
      </c>
      <c r="X1141" s="13" t="str">
        <f>IF(tblSalaries[[#This Row],[Job Type]]=tblSalaries[[#Headers],[Controller]],tblSalaries[[#This Row],[Salary in USD]],"")</f>
        <v/>
      </c>
      <c r="Y1141" s="13" t="str">
        <f>IF(tblSalaries[[#This Row],[Job Type]]=tblSalaries[[#Headers],[CXO or Top Mgmt.]],tblSalaries[[#This Row],[clean Salary (in local currency)]],"")</f>
        <v/>
      </c>
      <c r="Z1141" s="13" t="str">
        <f>IF(tblSalaries[[#This Row],[Job Type]]=tblSalaries[[#Headers],[Engineer]],tblSalaries[[#This Row],[Salary in USD]],"")</f>
        <v/>
      </c>
      <c r="AA1141" s="13" t="str">
        <f>IF(tblSalaries[[#This Row],[Job Type]]=tblSalaries[[#Headers],[Manager]],tblSalaries[[#This Row],[Salary in USD]],"")</f>
        <v/>
      </c>
      <c r="AB1141" s="13" t="str">
        <f>IF(tblSalaries[[#This Row],[Job Type]]=tblSalaries[[#Headers],[Misc.]],tblSalaries[[#This Row],[Salary in USD]],"")</f>
        <v/>
      </c>
      <c r="AC1141" s="13" t="str">
        <f>IF(tblSalaries[[#This Row],[Job Type]]=tblSalaries[[#Headers],[Reporting]],tblSalaries[[#This Row],[Salary in USD]],"")</f>
        <v/>
      </c>
      <c r="AD1141" s="13" t="str">
        <f>IF(tblSalaries[[#This Row],[Job Type]]=tblSalaries[[#Headers],[Specialist]],tblSalaries[[#This Row],[Salary in USD]],"")</f>
        <v/>
      </c>
    </row>
    <row r="1142" spans="2:30" ht="15" customHeight="1" x14ac:dyDescent="0.25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 s="9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  <c r="N1142" t="str">
        <f>IF(tblSalaries[[#This Row],[Years of Experience]]="","",IF(tblSalaries[[#This Row],[Years of Experience]]&lt;=2,1,""))</f>
        <v/>
      </c>
      <c r="O1142">
        <f>IF(tblSalaries[[#This Row],[Years of Experience]]="","",IF(AND(tblSalaries[[#This Row],[Years of Experience]]&gt;2,tblSalaries[[#This Row],[Years of Experience]]&lt;=5),1,""))</f>
        <v>1</v>
      </c>
      <c r="P1142" t="str">
        <f>IF(tblSalaries[[#This Row],[Years of Experience]]="","",IF(AND(tblSalaries[[#This Row],[Years of Experience]]&gt;5,tblSalaries[[#This Row],[Years of Experience]]&lt;=10),1,""))</f>
        <v/>
      </c>
      <c r="Q1142" t="str">
        <f>IF(tblSalaries[[#This Row],[Years of Experience]]="","",IF(AND(tblSalaries[[#This Row],[Years of Experience]]&gt;10,tblSalaries[[#This Row],[Years of Experience]]&lt;=15),1,""))</f>
        <v/>
      </c>
      <c r="R1142" t="str">
        <f>IF(tblSalaries[[#This Row],[Years of Experience]]="","",IF(AND(tblSalaries[[#This Row],[Years of Experience]]&gt;16,tblSalaries[[#This Row],[Years of Experience]]&lt;=20),1,""))</f>
        <v/>
      </c>
      <c r="S1142" t="str">
        <f>IF(tblSalaries[[#This Row],[Years of Experience]]="","",IF(tblSalaries[[#This Row],[Years of Experience]]&gt;20,1,""))</f>
        <v/>
      </c>
      <c r="T11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42" s="13" t="str">
        <f>IF(tblSalaries[[#This Row],[Job Type]]=tblSalaries[[#Headers],[Accountant]],tblSalaries[[#This Row],[Salary in USD]],"")</f>
        <v/>
      </c>
      <c r="V1142" s="13">
        <f>IF(tblSalaries[[#This Row],[Job Type]]=tblSalaries[[#Headers],[Analyst]],tblSalaries[[#This Row],[Salary in USD]],"")</f>
        <v>81600</v>
      </c>
      <c r="W1142" s="13" t="str">
        <f>IF(tblSalaries[[#This Row],[Job Type]]=tblSalaries[[#Headers],[Consultant]],tblSalaries[[#This Row],[Salary in USD]],"")</f>
        <v/>
      </c>
      <c r="X1142" s="13" t="str">
        <f>IF(tblSalaries[[#This Row],[Job Type]]=tblSalaries[[#Headers],[Controller]],tblSalaries[[#This Row],[Salary in USD]],"")</f>
        <v/>
      </c>
      <c r="Y1142" s="13" t="str">
        <f>IF(tblSalaries[[#This Row],[Job Type]]=tblSalaries[[#Headers],[CXO or Top Mgmt.]],tblSalaries[[#This Row],[clean Salary (in local currency)]],"")</f>
        <v/>
      </c>
      <c r="Z1142" s="13" t="str">
        <f>IF(tblSalaries[[#This Row],[Job Type]]=tblSalaries[[#Headers],[Engineer]],tblSalaries[[#This Row],[Salary in USD]],"")</f>
        <v/>
      </c>
      <c r="AA1142" s="13" t="str">
        <f>IF(tblSalaries[[#This Row],[Job Type]]=tblSalaries[[#Headers],[Manager]],tblSalaries[[#This Row],[Salary in USD]],"")</f>
        <v/>
      </c>
      <c r="AB1142" s="13" t="str">
        <f>IF(tblSalaries[[#This Row],[Job Type]]=tblSalaries[[#Headers],[Misc.]],tblSalaries[[#This Row],[Salary in USD]],"")</f>
        <v/>
      </c>
      <c r="AC1142" s="13" t="str">
        <f>IF(tblSalaries[[#This Row],[Job Type]]=tblSalaries[[#Headers],[Reporting]],tblSalaries[[#This Row],[Salary in USD]],"")</f>
        <v/>
      </c>
      <c r="AD1142" s="13" t="str">
        <f>IF(tblSalaries[[#This Row],[Job Type]]=tblSalaries[[#Headers],[Specialist]],tblSalaries[[#This Row],[Salary in USD]],"")</f>
        <v/>
      </c>
    </row>
    <row r="1143" spans="2:30" ht="15" customHeight="1" x14ac:dyDescent="0.25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 s="9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t="s">
        <v>1306</v>
      </c>
      <c r="K1143" t="str">
        <f>VLOOKUP(tblSalaries[[#This Row],[Where do you work]],tblCountries[[Actual]:[Mapping]],2,FALSE)</f>
        <v>Republica Dominicana</v>
      </c>
      <c r="L1143" t="s">
        <v>13</v>
      </c>
      <c r="M1143">
        <v>3</v>
      </c>
      <c r="N1143" t="str">
        <f>IF(tblSalaries[[#This Row],[Years of Experience]]="","",IF(tblSalaries[[#This Row],[Years of Experience]]&lt;=2,1,""))</f>
        <v/>
      </c>
      <c r="O1143">
        <f>IF(tblSalaries[[#This Row],[Years of Experience]]="","",IF(AND(tblSalaries[[#This Row],[Years of Experience]]&gt;2,tblSalaries[[#This Row],[Years of Experience]]&lt;=5),1,""))</f>
        <v>1</v>
      </c>
      <c r="P1143" t="str">
        <f>IF(tblSalaries[[#This Row],[Years of Experience]]="","",IF(AND(tblSalaries[[#This Row],[Years of Experience]]&gt;5,tblSalaries[[#This Row],[Years of Experience]]&lt;=10),1,""))</f>
        <v/>
      </c>
      <c r="Q1143" t="str">
        <f>IF(tblSalaries[[#This Row],[Years of Experience]]="","",IF(AND(tblSalaries[[#This Row],[Years of Experience]]&gt;10,tblSalaries[[#This Row],[Years of Experience]]&lt;=15),1,""))</f>
        <v/>
      </c>
      <c r="R1143" t="str">
        <f>IF(tblSalaries[[#This Row],[Years of Experience]]="","",IF(AND(tblSalaries[[#This Row],[Years of Experience]]&gt;16,tblSalaries[[#This Row],[Years of Experience]]&lt;=20),1,""))</f>
        <v/>
      </c>
      <c r="S1143" t="str">
        <f>IF(tblSalaries[[#This Row],[Years of Experience]]="","",IF(tblSalaries[[#This Row],[Years of Experience]]&gt;20,1,""))</f>
        <v/>
      </c>
      <c r="T11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43" s="13" t="str">
        <f>IF(tblSalaries[[#This Row],[Job Type]]=tblSalaries[[#Headers],[Accountant]],tblSalaries[[#This Row],[Salary in USD]],"")</f>
        <v/>
      </c>
      <c r="V1143" s="13">
        <f>IF(tblSalaries[[#This Row],[Job Type]]=tblSalaries[[#Headers],[Analyst]],tblSalaries[[#This Row],[Salary in USD]],"")</f>
        <v>15404.364569961488</v>
      </c>
      <c r="W1143" s="13" t="str">
        <f>IF(tblSalaries[[#This Row],[Job Type]]=tblSalaries[[#Headers],[Consultant]],tblSalaries[[#This Row],[Salary in USD]],"")</f>
        <v/>
      </c>
      <c r="X1143" s="13" t="str">
        <f>IF(tblSalaries[[#This Row],[Job Type]]=tblSalaries[[#Headers],[Controller]],tblSalaries[[#This Row],[Salary in USD]],"")</f>
        <v/>
      </c>
      <c r="Y1143" s="13" t="str">
        <f>IF(tblSalaries[[#This Row],[Job Type]]=tblSalaries[[#Headers],[CXO or Top Mgmt.]],tblSalaries[[#This Row],[clean Salary (in local currency)]],"")</f>
        <v/>
      </c>
      <c r="Z1143" s="13" t="str">
        <f>IF(tblSalaries[[#This Row],[Job Type]]=tblSalaries[[#Headers],[Engineer]],tblSalaries[[#This Row],[Salary in USD]],"")</f>
        <v/>
      </c>
      <c r="AA1143" s="13" t="str">
        <f>IF(tblSalaries[[#This Row],[Job Type]]=tblSalaries[[#Headers],[Manager]],tblSalaries[[#This Row],[Salary in USD]],"")</f>
        <v/>
      </c>
      <c r="AB1143" s="13" t="str">
        <f>IF(tblSalaries[[#This Row],[Job Type]]=tblSalaries[[#Headers],[Misc.]],tblSalaries[[#This Row],[Salary in USD]],"")</f>
        <v/>
      </c>
      <c r="AC1143" s="13" t="str">
        <f>IF(tblSalaries[[#This Row],[Job Type]]=tblSalaries[[#Headers],[Reporting]],tblSalaries[[#This Row],[Salary in USD]],"")</f>
        <v/>
      </c>
      <c r="AD1143" s="13" t="str">
        <f>IF(tblSalaries[[#This Row],[Job Type]]=tblSalaries[[#Headers],[Specialist]],tblSalaries[[#This Row],[Salary in USD]],"")</f>
        <v/>
      </c>
    </row>
    <row r="1144" spans="2:30" ht="15" customHeight="1" x14ac:dyDescent="0.25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 s="9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  <c r="N1144" t="str">
        <f>IF(tblSalaries[[#This Row],[Years of Experience]]="","",IF(tblSalaries[[#This Row],[Years of Experience]]&lt;=2,1,""))</f>
        <v/>
      </c>
      <c r="O1144" t="str">
        <f>IF(tblSalaries[[#This Row],[Years of Experience]]="","",IF(AND(tblSalaries[[#This Row],[Years of Experience]]&gt;2,tblSalaries[[#This Row],[Years of Experience]]&lt;=5),1,""))</f>
        <v/>
      </c>
      <c r="P1144" t="str">
        <f>IF(tblSalaries[[#This Row],[Years of Experience]]="","",IF(AND(tblSalaries[[#This Row],[Years of Experience]]&gt;5,tblSalaries[[#This Row],[Years of Experience]]&lt;=10),1,""))</f>
        <v/>
      </c>
      <c r="Q1144" t="str">
        <f>IF(tblSalaries[[#This Row],[Years of Experience]]="","",IF(AND(tblSalaries[[#This Row],[Years of Experience]]&gt;10,tblSalaries[[#This Row],[Years of Experience]]&lt;=15),1,""))</f>
        <v/>
      </c>
      <c r="R1144">
        <f>IF(tblSalaries[[#This Row],[Years of Experience]]="","",IF(AND(tblSalaries[[#This Row],[Years of Experience]]&gt;16,tblSalaries[[#This Row],[Years of Experience]]&lt;=20),1,""))</f>
        <v>1</v>
      </c>
      <c r="S1144" t="str">
        <f>IF(tblSalaries[[#This Row],[Years of Experience]]="","",IF(tblSalaries[[#This Row],[Years of Experience]]&gt;20,1,""))</f>
        <v/>
      </c>
      <c r="T11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44" s="13" t="str">
        <f>IF(tblSalaries[[#This Row],[Job Type]]=tblSalaries[[#Headers],[Accountant]],tblSalaries[[#This Row],[Salary in USD]],"")</f>
        <v/>
      </c>
      <c r="V1144" s="13">
        <f>IF(tblSalaries[[#This Row],[Job Type]]=tblSalaries[[#Headers],[Analyst]],tblSalaries[[#This Row],[Salary in USD]],"")</f>
        <v>63918.498996971248</v>
      </c>
      <c r="W1144" s="13" t="str">
        <f>IF(tblSalaries[[#This Row],[Job Type]]=tblSalaries[[#Headers],[Consultant]],tblSalaries[[#This Row],[Salary in USD]],"")</f>
        <v/>
      </c>
      <c r="X1144" s="13" t="str">
        <f>IF(tblSalaries[[#This Row],[Job Type]]=tblSalaries[[#Headers],[Controller]],tblSalaries[[#This Row],[Salary in USD]],"")</f>
        <v/>
      </c>
      <c r="Y1144" s="13" t="str">
        <f>IF(tblSalaries[[#This Row],[Job Type]]=tblSalaries[[#Headers],[CXO or Top Mgmt.]],tblSalaries[[#This Row],[clean Salary (in local currency)]],"")</f>
        <v/>
      </c>
      <c r="Z1144" s="13" t="str">
        <f>IF(tblSalaries[[#This Row],[Job Type]]=tblSalaries[[#Headers],[Engineer]],tblSalaries[[#This Row],[Salary in USD]],"")</f>
        <v/>
      </c>
      <c r="AA1144" s="13" t="str">
        <f>IF(tblSalaries[[#This Row],[Job Type]]=tblSalaries[[#Headers],[Manager]],tblSalaries[[#This Row],[Salary in USD]],"")</f>
        <v/>
      </c>
      <c r="AB1144" s="13" t="str">
        <f>IF(tblSalaries[[#This Row],[Job Type]]=tblSalaries[[#Headers],[Misc.]],tblSalaries[[#This Row],[Salary in USD]],"")</f>
        <v/>
      </c>
      <c r="AC1144" s="13" t="str">
        <f>IF(tblSalaries[[#This Row],[Job Type]]=tblSalaries[[#Headers],[Reporting]],tblSalaries[[#This Row],[Salary in USD]],"")</f>
        <v/>
      </c>
      <c r="AD1144" s="13" t="str">
        <f>IF(tblSalaries[[#This Row],[Job Type]]=tblSalaries[[#Headers],[Specialist]],tblSalaries[[#This Row],[Salary in USD]],"")</f>
        <v/>
      </c>
    </row>
    <row r="1145" spans="2:30" ht="15" customHeight="1" x14ac:dyDescent="0.25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 s="9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  <c r="N1145" t="str">
        <f>IF(tblSalaries[[#This Row],[Years of Experience]]="","",IF(tblSalaries[[#This Row],[Years of Experience]]&lt;=2,1,""))</f>
        <v/>
      </c>
      <c r="O1145" t="str">
        <f>IF(tblSalaries[[#This Row],[Years of Experience]]="","",IF(AND(tblSalaries[[#This Row],[Years of Experience]]&gt;2,tblSalaries[[#This Row],[Years of Experience]]&lt;=5),1,""))</f>
        <v/>
      </c>
      <c r="P1145" t="str">
        <f>IF(tblSalaries[[#This Row],[Years of Experience]]="","",IF(AND(tblSalaries[[#This Row],[Years of Experience]]&gt;5,tblSalaries[[#This Row],[Years of Experience]]&lt;=10),1,""))</f>
        <v/>
      </c>
      <c r="Q1145" t="str">
        <f>IF(tblSalaries[[#This Row],[Years of Experience]]="","",IF(AND(tblSalaries[[#This Row],[Years of Experience]]&gt;10,tblSalaries[[#This Row],[Years of Experience]]&lt;=15),1,""))</f>
        <v/>
      </c>
      <c r="R1145">
        <f>IF(tblSalaries[[#This Row],[Years of Experience]]="","",IF(AND(tblSalaries[[#This Row],[Years of Experience]]&gt;16,tblSalaries[[#This Row],[Years of Experience]]&lt;=20),1,""))</f>
        <v>1</v>
      </c>
      <c r="S1145" t="str">
        <f>IF(tblSalaries[[#This Row],[Years of Experience]]="","",IF(tblSalaries[[#This Row],[Years of Experience]]&gt;20,1,""))</f>
        <v/>
      </c>
      <c r="T11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45" s="13" t="str">
        <f>IF(tblSalaries[[#This Row],[Job Type]]=tblSalaries[[#Headers],[Accountant]],tblSalaries[[#This Row],[Salary in USD]],"")</f>
        <v/>
      </c>
      <c r="V1145" s="13" t="str">
        <f>IF(tblSalaries[[#This Row],[Job Type]]=tblSalaries[[#Headers],[Analyst]],tblSalaries[[#This Row],[Salary in USD]],"")</f>
        <v/>
      </c>
      <c r="W1145" s="13" t="str">
        <f>IF(tblSalaries[[#This Row],[Job Type]]=tblSalaries[[#Headers],[Consultant]],tblSalaries[[#This Row],[Salary in USD]],"")</f>
        <v/>
      </c>
      <c r="X1145" s="13">
        <f>IF(tblSalaries[[#This Row],[Job Type]]=tblSalaries[[#Headers],[Controller]],tblSalaries[[#This Row],[Salary in USD]],"")</f>
        <v>75000</v>
      </c>
      <c r="Y1145" s="13" t="str">
        <f>IF(tblSalaries[[#This Row],[Job Type]]=tblSalaries[[#Headers],[CXO or Top Mgmt.]],tblSalaries[[#This Row],[clean Salary (in local currency)]],"")</f>
        <v/>
      </c>
      <c r="Z1145" s="13" t="str">
        <f>IF(tblSalaries[[#This Row],[Job Type]]=tblSalaries[[#Headers],[Engineer]],tblSalaries[[#This Row],[Salary in USD]],"")</f>
        <v/>
      </c>
      <c r="AA1145" s="13" t="str">
        <f>IF(tblSalaries[[#This Row],[Job Type]]=tblSalaries[[#Headers],[Manager]],tblSalaries[[#This Row],[Salary in USD]],"")</f>
        <v/>
      </c>
      <c r="AB1145" s="13" t="str">
        <f>IF(tblSalaries[[#This Row],[Job Type]]=tblSalaries[[#Headers],[Misc.]],tblSalaries[[#This Row],[Salary in USD]],"")</f>
        <v/>
      </c>
      <c r="AC1145" s="13" t="str">
        <f>IF(tblSalaries[[#This Row],[Job Type]]=tblSalaries[[#Headers],[Reporting]],tblSalaries[[#This Row],[Salary in USD]],"")</f>
        <v/>
      </c>
      <c r="AD1145" s="13" t="str">
        <f>IF(tblSalaries[[#This Row],[Job Type]]=tblSalaries[[#Headers],[Specialist]],tblSalaries[[#This Row],[Salary in USD]],"")</f>
        <v/>
      </c>
    </row>
    <row r="1146" spans="2:30" ht="15" customHeight="1" x14ac:dyDescent="0.25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 s="9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  <c r="N1146" t="str">
        <f>IF(tblSalaries[[#This Row],[Years of Experience]]="","",IF(tblSalaries[[#This Row],[Years of Experience]]&lt;=2,1,""))</f>
        <v/>
      </c>
      <c r="O1146" t="str">
        <f>IF(tblSalaries[[#This Row],[Years of Experience]]="","",IF(AND(tblSalaries[[#This Row],[Years of Experience]]&gt;2,tblSalaries[[#This Row],[Years of Experience]]&lt;=5),1,""))</f>
        <v/>
      </c>
      <c r="P1146" t="str">
        <f>IF(tblSalaries[[#This Row],[Years of Experience]]="","",IF(AND(tblSalaries[[#This Row],[Years of Experience]]&gt;5,tblSalaries[[#This Row],[Years of Experience]]&lt;=10),1,""))</f>
        <v/>
      </c>
      <c r="Q1146">
        <f>IF(tblSalaries[[#This Row],[Years of Experience]]="","",IF(AND(tblSalaries[[#This Row],[Years of Experience]]&gt;10,tblSalaries[[#This Row],[Years of Experience]]&lt;=15),1,""))</f>
        <v>1</v>
      </c>
      <c r="R1146" t="str">
        <f>IF(tblSalaries[[#This Row],[Years of Experience]]="","",IF(AND(tblSalaries[[#This Row],[Years of Experience]]&gt;16,tblSalaries[[#This Row],[Years of Experience]]&lt;=20),1,""))</f>
        <v/>
      </c>
      <c r="S1146" t="str">
        <f>IF(tblSalaries[[#This Row],[Years of Experience]]="","",IF(tblSalaries[[#This Row],[Years of Experience]]&gt;20,1,""))</f>
        <v/>
      </c>
      <c r="T11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46" s="13" t="str">
        <f>IF(tblSalaries[[#This Row],[Job Type]]=tblSalaries[[#Headers],[Accountant]],tblSalaries[[#This Row],[Salary in USD]],"")</f>
        <v/>
      </c>
      <c r="V1146" s="13">
        <f>IF(tblSalaries[[#This Row],[Job Type]]=tblSalaries[[#Headers],[Analyst]],tblSalaries[[#This Row],[Salary in USD]],"")</f>
        <v>59000</v>
      </c>
      <c r="W1146" s="13" t="str">
        <f>IF(tblSalaries[[#This Row],[Job Type]]=tblSalaries[[#Headers],[Consultant]],tblSalaries[[#This Row],[Salary in USD]],"")</f>
        <v/>
      </c>
      <c r="X1146" s="13" t="str">
        <f>IF(tblSalaries[[#This Row],[Job Type]]=tblSalaries[[#Headers],[Controller]],tblSalaries[[#This Row],[Salary in USD]],"")</f>
        <v/>
      </c>
      <c r="Y1146" s="13" t="str">
        <f>IF(tblSalaries[[#This Row],[Job Type]]=tblSalaries[[#Headers],[CXO or Top Mgmt.]],tblSalaries[[#This Row],[clean Salary (in local currency)]],"")</f>
        <v/>
      </c>
      <c r="Z1146" s="13" t="str">
        <f>IF(tblSalaries[[#This Row],[Job Type]]=tblSalaries[[#Headers],[Engineer]],tblSalaries[[#This Row],[Salary in USD]],"")</f>
        <v/>
      </c>
      <c r="AA1146" s="13" t="str">
        <f>IF(tblSalaries[[#This Row],[Job Type]]=tblSalaries[[#Headers],[Manager]],tblSalaries[[#This Row],[Salary in USD]],"")</f>
        <v/>
      </c>
      <c r="AB1146" s="13" t="str">
        <f>IF(tblSalaries[[#This Row],[Job Type]]=tblSalaries[[#Headers],[Misc.]],tblSalaries[[#This Row],[Salary in USD]],"")</f>
        <v/>
      </c>
      <c r="AC1146" s="13" t="str">
        <f>IF(tblSalaries[[#This Row],[Job Type]]=tblSalaries[[#Headers],[Reporting]],tblSalaries[[#This Row],[Salary in USD]],"")</f>
        <v/>
      </c>
      <c r="AD1146" s="13" t="str">
        <f>IF(tblSalaries[[#This Row],[Job Type]]=tblSalaries[[#Headers],[Specialist]],tblSalaries[[#This Row],[Salary in USD]],"")</f>
        <v/>
      </c>
    </row>
    <row r="1147" spans="2:30" ht="15" customHeight="1" x14ac:dyDescent="0.25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 s="9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  <c r="N1147" t="str">
        <f>IF(tblSalaries[[#This Row],[Years of Experience]]="","",IF(tblSalaries[[#This Row],[Years of Experience]]&lt;=2,1,""))</f>
        <v/>
      </c>
      <c r="O1147">
        <f>IF(tblSalaries[[#This Row],[Years of Experience]]="","",IF(AND(tblSalaries[[#This Row],[Years of Experience]]&gt;2,tblSalaries[[#This Row],[Years of Experience]]&lt;=5),1,""))</f>
        <v>1</v>
      </c>
      <c r="P1147" t="str">
        <f>IF(tblSalaries[[#This Row],[Years of Experience]]="","",IF(AND(tblSalaries[[#This Row],[Years of Experience]]&gt;5,tblSalaries[[#This Row],[Years of Experience]]&lt;=10),1,""))</f>
        <v/>
      </c>
      <c r="Q1147" t="str">
        <f>IF(tblSalaries[[#This Row],[Years of Experience]]="","",IF(AND(tblSalaries[[#This Row],[Years of Experience]]&gt;10,tblSalaries[[#This Row],[Years of Experience]]&lt;=15),1,""))</f>
        <v/>
      </c>
      <c r="R1147" t="str">
        <f>IF(tblSalaries[[#This Row],[Years of Experience]]="","",IF(AND(tblSalaries[[#This Row],[Years of Experience]]&gt;16,tblSalaries[[#This Row],[Years of Experience]]&lt;=20),1,""))</f>
        <v/>
      </c>
      <c r="S1147" t="str">
        <f>IF(tblSalaries[[#This Row],[Years of Experience]]="","",IF(tblSalaries[[#This Row],[Years of Experience]]&gt;20,1,""))</f>
        <v/>
      </c>
      <c r="T11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47" s="13" t="str">
        <f>IF(tblSalaries[[#This Row],[Job Type]]=tblSalaries[[#Headers],[Accountant]],tblSalaries[[#This Row],[Salary in USD]],"")</f>
        <v/>
      </c>
      <c r="V1147" s="13" t="str">
        <f>IF(tblSalaries[[#This Row],[Job Type]]=tblSalaries[[#Headers],[Analyst]],tblSalaries[[#This Row],[Salary in USD]],"")</f>
        <v/>
      </c>
      <c r="W1147" s="13" t="str">
        <f>IF(tblSalaries[[#This Row],[Job Type]]=tblSalaries[[#Headers],[Consultant]],tblSalaries[[#This Row],[Salary in USD]],"")</f>
        <v/>
      </c>
      <c r="X1147" s="13" t="str">
        <f>IF(tblSalaries[[#This Row],[Job Type]]=tblSalaries[[#Headers],[Controller]],tblSalaries[[#This Row],[Salary in USD]],"")</f>
        <v/>
      </c>
      <c r="Y1147" s="13" t="str">
        <f>IF(tblSalaries[[#This Row],[Job Type]]=tblSalaries[[#Headers],[CXO or Top Mgmt.]],tblSalaries[[#This Row],[clean Salary (in local currency)]],"")</f>
        <v/>
      </c>
      <c r="Z1147" s="13" t="str">
        <f>IF(tblSalaries[[#This Row],[Job Type]]=tblSalaries[[#Headers],[Engineer]],tblSalaries[[#This Row],[Salary in USD]],"")</f>
        <v/>
      </c>
      <c r="AA1147" s="13">
        <f>IF(tblSalaries[[#This Row],[Job Type]]=tblSalaries[[#Headers],[Manager]],tblSalaries[[#This Row],[Salary in USD]],"")</f>
        <v>50000</v>
      </c>
      <c r="AB1147" s="13" t="str">
        <f>IF(tblSalaries[[#This Row],[Job Type]]=tblSalaries[[#Headers],[Misc.]],tblSalaries[[#This Row],[Salary in USD]],"")</f>
        <v/>
      </c>
      <c r="AC1147" s="13" t="str">
        <f>IF(tblSalaries[[#This Row],[Job Type]]=tblSalaries[[#Headers],[Reporting]],tblSalaries[[#This Row],[Salary in USD]],"")</f>
        <v/>
      </c>
      <c r="AD1147" s="13" t="str">
        <f>IF(tblSalaries[[#This Row],[Job Type]]=tblSalaries[[#Headers],[Specialist]],tblSalaries[[#This Row],[Salary in USD]],"")</f>
        <v/>
      </c>
    </row>
    <row r="1148" spans="2:30" ht="15" customHeight="1" x14ac:dyDescent="0.25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 s="9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  <c r="N1148" t="str">
        <f>IF(tblSalaries[[#This Row],[Years of Experience]]="","",IF(tblSalaries[[#This Row],[Years of Experience]]&lt;=2,1,""))</f>
        <v/>
      </c>
      <c r="O1148" t="str">
        <f>IF(tblSalaries[[#This Row],[Years of Experience]]="","",IF(AND(tblSalaries[[#This Row],[Years of Experience]]&gt;2,tblSalaries[[#This Row],[Years of Experience]]&lt;=5),1,""))</f>
        <v/>
      </c>
      <c r="P1148" t="str">
        <f>IF(tblSalaries[[#This Row],[Years of Experience]]="","",IF(AND(tblSalaries[[#This Row],[Years of Experience]]&gt;5,tblSalaries[[#This Row],[Years of Experience]]&lt;=10),1,""))</f>
        <v/>
      </c>
      <c r="Q1148">
        <f>IF(tblSalaries[[#This Row],[Years of Experience]]="","",IF(AND(tblSalaries[[#This Row],[Years of Experience]]&gt;10,tblSalaries[[#This Row],[Years of Experience]]&lt;=15),1,""))</f>
        <v>1</v>
      </c>
      <c r="R1148" t="str">
        <f>IF(tblSalaries[[#This Row],[Years of Experience]]="","",IF(AND(tblSalaries[[#This Row],[Years of Experience]]&gt;16,tblSalaries[[#This Row],[Years of Experience]]&lt;=20),1,""))</f>
        <v/>
      </c>
      <c r="S1148" t="str">
        <f>IF(tblSalaries[[#This Row],[Years of Experience]]="","",IF(tblSalaries[[#This Row],[Years of Experience]]&gt;20,1,""))</f>
        <v/>
      </c>
      <c r="T11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48" s="13" t="str">
        <f>IF(tblSalaries[[#This Row],[Job Type]]=tblSalaries[[#Headers],[Accountant]],tblSalaries[[#This Row],[Salary in USD]],"")</f>
        <v/>
      </c>
      <c r="V1148" s="13" t="str">
        <f>IF(tblSalaries[[#This Row],[Job Type]]=tblSalaries[[#Headers],[Analyst]],tblSalaries[[#This Row],[Salary in USD]],"")</f>
        <v/>
      </c>
      <c r="W1148" s="13" t="str">
        <f>IF(tblSalaries[[#This Row],[Job Type]]=tblSalaries[[#Headers],[Consultant]],tblSalaries[[#This Row],[Salary in USD]],"")</f>
        <v/>
      </c>
      <c r="X1148" s="13">
        <f>IF(tblSalaries[[#This Row],[Job Type]]=tblSalaries[[#Headers],[Controller]],tblSalaries[[#This Row],[Salary in USD]],"")</f>
        <v>126094.26176538273</v>
      </c>
      <c r="Y1148" s="13" t="str">
        <f>IF(tblSalaries[[#This Row],[Job Type]]=tblSalaries[[#Headers],[CXO or Top Mgmt.]],tblSalaries[[#This Row],[clean Salary (in local currency)]],"")</f>
        <v/>
      </c>
      <c r="Z1148" s="13" t="str">
        <f>IF(tblSalaries[[#This Row],[Job Type]]=tblSalaries[[#Headers],[Engineer]],tblSalaries[[#This Row],[Salary in USD]],"")</f>
        <v/>
      </c>
      <c r="AA1148" s="13" t="str">
        <f>IF(tblSalaries[[#This Row],[Job Type]]=tblSalaries[[#Headers],[Manager]],tblSalaries[[#This Row],[Salary in USD]],"")</f>
        <v/>
      </c>
      <c r="AB1148" s="13" t="str">
        <f>IF(tblSalaries[[#This Row],[Job Type]]=tblSalaries[[#Headers],[Misc.]],tblSalaries[[#This Row],[Salary in USD]],"")</f>
        <v/>
      </c>
      <c r="AC1148" s="13" t="str">
        <f>IF(tblSalaries[[#This Row],[Job Type]]=tblSalaries[[#Headers],[Reporting]],tblSalaries[[#This Row],[Salary in USD]],"")</f>
        <v/>
      </c>
      <c r="AD1148" s="13" t="str">
        <f>IF(tblSalaries[[#This Row],[Job Type]]=tblSalaries[[#Headers],[Specialist]],tblSalaries[[#This Row],[Salary in USD]],"")</f>
        <v/>
      </c>
    </row>
    <row r="1149" spans="2:30" ht="15" customHeight="1" x14ac:dyDescent="0.25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 s="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  <c r="N1149" t="str">
        <f>IF(tblSalaries[[#This Row],[Years of Experience]]="","",IF(tblSalaries[[#This Row],[Years of Experience]]&lt;=2,1,""))</f>
        <v/>
      </c>
      <c r="O1149" t="str">
        <f>IF(tblSalaries[[#This Row],[Years of Experience]]="","",IF(AND(tblSalaries[[#This Row],[Years of Experience]]&gt;2,tblSalaries[[#This Row],[Years of Experience]]&lt;=5),1,""))</f>
        <v/>
      </c>
      <c r="P1149">
        <f>IF(tblSalaries[[#This Row],[Years of Experience]]="","",IF(AND(tblSalaries[[#This Row],[Years of Experience]]&gt;5,tblSalaries[[#This Row],[Years of Experience]]&lt;=10),1,""))</f>
        <v>1</v>
      </c>
      <c r="Q1149" t="str">
        <f>IF(tblSalaries[[#This Row],[Years of Experience]]="","",IF(AND(tblSalaries[[#This Row],[Years of Experience]]&gt;10,tblSalaries[[#This Row],[Years of Experience]]&lt;=15),1,""))</f>
        <v/>
      </c>
      <c r="R1149" t="str">
        <f>IF(tblSalaries[[#This Row],[Years of Experience]]="","",IF(AND(tblSalaries[[#This Row],[Years of Experience]]&gt;16,tblSalaries[[#This Row],[Years of Experience]]&lt;=20),1,""))</f>
        <v/>
      </c>
      <c r="S1149" t="str">
        <f>IF(tblSalaries[[#This Row],[Years of Experience]]="","",IF(tblSalaries[[#This Row],[Years of Experience]]&gt;20,1,""))</f>
        <v/>
      </c>
      <c r="T11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49" s="13" t="str">
        <f>IF(tblSalaries[[#This Row],[Job Type]]=tblSalaries[[#Headers],[Accountant]],tblSalaries[[#This Row],[Salary in USD]],"")</f>
        <v/>
      </c>
      <c r="V1149" s="13" t="str">
        <f>IF(tblSalaries[[#This Row],[Job Type]]=tblSalaries[[#Headers],[Analyst]],tblSalaries[[#This Row],[Salary in USD]],"")</f>
        <v/>
      </c>
      <c r="W1149" s="13" t="str">
        <f>IF(tblSalaries[[#This Row],[Job Type]]=tblSalaries[[#Headers],[Consultant]],tblSalaries[[#This Row],[Salary in USD]],"")</f>
        <v/>
      </c>
      <c r="X1149" s="13" t="str">
        <f>IF(tblSalaries[[#This Row],[Job Type]]=tblSalaries[[#Headers],[Controller]],tblSalaries[[#This Row],[Salary in USD]],"")</f>
        <v/>
      </c>
      <c r="Y1149" s="13" t="str">
        <f>IF(tblSalaries[[#This Row],[Job Type]]=tblSalaries[[#Headers],[CXO or Top Mgmt.]],tblSalaries[[#This Row],[clean Salary (in local currency)]],"")</f>
        <v/>
      </c>
      <c r="Z1149" s="13" t="str">
        <f>IF(tblSalaries[[#This Row],[Job Type]]=tblSalaries[[#Headers],[Engineer]],tblSalaries[[#This Row],[Salary in USD]],"")</f>
        <v/>
      </c>
      <c r="AA1149" s="13">
        <f>IF(tblSalaries[[#This Row],[Job Type]]=tblSalaries[[#Headers],[Manager]],tblSalaries[[#This Row],[Salary in USD]],"")</f>
        <v>26691.183012544854</v>
      </c>
      <c r="AB1149" s="13" t="str">
        <f>IF(tblSalaries[[#This Row],[Job Type]]=tblSalaries[[#Headers],[Misc.]],tblSalaries[[#This Row],[Salary in USD]],"")</f>
        <v/>
      </c>
      <c r="AC1149" s="13" t="str">
        <f>IF(tblSalaries[[#This Row],[Job Type]]=tblSalaries[[#Headers],[Reporting]],tblSalaries[[#This Row],[Salary in USD]],"")</f>
        <v/>
      </c>
      <c r="AD1149" s="13" t="str">
        <f>IF(tblSalaries[[#This Row],[Job Type]]=tblSalaries[[#Headers],[Specialist]],tblSalaries[[#This Row],[Salary in USD]],"")</f>
        <v/>
      </c>
    </row>
    <row r="1150" spans="2:30" ht="15" customHeight="1" x14ac:dyDescent="0.25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 s="9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  <c r="N1150">
        <f>IF(tblSalaries[[#This Row],[Years of Experience]]="","",IF(tblSalaries[[#This Row],[Years of Experience]]&lt;=2,1,""))</f>
        <v>1</v>
      </c>
      <c r="O1150" t="str">
        <f>IF(tblSalaries[[#This Row],[Years of Experience]]="","",IF(AND(tblSalaries[[#This Row],[Years of Experience]]&gt;2,tblSalaries[[#This Row],[Years of Experience]]&lt;=5),1,""))</f>
        <v/>
      </c>
      <c r="P1150" t="str">
        <f>IF(tblSalaries[[#This Row],[Years of Experience]]="","",IF(AND(tblSalaries[[#This Row],[Years of Experience]]&gt;5,tblSalaries[[#This Row],[Years of Experience]]&lt;=10),1,""))</f>
        <v/>
      </c>
      <c r="Q1150" t="str">
        <f>IF(tblSalaries[[#This Row],[Years of Experience]]="","",IF(AND(tblSalaries[[#This Row],[Years of Experience]]&gt;10,tblSalaries[[#This Row],[Years of Experience]]&lt;=15),1,""))</f>
        <v/>
      </c>
      <c r="R1150" t="str">
        <f>IF(tblSalaries[[#This Row],[Years of Experience]]="","",IF(AND(tblSalaries[[#This Row],[Years of Experience]]&gt;16,tblSalaries[[#This Row],[Years of Experience]]&lt;=20),1,""))</f>
        <v/>
      </c>
      <c r="S1150" t="str">
        <f>IF(tblSalaries[[#This Row],[Years of Experience]]="","",IF(tblSalaries[[#This Row],[Years of Experience]]&gt;20,1,""))</f>
        <v/>
      </c>
      <c r="T11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50" s="13" t="str">
        <f>IF(tblSalaries[[#This Row],[Job Type]]=tblSalaries[[#Headers],[Accountant]],tblSalaries[[#This Row],[Salary in USD]],"")</f>
        <v/>
      </c>
      <c r="V1150" s="13">
        <f>IF(tblSalaries[[#This Row],[Job Type]]=tblSalaries[[#Headers],[Analyst]],tblSalaries[[#This Row],[Salary in USD]],"")</f>
        <v>8903.9583437212841</v>
      </c>
      <c r="W1150" s="13" t="str">
        <f>IF(tblSalaries[[#This Row],[Job Type]]=tblSalaries[[#Headers],[Consultant]],tblSalaries[[#This Row],[Salary in USD]],"")</f>
        <v/>
      </c>
      <c r="X1150" s="13" t="str">
        <f>IF(tblSalaries[[#This Row],[Job Type]]=tblSalaries[[#Headers],[Controller]],tblSalaries[[#This Row],[Salary in USD]],"")</f>
        <v/>
      </c>
      <c r="Y1150" s="13" t="str">
        <f>IF(tblSalaries[[#This Row],[Job Type]]=tblSalaries[[#Headers],[CXO or Top Mgmt.]],tblSalaries[[#This Row],[clean Salary (in local currency)]],"")</f>
        <v/>
      </c>
      <c r="Z1150" s="13" t="str">
        <f>IF(tblSalaries[[#This Row],[Job Type]]=tblSalaries[[#Headers],[Engineer]],tblSalaries[[#This Row],[Salary in USD]],"")</f>
        <v/>
      </c>
      <c r="AA1150" s="13" t="str">
        <f>IF(tblSalaries[[#This Row],[Job Type]]=tblSalaries[[#Headers],[Manager]],tblSalaries[[#This Row],[Salary in USD]],"")</f>
        <v/>
      </c>
      <c r="AB1150" s="13" t="str">
        <f>IF(tblSalaries[[#This Row],[Job Type]]=tblSalaries[[#Headers],[Misc.]],tblSalaries[[#This Row],[Salary in USD]],"")</f>
        <v/>
      </c>
      <c r="AC1150" s="13" t="str">
        <f>IF(tblSalaries[[#This Row],[Job Type]]=tblSalaries[[#Headers],[Reporting]],tblSalaries[[#This Row],[Salary in USD]],"")</f>
        <v/>
      </c>
      <c r="AD1150" s="13" t="str">
        <f>IF(tblSalaries[[#This Row],[Job Type]]=tblSalaries[[#Headers],[Specialist]],tblSalaries[[#This Row],[Salary in USD]],"")</f>
        <v/>
      </c>
    </row>
    <row r="1151" spans="2:30" ht="15" customHeight="1" x14ac:dyDescent="0.25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 s="9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  <c r="N1151" t="str">
        <f>IF(tblSalaries[[#This Row],[Years of Experience]]="","",IF(tblSalaries[[#This Row],[Years of Experience]]&lt;=2,1,""))</f>
        <v/>
      </c>
      <c r="O1151" t="str">
        <f>IF(tblSalaries[[#This Row],[Years of Experience]]="","",IF(AND(tblSalaries[[#This Row],[Years of Experience]]&gt;2,tblSalaries[[#This Row],[Years of Experience]]&lt;=5),1,""))</f>
        <v/>
      </c>
      <c r="P1151" t="str">
        <f>IF(tblSalaries[[#This Row],[Years of Experience]]="","",IF(AND(tblSalaries[[#This Row],[Years of Experience]]&gt;5,tblSalaries[[#This Row],[Years of Experience]]&lt;=10),1,""))</f>
        <v/>
      </c>
      <c r="Q1151" t="str">
        <f>IF(tblSalaries[[#This Row],[Years of Experience]]="","",IF(AND(tblSalaries[[#This Row],[Years of Experience]]&gt;10,tblSalaries[[#This Row],[Years of Experience]]&lt;=15),1,""))</f>
        <v/>
      </c>
      <c r="R1151">
        <f>IF(tblSalaries[[#This Row],[Years of Experience]]="","",IF(AND(tblSalaries[[#This Row],[Years of Experience]]&gt;16,tblSalaries[[#This Row],[Years of Experience]]&lt;=20),1,""))</f>
        <v>1</v>
      </c>
      <c r="S1151" t="str">
        <f>IF(tblSalaries[[#This Row],[Years of Experience]]="","",IF(tblSalaries[[#This Row],[Years of Experience]]&gt;20,1,""))</f>
        <v/>
      </c>
      <c r="T11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51" s="13" t="str">
        <f>IF(tblSalaries[[#This Row],[Job Type]]=tblSalaries[[#Headers],[Accountant]],tblSalaries[[#This Row],[Salary in USD]],"")</f>
        <v/>
      </c>
      <c r="V1151" s="13" t="str">
        <f>IF(tblSalaries[[#This Row],[Job Type]]=tblSalaries[[#Headers],[Analyst]],tblSalaries[[#This Row],[Salary in USD]],"")</f>
        <v/>
      </c>
      <c r="W1151" s="13" t="str">
        <f>IF(tblSalaries[[#This Row],[Job Type]]=tblSalaries[[#Headers],[Consultant]],tblSalaries[[#This Row],[Salary in USD]],"")</f>
        <v/>
      </c>
      <c r="X1151" s="13" t="str">
        <f>IF(tblSalaries[[#This Row],[Job Type]]=tblSalaries[[#Headers],[Controller]],tblSalaries[[#This Row],[Salary in USD]],"")</f>
        <v/>
      </c>
      <c r="Y1151" s="13" t="str">
        <f>IF(tblSalaries[[#This Row],[Job Type]]=tblSalaries[[#Headers],[CXO or Top Mgmt.]],tblSalaries[[#This Row],[clean Salary (in local currency)]],"")</f>
        <v/>
      </c>
      <c r="Z1151" s="13" t="str">
        <f>IF(tblSalaries[[#This Row],[Job Type]]=tblSalaries[[#Headers],[Engineer]],tblSalaries[[#This Row],[Salary in USD]],"")</f>
        <v/>
      </c>
      <c r="AA1151" s="13">
        <f>IF(tblSalaries[[#This Row],[Job Type]]=tblSalaries[[#Headers],[Manager]],tblSalaries[[#This Row],[Salary in USD]],"")</f>
        <v>8725</v>
      </c>
      <c r="AB1151" s="13" t="str">
        <f>IF(tblSalaries[[#This Row],[Job Type]]=tblSalaries[[#Headers],[Misc.]],tblSalaries[[#This Row],[Salary in USD]],"")</f>
        <v/>
      </c>
      <c r="AC1151" s="13" t="str">
        <f>IF(tblSalaries[[#This Row],[Job Type]]=tblSalaries[[#Headers],[Reporting]],tblSalaries[[#This Row],[Salary in USD]],"")</f>
        <v/>
      </c>
      <c r="AD1151" s="13" t="str">
        <f>IF(tblSalaries[[#This Row],[Job Type]]=tblSalaries[[#Headers],[Specialist]],tblSalaries[[#This Row],[Salary in USD]],"")</f>
        <v/>
      </c>
    </row>
    <row r="1152" spans="2:30" ht="15" customHeight="1" x14ac:dyDescent="0.25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 s="9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  <c r="N1152" t="str">
        <f>IF(tblSalaries[[#This Row],[Years of Experience]]="","",IF(tblSalaries[[#This Row],[Years of Experience]]&lt;=2,1,""))</f>
        <v/>
      </c>
      <c r="O1152">
        <f>IF(tblSalaries[[#This Row],[Years of Experience]]="","",IF(AND(tblSalaries[[#This Row],[Years of Experience]]&gt;2,tblSalaries[[#This Row],[Years of Experience]]&lt;=5),1,""))</f>
        <v>1</v>
      </c>
      <c r="P1152" t="str">
        <f>IF(tblSalaries[[#This Row],[Years of Experience]]="","",IF(AND(tblSalaries[[#This Row],[Years of Experience]]&gt;5,tblSalaries[[#This Row],[Years of Experience]]&lt;=10),1,""))</f>
        <v/>
      </c>
      <c r="Q1152" t="str">
        <f>IF(tblSalaries[[#This Row],[Years of Experience]]="","",IF(AND(tblSalaries[[#This Row],[Years of Experience]]&gt;10,tblSalaries[[#This Row],[Years of Experience]]&lt;=15),1,""))</f>
        <v/>
      </c>
      <c r="R1152" t="str">
        <f>IF(tblSalaries[[#This Row],[Years of Experience]]="","",IF(AND(tblSalaries[[#This Row],[Years of Experience]]&gt;16,tblSalaries[[#This Row],[Years of Experience]]&lt;=20),1,""))</f>
        <v/>
      </c>
      <c r="S1152" t="str">
        <f>IF(tblSalaries[[#This Row],[Years of Experience]]="","",IF(tblSalaries[[#This Row],[Years of Experience]]&gt;20,1,""))</f>
        <v/>
      </c>
      <c r="T11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52" s="13" t="str">
        <f>IF(tblSalaries[[#This Row],[Job Type]]=tblSalaries[[#Headers],[Accountant]],tblSalaries[[#This Row],[Salary in USD]],"")</f>
        <v/>
      </c>
      <c r="V1152" s="13">
        <f>IF(tblSalaries[[#This Row],[Job Type]]=tblSalaries[[#Headers],[Analyst]],tblSalaries[[#This Row],[Salary in USD]],"")</f>
        <v>50437.70470615309</v>
      </c>
      <c r="W1152" s="13" t="str">
        <f>IF(tblSalaries[[#This Row],[Job Type]]=tblSalaries[[#Headers],[Consultant]],tblSalaries[[#This Row],[Salary in USD]],"")</f>
        <v/>
      </c>
      <c r="X1152" s="13" t="str">
        <f>IF(tblSalaries[[#This Row],[Job Type]]=tblSalaries[[#Headers],[Controller]],tblSalaries[[#This Row],[Salary in USD]],"")</f>
        <v/>
      </c>
      <c r="Y1152" s="13" t="str">
        <f>IF(tblSalaries[[#This Row],[Job Type]]=tblSalaries[[#Headers],[CXO or Top Mgmt.]],tblSalaries[[#This Row],[clean Salary (in local currency)]],"")</f>
        <v/>
      </c>
      <c r="Z1152" s="13" t="str">
        <f>IF(tblSalaries[[#This Row],[Job Type]]=tblSalaries[[#Headers],[Engineer]],tblSalaries[[#This Row],[Salary in USD]],"")</f>
        <v/>
      </c>
      <c r="AA1152" s="13" t="str">
        <f>IF(tblSalaries[[#This Row],[Job Type]]=tblSalaries[[#Headers],[Manager]],tblSalaries[[#This Row],[Salary in USD]],"")</f>
        <v/>
      </c>
      <c r="AB1152" s="13" t="str">
        <f>IF(tblSalaries[[#This Row],[Job Type]]=tblSalaries[[#Headers],[Misc.]],tblSalaries[[#This Row],[Salary in USD]],"")</f>
        <v/>
      </c>
      <c r="AC1152" s="13" t="str">
        <f>IF(tblSalaries[[#This Row],[Job Type]]=tblSalaries[[#Headers],[Reporting]],tblSalaries[[#This Row],[Salary in USD]],"")</f>
        <v/>
      </c>
      <c r="AD1152" s="13" t="str">
        <f>IF(tblSalaries[[#This Row],[Job Type]]=tblSalaries[[#Headers],[Specialist]],tblSalaries[[#This Row],[Salary in USD]],"")</f>
        <v/>
      </c>
    </row>
    <row r="1153" spans="2:30" ht="15" customHeight="1" x14ac:dyDescent="0.25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 s="9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  <c r="N1153" t="str">
        <f>IF(tblSalaries[[#This Row],[Years of Experience]]="","",IF(tblSalaries[[#This Row],[Years of Experience]]&lt;=2,1,""))</f>
        <v/>
      </c>
      <c r="O1153" t="str">
        <f>IF(tblSalaries[[#This Row],[Years of Experience]]="","",IF(AND(tblSalaries[[#This Row],[Years of Experience]]&gt;2,tblSalaries[[#This Row],[Years of Experience]]&lt;=5),1,""))</f>
        <v/>
      </c>
      <c r="P1153" t="str">
        <f>IF(tblSalaries[[#This Row],[Years of Experience]]="","",IF(AND(tblSalaries[[#This Row],[Years of Experience]]&gt;5,tblSalaries[[#This Row],[Years of Experience]]&lt;=10),1,""))</f>
        <v/>
      </c>
      <c r="Q1153">
        <f>IF(tblSalaries[[#This Row],[Years of Experience]]="","",IF(AND(tblSalaries[[#This Row],[Years of Experience]]&gt;10,tblSalaries[[#This Row],[Years of Experience]]&lt;=15),1,""))</f>
        <v>1</v>
      </c>
      <c r="R1153" t="str">
        <f>IF(tblSalaries[[#This Row],[Years of Experience]]="","",IF(AND(tblSalaries[[#This Row],[Years of Experience]]&gt;16,tblSalaries[[#This Row],[Years of Experience]]&lt;=20),1,""))</f>
        <v/>
      </c>
      <c r="S1153" t="str">
        <f>IF(tblSalaries[[#This Row],[Years of Experience]]="","",IF(tblSalaries[[#This Row],[Years of Experience]]&gt;20,1,""))</f>
        <v/>
      </c>
      <c r="T11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53" s="13">
        <f>IF(tblSalaries[[#This Row],[Job Type]]=tblSalaries[[#Headers],[Accountant]],tblSalaries[[#This Row],[Salary in USD]],"")</f>
        <v>67775.665698893223</v>
      </c>
      <c r="V1153" s="13" t="str">
        <f>IF(tblSalaries[[#This Row],[Job Type]]=tblSalaries[[#Headers],[Analyst]],tblSalaries[[#This Row],[Salary in USD]],"")</f>
        <v/>
      </c>
      <c r="W1153" s="13" t="str">
        <f>IF(tblSalaries[[#This Row],[Job Type]]=tblSalaries[[#Headers],[Consultant]],tblSalaries[[#This Row],[Salary in USD]],"")</f>
        <v/>
      </c>
      <c r="X1153" s="13" t="str">
        <f>IF(tblSalaries[[#This Row],[Job Type]]=tblSalaries[[#Headers],[Controller]],tblSalaries[[#This Row],[Salary in USD]],"")</f>
        <v/>
      </c>
      <c r="Y1153" s="13" t="str">
        <f>IF(tblSalaries[[#This Row],[Job Type]]=tblSalaries[[#Headers],[CXO or Top Mgmt.]],tblSalaries[[#This Row],[clean Salary (in local currency)]],"")</f>
        <v/>
      </c>
      <c r="Z1153" s="13" t="str">
        <f>IF(tblSalaries[[#This Row],[Job Type]]=tblSalaries[[#Headers],[Engineer]],tblSalaries[[#This Row],[Salary in USD]],"")</f>
        <v/>
      </c>
      <c r="AA1153" s="13" t="str">
        <f>IF(tblSalaries[[#This Row],[Job Type]]=tblSalaries[[#Headers],[Manager]],tblSalaries[[#This Row],[Salary in USD]],"")</f>
        <v/>
      </c>
      <c r="AB1153" s="13" t="str">
        <f>IF(tblSalaries[[#This Row],[Job Type]]=tblSalaries[[#Headers],[Misc.]],tblSalaries[[#This Row],[Salary in USD]],"")</f>
        <v/>
      </c>
      <c r="AC1153" s="13" t="str">
        <f>IF(tblSalaries[[#This Row],[Job Type]]=tblSalaries[[#Headers],[Reporting]],tblSalaries[[#This Row],[Salary in USD]],"")</f>
        <v/>
      </c>
      <c r="AD1153" s="13" t="str">
        <f>IF(tblSalaries[[#This Row],[Job Type]]=tblSalaries[[#Headers],[Specialist]],tblSalaries[[#This Row],[Salary in USD]],"")</f>
        <v/>
      </c>
    </row>
    <row r="1154" spans="2:30" ht="15" customHeight="1" x14ac:dyDescent="0.25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 s="9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  <c r="N1154" t="str">
        <f>IF(tblSalaries[[#This Row],[Years of Experience]]="","",IF(tblSalaries[[#This Row],[Years of Experience]]&lt;=2,1,""))</f>
        <v/>
      </c>
      <c r="O1154" t="str">
        <f>IF(tblSalaries[[#This Row],[Years of Experience]]="","",IF(AND(tblSalaries[[#This Row],[Years of Experience]]&gt;2,tblSalaries[[#This Row],[Years of Experience]]&lt;=5),1,""))</f>
        <v/>
      </c>
      <c r="P1154">
        <f>IF(tblSalaries[[#This Row],[Years of Experience]]="","",IF(AND(tblSalaries[[#This Row],[Years of Experience]]&gt;5,tblSalaries[[#This Row],[Years of Experience]]&lt;=10),1,""))</f>
        <v>1</v>
      </c>
      <c r="Q1154" t="str">
        <f>IF(tblSalaries[[#This Row],[Years of Experience]]="","",IF(AND(tblSalaries[[#This Row],[Years of Experience]]&gt;10,tblSalaries[[#This Row],[Years of Experience]]&lt;=15),1,""))</f>
        <v/>
      </c>
      <c r="R1154" t="str">
        <f>IF(tblSalaries[[#This Row],[Years of Experience]]="","",IF(AND(tblSalaries[[#This Row],[Years of Experience]]&gt;16,tblSalaries[[#This Row],[Years of Experience]]&lt;=20),1,""))</f>
        <v/>
      </c>
      <c r="S1154" t="str">
        <f>IF(tblSalaries[[#This Row],[Years of Experience]]="","",IF(tblSalaries[[#This Row],[Years of Experience]]&gt;20,1,""))</f>
        <v/>
      </c>
      <c r="T11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54" s="13" t="str">
        <f>IF(tblSalaries[[#This Row],[Job Type]]=tblSalaries[[#Headers],[Accountant]],tblSalaries[[#This Row],[Salary in USD]],"")</f>
        <v/>
      </c>
      <c r="V1154" s="13">
        <f>IF(tblSalaries[[#This Row],[Job Type]]=tblSalaries[[#Headers],[Analyst]],tblSalaries[[#This Row],[Salary in USD]],"")</f>
        <v>52118.160720607324</v>
      </c>
      <c r="W1154" s="13" t="str">
        <f>IF(tblSalaries[[#This Row],[Job Type]]=tblSalaries[[#Headers],[Consultant]],tblSalaries[[#This Row],[Salary in USD]],"")</f>
        <v/>
      </c>
      <c r="X1154" s="13" t="str">
        <f>IF(tblSalaries[[#This Row],[Job Type]]=tblSalaries[[#Headers],[Controller]],tblSalaries[[#This Row],[Salary in USD]],"")</f>
        <v/>
      </c>
      <c r="Y1154" s="13" t="str">
        <f>IF(tblSalaries[[#This Row],[Job Type]]=tblSalaries[[#Headers],[CXO or Top Mgmt.]],tblSalaries[[#This Row],[clean Salary (in local currency)]],"")</f>
        <v/>
      </c>
      <c r="Z1154" s="13" t="str">
        <f>IF(tblSalaries[[#This Row],[Job Type]]=tblSalaries[[#Headers],[Engineer]],tblSalaries[[#This Row],[Salary in USD]],"")</f>
        <v/>
      </c>
      <c r="AA1154" s="13" t="str">
        <f>IF(tblSalaries[[#This Row],[Job Type]]=tblSalaries[[#Headers],[Manager]],tblSalaries[[#This Row],[Salary in USD]],"")</f>
        <v/>
      </c>
      <c r="AB1154" s="13" t="str">
        <f>IF(tblSalaries[[#This Row],[Job Type]]=tblSalaries[[#Headers],[Misc.]],tblSalaries[[#This Row],[Salary in USD]],"")</f>
        <v/>
      </c>
      <c r="AC1154" s="13" t="str">
        <f>IF(tblSalaries[[#This Row],[Job Type]]=tblSalaries[[#Headers],[Reporting]],tblSalaries[[#This Row],[Salary in USD]],"")</f>
        <v/>
      </c>
      <c r="AD1154" s="13" t="str">
        <f>IF(tblSalaries[[#This Row],[Job Type]]=tblSalaries[[#Headers],[Specialist]],tblSalaries[[#This Row],[Salary in USD]],"")</f>
        <v/>
      </c>
    </row>
    <row r="1155" spans="2:30" ht="15" customHeight="1" x14ac:dyDescent="0.25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 s="9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  <c r="N1155" t="str">
        <f>IF(tblSalaries[[#This Row],[Years of Experience]]="","",IF(tblSalaries[[#This Row],[Years of Experience]]&lt;=2,1,""))</f>
        <v/>
      </c>
      <c r="O1155" t="str">
        <f>IF(tblSalaries[[#This Row],[Years of Experience]]="","",IF(AND(tblSalaries[[#This Row],[Years of Experience]]&gt;2,tblSalaries[[#This Row],[Years of Experience]]&lt;=5),1,""))</f>
        <v/>
      </c>
      <c r="P1155">
        <f>IF(tblSalaries[[#This Row],[Years of Experience]]="","",IF(AND(tblSalaries[[#This Row],[Years of Experience]]&gt;5,tblSalaries[[#This Row],[Years of Experience]]&lt;=10),1,""))</f>
        <v>1</v>
      </c>
      <c r="Q1155" t="str">
        <f>IF(tblSalaries[[#This Row],[Years of Experience]]="","",IF(AND(tblSalaries[[#This Row],[Years of Experience]]&gt;10,tblSalaries[[#This Row],[Years of Experience]]&lt;=15),1,""))</f>
        <v/>
      </c>
      <c r="R1155" t="str">
        <f>IF(tblSalaries[[#This Row],[Years of Experience]]="","",IF(AND(tblSalaries[[#This Row],[Years of Experience]]&gt;16,tblSalaries[[#This Row],[Years of Experience]]&lt;=20),1,""))</f>
        <v/>
      </c>
      <c r="S1155" t="str">
        <f>IF(tblSalaries[[#This Row],[Years of Experience]]="","",IF(tblSalaries[[#This Row],[Years of Experience]]&gt;20,1,""))</f>
        <v/>
      </c>
      <c r="T11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55" s="13" t="str">
        <f>IF(tblSalaries[[#This Row],[Job Type]]=tblSalaries[[#Headers],[Accountant]],tblSalaries[[#This Row],[Salary in USD]],"")</f>
        <v/>
      </c>
      <c r="V1155" s="13">
        <f>IF(tblSalaries[[#This Row],[Job Type]]=tblSalaries[[#Headers],[Analyst]],tblSalaries[[#This Row],[Salary in USD]],"")</f>
        <v>3561.5833374885137</v>
      </c>
      <c r="W1155" s="13" t="str">
        <f>IF(tblSalaries[[#This Row],[Job Type]]=tblSalaries[[#Headers],[Consultant]],tblSalaries[[#This Row],[Salary in USD]],"")</f>
        <v/>
      </c>
      <c r="X1155" s="13" t="str">
        <f>IF(tblSalaries[[#This Row],[Job Type]]=tblSalaries[[#Headers],[Controller]],tblSalaries[[#This Row],[Salary in USD]],"")</f>
        <v/>
      </c>
      <c r="Y1155" s="13" t="str">
        <f>IF(tblSalaries[[#This Row],[Job Type]]=tblSalaries[[#Headers],[CXO or Top Mgmt.]],tblSalaries[[#This Row],[clean Salary (in local currency)]],"")</f>
        <v/>
      </c>
      <c r="Z1155" s="13" t="str">
        <f>IF(tblSalaries[[#This Row],[Job Type]]=tblSalaries[[#Headers],[Engineer]],tblSalaries[[#This Row],[Salary in USD]],"")</f>
        <v/>
      </c>
      <c r="AA1155" s="13" t="str">
        <f>IF(tblSalaries[[#This Row],[Job Type]]=tblSalaries[[#Headers],[Manager]],tblSalaries[[#This Row],[Salary in USD]],"")</f>
        <v/>
      </c>
      <c r="AB1155" s="13" t="str">
        <f>IF(tblSalaries[[#This Row],[Job Type]]=tblSalaries[[#Headers],[Misc.]],tblSalaries[[#This Row],[Salary in USD]],"")</f>
        <v/>
      </c>
      <c r="AC1155" s="13" t="str">
        <f>IF(tblSalaries[[#This Row],[Job Type]]=tblSalaries[[#Headers],[Reporting]],tblSalaries[[#This Row],[Salary in USD]],"")</f>
        <v/>
      </c>
      <c r="AD1155" s="13" t="str">
        <f>IF(tblSalaries[[#This Row],[Job Type]]=tblSalaries[[#Headers],[Specialist]],tblSalaries[[#This Row],[Salary in USD]],"")</f>
        <v/>
      </c>
    </row>
    <row r="1156" spans="2:30" ht="15" customHeight="1" x14ac:dyDescent="0.25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 s="9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  <c r="N1156" t="str">
        <f>IF(tblSalaries[[#This Row],[Years of Experience]]="","",IF(tblSalaries[[#This Row],[Years of Experience]]&lt;=2,1,""))</f>
        <v/>
      </c>
      <c r="O1156" t="str">
        <f>IF(tblSalaries[[#This Row],[Years of Experience]]="","",IF(AND(tblSalaries[[#This Row],[Years of Experience]]&gt;2,tblSalaries[[#This Row],[Years of Experience]]&lt;=5),1,""))</f>
        <v/>
      </c>
      <c r="P1156" t="str">
        <f>IF(tblSalaries[[#This Row],[Years of Experience]]="","",IF(AND(tblSalaries[[#This Row],[Years of Experience]]&gt;5,tblSalaries[[#This Row],[Years of Experience]]&lt;=10),1,""))</f>
        <v/>
      </c>
      <c r="Q1156" t="str">
        <f>IF(tblSalaries[[#This Row],[Years of Experience]]="","",IF(AND(tblSalaries[[#This Row],[Years of Experience]]&gt;10,tblSalaries[[#This Row],[Years of Experience]]&lt;=15),1,""))</f>
        <v/>
      </c>
      <c r="R1156" t="str">
        <f>IF(tblSalaries[[#This Row],[Years of Experience]]="","",IF(AND(tblSalaries[[#This Row],[Years of Experience]]&gt;16,tblSalaries[[#This Row],[Years of Experience]]&lt;=20),1,""))</f>
        <v/>
      </c>
      <c r="S1156">
        <f>IF(tblSalaries[[#This Row],[Years of Experience]]="","",IF(tblSalaries[[#This Row],[Years of Experience]]&gt;20,1,""))</f>
        <v>1</v>
      </c>
      <c r="T11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56" s="13" t="str">
        <f>IF(tblSalaries[[#This Row],[Job Type]]=tblSalaries[[#Headers],[Accountant]],tblSalaries[[#This Row],[Salary in USD]],"")</f>
        <v/>
      </c>
      <c r="V1156" s="13" t="str">
        <f>IF(tblSalaries[[#This Row],[Job Type]]=tblSalaries[[#Headers],[Analyst]],tblSalaries[[#This Row],[Salary in USD]],"")</f>
        <v/>
      </c>
      <c r="W1156" s="13" t="str">
        <f>IF(tblSalaries[[#This Row],[Job Type]]=tblSalaries[[#Headers],[Consultant]],tblSalaries[[#This Row],[Salary in USD]],"")</f>
        <v/>
      </c>
      <c r="X1156" s="13" t="str">
        <f>IF(tblSalaries[[#This Row],[Job Type]]=tblSalaries[[#Headers],[Controller]],tblSalaries[[#This Row],[Salary in USD]],"")</f>
        <v/>
      </c>
      <c r="Y1156" s="13" t="str">
        <f>IF(tblSalaries[[#This Row],[Job Type]]=tblSalaries[[#Headers],[CXO or Top Mgmt.]],tblSalaries[[#This Row],[clean Salary (in local currency)]],"")</f>
        <v/>
      </c>
      <c r="Z1156" s="13" t="str">
        <f>IF(tblSalaries[[#This Row],[Job Type]]=tblSalaries[[#Headers],[Engineer]],tblSalaries[[#This Row],[Salary in USD]],"")</f>
        <v/>
      </c>
      <c r="AA1156" s="13">
        <f>IF(tblSalaries[[#This Row],[Job Type]]=tblSalaries[[#Headers],[Manager]],tblSalaries[[#This Row],[Salary in USD]],"")</f>
        <v>8013.5625093491553</v>
      </c>
      <c r="AB1156" s="13" t="str">
        <f>IF(tblSalaries[[#This Row],[Job Type]]=tblSalaries[[#Headers],[Misc.]],tblSalaries[[#This Row],[Salary in USD]],"")</f>
        <v/>
      </c>
      <c r="AC1156" s="13" t="str">
        <f>IF(tblSalaries[[#This Row],[Job Type]]=tblSalaries[[#Headers],[Reporting]],tblSalaries[[#This Row],[Salary in USD]],"")</f>
        <v/>
      </c>
      <c r="AD1156" s="13" t="str">
        <f>IF(tblSalaries[[#This Row],[Job Type]]=tblSalaries[[#Headers],[Specialist]],tblSalaries[[#This Row],[Salary in USD]],"")</f>
        <v/>
      </c>
    </row>
    <row r="1157" spans="2:30" ht="15" customHeight="1" x14ac:dyDescent="0.25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 s="9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  <c r="N1157" t="str">
        <f>IF(tblSalaries[[#This Row],[Years of Experience]]="","",IF(tblSalaries[[#This Row],[Years of Experience]]&lt;=2,1,""))</f>
        <v/>
      </c>
      <c r="O1157">
        <f>IF(tblSalaries[[#This Row],[Years of Experience]]="","",IF(AND(tblSalaries[[#This Row],[Years of Experience]]&gt;2,tblSalaries[[#This Row],[Years of Experience]]&lt;=5),1,""))</f>
        <v>1</v>
      </c>
      <c r="P1157" t="str">
        <f>IF(tblSalaries[[#This Row],[Years of Experience]]="","",IF(AND(tblSalaries[[#This Row],[Years of Experience]]&gt;5,tblSalaries[[#This Row],[Years of Experience]]&lt;=10),1,""))</f>
        <v/>
      </c>
      <c r="Q1157" t="str">
        <f>IF(tblSalaries[[#This Row],[Years of Experience]]="","",IF(AND(tblSalaries[[#This Row],[Years of Experience]]&gt;10,tblSalaries[[#This Row],[Years of Experience]]&lt;=15),1,""))</f>
        <v/>
      </c>
      <c r="R1157" t="str">
        <f>IF(tblSalaries[[#This Row],[Years of Experience]]="","",IF(AND(tblSalaries[[#This Row],[Years of Experience]]&gt;16,tblSalaries[[#This Row],[Years of Experience]]&lt;=20),1,""))</f>
        <v/>
      </c>
      <c r="S1157" t="str">
        <f>IF(tblSalaries[[#This Row],[Years of Experience]]="","",IF(tblSalaries[[#This Row],[Years of Experience]]&gt;20,1,""))</f>
        <v/>
      </c>
      <c r="T11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57" s="13" t="str">
        <f>IF(tblSalaries[[#This Row],[Job Type]]=tblSalaries[[#Headers],[Accountant]],tblSalaries[[#This Row],[Salary in USD]],"")</f>
        <v/>
      </c>
      <c r="V1157" s="13" t="str">
        <f>IF(tblSalaries[[#This Row],[Job Type]]=tblSalaries[[#Headers],[Analyst]],tblSalaries[[#This Row],[Salary in USD]],"")</f>
        <v/>
      </c>
      <c r="W1157" s="13" t="str">
        <f>IF(tblSalaries[[#This Row],[Job Type]]=tblSalaries[[#Headers],[Consultant]],tblSalaries[[#This Row],[Salary in USD]],"")</f>
        <v/>
      </c>
      <c r="X1157" s="13" t="str">
        <f>IF(tblSalaries[[#This Row],[Job Type]]=tblSalaries[[#Headers],[Controller]],tblSalaries[[#This Row],[Salary in USD]],"")</f>
        <v/>
      </c>
      <c r="Y1157" s="13" t="str">
        <f>IF(tblSalaries[[#This Row],[Job Type]]=tblSalaries[[#Headers],[CXO or Top Mgmt.]],tblSalaries[[#This Row],[clean Salary (in local currency)]],"")</f>
        <v/>
      </c>
      <c r="Z1157" s="13" t="str">
        <f>IF(tblSalaries[[#This Row],[Job Type]]=tblSalaries[[#Headers],[Engineer]],tblSalaries[[#This Row],[Salary in USD]],"")</f>
        <v/>
      </c>
      <c r="AA1157" s="13">
        <f>IF(tblSalaries[[#This Row],[Job Type]]=tblSalaries[[#Headers],[Manager]],tblSalaries[[#This Row],[Salary in USD]],"")</f>
        <v>28000</v>
      </c>
      <c r="AB1157" s="13" t="str">
        <f>IF(tblSalaries[[#This Row],[Job Type]]=tblSalaries[[#Headers],[Misc.]],tblSalaries[[#This Row],[Salary in USD]],"")</f>
        <v/>
      </c>
      <c r="AC1157" s="13" t="str">
        <f>IF(tblSalaries[[#This Row],[Job Type]]=tblSalaries[[#Headers],[Reporting]],tblSalaries[[#This Row],[Salary in USD]],"")</f>
        <v/>
      </c>
      <c r="AD1157" s="13" t="str">
        <f>IF(tblSalaries[[#This Row],[Job Type]]=tblSalaries[[#Headers],[Specialist]],tblSalaries[[#This Row],[Salary in USD]],"")</f>
        <v/>
      </c>
    </row>
    <row r="1158" spans="2:30" ht="15" customHeight="1" x14ac:dyDescent="0.25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 s="9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  <c r="N1158">
        <f>IF(tblSalaries[[#This Row],[Years of Experience]]="","",IF(tblSalaries[[#This Row],[Years of Experience]]&lt;=2,1,""))</f>
        <v>1</v>
      </c>
      <c r="O1158" t="str">
        <f>IF(tblSalaries[[#This Row],[Years of Experience]]="","",IF(AND(tblSalaries[[#This Row],[Years of Experience]]&gt;2,tblSalaries[[#This Row],[Years of Experience]]&lt;=5),1,""))</f>
        <v/>
      </c>
      <c r="P1158" t="str">
        <f>IF(tblSalaries[[#This Row],[Years of Experience]]="","",IF(AND(tblSalaries[[#This Row],[Years of Experience]]&gt;5,tblSalaries[[#This Row],[Years of Experience]]&lt;=10),1,""))</f>
        <v/>
      </c>
      <c r="Q1158" t="str">
        <f>IF(tblSalaries[[#This Row],[Years of Experience]]="","",IF(AND(tblSalaries[[#This Row],[Years of Experience]]&gt;10,tblSalaries[[#This Row],[Years of Experience]]&lt;=15),1,""))</f>
        <v/>
      </c>
      <c r="R1158" t="str">
        <f>IF(tblSalaries[[#This Row],[Years of Experience]]="","",IF(AND(tblSalaries[[#This Row],[Years of Experience]]&gt;16,tblSalaries[[#This Row],[Years of Experience]]&lt;=20),1,""))</f>
        <v/>
      </c>
      <c r="S1158" t="str">
        <f>IF(tblSalaries[[#This Row],[Years of Experience]]="","",IF(tblSalaries[[#This Row],[Years of Experience]]&gt;20,1,""))</f>
        <v/>
      </c>
      <c r="T11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58" s="13" t="str">
        <f>IF(tblSalaries[[#This Row],[Job Type]]=tblSalaries[[#Headers],[Accountant]],tblSalaries[[#This Row],[Salary in USD]],"")</f>
        <v/>
      </c>
      <c r="V1158" s="13">
        <f>IF(tblSalaries[[#This Row],[Job Type]]=tblSalaries[[#Headers],[Analyst]],tblSalaries[[#This Row],[Salary in USD]],"")</f>
        <v>50064.150455673145</v>
      </c>
      <c r="W1158" s="13" t="str">
        <f>IF(tblSalaries[[#This Row],[Job Type]]=tblSalaries[[#Headers],[Consultant]],tblSalaries[[#This Row],[Salary in USD]],"")</f>
        <v/>
      </c>
      <c r="X1158" s="13" t="str">
        <f>IF(tblSalaries[[#This Row],[Job Type]]=tblSalaries[[#Headers],[Controller]],tblSalaries[[#This Row],[Salary in USD]],"")</f>
        <v/>
      </c>
      <c r="Y1158" s="13" t="str">
        <f>IF(tblSalaries[[#This Row],[Job Type]]=tblSalaries[[#Headers],[CXO or Top Mgmt.]],tblSalaries[[#This Row],[clean Salary (in local currency)]],"")</f>
        <v/>
      </c>
      <c r="Z1158" s="13" t="str">
        <f>IF(tblSalaries[[#This Row],[Job Type]]=tblSalaries[[#Headers],[Engineer]],tblSalaries[[#This Row],[Salary in USD]],"")</f>
        <v/>
      </c>
      <c r="AA1158" s="13" t="str">
        <f>IF(tblSalaries[[#This Row],[Job Type]]=tblSalaries[[#Headers],[Manager]],tblSalaries[[#This Row],[Salary in USD]],"")</f>
        <v/>
      </c>
      <c r="AB1158" s="13" t="str">
        <f>IF(tblSalaries[[#This Row],[Job Type]]=tblSalaries[[#Headers],[Misc.]],tblSalaries[[#This Row],[Salary in USD]],"")</f>
        <v/>
      </c>
      <c r="AC1158" s="13" t="str">
        <f>IF(tblSalaries[[#This Row],[Job Type]]=tblSalaries[[#Headers],[Reporting]],tblSalaries[[#This Row],[Salary in USD]],"")</f>
        <v/>
      </c>
      <c r="AD1158" s="13" t="str">
        <f>IF(tblSalaries[[#This Row],[Job Type]]=tblSalaries[[#Headers],[Specialist]],tblSalaries[[#This Row],[Salary in USD]],"")</f>
        <v/>
      </c>
    </row>
    <row r="1159" spans="2:30" ht="15" customHeight="1" x14ac:dyDescent="0.25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 s="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  <c r="N1159" t="str">
        <f>IF(tblSalaries[[#This Row],[Years of Experience]]="","",IF(tblSalaries[[#This Row],[Years of Experience]]&lt;=2,1,""))</f>
        <v/>
      </c>
      <c r="O1159" t="str">
        <f>IF(tblSalaries[[#This Row],[Years of Experience]]="","",IF(AND(tblSalaries[[#This Row],[Years of Experience]]&gt;2,tblSalaries[[#This Row],[Years of Experience]]&lt;=5),1,""))</f>
        <v/>
      </c>
      <c r="P1159">
        <f>IF(tblSalaries[[#This Row],[Years of Experience]]="","",IF(AND(tblSalaries[[#This Row],[Years of Experience]]&gt;5,tblSalaries[[#This Row],[Years of Experience]]&lt;=10),1,""))</f>
        <v>1</v>
      </c>
      <c r="Q1159" t="str">
        <f>IF(tblSalaries[[#This Row],[Years of Experience]]="","",IF(AND(tblSalaries[[#This Row],[Years of Experience]]&gt;10,tblSalaries[[#This Row],[Years of Experience]]&lt;=15),1,""))</f>
        <v/>
      </c>
      <c r="R1159" t="str">
        <f>IF(tblSalaries[[#This Row],[Years of Experience]]="","",IF(AND(tblSalaries[[#This Row],[Years of Experience]]&gt;16,tblSalaries[[#This Row],[Years of Experience]]&lt;=20),1,""))</f>
        <v/>
      </c>
      <c r="S1159" t="str">
        <f>IF(tblSalaries[[#This Row],[Years of Experience]]="","",IF(tblSalaries[[#This Row],[Years of Experience]]&gt;20,1,""))</f>
        <v/>
      </c>
      <c r="T11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59" s="13" t="str">
        <f>IF(tblSalaries[[#This Row],[Job Type]]=tblSalaries[[#Headers],[Accountant]],tblSalaries[[#This Row],[Salary in USD]],"")</f>
        <v/>
      </c>
      <c r="V1159" s="13">
        <f>IF(tblSalaries[[#This Row],[Job Type]]=tblSalaries[[#Headers],[Analyst]],tblSalaries[[#This Row],[Salary in USD]],"")</f>
        <v>50437.70470615309</v>
      </c>
      <c r="W1159" s="13" t="str">
        <f>IF(tblSalaries[[#This Row],[Job Type]]=tblSalaries[[#Headers],[Consultant]],tblSalaries[[#This Row],[Salary in USD]],"")</f>
        <v/>
      </c>
      <c r="X1159" s="13" t="str">
        <f>IF(tblSalaries[[#This Row],[Job Type]]=tblSalaries[[#Headers],[Controller]],tblSalaries[[#This Row],[Salary in USD]],"")</f>
        <v/>
      </c>
      <c r="Y1159" s="13" t="str">
        <f>IF(tblSalaries[[#This Row],[Job Type]]=tblSalaries[[#Headers],[CXO or Top Mgmt.]],tblSalaries[[#This Row],[clean Salary (in local currency)]],"")</f>
        <v/>
      </c>
      <c r="Z1159" s="13" t="str">
        <f>IF(tblSalaries[[#This Row],[Job Type]]=tblSalaries[[#Headers],[Engineer]],tblSalaries[[#This Row],[Salary in USD]],"")</f>
        <v/>
      </c>
      <c r="AA1159" s="13" t="str">
        <f>IF(tblSalaries[[#This Row],[Job Type]]=tblSalaries[[#Headers],[Manager]],tblSalaries[[#This Row],[Salary in USD]],"")</f>
        <v/>
      </c>
      <c r="AB1159" s="13" t="str">
        <f>IF(tblSalaries[[#This Row],[Job Type]]=tblSalaries[[#Headers],[Misc.]],tblSalaries[[#This Row],[Salary in USD]],"")</f>
        <v/>
      </c>
      <c r="AC1159" s="13" t="str">
        <f>IF(tblSalaries[[#This Row],[Job Type]]=tblSalaries[[#Headers],[Reporting]],tblSalaries[[#This Row],[Salary in USD]],"")</f>
        <v/>
      </c>
      <c r="AD1159" s="13" t="str">
        <f>IF(tblSalaries[[#This Row],[Job Type]]=tblSalaries[[#Headers],[Specialist]],tblSalaries[[#This Row],[Salary in USD]],"")</f>
        <v/>
      </c>
    </row>
    <row r="1160" spans="2:30" ht="15" customHeight="1" x14ac:dyDescent="0.25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 s="9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  <c r="N1160">
        <f>IF(tblSalaries[[#This Row],[Years of Experience]]="","",IF(tblSalaries[[#This Row],[Years of Experience]]&lt;=2,1,""))</f>
        <v>1</v>
      </c>
      <c r="O1160" t="str">
        <f>IF(tblSalaries[[#This Row],[Years of Experience]]="","",IF(AND(tblSalaries[[#This Row],[Years of Experience]]&gt;2,tblSalaries[[#This Row],[Years of Experience]]&lt;=5),1,""))</f>
        <v/>
      </c>
      <c r="P1160" t="str">
        <f>IF(tblSalaries[[#This Row],[Years of Experience]]="","",IF(AND(tblSalaries[[#This Row],[Years of Experience]]&gt;5,tblSalaries[[#This Row],[Years of Experience]]&lt;=10),1,""))</f>
        <v/>
      </c>
      <c r="Q1160" t="str">
        <f>IF(tblSalaries[[#This Row],[Years of Experience]]="","",IF(AND(tblSalaries[[#This Row],[Years of Experience]]&gt;10,tblSalaries[[#This Row],[Years of Experience]]&lt;=15),1,""))</f>
        <v/>
      </c>
      <c r="R1160" t="str">
        <f>IF(tblSalaries[[#This Row],[Years of Experience]]="","",IF(AND(tblSalaries[[#This Row],[Years of Experience]]&gt;16,tblSalaries[[#This Row],[Years of Experience]]&lt;=20),1,""))</f>
        <v/>
      </c>
      <c r="S1160" t="str">
        <f>IF(tblSalaries[[#This Row],[Years of Experience]]="","",IF(tblSalaries[[#This Row],[Years of Experience]]&gt;20,1,""))</f>
        <v/>
      </c>
      <c r="T11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60" s="13" t="str">
        <f>IF(tblSalaries[[#This Row],[Job Type]]=tblSalaries[[#Headers],[Accountant]],tblSalaries[[#This Row],[Salary in USD]],"")</f>
        <v/>
      </c>
      <c r="V1160" s="13">
        <f>IF(tblSalaries[[#This Row],[Job Type]]=tblSalaries[[#Headers],[Analyst]],tblSalaries[[#This Row],[Salary in USD]],"")</f>
        <v>27840</v>
      </c>
      <c r="W1160" s="13" t="str">
        <f>IF(tblSalaries[[#This Row],[Job Type]]=tblSalaries[[#Headers],[Consultant]],tblSalaries[[#This Row],[Salary in USD]],"")</f>
        <v/>
      </c>
      <c r="X1160" s="13" t="str">
        <f>IF(tblSalaries[[#This Row],[Job Type]]=tblSalaries[[#Headers],[Controller]],tblSalaries[[#This Row],[Salary in USD]],"")</f>
        <v/>
      </c>
      <c r="Y1160" s="13" t="str">
        <f>IF(tblSalaries[[#This Row],[Job Type]]=tblSalaries[[#Headers],[CXO or Top Mgmt.]],tblSalaries[[#This Row],[clean Salary (in local currency)]],"")</f>
        <v/>
      </c>
      <c r="Z1160" s="13" t="str">
        <f>IF(tblSalaries[[#This Row],[Job Type]]=tblSalaries[[#Headers],[Engineer]],tblSalaries[[#This Row],[Salary in USD]],"")</f>
        <v/>
      </c>
      <c r="AA1160" s="13" t="str">
        <f>IF(tblSalaries[[#This Row],[Job Type]]=tblSalaries[[#Headers],[Manager]],tblSalaries[[#This Row],[Salary in USD]],"")</f>
        <v/>
      </c>
      <c r="AB1160" s="13" t="str">
        <f>IF(tblSalaries[[#This Row],[Job Type]]=tblSalaries[[#Headers],[Misc.]],tblSalaries[[#This Row],[Salary in USD]],"")</f>
        <v/>
      </c>
      <c r="AC1160" s="13" t="str">
        <f>IF(tblSalaries[[#This Row],[Job Type]]=tblSalaries[[#Headers],[Reporting]],tblSalaries[[#This Row],[Salary in USD]],"")</f>
        <v/>
      </c>
      <c r="AD1160" s="13" t="str">
        <f>IF(tblSalaries[[#This Row],[Job Type]]=tblSalaries[[#Headers],[Specialist]],tblSalaries[[#This Row],[Salary in USD]],"")</f>
        <v/>
      </c>
    </row>
    <row r="1161" spans="2:30" ht="15" customHeight="1" x14ac:dyDescent="0.25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 s="9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  <c r="N1161">
        <f>IF(tblSalaries[[#This Row],[Years of Experience]]="","",IF(tblSalaries[[#This Row],[Years of Experience]]&lt;=2,1,""))</f>
        <v>1</v>
      </c>
      <c r="O1161" t="str">
        <f>IF(tblSalaries[[#This Row],[Years of Experience]]="","",IF(AND(tblSalaries[[#This Row],[Years of Experience]]&gt;2,tblSalaries[[#This Row],[Years of Experience]]&lt;=5),1,""))</f>
        <v/>
      </c>
      <c r="P1161" t="str">
        <f>IF(tblSalaries[[#This Row],[Years of Experience]]="","",IF(AND(tblSalaries[[#This Row],[Years of Experience]]&gt;5,tblSalaries[[#This Row],[Years of Experience]]&lt;=10),1,""))</f>
        <v/>
      </c>
      <c r="Q1161" t="str">
        <f>IF(tblSalaries[[#This Row],[Years of Experience]]="","",IF(AND(tblSalaries[[#This Row],[Years of Experience]]&gt;10,tblSalaries[[#This Row],[Years of Experience]]&lt;=15),1,""))</f>
        <v/>
      </c>
      <c r="R1161" t="str">
        <f>IF(tblSalaries[[#This Row],[Years of Experience]]="","",IF(AND(tblSalaries[[#This Row],[Years of Experience]]&gt;16,tblSalaries[[#This Row],[Years of Experience]]&lt;=20),1,""))</f>
        <v/>
      </c>
      <c r="S1161" t="str">
        <f>IF(tblSalaries[[#This Row],[Years of Experience]]="","",IF(tblSalaries[[#This Row],[Years of Experience]]&gt;20,1,""))</f>
        <v/>
      </c>
      <c r="T11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61" s="13">
        <f>IF(tblSalaries[[#This Row],[Job Type]]=tblSalaries[[#Headers],[Accountant]],tblSalaries[[#This Row],[Salary in USD]],"")</f>
        <v>6232.7708406048987</v>
      </c>
      <c r="V1161" s="13" t="str">
        <f>IF(tblSalaries[[#This Row],[Job Type]]=tblSalaries[[#Headers],[Analyst]],tblSalaries[[#This Row],[Salary in USD]],"")</f>
        <v/>
      </c>
      <c r="W1161" s="13" t="str">
        <f>IF(tblSalaries[[#This Row],[Job Type]]=tblSalaries[[#Headers],[Consultant]],tblSalaries[[#This Row],[Salary in USD]],"")</f>
        <v/>
      </c>
      <c r="X1161" s="13" t="str">
        <f>IF(tblSalaries[[#This Row],[Job Type]]=tblSalaries[[#Headers],[Controller]],tblSalaries[[#This Row],[Salary in USD]],"")</f>
        <v/>
      </c>
      <c r="Y1161" s="13" t="str">
        <f>IF(tblSalaries[[#This Row],[Job Type]]=tblSalaries[[#Headers],[CXO or Top Mgmt.]],tblSalaries[[#This Row],[clean Salary (in local currency)]],"")</f>
        <v/>
      </c>
      <c r="Z1161" s="13" t="str">
        <f>IF(tblSalaries[[#This Row],[Job Type]]=tblSalaries[[#Headers],[Engineer]],tblSalaries[[#This Row],[Salary in USD]],"")</f>
        <v/>
      </c>
      <c r="AA1161" s="13" t="str">
        <f>IF(tblSalaries[[#This Row],[Job Type]]=tblSalaries[[#Headers],[Manager]],tblSalaries[[#This Row],[Salary in USD]],"")</f>
        <v/>
      </c>
      <c r="AB1161" s="13" t="str">
        <f>IF(tblSalaries[[#This Row],[Job Type]]=tblSalaries[[#Headers],[Misc.]],tblSalaries[[#This Row],[Salary in USD]],"")</f>
        <v/>
      </c>
      <c r="AC1161" s="13" t="str">
        <f>IF(tblSalaries[[#This Row],[Job Type]]=tblSalaries[[#Headers],[Reporting]],tblSalaries[[#This Row],[Salary in USD]],"")</f>
        <v/>
      </c>
      <c r="AD1161" s="13" t="str">
        <f>IF(tblSalaries[[#This Row],[Job Type]]=tblSalaries[[#Headers],[Specialist]],tblSalaries[[#This Row],[Salary in USD]],"")</f>
        <v/>
      </c>
    </row>
    <row r="1162" spans="2:30" ht="15" customHeight="1" x14ac:dyDescent="0.25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 s="9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  <c r="N1162" t="str">
        <f>IF(tblSalaries[[#This Row],[Years of Experience]]="","",IF(tblSalaries[[#This Row],[Years of Experience]]&lt;=2,1,""))</f>
        <v/>
      </c>
      <c r="O1162" t="str">
        <f>IF(tblSalaries[[#This Row],[Years of Experience]]="","",IF(AND(tblSalaries[[#This Row],[Years of Experience]]&gt;2,tblSalaries[[#This Row],[Years of Experience]]&lt;=5),1,""))</f>
        <v/>
      </c>
      <c r="P1162" t="str">
        <f>IF(tblSalaries[[#This Row],[Years of Experience]]="","",IF(AND(tblSalaries[[#This Row],[Years of Experience]]&gt;5,tblSalaries[[#This Row],[Years of Experience]]&lt;=10),1,""))</f>
        <v/>
      </c>
      <c r="Q1162" t="str">
        <f>IF(tblSalaries[[#This Row],[Years of Experience]]="","",IF(AND(tblSalaries[[#This Row],[Years of Experience]]&gt;10,tblSalaries[[#This Row],[Years of Experience]]&lt;=15),1,""))</f>
        <v/>
      </c>
      <c r="R1162" t="str">
        <f>IF(tblSalaries[[#This Row],[Years of Experience]]="","",IF(AND(tblSalaries[[#This Row],[Years of Experience]]&gt;16,tblSalaries[[#This Row],[Years of Experience]]&lt;=20),1,""))</f>
        <v/>
      </c>
      <c r="S1162">
        <f>IF(tblSalaries[[#This Row],[Years of Experience]]="","",IF(tblSalaries[[#This Row],[Years of Experience]]&gt;20,1,""))</f>
        <v>1</v>
      </c>
      <c r="T11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62" s="13" t="str">
        <f>IF(tblSalaries[[#This Row],[Job Type]]=tblSalaries[[#Headers],[Accountant]],tblSalaries[[#This Row],[Salary in USD]],"")</f>
        <v/>
      </c>
      <c r="V1162" s="13" t="str">
        <f>IF(tblSalaries[[#This Row],[Job Type]]=tblSalaries[[#Headers],[Analyst]],tblSalaries[[#This Row],[Salary in USD]],"")</f>
        <v/>
      </c>
      <c r="W1162" s="13" t="str">
        <f>IF(tblSalaries[[#This Row],[Job Type]]=tblSalaries[[#Headers],[Consultant]],tblSalaries[[#This Row],[Salary in USD]],"")</f>
        <v/>
      </c>
      <c r="X1162" s="13" t="str">
        <f>IF(tblSalaries[[#This Row],[Job Type]]=tblSalaries[[#Headers],[Controller]],tblSalaries[[#This Row],[Salary in USD]],"")</f>
        <v/>
      </c>
      <c r="Y1162" s="13" t="str">
        <f>IF(tblSalaries[[#This Row],[Job Type]]=tblSalaries[[#Headers],[CXO or Top Mgmt.]],tblSalaries[[#This Row],[clean Salary (in local currency)]],"")</f>
        <v/>
      </c>
      <c r="Z1162" s="13">
        <f>IF(tblSalaries[[#This Row],[Job Type]]=tblSalaries[[#Headers],[Engineer]],tblSalaries[[#This Row],[Salary in USD]],"")</f>
        <v>50000</v>
      </c>
      <c r="AA1162" s="13" t="str">
        <f>IF(tblSalaries[[#This Row],[Job Type]]=tblSalaries[[#Headers],[Manager]],tblSalaries[[#This Row],[Salary in USD]],"")</f>
        <v/>
      </c>
      <c r="AB1162" s="13" t="str">
        <f>IF(tblSalaries[[#This Row],[Job Type]]=tblSalaries[[#Headers],[Misc.]],tblSalaries[[#This Row],[Salary in USD]],"")</f>
        <v/>
      </c>
      <c r="AC1162" s="13" t="str">
        <f>IF(tblSalaries[[#This Row],[Job Type]]=tblSalaries[[#Headers],[Reporting]],tblSalaries[[#This Row],[Salary in USD]],"")</f>
        <v/>
      </c>
      <c r="AD1162" s="13" t="str">
        <f>IF(tblSalaries[[#This Row],[Job Type]]=tblSalaries[[#Headers],[Specialist]],tblSalaries[[#This Row],[Salary in USD]],"")</f>
        <v/>
      </c>
    </row>
    <row r="1163" spans="2:30" ht="15" customHeight="1" x14ac:dyDescent="0.25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 s="9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  <c r="N1163" t="str">
        <f>IF(tblSalaries[[#This Row],[Years of Experience]]="","",IF(tblSalaries[[#This Row],[Years of Experience]]&lt;=2,1,""))</f>
        <v/>
      </c>
      <c r="O1163" t="str">
        <f>IF(tblSalaries[[#This Row],[Years of Experience]]="","",IF(AND(tblSalaries[[#This Row],[Years of Experience]]&gt;2,tblSalaries[[#This Row],[Years of Experience]]&lt;=5),1,""))</f>
        <v/>
      </c>
      <c r="P1163">
        <f>IF(tblSalaries[[#This Row],[Years of Experience]]="","",IF(AND(tblSalaries[[#This Row],[Years of Experience]]&gt;5,tblSalaries[[#This Row],[Years of Experience]]&lt;=10),1,""))</f>
        <v>1</v>
      </c>
      <c r="Q1163" t="str">
        <f>IF(tblSalaries[[#This Row],[Years of Experience]]="","",IF(AND(tblSalaries[[#This Row],[Years of Experience]]&gt;10,tblSalaries[[#This Row],[Years of Experience]]&lt;=15),1,""))</f>
        <v/>
      </c>
      <c r="R1163" t="str">
        <f>IF(tblSalaries[[#This Row],[Years of Experience]]="","",IF(AND(tblSalaries[[#This Row],[Years of Experience]]&gt;16,tblSalaries[[#This Row],[Years of Experience]]&lt;=20),1,""))</f>
        <v/>
      </c>
      <c r="S1163" t="str">
        <f>IF(tblSalaries[[#This Row],[Years of Experience]]="","",IF(tblSalaries[[#This Row],[Years of Experience]]&gt;20,1,""))</f>
        <v/>
      </c>
      <c r="T11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63" s="13" t="str">
        <f>IF(tblSalaries[[#This Row],[Job Type]]=tblSalaries[[#Headers],[Accountant]],tblSalaries[[#This Row],[Salary in USD]],"")</f>
        <v/>
      </c>
      <c r="V1163" s="13" t="str">
        <f>IF(tblSalaries[[#This Row],[Job Type]]=tblSalaries[[#Headers],[Analyst]],tblSalaries[[#This Row],[Salary in USD]],"")</f>
        <v/>
      </c>
      <c r="W1163" s="13" t="str">
        <f>IF(tblSalaries[[#This Row],[Job Type]]=tblSalaries[[#Headers],[Consultant]],tblSalaries[[#This Row],[Salary in USD]],"")</f>
        <v/>
      </c>
      <c r="X1163" s="13">
        <f>IF(tblSalaries[[#This Row],[Job Type]]=tblSalaries[[#Headers],[Controller]],tblSalaries[[#This Row],[Salary in USD]],"")</f>
        <v>48000</v>
      </c>
      <c r="Y1163" s="13" t="str">
        <f>IF(tblSalaries[[#This Row],[Job Type]]=tblSalaries[[#Headers],[CXO or Top Mgmt.]],tblSalaries[[#This Row],[clean Salary (in local currency)]],"")</f>
        <v/>
      </c>
      <c r="Z1163" s="13" t="str">
        <f>IF(tblSalaries[[#This Row],[Job Type]]=tblSalaries[[#Headers],[Engineer]],tblSalaries[[#This Row],[Salary in USD]],"")</f>
        <v/>
      </c>
      <c r="AA1163" s="13" t="str">
        <f>IF(tblSalaries[[#This Row],[Job Type]]=tblSalaries[[#Headers],[Manager]],tblSalaries[[#This Row],[Salary in USD]],"")</f>
        <v/>
      </c>
      <c r="AB1163" s="13" t="str">
        <f>IF(tblSalaries[[#This Row],[Job Type]]=tblSalaries[[#Headers],[Misc.]],tblSalaries[[#This Row],[Salary in USD]],"")</f>
        <v/>
      </c>
      <c r="AC1163" s="13" t="str">
        <f>IF(tblSalaries[[#This Row],[Job Type]]=tblSalaries[[#Headers],[Reporting]],tblSalaries[[#This Row],[Salary in USD]],"")</f>
        <v/>
      </c>
      <c r="AD1163" s="13" t="str">
        <f>IF(tblSalaries[[#This Row],[Job Type]]=tblSalaries[[#Headers],[Specialist]],tblSalaries[[#This Row],[Salary in USD]],"")</f>
        <v/>
      </c>
    </row>
    <row r="1164" spans="2:30" ht="15" customHeight="1" x14ac:dyDescent="0.25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 s="9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  <c r="N1164" t="str">
        <f>IF(tblSalaries[[#This Row],[Years of Experience]]="","",IF(tblSalaries[[#This Row],[Years of Experience]]&lt;=2,1,""))</f>
        <v/>
      </c>
      <c r="O1164" t="str">
        <f>IF(tblSalaries[[#This Row],[Years of Experience]]="","",IF(AND(tblSalaries[[#This Row],[Years of Experience]]&gt;2,tblSalaries[[#This Row],[Years of Experience]]&lt;=5),1,""))</f>
        <v/>
      </c>
      <c r="P1164" t="str">
        <f>IF(tblSalaries[[#This Row],[Years of Experience]]="","",IF(AND(tblSalaries[[#This Row],[Years of Experience]]&gt;5,tblSalaries[[#This Row],[Years of Experience]]&lt;=10),1,""))</f>
        <v/>
      </c>
      <c r="Q1164" t="str">
        <f>IF(tblSalaries[[#This Row],[Years of Experience]]="","",IF(AND(tblSalaries[[#This Row],[Years of Experience]]&gt;10,tblSalaries[[#This Row],[Years of Experience]]&lt;=15),1,""))</f>
        <v/>
      </c>
      <c r="R1164" t="str">
        <f>IF(tblSalaries[[#This Row],[Years of Experience]]="","",IF(AND(tblSalaries[[#This Row],[Years of Experience]]&gt;16,tblSalaries[[#This Row],[Years of Experience]]&lt;=20),1,""))</f>
        <v/>
      </c>
      <c r="S1164">
        <f>IF(tblSalaries[[#This Row],[Years of Experience]]="","",IF(tblSalaries[[#This Row],[Years of Experience]]&gt;20,1,""))</f>
        <v>1</v>
      </c>
      <c r="T11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64" s="13" t="str">
        <f>IF(tblSalaries[[#This Row],[Job Type]]=tblSalaries[[#Headers],[Accountant]],tblSalaries[[#This Row],[Salary in USD]],"")</f>
        <v/>
      </c>
      <c r="V1164" s="13" t="str">
        <f>IF(tblSalaries[[#This Row],[Job Type]]=tblSalaries[[#Headers],[Analyst]],tblSalaries[[#This Row],[Salary in USD]],"")</f>
        <v/>
      </c>
      <c r="W1164" s="13" t="str">
        <f>IF(tblSalaries[[#This Row],[Job Type]]=tblSalaries[[#Headers],[Consultant]],tblSalaries[[#This Row],[Salary in USD]],"")</f>
        <v/>
      </c>
      <c r="X1164" s="13" t="str">
        <f>IF(tblSalaries[[#This Row],[Job Type]]=tblSalaries[[#Headers],[Controller]],tblSalaries[[#This Row],[Salary in USD]],"")</f>
        <v/>
      </c>
      <c r="Y1164" s="13" t="str">
        <f>IF(tblSalaries[[#This Row],[Job Type]]=tblSalaries[[#Headers],[CXO or Top Mgmt.]],tblSalaries[[#This Row],[clean Salary (in local currency)]],"")</f>
        <v/>
      </c>
      <c r="Z1164" s="13" t="str">
        <f>IF(tblSalaries[[#This Row],[Job Type]]=tblSalaries[[#Headers],[Engineer]],tblSalaries[[#This Row],[Salary in USD]],"")</f>
        <v/>
      </c>
      <c r="AA1164" s="13">
        <f>IF(tblSalaries[[#This Row],[Job Type]]=tblSalaries[[#Headers],[Manager]],tblSalaries[[#This Row],[Salary in USD]],"")</f>
        <v>24000</v>
      </c>
      <c r="AB1164" s="13" t="str">
        <f>IF(tblSalaries[[#This Row],[Job Type]]=tblSalaries[[#Headers],[Misc.]],tblSalaries[[#This Row],[Salary in USD]],"")</f>
        <v/>
      </c>
      <c r="AC1164" s="13" t="str">
        <f>IF(tblSalaries[[#This Row],[Job Type]]=tblSalaries[[#Headers],[Reporting]],tblSalaries[[#This Row],[Salary in USD]],"")</f>
        <v/>
      </c>
      <c r="AD1164" s="13" t="str">
        <f>IF(tblSalaries[[#This Row],[Job Type]]=tblSalaries[[#Headers],[Specialist]],tblSalaries[[#This Row],[Salary in USD]],"")</f>
        <v/>
      </c>
    </row>
    <row r="1165" spans="2:30" ht="15" customHeight="1" x14ac:dyDescent="0.25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 s="9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  <c r="N1165" t="str">
        <f>IF(tblSalaries[[#This Row],[Years of Experience]]="","",IF(tblSalaries[[#This Row],[Years of Experience]]&lt;=2,1,""))</f>
        <v/>
      </c>
      <c r="O1165" t="str">
        <f>IF(tblSalaries[[#This Row],[Years of Experience]]="","",IF(AND(tblSalaries[[#This Row],[Years of Experience]]&gt;2,tblSalaries[[#This Row],[Years of Experience]]&lt;=5),1,""))</f>
        <v/>
      </c>
      <c r="P1165" t="str">
        <f>IF(tblSalaries[[#This Row],[Years of Experience]]="","",IF(AND(tblSalaries[[#This Row],[Years of Experience]]&gt;5,tblSalaries[[#This Row],[Years of Experience]]&lt;=10),1,""))</f>
        <v/>
      </c>
      <c r="Q1165">
        <f>IF(tblSalaries[[#This Row],[Years of Experience]]="","",IF(AND(tblSalaries[[#This Row],[Years of Experience]]&gt;10,tblSalaries[[#This Row],[Years of Experience]]&lt;=15),1,""))</f>
        <v>1</v>
      </c>
      <c r="R1165" t="str">
        <f>IF(tblSalaries[[#This Row],[Years of Experience]]="","",IF(AND(tblSalaries[[#This Row],[Years of Experience]]&gt;16,tblSalaries[[#This Row],[Years of Experience]]&lt;=20),1,""))</f>
        <v/>
      </c>
      <c r="S1165" t="str">
        <f>IF(tblSalaries[[#This Row],[Years of Experience]]="","",IF(tblSalaries[[#This Row],[Years of Experience]]&gt;20,1,""))</f>
        <v/>
      </c>
      <c r="T11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65" s="13" t="str">
        <f>IF(tblSalaries[[#This Row],[Job Type]]=tblSalaries[[#Headers],[Accountant]],tblSalaries[[#This Row],[Salary in USD]],"")</f>
        <v/>
      </c>
      <c r="V1165" s="13">
        <f>IF(tblSalaries[[#This Row],[Job Type]]=tblSalaries[[#Headers],[Analyst]],tblSalaries[[#This Row],[Salary in USD]],"")</f>
        <v>75000</v>
      </c>
      <c r="W1165" s="13" t="str">
        <f>IF(tblSalaries[[#This Row],[Job Type]]=tblSalaries[[#Headers],[Consultant]],tblSalaries[[#This Row],[Salary in USD]],"")</f>
        <v/>
      </c>
      <c r="X1165" s="13" t="str">
        <f>IF(tblSalaries[[#This Row],[Job Type]]=tblSalaries[[#Headers],[Controller]],tblSalaries[[#This Row],[Salary in USD]],"")</f>
        <v/>
      </c>
      <c r="Y1165" s="13" t="str">
        <f>IF(tblSalaries[[#This Row],[Job Type]]=tblSalaries[[#Headers],[CXO or Top Mgmt.]],tblSalaries[[#This Row],[clean Salary (in local currency)]],"")</f>
        <v/>
      </c>
      <c r="Z1165" s="13" t="str">
        <f>IF(tblSalaries[[#This Row],[Job Type]]=tblSalaries[[#Headers],[Engineer]],tblSalaries[[#This Row],[Salary in USD]],"")</f>
        <v/>
      </c>
      <c r="AA1165" s="13" t="str">
        <f>IF(tblSalaries[[#This Row],[Job Type]]=tblSalaries[[#Headers],[Manager]],tblSalaries[[#This Row],[Salary in USD]],"")</f>
        <v/>
      </c>
      <c r="AB1165" s="13" t="str">
        <f>IF(tblSalaries[[#This Row],[Job Type]]=tblSalaries[[#Headers],[Misc.]],tblSalaries[[#This Row],[Salary in USD]],"")</f>
        <v/>
      </c>
      <c r="AC1165" s="13" t="str">
        <f>IF(tblSalaries[[#This Row],[Job Type]]=tblSalaries[[#Headers],[Reporting]],tblSalaries[[#This Row],[Salary in USD]],"")</f>
        <v/>
      </c>
      <c r="AD1165" s="13" t="str">
        <f>IF(tblSalaries[[#This Row],[Job Type]]=tblSalaries[[#Headers],[Specialist]],tblSalaries[[#This Row],[Salary in USD]],"")</f>
        <v/>
      </c>
    </row>
    <row r="1166" spans="2:30" ht="15" customHeight="1" x14ac:dyDescent="0.25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 s="9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  <c r="N1166">
        <f>IF(tblSalaries[[#This Row],[Years of Experience]]="","",IF(tblSalaries[[#This Row],[Years of Experience]]&lt;=2,1,""))</f>
        <v>1</v>
      </c>
      <c r="O1166" t="str">
        <f>IF(tblSalaries[[#This Row],[Years of Experience]]="","",IF(AND(tblSalaries[[#This Row],[Years of Experience]]&gt;2,tblSalaries[[#This Row],[Years of Experience]]&lt;=5),1,""))</f>
        <v/>
      </c>
      <c r="P1166" t="str">
        <f>IF(tblSalaries[[#This Row],[Years of Experience]]="","",IF(AND(tblSalaries[[#This Row],[Years of Experience]]&gt;5,tblSalaries[[#This Row],[Years of Experience]]&lt;=10),1,""))</f>
        <v/>
      </c>
      <c r="Q1166" t="str">
        <f>IF(tblSalaries[[#This Row],[Years of Experience]]="","",IF(AND(tblSalaries[[#This Row],[Years of Experience]]&gt;10,tblSalaries[[#This Row],[Years of Experience]]&lt;=15),1,""))</f>
        <v/>
      </c>
      <c r="R1166" t="str">
        <f>IF(tblSalaries[[#This Row],[Years of Experience]]="","",IF(AND(tblSalaries[[#This Row],[Years of Experience]]&gt;16,tblSalaries[[#This Row],[Years of Experience]]&lt;=20),1,""))</f>
        <v/>
      </c>
      <c r="S1166" t="str">
        <f>IF(tblSalaries[[#This Row],[Years of Experience]]="","",IF(tblSalaries[[#This Row],[Years of Experience]]&gt;20,1,""))</f>
        <v/>
      </c>
      <c r="T11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66" s="13" t="str">
        <f>IF(tblSalaries[[#This Row],[Job Type]]=tblSalaries[[#Headers],[Accountant]],tblSalaries[[#This Row],[Salary in USD]],"")</f>
        <v/>
      </c>
      <c r="V1166" s="13">
        <f>IF(tblSalaries[[#This Row],[Job Type]]=tblSalaries[[#Headers],[Analyst]],tblSalaries[[#This Row],[Salary in USD]],"")</f>
        <v>58799.349940520107</v>
      </c>
      <c r="W1166" s="13" t="str">
        <f>IF(tblSalaries[[#This Row],[Job Type]]=tblSalaries[[#Headers],[Consultant]],tblSalaries[[#This Row],[Salary in USD]],"")</f>
        <v/>
      </c>
      <c r="X1166" s="13" t="str">
        <f>IF(tblSalaries[[#This Row],[Job Type]]=tblSalaries[[#Headers],[Controller]],tblSalaries[[#This Row],[Salary in USD]],"")</f>
        <v/>
      </c>
      <c r="Y1166" s="13" t="str">
        <f>IF(tblSalaries[[#This Row],[Job Type]]=tblSalaries[[#Headers],[CXO or Top Mgmt.]],tblSalaries[[#This Row],[clean Salary (in local currency)]],"")</f>
        <v/>
      </c>
      <c r="Z1166" s="13" t="str">
        <f>IF(tblSalaries[[#This Row],[Job Type]]=tblSalaries[[#Headers],[Engineer]],tblSalaries[[#This Row],[Salary in USD]],"")</f>
        <v/>
      </c>
      <c r="AA1166" s="13" t="str">
        <f>IF(tblSalaries[[#This Row],[Job Type]]=tblSalaries[[#Headers],[Manager]],tblSalaries[[#This Row],[Salary in USD]],"")</f>
        <v/>
      </c>
      <c r="AB1166" s="13" t="str">
        <f>IF(tblSalaries[[#This Row],[Job Type]]=tblSalaries[[#Headers],[Misc.]],tblSalaries[[#This Row],[Salary in USD]],"")</f>
        <v/>
      </c>
      <c r="AC1166" s="13" t="str">
        <f>IF(tblSalaries[[#This Row],[Job Type]]=tblSalaries[[#Headers],[Reporting]],tblSalaries[[#This Row],[Salary in USD]],"")</f>
        <v/>
      </c>
      <c r="AD1166" s="13" t="str">
        <f>IF(tblSalaries[[#This Row],[Job Type]]=tblSalaries[[#Headers],[Specialist]],tblSalaries[[#This Row],[Salary in USD]],"")</f>
        <v/>
      </c>
    </row>
    <row r="1167" spans="2:30" ht="15" customHeight="1" x14ac:dyDescent="0.25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 s="9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  <c r="N1167" t="str">
        <f>IF(tblSalaries[[#This Row],[Years of Experience]]="","",IF(tblSalaries[[#This Row],[Years of Experience]]&lt;=2,1,""))</f>
        <v/>
      </c>
      <c r="O1167" t="str">
        <f>IF(tblSalaries[[#This Row],[Years of Experience]]="","",IF(AND(tblSalaries[[#This Row],[Years of Experience]]&gt;2,tblSalaries[[#This Row],[Years of Experience]]&lt;=5),1,""))</f>
        <v/>
      </c>
      <c r="P1167">
        <f>IF(tblSalaries[[#This Row],[Years of Experience]]="","",IF(AND(tblSalaries[[#This Row],[Years of Experience]]&gt;5,tblSalaries[[#This Row],[Years of Experience]]&lt;=10),1,""))</f>
        <v>1</v>
      </c>
      <c r="Q1167" t="str">
        <f>IF(tblSalaries[[#This Row],[Years of Experience]]="","",IF(AND(tblSalaries[[#This Row],[Years of Experience]]&gt;10,tblSalaries[[#This Row],[Years of Experience]]&lt;=15),1,""))</f>
        <v/>
      </c>
      <c r="R1167" t="str">
        <f>IF(tblSalaries[[#This Row],[Years of Experience]]="","",IF(AND(tblSalaries[[#This Row],[Years of Experience]]&gt;16,tblSalaries[[#This Row],[Years of Experience]]&lt;=20),1,""))</f>
        <v/>
      </c>
      <c r="S1167" t="str">
        <f>IF(tblSalaries[[#This Row],[Years of Experience]]="","",IF(tblSalaries[[#This Row],[Years of Experience]]&gt;20,1,""))</f>
        <v/>
      </c>
      <c r="T11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67" s="13" t="str">
        <f>IF(tblSalaries[[#This Row],[Job Type]]=tblSalaries[[#Headers],[Accountant]],tblSalaries[[#This Row],[Salary in USD]],"")</f>
        <v/>
      </c>
      <c r="V1167" s="13" t="str">
        <f>IF(tblSalaries[[#This Row],[Job Type]]=tblSalaries[[#Headers],[Analyst]],tblSalaries[[#This Row],[Salary in USD]],"")</f>
        <v/>
      </c>
      <c r="W1167" s="13">
        <f>IF(tblSalaries[[#This Row],[Job Type]]=tblSalaries[[#Headers],[Consultant]],tblSalaries[[#This Row],[Salary in USD]],"")</f>
        <v>21228.177433598263</v>
      </c>
      <c r="X1167" s="13" t="str">
        <f>IF(tblSalaries[[#This Row],[Job Type]]=tblSalaries[[#Headers],[Controller]],tblSalaries[[#This Row],[Salary in USD]],"")</f>
        <v/>
      </c>
      <c r="Y1167" s="13" t="str">
        <f>IF(tblSalaries[[#This Row],[Job Type]]=tblSalaries[[#Headers],[CXO or Top Mgmt.]],tblSalaries[[#This Row],[clean Salary (in local currency)]],"")</f>
        <v/>
      </c>
      <c r="Z1167" s="13" t="str">
        <f>IF(tblSalaries[[#This Row],[Job Type]]=tblSalaries[[#Headers],[Engineer]],tblSalaries[[#This Row],[Salary in USD]],"")</f>
        <v/>
      </c>
      <c r="AA1167" s="13" t="str">
        <f>IF(tblSalaries[[#This Row],[Job Type]]=tblSalaries[[#Headers],[Manager]],tblSalaries[[#This Row],[Salary in USD]],"")</f>
        <v/>
      </c>
      <c r="AB1167" s="13" t="str">
        <f>IF(tblSalaries[[#This Row],[Job Type]]=tblSalaries[[#Headers],[Misc.]],tblSalaries[[#This Row],[Salary in USD]],"")</f>
        <v/>
      </c>
      <c r="AC1167" s="13" t="str">
        <f>IF(tblSalaries[[#This Row],[Job Type]]=tblSalaries[[#Headers],[Reporting]],tblSalaries[[#This Row],[Salary in USD]],"")</f>
        <v/>
      </c>
      <c r="AD1167" s="13" t="str">
        <f>IF(tblSalaries[[#This Row],[Job Type]]=tblSalaries[[#Headers],[Specialist]],tblSalaries[[#This Row],[Salary in USD]],"")</f>
        <v/>
      </c>
    </row>
    <row r="1168" spans="2:30" ht="15" customHeight="1" x14ac:dyDescent="0.25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 s="9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  <c r="N1168" t="str">
        <f>IF(tblSalaries[[#This Row],[Years of Experience]]="","",IF(tblSalaries[[#This Row],[Years of Experience]]&lt;=2,1,""))</f>
        <v/>
      </c>
      <c r="O1168" t="str">
        <f>IF(tblSalaries[[#This Row],[Years of Experience]]="","",IF(AND(tblSalaries[[#This Row],[Years of Experience]]&gt;2,tblSalaries[[#This Row],[Years of Experience]]&lt;=5),1,""))</f>
        <v/>
      </c>
      <c r="P1168">
        <f>IF(tblSalaries[[#This Row],[Years of Experience]]="","",IF(AND(tblSalaries[[#This Row],[Years of Experience]]&gt;5,tblSalaries[[#This Row],[Years of Experience]]&lt;=10),1,""))</f>
        <v>1</v>
      </c>
      <c r="Q1168" t="str">
        <f>IF(tblSalaries[[#This Row],[Years of Experience]]="","",IF(AND(tblSalaries[[#This Row],[Years of Experience]]&gt;10,tblSalaries[[#This Row],[Years of Experience]]&lt;=15),1,""))</f>
        <v/>
      </c>
      <c r="R1168" t="str">
        <f>IF(tblSalaries[[#This Row],[Years of Experience]]="","",IF(AND(tblSalaries[[#This Row],[Years of Experience]]&gt;16,tblSalaries[[#This Row],[Years of Experience]]&lt;=20),1,""))</f>
        <v/>
      </c>
      <c r="S1168" t="str">
        <f>IF(tblSalaries[[#This Row],[Years of Experience]]="","",IF(tblSalaries[[#This Row],[Years of Experience]]&gt;20,1,""))</f>
        <v/>
      </c>
      <c r="T11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68" s="13" t="str">
        <f>IF(tblSalaries[[#This Row],[Job Type]]=tblSalaries[[#Headers],[Accountant]],tblSalaries[[#This Row],[Salary in USD]],"")</f>
        <v/>
      </c>
      <c r="V1168" s="13" t="str">
        <f>IF(tblSalaries[[#This Row],[Job Type]]=tblSalaries[[#Headers],[Analyst]],tblSalaries[[#This Row],[Salary in USD]],"")</f>
        <v/>
      </c>
      <c r="W1168" s="13" t="str">
        <f>IF(tblSalaries[[#This Row],[Job Type]]=tblSalaries[[#Headers],[Consultant]],tblSalaries[[#This Row],[Salary in USD]],"")</f>
        <v/>
      </c>
      <c r="X1168" s="13" t="str">
        <f>IF(tblSalaries[[#This Row],[Job Type]]=tblSalaries[[#Headers],[Controller]],tblSalaries[[#This Row],[Salary in USD]],"")</f>
        <v/>
      </c>
      <c r="Y1168" s="13" t="str">
        <f>IF(tblSalaries[[#This Row],[Job Type]]=tblSalaries[[#Headers],[CXO or Top Mgmt.]],tblSalaries[[#This Row],[clean Salary (in local currency)]],"")</f>
        <v/>
      </c>
      <c r="Z1168" s="13" t="str">
        <f>IF(tblSalaries[[#This Row],[Job Type]]=tblSalaries[[#Headers],[Engineer]],tblSalaries[[#This Row],[Salary in USD]],"")</f>
        <v/>
      </c>
      <c r="AA1168" s="13">
        <f>IF(tblSalaries[[#This Row],[Job Type]]=tblSalaries[[#Headers],[Manager]],tblSalaries[[#This Row],[Salary in USD]],"")</f>
        <v>60000</v>
      </c>
      <c r="AB1168" s="13" t="str">
        <f>IF(tblSalaries[[#This Row],[Job Type]]=tblSalaries[[#Headers],[Misc.]],tblSalaries[[#This Row],[Salary in USD]],"")</f>
        <v/>
      </c>
      <c r="AC1168" s="13" t="str">
        <f>IF(tblSalaries[[#This Row],[Job Type]]=tblSalaries[[#Headers],[Reporting]],tblSalaries[[#This Row],[Salary in USD]],"")</f>
        <v/>
      </c>
      <c r="AD1168" s="13" t="str">
        <f>IF(tblSalaries[[#This Row],[Job Type]]=tblSalaries[[#Headers],[Specialist]],tblSalaries[[#This Row],[Salary in USD]],"")</f>
        <v/>
      </c>
    </row>
    <row r="1169" spans="2:30" ht="15" customHeight="1" x14ac:dyDescent="0.25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 s="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  <c r="N1169" t="str">
        <f>IF(tblSalaries[[#This Row],[Years of Experience]]="","",IF(tblSalaries[[#This Row],[Years of Experience]]&lt;=2,1,""))</f>
        <v/>
      </c>
      <c r="O1169" t="str">
        <f>IF(tblSalaries[[#This Row],[Years of Experience]]="","",IF(AND(tblSalaries[[#This Row],[Years of Experience]]&gt;2,tblSalaries[[#This Row],[Years of Experience]]&lt;=5),1,""))</f>
        <v/>
      </c>
      <c r="P1169">
        <f>IF(tblSalaries[[#This Row],[Years of Experience]]="","",IF(AND(tblSalaries[[#This Row],[Years of Experience]]&gt;5,tblSalaries[[#This Row],[Years of Experience]]&lt;=10),1,""))</f>
        <v>1</v>
      </c>
      <c r="Q1169" t="str">
        <f>IF(tblSalaries[[#This Row],[Years of Experience]]="","",IF(AND(tblSalaries[[#This Row],[Years of Experience]]&gt;10,tblSalaries[[#This Row],[Years of Experience]]&lt;=15),1,""))</f>
        <v/>
      </c>
      <c r="R1169" t="str">
        <f>IF(tblSalaries[[#This Row],[Years of Experience]]="","",IF(AND(tblSalaries[[#This Row],[Years of Experience]]&gt;16,tblSalaries[[#This Row],[Years of Experience]]&lt;=20),1,""))</f>
        <v/>
      </c>
      <c r="S1169" t="str">
        <f>IF(tblSalaries[[#This Row],[Years of Experience]]="","",IF(tblSalaries[[#This Row],[Years of Experience]]&gt;20,1,""))</f>
        <v/>
      </c>
      <c r="T11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69" s="13" t="str">
        <f>IF(tblSalaries[[#This Row],[Job Type]]=tblSalaries[[#Headers],[Accountant]],tblSalaries[[#This Row],[Salary in USD]],"")</f>
        <v/>
      </c>
      <c r="V1169" s="13">
        <f>IF(tblSalaries[[#This Row],[Job Type]]=tblSalaries[[#Headers],[Analyst]],tblSalaries[[#This Row],[Salary in USD]],"")</f>
        <v>18018.883790212141</v>
      </c>
      <c r="W1169" s="13" t="str">
        <f>IF(tblSalaries[[#This Row],[Job Type]]=tblSalaries[[#Headers],[Consultant]],tblSalaries[[#This Row],[Salary in USD]],"")</f>
        <v/>
      </c>
      <c r="X1169" s="13" t="str">
        <f>IF(tblSalaries[[#This Row],[Job Type]]=tblSalaries[[#Headers],[Controller]],tblSalaries[[#This Row],[Salary in USD]],"")</f>
        <v/>
      </c>
      <c r="Y1169" s="13" t="str">
        <f>IF(tblSalaries[[#This Row],[Job Type]]=tblSalaries[[#Headers],[CXO or Top Mgmt.]],tblSalaries[[#This Row],[clean Salary (in local currency)]],"")</f>
        <v/>
      </c>
      <c r="Z1169" s="13" t="str">
        <f>IF(tblSalaries[[#This Row],[Job Type]]=tblSalaries[[#Headers],[Engineer]],tblSalaries[[#This Row],[Salary in USD]],"")</f>
        <v/>
      </c>
      <c r="AA1169" s="13" t="str">
        <f>IF(tblSalaries[[#This Row],[Job Type]]=tblSalaries[[#Headers],[Manager]],tblSalaries[[#This Row],[Salary in USD]],"")</f>
        <v/>
      </c>
      <c r="AB1169" s="13" t="str">
        <f>IF(tblSalaries[[#This Row],[Job Type]]=tblSalaries[[#Headers],[Misc.]],tblSalaries[[#This Row],[Salary in USD]],"")</f>
        <v/>
      </c>
      <c r="AC1169" s="13" t="str">
        <f>IF(tblSalaries[[#This Row],[Job Type]]=tblSalaries[[#Headers],[Reporting]],tblSalaries[[#This Row],[Salary in USD]],"")</f>
        <v/>
      </c>
      <c r="AD1169" s="13" t="str">
        <f>IF(tblSalaries[[#This Row],[Job Type]]=tblSalaries[[#Headers],[Specialist]],tblSalaries[[#This Row],[Salary in USD]],"")</f>
        <v/>
      </c>
    </row>
    <row r="1170" spans="2:30" ht="15" customHeight="1" x14ac:dyDescent="0.25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 s="9">
        <f>tblSalaries[[#This Row],[clean Salary (in local currency)]]*VLOOKUP(tblSalaries[[#This Row],[Currency]],tblXrate[],2,FALSE)</f>
        <v>7200</v>
      </c>
      <c r="H1170" t="s">
        <v>1339</v>
      </c>
      <c r="I1170" t="s">
        <v>3999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  <c r="N1170" t="str">
        <f>IF(tblSalaries[[#This Row],[Years of Experience]]="","",IF(tblSalaries[[#This Row],[Years of Experience]]&lt;=2,1,""))</f>
        <v/>
      </c>
      <c r="O1170" t="str">
        <f>IF(tblSalaries[[#This Row],[Years of Experience]]="","",IF(AND(tblSalaries[[#This Row],[Years of Experience]]&gt;2,tblSalaries[[#This Row],[Years of Experience]]&lt;=5),1,""))</f>
        <v/>
      </c>
      <c r="P1170">
        <f>IF(tblSalaries[[#This Row],[Years of Experience]]="","",IF(AND(tblSalaries[[#This Row],[Years of Experience]]&gt;5,tblSalaries[[#This Row],[Years of Experience]]&lt;=10),1,""))</f>
        <v>1</v>
      </c>
      <c r="Q1170" t="str">
        <f>IF(tblSalaries[[#This Row],[Years of Experience]]="","",IF(AND(tblSalaries[[#This Row],[Years of Experience]]&gt;10,tblSalaries[[#This Row],[Years of Experience]]&lt;=15),1,""))</f>
        <v/>
      </c>
      <c r="R1170" t="str">
        <f>IF(tblSalaries[[#This Row],[Years of Experience]]="","",IF(AND(tblSalaries[[#This Row],[Years of Experience]]&gt;16,tblSalaries[[#This Row],[Years of Experience]]&lt;=20),1,""))</f>
        <v/>
      </c>
      <c r="S1170" t="str">
        <f>IF(tblSalaries[[#This Row],[Years of Experience]]="","",IF(tblSalaries[[#This Row],[Years of Experience]]&gt;20,1,""))</f>
        <v/>
      </c>
      <c r="T11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70" s="13" t="str">
        <f>IF(tblSalaries[[#This Row],[Job Type]]=tblSalaries[[#Headers],[Accountant]],tblSalaries[[#This Row],[Salary in USD]],"")</f>
        <v/>
      </c>
      <c r="V1170" s="13" t="str">
        <f>IF(tblSalaries[[#This Row],[Job Type]]=tblSalaries[[#Headers],[Analyst]],tblSalaries[[#This Row],[Salary in USD]],"")</f>
        <v/>
      </c>
      <c r="W1170" s="13" t="str">
        <f>IF(tblSalaries[[#This Row],[Job Type]]=tblSalaries[[#Headers],[Consultant]],tblSalaries[[#This Row],[Salary in USD]],"")</f>
        <v/>
      </c>
      <c r="X1170" s="13" t="str">
        <f>IF(tblSalaries[[#This Row],[Job Type]]=tblSalaries[[#Headers],[Controller]],tblSalaries[[#This Row],[Salary in USD]],"")</f>
        <v/>
      </c>
      <c r="Y1170" s="13" t="str">
        <f>IF(tblSalaries[[#This Row],[Job Type]]=tblSalaries[[#Headers],[CXO or Top Mgmt.]],tblSalaries[[#This Row],[clean Salary (in local currency)]],"")</f>
        <v/>
      </c>
      <c r="Z1170" s="13" t="str">
        <f>IF(tblSalaries[[#This Row],[Job Type]]=tblSalaries[[#Headers],[Engineer]],tblSalaries[[#This Row],[Salary in USD]],"")</f>
        <v/>
      </c>
      <c r="AA1170" s="13" t="str">
        <f>IF(tblSalaries[[#This Row],[Job Type]]=tblSalaries[[#Headers],[Manager]],tblSalaries[[#This Row],[Salary in USD]],"")</f>
        <v/>
      </c>
      <c r="AB1170" s="13" t="str">
        <f>IF(tblSalaries[[#This Row],[Job Type]]=tblSalaries[[#Headers],[Misc.]],tblSalaries[[#This Row],[Salary in USD]],"")</f>
        <v/>
      </c>
      <c r="AC1170" s="13">
        <f>IF(tblSalaries[[#This Row],[Job Type]]=tblSalaries[[#Headers],[Reporting]],tblSalaries[[#This Row],[Salary in USD]],"")</f>
        <v>7200</v>
      </c>
      <c r="AD1170" s="13" t="str">
        <f>IF(tblSalaries[[#This Row],[Job Type]]=tblSalaries[[#Headers],[Specialist]],tblSalaries[[#This Row],[Salary in USD]],"")</f>
        <v/>
      </c>
    </row>
    <row r="1171" spans="2:30" ht="15" customHeight="1" x14ac:dyDescent="0.25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 s="9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  <c r="N1171">
        <f>IF(tblSalaries[[#This Row],[Years of Experience]]="","",IF(tblSalaries[[#This Row],[Years of Experience]]&lt;=2,1,""))</f>
        <v>1</v>
      </c>
      <c r="O1171" t="str">
        <f>IF(tblSalaries[[#This Row],[Years of Experience]]="","",IF(AND(tblSalaries[[#This Row],[Years of Experience]]&gt;2,tblSalaries[[#This Row],[Years of Experience]]&lt;=5),1,""))</f>
        <v/>
      </c>
      <c r="P1171" t="str">
        <f>IF(tblSalaries[[#This Row],[Years of Experience]]="","",IF(AND(tblSalaries[[#This Row],[Years of Experience]]&gt;5,tblSalaries[[#This Row],[Years of Experience]]&lt;=10),1,""))</f>
        <v/>
      </c>
      <c r="Q1171" t="str">
        <f>IF(tblSalaries[[#This Row],[Years of Experience]]="","",IF(AND(tblSalaries[[#This Row],[Years of Experience]]&gt;10,tblSalaries[[#This Row],[Years of Experience]]&lt;=15),1,""))</f>
        <v/>
      </c>
      <c r="R1171" t="str">
        <f>IF(tblSalaries[[#This Row],[Years of Experience]]="","",IF(AND(tblSalaries[[#This Row],[Years of Experience]]&gt;16,tblSalaries[[#This Row],[Years of Experience]]&lt;=20),1,""))</f>
        <v/>
      </c>
      <c r="S1171" t="str">
        <f>IF(tblSalaries[[#This Row],[Years of Experience]]="","",IF(tblSalaries[[#This Row],[Years of Experience]]&gt;20,1,""))</f>
        <v/>
      </c>
      <c r="T11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71" s="13" t="str">
        <f>IF(tblSalaries[[#This Row],[Job Type]]=tblSalaries[[#Headers],[Accountant]],tblSalaries[[#This Row],[Salary in USD]],"")</f>
        <v/>
      </c>
      <c r="V1171" s="13">
        <f>IF(tblSalaries[[#This Row],[Job Type]]=tblSalaries[[#Headers],[Analyst]],tblSalaries[[#This Row],[Salary in USD]],"")</f>
        <v>56000</v>
      </c>
      <c r="W1171" s="13" t="str">
        <f>IF(tblSalaries[[#This Row],[Job Type]]=tblSalaries[[#Headers],[Consultant]],tblSalaries[[#This Row],[Salary in USD]],"")</f>
        <v/>
      </c>
      <c r="X1171" s="13" t="str">
        <f>IF(tblSalaries[[#This Row],[Job Type]]=tblSalaries[[#Headers],[Controller]],tblSalaries[[#This Row],[Salary in USD]],"")</f>
        <v/>
      </c>
      <c r="Y1171" s="13" t="str">
        <f>IF(tblSalaries[[#This Row],[Job Type]]=tblSalaries[[#Headers],[CXO or Top Mgmt.]],tblSalaries[[#This Row],[clean Salary (in local currency)]],"")</f>
        <v/>
      </c>
      <c r="Z1171" s="13" t="str">
        <f>IF(tblSalaries[[#This Row],[Job Type]]=tblSalaries[[#Headers],[Engineer]],tblSalaries[[#This Row],[Salary in USD]],"")</f>
        <v/>
      </c>
      <c r="AA1171" s="13" t="str">
        <f>IF(tblSalaries[[#This Row],[Job Type]]=tblSalaries[[#Headers],[Manager]],tblSalaries[[#This Row],[Salary in USD]],"")</f>
        <v/>
      </c>
      <c r="AB1171" s="13" t="str">
        <f>IF(tblSalaries[[#This Row],[Job Type]]=tblSalaries[[#Headers],[Misc.]],tblSalaries[[#This Row],[Salary in USD]],"")</f>
        <v/>
      </c>
      <c r="AC1171" s="13" t="str">
        <f>IF(tblSalaries[[#This Row],[Job Type]]=tblSalaries[[#Headers],[Reporting]],tblSalaries[[#This Row],[Salary in USD]],"")</f>
        <v/>
      </c>
      <c r="AD1171" s="13" t="str">
        <f>IF(tblSalaries[[#This Row],[Job Type]]=tblSalaries[[#Headers],[Specialist]],tblSalaries[[#This Row],[Salary in USD]],"")</f>
        <v/>
      </c>
    </row>
    <row r="1172" spans="2:30" ht="15" customHeight="1" x14ac:dyDescent="0.25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 s="9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  <c r="N1172" t="str">
        <f>IF(tblSalaries[[#This Row],[Years of Experience]]="","",IF(tblSalaries[[#This Row],[Years of Experience]]&lt;=2,1,""))</f>
        <v/>
      </c>
      <c r="O1172" t="str">
        <f>IF(tblSalaries[[#This Row],[Years of Experience]]="","",IF(AND(tblSalaries[[#This Row],[Years of Experience]]&gt;2,tblSalaries[[#This Row],[Years of Experience]]&lt;=5),1,""))</f>
        <v/>
      </c>
      <c r="P1172">
        <f>IF(tblSalaries[[#This Row],[Years of Experience]]="","",IF(AND(tblSalaries[[#This Row],[Years of Experience]]&gt;5,tblSalaries[[#This Row],[Years of Experience]]&lt;=10),1,""))</f>
        <v>1</v>
      </c>
      <c r="Q1172" t="str">
        <f>IF(tblSalaries[[#This Row],[Years of Experience]]="","",IF(AND(tblSalaries[[#This Row],[Years of Experience]]&gt;10,tblSalaries[[#This Row],[Years of Experience]]&lt;=15),1,""))</f>
        <v/>
      </c>
      <c r="R1172" t="str">
        <f>IF(tblSalaries[[#This Row],[Years of Experience]]="","",IF(AND(tblSalaries[[#This Row],[Years of Experience]]&gt;16,tblSalaries[[#This Row],[Years of Experience]]&lt;=20),1,""))</f>
        <v/>
      </c>
      <c r="S1172" t="str">
        <f>IF(tblSalaries[[#This Row],[Years of Experience]]="","",IF(tblSalaries[[#This Row],[Years of Experience]]&gt;20,1,""))</f>
        <v/>
      </c>
      <c r="T11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72" s="13" t="str">
        <f>IF(tblSalaries[[#This Row],[Job Type]]=tblSalaries[[#Headers],[Accountant]],tblSalaries[[#This Row],[Salary in USD]],"")</f>
        <v/>
      </c>
      <c r="V1172" s="13">
        <f>IF(tblSalaries[[#This Row],[Job Type]]=tblSalaries[[#Headers],[Analyst]],tblSalaries[[#This Row],[Salary in USD]],"")</f>
        <v>9616.275011218986</v>
      </c>
      <c r="W1172" s="13" t="str">
        <f>IF(tblSalaries[[#This Row],[Job Type]]=tblSalaries[[#Headers],[Consultant]],tblSalaries[[#This Row],[Salary in USD]],"")</f>
        <v/>
      </c>
      <c r="X1172" s="13" t="str">
        <f>IF(tblSalaries[[#This Row],[Job Type]]=tblSalaries[[#Headers],[Controller]],tblSalaries[[#This Row],[Salary in USD]],"")</f>
        <v/>
      </c>
      <c r="Y1172" s="13" t="str">
        <f>IF(tblSalaries[[#This Row],[Job Type]]=tblSalaries[[#Headers],[CXO or Top Mgmt.]],tblSalaries[[#This Row],[clean Salary (in local currency)]],"")</f>
        <v/>
      </c>
      <c r="Z1172" s="13" t="str">
        <f>IF(tblSalaries[[#This Row],[Job Type]]=tblSalaries[[#Headers],[Engineer]],tblSalaries[[#This Row],[Salary in USD]],"")</f>
        <v/>
      </c>
      <c r="AA1172" s="13" t="str">
        <f>IF(tblSalaries[[#This Row],[Job Type]]=tblSalaries[[#Headers],[Manager]],tblSalaries[[#This Row],[Salary in USD]],"")</f>
        <v/>
      </c>
      <c r="AB1172" s="13" t="str">
        <f>IF(tblSalaries[[#This Row],[Job Type]]=tblSalaries[[#Headers],[Misc.]],tblSalaries[[#This Row],[Salary in USD]],"")</f>
        <v/>
      </c>
      <c r="AC1172" s="13" t="str">
        <f>IF(tblSalaries[[#This Row],[Job Type]]=tblSalaries[[#Headers],[Reporting]],tblSalaries[[#This Row],[Salary in USD]],"")</f>
        <v/>
      </c>
      <c r="AD1172" s="13" t="str">
        <f>IF(tblSalaries[[#This Row],[Job Type]]=tblSalaries[[#Headers],[Specialist]],tblSalaries[[#This Row],[Salary in USD]],"")</f>
        <v/>
      </c>
    </row>
    <row r="1173" spans="2:30" ht="15" customHeight="1" x14ac:dyDescent="0.25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 s="9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  <c r="N1173" t="str">
        <f>IF(tblSalaries[[#This Row],[Years of Experience]]="","",IF(tblSalaries[[#This Row],[Years of Experience]]&lt;=2,1,""))</f>
        <v/>
      </c>
      <c r="O1173" t="str">
        <f>IF(tblSalaries[[#This Row],[Years of Experience]]="","",IF(AND(tblSalaries[[#This Row],[Years of Experience]]&gt;2,tblSalaries[[#This Row],[Years of Experience]]&lt;=5),1,""))</f>
        <v/>
      </c>
      <c r="P1173">
        <f>IF(tblSalaries[[#This Row],[Years of Experience]]="","",IF(AND(tblSalaries[[#This Row],[Years of Experience]]&gt;5,tblSalaries[[#This Row],[Years of Experience]]&lt;=10),1,""))</f>
        <v>1</v>
      </c>
      <c r="Q1173" t="str">
        <f>IF(tblSalaries[[#This Row],[Years of Experience]]="","",IF(AND(tblSalaries[[#This Row],[Years of Experience]]&gt;10,tblSalaries[[#This Row],[Years of Experience]]&lt;=15),1,""))</f>
        <v/>
      </c>
      <c r="R1173" t="str">
        <f>IF(tblSalaries[[#This Row],[Years of Experience]]="","",IF(AND(tblSalaries[[#This Row],[Years of Experience]]&gt;16,tblSalaries[[#This Row],[Years of Experience]]&lt;=20),1,""))</f>
        <v/>
      </c>
      <c r="S1173" t="str">
        <f>IF(tblSalaries[[#This Row],[Years of Experience]]="","",IF(tblSalaries[[#This Row],[Years of Experience]]&gt;20,1,""))</f>
        <v/>
      </c>
      <c r="T11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73" s="13" t="str">
        <f>IF(tblSalaries[[#This Row],[Job Type]]=tblSalaries[[#Headers],[Accountant]],tblSalaries[[#This Row],[Salary in USD]],"")</f>
        <v/>
      </c>
      <c r="V1173" s="13" t="str">
        <f>IF(tblSalaries[[#This Row],[Job Type]]=tblSalaries[[#Headers],[Analyst]],tblSalaries[[#This Row],[Salary in USD]],"")</f>
        <v/>
      </c>
      <c r="W1173" s="13" t="str">
        <f>IF(tblSalaries[[#This Row],[Job Type]]=tblSalaries[[#Headers],[Consultant]],tblSalaries[[#This Row],[Salary in USD]],"")</f>
        <v/>
      </c>
      <c r="X1173" s="13" t="str">
        <f>IF(tblSalaries[[#This Row],[Job Type]]=tblSalaries[[#Headers],[Controller]],tblSalaries[[#This Row],[Salary in USD]],"")</f>
        <v/>
      </c>
      <c r="Y1173" s="13" t="str">
        <f>IF(tblSalaries[[#This Row],[Job Type]]=tblSalaries[[#Headers],[CXO or Top Mgmt.]],tblSalaries[[#This Row],[clean Salary (in local currency)]],"")</f>
        <v/>
      </c>
      <c r="Z1173" s="13" t="str">
        <f>IF(tblSalaries[[#This Row],[Job Type]]=tblSalaries[[#Headers],[Engineer]],tblSalaries[[#This Row],[Salary in USD]],"")</f>
        <v/>
      </c>
      <c r="AA1173" s="13">
        <f>IF(tblSalaries[[#This Row],[Job Type]]=tblSalaries[[#Headers],[Manager]],tblSalaries[[#This Row],[Salary in USD]],"")</f>
        <v>51497.005988023957</v>
      </c>
      <c r="AB1173" s="13" t="str">
        <f>IF(tblSalaries[[#This Row],[Job Type]]=tblSalaries[[#Headers],[Misc.]],tblSalaries[[#This Row],[Salary in USD]],"")</f>
        <v/>
      </c>
      <c r="AC1173" s="13" t="str">
        <f>IF(tblSalaries[[#This Row],[Job Type]]=tblSalaries[[#Headers],[Reporting]],tblSalaries[[#This Row],[Salary in USD]],"")</f>
        <v/>
      </c>
      <c r="AD1173" s="13" t="str">
        <f>IF(tblSalaries[[#This Row],[Job Type]]=tblSalaries[[#Headers],[Specialist]],tblSalaries[[#This Row],[Salary in USD]],"")</f>
        <v/>
      </c>
    </row>
    <row r="1174" spans="2:30" ht="15" customHeight="1" x14ac:dyDescent="0.25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 s="9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  <c r="N1174" t="str">
        <f>IF(tblSalaries[[#This Row],[Years of Experience]]="","",IF(tblSalaries[[#This Row],[Years of Experience]]&lt;=2,1,""))</f>
        <v/>
      </c>
      <c r="O1174" t="str">
        <f>IF(tblSalaries[[#This Row],[Years of Experience]]="","",IF(AND(tblSalaries[[#This Row],[Years of Experience]]&gt;2,tblSalaries[[#This Row],[Years of Experience]]&lt;=5),1,""))</f>
        <v/>
      </c>
      <c r="P1174" t="str">
        <f>IF(tblSalaries[[#This Row],[Years of Experience]]="","",IF(AND(tblSalaries[[#This Row],[Years of Experience]]&gt;5,tblSalaries[[#This Row],[Years of Experience]]&lt;=10),1,""))</f>
        <v/>
      </c>
      <c r="Q1174" t="str">
        <f>IF(tblSalaries[[#This Row],[Years of Experience]]="","",IF(AND(tblSalaries[[#This Row],[Years of Experience]]&gt;10,tblSalaries[[#This Row],[Years of Experience]]&lt;=15),1,""))</f>
        <v/>
      </c>
      <c r="R1174" t="str">
        <f>IF(tblSalaries[[#This Row],[Years of Experience]]="","",IF(AND(tblSalaries[[#This Row],[Years of Experience]]&gt;16,tblSalaries[[#This Row],[Years of Experience]]&lt;=20),1,""))</f>
        <v/>
      </c>
      <c r="S1174">
        <f>IF(tblSalaries[[#This Row],[Years of Experience]]="","",IF(tblSalaries[[#This Row],[Years of Experience]]&gt;20,1,""))</f>
        <v>1</v>
      </c>
      <c r="T11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74" s="13" t="str">
        <f>IF(tblSalaries[[#This Row],[Job Type]]=tblSalaries[[#Headers],[Accountant]],tblSalaries[[#This Row],[Salary in USD]],"")</f>
        <v/>
      </c>
      <c r="V1174" s="13" t="str">
        <f>IF(tblSalaries[[#This Row],[Job Type]]=tblSalaries[[#Headers],[Analyst]],tblSalaries[[#This Row],[Salary in USD]],"")</f>
        <v/>
      </c>
      <c r="W1174" s="13" t="str">
        <f>IF(tblSalaries[[#This Row],[Job Type]]=tblSalaries[[#Headers],[Consultant]],tblSalaries[[#This Row],[Salary in USD]],"")</f>
        <v/>
      </c>
      <c r="X1174" s="13" t="str">
        <f>IF(tblSalaries[[#This Row],[Job Type]]=tblSalaries[[#Headers],[Controller]],tblSalaries[[#This Row],[Salary in USD]],"")</f>
        <v/>
      </c>
      <c r="Y1174" s="13" t="str">
        <f>IF(tblSalaries[[#This Row],[Job Type]]=tblSalaries[[#Headers],[CXO or Top Mgmt.]],tblSalaries[[#This Row],[clean Salary (in local currency)]],"")</f>
        <v/>
      </c>
      <c r="Z1174" s="13" t="str">
        <f>IF(tblSalaries[[#This Row],[Job Type]]=tblSalaries[[#Headers],[Engineer]],tblSalaries[[#This Row],[Salary in USD]],"")</f>
        <v/>
      </c>
      <c r="AA1174" s="13">
        <f>IF(tblSalaries[[#This Row],[Job Type]]=tblSalaries[[#Headers],[Manager]],tblSalaries[[#This Row],[Salary in USD]],"")</f>
        <v>104172.75399731184</v>
      </c>
      <c r="AB1174" s="13" t="str">
        <f>IF(tblSalaries[[#This Row],[Job Type]]=tblSalaries[[#Headers],[Misc.]],tblSalaries[[#This Row],[Salary in USD]],"")</f>
        <v/>
      </c>
      <c r="AC1174" s="13" t="str">
        <f>IF(tblSalaries[[#This Row],[Job Type]]=tblSalaries[[#Headers],[Reporting]],tblSalaries[[#This Row],[Salary in USD]],"")</f>
        <v/>
      </c>
      <c r="AD1174" s="13" t="str">
        <f>IF(tblSalaries[[#This Row],[Job Type]]=tblSalaries[[#Headers],[Specialist]],tblSalaries[[#This Row],[Salary in USD]],"")</f>
        <v/>
      </c>
    </row>
    <row r="1175" spans="2:30" ht="15" customHeight="1" x14ac:dyDescent="0.25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 s="9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  <c r="N1175">
        <f>IF(tblSalaries[[#This Row],[Years of Experience]]="","",IF(tblSalaries[[#This Row],[Years of Experience]]&lt;=2,1,""))</f>
        <v>1</v>
      </c>
      <c r="O1175" t="str">
        <f>IF(tblSalaries[[#This Row],[Years of Experience]]="","",IF(AND(tblSalaries[[#This Row],[Years of Experience]]&gt;2,tblSalaries[[#This Row],[Years of Experience]]&lt;=5),1,""))</f>
        <v/>
      </c>
      <c r="P1175" t="str">
        <f>IF(tblSalaries[[#This Row],[Years of Experience]]="","",IF(AND(tblSalaries[[#This Row],[Years of Experience]]&gt;5,tblSalaries[[#This Row],[Years of Experience]]&lt;=10),1,""))</f>
        <v/>
      </c>
      <c r="Q1175" t="str">
        <f>IF(tblSalaries[[#This Row],[Years of Experience]]="","",IF(AND(tblSalaries[[#This Row],[Years of Experience]]&gt;10,tblSalaries[[#This Row],[Years of Experience]]&lt;=15),1,""))</f>
        <v/>
      </c>
      <c r="R1175" t="str">
        <f>IF(tblSalaries[[#This Row],[Years of Experience]]="","",IF(AND(tblSalaries[[#This Row],[Years of Experience]]&gt;16,tblSalaries[[#This Row],[Years of Experience]]&lt;=20),1,""))</f>
        <v/>
      </c>
      <c r="S1175" t="str">
        <f>IF(tblSalaries[[#This Row],[Years of Experience]]="","",IF(tblSalaries[[#This Row],[Years of Experience]]&gt;20,1,""))</f>
        <v/>
      </c>
      <c r="T11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75" s="13" t="str">
        <f>IF(tblSalaries[[#This Row],[Job Type]]=tblSalaries[[#Headers],[Accountant]],tblSalaries[[#This Row],[Salary in USD]],"")</f>
        <v/>
      </c>
      <c r="V1175" s="13" t="str">
        <f>IF(tblSalaries[[#This Row],[Job Type]]=tblSalaries[[#Headers],[Analyst]],tblSalaries[[#This Row],[Salary in USD]],"")</f>
        <v/>
      </c>
      <c r="W1175" s="13" t="str">
        <f>IF(tblSalaries[[#This Row],[Job Type]]=tblSalaries[[#Headers],[Consultant]],tblSalaries[[#This Row],[Salary in USD]],"")</f>
        <v/>
      </c>
      <c r="X1175" s="13" t="str">
        <f>IF(tblSalaries[[#This Row],[Job Type]]=tblSalaries[[#Headers],[Controller]],tblSalaries[[#This Row],[Salary in USD]],"")</f>
        <v/>
      </c>
      <c r="Y1175" s="13" t="str">
        <f>IF(tblSalaries[[#This Row],[Job Type]]=tblSalaries[[#Headers],[CXO or Top Mgmt.]],tblSalaries[[#This Row],[clean Salary (in local currency)]],"")</f>
        <v/>
      </c>
      <c r="Z1175" s="13" t="str">
        <f>IF(tblSalaries[[#This Row],[Job Type]]=tblSalaries[[#Headers],[Engineer]],tblSalaries[[#This Row],[Salary in USD]],"")</f>
        <v/>
      </c>
      <c r="AA1175" s="13">
        <f>IF(tblSalaries[[#This Row],[Job Type]]=tblSalaries[[#Headers],[Manager]],tblSalaries[[#This Row],[Salary in USD]],"")</f>
        <v>88000</v>
      </c>
      <c r="AB1175" s="13" t="str">
        <f>IF(tblSalaries[[#This Row],[Job Type]]=tblSalaries[[#Headers],[Misc.]],tblSalaries[[#This Row],[Salary in USD]],"")</f>
        <v/>
      </c>
      <c r="AC1175" s="13" t="str">
        <f>IF(tblSalaries[[#This Row],[Job Type]]=tblSalaries[[#Headers],[Reporting]],tblSalaries[[#This Row],[Salary in USD]],"")</f>
        <v/>
      </c>
      <c r="AD1175" s="13" t="str">
        <f>IF(tblSalaries[[#This Row],[Job Type]]=tblSalaries[[#Headers],[Specialist]],tblSalaries[[#This Row],[Salary in USD]],"")</f>
        <v/>
      </c>
    </row>
    <row r="1176" spans="2:30" ht="15" customHeight="1" x14ac:dyDescent="0.25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 s="9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  <c r="N1176" t="str">
        <f>IF(tblSalaries[[#This Row],[Years of Experience]]="","",IF(tblSalaries[[#This Row],[Years of Experience]]&lt;=2,1,""))</f>
        <v/>
      </c>
      <c r="O1176" t="str">
        <f>IF(tblSalaries[[#This Row],[Years of Experience]]="","",IF(AND(tblSalaries[[#This Row],[Years of Experience]]&gt;2,tblSalaries[[#This Row],[Years of Experience]]&lt;=5),1,""))</f>
        <v/>
      </c>
      <c r="P1176">
        <f>IF(tblSalaries[[#This Row],[Years of Experience]]="","",IF(AND(tblSalaries[[#This Row],[Years of Experience]]&gt;5,tblSalaries[[#This Row],[Years of Experience]]&lt;=10),1,""))</f>
        <v>1</v>
      </c>
      <c r="Q1176" t="str">
        <f>IF(tblSalaries[[#This Row],[Years of Experience]]="","",IF(AND(tblSalaries[[#This Row],[Years of Experience]]&gt;10,tblSalaries[[#This Row],[Years of Experience]]&lt;=15),1,""))</f>
        <v/>
      </c>
      <c r="R1176" t="str">
        <f>IF(tblSalaries[[#This Row],[Years of Experience]]="","",IF(AND(tblSalaries[[#This Row],[Years of Experience]]&gt;16,tblSalaries[[#This Row],[Years of Experience]]&lt;=20),1,""))</f>
        <v/>
      </c>
      <c r="S1176" t="str">
        <f>IF(tblSalaries[[#This Row],[Years of Experience]]="","",IF(tblSalaries[[#This Row],[Years of Experience]]&gt;20,1,""))</f>
        <v/>
      </c>
      <c r="T11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76" s="13" t="str">
        <f>IF(tblSalaries[[#This Row],[Job Type]]=tblSalaries[[#Headers],[Accountant]],tblSalaries[[#This Row],[Salary in USD]],"")</f>
        <v/>
      </c>
      <c r="V1176" s="13">
        <f>IF(tblSalaries[[#This Row],[Job Type]]=tblSalaries[[#Headers],[Analyst]],tblSalaries[[#This Row],[Salary in USD]],"")</f>
        <v>80000</v>
      </c>
      <c r="W1176" s="13" t="str">
        <f>IF(tblSalaries[[#This Row],[Job Type]]=tblSalaries[[#Headers],[Consultant]],tblSalaries[[#This Row],[Salary in USD]],"")</f>
        <v/>
      </c>
      <c r="X1176" s="13" t="str">
        <f>IF(tblSalaries[[#This Row],[Job Type]]=tblSalaries[[#Headers],[Controller]],tblSalaries[[#This Row],[Salary in USD]],"")</f>
        <v/>
      </c>
      <c r="Y1176" s="13" t="str">
        <f>IF(tblSalaries[[#This Row],[Job Type]]=tblSalaries[[#Headers],[CXO or Top Mgmt.]],tblSalaries[[#This Row],[clean Salary (in local currency)]],"")</f>
        <v/>
      </c>
      <c r="Z1176" s="13" t="str">
        <f>IF(tblSalaries[[#This Row],[Job Type]]=tblSalaries[[#Headers],[Engineer]],tblSalaries[[#This Row],[Salary in USD]],"")</f>
        <v/>
      </c>
      <c r="AA1176" s="13" t="str">
        <f>IF(tblSalaries[[#This Row],[Job Type]]=tblSalaries[[#Headers],[Manager]],tblSalaries[[#This Row],[Salary in USD]],"")</f>
        <v/>
      </c>
      <c r="AB1176" s="13" t="str">
        <f>IF(tblSalaries[[#This Row],[Job Type]]=tblSalaries[[#Headers],[Misc.]],tblSalaries[[#This Row],[Salary in USD]],"")</f>
        <v/>
      </c>
      <c r="AC1176" s="13" t="str">
        <f>IF(tblSalaries[[#This Row],[Job Type]]=tblSalaries[[#Headers],[Reporting]],tblSalaries[[#This Row],[Salary in USD]],"")</f>
        <v/>
      </c>
      <c r="AD1176" s="13" t="str">
        <f>IF(tblSalaries[[#This Row],[Job Type]]=tblSalaries[[#Headers],[Specialist]],tblSalaries[[#This Row],[Salary in USD]],"")</f>
        <v/>
      </c>
    </row>
    <row r="1177" spans="2:30" ht="15" customHeight="1" x14ac:dyDescent="0.25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 s="9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  <c r="N1177" t="str">
        <f>IF(tblSalaries[[#This Row],[Years of Experience]]="","",IF(tblSalaries[[#This Row],[Years of Experience]]&lt;=2,1,""))</f>
        <v/>
      </c>
      <c r="O1177" t="str">
        <f>IF(tblSalaries[[#This Row],[Years of Experience]]="","",IF(AND(tblSalaries[[#This Row],[Years of Experience]]&gt;2,tblSalaries[[#This Row],[Years of Experience]]&lt;=5),1,""))</f>
        <v/>
      </c>
      <c r="P1177" t="str">
        <f>IF(tblSalaries[[#This Row],[Years of Experience]]="","",IF(AND(tblSalaries[[#This Row],[Years of Experience]]&gt;5,tblSalaries[[#This Row],[Years of Experience]]&lt;=10),1,""))</f>
        <v/>
      </c>
      <c r="Q1177" t="str">
        <f>IF(tblSalaries[[#This Row],[Years of Experience]]="","",IF(AND(tblSalaries[[#This Row],[Years of Experience]]&gt;10,tblSalaries[[#This Row],[Years of Experience]]&lt;=15),1,""))</f>
        <v/>
      </c>
      <c r="R1177">
        <f>IF(tblSalaries[[#This Row],[Years of Experience]]="","",IF(AND(tblSalaries[[#This Row],[Years of Experience]]&gt;16,tblSalaries[[#This Row],[Years of Experience]]&lt;=20),1,""))</f>
        <v>1</v>
      </c>
      <c r="S1177" t="str">
        <f>IF(tblSalaries[[#This Row],[Years of Experience]]="","",IF(tblSalaries[[#This Row],[Years of Experience]]&gt;20,1,""))</f>
        <v/>
      </c>
      <c r="T11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177" s="13">
        <f>IF(tblSalaries[[#This Row],[Job Type]]=tblSalaries[[#Headers],[Accountant]],tblSalaries[[#This Row],[Salary in USD]],"")</f>
        <v>19000</v>
      </c>
      <c r="V1177" s="13" t="str">
        <f>IF(tblSalaries[[#This Row],[Job Type]]=tblSalaries[[#Headers],[Analyst]],tblSalaries[[#This Row],[Salary in USD]],"")</f>
        <v/>
      </c>
      <c r="W1177" s="13" t="str">
        <f>IF(tblSalaries[[#This Row],[Job Type]]=tblSalaries[[#Headers],[Consultant]],tblSalaries[[#This Row],[Salary in USD]],"")</f>
        <v/>
      </c>
      <c r="X1177" s="13" t="str">
        <f>IF(tblSalaries[[#This Row],[Job Type]]=tblSalaries[[#Headers],[Controller]],tblSalaries[[#This Row],[Salary in USD]],"")</f>
        <v/>
      </c>
      <c r="Y1177" s="13" t="str">
        <f>IF(tblSalaries[[#This Row],[Job Type]]=tblSalaries[[#Headers],[CXO or Top Mgmt.]],tblSalaries[[#This Row],[clean Salary (in local currency)]],"")</f>
        <v/>
      </c>
      <c r="Z1177" s="13" t="str">
        <f>IF(tblSalaries[[#This Row],[Job Type]]=tblSalaries[[#Headers],[Engineer]],tblSalaries[[#This Row],[Salary in USD]],"")</f>
        <v/>
      </c>
      <c r="AA1177" s="13" t="str">
        <f>IF(tblSalaries[[#This Row],[Job Type]]=tblSalaries[[#Headers],[Manager]],tblSalaries[[#This Row],[Salary in USD]],"")</f>
        <v/>
      </c>
      <c r="AB1177" s="13" t="str">
        <f>IF(tblSalaries[[#This Row],[Job Type]]=tblSalaries[[#Headers],[Misc.]],tblSalaries[[#This Row],[Salary in USD]],"")</f>
        <v/>
      </c>
      <c r="AC1177" s="13" t="str">
        <f>IF(tblSalaries[[#This Row],[Job Type]]=tblSalaries[[#Headers],[Reporting]],tblSalaries[[#This Row],[Salary in USD]],"")</f>
        <v/>
      </c>
      <c r="AD1177" s="13" t="str">
        <f>IF(tblSalaries[[#This Row],[Job Type]]=tblSalaries[[#Headers],[Specialist]],tblSalaries[[#This Row],[Salary in USD]],"")</f>
        <v/>
      </c>
    </row>
    <row r="1178" spans="2:30" ht="15" customHeight="1" x14ac:dyDescent="0.25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 s="9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  <c r="N1178" t="str">
        <f>IF(tblSalaries[[#This Row],[Years of Experience]]="","",IF(tblSalaries[[#This Row],[Years of Experience]]&lt;=2,1,""))</f>
        <v/>
      </c>
      <c r="O1178">
        <f>IF(tblSalaries[[#This Row],[Years of Experience]]="","",IF(AND(tblSalaries[[#This Row],[Years of Experience]]&gt;2,tblSalaries[[#This Row],[Years of Experience]]&lt;=5),1,""))</f>
        <v>1</v>
      </c>
      <c r="P1178" t="str">
        <f>IF(tblSalaries[[#This Row],[Years of Experience]]="","",IF(AND(tblSalaries[[#This Row],[Years of Experience]]&gt;5,tblSalaries[[#This Row],[Years of Experience]]&lt;=10),1,""))</f>
        <v/>
      </c>
      <c r="Q1178" t="str">
        <f>IF(tblSalaries[[#This Row],[Years of Experience]]="","",IF(AND(tblSalaries[[#This Row],[Years of Experience]]&gt;10,tblSalaries[[#This Row],[Years of Experience]]&lt;=15),1,""))</f>
        <v/>
      </c>
      <c r="R1178" t="str">
        <f>IF(tblSalaries[[#This Row],[Years of Experience]]="","",IF(AND(tblSalaries[[#This Row],[Years of Experience]]&gt;16,tblSalaries[[#This Row],[Years of Experience]]&lt;=20),1,""))</f>
        <v/>
      </c>
      <c r="S1178" t="str">
        <f>IF(tblSalaries[[#This Row],[Years of Experience]]="","",IF(tblSalaries[[#This Row],[Years of Experience]]&gt;20,1,""))</f>
        <v/>
      </c>
      <c r="T11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78" s="13" t="str">
        <f>IF(tblSalaries[[#This Row],[Job Type]]=tblSalaries[[#Headers],[Accountant]],tblSalaries[[#This Row],[Salary in USD]],"")</f>
        <v/>
      </c>
      <c r="V1178" s="13" t="str">
        <f>IF(tblSalaries[[#This Row],[Job Type]]=tblSalaries[[#Headers],[Analyst]],tblSalaries[[#This Row],[Salary in USD]],"")</f>
        <v/>
      </c>
      <c r="W1178" s="13">
        <f>IF(tblSalaries[[#This Row],[Job Type]]=tblSalaries[[#Headers],[Consultant]],tblSalaries[[#This Row],[Salary in USD]],"")</f>
        <v>19055.991584874118</v>
      </c>
      <c r="X1178" s="13" t="str">
        <f>IF(tblSalaries[[#This Row],[Job Type]]=tblSalaries[[#Headers],[Controller]],tblSalaries[[#This Row],[Salary in USD]],"")</f>
        <v/>
      </c>
      <c r="Y1178" s="13" t="str">
        <f>IF(tblSalaries[[#This Row],[Job Type]]=tblSalaries[[#Headers],[CXO or Top Mgmt.]],tblSalaries[[#This Row],[clean Salary (in local currency)]],"")</f>
        <v/>
      </c>
      <c r="Z1178" s="13" t="str">
        <f>IF(tblSalaries[[#This Row],[Job Type]]=tblSalaries[[#Headers],[Engineer]],tblSalaries[[#This Row],[Salary in USD]],"")</f>
        <v/>
      </c>
      <c r="AA1178" s="13" t="str">
        <f>IF(tblSalaries[[#This Row],[Job Type]]=tblSalaries[[#Headers],[Manager]],tblSalaries[[#This Row],[Salary in USD]],"")</f>
        <v/>
      </c>
      <c r="AB1178" s="13" t="str">
        <f>IF(tblSalaries[[#This Row],[Job Type]]=tblSalaries[[#Headers],[Misc.]],tblSalaries[[#This Row],[Salary in USD]],"")</f>
        <v/>
      </c>
      <c r="AC1178" s="13" t="str">
        <f>IF(tblSalaries[[#This Row],[Job Type]]=tblSalaries[[#Headers],[Reporting]],tblSalaries[[#This Row],[Salary in USD]],"")</f>
        <v/>
      </c>
      <c r="AD1178" s="13" t="str">
        <f>IF(tblSalaries[[#This Row],[Job Type]]=tblSalaries[[#Headers],[Specialist]],tblSalaries[[#This Row],[Salary in USD]],"")</f>
        <v/>
      </c>
    </row>
    <row r="1179" spans="2:30" ht="15" customHeight="1" x14ac:dyDescent="0.25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 s="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  <c r="N1179" t="str">
        <f>IF(tblSalaries[[#This Row],[Years of Experience]]="","",IF(tblSalaries[[#This Row],[Years of Experience]]&lt;=2,1,""))</f>
        <v/>
      </c>
      <c r="O1179" t="str">
        <f>IF(tblSalaries[[#This Row],[Years of Experience]]="","",IF(AND(tblSalaries[[#This Row],[Years of Experience]]&gt;2,tblSalaries[[#This Row],[Years of Experience]]&lt;=5),1,""))</f>
        <v/>
      </c>
      <c r="P1179" t="str">
        <f>IF(tblSalaries[[#This Row],[Years of Experience]]="","",IF(AND(tblSalaries[[#This Row],[Years of Experience]]&gt;5,tblSalaries[[#This Row],[Years of Experience]]&lt;=10),1,""))</f>
        <v/>
      </c>
      <c r="Q1179">
        <f>IF(tblSalaries[[#This Row],[Years of Experience]]="","",IF(AND(tblSalaries[[#This Row],[Years of Experience]]&gt;10,tblSalaries[[#This Row],[Years of Experience]]&lt;=15),1,""))</f>
        <v>1</v>
      </c>
      <c r="R1179" t="str">
        <f>IF(tblSalaries[[#This Row],[Years of Experience]]="","",IF(AND(tblSalaries[[#This Row],[Years of Experience]]&gt;16,tblSalaries[[#This Row],[Years of Experience]]&lt;=20),1,""))</f>
        <v/>
      </c>
      <c r="S1179" t="str">
        <f>IF(tblSalaries[[#This Row],[Years of Experience]]="","",IF(tblSalaries[[#This Row],[Years of Experience]]&gt;20,1,""))</f>
        <v/>
      </c>
      <c r="T11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79" s="13" t="str">
        <f>IF(tblSalaries[[#This Row],[Job Type]]=tblSalaries[[#Headers],[Accountant]],tblSalaries[[#This Row],[Salary in USD]],"")</f>
        <v/>
      </c>
      <c r="V1179" s="13" t="str">
        <f>IF(tblSalaries[[#This Row],[Job Type]]=tblSalaries[[#Headers],[Analyst]],tblSalaries[[#This Row],[Salary in USD]],"")</f>
        <v/>
      </c>
      <c r="W1179" s="13">
        <f>IF(tblSalaries[[#This Row],[Job Type]]=tblSalaries[[#Headers],[Consultant]],tblSalaries[[#This Row],[Salary in USD]],"")</f>
        <v>8547.8000099724322</v>
      </c>
      <c r="X1179" s="13" t="str">
        <f>IF(tblSalaries[[#This Row],[Job Type]]=tblSalaries[[#Headers],[Controller]],tblSalaries[[#This Row],[Salary in USD]],"")</f>
        <v/>
      </c>
      <c r="Y1179" s="13" t="str">
        <f>IF(tblSalaries[[#This Row],[Job Type]]=tblSalaries[[#Headers],[CXO or Top Mgmt.]],tblSalaries[[#This Row],[clean Salary (in local currency)]],"")</f>
        <v/>
      </c>
      <c r="Z1179" s="13" t="str">
        <f>IF(tblSalaries[[#This Row],[Job Type]]=tblSalaries[[#Headers],[Engineer]],tblSalaries[[#This Row],[Salary in USD]],"")</f>
        <v/>
      </c>
      <c r="AA1179" s="13" t="str">
        <f>IF(tblSalaries[[#This Row],[Job Type]]=tblSalaries[[#Headers],[Manager]],tblSalaries[[#This Row],[Salary in USD]],"")</f>
        <v/>
      </c>
      <c r="AB1179" s="13" t="str">
        <f>IF(tblSalaries[[#This Row],[Job Type]]=tblSalaries[[#Headers],[Misc.]],tblSalaries[[#This Row],[Salary in USD]],"")</f>
        <v/>
      </c>
      <c r="AC1179" s="13" t="str">
        <f>IF(tblSalaries[[#This Row],[Job Type]]=tblSalaries[[#Headers],[Reporting]],tblSalaries[[#This Row],[Salary in USD]],"")</f>
        <v/>
      </c>
      <c r="AD1179" s="13" t="str">
        <f>IF(tblSalaries[[#This Row],[Job Type]]=tblSalaries[[#Headers],[Specialist]],tblSalaries[[#This Row],[Salary in USD]],"")</f>
        <v/>
      </c>
    </row>
    <row r="1180" spans="2:30" ht="15" customHeight="1" x14ac:dyDescent="0.25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 s="9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  <c r="N1180" t="str">
        <f>IF(tblSalaries[[#This Row],[Years of Experience]]="","",IF(tblSalaries[[#This Row],[Years of Experience]]&lt;=2,1,""))</f>
        <v/>
      </c>
      <c r="O1180" t="str">
        <f>IF(tblSalaries[[#This Row],[Years of Experience]]="","",IF(AND(tblSalaries[[#This Row],[Years of Experience]]&gt;2,tblSalaries[[#This Row],[Years of Experience]]&lt;=5),1,""))</f>
        <v/>
      </c>
      <c r="P1180" t="str">
        <f>IF(tblSalaries[[#This Row],[Years of Experience]]="","",IF(AND(tblSalaries[[#This Row],[Years of Experience]]&gt;5,tblSalaries[[#This Row],[Years of Experience]]&lt;=10),1,""))</f>
        <v/>
      </c>
      <c r="Q1180">
        <f>IF(tblSalaries[[#This Row],[Years of Experience]]="","",IF(AND(tblSalaries[[#This Row],[Years of Experience]]&gt;10,tblSalaries[[#This Row],[Years of Experience]]&lt;=15),1,""))</f>
        <v>1</v>
      </c>
      <c r="R1180" t="str">
        <f>IF(tblSalaries[[#This Row],[Years of Experience]]="","",IF(AND(tblSalaries[[#This Row],[Years of Experience]]&gt;16,tblSalaries[[#This Row],[Years of Experience]]&lt;=20),1,""))</f>
        <v/>
      </c>
      <c r="S1180" t="str">
        <f>IF(tblSalaries[[#This Row],[Years of Experience]]="","",IF(tblSalaries[[#This Row],[Years of Experience]]&gt;20,1,""))</f>
        <v/>
      </c>
      <c r="T11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80" s="13" t="str">
        <f>IF(tblSalaries[[#This Row],[Job Type]]=tblSalaries[[#Headers],[Accountant]],tblSalaries[[#This Row],[Salary in USD]],"")</f>
        <v/>
      </c>
      <c r="V1180" s="13" t="str">
        <f>IF(tblSalaries[[#This Row],[Job Type]]=tblSalaries[[#Headers],[Analyst]],tblSalaries[[#This Row],[Salary in USD]],"")</f>
        <v/>
      </c>
      <c r="W1180" s="13">
        <f>IF(tblSalaries[[#This Row],[Job Type]]=tblSalaries[[#Headers],[Consultant]],tblSalaries[[#This Row],[Salary in USD]],"")</f>
        <v>19588.708356186824</v>
      </c>
      <c r="X1180" s="13" t="str">
        <f>IF(tblSalaries[[#This Row],[Job Type]]=tblSalaries[[#Headers],[Controller]],tblSalaries[[#This Row],[Salary in USD]],"")</f>
        <v/>
      </c>
      <c r="Y1180" s="13" t="str">
        <f>IF(tblSalaries[[#This Row],[Job Type]]=tblSalaries[[#Headers],[CXO or Top Mgmt.]],tblSalaries[[#This Row],[clean Salary (in local currency)]],"")</f>
        <v/>
      </c>
      <c r="Z1180" s="13" t="str">
        <f>IF(tblSalaries[[#This Row],[Job Type]]=tblSalaries[[#Headers],[Engineer]],tblSalaries[[#This Row],[Salary in USD]],"")</f>
        <v/>
      </c>
      <c r="AA1180" s="13" t="str">
        <f>IF(tblSalaries[[#This Row],[Job Type]]=tblSalaries[[#Headers],[Manager]],tblSalaries[[#This Row],[Salary in USD]],"")</f>
        <v/>
      </c>
      <c r="AB1180" s="13" t="str">
        <f>IF(tblSalaries[[#This Row],[Job Type]]=tblSalaries[[#Headers],[Misc.]],tblSalaries[[#This Row],[Salary in USD]],"")</f>
        <v/>
      </c>
      <c r="AC1180" s="13" t="str">
        <f>IF(tblSalaries[[#This Row],[Job Type]]=tblSalaries[[#Headers],[Reporting]],tblSalaries[[#This Row],[Salary in USD]],"")</f>
        <v/>
      </c>
      <c r="AD1180" s="13" t="str">
        <f>IF(tblSalaries[[#This Row],[Job Type]]=tblSalaries[[#Headers],[Specialist]],tblSalaries[[#This Row],[Salary in USD]],"")</f>
        <v/>
      </c>
    </row>
    <row r="1181" spans="2:30" ht="15" customHeight="1" x14ac:dyDescent="0.25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 s="9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  <c r="N1181">
        <f>IF(tblSalaries[[#This Row],[Years of Experience]]="","",IF(tblSalaries[[#This Row],[Years of Experience]]&lt;=2,1,""))</f>
        <v>1</v>
      </c>
      <c r="O1181" t="str">
        <f>IF(tblSalaries[[#This Row],[Years of Experience]]="","",IF(AND(tblSalaries[[#This Row],[Years of Experience]]&gt;2,tblSalaries[[#This Row],[Years of Experience]]&lt;=5),1,""))</f>
        <v/>
      </c>
      <c r="P1181" t="str">
        <f>IF(tblSalaries[[#This Row],[Years of Experience]]="","",IF(AND(tblSalaries[[#This Row],[Years of Experience]]&gt;5,tblSalaries[[#This Row],[Years of Experience]]&lt;=10),1,""))</f>
        <v/>
      </c>
      <c r="Q1181" t="str">
        <f>IF(tblSalaries[[#This Row],[Years of Experience]]="","",IF(AND(tblSalaries[[#This Row],[Years of Experience]]&gt;10,tblSalaries[[#This Row],[Years of Experience]]&lt;=15),1,""))</f>
        <v/>
      </c>
      <c r="R1181" t="str">
        <f>IF(tblSalaries[[#This Row],[Years of Experience]]="","",IF(AND(tblSalaries[[#This Row],[Years of Experience]]&gt;16,tblSalaries[[#This Row],[Years of Experience]]&lt;=20),1,""))</f>
        <v/>
      </c>
      <c r="S1181" t="str">
        <f>IF(tblSalaries[[#This Row],[Years of Experience]]="","",IF(tblSalaries[[#This Row],[Years of Experience]]&gt;20,1,""))</f>
        <v/>
      </c>
      <c r="T11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81" s="13" t="str">
        <f>IF(tblSalaries[[#This Row],[Job Type]]=tblSalaries[[#Headers],[Accountant]],tblSalaries[[#This Row],[Salary in USD]],"")</f>
        <v/>
      </c>
      <c r="V1181" s="13">
        <f>IF(tblSalaries[[#This Row],[Job Type]]=tblSalaries[[#Headers],[Analyst]],tblSalaries[[#This Row],[Salary in USD]],"")</f>
        <v>61000</v>
      </c>
      <c r="W1181" s="13" t="str">
        <f>IF(tblSalaries[[#This Row],[Job Type]]=tblSalaries[[#Headers],[Consultant]],tblSalaries[[#This Row],[Salary in USD]],"")</f>
        <v/>
      </c>
      <c r="X1181" s="13" t="str">
        <f>IF(tblSalaries[[#This Row],[Job Type]]=tblSalaries[[#Headers],[Controller]],tblSalaries[[#This Row],[Salary in USD]],"")</f>
        <v/>
      </c>
      <c r="Y1181" s="13" t="str">
        <f>IF(tblSalaries[[#This Row],[Job Type]]=tblSalaries[[#Headers],[CXO or Top Mgmt.]],tblSalaries[[#This Row],[clean Salary (in local currency)]],"")</f>
        <v/>
      </c>
      <c r="Z1181" s="13" t="str">
        <f>IF(tblSalaries[[#This Row],[Job Type]]=tblSalaries[[#Headers],[Engineer]],tblSalaries[[#This Row],[Salary in USD]],"")</f>
        <v/>
      </c>
      <c r="AA1181" s="13" t="str">
        <f>IF(tblSalaries[[#This Row],[Job Type]]=tblSalaries[[#Headers],[Manager]],tblSalaries[[#This Row],[Salary in USD]],"")</f>
        <v/>
      </c>
      <c r="AB1181" s="13" t="str">
        <f>IF(tblSalaries[[#This Row],[Job Type]]=tblSalaries[[#Headers],[Misc.]],tblSalaries[[#This Row],[Salary in USD]],"")</f>
        <v/>
      </c>
      <c r="AC1181" s="13" t="str">
        <f>IF(tblSalaries[[#This Row],[Job Type]]=tblSalaries[[#Headers],[Reporting]],tblSalaries[[#This Row],[Salary in USD]],"")</f>
        <v/>
      </c>
      <c r="AD1181" s="13" t="str">
        <f>IF(tblSalaries[[#This Row],[Job Type]]=tblSalaries[[#Headers],[Specialist]],tblSalaries[[#This Row],[Salary in USD]],"")</f>
        <v/>
      </c>
    </row>
    <row r="1182" spans="2:30" ht="15" customHeight="1" x14ac:dyDescent="0.25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 s="9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  <c r="N1182" t="str">
        <f>IF(tblSalaries[[#This Row],[Years of Experience]]="","",IF(tblSalaries[[#This Row],[Years of Experience]]&lt;=2,1,""))</f>
        <v/>
      </c>
      <c r="O1182" t="str">
        <f>IF(tblSalaries[[#This Row],[Years of Experience]]="","",IF(AND(tblSalaries[[#This Row],[Years of Experience]]&gt;2,tblSalaries[[#This Row],[Years of Experience]]&lt;=5),1,""))</f>
        <v/>
      </c>
      <c r="P1182">
        <f>IF(tblSalaries[[#This Row],[Years of Experience]]="","",IF(AND(tblSalaries[[#This Row],[Years of Experience]]&gt;5,tblSalaries[[#This Row],[Years of Experience]]&lt;=10),1,""))</f>
        <v>1</v>
      </c>
      <c r="Q1182" t="str">
        <f>IF(tblSalaries[[#This Row],[Years of Experience]]="","",IF(AND(tblSalaries[[#This Row],[Years of Experience]]&gt;10,tblSalaries[[#This Row],[Years of Experience]]&lt;=15),1,""))</f>
        <v/>
      </c>
      <c r="R1182" t="str">
        <f>IF(tblSalaries[[#This Row],[Years of Experience]]="","",IF(AND(tblSalaries[[#This Row],[Years of Experience]]&gt;16,tblSalaries[[#This Row],[Years of Experience]]&lt;=20),1,""))</f>
        <v/>
      </c>
      <c r="S1182" t="str">
        <f>IF(tblSalaries[[#This Row],[Years of Experience]]="","",IF(tblSalaries[[#This Row],[Years of Experience]]&gt;20,1,""))</f>
        <v/>
      </c>
      <c r="T11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82" s="13">
        <f>IF(tblSalaries[[#This Row],[Job Type]]=tblSalaries[[#Headers],[Accountant]],tblSalaries[[#This Row],[Salary in USD]],"")</f>
        <v>53590.061250287661</v>
      </c>
      <c r="V1182" s="13" t="str">
        <f>IF(tblSalaries[[#This Row],[Job Type]]=tblSalaries[[#Headers],[Analyst]],tblSalaries[[#This Row],[Salary in USD]],"")</f>
        <v/>
      </c>
      <c r="W1182" s="13" t="str">
        <f>IF(tblSalaries[[#This Row],[Job Type]]=tblSalaries[[#Headers],[Consultant]],tblSalaries[[#This Row],[Salary in USD]],"")</f>
        <v/>
      </c>
      <c r="X1182" s="13" t="str">
        <f>IF(tblSalaries[[#This Row],[Job Type]]=tblSalaries[[#Headers],[Controller]],tblSalaries[[#This Row],[Salary in USD]],"")</f>
        <v/>
      </c>
      <c r="Y1182" s="13" t="str">
        <f>IF(tblSalaries[[#This Row],[Job Type]]=tblSalaries[[#Headers],[CXO or Top Mgmt.]],tblSalaries[[#This Row],[clean Salary (in local currency)]],"")</f>
        <v/>
      </c>
      <c r="Z1182" s="13" t="str">
        <f>IF(tblSalaries[[#This Row],[Job Type]]=tblSalaries[[#Headers],[Engineer]],tblSalaries[[#This Row],[Salary in USD]],"")</f>
        <v/>
      </c>
      <c r="AA1182" s="13" t="str">
        <f>IF(tblSalaries[[#This Row],[Job Type]]=tblSalaries[[#Headers],[Manager]],tblSalaries[[#This Row],[Salary in USD]],"")</f>
        <v/>
      </c>
      <c r="AB1182" s="13" t="str">
        <f>IF(tblSalaries[[#This Row],[Job Type]]=tblSalaries[[#Headers],[Misc.]],tblSalaries[[#This Row],[Salary in USD]],"")</f>
        <v/>
      </c>
      <c r="AC1182" s="13" t="str">
        <f>IF(tblSalaries[[#This Row],[Job Type]]=tblSalaries[[#Headers],[Reporting]],tblSalaries[[#This Row],[Salary in USD]],"")</f>
        <v/>
      </c>
      <c r="AD1182" s="13" t="str">
        <f>IF(tblSalaries[[#This Row],[Job Type]]=tblSalaries[[#Headers],[Specialist]],tblSalaries[[#This Row],[Salary in USD]],"")</f>
        <v/>
      </c>
    </row>
    <row r="1183" spans="2:30" ht="15" customHeight="1" x14ac:dyDescent="0.25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 s="9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  <c r="N1183" t="str">
        <f>IF(tblSalaries[[#This Row],[Years of Experience]]="","",IF(tblSalaries[[#This Row],[Years of Experience]]&lt;=2,1,""))</f>
        <v/>
      </c>
      <c r="O1183" t="str">
        <f>IF(tblSalaries[[#This Row],[Years of Experience]]="","",IF(AND(tblSalaries[[#This Row],[Years of Experience]]&gt;2,tblSalaries[[#This Row],[Years of Experience]]&lt;=5),1,""))</f>
        <v/>
      </c>
      <c r="P1183">
        <f>IF(tblSalaries[[#This Row],[Years of Experience]]="","",IF(AND(tblSalaries[[#This Row],[Years of Experience]]&gt;5,tblSalaries[[#This Row],[Years of Experience]]&lt;=10),1,""))</f>
        <v>1</v>
      </c>
      <c r="Q1183" t="str">
        <f>IF(tblSalaries[[#This Row],[Years of Experience]]="","",IF(AND(tblSalaries[[#This Row],[Years of Experience]]&gt;10,tblSalaries[[#This Row],[Years of Experience]]&lt;=15),1,""))</f>
        <v/>
      </c>
      <c r="R1183" t="str">
        <f>IF(tblSalaries[[#This Row],[Years of Experience]]="","",IF(AND(tblSalaries[[#This Row],[Years of Experience]]&gt;16,tblSalaries[[#This Row],[Years of Experience]]&lt;=20),1,""))</f>
        <v/>
      </c>
      <c r="S1183" t="str">
        <f>IF(tblSalaries[[#This Row],[Years of Experience]]="","",IF(tblSalaries[[#This Row],[Years of Experience]]&gt;20,1,""))</f>
        <v/>
      </c>
      <c r="T11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83" s="13">
        <f>IF(tblSalaries[[#This Row],[Job Type]]=tblSalaries[[#Headers],[Accountant]],tblSalaries[[#This Row],[Salary in USD]],"")</f>
        <v>53590.061250287661</v>
      </c>
      <c r="V1183" s="13" t="str">
        <f>IF(tblSalaries[[#This Row],[Job Type]]=tblSalaries[[#Headers],[Analyst]],tblSalaries[[#This Row],[Salary in USD]],"")</f>
        <v/>
      </c>
      <c r="W1183" s="13" t="str">
        <f>IF(tblSalaries[[#This Row],[Job Type]]=tblSalaries[[#Headers],[Consultant]],tblSalaries[[#This Row],[Salary in USD]],"")</f>
        <v/>
      </c>
      <c r="X1183" s="13" t="str">
        <f>IF(tblSalaries[[#This Row],[Job Type]]=tblSalaries[[#Headers],[Controller]],tblSalaries[[#This Row],[Salary in USD]],"")</f>
        <v/>
      </c>
      <c r="Y1183" s="13" t="str">
        <f>IF(tblSalaries[[#This Row],[Job Type]]=tblSalaries[[#Headers],[CXO or Top Mgmt.]],tblSalaries[[#This Row],[clean Salary (in local currency)]],"")</f>
        <v/>
      </c>
      <c r="Z1183" s="13" t="str">
        <f>IF(tblSalaries[[#This Row],[Job Type]]=tblSalaries[[#Headers],[Engineer]],tblSalaries[[#This Row],[Salary in USD]],"")</f>
        <v/>
      </c>
      <c r="AA1183" s="13" t="str">
        <f>IF(tblSalaries[[#This Row],[Job Type]]=tblSalaries[[#Headers],[Manager]],tblSalaries[[#This Row],[Salary in USD]],"")</f>
        <v/>
      </c>
      <c r="AB1183" s="13" t="str">
        <f>IF(tblSalaries[[#This Row],[Job Type]]=tblSalaries[[#Headers],[Misc.]],tblSalaries[[#This Row],[Salary in USD]],"")</f>
        <v/>
      </c>
      <c r="AC1183" s="13" t="str">
        <f>IF(tblSalaries[[#This Row],[Job Type]]=tblSalaries[[#Headers],[Reporting]],tblSalaries[[#This Row],[Salary in USD]],"")</f>
        <v/>
      </c>
      <c r="AD1183" s="13" t="str">
        <f>IF(tblSalaries[[#This Row],[Job Type]]=tblSalaries[[#Headers],[Specialist]],tblSalaries[[#This Row],[Salary in USD]],"")</f>
        <v/>
      </c>
    </row>
    <row r="1184" spans="2:30" ht="15" customHeight="1" x14ac:dyDescent="0.25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 s="9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  <c r="N1184">
        <f>IF(tblSalaries[[#This Row],[Years of Experience]]="","",IF(tblSalaries[[#This Row],[Years of Experience]]&lt;=2,1,""))</f>
        <v>1</v>
      </c>
      <c r="O1184" t="str">
        <f>IF(tblSalaries[[#This Row],[Years of Experience]]="","",IF(AND(tblSalaries[[#This Row],[Years of Experience]]&gt;2,tblSalaries[[#This Row],[Years of Experience]]&lt;=5),1,""))</f>
        <v/>
      </c>
      <c r="P1184" t="str">
        <f>IF(tblSalaries[[#This Row],[Years of Experience]]="","",IF(AND(tblSalaries[[#This Row],[Years of Experience]]&gt;5,tblSalaries[[#This Row],[Years of Experience]]&lt;=10),1,""))</f>
        <v/>
      </c>
      <c r="Q1184" t="str">
        <f>IF(tblSalaries[[#This Row],[Years of Experience]]="","",IF(AND(tblSalaries[[#This Row],[Years of Experience]]&gt;10,tblSalaries[[#This Row],[Years of Experience]]&lt;=15),1,""))</f>
        <v/>
      </c>
      <c r="R1184" t="str">
        <f>IF(tblSalaries[[#This Row],[Years of Experience]]="","",IF(AND(tblSalaries[[#This Row],[Years of Experience]]&gt;16,tblSalaries[[#This Row],[Years of Experience]]&lt;=20),1,""))</f>
        <v/>
      </c>
      <c r="S1184" t="str">
        <f>IF(tblSalaries[[#This Row],[Years of Experience]]="","",IF(tblSalaries[[#This Row],[Years of Experience]]&gt;20,1,""))</f>
        <v/>
      </c>
      <c r="T11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184" s="13" t="str">
        <f>IF(tblSalaries[[#This Row],[Job Type]]=tblSalaries[[#Headers],[Accountant]],tblSalaries[[#This Row],[Salary in USD]],"")</f>
        <v/>
      </c>
      <c r="V1184" s="13" t="str">
        <f>IF(tblSalaries[[#This Row],[Job Type]]=tblSalaries[[#Headers],[Analyst]],tblSalaries[[#This Row],[Salary in USD]],"")</f>
        <v/>
      </c>
      <c r="W1184" s="13" t="str">
        <f>IF(tblSalaries[[#This Row],[Job Type]]=tblSalaries[[#Headers],[Consultant]],tblSalaries[[#This Row],[Salary in USD]],"")</f>
        <v/>
      </c>
      <c r="X1184" s="13" t="str">
        <f>IF(tblSalaries[[#This Row],[Job Type]]=tblSalaries[[#Headers],[Controller]],tblSalaries[[#This Row],[Salary in USD]],"")</f>
        <v/>
      </c>
      <c r="Y1184" s="13" t="str">
        <f>IF(tblSalaries[[#This Row],[Job Type]]=tblSalaries[[#Headers],[CXO or Top Mgmt.]],tblSalaries[[#This Row],[clean Salary (in local currency)]],"")</f>
        <v/>
      </c>
      <c r="Z1184" s="13" t="str">
        <f>IF(tblSalaries[[#This Row],[Job Type]]=tblSalaries[[#Headers],[Engineer]],tblSalaries[[#This Row],[Salary in USD]],"")</f>
        <v/>
      </c>
      <c r="AA1184" s="13">
        <f>IF(tblSalaries[[#This Row],[Job Type]]=tblSalaries[[#Headers],[Manager]],tblSalaries[[#This Row],[Salary in USD]],"")</f>
        <v>4451.9791718606421</v>
      </c>
      <c r="AB1184" s="13" t="str">
        <f>IF(tblSalaries[[#This Row],[Job Type]]=tblSalaries[[#Headers],[Misc.]],tblSalaries[[#This Row],[Salary in USD]],"")</f>
        <v/>
      </c>
      <c r="AC1184" s="13" t="str">
        <f>IF(tblSalaries[[#This Row],[Job Type]]=tblSalaries[[#Headers],[Reporting]],tblSalaries[[#This Row],[Salary in USD]],"")</f>
        <v/>
      </c>
      <c r="AD1184" s="13" t="str">
        <f>IF(tblSalaries[[#This Row],[Job Type]]=tblSalaries[[#Headers],[Specialist]],tblSalaries[[#This Row],[Salary in USD]],"")</f>
        <v/>
      </c>
    </row>
    <row r="1185" spans="2:30" ht="15" customHeight="1" x14ac:dyDescent="0.25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 s="9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  <c r="N1185" t="str">
        <f>IF(tblSalaries[[#This Row],[Years of Experience]]="","",IF(tblSalaries[[#This Row],[Years of Experience]]&lt;=2,1,""))</f>
        <v/>
      </c>
      <c r="O1185" t="str">
        <f>IF(tblSalaries[[#This Row],[Years of Experience]]="","",IF(AND(tblSalaries[[#This Row],[Years of Experience]]&gt;2,tblSalaries[[#This Row],[Years of Experience]]&lt;=5),1,""))</f>
        <v/>
      </c>
      <c r="P1185" t="str">
        <f>IF(tblSalaries[[#This Row],[Years of Experience]]="","",IF(AND(tblSalaries[[#This Row],[Years of Experience]]&gt;5,tblSalaries[[#This Row],[Years of Experience]]&lt;=10),1,""))</f>
        <v/>
      </c>
      <c r="Q1185">
        <f>IF(tblSalaries[[#This Row],[Years of Experience]]="","",IF(AND(tblSalaries[[#This Row],[Years of Experience]]&gt;10,tblSalaries[[#This Row],[Years of Experience]]&lt;=15),1,""))</f>
        <v>1</v>
      </c>
      <c r="R1185" t="str">
        <f>IF(tblSalaries[[#This Row],[Years of Experience]]="","",IF(AND(tblSalaries[[#This Row],[Years of Experience]]&gt;16,tblSalaries[[#This Row],[Years of Experience]]&lt;=20),1,""))</f>
        <v/>
      </c>
      <c r="S1185" t="str">
        <f>IF(tblSalaries[[#This Row],[Years of Experience]]="","",IF(tblSalaries[[#This Row],[Years of Experience]]&gt;20,1,""))</f>
        <v/>
      </c>
      <c r="T11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85" s="13" t="str">
        <f>IF(tblSalaries[[#This Row],[Job Type]]=tblSalaries[[#Headers],[Accountant]],tblSalaries[[#This Row],[Salary in USD]],"")</f>
        <v/>
      </c>
      <c r="V1185" s="13" t="str">
        <f>IF(tblSalaries[[#This Row],[Job Type]]=tblSalaries[[#Headers],[Analyst]],tblSalaries[[#This Row],[Salary in USD]],"")</f>
        <v/>
      </c>
      <c r="W1185" s="13" t="str">
        <f>IF(tblSalaries[[#This Row],[Job Type]]=tblSalaries[[#Headers],[Consultant]],tblSalaries[[#This Row],[Salary in USD]],"")</f>
        <v/>
      </c>
      <c r="X1185" s="13" t="str">
        <f>IF(tblSalaries[[#This Row],[Job Type]]=tblSalaries[[#Headers],[Controller]],tblSalaries[[#This Row],[Salary in USD]],"")</f>
        <v/>
      </c>
      <c r="Y1185" s="13" t="str">
        <f>IF(tblSalaries[[#This Row],[Job Type]]=tblSalaries[[#Headers],[CXO or Top Mgmt.]],tblSalaries[[#This Row],[clean Salary (in local currency)]],"")</f>
        <v/>
      </c>
      <c r="Z1185" s="13" t="str">
        <f>IF(tblSalaries[[#This Row],[Job Type]]=tblSalaries[[#Headers],[Engineer]],tblSalaries[[#This Row],[Salary in USD]],"")</f>
        <v/>
      </c>
      <c r="AA1185" s="13">
        <f>IF(tblSalaries[[#This Row],[Job Type]]=tblSalaries[[#Headers],[Manager]],tblSalaries[[#This Row],[Salary in USD]],"")</f>
        <v>25407.988779832154</v>
      </c>
      <c r="AB1185" s="13" t="str">
        <f>IF(tblSalaries[[#This Row],[Job Type]]=tblSalaries[[#Headers],[Misc.]],tblSalaries[[#This Row],[Salary in USD]],"")</f>
        <v/>
      </c>
      <c r="AC1185" s="13" t="str">
        <f>IF(tblSalaries[[#This Row],[Job Type]]=tblSalaries[[#Headers],[Reporting]],tblSalaries[[#This Row],[Salary in USD]],"")</f>
        <v/>
      </c>
      <c r="AD1185" s="13" t="str">
        <f>IF(tblSalaries[[#This Row],[Job Type]]=tblSalaries[[#Headers],[Specialist]],tblSalaries[[#This Row],[Salary in USD]],"")</f>
        <v/>
      </c>
    </row>
    <row r="1186" spans="2:30" ht="15" customHeight="1" x14ac:dyDescent="0.25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 s="9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  <c r="N1186" t="str">
        <f>IF(tblSalaries[[#This Row],[Years of Experience]]="","",IF(tblSalaries[[#This Row],[Years of Experience]]&lt;=2,1,""))</f>
        <v/>
      </c>
      <c r="O1186" t="str">
        <f>IF(tblSalaries[[#This Row],[Years of Experience]]="","",IF(AND(tblSalaries[[#This Row],[Years of Experience]]&gt;2,tblSalaries[[#This Row],[Years of Experience]]&lt;=5),1,""))</f>
        <v/>
      </c>
      <c r="P1186" t="str">
        <f>IF(tblSalaries[[#This Row],[Years of Experience]]="","",IF(AND(tblSalaries[[#This Row],[Years of Experience]]&gt;5,tblSalaries[[#This Row],[Years of Experience]]&lt;=10),1,""))</f>
        <v/>
      </c>
      <c r="Q1186">
        <f>IF(tblSalaries[[#This Row],[Years of Experience]]="","",IF(AND(tblSalaries[[#This Row],[Years of Experience]]&gt;10,tblSalaries[[#This Row],[Years of Experience]]&lt;=15),1,""))</f>
        <v>1</v>
      </c>
      <c r="R1186" t="str">
        <f>IF(tblSalaries[[#This Row],[Years of Experience]]="","",IF(AND(tblSalaries[[#This Row],[Years of Experience]]&gt;16,tblSalaries[[#This Row],[Years of Experience]]&lt;=20),1,""))</f>
        <v/>
      </c>
      <c r="S1186" t="str">
        <f>IF(tblSalaries[[#This Row],[Years of Experience]]="","",IF(tblSalaries[[#This Row],[Years of Experience]]&gt;20,1,""))</f>
        <v/>
      </c>
      <c r="T11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86" s="13">
        <f>IF(tblSalaries[[#This Row],[Job Type]]=tblSalaries[[#Headers],[Accountant]],tblSalaries[[#This Row],[Salary in USD]],"")</f>
        <v>23000</v>
      </c>
      <c r="V1186" s="13" t="str">
        <f>IF(tblSalaries[[#This Row],[Job Type]]=tblSalaries[[#Headers],[Analyst]],tblSalaries[[#This Row],[Salary in USD]],"")</f>
        <v/>
      </c>
      <c r="W1186" s="13" t="str">
        <f>IF(tblSalaries[[#This Row],[Job Type]]=tblSalaries[[#Headers],[Consultant]],tblSalaries[[#This Row],[Salary in USD]],"")</f>
        <v/>
      </c>
      <c r="X1186" s="13" t="str">
        <f>IF(tblSalaries[[#This Row],[Job Type]]=tblSalaries[[#Headers],[Controller]],tblSalaries[[#This Row],[Salary in USD]],"")</f>
        <v/>
      </c>
      <c r="Y1186" s="13" t="str">
        <f>IF(tblSalaries[[#This Row],[Job Type]]=tblSalaries[[#Headers],[CXO or Top Mgmt.]],tblSalaries[[#This Row],[clean Salary (in local currency)]],"")</f>
        <v/>
      </c>
      <c r="Z1186" s="13" t="str">
        <f>IF(tblSalaries[[#This Row],[Job Type]]=tblSalaries[[#Headers],[Engineer]],tblSalaries[[#This Row],[Salary in USD]],"")</f>
        <v/>
      </c>
      <c r="AA1186" s="13" t="str">
        <f>IF(tblSalaries[[#This Row],[Job Type]]=tblSalaries[[#Headers],[Manager]],tblSalaries[[#This Row],[Salary in USD]],"")</f>
        <v/>
      </c>
      <c r="AB1186" s="13" t="str">
        <f>IF(tblSalaries[[#This Row],[Job Type]]=tblSalaries[[#Headers],[Misc.]],tblSalaries[[#This Row],[Salary in USD]],"")</f>
        <v/>
      </c>
      <c r="AC1186" s="13" t="str">
        <f>IF(tblSalaries[[#This Row],[Job Type]]=tblSalaries[[#Headers],[Reporting]],tblSalaries[[#This Row],[Salary in USD]],"")</f>
        <v/>
      </c>
      <c r="AD1186" s="13" t="str">
        <f>IF(tblSalaries[[#This Row],[Job Type]]=tblSalaries[[#Headers],[Specialist]],tblSalaries[[#This Row],[Salary in USD]],"")</f>
        <v/>
      </c>
    </row>
    <row r="1187" spans="2:30" ht="15" customHeight="1" x14ac:dyDescent="0.25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 s="9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  <c r="N1187" t="str">
        <f>IF(tblSalaries[[#This Row],[Years of Experience]]="","",IF(tblSalaries[[#This Row],[Years of Experience]]&lt;=2,1,""))</f>
        <v/>
      </c>
      <c r="O1187" t="str">
        <f>IF(tblSalaries[[#This Row],[Years of Experience]]="","",IF(AND(tblSalaries[[#This Row],[Years of Experience]]&gt;2,tblSalaries[[#This Row],[Years of Experience]]&lt;=5),1,""))</f>
        <v/>
      </c>
      <c r="P1187" t="str">
        <f>IF(tblSalaries[[#This Row],[Years of Experience]]="","",IF(AND(tblSalaries[[#This Row],[Years of Experience]]&gt;5,tblSalaries[[#This Row],[Years of Experience]]&lt;=10),1,""))</f>
        <v/>
      </c>
      <c r="Q1187">
        <f>IF(tblSalaries[[#This Row],[Years of Experience]]="","",IF(AND(tblSalaries[[#This Row],[Years of Experience]]&gt;10,tblSalaries[[#This Row],[Years of Experience]]&lt;=15),1,""))</f>
        <v>1</v>
      </c>
      <c r="R1187" t="str">
        <f>IF(tblSalaries[[#This Row],[Years of Experience]]="","",IF(AND(tblSalaries[[#This Row],[Years of Experience]]&gt;16,tblSalaries[[#This Row],[Years of Experience]]&lt;=20),1,""))</f>
        <v/>
      </c>
      <c r="S1187" t="str">
        <f>IF(tblSalaries[[#This Row],[Years of Experience]]="","",IF(tblSalaries[[#This Row],[Years of Experience]]&gt;20,1,""))</f>
        <v/>
      </c>
      <c r="T11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87" s="13" t="str">
        <f>IF(tblSalaries[[#This Row],[Job Type]]=tblSalaries[[#Headers],[Accountant]],tblSalaries[[#This Row],[Salary in USD]],"")</f>
        <v/>
      </c>
      <c r="V1187" s="13" t="str">
        <f>IF(tblSalaries[[#This Row],[Job Type]]=tblSalaries[[#Headers],[Analyst]],tblSalaries[[#This Row],[Salary in USD]],"")</f>
        <v/>
      </c>
      <c r="W1187" s="13" t="str">
        <f>IF(tblSalaries[[#This Row],[Job Type]]=tblSalaries[[#Headers],[Consultant]],tblSalaries[[#This Row],[Salary in USD]],"")</f>
        <v/>
      </c>
      <c r="X1187" s="13" t="str">
        <f>IF(tblSalaries[[#This Row],[Job Type]]=tblSalaries[[#Headers],[Controller]],tblSalaries[[#This Row],[Salary in USD]],"")</f>
        <v/>
      </c>
      <c r="Y1187" s="13" t="str">
        <f>IF(tblSalaries[[#This Row],[Job Type]]=tblSalaries[[#Headers],[CXO or Top Mgmt.]],tblSalaries[[#This Row],[clean Salary (in local currency)]],"")</f>
        <v/>
      </c>
      <c r="Z1187" s="13" t="str">
        <f>IF(tblSalaries[[#This Row],[Job Type]]=tblSalaries[[#Headers],[Engineer]],tblSalaries[[#This Row],[Salary in USD]],"")</f>
        <v/>
      </c>
      <c r="AA1187" s="13">
        <f>IF(tblSalaries[[#This Row],[Job Type]]=tblSalaries[[#Headers],[Manager]],tblSalaries[[#This Row],[Salary in USD]],"")</f>
        <v>16027.125018698311</v>
      </c>
      <c r="AB1187" s="13" t="str">
        <f>IF(tblSalaries[[#This Row],[Job Type]]=tblSalaries[[#Headers],[Misc.]],tblSalaries[[#This Row],[Salary in USD]],"")</f>
        <v/>
      </c>
      <c r="AC1187" s="13" t="str">
        <f>IF(tblSalaries[[#This Row],[Job Type]]=tblSalaries[[#Headers],[Reporting]],tblSalaries[[#This Row],[Salary in USD]],"")</f>
        <v/>
      </c>
      <c r="AD1187" s="13" t="str">
        <f>IF(tblSalaries[[#This Row],[Job Type]]=tblSalaries[[#Headers],[Specialist]],tblSalaries[[#This Row],[Salary in USD]],"")</f>
        <v/>
      </c>
    </row>
    <row r="1188" spans="2:30" ht="15" customHeight="1" x14ac:dyDescent="0.25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 s="9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  <c r="N1188" t="str">
        <f>IF(tblSalaries[[#This Row],[Years of Experience]]="","",IF(tblSalaries[[#This Row],[Years of Experience]]&lt;=2,1,""))</f>
        <v/>
      </c>
      <c r="O1188" t="str">
        <f>IF(tblSalaries[[#This Row],[Years of Experience]]="","",IF(AND(tblSalaries[[#This Row],[Years of Experience]]&gt;2,tblSalaries[[#This Row],[Years of Experience]]&lt;=5),1,""))</f>
        <v/>
      </c>
      <c r="P1188">
        <f>IF(tblSalaries[[#This Row],[Years of Experience]]="","",IF(AND(tblSalaries[[#This Row],[Years of Experience]]&gt;5,tblSalaries[[#This Row],[Years of Experience]]&lt;=10),1,""))</f>
        <v>1</v>
      </c>
      <c r="Q1188" t="str">
        <f>IF(tblSalaries[[#This Row],[Years of Experience]]="","",IF(AND(tblSalaries[[#This Row],[Years of Experience]]&gt;10,tblSalaries[[#This Row],[Years of Experience]]&lt;=15),1,""))</f>
        <v/>
      </c>
      <c r="R1188" t="str">
        <f>IF(tblSalaries[[#This Row],[Years of Experience]]="","",IF(AND(tblSalaries[[#This Row],[Years of Experience]]&gt;16,tblSalaries[[#This Row],[Years of Experience]]&lt;=20),1,""))</f>
        <v/>
      </c>
      <c r="S1188" t="str">
        <f>IF(tblSalaries[[#This Row],[Years of Experience]]="","",IF(tblSalaries[[#This Row],[Years of Experience]]&gt;20,1,""))</f>
        <v/>
      </c>
      <c r="T11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88" s="13" t="str">
        <f>IF(tblSalaries[[#This Row],[Job Type]]=tblSalaries[[#Headers],[Accountant]],tblSalaries[[#This Row],[Salary in USD]],"")</f>
        <v/>
      </c>
      <c r="V1188" s="13" t="str">
        <f>IF(tblSalaries[[#This Row],[Job Type]]=tblSalaries[[#Headers],[Analyst]],tblSalaries[[#This Row],[Salary in USD]],"")</f>
        <v/>
      </c>
      <c r="W1188" s="13" t="str">
        <f>IF(tblSalaries[[#This Row],[Job Type]]=tblSalaries[[#Headers],[Consultant]],tblSalaries[[#This Row],[Salary in USD]],"")</f>
        <v/>
      </c>
      <c r="X1188" s="13" t="str">
        <f>IF(tblSalaries[[#This Row],[Job Type]]=tblSalaries[[#Headers],[Controller]],tblSalaries[[#This Row],[Salary in USD]],"")</f>
        <v/>
      </c>
      <c r="Y1188" s="13" t="str">
        <f>IF(tblSalaries[[#This Row],[Job Type]]=tblSalaries[[#Headers],[CXO or Top Mgmt.]],tblSalaries[[#This Row],[clean Salary (in local currency)]],"")</f>
        <v/>
      </c>
      <c r="Z1188" s="13">
        <f>IF(tblSalaries[[#This Row],[Job Type]]=tblSalaries[[#Headers],[Engineer]],tblSalaries[[#This Row],[Salary in USD]],"")</f>
        <v>60000</v>
      </c>
      <c r="AA1188" s="13" t="str">
        <f>IF(tblSalaries[[#This Row],[Job Type]]=tblSalaries[[#Headers],[Manager]],tblSalaries[[#This Row],[Salary in USD]],"")</f>
        <v/>
      </c>
      <c r="AB1188" s="13" t="str">
        <f>IF(tblSalaries[[#This Row],[Job Type]]=tblSalaries[[#Headers],[Misc.]],tblSalaries[[#This Row],[Salary in USD]],"")</f>
        <v/>
      </c>
      <c r="AC1188" s="13" t="str">
        <f>IF(tblSalaries[[#This Row],[Job Type]]=tblSalaries[[#Headers],[Reporting]],tblSalaries[[#This Row],[Salary in USD]],"")</f>
        <v/>
      </c>
      <c r="AD1188" s="13" t="str">
        <f>IF(tblSalaries[[#This Row],[Job Type]]=tblSalaries[[#Headers],[Specialist]],tblSalaries[[#This Row],[Salary in USD]],"")</f>
        <v/>
      </c>
    </row>
    <row r="1189" spans="2:30" ht="15" customHeight="1" x14ac:dyDescent="0.25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 s="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  <c r="N1189" t="str">
        <f>IF(tblSalaries[[#This Row],[Years of Experience]]="","",IF(tblSalaries[[#This Row],[Years of Experience]]&lt;=2,1,""))</f>
        <v/>
      </c>
      <c r="O1189">
        <f>IF(tblSalaries[[#This Row],[Years of Experience]]="","",IF(AND(tblSalaries[[#This Row],[Years of Experience]]&gt;2,tblSalaries[[#This Row],[Years of Experience]]&lt;=5),1,""))</f>
        <v>1</v>
      </c>
      <c r="P1189" t="str">
        <f>IF(tblSalaries[[#This Row],[Years of Experience]]="","",IF(AND(tblSalaries[[#This Row],[Years of Experience]]&gt;5,tblSalaries[[#This Row],[Years of Experience]]&lt;=10),1,""))</f>
        <v/>
      </c>
      <c r="Q1189" t="str">
        <f>IF(tblSalaries[[#This Row],[Years of Experience]]="","",IF(AND(tblSalaries[[#This Row],[Years of Experience]]&gt;10,tblSalaries[[#This Row],[Years of Experience]]&lt;=15),1,""))</f>
        <v/>
      </c>
      <c r="R1189" t="str">
        <f>IF(tblSalaries[[#This Row],[Years of Experience]]="","",IF(AND(tblSalaries[[#This Row],[Years of Experience]]&gt;16,tblSalaries[[#This Row],[Years of Experience]]&lt;=20),1,""))</f>
        <v/>
      </c>
      <c r="S1189" t="str">
        <f>IF(tblSalaries[[#This Row],[Years of Experience]]="","",IF(tblSalaries[[#This Row],[Years of Experience]]&gt;20,1,""))</f>
        <v/>
      </c>
      <c r="T11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89" s="13" t="str">
        <f>IF(tblSalaries[[#This Row],[Job Type]]=tblSalaries[[#Headers],[Accountant]],tblSalaries[[#This Row],[Salary in USD]],"")</f>
        <v/>
      </c>
      <c r="V1189" s="13">
        <f>IF(tblSalaries[[#This Row],[Job Type]]=tblSalaries[[#Headers],[Analyst]],tblSalaries[[#This Row],[Salary in USD]],"")</f>
        <v>4800</v>
      </c>
      <c r="W1189" s="13" t="str">
        <f>IF(tblSalaries[[#This Row],[Job Type]]=tblSalaries[[#Headers],[Consultant]],tblSalaries[[#This Row],[Salary in USD]],"")</f>
        <v/>
      </c>
      <c r="X1189" s="13" t="str">
        <f>IF(tblSalaries[[#This Row],[Job Type]]=tblSalaries[[#Headers],[Controller]],tblSalaries[[#This Row],[Salary in USD]],"")</f>
        <v/>
      </c>
      <c r="Y1189" s="13" t="str">
        <f>IF(tblSalaries[[#This Row],[Job Type]]=tblSalaries[[#Headers],[CXO or Top Mgmt.]],tblSalaries[[#This Row],[clean Salary (in local currency)]],"")</f>
        <v/>
      </c>
      <c r="Z1189" s="13" t="str">
        <f>IF(tblSalaries[[#This Row],[Job Type]]=tblSalaries[[#Headers],[Engineer]],tblSalaries[[#This Row],[Salary in USD]],"")</f>
        <v/>
      </c>
      <c r="AA1189" s="13" t="str">
        <f>IF(tblSalaries[[#This Row],[Job Type]]=tblSalaries[[#Headers],[Manager]],tblSalaries[[#This Row],[Salary in USD]],"")</f>
        <v/>
      </c>
      <c r="AB1189" s="13" t="str">
        <f>IF(tblSalaries[[#This Row],[Job Type]]=tblSalaries[[#Headers],[Misc.]],tblSalaries[[#This Row],[Salary in USD]],"")</f>
        <v/>
      </c>
      <c r="AC1189" s="13" t="str">
        <f>IF(tblSalaries[[#This Row],[Job Type]]=tblSalaries[[#Headers],[Reporting]],tblSalaries[[#This Row],[Salary in USD]],"")</f>
        <v/>
      </c>
      <c r="AD1189" s="13" t="str">
        <f>IF(tblSalaries[[#This Row],[Job Type]]=tblSalaries[[#Headers],[Specialist]],tblSalaries[[#This Row],[Salary in USD]],"")</f>
        <v/>
      </c>
    </row>
    <row r="1190" spans="2:30" ht="15" customHeight="1" x14ac:dyDescent="0.25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 s="9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  <c r="N1190" t="str">
        <f>IF(tblSalaries[[#This Row],[Years of Experience]]="","",IF(tblSalaries[[#This Row],[Years of Experience]]&lt;=2,1,""))</f>
        <v/>
      </c>
      <c r="O1190" t="str">
        <f>IF(tblSalaries[[#This Row],[Years of Experience]]="","",IF(AND(tblSalaries[[#This Row],[Years of Experience]]&gt;2,tblSalaries[[#This Row],[Years of Experience]]&lt;=5),1,""))</f>
        <v/>
      </c>
      <c r="P1190" t="str">
        <f>IF(tblSalaries[[#This Row],[Years of Experience]]="","",IF(AND(tblSalaries[[#This Row],[Years of Experience]]&gt;5,tblSalaries[[#This Row],[Years of Experience]]&lt;=10),1,""))</f>
        <v/>
      </c>
      <c r="Q1190" t="str">
        <f>IF(tblSalaries[[#This Row],[Years of Experience]]="","",IF(AND(tblSalaries[[#This Row],[Years of Experience]]&gt;10,tblSalaries[[#This Row],[Years of Experience]]&lt;=15),1,""))</f>
        <v/>
      </c>
      <c r="R1190" t="str">
        <f>IF(tblSalaries[[#This Row],[Years of Experience]]="","",IF(AND(tblSalaries[[#This Row],[Years of Experience]]&gt;16,tblSalaries[[#This Row],[Years of Experience]]&lt;=20),1,""))</f>
        <v/>
      </c>
      <c r="S1190">
        <f>IF(tblSalaries[[#This Row],[Years of Experience]]="","",IF(tblSalaries[[#This Row],[Years of Experience]]&gt;20,1,""))</f>
        <v>1</v>
      </c>
      <c r="T11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90" s="13" t="str">
        <f>IF(tblSalaries[[#This Row],[Job Type]]=tblSalaries[[#Headers],[Accountant]],tblSalaries[[#This Row],[Salary in USD]],"")</f>
        <v/>
      </c>
      <c r="V1190" s="13" t="str">
        <f>IF(tblSalaries[[#This Row],[Job Type]]=tblSalaries[[#Headers],[Analyst]],tblSalaries[[#This Row],[Salary in USD]],"")</f>
        <v/>
      </c>
      <c r="W1190" s="13" t="str">
        <f>IF(tblSalaries[[#This Row],[Job Type]]=tblSalaries[[#Headers],[Consultant]],tblSalaries[[#This Row],[Salary in USD]],"")</f>
        <v/>
      </c>
      <c r="X1190" s="13" t="str">
        <f>IF(tblSalaries[[#This Row],[Job Type]]=tblSalaries[[#Headers],[Controller]],tblSalaries[[#This Row],[Salary in USD]],"")</f>
        <v/>
      </c>
      <c r="Y1190" s="13" t="str">
        <f>IF(tblSalaries[[#This Row],[Job Type]]=tblSalaries[[#Headers],[CXO or Top Mgmt.]],tblSalaries[[#This Row],[clean Salary (in local currency)]],"")</f>
        <v/>
      </c>
      <c r="Z1190" s="13" t="str">
        <f>IF(tblSalaries[[#This Row],[Job Type]]=tblSalaries[[#Headers],[Engineer]],tblSalaries[[#This Row],[Salary in USD]],"")</f>
        <v/>
      </c>
      <c r="AA1190" s="13">
        <f>IF(tblSalaries[[#This Row],[Job Type]]=tblSalaries[[#Headers],[Manager]],tblSalaries[[#This Row],[Salary in USD]],"")</f>
        <v>106815.148267971</v>
      </c>
      <c r="AB1190" s="13" t="str">
        <f>IF(tblSalaries[[#This Row],[Job Type]]=tblSalaries[[#Headers],[Misc.]],tblSalaries[[#This Row],[Salary in USD]],"")</f>
        <v/>
      </c>
      <c r="AC1190" s="13" t="str">
        <f>IF(tblSalaries[[#This Row],[Job Type]]=tblSalaries[[#Headers],[Reporting]],tblSalaries[[#This Row],[Salary in USD]],"")</f>
        <v/>
      </c>
      <c r="AD1190" s="13" t="str">
        <f>IF(tblSalaries[[#This Row],[Job Type]]=tblSalaries[[#Headers],[Specialist]],tblSalaries[[#This Row],[Salary in USD]],"")</f>
        <v/>
      </c>
    </row>
    <row r="1191" spans="2:30" ht="15" customHeight="1" x14ac:dyDescent="0.25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 s="9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  <c r="N1191" t="str">
        <f>IF(tblSalaries[[#This Row],[Years of Experience]]="","",IF(tblSalaries[[#This Row],[Years of Experience]]&lt;=2,1,""))</f>
        <v/>
      </c>
      <c r="O1191">
        <f>IF(tblSalaries[[#This Row],[Years of Experience]]="","",IF(AND(tblSalaries[[#This Row],[Years of Experience]]&gt;2,tblSalaries[[#This Row],[Years of Experience]]&lt;=5),1,""))</f>
        <v>1</v>
      </c>
      <c r="P1191" t="str">
        <f>IF(tblSalaries[[#This Row],[Years of Experience]]="","",IF(AND(tblSalaries[[#This Row],[Years of Experience]]&gt;5,tblSalaries[[#This Row],[Years of Experience]]&lt;=10),1,""))</f>
        <v/>
      </c>
      <c r="Q1191" t="str">
        <f>IF(tblSalaries[[#This Row],[Years of Experience]]="","",IF(AND(tblSalaries[[#This Row],[Years of Experience]]&gt;10,tblSalaries[[#This Row],[Years of Experience]]&lt;=15),1,""))</f>
        <v/>
      </c>
      <c r="R1191" t="str">
        <f>IF(tblSalaries[[#This Row],[Years of Experience]]="","",IF(AND(tblSalaries[[#This Row],[Years of Experience]]&gt;16,tblSalaries[[#This Row],[Years of Experience]]&lt;=20),1,""))</f>
        <v/>
      </c>
      <c r="S1191" t="str">
        <f>IF(tblSalaries[[#This Row],[Years of Experience]]="","",IF(tblSalaries[[#This Row],[Years of Experience]]&gt;20,1,""))</f>
        <v/>
      </c>
      <c r="T11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91" s="13" t="str">
        <f>IF(tblSalaries[[#This Row],[Job Type]]=tblSalaries[[#Headers],[Accountant]],tblSalaries[[#This Row],[Salary in USD]],"")</f>
        <v/>
      </c>
      <c r="V1191" s="13" t="str">
        <f>IF(tblSalaries[[#This Row],[Job Type]]=tblSalaries[[#Headers],[Analyst]],tblSalaries[[#This Row],[Salary in USD]],"")</f>
        <v/>
      </c>
      <c r="W1191" s="13">
        <f>IF(tblSalaries[[#This Row],[Job Type]]=tblSalaries[[#Headers],[Consultant]],tblSalaries[[#This Row],[Salary in USD]],"")</f>
        <v>8903.9583437212841</v>
      </c>
      <c r="X1191" s="13" t="str">
        <f>IF(tblSalaries[[#This Row],[Job Type]]=tblSalaries[[#Headers],[Controller]],tblSalaries[[#This Row],[Salary in USD]],"")</f>
        <v/>
      </c>
      <c r="Y1191" s="13" t="str">
        <f>IF(tblSalaries[[#This Row],[Job Type]]=tblSalaries[[#Headers],[CXO or Top Mgmt.]],tblSalaries[[#This Row],[clean Salary (in local currency)]],"")</f>
        <v/>
      </c>
      <c r="Z1191" s="13" t="str">
        <f>IF(tblSalaries[[#This Row],[Job Type]]=tblSalaries[[#Headers],[Engineer]],tblSalaries[[#This Row],[Salary in USD]],"")</f>
        <v/>
      </c>
      <c r="AA1191" s="13" t="str">
        <f>IF(tblSalaries[[#This Row],[Job Type]]=tblSalaries[[#Headers],[Manager]],tblSalaries[[#This Row],[Salary in USD]],"")</f>
        <v/>
      </c>
      <c r="AB1191" s="13" t="str">
        <f>IF(tblSalaries[[#This Row],[Job Type]]=tblSalaries[[#Headers],[Misc.]],tblSalaries[[#This Row],[Salary in USD]],"")</f>
        <v/>
      </c>
      <c r="AC1191" s="13" t="str">
        <f>IF(tblSalaries[[#This Row],[Job Type]]=tblSalaries[[#Headers],[Reporting]],tblSalaries[[#This Row],[Salary in USD]],"")</f>
        <v/>
      </c>
      <c r="AD1191" s="13" t="str">
        <f>IF(tblSalaries[[#This Row],[Job Type]]=tblSalaries[[#Headers],[Specialist]],tblSalaries[[#This Row],[Salary in USD]],"")</f>
        <v/>
      </c>
    </row>
    <row r="1192" spans="2:30" ht="15" customHeight="1" x14ac:dyDescent="0.25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 s="9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  <c r="N1192" t="str">
        <f>IF(tblSalaries[[#This Row],[Years of Experience]]="","",IF(tblSalaries[[#This Row],[Years of Experience]]&lt;=2,1,""))</f>
        <v/>
      </c>
      <c r="O1192" t="str">
        <f>IF(tblSalaries[[#This Row],[Years of Experience]]="","",IF(AND(tblSalaries[[#This Row],[Years of Experience]]&gt;2,tblSalaries[[#This Row],[Years of Experience]]&lt;=5),1,""))</f>
        <v/>
      </c>
      <c r="P1192" t="str">
        <f>IF(tblSalaries[[#This Row],[Years of Experience]]="","",IF(AND(tblSalaries[[#This Row],[Years of Experience]]&gt;5,tblSalaries[[#This Row],[Years of Experience]]&lt;=10),1,""))</f>
        <v/>
      </c>
      <c r="Q1192">
        <f>IF(tblSalaries[[#This Row],[Years of Experience]]="","",IF(AND(tblSalaries[[#This Row],[Years of Experience]]&gt;10,tblSalaries[[#This Row],[Years of Experience]]&lt;=15),1,""))</f>
        <v>1</v>
      </c>
      <c r="R1192" t="str">
        <f>IF(tblSalaries[[#This Row],[Years of Experience]]="","",IF(AND(tblSalaries[[#This Row],[Years of Experience]]&gt;16,tblSalaries[[#This Row],[Years of Experience]]&lt;=20),1,""))</f>
        <v/>
      </c>
      <c r="S1192" t="str">
        <f>IF(tblSalaries[[#This Row],[Years of Experience]]="","",IF(tblSalaries[[#This Row],[Years of Experience]]&gt;20,1,""))</f>
        <v/>
      </c>
      <c r="T11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92" s="13" t="str">
        <f>IF(tblSalaries[[#This Row],[Job Type]]=tblSalaries[[#Headers],[Accountant]],tblSalaries[[#This Row],[Salary in USD]],"")</f>
        <v/>
      </c>
      <c r="V1192" s="13" t="str">
        <f>IF(tblSalaries[[#This Row],[Job Type]]=tblSalaries[[#Headers],[Analyst]],tblSalaries[[#This Row],[Salary in USD]],"")</f>
        <v/>
      </c>
      <c r="W1192" s="13" t="str">
        <f>IF(tblSalaries[[#This Row],[Job Type]]=tblSalaries[[#Headers],[Consultant]],tblSalaries[[#This Row],[Salary in USD]],"")</f>
        <v/>
      </c>
      <c r="X1192" s="13" t="str">
        <f>IF(tblSalaries[[#This Row],[Job Type]]=tblSalaries[[#Headers],[Controller]],tblSalaries[[#This Row],[Salary in USD]],"")</f>
        <v/>
      </c>
      <c r="Y1192" s="13" t="str">
        <f>IF(tblSalaries[[#This Row],[Job Type]]=tblSalaries[[#Headers],[CXO or Top Mgmt.]],tblSalaries[[#This Row],[clean Salary (in local currency)]],"")</f>
        <v/>
      </c>
      <c r="Z1192" s="13" t="str">
        <f>IF(tblSalaries[[#This Row],[Job Type]]=tblSalaries[[#Headers],[Engineer]],tblSalaries[[#This Row],[Salary in USD]],"")</f>
        <v/>
      </c>
      <c r="AA1192" s="13">
        <f>IF(tblSalaries[[#This Row],[Job Type]]=tblSalaries[[#Headers],[Manager]],tblSalaries[[#This Row],[Salary in USD]],"")</f>
        <v>60000</v>
      </c>
      <c r="AB1192" s="13" t="str">
        <f>IF(tblSalaries[[#This Row],[Job Type]]=tblSalaries[[#Headers],[Misc.]],tblSalaries[[#This Row],[Salary in USD]],"")</f>
        <v/>
      </c>
      <c r="AC1192" s="13" t="str">
        <f>IF(tblSalaries[[#This Row],[Job Type]]=tblSalaries[[#Headers],[Reporting]],tblSalaries[[#This Row],[Salary in USD]],"")</f>
        <v/>
      </c>
      <c r="AD1192" s="13" t="str">
        <f>IF(tblSalaries[[#This Row],[Job Type]]=tblSalaries[[#Headers],[Specialist]],tblSalaries[[#This Row],[Salary in USD]],"")</f>
        <v/>
      </c>
    </row>
    <row r="1193" spans="2:30" ht="15" customHeight="1" x14ac:dyDescent="0.25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 s="9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  <c r="N1193" t="str">
        <f>IF(tblSalaries[[#This Row],[Years of Experience]]="","",IF(tblSalaries[[#This Row],[Years of Experience]]&lt;=2,1,""))</f>
        <v/>
      </c>
      <c r="O1193">
        <f>IF(tblSalaries[[#This Row],[Years of Experience]]="","",IF(AND(tblSalaries[[#This Row],[Years of Experience]]&gt;2,tblSalaries[[#This Row],[Years of Experience]]&lt;=5),1,""))</f>
        <v>1</v>
      </c>
      <c r="P1193" t="str">
        <f>IF(tblSalaries[[#This Row],[Years of Experience]]="","",IF(AND(tblSalaries[[#This Row],[Years of Experience]]&gt;5,tblSalaries[[#This Row],[Years of Experience]]&lt;=10),1,""))</f>
        <v/>
      </c>
      <c r="Q1193" t="str">
        <f>IF(tblSalaries[[#This Row],[Years of Experience]]="","",IF(AND(tblSalaries[[#This Row],[Years of Experience]]&gt;10,tblSalaries[[#This Row],[Years of Experience]]&lt;=15),1,""))</f>
        <v/>
      </c>
      <c r="R1193" t="str">
        <f>IF(tblSalaries[[#This Row],[Years of Experience]]="","",IF(AND(tblSalaries[[#This Row],[Years of Experience]]&gt;16,tblSalaries[[#This Row],[Years of Experience]]&lt;=20),1,""))</f>
        <v/>
      </c>
      <c r="S1193" t="str">
        <f>IF(tblSalaries[[#This Row],[Years of Experience]]="","",IF(tblSalaries[[#This Row],[Years of Experience]]&gt;20,1,""))</f>
        <v/>
      </c>
      <c r="T11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93" s="13" t="str">
        <f>IF(tblSalaries[[#This Row],[Job Type]]=tblSalaries[[#Headers],[Accountant]],tblSalaries[[#This Row],[Salary in USD]],"")</f>
        <v/>
      </c>
      <c r="V1193" s="13" t="str">
        <f>IF(tblSalaries[[#This Row],[Job Type]]=tblSalaries[[#Headers],[Analyst]],tblSalaries[[#This Row],[Salary in USD]],"")</f>
        <v/>
      </c>
      <c r="W1193" s="13" t="str">
        <f>IF(tblSalaries[[#This Row],[Job Type]]=tblSalaries[[#Headers],[Consultant]],tblSalaries[[#This Row],[Salary in USD]],"")</f>
        <v/>
      </c>
      <c r="X1193" s="13" t="str">
        <f>IF(tblSalaries[[#This Row],[Job Type]]=tblSalaries[[#Headers],[Controller]],tblSalaries[[#This Row],[Salary in USD]],"")</f>
        <v/>
      </c>
      <c r="Y1193" s="13" t="str">
        <f>IF(tblSalaries[[#This Row],[Job Type]]=tblSalaries[[#Headers],[CXO or Top Mgmt.]],tblSalaries[[#This Row],[clean Salary (in local currency)]],"")</f>
        <v/>
      </c>
      <c r="Z1193" s="13" t="str">
        <f>IF(tblSalaries[[#This Row],[Job Type]]=tblSalaries[[#Headers],[Engineer]],tblSalaries[[#This Row],[Salary in USD]],"")</f>
        <v/>
      </c>
      <c r="AA1193" s="13">
        <f>IF(tblSalaries[[#This Row],[Job Type]]=tblSalaries[[#Headers],[Manager]],tblSalaries[[#This Row],[Salary in USD]],"")</f>
        <v>46300.583387350678</v>
      </c>
      <c r="AB1193" s="13" t="str">
        <f>IF(tblSalaries[[#This Row],[Job Type]]=tblSalaries[[#Headers],[Misc.]],tblSalaries[[#This Row],[Salary in USD]],"")</f>
        <v/>
      </c>
      <c r="AC1193" s="13" t="str">
        <f>IF(tblSalaries[[#This Row],[Job Type]]=tblSalaries[[#Headers],[Reporting]],tblSalaries[[#This Row],[Salary in USD]],"")</f>
        <v/>
      </c>
      <c r="AD1193" s="13" t="str">
        <f>IF(tblSalaries[[#This Row],[Job Type]]=tblSalaries[[#Headers],[Specialist]],tblSalaries[[#This Row],[Salary in USD]],"")</f>
        <v/>
      </c>
    </row>
    <row r="1194" spans="2:30" ht="15" customHeight="1" x14ac:dyDescent="0.25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 s="9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  <c r="N1194" t="str">
        <f>IF(tblSalaries[[#This Row],[Years of Experience]]="","",IF(tblSalaries[[#This Row],[Years of Experience]]&lt;=2,1,""))</f>
        <v/>
      </c>
      <c r="O1194">
        <f>IF(tblSalaries[[#This Row],[Years of Experience]]="","",IF(AND(tblSalaries[[#This Row],[Years of Experience]]&gt;2,tblSalaries[[#This Row],[Years of Experience]]&lt;=5),1,""))</f>
        <v>1</v>
      </c>
      <c r="P1194" t="str">
        <f>IF(tblSalaries[[#This Row],[Years of Experience]]="","",IF(AND(tblSalaries[[#This Row],[Years of Experience]]&gt;5,tblSalaries[[#This Row],[Years of Experience]]&lt;=10),1,""))</f>
        <v/>
      </c>
      <c r="Q1194" t="str">
        <f>IF(tblSalaries[[#This Row],[Years of Experience]]="","",IF(AND(tblSalaries[[#This Row],[Years of Experience]]&gt;10,tblSalaries[[#This Row],[Years of Experience]]&lt;=15),1,""))</f>
        <v/>
      </c>
      <c r="R1194" t="str">
        <f>IF(tblSalaries[[#This Row],[Years of Experience]]="","",IF(AND(tblSalaries[[#This Row],[Years of Experience]]&gt;16,tblSalaries[[#This Row],[Years of Experience]]&lt;=20),1,""))</f>
        <v/>
      </c>
      <c r="S1194" t="str">
        <f>IF(tblSalaries[[#This Row],[Years of Experience]]="","",IF(tblSalaries[[#This Row],[Years of Experience]]&gt;20,1,""))</f>
        <v/>
      </c>
      <c r="T11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94" s="13" t="str">
        <f>IF(tblSalaries[[#This Row],[Job Type]]=tblSalaries[[#Headers],[Accountant]],tblSalaries[[#This Row],[Salary in USD]],"")</f>
        <v/>
      </c>
      <c r="V1194" s="13" t="str">
        <f>IF(tblSalaries[[#This Row],[Job Type]]=tblSalaries[[#Headers],[Analyst]],tblSalaries[[#This Row],[Salary in USD]],"")</f>
        <v/>
      </c>
      <c r="W1194" s="13" t="str">
        <f>IF(tblSalaries[[#This Row],[Job Type]]=tblSalaries[[#Headers],[Consultant]],tblSalaries[[#This Row],[Salary in USD]],"")</f>
        <v/>
      </c>
      <c r="X1194" s="13" t="str">
        <f>IF(tblSalaries[[#This Row],[Job Type]]=tblSalaries[[#Headers],[Controller]],tblSalaries[[#This Row],[Salary in USD]],"")</f>
        <v/>
      </c>
      <c r="Y1194" s="13" t="str">
        <f>IF(tblSalaries[[#This Row],[Job Type]]=tblSalaries[[#Headers],[CXO or Top Mgmt.]],tblSalaries[[#This Row],[clean Salary (in local currency)]],"")</f>
        <v/>
      </c>
      <c r="Z1194" s="13" t="str">
        <f>IF(tblSalaries[[#This Row],[Job Type]]=tblSalaries[[#Headers],[Engineer]],tblSalaries[[#This Row],[Salary in USD]],"")</f>
        <v/>
      </c>
      <c r="AA1194" s="13">
        <f>IF(tblSalaries[[#This Row],[Job Type]]=tblSalaries[[#Headers],[Manager]],tblSalaries[[#This Row],[Salary in USD]],"")</f>
        <v>13355.937515581925</v>
      </c>
      <c r="AB1194" s="13" t="str">
        <f>IF(tblSalaries[[#This Row],[Job Type]]=tblSalaries[[#Headers],[Misc.]],tblSalaries[[#This Row],[Salary in USD]],"")</f>
        <v/>
      </c>
      <c r="AC1194" s="13" t="str">
        <f>IF(tblSalaries[[#This Row],[Job Type]]=tblSalaries[[#Headers],[Reporting]],tblSalaries[[#This Row],[Salary in USD]],"")</f>
        <v/>
      </c>
      <c r="AD1194" s="13" t="str">
        <f>IF(tblSalaries[[#This Row],[Job Type]]=tblSalaries[[#Headers],[Specialist]],tblSalaries[[#This Row],[Salary in USD]],"")</f>
        <v/>
      </c>
    </row>
    <row r="1195" spans="2:30" ht="15" customHeight="1" x14ac:dyDescent="0.25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 s="9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  <c r="N1195" t="str">
        <f>IF(tblSalaries[[#This Row],[Years of Experience]]="","",IF(tblSalaries[[#This Row],[Years of Experience]]&lt;=2,1,""))</f>
        <v/>
      </c>
      <c r="O1195" t="str">
        <f>IF(tblSalaries[[#This Row],[Years of Experience]]="","",IF(AND(tblSalaries[[#This Row],[Years of Experience]]&gt;2,tblSalaries[[#This Row],[Years of Experience]]&lt;=5),1,""))</f>
        <v/>
      </c>
      <c r="P1195">
        <f>IF(tblSalaries[[#This Row],[Years of Experience]]="","",IF(AND(tblSalaries[[#This Row],[Years of Experience]]&gt;5,tblSalaries[[#This Row],[Years of Experience]]&lt;=10),1,""))</f>
        <v>1</v>
      </c>
      <c r="Q1195" t="str">
        <f>IF(tblSalaries[[#This Row],[Years of Experience]]="","",IF(AND(tblSalaries[[#This Row],[Years of Experience]]&gt;10,tblSalaries[[#This Row],[Years of Experience]]&lt;=15),1,""))</f>
        <v/>
      </c>
      <c r="R1195" t="str">
        <f>IF(tblSalaries[[#This Row],[Years of Experience]]="","",IF(AND(tblSalaries[[#This Row],[Years of Experience]]&gt;16,tblSalaries[[#This Row],[Years of Experience]]&lt;=20),1,""))</f>
        <v/>
      </c>
      <c r="S1195" t="str">
        <f>IF(tblSalaries[[#This Row],[Years of Experience]]="","",IF(tblSalaries[[#This Row],[Years of Experience]]&gt;20,1,""))</f>
        <v/>
      </c>
      <c r="T11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195" s="13" t="str">
        <f>IF(tblSalaries[[#This Row],[Job Type]]=tblSalaries[[#Headers],[Accountant]],tblSalaries[[#This Row],[Salary in USD]],"")</f>
        <v/>
      </c>
      <c r="V1195" s="13" t="str">
        <f>IF(tblSalaries[[#This Row],[Job Type]]=tblSalaries[[#Headers],[Analyst]],tblSalaries[[#This Row],[Salary in USD]],"")</f>
        <v/>
      </c>
      <c r="W1195" s="13" t="str">
        <f>IF(tblSalaries[[#This Row],[Job Type]]=tblSalaries[[#Headers],[Consultant]],tblSalaries[[#This Row],[Salary in USD]],"")</f>
        <v/>
      </c>
      <c r="X1195" s="13" t="str">
        <f>IF(tblSalaries[[#This Row],[Job Type]]=tblSalaries[[#Headers],[Controller]],tblSalaries[[#This Row],[Salary in USD]],"")</f>
        <v/>
      </c>
      <c r="Y1195" s="13" t="str">
        <f>IF(tblSalaries[[#This Row],[Job Type]]=tblSalaries[[#Headers],[CXO or Top Mgmt.]],tblSalaries[[#This Row],[clean Salary (in local currency)]],"")</f>
        <v/>
      </c>
      <c r="Z1195" s="13" t="str">
        <f>IF(tblSalaries[[#This Row],[Job Type]]=tblSalaries[[#Headers],[Engineer]],tblSalaries[[#This Row],[Salary in USD]],"")</f>
        <v/>
      </c>
      <c r="AA1195" s="13" t="str">
        <f>IF(tblSalaries[[#This Row],[Job Type]]=tblSalaries[[#Headers],[Manager]],tblSalaries[[#This Row],[Salary in USD]],"")</f>
        <v/>
      </c>
      <c r="AB1195" s="13" t="str">
        <f>IF(tblSalaries[[#This Row],[Job Type]]=tblSalaries[[#Headers],[Misc.]],tblSalaries[[#This Row],[Salary in USD]],"")</f>
        <v/>
      </c>
      <c r="AC1195" s="13" t="str">
        <f>IF(tblSalaries[[#This Row],[Job Type]]=tblSalaries[[#Headers],[Reporting]],tblSalaries[[#This Row],[Salary in USD]],"")</f>
        <v/>
      </c>
      <c r="AD1195" s="13">
        <f>IF(tblSalaries[[#This Row],[Job Type]]=tblSalaries[[#Headers],[Specialist]],tblSalaries[[#This Row],[Salary in USD]],"")</f>
        <v>74000</v>
      </c>
    </row>
    <row r="1196" spans="2:30" ht="15" customHeight="1" x14ac:dyDescent="0.25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 s="9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  <c r="N1196" t="str">
        <f>IF(tblSalaries[[#This Row],[Years of Experience]]="","",IF(tblSalaries[[#This Row],[Years of Experience]]&lt;=2,1,""))</f>
        <v/>
      </c>
      <c r="O1196" t="str">
        <f>IF(tblSalaries[[#This Row],[Years of Experience]]="","",IF(AND(tblSalaries[[#This Row],[Years of Experience]]&gt;2,tblSalaries[[#This Row],[Years of Experience]]&lt;=5),1,""))</f>
        <v/>
      </c>
      <c r="P1196" t="str">
        <f>IF(tblSalaries[[#This Row],[Years of Experience]]="","",IF(AND(tblSalaries[[#This Row],[Years of Experience]]&gt;5,tblSalaries[[#This Row],[Years of Experience]]&lt;=10),1,""))</f>
        <v/>
      </c>
      <c r="Q1196">
        <f>IF(tblSalaries[[#This Row],[Years of Experience]]="","",IF(AND(tblSalaries[[#This Row],[Years of Experience]]&gt;10,tblSalaries[[#This Row],[Years of Experience]]&lt;=15),1,""))</f>
        <v>1</v>
      </c>
      <c r="R1196" t="str">
        <f>IF(tblSalaries[[#This Row],[Years of Experience]]="","",IF(AND(tblSalaries[[#This Row],[Years of Experience]]&gt;16,tblSalaries[[#This Row],[Years of Experience]]&lt;=20),1,""))</f>
        <v/>
      </c>
      <c r="S1196" t="str">
        <f>IF(tblSalaries[[#This Row],[Years of Experience]]="","",IF(tblSalaries[[#This Row],[Years of Experience]]&gt;20,1,""))</f>
        <v/>
      </c>
      <c r="T11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96" s="13" t="str">
        <f>IF(tblSalaries[[#This Row],[Job Type]]=tblSalaries[[#Headers],[Accountant]],tblSalaries[[#This Row],[Salary in USD]],"")</f>
        <v/>
      </c>
      <c r="V1196" s="13">
        <f>IF(tblSalaries[[#This Row],[Job Type]]=tblSalaries[[#Headers],[Analyst]],tblSalaries[[#This Row],[Salary in USD]],"")</f>
        <v>95856</v>
      </c>
      <c r="W1196" s="13" t="str">
        <f>IF(tblSalaries[[#This Row],[Job Type]]=tblSalaries[[#Headers],[Consultant]],tblSalaries[[#This Row],[Salary in USD]],"")</f>
        <v/>
      </c>
      <c r="X1196" s="13" t="str">
        <f>IF(tblSalaries[[#This Row],[Job Type]]=tblSalaries[[#Headers],[Controller]],tblSalaries[[#This Row],[Salary in USD]],"")</f>
        <v/>
      </c>
      <c r="Y1196" s="13" t="str">
        <f>IF(tblSalaries[[#This Row],[Job Type]]=tblSalaries[[#Headers],[CXO or Top Mgmt.]],tblSalaries[[#This Row],[clean Salary (in local currency)]],"")</f>
        <v/>
      </c>
      <c r="Z1196" s="13" t="str">
        <f>IF(tblSalaries[[#This Row],[Job Type]]=tblSalaries[[#Headers],[Engineer]],tblSalaries[[#This Row],[Salary in USD]],"")</f>
        <v/>
      </c>
      <c r="AA1196" s="13" t="str">
        <f>IF(tblSalaries[[#This Row],[Job Type]]=tblSalaries[[#Headers],[Manager]],tblSalaries[[#This Row],[Salary in USD]],"")</f>
        <v/>
      </c>
      <c r="AB1196" s="13" t="str">
        <f>IF(tblSalaries[[#This Row],[Job Type]]=tblSalaries[[#Headers],[Misc.]],tblSalaries[[#This Row],[Salary in USD]],"")</f>
        <v/>
      </c>
      <c r="AC1196" s="13" t="str">
        <f>IF(tblSalaries[[#This Row],[Job Type]]=tblSalaries[[#Headers],[Reporting]],tblSalaries[[#This Row],[Salary in USD]],"")</f>
        <v/>
      </c>
      <c r="AD1196" s="13" t="str">
        <f>IF(tblSalaries[[#This Row],[Job Type]]=tblSalaries[[#Headers],[Specialist]],tblSalaries[[#This Row],[Salary in USD]],"")</f>
        <v/>
      </c>
    </row>
    <row r="1197" spans="2:30" ht="15" customHeight="1" x14ac:dyDescent="0.25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 s="9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  <c r="N1197" t="str">
        <f>IF(tblSalaries[[#This Row],[Years of Experience]]="","",IF(tblSalaries[[#This Row],[Years of Experience]]&lt;=2,1,""))</f>
        <v/>
      </c>
      <c r="O1197" t="str">
        <f>IF(tblSalaries[[#This Row],[Years of Experience]]="","",IF(AND(tblSalaries[[#This Row],[Years of Experience]]&gt;2,tblSalaries[[#This Row],[Years of Experience]]&lt;=5),1,""))</f>
        <v/>
      </c>
      <c r="P1197" t="str">
        <f>IF(tblSalaries[[#This Row],[Years of Experience]]="","",IF(AND(tblSalaries[[#This Row],[Years of Experience]]&gt;5,tblSalaries[[#This Row],[Years of Experience]]&lt;=10),1,""))</f>
        <v/>
      </c>
      <c r="Q1197">
        <f>IF(tblSalaries[[#This Row],[Years of Experience]]="","",IF(AND(tblSalaries[[#This Row],[Years of Experience]]&gt;10,tblSalaries[[#This Row],[Years of Experience]]&lt;=15),1,""))</f>
        <v>1</v>
      </c>
      <c r="R1197" t="str">
        <f>IF(tblSalaries[[#This Row],[Years of Experience]]="","",IF(AND(tblSalaries[[#This Row],[Years of Experience]]&gt;16,tblSalaries[[#This Row],[Years of Experience]]&lt;=20),1,""))</f>
        <v/>
      </c>
      <c r="S1197" t="str">
        <f>IF(tblSalaries[[#This Row],[Years of Experience]]="","",IF(tblSalaries[[#This Row],[Years of Experience]]&gt;20,1,""))</f>
        <v/>
      </c>
      <c r="T11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197" s="13">
        <f>IF(tblSalaries[[#This Row],[Job Type]]=tblSalaries[[#Headers],[Accountant]],tblSalaries[[#This Row],[Salary in USD]],"")</f>
        <v>40000</v>
      </c>
      <c r="V1197" s="13" t="str">
        <f>IF(tblSalaries[[#This Row],[Job Type]]=tblSalaries[[#Headers],[Analyst]],tblSalaries[[#This Row],[Salary in USD]],"")</f>
        <v/>
      </c>
      <c r="W1197" s="13" t="str">
        <f>IF(tblSalaries[[#This Row],[Job Type]]=tblSalaries[[#Headers],[Consultant]],tblSalaries[[#This Row],[Salary in USD]],"")</f>
        <v/>
      </c>
      <c r="X1197" s="13" t="str">
        <f>IF(tblSalaries[[#This Row],[Job Type]]=tblSalaries[[#Headers],[Controller]],tblSalaries[[#This Row],[Salary in USD]],"")</f>
        <v/>
      </c>
      <c r="Y1197" s="13" t="str">
        <f>IF(tblSalaries[[#This Row],[Job Type]]=tblSalaries[[#Headers],[CXO or Top Mgmt.]],tblSalaries[[#This Row],[clean Salary (in local currency)]],"")</f>
        <v/>
      </c>
      <c r="Z1197" s="13" t="str">
        <f>IF(tblSalaries[[#This Row],[Job Type]]=tblSalaries[[#Headers],[Engineer]],tblSalaries[[#This Row],[Salary in USD]],"")</f>
        <v/>
      </c>
      <c r="AA1197" s="13" t="str">
        <f>IF(tblSalaries[[#This Row],[Job Type]]=tblSalaries[[#Headers],[Manager]],tblSalaries[[#This Row],[Salary in USD]],"")</f>
        <v/>
      </c>
      <c r="AB1197" s="13" t="str">
        <f>IF(tblSalaries[[#This Row],[Job Type]]=tblSalaries[[#Headers],[Misc.]],tblSalaries[[#This Row],[Salary in USD]],"")</f>
        <v/>
      </c>
      <c r="AC1197" s="13" t="str">
        <f>IF(tblSalaries[[#This Row],[Job Type]]=tblSalaries[[#Headers],[Reporting]],tblSalaries[[#This Row],[Salary in USD]],"")</f>
        <v/>
      </c>
      <c r="AD1197" s="13" t="str">
        <f>IF(tblSalaries[[#This Row],[Job Type]]=tblSalaries[[#Headers],[Specialist]],tblSalaries[[#This Row],[Salary in USD]],"")</f>
        <v/>
      </c>
    </row>
    <row r="1198" spans="2:30" ht="15" customHeight="1" x14ac:dyDescent="0.25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 s="9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  <c r="N1198" t="str">
        <f>IF(tblSalaries[[#This Row],[Years of Experience]]="","",IF(tblSalaries[[#This Row],[Years of Experience]]&lt;=2,1,""))</f>
        <v/>
      </c>
      <c r="O1198">
        <f>IF(tblSalaries[[#This Row],[Years of Experience]]="","",IF(AND(tblSalaries[[#This Row],[Years of Experience]]&gt;2,tblSalaries[[#This Row],[Years of Experience]]&lt;=5),1,""))</f>
        <v>1</v>
      </c>
      <c r="P1198" t="str">
        <f>IF(tblSalaries[[#This Row],[Years of Experience]]="","",IF(AND(tblSalaries[[#This Row],[Years of Experience]]&gt;5,tblSalaries[[#This Row],[Years of Experience]]&lt;=10),1,""))</f>
        <v/>
      </c>
      <c r="Q1198" t="str">
        <f>IF(tblSalaries[[#This Row],[Years of Experience]]="","",IF(AND(tblSalaries[[#This Row],[Years of Experience]]&gt;10,tblSalaries[[#This Row],[Years of Experience]]&lt;=15),1,""))</f>
        <v/>
      </c>
      <c r="R1198" t="str">
        <f>IF(tblSalaries[[#This Row],[Years of Experience]]="","",IF(AND(tblSalaries[[#This Row],[Years of Experience]]&gt;16,tblSalaries[[#This Row],[Years of Experience]]&lt;=20),1,""))</f>
        <v/>
      </c>
      <c r="S1198" t="str">
        <f>IF(tblSalaries[[#This Row],[Years of Experience]]="","",IF(tblSalaries[[#This Row],[Years of Experience]]&gt;20,1,""))</f>
        <v/>
      </c>
      <c r="T11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198" s="13" t="str">
        <f>IF(tblSalaries[[#This Row],[Job Type]]=tblSalaries[[#Headers],[Accountant]],tblSalaries[[#This Row],[Salary in USD]],"")</f>
        <v/>
      </c>
      <c r="V1198" s="13" t="str">
        <f>IF(tblSalaries[[#This Row],[Job Type]]=tblSalaries[[#Headers],[Analyst]],tblSalaries[[#This Row],[Salary in USD]],"")</f>
        <v/>
      </c>
      <c r="W1198" s="13" t="str">
        <f>IF(tblSalaries[[#This Row],[Job Type]]=tblSalaries[[#Headers],[Consultant]],tblSalaries[[#This Row],[Salary in USD]],"")</f>
        <v/>
      </c>
      <c r="X1198" s="13" t="str">
        <f>IF(tblSalaries[[#This Row],[Job Type]]=tblSalaries[[#Headers],[Controller]],tblSalaries[[#This Row],[Salary in USD]],"")</f>
        <v/>
      </c>
      <c r="Y1198" s="13" t="str">
        <f>IF(tblSalaries[[#This Row],[Job Type]]=tblSalaries[[#Headers],[CXO or Top Mgmt.]],tblSalaries[[#This Row],[clean Salary (in local currency)]],"")</f>
        <v/>
      </c>
      <c r="Z1198" s="13" t="str">
        <f>IF(tblSalaries[[#This Row],[Job Type]]=tblSalaries[[#Headers],[Engineer]],tblSalaries[[#This Row],[Salary in USD]],"")</f>
        <v/>
      </c>
      <c r="AA1198" s="13">
        <f>IF(tblSalaries[[#This Row],[Job Type]]=tblSalaries[[#Headers],[Manager]],tblSalaries[[#This Row],[Salary in USD]],"")</f>
        <v>4400</v>
      </c>
      <c r="AB1198" s="13" t="str">
        <f>IF(tblSalaries[[#This Row],[Job Type]]=tblSalaries[[#Headers],[Misc.]],tblSalaries[[#This Row],[Salary in USD]],"")</f>
        <v/>
      </c>
      <c r="AC1198" s="13" t="str">
        <f>IF(tblSalaries[[#This Row],[Job Type]]=tblSalaries[[#Headers],[Reporting]],tblSalaries[[#This Row],[Salary in USD]],"")</f>
        <v/>
      </c>
      <c r="AD1198" s="13" t="str">
        <f>IF(tblSalaries[[#This Row],[Job Type]]=tblSalaries[[#Headers],[Specialist]],tblSalaries[[#This Row],[Salary in USD]],"")</f>
        <v/>
      </c>
    </row>
    <row r="1199" spans="2:30" ht="15" customHeight="1" x14ac:dyDescent="0.25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 s="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  <c r="N1199" t="str">
        <f>IF(tblSalaries[[#This Row],[Years of Experience]]="","",IF(tblSalaries[[#This Row],[Years of Experience]]&lt;=2,1,""))</f>
        <v/>
      </c>
      <c r="O1199" t="str">
        <f>IF(tblSalaries[[#This Row],[Years of Experience]]="","",IF(AND(tblSalaries[[#This Row],[Years of Experience]]&gt;2,tblSalaries[[#This Row],[Years of Experience]]&lt;=5),1,""))</f>
        <v/>
      </c>
      <c r="P1199" t="str">
        <f>IF(tblSalaries[[#This Row],[Years of Experience]]="","",IF(AND(tblSalaries[[#This Row],[Years of Experience]]&gt;5,tblSalaries[[#This Row],[Years of Experience]]&lt;=10),1,""))</f>
        <v/>
      </c>
      <c r="Q1199" t="str">
        <f>IF(tblSalaries[[#This Row],[Years of Experience]]="","",IF(AND(tblSalaries[[#This Row],[Years of Experience]]&gt;10,tblSalaries[[#This Row],[Years of Experience]]&lt;=15),1,""))</f>
        <v/>
      </c>
      <c r="R1199" t="str">
        <f>IF(tblSalaries[[#This Row],[Years of Experience]]="","",IF(AND(tblSalaries[[#This Row],[Years of Experience]]&gt;16,tblSalaries[[#This Row],[Years of Experience]]&lt;=20),1,""))</f>
        <v/>
      </c>
      <c r="S1199">
        <f>IF(tblSalaries[[#This Row],[Years of Experience]]="","",IF(tblSalaries[[#This Row],[Years of Experience]]&gt;20,1,""))</f>
        <v>1</v>
      </c>
      <c r="T11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199" s="13" t="str">
        <f>IF(tblSalaries[[#This Row],[Job Type]]=tblSalaries[[#Headers],[Accountant]],tblSalaries[[#This Row],[Salary in USD]],"")</f>
        <v/>
      </c>
      <c r="V1199" s="13">
        <f>IF(tblSalaries[[#This Row],[Job Type]]=tblSalaries[[#Headers],[Analyst]],tblSalaries[[#This Row],[Salary in USD]],"")</f>
        <v>90000</v>
      </c>
      <c r="W1199" s="13" t="str">
        <f>IF(tblSalaries[[#This Row],[Job Type]]=tblSalaries[[#Headers],[Consultant]],tblSalaries[[#This Row],[Salary in USD]],"")</f>
        <v/>
      </c>
      <c r="X1199" s="13" t="str">
        <f>IF(tblSalaries[[#This Row],[Job Type]]=tblSalaries[[#Headers],[Controller]],tblSalaries[[#This Row],[Salary in USD]],"")</f>
        <v/>
      </c>
      <c r="Y1199" s="13" t="str">
        <f>IF(tblSalaries[[#This Row],[Job Type]]=tblSalaries[[#Headers],[CXO or Top Mgmt.]],tblSalaries[[#This Row],[clean Salary (in local currency)]],"")</f>
        <v/>
      </c>
      <c r="Z1199" s="13" t="str">
        <f>IF(tblSalaries[[#This Row],[Job Type]]=tblSalaries[[#Headers],[Engineer]],tblSalaries[[#This Row],[Salary in USD]],"")</f>
        <v/>
      </c>
      <c r="AA1199" s="13" t="str">
        <f>IF(tblSalaries[[#This Row],[Job Type]]=tblSalaries[[#Headers],[Manager]],tblSalaries[[#This Row],[Salary in USD]],"")</f>
        <v/>
      </c>
      <c r="AB1199" s="13" t="str">
        <f>IF(tblSalaries[[#This Row],[Job Type]]=tblSalaries[[#Headers],[Misc.]],tblSalaries[[#This Row],[Salary in USD]],"")</f>
        <v/>
      </c>
      <c r="AC1199" s="13" t="str">
        <f>IF(tblSalaries[[#This Row],[Job Type]]=tblSalaries[[#Headers],[Reporting]],tblSalaries[[#This Row],[Salary in USD]],"")</f>
        <v/>
      </c>
      <c r="AD1199" s="13" t="str">
        <f>IF(tblSalaries[[#This Row],[Job Type]]=tblSalaries[[#Headers],[Specialist]],tblSalaries[[#This Row],[Salary in USD]],"")</f>
        <v/>
      </c>
    </row>
    <row r="1200" spans="2:30" ht="15" customHeight="1" x14ac:dyDescent="0.25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 s="9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  <c r="N1200">
        <f>IF(tblSalaries[[#This Row],[Years of Experience]]="","",IF(tblSalaries[[#This Row],[Years of Experience]]&lt;=2,1,""))</f>
        <v>1</v>
      </c>
      <c r="O1200" t="str">
        <f>IF(tblSalaries[[#This Row],[Years of Experience]]="","",IF(AND(tblSalaries[[#This Row],[Years of Experience]]&gt;2,tblSalaries[[#This Row],[Years of Experience]]&lt;=5),1,""))</f>
        <v/>
      </c>
      <c r="P1200" t="str">
        <f>IF(tblSalaries[[#This Row],[Years of Experience]]="","",IF(AND(tblSalaries[[#This Row],[Years of Experience]]&gt;5,tblSalaries[[#This Row],[Years of Experience]]&lt;=10),1,""))</f>
        <v/>
      </c>
      <c r="Q1200" t="str">
        <f>IF(tblSalaries[[#This Row],[Years of Experience]]="","",IF(AND(tblSalaries[[#This Row],[Years of Experience]]&gt;10,tblSalaries[[#This Row],[Years of Experience]]&lt;=15),1,""))</f>
        <v/>
      </c>
      <c r="R1200" t="str">
        <f>IF(tblSalaries[[#This Row],[Years of Experience]]="","",IF(AND(tblSalaries[[#This Row],[Years of Experience]]&gt;16,tblSalaries[[#This Row],[Years of Experience]]&lt;=20),1,""))</f>
        <v/>
      </c>
      <c r="S1200" t="str">
        <f>IF(tblSalaries[[#This Row],[Years of Experience]]="","",IF(tblSalaries[[#This Row],[Years of Experience]]&gt;20,1,""))</f>
        <v/>
      </c>
      <c r="T12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00" s="13" t="str">
        <f>IF(tblSalaries[[#This Row],[Job Type]]=tblSalaries[[#Headers],[Accountant]],tblSalaries[[#This Row],[Salary in USD]],"")</f>
        <v/>
      </c>
      <c r="V1200" s="13" t="str">
        <f>IF(tblSalaries[[#This Row],[Job Type]]=tblSalaries[[#Headers],[Analyst]],tblSalaries[[#This Row],[Salary in USD]],"")</f>
        <v/>
      </c>
      <c r="W1200" s="13" t="str">
        <f>IF(tblSalaries[[#This Row],[Job Type]]=tblSalaries[[#Headers],[Consultant]],tblSalaries[[#This Row],[Salary in USD]],"")</f>
        <v/>
      </c>
      <c r="X1200" s="13" t="str">
        <f>IF(tblSalaries[[#This Row],[Job Type]]=tblSalaries[[#Headers],[Controller]],tblSalaries[[#This Row],[Salary in USD]],"")</f>
        <v/>
      </c>
      <c r="Y1200" s="13" t="str">
        <f>IF(tblSalaries[[#This Row],[Job Type]]=tblSalaries[[#Headers],[CXO or Top Mgmt.]],tblSalaries[[#This Row],[clean Salary (in local currency)]],"")</f>
        <v/>
      </c>
      <c r="Z1200" s="13" t="str">
        <f>IF(tblSalaries[[#This Row],[Job Type]]=tblSalaries[[#Headers],[Engineer]],tblSalaries[[#This Row],[Salary in USD]],"")</f>
        <v/>
      </c>
      <c r="AA1200" s="13">
        <f>IF(tblSalaries[[#This Row],[Job Type]]=tblSalaries[[#Headers],[Manager]],tblSalaries[[#This Row],[Salary in USD]],"")</f>
        <v>8013.5625093491553</v>
      </c>
      <c r="AB1200" s="13" t="str">
        <f>IF(tblSalaries[[#This Row],[Job Type]]=tblSalaries[[#Headers],[Misc.]],tblSalaries[[#This Row],[Salary in USD]],"")</f>
        <v/>
      </c>
      <c r="AC1200" s="13" t="str">
        <f>IF(tblSalaries[[#This Row],[Job Type]]=tblSalaries[[#Headers],[Reporting]],tblSalaries[[#This Row],[Salary in USD]],"")</f>
        <v/>
      </c>
      <c r="AD1200" s="13" t="str">
        <f>IF(tblSalaries[[#This Row],[Job Type]]=tblSalaries[[#Headers],[Specialist]],tblSalaries[[#This Row],[Salary in USD]],"")</f>
        <v/>
      </c>
    </row>
    <row r="1201" spans="2:30" ht="15" customHeight="1" x14ac:dyDescent="0.25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 s="9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  <c r="N1201" t="str">
        <f>IF(tblSalaries[[#This Row],[Years of Experience]]="","",IF(tblSalaries[[#This Row],[Years of Experience]]&lt;=2,1,""))</f>
        <v/>
      </c>
      <c r="O1201" t="str">
        <f>IF(tblSalaries[[#This Row],[Years of Experience]]="","",IF(AND(tblSalaries[[#This Row],[Years of Experience]]&gt;2,tblSalaries[[#This Row],[Years of Experience]]&lt;=5),1,""))</f>
        <v/>
      </c>
      <c r="P1201">
        <f>IF(tblSalaries[[#This Row],[Years of Experience]]="","",IF(AND(tblSalaries[[#This Row],[Years of Experience]]&gt;5,tblSalaries[[#This Row],[Years of Experience]]&lt;=10),1,""))</f>
        <v>1</v>
      </c>
      <c r="Q1201" t="str">
        <f>IF(tblSalaries[[#This Row],[Years of Experience]]="","",IF(AND(tblSalaries[[#This Row],[Years of Experience]]&gt;10,tblSalaries[[#This Row],[Years of Experience]]&lt;=15),1,""))</f>
        <v/>
      </c>
      <c r="R1201" t="str">
        <f>IF(tblSalaries[[#This Row],[Years of Experience]]="","",IF(AND(tblSalaries[[#This Row],[Years of Experience]]&gt;16,tblSalaries[[#This Row],[Years of Experience]]&lt;=20),1,""))</f>
        <v/>
      </c>
      <c r="S1201" t="str">
        <f>IF(tblSalaries[[#This Row],[Years of Experience]]="","",IF(tblSalaries[[#This Row],[Years of Experience]]&gt;20,1,""))</f>
        <v/>
      </c>
      <c r="T12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01" s="13" t="str">
        <f>IF(tblSalaries[[#This Row],[Job Type]]=tblSalaries[[#Headers],[Accountant]],tblSalaries[[#This Row],[Salary in USD]],"")</f>
        <v/>
      </c>
      <c r="V1201" s="13" t="str">
        <f>IF(tblSalaries[[#This Row],[Job Type]]=tblSalaries[[#Headers],[Analyst]],tblSalaries[[#This Row],[Salary in USD]],"")</f>
        <v/>
      </c>
      <c r="W1201" s="13" t="str">
        <f>IF(tblSalaries[[#This Row],[Job Type]]=tblSalaries[[#Headers],[Consultant]],tblSalaries[[#This Row],[Salary in USD]],"")</f>
        <v/>
      </c>
      <c r="X1201" s="13" t="str">
        <f>IF(tblSalaries[[#This Row],[Job Type]]=tblSalaries[[#Headers],[Controller]],tblSalaries[[#This Row],[Salary in USD]],"")</f>
        <v/>
      </c>
      <c r="Y1201" s="13" t="str">
        <f>IF(tblSalaries[[#This Row],[Job Type]]=tblSalaries[[#Headers],[CXO or Top Mgmt.]],tblSalaries[[#This Row],[clean Salary (in local currency)]],"")</f>
        <v/>
      </c>
      <c r="Z1201" s="13" t="str">
        <f>IF(tblSalaries[[#This Row],[Job Type]]=tblSalaries[[#Headers],[Engineer]],tblSalaries[[#This Row],[Salary in USD]],"")</f>
        <v/>
      </c>
      <c r="AA1201" s="13">
        <f>IF(tblSalaries[[#This Row],[Job Type]]=tblSalaries[[#Headers],[Manager]],tblSalaries[[#This Row],[Salary in USD]],"")</f>
        <v>17807.916687442568</v>
      </c>
      <c r="AB1201" s="13" t="str">
        <f>IF(tblSalaries[[#This Row],[Job Type]]=tblSalaries[[#Headers],[Misc.]],tblSalaries[[#This Row],[Salary in USD]],"")</f>
        <v/>
      </c>
      <c r="AC1201" s="13" t="str">
        <f>IF(tblSalaries[[#This Row],[Job Type]]=tblSalaries[[#Headers],[Reporting]],tblSalaries[[#This Row],[Salary in USD]],"")</f>
        <v/>
      </c>
      <c r="AD1201" s="13" t="str">
        <f>IF(tblSalaries[[#This Row],[Job Type]]=tblSalaries[[#Headers],[Specialist]],tblSalaries[[#This Row],[Salary in USD]],"")</f>
        <v/>
      </c>
    </row>
    <row r="1202" spans="2:30" ht="15" customHeight="1" x14ac:dyDescent="0.25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 s="9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3999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  <c r="N1202" t="str">
        <f>IF(tblSalaries[[#This Row],[Years of Experience]]="","",IF(tblSalaries[[#This Row],[Years of Experience]]&lt;=2,1,""))</f>
        <v/>
      </c>
      <c r="O1202" t="str">
        <f>IF(tblSalaries[[#This Row],[Years of Experience]]="","",IF(AND(tblSalaries[[#This Row],[Years of Experience]]&gt;2,tblSalaries[[#This Row],[Years of Experience]]&lt;=5),1,""))</f>
        <v/>
      </c>
      <c r="P1202">
        <f>IF(tblSalaries[[#This Row],[Years of Experience]]="","",IF(AND(tblSalaries[[#This Row],[Years of Experience]]&gt;5,tblSalaries[[#This Row],[Years of Experience]]&lt;=10),1,""))</f>
        <v>1</v>
      </c>
      <c r="Q1202" t="str">
        <f>IF(tblSalaries[[#This Row],[Years of Experience]]="","",IF(AND(tblSalaries[[#This Row],[Years of Experience]]&gt;10,tblSalaries[[#This Row],[Years of Experience]]&lt;=15),1,""))</f>
        <v/>
      </c>
      <c r="R1202" t="str">
        <f>IF(tblSalaries[[#This Row],[Years of Experience]]="","",IF(AND(tblSalaries[[#This Row],[Years of Experience]]&gt;16,tblSalaries[[#This Row],[Years of Experience]]&lt;=20),1,""))</f>
        <v/>
      </c>
      <c r="S1202" t="str">
        <f>IF(tblSalaries[[#This Row],[Years of Experience]]="","",IF(tblSalaries[[#This Row],[Years of Experience]]&gt;20,1,""))</f>
        <v/>
      </c>
      <c r="T12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02" s="13" t="str">
        <f>IF(tblSalaries[[#This Row],[Job Type]]=tblSalaries[[#Headers],[Accountant]],tblSalaries[[#This Row],[Salary in USD]],"")</f>
        <v/>
      </c>
      <c r="V1202" s="13" t="str">
        <f>IF(tblSalaries[[#This Row],[Job Type]]=tblSalaries[[#Headers],[Analyst]],tblSalaries[[#This Row],[Salary in USD]],"")</f>
        <v/>
      </c>
      <c r="W1202" s="13" t="str">
        <f>IF(tblSalaries[[#This Row],[Job Type]]=tblSalaries[[#Headers],[Consultant]],tblSalaries[[#This Row],[Salary in USD]],"")</f>
        <v/>
      </c>
      <c r="X1202" s="13" t="str">
        <f>IF(tblSalaries[[#This Row],[Job Type]]=tblSalaries[[#Headers],[Controller]],tblSalaries[[#This Row],[Salary in USD]],"")</f>
        <v/>
      </c>
      <c r="Y1202" s="13" t="str">
        <f>IF(tblSalaries[[#This Row],[Job Type]]=tblSalaries[[#Headers],[CXO or Top Mgmt.]],tblSalaries[[#This Row],[clean Salary (in local currency)]],"")</f>
        <v/>
      </c>
      <c r="Z1202" s="13" t="str">
        <f>IF(tblSalaries[[#This Row],[Job Type]]=tblSalaries[[#Headers],[Engineer]],tblSalaries[[#This Row],[Salary in USD]],"")</f>
        <v/>
      </c>
      <c r="AA1202" s="13" t="str">
        <f>IF(tblSalaries[[#This Row],[Job Type]]=tblSalaries[[#Headers],[Manager]],tblSalaries[[#This Row],[Salary in USD]],"")</f>
        <v/>
      </c>
      <c r="AB1202" s="13" t="str">
        <f>IF(tblSalaries[[#This Row],[Job Type]]=tblSalaries[[#Headers],[Misc.]],tblSalaries[[#This Row],[Salary in USD]],"")</f>
        <v/>
      </c>
      <c r="AC1202" s="13">
        <f>IF(tblSalaries[[#This Row],[Job Type]]=tblSalaries[[#Headers],[Reporting]],tblSalaries[[#This Row],[Salary in USD]],"")</f>
        <v>12465.541681209797</v>
      </c>
      <c r="AD1202" s="13" t="str">
        <f>IF(tblSalaries[[#This Row],[Job Type]]=tblSalaries[[#Headers],[Specialist]],tblSalaries[[#This Row],[Salary in USD]],"")</f>
        <v/>
      </c>
    </row>
    <row r="1203" spans="2:30" ht="15" customHeight="1" x14ac:dyDescent="0.25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 s="9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  <c r="N1203" t="str">
        <f>IF(tblSalaries[[#This Row],[Years of Experience]]="","",IF(tblSalaries[[#This Row],[Years of Experience]]&lt;=2,1,""))</f>
        <v/>
      </c>
      <c r="O1203" t="str">
        <f>IF(tblSalaries[[#This Row],[Years of Experience]]="","",IF(AND(tblSalaries[[#This Row],[Years of Experience]]&gt;2,tblSalaries[[#This Row],[Years of Experience]]&lt;=5),1,""))</f>
        <v/>
      </c>
      <c r="P1203">
        <f>IF(tblSalaries[[#This Row],[Years of Experience]]="","",IF(AND(tblSalaries[[#This Row],[Years of Experience]]&gt;5,tblSalaries[[#This Row],[Years of Experience]]&lt;=10),1,""))</f>
        <v>1</v>
      </c>
      <c r="Q1203" t="str">
        <f>IF(tblSalaries[[#This Row],[Years of Experience]]="","",IF(AND(tblSalaries[[#This Row],[Years of Experience]]&gt;10,tblSalaries[[#This Row],[Years of Experience]]&lt;=15),1,""))</f>
        <v/>
      </c>
      <c r="R1203" t="str">
        <f>IF(tblSalaries[[#This Row],[Years of Experience]]="","",IF(AND(tblSalaries[[#This Row],[Years of Experience]]&gt;16,tblSalaries[[#This Row],[Years of Experience]]&lt;=20),1,""))</f>
        <v/>
      </c>
      <c r="S1203" t="str">
        <f>IF(tblSalaries[[#This Row],[Years of Experience]]="","",IF(tblSalaries[[#This Row],[Years of Experience]]&gt;20,1,""))</f>
        <v/>
      </c>
      <c r="T12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03" s="13" t="str">
        <f>IF(tblSalaries[[#This Row],[Job Type]]=tblSalaries[[#Headers],[Accountant]],tblSalaries[[#This Row],[Salary in USD]],"")</f>
        <v/>
      </c>
      <c r="V1203" s="13">
        <f>IF(tblSalaries[[#This Row],[Job Type]]=tblSalaries[[#Headers],[Analyst]],tblSalaries[[#This Row],[Salary in USD]],"")</f>
        <v>80000</v>
      </c>
      <c r="W1203" s="13" t="str">
        <f>IF(tblSalaries[[#This Row],[Job Type]]=tblSalaries[[#Headers],[Consultant]],tblSalaries[[#This Row],[Salary in USD]],"")</f>
        <v/>
      </c>
      <c r="X1203" s="13" t="str">
        <f>IF(tblSalaries[[#This Row],[Job Type]]=tblSalaries[[#Headers],[Controller]],tblSalaries[[#This Row],[Salary in USD]],"")</f>
        <v/>
      </c>
      <c r="Y1203" s="13" t="str">
        <f>IF(tblSalaries[[#This Row],[Job Type]]=tblSalaries[[#Headers],[CXO or Top Mgmt.]],tblSalaries[[#This Row],[clean Salary (in local currency)]],"")</f>
        <v/>
      </c>
      <c r="Z1203" s="13" t="str">
        <f>IF(tblSalaries[[#This Row],[Job Type]]=tblSalaries[[#Headers],[Engineer]],tblSalaries[[#This Row],[Salary in USD]],"")</f>
        <v/>
      </c>
      <c r="AA1203" s="13" t="str">
        <f>IF(tblSalaries[[#This Row],[Job Type]]=tblSalaries[[#Headers],[Manager]],tblSalaries[[#This Row],[Salary in USD]],"")</f>
        <v/>
      </c>
      <c r="AB1203" s="13" t="str">
        <f>IF(tblSalaries[[#This Row],[Job Type]]=tblSalaries[[#Headers],[Misc.]],tblSalaries[[#This Row],[Salary in USD]],"")</f>
        <v/>
      </c>
      <c r="AC1203" s="13" t="str">
        <f>IF(tblSalaries[[#This Row],[Job Type]]=tblSalaries[[#Headers],[Reporting]],tblSalaries[[#This Row],[Salary in USD]],"")</f>
        <v/>
      </c>
      <c r="AD1203" s="13" t="str">
        <f>IF(tblSalaries[[#This Row],[Job Type]]=tblSalaries[[#Headers],[Specialist]],tblSalaries[[#This Row],[Salary in USD]],"")</f>
        <v/>
      </c>
    </row>
    <row r="1204" spans="2:30" ht="15" customHeight="1" x14ac:dyDescent="0.25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 s="9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  <c r="N1204" t="str">
        <f>IF(tblSalaries[[#This Row],[Years of Experience]]="","",IF(tblSalaries[[#This Row],[Years of Experience]]&lt;=2,1,""))</f>
        <v/>
      </c>
      <c r="O1204" t="str">
        <f>IF(tblSalaries[[#This Row],[Years of Experience]]="","",IF(AND(tblSalaries[[#This Row],[Years of Experience]]&gt;2,tblSalaries[[#This Row],[Years of Experience]]&lt;=5),1,""))</f>
        <v/>
      </c>
      <c r="P1204" t="str">
        <f>IF(tblSalaries[[#This Row],[Years of Experience]]="","",IF(AND(tblSalaries[[#This Row],[Years of Experience]]&gt;5,tblSalaries[[#This Row],[Years of Experience]]&lt;=10),1,""))</f>
        <v/>
      </c>
      <c r="Q1204">
        <f>IF(tblSalaries[[#This Row],[Years of Experience]]="","",IF(AND(tblSalaries[[#This Row],[Years of Experience]]&gt;10,tblSalaries[[#This Row],[Years of Experience]]&lt;=15),1,""))</f>
        <v>1</v>
      </c>
      <c r="R1204" t="str">
        <f>IF(tblSalaries[[#This Row],[Years of Experience]]="","",IF(AND(tblSalaries[[#This Row],[Years of Experience]]&gt;16,tblSalaries[[#This Row],[Years of Experience]]&lt;=20),1,""))</f>
        <v/>
      </c>
      <c r="S1204" t="str">
        <f>IF(tblSalaries[[#This Row],[Years of Experience]]="","",IF(tblSalaries[[#This Row],[Years of Experience]]&gt;20,1,""))</f>
        <v/>
      </c>
      <c r="T12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04" s="13" t="str">
        <f>IF(tblSalaries[[#This Row],[Job Type]]=tblSalaries[[#Headers],[Accountant]],tblSalaries[[#This Row],[Salary in USD]],"")</f>
        <v/>
      </c>
      <c r="V1204" s="13" t="str">
        <f>IF(tblSalaries[[#This Row],[Job Type]]=tblSalaries[[#Headers],[Analyst]],tblSalaries[[#This Row],[Salary in USD]],"")</f>
        <v/>
      </c>
      <c r="W1204" s="13" t="str">
        <f>IF(tblSalaries[[#This Row],[Job Type]]=tblSalaries[[#Headers],[Consultant]],tblSalaries[[#This Row],[Salary in USD]],"")</f>
        <v/>
      </c>
      <c r="X1204" s="13" t="str">
        <f>IF(tblSalaries[[#This Row],[Job Type]]=tblSalaries[[#Headers],[Controller]],tblSalaries[[#This Row],[Salary in USD]],"")</f>
        <v/>
      </c>
      <c r="Y1204" s="13" t="str">
        <f>IF(tblSalaries[[#This Row],[Job Type]]=tblSalaries[[#Headers],[CXO or Top Mgmt.]],tblSalaries[[#This Row],[clean Salary (in local currency)]],"")</f>
        <v/>
      </c>
      <c r="Z1204" s="13" t="str">
        <f>IF(tblSalaries[[#This Row],[Job Type]]=tblSalaries[[#Headers],[Engineer]],tblSalaries[[#This Row],[Salary in USD]],"")</f>
        <v/>
      </c>
      <c r="AA1204" s="13">
        <f>IF(tblSalaries[[#This Row],[Job Type]]=tblSalaries[[#Headers],[Manager]],tblSalaries[[#This Row],[Salary in USD]],"")</f>
        <v>100000</v>
      </c>
      <c r="AB1204" s="13" t="str">
        <f>IF(tblSalaries[[#This Row],[Job Type]]=tblSalaries[[#Headers],[Misc.]],tblSalaries[[#This Row],[Salary in USD]],"")</f>
        <v/>
      </c>
      <c r="AC1204" s="13" t="str">
        <f>IF(tblSalaries[[#This Row],[Job Type]]=tblSalaries[[#Headers],[Reporting]],tblSalaries[[#This Row],[Salary in USD]],"")</f>
        <v/>
      </c>
      <c r="AD1204" s="13" t="str">
        <f>IF(tblSalaries[[#This Row],[Job Type]]=tblSalaries[[#Headers],[Specialist]],tblSalaries[[#This Row],[Salary in USD]],"")</f>
        <v/>
      </c>
    </row>
    <row r="1205" spans="2:30" ht="15" customHeight="1" x14ac:dyDescent="0.25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 s="9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  <c r="N1205" t="str">
        <f>IF(tblSalaries[[#This Row],[Years of Experience]]="","",IF(tblSalaries[[#This Row],[Years of Experience]]&lt;=2,1,""))</f>
        <v/>
      </c>
      <c r="O1205" t="str">
        <f>IF(tblSalaries[[#This Row],[Years of Experience]]="","",IF(AND(tblSalaries[[#This Row],[Years of Experience]]&gt;2,tblSalaries[[#This Row],[Years of Experience]]&lt;=5),1,""))</f>
        <v/>
      </c>
      <c r="P1205" t="str">
        <f>IF(tblSalaries[[#This Row],[Years of Experience]]="","",IF(AND(tblSalaries[[#This Row],[Years of Experience]]&gt;5,tblSalaries[[#This Row],[Years of Experience]]&lt;=10),1,""))</f>
        <v/>
      </c>
      <c r="Q1205" t="str">
        <f>IF(tblSalaries[[#This Row],[Years of Experience]]="","",IF(AND(tblSalaries[[#This Row],[Years of Experience]]&gt;10,tblSalaries[[#This Row],[Years of Experience]]&lt;=15),1,""))</f>
        <v/>
      </c>
      <c r="R1205" t="str">
        <f>IF(tblSalaries[[#This Row],[Years of Experience]]="","",IF(AND(tblSalaries[[#This Row],[Years of Experience]]&gt;16,tblSalaries[[#This Row],[Years of Experience]]&lt;=20),1,""))</f>
        <v/>
      </c>
      <c r="S1205">
        <f>IF(tblSalaries[[#This Row],[Years of Experience]]="","",IF(tblSalaries[[#This Row],[Years of Experience]]&gt;20,1,""))</f>
        <v>1</v>
      </c>
      <c r="T12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05" s="13">
        <f>IF(tblSalaries[[#This Row],[Job Type]]=tblSalaries[[#Headers],[Accountant]],tblSalaries[[#This Row],[Salary in USD]],"")</f>
        <v>49200</v>
      </c>
      <c r="V1205" s="13" t="str">
        <f>IF(tblSalaries[[#This Row],[Job Type]]=tblSalaries[[#Headers],[Analyst]],tblSalaries[[#This Row],[Salary in USD]],"")</f>
        <v/>
      </c>
      <c r="W1205" s="13" t="str">
        <f>IF(tblSalaries[[#This Row],[Job Type]]=tblSalaries[[#Headers],[Consultant]],tblSalaries[[#This Row],[Salary in USD]],"")</f>
        <v/>
      </c>
      <c r="X1205" s="13" t="str">
        <f>IF(tblSalaries[[#This Row],[Job Type]]=tblSalaries[[#Headers],[Controller]],tblSalaries[[#This Row],[Salary in USD]],"")</f>
        <v/>
      </c>
      <c r="Y1205" s="13" t="str">
        <f>IF(tblSalaries[[#This Row],[Job Type]]=tblSalaries[[#Headers],[CXO or Top Mgmt.]],tblSalaries[[#This Row],[clean Salary (in local currency)]],"")</f>
        <v/>
      </c>
      <c r="Z1205" s="13" t="str">
        <f>IF(tblSalaries[[#This Row],[Job Type]]=tblSalaries[[#Headers],[Engineer]],tblSalaries[[#This Row],[Salary in USD]],"")</f>
        <v/>
      </c>
      <c r="AA1205" s="13" t="str">
        <f>IF(tblSalaries[[#This Row],[Job Type]]=tblSalaries[[#Headers],[Manager]],tblSalaries[[#This Row],[Salary in USD]],"")</f>
        <v/>
      </c>
      <c r="AB1205" s="13" t="str">
        <f>IF(tblSalaries[[#This Row],[Job Type]]=tblSalaries[[#Headers],[Misc.]],tblSalaries[[#This Row],[Salary in USD]],"")</f>
        <v/>
      </c>
      <c r="AC1205" s="13" t="str">
        <f>IF(tblSalaries[[#This Row],[Job Type]]=tblSalaries[[#Headers],[Reporting]],tblSalaries[[#This Row],[Salary in USD]],"")</f>
        <v/>
      </c>
      <c r="AD1205" s="13" t="str">
        <f>IF(tblSalaries[[#This Row],[Job Type]]=tblSalaries[[#Headers],[Specialist]],tblSalaries[[#This Row],[Salary in USD]],"")</f>
        <v/>
      </c>
    </row>
    <row r="1206" spans="2:30" ht="15" customHeight="1" x14ac:dyDescent="0.25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 s="9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  <c r="N1206">
        <f>IF(tblSalaries[[#This Row],[Years of Experience]]="","",IF(tblSalaries[[#This Row],[Years of Experience]]&lt;=2,1,""))</f>
        <v>1</v>
      </c>
      <c r="O1206" t="str">
        <f>IF(tblSalaries[[#This Row],[Years of Experience]]="","",IF(AND(tblSalaries[[#This Row],[Years of Experience]]&gt;2,tblSalaries[[#This Row],[Years of Experience]]&lt;=5),1,""))</f>
        <v/>
      </c>
      <c r="P1206" t="str">
        <f>IF(tblSalaries[[#This Row],[Years of Experience]]="","",IF(AND(tblSalaries[[#This Row],[Years of Experience]]&gt;5,tblSalaries[[#This Row],[Years of Experience]]&lt;=10),1,""))</f>
        <v/>
      </c>
      <c r="Q1206" t="str">
        <f>IF(tblSalaries[[#This Row],[Years of Experience]]="","",IF(AND(tblSalaries[[#This Row],[Years of Experience]]&gt;10,tblSalaries[[#This Row],[Years of Experience]]&lt;=15),1,""))</f>
        <v/>
      </c>
      <c r="R1206" t="str">
        <f>IF(tblSalaries[[#This Row],[Years of Experience]]="","",IF(AND(tblSalaries[[#This Row],[Years of Experience]]&gt;16,tblSalaries[[#This Row],[Years of Experience]]&lt;=20),1,""))</f>
        <v/>
      </c>
      <c r="S1206" t="str">
        <f>IF(tblSalaries[[#This Row],[Years of Experience]]="","",IF(tblSalaries[[#This Row],[Years of Experience]]&gt;20,1,""))</f>
        <v/>
      </c>
      <c r="T12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06" s="13" t="str">
        <f>IF(tblSalaries[[#This Row],[Job Type]]=tblSalaries[[#Headers],[Accountant]],tblSalaries[[#This Row],[Salary in USD]],"")</f>
        <v/>
      </c>
      <c r="V1206" s="13" t="str">
        <f>IF(tblSalaries[[#This Row],[Job Type]]=tblSalaries[[#Headers],[Analyst]],tblSalaries[[#This Row],[Salary in USD]],"")</f>
        <v/>
      </c>
      <c r="W1206" s="13" t="str">
        <f>IF(tblSalaries[[#This Row],[Job Type]]=tblSalaries[[#Headers],[Consultant]],tblSalaries[[#This Row],[Salary in USD]],"")</f>
        <v/>
      </c>
      <c r="X1206" s="13" t="str">
        <f>IF(tblSalaries[[#This Row],[Job Type]]=tblSalaries[[#Headers],[Controller]],tblSalaries[[#This Row],[Salary in USD]],"")</f>
        <v/>
      </c>
      <c r="Y1206" s="13" t="str">
        <f>IF(tblSalaries[[#This Row],[Job Type]]=tblSalaries[[#Headers],[CXO or Top Mgmt.]],tblSalaries[[#This Row],[clean Salary (in local currency)]],"")</f>
        <v/>
      </c>
      <c r="Z1206" s="13" t="str">
        <f>IF(tblSalaries[[#This Row],[Job Type]]=tblSalaries[[#Headers],[Engineer]],tblSalaries[[#This Row],[Salary in USD]],"")</f>
        <v/>
      </c>
      <c r="AA1206" s="13">
        <f>IF(tblSalaries[[#This Row],[Job Type]]=tblSalaries[[#Headers],[Manager]],tblSalaries[[#This Row],[Salary in USD]],"")</f>
        <v>9000</v>
      </c>
      <c r="AB1206" s="13" t="str">
        <f>IF(tblSalaries[[#This Row],[Job Type]]=tblSalaries[[#Headers],[Misc.]],tblSalaries[[#This Row],[Salary in USD]],"")</f>
        <v/>
      </c>
      <c r="AC1206" s="13" t="str">
        <f>IF(tblSalaries[[#This Row],[Job Type]]=tblSalaries[[#Headers],[Reporting]],tblSalaries[[#This Row],[Salary in USD]],"")</f>
        <v/>
      </c>
      <c r="AD1206" s="13" t="str">
        <f>IF(tblSalaries[[#This Row],[Job Type]]=tblSalaries[[#Headers],[Specialist]],tblSalaries[[#This Row],[Salary in USD]],"")</f>
        <v/>
      </c>
    </row>
    <row r="1207" spans="2:30" ht="15" customHeight="1" x14ac:dyDescent="0.25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 s="9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  <c r="N1207" t="str">
        <f>IF(tblSalaries[[#This Row],[Years of Experience]]="","",IF(tblSalaries[[#This Row],[Years of Experience]]&lt;=2,1,""))</f>
        <v/>
      </c>
      <c r="O1207" t="str">
        <f>IF(tblSalaries[[#This Row],[Years of Experience]]="","",IF(AND(tblSalaries[[#This Row],[Years of Experience]]&gt;2,tblSalaries[[#This Row],[Years of Experience]]&lt;=5),1,""))</f>
        <v/>
      </c>
      <c r="P1207">
        <f>IF(tblSalaries[[#This Row],[Years of Experience]]="","",IF(AND(tblSalaries[[#This Row],[Years of Experience]]&gt;5,tblSalaries[[#This Row],[Years of Experience]]&lt;=10),1,""))</f>
        <v>1</v>
      </c>
      <c r="Q1207" t="str">
        <f>IF(tblSalaries[[#This Row],[Years of Experience]]="","",IF(AND(tblSalaries[[#This Row],[Years of Experience]]&gt;10,tblSalaries[[#This Row],[Years of Experience]]&lt;=15),1,""))</f>
        <v/>
      </c>
      <c r="R1207" t="str">
        <f>IF(tblSalaries[[#This Row],[Years of Experience]]="","",IF(AND(tblSalaries[[#This Row],[Years of Experience]]&gt;16,tblSalaries[[#This Row],[Years of Experience]]&lt;=20),1,""))</f>
        <v/>
      </c>
      <c r="S1207" t="str">
        <f>IF(tblSalaries[[#This Row],[Years of Experience]]="","",IF(tblSalaries[[#This Row],[Years of Experience]]&gt;20,1,""))</f>
        <v/>
      </c>
      <c r="T12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07" s="13" t="str">
        <f>IF(tblSalaries[[#This Row],[Job Type]]=tblSalaries[[#Headers],[Accountant]],tblSalaries[[#This Row],[Salary in USD]],"")</f>
        <v/>
      </c>
      <c r="V1207" s="13">
        <f>IF(tblSalaries[[#This Row],[Job Type]]=tblSalaries[[#Headers],[Analyst]],tblSalaries[[#This Row],[Salary in USD]],"")</f>
        <v>5342.3750062327708</v>
      </c>
      <c r="W1207" s="13" t="str">
        <f>IF(tblSalaries[[#This Row],[Job Type]]=tblSalaries[[#Headers],[Consultant]],tblSalaries[[#This Row],[Salary in USD]],"")</f>
        <v/>
      </c>
      <c r="X1207" s="13" t="str">
        <f>IF(tblSalaries[[#This Row],[Job Type]]=tblSalaries[[#Headers],[Controller]],tblSalaries[[#This Row],[Salary in USD]],"")</f>
        <v/>
      </c>
      <c r="Y1207" s="13" t="str">
        <f>IF(tblSalaries[[#This Row],[Job Type]]=tblSalaries[[#Headers],[CXO or Top Mgmt.]],tblSalaries[[#This Row],[clean Salary (in local currency)]],"")</f>
        <v/>
      </c>
      <c r="Z1207" s="13" t="str">
        <f>IF(tblSalaries[[#This Row],[Job Type]]=tblSalaries[[#Headers],[Engineer]],tblSalaries[[#This Row],[Salary in USD]],"")</f>
        <v/>
      </c>
      <c r="AA1207" s="13" t="str">
        <f>IF(tblSalaries[[#This Row],[Job Type]]=tblSalaries[[#Headers],[Manager]],tblSalaries[[#This Row],[Salary in USD]],"")</f>
        <v/>
      </c>
      <c r="AB1207" s="13" t="str">
        <f>IF(tblSalaries[[#This Row],[Job Type]]=tblSalaries[[#Headers],[Misc.]],tblSalaries[[#This Row],[Salary in USD]],"")</f>
        <v/>
      </c>
      <c r="AC1207" s="13" t="str">
        <f>IF(tblSalaries[[#This Row],[Job Type]]=tblSalaries[[#Headers],[Reporting]],tblSalaries[[#This Row],[Salary in USD]],"")</f>
        <v/>
      </c>
      <c r="AD1207" s="13" t="str">
        <f>IF(tblSalaries[[#This Row],[Job Type]]=tblSalaries[[#Headers],[Specialist]],tblSalaries[[#This Row],[Salary in USD]],"")</f>
        <v/>
      </c>
    </row>
    <row r="1208" spans="2:30" ht="15" customHeight="1" x14ac:dyDescent="0.25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 s="9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  <c r="N1208" t="str">
        <f>IF(tblSalaries[[#This Row],[Years of Experience]]="","",IF(tblSalaries[[#This Row],[Years of Experience]]&lt;=2,1,""))</f>
        <v/>
      </c>
      <c r="O1208" t="str">
        <f>IF(tblSalaries[[#This Row],[Years of Experience]]="","",IF(AND(tblSalaries[[#This Row],[Years of Experience]]&gt;2,tblSalaries[[#This Row],[Years of Experience]]&lt;=5),1,""))</f>
        <v/>
      </c>
      <c r="P1208" t="str">
        <f>IF(tblSalaries[[#This Row],[Years of Experience]]="","",IF(AND(tblSalaries[[#This Row],[Years of Experience]]&gt;5,tblSalaries[[#This Row],[Years of Experience]]&lt;=10),1,""))</f>
        <v/>
      </c>
      <c r="Q1208">
        <f>IF(tblSalaries[[#This Row],[Years of Experience]]="","",IF(AND(tblSalaries[[#This Row],[Years of Experience]]&gt;10,tblSalaries[[#This Row],[Years of Experience]]&lt;=15),1,""))</f>
        <v>1</v>
      </c>
      <c r="R1208" t="str">
        <f>IF(tblSalaries[[#This Row],[Years of Experience]]="","",IF(AND(tblSalaries[[#This Row],[Years of Experience]]&gt;16,tblSalaries[[#This Row],[Years of Experience]]&lt;=20),1,""))</f>
        <v/>
      </c>
      <c r="S1208" t="str">
        <f>IF(tblSalaries[[#This Row],[Years of Experience]]="","",IF(tblSalaries[[#This Row],[Years of Experience]]&gt;20,1,""))</f>
        <v/>
      </c>
      <c r="T12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08" s="13" t="str">
        <f>IF(tblSalaries[[#This Row],[Job Type]]=tblSalaries[[#Headers],[Accountant]],tblSalaries[[#This Row],[Salary in USD]],"")</f>
        <v/>
      </c>
      <c r="V1208" s="13" t="str">
        <f>IF(tblSalaries[[#This Row],[Job Type]]=tblSalaries[[#Headers],[Analyst]],tblSalaries[[#This Row],[Salary in USD]],"")</f>
        <v/>
      </c>
      <c r="W1208" s="13" t="str">
        <f>IF(tblSalaries[[#This Row],[Job Type]]=tblSalaries[[#Headers],[Consultant]],tblSalaries[[#This Row],[Salary in USD]],"")</f>
        <v/>
      </c>
      <c r="X1208" s="13" t="str">
        <f>IF(tblSalaries[[#This Row],[Job Type]]=tblSalaries[[#Headers],[Controller]],tblSalaries[[#This Row],[Salary in USD]],"")</f>
        <v/>
      </c>
      <c r="Y1208" s="13" t="str">
        <f>IF(tblSalaries[[#This Row],[Job Type]]=tblSalaries[[#Headers],[CXO or Top Mgmt.]],tblSalaries[[#This Row],[clean Salary (in local currency)]],"")</f>
        <v/>
      </c>
      <c r="Z1208" s="13" t="str">
        <f>IF(tblSalaries[[#This Row],[Job Type]]=tblSalaries[[#Headers],[Engineer]],tblSalaries[[#This Row],[Salary in USD]],"")</f>
        <v/>
      </c>
      <c r="AA1208" s="13">
        <f>IF(tblSalaries[[#This Row],[Job Type]]=tblSalaries[[#Headers],[Manager]],tblSalaries[[#This Row],[Salary in USD]],"")</f>
        <v>40000</v>
      </c>
      <c r="AB1208" s="13" t="str">
        <f>IF(tblSalaries[[#This Row],[Job Type]]=tblSalaries[[#Headers],[Misc.]],tblSalaries[[#This Row],[Salary in USD]],"")</f>
        <v/>
      </c>
      <c r="AC1208" s="13" t="str">
        <f>IF(tblSalaries[[#This Row],[Job Type]]=tblSalaries[[#Headers],[Reporting]],tblSalaries[[#This Row],[Salary in USD]],"")</f>
        <v/>
      </c>
      <c r="AD1208" s="13" t="str">
        <f>IF(tblSalaries[[#This Row],[Job Type]]=tblSalaries[[#Headers],[Specialist]],tblSalaries[[#This Row],[Salary in USD]],"")</f>
        <v/>
      </c>
    </row>
    <row r="1209" spans="2:30" ht="15" customHeight="1" x14ac:dyDescent="0.25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 s="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  <c r="N1209">
        <f>IF(tblSalaries[[#This Row],[Years of Experience]]="","",IF(tblSalaries[[#This Row],[Years of Experience]]&lt;=2,1,""))</f>
        <v>1</v>
      </c>
      <c r="O1209" t="str">
        <f>IF(tblSalaries[[#This Row],[Years of Experience]]="","",IF(AND(tblSalaries[[#This Row],[Years of Experience]]&gt;2,tblSalaries[[#This Row],[Years of Experience]]&lt;=5),1,""))</f>
        <v/>
      </c>
      <c r="P1209" t="str">
        <f>IF(tblSalaries[[#This Row],[Years of Experience]]="","",IF(AND(tblSalaries[[#This Row],[Years of Experience]]&gt;5,tblSalaries[[#This Row],[Years of Experience]]&lt;=10),1,""))</f>
        <v/>
      </c>
      <c r="Q1209" t="str">
        <f>IF(tblSalaries[[#This Row],[Years of Experience]]="","",IF(AND(tblSalaries[[#This Row],[Years of Experience]]&gt;10,tblSalaries[[#This Row],[Years of Experience]]&lt;=15),1,""))</f>
        <v/>
      </c>
      <c r="R1209" t="str">
        <f>IF(tblSalaries[[#This Row],[Years of Experience]]="","",IF(AND(tblSalaries[[#This Row],[Years of Experience]]&gt;16,tblSalaries[[#This Row],[Years of Experience]]&lt;=20),1,""))</f>
        <v/>
      </c>
      <c r="S1209" t="str">
        <f>IF(tblSalaries[[#This Row],[Years of Experience]]="","",IF(tblSalaries[[#This Row],[Years of Experience]]&gt;20,1,""))</f>
        <v/>
      </c>
      <c r="T12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09" s="13" t="str">
        <f>IF(tblSalaries[[#This Row],[Job Type]]=tblSalaries[[#Headers],[Accountant]],tblSalaries[[#This Row],[Salary in USD]],"")</f>
        <v/>
      </c>
      <c r="V1209" s="13">
        <f>IF(tblSalaries[[#This Row],[Job Type]]=tblSalaries[[#Headers],[Analyst]],tblSalaries[[#This Row],[Salary in USD]],"")</f>
        <v>40980.635073749385</v>
      </c>
      <c r="W1209" s="13" t="str">
        <f>IF(tblSalaries[[#This Row],[Job Type]]=tblSalaries[[#Headers],[Consultant]],tblSalaries[[#This Row],[Salary in USD]],"")</f>
        <v/>
      </c>
      <c r="X1209" s="13" t="str">
        <f>IF(tblSalaries[[#This Row],[Job Type]]=tblSalaries[[#Headers],[Controller]],tblSalaries[[#This Row],[Salary in USD]],"")</f>
        <v/>
      </c>
      <c r="Y1209" s="13" t="str">
        <f>IF(tblSalaries[[#This Row],[Job Type]]=tblSalaries[[#Headers],[CXO or Top Mgmt.]],tblSalaries[[#This Row],[clean Salary (in local currency)]],"")</f>
        <v/>
      </c>
      <c r="Z1209" s="13" t="str">
        <f>IF(tblSalaries[[#This Row],[Job Type]]=tblSalaries[[#Headers],[Engineer]],tblSalaries[[#This Row],[Salary in USD]],"")</f>
        <v/>
      </c>
      <c r="AA1209" s="13" t="str">
        <f>IF(tblSalaries[[#This Row],[Job Type]]=tblSalaries[[#Headers],[Manager]],tblSalaries[[#This Row],[Salary in USD]],"")</f>
        <v/>
      </c>
      <c r="AB1209" s="13" t="str">
        <f>IF(tblSalaries[[#This Row],[Job Type]]=tblSalaries[[#Headers],[Misc.]],tblSalaries[[#This Row],[Salary in USD]],"")</f>
        <v/>
      </c>
      <c r="AC1209" s="13" t="str">
        <f>IF(tblSalaries[[#This Row],[Job Type]]=tblSalaries[[#Headers],[Reporting]],tblSalaries[[#This Row],[Salary in USD]],"")</f>
        <v/>
      </c>
      <c r="AD1209" s="13" t="str">
        <f>IF(tblSalaries[[#This Row],[Job Type]]=tblSalaries[[#Headers],[Specialist]],tblSalaries[[#This Row],[Salary in USD]],"")</f>
        <v/>
      </c>
    </row>
    <row r="1210" spans="2:30" ht="15" customHeight="1" x14ac:dyDescent="0.25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 s="9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  <c r="N1210" t="str">
        <f>IF(tblSalaries[[#This Row],[Years of Experience]]="","",IF(tblSalaries[[#This Row],[Years of Experience]]&lt;=2,1,""))</f>
        <v/>
      </c>
      <c r="O1210" t="str">
        <f>IF(tblSalaries[[#This Row],[Years of Experience]]="","",IF(AND(tblSalaries[[#This Row],[Years of Experience]]&gt;2,tblSalaries[[#This Row],[Years of Experience]]&lt;=5),1,""))</f>
        <v/>
      </c>
      <c r="P1210">
        <f>IF(tblSalaries[[#This Row],[Years of Experience]]="","",IF(AND(tblSalaries[[#This Row],[Years of Experience]]&gt;5,tblSalaries[[#This Row],[Years of Experience]]&lt;=10),1,""))</f>
        <v>1</v>
      </c>
      <c r="Q1210" t="str">
        <f>IF(tblSalaries[[#This Row],[Years of Experience]]="","",IF(AND(tblSalaries[[#This Row],[Years of Experience]]&gt;10,tblSalaries[[#This Row],[Years of Experience]]&lt;=15),1,""))</f>
        <v/>
      </c>
      <c r="R1210" t="str">
        <f>IF(tblSalaries[[#This Row],[Years of Experience]]="","",IF(AND(tblSalaries[[#This Row],[Years of Experience]]&gt;16,tblSalaries[[#This Row],[Years of Experience]]&lt;=20),1,""))</f>
        <v/>
      </c>
      <c r="S1210" t="str">
        <f>IF(tblSalaries[[#This Row],[Years of Experience]]="","",IF(tblSalaries[[#This Row],[Years of Experience]]&gt;20,1,""))</f>
        <v/>
      </c>
      <c r="T12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10" s="13">
        <f>IF(tblSalaries[[#This Row],[Job Type]]=tblSalaries[[#Headers],[Accountant]],tblSalaries[[#This Row],[Salary in USD]],"")</f>
        <v>45709.169889951241</v>
      </c>
      <c r="V1210" s="13" t="str">
        <f>IF(tblSalaries[[#This Row],[Job Type]]=tblSalaries[[#Headers],[Analyst]],tblSalaries[[#This Row],[Salary in USD]],"")</f>
        <v/>
      </c>
      <c r="W1210" s="13" t="str">
        <f>IF(tblSalaries[[#This Row],[Job Type]]=tblSalaries[[#Headers],[Consultant]],tblSalaries[[#This Row],[Salary in USD]],"")</f>
        <v/>
      </c>
      <c r="X1210" s="13" t="str">
        <f>IF(tblSalaries[[#This Row],[Job Type]]=tblSalaries[[#Headers],[Controller]],tblSalaries[[#This Row],[Salary in USD]],"")</f>
        <v/>
      </c>
      <c r="Y1210" s="13" t="str">
        <f>IF(tblSalaries[[#This Row],[Job Type]]=tblSalaries[[#Headers],[CXO or Top Mgmt.]],tblSalaries[[#This Row],[clean Salary (in local currency)]],"")</f>
        <v/>
      </c>
      <c r="Z1210" s="13" t="str">
        <f>IF(tblSalaries[[#This Row],[Job Type]]=tblSalaries[[#Headers],[Engineer]],tblSalaries[[#This Row],[Salary in USD]],"")</f>
        <v/>
      </c>
      <c r="AA1210" s="13" t="str">
        <f>IF(tblSalaries[[#This Row],[Job Type]]=tblSalaries[[#Headers],[Manager]],tblSalaries[[#This Row],[Salary in USD]],"")</f>
        <v/>
      </c>
      <c r="AB1210" s="13" t="str">
        <f>IF(tblSalaries[[#This Row],[Job Type]]=tblSalaries[[#Headers],[Misc.]],tblSalaries[[#This Row],[Salary in USD]],"")</f>
        <v/>
      </c>
      <c r="AC1210" s="13" t="str">
        <f>IF(tblSalaries[[#This Row],[Job Type]]=tblSalaries[[#Headers],[Reporting]],tblSalaries[[#This Row],[Salary in USD]],"")</f>
        <v/>
      </c>
      <c r="AD1210" s="13" t="str">
        <f>IF(tblSalaries[[#This Row],[Job Type]]=tblSalaries[[#Headers],[Specialist]],tblSalaries[[#This Row],[Salary in USD]],"")</f>
        <v/>
      </c>
    </row>
    <row r="1211" spans="2:30" ht="15" customHeight="1" x14ac:dyDescent="0.25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 s="9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  <c r="N1211">
        <f>IF(tblSalaries[[#This Row],[Years of Experience]]="","",IF(tblSalaries[[#This Row],[Years of Experience]]&lt;=2,1,""))</f>
        <v>1</v>
      </c>
      <c r="O1211" t="str">
        <f>IF(tblSalaries[[#This Row],[Years of Experience]]="","",IF(AND(tblSalaries[[#This Row],[Years of Experience]]&gt;2,tblSalaries[[#This Row],[Years of Experience]]&lt;=5),1,""))</f>
        <v/>
      </c>
      <c r="P1211" t="str">
        <f>IF(tblSalaries[[#This Row],[Years of Experience]]="","",IF(AND(tblSalaries[[#This Row],[Years of Experience]]&gt;5,tblSalaries[[#This Row],[Years of Experience]]&lt;=10),1,""))</f>
        <v/>
      </c>
      <c r="Q1211" t="str">
        <f>IF(tblSalaries[[#This Row],[Years of Experience]]="","",IF(AND(tblSalaries[[#This Row],[Years of Experience]]&gt;10,tblSalaries[[#This Row],[Years of Experience]]&lt;=15),1,""))</f>
        <v/>
      </c>
      <c r="R1211" t="str">
        <f>IF(tblSalaries[[#This Row],[Years of Experience]]="","",IF(AND(tblSalaries[[#This Row],[Years of Experience]]&gt;16,tblSalaries[[#This Row],[Years of Experience]]&lt;=20),1,""))</f>
        <v/>
      </c>
      <c r="S1211" t="str">
        <f>IF(tblSalaries[[#This Row],[Years of Experience]]="","",IF(tblSalaries[[#This Row],[Years of Experience]]&gt;20,1,""))</f>
        <v/>
      </c>
      <c r="T12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11" s="13" t="str">
        <f>IF(tblSalaries[[#This Row],[Job Type]]=tblSalaries[[#Headers],[Accountant]],tblSalaries[[#This Row],[Salary in USD]],"")</f>
        <v/>
      </c>
      <c r="V1211" s="13" t="str">
        <f>IF(tblSalaries[[#This Row],[Job Type]]=tblSalaries[[#Headers],[Analyst]],tblSalaries[[#This Row],[Salary in USD]],"")</f>
        <v/>
      </c>
      <c r="W1211" s="13" t="str">
        <f>IF(tblSalaries[[#This Row],[Job Type]]=tblSalaries[[#Headers],[Consultant]],tblSalaries[[#This Row],[Salary in USD]],"")</f>
        <v/>
      </c>
      <c r="X1211" s="13" t="str">
        <f>IF(tblSalaries[[#This Row],[Job Type]]=tblSalaries[[#Headers],[Controller]],tblSalaries[[#This Row],[Salary in USD]],"")</f>
        <v/>
      </c>
      <c r="Y1211" s="13" t="str">
        <f>IF(tblSalaries[[#This Row],[Job Type]]=tblSalaries[[#Headers],[CXO or Top Mgmt.]],tblSalaries[[#This Row],[clean Salary (in local currency)]],"")</f>
        <v/>
      </c>
      <c r="Z1211" s="13" t="str">
        <f>IF(tblSalaries[[#This Row],[Job Type]]=tblSalaries[[#Headers],[Engineer]],tblSalaries[[#This Row],[Salary in USD]],"")</f>
        <v/>
      </c>
      <c r="AA1211" s="13">
        <f>IF(tblSalaries[[#This Row],[Job Type]]=tblSalaries[[#Headers],[Manager]],tblSalaries[[#This Row],[Salary in USD]],"")</f>
        <v>7123.1666749770275</v>
      </c>
      <c r="AB1211" s="13" t="str">
        <f>IF(tblSalaries[[#This Row],[Job Type]]=tblSalaries[[#Headers],[Misc.]],tblSalaries[[#This Row],[Salary in USD]],"")</f>
        <v/>
      </c>
      <c r="AC1211" s="13" t="str">
        <f>IF(tblSalaries[[#This Row],[Job Type]]=tblSalaries[[#Headers],[Reporting]],tblSalaries[[#This Row],[Salary in USD]],"")</f>
        <v/>
      </c>
      <c r="AD1211" s="13" t="str">
        <f>IF(tblSalaries[[#This Row],[Job Type]]=tblSalaries[[#Headers],[Specialist]],tblSalaries[[#This Row],[Salary in USD]],"")</f>
        <v/>
      </c>
    </row>
    <row r="1212" spans="2:30" ht="15" customHeight="1" x14ac:dyDescent="0.25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 s="9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  <c r="N1212" t="str">
        <f>IF(tblSalaries[[#This Row],[Years of Experience]]="","",IF(tblSalaries[[#This Row],[Years of Experience]]&lt;=2,1,""))</f>
        <v/>
      </c>
      <c r="O1212" t="str">
        <f>IF(tblSalaries[[#This Row],[Years of Experience]]="","",IF(AND(tblSalaries[[#This Row],[Years of Experience]]&gt;2,tblSalaries[[#This Row],[Years of Experience]]&lt;=5),1,""))</f>
        <v/>
      </c>
      <c r="P1212" t="str">
        <f>IF(tblSalaries[[#This Row],[Years of Experience]]="","",IF(AND(tblSalaries[[#This Row],[Years of Experience]]&gt;5,tblSalaries[[#This Row],[Years of Experience]]&lt;=10),1,""))</f>
        <v/>
      </c>
      <c r="Q1212">
        <f>IF(tblSalaries[[#This Row],[Years of Experience]]="","",IF(AND(tblSalaries[[#This Row],[Years of Experience]]&gt;10,tblSalaries[[#This Row],[Years of Experience]]&lt;=15),1,""))</f>
        <v>1</v>
      </c>
      <c r="R1212" t="str">
        <f>IF(tblSalaries[[#This Row],[Years of Experience]]="","",IF(AND(tblSalaries[[#This Row],[Years of Experience]]&gt;16,tblSalaries[[#This Row],[Years of Experience]]&lt;=20),1,""))</f>
        <v/>
      </c>
      <c r="S1212" t="str">
        <f>IF(tblSalaries[[#This Row],[Years of Experience]]="","",IF(tblSalaries[[#This Row],[Years of Experience]]&gt;20,1,""))</f>
        <v/>
      </c>
      <c r="T12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12" s="13" t="str">
        <f>IF(tblSalaries[[#This Row],[Job Type]]=tblSalaries[[#Headers],[Accountant]],tblSalaries[[#This Row],[Salary in USD]],"")</f>
        <v/>
      </c>
      <c r="V1212" s="13" t="str">
        <f>IF(tblSalaries[[#This Row],[Job Type]]=tblSalaries[[#Headers],[Analyst]],tblSalaries[[#This Row],[Salary in USD]],"")</f>
        <v/>
      </c>
      <c r="W1212" s="13" t="str">
        <f>IF(tblSalaries[[#This Row],[Job Type]]=tblSalaries[[#Headers],[Consultant]],tblSalaries[[#This Row],[Salary in USD]],"")</f>
        <v/>
      </c>
      <c r="X1212" s="13">
        <f>IF(tblSalaries[[#This Row],[Job Type]]=tblSalaries[[#Headers],[Controller]],tblSalaries[[#This Row],[Salary in USD]],"")</f>
        <v>100000</v>
      </c>
      <c r="Y1212" s="13" t="str">
        <f>IF(tblSalaries[[#This Row],[Job Type]]=tblSalaries[[#Headers],[CXO or Top Mgmt.]],tblSalaries[[#This Row],[clean Salary (in local currency)]],"")</f>
        <v/>
      </c>
      <c r="Z1212" s="13" t="str">
        <f>IF(tblSalaries[[#This Row],[Job Type]]=tblSalaries[[#Headers],[Engineer]],tblSalaries[[#This Row],[Salary in USD]],"")</f>
        <v/>
      </c>
      <c r="AA1212" s="13" t="str">
        <f>IF(tblSalaries[[#This Row],[Job Type]]=tblSalaries[[#Headers],[Manager]],tblSalaries[[#This Row],[Salary in USD]],"")</f>
        <v/>
      </c>
      <c r="AB1212" s="13" t="str">
        <f>IF(tblSalaries[[#This Row],[Job Type]]=tblSalaries[[#Headers],[Misc.]],tblSalaries[[#This Row],[Salary in USD]],"")</f>
        <v/>
      </c>
      <c r="AC1212" s="13" t="str">
        <f>IF(tblSalaries[[#This Row],[Job Type]]=tblSalaries[[#Headers],[Reporting]],tblSalaries[[#This Row],[Salary in USD]],"")</f>
        <v/>
      </c>
      <c r="AD1212" s="13" t="str">
        <f>IF(tblSalaries[[#This Row],[Job Type]]=tblSalaries[[#Headers],[Specialist]],tblSalaries[[#This Row],[Salary in USD]],"")</f>
        <v/>
      </c>
    </row>
    <row r="1213" spans="2:30" ht="15" customHeight="1" x14ac:dyDescent="0.25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 s="9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  <c r="N1213" t="str">
        <f>IF(tblSalaries[[#This Row],[Years of Experience]]="","",IF(tblSalaries[[#This Row],[Years of Experience]]&lt;=2,1,""))</f>
        <v/>
      </c>
      <c r="O1213" t="str">
        <f>IF(tblSalaries[[#This Row],[Years of Experience]]="","",IF(AND(tblSalaries[[#This Row],[Years of Experience]]&gt;2,tblSalaries[[#This Row],[Years of Experience]]&lt;=5),1,""))</f>
        <v/>
      </c>
      <c r="P1213" t="str">
        <f>IF(tblSalaries[[#This Row],[Years of Experience]]="","",IF(AND(tblSalaries[[#This Row],[Years of Experience]]&gt;5,tblSalaries[[#This Row],[Years of Experience]]&lt;=10),1,""))</f>
        <v/>
      </c>
      <c r="Q1213">
        <f>IF(tblSalaries[[#This Row],[Years of Experience]]="","",IF(AND(tblSalaries[[#This Row],[Years of Experience]]&gt;10,tblSalaries[[#This Row],[Years of Experience]]&lt;=15),1,""))</f>
        <v>1</v>
      </c>
      <c r="R1213" t="str">
        <f>IF(tblSalaries[[#This Row],[Years of Experience]]="","",IF(AND(tblSalaries[[#This Row],[Years of Experience]]&gt;16,tblSalaries[[#This Row],[Years of Experience]]&lt;=20),1,""))</f>
        <v/>
      </c>
      <c r="S1213" t="str">
        <f>IF(tblSalaries[[#This Row],[Years of Experience]]="","",IF(tblSalaries[[#This Row],[Years of Experience]]&gt;20,1,""))</f>
        <v/>
      </c>
      <c r="T12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13" s="13" t="str">
        <f>IF(tblSalaries[[#This Row],[Job Type]]=tblSalaries[[#Headers],[Accountant]],tblSalaries[[#This Row],[Salary in USD]],"")</f>
        <v/>
      </c>
      <c r="V1213" s="13">
        <f>IF(tblSalaries[[#This Row],[Job Type]]=tblSalaries[[#Headers],[Analyst]],tblSalaries[[#This Row],[Salary in USD]],"")</f>
        <v>78764.765217479682</v>
      </c>
      <c r="W1213" s="13" t="str">
        <f>IF(tblSalaries[[#This Row],[Job Type]]=tblSalaries[[#Headers],[Consultant]],tblSalaries[[#This Row],[Salary in USD]],"")</f>
        <v/>
      </c>
      <c r="X1213" s="13" t="str">
        <f>IF(tblSalaries[[#This Row],[Job Type]]=tblSalaries[[#Headers],[Controller]],tblSalaries[[#This Row],[Salary in USD]],"")</f>
        <v/>
      </c>
      <c r="Y1213" s="13" t="str">
        <f>IF(tblSalaries[[#This Row],[Job Type]]=tblSalaries[[#Headers],[CXO or Top Mgmt.]],tblSalaries[[#This Row],[clean Salary (in local currency)]],"")</f>
        <v/>
      </c>
      <c r="Z1213" s="13" t="str">
        <f>IF(tblSalaries[[#This Row],[Job Type]]=tblSalaries[[#Headers],[Engineer]],tblSalaries[[#This Row],[Salary in USD]],"")</f>
        <v/>
      </c>
      <c r="AA1213" s="13" t="str">
        <f>IF(tblSalaries[[#This Row],[Job Type]]=tblSalaries[[#Headers],[Manager]],tblSalaries[[#This Row],[Salary in USD]],"")</f>
        <v/>
      </c>
      <c r="AB1213" s="13" t="str">
        <f>IF(tblSalaries[[#This Row],[Job Type]]=tblSalaries[[#Headers],[Misc.]],tblSalaries[[#This Row],[Salary in USD]],"")</f>
        <v/>
      </c>
      <c r="AC1213" s="13" t="str">
        <f>IF(tblSalaries[[#This Row],[Job Type]]=tblSalaries[[#Headers],[Reporting]],tblSalaries[[#This Row],[Salary in USD]],"")</f>
        <v/>
      </c>
      <c r="AD1213" s="13" t="str">
        <f>IF(tblSalaries[[#This Row],[Job Type]]=tblSalaries[[#Headers],[Specialist]],tblSalaries[[#This Row],[Salary in USD]],"")</f>
        <v/>
      </c>
    </row>
    <row r="1214" spans="2:30" ht="15" customHeight="1" x14ac:dyDescent="0.25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 s="9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  <c r="N1214" t="str">
        <f>IF(tblSalaries[[#This Row],[Years of Experience]]="","",IF(tblSalaries[[#This Row],[Years of Experience]]&lt;=2,1,""))</f>
        <v/>
      </c>
      <c r="O1214" t="str">
        <f>IF(tblSalaries[[#This Row],[Years of Experience]]="","",IF(AND(tblSalaries[[#This Row],[Years of Experience]]&gt;2,tblSalaries[[#This Row],[Years of Experience]]&lt;=5),1,""))</f>
        <v/>
      </c>
      <c r="P1214">
        <f>IF(tblSalaries[[#This Row],[Years of Experience]]="","",IF(AND(tblSalaries[[#This Row],[Years of Experience]]&gt;5,tblSalaries[[#This Row],[Years of Experience]]&lt;=10),1,""))</f>
        <v>1</v>
      </c>
      <c r="Q1214" t="str">
        <f>IF(tblSalaries[[#This Row],[Years of Experience]]="","",IF(AND(tblSalaries[[#This Row],[Years of Experience]]&gt;10,tblSalaries[[#This Row],[Years of Experience]]&lt;=15),1,""))</f>
        <v/>
      </c>
      <c r="R1214" t="str">
        <f>IF(tblSalaries[[#This Row],[Years of Experience]]="","",IF(AND(tblSalaries[[#This Row],[Years of Experience]]&gt;16,tblSalaries[[#This Row],[Years of Experience]]&lt;=20),1,""))</f>
        <v/>
      </c>
      <c r="S1214" t="str">
        <f>IF(tblSalaries[[#This Row],[Years of Experience]]="","",IF(tblSalaries[[#This Row],[Years of Experience]]&gt;20,1,""))</f>
        <v/>
      </c>
      <c r="T12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14" s="13" t="str">
        <f>IF(tblSalaries[[#This Row],[Job Type]]=tblSalaries[[#Headers],[Accountant]],tblSalaries[[#This Row],[Salary in USD]],"")</f>
        <v/>
      </c>
      <c r="V1214" s="13">
        <f>IF(tblSalaries[[#This Row],[Job Type]]=tblSalaries[[#Headers],[Analyst]],tblSalaries[[#This Row],[Salary in USD]],"")</f>
        <v>152986.44846039536</v>
      </c>
      <c r="W1214" s="13" t="str">
        <f>IF(tblSalaries[[#This Row],[Job Type]]=tblSalaries[[#Headers],[Consultant]],tblSalaries[[#This Row],[Salary in USD]],"")</f>
        <v/>
      </c>
      <c r="X1214" s="13" t="str">
        <f>IF(tblSalaries[[#This Row],[Job Type]]=tblSalaries[[#Headers],[Controller]],tblSalaries[[#This Row],[Salary in USD]],"")</f>
        <v/>
      </c>
      <c r="Y1214" s="13" t="str">
        <f>IF(tblSalaries[[#This Row],[Job Type]]=tblSalaries[[#Headers],[CXO or Top Mgmt.]],tblSalaries[[#This Row],[clean Salary (in local currency)]],"")</f>
        <v/>
      </c>
      <c r="Z1214" s="13" t="str">
        <f>IF(tblSalaries[[#This Row],[Job Type]]=tblSalaries[[#Headers],[Engineer]],tblSalaries[[#This Row],[Salary in USD]],"")</f>
        <v/>
      </c>
      <c r="AA1214" s="13" t="str">
        <f>IF(tblSalaries[[#This Row],[Job Type]]=tblSalaries[[#Headers],[Manager]],tblSalaries[[#This Row],[Salary in USD]],"")</f>
        <v/>
      </c>
      <c r="AB1214" s="13" t="str">
        <f>IF(tblSalaries[[#This Row],[Job Type]]=tblSalaries[[#Headers],[Misc.]],tblSalaries[[#This Row],[Salary in USD]],"")</f>
        <v/>
      </c>
      <c r="AC1214" s="13" t="str">
        <f>IF(tblSalaries[[#This Row],[Job Type]]=tblSalaries[[#Headers],[Reporting]],tblSalaries[[#This Row],[Salary in USD]],"")</f>
        <v/>
      </c>
      <c r="AD1214" s="13" t="str">
        <f>IF(tblSalaries[[#This Row],[Job Type]]=tblSalaries[[#Headers],[Specialist]],tblSalaries[[#This Row],[Salary in USD]],"")</f>
        <v/>
      </c>
    </row>
    <row r="1215" spans="2:30" ht="15" customHeight="1" x14ac:dyDescent="0.25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 s="9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  <c r="N1215" t="str">
        <f>IF(tblSalaries[[#This Row],[Years of Experience]]="","",IF(tblSalaries[[#This Row],[Years of Experience]]&lt;=2,1,""))</f>
        <v/>
      </c>
      <c r="O1215" t="str">
        <f>IF(tblSalaries[[#This Row],[Years of Experience]]="","",IF(AND(tblSalaries[[#This Row],[Years of Experience]]&gt;2,tblSalaries[[#This Row],[Years of Experience]]&lt;=5),1,""))</f>
        <v/>
      </c>
      <c r="P1215" t="str">
        <f>IF(tblSalaries[[#This Row],[Years of Experience]]="","",IF(AND(tblSalaries[[#This Row],[Years of Experience]]&gt;5,tblSalaries[[#This Row],[Years of Experience]]&lt;=10),1,""))</f>
        <v/>
      </c>
      <c r="Q1215">
        <f>IF(tblSalaries[[#This Row],[Years of Experience]]="","",IF(AND(tblSalaries[[#This Row],[Years of Experience]]&gt;10,tblSalaries[[#This Row],[Years of Experience]]&lt;=15),1,""))</f>
        <v>1</v>
      </c>
      <c r="R1215" t="str">
        <f>IF(tblSalaries[[#This Row],[Years of Experience]]="","",IF(AND(tblSalaries[[#This Row],[Years of Experience]]&gt;16,tblSalaries[[#This Row],[Years of Experience]]&lt;=20),1,""))</f>
        <v/>
      </c>
      <c r="S1215" t="str">
        <f>IF(tblSalaries[[#This Row],[Years of Experience]]="","",IF(tblSalaries[[#This Row],[Years of Experience]]&gt;20,1,""))</f>
        <v/>
      </c>
      <c r="T12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15" s="13" t="str">
        <f>IF(tblSalaries[[#This Row],[Job Type]]=tblSalaries[[#Headers],[Accountant]],tblSalaries[[#This Row],[Salary in USD]],"")</f>
        <v/>
      </c>
      <c r="V1215" s="13">
        <f>IF(tblSalaries[[#This Row],[Job Type]]=tblSalaries[[#Headers],[Analyst]],tblSalaries[[#This Row],[Salary in USD]],"")</f>
        <v>44463.980364706273</v>
      </c>
      <c r="W1215" s="13" t="str">
        <f>IF(tblSalaries[[#This Row],[Job Type]]=tblSalaries[[#Headers],[Consultant]],tblSalaries[[#This Row],[Salary in USD]],"")</f>
        <v/>
      </c>
      <c r="X1215" s="13" t="str">
        <f>IF(tblSalaries[[#This Row],[Job Type]]=tblSalaries[[#Headers],[Controller]],tblSalaries[[#This Row],[Salary in USD]],"")</f>
        <v/>
      </c>
      <c r="Y1215" s="13" t="str">
        <f>IF(tblSalaries[[#This Row],[Job Type]]=tblSalaries[[#Headers],[CXO or Top Mgmt.]],tblSalaries[[#This Row],[clean Salary (in local currency)]],"")</f>
        <v/>
      </c>
      <c r="Z1215" s="13" t="str">
        <f>IF(tblSalaries[[#This Row],[Job Type]]=tblSalaries[[#Headers],[Engineer]],tblSalaries[[#This Row],[Salary in USD]],"")</f>
        <v/>
      </c>
      <c r="AA1215" s="13" t="str">
        <f>IF(tblSalaries[[#This Row],[Job Type]]=tblSalaries[[#Headers],[Manager]],tblSalaries[[#This Row],[Salary in USD]],"")</f>
        <v/>
      </c>
      <c r="AB1215" s="13" t="str">
        <f>IF(tblSalaries[[#This Row],[Job Type]]=tblSalaries[[#Headers],[Misc.]],tblSalaries[[#This Row],[Salary in USD]],"")</f>
        <v/>
      </c>
      <c r="AC1215" s="13" t="str">
        <f>IF(tblSalaries[[#This Row],[Job Type]]=tblSalaries[[#Headers],[Reporting]],tblSalaries[[#This Row],[Salary in USD]],"")</f>
        <v/>
      </c>
      <c r="AD1215" s="13" t="str">
        <f>IF(tblSalaries[[#This Row],[Job Type]]=tblSalaries[[#Headers],[Specialist]],tblSalaries[[#This Row],[Salary in USD]],"")</f>
        <v/>
      </c>
    </row>
    <row r="1216" spans="2:30" ht="15" customHeight="1" x14ac:dyDescent="0.25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 s="9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  <c r="N1216" t="str">
        <f>IF(tblSalaries[[#This Row],[Years of Experience]]="","",IF(tblSalaries[[#This Row],[Years of Experience]]&lt;=2,1,""))</f>
        <v/>
      </c>
      <c r="O1216" t="str">
        <f>IF(tblSalaries[[#This Row],[Years of Experience]]="","",IF(AND(tblSalaries[[#This Row],[Years of Experience]]&gt;2,tblSalaries[[#This Row],[Years of Experience]]&lt;=5),1,""))</f>
        <v/>
      </c>
      <c r="P1216">
        <f>IF(tblSalaries[[#This Row],[Years of Experience]]="","",IF(AND(tblSalaries[[#This Row],[Years of Experience]]&gt;5,tblSalaries[[#This Row],[Years of Experience]]&lt;=10),1,""))</f>
        <v>1</v>
      </c>
      <c r="Q1216" t="str">
        <f>IF(tblSalaries[[#This Row],[Years of Experience]]="","",IF(AND(tblSalaries[[#This Row],[Years of Experience]]&gt;10,tblSalaries[[#This Row],[Years of Experience]]&lt;=15),1,""))</f>
        <v/>
      </c>
      <c r="R1216" t="str">
        <f>IF(tblSalaries[[#This Row],[Years of Experience]]="","",IF(AND(tblSalaries[[#This Row],[Years of Experience]]&gt;16,tblSalaries[[#This Row],[Years of Experience]]&lt;=20),1,""))</f>
        <v/>
      </c>
      <c r="S1216" t="str">
        <f>IF(tblSalaries[[#This Row],[Years of Experience]]="","",IF(tblSalaries[[#This Row],[Years of Experience]]&gt;20,1,""))</f>
        <v/>
      </c>
      <c r="T12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16" s="13" t="str">
        <f>IF(tblSalaries[[#This Row],[Job Type]]=tblSalaries[[#Headers],[Accountant]],tblSalaries[[#This Row],[Salary in USD]],"")</f>
        <v/>
      </c>
      <c r="V1216" s="13" t="str">
        <f>IF(tblSalaries[[#This Row],[Job Type]]=tblSalaries[[#Headers],[Analyst]],tblSalaries[[#This Row],[Salary in USD]],"")</f>
        <v/>
      </c>
      <c r="W1216" s="13">
        <f>IF(tblSalaries[[#This Row],[Job Type]]=tblSalaries[[#Headers],[Consultant]],tblSalaries[[#This Row],[Salary in USD]],"")</f>
        <v>38111.983169748237</v>
      </c>
      <c r="X1216" s="13" t="str">
        <f>IF(tblSalaries[[#This Row],[Job Type]]=tblSalaries[[#Headers],[Controller]],tblSalaries[[#This Row],[Salary in USD]],"")</f>
        <v/>
      </c>
      <c r="Y1216" s="13" t="str">
        <f>IF(tblSalaries[[#This Row],[Job Type]]=tblSalaries[[#Headers],[CXO or Top Mgmt.]],tblSalaries[[#This Row],[clean Salary (in local currency)]],"")</f>
        <v/>
      </c>
      <c r="Z1216" s="13" t="str">
        <f>IF(tblSalaries[[#This Row],[Job Type]]=tblSalaries[[#Headers],[Engineer]],tblSalaries[[#This Row],[Salary in USD]],"")</f>
        <v/>
      </c>
      <c r="AA1216" s="13" t="str">
        <f>IF(tblSalaries[[#This Row],[Job Type]]=tblSalaries[[#Headers],[Manager]],tblSalaries[[#This Row],[Salary in USD]],"")</f>
        <v/>
      </c>
      <c r="AB1216" s="13" t="str">
        <f>IF(tblSalaries[[#This Row],[Job Type]]=tblSalaries[[#Headers],[Misc.]],tblSalaries[[#This Row],[Salary in USD]],"")</f>
        <v/>
      </c>
      <c r="AC1216" s="13" t="str">
        <f>IF(tblSalaries[[#This Row],[Job Type]]=tblSalaries[[#Headers],[Reporting]],tblSalaries[[#This Row],[Salary in USD]],"")</f>
        <v/>
      </c>
      <c r="AD1216" s="13" t="str">
        <f>IF(tblSalaries[[#This Row],[Job Type]]=tblSalaries[[#Headers],[Specialist]],tblSalaries[[#This Row],[Salary in USD]],"")</f>
        <v/>
      </c>
    </row>
    <row r="1217" spans="2:30" ht="15" customHeight="1" x14ac:dyDescent="0.25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 s="9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  <c r="N1217" t="str">
        <f>IF(tblSalaries[[#This Row],[Years of Experience]]="","",IF(tblSalaries[[#This Row],[Years of Experience]]&lt;=2,1,""))</f>
        <v/>
      </c>
      <c r="O1217" t="str">
        <f>IF(tblSalaries[[#This Row],[Years of Experience]]="","",IF(AND(tblSalaries[[#This Row],[Years of Experience]]&gt;2,tblSalaries[[#This Row],[Years of Experience]]&lt;=5),1,""))</f>
        <v/>
      </c>
      <c r="P1217" t="str">
        <f>IF(tblSalaries[[#This Row],[Years of Experience]]="","",IF(AND(tblSalaries[[#This Row],[Years of Experience]]&gt;5,tblSalaries[[#This Row],[Years of Experience]]&lt;=10),1,""))</f>
        <v/>
      </c>
      <c r="Q1217" t="str">
        <f>IF(tblSalaries[[#This Row],[Years of Experience]]="","",IF(AND(tblSalaries[[#This Row],[Years of Experience]]&gt;10,tblSalaries[[#This Row],[Years of Experience]]&lt;=15),1,""))</f>
        <v/>
      </c>
      <c r="R1217">
        <f>IF(tblSalaries[[#This Row],[Years of Experience]]="","",IF(AND(tblSalaries[[#This Row],[Years of Experience]]&gt;16,tblSalaries[[#This Row],[Years of Experience]]&lt;=20),1,""))</f>
        <v>1</v>
      </c>
      <c r="S1217" t="str">
        <f>IF(tblSalaries[[#This Row],[Years of Experience]]="","",IF(tblSalaries[[#This Row],[Years of Experience]]&gt;20,1,""))</f>
        <v/>
      </c>
      <c r="T12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17" s="13" t="str">
        <f>IF(tblSalaries[[#This Row],[Job Type]]=tblSalaries[[#Headers],[Accountant]],tblSalaries[[#This Row],[Salary in USD]],"")</f>
        <v/>
      </c>
      <c r="V1217" s="13" t="str">
        <f>IF(tblSalaries[[#This Row],[Job Type]]=tblSalaries[[#Headers],[Analyst]],tblSalaries[[#This Row],[Salary in USD]],"")</f>
        <v/>
      </c>
      <c r="W1217" s="13" t="str">
        <f>IF(tblSalaries[[#This Row],[Job Type]]=tblSalaries[[#Headers],[Consultant]],tblSalaries[[#This Row],[Salary in USD]],"")</f>
        <v/>
      </c>
      <c r="X1217" s="13" t="str">
        <f>IF(tblSalaries[[#This Row],[Job Type]]=tblSalaries[[#Headers],[Controller]],tblSalaries[[#This Row],[Salary in USD]],"")</f>
        <v/>
      </c>
      <c r="Y1217" s="13" t="str">
        <f>IF(tblSalaries[[#This Row],[Job Type]]=tblSalaries[[#Headers],[CXO or Top Mgmt.]],tblSalaries[[#This Row],[clean Salary (in local currency)]],"")</f>
        <v/>
      </c>
      <c r="Z1217" s="13" t="str">
        <f>IF(tblSalaries[[#This Row],[Job Type]]=tblSalaries[[#Headers],[Engineer]],tblSalaries[[#This Row],[Salary in USD]],"")</f>
        <v/>
      </c>
      <c r="AA1217" s="13">
        <f>IF(tblSalaries[[#This Row],[Job Type]]=tblSalaries[[#Headers],[Manager]],tblSalaries[[#This Row],[Salary in USD]],"")</f>
        <v>118213.37040504631</v>
      </c>
      <c r="AB1217" s="13" t="str">
        <f>IF(tblSalaries[[#This Row],[Job Type]]=tblSalaries[[#Headers],[Misc.]],tblSalaries[[#This Row],[Salary in USD]],"")</f>
        <v/>
      </c>
      <c r="AC1217" s="13" t="str">
        <f>IF(tblSalaries[[#This Row],[Job Type]]=tblSalaries[[#Headers],[Reporting]],tblSalaries[[#This Row],[Salary in USD]],"")</f>
        <v/>
      </c>
      <c r="AD1217" s="13" t="str">
        <f>IF(tblSalaries[[#This Row],[Job Type]]=tblSalaries[[#Headers],[Specialist]],tblSalaries[[#This Row],[Salary in USD]],"")</f>
        <v/>
      </c>
    </row>
    <row r="1218" spans="2:30" ht="15" customHeight="1" x14ac:dyDescent="0.25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 s="9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  <c r="N1218" t="str">
        <f>IF(tblSalaries[[#This Row],[Years of Experience]]="","",IF(tblSalaries[[#This Row],[Years of Experience]]&lt;=2,1,""))</f>
        <v/>
      </c>
      <c r="O1218" t="str">
        <f>IF(tblSalaries[[#This Row],[Years of Experience]]="","",IF(AND(tblSalaries[[#This Row],[Years of Experience]]&gt;2,tblSalaries[[#This Row],[Years of Experience]]&lt;=5),1,""))</f>
        <v/>
      </c>
      <c r="P1218">
        <f>IF(tblSalaries[[#This Row],[Years of Experience]]="","",IF(AND(tblSalaries[[#This Row],[Years of Experience]]&gt;5,tblSalaries[[#This Row],[Years of Experience]]&lt;=10),1,""))</f>
        <v>1</v>
      </c>
      <c r="Q1218" t="str">
        <f>IF(tblSalaries[[#This Row],[Years of Experience]]="","",IF(AND(tblSalaries[[#This Row],[Years of Experience]]&gt;10,tblSalaries[[#This Row],[Years of Experience]]&lt;=15),1,""))</f>
        <v/>
      </c>
      <c r="R1218" t="str">
        <f>IF(tblSalaries[[#This Row],[Years of Experience]]="","",IF(AND(tblSalaries[[#This Row],[Years of Experience]]&gt;16,tblSalaries[[#This Row],[Years of Experience]]&lt;=20),1,""))</f>
        <v/>
      </c>
      <c r="S1218" t="str">
        <f>IF(tblSalaries[[#This Row],[Years of Experience]]="","",IF(tblSalaries[[#This Row],[Years of Experience]]&gt;20,1,""))</f>
        <v/>
      </c>
      <c r="T12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18" s="13">
        <f>IF(tblSalaries[[#This Row],[Job Type]]=tblSalaries[[#Headers],[Accountant]],tblSalaries[[#This Row],[Salary in USD]],"")</f>
        <v>39404.456801682099</v>
      </c>
      <c r="V1218" s="13" t="str">
        <f>IF(tblSalaries[[#This Row],[Job Type]]=tblSalaries[[#Headers],[Analyst]],tblSalaries[[#This Row],[Salary in USD]],"")</f>
        <v/>
      </c>
      <c r="W1218" s="13" t="str">
        <f>IF(tblSalaries[[#This Row],[Job Type]]=tblSalaries[[#Headers],[Consultant]],tblSalaries[[#This Row],[Salary in USD]],"")</f>
        <v/>
      </c>
      <c r="X1218" s="13" t="str">
        <f>IF(tblSalaries[[#This Row],[Job Type]]=tblSalaries[[#Headers],[Controller]],tblSalaries[[#This Row],[Salary in USD]],"")</f>
        <v/>
      </c>
      <c r="Y1218" s="13" t="str">
        <f>IF(tblSalaries[[#This Row],[Job Type]]=tblSalaries[[#Headers],[CXO or Top Mgmt.]],tblSalaries[[#This Row],[clean Salary (in local currency)]],"")</f>
        <v/>
      </c>
      <c r="Z1218" s="13" t="str">
        <f>IF(tblSalaries[[#This Row],[Job Type]]=tblSalaries[[#Headers],[Engineer]],tblSalaries[[#This Row],[Salary in USD]],"")</f>
        <v/>
      </c>
      <c r="AA1218" s="13" t="str">
        <f>IF(tblSalaries[[#This Row],[Job Type]]=tblSalaries[[#Headers],[Manager]],tblSalaries[[#This Row],[Salary in USD]],"")</f>
        <v/>
      </c>
      <c r="AB1218" s="13" t="str">
        <f>IF(tblSalaries[[#This Row],[Job Type]]=tblSalaries[[#Headers],[Misc.]],tblSalaries[[#This Row],[Salary in USD]],"")</f>
        <v/>
      </c>
      <c r="AC1218" s="13" t="str">
        <f>IF(tblSalaries[[#This Row],[Job Type]]=tblSalaries[[#Headers],[Reporting]],tblSalaries[[#This Row],[Salary in USD]],"")</f>
        <v/>
      </c>
      <c r="AD1218" s="13" t="str">
        <f>IF(tblSalaries[[#This Row],[Job Type]]=tblSalaries[[#Headers],[Specialist]],tblSalaries[[#This Row],[Salary in USD]],"")</f>
        <v/>
      </c>
    </row>
    <row r="1219" spans="2:30" ht="15" customHeight="1" x14ac:dyDescent="0.25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 s="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  <c r="N1219" t="str">
        <f>IF(tblSalaries[[#This Row],[Years of Experience]]="","",IF(tblSalaries[[#This Row],[Years of Experience]]&lt;=2,1,""))</f>
        <v/>
      </c>
      <c r="O1219">
        <f>IF(tblSalaries[[#This Row],[Years of Experience]]="","",IF(AND(tblSalaries[[#This Row],[Years of Experience]]&gt;2,tblSalaries[[#This Row],[Years of Experience]]&lt;=5),1,""))</f>
        <v>1</v>
      </c>
      <c r="P1219" t="str">
        <f>IF(tblSalaries[[#This Row],[Years of Experience]]="","",IF(AND(tblSalaries[[#This Row],[Years of Experience]]&gt;5,tblSalaries[[#This Row],[Years of Experience]]&lt;=10),1,""))</f>
        <v/>
      </c>
      <c r="Q1219" t="str">
        <f>IF(tblSalaries[[#This Row],[Years of Experience]]="","",IF(AND(tblSalaries[[#This Row],[Years of Experience]]&gt;10,tblSalaries[[#This Row],[Years of Experience]]&lt;=15),1,""))</f>
        <v/>
      </c>
      <c r="R1219" t="str">
        <f>IF(tblSalaries[[#This Row],[Years of Experience]]="","",IF(AND(tblSalaries[[#This Row],[Years of Experience]]&gt;16,tblSalaries[[#This Row],[Years of Experience]]&lt;=20),1,""))</f>
        <v/>
      </c>
      <c r="S1219" t="str">
        <f>IF(tblSalaries[[#This Row],[Years of Experience]]="","",IF(tblSalaries[[#This Row],[Years of Experience]]&gt;20,1,""))</f>
        <v/>
      </c>
      <c r="T12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19" s="13" t="str">
        <f>IF(tblSalaries[[#This Row],[Job Type]]=tblSalaries[[#Headers],[Accountant]],tblSalaries[[#This Row],[Salary in USD]],"")</f>
        <v/>
      </c>
      <c r="V1219" s="13" t="str">
        <f>IF(tblSalaries[[#This Row],[Job Type]]=tblSalaries[[#Headers],[Analyst]],tblSalaries[[#This Row],[Salary in USD]],"")</f>
        <v/>
      </c>
      <c r="W1219" s="13">
        <f>IF(tblSalaries[[#This Row],[Job Type]]=tblSalaries[[#Headers],[Consultant]],tblSalaries[[#This Row],[Salary in USD]],"")</f>
        <v>90198.36016840415</v>
      </c>
      <c r="X1219" s="13" t="str">
        <f>IF(tblSalaries[[#This Row],[Job Type]]=tblSalaries[[#Headers],[Controller]],tblSalaries[[#This Row],[Salary in USD]],"")</f>
        <v/>
      </c>
      <c r="Y1219" s="13" t="str">
        <f>IF(tblSalaries[[#This Row],[Job Type]]=tblSalaries[[#Headers],[CXO or Top Mgmt.]],tblSalaries[[#This Row],[clean Salary (in local currency)]],"")</f>
        <v/>
      </c>
      <c r="Z1219" s="13" t="str">
        <f>IF(tblSalaries[[#This Row],[Job Type]]=tblSalaries[[#Headers],[Engineer]],tblSalaries[[#This Row],[Salary in USD]],"")</f>
        <v/>
      </c>
      <c r="AA1219" s="13" t="str">
        <f>IF(tblSalaries[[#This Row],[Job Type]]=tblSalaries[[#Headers],[Manager]],tblSalaries[[#This Row],[Salary in USD]],"")</f>
        <v/>
      </c>
      <c r="AB1219" s="13" t="str">
        <f>IF(tblSalaries[[#This Row],[Job Type]]=tblSalaries[[#Headers],[Misc.]],tblSalaries[[#This Row],[Salary in USD]],"")</f>
        <v/>
      </c>
      <c r="AC1219" s="13" t="str">
        <f>IF(tblSalaries[[#This Row],[Job Type]]=tblSalaries[[#Headers],[Reporting]],tblSalaries[[#This Row],[Salary in USD]],"")</f>
        <v/>
      </c>
      <c r="AD1219" s="13" t="str">
        <f>IF(tblSalaries[[#This Row],[Job Type]]=tblSalaries[[#Headers],[Specialist]],tblSalaries[[#This Row],[Salary in USD]],"")</f>
        <v/>
      </c>
    </row>
    <row r="1220" spans="2:30" ht="15" customHeight="1" x14ac:dyDescent="0.25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 s="9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  <c r="N1220" t="str">
        <f>IF(tblSalaries[[#This Row],[Years of Experience]]="","",IF(tblSalaries[[#This Row],[Years of Experience]]&lt;=2,1,""))</f>
        <v/>
      </c>
      <c r="O1220" t="str">
        <f>IF(tblSalaries[[#This Row],[Years of Experience]]="","",IF(AND(tblSalaries[[#This Row],[Years of Experience]]&gt;2,tblSalaries[[#This Row],[Years of Experience]]&lt;=5),1,""))</f>
        <v/>
      </c>
      <c r="P1220" t="str">
        <f>IF(tblSalaries[[#This Row],[Years of Experience]]="","",IF(AND(tblSalaries[[#This Row],[Years of Experience]]&gt;5,tblSalaries[[#This Row],[Years of Experience]]&lt;=10),1,""))</f>
        <v/>
      </c>
      <c r="Q1220">
        <f>IF(tblSalaries[[#This Row],[Years of Experience]]="","",IF(AND(tblSalaries[[#This Row],[Years of Experience]]&gt;10,tblSalaries[[#This Row],[Years of Experience]]&lt;=15),1,""))</f>
        <v>1</v>
      </c>
      <c r="R1220" t="str">
        <f>IF(tblSalaries[[#This Row],[Years of Experience]]="","",IF(AND(tblSalaries[[#This Row],[Years of Experience]]&gt;16,tblSalaries[[#This Row],[Years of Experience]]&lt;=20),1,""))</f>
        <v/>
      </c>
      <c r="S1220" t="str">
        <f>IF(tblSalaries[[#This Row],[Years of Experience]]="","",IF(tblSalaries[[#This Row],[Years of Experience]]&gt;20,1,""))</f>
        <v/>
      </c>
      <c r="T12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20" s="13" t="str">
        <f>IF(tblSalaries[[#This Row],[Job Type]]=tblSalaries[[#Headers],[Accountant]],tblSalaries[[#This Row],[Salary in USD]],"")</f>
        <v/>
      </c>
      <c r="V1220" s="13" t="str">
        <f>IF(tblSalaries[[#This Row],[Job Type]]=tblSalaries[[#Headers],[Analyst]],tblSalaries[[#This Row],[Salary in USD]],"")</f>
        <v/>
      </c>
      <c r="W1220" s="13" t="str">
        <f>IF(tblSalaries[[#This Row],[Job Type]]=tblSalaries[[#Headers],[Consultant]],tblSalaries[[#This Row],[Salary in USD]],"")</f>
        <v/>
      </c>
      <c r="X1220" s="13" t="str">
        <f>IF(tblSalaries[[#This Row],[Job Type]]=tblSalaries[[#Headers],[Controller]],tblSalaries[[#This Row],[Salary in USD]],"")</f>
        <v/>
      </c>
      <c r="Y1220" s="13" t="str">
        <f>IF(tblSalaries[[#This Row],[Job Type]]=tblSalaries[[#Headers],[CXO or Top Mgmt.]],tblSalaries[[#This Row],[clean Salary (in local currency)]],"")</f>
        <v/>
      </c>
      <c r="Z1220" s="13" t="str">
        <f>IF(tblSalaries[[#This Row],[Job Type]]=tblSalaries[[#Headers],[Engineer]],tblSalaries[[#This Row],[Salary in USD]],"")</f>
        <v/>
      </c>
      <c r="AA1220" s="13" t="str">
        <f>IF(tblSalaries[[#This Row],[Job Type]]=tblSalaries[[#Headers],[Manager]],tblSalaries[[#This Row],[Salary in USD]],"")</f>
        <v/>
      </c>
      <c r="AB1220" s="13" t="str">
        <f>IF(tblSalaries[[#This Row],[Job Type]]=tblSalaries[[#Headers],[Misc.]],tblSalaries[[#This Row],[Salary in USD]],"")</f>
        <v/>
      </c>
      <c r="AC1220" s="13" t="str">
        <f>IF(tblSalaries[[#This Row],[Job Type]]=tblSalaries[[#Headers],[Reporting]],tblSalaries[[#This Row],[Salary in USD]],"")</f>
        <v/>
      </c>
      <c r="AD1220" s="13">
        <f>IF(tblSalaries[[#This Row],[Job Type]]=tblSalaries[[#Headers],[Specialist]],tblSalaries[[#This Row],[Salary in USD]],"")</f>
        <v>47285.348162018527</v>
      </c>
    </row>
    <row r="1221" spans="2:30" ht="15" customHeight="1" x14ac:dyDescent="0.25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 s="9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  <c r="N1221">
        <f>IF(tblSalaries[[#This Row],[Years of Experience]]="","",IF(tblSalaries[[#This Row],[Years of Experience]]&lt;=2,1,""))</f>
        <v>1</v>
      </c>
      <c r="O1221" t="str">
        <f>IF(tblSalaries[[#This Row],[Years of Experience]]="","",IF(AND(tblSalaries[[#This Row],[Years of Experience]]&gt;2,tblSalaries[[#This Row],[Years of Experience]]&lt;=5),1,""))</f>
        <v/>
      </c>
      <c r="P1221" t="str">
        <f>IF(tblSalaries[[#This Row],[Years of Experience]]="","",IF(AND(tblSalaries[[#This Row],[Years of Experience]]&gt;5,tblSalaries[[#This Row],[Years of Experience]]&lt;=10),1,""))</f>
        <v/>
      </c>
      <c r="Q1221" t="str">
        <f>IF(tblSalaries[[#This Row],[Years of Experience]]="","",IF(AND(tblSalaries[[#This Row],[Years of Experience]]&gt;10,tblSalaries[[#This Row],[Years of Experience]]&lt;=15),1,""))</f>
        <v/>
      </c>
      <c r="R1221" t="str">
        <f>IF(tblSalaries[[#This Row],[Years of Experience]]="","",IF(AND(tblSalaries[[#This Row],[Years of Experience]]&gt;16,tblSalaries[[#This Row],[Years of Experience]]&lt;=20),1,""))</f>
        <v/>
      </c>
      <c r="S1221" t="str">
        <f>IF(tblSalaries[[#This Row],[Years of Experience]]="","",IF(tblSalaries[[#This Row],[Years of Experience]]&gt;20,1,""))</f>
        <v/>
      </c>
      <c r="T12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21" s="13">
        <f>IF(tblSalaries[[#This Row],[Job Type]]=tblSalaries[[#Headers],[Accountant]],tblSalaries[[#This Row],[Salary in USD]],"")</f>
        <v>56000</v>
      </c>
      <c r="V1221" s="13" t="str">
        <f>IF(tblSalaries[[#This Row],[Job Type]]=tblSalaries[[#Headers],[Analyst]],tblSalaries[[#This Row],[Salary in USD]],"")</f>
        <v/>
      </c>
      <c r="W1221" s="13" t="str">
        <f>IF(tblSalaries[[#This Row],[Job Type]]=tblSalaries[[#Headers],[Consultant]],tblSalaries[[#This Row],[Salary in USD]],"")</f>
        <v/>
      </c>
      <c r="X1221" s="13" t="str">
        <f>IF(tblSalaries[[#This Row],[Job Type]]=tblSalaries[[#Headers],[Controller]],tblSalaries[[#This Row],[Salary in USD]],"")</f>
        <v/>
      </c>
      <c r="Y1221" s="13" t="str">
        <f>IF(tblSalaries[[#This Row],[Job Type]]=tblSalaries[[#Headers],[CXO or Top Mgmt.]],tblSalaries[[#This Row],[clean Salary (in local currency)]],"")</f>
        <v/>
      </c>
      <c r="Z1221" s="13" t="str">
        <f>IF(tblSalaries[[#This Row],[Job Type]]=tblSalaries[[#Headers],[Engineer]],tblSalaries[[#This Row],[Salary in USD]],"")</f>
        <v/>
      </c>
      <c r="AA1221" s="13" t="str">
        <f>IF(tblSalaries[[#This Row],[Job Type]]=tblSalaries[[#Headers],[Manager]],tblSalaries[[#This Row],[Salary in USD]],"")</f>
        <v/>
      </c>
      <c r="AB1221" s="13" t="str">
        <f>IF(tblSalaries[[#This Row],[Job Type]]=tblSalaries[[#Headers],[Misc.]],tblSalaries[[#This Row],[Salary in USD]],"")</f>
        <v/>
      </c>
      <c r="AC1221" s="13" t="str">
        <f>IF(tblSalaries[[#This Row],[Job Type]]=tblSalaries[[#Headers],[Reporting]],tblSalaries[[#This Row],[Salary in USD]],"")</f>
        <v/>
      </c>
      <c r="AD1221" s="13" t="str">
        <f>IF(tblSalaries[[#This Row],[Job Type]]=tblSalaries[[#Headers],[Specialist]],tblSalaries[[#This Row],[Salary in USD]],"")</f>
        <v/>
      </c>
    </row>
    <row r="1222" spans="2:30" ht="15" customHeight="1" x14ac:dyDescent="0.25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 s="9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  <c r="N1222">
        <f>IF(tblSalaries[[#This Row],[Years of Experience]]="","",IF(tblSalaries[[#This Row],[Years of Experience]]&lt;=2,1,""))</f>
        <v>1</v>
      </c>
      <c r="O1222" t="str">
        <f>IF(tblSalaries[[#This Row],[Years of Experience]]="","",IF(AND(tblSalaries[[#This Row],[Years of Experience]]&gt;2,tblSalaries[[#This Row],[Years of Experience]]&lt;=5),1,""))</f>
        <v/>
      </c>
      <c r="P1222" t="str">
        <f>IF(tblSalaries[[#This Row],[Years of Experience]]="","",IF(AND(tblSalaries[[#This Row],[Years of Experience]]&gt;5,tblSalaries[[#This Row],[Years of Experience]]&lt;=10),1,""))</f>
        <v/>
      </c>
      <c r="Q1222" t="str">
        <f>IF(tblSalaries[[#This Row],[Years of Experience]]="","",IF(AND(tblSalaries[[#This Row],[Years of Experience]]&gt;10,tblSalaries[[#This Row],[Years of Experience]]&lt;=15),1,""))</f>
        <v/>
      </c>
      <c r="R1222" t="str">
        <f>IF(tblSalaries[[#This Row],[Years of Experience]]="","",IF(AND(tblSalaries[[#This Row],[Years of Experience]]&gt;16,tblSalaries[[#This Row],[Years of Experience]]&lt;=20),1,""))</f>
        <v/>
      </c>
      <c r="S1222" t="str">
        <f>IF(tblSalaries[[#This Row],[Years of Experience]]="","",IF(tblSalaries[[#This Row],[Years of Experience]]&gt;20,1,""))</f>
        <v/>
      </c>
      <c r="T12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22" s="13" t="str">
        <f>IF(tblSalaries[[#This Row],[Job Type]]=tblSalaries[[#Headers],[Accountant]],tblSalaries[[#This Row],[Salary in USD]],"")</f>
        <v/>
      </c>
      <c r="V1222" s="13">
        <f>IF(tblSalaries[[#This Row],[Job Type]]=tblSalaries[[#Headers],[Analyst]],tblSalaries[[#This Row],[Salary in USD]],"")</f>
        <v>5082.6943786459069</v>
      </c>
      <c r="W1222" s="13" t="str">
        <f>IF(tblSalaries[[#This Row],[Job Type]]=tblSalaries[[#Headers],[Consultant]],tblSalaries[[#This Row],[Salary in USD]],"")</f>
        <v/>
      </c>
      <c r="X1222" s="13" t="str">
        <f>IF(tblSalaries[[#This Row],[Job Type]]=tblSalaries[[#Headers],[Controller]],tblSalaries[[#This Row],[Salary in USD]],"")</f>
        <v/>
      </c>
      <c r="Y1222" s="13" t="str">
        <f>IF(tblSalaries[[#This Row],[Job Type]]=tblSalaries[[#Headers],[CXO or Top Mgmt.]],tblSalaries[[#This Row],[clean Salary (in local currency)]],"")</f>
        <v/>
      </c>
      <c r="Z1222" s="13" t="str">
        <f>IF(tblSalaries[[#This Row],[Job Type]]=tblSalaries[[#Headers],[Engineer]],tblSalaries[[#This Row],[Salary in USD]],"")</f>
        <v/>
      </c>
      <c r="AA1222" s="13" t="str">
        <f>IF(tblSalaries[[#This Row],[Job Type]]=tblSalaries[[#Headers],[Manager]],tblSalaries[[#This Row],[Salary in USD]],"")</f>
        <v/>
      </c>
      <c r="AB1222" s="13" t="str">
        <f>IF(tblSalaries[[#This Row],[Job Type]]=tblSalaries[[#Headers],[Misc.]],tblSalaries[[#This Row],[Salary in USD]],"")</f>
        <v/>
      </c>
      <c r="AC1222" s="13" t="str">
        <f>IF(tblSalaries[[#This Row],[Job Type]]=tblSalaries[[#Headers],[Reporting]],tblSalaries[[#This Row],[Salary in USD]],"")</f>
        <v/>
      </c>
      <c r="AD1222" s="13" t="str">
        <f>IF(tblSalaries[[#This Row],[Job Type]]=tblSalaries[[#Headers],[Specialist]],tblSalaries[[#This Row],[Salary in USD]],"")</f>
        <v/>
      </c>
    </row>
    <row r="1223" spans="2:30" ht="15" customHeight="1" x14ac:dyDescent="0.25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 s="9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  <c r="N1223" t="str">
        <f>IF(tblSalaries[[#This Row],[Years of Experience]]="","",IF(tblSalaries[[#This Row],[Years of Experience]]&lt;=2,1,""))</f>
        <v/>
      </c>
      <c r="O1223" t="str">
        <f>IF(tblSalaries[[#This Row],[Years of Experience]]="","",IF(AND(tblSalaries[[#This Row],[Years of Experience]]&gt;2,tblSalaries[[#This Row],[Years of Experience]]&lt;=5),1,""))</f>
        <v/>
      </c>
      <c r="P1223">
        <f>IF(tblSalaries[[#This Row],[Years of Experience]]="","",IF(AND(tblSalaries[[#This Row],[Years of Experience]]&gt;5,tblSalaries[[#This Row],[Years of Experience]]&lt;=10),1,""))</f>
        <v>1</v>
      </c>
      <c r="Q1223" t="str">
        <f>IF(tblSalaries[[#This Row],[Years of Experience]]="","",IF(AND(tblSalaries[[#This Row],[Years of Experience]]&gt;10,tblSalaries[[#This Row],[Years of Experience]]&lt;=15),1,""))</f>
        <v/>
      </c>
      <c r="R1223" t="str">
        <f>IF(tblSalaries[[#This Row],[Years of Experience]]="","",IF(AND(tblSalaries[[#This Row],[Years of Experience]]&gt;16,tblSalaries[[#This Row],[Years of Experience]]&lt;=20),1,""))</f>
        <v/>
      </c>
      <c r="S1223" t="str">
        <f>IF(tblSalaries[[#This Row],[Years of Experience]]="","",IF(tblSalaries[[#This Row],[Years of Experience]]&gt;20,1,""))</f>
        <v/>
      </c>
      <c r="T12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23" s="13">
        <f>IF(tblSalaries[[#This Row],[Job Type]]=tblSalaries[[#Headers],[Accountant]],tblSalaries[[#This Row],[Salary in USD]],"")</f>
        <v>53590.061250287661</v>
      </c>
      <c r="V1223" s="13" t="str">
        <f>IF(tblSalaries[[#This Row],[Job Type]]=tblSalaries[[#Headers],[Analyst]],tblSalaries[[#This Row],[Salary in USD]],"")</f>
        <v/>
      </c>
      <c r="W1223" s="13" t="str">
        <f>IF(tblSalaries[[#This Row],[Job Type]]=tblSalaries[[#Headers],[Consultant]],tblSalaries[[#This Row],[Salary in USD]],"")</f>
        <v/>
      </c>
      <c r="X1223" s="13" t="str">
        <f>IF(tblSalaries[[#This Row],[Job Type]]=tblSalaries[[#Headers],[Controller]],tblSalaries[[#This Row],[Salary in USD]],"")</f>
        <v/>
      </c>
      <c r="Y1223" s="13" t="str">
        <f>IF(tblSalaries[[#This Row],[Job Type]]=tblSalaries[[#Headers],[CXO or Top Mgmt.]],tblSalaries[[#This Row],[clean Salary (in local currency)]],"")</f>
        <v/>
      </c>
      <c r="Z1223" s="13" t="str">
        <f>IF(tblSalaries[[#This Row],[Job Type]]=tblSalaries[[#Headers],[Engineer]],tblSalaries[[#This Row],[Salary in USD]],"")</f>
        <v/>
      </c>
      <c r="AA1223" s="13" t="str">
        <f>IF(tblSalaries[[#This Row],[Job Type]]=tblSalaries[[#Headers],[Manager]],tblSalaries[[#This Row],[Salary in USD]],"")</f>
        <v/>
      </c>
      <c r="AB1223" s="13" t="str">
        <f>IF(tblSalaries[[#This Row],[Job Type]]=tblSalaries[[#Headers],[Misc.]],tblSalaries[[#This Row],[Salary in USD]],"")</f>
        <v/>
      </c>
      <c r="AC1223" s="13" t="str">
        <f>IF(tblSalaries[[#This Row],[Job Type]]=tblSalaries[[#Headers],[Reporting]],tblSalaries[[#This Row],[Salary in USD]],"")</f>
        <v/>
      </c>
      <c r="AD1223" s="13" t="str">
        <f>IF(tblSalaries[[#This Row],[Job Type]]=tblSalaries[[#Headers],[Specialist]],tblSalaries[[#This Row],[Salary in USD]],"")</f>
        <v/>
      </c>
    </row>
    <row r="1224" spans="2:30" ht="15" customHeight="1" x14ac:dyDescent="0.25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 s="9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4001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  <c r="N1224" t="str">
        <f>IF(tblSalaries[[#This Row],[Years of Experience]]="","",IF(tblSalaries[[#This Row],[Years of Experience]]&lt;=2,1,""))</f>
        <v/>
      </c>
      <c r="O1224" t="str">
        <f>IF(tblSalaries[[#This Row],[Years of Experience]]="","",IF(AND(tblSalaries[[#This Row],[Years of Experience]]&gt;2,tblSalaries[[#This Row],[Years of Experience]]&lt;=5),1,""))</f>
        <v/>
      </c>
      <c r="P1224" t="str">
        <f>IF(tblSalaries[[#This Row],[Years of Experience]]="","",IF(AND(tblSalaries[[#This Row],[Years of Experience]]&gt;5,tblSalaries[[#This Row],[Years of Experience]]&lt;=10),1,""))</f>
        <v/>
      </c>
      <c r="Q1224" t="str">
        <f>IF(tblSalaries[[#This Row],[Years of Experience]]="","",IF(AND(tblSalaries[[#This Row],[Years of Experience]]&gt;10,tblSalaries[[#This Row],[Years of Experience]]&lt;=15),1,""))</f>
        <v/>
      </c>
      <c r="R1224">
        <f>IF(tblSalaries[[#This Row],[Years of Experience]]="","",IF(AND(tblSalaries[[#This Row],[Years of Experience]]&gt;16,tblSalaries[[#This Row],[Years of Experience]]&lt;=20),1,""))</f>
        <v>1</v>
      </c>
      <c r="S1224" t="str">
        <f>IF(tblSalaries[[#This Row],[Years of Experience]]="","",IF(tblSalaries[[#This Row],[Years of Experience]]&gt;20,1,""))</f>
        <v/>
      </c>
      <c r="T12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24" s="13" t="str">
        <f>IF(tblSalaries[[#This Row],[Job Type]]=tblSalaries[[#Headers],[Accountant]],tblSalaries[[#This Row],[Salary in USD]],"")</f>
        <v/>
      </c>
      <c r="V1224" s="13" t="str">
        <f>IF(tblSalaries[[#This Row],[Job Type]]=tblSalaries[[#Headers],[Analyst]],tblSalaries[[#This Row],[Salary in USD]],"")</f>
        <v/>
      </c>
      <c r="W1224" s="13" t="str">
        <f>IF(tblSalaries[[#This Row],[Job Type]]=tblSalaries[[#Headers],[Consultant]],tblSalaries[[#This Row],[Salary in USD]],"")</f>
        <v/>
      </c>
      <c r="X1224" s="13" t="str">
        <f>IF(tblSalaries[[#This Row],[Job Type]]=tblSalaries[[#Headers],[Controller]],tblSalaries[[#This Row],[Salary in USD]],"")</f>
        <v/>
      </c>
      <c r="Y1224" s="13">
        <f>IF(tblSalaries[[#This Row],[Job Type]]=tblSalaries[[#Headers],[CXO or Top Mgmt.]],tblSalaries[[#This Row],[clean Salary (in local currency)]],"")</f>
        <v>450000</v>
      </c>
      <c r="Z1224" s="13" t="str">
        <f>IF(tblSalaries[[#This Row],[Job Type]]=tblSalaries[[#Headers],[Engineer]],tblSalaries[[#This Row],[Salary in USD]],"")</f>
        <v/>
      </c>
      <c r="AA1224" s="13" t="str">
        <f>IF(tblSalaries[[#This Row],[Job Type]]=tblSalaries[[#Headers],[Manager]],tblSalaries[[#This Row],[Salary in USD]],"")</f>
        <v/>
      </c>
      <c r="AB1224" s="13" t="str">
        <f>IF(tblSalaries[[#This Row],[Job Type]]=tblSalaries[[#Headers],[Misc.]],tblSalaries[[#This Row],[Salary in USD]],"")</f>
        <v/>
      </c>
      <c r="AC1224" s="13" t="str">
        <f>IF(tblSalaries[[#This Row],[Job Type]]=tblSalaries[[#Headers],[Reporting]],tblSalaries[[#This Row],[Salary in USD]],"")</f>
        <v/>
      </c>
      <c r="AD1224" s="13" t="str">
        <f>IF(tblSalaries[[#This Row],[Job Type]]=tblSalaries[[#Headers],[Specialist]],tblSalaries[[#This Row],[Salary in USD]],"")</f>
        <v/>
      </c>
    </row>
    <row r="1225" spans="2:30" ht="15" customHeight="1" x14ac:dyDescent="0.25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 s="9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  <c r="N1225" t="str">
        <f>IF(tblSalaries[[#This Row],[Years of Experience]]="","",IF(tblSalaries[[#This Row],[Years of Experience]]&lt;=2,1,""))</f>
        <v/>
      </c>
      <c r="O1225">
        <f>IF(tblSalaries[[#This Row],[Years of Experience]]="","",IF(AND(tblSalaries[[#This Row],[Years of Experience]]&gt;2,tblSalaries[[#This Row],[Years of Experience]]&lt;=5),1,""))</f>
        <v>1</v>
      </c>
      <c r="P1225" t="str">
        <f>IF(tblSalaries[[#This Row],[Years of Experience]]="","",IF(AND(tblSalaries[[#This Row],[Years of Experience]]&gt;5,tblSalaries[[#This Row],[Years of Experience]]&lt;=10),1,""))</f>
        <v/>
      </c>
      <c r="Q1225" t="str">
        <f>IF(tblSalaries[[#This Row],[Years of Experience]]="","",IF(AND(tblSalaries[[#This Row],[Years of Experience]]&gt;10,tblSalaries[[#This Row],[Years of Experience]]&lt;=15),1,""))</f>
        <v/>
      </c>
      <c r="R1225" t="str">
        <f>IF(tblSalaries[[#This Row],[Years of Experience]]="","",IF(AND(tblSalaries[[#This Row],[Years of Experience]]&gt;16,tblSalaries[[#This Row],[Years of Experience]]&lt;=20),1,""))</f>
        <v/>
      </c>
      <c r="S1225" t="str">
        <f>IF(tblSalaries[[#This Row],[Years of Experience]]="","",IF(tblSalaries[[#This Row],[Years of Experience]]&gt;20,1,""))</f>
        <v/>
      </c>
      <c r="T12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25" s="13" t="str">
        <f>IF(tblSalaries[[#This Row],[Job Type]]=tblSalaries[[#Headers],[Accountant]],tblSalaries[[#This Row],[Salary in USD]],"")</f>
        <v/>
      </c>
      <c r="V1225" s="13">
        <f>IF(tblSalaries[[#This Row],[Job Type]]=tblSalaries[[#Headers],[Analyst]],tblSalaries[[#This Row],[Salary in USD]],"")</f>
        <v>85000</v>
      </c>
      <c r="W1225" s="13" t="str">
        <f>IF(tblSalaries[[#This Row],[Job Type]]=tblSalaries[[#Headers],[Consultant]],tblSalaries[[#This Row],[Salary in USD]],"")</f>
        <v/>
      </c>
      <c r="X1225" s="13" t="str">
        <f>IF(tblSalaries[[#This Row],[Job Type]]=tblSalaries[[#Headers],[Controller]],tblSalaries[[#This Row],[Salary in USD]],"")</f>
        <v/>
      </c>
      <c r="Y1225" s="13" t="str">
        <f>IF(tblSalaries[[#This Row],[Job Type]]=tblSalaries[[#Headers],[CXO or Top Mgmt.]],tblSalaries[[#This Row],[clean Salary (in local currency)]],"")</f>
        <v/>
      </c>
      <c r="Z1225" s="13" t="str">
        <f>IF(tblSalaries[[#This Row],[Job Type]]=tblSalaries[[#Headers],[Engineer]],tblSalaries[[#This Row],[Salary in USD]],"")</f>
        <v/>
      </c>
      <c r="AA1225" s="13" t="str">
        <f>IF(tblSalaries[[#This Row],[Job Type]]=tblSalaries[[#Headers],[Manager]],tblSalaries[[#This Row],[Salary in USD]],"")</f>
        <v/>
      </c>
      <c r="AB1225" s="13" t="str">
        <f>IF(tblSalaries[[#This Row],[Job Type]]=tblSalaries[[#Headers],[Misc.]],tblSalaries[[#This Row],[Salary in USD]],"")</f>
        <v/>
      </c>
      <c r="AC1225" s="13" t="str">
        <f>IF(tblSalaries[[#This Row],[Job Type]]=tblSalaries[[#Headers],[Reporting]],tblSalaries[[#This Row],[Salary in USD]],"")</f>
        <v/>
      </c>
      <c r="AD1225" s="13" t="str">
        <f>IF(tblSalaries[[#This Row],[Job Type]]=tblSalaries[[#Headers],[Specialist]],tblSalaries[[#This Row],[Salary in USD]],"")</f>
        <v/>
      </c>
    </row>
    <row r="1226" spans="2:30" ht="15" customHeight="1" x14ac:dyDescent="0.25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 s="9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  <c r="N1226" t="str">
        <f>IF(tblSalaries[[#This Row],[Years of Experience]]="","",IF(tblSalaries[[#This Row],[Years of Experience]]&lt;=2,1,""))</f>
        <v/>
      </c>
      <c r="O1226" t="str">
        <f>IF(tblSalaries[[#This Row],[Years of Experience]]="","",IF(AND(tblSalaries[[#This Row],[Years of Experience]]&gt;2,tblSalaries[[#This Row],[Years of Experience]]&lt;=5),1,""))</f>
        <v/>
      </c>
      <c r="P1226">
        <f>IF(tblSalaries[[#This Row],[Years of Experience]]="","",IF(AND(tblSalaries[[#This Row],[Years of Experience]]&gt;5,tblSalaries[[#This Row],[Years of Experience]]&lt;=10),1,""))</f>
        <v>1</v>
      </c>
      <c r="Q1226" t="str">
        <f>IF(tblSalaries[[#This Row],[Years of Experience]]="","",IF(AND(tblSalaries[[#This Row],[Years of Experience]]&gt;10,tblSalaries[[#This Row],[Years of Experience]]&lt;=15),1,""))</f>
        <v/>
      </c>
      <c r="R1226" t="str">
        <f>IF(tblSalaries[[#This Row],[Years of Experience]]="","",IF(AND(tblSalaries[[#This Row],[Years of Experience]]&gt;16,tblSalaries[[#This Row],[Years of Experience]]&lt;=20),1,""))</f>
        <v/>
      </c>
      <c r="S1226" t="str">
        <f>IF(tblSalaries[[#This Row],[Years of Experience]]="","",IF(tblSalaries[[#This Row],[Years of Experience]]&gt;20,1,""))</f>
        <v/>
      </c>
      <c r="T12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26" s="13" t="str">
        <f>IF(tblSalaries[[#This Row],[Job Type]]=tblSalaries[[#Headers],[Accountant]],tblSalaries[[#This Row],[Salary in USD]],"")</f>
        <v/>
      </c>
      <c r="V1226" s="13" t="str">
        <f>IF(tblSalaries[[#This Row],[Job Type]]=tblSalaries[[#Headers],[Analyst]],tblSalaries[[#This Row],[Salary in USD]],"")</f>
        <v/>
      </c>
      <c r="W1226" s="13">
        <f>IF(tblSalaries[[#This Row],[Job Type]]=tblSalaries[[#Headers],[Consultant]],tblSalaries[[#This Row],[Salary in USD]],"")</f>
        <v>72000</v>
      </c>
      <c r="X1226" s="13" t="str">
        <f>IF(tblSalaries[[#This Row],[Job Type]]=tblSalaries[[#Headers],[Controller]],tblSalaries[[#This Row],[Salary in USD]],"")</f>
        <v/>
      </c>
      <c r="Y1226" s="13" t="str">
        <f>IF(tblSalaries[[#This Row],[Job Type]]=tblSalaries[[#Headers],[CXO or Top Mgmt.]],tblSalaries[[#This Row],[clean Salary (in local currency)]],"")</f>
        <v/>
      </c>
      <c r="Z1226" s="13" t="str">
        <f>IF(tblSalaries[[#This Row],[Job Type]]=tblSalaries[[#Headers],[Engineer]],tblSalaries[[#This Row],[Salary in USD]],"")</f>
        <v/>
      </c>
      <c r="AA1226" s="13" t="str">
        <f>IF(tblSalaries[[#This Row],[Job Type]]=tblSalaries[[#Headers],[Manager]],tblSalaries[[#This Row],[Salary in USD]],"")</f>
        <v/>
      </c>
      <c r="AB1226" s="13" t="str">
        <f>IF(tblSalaries[[#This Row],[Job Type]]=tblSalaries[[#Headers],[Misc.]],tblSalaries[[#This Row],[Salary in USD]],"")</f>
        <v/>
      </c>
      <c r="AC1226" s="13" t="str">
        <f>IF(tblSalaries[[#This Row],[Job Type]]=tblSalaries[[#Headers],[Reporting]],tblSalaries[[#This Row],[Salary in USD]],"")</f>
        <v/>
      </c>
      <c r="AD1226" s="13" t="str">
        <f>IF(tblSalaries[[#This Row],[Job Type]]=tblSalaries[[#Headers],[Specialist]],tblSalaries[[#This Row],[Salary in USD]],"")</f>
        <v/>
      </c>
    </row>
    <row r="1227" spans="2:30" ht="15" customHeight="1" x14ac:dyDescent="0.25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 s="9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  <c r="N1227" t="str">
        <f>IF(tblSalaries[[#This Row],[Years of Experience]]="","",IF(tblSalaries[[#This Row],[Years of Experience]]&lt;=2,1,""))</f>
        <v/>
      </c>
      <c r="O1227" t="str">
        <f>IF(tblSalaries[[#This Row],[Years of Experience]]="","",IF(AND(tblSalaries[[#This Row],[Years of Experience]]&gt;2,tblSalaries[[#This Row],[Years of Experience]]&lt;=5),1,""))</f>
        <v/>
      </c>
      <c r="P1227">
        <f>IF(tblSalaries[[#This Row],[Years of Experience]]="","",IF(AND(tblSalaries[[#This Row],[Years of Experience]]&gt;5,tblSalaries[[#This Row],[Years of Experience]]&lt;=10),1,""))</f>
        <v>1</v>
      </c>
      <c r="Q1227" t="str">
        <f>IF(tblSalaries[[#This Row],[Years of Experience]]="","",IF(AND(tblSalaries[[#This Row],[Years of Experience]]&gt;10,tblSalaries[[#This Row],[Years of Experience]]&lt;=15),1,""))</f>
        <v/>
      </c>
      <c r="R1227" t="str">
        <f>IF(tblSalaries[[#This Row],[Years of Experience]]="","",IF(AND(tblSalaries[[#This Row],[Years of Experience]]&gt;16,tblSalaries[[#This Row],[Years of Experience]]&lt;=20),1,""))</f>
        <v/>
      </c>
      <c r="S1227" t="str">
        <f>IF(tblSalaries[[#This Row],[Years of Experience]]="","",IF(tblSalaries[[#This Row],[Years of Experience]]&gt;20,1,""))</f>
        <v/>
      </c>
      <c r="T12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27" s="13" t="str">
        <f>IF(tblSalaries[[#This Row],[Job Type]]=tblSalaries[[#Headers],[Accountant]],tblSalaries[[#This Row],[Salary in USD]],"")</f>
        <v/>
      </c>
      <c r="V1227" s="13">
        <f>IF(tblSalaries[[#This Row],[Job Type]]=tblSalaries[[#Headers],[Analyst]],tblSalaries[[#This Row],[Salary in USD]],"")</f>
        <v>55000</v>
      </c>
      <c r="W1227" s="13" t="str">
        <f>IF(tblSalaries[[#This Row],[Job Type]]=tblSalaries[[#Headers],[Consultant]],tblSalaries[[#This Row],[Salary in USD]],"")</f>
        <v/>
      </c>
      <c r="X1227" s="13" t="str">
        <f>IF(tblSalaries[[#This Row],[Job Type]]=tblSalaries[[#Headers],[Controller]],tblSalaries[[#This Row],[Salary in USD]],"")</f>
        <v/>
      </c>
      <c r="Y1227" s="13" t="str">
        <f>IF(tblSalaries[[#This Row],[Job Type]]=tblSalaries[[#Headers],[CXO or Top Mgmt.]],tblSalaries[[#This Row],[clean Salary (in local currency)]],"")</f>
        <v/>
      </c>
      <c r="Z1227" s="13" t="str">
        <f>IF(tblSalaries[[#This Row],[Job Type]]=tblSalaries[[#Headers],[Engineer]],tblSalaries[[#This Row],[Salary in USD]],"")</f>
        <v/>
      </c>
      <c r="AA1227" s="13" t="str">
        <f>IF(tblSalaries[[#This Row],[Job Type]]=tblSalaries[[#Headers],[Manager]],tblSalaries[[#This Row],[Salary in USD]],"")</f>
        <v/>
      </c>
      <c r="AB1227" s="13" t="str">
        <f>IF(tblSalaries[[#This Row],[Job Type]]=tblSalaries[[#Headers],[Misc.]],tblSalaries[[#This Row],[Salary in USD]],"")</f>
        <v/>
      </c>
      <c r="AC1227" s="13" t="str">
        <f>IF(tblSalaries[[#This Row],[Job Type]]=tblSalaries[[#Headers],[Reporting]],tblSalaries[[#This Row],[Salary in USD]],"")</f>
        <v/>
      </c>
      <c r="AD1227" s="13" t="str">
        <f>IF(tblSalaries[[#This Row],[Job Type]]=tblSalaries[[#Headers],[Specialist]],tblSalaries[[#This Row],[Salary in USD]],"")</f>
        <v/>
      </c>
    </row>
    <row r="1228" spans="2:30" ht="15" customHeight="1" x14ac:dyDescent="0.25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 s="9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  <c r="N1228" t="str">
        <f>IF(tblSalaries[[#This Row],[Years of Experience]]="","",IF(tblSalaries[[#This Row],[Years of Experience]]&lt;=2,1,""))</f>
        <v/>
      </c>
      <c r="O1228" t="str">
        <f>IF(tblSalaries[[#This Row],[Years of Experience]]="","",IF(AND(tblSalaries[[#This Row],[Years of Experience]]&gt;2,tblSalaries[[#This Row],[Years of Experience]]&lt;=5),1,""))</f>
        <v/>
      </c>
      <c r="P1228" t="str">
        <f>IF(tblSalaries[[#This Row],[Years of Experience]]="","",IF(AND(tblSalaries[[#This Row],[Years of Experience]]&gt;5,tblSalaries[[#This Row],[Years of Experience]]&lt;=10),1,""))</f>
        <v/>
      </c>
      <c r="Q1228" t="str">
        <f>IF(tblSalaries[[#This Row],[Years of Experience]]="","",IF(AND(tblSalaries[[#This Row],[Years of Experience]]&gt;10,tblSalaries[[#This Row],[Years of Experience]]&lt;=15),1,""))</f>
        <v/>
      </c>
      <c r="R1228" t="str">
        <f>IF(tblSalaries[[#This Row],[Years of Experience]]="","",IF(AND(tblSalaries[[#This Row],[Years of Experience]]&gt;16,tblSalaries[[#This Row],[Years of Experience]]&lt;=20),1,""))</f>
        <v/>
      </c>
      <c r="S1228">
        <f>IF(tblSalaries[[#This Row],[Years of Experience]]="","",IF(tblSalaries[[#This Row],[Years of Experience]]&gt;20,1,""))</f>
        <v>1</v>
      </c>
      <c r="T12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28" s="13" t="str">
        <f>IF(tblSalaries[[#This Row],[Job Type]]=tblSalaries[[#Headers],[Accountant]],tblSalaries[[#This Row],[Salary in USD]],"")</f>
        <v/>
      </c>
      <c r="V1228" s="13" t="str">
        <f>IF(tblSalaries[[#This Row],[Job Type]]=tblSalaries[[#Headers],[Analyst]],tblSalaries[[#This Row],[Salary in USD]],"")</f>
        <v/>
      </c>
      <c r="W1228" s="13" t="str">
        <f>IF(tblSalaries[[#This Row],[Job Type]]=tblSalaries[[#Headers],[Consultant]],tblSalaries[[#This Row],[Salary in USD]],"")</f>
        <v/>
      </c>
      <c r="X1228" s="13">
        <f>IF(tblSalaries[[#This Row],[Job Type]]=tblSalaries[[#Headers],[Controller]],tblSalaries[[#This Row],[Salary in USD]],"")</f>
        <v>67775.665698893223</v>
      </c>
      <c r="Y1228" s="13" t="str">
        <f>IF(tblSalaries[[#This Row],[Job Type]]=tblSalaries[[#Headers],[CXO or Top Mgmt.]],tblSalaries[[#This Row],[clean Salary (in local currency)]],"")</f>
        <v/>
      </c>
      <c r="Z1228" s="13" t="str">
        <f>IF(tblSalaries[[#This Row],[Job Type]]=tblSalaries[[#Headers],[Engineer]],tblSalaries[[#This Row],[Salary in USD]],"")</f>
        <v/>
      </c>
      <c r="AA1228" s="13" t="str">
        <f>IF(tblSalaries[[#This Row],[Job Type]]=tblSalaries[[#Headers],[Manager]],tblSalaries[[#This Row],[Salary in USD]],"")</f>
        <v/>
      </c>
      <c r="AB1228" s="13" t="str">
        <f>IF(tblSalaries[[#This Row],[Job Type]]=tblSalaries[[#Headers],[Misc.]],tblSalaries[[#This Row],[Salary in USD]],"")</f>
        <v/>
      </c>
      <c r="AC1228" s="13" t="str">
        <f>IF(tblSalaries[[#This Row],[Job Type]]=tblSalaries[[#Headers],[Reporting]],tblSalaries[[#This Row],[Salary in USD]],"")</f>
        <v/>
      </c>
      <c r="AD1228" s="13" t="str">
        <f>IF(tblSalaries[[#This Row],[Job Type]]=tblSalaries[[#Headers],[Specialist]],tblSalaries[[#This Row],[Salary in USD]],"")</f>
        <v/>
      </c>
    </row>
    <row r="1229" spans="2:30" ht="15" customHeight="1" x14ac:dyDescent="0.25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 s="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  <c r="N1229">
        <f>IF(tblSalaries[[#This Row],[Years of Experience]]="","",IF(tblSalaries[[#This Row],[Years of Experience]]&lt;=2,1,""))</f>
        <v>1</v>
      </c>
      <c r="O1229" t="str">
        <f>IF(tblSalaries[[#This Row],[Years of Experience]]="","",IF(AND(tblSalaries[[#This Row],[Years of Experience]]&gt;2,tblSalaries[[#This Row],[Years of Experience]]&lt;=5),1,""))</f>
        <v/>
      </c>
      <c r="P1229" t="str">
        <f>IF(tblSalaries[[#This Row],[Years of Experience]]="","",IF(AND(tblSalaries[[#This Row],[Years of Experience]]&gt;5,tblSalaries[[#This Row],[Years of Experience]]&lt;=10),1,""))</f>
        <v/>
      </c>
      <c r="Q1229" t="str">
        <f>IF(tblSalaries[[#This Row],[Years of Experience]]="","",IF(AND(tblSalaries[[#This Row],[Years of Experience]]&gt;10,tblSalaries[[#This Row],[Years of Experience]]&lt;=15),1,""))</f>
        <v/>
      </c>
      <c r="R1229" t="str">
        <f>IF(tblSalaries[[#This Row],[Years of Experience]]="","",IF(AND(tblSalaries[[#This Row],[Years of Experience]]&gt;16,tblSalaries[[#This Row],[Years of Experience]]&lt;=20),1,""))</f>
        <v/>
      </c>
      <c r="S1229" t="str">
        <f>IF(tblSalaries[[#This Row],[Years of Experience]]="","",IF(tblSalaries[[#This Row],[Years of Experience]]&gt;20,1,""))</f>
        <v/>
      </c>
      <c r="T12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29" s="13" t="str">
        <f>IF(tblSalaries[[#This Row],[Job Type]]=tblSalaries[[#Headers],[Accountant]],tblSalaries[[#This Row],[Salary in USD]],"")</f>
        <v/>
      </c>
      <c r="V1229" s="13">
        <f>IF(tblSalaries[[#This Row],[Job Type]]=tblSalaries[[#Headers],[Analyst]],tblSalaries[[#This Row],[Salary in USD]],"")</f>
        <v>40586.590505732565</v>
      </c>
      <c r="W1229" s="13" t="str">
        <f>IF(tblSalaries[[#This Row],[Job Type]]=tblSalaries[[#Headers],[Consultant]],tblSalaries[[#This Row],[Salary in USD]],"")</f>
        <v/>
      </c>
      <c r="X1229" s="13" t="str">
        <f>IF(tblSalaries[[#This Row],[Job Type]]=tblSalaries[[#Headers],[Controller]],tblSalaries[[#This Row],[Salary in USD]],"")</f>
        <v/>
      </c>
      <c r="Y1229" s="13" t="str">
        <f>IF(tblSalaries[[#This Row],[Job Type]]=tblSalaries[[#Headers],[CXO or Top Mgmt.]],tblSalaries[[#This Row],[clean Salary (in local currency)]],"")</f>
        <v/>
      </c>
      <c r="Z1229" s="13" t="str">
        <f>IF(tblSalaries[[#This Row],[Job Type]]=tblSalaries[[#Headers],[Engineer]],tblSalaries[[#This Row],[Salary in USD]],"")</f>
        <v/>
      </c>
      <c r="AA1229" s="13" t="str">
        <f>IF(tblSalaries[[#This Row],[Job Type]]=tblSalaries[[#Headers],[Manager]],tblSalaries[[#This Row],[Salary in USD]],"")</f>
        <v/>
      </c>
      <c r="AB1229" s="13" t="str">
        <f>IF(tblSalaries[[#This Row],[Job Type]]=tblSalaries[[#Headers],[Misc.]],tblSalaries[[#This Row],[Salary in USD]],"")</f>
        <v/>
      </c>
      <c r="AC1229" s="13" t="str">
        <f>IF(tblSalaries[[#This Row],[Job Type]]=tblSalaries[[#Headers],[Reporting]],tblSalaries[[#This Row],[Salary in USD]],"")</f>
        <v/>
      </c>
      <c r="AD1229" s="13" t="str">
        <f>IF(tblSalaries[[#This Row],[Job Type]]=tblSalaries[[#Headers],[Specialist]],tblSalaries[[#This Row],[Salary in USD]],"")</f>
        <v/>
      </c>
    </row>
    <row r="1230" spans="2:30" ht="15" customHeight="1" x14ac:dyDescent="0.25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 s="9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  <c r="N1230" t="str">
        <f>IF(tblSalaries[[#This Row],[Years of Experience]]="","",IF(tblSalaries[[#This Row],[Years of Experience]]&lt;=2,1,""))</f>
        <v/>
      </c>
      <c r="O1230" t="str">
        <f>IF(tblSalaries[[#This Row],[Years of Experience]]="","",IF(AND(tblSalaries[[#This Row],[Years of Experience]]&gt;2,tblSalaries[[#This Row],[Years of Experience]]&lt;=5),1,""))</f>
        <v/>
      </c>
      <c r="P1230" t="str">
        <f>IF(tblSalaries[[#This Row],[Years of Experience]]="","",IF(AND(tblSalaries[[#This Row],[Years of Experience]]&gt;5,tblSalaries[[#This Row],[Years of Experience]]&lt;=10),1,""))</f>
        <v/>
      </c>
      <c r="Q1230" t="str">
        <f>IF(tblSalaries[[#This Row],[Years of Experience]]="","",IF(AND(tblSalaries[[#This Row],[Years of Experience]]&gt;10,tblSalaries[[#This Row],[Years of Experience]]&lt;=15),1,""))</f>
        <v/>
      </c>
      <c r="R1230" t="str">
        <f>IF(tblSalaries[[#This Row],[Years of Experience]]="","",IF(AND(tblSalaries[[#This Row],[Years of Experience]]&gt;16,tblSalaries[[#This Row],[Years of Experience]]&lt;=20),1,""))</f>
        <v/>
      </c>
      <c r="S1230">
        <f>IF(tblSalaries[[#This Row],[Years of Experience]]="","",IF(tblSalaries[[#This Row],[Years of Experience]]&gt;20,1,""))</f>
        <v>1</v>
      </c>
      <c r="T12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30" s="13" t="str">
        <f>IF(tblSalaries[[#This Row],[Job Type]]=tblSalaries[[#Headers],[Accountant]],tblSalaries[[#This Row],[Salary in USD]],"")</f>
        <v/>
      </c>
      <c r="V1230" s="13">
        <f>IF(tblSalaries[[#This Row],[Job Type]]=tblSalaries[[#Headers],[Analyst]],tblSalaries[[#This Row],[Salary in USD]],"")</f>
        <v>50846</v>
      </c>
      <c r="W1230" s="13" t="str">
        <f>IF(tblSalaries[[#This Row],[Job Type]]=tblSalaries[[#Headers],[Consultant]],tblSalaries[[#This Row],[Salary in USD]],"")</f>
        <v/>
      </c>
      <c r="X1230" s="13" t="str">
        <f>IF(tblSalaries[[#This Row],[Job Type]]=tblSalaries[[#Headers],[Controller]],tblSalaries[[#This Row],[Salary in USD]],"")</f>
        <v/>
      </c>
      <c r="Y1230" s="13" t="str">
        <f>IF(tblSalaries[[#This Row],[Job Type]]=tblSalaries[[#Headers],[CXO or Top Mgmt.]],tblSalaries[[#This Row],[clean Salary (in local currency)]],"")</f>
        <v/>
      </c>
      <c r="Z1230" s="13" t="str">
        <f>IF(tblSalaries[[#This Row],[Job Type]]=tblSalaries[[#Headers],[Engineer]],tblSalaries[[#This Row],[Salary in USD]],"")</f>
        <v/>
      </c>
      <c r="AA1230" s="13" t="str">
        <f>IF(tblSalaries[[#This Row],[Job Type]]=tblSalaries[[#Headers],[Manager]],tblSalaries[[#This Row],[Salary in USD]],"")</f>
        <v/>
      </c>
      <c r="AB1230" s="13" t="str">
        <f>IF(tblSalaries[[#This Row],[Job Type]]=tblSalaries[[#Headers],[Misc.]],tblSalaries[[#This Row],[Salary in USD]],"")</f>
        <v/>
      </c>
      <c r="AC1230" s="13" t="str">
        <f>IF(tblSalaries[[#This Row],[Job Type]]=tblSalaries[[#Headers],[Reporting]],tblSalaries[[#This Row],[Salary in USD]],"")</f>
        <v/>
      </c>
      <c r="AD1230" s="13" t="str">
        <f>IF(tblSalaries[[#This Row],[Job Type]]=tblSalaries[[#Headers],[Specialist]],tblSalaries[[#This Row],[Salary in USD]],"")</f>
        <v/>
      </c>
    </row>
    <row r="1231" spans="2:30" ht="15" customHeight="1" x14ac:dyDescent="0.25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 s="9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  <c r="N1231" t="str">
        <f>IF(tblSalaries[[#This Row],[Years of Experience]]="","",IF(tblSalaries[[#This Row],[Years of Experience]]&lt;=2,1,""))</f>
        <v/>
      </c>
      <c r="O1231" t="str">
        <f>IF(tblSalaries[[#This Row],[Years of Experience]]="","",IF(AND(tblSalaries[[#This Row],[Years of Experience]]&gt;2,tblSalaries[[#This Row],[Years of Experience]]&lt;=5),1,""))</f>
        <v/>
      </c>
      <c r="P1231" t="str">
        <f>IF(tblSalaries[[#This Row],[Years of Experience]]="","",IF(AND(tblSalaries[[#This Row],[Years of Experience]]&gt;5,tblSalaries[[#This Row],[Years of Experience]]&lt;=10),1,""))</f>
        <v/>
      </c>
      <c r="Q1231" t="str">
        <f>IF(tblSalaries[[#This Row],[Years of Experience]]="","",IF(AND(tblSalaries[[#This Row],[Years of Experience]]&gt;10,tblSalaries[[#This Row],[Years of Experience]]&lt;=15),1,""))</f>
        <v/>
      </c>
      <c r="R1231" t="str">
        <f>IF(tblSalaries[[#This Row],[Years of Experience]]="","",IF(AND(tblSalaries[[#This Row],[Years of Experience]]&gt;16,tblSalaries[[#This Row],[Years of Experience]]&lt;=20),1,""))</f>
        <v/>
      </c>
      <c r="S1231" t="str">
        <f>IF(tblSalaries[[#This Row],[Years of Experience]]="","",IF(tblSalaries[[#This Row],[Years of Experience]]&gt;20,1,""))</f>
        <v/>
      </c>
      <c r="T12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231" s="13">
        <f>IF(tblSalaries[[#This Row],[Job Type]]=tblSalaries[[#Headers],[Accountant]],tblSalaries[[#This Row],[Salary in USD]],"")</f>
        <v>63000</v>
      </c>
      <c r="V1231" s="13" t="str">
        <f>IF(tblSalaries[[#This Row],[Job Type]]=tblSalaries[[#Headers],[Analyst]],tblSalaries[[#This Row],[Salary in USD]],"")</f>
        <v/>
      </c>
      <c r="W1231" s="13" t="str">
        <f>IF(tblSalaries[[#This Row],[Job Type]]=tblSalaries[[#Headers],[Consultant]],tblSalaries[[#This Row],[Salary in USD]],"")</f>
        <v/>
      </c>
      <c r="X1231" s="13" t="str">
        <f>IF(tblSalaries[[#This Row],[Job Type]]=tblSalaries[[#Headers],[Controller]],tblSalaries[[#This Row],[Salary in USD]],"")</f>
        <v/>
      </c>
      <c r="Y1231" s="13" t="str">
        <f>IF(tblSalaries[[#This Row],[Job Type]]=tblSalaries[[#Headers],[CXO or Top Mgmt.]],tblSalaries[[#This Row],[clean Salary (in local currency)]],"")</f>
        <v/>
      </c>
      <c r="Z1231" s="13" t="str">
        <f>IF(tblSalaries[[#This Row],[Job Type]]=tblSalaries[[#Headers],[Engineer]],tblSalaries[[#This Row],[Salary in USD]],"")</f>
        <v/>
      </c>
      <c r="AA1231" s="13" t="str">
        <f>IF(tblSalaries[[#This Row],[Job Type]]=tblSalaries[[#Headers],[Manager]],tblSalaries[[#This Row],[Salary in USD]],"")</f>
        <v/>
      </c>
      <c r="AB1231" s="13" t="str">
        <f>IF(tblSalaries[[#This Row],[Job Type]]=tblSalaries[[#Headers],[Misc.]],tblSalaries[[#This Row],[Salary in USD]],"")</f>
        <v/>
      </c>
      <c r="AC1231" s="13" t="str">
        <f>IF(tblSalaries[[#This Row],[Job Type]]=tblSalaries[[#Headers],[Reporting]],tblSalaries[[#This Row],[Salary in USD]],"")</f>
        <v/>
      </c>
      <c r="AD1231" s="13" t="str">
        <f>IF(tblSalaries[[#This Row],[Job Type]]=tblSalaries[[#Headers],[Specialist]],tblSalaries[[#This Row],[Salary in USD]],"")</f>
        <v/>
      </c>
    </row>
    <row r="1232" spans="2:30" ht="15" customHeight="1" x14ac:dyDescent="0.25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 s="9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  <c r="N1232" t="str">
        <f>IF(tblSalaries[[#This Row],[Years of Experience]]="","",IF(tblSalaries[[#This Row],[Years of Experience]]&lt;=2,1,""))</f>
        <v/>
      </c>
      <c r="O1232">
        <f>IF(tblSalaries[[#This Row],[Years of Experience]]="","",IF(AND(tblSalaries[[#This Row],[Years of Experience]]&gt;2,tblSalaries[[#This Row],[Years of Experience]]&lt;=5),1,""))</f>
        <v>1</v>
      </c>
      <c r="P1232" t="str">
        <f>IF(tblSalaries[[#This Row],[Years of Experience]]="","",IF(AND(tblSalaries[[#This Row],[Years of Experience]]&gt;5,tblSalaries[[#This Row],[Years of Experience]]&lt;=10),1,""))</f>
        <v/>
      </c>
      <c r="Q1232" t="str">
        <f>IF(tblSalaries[[#This Row],[Years of Experience]]="","",IF(AND(tblSalaries[[#This Row],[Years of Experience]]&gt;10,tblSalaries[[#This Row],[Years of Experience]]&lt;=15),1,""))</f>
        <v/>
      </c>
      <c r="R1232" t="str">
        <f>IF(tblSalaries[[#This Row],[Years of Experience]]="","",IF(AND(tblSalaries[[#This Row],[Years of Experience]]&gt;16,tblSalaries[[#This Row],[Years of Experience]]&lt;=20),1,""))</f>
        <v/>
      </c>
      <c r="S1232" t="str">
        <f>IF(tblSalaries[[#This Row],[Years of Experience]]="","",IF(tblSalaries[[#This Row],[Years of Experience]]&gt;20,1,""))</f>
        <v/>
      </c>
      <c r="T12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32" s="13">
        <f>IF(tblSalaries[[#This Row],[Job Type]]=tblSalaries[[#Headers],[Accountant]],tblSalaries[[#This Row],[Salary in USD]],"")</f>
        <v>81592.772512210868</v>
      </c>
      <c r="V1232" s="13" t="str">
        <f>IF(tblSalaries[[#This Row],[Job Type]]=tblSalaries[[#Headers],[Analyst]],tblSalaries[[#This Row],[Salary in USD]],"")</f>
        <v/>
      </c>
      <c r="W1232" s="13" t="str">
        <f>IF(tblSalaries[[#This Row],[Job Type]]=tblSalaries[[#Headers],[Consultant]],tblSalaries[[#This Row],[Salary in USD]],"")</f>
        <v/>
      </c>
      <c r="X1232" s="13" t="str">
        <f>IF(tblSalaries[[#This Row],[Job Type]]=tblSalaries[[#Headers],[Controller]],tblSalaries[[#This Row],[Salary in USD]],"")</f>
        <v/>
      </c>
      <c r="Y1232" s="13" t="str">
        <f>IF(tblSalaries[[#This Row],[Job Type]]=tblSalaries[[#Headers],[CXO or Top Mgmt.]],tblSalaries[[#This Row],[clean Salary (in local currency)]],"")</f>
        <v/>
      </c>
      <c r="Z1232" s="13" t="str">
        <f>IF(tblSalaries[[#This Row],[Job Type]]=tblSalaries[[#Headers],[Engineer]],tblSalaries[[#This Row],[Salary in USD]],"")</f>
        <v/>
      </c>
      <c r="AA1232" s="13" t="str">
        <f>IF(tblSalaries[[#This Row],[Job Type]]=tblSalaries[[#Headers],[Manager]],tblSalaries[[#This Row],[Salary in USD]],"")</f>
        <v/>
      </c>
      <c r="AB1232" s="13" t="str">
        <f>IF(tblSalaries[[#This Row],[Job Type]]=tblSalaries[[#Headers],[Misc.]],tblSalaries[[#This Row],[Salary in USD]],"")</f>
        <v/>
      </c>
      <c r="AC1232" s="13" t="str">
        <f>IF(tblSalaries[[#This Row],[Job Type]]=tblSalaries[[#Headers],[Reporting]],tblSalaries[[#This Row],[Salary in USD]],"")</f>
        <v/>
      </c>
      <c r="AD1232" s="13" t="str">
        <f>IF(tblSalaries[[#This Row],[Job Type]]=tblSalaries[[#Headers],[Specialist]],tblSalaries[[#This Row],[Salary in USD]],"")</f>
        <v/>
      </c>
    </row>
    <row r="1233" spans="2:30" ht="15" customHeight="1" x14ac:dyDescent="0.25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 s="9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  <c r="N1233" t="str">
        <f>IF(tblSalaries[[#This Row],[Years of Experience]]="","",IF(tblSalaries[[#This Row],[Years of Experience]]&lt;=2,1,""))</f>
        <v/>
      </c>
      <c r="O1233" t="str">
        <f>IF(tblSalaries[[#This Row],[Years of Experience]]="","",IF(AND(tblSalaries[[#This Row],[Years of Experience]]&gt;2,tblSalaries[[#This Row],[Years of Experience]]&lt;=5),1,""))</f>
        <v/>
      </c>
      <c r="P1233" t="str">
        <f>IF(tblSalaries[[#This Row],[Years of Experience]]="","",IF(AND(tblSalaries[[#This Row],[Years of Experience]]&gt;5,tblSalaries[[#This Row],[Years of Experience]]&lt;=10),1,""))</f>
        <v/>
      </c>
      <c r="Q1233">
        <f>IF(tblSalaries[[#This Row],[Years of Experience]]="","",IF(AND(tblSalaries[[#This Row],[Years of Experience]]&gt;10,tblSalaries[[#This Row],[Years of Experience]]&lt;=15),1,""))</f>
        <v>1</v>
      </c>
      <c r="R1233" t="str">
        <f>IF(tblSalaries[[#This Row],[Years of Experience]]="","",IF(AND(tblSalaries[[#This Row],[Years of Experience]]&gt;16,tblSalaries[[#This Row],[Years of Experience]]&lt;=20),1,""))</f>
        <v/>
      </c>
      <c r="S1233" t="str">
        <f>IF(tblSalaries[[#This Row],[Years of Experience]]="","",IF(tblSalaries[[#This Row],[Years of Experience]]&gt;20,1,""))</f>
        <v/>
      </c>
      <c r="T12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33" s="13" t="str">
        <f>IF(tblSalaries[[#This Row],[Job Type]]=tblSalaries[[#Headers],[Accountant]],tblSalaries[[#This Row],[Salary in USD]],"")</f>
        <v/>
      </c>
      <c r="V1233" s="13">
        <f>IF(tblSalaries[[#This Row],[Job Type]]=tblSalaries[[#Headers],[Analyst]],tblSalaries[[#This Row],[Salary in USD]],"")</f>
        <v>50700</v>
      </c>
      <c r="W1233" s="13" t="str">
        <f>IF(tblSalaries[[#This Row],[Job Type]]=tblSalaries[[#Headers],[Consultant]],tblSalaries[[#This Row],[Salary in USD]],"")</f>
        <v/>
      </c>
      <c r="X1233" s="13" t="str">
        <f>IF(tblSalaries[[#This Row],[Job Type]]=tblSalaries[[#Headers],[Controller]],tblSalaries[[#This Row],[Salary in USD]],"")</f>
        <v/>
      </c>
      <c r="Y1233" s="13" t="str">
        <f>IF(tblSalaries[[#This Row],[Job Type]]=tblSalaries[[#Headers],[CXO or Top Mgmt.]],tblSalaries[[#This Row],[clean Salary (in local currency)]],"")</f>
        <v/>
      </c>
      <c r="Z1233" s="13" t="str">
        <f>IF(tblSalaries[[#This Row],[Job Type]]=tblSalaries[[#Headers],[Engineer]],tblSalaries[[#This Row],[Salary in USD]],"")</f>
        <v/>
      </c>
      <c r="AA1233" s="13" t="str">
        <f>IF(tblSalaries[[#This Row],[Job Type]]=tblSalaries[[#Headers],[Manager]],tblSalaries[[#This Row],[Salary in USD]],"")</f>
        <v/>
      </c>
      <c r="AB1233" s="13" t="str">
        <f>IF(tblSalaries[[#This Row],[Job Type]]=tblSalaries[[#Headers],[Misc.]],tblSalaries[[#This Row],[Salary in USD]],"")</f>
        <v/>
      </c>
      <c r="AC1233" s="13" t="str">
        <f>IF(tblSalaries[[#This Row],[Job Type]]=tblSalaries[[#Headers],[Reporting]],tblSalaries[[#This Row],[Salary in USD]],"")</f>
        <v/>
      </c>
      <c r="AD1233" s="13" t="str">
        <f>IF(tblSalaries[[#This Row],[Job Type]]=tblSalaries[[#Headers],[Specialist]],tblSalaries[[#This Row],[Salary in USD]],"")</f>
        <v/>
      </c>
    </row>
    <row r="1234" spans="2:30" ht="15" customHeight="1" x14ac:dyDescent="0.25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 s="9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  <c r="N1234">
        <f>IF(tblSalaries[[#This Row],[Years of Experience]]="","",IF(tblSalaries[[#This Row],[Years of Experience]]&lt;=2,1,""))</f>
        <v>1</v>
      </c>
      <c r="O1234" t="str">
        <f>IF(tblSalaries[[#This Row],[Years of Experience]]="","",IF(AND(tblSalaries[[#This Row],[Years of Experience]]&gt;2,tblSalaries[[#This Row],[Years of Experience]]&lt;=5),1,""))</f>
        <v/>
      </c>
      <c r="P1234" t="str">
        <f>IF(tblSalaries[[#This Row],[Years of Experience]]="","",IF(AND(tblSalaries[[#This Row],[Years of Experience]]&gt;5,tblSalaries[[#This Row],[Years of Experience]]&lt;=10),1,""))</f>
        <v/>
      </c>
      <c r="Q1234" t="str">
        <f>IF(tblSalaries[[#This Row],[Years of Experience]]="","",IF(AND(tblSalaries[[#This Row],[Years of Experience]]&gt;10,tblSalaries[[#This Row],[Years of Experience]]&lt;=15),1,""))</f>
        <v/>
      </c>
      <c r="R1234" t="str">
        <f>IF(tblSalaries[[#This Row],[Years of Experience]]="","",IF(AND(tblSalaries[[#This Row],[Years of Experience]]&gt;16,tblSalaries[[#This Row],[Years of Experience]]&lt;=20),1,""))</f>
        <v/>
      </c>
      <c r="S1234" t="str">
        <f>IF(tblSalaries[[#This Row],[Years of Experience]]="","",IF(tblSalaries[[#This Row],[Years of Experience]]&gt;20,1,""))</f>
        <v/>
      </c>
      <c r="T12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34" s="13" t="str">
        <f>IF(tblSalaries[[#This Row],[Job Type]]=tblSalaries[[#Headers],[Accountant]],tblSalaries[[#This Row],[Salary in USD]],"")</f>
        <v/>
      </c>
      <c r="V1234" s="13">
        <f>IF(tblSalaries[[#This Row],[Job Type]]=tblSalaries[[#Headers],[Analyst]],tblSalaries[[#This Row],[Salary in USD]],"")</f>
        <v>31523.565441345683</v>
      </c>
      <c r="W1234" s="13" t="str">
        <f>IF(tblSalaries[[#This Row],[Job Type]]=tblSalaries[[#Headers],[Consultant]],tblSalaries[[#This Row],[Salary in USD]],"")</f>
        <v/>
      </c>
      <c r="X1234" s="13" t="str">
        <f>IF(tblSalaries[[#This Row],[Job Type]]=tblSalaries[[#Headers],[Controller]],tblSalaries[[#This Row],[Salary in USD]],"")</f>
        <v/>
      </c>
      <c r="Y1234" s="13" t="str">
        <f>IF(tblSalaries[[#This Row],[Job Type]]=tblSalaries[[#Headers],[CXO or Top Mgmt.]],tblSalaries[[#This Row],[clean Salary (in local currency)]],"")</f>
        <v/>
      </c>
      <c r="Z1234" s="13" t="str">
        <f>IF(tblSalaries[[#This Row],[Job Type]]=tblSalaries[[#Headers],[Engineer]],tblSalaries[[#This Row],[Salary in USD]],"")</f>
        <v/>
      </c>
      <c r="AA1234" s="13" t="str">
        <f>IF(tblSalaries[[#This Row],[Job Type]]=tblSalaries[[#Headers],[Manager]],tblSalaries[[#This Row],[Salary in USD]],"")</f>
        <v/>
      </c>
      <c r="AB1234" s="13" t="str">
        <f>IF(tblSalaries[[#This Row],[Job Type]]=tblSalaries[[#Headers],[Misc.]],tblSalaries[[#This Row],[Salary in USD]],"")</f>
        <v/>
      </c>
      <c r="AC1234" s="13" t="str">
        <f>IF(tblSalaries[[#This Row],[Job Type]]=tblSalaries[[#Headers],[Reporting]],tblSalaries[[#This Row],[Salary in USD]],"")</f>
        <v/>
      </c>
      <c r="AD1234" s="13" t="str">
        <f>IF(tblSalaries[[#This Row],[Job Type]]=tblSalaries[[#Headers],[Specialist]],tblSalaries[[#This Row],[Salary in USD]],"")</f>
        <v/>
      </c>
    </row>
    <row r="1235" spans="2:30" ht="15" customHeight="1" x14ac:dyDescent="0.25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 s="9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  <c r="N1235" t="str">
        <f>IF(tblSalaries[[#This Row],[Years of Experience]]="","",IF(tblSalaries[[#This Row],[Years of Experience]]&lt;=2,1,""))</f>
        <v/>
      </c>
      <c r="O1235" t="str">
        <f>IF(tblSalaries[[#This Row],[Years of Experience]]="","",IF(AND(tblSalaries[[#This Row],[Years of Experience]]&gt;2,tblSalaries[[#This Row],[Years of Experience]]&lt;=5),1,""))</f>
        <v/>
      </c>
      <c r="P1235">
        <f>IF(tblSalaries[[#This Row],[Years of Experience]]="","",IF(AND(tblSalaries[[#This Row],[Years of Experience]]&gt;5,tblSalaries[[#This Row],[Years of Experience]]&lt;=10),1,""))</f>
        <v>1</v>
      </c>
      <c r="Q1235" t="str">
        <f>IF(tblSalaries[[#This Row],[Years of Experience]]="","",IF(AND(tblSalaries[[#This Row],[Years of Experience]]&gt;10,tblSalaries[[#This Row],[Years of Experience]]&lt;=15),1,""))</f>
        <v/>
      </c>
      <c r="R1235" t="str">
        <f>IF(tblSalaries[[#This Row],[Years of Experience]]="","",IF(AND(tblSalaries[[#This Row],[Years of Experience]]&gt;16,tblSalaries[[#This Row],[Years of Experience]]&lt;=20),1,""))</f>
        <v/>
      </c>
      <c r="S1235" t="str">
        <f>IF(tblSalaries[[#This Row],[Years of Experience]]="","",IF(tblSalaries[[#This Row],[Years of Experience]]&gt;20,1,""))</f>
        <v/>
      </c>
      <c r="T12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35" s="13" t="str">
        <f>IF(tblSalaries[[#This Row],[Job Type]]=tblSalaries[[#Headers],[Accountant]],tblSalaries[[#This Row],[Salary in USD]],"")</f>
        <v/>
      </c>
      <c r="V1235" s="13">
        <f>IF(tblSalaries[[#This Row],[Job Type]]=tblSalaries[[#Headers],[Analyst]],tblSalaries[[#This Row],[Salary in USD]],"")</f>
        <v>70000</v>
      </c>
      <c r="W1235" s="13" t="str">
        <f>IF(tblSalaries[[#This Row],[Job Type]]=tblSalaries[[#Headers],[Consultant]],tblSalaries[[#This Row],[Salary in USD]],"")</f>
        <v/>
      </c>
      <c r="X1235" s="13" t="str">
        <f>IF(tblSalaries[[#This Row],[Job Type]]=tblSalaries[[#Headers],[Controller]],tblSalaries[[#This Row],[Salary in USD]],"")</f>
        <v/>
      </c>
      <c r="Y1235" s="13" t="str">
        <f>IF(tblSalaries[[#This Row],[Job Type]]=tblSalaries[[#Headers],[CXO or Top Mgmt.]],tblSalaries[[#This Row],[clean Salary (in local currency)]],"")</f>
        <v/>
      </c>
      <c r="Z1235" s="13" t="str">
        <f>IF(tblSalaries[[#This Row],[Job Type]]=tblSalaries[[#Headers],[Engineer]],tblSalaries[[#This Row],[Salary in USD]],"")</f>
        <v/>
      </c>
      <c r="AA1235" s="13" t="str">
        <f>IF(tblSalaries[[#This Row],[Job Type]]=tblSalaries[[#Headers],[Manager]],tblSalaries[[#This Row],[Salary in USD]],"")</f>
        <v/>
      </c>
      <c r="AB1235" s="13" t="str">
        <f>IF(tblSalaries[[#This Row],[Job Type]]=tblSalaries[[#Headers],[Misc.]],tblSalaries[[#This Row],[Salary in USD]],"")</f>
        <v/>
      </c>
      <c r="AC1235" s="13" t="str">
        <f>IF(tblSalaries[[#This Row],[Job Type]]=tblSalaries[[#Headers],[Reporting]],tblSalaries[[#This Row],[Salary in USD]],"")</f>
        <v/>
      </c>
      <c r="AD1235" s="13" t="str">
        <f>IF(tblSalaries[[#This Row],[Job Type]]=tblSalaries[[#Headers],[Specialist]],tblSalaries[[#This Row],[Salary in USD]],"")</f>
        <v/>
      </c>
    </row>
    <row r="1236" spans="2:30" ht="15" customHeight="1" x14ac:dyDescent="0.25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 s="9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  <c r="N1236" t="str">
        <f>IF(tblSalaries[[#This Row],[Years of Experience]]="","",IF(tblSalaries[[#This Row],[Years of Experience]]&lt;=2,1,""))</f>
        <v/>
      </c>
      <c r="O1236" t="str">
        <f>IF(tblSalaries[[#This Row],[Years of Experience]]="","",IF(AND(tblSalaries[[#This Row],[Years of Experience]]&gt;2,tblSalaries[[#This Row],[Years of Experience]]&lt;=5),1,""))</f>
        <v/>
      </c>
      <c r="P1236" t="str">
        <f>IF(tblSalaries[[#This Row],[Years of Experience]]="","",IF(AND(tblSalaries[[#This Row],[Years of Experience]]&gt;5,tblSalaries[[#This Row],[Years of Experience]]&lt;=10),1,""))</f>
        <v/>
      </c>
      <c r="Q1236">
        <f>IF(tblSalaries[[#This Row],[Years of Experience]]="","",IF(AND(tblSalaries[[#This Row],[Years of Experience]]&gt;10,tblSalaries[[#This Row],[Years of Experience]]&lt;=15),1,""))</f>
        <v>1</v>
      </c>
      <c r="R1236" t="str">
        <f>IF(tblSalaries[[#This Row],[Years of Experience]]="","",IF(AND(tblSalaries[[#This Row],[Years of Experience]]&gt;16,tblSalaries[[#This Row],[Years of Experience]]&lt;=20),1,""))</f>
        <v/>
      </c>
      <c r="S1236" t="str">
        <f>IF(tblSalaries[[#This Row],[Years of Experience]]="","",IF(tblSalaries[[#This Row],[Years of Experience]]&gt;20,1,""))</f>
        <v/>
      </c>
      <c r="T12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36" s="13" t="str">
        <f>IF(tblSalaries[[#This Row],[Job Type]]=tblSalaries[[#Headers],[Accountant]],tblSalaries[[#This Row],[Salary in USD]],"")</f>
        <v/>
      </c>
      <c r="V1236" s="13" t="str">
        <f>IF(tblSalaries[[#This Row],[Job Type]]=tblSalaries[[#Headers],[Analyst]],tblSalaries[[#This Row],[Salary in USD]],"")</f>
        <v/>
      </c>
      <c r="W1236" s="13" t="str">
        <f>IF(tblSalaries[[#This Row],[Job Type]]=tblSalaries[[#Headers],[Consultant]],tblSalaries[[#This Row],[Salary in USD]],"")</f>
        <v/>
      </c>
      <c r="X1236" s="13" t="str">
        <f>IF(tblSalaries[[#This Row],[Job Type]]=tblSalaries[[#Headers],[Controller]],tblSalaries[[#This Row],[Salary in USD]],"")</f>
        <v/>
      </c>
      <c r="Y1236" s="13" t="str">
        <f>IF(tblSalaries[[#This Row],[Job Type]]=tblSalaries[[#Headers],[CXO or Top Mgmt.]],tblSalaries[[#This Row],[clean Salary (in local currency)]],"")</f>
        <v/>
      </c>
      <c r="Z1236" s="13" t="str">
        <f>IF(tblSalaries[[#This Row],[Job Type]]=tblSalaries[[#Headers],[Engineer]],tblSalaries[[#This Row],[Salary in USD]],"")</f>
        <v/>
      </c>
      <c r="AA1236" s="13">
        <f>IF(tblSalaries[[#This Row],[Job Type]]=tblSalaries[[#Headers],[Manager]],tblSalaries[[#This Row],[Salary in USD]],"")</f>
        <v>63918.498996971248</v>
      </c>
      <c r="AB1236" s="13" t="str">
        <f>IF(tblSalaries[[#This Row],[Job Type]]=tblSalaries[[#Headers],[Misc.]],tblSalaries[[#This Row],[Salary in USD]],"")</f>
        <v/>
      </c>
      <c r="AC1236" s="13" t="str">
        <f>IF(tblSalaries[[#This Row],[Job Type]]=tblSalaries[[#Headers],[Reporting]],tblSalaries[[#This Row],[Salary in USD]],"")</f>
        <v/>
      </c>
      <c r="AD1236" s="13" t="str">
        <f>IF(tblSalaries[[#This Row],[Job Type]]=tblSalaries[[#Headers],[Specialist]],tblSalaries[[#This Row],[Salary in USD]],"")</f>
        <v/>
      </c>
    </row>
    <row r="1237" spans="2:30" ht="15" customHeight="1" x14ac:dyDescent="0.25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 s="9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  <c r="N1237">
        <f>IF(tblSalaries[[#This Row],[Years of Experience]]="","",IF(tblSalaries[[#This Row],[Years of Experience]]&lt;=2,1,""))</f>
        <v>1</v>
      </c>
      <c r="O1237" t="str">
        <f>IF(tblSalaries[[#This Row],[Years of Experience]]="","",IF(AND(tblSalaries[[#This Row],[Years of Experience]]&gt;2,tblSalaries[[#This Row],[Years of Experience]]&lt;=5),1,""))</f>
        <v/>
      </c>
      <c r="P1237" t="str">
        <f>IF(tblSalaries[[#This Row],[Years of Experience]]="","",IF(AND(tblSalaries[[#This Row],[Years of Experience]]&gt;5,tblSalaries[[#This Row],[Years of Experience]]&lt;=10),1,""))</f>
        <v/>
      </c>
      <c r="Q1237" t="str">
        <f>IF(tblSalaries[[#This Row],[Years of Experience]]="","",IF(AND(tblSalaries[[#This Row],[Years of Experience]]&gt;10,tblSalaries[[#This Row],[Years of Experience]]&lt;=15),1,""))</f>
        <v/>
      </c>
      <c r="R1237" t="str">
        <f>IF(tblSalaries[[#This Row],[Years of Experience]]="","",IF(AND(tblSalaries[[#This Row],[Years of Experience]]&gt;16,tblSalaries[[#This Row],[Years of Experience]]&lt;=20),1,""))</f>
        <v/>
      </c>
      <c r="S1237" t="str">
        <f>IF(tblSalaries[[#This Row],[Years of Experience]]="","",IF(tblSalaries[[#This Row],[Years of Experience]]&gt;20,1,""))</f>
        <v/>
      </c>
      <c r="T12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37" s="13" t="str">
        <f>IF(tblSalaries[[#This Row],[Job Type]]=tblSalaries[[#Headers],[Accountant]],tblSalaries[[#This Row],[Salary in USD]],"")</f>
        <v/>
      </c>
      <c r="V1237" s="13">
        <f>IF(tblSalaries[[#This Row],[Job Type]]=tblSalaries[[#Headers],[Analyst]],tblSalaries[[#This Row],[Salary in USD]],"")</f>
        <v>7261.724659606657</v>
      </c>
      <c r="W1237" s="13" t="str">
        <f>IF(tblSalaries[[#This Row],[Job Type]]=tblSalaries[[#Headers],[Consultant]],tblSalaries[[#This Row],[Salary in USD]],"")</f>
        <v/>
      </c>
      <c r="X1237" s="13" t="str">
        <f>IF(tblSalaries[[#This Row],[Job Type]]=tblSalaries[[#Headers],[Controller]],tblSalaries[[#This Row],[Salary in USD]],"")</f>
        <v/>
      </c>
      <c r="Y1237" s="13" t="str">
        <f>IF(tblSalaries[[#This Row],[Job Type]]=tblSalaries[[#Headers],[CXO or Top Mgmt.]],tblSalaries[[#This Row],[clean Salary (in local currency)]],"")</f>
        <v/>
      </c>
      <c r="Z1237" s="13" t="str">
        <f>IF(tblSalaries[[#This Row],[Job Type]]=tblSalaries[[#Headers],[Engineer]],tblSalaries[[#This Row],[Salary in USD]],"")</f>
        <v/>
      </c>
      <c r="AA1237" s="13" t="str">
        <f>IF(tblSalaries[[#This Row],[Job Type]]=tblSalaries[[#Headers],[Manager]],tblSalaries[[#This Row],[Salary in USD]],"")</f>
        <v/>
      </c>
      <c r="AB1237" s="13" t="str">
        <f>IF(tblSalaries[[#This Row],[Job Type]]=tblSalaries[[#Headers],[Misc.]],tblSalaries[[#This Row],[Salary in USD]],"")</f>
        <v/>
      </c>
      <c r="AC1237" s="13" t="str">
        <f>IF(tblSalaries[[#This Row],[Job Type]]=tblSalaries[[#Headers],[Reporting]],tblSalaries[[#This Row],[Salary in USD]],"")</f>
        <v/>
      </c>
      <c r="AD1237" s="13" t="str">
        <f>IF(tblSalaries[[#This Row],[Job Type]]=tblSalaries[[#Headers],[Specialist]],tblSalaries[[#This Row],[Salary in USD]],"")</f>
        <v/>
      </c>
    </row>
    <row r="1238" spans="2:30" ht="15" customHeight="1" x14ac:dyDescent="0.25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 s="9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  <c r="N1238">
        <f>IF(tblSalaries[[#This Row],[Years of Experience]]="","",IF(tblSalaries[[#This Row],[Years of Experience]]&lt;=2,1,""))</f>
        <v>1</v>
      </c>
      <c r="O1238" t="str">
        <f>IF(tblSalaries[[#This Row],[Years of Experience]]="","",IF(AND(tblSalaries[[#This Row],[Years of Experience]]&gt;2,tblSalaries[[#This Row],[Years of Experience]]&lt;=5),1,""))</f>
        <v/>
      </c>
      <c r="P1238" t="str">
        <f>IF(tblSalaries[[#This Row],[Years of Experience]]="","",IF(AND(tblSalaries[[#This Row],[Years of Experience]]&gt;5,tblSalaries[[#This Row],[Years of Experience]]&lt;=10),1,""))</f>
        <v/>
      </c>
      <c r="Q1238" t="str">
        <f>IF(tblSalaries[[#This Row],[Years of Experience]]="","",IF(AND(tblSalaries[[#This Row],[Years of Experience]]&gt;10,tblSalaries[[#This Row],[Years of Experience]]&lt;=15),1,""))</f>
        <v/>
      </c>
      <c r="R1238" t="str">
        <f>IF(tblSalaries[[#This Row],[Years of Experience]]="","",IF(AND(tblSalaries[[#This Row],[Years of Experience]]&gt;16,tblSalaries[[#This Row],[Years of Experience]]&lt;=20),1,""))</f>
        <v/>
      </c>
      <c r="S1238" t="str">
        <f>IF(tblSalaries[[#This Row],[Years of Experience]]="","",IF(tblSalaries[[#This Row],[Years of Experience]]&gt;20,1,""))</f>
        <v/>
      </c>
      <c r="T12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38" s="13" t="str">
        <f>IF(tblSalaries[[#This Row],[Job Type]]=tblSalaries[[#Headers],[Accountant]],tblSalaries[[#This Row],[Salary in USD]],"")</f>
        <v/>
      </c>
      <c r="V1238" s="13" t="str">
        <f>IF(tblSalaries[[#This Row],[Job Type]]=tblSalaries[[#Headers],[Analyst]],tblSalaries[[#This Row],[Salary in USD]],"")</f>
        <v/>
      </c>
      <c r="W1238" s="13" t="str">
        <f>IF(tblSalaries[[#This Row],[Job Type]]=tblSalaries[[#Headers],[Consultant]],tblSalaries[[#This Row],[Salary in USD]],"")</f>
        <v/>
      </c>
      <c r="X1238" s="13" t="str">
        <f>IF(tblSalaries[[#This Row],[Job Type]]=tblSalaries[[#Headers],[Controller]],tblSalaries[[#This Row],[Salary in USD]],"")</f>
        <v/>
      </c>
      <c r="Y1238" s="13" t="str">
        <f>IF(tblSalaries[[#This Row],[Job Type]]=tblSalaries[[#Headers],[CXO or Top Mgmt.]],tblSalaries[[#This Row],[clean Salary (in local currency)]],"")</f>
        <v/>
      </c>
      <c r="Z1238" s="13">
        <f>IF(tblSalaries[[#This Row],[Job Type]]=tblSalaries[[#Headers],[Engineer]],tblSalaries[[#This Row],[Salary in USD]],"")</f>
        <v>11404.820437438224</v>
      </c>
      <c r="AA1238" s="13" t="str">
        <f>IF(tblSalaries[[#This Row],[Job Type]]=tblSalaries[[#Headers],[Manager]],tblSalaries[[#This Row],[Salary in USD]],"")</f>
        <v/>
      </c>
      <c r="AB1238" s="13" t="str">
        <f>IF(tblSalaries[[#This Row],[Job Type]]=tblSalaries[[#Headers],[Misc.]],tblSalaries[[#This Row],[Salary in USD]],"")</f>
        <v/>
      </c>
      <c r="AC1238" s="13" t="str">
        <f>IF(tblSalaries[[#This Row],[Job Type]]=tblSalaries[[#Headers],[Reporting]],tblSalaries[[#This Row],[Salary in USD]],"")</f>
        <v/>
      </c>
      <c r="AD1238" s="13" t="str">
        <f>IF(tblSalaries[[#This Row],[Job Type]]=tblSalaries[[#Headers],[Specialist]],tblSalaries[[#This Row],[Salary in USD]],"")</f>
        <v/>
      </c>
    </row>
    <row r="1239" spans="2:30" ht="15" customHeight="1" x14ac:dyDescent="0.25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 s="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  <c r="N1239" t="str">
        <f>IF(tblSalaries[[#This Row],[Years of Experience]]="","",IF(tblSalaries[[#This Row],[Years of Experience]]&lt;=2,1,""))</f>
        <v/>
      </c>
      <c r="O1239">
        <f>IF(tblSalaries[[#This Row],[Years of Experience]]="","",IF(AND(tblSalaries[[#This Row],[Years of Experience]]&gt;2,tblSalaries[[#This Row],[Years of Experience]]&lt;=5),1,""))</f>
        <v>1</v>
      </c>
      <c r="P1239" t="str">
        <f>IF(tblSalaries[[#This Row],[Years of Experience]]="","",IF(AND(tblSalaries[[#This Row],[Years of Experience]]&gt;5,tblSalaries[[#This Row],[Years of Experience]]&lt;=10),1,""))</f>
        <v/>
      </c>
      <c r="Q1239" t="str">
        <f>IF(tblSalaries[[#This Row],[Years of Experience]]="","",IF(AND(tblSalaries[[#This Row],[Years of Experience]]&gt;10,tblSalaries[[#This Row],[Years of Experience]]&lt;=15),1,""))</f>
        <v/>
      </c>
      <c r="R1239" t="str">
        <f>IF(tblSalaries[[#This Row],[Years of Experience]]="","",IF(AND(tblSalaries[[#This Row],[Years of Experience]]&gt;16,tblSalaries[[#This Row],[Years of Experience]]&lt;=20),1,""))</f>
        <v/>
      </c>
      <c r="S1239" t="str">
        <f>IF(tblSalaries[[#This Row],[Years of Experience]]="","",IF(tblSalaries[[#This Row],[Years of Experience]]&gt;20,1,""))</f>
        <v/>
      </c>
      <c r="T12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39" s="13" t="str">
        <f>IF(tblSalaries[[#This Row],[Job Type]]=tblSalaries[[#Headers],[Accountant]],tblSalaries[[#This Row],[Salary in USD]],"")</f>
        <v/>
      </c>
      <c r="V1239" s="13" t="str">
        <f>IF(tblSalaries[[#This Row],[Job Type]]=tblSalaries[[#Headers],[Analyst]],tblSalaries[[#This Row],[Salary in USD]],"")</f>
        <v/>
      </c>
      <c r="W1239" s="13">
        <f>IF(tblSalaries[[#This Row],[Job Type]]=tblSalaries[[#Headers],[Consultant]],tblSalaries[[#This Row],[Salary in USD]],"")</f>
        <v>120000</v>
      </c>
      <c r="X1239" s="13" t="str">
        <f>IF(tblSalaries[[#This Row],[Job Type]]=tblSalaries[[#Headers],[Controller]],tblSalaries[[#This Row],[Salary in USD]],"")</f>
        <v/>
      </c>
      <c r="Y1239" s="13" t="str">
        <f>IF(tblSalaries[[#This Row],[Job Type]]=tblSalaries[[#Headers],[CXO or Top Mgmt.]],tblSalaries[[#This Row],[clean Salary (in local currency)]],"")</f>
        <v/>
      </c>
      <c r="Z1239" s="13" t="str">
        <f>IF(tblSalaries[[#This Row],[Job Type]]=tblSalaries[[#Headers],[Engineer]],tblSalaries[[#This Row],[Salary in USD]],"")</f>
        <v/>
      </c>
      <c r="AA1239" s="13" t="str">
        <f>IF(tblSalaries[[#This Row],[Job Type]]=tblSalaries[[#Headers],[Manager]],tblSalaries[[#This Row],[Salary in USD]],"")</f>
        <v/>
      </c>
      <c r="AB1239" s="13" t="str">
        <f>IF(tblSalaries[[#This Row],[Job Type]]=tblSalaries[[#Headers],[Misc.]],tblSalaries[[#This Row],[Salary in USD]],"")</f>
        <v/>
      </c>
      <c r="AC1239" s="13" t="str">
        <f>IF(tblSalaries[[#This Row],[Job Type]]=tblSalaries[[#Headers],[Reporting]],tblSalaries[[#This Row],[Salary in USD]],"")</f>
        <v/>
      </c>
      <c r="AD1239" s="13" t="str">
        <f>IF(tblSalaries[[#This Row],[Job Type]]=tblSalaries[[#Headers],[Specialist]],tblSalaries[[#This Row],[Salary in USD]],"")</f>
        <v/>
      </c>
    </row>
    <row r="1240" spans="2:30" ht="15" customHeight="1" x14ac:dyDescent="0.25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 s="9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  <c r="N1240" t="str">
        <f>IF(tblSalaries[[#This Row],[Years of Experience]]="","",IF(tblSalaries[[#This Row],[Years of Experience]]&lt;=2,1,""))</f>
        <v/>
      </c>
      <c r="O1240">
        <f>IF(tblSalaries[[#This Row],[Years of Experience]]="","",IF(AND(tblSalaries[[#This Row],[Years of Experience]]&gt;2,tblSalaries[[#This Row],[Years of Experience]]&lt;=5),1,""))</f>
        <v>1</v>
      </c>
      <c r="P1240" t="str">
        <f>IF(tblSalaries[[#This Row],[Years of Experience]]="","",IF(AND(tblSalaries[[#This Row],[Years of Experience]]&gt;5,tblSalaries[[#This Row],[Years of Experience]]&lt;=10),1,""))</f>
        <v/>
      </c>
      <c r="Q1240" t="str">
        <f>IF(tblSalaries[[#This Row],[Years of Experience]]="","",IF(AND(tblSalaries[[#This Row],[Years of Experience]]&gt;10,tblSalaries[[#This Row],[Years of Experience]]&lt;=15),1,""))</f>
        <v/>
      </c>
      <c r="R1240" t="str">
        <f>IF(tblSalaries[[#This Row],[Years of Experience]]="","",IF(AND(tblSalaries[[#This Row],[Years of Experience]]&gt;16,tblSalaries[[#This Row],[Years of Experience]]&lt;=20),1,""))</f>
        <v/>
      </c>
      <c r="S1240" t="str">
        <f>IF(tblSalaries[[#This Row],[Years of Experience]]="","",IF(tblSalaries[[#This Row],[Years of Experience]]&gt;20,1,""))</f>
        <v/>
      </c>
      <c r="T12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40" s="13" t="str">
        <f>IF(tblSalaries[[#This Row],[Job Type]]=tblSalaries[[#Headers],[Accountant]],tblSalaries[[#This Row],[Salary in USD]],"")</f>
        <v/>
      </c>
      <c r="V1240" s="13">
        <f>IF(tblSalaries[[#This Row],[Job Type]]=tblSalaries[[#Headers],[Analyst]],tblSalaries[[#This Row],[Salary in USD]],"")</f>
        <v>91791.869076237213</v>
      </c>
      <c r="W1240" s="13" t="str">
        <f>IF(tblSalaries[[#This Row],[Job Type]]=tblSalaries[[#Headers],[Consultant]],tblSalaries[[#This Row],[Salary in USD]],"")</f>
        <v/>
      </c>
      <c r="X1240" s="13" t="str">
        <f>IF(tblSalaries[[#This Row],[Job Type]]=tblSalaries[[#Headers],[Controller]],tblSalaries[[#This Row],[Salary in USD]],"")</f>
        <v/>
      </c>
      <c r="Y1240" s="13" t="str">
        <f>IF(tblSalaries[[#This Row],[Job Type]]=tblSalaries[[#Headers],[CXO or Top Mgmt.]],tblSalaries[[#This Row],[clean Salary (in local currency)]],"")</f>
        <v/>
      </c>
      <c r="Z1240" s="13" t="str">
        <f>IF(tblSalaries[[#This Row],[Job Type]]=tblSalaries[[#Headers],[Engineer]],tblSalaries[[#This Row],[Salary in USD]],"")</f>
        <v/>
      </c>
      <c r="AA1240" s="13" t="str">
        <f>IF(tblSalaries[[#This Row],[Job Type]]=tblSalaries[[#Headers],[Manager]],tblSalaries[[#This Row],[Salary in USD]],"")</f>
        <v/>
      </c>
      <c r="AB1240" s="13" t="str">
        <f>IF(tblSalaries[[#This Row],[Job Type]]=tblSalaries[[#Headers],[Misc.]],tblSalaries[[#This Row],[Salary in USD]],"")</f>
        <v/>
      </c>
      <c r="AC1240" s="13" t="str">
        <f>IF(tblSalaries[[#This Row],[Job Type]]=tblSalaries[[#Headers],[Reporting]],tblSalaries[[#This Row],[Salary in USD]],"")</f>
        <v/>
      </c>
      <c r="AD1240" s="13" t="str">
        <f>IF(tblSalaries[[#This Row],[Job Type]]=tblSalaries[[#Headers],[Specialist]],tblSalaries[[#This Row],[Salary in USD]],"")</f>
        <v/>
      </c>
    </row>
    <row r="1241" spans="2:30" ht="15" customHeight="1" x14ac:dyDescent="0.25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 s="9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  <c r="N1241" t="str">
        <f>IF(tblSalaries[[#This Row],[Years of Experience]]="","",IF(tblSalaries[[#This Row],[Years of Experience]]&lt;=2,1,""))</f>
        <v/>
      </c>
      <c r="O1241" t="str">
        <f>IF(tblSalaries[[#This Row],[Years of Experience]]="","",IF(AND(tblSalaries[[#This Row],[Years of Experience]]&gt;2,tblSalaries[[#This Row],[Years of Experience]]&lt;=5),1,""))</f>
        <v/>
      </c>
      <c r="P1241">
        <f>IF(tblSalaries[[#This Row],[Years of Experience]]="","",IF(AND(tblSalaries[[#This Row],[Years of Experience]]&gt;5,tblSalaries[[#This Row],[Years of Experience]]&lt;=10),1,""))</f>
        <v>1</v>
      </c>
      <c r="Q1241" t="str">
        <f>IF(tblSalaries[[#This Row],[Years of Experience]]="","",IF(AND(tblSalaries[[#This Row],[Years of Experience]]&gt;10,tblSalaries[[#This Row],[Years of Experience]]&lt;=15),1,""))</f>
        <v/>
      </c>
      <c r="R1241" t="str">
        <f>IF(tblSalaries[[#This Row],[Years of Experience]]="","",IF(AND(tblSalaries[[#This Row],[Years of Experience]]&gt;16,tblSalaries[[#This Row],[Years of Experience]]&lt;=20),1,""))</f>
        <v/>
      </c>
      <c r="S1241" t="str">
        <f>IF(tblSalaries[[#This Row],[Years of Experience]]="","",IF(tblSalaries[[#This Row],[Years of Experience]]&gt;20,1,""))</f>
        <v/>
      </c>
      <c r="T12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41" s="13" t="str">
        <f>IF(tblSalaries[[#This Row],[Job Type]]=tblSalaries[[#Headers],[Accountant]],tblSalaries[[#This Row],[Salary in USD]],"")</f>
        <v/>
      </c>
      <c r="V1241" s="13">
        <f>IF(tblSalaries[[#This Row],[Job Type]]=tblSalaries[[#Headers],[Analyst]],tblSalaries[[#This Row],[Salary in USD]],"")</f>
        <v>112190.06220428993</v>
      </c>
      <c r="W1241" s="13" t="str">
        <f>IF(tblSalaries[[#This Row],[Job Type]]=tblSalaries[[#Headers],[Consultant]],tblSalaries[[#This Row],[Salary in USD]],"")</f>
        <v/>
      </c>
      <c r="X1241" s="13" t="str">
        <f>IF(tblSalaries[[#This Row],[Job Type]]=tblSalaries[[#Headers],[Controller]],tblSalaries[[#This Row],[Salary in USD]],"")</f>
        <v/>
      </c>
      <c r="Y1241" s="13" t="str">
        <f>IF(tblSalaries[[#This Row],[Job Type]]=tblSalaries[[#Headers],[CXO or Top Mgmt.]],tblSalaries[[#This Row],[clean Salary (in local currency)]],"")</f>
        <v/>
      </c>
      <c r="Z1241" s="13" t="str">
        <f>IF(tblSalaries[[#This Row],[Job Type]]=tblSalaries[[#Headers],[Engineer]],tblSalaries[[#This Row],[Salary in USD]],"")</f>
        <v/>
      </c>
      <c r="AA1241" s="13" t="str">
        <f>IF(tblSalaries[[#This Row],[Job Type]]=tblSalaries[[#Headers],[Manager]],tblSalaries[[#This Row],[Salary in USD]],"")</f>
        <v/>
      </c>
      <c r="AB1241" s="13" t="str">
        <f>IF(tblSalaries[[#This Row],[Job Type]]=tblSalaries[[#Headers],[Misc.]],tblSalaries[[#This Row],[Salary in USD]],"")</f>
        <v/>
      </c>
      <c r="AC1241" s="13" t="str">
        <f>IF(tblSalaries[[#This Row],[Job Type]]=tblSalaries[[#Headers],[Reporting]],tblSalaries[[#This Row],[Salary in USD]],"")</f>
        <v/>
      </c>
      <c r="AD1241" s="13" t="str">
        <f>IF(tblSalaries[[#This Row],[Job Type]]=tblSalaries[[#Headers],[Specialist]],tblSalaries[[#This Row],[Salary in USD]],"")</f>
        <v/>
      </c>
    </row>
    <row r="1242" spans="2:30" ht="15" customHeight="1" x14ac:dyDescent="0.25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 s="9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  <c r="N1242" t="str">
        <f>IF(tblSalaries[[#This Row],[Years of Experience]]="","",IF(tblSalaries[[#This Row],[Years of Experience]]&lt;=2,1,""))</f>
        <v/>
      </c>
      <c r="O1242" t="str">
        <f>IF(tblSalaries[[#This Row],[Years of Experience]]="","",IF(AND(tblSalaries[[#This Row],[Years of Experience]]&gt;2,tblSalaries[[#This Row],[Years of Experience]]&lt;=5),1,""))</f>
        <v/>
      </c>
      <c r="P1242" t="str">
        <f>IF(tblSalaries[[#This Row],[Years of Experience]]="","",IF(AND(tblSalaries[[#This Row],[Years of Experience]]&gt;5,tblSalaries[[#This Row],[Years of Experience]]&lt;=10),1,""))</f>
        <v/>
      </c>
      <c r="Q1242" t="str">
        <f>IF(tblSalaries[[#This Row],[Years of Experience]]="","",IF(AND(tblSalaries[[#This Row],[Years of Experience]]&gt;10,tblSalaries[[#This Row],[Years of Experience]]&lt;=15),1,""))</f>
        <v/>
      </c>
      <c r="R1242">
        <f>IF(tblSalaries[[#This Row],[Years of Experience]]="","",IF(AND(tblSalaries[[#This Row],[Years of Experience]]&gt;16,tblSalaries[[#This Row],[Years of Experience]]&lt;=20),1,""))</f>
        <v>1</v>
      </c>
      <c r="S1242" t="str">
        <f>IF(tblSalaries[[#This Row],[Years of Experience]]="","",IF(tblSalaries[[#This Row],[Years of Experience]]&gt;20,1,""))</f>
        <v/>
      </c>
      <c r="T12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42" s="13" t="str">
        <f>IF(tblSalaries[[#This Row],[Job Type]]=tblSalaries[[#Headers],[Accountant]],tblSalaries[[#This Row],[Salary in USD]],"")</f>
        <v/>
      </c>
      <c r="V1242" s="13" t="str">
        <f>IF(tblSalaries[[#This Row],[Job Type]]=tblSalaries[[#Headers],[Analyst]],tblSalaries[[#This Row],[Salary in USD]],"")</f>
        <v/>
      </c>
      <c r="W1242" s="13" t="str">
        <f>IF(tblSalaries[[#This Row],[Job Type]]=tblSalaries[[#Headers],[Consultant]],tblSalaries[[#This Row],[Salary in USD]],"")</f>
        <v/>
      </c>
      <c r="X1242" s="13" t="str">
        <f>IF(tblSalaries[[#This Row],[Job Type]]=tblSalaries[[#Headers],[Controller]],tblSalaries[[#This Row],[Salary in USD]],"")</f>
        <v/>
      </c>
      <c r="Y1242" s="13" t="str">
        <f>IF(tblSalaries[[#This Row],[Job Type]]=tblSalaries[[#Headers],[CXO or Top Mgmt.]],tblSalaries[[#This Row],[clean Salary (in local currency)]],"")</f>
        <v/>
      </c>
      <c r="Z1242" s="13" t="str">
        <f>IF(tblSalaries[[#This Row],[Job Type]]=tblSalaries[[#Headers],[Engineer]],tblSalaries[[#This Row],[Salary in USD]],"")</f>
        <v/>
      </c>
      <c r="AA1242" s="13">
        <f>IF(tblSalaries[[#This Row],[Job Type]]=tblSalaries[[#Headers],[Manager]],tblSalaries[[#This Row],[Salary in USD]],"")</f>
        <v>40000</v>
      </c>
      <c r="AB1242" s="13" t="str">
        <f>IF(tblSalaries[[#This Row],[Job Type]]=tblSalaries[[#Headers],[Misc.]],tblSalaries[[#This Row],[Salary in USD]],"")</f>
        <v/>
      </c>
      <c r="AC1242" s="13" t="str">
        <f>IF(tblSalaries[[#This Row],[Job Type]]=tblSalaries[[#Headers],[Reporting]],tblSalaries[[#This Row],[Salary in USD]],"")</f>
        <v/>
      </c>
      <c r="AD1242" s="13" t="str">
        <f>IF(tblSalaries[[#This Row],[Job Type]]=tblSalaries[[#Headers],[Specialist]],tblSalaries[[#This Row],[Salary in USD]],"")</f>
        <v/>
      </c>
    </row>
    <row r="1243" spans="2:30" ht="15" customHeight="1" x14ac:dyDescent="0.25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 s="9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  <c r="N1243" t="str">
        <f>IF(tblSalaries[[#This Row],[Years of Experience]]="","",IF(tblSalaries[[#This Row],[Years of Experience]]&lt;=2,1,""))</f>
        <v/>
      </c>
      <c r="O1243" t="str">
        <f>IF(tblSalaries[[#This Row],[Years of Experience]]="","",IF(AND(tblSalaries[[#This Row],[Years of Experience]]&gt;2,tblSalaries[[#This Row],[Years of Experience]]&lt;=5),1,""))</f>
        <v/>
      </c>
      <c r="P1243" t="str">
        <f>IF(tblSalaries[[#This Row],[Years of Experience]]="","",IF(AND(tblSalaries[[#This Row],[Years of Experience]]&gt;5,tblSalaries[[#This Row],[Years of Experience]]&lt;=10),1,""))</f>
        <v/>
      </c>
      <c r="Q1243">
        <f>IF(tblSalaries[[#This Row],[Years of Experience]]="","",IF(AND(tblSalaries[[#This Row],[Years of Experience]]&gt;10,tblSalaries[[#This Row],[Years of Experience]]&lt;=15),1,""))</f>
        <v>1</v>
      </c>
      <c r="R1243" t="str">
        <f>IF(tblSalaries[[#This Row],[Years of Experience]]="","",IF(AND(tblSalaries[[#This Row],[Years of Experience]]&gt;16,tblSalaries[[#This Row],[Years of Experience]]&lt;=20),1,""))</f>
        <v/>
      </c>
      <c r="S1243" t="str">
        <f>IF(tblSalaries[[#This Row],[Years of Experience]]="","",IF(tblSalaries[[#This Row],[Years of Experience]]&gt;20,1,""))</f>
        <v/>
      </c>
      <c r="T12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43" s="13">
        <f>IF(tblSalaries[[#This Row],[Job Type]]=tblSalaries[[#Headers],[Accountant]],tblSalaries[[#This Row],[Salary in USD]],"")</f>
        <v>107000</v>
      </c>
      <c r="V1243" s="13" t="str">
        <f>IF(tblSalaries[[#This Row],[Job Type]]=tblSalaries[[#Headers],[Analyst]],tblSalaries[[#This Row],[Salary in USD]],"")</f>
        <v/>
      </c>
      <c r="W1243" s="13" t="str">
        <f>IF(tblSalaries[[#This Row],[Job Type]]=tblSalaries[[#Headers],[Consultant]],tblSalaries[[#This Row],[Salary in USD]],"")</f>
        <v/>
      </c>
      <c r="X1243" s="13" t="str">
        <f>IF(tblSalaries[[#This Row],[Job Type]]=tblSalaries[[#Headers],[Controller]],tblSalaries[[#This Row],[Salary in USD]],"")</f>
        <v/>
      </c>
      <c r="Y1243" s="13" t="str">
        <f>IF(tblSalaries[[#This Row],[Job Type]]=tblSalaries[[#Headers],[CXO or Top Mgmt.]],tblSalaries[[#This Row],[clean Salary (in local currency)]],"")</f>
        <v/>
      </c>
      <c r="Z1243" s="13" t="str">
        <f>IF(tblSalaries[[#This Row],[Job Type]]=tblSalaries[[#Headers],[Engineer]],tblSalaries[[#This Row],[Salary in USD]],"")</f>
        <v/>
      </c>
      <c r="AA1243" s="13" t="str">
        <f>IF(tblSalaries[[#This Row],[Job Type]]=tblSalaries[[#Headers],[Manager]],tblSalaries[[#This Row],[Salary in USD]],"")</f>
        <v/>
      </c>
      <c r="AB1243" s="13" t="str">
        <f>IF(tblSalaries[[#This Row],[Job Type]]=tblSalaries[[#Headers],[Misc.]],tblSalaries[[#This Row],[Salary in USD]],"")</f>
        <v/>
      </c>
      <c r="AC1243" s="13" t="str">
        <f>IF(tblSalaries[[#This Row],[Job Type]]=tblSalaries[[#Headers],[Reporting]],tblSalaries[[#This Row],[Salary in USD]],"")</f>
        <v/>
      </c>
      <c r="AD1243" s="13" t="str">
        <f>IF(tblSalaries[[#This Row],[Job Type]]=tblSalaries[[#Headers],[Specialist]],tblSalaries[[#This Row],[Salary in USD]],"")</f>
        <v/>
      </c>
    </row>
    <row r="1244" spans="2:30" ht="15" customHeight="1" x14ac:dyDescent="0.25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 s="9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  <c r="N1244" t="str">
        <f>IF(tblSalaries[[#This Row],[Years of Experience]]="","",IF(tblSalaries[[#This Row],[Years of Experience]]&lt;=2,1,""))</f>
        <v/>
      </c>
      <c r="O1244" t="str">
        <f>IF(tblSalaries[[#This Row],[Years of Experience]]="","",IF(AND(tblSalaries[[#This Row],[Years of Experience]]&gt;2,tblSalaries[[#This Row],[Years of Experience]]&lt;=5),1,""))</f>
        <v/>
      </c>
      <c r="P1244">
        <f>IF(tblSalaries[[#This Row],[Years of Experience]]="","",IF(AND(tblSalaries[[#This Row],[Years of Experience]]&gt;5,tblSalaries[[#This Row],[Years of Experience]]&lt;=10),1,""))</f>
        <v>1</v>
      </c>
      <c r="Q1244" t="str">
        <f>IF(tblSalaries[[#This Row],[Years of Experience]]="","",IF(AND(tblSalaries[[#This Row],[Years of Experience]]&gt;10,tblSalaries[[#This Row],[Years of Experience]]&lt;=15),1,""))</f>
        <v/>
      </c>
      <c r="R1244" t="str">
        <f>IF(tblSalaries[[#This Row],[Years of Experience]]="","",IF(AND(tblSalaries[[#This Row],[Years of Experience]]&gt;16,tblSalaries[[#This Row],[Years of Experience]]&lt;=20),1,""))</f>
        <v/>
      </c>
      <c r="S1244" t="str">
        <f>IF(tblSalaries[[#This Row],[Years of Experience]]="","",IF(tblSalaries[[#This Row],[Years of Experience]]&gt;20,1,""))</f>
        <v/>
      </c>
      <c r="T12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44" s="13" t="str">
        <f>IF(tblSalaries[[#This Row],[Job Type]]=tblSalaries[[#Headers],[Accountant]],tblSalaries[[#This Row],[Salary in USD]],"")</f>
        <v/>
      </c>
      <c r="V1244" s="13" t="str">
        <f>IF(tblSalaries[[#This Row],[Job Type]]=tblSalaries[[#Headers],[Analyst]],tblSalaries[[#This Row],[Salary in USD]],"")</f>
        <v/>
      </c>
      <c r="W1244" s="13" t="str">
        <f>IF(tblSalaries[[#This Row],[Job Type]]=tblSalaries[[#Headers],[Consultant]],tblSalaries[[#This Row],[Salary in USD]],"")</f>
        <v/>
      </c>
      <c r="X1244" s="13" t="str">
        <f>IF(tblSalaries[[#This Row],[Job Type]]=tblSalaries[[#Headers],[Controller]],tblSalaries[[#This Row],[Salary in USD]],"")</f>
        <v/>
      </c>
      <c r="Y1244" s="13" t="str">
        <f>IF(tblSalaries[[#This Row],[Job Type]]=tblSalaries[[#Headers],[CXO or Top Mgmt.]],tblSalaries[[#This Row],[clean Salary (in local currency)]],"")</f>
        <v/>
      </c>
      <c r="Z1244" s="13" t="str">
        <f>IF(tblSalaries[[#This Row],[Job Type]]=tblSalaries[[#Headers],[Engineer]],tblSalaries[[#This Row],[Salary in USD]],"")</f>
        <v/>
      </c>
      <c r="AA1244" s="13">
        <f>IF(tblSalaries[[#This Row],[Job Type]]=tblSalaries[[#Headers],[Manager]],tblSalaries[[#This Row],[Salary in USD]],"")</f>
        <v>82000</v>
      </c>
      <c r="AB1244" s="13" t="str">
        <f>IF(tblSalaries[[#This Row],[Job Type]]=tblSalaries[[#Headers],[Misc.]],tblSalaries[[#This Row],[Salary in USD]],"")</f>
        <v/>
      </c>
      <c r="AC1244" s="13" t="str">
        <f>IF(tblSalaries[[#This Row],[Job Type]]=tblSalaries[[#Headers],[Reporting]],tblSalaries[[#This Row],[Salary in USD]],"")</f>
        <v/>
      </c>
      <c r="AD1244" s="13" t="str">
        <f>IF(tblSalaries[[#This Row],[Job Type]]=tblSalaries[[#Headers],[Specialist]],tblSalaries[[#This Row],[Salary in USD]],"")</f>
        <v/>
      </c>
    </row>
    <row r="1245" spans="2:30" ht="15" customHeight="1" x14ac:dyDescent="0.25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 s="9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  <c r="N1245" t="str">
        <f>IF(tblSalaries[[#This Row],[Years of Experience]]="","",IF(tblSalaries[[#This Row],[Years of Experience]]&lt;=2,1,""))</f>
        <v/>
      </c>
      <c r="O1245" t="str">
        <f>IF(tblSalaries[[#This Row],[Years of Experience]]="","",IF(AND(tblSalaries[[#This Row],[Years of Experience]]&gt;2,tblSalaries[[#This Row],[Years of Experience]]&lt;=5),1,""))</f>
        <v/>
      </c>
      <c r="P1245" t="str">
        <f>IF(tblSalaries[[#This Row],[Years of Experience]]="","",IF(AND(tblSalaries[[#This Row],[Years of Experience]]&gt;5,tblSalaries[[#This Row],[Years of Experience]]&lt;=10),1,""))</f>
        <v/>
      </c>
      <c r="Q1245">
        <f>IF(tblSalaries[[#This Row],[Years of Experience]]="","",IF(AND(tblSalaries[[#This Row],[Years of Experience]]&gt;10,tblSalaries[[#This Row],[Years of Experience]]&lt;=15),1,""))</f>
        <v>1</v>
      </c>
      <c r="R1245" t="str">
        <f>IF(tblSalaries[[#This Row],[Years of Experience]]="","",IF(AND(tblSalaries[[#This Row],[Years of Experience]]&gt;16,tblSalaries[[#This Row],[Years of Experience]]&lt;=20),1,""))</f>
        <v/>
      </c>
      <c r="S1245" t="str">
        <f>IF(tblSalaries[[#This Row],[Years of Experience]]="","",IF(tblSalaries[[#This Row],[Years of Experience]]&gt;20,1,""))</f>
        <v/>
      </c>
      <c r="T12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45" s="13" t="str">
        <f>IF(tblSalaries[[#This Row],[Job Type]]=tblSalaries[[#Headers],[Accountant]],tblSalaries[[#This Row],[Salary in USD]],"")</f>
        <v/>
      </c>
      <c r="V1245" s="13" t="str">
        <f>IF(tblSalaries[[#This Row],[Job Type]]=tblSalaries[[#Headers],[Analyst]],tblSalaries[[#This Row],[Salary in USD]],"")</f>
        <v/>
      </c>
      <c r="W1245" s="13">
        <f>IF(tblSalaries[[#This Row],[Job Type]]=tblSalaries[[#Headers],[Consultant]],tblSalaries[[#This Row],[Salary in USD]],"")</f>
        <v>101990.96564026357</v>
      </c>
      <c r="X1245" s="13" t="str">
        <f>IF(tblSalaries[[#This Row],[Job Type]]=tblSalaries[[#Headers],[Controller]],tblSalaries[[#This Row],[Salary in USD]],"")</f>
        <v/>
      </c>
      <c r="Y1245" s="13" t="str">
        <f>IF(tblSalaries[[#This Row],[Job Type]]=tblSalaries[[#Headers],[CXO or Top Mgmt.]],tblSalaries[[#This Row],[clean Salary (in local currency)]],"")</f>
        <v/>
      </c>
      <c r="Z1245" s="13" t="str">
        <f>IF(tblSalaries[[#This Row],[Job Type]]=tblSalaries[[#Headers],[Engineer]],tblSalaries[[#This Row],[Salary in USD]],"")</f>
        <v/>
      </c>
      <c r="AA1245" s="13" t="str">
        <f>IF(tblSalaries[[#This Row],[Job Type]]=tblSalaries[[#Headers],[Manager]],tblSalaries[[#This Row],[Salary in USD]],"")</f>
        <v/>
      </c>
      <c r="AB1245" s="13" t="str">
        <f>IF(tblSalaries[[#This Row],[Job Type]]=tblSalaries[[#Headers],[Misc.]],tblSalaries[[#This Row],[Salary in USD]],"")</f>
        <v/>
      </c>
      <c r="AC1245" s="13" t="str">
        <f>IF(tblSalaries[[#This Row],[Job Type]]=tblSalaries[[#Headers],[Reporting]],tblSalaries[[#This Row],[Salary in USD]],"")</f>
        <v/>
      </c>
      <c r="AD1245" s="13" t="str">
        <f>IF(tblSalaries[[#This Row],[Job Type]]=tblSalaries[[#Headers],[Specialist]],tblSalaries[[#This Row],[Salary in USD]],"")</f>
        <v/>
      </c>
    </row>
    <row r="1246" spans="2:30" ht="15" customHeight="1" x14ac:dyDescent="0.25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 s="9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  <c r="N1246" t="str">
        <f>IF(tblSalaries[[#This Row],[Years of Experience]]="","",IF(tblSalaries[[#This Row],[Years of Experience]]&lt;=2,1,""))</f>
        <v/>
      </c>
      <c r="O1246">
        <f>IF(tblSalaries[[#This Row],[Years of Experience]]="","",IF(AND(tblSalaries[[#This Row],[Years of Experience]]&gt;2,tblSalaries[[#This Row],[Years of Experience]]&lt;=5),1,""))</f>
        <v>1</v>
      </c>
      <c r="P1246" t="str">
        <f>IF(tblSalaries[[#This Row],[Years of Experience]]="","",IF(AND(tblSalaries[[#This Row],[Years of Experience]]&gt;5,tblSalaries[[#This Row],[Years of Experience]]&lt;=10),1,""))</f>
        <v/>
      </c>
      <c r="Q1246" t="str">
        <f>IF(tblSalaries[[#This Row],[Years of Experience]]="","",IF(AND(tblSalaries[[#This Row],[Years of Experience]]&gt;10,tblSalaries[[#This Row],[Years of Experience]]&lt;=15),1,""))</f>
        <v/>
      </c>
      <c r="R1246" t="str">
        <f>IF(tblSalaries[[#This Row],[Years of Experience]]="","",IF(AND(tblSalaries[[#This Row],[Years of Experience]]&gt;16,tblSalaries[[#This Row],[Years of Experience]]&lt;=20),1,""))</f>
        <v/>
      </c>
      <c r="S1246" t="str">
        <f>IF(tblSalaries[[#This Row],[Years of Experience]]="","",IF(tblSalaries[[#This Row],[Years of Experience]]&gt;20,1,""))</f>
        <v/>
      </c>
      <c r="T12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46" s="13" t="str">
        <f>IF(tblSalaries[[#This Row],[Job Type]]=tblSalaries[[#Headers],[Accountant]],tblSalaries[[#This Row],[Salary in USD]],"")</f>
        <v/>
      </c>
      <c r="V1246" s="13" t="str">
        <f>IF(tblSalaries[[#This Row],[Job Type]]=tblSalaries[[#Headers],[Analyst]],tblSalaries[[#This Row],[Salary in USD]],"")</f>
        <v/>
      </c>
      <c r="W1246" s="13" t="str">
        <f>IF(tblSalaries[[#This Row],[Job Type]]=tblSalaries[[#Headers],[Consultant]],tblSalaries[[#This Row],[Salary in USD]],"")</f>
        <v/>
      </c>
      <c r="X1246" s="13" t="str">
        <f>IF(tblSalaries[[#This Row],[Job Type]]=tblSalaries[[#Headers],[Controller]],tblSalaries[[#This Row],[Salary in USD]],"")</f>
        <v/>
      </c>
      <c r="Y1246" s="13" t="str">
        <f>IF(tblSalaries[[#This Row],[Job Type]]=tblSalaries[[#Headers],[CXO or Top Mgmt.]],tblSalaries[[#This Row],[clean Salary (in local currency)]],"")</f>
        <v/>
      </c>
      <c r="Z1246" s="13" t="str">
        <f>IF(tblSalaries[[#This Row],[Job Type]]=tblSalaries[[#Headers],[Engineer]],tblSalaries[[#This Row],[Salary in USD]],"")</f>
        <v/>
      </c>
      <c r="AA1246" s="13">
        <f>IF(tblSalaries[[#This Row],[Job Type]]=tblSalaries[[#Headers],[Manager]],tblSalaries[[#This Row],[Salary in USD]],"")</f>
        <v>43000</v>
      </c>
      <c r="AB1246" s="13" t="str">
        <f>IF(tblSalaries[[#This Row],[Job Type]]=tblSalaries[[#Headers],[Misc.]],tblSalaries[[#This Row],[Salary in USD]],"")</f>
        <v/>
      </c>
      <c r="AC1246" s="13" t="str">
        <f>IF(tblSalaries[[#This Row],[Job Type]]=tblSalaries[[#Headers],[Reporting]],tblSalaries[[#This Row],[Salary in USD]],"")</f>
        <v/>
      </c>
      <c r="AD1246" s="13" t="str">
        <f>IF(tblSalaries[[#This Row],[Job Type]]=tblSalaries[[#Headers],[Specialist]],tblSalaries[[#This Row],[Salary in USD]],"")</f>
        <v/>
      </c>
    </row>
    <row r="1247" spans="2:30" ht="15" customHeight="1" x14ac:dyDescent="0.25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 s="9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  <c r="N1247" t="str">
        <f>IF(tblSalaries[[#This Row],[Years of Experience]]="","",IF(tblSalaries[[#This Row],[Years of Experience]]&lt;=2,1,""))</f>
        <v/>
      </c>
      <c r="O1247" t="str">
        <f>IF(tblSalaries[[#This Row],[Years of Experience]]="","",IF(AND(tblSalaries[[#This Row],[Years of Experience]]&gt;2,tblSalaries[[#This Row],[Years of Experience]]&lt;=5),1,""))</f>
        <v/>
      </c>
      <c r="P1247" t="str">
        <f>IF(tblSalaries[[#This Row],[Years of Experience]]="","",IF(AND(tblSalaries[[#This Row],[Years of Experience]]&gt;5,tblSalaries[[#This Row],[Years of Experience]]&lt;=10),1,""))</f>
        <v/>
      </c>
      <c r="Q1247" t="str">
        <f>IF(tblSalaries[[#This Row],[Years of Experience]]="","",IF(AND(tblSalaries[[#This Row],[Years of Experience]]&gt;10,tblSalaries[[#This Row],[Years of Experience]]&lt;=15),1,""))</f>
        <v/>
      </c>
      <c r="R1247">
        <f>IF(tblSalaries[[#This Row],[Years of Experience]]="","",IF(AND(tblSalaries[[#This Row],[Years of Experience]]&gt;16,tblSalaries[[#This Row],[Years of Experience]]&lt;=20),1,""))</f>
        <v>1</v>
      </c>
      <c r="S1247" t="str">
        <f>IF(tblSalaries[[#This Row],[Years of Experience]]="","",IF(tblSalaries[[#This Row],[Years of Experience]]&gt;20,1,""))</f>
        <v/>
      </c>
      <c r="T12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47" s="13" t="str">
        <f>IF(tblSalaries[[#This Row],[Job Type]]=tblSalaries[[#Headers],[Accountant]],tblSalaries[[#This Row],[Salary in USD]],"")</f>
        <v/>
      </c>
      <c r="V1247" s="13" t="str">
        <f>IF(tblSalaries[[#This Row],[Job Type]]=tblSalaries[[#Headers],[Analyst]],tblSalaries[[#This Row],[Salary in USD]],"")</f>
        <v/>
      </c>
      <c r="W1247" s="13" t="str">
        <f>IF(tblSalaries[[#This Row],[Job Type]]=tblSalaries[[#Headers],[Consultant]],tblSalaries[[#This Row],[Salary in USD]],"")</f>
        <v/>
      </c>
      <c r="X1247" s="13">
        <f>IF(tblSalaries[[#This Row],[Job Type]]=tblSalaries[[#Headers],[Controller]],tblSalaries[[#This Row],[Salary in USD]],"")</f>
        <v>69000</v>
      </c>
      <c r="Y1247" s="13" t="str">
        <f>IF(tblSalaries[[#This Row],[Job Type]]=tblSalaries[[#Headers],[CXO or Top Mgmt.]],tblSalaries[[#This Row],[clean Salary (in local currency)]],"")</f>
        <v/>
      </c>
      <c r="Z1247" s="13" t="str">
        <f>IF(tblSalaries[[#This Row],[Job Type]]=tblSalaries[[#Headers],[Engineer]],tblSalaries[[#This Row],[Salary in USD]],"")</f>
        <v/>
      </c>
      <c r="AA1247" s="13" t="str">
        <f>IF(tblSalaries[[#This Row],[Job Type]]=tblSalaries[[#Headers],[Manager]],tblSalaries[[#This Row],[Salary in USD]],"")</f>
        <v/>
      </c>
      <c r="AB1247" s="13" t="str">
        <f>IF(tblSalaries[[#This Row],[Job Type]]=tblSalaries[[#Headers],[Misc.]],tblSalaries[[#This Row],[Salary in USD]],"")</f>
        <v/>
      </c>
      <c r="AC1247" s="13" t="str">
        <f>IF(tblSalaries[[#This Row],[Job Type]]=tblSalaries[[#Headers],[Reporting]],tblSalaries[[#This Row],[Salary in USD]],"")</f>
        <v/>
      </c>
      <c r="AD1247" s="13" t="str">
        <f>IF(tblSalaries[[#This Row],[Job Type]]=tblSalaries[[#Headers],[Specialist]],tblSalaries[[#This Row],[Salary in USD]],"")</f>
        <v/>
      </c>
    </row>
    <row r="1248" spans="2:30" ht="15" customHeight="1" x14ac:dyDescent="0.25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 s="9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  <c r="N1248" t="str">
        <f>IF(tblSalaries[[#This Row],[Years of Experience]]="","",IF(tblSalaries[[#This Row],[Years of Experience]]&lt;=2,1,""))</f>
        <v/>
      </c>
      <c r="O1248">
        <f>IF(tblSalaries[[#This Row],[Years of Experience]]="","",IF(AND(tblSalaries[[#This Row],[Years of Experience]]&gt;2,tblSalaries[[#This Row],[Years of Experience]]&lt;=5),1,""))</f>
        <v>1</v>
      </c>
      <c r="P1248" t="str">
        <f>IF(tblSalaries[[#This Row],[Years of Experience]]="","",IF(AND(tblSalaries[[#This Row],[Years of Experience]]&gt;5,tblSalaries[[#This Row],[Years of Experience]]&lt;=10),1,""))</f>
        <v/>
      </c>
      <c r="Q1248" t="str">
        <f>IF(tblSalaries[[#This Row],[Years of Experience]]="","",IF(AND(tblSalaries[[#This Row],[Years of Experience]]&gt;10,tblSalaries[[#This Row],[Years of Experience]]&lt;=15),1,""))</f>
        <v/>
      </c>
      <c r="R1248" t="str">
        <f>IF(tblSalaries[[#This Row],[Years of Experience]]="","",IF(AND(tblSalaries[[#This Row],[Years of Experience]]&gt;16,tblSalaries[[#This Row],[Years of Experience]]&lt;=20),1,""))</f>
        <v/>
      </c>
      <c r="S1248" t="str">
        <f>IF(tblSalaries[[#This Row],[Years of Experience]]="","",IF(tblSalaries[[#This Row],[Years of Experience]]&gt;20,1,""))</f>
        <v/>
      </c>
      <c r="T12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48" s="13" t="str">
        <f>IF(tblSalaries[[#This Row],[Job Type]]=tblSalaries[[#Headers],[Accountant]],tblSalaries[[#This Row],[Salary in USD]],"")</f>
        <v/>
      </c>
      <c r="V1248" s="13" t="str">
        <f>IF(tblSalaries[[#This Row],[Job Type]]=tblSalaries[[#Headers],[Analyst]],tblSalaries[[#This Row],[Salary in USD]],"")</f>
        <v/>
      </c>
      <c r="W1248" s="13" t="str">
        <f>IF(tblSalaries[[#This Row],[Job Type]]=tblSalaries[[#Headers],[Consultant]],tblSalaries[[#This Row],[Salary in USD]],"")</f>
        <v/>
      </c>
      <c r="X1248" s="13" t="str">
        <f>IF(tblSalaries[[#This Row],[Job Type]]=tblSalaries[[#Headers],[Controller]],tblSalaries[[#This Row],[Salary in USD]],"")</f>
        <v/>
      </c>
      <c r="Y1248" s="13" t="str">
        <f>IF(tblSalaries[[#This Row],[Job Type]]=tblSalaries[[#Headers],[CXO or Top Mgmt.]],tblSalaries[[#This Row],[clean Salary (in local currency)]],"")</f>
        <v/>
      </c>
      <c r="Z1248" s="13" t="str">
        <f>IF(tblSalaries[[#This Row],[Job Type]]=tblSalaries[[#Headers],[Engineer]],tblSalaries[[#This Row],[Salary in USD]],"")</f>
        <v/>
      </c>
      <c r="AA1248" s="13">
        <f>IF(tblSalaries[[#This Row],[Job Type]]=tblSalaries[[#Headers],[Manager]],tblSalaries[[#This Row],[Salary in USD]],"")</f>
        <v>30000</v>
      </c>
      <c r="AB1248" s="13" t="str">
        <f>IF(tblSalaries[[#This Row],[Job Type]]=tblSalaries[[#Headers],[Misc.]],tblSalaries[[#This Row],[Salary in USD]],"")</f>
        <v/>
      </c>
      <c r="AC1248" s="13" t="str">
        <f>IF(tblSalaries[[#This Row],[Job Type]]=tblSalaries[[#Headers],[Reporting]],tblSalaries[[#This Row],[Salary in USD]],"")</f>
        <v/>
      </c>
      <c r="AD1248" s="13" t="str">
        <f>IF(tblSalaries[[#This Row],[Job Type]]=tblSalaries[[#Headers],[Specialist]],tblSalaries[[#This Row],[Salary in USD]],"")</f>
        <v/>
      </c>
    </row>
    <row r="1249" spans="2:30" ht="15" customHeight="1" x14ac:dyDescent="0.25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 s="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  <c r="N1249">
        <f>IF(tblSalaries[[#This Row],[Years of Experience]]="","",IF(tblSalaries[[#This Row],[Years of Experience]]&lt;=2,1,""))</f>
        <v>1</v>
      </c>
      <c r="O1249" t="str">
        <f>IF(tblSalaries[[#This Row],[Years of Experience]]="","",IF(AND(tblSalaries[[#This Row],[Years of Experience]]&gt;2,tblSalaries[[#This Row],[Years of Experience]]&lt;=5),1,""))</f>
        <v/>
      </c>
      <c r="P1249" t="str">
        <f>IF(tblSalaries[[#This Row],[Years of Experience]]="","",IF(AND(tblSalaries[[#This Row],[Years of Experience]]&gt;5,tblSalaries[[#This Row],[Years of Experience]]&lt;=10),1,""))</f>
        <v/>
      </c>
      <c r="Q1249" t="str">
        <f>IF(tblSalaries[[#This Row],[Years of Experience]]="","",IF(AND(tblSalaries[[#This Row],[Years of Experience]]&gt;10,tblSalaries[[#This Row],[Years of Experience]]&lt;=15),1,""))</f>
        <v/>
      </c>
      <c r="R1249" t="str">
        <f>IF(tblSalaries[[#This Row],[Years of Experience]]="","",IF(AND(tblSalaries[[#This Row],[Years of Experience]]&gt;16,tblSalaries[[#This Row],[Years of Experience]]&lt;=20),1,""))</f>
        <v/>
      </c>
      <c r="S1249" t="str">
        <f>IF(tblSalaries[[#This Row],[Years of Experience]]="","",IF(tblSalaries[[#This Row],[Years of Experience]]&gt;20,1,""))</f>
        <v/>
      </c>
      <c r="T12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49" s="13" t="str">
        <f>IF(tblSalaries[[#This Row],[Job Type]]=tblSalaries[[#Headers],[Accountant]],tblSalaries[[#This Row],[Salary in USD]],"")</f>
        <v/>
      </c>
      <c r="V1249" s="13">
        <f>IF(tblSalaries[[#This Row],[Job Type]]=tblSalaries[[#Headers],[Analyst]],tblSalaries[[#This Row],[Salary in USD]],"")</f>
        <v>48955.663507326513</v>
      </c>
      <c r="W1249" s="13" t="str">
        <f>IF(tblSalaries[[#This Row],[Job Type]]=tblSalaries[[#Headers],[Consultant]],tblSalaries[[#This Row],[Salary in USD]],"")</f>
        <v/>
      </c>
      <c r="X1249" s="13" t="str">
        <f>IF(tblSalaries[[#This Row],[Job Type]]=tblSalaries[[#Headers],[Controller]],tblSalaries[[#This Row],[Salary in USD]],"")</f>
        <v/>
      </c>
      <c r="Y1249" s="13" t="str">
        <f>IF(tblSalaries[[#This Row],[Job Type]]=tblSalaries[[#Headers],[CXO or Top Mgmt.]],tblSalaries[[#This Row],[clean Salary (in local currency)]],"")</f>
        <v/>
      </c>
      <c r="Z1249" s="13" t="str">
        <f>IF(tblSalaries[[#This Row],[Job Type]]=tblSalaries[[#Headers],[Engineer]],tblSalaries[[#This Row],[Salary in USD]],"")</f>
        <v/>
      </c>
      <c r="AA1249" s="13" t="str">
        <f>IF(tblSalaries[[#This Row],[Job Type]]=tblSalaries[[#Headers],[Manager]],tblSalaries[[#This Row],[Salary in USD]],"")</f>
        <v/>
      </c>
      <c r="AB1249" s="13" t="str">
        <f>IF(tblSalaries[[#This Row],[Job Type]]=tblSalaries[[#Headers],[Misc.]],tblSalaries[[#This Row],[Salary in USD]],"")</f>
        <v/>
      </c>
      <c r="AC1249" s="13" t="str">
        <f>IF(tblSalaries[[#This Row],[Job Type]]=tblSalaries[[#Headers],[Reporting]],tblSalaries[[#This Row],[Salary in USD]],"")</f>
        <v/>
      </c>
      <c r="AD1249" s="13" t="str">
        <f>IF(tblSalaries[[#This Row],[Job Type]]=tblSalaries[[#Headers],[Specialist]],tblSalaries[[#This Row],[Salary in USD]],"")</f>
        <v/>
      </c>
    </row>
    <row r="1250" spans="2:30" ht="15" customHeight="1" x14ac:dyDescent="0.25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 s="9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  <c r="N1250" t="str">
        <f>IF(tblSalaries[[#This Row],[Years of Experience]]="","",IF(tblSalaries[[#This Row],[Years of Experience]]&lt;=2,1,""))</f>
        <v/>
      </c>
      <c r="O1250" t="str">
        <f>IF(tblSalaries[[#This Row],[Years of Experience]]="","",IF(AND(tblSalaries[[#This Row],[Years of Experience]]&gt;2,tblSalaries[[#This Row],[Years of Experience]]&lt;=5),1,""))</f>
        <v/>
      </c>
      <c r="P1250">
        <f>IF(tblSalaries[[#This Row],[Years of Experience]]="","",IF(AND(tblSalaries[[#This Row],[Years of Experience]]&gt;5,tblSalaries[[#This Row],[Years of Experience]]&lt;=10),1,""))</f>
        <v>1</v>
      </c>
      <c r="Q1250" t="str">
        <f>IF(tblSalaries[[#This Row],[Years of Experience]]="","",IF(AND(tblSalaries[[#This Row],[Years of Experience]]&gt;10,tblSalaries[[#This Row],[Years of Experience]]&lt;=15),1,""))</f>
        <v/>
      </c>
      <c r="R1250" t="str">
        <f>IF(tblSalaries[[#This Row],[Years of Experience]]="","",IF(AND(tblSalaries[[#This Row],[Years of Experience]]&gt;16,tblSalaries[[#This Row],[Years of Experience]]&lt;=20),1,""))</f>
        <v/>
      </c>
      <c r="S1250" t="str">
        <f>IF(tblSalaries[[#This Row],[Years of Experience]]="","",IF(tblSalaries[[#This Row],[Years of Experience]]&gt;20,1,""))</f>
        <v/>
      </c>
      <c r="T12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0" s="13" t="str">
        <f>IF(tblSalaries[[#This Row],[Job Type]]=tblSalaries[[#Headers],[Accountant]],tblSalaries[[#This Row],[Salary in USD]],"")</f>
        <v/>
      </c>
      <c r="V1250" s="13" t="str">
        <f>IF(tblSalaries[[#This Row],[Job Type]]=tblSalaries[[#Headers],[Analyst]],tblSalaries[[#This Row],[Salary in USD]],"")</f>
        <v/>
      </c>
      <c r="W1250" s="13" t="str">
        <f>IF(tblSalaries[[#This Row],[Job Type]]=tblSalaries[[#Headers],[Consultant]],tblSalaries[[#This Row],[Salary in USD]],"")</f>
        <v/>
      </c>
      <c r="X1250" s="13" t="str">
        <f>IF(tblSalaries[[#This Row],[Job Type]]=tblSalaries[[#Headers],[Controller]],tblSalaries[[#This Row],[Salary in USD]],"")</f>
        <v/>
      </c>
      <c r="Y1250" s="13" t="str">
        <f>IF(tblSalaries[[#This Row],[Job Type]]=tblSalaries[[#Headers],[CXO or Top Mgmt.]],tblSalaries[[#This Row],[clean Salary (in local currency)]],"")</f>
        <v/>
      </c>
      <c r="Z1250" s="13" t="str">
        <f>IF(tblSalaries[[#This Row],[Job Type]]=tblSalaries[[#Headers],[Engineer]],tblSalaries[[#This Row],[Salary in USD]],"")</f>
        <v/>
      </c>
      <c r="AA1250" s="13">
        <f>IF(tblSalaries[[#This Row],[Job Type]]=tblSalaries[[#Headers],[Manager]],tblSalaries[[#This Row],[Salary in USD]],"")</f>
        <v>70000</v>
      </c>
      <c r="AB1250" s="13" t="str">
        <f>IF(tblSalaries[[#This Row],[Job Type]]=tblSalaries[[#Headers],[Misc.]],tblSalaries[[#This Row],[Salary in USD]],"")</f>
        <v/>
      </c>
      <c r="AC1250" s="13" t="str">
        <f>IF(tblSalaries[[#This Row],[Job Type]]=tblSalaries[[#Headers],[Reporting]],tblSalaries[[#This Row],[Salary in USD]],"")</f>
        <v/>
      </c>
      <c r="AD1250" s="13" t="str">
        <f>IF(tblSalaries[[#This Row],[Job Type]]=tblSalaries[[#Headers],[Specialist]],tblSalaries[[#This Row],[Salary in USD]],"")</f>
        <v/>
      </c>
    </row>
    <row r="1251" spans="2:30" ht="15" customHeight="1" x14ac:dyDescent="0.25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 s="9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  <c r="N1251" t="str">
        <f>IF(tblSalaries[[#This Row],[Years of Experience]]="","",IF(tblSalaries[[#This Row],[Years of Experience]]&lt;=2,1,""))</f>
        <v/>
      </c>
      <c r="O1251" t="str">
        <f>IF(tblSalaries[[#This Row],[Years of Experience]]="","",IF(AND(tblSalaries[[#This Row],[Years of Experience]]&gt;2,tblSalaries[[#This Row],[Years of Experience]]&lt;=5),1,""))</f>
        <v/>
      </c>
      <c r="P1251">
        <f>IF(tblSalaries[[#This Row],[Years of Experience]]="","",IF(AND(tblSalaries[[#This Row],[Years of Experience]]&gt;5,tblSalaries[[#This Row],[Years of Experience]]&lt;=10),1,""))</f>
        <v>1</v>
      </c>
      <c r="Q1251" t="str">
        <f>IF(tblSalaries[[#This Row],[Years of Experience]]="","",IF(AND(tblSalaries[[#This Row],[Years of Experience]]&gt;10,tblSalaries[[#This Row],[Years of Experience]]&lt;=15),1,""))</f>
        <v/>
      </c>
      <c r="R1251" t="str">
        <f>IF(tblSalaries[[#This Row],[Years of Experience]]="","",IF(AND(tblSalaries[[#This Row],[Years of Experience]]&gt;16,tblSalaries[[#This Row],[Years of Experience]]&lt;=20),1,""))</f>
        <v/>
      </c>
      <c r="S1251" t="str">
        <f>IF(tblSalaries[[#This Row],[Years of Experience]]="","",IF(tblSalaries[[#This Row],[Years of Experience]]&gt;20,1,""))</f>
        <v/>
      </c>
      <c r="T12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1" s="13" t="str">
        <f>IF(tblSalaries[[#This Row],[Job Type]]=tblSalaries[[#Headers],[Accountant]],tblSalaries[[#This Row],[Salary in USD]],"")</f>
        <v/>
      </c>
      <c r="V1251" s="13">
        <f>IF(tblSalaries[[#This Row],[Job Type]]=tblSalaries[[#Headers],[Analyst]],tblSalaries[[#This Row],[Salary in USD]],"")</f>
        <v>45000</v>
      </c>
      <c r="W1251" s="13" t="str">
        <f>IF(tblSalaries[[#This Row],[Job Type]]=tblSalaries[[#Headers],[Consultant]],tblSalaries[[#This Row],[Salary in USD]],"")</f>
        <v/>
      </c>
      <c r="X1251" s="13" t="str">
        <f>IF(tblSalaries[[#This Row],[Job Type]]=tblSalaries[[#Headers],[Controller]],tblSalaries[[#This Row],[Salary in USD]],"")</f>
        <v/>
      </c>
      <c r="Y1251" s="13" t="str">
        <f>IF(tblSalaries[[#This Row],[Job Type]]=tblSalaries[[#Headers],[CXO or Top Mgmt.]],tblSalaries[[#This Row],[clean Salary (in local currency)]],"")</f>
        <v/>
      </c>
      <c r="Z1251" s="13" t="str">
        <f>IF(tblSalaries[[#This Row],[Job Type]]=tblSalaries[[#Headers],[Engineer]],tblSalaries[[#This Row],[Salary in USD]],"")</f>
        <v/>
      </c>
      <c r="AA1251" s="13" t="str">
        <f>IF(tblSalaries[[#This Row],[Job Type]]=tblSalaries[[#Headers],[Manager]],tblSalaries[[#This Row],[Salary in USD]],"")</f>
        <v/>
      </c>
      <c r="AB1251" s="13" t="str">
        <f>IF(tblSalaries[[#This Row],[Job Type]]=tblSalaries[[#Headers],[Misc.]],tblSalaries[[#This Row],[Salary in USD]],"")</f>
        <v/>
      </c>
      <c r="AC1251" s="13" t="str">
        <f>IF(tblSalaries[[#This Row],[Job Type]]=tblSalaries[[#Headers],[Reporting]],tblSalaries[[#This Row],[Salary in USD]],"")</f>
        <v/>
      </c>
      <c r="AD1251" s="13" t="str">
        <f>IF(tblSalaries[[#This Row],[Job Type]]=tblSalaries[[#Headers],[Specialist]],tblSalaries[[#This Row],[Salary in USD]],"")</f>
        <v/>
      </c>
    </row>
    <row r="1252" spans="2:30" ht="15" customHeight="1" x14ac:dyDescent="0.25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 s="9">
        <f>tblSalaries[[#This Row],[clean Salary (in local currency)]]*VLOOKUP(tblSalaries[[#This Row],[Currency]],tblXrate[],2,FALSE)</f>
        <v>35000</v>
      </c>
      <c r="H1252" t="s">
        <v>1426</v>
      </c>
      <c r="I1252" t="s">
        <v>4001</v>
      </c>
      <c r="J1252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  <c r="N1252" t="str">
        <f>IF(tblSalaries[[#This Row],[Years of Experience]]="","",IF(tblSalaries[[#This Row],[Years of Experience]]&lt;=2,1,""))</f>
        <v/>
      </c>
      <c r="O1252" t="str">
        <f>IF(tblSalaries[[#This Row],[Years of Experience]]="","",IF(AND(tblSalaries[[#This Row],[Years of Experience]]&gt;2,tblSalaries[[#This Row],[Years of Experience]]&lt;=5),1,""))</f>
        <v/>
      </c>
      <c r="P1252" t="str">
        <f>IF(tblSalaries[[#This Row],[Years of Experience]]="","",IF(AND(tblSalaries[[#This Row],[Years of Experience]]&gt;5,tblSalaries[[#This Row],[Years of Experience]]&lt;=10),1,""))</f>
        <v/>
      </c>
      <c r="Q1252">
        <f>IF(tblSalaries[[#This Row],[Years of Experience]]="","",IF(AND(tblSalaries[[#This Row],[Years of Experience]]&gt;10,tblSalaries[[#This Row],[Years of Experience]]&lt;=15),1,""))</f>
        <v>1</v>
      </c>
      <c r="R1252" t="str">
        <f>IF(tblSalaries[[#This Row],[Years of Experience]]="","",IF(AND(tblSalaries[[#This Row],[Years of Experience]]&gt;16,tblSalaries[[#This Row],[Years of Experience]]&lt;=20),1,""))</f>
        <v/>
      </c>
      <c r="S1252" t="str">
        <f>IF(tblSalaries[[#This Row],[Years of Experience]]="","",IF(tblSalaries[[#This Row],[Years of Experience]]&gt;20,1,""))</f>
        <v/>
      </c>
      <c r="T12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52" s="13" t="str">
        <f>IF(tblSalaries[[#This Row],[Job Type]]=tblSalaries[[#Headers],[Accountant]],tblSalaries[[#This Row],[Salary in USD]],"")</f>
        <v/>
      </c>
      <c r="V1252" s="13" t="str">
        <f>IF(tblSalaries[[#This Row],[Job Type]]=tblSalaries[[#Headers],[Analyst]],tblSalaries[[#This Row],[Salary in USD]],"")</f>
        <v/>
      </c>
      <c r="W1252" s="13" t="str">
        <f>IF(tblSalaries[[#This Row],[Job Type]]=tblSalaries[[#Headers],[Consultant]],tblSalaries[[#This Row],[Salary in USD]],"")</f>
        <v/>
      </c>
      <c r="X1252" s="13" t="str">
        <f>IF(tblSalaries[[#This Row],[Job Type]]=tblSalaries[[#Headers],[Controller]],tblSalaries[[#This Row],[Salary in USD]],"")</f>
        <v/>
      </c>
      <c r="Y1252" s="13">
        <f>IF(tblSalaries[[#This Row],[Job Type]]=tblSalaries[[#Headers],[CXO or Top Mgmt.]],tblSalaries[[#This Row],[clean Salary (in local currency)]],"")</f>
        <v>35000</v>
      </c>
      <c r="Z1252" s="13" t="str">
        <f>IF(tblSalaries[[#This Row],[Job Type]]=tblSalaries[[#Headers],[Engineer]],tblSalaries[[#This Row],[Salary in USD]],"")</f>
        <v/>
      </c>
      <c r="AA1252" s="13" t="str">
        <f>IF(tblSalaries[[#This Row],[Job Type]]=tblSalaries[[#Headers],[Manager]],tblSalaries[[#This Row],[Salary in USD]],"")</f>
        <v/>
      </c>
      <c r="AB1252" s="13" t="str">
        <f>IF(tblSalaries[[#This Row],[Job Type]]=tblSalaries[[#Headers],[Misc.]],tblSalaries[[#This Row],[Salary in USD]],"")</f>
        <v/>
      </c>
      <c r="AC1252" s="13" t="str">
        <f>IF(tblSalaries[[#This Row],[Job Type]]=tblSalaries[[#Headers],[Reporting]],tblSalaries[[#This Row],[Salary in USD]],"")</f>
        <v/>
      </c>
      <c r="AD1252" s="13" t="str">
        <f>IF(tblSalaries[[#This Row],[Job Type]]=tblSalaries[[#Headers],[Specialist]],tblSalaries[[#This Row],[Salary in USD]],"")</f>
        <v/>
      </c>
    </row>
    <row r="1253" spans="2:30" ht="15" customHeight="1" x14ac:dyDescent="0.25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 s="9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  <c r="N1253" t="str">
        <f>IF(tblSalaries[[#This Row],[Years of Experience]]="","",IF(tblSalaries[[#This Row],[Years of Experience]]&lt;=2,1,""))</f>
        <v/>
      </c>
      <c r="O1253" t="str">
        <f>IF(tblSalaries[[#This Row],[Years of Experience]]="","",IF(AND(tblSalaries[[#This Row],[Years of Experience]]&gt;2,tblSalaries[[#This Row],[Years of Experience]]&lt;=5),1,""))</f>
        <v/>
      </c>
      <c r="P1253" t="str">
        <f>IF(tblSalaries[[#This Row],[Years of Experience]]="","",IF(AND(tblSalaries[[#This Row],[Years of Experience]]&gt;5,tblSalaries[[#This Row],[Years of Experience]]&lt;=10),1,""))</f>
        <v/>
      </c>
      <c r="Q1253" t="str">
        <f>IF(tblSalaries[[#This Row],[Years of Experience]]="","",IF(AND(tblSalaries[[#This Row],[Years of Experience]]&gt;10,tblSalaries[[#This Row],[Years of Experience]]&lt;=15),1,""))</f>
        <v/>
      </c>
      <c r="R1253" t="str">
        <f>IF(tblSalaries[[#This Row],[Years of Experience]]="","",IF(AND(tblSalaries[[#This Row],[Years of Experience]]&gt;16,tblSalaries[[#This Row],[Years of Experience]]&lt;=20),1,""))</f>
        <v/>
      </c>
      <c r="S1253">
        <f>IF(tblSalaries[[#This Row],[Years of Experience]]="","",IF(tblSalaries[[#This Row],[Years of Experience]]&gt;20,1,""))</f>
        <v>1</v>
      </c>
      <c r="T12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53" s="13" t="str">
        <f>IF(tblSalaries[[#This Row],[Job Type]]=tblSalaries[[#Headers],[Accountant]],tblSalaries[[#This Row],[Salary in USD]],"")</f>
        <v/>
      </c>
      <c r="V1253" s="13" t="str">
        <f>IF(tblSalaries[[#This Row],[Job Type]]=tblSalaries[[#Headers],[Analyst]],tblSalaries[[#This Row],[Salary in USD]],"")</f>
        <v/>
      </c>
      <c r="W1253" s="13" t="str">
        <f>IF(tblSalaries[[#This Row],[Job Type]]=tblSalaries[[#Headers],[Consultant]],tblSalaries[[#This Row],[Salary in USD]],"")</f>
        <v/>
      </c>
      <c r="X1253" s="13" t="str">
        <f>IF(tblSalaries[[#This Row],[Job Type]]=tblSalaries[[#Headers],[Controller]],tblSalaries[[#This Row],[Salary in USD]],"")</f>
        <v/>
      </c>
      <c r="Y1253" s="13" t="str">
        <f>IF(tblSalaries[[#This Row],[Job Type]]=tblSalaries[[#Headers],[CXO or Top Mgmt.]],tblSalaries[[#This Row],[clean Salary (in local currency)]],"")</f>
        <v/>
      </c>
      <c r="Z1253" s="13" t="str">
        <f>IF(tblSalaries[[#This Row],[Job Type]]=tblSalaries[[#Headers],[Engineer]],tblSalaries[[#This Row],[Salary in USD]],"")</f>
        <v/>
      </c>
      <c r="AA1253" s="13">
        <f>IF(tblSalaries[[#This Row],[Job Type]]=tblSalaries[[#Headers],[Manager]],tblSalaries[[#This Row],[Salary in USD]],"")</f>
        <v>8903.9583437212841</v>
      </c>
      <c r="AB1253" s="13" t="str">
        <f>IF(tblSalaries[[#This Row],[Job Type]]=tblSalaries[[#Headers],[Misc.]],tblSalaries[[#This Row],[Salary in USD]],"")</f>
        <v/>
      </c>
      <c r="AC1253" s="13" t="str">
        <f>IF(tblSalaries[[#This Row],[Job Type]]=tblSalaries[[#Headers],[Reporting]],tblSalaries[[#This Row],[Salary in USD]],"")</f>
        <v/>
      </c>
      <c r="AD1253" s="13" t="str">
        <f>IF(tblSalaries[[#This Row],[Job Type]]=tblSalaries[[#Headers],[Specialist]],tblSalaries[[#This Row],[Salary in USD]],"")</f>
        <v/>
      </c>
    </row>
    <row r="1254" spans="2:30" ht="15" customHeight="1" x14ac:dyDescent="0.25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 s="9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  <c r="N1254" t="str">
        <f>IF(tblSalaries[[#This Row],[Years of Experience]]="","",IF(tblSalaries[[#This Row],[Years of Experience]]&lt;=2,1,""))</f>
        <v/>
      </c>
      <c r="O1254" t="str">
        <f>IF(tblSalaries[[#This Row],[Years of Experience]]="","",IF(AND(tblSalaries[[#This Row],[Years of Experience]]&gt;2,tblSalaries[[#This Row],[Years of Experience]]&lt;=5),1,""))</f>
        <v/>
      </c>
      <c r="P1254" t="str">
        <f>IF(tblSalaries[[#This Row],[Years of Experience]]="","",IF(AND(tblSalaries[[#This Row],[Years of Experience]]&gt;5,tblSalaries[[#This Row],[Years of Experience]]&lt;=10),1,""))</f>
        <v/>
      </c>
      <c r="Q1254" t="str">
        <f>IF(tblSalaries[[#This Row],[Years of Experience]]="","",IF(AND(tblSalaries[[#This Row],[Years of Experience]]&gt;10,tblSalaries[[#This Row],[Years of Experience]]&lt;=15),1,""))</f>
        <v/>
      </c>
      <c r="R1254">
        <f>IF(tblSalaries[[#This Row],[Years of Experience]]="","",IF(AND(tblSalaries[[#This Row],[Years of Experience]]&gt;16,tblSalaries[[#This Row],[Years of Experience]]&lt;=20),1,""))</f>
        <v>1</v>
      </c>
      <c r="S1254" t="str">
        <f>IF(tblSalaries[[#This Row],[Years of Experience]]="","",IF(tblSalaries[[#This Row],[Years of Experience]]&gt;20,1,""))</f>
        <v/>
      </c>
      <c r="T12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54" s="13" t="str">
        <f>IF(tblSalaries[[#This Row],[Job Type]]=tblSalaries[[#Headers],[Accountant]],tblSalaries[[#This Row],[Salary in USD]],"")</f>
        <v/>
      </c>
      <c r="V1254" s="13" t="str">
        <f>IF(tblSalaries[[#This Row],[Job Type]]=tblSalaries[[#Headers],[Analyst]],tblSalaries[[#This Row],[Salary in USD]],"")</f>
        <v/>
      </c>
      <c r="W1254" s="13" t="str">
        <f>IF(tblSalaries[[#This Row],[Job Type]]=tblSalaries[[#Headers],[Consultant]],tblSalaries[[#This Row],[Salary in USD]],"")</f>
        <v/>
      </c>
      <c r="X1254" s="13" t="str">
        <f>IF(tblSalaries[[#This Row],[Job Type]]=tblSalaries[[#Headers],[Controller]],tblSalaries[[#This Row],[Salary in USD]],"")</f>
        <v/>
      </c>
      <c r="Y1254" s="13" t="str">
        <f>IF(tblSalaries[[#This Row],[Job Type]]=tblSalaries[[#Headers],[CXO or Top Mgmt.]],tblSalaries[[#This Row],[clean Salary (in local currency)]],"")</f>
        <v/>
      </c>
      <c r="Z1254" s="13" t="str">
        <f>IF(tblSalaries[[#This Row],[Job Type]]=tblSalaries[[#Headers],[Engineer]],tblSalaries[[#This Row],[Salary in USD]],"")</f>
        <v/>
      </c>
      <c r="AA1254" s="13">
        <f>IF(tblSalaries[[#This Row],[Job Type]]=tblSalaries[[#Headers],[Manager]],tblSalaries[[#This Row],[Salary in USD]],"")</f>
        <v>28353.650809742252</v>
      </c>
      <c r="AB1254" s="13" t="str">
        <f>IF(tblSalaries[[#This Row],[Job Type]]=tblSalaries[[#Headers],[Misc.]],tblSalaries[[#This Row],[Salary in USD]],"")</f>
        <v/>
      </c>
      <c r="AC1254" s="13" t="str">
        <f>IF(tblSalaries[[#This Row],[Job Type]]=tblSalaries[[#Headers],[Reporting]],tblSalaries[[#This Row],[Salary in USD]],"")</f>
        <v/>
      </c>
      <c r="AD1254" s="13" t="str">
        <f>IF(tblSalaries[[#This Row],[Job Type]]=tblSalaries[[#Headers],[Specialist]],tblSalaries[[#This Row],[Salary in USD]],"")</f>
        <v/>
      </c>
    </row>
    <row r="1255" spans="2:30" ht="15" customHeight="1" x14ac:dyDescent="0.25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 s="9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  <c r="N1255" t="str">
        <f>IF(tblSalaries[[#This Row],[Years of Experience]]="","",IF(tblSalaries[[#This Row],[Years of Experience]]&lt;=2,1,""))</f>
        <v/>
      </c>
      <c r="O1255" t="str">
        <f>IF(tblSalaries[[#This Row],[Years of Experience]]="","",IF(AND(tblSalaries[[#This Row],[Years of Experience]]&gt;2,tblSalaries[[#This Row],[Years of Experience]]&lt;=5),1,""))</f>
        <v/>
      </c>
      <c r="P1255">
        <f>IF(tblSalaries[[#This Row],[Years of Experience]]="","",IF(AND(tblSalaries[[#This Row],[Years of Experience]]&gt;5,tblSalaries[[#This Row],[Years of Experience]]&lt;=10),1,""))</f>
        <v>1</v>
      </c>
      <c r="Q1255" t="str">
        <f>IF(tblSalaries[[#This Row],[Years of Experience]]="","",IF(AND(tblSalaries[[#This Row],[Years of Experience]]&gt;10,tblSalaries[[#This Row],[Years of Experience]]&lt;=15),1,""))</f>
        <v/>
      </c>
      <c r="R1255" t="str">
        <f>IF(tblSalaries[[#This Row],[Years of Experience]]="","",IF(AND(tblSalaries[[#This Row],[Years of Experience]]&gt;16,tblSalaries[[#This Row],[Years of Experience]]&lt;=20),1,""))</f>
        <v/>
      </c>
      <c r="S1255" t="str">
        <f>IF(tblSalaries[[#This Row],[Years of Experience]]="","",IF(tblSalaries[[#This Row],[Years of Experience]]&gt;20,1,""))</f>
        <v/>
      </c>
      <c r="T12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5" s="13" t="str">
        <f>IF(tblSalaries[[#This Row],[Job Type]]=tblSalaries[[#Headers],[Accountant]],tblSalaries[[#This Row],[Salary in USD]],"")</f>
        <v/>
      </c>
      <c r="V1255" s="13">
        <f>IF(tblSalaries[[#This Row],[Job Type]]=tblSalaries[[#Headers],[Analyst]],tblSalaries[[#This Row],[Salary in USD]],"")</f>
        <v>11800</v>
      </c>
      <c r="W1255" s="13" t="str">
        <f>IF(tblSalaries[[#This Row],[Job Type]]=tblSalaries[[#Headers],[Consultant]],tblSalaries[[#This Row],[Salary in USD]],"")</f>
        <v/>
      </c>
      <c r="X1255" s="13" t="str">
        <f>IF(tblSalaries[[#This Row],[Job Type]]=tblSalaries[[#Headers],[Controller]],tblSalaries[[#This Row],[Salary in USD]],"")</f>
        <v/>
      </c>
      <c r="Y1255" s="13" t="str">
        <f>IF(tblSalaries[[#This Row],[Job Type]]=tblSalaries[[#Headers],[CXO or Top Mgmt.]],tblSalaries[[#This Row],[clean Salary (in local currency)]],"")</f>
        <v/>
      </c>
      <c r="Z1255" s="13" t="str">
        <f>IF(tblSalaries[[#This Row],[Job Type]]=tblSalaries[[#Headers],[Engineer]],tblSalaries[[#This Row],[Salary in USD]],"")</f>
        <v/>
      </c>
      <c r="AA1255" s="13" t="str">
        <f>IF(tblSalaries[[#This Row],[Job Type]]=tblSalaries[[#Headers],[Manager]],tblSalaries[[#This Row],[Salary in USD]],"")</f>
        <v/>
      </c>
      <c r="AB1255" s="13" t="str">
        <f>IF(tblSalaries[[#This Row],[Job Type]]=tblSalaries[[#Headers],[Misc.]],tblSalaries[[#This Row],[Salary in USD]],"")</f>
        <v/>
      </c>
      <c r="AC1255" s="13" t="str">
        <f>IF(tblSalaries[[#This Row],[Job Type]]=tblSalaries[[#Headers],[Reporting]],tblSalaries[[#This Row],[Salary in USD]],"")</f>
        <v/>
      </c>
      <c r="AD1255" s="13" t="str">
        <f>IF(tblSalaries[[#This Row],[Job Type]]=tblSalaries[[#Headers],[Specialist]],tblSalaries[[#This Row],[Salary in USD]],"")</f>
        <v/>
      </c>
    </row>
    <row r="1256" spans="2:30" ht="15" customHeight="1" x14ac:dyDescent="0.25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 s="9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  <c r="N1256" t="str">
        <f>IF(tblSalaries[[#This Row],[Years of Experience]]="","",IF(tblSalaries[[#This Row],[Years of Experience]]&lt;=2,1,""))</f>
        <v/>
      </c>
      <c r="O1256" t="str">
        <f>IF(tblSalaries[[#This Row],[Years of Experience]]="","",IF(AND(tblSalaries[[#This Row],[Years of Experience]]&gt;2,tblSalaries[[#This Row],[Years of Experience]]&lt;=5),1,""))</f>
        <v/>
      </c>
      <c r="P1256">
        <f>IF(tblSalaries[[#This Row],[Years of Experience]]="","",IF(AND(tblSalaries[[#This Row],[Years of Experience]]&gt;5,tblSalaries[[#This Row],[Years of Experience]]&lt;=10),1,""))</f>
        <v>1</v>
      </c>
      <c r="Q1256" t="str">
        <f>IF(tblSalaries[[#This Row],[Years of Experience]]="","",IF(AND(tblSalaries[[#This Row],[Years of Experience]]&gt;10,tblSalaries[[#This Row],[Years of Experience]]&lt;=15),1,""))</f>
        <v/>
      </c>
      <c r="R1256" t="str">
        <f>IF(tblSalaries[[#This Row],[Years of Experience]]="","",IF(AND(tblSalaries[[#This Row],[Years of Experience]]&gt;16,tblSalaries[[#This Row],[Years of Experience]]&lt;=20),1,""))</f>
        <v/>
      </c>
      <c r="S1256" t="str">
        <f>IF(tblSalaries[[#This Row],[Years of Experience]]="","",IF(tblSalaries[[#This Row],[Years of Experience]]&gt;20,1,""))</f>
        <v/>
      </c>
      <c r="T12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6" s="13" t="str">
        <f>IF(tblSalaries[[#This Row],[Job Type]]=tblSalaries[[#Headers],[Accountant]],tblSalaries[[#This Row],[Salary in USD]],"")</f>
        <v/>
      </c>
      <c r="V1256" s="13" t="str">
        <f>IF(tblSalaries[[#This Row],[Job Type]]=tblSalaries[[#Headers],[Analyst]],tblSalaries[[#This Row],[Salary in USD]],"")</f>
        <v/>
      </c>
      <c r="W1256" s="13" t="str">
        <f>IF(tblSalaries[[#This Row],[Job Type]]=tblSalaries[[#Headers],[Consultant]],tblSalaries[[#This Row],[Salary in USD]],"")</f>
        <v/>
      </c>
      <c r="X1256" s="13" t="str">
        <f>IF(tblSalaries[[#This Row],[Job Type]]=tblSalaries[[#Headers],[Controller]],tblSalaries[[#This Row],[Salary in USD]],"")</f>
        <v/>
      </c>
      <c r="Y1256" s="13" t="str">
        <f>IF(tblSalaries[[#This Row],[Job Type]]=tblSalaries[[#Headers],[CXO or Top Mgmt.]],tblSalaries[[#This Row],[clean Salary (in local currency)]],"")</f>
        <v/>
      </c>
      <c r="Z1256" s="13" t="str">
        <f>IF(tblSalaries[[#This Row],[Job Type]]=tblSalaries[[#Headers],[Engineer]],tblSalaries[[#This Row],[Salary in USD]],"")</f>
        <v/>
      </c>
      <c r="AA1256" s="13">
        <f>IF(tblSalaries[[#This Row],[Job Type]]=tblSalaries[[#Headers],[Manager]],tblSalaries[[#This Row],[Salary in USD]],"")</f>
        <v>6410.8500074793246</v>
      </c>
      <c r="AB1256" s="13" t="str">
        <f>IF(tblSalaries[[#This Row],[Job Type]]=tblSalaries[[#Headers],[Misc.]],tblSalaries[[#This Row],[Salary in USD]],"")</f>
        <v/>
      </c>
      <c r="AC1256" s="13" t="str">
        <f>IF(tblSalaries[[#This Row],[Job Type]]=tblSalaries[[#Headers],[Reporting]],tblSalaries[[#This Row],[Salary in USD]],"")</f>
        <v/>
      </c>
      <c r="AD1256" s="13" t="str">
        <f>IF(tblSalaries[[#This Row],[Job Type]]=tblSalaries[[#Headers],[Specialist]],tblSalaries[[#This Row],[Salary in USD]],"")</f>
        <v/>
      </c>
    </row>
    <row r="1257" spans="2:30" ht="15" customHeight="1" x14ac:dyDescent="0.25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 s="9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  <c r="N1257" t="str">
        <f>IF(tblSalaries[[#This Row],[Years of Experience]]="","",IF(tblSalaries[[#This Row],[Years of Experience]]&lt;=2,1,""))</f>
        <v/>
      </c>
      <c r="O1257">
        <f>IF(tblSalaries[[#This Row],[Years of Experience]]="","",IF(AND(tblSalaries[[#This Row],[Years of Experience]]&gt;2,tblSalaries[[#This Row],[Years of Experience]]&lt;=5),1,""))</f>
        <v>1</v>
      </c>
      <c r="P1257" t="str">
        <f>IF(tblSalaries[[#This Row],[Years of Experience]]="","",IF(AND(tblSalaries[[#This Row],[Years of Experience]]&gt;5,tblSalaries[[#This Row],[Years of Experience]]&lt;=10),1,""))</f>
        <v/>
      </c>
      <c r="Q1257" t="str">
        <f>IF(tblSalaries[[#This Row],[Years of Experience]]="","",IF(AND(tblSalaries[[#This Row],[Years of Experience]]&gt;10,tblSalaries[[#This Row],[Years of Experience]]&lt;=15),1,""))</f>
        <v/>
      </c>
      <c r="R1257" t="str">
        <f>IF(tblSalaries[[#This Row],[Years of Experience]]="","",IF(AND(tblSalaries[[#This Row],[Years of Experience]]&gt;16,tblSalaries[[#This Row],[Years of Experience]]&lt;=20),1,""))</f>
        <v/>
      </c>
      <c r="S1257" t="str">
        <f>IF(tblSalaries[[#This Row],[Years of Experience]]="","",IF(tblSalaries[[#This Row],[Years of Experience]]&gt;20,1,""))</f>
        <v/>
      </c>
      <c r="T12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57" s="13" t="str">
        <f>IF(tblSalaries[[#This Row],[Job Type]]=tblSalaries[[#Headers],[Accountant]],tblSalaries[[#This Row],[Salary in USD]],"")</f>
        <v/>
      </c>
      <c r="V1257" s="13">
        <f>IF(tblSalaries[[#This Row],[Job Type]]=tblSalaries[[#Headers],[Analyst]],tblSalaries[[#This Row],[Salary in USD]],"")</f>
        <v>50000</v>
      </c>
      <c r="W1257" s="13" t="str">
        <f>IF(tblSalaries[[#This Row],[Job Type]]=tblSalaries[[#Headers],[Consultant]],tblSalaries[[#This Row],[Salary in USD]],"")</f>
        <v/>
      </c>
      <c r="X1257" s="13" t="str">
        <f>IF(tblSalaries[[#This Row],[Job Type]]=tblSalaries[[#Headers],[Controller]],tblSalaries[[#This Row],[Salary in USD]],"")</f>
        <v/>
      </c>
      <c r="Y1257" s="13" t="str">
        <f>IF(tblSalaries[[#This Row],[Job Type]]=tblSalaries[[#Headers],[CXO or Top Mgmt.]],tblSalaries[[#This Row],[clean Salary (in local currency)]],"")</f>
        <v/>
      </c>
      <c r="Z1257" s="13" t="str">
        <f>IF(tblSalaries[[#This Row],[Job Type]]=tblSalaries[[#Headers],[Engineer]],tblSalaries[[#This Row],[Salary in USD]],"")</f>
        <v/>
      </c>
      <c r="AA1257" s="13" t="str">
        <f>IF(tblSalaries[[#This Row],[Job Type]]=tblSalaries[[#Headers],[Manager]],tblSalaries[[#This Row],[Salary in USD]],"")</f>
        <v/>
      </c>
      <c r="AB1257" s="13" t="str">
        <f>IF(tblSalaries[[#This Row],[Job Type]]=tblSalaries[[#Headers],[Misc.]],tblSalaries[[#This Row],[Salary in USD]],"")</f>
        <v/>
      </c>
      <c r="AC1257" s="13" t="str">
        <f>IF(tblSalaries[[#This Row],[Job Type]]=tblSalaries[[#Headers],[Reporting]],tblSalaries[[#This Row],[Salary in USD]],"")</f>
        <v/>
      </c>
      <c r="AD1257" s="13" t="str">
        <f>IF(tblSalaries[[#This Row],[Job Type]]=tblSalaries[[#Headers],[Specialist]],tblSalaries[[#This Row],[Salary in USD]],"")</f>
        <v/>
      </c>
    </row>
    <row r="1258" spans="2:30" ht="15" customHeight="1" x14ac:dyDescent="0.25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 s="9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  <c r="N1258" t="str">
        <f>IF(tblSalaries[[#This Row],[Years of Experience]]="","",IF(tblSalaries[[#This Row],[Years of Experience]]&lt;=2,1,""))</f>
        <v/>
      </c>
      <c r="O1258" t="str">
        <f>IF(tblSalaries[[#This Row],[Years of Experience]]="","",IF(AND(tblSalaries[[#This Row],[Years of Experience]]&gt;2,tblSalaries[[#This Row],[Years of Experience]]&lt;=5),1,""))</f>
        <v/>
      </c>
      <c r="P1258">
        <f>IF(tblSalaries[[#This Row],[Years of Experience]]="","",IF(AND(tblSalaries[[#This Row],[Years of Experience]]&gt;5,tblSalaries[[#This Row],[Years of Experience]]&lt;=10),1,""))</f>
        <v>1</v>
      </c>
      <c r="Q1258" t="str">
        <f>IF(tblSalaries[[#This Row],[Years of Experience]]="","",IF(AND(tblSalaries[[#This Row],[Years of Experience]]&gt;10,tblSalaries[[#This Row],[Years of Experience]]&lt;=15),1,""))</f>
        <v/>
      </c>
      <c r="R1258" t="str">
        <f>IF(tblSalaries[[#This Row],[Years of Experience]]="","",IF(AND(tblSalaries[[#This Row],[Years of Experience]]&gt;16,tblSalaries[[#This Row],[Years of Experience]]&lt;=20),1,""))</f>
        <v/>
      </c>
      <c r="S1258" t="str">
        <f>IF(tblSalaries[[#This Row],[Years of Experience]]="","",IF(tblSalaries[[#This Row],[Years of Experience]]&gt;20,1,""))</f>
        <v/>
      </c>
      <c r="T12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8" s="13" t="str">
        <f>IF(tblSalaries[[#This Row],[Job Type]]=tblSalaries[[#Headers],[Accountant]],tblSalaries[[#This Row],[Salary in USD]],"")</f>
        <v/>
      </c>
      <c r="V1258" s="13" t="str">
        <f>IF(tblSalaries[[#This Row],[Job Type]]=tblSalaries[[#Headers],[Analyst]],tblSalaries[[#This Row],[Salary in USD]],"")</f>
        <v/>
      </c>
      <c r="W1258" s="13" t="str">
        <f>IF(tblSalaries[[#This Row],[Job Type]]=tblSalaries[[#Headers],[Consultant]],tblSalaries[[#This Row],[Salary in USD]],"")</f>
        <v/>
      </c>
      <c r="X1258" s="13" t="str">
        <f>IF(tblSalaries[[#This Row],[Job Type]]=tblSalaries[[#Headers],[Controller]],tblSalaries[[#This Row],[Salary in USD]],"")</f>
        <v/>
      </c>
      <c r="Y1258" s="13" t="str">
        <f>IF(tblSalaries[[#This Row],[Job Type]]=tblSalaries[[#Headers],[CXO or Top Mgmt.]],tblSalaries[[#This Row],[clean Salary (in local currency)]],"")</f>
        <v/>
      </c>
      <c r="Z1258" s="13" t="str">
        <f>IF(tblSalaries[[#This Row],[Job Type]]=tblSalaries[[#Headers],[Engineer]],tblSalaries[[#This Row],[Salary in USD]],"")</f>
        <v/>
      </c>
      <c r="AA1258" s="13">
        <f>IF(tblSalaries[[#This Row],[Job Type]]=tblSalaries[[#Headers],[Manager]],tblSalaries[[#This Row],[Salary in USD]],"")</f>
        <v>85000</v>
      </c>
      <c r="AB1258" s="13" t="str">
        <f>IF(tblSalaries[[#This Row],[Job Type]]=tblSalaries[[#Headers],[Misc.]],tblSalaries[[#This Row],[Salary in USD]],"")</f>
        <v/>
      </c>
      <c r="AC1258" s="13" t="str">
        <f>IF(tblSalaries[[#This Row],[Job Type]]=tblSalaries[[#Headers],[Reporting]],tblSalaries[[#This Row],[Salary in USD]],"")</f>
        <v/>
      </c>
      <c r="AD1258" s="13" t="str">
        <f>IF(tblSalaries[[#This Row],[Job Type]]=tblSalaries[[#Headers],[Specialist]],tblSalaries[[#This Row],[Salary in USD]],"")</f>
        <v/>
      </c>
    </row>
    <row r="1259" spans="2:30" ht="15" customHeight="1" x14ac:dyDescent="0.25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 s="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  <c r="N1259" t="str">
        <f>IF(tblSalaries[[#This Row],[Years of Experience]]="","",IF(tblSalaries[[#This Row],[Years of Experience]]&lt;=2,1,""))</f>
        <v/>
      </c>
      <c r="O1259" t="str">
        <f>IF(tblSalaries[[#This Row],[Years of Experience]]="","",IF(AND(tblSalaries[[#This Row],[Years of Experience]]&gt;2,tblSalaries[[#This Row],[Years of Experience]]&lt;=5),1,""))</f>
        <v/>
      </c>
      <c r="P1259">
        <f>IF(tblSalaries[[#This Row],[Years of Experience]]="","",IF(AND(tblSalaries[[#This Row],[Years of Experience]]&gt;5,tblSalaries[[#This Row],[Years of Experience]]&lt;=10),1,""))</f>
        <v>1</v>
      </c>
      <c r="Q1259" t="str">
        <f>IF(tblSalaries[[#This Row],[Years of Experience]]="","",IF(AND(tblSalaries[[#This Row],[Years of Experience]]&gt;10,tblSalaries[[#This Row],[Years of Experience]]&lt;=15),1,""))</f>
        <v/>
      </c>
      <c r="R1259" t="str">
        <f>IF(tblSalaries[[#This Row],[Years of Experience]]="","",IF(AND(tblSalaries[[#This Row],[Years of Experience]]&gt;16,tblSalaries[[#This Row],[Years of Experience]]&lt;=20),1,""))</f>
        <v/>
      </c>
      <c r="S1259" t="str">
        <f>IF(tblSalaries[[#This Row],[Years of Experience]]="","",IF(tblSalaries[[#This Row],[Years of Experience]]&gt;20,1,""))</f>
        <v/>
      </c>
      <c r="T12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59" s="13" t="str">
        <f>IF(tblSalaries[[#This Row],[Job Type]]=tblSalaries[[#Headers],[Accountant]],tblSalaries[[#This Row],[Salary in USD]],"")</f>
        <v/>
      </c>
      <c r="V1259" s="13" t="str">
        <f>IF(tblSalaries[[#This Row],[Job Type]]=tblSalaries[[#Headers],[Analyst]],tblSalaries[[#This Row],[Salary in USD]],"")</f>
        <v/>
      </c>
      <c r="W1259" s="13" t="str">
        <f>IF(tblSalaries[[#This Row],[Job Type]]=tblSalaries[[#Headers],[Consultant]],tblSalaries[[#This Row],[Salary in USD]],"")</f>
        <v/>
      </c>
      <c r="X1259" s="13" t="str">
        <f>IF(tblSalaries[[#This Row],[Job Type]]=tblSalaries[[#Headers],[Controller]],tblSalaries[[#This Row],[Salary in USD]],"")</f>
        <v/>
      </c>
      <c r="Y1259" s="13" t="str">
        <f>IF(tblSalaries[[#This Row],[Job Type]]=tblSalaries[[#Headers],[CXO or Top Mgmt.]],tblSalaries[[#This Row],[clean Salary (in local currency)]],"")</f>
        <v/>
      </c>
      <c r="Z1259" s="13" t="str">
        <f>IF(tblSalaries[[#This Row],[Job Type]]=tblSalaries[[#Headers],[Engineer]],tblSalaries[[#This Row],[Salary in USD]],"")</f>
        <v/>
      </c>
      <c r="AA1259" s="13">
        <f>IF(tblSalaries[[#This Row],[Job Type]]=tblSalaries[[#Headers],[Manager]],tblSalaries[[#This Row],[Salary in USD]],"")</f>
        <v>17807.916687442568</v>
      </c>
      <c r="AB1259" s="13" t="str">
        <f>IF(tblSalaries[[#This Row],[Job Type]]=tblSalaries[[#Headers],[Misc.]],tblSalaries[[#This Row],[Salary in USD]],"")</f>
        <v/>
      </c>
      <c r="AC1259" s="13" t="str">
        <f>IF(tblSalaries[[#This Row],[Job Type]]=tblSalaries[[#Headers],[Reporting]],tblSalaries[[#This Row],[Salary in USD]],"")</f>
        <v/>
      </c>
      <c r="AD1259" s="13" t="str">
        <f>IF(tblSalaries[[#This Row],[Job Type]]=tblSalaries[[#Headers],[Specialist]],tblSalaries[[#This Row],[Salary in USD]],"")</f>
        <v/>
      </c>
    </row>
    <row r="1260" spans="2:30" ht="15" customHeight="1" x14ac:dyDescent="0.25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 s="9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  <c r="N1260" t="str">
        <f>IF(tblSalaries[[#This Row],[Years of Experience]]="","",IF(tblSalaries[[#This Row],[Years of Experience]]&lt;=2,1,""))</f>
        <v/>
      </c>
      <c r="O1260" t="str">
        <f>IF(tblSalaries[[#This Row],[Years of Experience]]="","",IF(AND(tblSalaries[[#This Row],[Years of Experience]]&gt;2,tblSalaries[[#This Row],[Years of Experience]]&lt;=5),1,""))</f>
        <v/>
      </c>
      <c r="P1260">
        <f>IF(tblSalaries[[#This Row],[Years of Experience]]="","",IF(AND(tblSalaries[[#This Row],[Years of Experience]]&gt;5,tblSalaries[[#This Row],[Years of Experience]]&lt;=10),1,""))</f>
        <v>1</v>
      </c>
      <c r="Q1260" t="str">
        <f>IF(tblSalaries[[#This Row],[Years of Experience]]="","",IF(AND(tblSalaries[[#This Row],[Years of Experience]]&gt;10,tblSalaries[[#This Row],[Years of Experience]]&lt;=15),1,""))</f>
        <v/>
      </c>
      <c r="R1260" t="str">
        <f>IF(tblSalaries[[#This Row],[Years of Experience]]="","",IF(AND(tblSalaries[[#This Row],[Years of Experience]]&gt;16,tblSalaries[[#This Row],[Years of Experience]]&lt;=20),1,""))</f>
        <v/>
      </c>
      <c r="S1260" t="str">
        <f>IF(tblSalaries[[#This Row],[Years of Experience]]="","",IF(tblSalaries[[#This Row],[Years of Experience]]&gt;20,1,""))</f>
        <v/>
      </c>
      <c r="T12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60" s="13" t="str">
        <f>IF(tblSalaries[[#This Row],[Job Type]]=tblSalaries[[#Headers],[Accountant]],tblSalaries[[#This Row],[Salary in USD]],"")</f>
        <v/>
      </c>
      <c r="V1260" s="13" t="str">
        <f>IF(tblSalaries[[#This Row],[Job Type]]=tblSalaries[[#Headers],[Analyst]],tblSalaries[[#This Row],[Salary in USD]],"")</f>
        <v/>
      </c>
      <c r="W1260" s="13" t="str">
        <f>IF(tblSalaries[[#This Row],[Job Type]]=tblSalaries[[#Headers],[Consultant]],tblSalaries[[#This Row],[Salary in USD]],"")</f>
        <v/>
      </c>
      <c r="X1260" s="13">
        <f>IF(tblSalaries[[#This Row],[Job Type]]=tblSalaries[[#Headers],[Controller]],tblSalaries[[#This Row],[Salary in USD]],"")</f>
        <v>16027.125018698311</v>
      </c>
      <c r="Y1260" s="13" t="str">
        <f>IF(tblSalaries[[#This Row],[Job Type]]=tblSalaries[[#Headers],[CXO or Top Mgmt.]],tblSalaries[[#This Row],[clean Salary (in local currency)]],"")</f>
        <v/>
      </c>
      <c r="Z1260" s="13" t="str">
        <f>IF(tblSalaries[[#This Row],[Job Type]]=tblSalaries[[#Headers],[Engineer]],tblSalaries[[#This Row],[Salary in USD]],"")</f>
        <v/>
      </c>
      <c r="AA1260" s="13" t="str">
        <f>IF(tblSalaries[[#This Row],[Job Type]]=tblSalaries[[#Headers],[Manager]],tblSalaries[[#This Row],[Salary in USD]],"")</f>
        <v/>
      </c>
      <c r="AB1260" s="13" t="str">
        <f>IF(tblSalaries[[#This Row],[Job Type]]=tblSalaries[[#Headers],[Misc.]],tblSalaries[[#This Row],[Salary in USD]],"")</f>
        <v/>
      </c>
      <c r="AC1260" s="13" t="str">
        <f>IF(tblSalaries[[#This Row],[Job Type]]=tblSalaries[[#Headers],[Reporting]],tblSalaries[[#This Row],[Salary in USD]],"")</f>
        <v/>
      </c>
      <c r="AD1260" s="13" t="str">
        <f>IF(tblSalaries[[#This Row],[Job Type]]=tblSalaries[[#Headers],[Specialist]],tblSalaries[[#This Row],[Salary in USD]],"")</f>
        <v/>
      </c>
    </row>
    <row r="1261" spans="2:30" ht="15" customHeight="1" x14ac:dyDescent="0.25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 s="9">
        <f>tblSalaries[[#This Row],[clean Salary (in local currency)]]*VLOOKUP(tblSalaries[[#This Row],[Currency]],tblXrate[],2,FALSE)</f>
        <v>192000</v>
      </c>
      <c r="H1261" t="s">
        <v>1438</v>
      </c>
      <c r="I1261" t="s">
        <v>4001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  <c r="N1261" t="str">
        <f>IF(tblSalaries[[#This Row],[Years of Experience]]="","",IF(tblSalaries[[#This Row],[Years of Experience]]&lt;=2,1,""))</f>
        <v/>
      </c>
      <c r="O1261" t="str">
        <f>IF(tblSalaries[[#This Row],[Years of Experience]]="","",IF(AND(tblSalaries[[#This Row],[Years of Experience]]&gt;2,tblSalaries[[#This Row],[Years of Experience]]&lt;=5),1,""))</f>
        <v/>
      </c>
      <c r="P1261" t="str">
        <f>IF(tblSalaries[[#This Row],[Years of Experience]]="","",IF(AND(tblSalaries[[#This Row],[Years of Experience]]&gt;5,tblSalaries[[#This Row],[Years of Experience]]&lt;=10),1,""))</f>
        <v/>
      </c>
      <c r="Q1261" t="str">
        <f>IF(tblSalaries[[#This Row],[Years of Experience]]="","",IF(AND(tblSalaries[[#This Row],[Years of Experience]]&gt;10,tblSalaries[[#This Row],[Years of Experience]]&lt;=15),1,""))</f>
        <v/>
      </c>
      <c r="R1261" t="str">
        <f>IF(tblSalaries[[#This Row],[Years of Experience]]="","",IF(AND(tblSalaries[[#This Row],[Years of Experience]]&gt;16,tblSalaries[[#This Row],[Years of Experience]]&lt;=20),1,""))</f>
        <v/>
      </c>
      <c r="S1261">
        <f>IF(tblSalaries[[#This Row],[Years of Experience]]="","",IF(tblSalaries[[#This Row],[Years of Experience]]&gt;20,1,""))</f>
        <v>1</v>
      </c>
      <c r="T12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61" s="13" t="str">
        <f>IF(tblSalaries[[#This Row],[Job Type]]=tblSalaries[[#Headers],[Accountant]],tblSalaries[[#This Row],[Salary in USD]],"")</f>
        <v/>
      </c>
      <c r="V1261" s="13" t="str">
        <f>IF(tblSalaries[[#This Row],[Job Type]]=tblSalaries[[#Headers],[Analyst]],tblSalaries[[#This Row],[Salary in USD]],"")</f>
        <v/>
      </c>
      <c r="W1261" s="13" t="str">
        <f>IF(tblSalaries[[#This Row],[Job Type]]=tblSalaries[[#Headers],[Consultant]],tblSalaries[[#This Row],[Salary in USD]],"")</f>
        <v/>
      </c>
      <c r="X1261" s="13" t="str">
        <f>IF(tblSalaries[[#This Row],[Job Type]]=tblSalaries[[#Headers],[Controller]],tblSalaries[[#This Row],[Salary in USD]],"")</f>
        <v/>
      </c>
      <c r="Y1261" s="13">
        <f>IF(tblSalaries[[#This Row],[Job Type]]=tblSalaries[[#Headers],[CXO or Top Mgmt.]],tblSalaries[[#This Row],[clean Salary (in local currency)]],"")</f>
        <v>192000</v>
      </c>
      <c r="Z1261" s="13" t="str">
        <f>IF(tblSalaries[[#This Row],[Job Type]]=tblSalaries[[#Headers],[Engineer]],tblSalaries[[#This Row],[Salary in USD]],"")</f>
        <v/>
      </c>
      <c r="AA1261" s="13" t="str">
        <f>IF(tblSalaries[[#This Row],[Job Type]]=tblSalaries[[#Headers],[Manager]],tblSalaries[[#This Row],[Salary in USD]],"")</f>
        <v/>
      </c>
      <c r="AB1261" s="13" t="str">
        <f>IF(tblSalaries[[#This Row],[Job Type]]=tblSalaries[[#Headers],[Misc.]],tblSalaries[[#This Row],[Salary in USD]],"")</f>
        <v/>
      </c>
      <c r="AC1261" s="13" t="str">
        <f>IF(tblSalaries[[#This Row],[Job Type]]=tblSalaries[[#Headers],[Reporting]],tblSalaries[[#This Row],[Salary in USD]],"")</f>
        <v/>
      </c>
      <c r="AD1261" s="13" t="str">
        <f>IF(tblSalaries[[#This Row],[Job Type]]=tblSalaries[[#Headers],[Specialist]],tblSalaries[[#This Row],[Salary in USD]],"")</f>
        <v/>
      </c>
    </row>
    <row r="1262" spans="2:30" ht="15" customHeight="1" x14ac:dyDescent="0.25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 s="9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  <c r="N1262" t="str">
        <f>IF(tblSalaries[[#This Row],[Years of Experience]]="","",IF(tblSalaries[[#This Row],[Years of Experience]]&lt;=2,1,""))</f>
        <v/>
      </c>
      <c r="O1262" t="str">
        <f>IF(tblSalaries[[#This Row],[Years of Experience]]="","",IF(AND(tblSalaries[[#This Row],[Years of Experience]]&gt;2,tblSalaries[[#This Row],[Years of Experience]]&lt;=5),1,""))</f>
        <v/>
      </c>
      <c r="P1262">
        <f>IF(tblSalaries[[#This Row],[Years of Experience]]="","",IF(AND(tblSalaries[[#This Row],[Years of Experience]]&gt;5,tblSalaries[[#This Row],[Years of Experience]]&lt;=10),1,""))</f>
        <v>1</v>
      </c>
      <c r="Q1262" t="str">
        <f>IF(tblSalaries[[#This Row],[Years of Experience]]="","",IF(AND(tblSalaries[[#This Row],[Years of Experience]]&gt;10,tblSalaries[[#This Row],[Years of Experience]]&lt;=15),1,""))</f>
        <v/>
      </c>
      <c r="R1262" t="str">
        <f>IF(tblSalaries[[#This Row],[Years of Experience]]="","",IF(AND(tblSalaries[[#This Row],[Years of Experience]]&gt;16,tblSalaries[[#This Row],[Years of Experience]]&lt;=20),1,""))</f>
        <v/>
      </c>
      <c r="S1262" t="str">
        <f>IF(tblSalaries[[#This Row],[Years of Experience]]="","",IF(tblSalaries[[#This Row],[Years of Experience]]&gt;20,1,""))</f>
        <v/>
      </c>
      <c r="T12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62" s="13" t="str">
        <f>IF(tblSalaries[[#This Row],[Job Type]]=tblSalaries[[#Headers],[Accountant]],tblSalaries[[#This Row],[Salary in USD]],"")</f>
        <v/>
      </c>
      <c r="V1262" s="13">
        <f>IF(tblSalaries[[#This Row],[Job Type]]=tblSalaries[[#Headers],[Analyst]],tblSalaries[[#This Row],[Salary in USD]],"")</f>
        <v>54000</v>
      </c>
      <c r="W1262" s="13" t="str">
        <f>IF(tblSalaries[[#This Row],[Job Type]]=tblSalaries[[#Headers],[Consultant]],tblSalaries[[#This Row],[Salary in USD]],"")</f>
        <v/>
      </c>
      <c r="X1262" s="13" t="str">
        <f>IF(tblSalaries[[#This Row],[Job Type]]=tblSalaries[[#Headers],[Controller]],tblSalaries[[#This Row],[Salary in USD]],"")</f>
        <v/>
      </c>
      <c r="Y1262" s="13" t="str">
        <f>IF(tblSalaries[[#This Row],[Job Type]]=tblSalaries[[#Headers],[CXO or Top Mgmt.]],tblSalaries[[#This Row],[clean Salary (in local currency)]],"")</f>
        <v/>
      </c>
      <c r="Z1262" s="13" t="str">
        <f>IF(tblSalaries[[#This Row],[Job Type]]=tblSalaries[[#Headers],[Engineer]],tblSalaries[[#This Row],[Salary in USD]],"")</f>
        <v/>
      </c>
      <c r="AA1262" s="13" t="str">
        <f>IF(tblSalaries[[#This Row],[Job Type]]=tblSalaries[[#Headers],[Manager]],tblSalaries[[#This Row],[Salary in USD]],"")</f>
        <v/>
      </c>
      <c r="AB1262" s="13" t="str">
        <f>IF(tblSalaries[[#This Row],[Job Type]]=tblSalaries[[#Headers],[Misc.]],tblSalaries[[#This Row],[Salary in USD]],"")</f>
        <v/>
      </c>
      <c r="AC1262" s="13" t="str">
        <f>IF(tblSalaries[[#This Row],[Job Type]]=tblSalaries[[#Headers],[Reporting]],tblSalaries[[#This Row],[Salary in USD]],"")</f>
        <v/>
      </c>
      <c r="AD1262" s="13" t="str">
        <f>IF(tblSalaries[[#This Row],[Job Type]]=tblSalaries[[#Headers],[Specialist]],tblSalaries[[#This Row],[Salary in USD]],"")</f>
        <v/>
      </c>
    </row>
    <row r="1263" spans="2:30" ht="15" customHeight="1" x14ac:dyDescent="0.25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 s="9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  <c r="N1263" t="str">
        <f>IF(tblSalaries[[#This Row],[Years of Experience]]="","",IF(tblSalaries[[#This Row],[Years of Experience]]&lt;=2,1,""))</f>
        <v/>
      </c>
      <c r="O1263" t="str">
        <f>IF(tblSalaries[[#This Row],[Years of Experience]]="","",IF(AND(tblSalaries[[#This Row],[Years of Experience]]&gt;2,tblSalaries[[#This Row],[Years of Experience]]&lt;=5),1,""))</f>
        <v/>
      </c>
      <c r="P1263" t="str">
        <f>IF(tblSalaries[[#This Row],[Years of Experience]]="","",IF(AND(tblSalaries[[#This Row],[Years of Experience]]&gt;5,tblSalaries[[#This Row],[Years of Experience]]&lt;=10),1,""))</f>
        <v/>
      </c>
      <c r="Q1263">
        <f>IF(tblSalaries[[#This Row],[Years of Experience]]="","",IF(AND(tblSalaries[[#This Row],[Years of Experience]]&gt;10,tblSalaries[[#This Row],[Years of Experience]]&lt;=15),1,""))</f>
        <v>1</v>
      </c>
      <c r="R1263" t="str">
        <f>IF(tblSalaries[[#This Row],[Years of Experience]]="","",IF(AND(tblSalaries[[#This Row],[Years of Experience]]&gt;16,tblSalaries[[#This Row],[Years of Experience]]&lt;=20),1,""))</f>
        <v/>
      </c>
      <c r="S1263" t="str">
        <f>IF(tblSalaries[[#This Row],[Years of Experience]]="","",IF(tblSalaries[[#This Row],[Years of Experience]]&gt;20,1,""))</f>
        <v/>
      </c>
      <c r="T12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63" s="13" t="str">
        <f>IF(tblSalaries[[#This Row],[Job Type]]=tblSalaries[[#Headers],[Accountant]],tblSalaries[[#This Row],[Salary in USD]],"")</f>
        <v/>
      </c>
      <c r="V1263" s="13" t="str">
        <f>IF(tblSalaries[[#This Row],[Job Type]]=tblSalaries[[#Headers],[Analyst]],tblSalaries[[#This Row],[Salary in USD]],"")</f>
        <v/>
      </c>
      <c r="W1263" s="13" t="str">
        <f>IF(tblSalaries[[#This Row],[Job Type]]=tblSalaries[[#Headers],[Consultant]],tblSalaries[[#This Row],[Salary in USD]],"")</f>
        <v/>
      </c>
      <c r="X1263" s="13" t="str">
        <f>IF(tblSalaries[[#This Row],[Job Type]]=tblSalaries[[#Headers],[Controller]],tblSalaries[[#This Row],[Salary in USD]],"")</f>
        <v/>
      </c>
      <c r="Y1263" s="13" t="str">
        <f>IF(tblSalaries[[#This Row],[Job Type]]=tblSalaries[[#Headers],[CXO or Top Mgmt.]],tblSalaries[[#This Row],[clean Salary (in local currency)]],"")</f>
        <v/>
      </c>
      <c r="Z1263" s="13" t="str">
        <f>IF(tblSalaries[[#This Row],[Job Type]]=tblSalaries[[#Headers],[Engineer]],tblSalaries[[#This Row],[Salary in USD]],"")</f>
        <v/>
      </c>
      <c r="AA1263" s="13">
        <f>IF(tblSalaries[[#This Row],[Job Type]]=tblSalaries[[#Headers],[Manager]],tblSalaries[[#This Row],[Salary in USD]],"")</f>
        <v>18000</v>
      </c>
      <c r="AB1263" s="13" t="str">
        <f>IF(tblSalaries[[#This Row],[Job Type]]=tblSalaries[[#Headers],[Misc.]],tblSalaries[[#This Row],[Salary in USD]],"")</f>
        <v/>
      </c>
      <c r="AC1263" s="13" t="str">
        <f>IF(tblSalaries[[#This Row],[Job Type]]=tblSalaries[[#Headers],[Reporting]],tblSalaries[[#This Row],[Salary in USD]],"")</f>
        <v/>
      </c>
      <c r="AD1263" s="13" t="str">
        <f>IF(tblSalaries[[#This Row],[Job Type]]=tblSalaries[[#Headers],[Specialist]],tblSalaries[[#This Row],[Salary in USD]],"")</f>
        <v/>
      </c>
    </row>
    <row r="1264" spans="2:30" ht="15" customHeight="1" x14ac:dyDescent="0.25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 s="9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3999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  <c r="N1264" t="str">
        <f>IF(tblSalaries[[#This Row],[Years of Experience]]="","",IF(tblSalaries[[#This Row],[Years of Experience]]&lt;=2,1,""))</f>
        <v/>
      </c>
      <c r="O1264">
        <f>IF(tblSalaries[[#This Row],[Years of Experience]]="","",IF(AND(tblSalaries[[#This Row],[Years of Experience]]&gt;2,tblSalaries[[#This Row],[Years of Experience]]&lt;=5),1,""))</f>
        <v>1</v>
      </c>
      <c r="P1264" t="str">
        <f>IF(tblSalaries[[#This Row],[Years of Experience]]="","",IF(AND(tblSalaries[[#This Row],[Years of Experience]]&gt;5,tblSalaries[[#This Row],[Years of Experience]]&lt;=10),1,""))</f>
        <v/>
      </c>
      <c r="Q1264" t="str">
        <f>IF(tblSalaries[[#This Row],[Years of Experience]]="","",IF(AND(tblSalaries[[#This Row],[Years of Experience]]&gt;10,tblSalaries[[#This Row],[Years of Experience]]&lt;=15),1,""))</f>
        <v/>
      </c>
      <c r="R1264" t="str">
        <f>IF(tblSalaries[[#This Row],[Years of Experience]]="","",IF(AND(tblSalaries[[#This Row],[Years of Experience]]&gt;16,tblSalaries[[#This Row],[Years of Experience]]&lt;=20),1,""))</f>
        <v/>
      </c>
      <c r="S1264" t="str">
        <f>IF(tblSalaries[[#This Row],[Years of Experience]]="","",IF(tblSalaries[[#This Row],[Years of Experience]]&gt;20,1,""))</f>
        <v/>
      </c>
      <c r="T12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64" s="13" t="str">
        <f>IF(tblSalaries[[#This Row],[Job Type]]=tblSalaries[[#Headers],[Accountant]],tblSalaries[[#This Row],[Salary in USD]],"")</f>
        <v/>
      </c>
      <c r="V1264" s="13" t="str">
        <f>IF(tblSalaries[[#This Row],[Job Type]]=tblSalaries[[#Headers],[Analyst]],tblSalaries[[#This Row],[Salary in USD]],"")</f>
        <v/>
      </c>
      <c r="W1264" s="13" t="str">
        <f>IF(tblSalaries[[#This Row],[Job Type]]=tblSalaries[[#Headers],[Consultant]],tblSalaries[[#This Row],[Salary in USD]],"")</f>
        <v/>
      </c>
      <c r="X1264" s="13" t="str">
        <f>IF(tblSalaries[[#This Row],[Job Type]]=tblSalaries[[#Headers],[Controller]],tblSalaries[[#This Row],[Salary in USD]],"")</f>
        <v/>
      </c>
      <c r="Y1264" s="13" t="str">
        <f>IF(tblSalaries[[#This Row],[Job Type]]=tblSalaries[[#Headers],[CXO or Top Mgmt.]],tblSalaries[[#This Row],[clean Salary (in local currency)]],"")</f>
        <v/>
      </c>
      <c r="Z1264" s="13" t="str">
        <f>IF(tblSalaries[[#This Row],[Job Type]]=tblSalaries[[#Headers],[Engineer]],tblSalaries[[#This Row],[Salary in USD]],"")</f>
        <v/>
      </c>
      <c r="AA1264" s="13" t="str">
        <f>IF(tblSalaries[[#This Row],[Job Type]]=tblSalaries[[#Headers],[Manager]],tblSalaries[[#This Row],[Salary in USD]],"")</f>
        <v/>
      </c>
      <c r="AB1264" s="13" t="str">
        <f>IF(tblSalaries[[#This Row],[Job Type]]=tblSalaries[[#Headers],[Misc.]],tblSalaries[[#This Row],[Salary in USD]],"")</f>
        <v/>
      </c>
      <c r="AC1264" s="13">
        <f>IF(tblSalaries[[#This Row],[Job Type]]=tblSalaries[[#Headers],[Reporting]],tblSalaries[[#This Row],[Salary in USD]],"")</f>
        <v>5342.3750062327708</v>
      </c>
      <c r="AD1264" s="13" t="str">
        <f>IF(tblSalaries[[#This Row],[Job Type]]=tblSalaries[[#Headers],[Specialist]],tblSalaries[[#This Row],[Salary in USD]],"")</f>
        <v/>
      </c>
    </row>
    <row r="1265" spans="2:30" ht="15" customHeight="1" x14ac:dyDescent="0.25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 s="9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  <c r="N1265" t="str">
        <f>IF(tblSalaries[[#This Row],[Years of Experience]]="","",IF(tblSalaries[[#This Row],[Years of Experience]]&lt;=2,1,""))</f>
        <v/>
      </c>
      <c r="O1265">
        <f>IF(tblSalaries[[#This Row],[Years of Experience]]="","",IF(AND(tblSalaries[[#This Row],[Years of Experience]]&gt;2,tblSalaries[[#This Row],[Years of Experience]]&lt;=5),1,""))</f>
        <v>1</v>
      </c>
      <c r="P1265" t="str">
        <f>IF(tblSalaries[[#This Row],[Years of Experience]]="","",IF(AND(tblSalaries[[#This Row],[Years of Experience]]&gt;5,tblSalaries[[#This Row],[Years of Experience]]&lt;=10),1,""))</f>
        <v/>
      </c>
      <c r="Q1265" t="str">
        <f>IF(tblSalaries[[#This Row],[Years of Experience]]="","",IF(AND(tblSalaries[[#This Row],[Years of Experience]]&gt;10,tblSalaries[[#This Row],[Years of Experience]]&lt;=15),1,""))</f>
        <v/>
      </c>
      <c r="R1265" t="str">
        <f>IF(tblSalaries[[#This Row],[Years of Experience]]="","",IF(AND(tblSalaries[[#This Row],[Years of Experience]]&gt;16,tblSalaries[[#This Row],[Years of Experience]]&lt;=20),1,""))</f>
        <v/>
      </c>
      <c r="S1265" t="str">
        <f>IF(tblSalaries[[#This Row],[Years of Experience]]="","",IF(tblSalaries[[#This Row],[Years of Experience]]&gt;20,1,""))</f>
        <v/>
      </c>
      <c r="T12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65" s="13" t="str">
        <f>IF(tblSalaries[[#This Row],[Job Type]]=tblSalaries[[#Headers],[Accountant]],tblSalaries[[#This Row],[Salary in USD]],"")</f>
        <v/>
      </c>
      <c r="V1265" s="13" t="str">
        <f>IF(tblSalaries[[#This Row],[Job Type]]=tblSalaries[[#Headers],[Analyst]],tblSalaries[[#This Row],[Salary in USD]],"")</f>
        <v/>
      </c>
      <c r="W1265" s="13" t="str">
        <f>IF(tblSalaries[[#This Row],[Job Type]]=tblSalaries[[#Headers],[Consultant]],tblSalaries[[#This Row],[Salary in USD]],"")</f>
        <v/>
      </c>
      <c r="X1265" s="13" t="str">
        <f>IF(tblSalaries[[#This Row],[Job Type]]=tblSalaries[[#Headers],[Controller]],tblSalaries[[#This Row],[Salary in USD]],"")</f>
        <v/>
      </c>
      <c r="Y1265" s="13" t="str">
        <f>IF(tblSalaries[[#This Row],[Job Type]]=tblSalaries[[#Headers],[CXO or Top Mgmt.]],tblSalaries[[#This Row],[clean Salary (in local currency)]],"")</f>
        <v/>
      </c>
      <c r="Z1265" s="13" t="str">
        <f>IF(tblSalaries[[#This Row],[Job Type]]=tblSalaries[[#Headers],[Engineer]],tblSalaries[[#This Row],[Salary in USD]],"")</f>
        <v/>
      </c>
      <c r="AA1265" s="13">
        <f>IF(tblSalaries[[#This Row],[Job Type]]=tblSalaries[[#Headers],[Manager]],tblSalaries[[#This Row],[Salary in USD]],"")</f>
        <v>7123.1666749770275</v>
      </c>
      <c r="AB1265" s="13" t="str">
        <f>IF(tblSalaries[[#This Row],[Job Type]]=tblSalaries[[#Headers],[Misc.]],tblSalaries[[#This Row],[Salary in USD]],"")</f>
        <v/>
      </c>
      <c r="AC1265" s="13" t="str">
        <f>IF(tblSalaries[[#This Row],[Job Type]]=tblSalaries[[#Headers],[Reporting]],tblSalaries[[#This Row],[Salary in USD]],"")</f>
        <v/>
      </c>
      <c r="AD1265" s="13" t="str">
        <f>IF(tblSalaries[[#This Row],[Job Type]]=tblSalaries[[#Headers],[Specialist]],tblSalaries[[#This Row],[Salary in USD]],"")</f>
        <v/>
      </c>
    </row>
    <row r="1266" spans="2:30" ht="15" customHeight="1" x14ac:dyDescent="0.25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 s="9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  <c r="N1266" t="str">
        <f>IF(tblSalaries[[#This Row],[Years of Experience]]="","",IF(tblSalaries[[#This Row],[Years of Experience]]&lt;=2,1,""))</f>
        <v/>
      </c>
      <c r="O1266" t="str">
        <f>IF(tblSalaries[[#This Row],[Years of Experience]]="","",IF(AND(tblSalaries[[#This Row],[Years of Experience]]&gt;2,tblSalaries[[#This Row],[Years of Experience]]&lt;=5),1,""))</f>
        <v/>
      </c>
      <c r="P1266">
        <f>IF(tblSalaries[[#This Row],[Years of Experience]]="","",IF(AND(tblSalaries[[#This Row],[Years of Experience]]&gt;5,tblSalaries[[#This Row],[Years of Experience]]&lt;=10),1,""))</f>
        <v>1</v>
      </c>
      <c r="Q1266" t="str">
        <f>IF(tblSalaries[[#This Row],[Years of Experience]]="","",IF(AND(tblSalaries[[#This Row],[Years of Experience]]&gt;10,tblSalaries[[#This Row],[Years of Experience]]&lt;=15),1,""))</f>
        <v/>
      </c>
      <c r="R1266" t="str">
        <f>IF(tblSalaries[[#This Row],[Years of Experience]]="","",IF(AND(tblSalaries[[#This Row],[Years of Experience]]&gt;16,tblSalaries[[#This Row],[Years of Experience]]&lt;=20),1,""))</f>
        <v/>
      </c>
      <c r="S1266" t="str">
        <f>IF(tblSalaries[[#This Row],[Years of Experience]]="","",IF(tblSalaries[[#This Row],[Years of Experience]]&gt;20,1,""))</f>
        <v/>
      </c>
      <c r="T12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66" s="13" t="str">
        <f>IF(tblSalaries[[#This Row],[Job Type]]=tblSalaries[[#Headers],[Accountant]],tblSalaries[[#This Row],[Salary in USD]],"")</f>
        <v/>
      </c>
      <c r="V1266" s="13" t="str">
        <f>IF(tblSalaries[[#This Row],[Job Type]]=tblSalaries[[#Headers],[Analyst]],tblSalaries[[#This Row],[Salary in USD]],"")</f>
        <v/>
      </c>
      <c r="W1266" s="13" t="str">
        <f>IF(tblSalaries[[#This Row],[Job Type]]=tblSalaries[[#Headers],[Consultant]],tblSalaries[[#This Row],[Salary in USD]],"")</f>
        <v/>
      </c>
      <c r="X1266" s="13" t="str">
        <f>IF(tblSalaries[[#This Row],[Job Type]]=tblSalaries[[#Headers],[Controller]],tblSalaries[[#This Row],[Salary in USD]],"")</f>
        <v/>
      </c>
      <c r="Y1266" s="13" t="str">
        <f>IF(tblSalaries[[#This Row],[Job Type]]=tblSalaries[[#Headers],[CXO or Top Mgmt.]],tblSalaries[[#This Row],[clean Salary (in local currency)]],"")</f>
        <v/>
      </c>
      <c r="Z1266" s="13" t="str">
        <f>IF(tblSalaries[[#This Row],[Job Type]]=tblSalaries[[#Headers],[Engineer]],tblSalaries[[#This Row],[Salary in USD]],"")</f>
        <v/>
      </c>
      <c r="AA1266" s="13">
        <f>IF(tblSalaries[[#This Row],[Job Type]]=tblSalaries[[#Headers],[Manager]],tblSalaries[[#This Row],[Salary in USD]],"")</f>
        <v>15000</v>
      </c>
      <c r="AB1266" s="13" t="str">
        <f>IF(tblSalaries[[#This Row],[Job Type]]=tblSalaries[[#Headers],[Misc.]],tblSalaries[[#This Row],[Salary in USD]],"")</f>
        <v/>
      </c>
      <c r="AC1266" s="13" t="str">
        <f>IF(tblSalaries[[#This Row],[Job Type]]=tblSalaries[[#Headers],[Reporting]],tblSalaries[[#This Row],[Salary in USD]],"")</f>
        <v/>
      </c>
      <c r="AD1266" s="13" t="str">
        <f>IF(tblSalaries[[#This Row],[Job Type]]=tblSalaries[[#Headers],[Specialist]],tblSalaries[[#This Row],[Salary in USD]],"")</f>
        <v/>
      </c>
    </row>
    <row r="1267" spans="2:30" ht="15" customHeight="1" x14ac:dyDescent="0.25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 s="9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  <c r="N1267" t="str">
        <f>IF(tblSalaries[[#This Row],[Years of Experience]]="","",IF(tblSalaries[[#This Row],[Years of Experience]]&lt;=2,1,""))</f>
        <v/>
      </c>
      <c r="O1267" t="str">
        <f>IF(tblSalaries[[#This Row],[Years of Experience]]="","",IF(AND(tblSalaries[[#This Row],[Years of Experience]]&gt;2,tblSalaries[[#This Row],[Years of Experience]]&lt;=5),1,""))</f>
        <v/>
      </c>
      <c r="P1267" t="str">
        <f>IF(tblSalaries[[#This Row],[Years of Experience]]="","",IF(AND(tblSalaries[[#This Row],[Years of Experience]]&gt;5,tblSalaries[[#This Row],[Years of Experience]]&lt;=10),1,""))</f>
        <v/>
      </c>
      <c r="Q1267">
        <f>IF(tblSalaries[[#This Row],[Years of Experience]]="","",IF(AND(tblSalaries[[#This Row],[Years of Experience]]&gt;10,tblSalaries[[#This Row],[Years of Experience]]&lt;=15),1,""))</f>
        <v>1</v>
      </c>
      <c r="R1267" t="str">
        <f>IF(tblSalaries[[#This Row],[Years of Experience]]="","",IF(AND(tblSalaries[[#This Row],[Years of Experience]]&gt;16,tblSalaries[[#This Row],[Years of Experience]]&lt;=20),1,""))</f>
        <v/>
      </c>
      <c r="S1267" t="str">
        <f>IF(tblSalaries[[#This Row],[Years of Experience]]="","",IF(tblSalaries[[#This Row],[Years of Experience]]&gt;20,1,""))</f>
        <v/>
      </c>
      <c r="T12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67" s="13" t="str">
        <f>IF(tblSalaries[[#This Row],[Job Type]]=tblSalaries[[#Headers],[Accountant]],tblSalaries[[#This Row],[Salary in USD]],"")</f>
        <v/>
      </c>
      <c r="V1267" s="13">
        <f>IF(tblSalaries[[#This Row],[Job Type]]=tblSalaries[[#Headers],[Analyst]],tblSalaries[[#This Row],[Salary in USD]],"")</f>
        <v>14000</v>
      </c>
      <c r="W1267" s="13" t="str">
        <f>IF(tblSalaries[[#This Row],[Job Type]]=tblSalaries[[#Headers],[Consultant]],tblSalaries[[#This Row],[Salary in USD]],"")</f>
        <v/>
      </c>
      <c r="X1267" s="13" t="str">
        <f>IF(tblSalaries[[#This Row],[Job Type]]=tblSalaries[[#Headers],[Controller]],tblSalaries[[#This Row],[Salary in USD]],"")</f>
        <v/>
      </c>
      <c r="Y1267" s="13" t="str">
        <f>IF(tblSalaries[[#This Row],[Job Type]]=tblSalaries[[#Headers],[CXO or Top Mgmt.]],tblSalaries[[#This Row],[clean Salary (in local currency)]],"")</f>
        <v/>
      </c>
      <c r="Z1267" s="13" t="str">
        <f>IF(tblSalaries[[#This Row],[Job Type]]=tblSalaries[[#Headers],[Engineer]],tblSalaries[[#This Row],[Salary in USD]],"")</f>
        <v/>
      </c>
      <c r="AA1267" s="13" t="str">
        <f>IF(tblSalaries[[#This Row],[Job Type]]=tblSalaries[[#Headers],[Manager]],tblSalaries[[#This Row],[Salary in USD]],"")</f>
        <v/>
      </c>
      <c r="AB1267" s="13" t="str">
        <f>IF(tblSalaries[[#This Row],[Job Type]]=tblSalaries[[#Headers],[Misc.]],tblSalaries[[#This Row],[Salary in USD]],"")</f>
        <v/>
      </c>
      <c r="AC1267" s="13" t="str">
        <f>IF(tblSalaries[[#This Row],[Job Type]]=tblSalaries[[#Headers],[Reporting]],tblSalaries[[#This Row],[Salary in USD]],"")</f>
        <v/>
      </c>
      <c r="AD1267" s="13" t="str">
        <f>IF(tblSalaries[[#This Row],[Job Type]]=tblSalaries[[#Headers],[Specialist]],tblSalaries[[#This Row],[Salary in USD]],"")</f>
        <v/>
      </c>
    </row>
    <row r="1268" spans="2:30" ht="15" customHeight="1" x14ac:dyDescent="0.25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 s="9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  <c r="N1268" t="str">
        <f>IF(tblSalaries[[#This Row],[Years of Experience]]="","",IF(tblSalaries[[#This Row],[Years of Experience]]&lt;=2,1,""))</f>
        <v/>
      </c>
      <c r="O1268">
        <f>IF(tblSalaries[[#This Row],[Years of Experience]]="","",IF(AND(tblSalaries[[#This Row],[Years of Experience]]&gt;2,tblSalaries[[#This Row],[Years of Experience]]&lt;=5),1,""))</f>
        <v>1</v>
      </c>
      <c r="P1268" t="str">
        <f>IF(tblSalaries[[#This Row],[Years of Experience]]="","",IF(AND(tblSalaries[[#This Row],[Years of Experience]]&gt;5,tblSalaries[[#This Row],[Years of Experience]]&lt;=10),1,""))</f>
        <v/>
      </c>
      <c r="Q1268" t="str">
        <f>IF(tblSalaries[[#This Row],[Years of Experience]]="","",IF(AND(tblSalaries[[#This Row],[Years of Experience]]&gt;10,tblSalaries[[#This Row],[Years of Experience]]&lt;=15),1,""))</f>
        <v/>
      </c>
      <c r="R1268" t="str">
        <f>IF(tblSalaries[[#This Row],[Years of Experience]]="","",IF(AND(tblSalaries[[#This Row],[Years of Experience]]&gt;16,tblSalaries[[#This Row],[Years of Experience]]&lt;=20),1,""))</f>
        <v/>
      </c>
      <c r="S1268" t="str">
        <f>IF(tblSalaries[[#This Row],[Years of Experience]]="","",IF(tblSalaries[[#This Row],[Years of Experience]]&gt;20,1,""))</f>
        <v/>
      </c>
      <c r="T12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68" s="13" t="str">
        <f>IF(tblSalaries[[#This Row],[Job Type]]=tblSalaries[[#Headers],[Accountant]],tblSalaries[[#This Row],[Salary in USD]],"")</f>
        <v/>
      </c>
      <c r="V1268" s="13">
        <f>IF(tblSalaries[[#This Row],[Job Type]]=tblSalaries[[#Headers],[Analyst]],tblSalaries[[#This Row],[Salary in USD]],"")</f>
        <v>8000</v>
      </c>
      <c r="W1268" s="13" t="str">
        <f>IF(tblSalaries[[#This Row],[Job Type]]=tblSalaries[[#Headers],[Consultant]],tblSalaries[[#This Row],[Salary in USD]],"")</f>
        <v/>
      </c>
      <c r="X1268" s="13" t="str">
        <f>IF(tblSalaries[[#This Row],[Job Type]]=tblSalaries[[#Headers],[Controller]],tblSalaries[[#This Row],[Salary in USD]],"")</f>
        <v/>
      </c>
      <c r="Y1268" s="13" t="str">
        <f>IF(tblSalaries[[#This Row],[Job Type]]=tblSalaries[[#Headers],[CXO or Top Mgmt.]],tblSalaries[[#This Row],[clean Salary (in local currency)]],"")</f>
        <v/>
      </c>
      <c r="Z1268" s="13" t="str">
        <f>IF(tblSalaries[[#This Row],[Job Type]]=tblSalaries[[#Headers],[Engineer]],tblSalaries[[#This Row],[Salary in USD]],"")</f>
        <v/>
      </c>
      <c r="AA1268" s="13" t="str">
        <f>IF(tblSalaries[[#This Row],[Job Type]]=tblSalaries[[#Headers],[Manager]],tblSalaries[[#This Row],[Salary in USD]],"")</f>
        <v/>
      </c>
      <c r="AB1268" s="13" t="str">
        <f>IF(tblSalaries[[#This Row],[Job Type]]=tblSalaries[[#Headers],[Misc.]],tblSalaries[[#This Row],[Salary in USD]],"")</f>
        <v/>
      </c>
      <c r="AC1268" s="13" t="str">
        <f>IF(tblSalaries[[#This Row],[Job Type]]=tblSalaries[[#Headers],[Reporting]],tblSalaries[[#This Row],[Salary in USD]],"")</f>
        <v/>
      </c>
      <c r="AD1268" s="13" t="str">
        <f>IF(tblSalaries[[#This Row],[Job Type]]=tblSalaries[[#Headers],[Specialist]],tblSalaries[[#This Row],[Salary in USD]],"")</f>
        <v/>
      </c>
    </row>
    <row r="1269" spans="2:30" ht="15" customHeight="1" x14ac:dyDescent="0.25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 s="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  <c r="N1269" t="str">
        <f>IF(tblSalaries[[#This Row],[Years of Experience]]="","",IF(tblSalaries[[#This Row],[Years of Experience]]&lt;=2,1,""))</f>
        <v/>
      </c>
      <c r="O1269" t="str">
        <f>IF(tblSalaries[[#This Row],[Years of Experience]]="","",IF(AND(tblSalaries[[#This Row],[Years of Experience]]&gt;2,tblSalaries[[#This Row],[Years of Experience]]&lt;=5),1,""))</f>
        <v/>
      </c>
      <c r="P1269">
        <f>IF(tblSalaries[[#This Row],[Years of Experience]]="","",IF(AND(tblSalaries[[#This Row],[Years of Experience]]&gt;5,tblSalaries[[#This Row],[Years of Experience]]&lt;=10),1,""))</f>
        <v>1</v>
      </c>
      <c r="Q1269" t="str">
        <f>IF(tblSalaries[[#This Row],[Years of Experience]]="","",IF(AND(tblSalaries[[#This Row],[Years of Experience]]&gt;10,tblSalaries[[#This Row],[Years of Experience]]&lt;=15),1,""))</f>
        <v/>
      </c>
      <c r="R1269" t="str">
        <f>IF(tblSalaries[[#This Row],[Years of Experience]]="","",IF(AND(tblSalaries[[#This Row],[Years of Experience]]&gt;16,tblSalaries[[#This Row],[Years of Experience]]&lt;=20),1,""))</f>
        <v/>
      </c>
      <c r="S1269" t="str">
        <f>IF(tblSalaries[[#This Row],[Years of Experience]]="","",IF(tblSalaries[[#This Row],[Years of Experience]]&gt;20,1,""))</f>
        <v/>
      </c>
      <c r="T12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69" s="13" t="str">
        <f>IF(tblSalaries[[#This Row],[Job Type]]=tblSalaries[[#Headers],[Accountant]],tblSalaries[[#This Row],[Salary in USD]],"")</f>
        <v/>
      </c>
      <c r="V1269" s="13" t="str">
        <f>IF(tblSalaries[[#This Row],[Job Type]]=tblSalaries[[#Headers],[Analyst]],tblSalaries[[#This Row],[Salary in USD]],"")</f>
        <v/>
      </c>
      <c r="W1269" s="13" t="str">
        <f>IF(tblSalaries[[#This Row],[Job Type]]=tblSalaries[[#Headers],[Consultant]],tblSalaries[[#This Row],[Salary in USD]],"")</f>
        <v/>
      </c>
      <c r="X1269" s="13" t="str">
        <f>IF(tblSalaries[[#This Row],[Job Type]]=tblSalaries[[#Headers],[Controller]],tblSalaries[[#This Row],[Salary in USD]],"")</f>
        <v/>
      </c>
      <c r="Y1269" s="13" t="str">
        <f>IF(tblSalaries[[#This Row],[Job Type]]=tblSalaries[[#Headers],[CXO or Top Mgmt.]],tblSalaries[[#This Row],[clean Salary (in local currency)]],"")</f>
        <v/>
      </c>
      <c r="Z1269" s="13" t="str">
        <f>IF(tblSalaries[[#This Row],[Job Type]]=tblSalaries[[#Headers],[Engineer]],tblSalaries[[#This Row],[Salary in USD]],"")</f>
        <v/>
      </c>
      <c r="AA1269" s="13" t="str">
        <f>IF(tblSalaries[[#This Row],[Job Type]]=tblSalaries[[#Headers],[Manager]],tblSalaries[[#This Row],[Salary in USD]],"")</f>
        <v/>
      </c>
      <c r="AB1269" s="13" t="str">
        <f>IF(tblSalaries[[#This Row],[Job Type]]=tblSalaries[[#Headers],[Misc.]],tblSalaries[[#This Row],[Salary in USD]],"")</f>
        <v/>
      </c>
      <c r="AC1269" s="13" t="str">
        <f>IF(tblSalaries[[#This Row],[Job Type]]=tblSalaries[[#Headers],[Reporting]],tblSalaries[[#This Row],[Salary in USD]],"")</f>
        <v/>
      </c>
      <c r="AD1269" s="13">
        <f>IF(tblSalaries[[#This Row],[Job Type]]=tblSalaries[[#Headers],[Specialist]],tblSalaries[[#This Row],[Salary in USD]],"")</f>
        <v>12500</v>
      </c>
    </row>
    <row r="1270" spans="2:30" ht="15" customHeight="1" x14ac:dyDescent="0.25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 s="9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  <c r="N1270" t="str">
        <f>IF(tblSalaries[[#This Row],[Years of Experience]]="","",IF(tblSalaries[[#This Row],[Years of Experience]]&lt;=2,1,""))</f>
        <v/>
      </c>
      <c r="O1270" t="str">
        <f>IF(tblSalaries[[#This Row],[Years of Experience]]="","",IF(AND(tblSalaries[[#This Row],[Years of Experience]]&gt;2,tblSalaries[[#This Row],[Years of Experience]]&lt;=5),1,""))</f>
        <v/>
      </c>
      <c r="P1270" t="str">
        <f>IF(tblSalaries[[#This Row],[Years of Experience]]="","",IF(AND(tblSalaries[[#This Row],[Years of Experience]]&gt;5,tblSalaries[[#This Row],[Years of Experience]]&lt;=10),1,""))</f>
        <v/>
      </c>
      <c r="Q1270">
        <f>IF(tblSalaries[[#This Row],[Years of Experience]]="","",IF(AND(tblSalaries[[#This Row],[Years of Experience]]&gt;10,tblSalaries[[#This Row],[Years of Experience]]&lt;=15),1,""))</f>
        <v>1</v>
      </c>
      <c r="R1270" t="str">
        <f>IF(tblSalaries[[#This Row],[Years of Experience]]="","",IF(AND(tblSalaries[[#This Row],[Years of Experience]]&gt;16,tblSalaries[[#This Row],[Years of Experience]]&lt;=20),1,""))</f>
        <v/>
      </c>
      <c r="S1270" t="str">
        <f>IF(tblSalaries[[#This Row],[Years of Experience]]="","",IF(tblSalaries[[#This Row],[Years of Experience]]&gt;20,1,""))</f>
        <v/>
      </c>
      <c r="T12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70" s="13">
        <f>IF(tblSalaries[[#This Row],[Job Type]]=tblSalaries[[#Headers],[Accountant]],tblSalaries[[#This Row],[Salary in USD]],"")</f>
        <v>140000</v>
      </c>
      <c r="V1270" s="13" t="str">
        <f>IF(tblSalaries[[#This Row],[Job Type]]=tblSalaries[[#Headers],[Analyst]],tblSalaries[[#This Row],[Salary in USD]],"")</f>
        <v/>
      </c>
      <c r="W1270" s="13" t="str">
        <f>IF(tblSalaries[[#This Row],[Job Type]]=tblSalaries[[#Headers],[Consultant]],tblSalaries[[#This Row],[Salary in USD]],"")</f>
        <v/>
      </c>
      <c r="X1270" s="13" t="str">
        <f>IF(tblSalaries[[#This Row],[Job Type]]=tblSalaries[[#Headers],[Controller]],tblSalaries[[#This Row],[Salary in USD]],"")</f>
        <v/>
      </c>
      <c r="Y1270" s="13" t="str">
        <f>IF(tblSalaries[[#This Row],[Job Type]]=tblSalaries[[#Headers],[CXO or Top Mgmt.]],tblSalaries[[#This Row],[clean Salary (in local currency)]],"")</f>
        <v/>
      </c>
      <c r="Z1270" s="13" t="str">
        <f>IF(tblSalaries[[#This Row],[Job Type]]=tblSalaries[[#Headers],[Engineer]],tblSalaries[[#This Row],[Salary in USD]],"")</f>
        <v/>
      </c>
      <c r="AA1270" s="13" t="str">
        <f>IF(tblSalaries[[#This Row],[Job Type]]=tblSalaries[[#Headers],[Manager]],tblSalaries[[#This Row],[Salary in USD]],"")</f>
        <v/>
      </c>
      <c r="AB1270" s="13" t="str">
        <f>IF(tblSalaries[[#This Row],[Job Type]]=tblSalaries[[#Headers],[Misc.]],tblSalaries[[#This Row],[Salary in USD]],"")</f>
        <v/>
      </c>
      <c r="AC1270" s="13" t="str">
        <f>IF(tblSalaries[[#This Row],[Job Type]]=tblSalaries[[#Headers],[Reporting]],tblSalaries[[#This Row],[Salary in USD]],"")</f>
        <v/>
      </c>
      <c r="AD1270" s="13" t="str">
        <f>IF(tblSalaries[[#This Row],[Job Type]]=tblSalaries[[#Headers],[Specialist]],tblSalaries[[#This Row],[Salary in USD]],"")</f>
        <v/>
      </c>
    </row>
    <row r="1271" spans="2:30" ht="15" customHeight="1" x14ac:dyDescent="0.25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 s="9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  <c r="N1271">
        <f>IF(tblSalaries[[#This Row],[Years of Experience]]="","",IF(tblSalaries[[#This Row],[Years of Experience]]&lt;=2,1,""))</f>
        <v>1</v>
      </c>
      <c r="O1271" t="str">
        <f>IF(tblSalaries[[#This Row],[Years of Experience]]="","",IF(AND(tblSalaries[[#This Row],[Years of Experience]]&gt;2,tblSalaries[[#This Row],[Years of Experience]]&lt;=5),1,""))</f>
        <v/>
      </c>
      <c r="P1271" t="str">
        <f>IF(tblSalaries[[#This Row],[Years of Experience]]="","",IF(AND(tblSalaries[[#This Row],[Years of Experience]]&gt;5,tblSalaries[[#This Row],[Years of Experience]]&lt;=10),1,""))</f>
        <v/>
      </c>
      <c r="Q1271" t="str">
        <f>IF(tblSalaries[[#This Row],[Years of Experience]]="","",IF(AND(tblSalaries[[#This Row],[Years of Experience]]&gt;10,tblSalaries[[#This Row],[Years of Experience]]&lt;=15),1,""))</f>
        <v/>
      </c>
      <c r="R1271" t="str">
        <f>IF(tblSalaries[[#This Row],[Years of Experience]]="","",IF(AND(tblSalaries[[#This Row],[Years of Experience]]&gt;16,tblSalaries[[#This Row],[Years of Experience]]&lt;=20),1,""))</f>
        <v/>
      </c>
      <c r="S1271" t="str">
        <f>IF(tblSalaries[[#This Row],[Years of Experience]]="","",IF(tblSalaries[[#This Row],[Years of Experience]]&gt;20,1,""))</f>
        <v/>
      </c>
      <c r="T12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71" s="13" t="str">
        <f>IF(tblSalaries[[#This Row],[Job Type]]=tblSalaries[[#Headers],[Accountant]],tblSalaries[[#This Row],[Salary in USD]],"")</f>
        <v/>
      </c>
      <c r="V1271" s="13" t="str">
        <f>IF(tblSalaries[[#This Row],[Job Type]]=tblSalaries[[#Headers],[Analyst]],tblSalaries[[#This Row],[Salary in USD]],"")</f>
        <v/>
      </c>
      <c r="W1271" s="13">
        <f>IF(tblSalaries[[#This Row],[Job Type]]=tblSalaries[[#Headers],[Consultant]],tblSalaries[[#This Row],[Salary in USD]],"")</f>
        <v>12000</v>
      </c>
      <c r="X1271" s="13" t="str">
        <f>IF(tblSalaries[[#This Row],[Job Type]]=tblSalaries[[#Headers],[Controller]],tblSalaries[[#This Row],[Salary in USD]],"")</f>
        <v/>
      </c>
      <c r="Y1271" s="13" t="str">
        <f>IF(tblSalaries[[#This Row],[Job Type]]=tblSalaries[[#Headers],[CXO or Top Mgmt.]],tblSalaries[[#This Row],[clean Salary (in local currency)]],"")</f>
        <v/>
      </c>
      <c r="Z1271" s="13" t="str">
        <f>IF(tblSalaries[[#This Row],[Job Type]]=tblSalaries[[#Headers],[Engineer]],tblSalaries[[#This Row],[Salary in USD]],"")</f>
        <v/>
      </c>
      <c r="AA1271" s="13" t="str">
        <f>IF(tblSalaries[[#This Row],[Job Type]]=tblSalaries[[#Headers],[Manager]],tblSalaries[[#This Row],[Salary in USD]],"")</f>
        <v/>
      </c>
      <c r="AB1271" s="13" t="str">
        <f>IF(tblSalaries[[#This Row],[Job Type]]=tblSalaries[[#Headers],[Misc.]],tblSalaries[[#This Row],[Salary in USD]],"")</f>
        <v/>
      </c>
      <c r="AC1271" s="13" t="str">
        <f>IF(tblSalaries[[#This Row],[Job Type]]=tblSalaries[[#Headers],[Reporting]],tblSalaries[[#This Row],[Salary in USD]],"")</f>
        <v/>
      </c>
      <c r="AD1271" s="13" t="str">
        <f>IF(tblSalaries[[#This Row],[Job Type]]=tblSalaries[[#Headers],[Specialist]],tblSalaries[[#This Row],[Salary in USD]],"")</f>
        <v/>
      </c>
    </row>
    <row r="1272" spans="2:30" ht="15" customHeight="1" x14ac:dyDescent="0.25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 s="9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  <c r="N1272" t="str">
        <f>IF(tblSalaries[[#This Row],[Years of Experience]]="","",IF(tblSalaries[[#This Row],[Years of Experience]]&lt;=2,1,""))</f>
        <v/>
      </c>
      <c r="O1272" t="str">
        <f>IF(tblSalaries[[#This Row],[Years of Experience]]="","",IF(AND(tblSalaries[[#This Row],[Years of Experience]]&gt;2,tblSalaries[[#This Row],[Years of Experience]]&lt;=5),1,""))</f>
        <v/>
      </c>
      <c r="P1272" t="str">
        <f>IF(tblSalaries[[#This Row],[Years of Experience]]="","",IF(AND(tblSalaries[[#This Row],[Years of Experience]]&gt;5,tblSalaries[[#This Row],[Years of Experience]]&lt;=10),1,""))</f>
        <v/>
      </c>
      <c r="Q1272">
        <f>IF(tblSalaries[[#This Row],[Years of Experience]]="","",IF(AND(tblSalaries[[#This Row],[Years of Experience]]&gt;10,tblSalaries[[#This Row],[Years of Experience]]&lt;=15),1,""))</f>
        <v>1</v>
      </c>
      <c r="R1272" t="str">
        <f>IF(tblSalaries[[#This Row],[Years of Experience]]="","",IF(AND(tblSalaries[[#This Row],[Years of Experience]]&gt;16,tblSalaries[[#This Row],[Years of Experience]]&lt;=20),1,""))</f>
        <v/>
      </c>
      <c r="S1272" t="str">
        <f>IF(tblSalaries[[#This Row],[Years of Experience]]="","",IF(tblSalaries[[#This Row],[Years of Experience]]&gt;20,1,""))</f>
        <v/>
      </c>
      <c r="T12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272" s="13" t="str">
        <f>IF(tblSalaries[[#This Row],[Job Type]]=tblSalaries[[#Headers],[Accountant]],tblSalaries[[#This Row],[Salary in USD]],"")</f>
        <v/>
      </c>
      <c r="V1272" s="13">
        <f>IF(tblSalaries[[#This Row],[Job Type]]=tblSalaries[[#Headers],[Analyst]],tblSalaries[[#This Row],[Salary in USD]],"")</f>
        <v>38111.983169748237</v>
      </c>
      <c r="W1272" s="13" t="str">
        <f>IF(tblSalaries[[#This Row],[Job Type]]=tblSalaries[[#Headers],[Consultant]],tblSalaries[[#This Row],[Salary in USD]],"")</f>
        <v/>
      </c>
      <c r="X1272" s="13" t="str">
        <f>IF(tblSalaries[[#This Row],[Job Type]]=tblSalaries[[#Headers],[Controller]],tblSalaries[[#This Row],[Salary in USD]],"")</f>
        <v/>
      </c>
      <c r="Y1272" s="13" t="str">
        <f>IF(tblSalaries[[#This Row],[Job Type]]=tblSalaries[[#Headers],[CXO or Top Mgmt.]],tblSalaries[[#This Row],[clean Salary (in local currency)]],"")</f>
        <v/>
      </c>
      <c r="Z1272" s="13" t="str">
        <f>IF(tblSalaries[[#This Row],[Job Type]]=tblSalaries[[#Headers],[Engineer]],tblSalaries[[#This Row],[Salary in USD]],"")</f>
        <v/>
      </c>
      <c r="AA1272" s="13" t="str">
        <f>IF(tblSalaries[[#This Row],[Job Type]]=tblSalaries[[#Headers],[Manager]],tblSalaries[[#This Row],[Salary in USD]],"")</f>
        <v/>
      </c>
      <c r="AB1272" s="13" t="str">
        <f>IF(tblSalaries[[#This Row],[Job Type]]=tblSalaries[[#Headers],[Misc.]],tblSalaries[[#This Row],[Salary in USD]],"")</f>
        <v/>
      </c>
      <c r="AC1272" s="13" t="str">
        <f>IF(tblSalaries[[#This Row],[Job Type]]=tblSalaries[[#Headers],[Reporting]],tblSalaries[[#This Row],[Salary in USD]],"")</f>
        <v/>
      </c>
      <c r="AD1272" s="13" t="str">
        <f>IF(tblSalaries[[#This Row],[Job Type]]=tblSalaries[[#Headers],[Specialist]],tblSalaries[[#This Row],[Salary in USD]],"")</f>
        <v/>
      </c>
    </row>
    <row r="1273" spans="2:30" ht="15" customHeight="1" x14ac:dyDescent="0.25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 s="9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  <c r="N1273">
        <f>IF(tblSalaries[[#This Row],[Years of Experience]]="","",IF(tblSalaries[[#This Row],[Years of Experience]]&lt;=2,1,""))</f>
        <v>1</v>
      </c>
      <c r="O1273" t="str">
        <f>IF(tblSalaries[[#This Row],[Years of Experience]]="","",IF(AND(tblSalaries[[#This Row],[Years of Experience]]&gt;2,tblSalaries[[#This Row],[Years of Experience]]&lt;=5),1,""))</f>
        <v/>
      </c>
      <c r="P1273" t="str">
        <f>IF(tblSalaries[[#This Row],[Years of Experience]]="","",IF(AND(tblSalaries[[#This Row],[Years of Experience]]&gt;5,tblSalaries[[#This Row],[Years of Experience]]&lt;=10),1,""))</f>
        <v/>
      </c>
      <c r="Q1273" t="str">
        <f>IF(tblSalaries[[#This Row],[Years of Experience]]="","",IF(AND(tblSalaries[[#This Row],[Years of Experience]]&gt;10,tblSalaries[[#This Row],[Years of Experience]]&lt;=15),1,""))</f>
        <v/>
      </c>
      <c r="R1273" t="str">
        <f>IF(tblSalaries[[#This Row],[Years of Experience]]="","",IF(AND(tblSalaries[[#This Row],[Years of Experience]]&gt;16,tblSalaries[[#This Row],[Years of Experience]]&lt;=20),1,""))</f>
        <v/>
      </c>
      <c r="S1273" t="str">
        <f>IF(tblSalaries[[#This Row],[Years of Experience]]="","",IF(tblSalaries[[#This Row],[Years of Experience]]&gt;20,1,""))</f>
        <v/>
      </c>
      <c r="T12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73" s="13" t="str">
        <f>IF(tblSalaries[[#This Row],[Job Type]]=tblSalaries[[#Headers],[Accountant]],tblSalaries[[#This Row],[Salary in USD]],"")</f>
        <v/>
      </c>
      <c r="V1273" s="13" t="str">
        <f>IF(tblSalaries[[#This Row],[Job Type]]=tblSalaries[[#Headers],[Analyst]],tblSalaries[[#This Row],[Salary in USD]],"")</f>
        <v/>
      </c>
      <c r="W1273" s="13" t="str">
        <f>IF(tblSalaries[[#This Row],[Job Type]]=tblSalaries[[#Headers],[Consultant]],tblSalaries[[#This Row],[Salary in USD]],"")</f>
        <v/>
      </c>
      <c r="X1273" s="13" t="str">
        <f>IF(tblSalaries[[#This Row],[Job Type]]=tblSalaries[[#Headers],[Controller]],tblSalaries[[#This Row],[Salary in USD]],"")</f>
        <v/>
      </c>
      <c r="Y1273" s="13" t="str">
        <f>IF(tblSalaries[[#This Row],[Job Type]]=tblSalaries[[#Headers],[CXO or Top Mgmt.]],tblSalaries[[#This Row],[clean Salary (in local currency)]],"")</f>
        <v/>
      </c>
      <c r="Z1273" s="13" t="str">
        <f>IF(tblSalaries[[#This Row],[Job Type]]=tblSalaries[[#Headers],[Engineer]],tblSalaries[[#This Row],[Salary in USD]],"")</f>
        <v/>
      </c>
      <c r="AA1273" s="13">
        <f>IF(tblSalaries[[#This Row],[Job Type]]=tblSalaries[[#Headers],[Manager]],tblSalaries[[#This Row],[Salary in USD]],"")</f>
        <v>10684.750012465542</v>
      </c>
      <c r="AB1273" s="13" t="str">
        <f>IF(tblSalaries[[#This Row],[Job Type]]=tblSalaries[[#Headers],[Misc.]],tblSalaries[[#This Row],[Salary in USD]],"")</f>
        <v/>
      </c>
      <c r="AC1273" s="13" t="str">
        <f>IF(tblSalaries[[#This Row],[Job Type]]=tblSalaries[[#Headers],[Reporting]],tblSalaries[[#This Row],[Salary in USD]],"")</f>
        <v/>
      </c>
      <c r="AD1273" s="13" t="str">
        <f>IF(tblSalaries[[#This Row],[Job Type]]=tblSalaries[[#Headers],[Specialist]],tblSalaries[[#This Row],[Salary in USD]],"")</f>
        <v/>
      </c>
    </row>
    <row r="1274" spans="2:30" ht="15" customHeight="1" x14ac:dyDescent="0.25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 s="9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  <c r="N1274">
        <f>IF(tblSalaries[[#This Row],[Years of Experience]]="","",IF(tblSalaries[[#This Row],[Years of Experience]]&lt;=2,1,""))</f>
        <v>1</v>
      </c>
      <c r="O1274" t="str">
        <f>IF(tblSalaries[[#This Row],[Years of Experience]]="","",IF(AND(tblSalaries[[#This Row],[Years of Experience]]&gt;2,tblSalaries[[#This Row],[Years of Experience]]&lt;=5),1,""))</f>
        <v/>
      </c>
      <c r="P1274" t="str">
        <f>IF(tblSalaries[[#This Row],[Years of Experience]]="","",IF(AND(tblSalaries[[#This Row],[Years of Experience]]&gt;5,tblSalaries[[#This Row],[Years of Experience]]&lt;=10),1,""))</f>
        <v/>
      </c>
      <c r="Q1274" t="str">
        <f>IF(tblSalaries[[#This Row],[Years of Experience]]="","",IF(AND(tblSalaries[[#This Row],[Years of Experience]]&gt;10,tblSalaries[[#This Row],[Years of Experience]]&lt;=15),1,""))</f>
        <v/>
      </c>
      <c r="R1274" t="str">
        <f>IF(tblSalaries[[#This Row],[Years of Experience]]="","",IF(AND(tblSalaries[[#This Row],[Years of Experience]]&gt;16,tblSalaries[[#This Row],[Years of Experience]]&lt;=20),1,""))</f>
        <v/>
      </c>
      <c r="S1274" t="str">
        <f>IF(tblSalaries[[#This Row],[Years of Experience]]="","",IF(tblSalaries[[#This Row],[Years of Experience]]&gt;20,1,""))</f>
        <v/>
      </c>
      <c r="T12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74" s="13" t="str">
        <f>IF(tblSalaries[[#This Row],[Job Type]]=tblSalaries[[#Headers],[Accountant]],tblSalaries[[#This Row],[Salary in USD]],"")</f>
        <v/>
      </c>
      <c r="V1274" s="13">
        <f>IF(tblSalaries[[#This Row],[Job Type]]=tblSalaries[[#Headers],[Analyst]],tblSalaries[[#This Row],[Salary in USD]],"")</f>
        <v>6232.7708406048987</v>
      </c>
      <c r="W1274" s="13" t="str">
        <f>IF(tblSalaries[[#This Row],[Job Type]]=tblSalaries[[#Headers],[Consultant]],tblSalaries[[#This Row],[Salary in USD]],"")</f>
        <v/>
      </c>
      <c r="X1274" s="13" t="str">
        <f>IF(tblSalaries[[#This Row],[Job Type]]=tblSalaries[[#Headers],[Controller]],tblSalaries[[#This Row],[Salary in USD]],"")</f>
        <v/>
      </c>
      <c r="Y1274" s="13" t="str">
        <f>IF(tblSalaries[[#This Row],[Job Type]]=tblSalaries[[#Headers],[CXO or Top Mgmt.]],tblSalaries[[#This Row],[clean Salary (in local currency)]],"")</f>
        <v/>
      </c>
      <c r="Z1274" s="13" t="str">
        <f>IF(tblSalaries[[#This Row],[Job Type]]=tblSalaries[[#Headers],[Engineer]],tblSalaries[[#This Row],[Salary in USD]],"")</f>
        <v/>
      </c>
      <c r="AA1274" s="13" t="str">
        <f>IF(tblSalaries[[#This Row],[Job Type]]=tblSalaries[[#Headers],[Manager]],tblSalaries[[#This Row],[Salary in USD]],"")</f>
        <v/>
      </c>
      <c r="AB1274" s="13" t="str">
        <f>IF(tblSalaries[[#This Row],[Job Type]]=tblSalaries[[#Headers],[Misc.]],tblSalaries[[#This Row],[Salary in USD]],"")</f>
        <v/>
      </c>
      <c r="AC1274" s="13" t="str">
        <f>IF(tblSalaries[[#This Row],[Job Type]]=tblSalaries[[#Headers],[Reporting]],tblSalaries[[#This Row],[Salary in USD]],"")</f>
        <v/>
      </c>
      <c r="AD1274" s="13" t="str">
        <f>IF(tblSalaries[[#This Row],[Job Type]]=tblSalaries[[#Headers],[Specialist]],tblSalaries[[#This Row],[Salary in USD]],"")</f>
        <v/>
      </c>
    </row>
    <row r="1275" spans="2:30" ht="15" customHeight="1" x14ac:dyDescent="0.25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 s="9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  <c r="N1275" t="str">
        <f>IF(tblSalaries[[#This Row],[Years of Experience]]="","",IF(tblSalaries[[#This Row],[Years of Experience]]&lt;=2,1,""))</f>
        <v/>
      </c>
      <c r="O1275" t="str">
        <f>IF(tblSalaries[[#This Row],[Years of Experience]]="","",IF(AND(tblSalaries[[#This Row],[Years of Experience]]&gt;2,tblSalaries[[#This Row],[Years of Experience]]&lt;=5),1,""))</f>
        <v/>
      </c>
      <c r="P1275">
        <f>IF(tblSalaries[[#This Row],[Years of Experience]]="","",IF(AND(tblSalaries[[#This Row],[Years of Experience]]&gt;5,tblSalaries[[#This Row],[Years of Experience]]&lt;=10),1,""))</f>
        <v>1</v>
      </c>
      <c r="Q1275" t="str">
        <f>IF(tblSalaries[[#This Row],[Years of Experience]]="","",IF(AND(tblSalaries[[#This Row],[Years of Experience]]&gt;10,tblSalaries[[#This Row],[Years of Experience]]&lt;=15),1,""))</f>
        <v/>
      </c>
      <c r="R1275" t="str">
        <f>IF(tblSalaries[[#This Row],[Years of Experience]]="","",IF(AND(tblSalaries[[#This Row],[Years of Experience]]&gt;16,tblSalaries[[#This Row],[Years of Experience]]&lt;=20),1,""))</f>
        <v/>
      </c>
      <c r="S1275" t="str">
        <f>IF(tblSalaries[[#This Row],[Years of Experience]]="","",IF(tblSalaries[[#This Row],[Years of Experience]]&gt;20,1,""))</f>
        <v/>
      </c>
      <c r="T12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75" s="13" t="str">
        <f>IF(tblSalaries[[#This Row],[Job Type]]=tblSalaries[[#Headers],[Accountant]],tblSalaries[[#This Row],[Salary in USD]],"")</f>
        <v/>
      </c>
      <c r="V1275" s="13">
        <f>IF(tblSalaries[[#This Row],[Job Type]]=tblSalaries[[#Headers],[Analyst]],tblSalaries[[#This Row],[Salary in USD]],"")</f>
        <v>45000</v>
      </c>
      <c r="W1275" s="13" t="str">
        <f>IF(tblSalaries[[#This Row],[Job Type]]=tblSalaries[[#Headers],[Consultant]],tblSalaries[[#This Row],[Salary in USD]],"")</f>
        <v/>
      </c>
      <c r="X1275" s="13" t="str">
        <f>IF(tblSalaries[[#This Row],[Job Type]]=tblSalaries[[#Headers],[Controller]],tblSalaries[[#This Row],[Salary in USD]],"")</f>
        <v/>
      </c>
      <c r="Y1275" s="13" t="str">
        <f>IF(tblSalaries[[#This Row],[Job Type]]=tblSalaries[[#Headers],[CXO or Top Mgmt.]],tblSalaries[[#This Row],[clean Salary (in local currency)]],"")</f>
        <v/>
      </c>
      <c r="Z1275" s="13" t="str">
        <f>IF(tblSalaries[[#This Row],[Job Type]]=tblSalaries[[#Headers],[Engineer]],tblSalaries[[#This Row],[Salary in USD]],"")</f>
        <v/>
      </c>
      <c r="AA1275" s="13" t="str">
        <f>IF(tblSalaries[[#This Row],[Job Type]]=tblSalaries[[#Headers],[Manager]],tblSalaries[[#This Row],[Salary in USD]],"")</f>
        <v/>
      </c>
      <c r="AB1275" s="13" t="str">
        <f>IF(tblSalaries[[#This Row],[Job Type]]=tblSalaries[[#Headers],[Misc.]],tblSalaries[[#This Row],[Salary in USD]],"")</f>
        <v/>
      </c>
      <c r="AC1275" s="13" t="str">
        <f>IF(tblSalaries[[#This Row],[Job Type]]=tblSalaries[[#Headers],[Reporting]],tblSalaries[[#This Row],[Salary in USD]],"")</f>
        <v/>
      </c>
      <c r="AD1275" s="13" t="str">
        <f>IF(tblSalaries[[#This Row],[Job Type]]=tblSalaries[[#Headers],[Specialist]],tblSalaries[[#This Row],[Salary in USD]],"")</f>
        <v/>
      </c>
    </row>
    <row r="1276" spans="2:30" ht="15" customHeight="1" x14ac:dyDescent="0.25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 s="9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  <c r="N1276" t="str">
        <f>IF(tblSalaries[[#This Row],[Years of Experience]]="","",IF(tblSalaries[[#This Row],[Years of Experience]]&lt;=2,1,""))</f>
        <v/>
      </c>
      <c r="O1276" t="str">
        <f>IF(tblSalaries[[#This Row],[Years of Experience]]="","",IF(AND(tblSalaries[[#This Row],[Years of Experience]]&gt;2,tblSalaries[[#This Row],[Years of Experience]]&lt;=5),1,""))</f>
        <v/>
      </c>
      <c r="P1276">
        <f>IF(tblSalaries[[#This Row],[Years of Experience]]="","",IF(AND(tblSalaries[[#This Row],[Years of Experience]]&gt;5,tblSalaries[[#This Row],[Years of Experience]]&lt;=10),1,""))</f>
        <v>1</v>
      </c>
      <c r="Q1276" t="str">
        <f>IF(tblSalaries[[#This Row],[Years of Experience]]="","",IF(AND(tblSalaries[[#This Row],[Years of Experience]]&gt;10,tblSalaries[[#This Row],[Years of Experience]]&lt;=15),1,""))</f>
        <v/>
      </c>
      <c r="R1276" t="str">
        <f>IF(tblSalaries[[#This Row],[Years of Experience]]="","",IF(AND(tblSalaries[[#This Row],[Years of Experience]]&gt;16,tblSalaries[[#This Row],[Years of Experience]]&lt;=20),1,""))</f>
        <v/>
      </c>
      <c r="S1276" t="str">
        <f>IF(tblSalaries[[#This Row],[Years of Experience]]="","",IF(tblSalaries[[#This Row],[Years of Experience]]&gt;20,1,""))</f>
        <v/>
      </c>
      <c r="T12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76" s="13" t="str">
        <f>IF(tblSalaries[[#This Row],[Job Type]]=tblSalaries[[#Headers],[Accountant]],tblSalaries[[#This Row],[Salary in USD]],"")</f>
        <v/>
      </c>
      <c r="V1276" s="13" t="str">
        <f>IF(tblSalaries[[#This Row],[Job Type]]=tblSalaries[[#Headers],[Analyst]],tblSalaries[[#This Row],[Salary in USD]],"")</f>
        <v/>
      </c>
      <c r="W1276" s="13" t="str">
        <f>IF(tblSalaries[[#This Row],[Job Type]]=tblSalaries[[#Headers],[Consultant]],tblSalaries[[#This Row],[Salary in USD]],"")</f>
        <v/>
      </c>
      <c r="X1276" s="13" t="str">
        <f>IF(tblSalaries[[#This Row],[Job Type]]=tblSalaries[[#Headers],[Controller]],tblSalaries[[#This Row],[Salary in USD]],"")</f>
        <v/>
      </c>
      <c r="Y1276" s="13" t="str">
        <f>IF(tblSalaries[[#This Row],[Job Type]]=tblSalaries[[#Headers],[CXO or Top Mgmt.]],tblSalaries[[#This Row],[clean Salary (in local currency)]],"")</f>
        <v/>
      </c>
      <c r="Z1276" s="13" t="str">
        <f>IF(tblSalaries[[#This Row],[Job Type]]=tblSalaries[[#Headers],[Engineer]],tblSalaries[[#This Row],[Salary in USD]],"")</f>
        <v/>
      </c>
      <c r="AA1276" s="13">
        <f>IF(tblSalaries[[#This Row],[Job Type]]=tblSalaries[[#Headers],[Manager]],tblSalaries[[#This Row],[Salary in USD]],"")</f>
        <v>80000</v>
      </c>
      <c r="AB1276" s="13" t="str">
        <f>IF(tblSalaries[[#This Row],[Job Type]]=tblSalaries[[#Headers],[Misc.]],tblSalaries[[#This Row],[Salary in USD]],"")</f>
        <v/>
      </c>
      <c r="AC1276" s="13" t="str">
        <f>IF(tblSalaries[[#This Row],[Job Type]]=tblSalaries[[#Headers],[Reporting]],tblSalaries[[#This Row],[Salary in USD]],"")</f>
        <v/>
      </c>
      <c r="AD1276" s="13" t="str">
        <f>IF(tblSalaries[[#This Row],[Job Type]]=tblSalaries[[#Headers],[Specialist]],tblSalaries[[#This Row],[Salary in USD]],"")</f>
        <v/>
      </c>
    </row>
    <row r="1277" spans="2:30" ht="15" customHeight="1" x14ac:dyDescent="0.25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 s="9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  <c r="N1277" t="str">
        <f>IF(tblSalaries[[#This Row],[Years of Experience]]="","",IF(tblSalaries[[#This Row],[Years of Experience]]&lt;=2,1,""))</f>
        <v/>
      </c>
      <c r="O1277" t="str">
        <f>IF(tblSalaries[[#This Row],[Years of Experience]]="","",IF(AND(tblSalaries[[#This Row],[Years of Experience]]&gt;2,tblSalaries[[#This Row],[Years of Experience]]&lt;=5),1,""))</f>
        <v/>
      </c>
      <c r="P1277">
        <f>IF(tblSalaries[[#This Row],[Years of Experience]]="","",IF(AND(tblSalaries[[#This Row],[Years of Experience]]&gt;5,tblSalaries[[#This Row],[Years of Experience]]&lt;=10),1,""))</f>
        <v>1</v>
      </c>
      <c r="Q1277" t="str">
        <f>IF(tblSalaries[[#This Row],[Years of Experience]]="","",IF(AND(tblSalaries[[#This Row],[Years of Experience]]&gt;10,tblSalaries[[#This Row],[Years of Experience]]&lt;=15),1,""))</f>
        <v/>
      </c>
      <c r="R1277" t="str">
        <f>IF(tblSalaries[[#This Row],[Years of Experience]]="","",IF(AND(tblSalaries[[#This Row],[Years of Experience]]&gt;16,tblSalaries[[#This Row],[Years of Experience]]&lt;=20),1,""))</f>
        <v/>
      </c>
      <c r="S1277" t="str">
        <f>IF(tblSalaries[[#This Row],[Years of Experience]]="","",IF(tblSalaries[[#This Row],[Years of Experience]]&gt;20,1,""))</f>
        <v/>
      </c>
      <c r="T12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77" s="13" t="str">
        <f>IF(tblSalaries[[#This Row],[Job Type]]=tblSalaries[[#Headers],[Accountant]],tblSalaries[[#This Row],[Salary in USD]],"")</f>
        <v/>
      </c>
      <c r="V1277" s="13">
        <f>IF(tblSalaries[[#This Row],[Job Type]]=tblSalaries[[#Headers],[Analyst]],tblSalaries[[#This Row],[Salary in USD]],"")</f>
        <v>26711.875031163851</v>
      </c>
      <c r="W1277" s="13" t="str">
        <f>IF(tblSalaries[[#This Row],[Job Type]]=tblSalaries[[#Headers],[Consultant]],tblSalaries[[#This Row],[Salary in USD]],"")</f>
        <v/>
      </c>
      <c r="X1277" s="13" t="str">
        <f>IF(tblSalaries[[#This Row],[Job Type]]=tblSalaries[[#Headers],[Controller]],tblSalaries[[#This Row],[Salary in USD]],"")</f>
        <v/>
      </c>
      <c r="Y1277" s="13" t="str">
        <f>IF(tblSalaries[[#This Row],[Job Type]]=tblSalaries[[#Headers],[CXO or Top Mgmt.]],tblSalaries[[#This Row],[clean Salary (in local currency)]],"")</f>
        <v/>
      </c>
      <c r="Z1277" s="13" t="str">
        <f>IF(tblSalaries[[#This Row],[Job Type]]=tblSalaries[[#Headers],[Engineer]],tblSalaries[[#This Row],[Salary in USD]],"")</f>
        <v/>
      </c>
      <c r="AA1277" s="13" t="str">
        <f>IF(tblSalaries[[#This Row],[Job Type]]=tblSalaries[[#Headers],[Manager]],tblSalaries[[#This Row],[Salary in USD]],"")</f>
        <v/>
      </c>
      <c r="AB1277" s="13" t="str">
        <f>IF(tblSalaries[[#This Row],[Job Type]]=tblSalaries[[#Headers],[Misc.]],tblSalaries[[#This Row],[Salary in USD]],"")</f>
        <v/>
      </c>
      <c r="AC1277" s="13" t="str">
        <f>IF(tblSalaries[[#This Row],[Job Type]]=tblSalaries[[#Headers],[Reporting]],tblSalaries[[#This Row],[Salary in USD]],"")</f>
        <v/>
      </c>
      <c r="AD1277" s="13" t="str">
        <f>IF(tblSalaries[[#This Row],[Job Type]]=tblSalaries[[#Headers],[Specialist]],tblSalaries[[#This Row],[Salary in USD]],"")</f>
        <v/>
      </c>
    </row>
    <row r="1278" spans="2:30" ht="15" customHeight="1" x14ac:dyDescent="0.25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 s="9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  <c r="N1278" t="str">
        <f>IF(tblSalaries[[#This Row],[Years of Experience]]="","",IF(tblSalaries[[#This Row],[Years of Experience]]&lt;=2,1,""))</f>
        <v/>
      </c>
      <c r="O1278" t="str">
        <f>IF(tblSalaries[[#This Row],[Years of Experience]]="","",IF(AND(tblSalaries[[#This Row],[Years of Experience]]&gt;2,tblSalaries[[#This Row],[Years of Experience]]&lt;=5),1,""))</f>
        <v/>
      </c>
      <c r="P1278" t="str">
        <f>IF(tblSalaries[[#This Row],[Years of Experience]]="","",IF(AND(tblSalaries[[#This Row],[Years of Experience]]&gt;5,tblSalaries[[#This Row],[Years of Experience]]&lt;=10),1,""))</f>
        <v/>
      </c>
      <c r="Q1278" t="str">
        <f>IF(tblSalaries[[#This Row],[Years of Experience]]="","",IF(AND(tblSalaries[[#This Row],[Years of Experience]]&gt;10,tblSalaries[[#This Row],[Years of Experience]]&lt;=15),1,""))</f>
        <v/>
      </c>
      <c r="R1278">
        <f>IF(tblSalaries[[#This Row],[Years of Experience]]="","",IF(AND(tblSalaries[[#This Row],[Years of Experience]]&gt;16,tblSalaries[[#This Row],[Years of Experience]]&lt;=20),1,""))</f>
        <v>1</v>
      </c>
      <c r="S1278" t="str">
        <f>IF(tblSalaries[[#This Row],[Years of Experience]]="","",IF(tblSalaries[[#This Row],[Years of Experience]]&gt;20,1,""))</f>
        <v/>
      </c>
      <c r="T12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78" s="13" t="str">
        <f>IF(tblSalaries[[#This Row],[Job Type]]=tblSalaries[[#Headers],[Accountant]],tblSalaries[[#This Row],[Salary in USD]],"")</f>
        <v/>
      </c>
      <c r="V1278" s="13">
        <f>IF(tblSalaries[[#This Row],[Job Type]]=tblSalaries[[#Headers],[Analyst]],tblSalaries[[#This Row],[Salary in USD]],"")</f>
        <v>100000</v>
      </c>
      <c r="W1278" s="13" t="str">
        <f>IF(tblSalaries[[#This Row],[Job Type]]=tblSalaries[[#Headers],[Consultant]],tblSalaries[[#This Row],[Salary in USD]],"")</f>
        <v/>
      </c>
      <c r="X1278" s="13" t="str">
        <f>IF(tblSalaries[[#This Row],[Job Type]]=tblSalaries[[#Headers],[Controller]],tblSalaries[[#This Row],[Salary in USD]],"")</f>
        <v/>
      </c>
      <c r="Y1278" s="13" t="str">
        <f>IF(tblSalaries[[#This Row],[Job Type]]=tblSalaries[[#Headers],[CXO or Top Mgmt.]],tblSalaries[[#This Row],[clean Salary (in local currency)]],"")</f>
        <v/>
      </c>
      <c r="Z1278" s="13" t="str">
        <f>IF(tblSalaries[[#This Row],[Job Type]]=tblSalaries[[#Headers],[Engineer]],tblSalaries[[#This Row],[Salary in USD]],"")</f>
        <v/>
      </c>
      <c r="AA1278" s="13" t="str">
        <f>IF(tblSalaries[[#This Row],[Job Type]]=tblSalaries[[#Headers],[Manager]],tblSalaries[[#This Row],[Salary in USD]],"")</f>
        <v/>
      </c>
      <c r="AB1278" s="13" t="str">
        <f>IF(tblSalaries[[#This Row],[Job Type]]=tblSalaries[[#Headers],[Misc.]],tblSalaries[[#This Row],[Salary in USD]],"")</f>
        <v/>
      </c>
      <c r="AC1278" s="13" t="str">
        <f>IF(tblSalaries[[#This Row],[Job Type]]=tblSalaries[[#Headers],[Reporting]],tblSalaries[[#This Row],[Salary in USD]],"")</f>
        <v/>
      </c>
      <c r="AD1278" s="13" t="str">
        <f>IF(tblSalaries[[#This Row],[Job Type]]=tblSalaries[[#Headers],[Specialist]],tblSalaries[[#This Row],[Salary in USD]],"")</f>
        <v/>
      </c>
    </row>
    <row r="1279" spans="2:30" ht="15" customHeight="1" x14ac:dyDescent="0.25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 s="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  <c r="N1279" t="str">
        <f>IF(tblSalaries[[#This Row],[Years of Experience]]="","",IF(tblSalaries[[#This Row],[Years of Experience]]&lt;=2,1,""))</f>
        <v/>
      </c>
      <c r="O1279" t="str">
        <f>IF(tblSalaries[[#This Row],[Years of Experience]]="","",IF(AND(tblSalaries[[#This Row],[Years of Experience]]&gt;2,tblSalaries[[#This Row],[Years of Experience]]&lt;=5),1,""))</f>
        <v/>
      </c>
      <c r="P1279">
        <f>IF(tblSalaries[[#This Row],[Years of Experience]]="","",IF(AND(tblSalaries[[#This Row],[Years of Experience]]&gt;5,tblSalaries[[#This Row],[Years of Experience]]&lt;=10),1,""))</f>
        <v>1</v>
      </c>
      <c r="Q1279" t="str">
        <f>IF(tblSalaries[[#This Row],[Years of Experience]]="","",IF(AND(tblSalaries[[#This Row],[Years of Experience]]&gt;10,tblSalaries[[#This Row],[Years of Experience]]&lt;=15),1,""))</f>
        <v/>
      </c>
      <c r="R1279" t="str">
        <f>IF(tblSalaries[[#This Row],[Years of Experience]]="","",IF(AND(tblSalaries[[#This Row],[Years of Experience]]&gt;16,tblSalaries[[#This Row],[Years of Experience]]&lt;=20),1,""))</f>
        <v/>
      </c>
      <c r="S1279" t="str">
        <f>IF(tblSalaries[[#This Row],[Years of Experience]]="","",IF(tblSalaries[[#This Row],[Years of Experience]]&gt;20,1,""))</f>
        <v/>
      </c>
      <c r="T12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79" s="13" t="str">
        <f>IF(tblSalaries[[#This Row],[Job Type]]=tblSalaries[[#Headers],[Accountant]],tblSalaries[[#This Row],[Salary in USD]],"")</f>
        <v/>
      </c>
      <c r="V1279" s="13" t="str">
        <f>IF(tblSalaries[[#This Row],[Job Type]]=tblSalaries[[#Headers],[Analyst]],tblSalaries[[#This Row],[Salary in USD]],"")</f>
        <v/>
      </c>
      <c r="W1279" s="13" t="str">
        <f>IF(tblSalaries[[#This Row],[Job Type]]=tblSalaries[[#Headers],[Consultant]],tblSalaries[[#This Row],[Salary in USD]],"")</f>
        <v/>
      </c>
      <c r="X1279" s="13" t="str">
        <f>IF(tblSalaries[[#This Row],[Job Type]]=tblSalaries[[#Headers],[Controller]],tblSalaries[[#This Row],[Salary in USD]],"")</f>
        <v/>
      </c>
      <c r="Y1279" s="13" t="str">
        <f>IF(tblSalaries[[#This Row],[Job Type]]=tblSalaries[[#Headers],[CXO or Top Mgmt.]],tblSalaries[[#This Row],[clean Salary (in local currency)]],"")</f>
        <v/>
      </c>
      <c r="Z1279" s="13" t="str">
        <f>IF(tblSalaries[[#This Row],[Job Type]]=tblSalaries[[#Headers],[Engineer]],tblSalaries[[#This Row],[Salary in USD]],"")</f>
        <v/>
      </c>
      <c r="AA1279" s="13">
        <f>IF(tblSalaries[[#This Row],[Job Type]]=tblSalaries[[#Headers],[Manager]],tblSalaries[[#This Row],[Salary in USD]],"")</f>
        <v>69353.856635379227</v>
      </c>
      <c r="AB1279" s="13" t="str">
        <f>IF(tblSalaries[[#This Row],[Job Type]]=tblSalaries[[#Headers],[Misc.]],tblSalaries[[#This Row],[Salary in USD]],"")</f>
        <v/>
      </c>
      <c r="AC1279" s="13" t="str">
        <f>IF(tblSalaries[[#This Row],[Job Type]]=tblSalaries[[#Headers],[Reporting]],tblSalaries[[#This Row],[Salary in USD]],"")</f>
        <v/>
      </c>
      <c r="AD1279" s="13" t="str">
        <f>IF(tblSalaries[[#This Row],[Job Type]]=tblSalaries[[#Headers],[Specialist]],tblSalaries[[#This Row],[Salary in USD]],"")</f>
        <v/>
      </c>
    </row>
    <row r="1280" spans="2:30" ht="15" customHeight="1" x14ac:dyDescent="0.25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 s="9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  <c r="N1280" t="str">
        <f>IF(tblSalaries[[#This Row],[Years of Experience]]="","",IF(tblSalaries[[#This Row],[Years of Experience]]&lt;=2,1,""))</f>
        <v/>
      </c>
      <c r="O1280" t="str">
        <f>IF(tblSalaries[[#This Row],[Years of Experience]]="","",IF(AND(tblSalaries[[#This Row],[Years of Experience]]&gt;2,tblSalaries[[#This Row],[Years of Experience]]&lt;=5),1,""))</f>
        <v/>
      </c>
      <c r="P1280" t="str">
        <f>IF(tblSalaries[[#This Row],[Years of Experience]]="","",IF(AND(tblSalaries[[#This Row],[Years of Experience]]&gt;5,tblSalaries[[#This Row],[Years of Experience]]&lt;=10),1,""))</f>
        <v/>
      </c>
      <c r="Q1280" t="str">
        <f>IF(tblSalaries[[#This Row],[Years of Experience]]="","",IF(AND(tblSalaries[[#This Row],[Years of Experience]]&gt;10,tblSalaries[[#This Row],[Years of Experience]]&lt;=15),1,""))</f>
        <v/>
      </c>
      <c r="R1280" t="str">
        <f>IF(tblSalaries[[#This Row],[Years of Experience]]="","",IF(AND(tblSalaries[[#This Row],[Years of Experience]]&gt;16,tblSalaries[[#This Row],[Years of Experience]]&lt;=20),1,""))</f>
        <v/>
      </c>
      <c r="S1280">
        <f>IF(tblSalaries[[#This Row],[Years of Experience]]="","",IF(tblSalaries[[#This Row],[Years of Experience]]&gt;20,1,""))</f>
        <v>1</v>
      </c>
      <c r="T12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80" s="13" t="str">
        <f>IF(tblSalaries[[#This Row],[Job Type]]=tblSalaries[[#Headers],[Accountant]],tblSalaries[[#This Row],[Salary in USD]],"")</f>
        <v/>
      </c>
      <c r="V1280" s="13" t="str">
        <f>IF(tblSalaries[[#This Row],[Job Type]]=tblSalaries[[#Headers],[Analyst]],tblSalaries[[#This Row],[Salary in USD]],"")</f>
        <v/>
      </c>
      <c r="W1280" s="13" t="str">
        <f>IF(tblSalaries[[#This Row],[Job Type]]=tblSalaries[[#Headers],[Consultant]],tblSalaries[[#This Row],[Salary in USD]],"")</f>
        <v/>
      </c>
      <c r="X1280" s="13">
        <f>IF(tblSalaries[[#This Row],[Job Type]]=tblSalaries[[#Headers],[Controller]],tblSalaries[[#This Row],[Salary in USD]],"")</f>
        <v>49975.573163729154</v>
      </c>
      <c r="Y1280" s="13" t="str">
        <f>IF(tblSalaries[[#This Row],[Job Type]]=tblSalaries[[#Headers],[CXO or Top Mgmt.]],tblSalaries[[#This Row],[clean Salary (in local currency)]],"")</f>
        <v/>
      </c>
      <c r="Z1280" s="13" t="str">
        <f>IF(tblSalaries[[#This Row],[Job Type]]=tblSalaries[[#Headers],[Engineer]],tblSalaries[[#This Row],[Salary in USD]],"")</f>
        <v/>
      </c>
      <c r="AA1280" s="13" t="str">
        <f>IF(tblSalaries[[#This Row],[Job Type]]=tblSalaries[[#Headers],[Manager]],tblSalaries[[#This Row],[Salary in USD]],"")</f>
        <v/>
      </c>
      <c r="AB1280" s="13" t="str">
        <f>IF(tblSalaries[[#This Row],[Job Type]]=tblSalaries[[#Headers],[Misc.]],tblSalaries[[#This Row],[Salary in USD]],"")</f>
        <v/>
      </c>
      <c r="AC1280" s="13" t="str">
        <f>IF(tblSalaries[[#This Row],[Job Type]]=tblSalaries[[#Headers],[Reporting]],tblSalaries[[#This Row],[Salary in USD]],"")</f>
        <v/>
      </c>
      <c r="AD1280" s="13" t="str">
        <f>IF(tblSalaries[[#This Row],[Job Type]]=tblSalaries[[#Headers],[Specialist]],tblSalaries[[#This Row],[Salary in USD]],"")</f>
        <v/>
      </c>
    </row>
    <row r="1281" spans="2:30" ht="15" customHeight="1" x14ac:dyDescent="0.25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 s="9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  <c r="N1281" t="str">
        <f>IF(tblSalaries[[#This Row],[Years of Experience]]="","",IF(tblSalaries[[#This Row],[Years of Experience]]&lt;=2,1,""))</f>
        <v/>
      </c>
      <c r="O1281">
        <f>IF(tblSalaries[[#This Row],[Years of Experience]]="","",IF(AND(tblSalaries[[#This Row],[Years of Experience]]&gt;2,tblSalaries[[#This Row],[Years of Experience]]&lt;=5),1,""))</f>
        <v>1</v>
      </c>
      <c r="P1281" t="str">
        <f>IF(tblSalaries[[#This Row],[Years of Experience]]="","",IF(AND(tblSalaries[[#This Row],[Years of Experience]]&gt;5,tblSalaries[[#This Row],[Years of Experience]]&lt;=10),1,""))</f>
        <v/>
      </c>
      <c r="Q1281" t="str">
        <f>IF(tblSalaries[[#This Row],[Years of Experience]]="","",IF(AND(tblSalaries[[#This Row],[Years of Experience]]&gt;10,tblSalaries[[#This Row],[Years of Experience]]&lt;=15),1,""))</f>
        <v/>
      </c>
      <c r="R1281" t="str">
        <f>IF(tblSalaries[[#This Row],[Years of Experience]]="","",IF(AND(tblSalaries[[#This Row],[Years of Experience]]&gt;16,tblSalaries[[#This Row],[Years of Experience]]&lt;=20),1,""))</f>
        <v/>
      </c>
      <c r="S1281" t="str">
        <f>IF(tblSalaries[[#This Row],[Years of Experience]]="","",IF(tblSalaries[[#This Row],[Years of Experience]]&gt;20,1,""))</f>
        <v/>
      </c>
      <c r="T12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81" s="13" t="str">
        <f>IF(tblSalaries[[#This Row],[Job Type]]=tblSalaries[[#Headers],[Accountant]],tblSalaries[[#This Row],[Salary in USD]],"")</f>
        <v/>
      </c>
      <c r="V1281" s="13" t="str">
        <f>IF(tblSalaries[[#This Row],[Job Type]]=tblSalaries[[#Headers],[Analyst]],tblSalaries[[#This Row],[Salary in USD]],"")</f>
        <v/>
      </c>
      <c r="W1281" s="13" t="str">
        <f>IF(tblSalaries[[#This Row],[Job Type]]=tblSalaries[[#Headers],[Consultant]],tblSalaries[[#This Row],[Salary in USD]],"")</f>
        <v/>
      </c>
      <c r="X1281" s="13" t="str">
        <f>IF(tblSalaries[[#This Row],[Job Type]]=tblSalaries[[#Headers],[Controller]],tblSalaries[[#This Row],[Salary in USD]],"")</f>
        <v/>
      </c>
      <c r="Y1281" s="13" t="str">
        <f>IF(tblSalaries[[#This Row],[Job Type]]=tblSalaries[[#Headers],[CXO or Top Mgmt.]],tblSalaries[[#This Row],[clean Salary (in local currency)]],"")</f>
        <v/>
      </c>
      <c r="Z1281" s="13" t="str">
        <f>IF(tblSalaries[[#This Row],[Job Type]]=tblSalaries[[#Headers],[Engineer]],tblSalaries[[#This Row],[Salary in USD]],"")</f>
        <v/>
      </c>
      <c r="AA1281" s="13">
        <f>IF(tblSalaries[[#This Row],[Job Type]]=tblSalaries[[#Headers],[Manager]],tblSalaries[[#This Row],[Salary in USD]],"")</f>
        <v>10239.552095279476</v>
      </c>
      <c r="AB1281" s="13" t="str">
        <f>IF(tblSalaries[[#This Row],[Job Type]]=tblSalaries[[#Headers],[Misc.]],tblSalaries[[#This Row],[Salary in USD]],"")</f>
        <v/>
      </c>
      <c r="AC1281" s="13" t="str">
        <f>IF(tblSalaries[[#This Row],[Job Type]]=tblSalaries[[#Headers],[Reporting]],tblSalaries[[#This Row],[Salary in USD]],"")</f>
        <v/>
      </c>
      <c r="AD1281" s="13" t="str">
        <f>IF(tblSalaries[[#This Row],[Job Type]]=tblSalaries[[#Headers],[Specialist]],tblSalaries[[#This Row],[Salary in USD]],"")</f>
        <v/>
      </c>
    </row>
    <row r="1282" spans="2:30" ht="15" customHeight="1" x14ac:dyDescent="0.25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 s="9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  <c r="N1282">
        <f>IF(tblSalaries[[#This Row],[Years of Experience]]="","",IF(tblSalaries[[#This Row],[Years of Experience]]&lt;=2,1,""))</f>
        <v>1</v>
      </c>
      <c r="O1282" t="str">
        <f>IF(tblSalaries[[#This Row],[Years of Experience]]="","",IF(AND(tblSalaries[[#This Row],[Years of Experience]]&gt;2,tblSalaries[[#This Row],[Years of Experience]]&lt;=5),1,""))</f>
        <v/>
      </c>
      <c r="P1282" t="str">
        <f>IF(tblSalaries[[#This Row],[Years of Experience]]="","",IF(AND(tblSalaries[[#This Row],[Years of Experience]]&gt;5,tblSalaries[[#This Row],[Years of Experience]]&lt;=10),1,""))</f>
        <v/>
      </c>
      <c r="Q1282" t="str">
        <f>IF(tblSalaries[[#This Row],[Years of Experience]]="","",IF(AND(tblSalaries[[#This Row],[Years of Experience]]&gt;10,tblSalaries[[#This Row],[Years of Experience]]&lt;=15),1,""))</f>
        <v/>
      </c>
      <c r="R1282" t="str">
        <f>IF(tblSalaries[[#This Row],[Years of Experience]]="","",IF(AND(tblSalaries[[#This Row],[Years of Experience]]&gt;16,tblSalaries[[#This Row],[Years of Experience]]&lt;=20),1,""))</f>
        <v/>
      </c>
      <c r="S1282" t="str">
        <f>IF(tblSalaries[[#This Row],[Years of Experience]]="","",IF(tblSalaries[[#This Row],[Years of Experience]]&gt;20,1,""))</f>
        <v/>
      </c>
      <c r="T12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82" s="13" t="str">
        <f>IF(tblSalaries[[#This Row],[Job Type]]=tblSalaries[[#Headers],[Accountant]],tblSalaries[[#This Row],[Salary in USD]],"")</f>
        <v/>
      </c>
      <c r="V1282" s="13" t="str">
        <f>IF(tblSalaries[[#This Row],[Job Type]]=tblSalaries[[#Headers],[Analyst]],tblSalaries[[#This Row],[Salary in USD]],"")</f>
        <v/>
      </c>
      <c r="W1282" s="13" t="str">
        <f>IF(tblSalaries[[#This Row],[Job Type]]=tblSalaries[[#Headers],[Consultant]],tblSalaries[[#This Row],[Salary in USD]],"")</f>
        <v/>
      </c>
      <c r="X1282" s="13" t="str">
        <f>IF(tblSalaries[[#This Row],[Job Type]]=tblSalaries[[#Headers],[Controller]],tblSalaries[[#This Row],[Salary in USD]],"")</f>
        <v/>
      </c>
      <c r="Y1282" s="13" t="str">
        <f>IF(tblSalaries[[#This Row],[Job Type]]=tblSalaries[[#Headers],[CXO or Top Mgmt.]],tblSalaries[[#This Row],[clean Salary (in local currency)]],"")</f>
        <v/>
      </c>
      <c r="Z1282" s="13">
        <f>IF(tblSalaries[[#This Row],[Job Type]]=tblSalaries[[#Headers],[Engineer]],tblSalaries[[#This Row],[Salary in USD]],"")</f>
        <v>8903.9583437212841</v>
      </c>
      <c r="AA1282" s="13" t="str">
        <f>IF(tblSalaries[[#This Row],[Job Type]]=tblSalaries[[#Headers],[Manager]],tblSalaries[[#This Row],[Salary in USD]],"")</f>
        <v/>
      </c>
      <c r="AB1282" s="13" t="str">
        <f>IF(tblSalaries[[#This Row],[Job Type]]=tblSalaries[[#Headers],[Misc.]],tblSalaries[[#This Row],[Salary in USD]],"")</f>
        <v/>
      </c>
      <c r="AC1282" s="13" t="str">
        <f>IF(tblSalaries[[#This Row],[Job Type]]=tblSalaries[[#Headers],[Reporting]],tblSalaries[[#This Row],[Salary in USD]],"")</f>
        <v/>
      </c>
      <c r="AD1282" s="13" t="str">
        <f>IF(tblSalaries[[#This Row],[Job Type]]=tblSalaries[[#Headers],[Specialist]],tblSalaries[[#This Row],[Salary in USD]],"")</f>
        <v/>
      </c>
    </row>
    <row r="1283" spans="2:30" ht="15" customHeight="1" x14ac:dyDescent="0.25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 s="9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  <c r="N1283" t="str">
        <f>IF(tblSalaries[[#This Row],[Years of Experience]]="","",IF(tblSalaries[[#This Row],[Years of Experience]]&lt;=2,1,""))</f>
        <v/>
      </c>
      <c r="O1283" t="str">
        <f>IF(tblSalaries[[#This Row],[Years of Experience]]="","",IF(AND(tblSalaries[[#This Row],[Years of Experience]]&gt;2,tblSalaries[[#This Row],[Years of Experience]]&lt;=5),1,""))</f>
        <v/>
      </c>
      <c r="P1283">
        <f>IF(tblSalaries[[#This Row],[Years of Experience]]="","",IF(AND(tblSalaries[[#This Row],[Years of Experience]]&gt;5,tblSalaries[[#This Row],[Years of Experience]]&lt;=10),1,""))</f>
        <v>1</v>
      </c>
      <c r="Q1283" t="str">
        <f>IF(tblSalaries[[#This Row],[Years of Experience]]="","",IF(AND(tblSalaries[[#This Row],[Years of Experience]]&gt;10,tblSalaries[[#This Row],[Years of Experience]]&lt;=15),1,""))</f>
        <v/>
      </c>
      <c r="R1283" t="str">
        <f>IF(tblSalaries[[#This Row],[Years of Experience]]="","",IF(AND(tblSalaries[[#This Row],[Years of Experience]]&gt;16,tblSalaries[[#This Row],[Years of Experience]]&lt;=20),1,""))</f>
        <v/>
      </c>
      <c r="S1283" t="str">
        <f>IF(tblSalaries[[#This Row],[Years of Experience]]="","",IF(tblSalaries[[#This Row],[Years of Experience]]&gt;20,1,""))</f>
        <v/>
      </c>
      <c r="T12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83" s="13" t="str">
        <f>IF(tblSalaries[[#This Row],[Job Type]]=tblSalaries[[#Headers],[Accountant]],tblSalaries[[#This Row],[Salary in USD]],"")</f>
        <v/>
      </c>
      <c r="V1283" s="13">
        <f>IF(tblSalaries[[#This Row],[Job Type]]=tblSalaries[[#Headers],[Analyst]],tblSalaries[[#This Row],[Salary in USD]],"")</f>
        <v>36000</v>
      </c>
      <c r="W1283" s="13" t="str">
        <f>IF(tblSalaries[[#This Row],[Job Type]]=tblSalaries[[#Headers],[Consultant]],tblSalaries[[#This Row],[Salary in USD]],"")</f>
        <v/>
      </c>
      <c r="X1283" s="13" t="str">
        <f>IF(tblSalaries[[#This Row],[Job Type]]=tblSalaries[[#Headers],[Controller]],tblSalaries[[#This Row],[Salary in USD]],"")</f>
        <v/>
      </c>
      <c r="Y1283" s="13" t="str">
        <f>IF(tblSalaries[[#This Row],[Job Type]]=tblSalaries[[#Headers],[CXO or Top Mgmt.]],tblSalaries[[#This Row],[clean Salary (in local currency)]],"")</f>
        <v/>
      </c>
      <c r="Z1283" s="13" t="str">
        <f>IF(tblSalaries[[#This Row],[Job Type]]=tblSalaries[[#Headers],[Engineer]],tblSalaries[[#This Row],[Salary in USD]],"")</f>
        <v/>
      </c>
      <c r="AA1283" s="13" t="str">
        <f>IF(tblSalaries[[#This Row],[Job Type]]=tblSalaries[[#Headers],[Manager]],tblSalaries[[#This Row],[Salary in USD]],"")</f>
        <v/>
      </c>
      <c r="AB1283" s="13" t="str">
        <f>IF(tblSalaries[[#This Row],[Job Type]]=tblSalaries[[#Headers],[Misc.]],tblSalaries[[#This Row],[Salary in USD]],"")</f>
        <v/>
      </c>
      <c r="AC1283" s="13" t="str">
        <f>IF(tblSalaries[[#This Row],[Job Type]]=tblSalaries[[#Headers],[Reporting]],tblSalaries[[#This Row],[Salary in USD]],"")</f>
        <v/>
      </c>
      <c r="AD1283" s="13" t="str">
        <f>IF(tblSalaries[[#This Row],[Job Type]]=tblSalaries[[#Headers],[Specialist]],tblSalaries[[#This Row],[Salary in USD]],"")</f>
        <v/>
      </c>
    </row>
    <row r="1284" spans="2:30" ht="15" customHeight="1" x14ac:dyDescent="0.25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 s="9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3999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  <c r="N1284" t="str">
        <f>IF(tblSalaries[[#This Row],[Years of Experience]]="","",IF(tblSalaries[[#This Row],[Years of Experience]]&lt;=2,1,""))</f>
        <v/>
      </c>
      <c r="O1284">
        <f>IF(tblSalaries[[#This Row],[Years of Experience]]="","",IF(AND(tblSalaries[[#This Row],[Years of Experience]]&gt;2,tblSalaries[[#This Row],[Years of Experience]]&lt;=5),1,""))</f>
        <v>1</v>
      </c>
      <c r="P1284" t="str">
        <f>IF(tblSalaries[[#This Row],[Years of Experience]]="","",IF(AND(tblSalaries[[#This Row],[Years of Experience]]&gt;5,tblSalaries[[#This Row],[Years of Experience]]&lt;=10),1,""))</f>
        <v/>
      </c>
      <c r="Q1284" t="str">
        <f>IF(tblSalaries[[#This Row],[Years of Experience]]="","",IF(AND(tblSalaries[[#This Row],[Years of Experience]]&gt;10,tblSalaries[[#This Row],[Years of Experience]]&lt;=15),1,""))</f>
        <v/>
      </c>
      <c r="R1284" t="str">
        <f>IF(tblSalaries[[#This Row],[Years of Experience]]="","",IF(AND(tblSalaries[[#This Row],[Years of Experience]]&gt;16,tblSalaries[[#This Row],[Years of Experience]]&lt;=20),1,""))</f>
        <v/>
      </c>
      <c r="S1284" t="str">
        <f>IF(tblSalaries[[#This Row],[Years of Experience]]="","",IF(tblSalaries[[#This Row],[Years of Experience]]&gt;20,1,""))</f>
        <v/>
      </c>
      <c r="T12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84" s="13" t="str">
        <f>IF(tblSalaries[[#This Row],[Job Type]]=tblSalaries[[#Headers],[Accountant]],tblSalaries[[#This Row],[Salary in USD]],"")</f>
        <v/>
      </c>
      <c r="V1284" s="13" t="str">
        <f>IF(tblSalaries[[#This Row],[Job Type]]=tblSalaries[[#Headers],[Analyst]],tblSalaries[[#This Row],[Salary in USD]],"")</f>
        <v/>
      </c>
      <c r="W1284" s="13" t="str">
        <f>IF(tblSalaries[[#This Row],[Job Type]]=tblSalaries[[#Headers],[Consultant]],tblSalaries[[#This Row],[Salary in USD]],"")</f>
        <v/>
      </c>
      <c r="X1284" s="13" t="str">
        <f>IF(tblSalaries[[#This Row],[Job Type]]=tblSalaries[[#Headers],[Controller]],tblSalaries[[#This Row],[Salary in USD]],"")</f>
        <v/>
      </c>
      <c r="Y1284" s="13" t="str">
        <f>IF(tblSalaries[[#This Row],[Job Type]]=tblSalaries[[#Headers],[CXO or Top Mgmt.]],tblSalaries[[#This Row],[clean Salary (in local currency)]],"")</f>
        <v/>
      </c>
      <c r="Z1284" s="13" t="str">
        <f>IF(tblSalaries[[#This Row],[Job Type]]=tblSalaries[[#Headers],[Engineer]],tblSalaries[[#This Row],[Salary in USD]],"")</f>
        <v/>
      </c>
      <c r="AA1284" s="13" t="str">
        <f>IF(tblSalaries[[#This Row],[Job Type]]=tblSalaries[[#Headers],[Manager]],tblSalaries[[#This Row],[Salary in USD]],"")</f>
        <v/>
      </c>
      <c r="AB1284" s="13" t="str">
        <f>IF(tblSalaries[[#This Row],[Job Type]]=tblSalaries[[#Headers],[Misc.]],tblSalaries[[#This Row],[Salary in USD]],"")</f>
        <v/>
      </c>
      <c r="AC1284" s="13">
        <f>IF(tblSalaries[[#This Row],[Job Type]]=tblSalaries[[#Headers],[Reporting]],tblSalaries[[#This Row],[Salary in USD]],"")</f>
        <v>3739.6625043629392</v>
      </c>
      <c r="AD1284" s="13" t="str">
        <f>IF(tblSalaries[[#This Row],[Job Type]]=tblSalaries[[#Headers],[Specialist]],tblSalaries[[#This Row],[Salary in USD]],"")</f>
        <v/>
      </c>
    </row>
    <row r="1285" spans="2:30" ht="15" customHeight="1" x14ac:dyDescent="0.25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 s="9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  <c r="N1285" t="str">
        <f>IF(tblSalaries[[#This Row],[Years of Experience]]="","",IF(tblSalaries[[#This Row],[Years of Experience]]&lt;=2,1,""))</f>
        <v/>
      </c>
      <c r="O1285" t="str">
        <f>IF(tblSalaries[[#This Row],[Years of Experience]]="","",IF(AND(tblSalaries[[#This Row],[Years of Experience]]&gt;2,tblSalaries[[#This Row],[Years of Experience]]&lt;=5),1,""))</f>
        <v/>
      </c>
      <c r="P1285">
        <f>IF(tblSalaries[[#This Row],[Years of Experience]]="","",IF(AND(tblSalaries[[#This Row],[Years of Experience]]&gt;5,tblSalaries[[#This Row],[Years of Experience]]&lt;=10),1,""))</f>
        <v>1</v>
      </c>
      <c r="Q1285" t="str">
        <f>IF(tblSalaries[[#This Row],[Years of Experience]]="","",IF(AND(tblSalaries[[#This Row],[Years of Experience]]&gt;10,tblSalaries[[#This Row],[Years of Experience]]&lt;=15),1,""))</f>
        <v/>
      </c>
      <c r="R1285" t="str">
        <f>IF(tblSalaries[[#This Row],[Years of Experience]]="","",IF(AND(tblSalaries[[#This Row],[Years of Experience]]&gt;16,tblSalaries[[#This Row],[Years of Experience]]&lt;=20),1,""))</f>
        <v/>
      </c>
      <c r="S1285" t="str">
        <f>IF(tblSalaries[[#This Row],[Years of Experience]]="","",IF(tblSalaries[[#This Row],[Years of Experience]]&gt;20,1,""))</f>
        <v/>
      </c>
      <c r="T12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85" s="13" t="str">
        <f>IF(tblSalaries[[#This Row],[Job Type]]=tblSalaries[[#Headers],[Accountant]],tblSalaries[[#This Row],[Salary in USD]],"")</f>
        <v/>
      </c>
      <c r="V1285" s="13">
        <f>IF(tblSalaries[[#This Row],[Job Type]]=tblSalaries[[#Headers],[Analyst]],tblSalaries[[#This Row],[Salary in USD]],"")</f>
        <v>61614.372791092981</v>
      </c>
      <c r="W1285" s="13" t="str">
        <f>IF(tblSalaries[[#This Row],[Job Type]]=tblSalaries[[#Headers],[Consultant]],tblSalaries[[#This Row],[Salary in USD]],"")</f>
        <v/>
      </c>
      <c r="X1285" s="13" t="str">
        <f>IF(tblSalaries[[#This Row],[Job Type]]=tblSalaries[[#Headers],[Controller]],tblSalaries[[#This Row],[Salary in USD]],"")</f>
        <v/>
      </c>
      <c r="Y1285" s="13" t="str">
        <f>IF(tblSalaries[[#This Row],[Job Type]]=tblSalaries[[#Headers],[CXO or Top Mgmt.]],tblSalaries[[#This Row],[clean Salary (in local currency)]],"")</f>
        <v/>
      </c>
      <c r="Z1285" s="13" t="str">
        <f>IF(tblSalaries[[#This Row],[Job Type]]=tblSalaries[[#Headers],[Engineer]],tblSalaries[[#This Row],[Salary in USD]],"")</f>
        <v/>
      </c>
      <c r="AA1285" s="13" t="str">
        <f>IF(tblSalaries[[#This Row],[Job Type]]=tblSalaries[[#Headers],[Manager]],tblSalaries[[#This Row],[Salary in USD]],"")</f>
        <v/>
      </c>
      <c r="AB1285" s="13" t="str">
        <f>IF(tblSalaries[[#This Row],[Job Type]]=tblSalaries[[#Headers],[Misc.]],tblSalaries[[#This Row],[Salary in USD]],"")</f>
        <v/>
      </c>
      <c r="AC1285" s="13" t="str">
        <f>IF(tblSalaries[[#This Row],[Job Type]]=tblSalaries[[#Headers],[Reporting]],tblSalaries[[#This Row],[Salary in USD]],"")</f>
        <v/>
      </c>
      <c r="AD1285" s="13" t="str">
        <f>IF(tblSalaries[[#This Row],[Job Type]]=tblSalaries[[#Headers],[Specialist]],tblSalaries[[#This Row],[Salary in USD]],"")</f>
        <v/>
      </c>
    </row>
    <row r="1286" spans="2:30" ht="15" customHeight="1" x14ac:dyDescent="0.25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 s="9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3999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  <c r="N1286" t="str">
        <f>IF(tblSalaries[[#This Row],[Years of Experience]]="","",IF(tblSalaries[[#This Row],[Years of Experience]]&lt;=2,1,""))</f>
        <v/>
      </c>
      <c r="O1286">
        <f>IF(tblSalaries[[#This Row],[Years of Experience]]="","",IF(AND(tblSalaries[[#This Row],[Years of Experience]]&gt;2,tblSalaries[[#This Row],[Years of Experience]]&lt;=5),1,""))</f>
        <v>1</v>
      </c>
      <c r="P1286" t="str">
        <f>IF(tblSalaries[[#This Row],[Years of Experience]]="","",IF(AND(tblSalaries[[#This Row],[Years of Experience]]&gt;5,tblSalaries[[#This Row],[Years of Experience]]&lt;=10),1,""))</f>
        <v/>
      </c>
      <c r="Q1286" t="str">
        <f>IF(tblSalaries[[#This Row],[Years of Experience]]="","",IF(AND(tblSalaries[[#This Row],[Years of Experience]]&gt;10,tblSalaries[[#This Row],[Years of Experience]]&lt;=15),1,""))</f>
        <v/>
      </c>
      <c r="R1286" t="str">
        <f>IF(tblSalaries[[#This Row],[Years of Experience]]="","",IF(AND(tblSalaries[[#This Row],[Years of Experience]]&gt;16,tblSalaries[[#This Row],[Years of Experience]]&lt;=20),1,""))</f>
        <v/>
      </c>
      <c r="S1286" t="str">
        <f>IF(tblSalaries[[#This Row],[Years of Experience]]="","",IF(tblSalaries[[#This Row],[Years of Experience]]&gt;20,1,""))</f>
        <v/>
      </c>
      <c r="T12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86" s="13" t="str">
        <f>IF(tblSalaries[[#This Row],[Job Type]]=tblSalaries[[#Headers],[Accountant]],tblSalaries[[#This Row],[Salary in USD]],"")</f>
        <v/>
      </c>
      <c r="V1286" s="13" t="str">
        <f>IF(tblSalaries[[#This Row],[Job Type]]=tblSalaries[[#Headers],[Analyst]],tblSalaries[[#This Row],[Salary in USD]],"")</f>
        <v/>
      </c>
      <c r="W1286" s="13" t="str">
        <f>IF(tblSalaries[[#This Row],[Job Type]]=tblSalaries[[#Headers],[Consultant]],tblSalaries[[#This Row],[Salary in USD]],"")</f>
        <v/>
      </c>
      <c r="X1286" s="13" t="str">
        <f>IF(tblSalaries[[#This Row],[Job Type]]=tblSalaries[[#Headers],[Controller]],tblSalaries[[#This Row],[Salary in USD]],"")</f>
        <v/>
      </c>
      <c r="Y1286" s="13" t="str">
        <f>IF(tblSalaries[[#This Row],[Job Type]]=tblSalaries[[#Headers],[CXO or Top Mgmt.]],tblSalaries[[#This Row],[clean Salary (in local currency)]],"")</f>
        <v/>
      </c>
      <c r="Z1286" s="13" t="str">
        <f>IF(tblSalaries[[#This Row],[Job Type]]=tblSalaries[[#Headers],[Engineer]],tblSalaries[[#This Row],[Salary in USD]],"")</f>
        <v/>
      </c>
      <c r="AA1286" s="13" t="str">
        <f>IF(tblSalaries[[#This Row],[Job Type]]=tblSalaries[[#Headers],[Manager]],tblSalaries[[#This Row],[Salary in USD]],"")</f>
        <v/>
      </c>
      <c r="AB1286" s="13" t="str">
        <f>IF(tblSalaries[[#This Row],[Job Type]]=tblSalaries[[#Headers],[Misc.]],tblSalaries[[#This Row],[Salary in USD]],"")</f>
        <v/>
      </c>
      <c r="AC1286" s="13">
        <f>IF(tblSalaries[[#This Row],[Job Type]]=tblSalaries[[#Headers],[Reporting]],tblSalaries[[#This Row],[Salary in USD]],"")</f>
        <v>3561.5833374885137</v>
      </c>
      <c r="AD1286" s="13" t="str">
        <f>IF(tblSalaries[[#This Row],[Job Type]]=tblSalaries[[#Headers],[Specialist]],tblSalaries[[#This Row],[Salary in USD]],"")</f>
        <v/>
      </c>
    </row>
    <row r="1287" spans="2:30" ht="15" customHeight="1" x14ac:dyDescent="0.25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 s="9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  <c r="N1287" t="str">
        <f>IF(tblSalaries[[#This Row],[Years of Experience]]="","",IF(tblSalaries[[#This Row],[Years of Experience]]&lt;=2,1,""))</f>
        <v/>
      </c>
      <c r="O1287" t="str">
        <f>IF(tblSalaries[[#This Row],[Years of Experience]]="","",IF(AND(tblSalaries[[#This Row],[Years of Experience]]&gt;2,tblSalaries[[#This Row],[Years of Experience]]&lt;=5),1,""))</f>
        <v/>
      </c>
      <c r="P1287">
        <f>IF(tblSalaries[[#This Row],[Years of Experience]]="","",IF(AND(tblSalaries[[#This Row],[Years of Experience]]&gt;5,tblSalaries[[#This Row],[Years of Experience]]&lt;=10),1,""))</f>
        <v>1</v>
      </c>
      <c r="Q1287" t="str">
        <f>IF(tblSalaries[[#This Row],[Years of Experience]]="","",IF(AND(tblSalaries[[#This Row],[Years of Experience]]&gt;10,tblSalaries[[#This Row],[Years of Experience]]&lt;=15),1,""))</f>
        <v/>
      </c>
      <c r="R1287" t="str">
        <f>IF(tblSalaries[[#This Row],[Years of Experience]]="","",IF(AND(tblSalaries[[#This Row],[Years of Experience]]&gt;16,tblSalaries[[#This Row],[Years of Experience]]&lt;=20),1,""))</f>
        <v/>
      </c>
      <c r="S1287" t="str">
        <f>IF(tblSalaries[[#This Row],[Years of Experience]]="","",IF(tblSalaries[[#This Row],[Years of Experience]]&gt;20,1,""))</f>
        <v/>
      </c>
      <c r="T12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87" s="13" t="str">
        <f>IF(tblSalaries[[#This Row],[Job Type]]=tblSalaries[[#Headers],[Accountant]],tblSalaries[[#This Row],[Salary in USD]],"")</f>
        <v/>
      </c>
      <c r="V1287" s="13">
        <f>IF(tblSalaries[[#This Row],[Job Type]]=tblSalaries[[#Headers],[Analyst]],tblSalaries[[#This Row],[Salary in USD]],"")</f>
        <v>6410.8500074793246</v>
      </c>
      <c r="W1287" s="13" t="str">
        <f>IF(tblSalaries[[#This Row],[Job Type]]=tblSalaries[[#Headers],[Consultant]],tblSalaries[[#This Row],[Salary in USD]],"")</f>
        <v/>
      </c>
      <c r="X1287" s="13" t="str">
        <f>IF(tblSalaries[[#This Row],[Job Type]]=tblSalaries[[#Headers],[Controller]],tblSalaries[[#This Row],[Salary in USD]],"")</f>
        <v/>
      </c>
      <c r="Y1287" s="13" t="str">
        <f>IF(tblSalaries[[#This Row],[Job Type]]=tblSalaries[[#Headers],[CXO or Top Mgmt.]],tblSalaries[[#This Row],[clean Salary (in local currency)]],"")</f>
        <v/>
      </c>
      <c r="Z1287" s="13" t="str">
        <f>IF(tblSalaries[[#This Row],[Job Type]]=tblSalaries[[#Headers],[Engineer]],tblSalaries[[#This Row],[Salary in USD]],"")</f>
        <v/>
      </c>
      <c r="AA1287" s="13" t="str">
        <f>IF(tblSalaries[[#This Row],[Job Type]]=tblSalaries[[#Headers],[Manager]],tblSalaries[[#This Row],[Salary in USD]],"")</f>
        <v/>
      </c>
      <c r="AB1287" s="13" t="str">
        <f>IF(tblSalaries[[#This Row],[Job Type]]=tblSalaries[[#Headers],[Misc.]],tblSalaries[[#This Row],[Salary in USD]],"")</f>
        <v/>
      </c>
      <c r="AC1287" s="13" t="str">
        <f>IF(tblSalaries[[#This Row],[Job Type]]=tblSalaries[[#Headers],[Reporting]],tblSalaries[[#This Row],[Salary in USD]],"")</f>
        <v/>
      </c>
      <c r="AD1287" s="13" t="str">
        <f>IF(tblSalaries[[#This Row],[Job Type]]=tblSalaries[[#Headers],[Specialist]],tblSalaries[[#This Row],[Salary in USD]],"")</f>
        <v/>
      </c>
    </row>
    <row r="1288" spans="2:30" ht="15" customHeight="1" x14ac:dyDescent="0.25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 s="9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  <c r="N1288" t="str">
        <f>IF(tblSalaries[[#This Row],[Years of Experience]]="","",IF(tblSalaries[[#This Row],[Years of Experience]]&lt;=2,1,""))</f>
        <v/>
      </c>
      <c r="O1288">
        <f>IF(tblSalaries[[#This Row],[Years of Experience]]="","",IF(AND(tblSalaries[[#This Row],[Years of Experience]]&gt;2,tblSalaries[[#This Row],[Years of Experience]]&lt;=5),1,""))</f>
        <v>1</v>
      </c>
      <c r="P1288" t="str">
        <f>IF(tblSalaries[[#This Row],[Years of Experience]]="","",IF(AND(tblSalaries[[#This Row],[Years of Experience]]&gt;5,tblSalaries[[#This Row],[Years of Experience]]&lt;=10),1,""))</f>
        <v/>
      </c>
      <c r="Q1288" t="str">
        <f>IF(tblSalaries[[#This Row],[Years of Experience]]="","",IF(AND(tblSalaries[[#This Row],[Years of Experience]]&gt;10,tblSalaries[[#This Row],[Years of Experience]]&lt;=15),1,""))</f>
        <v/>
      </c>
      <c r="R1288" t="str">
        <f>IF(tblSalaries[[#This Row],[Years of Experience]]="","",IF(AND(tblSalaries[[#This Row],[Years of Experience]]&gt;16,tblSalaries[[#This Row],[Years of Experience]]&lt;=20),1,""))</f>
        <v/>
      </c>
      <c r="S1288" t="str">
        <f>IF(tblSalaries[[#This Row],[Years of Experience]]="","",IF(tblSalaries[[#This Row],[Years of Experience]]&gt;20,1,""))</f>
        <v/>
      </c>
      <c r="T12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288" s="13" t="str">
        <f>IF(tblSalaries[[#This Row],[Job Type]]=tblSalaries[[#Headers],[Accountant]],tblSalaries[[#This Row],[Salary in USD]],"")</f>
        <v/>
      </c>
      <c r="V1288" s="13">
        <f>IF(tblSalaries[[#This Row],[Job Type]]=tblSalaries[[#Headers],[Analyst]],tblSalaries[[#This Row],[Salary in USD]],"")</f>
        <v>36206.384011260823</v>
      </c>
      <c r="W1288" s="13" t="str">
        <f>IF(tblSalaries[[#This Row],[Job Type]]=tblSalaries[[#Headers],[Consultant]],tblSalaries[[#This Row],[Salary in USD]],"")</f>
        <v/>
      </c>
      <c r="X1288" s="13" t="str">
        <f>IF(tblSalaries[[#This Row],[Job Type]]=tblSalaries[[#Headers],[Controller]],tblSalaries[[#This Row],[Salary in USD]],"")</f>
        <v/>
      </c>
      <c r="Y1288" s="13" t="str">
        <f>IF(tblSalaries[[#This Row],[Job Type]]=tblSalaries[[#Headers],[CXO or Top Mgmt.]],tblSalaries[[#This Row],[clean Salary (in local currency)]],"")</f>
        <v/>
      </c>
      <c r="Z1288" s="13" t="str">
        <f>IF(tblSalaries[[#This Row],[Job Type]]=tblSalaries[[#Headers],[Engineer]],tblSalaries[[#This Row],[Salary in USD]],"")</f>
        <v/>
      </c>
      <c r="AA1288" s="13" t="str">
        <f>IF(tblSalaries[[#This Row],[Job Type]]=tblSalaries[[#Headers],[Manager]],tblSalaries[[#This Row],[Salary in USD]],"")</f>
        <v/>
      </c>
      <c r="AB1288" s="13" t="str">
        <f>IF(tblSalaries[[#This Row],[Job Type]]=tblSalaries[[#Headers],[Misc.]],tblSalaries[[#This Row],[Salary in USD]],"")</f>
        <v/>
      </c>
      <c r="AC1288" s="13" t="str">
        <f>IF(tblSalaries[[#This Row],[Job Type]]=tblSalaries[[#Headers],[Reporting]],tblSalaries[[#This Row],[Salary in USD]],"")</f>
        <v/>
      </c>
      <c r="AD1288" s="13" t="str">
        <f>IF(tblSalaries[[#This Row],[Job Type]]=tblSalaries[[#Headers],[Specialist]],tblSalaries[[#This Row],[Salary in USD]],"")</f>
        <v/>
      </c>
    </row>
    <row r="1289" spans="2:30" ht="15" customHeight="1" x14ac:dyDescent="0.25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 s="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  <c r="N1289" t="str">
        <f>IF(tblSalaries[[#This Row],[Years of Experience]]="","",IF(tblSalaries[[#This Row],[Years of Experience]]&lt;=2,1,""))</f>
        <v/>
      </c>
      <c r="O1289" t="str">
        <f>IF(tblSalaries[[#This Row],[Years of Experience]]="","",IF(AND(tblSalaries[[#This Row],[Years of Experience]]&gt;2,tblSalaries[[#This Row],[Years of Experience]]&lt;=5),1,""))</f>
        <v/>
      </c>
      <c r="P1289" t="str">
        <f>IF(tblSalaries[[#This Row],[Years of Experience]]="","",IF(AND(tblSalaries[[#This Row],[Years of Experience]]&gt;5,tblSalaries[[#This Row],[Years of Experience]]&lt;=10),1,""))</f>
        <v/>
      </c>
      <c r="Q1289" t="str">
        <f>IF(tblSalaries[[#This Row],[Years of Experience]]="","",IF(AND(tblSalaries[[#This Row],[Years of Experience]]&gt;10,tblSalaries[[#This Row],[Years of Experience]]&lt;=15),1,""))</f>
        <v/>
      </c>
      <c r="R1289">
        <f>IF(tblSalaries[[#This Row],[Years of Experience]]="","",IF(AND(tblSalaries[[#This Row],[Years of Experience]]&gt;16,tblSalaries[[#This Row],[Years of Experience]]&lt;=20),1,""))</f>
        <v>1</v>
      </c>
      <c r="S1289" t="str">
        <f>IF(tblSalaries[[#This Row],[Years of Experience]]="","",IF(tblSalaries[[#This Row],[Years of Experience]]&gt;20,1,""))</f>
        <v/>
      </c>
      <c r="T12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289" s="13" t="str">
        <f>IF(tblSalaries[[#This Row],[Job Type]]=tblSalaries[[#Headers],[Accountant]],tblSalaries[[#This Row],[Salary in USD]],"")</f>
        <v/>
      </c>
      <c r="V1289" s="13" t="str">
        <f>IF(tblSalaries[[#This Row],[Job Type]]=tblSalaries[[#Headers],[Analyst]],tblSalaries[[#This Row],[Salary in USD]],"")</f>
        <v/>
      </c>
      <c r="W1289" s="13" t="str">
        <f>IF(tblSalaries[[#This Row],[Job Type]]=tblSalaries[[#Headers],[Consultant]],tblSalaries[[#This Row],[Salary in USD]],"")</f>
        <v/>
      </c>
      <c r="X1289" s="13" t="str">
        <f>IF(tblSalaries[[#This Row],[Job Type]]=tblSalaries[[#Headers],[Controller]],tblSalaries[[#This Row],[Salary in USD]],"")</f>
        <v/>
      </c>
      <c r="Y1289" s="13" t="str">
        <f>IF(tblSalaries[[#This Row],[Job Type]]=tblSalaries[[#Headers],[CXO or Top Mgmt.]],tblSalaries[[#This Row],[clean Salary (in local currency)]],"")</f>
        <v/>
      </c>
      <c r="Z1289" s="13" t="str">
        <f>IF(tblSalaries[[#This Row],[Job Type]]=tblSalaries[[#Headers],[Engineer]],tblSalaries[[#This Row],[Salary in USD]],"")</f>
        <v/>
      </c>
      <c r="AA1289" s="13">
        <f>IF(tblSalaries[[#This Row],[Job Type]]=tblSalaries[[#Headers],[Manager]],tblSalaries[[#This Row],[Salary in USD]],"")</f>
        <v>13500</v>
      </c>
      <c r="AB1289" s="13" t="str">
        <f>IF(tblSalaries[[#This Row],[Job Type]]=tblSalaries[[#Headers],[Misc.]],tblSalaries[[#This Row],[Salary in USD]],"")</f>
        <v/>
      </c>
      <c r="AC1289" s="13" t="str">
        <f>IF(tblSalaries[[#This Row],[Job Type]]=tblSalaries[[#Headers],[Reporting]],tblSalaries[[#This Row],[Salary in USD]],"")</f>
        <v/>
      </c>
      <c r="AD1289" s="13" t="str">
        <f>IF(tblSalaries[[#This Row],[Job Type]]=tblSalaries[[#Headers],[Specialist]],tblSalaries[[#This Row],[Salary in USD]],"")</f>
        <v/>
      </c>
    </row>
    <row r="1290" spans="2:30" ht="15" customHeight="1" x14ac:dyDescent="0.25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 s="9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  <c r="N1290">
        <f>IF(tblSalaries[[#This Row],[Years of Experience]]="","",IF(tblSalaries[[#This Row],[Years of Experience]]&lt;=2,1,""))</f>
        <v>1</v>
      </c>
      <c r="O1290" t="str">
        <f>IF(tblSalaries[[#This Row],[Years of Experience]]="","",IF(AND(tblSalaries[[#This Row],[Years of Experience]]&gt;2,tblSalaries[[#This Row],[Years of Experience]]&lt;=5),1,""))</f>
        <v/>
      </c>
      <c r="P1290" t="str">
        <f>IF(tblSalaries[[#This Row],[Years of Experience]]="","",IF(AND(tblSalaries[[#This Row],[Years of Experience]]&gt;5,tblSalaries[[#This Row],[Years of Experience]]&lt;=10),1,""))</f>
        <v/>
      </c>
      <c r="Q1290" t="str">
        <f>IF(tblSalaries[[#This Row],[Years of Experience]]="","",IF(AND(tblSalaries[[#This Row],[Years of Experience]]&gt;10,tblSalaries[[#This Row],[Years of Experience]]&lt;=15),1,""))</f>
        <v/>
      </c>
      <c r="R1290" t="str">
        <f>IF(tblSalaries[[#This Row],[Years of Experience]]="","",IF(AND(tblSalaries[[#This Row],[Years of Experience]]&gt;16,tblSalaries[[#This Row],[Years of Experience]]&lt;=20),1,""))</f>
        <v/>
      </c>
      <c r="S1290" t="str">
        <f>IF(tblSalaries[[#This Row],[Years of Experience]]="","",IF(tblSalaries[[#This Row],[Years of Experience]]&gt;20,1,""))</f>
        <v/>
      </c>
      <c r="T12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90" s="13">
        <f>IF(tblSalaries[[#This Row],[Job Type]]=tblSalaries[[#Headers],[Accountant]],tblSalaries[[#This Row],[Salary in USD]],"")</f>
        <v>3000</v>
      </c>
      <c r="V1290" s="13" t="str">
        <f>IF(tblSalaries[[#This Row],[Job Type]]=tblSalaries[[#Headers],[Analyst]],tblSalaries[[#This Row],[Salary in USD]],"")</f>
        <v/>
      </c>
      <c r="W1290" s="13" t="str">
        <f>IF(tblSalaries[[#This Row],[Job Type]]=tblSalaries[[#Headers],[Consultant]],tblSalaries[[#This Row],[Salary in USD]],"")</f>
        <v/>
      </c>
      <c r="X1290" s="13" t="str">
        <f>IF(tblSalaries[[#This Row],[Job Type]]=tblSalaries[[#Headers],[Controller]],tblSalaries[[#This Row],[Salary in USD]],"")</f>
        <v/>
      </c>
      <c r="Y1290" s="13" t="str">
        <f>IF(tblSalaries[[#This Row],[Job Type]]=tblSalaries[[#Headers],[CXO or Top Mgmt.]],tblSalaries[[#This Row],[clean Salary (in local currency)]],"")</f>
        <v/>
      </c>
      <c r="Z1290" s="13" t="str">
        <f>IF(tblSalaries[[#This Row],[Job Type]]=tblSalaries[[#Headers],[Engineer]],tblSalaries[[#This Row],[Salary in USD]],"")</f>
        <v/>
      </c>
      <c r="AA1290" s="13" t="str">
        <f>IF(tblSalaries[[#This Row],[Job Type]]=tblSalaries[[#Headers],[Manager]],tblSalaries[[#This Row],[Salary in USD]],"")</f>
        <v/>
      </c>
      <c r="AB1290" s="13" t="str">
        <f>IF(tblSalaries[[#This Row],[Job Type]]=tblSalaries[[#Headers],[Misc.]],tblSalaries[[#This Row],[Salary in USD]],"")</f>
        <v/>
      </c>
      <c r="AC1290" s="13" t="str">
        <f>IF(tblSalaries[[#This Row],[Job Type]]=tblSalaries[[#Headers],[Reporting]],tblSalaries[[#This Row],[Salary in USD]],"")</f>
        <v/>
      </c>
      <c r="AD1290" s="13" t="str">
        <f>IF(tblSalaries[[#This Row],[Job Type]]=tblSalaries[[#Headers],[Specialist]],tblSalaries[[#This Row],[Salary in USD]],"")</f>
        <v/>
      </c>
    </row>
    <row r="1291" spans="2:30" ht="15" customHeight="1" x14ac:dyDescent="0.25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 s="9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  <c r="N1291" t="str">
        <f>IF(tblSalaries[[#This Row],[Years of Experience]]="","",IF(tblSalaries[[#This Row],[Years of Experience]]&lt;=2,1,""))</f>
        <v/>
      </c>
      <c r="O1291" t="str">
        <f>IF(tblSalaries[[#This Row],[Years of Experience]]="","",IF(AND(tblSalaries[[#This Row],[Years of Experience]]&gt;2,tblSalaries[[#This Row],[Years of Experience]]&lt;=5),1,""))</f>
        <v/>
      </c>
      <c r="P1291">
        <f>IF(tblSalaries[[#This Row],[Years of Experience]]="","",IF(AND(tblSalaries[[#This Row],[Years of Experience]]&gt;5,tblSalaries[[#This Row],[Years of Experience]]&lt;=10),1,""))</f>
        <v>1</v>
      </c>
      <c r="Q1291" t="str">
        <f>IF(tblSalaries[[#This Row],[Years of Experience]]="","",IF(AND(tblSalaries[[#This Row],[Years of Experience]]&gt;10,tblSalaries[[#This Row],[Years of Experience]]&lt;=15),1,""))</f>
        <v/>
      </c>
      <c r="R1291" t="str">
        <f>IF(tblSalaries[[#This Row],[Years of Experience]]="","",IF(AND(tblSalaries[[#This Row],[Years of Experience]]&gt;16,tblSalaries[[#This Row],[Years of Experience]]&lt;=20),1,""))</f>
        <v/>
      </c>
      <c r="S1291" t="str">
        <f>IF(tblSalaries[[#This Row],[Years of Experience]]="","",IF(tblSalaries[[#This Row],[Years of Experience]]&gt;20,1,""))</f>
        <v/>
      </c>
      <c r="T12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91" s="13" t="str">
        <f>IF(tblSalaries[[#This Row],[Job Type]]=tblSalaries[[#Headers],[Accountant]],tblSalaries[[#This Row],[Salary in USD]],"")</f>
        <v/>
      </c>
      <c r="V1291" s="13" t="str">
        <f>IF(tblSalaries[[#This Row],[Job Type]]=tblSalaries[[#Headers],[Analyst]],tblSalaries[[#This Row],[Salary in USD]],"")</f>
        <v/>
      </c>
      <c r="W1291" s="13" t="str">
        <f>IF(tblSalaries[[#This Row],[Job Type]]=tblSalaries[[#Headers],[Consultant]],tblSalaries[[#This Row],[Salary in USD]],"")</f>
        <v/>
      </c>
      <c r="X1291" s="13" t="str">
        <f>IF(tblSalaries[[#This Row],[Job Type]]=tblSalaries[[#Headers],[Controller]],tblSalaries[[#This Row],[Salary in USD]],"")</f>
        <v/>
      </c>
      <c r="Y1291" s="13" t="str">
        <f>IF(tblSalaries[[#This Row],[Job Type]]=tblSalaries[[#Headers],[CXO or Top Mgmt.]],tblSalaries[[#This Row],[clean Salary (in local currency)]],"")</f>
        <v/>
      </c>
      <c r="Z1291" s="13" t="str">
        <f>IF(tblSalaries[[#This Row],[Job Type]]=tblSalaries[[#Headers],[Engineer]],tblSalaries[[#This Row],[Salary in USD]],"")</f>
        <v/>
      </c>
      <c r="AA1291" s="13">
        <f>IF(tblSalaries[[#This Row],[Job Type]]=tblSalaries[[#Headers],[Manager]],tblSalaries[[#This Row],[Salary in USD]],"")</f>
        <v>21369.500024931083</v>
      </c>
      <c r="AB1291" s="13" t="str">
        <f>IF(tblSalaries[[#This Row],[Job Type]]=tblSalaries[[#Headers],[Misc.]],tblSalaries[[#This Row],[Salary in USD]],"")</f>
        <v/>
      </c>
      <c r="AC1291" s="13" t="str">
        <f>IF(tblSalaries[[#This Row],[Job Type]]=tblSalaries[[#Headers],[Reporting]],tblSalaries[[#This Row],[Salary in USD]],"")</f>
        <v/>
      </c>
      <c r="AD1291" s="13" t="str">
        <f>IF(tblSalaries[[#This Row],[Job Type]]=tblSalaries[[#Headers],[Specialist]],tblSalaries[[#This Row],[Salary in USD]],"")</f>
        <v/>
      </c>
    </row>
    <row r="1292" spans="2:30" ht="15" customHeight="1" x14ac:dyDescent="0.25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 s="9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  <c r="N1292" t="str">
        <f>IF(tblSalaries[[#This Row],[Years of Experience]]="","",IF(tblSalaries[[#This Row],[Years of Experience]]&lt;=2,1,""))</f>
        <v/>
      </c>
      <c r="O1292" t="str">
        <f>IF(tblSalaries[[#This Row],[Years of Experience]]="","",IF(AND(tblSalaries[[#This Row],[Years of Experience]]&gt;2,tblSalaries[[#This Row],[Years of Experience]]&lt;=5),1,""))</f>
        <v/>
      </c>
      <c r="P1292" t="str">
        <f>IF(tblSalaries[[#This Row],[Years of Experience]]="","",IF(AND(tblSalaries[[#This Row],[Years of Experience]]&gt;5,tblSalaries[[#This Row],[Years of Experience]]&lt;=10),1,""))</f>
        <v/>
      </c>
      <c r="Q1292" t="str">
        <f>IF(tblSalaries[[#This Row],[Years of Experience]]="","",IF(AND(tblSalaries[[#This Row],[Years of Experience]]&gt;10,tblSalaries[[#This Row],[Years of Experience]]&lt;=15),1,""))</f>
        <v/>
      </c>
      <c r="R1292" t="str">
        <f>IF(tblSalaries[[#This Row],[Years of Experience]]="","",IF(AND(tblSalaries[[#This Row],[Years of Experience]]&gt;16,tblSalaries[[#This Row],[Years of Experience]]&lt;=20),1,""))</f>
        <v/>
      </c>
      <c r="S1292">
        <f>IF(tblSalaries[[#This Row],[Years of Experience]]="","",IF(tblSalaries[[#This Row],[Years of Experience]]&gt;20,1,""))</f>
        <v>1</v>
      </c>
      <c r="T12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92" s="13" t="str">
        <f>IF(tblSalaries[[#This Row],[Job Type]]=tblSalaries[[#Headers],[Accountant]],tblSalaries[[#This Row],[Salary in USD]],"")</f>
        <v/>
      </c>
      <c r="V1292" s="13" t="str">
        <f>IF(tblSalaries[[#This Row],[Job Type]]=tblSalaries[[#Headers],[Analyst]],tblSalaries[[#This Row],[Salary in USD]],"")</f>
        <v/>
      </c>
      <c r="W1292" s="13" t="str">
        <f>IF(tblSalaries[[#This Row],[Job Type]]=tblSalaries[[#Headers],[Consultant]],tblSalaries[[#This Row],[Salary in USD]],"")</f>
        <v/>
      </c>
      <c r="X1292" s="13" t="str">
        <f>IF(tblSalaries[[#This Row],[Job Type]]=tblSalaries[[#Headers],[Controller]],tblSalaries[[#This Row],[Salary in USD]],"")</f>
        <v/>
      </c>
      <c r="Y1292" s="13" t="str">
        <f>IF(tblSalaries[[#This Row],[Job Type]]=tblSalaries[[#Headers],[CXO or Top Mgmt.]],tblSalaries[[#This Row],[clean Salary (in local currency)]],"")</f>
        <v/>
      </c>
      <c r="Z1292" s="13" t="str">
        <f>IF(tblSalaries[[#This Row],[Job Type]]=tblSalaries[[#Headers],[Engineer]],tblSalaries[[#This Row],[Salary in USD]],"")</f>
        <v/>
      </c>
      <c r="AA1292" s="13">
        <f>IF(tblSalaries[[#This Row],[Job Type]]=tblSalaries[[#Headers],[Manager]],tblSalaries[[#This Row],[Salary in USD]],"")</f>
        <v>10684.750012465542</v>
      </c>
      <c r="AB1292" s="13" t="str">
        <f>IF(tblSalaries[[#This Row],[Job Type]]=tblSalaries[[#Headers],[Misc.]],tblSalaries[[#This Row],[Salary in USD]],"")</f>
        <v/>
      </c>
      <c r="AC1292" s="13" t="str">
        <f>IF(tblSalaries[[#This Row],[Job Type]]=tblSalaries[[#Headers],[Reporting]],tblSalaries[[#This Row],[Salary in USD]],"")</f>
        <v/>
      </c>
      <c r="AD1292" s="13" t="str">
        <f>IF(tblSalaries[[#This Row],[Job Type]]=tblSalaries[[#Headers],[Specialist]],tblSalaries[[#This Row],[Salary in USD]],"")</f>
        <v/>
      </c>
    </row>
    <row r="1293" spans="2:30" ht="15" customHeight="1" x14ac:dyDescent="0.25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 s="9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  <c r="N1293" t="str">
        <f>IF(tblSalaries[[#This Row],[Years of Experience]]="","",IF(tblSalaries[[#This Row],[Years of Experience]]&lt;=2,1,""))</f>
        <v/>
      </c>
      <c r="O1293" t="str">
        <f>IF(tblSalaries[[#This Row],[Years of Experience]]="","",IF(AND(tblSalaries[[#This Row],[Years of Experience]]&gt;2,tblSalaries[[#This Row],[Years of Experience]]&lt;=5),1,""))</f>
        <v/>
      </c>
      <c r="P1293" t="str">
        <f>IF(tblSalaries[[#This Row],[Years of Experience]]="","",IF(AND(tblSalaries[[#This Row],[Years of Experience]]&gt;5,tblSalaries[[#This Row],[Years of Experience]]&lt;=10),1,""))</f>
        <v/>
      </c>
      <c r="Q1293" t="str">
        <f>IF(tblSalaries[[#This Row],[Years of Experience]]="","",IF(AND(tblSalaries[[#This Row],[Years of Experience]]&gt;10,tblSalaries[[#This Row],[Years of Experience]]&lt;=15),1,""))</f>
        <v/>
      </c>
      <c r="R1293" t="str">
        <f>IF(tblSalaries[[#This Row],[Years of Experience]]="","",IF(AND(tblSalaries[[#This Row],[Years of Experience]]&gt;16,tblSalaries[[#This Row],[Years of Experience]]&lt;=20),1,""))</f>
        <v/>
      </c>
      <c r="S1293">
        <f>IF(tblSalaries[[#This Row],[Years of Experience]]="","",IF(tblSalaries[[#This Row],[Years of Experience]]&gt;20,1,""))</f>
        <v>1</v>
      </c>
      <c r="T12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293" s="13" t="str">
        <f>IF(tblSalaries[[#This Row],[Job Type]]=tblSalaries[[#Headers],[Accountant]],tblSalaries[[#This Row],[Salary in USD]],"")</f>
        <v/>
      </c>
      <c r="V1293" s="13" t="str">
        <f>IF(tblSalaries[[#This Row],[Job Type]]=tblSalaries[[#Headers],[Analyst]],tblSalaries[[#This Row],[Salary in USD]],"")</f>
        <v/>
      </c>
      <c r="W1293" s="13" t="str">
        <f>IF(tblSalaries[[#This Row],[Job Type]]=tblSalaries[[#Headers],[Consultant]],tblSalaries[[#This Row],[Salary in USD]],"")</f>
        <v/>
      </c>
      <c r="X1293" s="13" t="str">
        <f>IF(tblSalaries[[#This Row],[Job Type]]=tblSalaries[[#Headers],[Controller]],tblSalaries[[#This Row],[Salary in USD]],"")</f>
        <v/>
      </c>
      <c r="Y1293" s="13" t="str">
        <f>IF(tblSalaries[[#This Row],[Job Type]]=tblSalaries[[#Headers],[CXO or Top Mgmt.]],tblSalaries[[#This Row],[clean Salary (in local currency)]],"")</f>
        <v/>
      </c>
      <c r="Z1293" s="13" t="str">
        <f>IF(tblSalaries[[#This Row],[Job Type]]=tblSalaries[[#Headers],[Engineer]],tblSalaries[[#This Row],[Salary in USD]],"")</f>
        <v/>
      </c>
      <c r="AA1293" s="13">
        <f>IF(tblSalaries[[#This Row],[Job Type]]=tblSalaries[[#Headers],[Manager]],tblSalaries[[#This Row],[Salary in USD]],"")</f>
        <v>176585.52201983347</v>
      </c>
      <c r="AB1293" s="13" t="str">
        <f>IF(tblSalaries[[#This Row],[Job Type]]=tblSalaries[[#Headers],[Misc.]],tblSalaries[[#This Row],[Salary in USD]],"")</f>
        <v/>
      </c>
      <c r="AC1293" s="13" t="str">
        <f>IF(tblSalaries[[#This Row],[Job Type]]=tblSalaries[[#Headers],[Reporting]],tblSalaries[[#This Row],[Salary in USD]],"")</f>
        <v/>
      </c>
      <c r="AD1293" s="13" t="str">
        <f>IF(tblSalaries[[#This Row],[Job Type]]=tblSalaries[[#Headers],[Specialist]],tblSalaries[[#This Row],[Salary in USD]],"")</f>
        <v/>
      </c>
    </row>
    <row r="1294" spans="2:30" ht="15" customHeight="1" x14ac:dyDescent="0.25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 s="9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  <c r="N1294" t="str">
        <f>IF(tblSalaries[[#This Row],[Years of Experience]]="","",IF(tblSalaries[[#This Row],[Years of Experience]]&lt;=2,1,""))</f>
        <v/>
      </c>
      <c r="O1294" t="str">
        <f>IF(tblSalaries[[#This Row],[Years of Experience]]="","",IF(AND(tblSalaries[[#This Row],[Years of Experience]]&gt;2,tblSalaries[[#This Row],[Years of Experience]]&lt;=5),1,""))</f>
        <v/>
      </c>
      <c r="P1294">
        <f>IF(tblSalaries[[#This Row],[Years of Experience]]="","",IF(AND(tblSalaries[[#This Row],[Years of Experience]]&gt;5,tblSalaries[[#This Row],[Years of Experience]]&lt;=10),1,""))</f>
        <v>1</v>
      </c>
      <c r="Q1294" t="str">
        <f>IF(tblSalaries[[#This Row],[Years of Experience]]="","",IF(AND(tblSalaries[[#This Row],[Years of Experience]]&gt;10,tblSalaries[[#This Row],[Years of Experience]]&lt;=15),1,""))</f>
        <v/>
      </c>
      <c r="R1294" t="str">
        <f>IF(tblSalaries[[#This Row],[Years of Experience]]="","",IF(AND(tblSalaries[[#This Row],[Years of Experience]]&gt;16,tblSalaries[[#This Row],[Years of Experience]]&lt;=20),1,""))</f>
        <v/>
      </c>
      <c r="S1294" t="str">
        <f>IF(tblSalaries[[#This Row],[Years of Experience]]="","",IF(tblSalaries[[#This Row],[Years of Experience]]&gt;20,1,""))</f>
        <v/>
      </c>
      <c r="T12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94" s="13" t="str">
        <f>IF(tblSalaries[[#This Row],[Job Type]]=tblSalaries[[#Headers],[Accountant]],tblSalaries[[#This Row],[Salary in USD]],"")</f>
        <v/>
      </c>
      <c r="V1294" s="13" t="str">
        <f>IF(tblSalaries[[#This Row],[Job Type]]=tblSalaries[[#Headers],[Analyst]],tblSalaries[[#This Row],[Salary in USD]],"")</f>
        <v/>
      </c>
      <c r="W1294" s="13" t="str">
        <f>IF(tblSalaries[[#This Row],[Job Type]]=tblSalaries[[#Headers],[Consultant]],tblSalaries[[#This Row],[Salary in USD]],"")</f>
        <v/>
      </c>
      <c r="X1294" s="13" t="str">
        <f>IF(tblSalaries[[#This Row],[Job Type]]=tblSalaries[[#Headers],[Controller]],tblSalaries[[#This Row],[Salary in USD]],"")</f>
        <v/>
      </c>
      <c r="Y1294" s="13" t="str">
        <f>IF(tblSalaries[[#This Row],[Job Type]]=tblSalaries[[#Headers],[CXO or Top Mgmt.]],tblSalaries[[#This Row],[clean Salary (in local currency)]],"")</f>
        <v/>
      </c>
      <c r="Z1294" s="13" t="str">
        <f>IF(tblSalaries[[#This Row],[Job Type]]=tblSalaries[[#Headers],[Engineer]],tblSalaries[[#This Row],[Salary in USD]],"")</f>
        <v/>
      </c>
      <c r="AA1294" s="13">
        <f>IF(tblSalaries[[#This Row],[Job Type]]=tblSalaries[[#Headers],[Manager]],tblSalaries[[#This Row],[Salary in USD]],"")</f>
        <v>54627.175876639136</v>
      </c>
      <c r="AB1294" s="13" t="str">
        <f>IF(tblSalaries[[#This Row],[Job Type]]=tblSalaries[[#Headers],[Misc.]],tblSalaries[[#This Row],[Salary in USD]],"")</f>
        <v/>
      </c>
      <c r="AC1294" s="13" t="str">
        <f>IF(tblSalaries[[#This Row],[Job Type]]=tblSalaries[[#Headers],[Reporting]],tblSalaries[[#This Row],[Salary in USD]],"")</f>
        <v/>
      </c>
      <c r="AD1294" s="13" t="str">
        <f>IF(tblSalaries[[#This Row],[Job Type]]=tblSalaries[[#Headers],[Specialist]],tblSalaries[[#This Row],[Salary in USD]],"")</f>
        <v/>
      </c>
    </row>
    <row r="1295" spans="2:30" ht="15" customHeight="1" x14ac:dyDescent="0.25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 s="9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  <c r="N1295" t="str">
        <f>IF(tblSalaries[[#This Row],[Years of Experience]]="","",IF(tblSalaries[[#This Row],[Years of Experience]]&lt;=2,1,""))</f>
        <v/>
      </c>
      <c r="O1295" t="str">
        <f>IF(tblSalaries[[#This Row],[Years of Experience]]="","",IF(AND(tblSalaries[[#This Row],[Years of Experience]]&gt;2,tblSalaries[[#This Row],[Years of Experience]]&lt;=5),1,""))</f>
        <v/>
      </c>
      <c r="P1295">
        <f>IF(tblSalaries[[#This Row],[Years of Experience]]="","",IF(AND(tblSalaries[[#This Row],[Years of Experience]]&gt;5,tblSalaries[[#This Row],[Years of Experience]]&lt;=10),1,""))</f>
        <v>1</v>
      </c>
      <c r="Q1295" t="str">
        <f>IF(tblSalaries[[#This Row],[Years of Experience]]="","",IF(AND(tblSalaries[[#This Row],[Years of Experience]]&gt;10,tblSalaries[[#This Row],[Years of Experience]]&lt;=15),1,""))</f>
        <v/>
      </c>
      <c r="R1295" t="str">
        <f>IF(tblSalaries[[#This Row],[Years of Experience]]="","",IF(AND(tblSalaries[[#This Row],[Years of Experience]]&gt;16,tblSalaries[[#This Row],[Years of Experience]]&lt;=20),1,""))</f>
        <v/>
      </c>
      <c r="S1295" t="str">
        <f>IF(tblSalaries[[#This Row],[Years of Experience]]="","",IF(tblSalaries[[#This Row],[Years of Experience]]&gt;20,1,""))</f>
        <v/>
      </c>
      <c r="T12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95" s="13" t="str">
        <f>IF(tblSalaries[[#This Row],[Job Type]]=tblSalaries[[#Headers],[Accountant]],tblSalaries[[#This Row],[Salary in USD]],"")</f>
        <v/>
      </c>
      <c r="V1295" s="13" t="str">
        <f>IF(tblSalaries[[#This Row],[Job Type]]=tblSalaries[[#Headers],[Analyst]],tblSalaries[[#This Row],[Salary in USD]],"")</f>
        <v/>
      </c>
      <c r="W1295" s="13" t="str">
        <f>IF(tblSalaries[[#This Row],[Job Type]]=tblSalaries[[#Headers],[Consultant]],tblSalaries[[#This Row],[Salary in USD]],"")</f>
        <v/>
      </c>
      <c r="X1295" s="13">
        <f>IF(tblSalaries[[#This Row],[Job Type]]=tblSalaries[[#Headers],[Controller]],tblSalaries[[#This Row],[Salary in USD]],"")</f>
        <v>30489.586535798586</v>
      </c>
      <c r="Y1295" s="13" t="str">
        <f>IF(tblSalaries[[#This Row],[Job Type]]=tblSalaries[[#Headers],[CXO or Top Mgmt.]],tblSalaries[[#This Row],[clean Salary (in local currency)]],"")</f>
        <v/>
      </c>
      <c r="Z1295" s="13" t="str">
        <f>IF(tblSalaries[[#This Row],[Job Type]]=tblSalaries[[#Headers],[Engineer]],tblSalaries[[#This Row],[Salary in USD]],"")</f>
        <v/>
      </c>
      <c r="AA1295" s="13" t="str">
        <f>IF(tblSalaries[[#This Row],[Job Type]]=tblSalaries[[#Headers],[Manager]],tblSalaries[[#This Row],[Salary in USD]],"")</f>
        <v/>
      </c>
      <c r="AB1295" s="13" t="str">
        <f>IF(tblSalaries[[#This Row],[Job Type]]=tblSalaries[[#Headers],[Misc.]],tblSalaries[[#This Row],[Salary in USD]],"")</f>
        <v/>
      </c>
      <c r="AC1295" s="13" t="str">
        <f>IF(tblSalaries[[#This Row],[Job Type]]=tblSalaries[[#Headers],[Reporting]],tblSalaries[[#This Row],[Salary in USD]],"")</f>
        <v/>
      </c>
      <c r="AD1295" s="13" t="str">
        <f>IF(tblSalaries[[#This Row],[Job Type]]=tblSalaries[[#Headers],[Specialist]],tblSalaries[[#This Row],[Salary in USD]],"")</f>
        <v/>
      </c>
    </row>
    <row r="1296" spans="2:30" ht="15" customHeight="1" x14ac:dyDescent="0.25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 s="9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  <c r="N1296">
        <f>IF(tblSalaries[[#This Row],[Years of Experience]]="","",IF(tblSalaries[[#This Row],[Years of Experience]]&lt;=2,1,""))</f>
        <v>1</v>
      </c>
      <c r="O1296" t="str">
        <f>IF(tblSalaries[[#This Row],[Years of Experience]]="","",IF(AND(tblSalaries[[#This Row],[Years of Experience]]&gt;2,tblSalaries[[#This Row],[Years of Experience]]&lt;=5),1,""))</f>
        <v/>
      </c>
      <c r="P1296" t="str">
        <f>IF(tblSalaries[[#This Row],[Years of Experience]]="","",IF(AND(tblSalaries[[#This Row],[Years of Experience]]&gt;5,tblSalaries[[#This Row],[Years of Experience]]&lt;=10),1,""))</f>
        <v/>
      </c>
      <c r="Q1296" t="str">
        <f>IF(tblSalaries[[#This Row],[Years of Experience]]="","",IF(AND(tblSalaries[[#This Row],[Years of Experience]]&gt;10,tblSalaries[[#This Row],[Years of Experience]]&lt;=15),1,""))</f>
        <v/>
      </c>
      <c r="R1296" t="str">
        <f>IF(tblSalaries[[#This Row],[Years of Experience]]="","",IF(AND(tblSalaries[[#This Row],[Years of Experience]]&gt;16,tblSalaries[[#This Row],[Years of Experience]]&lt;=20),1,""))</f>
        <v/>
      </c>
      <c r="S1296" t="str">
        <f>IF(tblSalaries[[#This Row],[Years of Experience]]="","",IF(tblSalaries[[#This Row],[Years of Experience]]&gt;20,1,""))</f>
        <v/>
      </c>
      <c r="T12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96" s="13" t="str">
        <f>IF(tblSalaries[[#This Row],[Job Type]]=tblSalaries[[#Headers],[Accountant]],tblSalaries[[#This Row],[Salary in USD]],"")</f>
        <v/>
      </c>
      <c r="V1296" s="13" t="str">
        <f>IF(tblSalaries[[#This Row],[Job Type]]=tblSalaries[[#Headers],[Analyst]],tblSalaries[[#This Row],[Salary in USD]],"")</f>
        <v/>
      </c>
      <c r="W1296" s="13" t="str">
        <f>IF(tblSalaries[[#This Row],[Job Type]]=tblSalaries[[#Headers],[Consultant]],tblSalaries[[#This Row],[Salary in USD]],"")</f>
        <v/>
      </c>
      <c r="X1296" s="13" t="str">
        <f>IF(tblSalaries[[#This Row],[Job Type]]=tblSalaries[[#Headers],[Controller]],tblSalaries[[#This Row],[Salary in USD]],"")</f>
        <v/>
      </c>
      <c r="Y1296" s="13" t="str">
        <f>IF(tblSalaries[[#This Row],[Job Type]]=tblSalaries[[#Headers],[CXO or Top Mgmt.]],tblSalaries[[#This Row],[clean Salary (in local currency)]],"")</f>
        <v/>
      </c>
      <c r="Z1296" s="13" t="str">
        <f>IF(tblSalaries[[#This Row],[Job Type]]=tblSalaries[[#Headers],[Engineer]],tblSalaries[[#This Row],[Salary in USD]],"")</f>
        <v/>
      </c>
      <c r="AA1296" s="13">
        <f>IF(tblSalaries[[#This Row],[Job Type]]=tblSalaries[[#Headers],[Manager]],tblSalaries[[#This Row],[Salary in USD]],"")</f>
        <v>5591.6858398569666</v>
      </c>
      <c r="AB1296" s="13" t="str">
        <f>IF(tblSalaries[[#This Row],[Job Type]]=tblSalaries[[#Headers],[Misc.]],tblSalaries[[#This Row],[Salary in USD]],"")</f>
        <v/>
      </c>
      <c r="AC1296" s="13" t="str">
        <f>IF(tblSalaries[[#This Row],[Job Type]]=tblSalaries[[#Headers],[Reporting]],tblSalaries[[#This Row],[Salary in USD]],"")</f>
        <v/>
      </c>
      <c r="AD1296" s="13" t="str">
        <f>IF(tblSalaries[[#This Row],[Job Type]]=tblSalaries[[#Headers],[Specialist]],tblSalaries[[#This Row],[Salary in USD]],"")</f>
        <v/>
      </c>
    </row>
    <row r="1297" spans="2:30" ht="15" customHeight="1" x14ac:dyDescent="0.25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 s="9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  <c r="N1297" t="str">
        <f>IF(tblSalaries[[#This Row],[Years of Experience]]="","",IF(tblSalaries[[#This Row],[Years of Experience]]&lt;=2,1,""))</f>
        <v/>
      </c>
      <c r="O1297" t="str">
        <f>IF(tblSalaries[[#This Row],[Years of Experience]]="","",IF(AND(tblSalaries[[#This Row],[Years of Experience]]&gt;2,tblSalaries[[#This Row],[Years of Experience]]&lt;=5),1,""))</f>
        <v/>
      </c>
      <c r="P1297">
        <f>IF(tblSalaries[[#This Row],[Years of Experience]]="","",IF(AND(tblSalaries[[#This Row],[Years of Experience]]&gt;5,tblSalaries[[#This Row],[Years of Experience]]&lt;=10),1,""))</f>
        <v>1</v>
      </c>
      <c r="Q1297" t="str">
        <f>IF(tblSalaries[[#This Row],[Years of Experience]]="","",IF(AND(tblSalaries[[#This Row],[Years of Experience]]&gt;10,tblSalaries[[#This Row],[Years of Experience]]&lt;=15),1,""))</f>
        <v/>
      </c>
      <c r="R1297" t="str">
        <f>IF(tblSalaries[[#This Row],[Years of Experience]]="","",IF(AND(tblSalaries[[#This Row],[Years of Experience]]&gt;16,tblSalaries[[#This Row],[Years of Experience]]&lt;=20),1,""))</f>
        <v/>
      </c>
      <c r="S1297" t="str">
        <f>IF(tblSalaries[[#This Row],[Years of Experience]]="","",IF(tblSalaries[[#This Row],[Years of Experience]]&gt;20,1,""))</f>
        <v/>
      </c>
      <c r="T12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297" s="13" t="str">
        <f>IF(tblSalaries[[#This Row],[Job Type]]=tblSalaries[[#Headers],[Accountant]],tblSalaries[[#This Row],[Salary in USD]],"")</f>
        <v/>
      </c>
      <c r="V1297" s="13" t="str">
        <f>IF(tblSalaries[[#This Row],[Job Type]]=tblSalaries[[#Headers],[Analyst]],tblSalaries[[#This Row],[Salary in USD]],"")</f>
        <v/>
      </c>
      <c r="W1297" s="13">
        <f>IF(tblSalaries[[#This Row],[Job Type]]=tblSalaries[[#Headers],[Consultant]],tblSalaries[[#This Row],[Salary in USD]],"")</f>
        <v>82000</v>
      </c>
      <c r="X1297" s="13" t="str">
        <f>IF(tblSalaries[[#This Row],[Job Type]]=tblSalaries[[#Headers],[Controller]],tblSalaries[[#This Row],[Salary in USD]],"")</f>
        <v/>
      </c>
      <c r="Y1297" s="13" t="str">
        <f>IF(tblSalaries[[#This Row],[Job Type]]=tblSalaries[[#Headers],[CXO or Top Mgmt.]],tblSalaries[[#This Row],[clean Salary (in local currency)]],"")</f>
        <v/>
      </c>
      <c r="Z1297" s="13" t="str">
        <f>IF(tblSalaries[[#This Row],[Job Type]]=tblSalaries[[#Headers],[Engineer]],tblSalaries[[#This Row],[Salary in USD]],"")</f>
        <v/>
      </c>
      <c r="AA1297" s="13" t="str">
        <f>IF(tblSalaries[[#This Row],[Job Type]]=tblSalaries[[#Headers],[Manager]],tblSalaries[[#This Row],[Salary in USD]],"")</f>
        <v/>
      </c>
      <c r="AB1297" s="13" t="str">
        <f>IF(tblSalaries[[#This Row],[Job Type]]=tblSalaries[[#Headers],[Misc.]],tblSalaries[[#This Row],[Salary in USD]],"")</f>
        <v/>
      </c>
      <c r="AC1297" s="13" t="str">
        <f>IF(tblSalaries[[#This Row],[Job Type]]=tblSalaries[[#Headers],[Reporting]],tblSalaries[[#This Row],[Salary in USD]],"")</f>
        <v/>
      </c>
      <c r="AD1297" s="13" t="str">
        <f>IF(tblSalaries[[#This Row],[Job Type]]=tblSalaries[[#Headers],[Specialist]],tblSalaries[[#This Row],[Salary in USD]],"")</f>
        <v/>
      </c>
    </row>
    <row r="1298" spans="2:30" ht="15" customHeight="1" x14ac:dyDescent="0.25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 s="9">
        <f>tblSalaries[[#This Row],[clean Salary (in local currency)]]*VLOOKUP(tblSalaries[[#This Row],[Currency]],tblXrate[],2,FALSE)</f>
        <v>10000</v>
      </c>
      <c r="H1298" t="s">
        <v>360</v>
      </c>
      <c r="I1298" t="s">
        <v>3999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  <c r="N1298">
        <f>IF(tblSalaries[[#This Row],[Years of Experience]]="","",IF(tblSalaries[[#This Row],[Years of Experience]]&lt;=2,1,""))</f>
        <v>1</v>
      </c>
      <c r="O1298" t="str">
        <f>IF(tblSalaries[[#This Row],[Years of Experience]]="","",IF(AND(tblSalaries[[#This Row],[Years of Experience]]&gt;2,tblSalaries[[#This Row],[Years of Experience]]&lt;=5),1,""))</f>
        <v/>
      </c>
      <c r="P1298" t="str">
        <f>IF(tblSalaries[[#This Row],[Years of Experience]]="","",IF(AND(tblSalaries[[#This Row],[Years of Experience]]&gt;5,tblSalaries[[#This Row],[Years of Experience]]&lt;=10),1,""))</f>
        <v/>
      </c>
      <c r="Q1298" t="str">
        <f>IF(tblSalaries[[#This Row],[Years of Experience]]="","",IF(AND(tblSalaries[[#This Row],[Years of Experience]]&gt;10,tblSalaries[[#This Row],[Years of Experience]]&lt;=15),1,""))</f>
        <v/>
      </c>
      <c r="R1298" t="str">
        <f>IF(tblSalaries[[#This Row],[Years of Experience]]="","",IF(AND(tblSalaries[[#This Row],[Years of Experience]]&gt;16,tblSalaries[[#This Row],[Years of Experience]]&lt;=20),1,""))</f>
        <v/>
      </c>
      <c r="S1298" t="str">
        <f>IF(tblSalaries[[#This Row],[Years of Experience]]="","",IF(tblSalaries[[#This Row],[Years of Experience]]&gt;20,1,""))</f>
        <v/>
      </c>
      <c r="T12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98" s="13" t="str">
        <f>IF(tblSalaries[[#This Row],[Job Type]]=tblSalaries[[#Headers],[Accountant]],tblSalaries[[#This Row],[Salary in USD]],"")</f>
        <v/>
      </c>
      <c r="V1298" s="13" t="str">
        <f>IF(tblSalaries[[#This Row],[Job Type]]=tblSalaries[[#Headers],[Analyst]],tblSalaries[[#This Row],[Salary in USD]],"")</f>
        <v/>
      </c>
      <c r="W1298" s="13" t="str">
        <f>IF(tblSalaries[[#This Row],[Job Type]]=tblSalaries[[#Headers],[Consultant]],tblSalaries[[#This Row],[Salary in USD]],"")</f>
        <v/>
      </c>
      <c r="X1298" s="13" t="str">
        <f>IF(tblSalaries[[#This Row],[Job Type]]=tblSalaries[[#Headers],[Controller]],tblSalaries[[#This Row],[Salary in USD]],"")</f>
        <v/>
      </c>
      <c r="Y1298" s="13" t="str">
        <f>IF(tblSalaries[[#This Row],[Job Type]]=tblSalaries[[#Headers],[CXO or Top Mgmt.]],tblSalaries[[#This Row],[clean Salary (in local currency)]],"")</f>
        <v/>
      </c>
      <c r="Z1298" s="13" t="str">
        <f>IF(tblSalaries[[#This Row],[Job Type]]=tblSalaries[[#Headers],[Engineer]],tblSalaries[[#This Row],[Salary in USD]],"")</f>
        <v/>
      </c>
      <c r="AA1298" s="13" t="str">
        <f>IF(tblSalaries[[#This Row],[Job Type]]=tblSalaries[[#Headers],[Manager]],tblSalaries[[#This Row],[Salary in USD]],"")</f>
        <v/>
      </c>
      <c r="AB1298" s="13" t="str">
        <f>IF(tblSalaries[[#This Row],[Job Type]]=tblSalaries[[#Headers],[Misc.]],tblSalaries[[#This Row],[Salary in USD]],"")</f>
        <v/>
      </c>
      <c r="AC1298" s="13">
        <f>IF(tblSalaries[[#This Row],[Job Type]]=tblSalaries[[#Headers],[Reporting]],tblSalaries[[#This Row],[Salary in USD]],"")</f>
        <v>10000</v>
      </c>
      <c r="AD1298" s="13" t="str">
        <f>IF(tblSalaries[[#This Row],[Job Type]]=tblSalaries[[#Headers],[Specialist]],tblSalaries[[#This Row],[Salary in USD]],"")</f>
        <v/>
      </c>
    </row>
    <row r="1299" spans="2:30" ht="15" customHeight="1" x14ac:dyDescent="0.25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 s="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  <c r="N1299">
        <f>IF(tblSalaries[[#This Row],[Years of Experience]]="","",IF(tblSalaries[[#This Row],[Years of Experience]]&lt;=2,1,""))</f>
        <v>1</v>
      </c>
      <c r="O1299" t="str">
        <f>IF(tblSalaries[[#This Row],[Years of Experience]]="","",IF(AND(tblSalaries[[#This Row],[Years of Experience]]&gt;2,tblSalaries[[#This Row],[Years of Experience]]&lt;=5),1,""))</f>
        <v/>
      </c>
      <c r="P1299" t="str">
        <f>IF(tblSalaries[[#This Row],[Years of Experience]]="","",IF(AND(tblSalaries[[#This Row],[Years of Experience]]&gt;5,tblSalaries[[#This Row],[Years of Experience]]&lt;=10),1,""))</f>
        <v/>
      </c>
      <c r="Q1299" t="str">
        <f>IF(tblSalaries[[#This Row],[Years of Experience]]="","",IF(AND(tblSalaries[[#This Row],[Years of Experience]]&gt;10,tblSalaries[[#This Row],[Years of Experience]]&lt;=15),1,""))</f>
        <v/>
      </c>
      <c r="R1299" t="str">
        <f>IF(tblSalaries[[#This Row],[Years of Experience]]="","",IF(AND(tblSalaries[[#This Row],[Years of Experience]]&gt;16,tblSalaries[[#This Row],[Years of Experience]]&lt;=20),1,""))</f>
        <v/>
      </c>
      <c r="S1299" t="str">
        <f>IF(tblSalaries[[#This Row],[Years of Experience]]="","",IF(tblSalaries[[#This Row],[Years of Experience]]&gt;20,1,""))</f>
        <v/>
      </c>
      <c r="T12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299" s="13" t="str">
        <f>IF(tblSalaries[[#This Row],[Job Type]]=tblSalaries[[#Headers],[Accountant]],tblSalaries[[#This Row],[Salary in USD]],"")</f>
        <v/>
      </c>
      <c r="V1299" s="13">
        <f>IF(tblSalaries[[#This Row],[Job Type]]=tblSalaries[[#Headers],[Analyst]],tblSalaries[[#This Row],[Salary in USD]],"")</f>
        <v>9000</v>
      </c>
      <c r="W1299" s="13" t="str">
        <f>IF(tblSalaries[[#This Row],[Job Type]]=tblSalaries[[#Headers],[Consultant]],tblSalaries[[#This Row],[Salary in USD]],"")</f>
        <v/>
      </c>
      <c r="X1299" s="13" t="str">
        <f>IF(tblSalaries[[#This Row],[Job Type]]=tblSalaries[[#Headers],[Controller]],tblSalaries[[#This Row],[Salary in USD]],"")</f>
        <v/>
      </c>
      <c r="Y1299" s="13" t="str">
        <f>IF(tblSalaries[[#This Row],[Job Type]]=tblSalaries[[#Headers],[CXO or Top Mgmt.]],tblSalaries[[#This Row],[clean Salary (in local currency)]],"")</f>
        <v/>
      </c>
      <c r="Z1299" s="13" t="str">
        <f>IF(tblSalaries[[#This Row],[Job Type]]=tblSalaries[[#Headers],[Engineer]],tblSalaries[[#This Row],[Salary in USD]],"")</f>
        <v/>
      </c>
      <c r="AA1299" s="13" t="str">
        <f>IF(tblSalaries[[#This Row],[Job Type]]=tblSalaries[[#Headers],[Manager]],tblSalaries[[#This Row],[Salary in USD]],"")</f>
        <v/>
      </c>
      <c r="AB1299" s="13" t="str">
        <f>IF(tblSalaries[[#This Row],[Job Type]]=tblSalaries[[#Headers],[Misc.]],tblSalaries[[#This Row],[Salary in USD]],"")</f>
        <v/>
      </c>
      <c r="AC1299" s="13" t="str">
        <f>IF(tblSalaries[[#This Row],[Job Type]]=tblSalaries[[#Headers],[Reporting]],tblSalaries[[#This Row],[Salary in USD]],"")</f>
        <v/>
      </c>
      <c r="AD1299" s="13" t="str">
        <f>IF(tblSalaries[[#This Row],[Job Type]]=tblSalaries[[#Headers],[Specialist]],tblSalaries[[#This Row],[Salary in USD]],"")</f>
        <v/>
      </c>
    </row>
    <row r="1300" spans="2:30" ht="15" customHeight="1" x14ac:dyDescent="0.25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 s="9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  <c r="N1300">
        <f>IF(tblSalaries[[#This Row],[Years of Experience]]="","",IF(tblSalaries[[#This Row],[Years of Experience]]&lt;=2,1,""))</f>
        <v>1</v>
      </c>
      <c r="O1300" t="str">
        <f>IF(tblSalaries[[#This Row],[Years of Experience]]="","",IF(AND(tblSalaries[[#This Row],[Years of Experience]]&gt;2,tblSalaries[[#This Row],[Years of Experience]]&lt;=5),1,""))</f>
        <v/>
      </c>
      <c r="P1300" t="str">
        <f>IF(tblSalaries[[#This Row],[Years of Experience]]="","",IF(AND(tblSalaries[[#This Row],[Years of Experience]]&gt;5,tblSalaries[[#This Row],[Years of Experience]]&lt;=10),1,""))</f>
        <v/>
      </c>
      <c r="Q1300" t="str">
        <f>IF(tblSalaries[[#This Row],[Years of Experience]]="","",IF(AND(tblSalaries[[#This Row],[Years of Experience]]&gt;10,tblSalaries[[#This Row],[Years of Experience]]&lt;=15),1,""))</f>
        <v/>
      </c>
      <c r="R1300" t="str">
        <f>IF(tblSalaries[[#This Row],[Years of Experience]]="","",IF(AND(tblSalaries[[#This Row],[Years of Experience]]&gt;16,tblSalaries[[#This Row],[Years of Experience]]&lt;=20),1,""))</f>
        <v/>
      </c>
      <c r="S1300" t="str">
        <f>IF(tblSalaries[[#This Row],[Years of Experience]]="","",IF(tblSalaries[[#This Row],[Years of Experience]]&gt;20,1,""))</f>
        <v/>
      </c>
      <c r="T13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00" s="13" t="str">
        <f>IF(tblSalaries[[#This Row],[Job Type]]=tblSalaries[[#Headers],[Accountant]],tblSalaries[[#This Row],[Salary in USD]],"")</f>
        <v/>
      </c>
      <c r="V1300" s="13">
        <f>IF(tblSalaries[[#This Row],[Job Type]]=tblSalaries[[#Headers],[Analyst]],tblSalaries[[#This Row],[Salary in USD]],"")</f>
        <v>9000</v>
      </c>
      <c r="W1300" s="13" t="str">
        <f>IF(tblSalaries[[#This Row],[Job Type]]=tblSalaries[[#Headers],[Consultant]],tblSalaries[[#This Row],[Salary in USD]],"")</f>
        <v/>
      </c>
      <c r="X1300" s="13" t="str">
        <f>IF(tblSalaries[[#This Row],[Job Type]]=tblSalaries[[#Headers],[Controller]],tblSalaries[[#This Row],[Salary in USD]],"")</f>
        <v/>
      </c>
      <c r="Y1300" s="13" t="str">
        <f>IF(tblSalaries[[#This Row],[Job Type]]=tblSalaries[[#Headers],[CXO or Top Mgmt.]],tblSalaries[[#This Row],[clean Salary (in local currency)]],"")</f>
        <v/>
      </c>
      <c r="Z1300" s="13" t="str">
        <f>IF(tblSalaries[[#This Row],[Job Type]]=tblSalaries[[#Headers],[Engineer]],tblSalaries[[#This Row],[Salary in USD]],"")</f>
        <v/>
      </c>
      <c r="AA1300" s="13" t="str">
        <f>IF(tblSalaries[[#This Row],[Job Type]]=tblSalaries[[#Headers],[Manager]],tblSalaries[[#This Row],[Salary in USD]],"")</f>
        <v/>
      </c>
      <c r="AB1300" s="13" t="str">
        <f>IF(tblSalaries[[#This Row],[Job Type]]=tblSalaries[[#Headers],[Misc.]],tblSalaries[[#This Row],[Salary in USD]],"")</f>
        <v/>
      </c>
      <c r="AC1300" s="13" t="str">
        <f>IF(tblSalaries[[#This Row],[Job Type]]=tblSalaries[[#Headers],[Reporting]],tblSalaries[[#This Row],[Salary in USD]],"")</f>
        <v/>
      </c>
      <c r="AD1300" s="13" t="str">
        <f>IF(tblSalaries[[#This Row],[Job Type]]=tblSalaries[[#Headers],[Specialist]],tblSalaries[[#This Row],[Salary in USD]],"")</f>
        <v/>
      </c>
    </row>
    <row r="1301" spans="2:30" ht="15" customHeight="1" x14ac:dyDescent="0.25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 s="9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  <c r="N1301" t="str">
        <f>IF(tblSalaries[[#This Row],[Years of Experience]]="","",IF(tblSalaries[[#This Row],[Years of Experience]]&lt;=2,1,""))</f>
        <v/>
      </c>
      <c r="O1301" t="str">
        <f>IF(tblSalaries[[#This Row],[Years of Experience]]="","",IF(AND(tblSalaries[[#This Row],[Years of Experience]]&gt;2,tblSalaries[[#This Row],[Years of Experience]]&lt;=5),1,""))</f>
        <v/>
      </c>
      <c r="P1301">
        <f>IF(tblSalaries[[#This Row],[Years of Experience]]="","",IF(AND(tblSalaries[[#This Row],[Years of Experience]]&gt;5,tblSalaries[[#This Row],[Years of Experience]]&lt;=10),1,""))</f>
        <v>1</v>
      </c>
      <c r="Q1301" t="str">
        <f>IF(tblSalaries[[#This Row],[Years of Experience]]="","",IF(AND(tblSalaries[[#This Row],[Years of Experience]]&gt;10,tblSalaries[[#This Row],[Years of Experience]]&lt;=15),1,""))</f>
        <v/>
      </c>
      <c r="R1301" t="str">
        <f>IF(tblSalaries[[#This Row],[Years of Experience]]="","",IF(AND(tblSalaries[[#This Row],[Years of Experience]]&gt;16,tblSalaries[[#This Row],[Years of Experience]]&lt;=20),1,""))</f>
        <v/>
      </c>
      <c r="S1301" t="str">
        <f>IF(tblSalaries[[#This Row],[Years of Experience]]="","",IF(tblSalaries[[#This Row],[Years of Experience]]&gt;20,1,""))</f>
        <v/>
      </c>
      <c r="T13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01" s="13" t="str">
        <f>IF(tblSalaries[[#This Row],[Job Type]]=tblSalaries[[#Headers],[Accountant]],tblSalaries[[#This Row],[Salary in USD]],"")</f>
        <v/>
      </c>
      <c r="V1301" s="13" t="str">
        <f>IF(tblSalaries[[#This Row],[Job Type]]=tblSalaries[[#Headers],[Analyst]],tblSalaries[[#This Row],[Salary in USD]],"")</f>
        <v/>
      </c>
      <c r="W1301" s="13" t="str">
        <f>IF(tblSalaries[[#This Row],[Job Type]]=tblSalaries[[#Headers],[Consultant]],tblSalaries[[#This Row],[Salary in USD]],"")</f>
        <v/>
      </c>
      <c r="X1301" s="13" t="str">
        <f>IF(tblSalaries[[#This Row],[Job Type]]=tblSalaries[[#Headers],[Controller]],tblSalaries[[#This Row],[Salary in USD]],"")</f>
        <v/>
      </c>
      <c r="Y1301" s="13" t="str">
        <f>IF(tblSalaries[[#This Row],[Job Type]]=tblSalaries[[#Headers],[CXO or Top Mgmt.]],tblSalaries[[#This Row],[clean Salary (in local currency)]],"")</f>
        <v/>
      </c>
      <c r="Z1301" s="13" t="str">
        <f>IF(tblSalaries[[#This Row],[Job Type]]=tblSalaries[[#Headers],[Engineer]],tblSalaries[[#This Row],[Salary in USD]],"")</f>
        <v/>
      </c>
      <c r="AA1301" s="13">
        <f>IF(tblSalaries[[#This Row],[Job Type]]=tblSalaries[[#Headers],[Manager]],tblSalaries[[#This Row],[Salary in USD]],"")</f>
        <v>11753.225013712095</v>
      </c>
      <c r="AB1301" s="13" t="str">
        <f>IF(tblSalaries[[#This Row],[Job Type]]=tblSalaries[[#Headers],[Misc.]],tblSalaries[[#This Row],[Salary in USD]],"")</f>
        <v/>
      </c>
      <c r="AC1301" s="13" t="str">
        <f>IF(tblSalaries[[#This Row],[Job Type]]=tblSalaries[[#Headers],[Reporting]],tblSalaries[[#This Row],[Salary in USD]],"")</f>
        <v/>
      </c>
      <c r="AD1301" s="13" t="str">
        <f>IF(tblSalaries[[#This Row],[Job Type]]=tblSalaries[[#Headers],[Specialist]],tblSalaries[[#This Row],[Salary in USD]],"")</f>
        <v/>
      </c>
    </row>
    <row r="1302" spans="2:30" ht="15" customHeight="1" x14ac:dyDescent="0.25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 s="9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3999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  <c r="N1302">
        <f>IF(tblSalaries[[#This Row],[Years of Experience]]="","",IF(tblSalaries[[#This Row],[Years of Experience]]&lt;=2,1,""))</f>
        <v>1</v>
      </c>
      <c r="O1302" t="str">
        <f>IF(tblSalaries[[#This Row],[Years of Experience]]="","",IF(AND(tblSalaries[[#This Row],[Years of Experience]]&gt;2,tblSalaries[[#This Row],[Years of Experience]]&lt;=5),1,""))</f>
        <v/>
      </c>
      <c r="P1302" t="str">
        <f>IF(tblSalaries[[#This Row],[Years of Experience]]="","",IF(AND(tblSalaries[[#This Row],[Years of Experience]]&gt;5,tblSalaries[[#This Row],[Years of Experience]]&lt;=10),1,""))</f>
        <v/>
      </c>
      <c r="Q1302" t="str">
        <f>IF(tblSalaries[[#This Row],[Years of Experience]]="","",IF(AND(tblSalaries[[#This Row],[Years of Experience]]&gt;10,tblSalaries[[#This Row],[Years of Experience]]&lt;=15),1,""))</f>
        <v/>
      </c>
      <c r="R1302" t="str">
        <f>IF(tblSalaries[[#This Row],[Years of Experience]]="","",IF(AND(tblSalaries[[#This Row],[Years of Experience]]&gt;16,tblSalaries[[#This Row],[Years of Experience]]&lt;=20),1,""))</f>
        <v/>
      </c>
      <c r="S1302" t="str">
        <f>IF(tblSalaries[[#This Row],[Years of Experience]]="","",IF(tblSalaries[[#This Row],[Years of Experience]]&gt;20,1,""))</f>
        <v/>
      </c>
      <c r="T13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02" s="13" t="str">
        <f>IF(tblSalaries[[#This Row],[Job Type]]=tblSalaries[[#Headers],[Accountant]],tblSalaries[[#This Row],[Salary in USD]],"")</f>
        <v/>
      </c>
      <c r="V1302" s="13" t="str">
        <f>IF(tblSalaries[[#This Row],[Job Type]]=tblSalaries[[#Headers],[Analyst]],tblSalaries[[#This Row],[Salary in USD]],"")</f>
        <v/>
      </c>
      <c r="W1302" s="13" t="str">
        <f>IF(tblSalaries[[#This Row],[Job Type]]=tblSalaries[[#Headers],[Consultant]],tblSalaries[[#This Row],[Salary in USD]],"")</f>
        <v/>
      </c>
      <c r="X1302" s="13" t="str">
        <f>IF(tblSalaries[[#This Row],[Job Type]]=tblSalaries[[#Headers],[Controller]],tblSalaries[[#This Row],[Salary in USD]],"")</f>
        <v/>
      </c>
      <c r="Y1302" s="13" t="str">
        <f>IF(tblSalaries[[#This Row],[Job Type]]=tblSalaries[[#Headers],[CXO or Top Mgmt.]],tblSalaries[[#This Row],[clean Salary (in local currency)]],"")</f>
        <v/>
      </c>
      <c r="Z1302" s="13" t="str">
        <f>IF(tblSalaries[[#This Row],[Job Type]]=tblSalaries[[#Headers],[Engineer]],tblSalaries[[#This Row],[Salary in USD]],"")</f>
        <v/>
      </c>
      <c r="AA1302" s="13" t="str">
        <f>IF(tblSalaries[[#This Row],[Job Type]]=tblSalaries[[#Headers],[Manager]],tblSalaries[[#This Row],[Salary in USD]],"")</f>
        <v/>
      </c>
      <c r="AB1302" s="13" t="str">
        <f>IF(tblSalaries[[#This Row],[Job Type]]=tblSalaries[[#Headers],[Misc.]],tblSalaries[[#This Row],[Salary in USD]],"")</f>
        <v/>
      </c>
      <c r="AC1302" s="13">
        <f>IF(tblSalaries[[#This Row],[Job Type]]=tblSalaries[[#Headers],[Reporting]],tblSalaries[[#This Row],[Salary in USD]],"")</f>
        <v>3632.815004238284</v>
      </c>
      <c r="AD1302" s="13" t="str">
        <f>IF(tblSalaries[[#This Row],[Job Type]]=tblSalaries[[#Headers],[Specialist]],tblSalaries[[#This Row],[Salary in USD]],"")</f>
        <v/>
      </c>
    </row>
    <row r="1303" spans="2:30" ht="15" customHeight="1" x14ac:dyDescent="0.25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 s="9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  <c r="N1303" t="str">
        <f>IF(tblSalaries[[#This Row],[Years of Experience]]="","",IF(tblSalaries[[#This Row],[Years of Experience]]&lt;=2,1,""))</f>
        <v/>
      </c>
      <c r="O1303" t="str">
        <f>IF(tblSalaries[[#This Row],[Years of Experience]]="","",IF(AND(tblSalaries[[#This Row],[Years of Experience]]&gt;2,tblSalaries[[#This Row],[Years of Experience]]&lt;=5),1,""))</f>
        <v/>
      </c>
      <c r="P1303" t="str">
        <f>IF(tblSalaries[[#This Row],[Years of Experience]]="","",IF(AND(tblSalaries[[#This Row],[Years of Experience]]&gt;5,tblSalaries[[#This Row],[Years of Experience]]&lt;=10),1,""))</f>
        <v/>
      </c>
      <c r="Q1303" t="str">
        <f>IF(tblSalaries[[#This Row],[Years of Experience]]="","",IF(AND(tblSalaries[[#This Row],[Years of Experience]]&gt;10,tblSalaries[[#This Row],[Years of Experience]]&lt;=15),1,""))</f>
        <v/>
      </c>
      <c r="R1303" t="str">
        <f>IF(tblSalaries[[#This Row],[Years of Experience]]="","",IF(AND(tblSalaries[[#This Row],[Years of Experience]]&gt;16,tblSalaries[[#This Row],[Years of Experience]]&lt;=20),1,""))</f>
        <v/>
      </c>
      <c r="S1303" t="str">
        <f>IF(tblSalaries[[#This Row],[Years of Experience]]="","",IF(tblSalaries[[#This Row],[Years of Experience]]&gt;20,1,""))</f>
        <v/>
      </c>
      <c r="T13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03" s="13" t="str">
        <f>IF(tblSalaries[[#This Row],[Job Type]]=tblSalaries[[#Headers],[Accountant]],tblSalaries[[#This Row],[Salary in USD]],"")</f>
        <v/>
      </c>
      <c r="V1303" s="13">
        <f>IF(tblSalaries[[#This Row],[Job Type]]=tblSalaries[[#Headers],[Analyst]],tblSalaries[[#This Row],[Salary in USD]],"")</f>
        <v>95279.957924370581</v>
      </c>
      <c r="W1303" s="13" t="str">
        <f>IF(tblSalaries[[#This Row],[Job Type]]=tblSalaries[[#Headers],[Consultant]],tblSalaries[[#This Row],[Salary in USD]],"")</f>
        <v/>
      </c>
      <c r="X1303" s="13" t="str">
        <f>IF(tblSalaries[[#This Row],[Job Type]]=tblSalaries[[#Headers],[Controller]],tblSalaries[[#This Row],[Salary in USD]],"")</f>
        <v/>
      </c>
      <c r="Y1303" s="13" t="str">
        <f>IF(tblSalaries[[#This Row],[Job Type]]=tblSalaries[[#Headers],[CXO or Top Mgmt.]],tblSalaries[[#This Row],[clean Salary (in local currency)]],"")</f>
        <v/>
      </c>
      <c r="Z1303" s="13" t="str">
        <f>IF(tblSalaries[[#This Row],[Job Type]]=tblSalaries[[#Headers],[Engineer]],tblSalaries[[#This Row],[Salary in USD]],"")</f>
        <v/>
      </c>
      <c r="AA1303" s="13" t="str">
        <f>IF(tblSalaries[[#This Row],[Job Type]]=tblSalaries[[#Headers],[Manager]],tblSalaries[[#This Row],[Salary in USD]],"")</f>
        <v/>
      </c>
      <c r="AB1303" s="13" t="str">
        <f>IF(tblSalaries[[#This Row],[Job Type]]=tblSalaries[[#Headers],[Misc.]],tblSalaries[[#This Row],[Salary in USD]],"")</f>
        <v/>
      </c>
      <c r="AC1303" s="13" t="str">
        <f>IF(tblSalaries[[#This Row],[Job Type]]=tblSalaries[[#Headers],[Reporting]],tblSalaries[[#This Row],[Salary in USD]],"")</f>
        <v/>
      </c>
      <c r="AD1303" s="13" t="str">
        <f>IF(tblSalaries[[#This Row],[Job Type]]=tblSalaries[[#Headers],[Specialist]],tblSalaries[[#This Row],[Salary in USD]],"")</f>
        <v/>
      </c>
    </row>
    <row r="1304" spans="2:30" ht="15" customHeight="1" x14ac:dyDescent="0.25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 s="9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  <c r="N1304" t="str">
        <f>IF(tblSalaries[[#This Row],[Years of Experience]]="","",IF(tblSalaries[[#This Row],[Years of Experience]]&lt;=2,1,""))</f>
        <v/>
      </c>
      <c r="O1304">
        <f>IF(tblSalaries[[#This Row],[Years of Experience]]="","",IF(AND(tblSalaries[[#This Row],[Years of Experience]]&gt;2,tblSalaries[[#This Row],[Years of Experience]]&lt;=5),1,""))</f>
        <v>1</v>
      </c>
      <c r="P1304" t="str">
        <f>IF(tblSalaries[[#This Row],[Years of Experience]]="","",IF(AND(tblSalaries[[#This Row],[Years of Experience]]&gt;5,tblSalaries[[#This Row],[Years of Experience]]&lt;=10),1,""))</f>
        <v/>
      </c>
      <c r="Q1304" t="str">
        <f>IF(tblSalaries[[#This Row],[Years of Experience]]="","",IF(AND(tblSalaries[[#This Row],[Years of Experience]]&gt;10,tblSalaries[[#This Row],[Years of Experience]]&lt;=15),1,""))</f>
        <v/>
      </c>
      <c r="R1304" t="str">
        <f>IF(tblSalaries[[#This Row],[Years of Experience]]="","",IF(AND(tblSalaries[[#This Row],[Years of Experience]]&gt;16,tblSalaries[[#This Row],[Years of Experience]]&lt;=20),1,""))</f>
        <v/>
      </c>
      <c r="S1304" t="str">
        <f>IF(tblSalaries[[#This Row],[Years of Experience]]="","",IF(tblSalaries[[#This Row],[Years of Experience]]&gt;20,1,""))</f>
        <v/>
      </c>
      <c r="T13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04" s="13" t="str">
        <f>IF(tblSalaries[[#This Row],[Job Type]]=tblSalaries[[#Headers],[Accountant]],tblSalaries[[#This Row],[Salary in USD]],"")</f>
        <v/>
      </c>
      <c r="V1304" s="13" t="str">
        <f>IF(tblSalaries[[#This Row],[Job Type]]=tblSalaries[[#Headers],[Analyst]],tblSalaries[[#This Row],[Salary in USD]],"")</f>
        <v/>
      </c>
      <c r="W1304" s="13">
        <f>IF(tblSalaries[[#This Row],[Job Type]]=tblSalaries[[#Headers],[Consultant]],tblSalaries[[#This Row],[Salary in USD]],"")</f>
        <v>70928.022243027779</v>
      </c>
      <c r="X1304" s="13" t="str">
        <f>IF(tblSalaries[[#This Row],[Job Type]]=tblSalaries[[#Headers],[Controller]],tblSalaries[[#This Row],[Salary in USD]],"")</f>
        <v/>
      </c>
      <c r="Y1304" s="13" t="str">
        <f>IF(tblSalaries[[#This Row],[Job Type]]=tblSalaries[[#Headers],[CXO or Top Mgmt.]],tblSalaries[[#This Row],[clean Salary (in local currency)]],"")</f>
        <v/>
      </c>
      <c r="Z1304" s="13" t="str">
        <f>IF(tblSalaries[[#This Row],[Job Type]]=tblSalaries[[#Headers],[Engineer]],tblSalaries[[#This Row],[Salary in USD]],"")</f>
        <v/>
      </c>
      <c r="AA1304" s="13" t="str">
        <f>IF(tblSalaries[[#This Row],[Job Type]]=tblSalaries[[#Headers],[Manager]],tblSalaries[[#This Row],[Salary in USD]],"")</f>
        <v/>
      </c>
      <c r="AB1304" s="13" t="str">
        <f>IF(tblSalaries[[#This Row],[Job Type]]=tblSalaries[[#Headers],[Misc.]],tblSalaries[[#This Row],[Salary in USD]],"")</f>
        <v/>
      </c>
      <c r="AC1304" s="13" t="str">
        <f>IF(tblSalaries[[#This Row],[Job Type]]=tblSalaries[[#Headers],[Reporting]],tblSalaries[[#This Row],[Salary in USD]],"")</f>
        <v/>
      </c>
      <c r="AD1304" s="13" t="str">
        <f>IF(tblSalaries[[#This Row],[Job Type]]=tblSalaries[[#Headers],[Specialist]],tblSalaries[[#This Row],[Salary in USD]],"")</f>
        <v/>
      </c>
    </row>
    <row r="1305" spans="2:30" ht="15" customHeight="1" x14ac:dyDescent="0.25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 s="9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  <c r="N1305" t="str">
        <f>IF(tblSalaries[[#This Row],[Years of Experience]]="","",IF(tblSalaries[[#This Row],[Years of Experience]]&lt;=2,1,""))</f>
        <v/>
      </c>
      <c r="O1305" t="str">
        <f>IF(tblSalaries[[#This Row],[Years of Experience]]="","",IF(AND(tblSalaries[[#This Row],[Years of Experience]]&gt;2,tblSalaries[[#This Row],[Years of Experience]]&lt;=5),1,""))</f>
        <v/>
      </c>
      <c r="P1305" t="str">
        <f>IF(tblSalaries[[#This Row],[Years of Experience]]="","",IF(AND(tblSalaries[[#This Row],[Years of Experience]]&gt;5,tblSalaries[[#This Row],[Years of Experience]]&lt;=10),1,""))</f>
        <v/>
      </c>
      <c r="Q1305">
        <f>IF(tblSalaries[[#This Row],[Years of Experience]]="","",IF(AND(tblSalaries[[#This Row],[Years of Experience]]&gt;10,tblSalaries[[#This Row],[Years of Experience]]&lt;=15),1,""))</f>
        <v>1</v>
      </c>
      <c r="R1305" t="str">
        <f>IF(tblSalaries[[#This Row],[Years of Experience]]="","",IF(AND(tblSalaries[[#This Row],[Years of Experience]]&gt;16,tblSalaries[[#This Row],[Years of Experience]]&lt;=20),1,""))</f>
        <v/>
      </c>
      <c r="S1305" t="str">
        <f>IF(tblSalaries[[#This Row],[Years of Experience]]="","",IF(tblSalaries[[#This Row],[Years of Experience]]&gt;20,1,""))</f>
        <v/>
      </c>
      <c r="T13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05" s="13" t="str">
        <f>IF(tblSalaries[[#This Row],[Job Type]]=tblSalaries[[#Headers],[Accountant]],tblSalaries[[#This Row],[Salary in USD]],"")</f>
        <v/>
      </c>
      <c r="V1305" s="13" t="str">
        <f>IF(tblSalaries[[#This Row],[Job Type]]=tblSalaries[[#Headers],[Analyst]],tblSalaries[[#This Row],[Salary in USD]],"")</f>
        <v/>
      </c>
      <c r="W1305" s="13" t="str">
        <f>IF(tblSalaries[[#This Row],[Job Type]]=tblSalaries[[#Headers],[Consultant]],tblSalaries[[#This Row],[Salary in USD]],"")</f>
        <v/>
      </c>
      <c r="X1305" s="13" t="str">
        <f>IF(tblSalaries[[#This Row],[Job Type]]=tblSalaries[[#Headers],[Controller]],tblSalaries[[#This Row],[Salary in USD]],"")</f>
        <v/>
      </c>
      <c r="Y1305" s="13" t="str">
        <f>IF(tblSalaries[[#This Row],[Job Type]]=tblSalaries[[#Headers],[CXO or Top Mgmt.]],tblSalaries[[#This Row],[clean Salary (in local currency)]],"")</f>
        <v/>
      </c>
      <c r="Z1305" s="13">
        <f>IF(tblSalaries[[#This Row],[Job Type]]=tblSalaries[[#Headers],[Engineer]],tblSalaries[[#This Row],[Salary in USD]],"")</f>
        <v>52086.37699865592</v>
      </c>
      <c r="AA1305" s="13" t="str">
        <f>IF(tblSalaries[[#This Row],[Job Type]]=tblSalaries[[#Headers],[Manager]],tblSalaries[[#This Row],[Salary in USD]],"")</f>
        <v/>
      </c>
      <c r="AB1305" s="13" t="str">
        <f>IF(tblSalaries[[#This Row],[Job Type]]=tblSalaries[[#Headers],[Misc.]],tblSalaries[[#This Row],[Salary in USD]],"")</f>
        <v/>
      </c>
      <c r="AC1305" s="13" t="str">
        <f>IF(tblSalaries[[#This Row],[Job Type]]=tblSalaries[[#Headers],[Reporting]],tblSalaries[[#This Row],[Salary in USD]],"")</f>
        <v/>
      </c>
      <c r="AD1305" s="13" t="str">
        <f>IF(tblSalaries[[#This Row],[Job Type]]=tblSalaries[[#Headers],[Specialist]],tblSalaries[[#This Row],[Salary in USD]],"")</f>
        <v/>
      </c>
    </row>
    <row r="1306" spans="2:30" ht="15" customHeight="1" x14ac:dyDescent="0.25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 s="9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  <c r="N1306" t="str">
        <f>IF(tblSalaries[[#This Row],[Years of Experience]]="","",IF(tblSalaries[[#This Row],[Years of Experience]]&lt;=2,1,""))</f>
        <v/>
      </c>
      <c r="O1306">
        <f>IF(tblSalaries[[#This Row],[Years of Experience]]="","",IF(AND(tblSalaries[[#This Row],[Years of Experience]]&gt;2,tblSalaries[[#This Row],[Years of Experience]]&lt;=5),1,""))</f>
        <v>1</v>
      </c>
      <c r="P1306" t="str">
        <f>IF(tblSalaries[[#This Row],[Years of Experience]]="","",IF(AND(tblSalaries[[#This Row],[Years of Experience]]&gt;5,tblSalaries[[#This Row],[Years of Experience]]&lt;=10),1,""))</f>
        <v/>
      </c>
      <c r="Q1306" t="str">
        <f>IF(tblSalaries[[#This Row],[Years of Experience]]="","",IF(AND(tblSalaries[[#This Row],[Years of Experience]]&gt;10,tblSalaries[[#This Row],[Years of Experience]]&lt;=15),1,""))</f>
        <v/>
      </c>
      <c r="R1306" t="str">
        <f>IF(tblSalaries[[#This Row],[Years of Experience]]="","",IF(AND(tblSalaries[[#This Row],[Years of Experience]]&gt;16,tblSalaries[[#This Row],[Years of Experience]]&lt;=20),1,""))</f>
        <v/>
      </c>
      <c r="S1306" t="str">
        <f>IF(tblSalaries[[#This Row],[Years of Experience]]="","",IF(tblSalaries[[#This Row],[Years of Experience]]&gt;20,1,""))</f>
        <v/>
      </c>
      <c r="T13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06" s="13" t="str">
        <f>IF(tblSalaries[[#This Row],[Job Type]]=tblSalaries[[#Headers],[Accountant]],tblSalaries[[#This Row],[Salary in USD]],"")</f>
        <v/>
      </c>
      <c r="V1306" s="13" t="str">
        <f>IF(tblSalaries[[#This Row],[Job Type]]=tblSalaries[[#Headers],[Analyst]],tblSalaries[[#This Row],[Salary in USD]],"")</f>
        <v/>
      </c>
      <c r="W1306" s="13" t="str">
        <f>IF(tblSalaries[[#This Row],[Job Type]]=tblSalaries[[#Headers],[Consultant]],tblSalaries[[#This Row],[Salary in USD]],"")</f>
        <v/>
      </c>
      <c r="X1306" s="13" t="str">
        <f>IF(tblSalaries[[#This Row],[Job Type]]=tblSalaries[[#Headers],[Controller]],tblSalaries[[#This Row],[Salary in USD]],"")</f>
        <v/>
      </c>
      <c r="Y1306" s="13" t="str">
        <f>IF(tblSalaries[[#This Row],[Job Type]]=tblSalaries[[#Headers],[CXO or Top Mgmt.]],tblSalaries[[#This Row],[clean Salary (in local currency)]],"")</f>
        <v/>
      </c>
      <c r="Z1306" s="13" t="str">
        <f>IF(tblSalaries[[#This Row],[Job Type]]=tblSalaries[[#Headers],[Engineer]],tblSalaries[[#This Row],[Salary in USD]],"")</f>
        <v/>
      </c>
      <c r="AA1306" s="13">
        <f>IF(tblSalaries[[#This Row],[Job Type]]=tblSalaries[[#Headers],[Manager]],tblSalaries[[#This Row],[Salary in USD]],"")</f>
        <v>4897.177089046706</v>
      </c>
      <c r="AB1306" s="13" t="str">
        <f>IF(tblSalaries[[#This Row],[Job Type]]=tblSalaries[[#Headers],[Misc.]],tblSalaries[[#This Row],[Salary in USD]],"")</f>
        <v/>
      </c>
      <c r="AC1306" s="13" t="str">
        <f>IF(tblSalaries[[#This Row],[Job Type]]=tblSalaries[[#Headers],[Reporting]],tblSalaries[[#This Row],[Salary in USD]],"")</f>
        <v/>
      </c>
      <c r="AD1306" s="13" t="str">
        <f>IF(tblSalaries[[#This Row],[Job Type]]=tblSalaries[[#Headers],[Specialist]],tblSalaries[[#This Row],[Salary in USD]],"")</f>
        <v/>
      </c>
    </row>
    <row r="1307" spans="2:30" ht="15" customHeight="1" x14ac:dyDescent="0.25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 s="9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  <c r="N1307" t="str">
        <f>IF(tblSalaries[[#This Row],[Years of Experience]]="","",IF(tblSalaries[[#This Row],[Years of Experience]]&lt;=2,1,""))</f>
        <v/>
      </c>
      <c r="O1307" t="str">
        <f>IF(tblSalaries[[#This Row],[Years of Experience]]="","",IF(AND(tblSalaries[[#This Row],[Years of Experience]]&gt;2,tblSalaries[[#This Row],[Years of Experience]]&lt;=5),1,""))</f>
        <v/>
      </c>
      <c r="P1307" t="str">
        <f>IF(tblSalaries[[#This Row],[Years of Experience]]="","",IF(AND(tblSalaries[[#This Row],[Years of Experience]]&gt;5,tblSalaries[[#This Row],[Years of Experience]]&lt;=10),1,""))</f>
        <v/>
      </c>
      <c r="Q1307">
        <f>IF(tblSalaries[[#This Row],[Years of Experience]]="","",IF(AND(tblSalaries[[#This Row],[Years of Experience]]&gt;10,tblSalaries[[#This Row],[Years of Experience]]&lt;=15),1,""))</f>
        <v>1</v>
      </c>
      <c r="R1307" t="str">
        <f>IF(tblSalaries[[#This Row],[Years of Experience]]="","",IF(AND(tblSalaries[[#This Row],[Years of Experience]]&gt;16,tblSalaries[[#This Row],[Years of Experience]]&lt;=20),1,""))</f>
        <v/>
      </c>
      <c r="S1307" t="str">
        <f>IF(tblSalaries[[#This Row],[Years of Experience]]="","",IF(tblSalaries[[#This Row],[Years of Experience]]&gt;20,1,""))</f>
        <v/>
      </c>
      <c r="T13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07" s="13">
        <f>IF(tblSalaries[[#This Row],[Job Type]]=tblSalaries[[#Headers],[Accountant]],tblSalaries[[#This Row],[Salary in USD]],"")</f>
        <v>63807.047488395103</v>
      </c>
      <c r="V1307" s="13" t="str">
        <f>IF(tblSalaries[[#This Row],[Job Type]]=tblSalaries[[#Headers],[Analyst]],tblSalaries[[#This Row],[Salary in USD]],"")</f>
        <v/>
      </c>
      <c r="W1307" s="13" t="str">
        <f>IF(tblSalaries[[#This Row],[Job Type]]=tblSalaries[[#Headers],[Consultant]],tblSalaries[[#This Row],[Salary in USD]],"")</f>
        <v/>
      </c>
      <c r="X1307" s="13" t="str">
        <f>IF(tblSalaries[[#This Row],[Job Type]]=tblSalaries[[#Headers],[Controller]],tblSalaries[[#This Row],[Salary in USD]],"")</f>
        <v/>
      </c>
      <c r="Y1307" s="13" t="str">
        <f>IF(tblSalaries[[#This Row],[Job Type]]=tblSalaries[[#Headers],[CXO or Top Mgmt.]],tblSalaries[[#This Row],[clean Salary (in local currency)]],"")</f>
        <v/>
      </c>
      <c r="Z1307" s="13" t="str">
        <f>IF(tblSalaries[[#This Row],[Job Type]]=tblSalaries[[#Headers],[Engineer]],tblSalaries[[#This Row],[Salary in USD]],"")</f>
        <v/>
      </c>
      <c r="AA1307" s="13" t="str">
        <f>IF(tblSalaries[[#This Row],[Job Type]]=tblSalaries[[#Headers],[Manager]],tblSalaries[[#This Row],[Salary in USD]],"")</f>
        <v/>
      </c>
      <c r="AB1307" s="13" t="str">
        <f>IF(tblSalaries[[#This Row],[Job Type]]=tblSalaries[[#Headers],[Misc.]],tblSalaries[[#This Row],[Salary in USD]],"")</f>
        <v/>
      </c>
      <c r="AC1307" s="13" t="str">
        <f>IF(tblSalaries[[#This Row],[Job Type]]=tblSalaries[[#Headers],[Reporting]],tblSalaries[[#This Row],[Salary in USD]],"")</f>
        <v/>
      </c>
      <c r="AD1307" s="13" t="str">
        <f>IF(tblSalaries[[#This Row],[Job Type]]=tblSalaries[[#Headers],[Specialist]],tblSalaries[[#This Row],[Salary in USD]],"")</f>
        <v/>
      </c>
    </row>
    <row r="1308" spans="2:30" ht="15" customHeight="1" x14ac:dyDescent="0.25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 s="9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  <c r="N1308" t="str">
        <f>IF(tblSalaries[[#This Row],[Years of Experience]]="","",IF(tblSalaries[[#This Row],[Years of Experience]]&lt;=2,1,""))</f>
        <v/>
      </c>
      <c r="O1308">
        <f>IF(tblSalaries[[#This Row],[Years of Experience]]="","",IF(AND(tblSalaries[[#This Row],[Years of Experience]]&gt;2,tblSalaries[[#This Row],[Years of Experience]]&lt;=5),1,""))</f>
        <v>1</v>
      </c>
      <c r="P1308" t="str">
        <f>IF(tblSalaries[[#This Row],[Years of Experience]]="","",IF(AND(tblSalaries[[#This Row],[Years of Experience]]&gt;5,tblSalaries[[#This Row],[Years of Experience]]&lt;=10),1,""))</f>
        <v/>
      </c>
      <c r="Q1308" t="str">
        <f>IF(tblSalaries[[#This Row],[Years of Experience]]="","",IF(AND(tblSalaries[[#This Row],[Years of Experience]]&gt;10,tblSalaries[[#This Row],[Years of Experience]]&lt;=15),1,""))</f>
        <v/>
      </c>
      <c r="R1308" t="str">
        <f>IF(tblSalaries[[#This Row],[Years of Experience]]="","",IF(AND(tblSalaries[[#This Row],[Years of Experience]]&gt;16,tblSalaries[[#This Row],[Years of Experience]]&lt;=20),1,""))</f>
        <v/>
      </c>
      <c r="S1308" t="str">
        <f>IF(tblSalaries[[#This Row],[Years of Experience]]="","",IF(tblSalaries[[#This Row],[Years of Experience]]&gt;20,1,""))</f>
        <v/>
      </c>
      <c r="T13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08" s="13" t="str">
        <f>IF(tblSalaries[[#This Row],[Job Type]]=tblSalaries[[#Headers],[Accountant]],tblSalaries[[#This Row],[Salary in USD]],"")</f>
        <v/>
      </c>
      <c r="V1308" s="13" t="str">
        <f>IF(tblSalaries[[#This Row],[Job Type]]=tblSalaries[[#Headers],[Analyst]],tblSalaries[[#This Row],[Salary in USD]],"")</f>
        <v/>
      </c>
      <c r="W1308" s="13" t="str">
        <f>IF(tblSalaries[[#This Row],[Job Type]]=tblSalaries[[#Headers],[Consultant]],tblSalaries[[#This Row],[Salary in USD]],"")</f>
        <v/>
      </c>
      <c r="X1308" s="13" t="str">
        <f>IF(tblSalaries[[#This Row],[Job Type]]=tblSalaries[[#Headers],[Controller]],tblSalaries[[#This Row],[Salary in USD]],"")</f>
        <v/>
      </c>
      <c r="Y1308" s="13" t="str">
        <f>IF(tblSalaries[[#This Row],[Job Type]]=tblSalaries[[#Headers],[CXO or Top Mgmt.]],tblSalaries[[#This Row],[clean Salary (in local currency)]],"")</f>
        <v/>
      </c>
      <c r="Z1308" s="13" t="str">
        <f>IF(tblSalaries[[#This Row],[Job Type]]=tblSalaries[[#Headers],[Engineer]],tblSalaries[[#This Row],[Salary in USD]],"")</f>
        <v/>
      </c>
      <c r="AA1308" s="13">
        <f>IF(tblSalaries[[#This Row],[Job Type]]=tblSalaries[[#Headers],[Manager]],tblSalaries[[#This Row],[Salary in USD]],"")</f>
        <v>24000</v>
      </c>
      <c r="AB1308" s="13" t="str">
        <f>IF(tblSalaries[[#This Row],[Job Type]]=tblSalaries[[#Headers],[Misc.]],tblSalaries[[#This Row],[Salary in USD]],"")</f>
        <v/>
      </c>
      <c r="AC1308" s="13" t="str">
        <f>IF(tblSalaries[[#This Row],[Job Type]]=tblSalaries[[#Headers],[Reporting]],tblSalaries[[#This Row],[Salary in USD]],"")</f>
        <v/>
      </c>
      <c r="AD1308" s="13" t="str">
        <f>IF(tblSalaries[[#This Row],[Job Type]]=tblSalaries[[#Headers],[Specialist]],tblSalaries[[#This Row],[Salary in USD]],"")</f>
        <v/>
      </c>
    </row>
    <row r="1309" spans="2:30" ht="15" customHeight="1" x14ac:dyDescent="0.25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 s="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  <c r="N1309" t="str">
        <f>IF(tblSalaries[[#This Row],[Years of Experience]]="","",IF(tblSalaries[[#This Row],[Years of Experience]]&lt;=2,1,""))</f>
        <v/>
      </c>
      <c r="O1309" t="str">
        <f>IF(tblSalaries[[#This Row],[Years of Experience]]="","",IF(AND(tblSalaries[[#This Row],[Years of Experience]]&gt;2,tblSalaries[[#This Row],[Years of Experience]]&lt;=5),1,""))</f>
        <v/>
      </c>
      <c r="P1309" t="str">
        <f>IF(tblSalaries[[#This Row],[Years of Experience]]="","",IF(AND(tblSalaries[[#This Row],[Years of Experience]]&gt;5,tblSalaries[[#This Row],[Years of Experience]]&lt;=10),1,""))</f>
        <v/>
      </c>
      <c r="Q1309" t="str">
        <f>IF(tblSalaries[[#This Row],[Years of Experience]]="","",IF(AND(tblSalaries[[#This Row],[Years of Experience]]&gt;10,tblSalaries[[#This Row],[Years of Experience]]&lt;=15),1,""))</f>
        <v/>
      </c>
      <c r="R1309">
        <f>IF(tblSalaries[[#This Row],[Years of Experience]]="","",IF(AND(tblSalaries[[#This Row],[Years of Experience]]&gt;16,tblSalaries[[#This Row],[Years of Experience]]&lt;=20),1,""))</f>
        <v>1</v>
      </c>
      <c r="S1309" t="str">
        <f>IF(tblSalaries[[#This Row],[Years of Experience]]="","",IF(tblSalaries[[#This Row],[Years of Experience]]&gt;20,1,""))</f>
        <v/>
      </c>
      <c r="T13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09" s="13" t="str">
        <f>IF(tblSalaries[[#This Row],[Job Type]]=tblSalaries[[#Headers],[Accountant]],tblSalaries[[#This Row],[Salary in USD]],"")</f>
        <v/>
      </c>
      <c r="V1309" s="13" t="str">
        <f>IF(tblSalaries[[#This Row],[Job Type]]=tblSalaries[[#Headers],[Analyst]],tblSalaries[[#This Row],[Salary in USD]],"")</f>
        <v/>
      </c>
      <c r="W1309" s="13" t="str">
        <f>IF(tblSalaries[[#This Row],[Job Type]]=tblSalaries[[#Headers],[Consultant]],tblSalaries[[#This Row],[Salary in USD]],"")</f>
        <v/>
      </c>
      <c r="X1309" s="13" t="str">
        <f>IF(tblSalaries[[#This Row],[Job Type]]=tblSalaries[[#Headers],[Controller]],tblSalaries[[#This Row],[Salary in USD]],"")</f>
        <v/>
      </c>
      <c r="Y1309" s="13" t="str">
        <f>IF(tblSalaries[[#This Row],[Job Type]]=tblSalaries[[#Headers],[CXO or Top Mgmt.]],tblSalaries[[#This Row],[clean Salary (in local currency)]],"")</f>
        <v/>
      </c>
      <c r="Z1309" s="13" t="str">
        <f>IF(tblSalaries[[#This Row],[Job Type]]=tblSalaries[[#Headers],[Engineer]],tblSalaries[[#This Row],[Salary in USD]],"")</f>
        <v/>
      </c>
      <c r="AA1309" s="13">
        <f>IF(tblSalaries[[#This Row],[Job Type]]=tblSalaries[[#Headers],[Manager]],tblSalaries[[#This Row],[Salary in USD]],"")</f>
        <v>60000</v>
      </c>
      <c r="AB1309" s="13" t="str">
        <f>IF(tblSalaries[[#This Row],[Job Type]]=tblSalaries[[#Headers],[Misc.]],tblSalaries[[#This Row],[Salary in USD]],"")</f>
        <v/>
      </c>
      <c r="AC1309" s="13" t="str">
        <f>IF(tblSalaries[[#This Row],[Job Type]]=tblSalaries[[#Headers],[Reporting]],tblSalaries[[#This Row],[Salary in USD]],"")</f>
        <v/>
      </c>
      <c r="AD1309" s="13" t="str">
        <f>IF(tblSalaries[[#This Row],[Job Type]]=tblSalaries[[#Headers],[Specialist]],tblSalaries[[#This Row],[Salary in USD]],"")</f>
        <v/>
      </c>
    </row>
    <row r="1310" spans="2:30" ht="15" customHeight="1" x14ac:dyDescent="0.25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 s="9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  <c r="N1310" t="str">
        <f>IF(tblSalaries[[#This Row],[Years of Experience]]="","",IF(tblSalaries[[#This Row],[Years of Experience]]&lt;=2,1,""))</f>
        <v/>
      </c>
      <c r="O1310">
        <f>IF(tblSalaries[[#This Row],[Years of Experience]]="","",IF(AND(tblSalaries[[#This Row],[Years of Experience]]&gt;2,tblSalaries[[#This Row],[Years of Experience]]&lt;=5),1,""))</f>
        <v>1</v>
      </c>
      <c r="P1310" t="str">
        <f>IF(tblSalaries[[#This Row],[Years of Experience]]="","",IF(AND(tblSalaries[[#This Row],[Years of Experience]]&gt;5,tblSalaries[[#This Row],[Years of Experience]]&lt;=10),1,""))</f>
        <v/>
      </c>
      <c r="Q1310" t="str">
        <f>IF(tblSalaries[[#This Row],[Years of Experience]]="","",IF(AND(tblSalaries[[#This Row],[Years of Experience]]&gt;10,tblSalaries[[#This Row],[Years of Experience]]&lt;=15),1,""))</f>
        <v/>
      </c>
      <c r="R1310" t="str">
        <f>IF(tblSalaries[[#This Row],[Years of Experience]]="","",IF(AND(tblSalaries[[#This Row],[Years of Experience]]&gt;16,tblSalaries[[#This Row],[Years of Experience]]&lt;=20),1,""))</f>
        <v/>
      </c>
      <c r="S1310" t="str">
        <f>IF(tblSalaries[[#This Row],[Years of Experience]]="","",IF(tblSalaries[[#This Row],[Years of Experience]]&gt;20,1,""))</f>
        <v/>
      </c>
      <c r="T13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10" s="13" t="str">
        <f>IF(tblSalaries[[#This Row],[Job Type]]=tblSalaries[[#Headers],[Accountant]],tblSalaries[[#This Row],[Salary in USD]],"")</f>
        <v/>
      </c>
      <c r="V1310" s="13">
        <f>IF(tblSalaries[[#This Row],[Job Type]]=tblSalaries[[#Headers],[Analyst]],tblSalaries[[#This Row],[Salary in USD]],"")</f>
        <v>5342.3750062327708</v>
      </c>
      <c r="W1310" s="13" t="str">
        <f>IF(tblSalaries[[#This Row],[Job Type]]=tblSalaries[[#Headers],[Consultant]],tblSalaries[[#This Row],[Salary in USD]],"")</f>
        <v/>
      </c>
      <c r="X1310" s="13" t="str">
        <f>IF(tblSalaries[[#This Row],[Job Type]]=tblSalaries[[#Headers],[Controller]],tblSalaries[[#This Row],[Salary in USD]],"")</f>
        <v/>
      </c>
      <c r="Y1310" s="13" t="str">
        <f>IF(tblSalaries[[#This Row],[Job Type]]=tblSalaries[[#Headers],[CXO or Top Mgmt.]],tblSalaries[[#This Row],[clean Salary (in local currency)]],"")</f>
        <v/>
      </c>
      <c r="Z1310" s="13" t="str">
        <f>IF(tblSalaries[[#This Row],[Job Type]]=tblSalaries[[#Headers],[Engineer]],tblSalaries[[#This Row],[Salary in USD]],"")</f>
        <v/>
      </c>
      <c r="AA1310" s="13" t="str">
        <f>IF(tblSalaries[[#This Row],[Job Type]]=tblSalaries[[#Headers],[Manager]],tblSalaries[[#This Row],[Salary in USD]],"")</f>
        <v/>
      </c>
      <c r="AB1310" s="13" t="str">
        <f>IF(tblSalaries[[#This Row],[Job Type]]=tblSalaries[[#Headers],[Misc.]],tblSalaries[[#This Row],[Salary in USD]],"")</f>
        <v/>
      </c>
      <c r="AC1310" s="13" t="str">
        <f>IF(tblSalaries[[#This Row],[Job Type]]=tblSalaries[[#Headers],[Reporting]],tblSalaries[[#This Row],[Salary in USD]],"")</f>
        <v/>
      </c>
      <c r="AD1310" s="13" t="str">
        <f>IF(tblSalaries[[#This Row],[Job Type]]=tblSalaries[[#Headers],[Specialist]],tblSalaries[[#This Row],[Salary in USD]],"")</f>
        <v/>
      </c>
    </row>
    <row r="1311" spans="2:30" ht="15" customHeight="1" x14ac:dyDescent="0.25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 s="9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  <c r="N1311" t="str">
        <f>IF(tblSalaries[[#This Row],[Years of Experience]]="","",IF(tblSalaries[[#This Row],[Years of Experience]]&lt;=2,1,""))</f>
        <v/>
      </c>
      <c r="O1311">
        <f>IF(tblSalaries[[#This Row],[Years of Experience]]="","",IF(AND(tblSalaries[[#This Row],[Years of Experience]]&gt;2,tblSalaries[[#This Row],[Years of Experience]]&lt;=5),1,""))</f>
        <v>1</v>
      </c>
      <c r="P1311" t="str">
        <f>IF(tblSalaries[[#This Row],[Years of Experience]]="","",IF(AND(tblSalaries[[#This Row],[Years of Experience]]&gt;5,tblSalaries[[#This Row],[Years of Experience]]&lt;=10),1,""))</f>
        <v/>
      </c>
      <c r="Q1311" t="str">
        <f>IF(tblSalaries[[#This Row],[Years of Experience]]="","",IF(AND(tblSalaries[[#This Row],[Years of Experience]]&gt;10,tblSalaries[[#This Row],[Years of Experience]]&lt;=15),1,""))</f>
        <v/>
      </c>
      <c r="R1311" t="str">
        <f>IF(tblSalaries[[#This Row],[Years of Experience]]="","",IF(AND(tblSalaries[[#This Row],[Years of Experience]]&gt;16,tblSalaries[[#This Row],[Years of Experience]]&lt;=20),1,""))</f>
        <v/>
      </c>
      <c r="S1311" t="str">
        <f>IF(tblSalaries[[#This Row],[Years of Experience]]="","",IF(tblSalaries[[#This Row],[Years of Experience]]&gt;20,1,""))</f>
        <v/>
      </c>
      <c r="T13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11" s="13" t="str">
        <f>IF(tblSalaries[[#This Row],[Job Type]]=tblSalaries[[#Headers],[Accountant]],tblSalaries[[#This Row],[Salary in USD]],"")</f>
        <v/>
      </c>
      <c r="V1311" s="13" t="str">
        <f>IF(tblSalaries[[#This Row],[Job Type]]=tblSalaries[[#Headers],[Analyst]],tblSalaries[[#This Row],[Salary in USD]],"")</f>
        <v/>
      </c>
      <c r="W1311" s="13" t="str">
        <f>IF(tblSalaries[[#This Row],[Job Type]]=tblSalaries[[#Headers],[Consultant]],tblSalaries[[#This Row],[Salary in USD]],"")</f>
        <v/>
      </c>
      <c r="X1311" s="13" t="str">
        <f>IF(tblSalaries[[#This Row],[Job Type]]=tblSalaries[[#Headers],[Controller]],tblSalaries[[#This Row],[Salary in USD]],"")</f>
        <v/>
      </c>
      <c r="Y1311" s="13" t="str">
        <f>IF(tblSalaries[[#This Row],[Job Type]]=tblSalaries[[#Headers],[CXO or Top Mgmt.]],tblSalaries[[#This Row],[clean Salary (in local currency)]],"")</f>
        <v/>
      </c>
      <c r="Z1311" s="13" t="str">
        <f>IF(tblSalaries[[#This Row],[Job Type]]=tblSalaries[[#Headers],[Engineer]],tblSalaries[[#This Row],[Salary in USD]],"")</f>
        <v/>
      </c>
      <c r="AA1311" s="13">
        <f>IF(tblSalaries[[#This Row],[Job Type]]=tblSalaries[[#Headers],[Manager]],tblSalaries[[#This Row],[Salary in USD]],"")</f>
        <v>8903.9583437212841</v>
      </c>
      <c r="AB1311" s="13" t="str">
        <f>IF(tblSalaries[[#This Row],[Job Type]]=tblSalaries[[#Headers],[Misc.]],tblSalaries[[#This Row],[Salary in USD]],"")</f>
        <v/>
      </c>
      <c r="AC1311" s="13" t="str">
        <f>IF(tblSalaries[[#This Row],[Job Type]]=tblSalaries[[#Headers],[Reporting]],tblSalaries[[#This Row],[Salary in USD]],"")</f>
        <v/>
      </c>
      <c r="AD1311" s="13" t="str">
        <f>IF(tblSalaries[[#This Row],[Job Type]]=tblSalaries[[#Headers],[Specialist]],tblSalaries[[#This Row],[Salary in USD]],"")</f>
        <v/>
      </c>
    </row>
    <row r="1312" spans="2:30" ht="15" customHeight="1" x14ac:dyDescent="0.25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 s="9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  <c r="N1312">
        <f>IF(tblSalaries[[#This Row],[Years of Experience]]="","",IF(tblSalaries[[#This Row],[Years of Experience]]&lt;=2,1,""))</f>
        <v>1</v>
      </c>
      <c r="O1312" t="str">
        <f>IF(tblSalaries[[#This Row],[Years of Experience]]="","",IF(AND(tblSalaries[[#This Row],[Years of Experience]]&gt;2,tblSalaries[[#This Row],[Years of Experience]]&lt;=5),1,""))</f>
        <v/>
      </c>
      <c r="P1312" t="str">
        <f>IF(tblSalaries[[#This Row],[Years of Experience]]="","",IF(AND(tblSalaries[[#This Row],[Years of Experience]]&gt;5,tblSalaries[[#This Row],[Years of Experience]]&lt;=10),1,""))</f>
        <v/>
      </c>
      <c r="Q1312" t="str">
        <f>IF(tblSalaries[[#This Row],[Years of Experience]]="","",IF(AND(tblSalaries[[#This Row],[Years of Experience]]&gt;10,tblSalaries[[#This Row],[Years of Experience]]&lt;=15),1,""))</f>
        <v/>
      </c>
      <c r="R1312" t="str">
        <f>IF(tblSalaries[[#This Row],[Years of Experience]]="","",IF(AND(tblSalaries[[#This Row],[Years of Experience]]&gt;16,tblSalaries[[#This Row],[Years of Experience]]&lt;=20),1,""))</f>
        <v/>
      </c>
      <c r="S1312" t="str">
        <f>IF(tblSalaries[[#This Row],[Years of Experience]]="","",IF(tblSalaries[[#This Row],[Years of Experience]]&gt;20,1,""))</f>
        <v/>
      </c>
      <c r="T13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12" s="13" t="str">
        <f>IF(tblSalaries[[#This Row],[Job Type]]=tblSalaries[[#Headers],[Accountant]],tblSalaries[[#This Row],[Salary in USD]],"")</f>
        <v/>
      </c>
      <c r="V1312" s="13">
        <f>IF(tblSalaries[[#This Row],[Job Type]]=tblSalaries[[#Headers],[Analyst]],tblSalaries[[#This Row],[Salary in USD]],"")</f>
        <v>40980.635073749385</v>
      </c>
      <c r="W1312" s="13" t="str">
        <f>IF(tblSalaries[[#This Row],[Job Type]]=tblSalaries[[#Headers],[Consultant]],tblSalaries[[#This Row],[Salary in USD]],"")</f>
        <v/>
      </c>
      <c r="X1312" s="13" t="str">
        <f>IF(tblSalaries[[#This Row],[Job Type]]=tblSalaries[[#Headers],[Controller]],tblSalaries[[#This Row],[Salary in USD]],"")</f>
        <v/>
      </c>
      <c r="Y1312" s="13" t="str">
        <f>IF(tblSalaries[[#This Row],[Job Type]]=tblSalaries[[#Headers],[CXO or Top Mgmt.]],tblSalaries[[#This Row],[clean Salary (in local currency)]],"")</f>
        <v/>
      </c>
      <c r="Z1312" s="13" t="str">
        <f>IF(tblSalaries[[#This Row],[Job Type]]=tblSalaries[[#Headers],[Engineer]],tblSalaries[[#This Row],[Salary in USD]],"")</f>
        <v/>
      </c>
      <c r="AA1312" s="13" t="str">
        <f>IF(tblSalaries[[#This Row],[Job Type]]=tblSalaries[[#Headers],[Manager]],tblSalaries[[#This Row],[Salary in USD]],"")</f>
        <v/>
      </c>
      <c r="AB1312" s="13" t="str">
        <f>IF(tblSalaries[[#This Row],[Job Type]]=tblSalaries[[#Headers],[Misc.]],tblSalaries[[#This Row],[Salary in USD]],"")</f>
        <v/>
      </c>
      <c r="AC1312" s="13" t="str">
        <f>IF(tblSalaries[[#This Row],[Job Type]]=tblSalaries[[#Headers],[Reporting]],tblSalaries[[#This Row],[Salary in USD]],"")</f>
        <v/>
      </c>
      <c r="AD1312" s="13" t="str">
        <f>IF(tblSalaries[[#This Row],[Job Type]]=tblSalaries[[#Headers],[Specialist]],tblSalaries[[#This Row],[Salary in USD]],"")</f>
        <v/>
      </c>
    </row>
    <row r="1313" spans="2:30" ht="15" customHeight="1" x14ac:dyDescent="0.25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 s="9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  <c r="N1313" t="str">
        <f>IF(tblSalaries[[#This Row],[Years of Experience]]="","",IF(tblSalaries[[#This Row],[Years of Experience]]&lt;=2,1,""))</f>
        <v/>
      </c>
      <c r="O1313" t="str">
        <f>IF(tblSalaries[[#This Row],[Years of Experience]]="","",IF(AND(tblSalaries[[#This Row],[Years of Experience]]&gt;2,tblSalaries[[#This Row],[Years of Experience]]&lt;=5),1,""))</f>
        <v/>
      </c>
      <c r="P1313">
        <f>IF(tblSalaries[[#This Row],[Years of Experience]]="","",IF(AND(tblSalaries[[#This Row],[Years of Experience]]&gt;5,tblSalaries[[#This Row],[Years of Experience]]&lt;=10),1,""))</f>
        <v>1</v>
      </c>
      <c r="Q1313" t="str">
        <f>IF(tblSalaries[[#This Row],[Years of Experience]]="","",IF(AND(tblSalaries[[#This Row],[Years of Experience]]&gt;10,tblSalaries[[#This Row],[Years of Experience]]&lt;=15),1,""))</f>
        <v/>
      </c>
      <c r="R1313" t="str">
        <f>IF(tblSalaries[[#This Row],[Years of Experience]]="","",IF(AND(tblSalaries[[#This Row],[Years of Experience]]&gt;16,tblSalaries[[#This Row],[Years of Experience]]&lt;=20),1,""))</f>
        <v/>
      </c>
      <c r="S1313" t="str">
        <f>IF(tblSalaries[[#This Row],[Years of Experience]]="","",IF(tblSalaries[[#This Row],[Years of Experience]]&gt;20,1,""))</f>
        <v/>
      </c>
      <c r="T13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13" s="13" t="str">
        <f>IF(tblSalaries[[#This Row],[Job Type]]=tblSalaries[[#Headers],[Accountant]],tblSalaries[[#This Row],[Salary in USD]],"")</f>
        <v/>
      </c>
      <c r="V1313" s="13" t="str">
        <f>IF(tblSalaries[[#This Row],[Job Type]]=tblSalaries[[#Headers],[Analyst]],tblSalaries[[#This Row],[Salary in USD]],"")</f>
        <v/>
      </c>
      <c r="W1313" s="13" t="str">
        <f>IF(tblSalaries[[#This Row],[Job Type]]=tblSalaries[[#Headers],[Consultant]],tblSalaries[[#This Row],[Salary in USD]],"")</f>
        <v/>
      </c>
      <c r="X1313" s="13" t="str">
        <f>IF(tblSalaries[[#This Row],[Job Type]]=tblSalaries[[#Headers],[Controller]],tblSalaries[[#This Row],[Salary in USD]],"")</f>
        <v/>
      </c>
      <c r="Y1313" s="13" t="str">
        <f>IF(tblSalaries[[#This Row],[Job Type]]=tblSalaries[[#Headers],[CXO or Top Mgmt.]],tblSalaries[[#This Row],[clean Salary (in local currency)]],"")</f>
        <v/>
      </c>
      <c r="Z1313" s="13" t="str">
        <f>IF(tblSalaries[[#This Row],[Job Type]]=tblSalaries[[#Headers],[Engineer]],tblSalaries[[#This Row],[Salary in USD]],"")</f>
        <v/>
      </c>
      <c r="AA1313" s="13">
        <f>IF(tblSalaries[[#This Row],[Job Type]]=tblSalaries[[#Headers],[Manager]],tblSalaries[[#This Row],[Salary in USD]],"")</f>
        <v>10684.750012465542</v>
      </c>
      <c r="AB1313" s="13" t="str">
        <f>IF(tblSalaries[[#This Row],[Job Type]]=tblSalaries[[#Headers],[Misc.]],tblSalaries[[#This Row],[Salary in USD]],"")</f>
        <v/>
      </c>
      <c r="AC1313" s="13" t="str">
        <f>IF(tblSalaries[[#This Row],[Job Type]]=tblSalaries[[#Headers],[Reporting]],tblSalaries[[#This Row],[Salary in USD]],"")</f>
        <v/>
      </c>
      <c r="AD1313" s="13" t="str">
        <f>IF(tblSalaries[[#This Row],[Job Type]]=tblSalaries[[#Headers],[Specialist]],tblSalaries[[#This Row],[Salary in USD]],"")</f>
        <v/>
      </c>
    </row>
    <row r="1314" spans="2:30" ht="15" customHeight="1" x14ac:dyDescent="0.25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 s="9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  <c r="N1314" t="str">
        <f>IF(tblSalaries[[#This Row],[Years of Experience]]="","",IF(tblSalaries[[#This Row],[Years of Experience]]&lt;=2,1,""))</f>
        <v/>
      </c>
      <c r="O1314" t="str">
        <f>IF(tblSalaries[[#This Row],[Years of Experience]]="","",IF(AND(tblSalaries[[#This Row],[Years of Experience]]&gt;2,tblSalaries[[#This Row],[Years of Experience]]&lt;=5),1,""))</f>
        <v/>
      </c>
      <c r="P1314" t="str">
        <f>IF(tblSalaries[[#This Row],[Years of Experience]]="","",IF(AND(tblSalaries[[#This Row],[Years of Experience]]&gt;5,tblSalaries[[#This Row],[Years of Experience]]&lt;=10),1,""))</f>
        <v/>
      </c>
      <c r="Q1314" t="str">
        <f>IF(tblSalaries[[#This Row],[Years of Experience]]="","",IF(AND(tblSalaries[[#This Row],[Years of Experience]]&gt;10,tblSalaries[[#This Row],[Years of Experience]]&lt;=15),1,""))</f>
        <v/>
      </c>
      <c r="R1314" t="str">
        <f>IF(tblSalaries[[#This Row],[Years of Experience]]="","",IF(AND(tblSalaries[[#This Row],[Years of Experience]]&gt;16,tblSalaries[[#This Row],[Years of Experience]]&lt;=20),1,""))</f>
        <v/>
      </c>
      <c r="S1314">
        <f>IF(tblSalaries[[#This Row],[Years of Experience]]="","",IF(tblSalaries[[#This Row],[Years of Experience]]&gt;20,1,""))</f>
        <v>1</v>
      </c>
      <c r="T13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14" s="13" t="str">
        <f>IF(tblSalaries[[#This Row],[Job Type]]=tblSalaries[[#Headers],[Accountant]],tblSalaries[[#This Row],[Salary in USD]],"")</f>
        <v/>
      </c>
      <c r="V1314" s="13" t="str">
        <f>IF(tblSalaries[[#This Row],[Job Type]]=tblSalaries[[#Headers],[Analyst]],tblSalaries[[#This Row],[Salary in USD]],"")</f>
        <v/>
      </c>
      <c r="W1314" s="13">
        <f>IF(tblSalaries[[#This Row],[Job Type]]=tblSalaries[[#Headers],[Consultant]],tblSalaries[[#This Row],[Salary in USD]],"")</f>
        <v>21369.500024931083</v>
      </c>
      <c r="X1314" s="13" t="str">
        <f>IF(tblSalaries[[#This Row],[Job Type]]=tblSalaries[[#Headers],[Controller]],tblSalaries[[#This Row],[Salary in USD]],"")</f>
        <v/>
      </c>
      <c r="Y1314" s="13" t="str">
        <f>IF(tblSalaries[[#This Row],[Job Type]]=tblSalaries[[#Headers],[CXO or Top Mgmt.]],tblSalaries[[#This Row],[clean Salary (in local currency)]],"")</f>
        <v/>
      </c>
      <c r="Z1314" s="13" t="str">
        <f>IF(tblSalaries[[#This Row],[Job Type]]=tblSalaries[[#Headers],[Engineer]],tblSalaries[[#This Row],[Salary in USD]],"")</f>
        <v/>
      </c>
      <c r="AA1314" s="13" t="str">
        <f>IF(tblSalaries[[#This Row],[Job Type]]=tblSalaries[[#Headers],[Manager]],tblSalaries[[#This Row],[Salary in USD]],"")</f>
        <v/>
      </c>
      <c r="AB1314" s="13" t="str">
        <f>IF(tblSalaries[[#This Row],[Job Type]]=tblSalaries[[#Headers],[Misc.]],tblSalaries[[#This Row],[Salary in USD]],"")</f>
        <v/>
      </c>
      <c r="AC1314" s="13" t="str">
        <f>IF(tblSalaries[[#This Row],[Job Type]]=tblSalaries[[#Headers],[Reporting]],tblSalaries[[#This Row],[Salary in USD]],"")</f>
        <v/>
      </c>
      <c r="AD1314" s="13" t="str">
        <f>IF(tblSalaries[[#This Row],[Job Type]]=tblSalaries[[#Headers],[Specialist]],tblSalaries[[#This Row],[Salary in USD]],"")</f>
        <v/>
      </c>
    </row>
    <row r="1315" spans="2:30" ht="15" customHeight="1" x14ac:dyDescent="0.25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 s="9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  <c r="N1315" t="str">
        <f>IF(tblSalaries[[#This Row],[Years of Experience]]="","",IF(tblSalaries[[#This Row],[Years of Experience]]&lt;=2,1,""))</f>
        <v/>
      </c>
      <c r="O1315" t="str">
        <f>IF(tblSalaries[[#This Row],[Years of Experience]]="","",IF(AND(tblSalaries[[#This Row],[Years of Experience]]&gt;2,tblSalaries[[#This Row],[Years of Experience]]&lt;=5),1,""))</f>
        <v/>
      </c>
      <c r="P1315" t="str">
        <f>IF(tblSalaries[[#This Row],[Years of Experience]]="","",IF(AND(tblSalaries[[#This Row],[Years of Experience]]&gt;5,tblSalaries[[#This Row],[Years of Experience]]&lt;=10),1,""))</f>
        <v/>
      </c>
      <c r="Q1315">
        <f>IF(tblSalaries[[#This Row],[Years of Experience]]="","",IF(AND(tblSalaries[[#This Row],[Years of Experience]]&gt;10,tblSalaries[[#This Row],[Years of Experience]]&lt;=15),1,""))</f>
        <v>1</v>
      </c>
      <c r="R1315" t="str">
        <f>IF(tblSalaries[[#This Row],[Years of Experience]]="","",IF(AND(tblSalaries[[#This Row],[Years of Experience]]&gt;16,tblSalaries[[#This Row],[Years of Experience]]&lt;=20),1,""))</f>
        <v/>
      </c>
      <c r="S1315" t="str">
        <f>IF(tblSalaries[[#This Row],[Years of Experience]]="","",IF(tblSalaries[[#This Row],[Years of Experience]]&gt;20,1,""))</f>
        <v/>
      </c>
      <c r="T13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15" s="13" t="str">
        <f>IF(tblSalaries[[#This Row],[Job Type]]=tblSalaries[[#Headers],[Accountant]],tblSalaries[[#This Row],[Salary in USD]],"")</f>
        <v/>
      </c>
      <c r="V1315" s="13" t="str">
        <f>IF(tblSalaries[[#This Row],[Job Type]]=tblSalaries[[#Headers],[Analyst]],tblSalaries[[#This Row],[Salary in USD]],"")</f>
        <v/>
      </c>
      <c r="W1315" s="13" t="str">
        <f>IF(tblSalaries[[#This Row],[Job Type]]=tblSalaries[[#Headers],[Consultant]],tblSalaries[[#This Row],[Salary in USD]],"")</f>
        <v/>
      </c>
      <c r="X1315" s="13" t="str">
        <f>IF(tblSalaries[[#This Row],[Job Type]]=tblSalaries[[#Headers],[Controller]],tblSalaries[[#This Row],[Salary in USD]],"")</f>
        <v/>
      </c>
      <c r="Y1315" s="13" t="str">
        <f>IF(tblSalaries[[#This Row],[Job Type]]=tblSalaries[[#Headers],[CXO or Top Mgmt.]],tblSalaries[[#This Row],[clean Salary (in local currency)]],"")</f>
        <v/>
      </c>
      <c r="Z1315" s="13" t="str">
        <f>IF(tblSalaries[[#This Row],[Job Type]]=tblSalaries[[#Headers],[Engineer]],tblSalaries[[#This Row],[Salary in USD]],"")</f>
        <v/>
      </c>
      <c r="AA1315" s="13">
        <f>IF(tblSalaries[[#This Row],[Job Type]]=tblSalaries[[#Headers],[Manager]],tblSalaries[[#This Row],[Salary in USD]],"")</f>
        <v>18000</v>
      </c>
      <c r="AB1315" s="13" t="str">
        <f>IF(tblSalaries[[#This Row],[Job Type]]=tblSalaries[[#Headers],[Misc.]],tblSalaries[[#This Row],[Salary in USD]],"")</f>
        <v/>
      </c>
      <c r="AC1315" s="13" t="str">
        <f>IF(tblSalaries[[#This Row],[Job Type]]=tblSalaries[[#Headers],[Reporting]],tblSalaries[[#This Row],[Salary in USD]],"")</f>
        <v/>
      </c>
      <c r="AD1315" s="13" t="str">
        <f>IF(tblSalaries[[#This Row],[Job Type]]=tblSalaries[[#Headers],[Specialist]],tblSalaries[[#This Row],[Salary in USD]],"")</f>
        <v/>
      </c>
    </row>
    <row r="1316" spans="2:30" ht="15" customHeight="1" x14ac:dyDescent="0.25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 s="9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  <c r="N1316" t="str">
        <f>IF(tblSalaries[[#This Row],[Years of Experience]]="","",IF(tblSalaries[[#This Row],[Years of Experience]]&lt;=2,1,""))</f>
        <v/>
      </c>
      <c r="O1316">
        <f>IF(tblSalaries[[#This Row],[Years of Experience]]="","",IF(AND(tblSalaries[[#This Row],[Years of Experience]]&gt;2,tblSalaries[[#This Row],[Years of Experience]]&lt;=5),1,""))</f>
        <v>1</v>
      </c>
      <c r="P1316" t="str">
        <f>IF(tblSalaries[[#This Row],[Years of Experience]]="","",IF(AND(tblSalaries[[#This Row],[Years of Experience]]&gt;5,tblSalaries[[#This Row],[Years of Experience]]&lt;=10),1,""))</f>
        <v/>
      </c>
      <c r="Q1316" t="str">
        <f>IF(tblSalaries[[#This Row],[Years of Experience]]="","",IF(AND(tblSalaries[[#This Row],[Years of Experience]]&gt;10,tblSalaries[[#This Row],[Years of Experience]]&lt;=15),1,""))</f>
        <v/>
      </c>
      <c r="R1316" t="str">
        <f>IF(tblSalaries[[#This Row],[Years of Experience]]="","",IF(AND(tblSalaries[[#This Row],[Years of Experience]]&gt;16,tblSalaries[[#This Row],[Years of Experience]]&lt;=20),1,""))</f>
        <v/>
      </c>
      <c r="S1316" t="str">
        <f>IF(tblSalaries[[#This Row],[Years of Experience]]="","",IF(tblSalaries[[#This Row],[Years of Experience]]&gt;20,1,""))</f>
        <v/>
      </c>
      <c r="T13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16" s="13" t="str">
        <f>IF(tblSalaries[[#This Row],[Job Type]]=tblSalaries[[#Headers],[Accountant]],tblSalaries[[#This Row],[Salary in USD]],"")</f>
        <v/>
      </c>
      <c r="V1316" s="13" t="str">
        <f>IF(tblSalaries[[#This Row],[Job Type]]=tblSalaries[[#Headers],[Analyst]],tblSalaries[[#This Row],[Salary in USD]],"")</f>
        <v/>
      </c>
      <c r="W1316" s="13" t="str">
        <f>IF(tblSalaries[[#This Row],[Job Type]]=tblSalaries[[#Headers],[Consultant]],tblSalaries[[#This Row],[Salary in USD]],"")</f>
        <v/>
      </c>
      <c r="X1316" s="13" t="str">
        <f>IF(tblSalaries[[#This Row],[Job Type]]=tblSalaries[[#Headers],[Controller]],tblSalaries[[#This Row],[Salary in USD]],"")</f>
        <v/>
      </c>
      <c r="Y1316" s="13" t="str">
        <f>IF(tblSalaries[[#This Row],[Job Type]]=tblSalaries[[#Headers],[CXO or Top Mgmt.]],tblSalaries[[#This Row],[clean Salary (in local currency)]],"")</f>
        <v/>
      </c>
      <c r="Z1316" s="13" t="str">
        <f>IF(tblSalaries[[#This Row],[Job Type]]=tblSalaries[[#Headers],[Engineer]],tblSalaries[[#This Row],[Salary in USD]],"")</f>
        <v/>
      </c>
      <c r="AA1316" s="13">
        <f>IF(tblSalaries[[#This Row],[Job Type]]=tblSalaries[[#Headers],[Manager]],tblSalaries[[#This Row],[Salary in USD]],"")</f>
        <v>41000</v>
      </c>
      <c r="AB1316" s="13" t="str">
        <f>IF(tblSalaries[[#This Row],[Job Type]]=tblSalaries[[#Headers],[Misc.]],tblSalaries[[#This Row],[Salary in USD]],"")</f>
        <v/>
      </c>
      <c r="AC1316" s="13" t="str">
        <f>IF(tblSalaries[[#This Row],[Job Type]]=tblSalaries[[#Headers],[Reporting]],tblSalaries[[#This Row],[Salary in USD]],"")</f>
        <v/>
      </c>
      <c r="AD1316" s="13" t="str">
        <f>IF(tblSalaries[[#This Row],[Job Type]]=tblSalaries[[#Headers],[Specialist]],tblSalaries[[#This Row],[Salary in USD]],"")</f>
        <v/>
      </c>
    </row>
    <row r="1317" spans="2:30" ht="15" customHeight="1" x14ac:dyDescent="0.25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 s="9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  <c r="N1317" t="str">
        <f>IF(tblSalaries[[#This Row],[Years of Experience]]="","",IF(tblSalaries[[#This Row],[Years of Experience]]&lt;=2,1,""))</f>
        <v/>
      </c>
      <c r="O1317">
        <f>IF(tblSalaries[[#This Row],[Years of Experience]]="","",IF(AND(tblSalaries[[#This Row],[Years of Experience]]&gt;2,tblSalaries[[#This Row],[Years of Experience]]&lt;=5),1,""))</f>
        <v>1</v>
      </c>
      <c r="P1317" t="str">
        <f>IF(tblSalaries[[#This Row],[Years of Experience]]="","",IF(AND(tblSalaries[[#This Row],[Years of Experience]]&gt;5,tblSalaries[[#This Row],[Years of Experience]]&lt;=10),1,""))</f>
        <v/>
      </c>
      <c r="Q1317" t="str">
        <f>IF(tblSalaries[[#This Row],[Years of Experience]]="","",IF(AND(tblSalaries[[#This Row],[Years of Experience]]&gt;10,tblSalaries[[#This Row],[Years of Experience]]&lt;=15),1,""))</f>
        <v/>
      </c>
      <c r="R1317" t="str">
        <f>IF(tblSalaries[[#This Row],[Years of Experience]]="","",IF(AND(tblSalaries[[#This Row],[Years of Experience]]&gt;16,tblSalaries[[#This Row],[Years of Experience]]&lt;=20),1,""))</f>
        <v/>
      </c>
      <c r="S1317" t="str">
        <f>IF(tblSalaries[[#This Row],[Years of Experience]]="","",IF(tblSalaries[[#This Row],[Years of Experience]]&gt;20,1,""))</f>
        <v/>
      </c>
      <c r="T13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17" s="13" t="str">
        <f>IF(tblSalaries[[#This Row],[Job Type]]=tblSalaries[[#Headers],[Accountant]],tblSalaries[[#This Row],[Salary in USD]],"")</f>
        <v/>
      </c>
      <c r="V1317" s="13">
        <f>IF(tblSalaries[[#This Row],[Job Type]]=tblSalaries[[#Headers],[Analyst]],tblSalaries[[#This Row],[Salary in USD]],"")</f>
        <v>28492.66669990811</v>
      </c>
      <c r="W1317" s="13" t="str">
        <f>IF(tblSalaries[[#This Row],[Job Type]]=tblSalaries[[#Headers],[Consultant]],tblSalaries[[#This Row],[Salary in USD]],"")</f>
        <v/>
      </c>
      <c r="X1317" s="13" t="str">
        <f>IF(tblSalaries[[#This Row],[Job Type]]=tblSalaries[[#Headers],[Controller]],tblSalaries[[#This Row],[Salary in USD]],"")</f>
        <v/>
      </c>
      <c r="Y1317" s="13" t="str">
        <f>IF(tblSalaries[[#This Row],[Job Type]]=tblSalaries[[#Headers],[CXO or Top Mgmt.]],tblSalaries[[#This Row],[clean Salary (in local currency)]],"")</f>
        <v/>
      </c>
      <c r="Z1317" s="13" t="str">
        <f>IF(tblSalaries[[#This Row],[Job Type]]=tblSalaries[[#Headers],[Engineer]],tblSalaries[[#This Row],[Salary in USD]],"")</f>
        <v/>
      </c>
      <c r="AA1317" s="13" t="str">
        <f>IF(tblSalaries[[#This Row],[Job Type]]=tblSalaries[[#Headers],[Manager]],tblSalaries[[#This Row],[Salary in USD]],"")</f>
        <v/>
      </c>
      <c r="AB1317" s="13" t="str">
        <f>IF(tblSalaries[[#This Row],[Job Type]]=tblSalaries[[#Headers],[Misc.]],tblSalaries[[#This Row],[Salary in USD]],"")</f>
        <v/>
      </c>
      <c r="AC1317" s="13" t="str">
        <f>IF(tblSalaries[[#This Row],[Job Type]]=tblSalaries[[#Headers],[Reporting]],tblSalaries[[#This Row],[Salary in USD]],"")</f>
        <v/>
      </c>
      <c r="AD1317" s="13" t="str">
        <f>IF(tblSalaries[[#This Row],[Job Type]]=tblSalaries[[#Headers],[Specialist]],tblSalaries[[#This Row],[Salary in USD]],"")</f>
        <v/>
      </c>
    </row>
    <row r="1318" spans="2:30" ht="15" customHeight="1" x14ac:dyDescent="0.25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 s="9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  <c r="N1318" t="str">
        <f>IF(tblSalaries[[#This Row],[Years of Experience]]="","",IF(tblSalaries[[#This Row],[Years of Experience]]&lt;=2,1,""))</f>
        <v/>
      </c>
      <c r="O1318">
        <f>IF(tblSalaries[[#This Row],[Years of Experience]]="","",IF(AND(tblSalaries[[#This Row],[Years of Experience]]&gt;2,tblSalaries[[#This Row],[Years of Experience]]&lt;=5),1,""))</f>
        <v>1</v>
      </c>
      <c r="P1318" t="str">
        <f>IF(tblSalaries[[#This Row],[Years of Experience]]="","",IF(AND(tblSalaries[[#This Row],[Years of Experience]]&gt;5,tblSalaries[[#This Row],[Years of Experience]]&lt;=10),1,""))</f>
        <v/>
      </c>
      <c r="Q1318" t="str">
        <f>IF(tblSalaries[[#This Row],[Years of Experience]]="","",IF(AND(tblSalaries[[#This Row],[Years of Experience]]&gt;10,tblSalaries[[#This Row],[Years of Experience]]&lt;=15),1,""))</f>
        <v/>
      </c>
      <c r="R1318" t="str">
        <f>IF(tblSalaries[[#This Row],[Years of Experience]]="","",IF(AND(tblSalaries[[#This Row],[Years of Experience]]&gt;16,tblSalaries[[#This Row],[Years of Experience]]&lt;=20),1,""))</f>
        <v/>
      </c>
      <c r="S1318" t="str">
        <f>IF(tblSalaries[[#This Row],[Years of Experience]]="","",IF(tblSalaries[[#This Row],[Years of Experience]]&gt;20,1,""))</f>
        <v/>
      </c>
      <c r="T13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18" s="13" t="str">
        <f>IF(tblSalaries[[#This Row],[Job Type]]=tblSalaries[[#Headers],[Accountant]],tblSalaries[[#This Row],[Salary in USD]],"")</f>
        <v/>
      </c>
      <c r="V1318" s="13">
        <f>IF(tblSalaries[[#This Row],[Job Type]]=tblSalaries[[#Headers],[Analyst]],tblSalaries[[#This Row],[Salary in USD]],"")</f>
        <v>49500</v>
      </c>
      <c r="W1318" s="13" t="str">
        <f>IF(tblSalaries[[#This Row],[Job Type]]=tblSalaries[[#Headers],[Consultant]],tblSalaries[[#This Row],[Salary in USD]],"")</f>
        <v/>
      </c>
      <c r="X1318" s="13" t="str">
        <f>IF(tblSalaries[[#This Row],[Job Type]]=tblSalaries[[#Headers],[Controller]],tblSalaries[[#This Row],[Salary in USD]],"")</f>
        <v/>
      </c>
      <c r="Y1318" s="13" t="str">
        <f>IF(tblSalaries[[#This Row],[Job Type]]=tblSalaries[[#Headers],[CXO or Top Mgmt.]],tblSalaries[[#This Row],[clean Salary (in local currency)]],"")</f>
        <v/>
      </c>
      <c r="Z1318" s="13" t="str">
        <f>IF(tblSalaries[[#This Row],[Job Type]]=tblSalaries[[#Headers],[Engineer]],tblSalaries[[#This Row],[Salary in USD]],"")</f>
        <v/>
      </c>
      <c r="AA1318" s="13" t="str">
        <f>IF(tblSalaries[[#This Row],[Job Type]]=tblSalaries[[#Headers],[Manager]],tblSalaries[[#This Row],[Salary in USD]],"")</f>
        <v/>
      </c>
      <c r="AB1318" s="13" t="str">
        <f>IF(tblSalaries[[#This Row],[Job Type]]=tblSalaries[[#Headers],[Misc.]],tblSalaries[[#This Row],[Salary in USD]],"")</f>
        <v/>
      </c>
      <c r="AC1318" s="13" t="str">
        <f>IF(tblSalaries[[#This Row],[Job Type]]=tblSalaries[[#Headers],[Reporting]],tblSalaries[[#This Row],[Salary in USD]],"")</f>
        <v/>
      </c>
      <c r="AD1318" s="13" t="str">
        <f>IF(tblSalaries[[#This Row],[Job Type]]=tblSalaries[[#Headers],[Specialist]],tblSalaries[[#This Row],[Salary in USD]],"")</f>
        <v/>
      </c>
    </row>
    <row r="1319" spans="2:30" ht="15" customHeight="1" x14ac:dyDescent="0.25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 s="9">
        <f>tblSalaries[[#This Row],[clean Salary (in local currency)]]*VLOOKUP(tblSalaries[[#This Row],[Currency]],tblXrate[],2,FALSE)</f>
        <v>6600</v>
      </c>
      <c r="H1319" t="s">
        <v>1508</v>
      </c>
      <c r="I1319" t="s">
        <v>3999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  <c r="N1319" t="str">
        <f>IF(tblSalaries[[#This Row],[Years of Experience]]="","",IF(tblSalaries[[#This Row],[Years of Experience]]&lt;=2,1,""))</f>
        <v/>
      </c>
      <c r="O1319" t="str">
        <f>IF(tblSalaries[[#This Row],[Years of Experience]]="","",IF(AND(tblSalaries[[#This Row],[Years of Experience]]&gt;2,tblSalaries[[#This Row],[Years of Experience]]&lt;=5),1,""))</f>
        <v/>
      </c>
      <c r="P1319">
        <f>IF(tblSalaries[[#This Row],[Years of Experience]]="","",IF(AND(tblSalaries[[#This Row],[Years of Experience]]&gt;5,tblSalaries[[#This Row],[Years of Experience]]&lt;=10),1,""))</f>
        <v>1</v>
      </c>
      <c r="Q1319" t="str">
        <f>IF(tblSalaries[[#This Row],[Years of Experience]]="","",IF(AND(tblSalaries[[#This Row],[Years of Experience]]&gt;10,tblSalaries[[#This Row],[Years of Experience]]&lt;=15),1,""))</f>
        <v/>
      </c>
      <c r="R1319" t="str">
        <f>IF(tblSalaries[[#This Row],[Years of Experience]]="","",IF(AND(tblSalaries[[#This Row],[Years of Experience]]&gt;16,tblSalaries[[#This Row],[Years of Experience]]&lt;=20),1,""))</f>
        <v/>
      </c>
      <c r="S1319" t="str">
        <f>IF(tblSalaries[[#This Row],[Years of Experience]]="","",IF(tblSalaries[[#This Row],[Years of Experience]]&gt;20,1,""))</f>
        <v/>
      </c>
      <c r="T13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19" s="13" t="str">
        <f>IF(tblSalaries[[#This Row],[Job Type]]=tblSalaries[[#Headers],[Accountant]],tblSalaries[[#This Row],[Salary in USD]],"")</f>
        <v/>
      </c>
      <c r="V1319" s="13" t="str">
        <f>IF(tblSalaries[[#This Row],[Job Type]]=tblSalaries[[#Headers],[Analyst]],tblSalaries[[#This Row],[Salary in USD]],"")</f>
        <v/>
      </c>
      <c r="W1319" s="13" t="str">
        <f>IF(tblSalaries[[#This Row],[Job Type]]=tblSalaries[[#Headers],[Consultant]],tblSalaries[[#This Row],[Salary in USD]],"")</f>
        <v/>
      </c>
      <c r="X1319" s="13" t="str">
        <f>IF(tblSalaries[[#This Row],[Job Type]]=tblSalaries[[#Headers],[Controller]],tblSalaries[[#This Row],[Salary in USD]],"")</f>
        <v/>
      </c>
      <c r="Y1319" s="13" t="str">
        <f>IF(tblSalaries[[#This Row],[Job Type]]=tblSalaries[[#Headers],[CXO or Top Mgmt.]],tblSalaries[[#This Row],[clean Salary (in local currency)]],"")</f>
        <v/>
      </c>
      <c r="Z1319" s="13" t="str">
        <f>IF(tblSalaries[[#This Row],[Job Type]]=tblSalaries[[#Headers],[Engineer]],tblSalaries[[#This Row],[Salary in USD]],"")</f>
        <v/>
      </c>
      <c r="AA1319" s="13" t="str">
        <f>IF(tblSalaries[[#This Row],[Job Type]]=tblSalaries[[#Headers],[Manager]],tblSalaries[[#This Row],[Salary in USD]],"")</f>
        <v/>
      </c>
      <c r="AB1319" s="13" t="str">
        <f>IF(tblSalaries[[#This Row],[Job Type]]=tblSalaries[[#Headers],[Misc.]],tblSalaries[[#This Row],[Salary in USD]],"")</f>
        <v/>
      </c>
      <c r="AC1319" s="13">
        <f>IF(tblSalaries[[#This Row],[Job Type]]=tblSalaries[[#Headers],[Reporting]],tblSalaries[[#This Row],[Salary in USD]],"")</f>
        <v>6600</v>
      </c>
      <c r="AD1319" s="13" t="str">
        <f>IF(tblSalaries[[#This Row],[Job Type]]=tblSalaries[[#Headers],[Specialist]],tblSalaries[[#This Row],[Salary in USD]],"")</f>
        <v/>
      </c>
    </row>
    <row r="1320" spans="2:30" ht="15" customHeight="1" x14ac:dyDescent="0.25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 s="9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  <c r="N1320" t="str">
        <f>IF(tblSalaries[[#This Row],[Years of Experience]]="","",IF(tblSalaries[[#This Row],[Years of Experience]]&lt;=2,1,""))</f>
        <v/>
      </c>
      <c r="O1320" t="str">
        <f>IF(tblSalaries[[#This Row],[Years of Experience]]="","",IF(AND(tblSalaries[[#This Row],[Years of Experience]]&gt;2,tblSalaries[[#This Row],[Years of Experience]]&lt;=5),1,""))</f>
        <v/>
      </c>
      <c r="P1320" t="str">
        <f>IF(tblSalaries[[#This Row],[Years of Experience]]="","",IF(AND(tblSalaries[[#This Row],[Years of Experience]]&gt;5,tblSalaries[[#This Row],[Years of Experience]]&lt;=10),1,""))</f>
        <v/>
      </c>
      <c r="Q1320">
        <f>IF(tblSalaries[[#This Row],[Years of Experience]]="","",IF(AND(tblSalaries[[#This Row],[Years of Experience]]&gt;10,tblSalaries[[#This Row],[Years of Experience]]&lt;=15),1,""))</f>
        <v>1</v>
      </c>
      <c r="R1320" t="str">
        <f>IF(tblSalaries[[#This Row],[Years of Experience]]="","",IF(AND(tblSalaries[[#This Row],[Years of Experience]]&gt;16,tblSalaries[[#This Row],[Years of Experience]]&lt;=20),1,""))</f>
        <v/>
      </c>
      <c r="S1320" t="str">
        <f>IF(tblSalaries[[#This Row],[Years of Experience]]="","",IF(tblSalaries[[#This Row],[Years of Experience]]&gt;20,1,""))</f>
        <v/>
      </c>
      <c r="T13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20" s="13" t="str">
        <f>IF(tblSalaries[[#This Row],[Job Type]]=tblSalaries[[#Headers],[Accountant]],tblSalaries[[#This Row],[Salary in USD]],"")</f>
        <v/>
      </c>
      <c r="V1320" s="13" t="str">
        <f>IF(tblSalaries[[#This Row],[Job Type]]=tblSalaries[[#Headers],[Analyst]],tblSalaries[[#This Row],[Salary in USD]],"")</f>
        <v/>
      </c>
      <c r="W1320" s="13">
        <f>IF(tblSalaries[[#This Row],[Job Type]]=tblSalaries[[#Headers],[Consultant]],tblSalaries[[#This Row],[Salary in USD]],"")</f>
        <v>110332.47904470989</v>
      </c>
      <c r="X1320" s="13" t="str">
        <f>IF(tblSalaries[[#This Row],[Job Type]]=tblSalaries[[#Headers],[Controller]],tblSalaries[[#This Row],[Salary in USD]],"")</f>
        <v/>
      </c>
      <c r="Y1320" s="13" t="str">
        <f>IF(tblSalaries[[#This Row],[Job Type]]=tblSalaries[[#Headers],[CXO or Top Mgmt.]],tblSalaries[[#This Row],[clean Salary (in local currency)]],"")</f>
        <v/>
      </c>
      <c r="Z1320" s="13" t="str">
        <f>IF(tblSalaries[[#This Row],[Job Type]]=tblSalaries[[#Headers],[Engineer]],tblSalaries[[#This Row],[Salary in USD]],"")</f>
        <v/>
      </c>
      <c r="AA1320" s="13" t="str">
        <f>IF(tblSalaries[[#This Row],[Job Type]]=tblSalaries[[#Headers],[Manager]],tblSalaries[[#This Row],[Salary in USD]],"")</f>
        <v/>
      </c>
      <c r="AB1320" s="13" t="str">
        <f>IF(tblSalaries[[#This Row],[Job Type]]=tblSalaries[[#Headers],[Misc.]],tblSalaries[[#This Row],[Salary in USD]],"")</f>
        <v/>
      </c>
      <c r="AC1320" s="13" t="str">
        <f>IF(tblSalaries[[#This Row],[Job Type]]=tblSalaries[[#Headers],[Reporting]],tblSalaries[[#This Row],[Salary in USD]],"")</f>
        <v/>
      </c>
      <c r="AD1320" s="13" t="str">
        <f>IF(tblSalaries[[#This Row],[Job Type]]=tblSalaries[[#Headers],[Specialist]],tblSalaries[[#This Row],[Salary in USD]],"")</f>
        <v/>
      </c>
    </row>
    <row r="1321" spans="2:30" ht="15" customHeight="1" x14ac:dyDescent="0.25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 s="9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  <c r="N1321" t="str">
        <f>IF(tblSalaries[[#This Row],[Years of Experience]]="","",IF(tblSalaries[[#This Row],[Years of Experience]]&lt;=2,1,""))</f>
        <v/>
      </c>
      <c r="O1321" t="str">
        <f>IF(tblSalaries[[#This Row],[Years of Experience]]="","",IF(AND(tblSalaries[[#This Row],[Years of Experience]]&gt;2,tblSalaries[[#This Row],[Years of Experience]]&lt;=5),1,""))</f>
        <v/>
      </c>
      <c r="P1321">
        <f>IF(tblSalaries[[#This Row],[Years of Experience]]="","",IF(AND(tblSalaries[[#This Row],[Years of Experience]]&gt;5,tblSalaries[[#This Row],[Years of Experience]]&lt;=10),1,""))</f>
        <v>1</v>
      </c>
      <c r="Q1321" t="str">
        <f>IF(tblSalaries[[#This Row],[Years of Experience]]="","",IF(AND(tblSalaries[[#This Row],[Years of Experience]]&gt;10,tblSalaries[[#This Row],[Years of Experience]]&lt;=15),1,""))</f>
        <v/>
      </c>
      <c r="R1321" t="str">
        <f>IF(tblSalaries[[#This Row],[Years of Experience]]="","",IF(AND(tblSalaries[[#This Row],[Years of Experience]]&gt;16,tblSalaries[[#This Row],[Years of Experience]]&lt;=20),1,""))</f>
        <v/>
      </c>
      <c r="S1321" t="str">
        <f>IF(tblSalaries[[#This Row],[Years of Experience]]="","",IF(tblSalaries[[#This Row],[Years of Experience]]&gt;20,1,""))</f>
        <v/>
      </c>
      <c r="T13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21" s="13" t="str">
        <f>IF(tblSalaries[[#This Row],[Job Type]]=tblSalaries[[#Headers],[Accountant]],tblSalaries[[#This Row],[Salary in USD]],"")</f>
        <v/>
      </c>
      <c r="V1321" s="13">
        <f>IF(tblSalaries[[#This Row],[Job Type]]=tblSalaries[[#Headers],[Analyst]],tblSalaries[[#This Row],[Salary in USD]],"")</f>
        <v>47285.348162018527</v>
      </c>
      <c r="W1321" s="13" t="str">
        <f>IF(tblSalaries[[#This Row],[Job Type]]=tblSalaries[[#Headers],[Consultant]],tblSalaries[[#This Row],[Salary in USD]],"")</f>
        <v/>
      </c>
      <c r="X1321" s="13" t="str">
        <f>IF(tblSalaries[[#This Row],[Job Type]]=tblSalaries[[#Headers],[Controller]],tblSalaries[[#This Row],[Salary in USD]],"")</f>
        <v/>
      </c>
      <c r="Y1321" s="13" t="str">
        <f>IF(tblSalaries[[#This Row],[Job Type]]=tblSalaries[[#Headers],[CXO or Top Mgmt.]],tblSalaries[[#This Row],[clean Salary (in local currency)]],"")</f>
        <v/>
      </c>
      <c r="Z1321" s="13" t="str">
        <f>IF(tblSalaries[[#This Row],[Job Type]]=tblSalaries[[#Headers],[Engineer]],tblSalaries[[#This Row],[Salary in USD]],"")</f>
        <v/>
      </c>
      <c r="AA1321" s="13" t="str">
        <f>IF(tblSalaries[[#This Row],[Job Type]]=tblSalaries[[#Headers],[Manager]],tblSalaries[[#This Row],[Salary in USD]],"")</f>
        <v/>
      </c>
      <c r="AB1321" s="13" t="str">
        <f>IF(tblSalaries[[#This Row],[Job Type]]=tblSalaries[[#Headers],[Misc.]],tblSalaries[[#This Row],[Salary in USD]],"")</f>
        <v/>
      </c>
      <c r="AC1321" s="13" t="str">
        <f>IF(tblSalaries[[#This Row],[Job Type]]=tblSalaries[[#Headers],[Reporting]],tblSalaries[[#This Row],[Salary in USD]],"")</f>
        <v/>
      </c>
      <c r="AD1321" s="13" t="str">
        <f>IF(tblSalaries[[#This Row],[Job Type]]=tblSalaries[[#Headers],[Specialist]],tblSalaries[[#This Row],[Salary in USD]],"")</f>
        <v/>
      </c>
    </row>
    <row r="1322" spans="2:30" ht="15" customHeight="1" x14ac:dyDescent="0.25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 s="9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  <c r="N1322" t="str">
        <f>IF(tblSalaries[[#This Row],[Years of Experience]]="","",IF(tblSalaries[[#This Row],[Years of Experience]]&lt;=2,1,""))</f>
        <v/>
      </c>
      <c r="O1322">
        <f>IF(tblSalaries[[#This Row],[Years of Experience]]="","",IF(AND(tblSalaries[[#This Row],[Years of Experience]]&gt;2,tblSalaries[[#This Row],[Years of Experience]]&lt;=5),1,""))</f>
        <v>1</v>
      </c>
      <c r="P1322" t="str">
        <f>IF(tblSalaries[[#This Row],[Years of Experience]]="","",IF(AND(tblSalaries[[#This Row],[Years of Experience]]&gt;5,tblSalaries[[#This Row],[Years of Experience]]&lt;=10),1,""))</f>
        <v/>
      </c>
      <c r="Q1322" t="str">
        <f>IF(tblSalaries[[#This Row],[Years of Experience]]="","",IF(AND(tblSalaries[[#This Row],[Years of Experience]]&gt;10,tblSalaries[[#This Row],[Years of Experience]]&lt;=15),1,""))</f>
        <v/>
      </c>
      <c r="R1322" t="str">
        <f>IF(tblSalaries[[#This Row],[Years of Experience]]="","",IF(AND(tblSalaries[[#This Row],[Years of Experience]]&gt;16,tblSalaries[[#This Row],[Years of Experience]]&lt;=20),1,""))</f>
        <v/>
      </c>
      <c r="S1322" t="str">
        <f>IF(tblSalaries[[#This Row],[Years of Experience]]="","",IF(tblSalaries[[#This Row],[Years of Experience]]&gt;20,1,""))</f>
        <v/>
      </c>
      <c r="T13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22" s="13" t="str">
        <f>IF(tblSalaries[[#This Row],[Job Type]]=tblSalaries[[#Headers],[Accountant]],tblSalaries[[#This Row],[Salary in USD]],"")</f>
        <v/>
      </c>
      <c r="V1322" s="13" t="str">
        <f>IF(tblSalaries[[#This Row],[Job Type]]=tblSalaries[[#Headers],[Analyst]],tblSalaries[[#This Row],[Salary in USD]],"")</f>
        <v/>
      </c>
      <c r="W1322" s="13" t="str">
        <f>IF(tblSalaries[[#This Row],[Job Type]]=tblSalaries[[#Headers],[Consultant]],tblSalaries[[#This Row],[Salary in USD]],"")</f>
        <v/>
      </c>
      <c r="X1322" s="13" t="str">
        <f>IF(tblSalaries[[#This Row],[Job Type]]=tblSalaries[[#Headers],[Controller]],tblSalaries[[#This Row],[Salary in USD]],"")</f>
        <v/>
      </c>
      <c r="Y1322" s="13" t="str">
        <f>IF(tblSalaries[[#This Row],[Job Type]]=tblSalaries[[#Headers],[CXO or Top Mgmt.]],tblSalaries[[#This Row],[clean Salary (in local currency)]],"")</f>
        <v/>
      </c>
      <c r="Z1322" s="13" t="str">
        <f>IF(tblSalaries[[#This Row],[Job Type]]=tblSalaries[[#Headers],[Engineer]],tblSalaries[[#This Row],[Salary in USD]],"")</f>
        <v/>
      </c>
      <c r="AA1322" s="13">
        <f>IF(tblSalaries[[#This Row],[Job Type]]=tblSalaries[[#Headers],[Manager]],tblSalaries[[#This Row],[Salary in USD]],"")</f>
        <v>5300</v>
      </c>
      <c r="AB1322" s="13" t="str">
        <f>IF(tblSalaries[[#This Row],[Job Type]]=tblSalaries[[#Headers],[Misc.]],tblSalaries[[#This Row],[Salary in USD]],"")</f>
        <v/>
      </c>
      <c r="AC1322" s="13" t="str">
        <f>IF(tblSalaries[[#This Row],[Job Type]]=tblSalaries[[#Headers],[Reporting]],tblSalaries[[#This Row],[Salary in USD]],"")</f>
        <v/>
      </c>
      <c r="AD1322" s="13" t="str">
        <f>IF(tblSalaries[[#This Row],[Job Type]]=tblSalaries[[#Headers],[Specialist]],tblSalaries[[#This Row],[Salary in USD]],"")</f>
        <v/>
      </c>
    </row>
    <row r="1323" spans="2:30" ht="15" customHeight="1" x14ac:dyDescent="0.25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 s="9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  <c r="N1323" t="str">
        <f>IF(tblSalaries[[#This Row],[Years of Experience]]="","",IF(tblSalaries[[#This Row],[Years of Experience]]&lt;=2,1,""))</f>
        <v/>
      </c>
      <c r="O1323" t="str">
        <f>IF(tblSalaries[[#This Row],[Years of Experience]]="","",IF(AND(tblSalaries[[#This Row],[Years of Experience]]&gt;2,tblSalaries[[#This Row],[Years of Experience]]&lt;=5),1,""))</f>
        <v/>
      </c>
      <c r="P1323" t="str">
        <f>IF(tblSalaries[[#This Row],[Years of Experience]]="","",IF(AND(tblSalaries[[#This Row],[Years of Experience]]&gt;5,tblSalaries[[#This Row],[Years of Experience]]&lt;=10),1,""))</f>
        <v/>
      </c>
      <c r="Q1323">
        <f>IF(tblSalaries[[#This Row],[Years of Experience]]="","",IF(AND(tblSalaries[[#This Row],[Years of Experience]]&gt;10,tblSalaries[[#This Row],[Years of Experience]]&lt;=15),1,""))</f>
        <v>1</v>
      </c>
      <c r="R1323" t="str">
        <f>IF(tblSalaries[[#This Row],[Years of Experience]]="","",IF(AND(tblSalaries[[#This Row],[Years of Experience]]&gt;16,tblSalaries[[#This Row],[Years of Experience]]&lt;=20),1,""))</f>
        <v/>
      </c>
      <c r="S1323" t="str">
        <f>IF(tblSalaries[[#This Row],[Years of Experience]]="","",IF(tblSalaries[[#This Row],[Years of Experience]]&gt;20,1,""))</f>
        <v/>
      </c>
      <c r="T13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23" s="13" t="str">
        <f>IF(tblSalaries[[#This Row],[Job Type]]=tblSalaries[[#Headers],[Accountant]],tblSalaries[[#This Row],[Salary in USD]],"")</f>
        <v/>
      </c>
      <c r="V1323" s="13">
        <f>IF(tblSalaries[[#This Row],[Job Type]]=tblSalaries[[#Headers],[Analyst]],tblSalaries[[#This Row],[Salary in USD]],"")</f>
        <v>43828.780645210471</v>
      </c>
      <c r="W1323" s="13" t="str">
        <f>IF(tblSalaries[[#This Row],[Job Type]]=tblSalaries[[#Headers],[Consultant]],tblSalaries[[#This Row],[Salary in USD]],"")</f>
        <v/>
      </c>
      <c r="X1323" s="13" t="str">
        <f>IF(tblSalaries[[#This Row],[Job Type]]=tblSalaries[[#Headers],[Controller]],tblSalaries[[#This Row],[Salary in USD]],"")</f>
        <v/>
      </c>
      <c r="Y1323" s="13" t="str">
        <f>IF(tblSalaries[[#This Row],[Job Type]]=tblSalaries[[#Headers],[CXO or Top Mgmt.]],tblSalaries[[#This Row],[clean Salary (in local currency)]],"")</f>
        <v/>
      </c>
      <c r="Z1323" s="13" t="str">
        <f>IF(tblSalaries[[#This Row],[Job Type]]=tblSalaries[[#Headers],[Engineer]],tblSalaries[[#This Row],[Salary in USD]],"")</f>
        <v/>
      </c>
      <c r="AA1323" s="13" t="str">
        <f>IF(tblSalaries[[#This Row],[Job Type]]=tblSalaries[[#Headers],[Manager]],tblSalaries[[#This Row],[Salary in USD]],"")</f>
        <v/>
      </c>
      <c r="AB1323" s="13" t="str">
        <f>IF(tblSalaries[[#This Row],[Job Type]]=tblSalaries[[#Headers],[Misc.]],tblSalaries[[#This Row],[Salary in USD]],"")</f>
        <v/>
      </c>
      <c r="AC1323" s="13" t="str">
        <f>IF(tblSalaries[[#This Row],[Job Type]]=tblSalaries[[#Headers],[Reporting]],tblSalaries[[#This Row],[Salary in USD]],"")</f>
        <v/>
      </c>
      <c r="AD1323" s="13" t="str">
        <f>IF(tblSalaries[[#This Row],[Job Type]]=tblSalaries[[#Headers],[Specialist]],tblSalaries[[#This Row],[Salary in USD]],"")</f>
        <v/>
      </c>
    </row>
    <row r="1324" spans="2:30" ht="15" customHeight="1" x14ac:dyDescent="0.25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 s="9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  <c r="N1324" t="str">
        <f>IF(tblSalaries[[#This Row],[Years of Experience]]="","",IF(tblSalaries[[#This Row],[Years of Experience]]&lt;=2,1,""))</f>
        <v/>
      </c>
      <c r="O1324" t="str">
        <f>IF(tblSalaries[[#This Row],[Years of Experience]]="","",IF(AND(tblSalaries[[#This Row],[Years of Experience]]&gt;2,tblSalaries[[#This Row],[Years of Experience]]&lt;=5),1,""))</f>
        <v/>
      </c>
      <c r="P1324" t="str">
        <f>IF(tblSalaries[[#This Row],[Years of Experience]]="","",IF(AND(tblSalaries[[#This Row],[Years of Experience]]&gt;5,tblSalaries[[#This Row],[Years of Experience]]&lt;=10),1,""))</f>
        <v/>
      </c>
      <c r="Q1324">
        <f>IF(tblSalaries[[#This Row],[Years of Experience]]="","",IF(AND(tblSalaries[[#This Row],[Years of Experience]]&gt;10,tblSalaries[[#This Row],[Years of Experience]]&lt;=15),1,""))</f>
        <v>1</v>
      </c>
      <c r="R1324" t="str">
        <f>IF(tblSalaries[[#This Row],[Years of Experience]]="","",IF(AND(tblSalaries[[#This Row],[Years of Experience]]&gt;16,tblSalaries[[#This Row],[Years of Experience]]&lt;=20),1,""))</f>
        <v/>
      </c>
      <c r="S1324" t="str">
        <f>IF(tblSalaries[[#This Row],[Years of Experience]]="","",IF(tblSalaries[[#This Row],[Years of Experience]]&gt;20,1,""))</f>
        <v/>
      </c>
      <c r="T13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24" s="13" t="str">
        <f>IF(tblSalaries[[#This Row],[Job Type]]=tblSalaries[[#Headers],[Accountant]],tblSalaries[[#This Row],[Salary in USD]],"")</f>
        <v/>
      </c>
      <c r="V1324" s="13">
        <f>IF(tblSalaries[[#This Row],[Job Type]]=tblSalaries[[#Headers],[Analyst]],tblSalaries[[#This Row],[Salary in USD]],"")</f>
        <v>80000</v>
      </c>
      <c r="W1324" s="13" t="str">
        <f>IF(tblSalaries[[#This Row],[Job Type]]=tblSalaries[[#Headers],[Consultant]],tblSalaries[[#This Row],[Salary in USD]],"")</f>
        <v/>
      </c>
      <c r="X1324" s="13" t="str">
        <f>IF(tblSalaries[[#This Row],[Job Type]]=tblSalaries[[#Headers],[Controller]],tblSalaries[[#This Row],[Salary in USD]],"")</f>
        <v/>
      </c>
      <c r="Y1324" s="13" t="str">
        <f>IF(tblSalaries[[#This Row],[Job Type]]=tblSalaries[[#Headers],[CXO or Top Mgmt.]],tblSalaries[[#This Row],[clean Salary (in local currency)]],"")</f>
        <v/>
      </c>
      <c r="Z1324" s="13" t="str">
        <f>IF(tblSalaries[[#This Row],[Job Type]]=tblSalaries[[#Headers],[Engineer]],tblSalaries[[#This Row],[Salary in USD]],"")</f>
        <v/>
      </c>
      <c r="AA1324" s="13" t="str">
        <f>IF(tblSalaries[[#This Row],[Job Type]]=tblSalaries[[#Headers],[Manager]],tblSalaries[[#This Row],[Salary in USD]],"")</f>
        <v/>
      </c>
      <c r="AB1324" s="13" t="str">
        <f>IF(tblSalaries[[#This Row],[Job Type]]=tblSalaries[[#Headers],[Misc.]],tblSalaries[[#This Row],[Salary in USD]],"")</f>
        <v/>
      </c>
      <c r="AC1324" s="13" t="str">
        <f>IF(tblSalaries[[#This Row],[Job Type]]=tblSalaries[[#Headers],[Reporting]],tblSalaries[[#This Row],[Salary in USD]],"")</f>
        <v/>
      </c>
      <c r="AD1324" s="13" t="str">
        <f>IF(tblSalaries[[#This Row],[Job Type]]=tblSalaries[[#Headers],[Specialist]],tblSalaries[[#This Row],[Salary in USD]],"")</f>
        <v/>
      </c>
    </row>
    <row r="1325" spans="2:30" ht="15" customHeight="1" x14ac:dyDescent="0.25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 s="9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  <c r="N1325" t="str">
        <f>IF(tblSalaries[[#This Row],[Years of Experience]]="","",IF(tblSalaries[[#This Row],[Years of Experience]]&lt;=2,1,""))</f>
        <v/>
      </c>
      <c r="O1325">
        <f>IF(tblSalaries[[#This Row],[Years of Experience]]="","",IF(AND(tblSalaries[[#This Row],[Years of Experience]]&gt;2,tblSalaries[[#This Row],[Years of Experience]]&lt;=5),1,""))</f>
        <v>1</v>
      </c>
      <c r="P1325" t="str">
        <f>IF(tblSalaries[[#This Row],[Years of Experience]]="","",IF(AND(tblSalaries[[#This Row],[Years of Experience]]&gt;5,tblSalaries[[#This Row],[Years of Experience]]&lt;=10),1,""))</f>
        <v/>
      </c>
      <c r="Q1325" t="str">
        <f>IF(tblSalaries[[#This Row],[Years of Experience]]="","",IF(AND(tblSalaries[[#This Row],[Years of Experience]]&gt;10,tblSalaries[[#This Row],[Years of Experience]]&lt;=15),1,""))</f>
        <v/>
      </c>
      <c r="R1325" t="str">
        <f>IF(tblSalaries[[#This Row],[Years of Experience]]="","",IF(AND(tblSalaries[[#This Row],[Years of Experience]]&gt;16,tblSalaries[[#This Row],[Years of Experience]]&lt;=20),1,""))</f>
        <v/>
      </c>
      <c r="S1325" t="str">
        <f>IF(tblSalaries[[#This Row],[Years of Experience]]="","",IF(tblSalaries[[#This Row],[Years of Experience]]&gt;20,1,""))</f>
        <v/>
      </c>
      <c r="T13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25" s="13" t="str">
        <f>IF(tblSalaries[[#This Row],[Job Type]]=tblSalaries[[#Headers],[Accountant]],tblSalaries[[#This Row],[Salary in USD]],"")</f>
        <v/>
      </c>
      <c r="V1325" s="13">
        <f>IF(tblSalaries[[#This Row],[Job Type]]=tblSalaries[[#Headers],[Analyst]],tblSalaries[[#This Row],[Salary in USD]],"")</f>
        <v>11518.711713336908</v>
      </c>
      <c r="W1325" s="13" t="str">
        <f>IF(tblSalaries[[#This Row],[Job Type]]=tblSalaries[[#Headers],[Consultant]],tblSalaries[[#This Row],[Salary in USD]],"")</f>
        <v/>
      </c>
      <c r="X1325" s="13" t="str">
        <f>IF(tblSalaries[[#This Row],[Job Type]]=tblSalaries[[#Headers],[Controller]],tblSalaries[[#This Row],[Salary in USD]],"")</f>
        <v/>
      </c>
      <c r="Y1325" s="13" t="str">
        <f>IF(tblSalaries[[#This Row],[Job Type]]=tblSalaries[[#Headers],[CXO or Top Mgmt.]],tblSalaries[[#This Row],[clean Salary (in local currency)]],"")</f>
        <v/>
      </c>
      <c r="Z1325" s="13" t="str">
        <f>IF(tblSalaries[[#This Row],[Job Type]]=tblSalaries[[#Headers],[Engineer]],tblSalaries[[#This Row],[Salary in USD]],"")</f>
        <v/>
      </c>
      <c r="AA1325" s="13" t="str">
        <f>IF(tblSalaries[[#This Row],[Job Type]]=tblSalaries[[#Headers],[Manager]],tblSalaries[[#This Row],[Salary in USD]],"")</f>
        <v/>
      </c>
      <c r="AB1325" s="13" t="str">
        <f>IF(tblSalaries[[#This Row],[Job Type]]=tblSalaries[[#Headers],[Misc.]],tblSalaries[[#This Row],[Salary in USD]],"")</f>
        <v/>
      </c>
      <c r="AC1325" s="13" t="str">
        <f>IF(tblSalaries[[#This Row],[Job Type]]=tblSalaries[[#Headers],[Reporting]],tblSalaries[[#This Row],[Salary in USD]],"")</f>
        <v/>
      </c>
      <c r="AD1325" s="13" t="str">
        <f>IF(tblSalaries[[#This Row],[Job Type]]=tblSalaries[[#Headers],[Specialist]],tblSalaries[[#This Row],[Salary in USD]],"")</f>
        <v/>
      </c>
    </row>
    <row r="1326" spans="2:30" ht="15" customHeight="1" x14ac:dyDescent="0.25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 s="9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  <c r="N1326" t="str">
        <f>IF(tblSalaries[[#This Row],[Years of Experience]]="","",IF(tblSalaries[[#This Row],[Years of Experience]]&lt;=2,1,""))</f>
        <v/>
      </c>
      <c r="O1326" t="str">
        <f>IF(tblSalaries[[#This Row],[Years of Experience]]="","",IF(AND(tblSalaries[[#This Row],[Years of Experience]]&gt;2,tblSalaries[[#This Row],[Years of Experience]]&lt;=5),1,""))</f>
        <v/>
      </c>
      <c r="P1326">
        <f>IF(tblSalaries[[#This Row],[Years of Experience]]="","",IF(AND(tblSalaries[[#This Row],[Years of Experience]]&gt;5,tblSalaries[[#This Row],[Years of Experience]]&lt;=10),1,""))</f>
        <v>1</v>
      </c>
      <c r="Q1326" t="str">
        <f>IF(tblSalaries[[#This Row],[Years of Experience]]="","",IF(AND(tblSalaries[[#This Row],[Years of Experience]]&gt;10,tblSalaries[[#This Row],[Years of Experience]]&lt;=15),1,""))</f>
        <v/>
      </c>
      <c r="R1326" t="str">
        <f>IF(tblSalaries[[#This Row],[Years of Experience]]="","",IF(AND(tblSalaries[[#This Row],[Years of Experience]]&gt;16,tblSalaries[[#This Row],[Years of Experience]]&lt;=20),1,""))</f>
        <v/>
      </c>
      <c r="S1326" t="str">
        <f>IF(tblSalaries[[#This Row],[Years of Experience]]="","",IF(tblSalaries[[#This Row],[Years of Experience]]&gt;20,1,""))</f>
        <v/>
      </c>
      <c r="T13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26" s="13" t="str">
        <f>IF(tblSalaries[[#This Row],[Job Type]]=tblSalaries[[#Headers],[Accountant]],tblSalaries[[#This Row],[Salary in USD]],"")</f>
        <v/>
      </c>
      <c r="V1326" s="13">
        <f>IF(tblSalaries[[#This Row],[Job Type]]=tblSalaries[[#Headers],[Analyst]],tblSalaries[[#This Row],[Salary in USD]],"")</f>
        <v>152986.44846039536</v>
      </c>
      <c r="W1326" s="13" t="str">
        <f>IF(tblSalaries[[#This Row],[Job Type]]=tblSalaries[[#Headers],[Consultant]],tblSalaries[[#This Row],[Salary in USD]],"")</f>
        <v/>
      </c>
      <c r="X1326" s="13" t="str">
        <f>IF(tblSalaries[[#This Row],[Job Type]]=tblSalaries[[#Headers],[Controller]],tblSalaries[[#This Row],[Salary in USD]],"")</f>
        <v/>
      </c>
      <c r="Y1326" s="13" t="str">
        <f>IF(tblSalaries[[#This Row],[Job Type]]=tblSalaries[[#Headers],[CXO or Top Mgmt.]],tblSalaries[[#This Row],[clean Salary (in local currency)]],"")</f>
        <v/>
      </c>
      <c r="Z1326" s="13" t="str">
        <f>IF(tblSalaries[[#This Row],[Job Type]]=tblSalaries[[#Headers],[Engineer]],tblSalaries[[#This Row],[Salary in USD]],"")</f>
        <v/>
      </c>
      <c r="AA1326" s="13" t="str">
        <f>IF(tblSalaries[[#This Row],[Job Type]]=tblSalaries[[#Headers],[Manager]],tblSalaries[[#This Row],[Salary in USD]],"")</f>
        <v/>
      </c>
      <c r="AB1326" s="13" t="str">
        <f>IF(tblSalaries[[#This Row],[Job Type]]=tblSalaries[[#Headers],[Misc.]],tblSalaries[[#This Row],[Salary in USD]],"")</f>
        <v/>
      </c>
      <c r="AC1326" s="13" t="str">
        <f>IF(tblSalaries[[#This Row],[Job Type]]=tblSalaries[[#Headers],[Reporting]],tblSalaries[[#This Row],[Salary in USD]],"")</f>
        <v/>
      </c>
      <c r="AD1326" s="13" t="str">
        <f>IF(tblSalaries[[#This Row],[Job Type]]=tblSalaries[[#Headers],[Specialist]],tblSalaries[[#This Row],[Salary in USD]],"")</f>
        <v/>
      </c>
    </row>
    <row r="1327" spans="2:30" ht="15" customHeight="1" x14ac:dyDescent="0.25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 s="9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  <c r="N1327">
        <f>IF(tblSalaries[[#This Row],[Years of Experience]]="","",IF(tblSalaries[[#This Row],[Years of Experience]]&lt;=2,1,""))</f>
        <v>1</v>
      </c>
      <c r="O1327" t="str">
        <f>IF(tblSalaries[[#This Row],[Years of Experience]]="","",IF(AND(tblSalaries[[#This Row],[Years of Experience]]&gt;2,tblSalaries[[#This Row],[Years of Experience]]&lt;=5),1,""))</f>
        <v/>
      </c>
      <c r="P1327" t="str">
        <f>IF(tblSalaries[[#This Row],[Years of Experience]]="","",IF(AND(tblSalaries[[#This Row],[Years of Experience]]&gt;5,tblSalaries[[#This Row],[Years of Experience]]&lt;=10),1,""))</f>
        <v/>
      </c>
      <c r="Q1327" t="str">
        <f>IF(tblSalaries[[#This Row],[Years of Experience]]="","",IF(AND(tblSalaries[[#This Row],[Years of Experience]]&gt;10,tblSalaries[[#This Row],[Years of Experience]]&lt;=15),1,""))</f>
        <v/>
      </c>
      <c r="R1327" t="str">
        <f>IF(tblSalaries[[#This Row],[Years of Experience]]="","",IF(AND(tblSalaries[[#This Row],[Years of Experience]]&gt;16,tblSalaries[[#This Row],[Years of Experience]]&lt;=20),1,""))</f>
        <v/>
      </c>
      <c r="S1327" t="str">
        <f>IF(tblSalaries[[#This Row],[Years of Experience]]="","",IF(tblSalaries[[#This Row],[Years of Experience]]&gt;20,1,""))</f>
        <v/>
      </c>
      <c r="T13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27" s="13" t="str">
        <f>IF(tblSalaries[[#This Row],[Job Type]]=tblSalaries[[#Headers],[Accountant]],tblSalaries[[#This Row],[Salary in USD]],"")</f>
        <v/>
      </c>
      <c r="V1327" s="13" t="str">
        <f>IF(tblSalaries[[#This Row],[Job Type]]=tblSalaries[[#Headers],[Analyst]],tblSalaries[[#This Row],[Salary in USD]],"")</f>
        <v/>
      </c>
      <c r="W1327" s="13" t="str">
        <f>IF(tblSalaries[[#This Row],[Job Type]]=tblSalaries[[#Headers],[Consultant]],tblSalaries[[#This Row],[Salary in USD]],"")</f>
        <v/>
      </c>
      <c r="X1327" s="13" t="str">
        <f>IF(tblSalaries[[#This Row],[Job Type]]=tblSalaries[[#Headers],[Controller]],tblSalaries[[#This Row],[Salary in USD]],"")</f>
        <v/>
      </c>
      <c r="Y1327" s="13" t="str">
        <f>IF(tblSalaries[[#This Row],[Job Type]]=tblSalaries[[#Headers],[CXO or Top Mgmt.]],tblSalaries[[#This Row],[clean Salary (in local currency)]],"")</f>
        <v/>
      </c>
      <c r="Z1327" s="13" t="str">
        <f>IF(tblSalaries[[#This Row],[Job Type]]=tblSalaries[[#Headers],[Engineer]],tblSalaries[[#This Row],[Salary in USD]],"")</f>
        <v/>
      </c>
      <c r="AA1327" s="13">
        <f>IF(tblSalaries[[#This Row],[Job Type]]=tblSalaries[[#Headers],[Manager]],tblSalaries[[#This Row],[Salary in USD]],"")</f>
        <v>125000</v>
      </c>
      <c r="AB1327" s="13" t="str">
        <f>IF(tblSalaries[[#This Row],[Job Type]]=tblSalaries[[#Headers],[Misc.]],tblSalaries[[#This Row],[Salary in USD]],"")</f>
        <v/>
      </c>
      <c r="AC1327" s="13" t="str">
        <f>IF(tblSalaries[[#This Row],[Job Type]]=tblSalaries[[#Headers],[Reporting]],tblSalaries[[#This Row],[Salary in USD]],"")</f>
        <v/>
      </c>
      <c r="AD1327" s="13" t="str">
        <f>IF(tblSalaries[[#This Row],[Job Type]]=tblSalaries[[#Headers],[Specialist]],tblSalaries[[#This Row],[Salary in USD]],"")</f>
        <v/>
      </c>
    </row>
    <row r="1328" spans="2:30" ht="15" customHeight="1" x14ac:dyDescent="0.25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 s="9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  <c r="N1328" t="str">
        <f>IF(tblSalaries[[#This Row],[Years of Experience]]="","",IF(tblSalaries[[#This Row],[Years of Experience]]&lt;=2,1,""))</f>
        <v/>
      </c>
      <c r="O1328" t="str">
        <f>IF(tblSalaries[[#This Row],[Years of Experience]]="","",IF(AND(tblSalaries[[#This Row],[Years of Experience]]&gt;2,tblSalaries[[#This Row],[Years of Experience]]&lt;=5),1,""))</f>
        <v/>
      </c>
      <c r="P1328" t="str">
        <f>IF(tblSalaries[[#This Row],[Years of Experience]]="","",IF(AND(tblSalaries[[#This Row],[Years of Experience]]&gt;5,tblSalaries[[#This Row],[Years of Experience]]&lt;=10),1,""))</f>
        <v/>
      </c>
      <c r="Q1328" t="str">
        <f>IF(tblSalaries[[#This Row],[Years of Experience]]="","",IF(AND(tblSalaries[[#This Row],[Years of Experience]]&gt;10,tblSalaries[[#This Row],[Years of Experience]]&lt;=15),1,""))</f>
        <v/>
      </c>
      <c r="R1328" t="str">
        <f>IF(tblSalaries[[#This Row],[Years of Experience]]="","",IF(AND(tblSalaries[[#This Row],[Years of Experience]]&gt;16,tblSalaries[[#This Row],[Years of Experience]]&lt;=20),1,""))</f>
        <v/>
      </c>
      <c r="S1328">
        <f>IF(tblSalaries[[#This Row],[Years of Experience]]="","",IF(tblSalaries[[#This Row],[Years of Experience]]&gt;20,1,""))</f>
        <v>1</v>
      </c>
      <c r="T13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28" s="13" t="str">
        <f>IF(tblSalaries[[#This Row],[Job Type]]=tblSalaries[[#Headers],[Accountant]],tblSalaries[[#This Row],[Salary in USD]],"")</f>
        <v/>
      </c>
      <c r="V1328" s="13" t="str">
        <f>IF(tblSalaries[[#This Row],[Job Type]]=tblSalaries[[#Headers],[Analyst]],tblSalaries[[#This Row],[Salary in USD]],"")</f>
        <v/>
      </c>
      <c r="W1328" s="13">
        <f>IF(tblSalaries[[#This Row],[Job Type]]=tblSalaries[[#Headers],[Consultant]],tblSalaries[[#This Row],[Salary in USD]],"")</f>
        <v>101990.96564026357</v>
      </c>
      <c r="X1328" s="13" t="str">
        <f>IF(tblSalaries[[#This Row],[Job Type]]=tblSalaries[[#Headers],[Controller]],tblSalaries[[#This Row],[Salary in USD]],"")</f>
        <v/>
      </c>
      <c r="Y1328" s="13" t="str">
        <f>IF(tblSalaries[[#This Row],[Job Type]]=tblSalaries[[#Headers],[CXO or Top Mgmt.]],tblSalaries[[#This Row],[clean Salary (in local currency)]],"")</f>
        <v/>
      </c>
      <c r="Z1328" s="13" t="str">
        <f>IF(tblSalaries[[#This Row],[Job Type]]=tblSalaries[[#Headers],[Engineer]],tblSalaries[[#This Row],[Salary in USD]],"")</f>
        <v/>
      </c>
      <c r="AA1328" s="13" t="str">
        <f>IF(tblSalaries[[#This Row],[Job Type]]=tblSalaries[[#Headers],[Manager]],tblSalaries[[#This Row],[Salary in USD]],"")</f>
        <v/>
      </c>
      <c r="AB1328" s="13" t="str">
        <f>IF(tblSalaries[[#This Row],[Job Type]]=tblSalaries[[#Headers],[Misc.]],tblSalaries[[#This Row],[Salary in USD]],"")</f>
        <v/>
      </c>
      <c r="AC1328" s="13" t="str">
        <f>IF(tblSalaries[[#This Row],[Job Type]]=tblSalaries[[#Headers],[Reporting]],tblSalaries[[#This Row],[Salary in USD]],"")</f>
        <v/>
      </c>
      <c r="AD1328" s="13" t="str">
        <f>IF(tblSalaries[[#This Row],[Job Type]]=tblSalaries[[#Headers],[Specialist]],tblSalaries[[#This Row],[Salary in USD]],"")</f>
        <v/>
      </c>
    </row>
    <row r="1329" spans="2:30" ht="15" customHeight="1" x14ac:dyDescent="0.25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 s="9">
        <f>tblSalaries[[#This Row],[clean Salary (in local currency)]]*VLOOKUP(tblSalaries[[#This Row],[Currency]],tblXrate[],2,FALSE)</f>
        <v>105000</v>
      </c>
      <c r="H1329" t="s">
        <v>1518</v>
      </c>
      <c r="I1329" t="s">
        <v>4001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  <c r="N1329" t="str">
        <f>IF(tblSalaries[[#This Row],[Years of Experience]]="","",IF(tblSalaries[[#This Row],[Years of Experience]]&lt;=2,1,""))</f>
        <v/>
      </c>
      <c r="O1329" t="str">
        <f>IF(tblSalaries[[#This Row],[Years of Experience]]="","",IF(AND(tblSalaries[[#This Row],[Years of Experience]]&gt;2,tblSalaries[[#This Row],[Years of Experience]]&lt;=5),1,""))</f>
        <v/>
      </c>
      <c r="P1329" t="str">
        <f>IF(tblSalaries[[#This Row],[Years of Experience]]="","",IF(AND(tblSalaries[[#This Row],[Years of Experience]]&gt;5,tblSalaries[[#This Row],[Years of Experience]]&lt;=10),1,""))</f>
        <v/>
      </c>
      <c r="Q1329">
        <f>IF(tblSalaries[[#This Row],[Years of Experience]]="","",IF(AND(tblSalaries[[#This Row],[Years of Experience]]&gt;10,tblSalaries[[#This Row],[Years of Experience]]&lt;=15),1,""))</f>
        <v>1</v>
      </c>
      <c r="R1329" t="str">
        <f>IF(tblSalaries[[#This Row],[Years of Experience]]="","",IF(AND(tblSalaries[[#This Row],[Years of Experience]]&gt;16,tblSalaries[[#This Row],[Years of Experience]]&lt;=20),1,""))</f>
        <v/>
      </c>
      <c r="S1329" t="str">
        <f>IF(tblSalaries[[#This Row],[Years of Experience]]="","",IF(tblSalaries[[#This Row],[Years of Experience]]&gt;20,1,""))</f>
        <v/>
      </c>
      <c r="T13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29" s="13" t="str">
        <f>IF(tblSalaries[[#This Row],[Job Type]]=tblSalaries[[#Headers],[Accountant]],tblSalaries[[#This Row],[Salary in USD]],"")</f>
        <v/>
      </c>
      <c r="V1329" s="13" t="str">
        <f>IF(tblSalaries[[#This Row],[Job Type]]=tblSalaries[[#Headers],[Analyst]],tblSalaries[[#This Row],[Salary in USD]],"")</f>
        <v/>
      </c>
      <c r="W1329" s="13" t="str">
        <f>IF(tblSalaries[[#This Row],[Job Type]]=tblSalaries[[#Headers],[Consultant]],tblSalaries[[#This Row],[Salary in USD]],"")</f>
        <v/>
      </c>
      <c r="X1329" s="13" t="str">
        <f>IF(tblSalaries[[#This Row],[Job Type]]=tblSalaries[[#Headers],[Controller]],tblSalaries[[#This Row],[Salary in USD]],"")</f>
        <v/>
      </c>
      <c r="Y1329" s="13">
        <f>IF(tblSalaries[[#This Row],[Job Type]]=tblSalaries[[#Headers],[CXO or Top Mgmt.]],tblSalaries[[#This Row],[clean Salary (in local currency)]],"")</f>
        <v>105000</v>
      </c>
      <c r="Z1329" s="13" t="str">
        <f>IF(tblSalaries[[#This Row],[Job Type]]=tblSalaries[[#Headers],[Engineer]],tblSalaries[[#This Row],[Salary in USD]],"")</f>
        <v/>
      </c>
      <c r="AA1329" s="13" t="str">
        <f>IF(tblSalaries[[#This Row],[Job Type]]=tblSalaries[[#Headers],[Manager]],tblSalaries[[#This Row],[Salary in USD]],"")</f>
        <v/>
      </c>
      <c r="AB1329" s="13" t="str">
        <f>IF(tblSalaries[[#This Row],[Job Type]]=tblSalaries[[#Headers],[Misc.]],tblSalaries[[#This Row],[Salary in USD]],"")</f>
        <v/>
      </c>
      <c r="AC1329" s="13" t="str">
        <f>IF(tblSalaries[[#This Row],[Job Type]]=tblSalaries[[#Headers],[Reporting]],tblSalaries[[#This Row],[Salary in USD]],"")</f>
        <v/>
      </c>
      <c r="AD1329" s="13" t="str">
        <f>IF(tblSalaries[[#This Row],[Job Type]]=tblSalaries[[#Headers],[Specialist]],tblSalaries[[#This Row],[Salary in USD]],"")</f>
        <v/>
      </c>
    </row>
    <row r="1330" spans="2:30" ht="15" customHeight="1" x14ac:dyDescent="0.25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 s="9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  <c r="N1330" t="str">
        <f>IF(tblSalaries[[#This Row],[Years of Experience]]="","",IF(tblSalaries[[#This Row],[Years of Experience]]&lt;=2,1,""))</f>
        <v/>
      </c>
      <c r="O1330" t="str">
        <f>IF(tblSalaries[[#This Row],[Years of Experience]]="","",IF(AND(tblSalaries[[#This Row],[Years of Experience]]&gt;2,tblSalaries[[#This Row],[Years of Experience]]&lt;=5),1,""))</f>
        <v/>
      </c>
      <c r="P1330" t="str">
        <f>IF(tblSalaries[[#This Row],[Years of Experience]]="","",IF(AND(tblSalaries[[#This Row],[Years of Experience]]&gt;5,tblSalaries[[#This Row],[Years of Experience]]&lt;=10),1,""))</f>
        <v/>
      </c>
      <c r="Q1330" t="str">
        <f>IF(tblSalaries[[#This Row],[Years of Experience]]="","",IF(AND(tblSalaries[[#This Row],[Years of Experience]]&gt;10,tblSalaries[[#This Row],[Years of Experience]]&lt;=15),1,""))</f>
        <v/>
      </c>
      <c r="R1330">
        <f>IF(tblSalaries[[#This Row],[Years of Experience]]="","",IF(AND(tblSalaries[[#This Row],[Years of Experience]]&gt;16,tblSalaries[[#This Row],[Years of Experience]]&lt;=20),1,""))</f>
        <v>1</v>
      </c>
      <c r="S1330" t="str">
        <f>IF(tblSalaries[[#This Row],[Years of Experience]]="","",IF(tblSalaries[[#This Row],[Years of Experience]]&gt;20,1,""))</f>
        <v/>
      </c>
      <c r="T13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30" s="13" t="str">
        <f>IF(tblSalaries[[#This Row],[Job Type]]=tblSalaries[[#Headers],[Accountant]],tblSalaries[[#This Row],[Salary in USD]],"")</f>
        <v/>
      </c>
      <c r="V1330" s="13" t="str">
        <f>IF(tblSalaries[[#This Row],[Job Type]]=tblSalaries[[#Headers],[Analyst]],tblSalaries[[#This Row],[Salary in USD]],"")</f>
        <v/>
      </c>
      <c r="W1330" s="13" t="str">
        <f>IF(tblSalaries[[#This Row],[Job Type]]=tblSalaries[[#Headers],[Consultant]],tblSalaries[[#This Row],[Salary in USD]],"")</f>
        <v/>
      </c>
      <c r="X1330" s="13" t="str">
        <f>IF(tblSalaries[[#This Row],[Job Type]]=tblSalaries[[#Headers],[Controller]],tblSalaries[[#This Row],[Salary in USD]],"")</f>
        <v/>
      </c>
      <c r="Y1330" s="13" t="str">
        <f>IF(tblSalaries[[#This Row],[Job Type]]=tblSalaries[[#Headers],[CXO or Top Mgmt.]],tblSalaries[[#This Row],[clean Salary (in local currency)]],"")</f>
        <v/>
      </c>
      <c r="Z1330" s="13" t="str">
        <f>IF(tblSalaries[[#This Row],[Job Type]]=tblSalaries[[#Headers],[Engineer]],tblSalaries[[#This Row],[Salary in USD]],"")</f>
        <v/>
      </c>
      <c r="AA1330" s="13">
        <f>IF(tblSalaries[[#This Row],[Job Type]]=tblSalaries[[#Headers],[Manager]],tblSalaries[[#This Row],[Salary in USD]],"")</f>
        <v>50815.977559664309</v>
      </c>
      <c r="AB1330" s="13" t="str">
        <f>IF(tblSalaries[[#This Row],[Job Type]]=tblSalaries[[#Headers],[Misc.]],tblSalaries[[#This Row],[Salary in USD]],"")</f>
        <v/>
      </c>
      <c r="AC1330" s="13" t="str">
        <f>IF(tblSalaries[[#This Row],[Job Type]]=tblSalaries[[#Headers],[Reporting]],tblSalaries[[#This Row],[Salary in USD]],"")</f>
        <v/>
      </c>
      <c r="AD1330" s="13" t="str">
        <f>IF(tblSalaries[[#This Row],[Job Type]]=tblSalaries[[#Headers],[Specialist]],tblSalaries[[#This Row],[Salary in USD]],"")</f>
        <v/>
      </c>
    </row>
    <row r="1331" spans="2:30" ht="15" customHeight="1" x14ac:dyDescent="0.25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 s="9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  <c r="N1331" t="str">
        <f>IF(tblSalaries[[#This Row],[Years of Experience]]="","",IF(tblSalaries[[#This Row],[Years of Experience]]&lt;=2,1,""))</f>
        <v/>
      </c>
      <c r="O1331" t="str">
        <f>IF(tblSalaries[[#This Row],[Years of Experience]]="","",IF(AND(tblSalaries[[#This Row],[Years of Experience]]&gt;2,tblSalaries[[#This Row],[Years of Experience]]&lt;=5),1,""))</f>
        <v/>
      </c>
      <c r="P1331">
        <f>IF(tblSalaries[[#This Row],[Years of Experience]]="","",IF(AND(tblSalaries[[#This Row],[Years of Experience]]&gt;5,tblSalaries[[#This Row],[Years of Experience]]&lt;=10),1,""))</f>
        <v>1</v>
      </c>
      <c r="Q1331" t="str">
        <f>IF(tblSalaries[[#This Row],[Years of Experience]]="","",IF(AND(tblSalaries[[#This Row],[Years of Experience]]&gt;10,tblSalaries[[#This Row],[Years of Experience]]&lt;=15),1,""))</f>
        <v/>
      </c>
      <c r="R1331" t="str">
        <f>IF(tblSalaries[[#This Row],[Years of Experience]]="","",IF(AND(tblSalaries[[#This Row],[Years of Experience]]&gt;16,tblSalaries[[#This Row],[Years of Experience]]&lt;=20),1,""))</f>
        <v/>
      </c>
      <c r="S1331" t="str">
        <f>IF(tblSalaries[[#This Row],[Years of Experience]]="","",IF(tblSalaries[[#This Row],[Years of Experience]]&gt;20,1,""))</f>
        <v/>
      </c>
      <c r="T13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31" s="13" t="str">
        <f>IF(tblSalaries[[#This Row],[Job Type]]=tblSalaries[[#Headers],[Accountant]],tblSalaries[[#This Row],[Salary in USD]],"")</f>
        <v/>
      </c>
      <c r="V1331" s="13">
        <f>IF(tblSalaries[[#This Row],[Job Type]]=tblSalaries[[#Headers],[Analyst]],tblSalaries[[#This Row],[Salary in USD]],"")</f>
        <v>75000</v>
      </c>
      <c r="W1331" s="13" t="str">
        <f>IF(tblSalaries[[#This Row],[Job Type]]=tblSalaries[[#Headers],[Consultant]],tblSalaries[[#This Row],[Salary in USD]],"")</f>
        <v/>
      </c>
      <c r="X1331" s="13" t="str">
        <f>IF(tblSalaries[[#This Row],[Job Type]]=tblSalaries[[#Headers],[Controller]],tblSalaries[[#This Row],[Salary in USD]],"")</f>
        <v/>
      </c>
      <c r="Y1331" s="13" t="str">
        <f>IF(tblSalaries[[#This Row],[Job Type]]=tblSalaries[[#Headers],[CXO or Top Mgmt.]],tblSalaries[[#This Row],[clean Salary (in local currency)]],"")</f>
        <v/>
      </c>
      <c r="Z1331" s="13" t="str">
        <f>IF(tblSalaries[[#This Row],[Job Type]]=tblSalaries[[#Headers],[Engineer]],tblSalaries[[#This Row],[Salary in USD]],"")</f>
        <v/>
      </c>
      <c r="AA1331" s="13" t="str">
        <f>IF(tblSalaries[[#This Row],[Job Type]]=tblSalaries[[#Headers],[Manager]],tblSalaries[[#This Row],[Salary in USD]],"")</f>
        <v/>
      </c>
      <c r="AB1331" s="13" t="str">
        <f>IF(tblSalaries[[#This Row],[Job Type]]=tblSalaries[[#Headers],[Misc.]],tblSalaries[[#This Row],[Salary in USD]],"")</f>
        <v/>
      </c>
      <c r="AC1331" s="13" t="str">
        <f>IF(tblSalaries[[#This Row],[Job Type]]=tblSalaries[[#Headers],[Reporting]],tblSalaries[[#This Row],[Salary in USD]],"")</f>
        <v/>
      </c>
      <c r="AD1331" s="13" t="str">
        <f>IF(tblSalaries[[#This Row],[Job Type]]=tblSalaries[[#Headers],[Specialist]],tblSalaries[[#This Row],[Salary in USD]],"")</f>
        <v/>
      </c>
    </row>
    <row r="1332" spans="2:30" ht="15" customHeight="1" x14ac:dyDescent="0.25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 s="9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  <c r="N1332" t="str">
        <f>IF(tblSalaries[[#This Row],[Years of Experience]]="","",IF(tblSalaries[[#This Row],[Years of Experience]]&lt;=2,1,""))</f>
        <v/>
      </c>
      <c r="O1332" t="str">
        <f>IF(tblSalaries[[#This Row],[Years of Experience]]="","",IF(AND(tblSalaries[[#This Row],[Years of Experience]]&gt;2,tblSalaries[[#This Row],[Years of Experience]]&lt;=5),1,""))</f>
        <v/>
      </c>
      <c r="P1332">
        <f>IF(tblSalaries[[#This Row],[Years of Experience]]="","",IF(AND(tblSalaries[[#This Row],[Years of Experience]]&gt;5,tblSalaries[[#This Row],[Years of Experience]]&lt;=10),1,""))</f>
        <v>1</v>
      </c>
      <c r="Q1332" t="str">
        <f>IF(tblSalaries[[#This Row],[Years of Experience]]="","",IF(AND(tblSalaries[[#This Row],[Years of Experience]]&gt;10,tblSalaries[[#This Row],[Years of Experience]]&lt;=15),1,""))</f>
        <v/>
      </c>
      <c r="R1332" t="str">
        <f>IF(tblSalaries[[#This Row],[Years of Experience]]="","",IF(AND(tblSalaries[[#This Row],[Years of Experience]]&gt;16,tblSalaries[[#This Row],[Years of Experience]]&lt;=20),1,""))</f>
        <v/>
      </c>
      <c r="S1332" t="str">
        <f>IF(tblSalaries[[#This Row],[Years of Experience]]="","",IF(tblSalaries[[#This Row],[Years of Experience]]&gt;20,1,""))</f>
        <v/>
      </c>
      <c r="T13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32" s="13" t="str">
        <f>IF(tblSalaries[[#This Row],[Job Type]]=tblSalaries[[#Headers],[Accountant]],tblSalaries[[#This Row],[Salary in USD]],"")</f>
        <v/>
      </c>
      <c r="V1332" s="13">
        <f>IF(tblSalaries[[#This Row],[Job Type]]=tblSalaries[[#Headers],[Analyst]],tblSalaries[[#This Row],[Salary in USD]],"")</f>
        <v>4451.9791718606421</v>
      </c>
      <c r="W1332" s="13" t="str">
        <f>IF(tblSalaries[[#This Row],[Job Type]]=tblSalaries[[#Headers],[Consultant]],tblSalaries[[#This Row],[Salary in USD]],"")</f>
        <v/>
      </c>
      <c r="X1332" s="13" t="str">
        <f>IF(tblSalaries[[#This Row],[Job Type]]=tblSalaries[[#Headers],[Controller]],tblSalaries[[#This Row],[Salary in USD]],"")</f>
        <v/>
      </c>
      <c r="Y1332" s="13" t="str">
        <f>IF(tblSalaries[[#This Row],[Job Type]]=tblSalaries[[#Headers],[CXO or Top Mgmt.]],tblSalaries[[#This Row],[clean Salary (in local currency)]],"")</f>
        <v/>
      </c>
      <c r="Z1332" s="13" t="str">
        <f>IF(tblSalaries[[#This Row],[Job Type]]=tblSalaries[[#Headers],[Engineer]],tblSalaries[[#This Row],[Salary in USD]],"")</f>
        <v/>
      </c>
      <c r="AA1332" s="13" t="str">
        <f>IF(tblSalaries[[#This Row],[Job Type]]=tblSalaries[[#Headers],[Manager]],tblSalaries[[#This Row],[Salary in USD]],"")</f>
        <v/>
      </c>
      <c r="AB1332" s="13" t="str">
        <f>IF(tblSalaries[[#This Row],[Job Type]]=tblSalaries[[#Headers],[Misc.]],tblSalaries[[#This Row],[Salary in USD]],"")</f>
        <v/>
      </c>
      <c r="AC1332" s="13" t="str">
        <f>IF(tblSalaries[[#This Row],[Job Type]]=tblSalaries[[#Headers],[Reporting]],tblSalaries[[#This Row],[Salary in USD]],"")</f>
        <v/>
      </c>
      <c r="AD1332" s="13" t="str">
        <f>IF(tblSalaries[[#This Row],[Job Type]]=tblSalaries[[#Headers],[Specialist]],tblSalaries[[#This Row],[Salary in USD]],"")</f>
        <v/>
      </c>
    </row>
    <row r="1333" spans="2:30" ht="15" customHeight="1" x14ac:dyDescent="0.25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 s="9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  <c r="N1333" t="str">
        <f>IF(tblSalaries[[#This Row],[Years of Experience]]="","",IF(tblSalaries[[#This Row],[Years of Experience]]&lt;=2,1,""))</f>
        <v/>
      </c>
      <c r="O1333" t="str">
        <f>IF(tblSalaries[[#This Row],[Years of Experience]]="","",IF(AND(tblSalaries[[#This Row],[Years of Experience]]&gt;2,tblSalaries[[#This Row],[Years of Experience]]&lt;=5),1,""))</f>
        <v/>
      </c>
      <c r="P1333">
        <f>IF(tblSalaries[[#This Row],[Years of Experience]]="","",IF(AND(tblSalaries[[#This Row],[Years of Experience]]&gt;5,tblSalaries[[#This Row],[Years of Experience]]&lt;=10),1,""))</f>
        <v>1</v>
      </c>
      <c r="Q1333" t="str">
        <f>IF(tblSalaries[[#This Row],[Years of Experience]]="","",IF(AND(tblSalaries[[#This Row],[Years of Experience]]&gt;10,tblSalaries[[#This Row],[Years of Experience]]&lt;=15),1,""))</f>
        <v/>
      </c>
      <c r="R1333" t="str">
        <f>IF(tblSalaries[[#This Row],[Years of Experience]]="","",IF(AND(tblSalaries[[#This Row],[Years of Experience]]&gt;16,tblSalaries[[#This Row],[Years of Experience]]&lt;=20),1,""))</f>
        <v/>
      </c>
      <c r="S1333" t="str">
        <f>IF(tblSalaries[[#This Row],[Years of Experience]]="","",IF(tblSalaries[[#This Row],[Years of Experience]]&gt;20,1,""))</f>
        <v/>
      </c>
      <c r="T13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33" s="13" t="str">
        <f>IF(tblSalaries[[#This Row],[Job Type]]=tblSalaries[[#Headers],[Accountant]],tblSalaries[[#This Row],[Salary in USD]],"")</f>
        <v/>
      </c>
      <c r="V1333" s="13">
        <f>IF(tblSalaries[[#This Row],[Job Type]]=tblSalaries[[#Headers],[Analyst]],tblSalaries[[#This Row],[Salary in USD]],"")</f>
        <v>110000</v>
      </c>
      <c r="W1333" s="13" t="str">
        <f>IF(tblSalaries[[#This Row],[Job Type]]=tblSalaries[[#Headers],[Consultant]],tblSalaries[[#This Row],[Salary in USD]],"")</f>
        <v/>
      </c>
      <c r="X1333" s="13" t="str">
        <f>IF(tblSalaries[[#This Row],[Job Type]]=tblSalaries[[#Headers],[Controller]],tblSalaries[[#This Row],[Salary in USD]],"")</f>
        <v/>
      </c>
      <c r="Y1333" s="13" t="str">
        <f>IF(tblSalaries[[#This Row],[Job Type]]=tblSalaries[[#Headers],[CXO or Top Mgmt.]],tblSalaries[[#This Row],[clean Salary (in local currency)]],"")</f>
        <v/>
      </c>
      <c r="Z1333" s="13" t="str">
        <f>IF(tblSalaries[[#This Row],[Job Type]]=tblSalaries[[#Headers],[Engineer]],tblSalaries[[#This Row],[Salary in USD]],"")</f>
        <v/>
      </c>
      <c r="AA1333" s="13" t="str">
        <f>IF(tblSalaries[[#This Row],[Job Type]]=tblSalaries[[#Headers],[Manager]],tblSalaries[[#This Row],[Salary in USD]],"")</f>
        <v/>
      </c>
      <c r="AB1333" s="13" t="str">
        <f>IF(tblSalaries[[#This Row],[Job Type]]=tblSalaries[[#Headers],[Misc.]],tblSalaries[[#This Row],[Salary in USD]],"")</f>
        <v/>
      </c>
      <c r="AC1333" s="13" t="str">
        <f>IF(tblSalaries[[#This Row],[Job Type]]=tblSalaries[[#Headers],[Reporting]],tblSalaries[[#This Row],[Salary in USD]],"")</f>
        <v/>
      </c>
      <c r="AD1333" s="13" t="str">
        <f>IF(tblSalaries[[#This Row],[Job Type]]=tblSalaries[[#Headers],[Specialist]],tblSalaries[[#This Row],[Salary in USD]],"")</f>
        <v/>
      </c>
    </row>
    <row r="1334" spans="2:30" ht="15" customHeight="1" x14ac:dyDescent="0.25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 s="9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  <c r="N1334">
        <f>IF(tblSalaries[[#This Row],[Years of Experience]]="","",IF(tblSalaries[[#This Row],[Years of Experience]]&lt;=2,1,""))</f>
        <v>1</v>
      </c>
      <c r="O1334" t="str">
        <f>IF(tblSalaries[[#This Row],[Years of Experience]]="","",IF(AND(tblSalaries[[#This Row],[Years of Experience]]&gt;2,tblSalaries[[#This Row],[Years of Experience]]&lt;=5),1,""))</f>
        <v/>
      </c>
      <c r="P1334" t="str">
        <f>IF(tblSalaries[[#This Row],[Years of Experience]]="","",IF(AND(tblSalaries[[#This Row],[Years of Experience]]&gt;5,tblSalaries[[#This Row],[Years of Experience]]&lt;=10),1,""))</f>
        <v/>
      </c>
      <c r="Q1334" t="str">
        <f>IF(tblSalaries[[#This Row],[Years of Experience]]="","",IF(AND(tblSalaries[[#This Row],[Years of Experience]]&gt;10,tblSalaries[[#This Row],[Years of Experience]]&lt;=15),1,""))</f>
        <v/>
      </c>
      <c r="R1334" t="str">
        <f>IF(tblSalaries[[#This Row],[Years of Experience]]="","",IF(AND(tblSalaries[[#This Row],[Years of Experience]]&gt;16,tblSalaries[[#This Row],[Years of Experience]]&lt;=20),1,""))</f>
        <v/>
      </c>
      <c r="S1334" t="str">
        <f>IF(tblSalaries[[#This Row],[Years of Experience]]="","",IF(tblSalaries[[#This Row],[Years of Experience]]&gt;20,1,""))</f>
        <v/>
      </c>
      <c r="T13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34" s="13" t="str">
        <f>IF(tblSalaries[[#This Row],[Job Type]]=tblSalaries[[#Headers],[Accountant]],tblSalaries[[#This Row],[Salary in USD]],"")</f>
        <v/>
      </c>
      <c r="V1334" s="13" t="str">
        <f>IF(tblSalaries[[#This Row],[Job Type]]=tblSalaries[[#Headers],[Analyst]],tblSalaries[[#This Row],[Salary in USD]],"")</f>
        <v/>
      </c>
      <c r="W1334" s="13" t="str">
        <f>IF(tblSalaries[[#This Row],[Job Type]]=tblSalaries[[#Headers],[Consultant]],tblSalaries[[#This Row],[Salary in USD]],"")</f>
        <v/>
      </c>
      <c r="X1334" s="13" t="str">
        <f>IF(tblSalaries[[#This Row],[Job Type]]=tblSalaries[[#Headers],[Controller]],tblSalaries[[#This Row],[Salary in USD]],"")</f>
        <v/>
      </c>
      <c r="Y1334" s="13" t="str">
        <f>IF(tblSalaries[[#This Row],[Job Type]]=tblSalaries[[#Headers],[CXO or Top Mgmt.]],tblSalaries[[#This Row],[clean Salary (in local currency)]],"")</f>
        <v/>
      </c>
      <c r="Z1334" s="13">
        <f>IF(tblSalaries[[#This Row],[Job Type]]=tblSalaries[[#Headers],[Engineer]],tblSalaries[[#This Row],[Salary in USD]],"")</f>
        <v>42556.81334581667</v>
      </c>
      <c r="AA1334" s="13" t="str">
        <f>IF(tblSalaries[[#This Row],[Job Type]]=tblSalaries[[#Headers],[Manager]],tblSalaries[[#This Row],[Salary in USD]],"")</f>
        <v/>
      </c>
      <c r="AB1334" s="13" t="str">
        <f>IF(tblSalaries[[#This Row],[Job Type]]=tblSalaries[[#Headers],[Misc.]],tblSalaries[[#This Row],[Salary in USD]],"")</f>
        <v/>
      </c>
      <c r="AC1334" s="13" t="str">
        <f>IF(tblSalaries[[#This Row],[Job Type]]=tblSalaries[[#Headers],[Reporting]],tblSalaries[[#This Row],[Salary in USD]],"")</f>
        <v/>
      </c>
      <c r="AD1334" s="13" t="str">
        <f>IF(tblSalaries[[#This Row],[Job Type]]=tblSalaries[[#Headers],[Specialist]],tblSalaries[[#This Row],[Salary in USD]],"")</f>
        <v/>
      </c>
    </row>
    <row r="1335" spans="2:30" ht="15" customHeight="1" x14ac:dyDescent="0.25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 s="9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  <c r="N1335" t="str">
        <f>IF(tblSalaries[[#This Row],[Years of Experience]]="","",IF(tblSalaries[[#This Row],[Years of Experience]]&lt;=2,1,""))</f>
        <v/>
      </c>
      <c r="O1335" t="str">
        <f>IF(tblSalaries[[#This Row],[Years of Experience]]="","",IF(AND(tblSalaries[[#This Row],[Years of Experience]]&gt;2,tblSalaries[[#This Row],[Years of Experience]]&lt;=5),1,""))</f>
        <v/>
      </c>
      <c r="P1335">
        <f>IF(tblSalaries[[#This Row],[Years of Experience]]="","",IF(AND(tblSalaries[[#This Row],[Years of Experience]]&gt;5,tblSalaries[[#This Row],[Years of Experience]]&lt;=10),1,""))</f>
        <v>1</v>
      </c>
      <c r="Q1335" t="str">
        <f>IF(tblSalaries[[#This Row],[Years of Experience]]="","",IF(AND(tblSalaries[[#This Row],[Years of Experience]]&gt;10,tblSalaries[[#This Row],[Years of Experience]]&lt;=15),1,""))</f>
        <v/>
      </c>
      <c r="R1335" t="str">
        <f>IF(tblSalaries[[#This Row],[Years of Experience]]="","",IF(AND(tblSalaries[[#This Row],[Years of Experience]]&gt;16,tblSalaries[[#This Row],[Years of Experience]]&lt;=20),1,""))</f>
        <v/>
      </c>
      <c r="S1335" t="str">
        <f>IF(tblSalaries[[#This Row],[Years of Experience]]="","",IF(tblSalaries[[#This Row],[Years of Experience]]&gt;20,1,""))</f>
        <v/>
      </c>
      <c r="T13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35" s="13" t="str">
        <f>IF(tblSalaries[[#This Row],[Job Type]]=tblSalaries[[#Headers],[Accountant]],tblSalaries[[#This Row],[Salary in USD]],"")</f>
        <v/>
      </c>
      <c r="V1335" s="13" t="str">
        <f>IF(tblSalaries[[#This Row],[Job Type]]=tblSalaries[[#Headers],[Analyst]],tblSalaries[[#This Row],[Salary in USD]],"")</f>
        <v/>
      </c>
      <c r="W1335" s="13" t="str">
        <f>IF(tblSalaries[[#This Row],[Job Type]]=tblSalaries[[#Headers],[Consultant]],tblSalaries[[#This Row],[Salary in USD]],"")</f>
        <v/>
      </c>
      <c r="X1335" s="13" t="str">
        <f>IF(tblSalaries[[#This Row],[Job Type]]=tblSalaries[[#Headers],[Controller]],tblSalaries[[#This Row],[Salary in USD]],"")</f>
        <v/>
      </c>
      <c r="Y1335" s="13" t="str">
        <f>IF(tblSalaries[[#This Row],[Job Type]]=tblSalaries[[#Headers],[CXO or Top Mgmt.]],tblSalaries[[#This Row],[clean Salary (in local currency)]],"")</f>
        <v/>
      </c>
      <c r="Z1335" s="13">
        <f>IF(tblSalaries[[#This Row],[Job Type]]=tblSalaries[[#Headers],[Engineer]],tblSalaries[[#This Row],[Salary in USD]],"")</f>
        <v>8013.5625093491553</v>
      </c>
      <c r="AA1335" s="13" t="str">
        <f>IF(tblSalaries[[#This Row],[Job Type]]=tblSalaries[[#Headers],[Manager]],tblSalaries[[#This Row],[Salary in USD]],"")</f>
        <v/>
      </c>
      <c r="AB1335" s="13" t="str">
        <f>IF(tblSalaries[[#This Row],[Job Type]]=tblSalaries[[#Headers],[Misc.]],tblSalaries[[#This Row],[Salary in USD]],"")</f>
        <v/>
      </c>
      <c r="AC1335" s="13" t="str">
        <f>IF(tblSalaries[[#This Row],[Job Type]]=tblSalaries[[#Headers],[Reporting]],tblSalaries[[#This Row],[Salary in USD]],"")</f>
        <v/>
      </c>
      <c r="AD1335" s="13" t="str">
        <f>IF(tblSalaries[[#This Row],[Job Type]]=tblSalaries[[#Headers],[Specialist]],tblSalaries[[#This Row],[Salary in USD]],"")</f>
        <v/>
      </c>
    </row>
    <row r="1336" spans="2:30" ht="15" customHeight="1" x14ac:dyDescent="0.25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 s="9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  <c r="N1336" t="str">
        <f>IF(tblSalaries[[#This Row],[Years of Experience]]="","",IF(tblSalaries[[#This Row],[Years of Experience]]&lt;=2,1,""))</f>
        <v/>
      </c>
      <c r="O1336" t="str">
        <f>IF(tblSalaries[[#This Row],[Years of Experience]]="","",IF(AND(tblSalaries[[#This Row],[Years of Experience]]&gt;2,tblSalaries[[#This Row],[Years of Experience]]&lt;=5),1,""))</f>
        <v/>
      </c>
      <c r="P1336" t="str">
        <f>IF(tblSalaries[[#This Row],[Years of Experience]]="","",IF(AND(tblSalaries[[#This Row],[Years of Experience]]&gt;5,tblSalaries[[#This Row],[Years of Experience]]&lt;=10),1,""))</f>
        <v/>
      </c>
      <c r="Q1336" t="str">
        <f>IF(tblSalaries[[#This Row],[Years of Experience]]="","",IF(AND(tblSalaries[[#This Row],[Years of Experience]]&gt;10,tblSalaries[[#This Row],[Years of Experience]]&lt;=15),1,""))</f>
        <v/>
      </c>
      <c r="R1336" t="str">
        <f>IF(tblSalaries[[#This Row],[Years of Experience]]="","",IF(AND(tblSalaries[[#This Row],[Years of Experience]]&gt;16,tblSalaries[[#This Row],[Years of Experience]]&lt;=20),1,""))</f>
        <v/>
      </c>
      <c r="S1336">
        <f>IF(tblSalaries[[#This Row],[Years of Experience]]="","",IF(tblSalaries[[#This Row],[Years of Experience]]&gt;20,1,""))</f>
        <v>1</v>
      </c>
      <c r="T13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36" s="13" t="str">
        <f>IF(tblSalaries[[#This Row],[Job Type]]=tblSalaries[[#Headers],[Accountant]],tblSalaries[[#This Row],[Salary in USD]],"")</f>
        <v/>
      </c>
      <c r="V1336" s="13" t="str">
        <f>IF(tblSalaries[[#This Row],[Job Type]]=tblSalaries[[#Headers],[Analyst]],tblSalaries[[#This Row],[Salary in USD]],"")</f>
        <v/>
      </c>
      <c r="W1336" s="13" t="str">
        <f>IF(tblSalaries[[#This Row],[Job Type]]=tblSalaries[[#Headers],[Consultant]],tblSalaries[[#This Row],[Salary in USD]],"")</f>
        <v/>
      </c>
      <c r="X1336" s="13" t="str">
        <f>IF(tblSalaries[[#This Row],[Job Type]]=tblSalaries[[#Headers],[Controller]],tblSalaries[[#This Row],[Salary in USD]],"")</f>
        <v/>
      </c>
      <c r="Y1336" s="13" t="str">
        <f>IF(tblSalaries[[#This Row],[Job Type]]=tblSalaries[[#Headers],[CXO or Top Mgmt.]],tblSalaries[[#This Row],[clean Salary (in local currency)]],"")</f>
        <v/>
      </c>
      <c r="Z1336" s="13" t="str">
        <f>IF(tblSalaries[[#This Row],[Job Type]]=tblSalaries[[#Headers],[Engineer]],tblSalaries[[#This Row],[Salary in USD]],"")</f>
        <v/>
      </c>
      <c r="AA1336" s="13">
        <f>IF(tblSalaries[[#This Row],[Job Type]]=tblSalaries[[#Headers],[Manager]],tblSalaries[[#This Row],[Salary in USD]],"")</f>
        <v>125000</v>
      </c>
      <c r="AB1336" s="13" t="str">
        <f>IF(tblSalaries[[#This Row],[Job Type]]=tblSalaries[[#Headers],[Misc.]],tblSalaries[[#This Row],[Salary in USD]],"")</f>
        <v/>
      </c>
      <c r="AC1336" s="13" t="str">
        <f>IF(tblSalaries[[#This Row],[Job Type]]=tblSalaries[[#Headers],[Reporting]],tblSalaries[[#This Row],[Salary in USD]],"")</f>
        <v/>
      </c>
      <c r="AD1336" s="13" t="str">
        <f>IF(tblSalaries[[#This Row],[Job Type]]=tblSalaries[[#Headers],[Specialist]],tblSalaries[[#This Row],[Salary in USD]],"")</f>
        <v/>
      </c>
    </row>
    <row r="1337" spans="2:30" ht="15" customHeight="1" x14ac:dyDescent="0.25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 s="9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  <c r="N1337" t="str">
        <f>IF(tblSalaries[[#This Row],[Years of Experience]]="","",IF(tblSalaries[[#This Row],[Years of Experience]]&lt;=2,1,""))</f>
        <v/>
      </c>
      <c r="O1337" t="str">
        <f>IF(tblSalaries[[#This Row],[Years of Experience]]="","",IF(AND(tblSalaries[[#This Row],[Years of Experience]]&gt;2,tblSalaries[[#This Row],[Years of Experience]]&lt;=5),1,""))</f>
        <v/>
      </c>
      <c r="P1337" t="str">
        <f>IF(tblSalaries[[#This Row],[Years of Experience]]="","",IF(AND(tblSalaries[[#This Row],[Years of Experience]]&gt;5,tblSalaries[[#This Row],[Years of Experience]]&lt;=10),1,""))</f>
        <v/>
      </c>
      <c r="Q1337">
        <f>IF(tblSalaries[[#This Row],[Years of Experience]]="","",IF(AND(tblSalaries[[#This Row],[Years of Experience]]&gt;10,tblSalaries[[#This Row],[Years of Experience]]&lt;=15),1,""))</f>
        <v>1</v>
      </c>
      <c r="R1337" t="str">
        <f>IF(tblSalaries[[#This Row],[Years of Experience]]="","",IF(AND(tblSalaries[[#This Row],[Years of Experience]]&gt;16,tblSalaries[[#This Row],[Years of Experience]]&lt;=20),1,""))</f>
        <v/>
      </c>
      <c r="S1337" t="str">
        <f>IF(tblSalaries[[#This Row],[Years of Experience]]="","",IF(tblSalaries[[#This Row],[Years of Experience]]&gt;20,1,""))</f>
        <v/>
      </c>
      <c r="T13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37" s="13" t="str">
        <f>IF(tblSalaries[[#This Row],[Job Type]]=tblSalaries[[#Headers],[Accountant]],tblSalaries[[#This Row],[Salary in USD]],"")</f>
        <v/>
      </c>
      <c r="V1337" s="13">
        <f>IF(tblSalaries[[#This Row],[Job Type]]=tblSalaries[[#Headers],[Analyst]],tblSalaries[[#This Row],[Salary in USD]],"")</f>
        <v>60000</v>
      </c>
      <c r="W1337" s="13" t="str">
        <f>IF(tblSalaries[[#This Row],[Job Type]]=tblSalaries[[#Headers],[Consultant]],tblSalaries[[#This Row],[Salary in USD]],"")</f>
        <v/>
      </c>
      <c r="X1337" s="13" t="str">
        <f>IF(tblSalaries[[#This Row],[Job Type]]=tblSalaries[[#Headers],[Controller]],tblSalaries[[#This Row],[Salary in USD]],"")</f>
        <v/>
      </c>
      <c r="Y1337" s="13" t="str">
        <f>IF(tblSalaries[[#This Row],[Job Type]]=tblSalaries[[#Headers],[CXO or Top Mgmt.]],tblSalaries[[#This Row],[clean Salary (in local currency)]],"")</f>
        <v/>
      </c>
      <c r="Z1337" s="13" t="str">
        <f>IF(tblSalaries[[#This Row],[Job Type]]=tblSalaries[[#Headers],[Engineer]],tblSalaries[[#This Row],[Salary in USD]],"")</f>
        <v/>
      </c>
      <c r="AA1337" s="13" t="str">
        <f>IF(tblSalaries[[#This Row],[Job Type]]=tblSalaries[[#Headers],[Manager]],tblSalaries[[#This Row],[Salary in USD]],"")</f>
        <v/>
      </c>
      <c r="AB1337" s="13" t="str">
        <f>IF(tblSalaries[[#This Row],[Job Type]]=tblSalaries[[#Headers],[Misc.]],tblSalaries[[#This Row],[Salary in USD]],"")</f>
        <v/>
      </c>
      <c r="AC1337" s="13" t="str">
        <f>IF(tblSalaries[[#This Row],[Job Type]]=tblSalaries[[#Headers],[Reporting]],tblSalaries[[#This Row],[Salary in USD]],"")</f>
        <v/>
      </c>
      <c r="AD1337" s="13" t="str">
        <f>IF(tblSalaries[[#This Row],[Job Type]]=tblSalaries[[#Headers],[Specialist]],tblSalaries[[#This Row],[Salary in USD]],"")</f>
        <v/>
      </c>
    </row>
    <row r="1338" spans="2:30" ht="15" customHeight="1" x14ac:dyDescent="0.25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 s="9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  <c r="N1338" t="str">
        <f>IF(tblSalaries[[#This Row],[Years of Experience]]="","",IF(tblSalaries[[#This Row],[Years of Experience]]&lt;=2,1,""))</f>
        <v/>
      </c>
      <c r="O1338" t="str">
        <f>IF(tblSalaries[[#This Row],[Years of Experience]]="","",IF(AND(tblSalaries[[#This Row],[Years of Experience]]&gt;2,tblSalaries[[#This Row],[Years of Experience]]&lt;=5),1,""))</f>
        <v/>
      </c>
      <c r="P1338">
        <f>IF(tblSalaries[[#This Row],[Years of Experience]]="","",IF(AND(tblSalaries[[#This Row],[Years of Experience]]&gt;5,tblSalaries[[#This Row],[Years of Experience]]&lt;=10),1,""))</f>
        <v>1</v>
      </c>
      <c r="Q1338" t="str">
        <f>IF(tblSalaries[[#This Row],[Years of Experience]]="","",IF(AND(tblSalaries[[#This Row],[Years of Experience]]&gt;10,tblSalaries[[#This Row],[Years of Experience]]&lt;=15),1,""))</f>
        <v/>
      </c>
      <c r="R1338" t="str">
        <f>IF(tblSalaries[[#This Row],[Years of Experience]]="","",IF(AND(tblSalaries[[#This Row],[Years of Experience]]&gt;16,tblSalaries[[#This Row],[Years of Experience]]&lt;=20),1,""))</f>
        <v/>
      </c>
      <c r="S1338" t="str">
        <f>IF(tblSalaries[[#This Row],[Years of Experience]]="","",IF(tblSalaries[[#This Row],[Years of Experience]]&gt;20,1,""))</f>
        <v/>
      </c>
      <c r="T13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38" s="13" t="str">
        <f>IF(tblSalaries[[#This Row],[Job Type]]=tblSalaries[[#Headers],[Accountant]],tblSalaries[[#This Row],[Salary in USD]],"")</f>
        <v/>
      </c>
      <c r="V1338" s="13">
        <f>IF(tblSalaries[[#This Row],[Job Type]]=tblSalaries[[#Headers],[Analyst]],tblSalaries[[#This Row],[Salary in USD]],"")</f>
        <v>39355.495879248076</v>
      </c>
      <c r="W1338" s="13" t="str">
        <f>IF(tblSalaries[[#This Row],[Job Type]]=tblSalaries[[#Headers],[Consultant]],tblSalaries[[#This Row],[Salary in USD]],"")</f>
        <v/>
      </c>
      <c r="X1338" s="13" t="str">
        <f>IF(tblSalaries[[#This Row],[Job Type]]=tblSalaries[[#Headers],[Controller]],tblSalaries[[#This Row],[Salary in USD]],"")</f>
        <v/>
      </c>
      <c r="Y1338" s="13" t="str">
        <f>IF(tblSalaries[[#This Row],[Job Type]]=tblSalaries[[#Headers],[CXO or Top Mgmt.]],tblSalaries[[#This Row],[clean Salary (in local currency)]],"")</f>
        <v/>
      </c>
      <c r="Z1338" s="13" t="str">
        <f>IF(tblSalaries[[#This Row],[Job Type]]=tblSalaries[[#Headers],[Engineer]],tblSalaries[[#This Row],[Salary in USD]],"")</f>
        <v/>
      </c>
      <c r="AA1338" s="13" t="str">
        <f>IF(tblSalaries[[#This Row],[Job Type]]=tblSalaries[[#Headers],[Manager]],tblSalaries[[#This Row],[Salary in USD]],"")</f>
        <v/>
      </c>
      <c r="AB1338" s="13" t="str">
        <f>IF(tblSalaries[[#This Row],[Job Type]]=tblSalaries[[#Headers],[Misc.]],tblSalaries[[#This Row],[Salary in USD]],"")</f>
        <v/>
      </c>
      <c r="AC1338" s="13" t="str">
        <f>IF(tblSalaries[[#This Row],[Job Type]]=tblSalaries[[#Headers],[Reporting]],tblSalaries[[#This Row],[Salary in USD]],"")</f>
        <v/>
      </c>
      <c r="AD1338" s="13" t="str">
        <f>IF(tblSalaries[[#This Row],[Job Type]]=tblSalaries[[#Headers],[Specialist]],tblSalaries[[#This Row],[Salary in USD]],"")</f>
        <v/>
      </c>
    </row>
    <row r="1339" spans="2:30" ht="15" customHeight="1" x14ac:dyDescent="0.25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 s="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  <c r="N1339" t="str">
        <f>IF(tblSalaries[[#This Row],[Years of Experience]]="","",IF(tblSalaries[[#This Row],[Years of Experience]]&lt;=2,1,""))</f>
        <v/>
      </c>
      <c r="O1339" t="str">
        <f>IF(tblSalaries[[#This Row],[Years of Experience]]="","",IF(AND(tblSalaries[[#This Row],[Years of Experience]]&gt;2,tblSalaries[[#This Row],[Years of Experience]]&lt;=5),1,""))</f>
        <v/>
      </c>
      <c r="P1339" t="str">
        <f>IF(tblSalaries[[#This Row],[Years of Experience]]="","",IF(AND(tblSalaries[[#This Row],[Years of Experience]]&gt;5,tblSalaries[[#This Row],[Years of Experience]]&lt;=10),1,""))</f>
        <v/>
      </c>
      <c r="Q1339">
        <f>IF(tblSalaries[[#This Row],[Years of Experience]]="","",IF(AND(tblSalaries[[#This Row],[Years of Experience]]&gt;10,tblSalaries[[#This Row],[Years of Experience]]&lt;=15),1,""))</f>
        <v>1</v>
      </c>
      <c r="R1339" t="str">
        <f>IF(tblSalaries[[#This Row],[Years of Experience]]="","",IF(AND(tblSalaries[[#This Row],[Years of Experience]]&gt;16,tblSalaries[[#This Row],[Years of Experience]]&lt;=20),1,""))</f>
        <v/>
      </c>
      <c r="S1339" t="str">
        <f>IF(tblSalaries[[#This Row],[Years of Experience]]="","",IF(tblSalaries[[#This Row],[Years of Experience]]&gt;20,1,""))</f>
        <v/>
      </c>
      <c r="T13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39" s="13" t="str">
        <f>IF(tblSalaries[[#This Row],[Job Type]]=tblSalaries[[#Headers],[Accountant]],tblSalaries[[#This Row],[Salary in USD]],"")</f>
        <v/>
      </c>
      <c r="V1339" s="13" t="str">
        <f>IF(tblSalaries[[#This Row],[Job Type]]=tblSalaries[[#Headers],[Analyst]],tblSalaries[[#This Row],[Salary in USD]],"")</f>
        <v/>
      </c>
      <c r="W1339" s="13" t="str">
        <f>IF(tblSalaries[[#This Row],[Job Type]]=tblSalaries[[#Headers],[Consultant]],tblSalaries[[#This Row],[Salary in USD]],"")</f>
        <v/>
      </c>
      <c r="X1339" s="13">
        <f>IF(tblSalaries[[#This Row],[Job Type]]=tblSalaries[[#Headers],[Controller]],tblSalaries[[#This Row],[Salary in USD]],"")</f>
        <v>57167.974754622352</v>
      </c>
      <c r="Y1339" s="13" t="str">
        <f>IF(tblSalaries[[#This Row],[Job Type]]=tblSalaries[[#Headers],[CXO or Top Mgmt.]],tblSalaries[[#This Row],[clean Salary (in local currency)]],"")</f>
        <v/>
      </c>
      <c r="Z1339" s="13" t="str">
        <f>IF(tblSalaries[[#This Row],[Job Type]]=tblSalaries[[#Headers],[Engineer]],tblSalaries[[#This Row],[Salary in USD]],"")</f>
        <v/>
      </c>
      <c r="AA1339" s="13" t="str">
        <f>IF(tblSalaries[[#This Row],[Job Type]]=tblSalaries[[#Headers],[Manager]],tblSalaries[[#This Row],[Salary in USD]],"")</f>
        <v/>
      </c>
      <c r="AB1339" s="13" t="str">
        <f>IF(tblSalaries[[#This Row],[Job Type]]=tblSalaries[[#Headers],[Misc.]],tblSalaries[[#This Row],[Salary in USD]],"")</f>
        <v/>
      </c>
      <c r="AC1339" s="13" t="str">
        <f>IF(tblSalaries[[#This Row],[Job Type]]=tblSalaries[[#Headers],[Reporting]],tblSalaries[[#This Row],[Salary in USD]],"")</f>
        <v/>
      </c>
      <c r="AD1339" s="13" t="str">
        <f>IF(tblSalaries[[#This Row],[Job Type]]=tblSalaries[[#Headers],[Specialist]],tblSalaries[[#This Row],[Salary in USD]],"")</f>
        <v/>
      </c>
    </row>
    <row r="1340" spans="2:30" ht="15" customHeight="1" x14ac:dyDescent="0.25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 s="9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  <c r="N1340" t="str">
        <f>IF(tblSalaries[[#This Row],[Years of Experience]]="","",IF(tblSalaries[[#This Row],[Years of Experience]]&lt;=2,1,""))</f>
        <v/>
      </c>
      <c r="O1340" t="str">
        <f>IF(tblSalaries[[#This Row],[Years of Experience]]="","",IF(AND(tblSalaries[[#This Row],[Years of Experience]]&gt;2,tblSalaries[[#This Row],[Years of Experience]]&lt;=5),1,""))</f>
        <v/>
      </c>
      <c r="P1340">
        <f>IF(tblSalaries[[#This Row],[Years of Experience]]="","",IF(AND(tblSalaries[[#This Row],[Years of Experience]]&gt;5,tblSalaries[[#This Row],[Years of Experience]]&lt;=10),1,""))</f>
        <v>1</v>
      </c>
      <c r="Q1340" t="str">
        <f>IF(tblSalaries[[#This Row],[Years of Experience]]="","",IF(AND(tblSalaries[[#This Row],[Years of Experience]]&gt;10,tblSalaries[[#This Row],[Years of Experience]]&lt;=15),1,""))</f>
        <v/>
      </c>
      <c r="R1340" t="str">
        <f>IF(tblSalaries[[#This Row],[Years of Experience]]="","",IF(AND(tblSalaries[[#This Row],[Years of Experience]]&gt;16,tblSalaries[[#This Row],[Years of Experience]]&lt;=20),1,""))</f>
        <v/>
      </c>
      <c r="S1340" t="str">
        <f>IF(tblSalaries[[#This Row],[Years of Experience]]="","",IF(tblSalaries[[#This Row],[Years of Experience]]&gt;20,1,""))</f>
        <v/>
      </c>
      <c r="T13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40" s="13" t="str">
        <f>IF(tblSalaries[[#This Row],[Job Type]]=tblSalaries[[#Headers],[Accountant]],tblSalaries[[#This Row],[Salary in USD]],"")</f>
        <v/>
      </c>
      <c r="V1340" s="13">
        <f>IF(tblSalaries[[#This Row],[Job Type]]=tblSalaries[[#Headers],[Analyst]],tblSalaries[[#This Row],[Salary in USD]],"")</f>
        <v>50694.322109187968</v>
      </c>
      <c r="W1340" s="13" t="str">
        <f>IF(tblSalaries[[#This Row],[Job Type]]=tblSalaries[[#Headers],[Consultant]],tblSalaries[[#This Row],[Salary in USD]],"")</f>
        <v/>
      </c>
      <c r="X1340" s="13" t="str">
        <f>IF(tblSalaries[[#This Row],[Job Type]]=tblSalaries[[#Headers],[Controller]],tblSalaries[[#This Row],[Salary in USD]],"")</f>
        <v/>
      </c>
      <c r="Y1340" s="13" t="str">
        <f>IF(tblSalaries[[#This Row],[Job Type]]=tblSalaries[[#Headers],[CXO or Top Mgmt.]],tblSalaries[[#This Row],[clean Salary (in local currency)]],"")</f>
        <v/>
      </c>
      <c r="Z1340" s="13" t="str">
        <f>IF(tblSalaries[[#This Row],[Job Type]]=tblSalaries[[#Headers],[Engineer]],tblSalaries[[#This Row],[Salary in USD]],"")</f>
        <v/>
      </c>
      <c r="AA1340" s="13" t="str">
        <f>IF(tblSalaries[[#This Row],[Job Type]]=tblSalaries[[#Headers],[Manager]],tblSalaries[[#This Row],[Salary in USD]],"")</f>
        <v/>
      </c>
      <c r="AB1340" s="13" t="str">
        <f>IF(tblSalaries[[#This Row],[Job Type]]=tblSalaries[[#Headers],[Misc.]],tblSalaries[[#This Row],[Salary in USD]],"")</f>
        <v/>
      </c>
      <c r="AC1340" s="13" t="str">
        <f>IF(tblSalaries[[#This Row],[Job Type]]=tblSalaries[[#Headers],[Reporting]],tblSalaries[[#This Row],[Salary in USD]],"")</f>
        <v/>
      </c>
      <c r="AD1340" s="13" t="str">
        <f>IF(tblSalaries[[#This Row],[Job Type]]=tblSalaries[[#Headers],[Specialist]],tblSalaries[[#This Row],[Salary in USD]],"")</f>
        <v/>
      </c>
    </row>
    <row r="1341" spans="2:30" ht="15" customHeight="1" x14ac:dyDescent="0.25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 s="9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  <c r="N1341" t="str">
        <f>IF(tblSalaries[[#This Row],[Years of Experience]]="","",IF(tblSalaries[[#This Row],[Years of Experience]]&lt;=2,1,""))</f>
        <v/>
      </c>
      <c r="O1341" t="str">
        <f>IF(tblSalaries[[#This Row],[Years of Experience]]="","",IF(AND(tblSalaries[[#This Row],[Years of Experience]]&gt;2,tblSalaries[[#This Row],[Years of Experience]]&lt;=5),1,""))</f>
        <v/>
      </c>
      <c r="P1341" t="str">
        <f>IF(tblSalaries[[#This Row],[Years of Experience]]="","",IF(AND(tblSalaries[[#This Row],[Years of Experience]]&gt;5,tblSalaries[[#This Row],[Years of Experience]]&lt;=10),1,""))</f>
        <v/>
      </c>
      <c r="Q1341" t="str">
        <f>IF(tblSalaries[[#This Row],[Years of Experience]]="","",IF(AND(tblSalaries[[#This Row],[Years of Experience]]&gt;10,tblSalaries[[#This Row],[Years of Experience]]&lt;=15),1,""))</f>
        <v/>
      </c>
      <c r="R1341" t="str">
        <f>IF(tblSalaries[[#This Row],[Years of Experience]]="","",IF(AND(tblSalaries[[#This Row],[Years of Experience]]&gt;16,tblSalaries[[#This Row],[Years of Experience]]&lt;=20),1,""))</f>
        <v/>
      </c>
      <c r="S1341">
        <f>IF(tblSalaries[[#This Row],[Years of Experience]]="","",IF(tblSalaries[[#This Row],[Years of Experience]]&gt;20,1,""))</f>
        <v>1</v>
      </c>
      <c r="T13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41" s="13" t="str">
        <f>IF(tblSalaries[[#This Row],[Job Type]]=tblSalaries[[#Headers],[Accountant]],tblSalaries[[#This Row],[Salary in USD]],"")</f>
        <v/>
      </c>
      <c r="V1341" s="13" t="str">
        <f>IF(tblSalaries[[#This Row],[Job Type]]=tblSalaries[[#Headers],[Analyst]],tblSalaries[[#This Row],[Salary in USD]],"")</f>
        <v/>
      </c>
      <c r="W1341" s="13" t="str">
        <f>IF(tblSalaries[[#This Row],[Job Type]]=tblSalaries[[#Headers],[Consultant]],tblSalaries[[#This Row],[Salary in USD]],"")</f>
        <v/>
      </c>
      <c r="X1341" s="13" t="str">
        <f>IF(tblSalaries[[#This Row],[Job Type]]=tblSalaries[[#Headers],[Controller]],tblSalaries[[#This Row],[Salary in USD]],"")</f>
        <v/>
      </c>
      <c r="Y1341" s="13" t="str">
        <f>IF(tblSalaries[[#This Row],[Job Type]]=tblSalaries[[#Headers],[CXO or Top Mgmt.]],tblSalaries[[#This Row],[clean Salary (in local currency)]],"")</f>
        <v/>
      </c>
      <c r="Z1341" s="13" t="str">
        <f>IF(tblSalaries[[#This Row],[Job Type]]=tblSalaries[[#Headers],[Engineer]],tblSalaries[[#This Row],[Salary in USD]],"")</f>
        <v/>
      </c>
      <c r="AA1341" s="13">
        <f>IF(tblSalaries[[#This Row],[Job Type]]=tblSalaries[[#Headers],[Manager]],tblSalaries[[#This Row],[Salary in USD]],"")</f>
        <v>57500</v>
      </c>
      <c r="AB1341" s="13" t="str">
        <f>IF(tblSalaries[[#This Row],[Job Type]]=tblSalaries[[#Headers],[Misc.]],tblSalaries[[#This Row],[Salary in USD]],"")</f>
        <v/>
      </c>
      <c r="AC1341" s="13" t="str">
        <f>IF(tblSalaries[[#This Row],[Job Type]]=tblSalaries[[#Headers],[Reporting]],tblSalaries[[#This Row],[Salary in USD]],"")</f>
        <v/>
      </c>
      <c r="AD1341" s="13" t="str">
        <f>IF(tblSalaries[[#This Row],[Job Type]]=tblSalaries[[#Headers],[Specialist]],tblSalaries[[#This Row],[Salary in USD]],"")</f>
        <v/>
      </c>
    </row>
    <row r="1342" spans="2:30" ht="15" customHeight="1" x14ac:dyDescent="0.25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 s="9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  <c r="N1342" t="str">
        <f>IF(tblSalaries[[#This Row],[Years of Experience]]="","",IF(tblSalaries[[#This Row],[Years of Experience]]&lt;=2,1,""))</f>
        <v/>
      </c>
      <c r="O1342" t="str">
        <f>IF(tblSalaries[[#This Row],[Years of Experience]]="","",IF(AND(tblSalaries[[#This Row],[Years of Experience]]&gt;2,tblSalaries[[#This Row],[Years of Experience]]&lt;=5),1,""))</f>
        <v/>
      </c>
      <c r="P1342" t="str">
        <f>IF(tblSalaries[[#This Row],[Years of Experience]]="","",IF(AND(tblSalaries[[#This Row],[Years of Experience]]&gt;5,tblSalaries[[#This Row],[Years of Experience]]&lt;=10),1,""))</f>
        <v/>
      </c>
      <c r="Q1342">
        <f>IF(tblSalaries[[#This Row],[Years of Experience]]="","",IF(AND(tblSalaries[[#This Row],[Years of Experience]]&gt;10,tblSalaries[[#This Row],[Years of Experience]]&lt;=15),1,""))</f>
        <v>1</v>
      </c>
      <c r="R1342" t="str">
        <f>IF(tblSalaries[[#This Row],[Years of Experience]]="","",IF(AND(tblSalaries[[#This Row],[Years of Experience]]&gt;16,tblSalaries[[#This Row],[Years of Experience]]&lt;=20),1,""))</f>
        <v/>
      </c>
      <c r="S1342" t="str">
        <f>IF(tblSalaries[[#This Row],[Years of Experience]]="","",IF(tblSalaries[[#This Row],[Years of Experience]]&gt;20,1,""))</f>
        <v/>
      </c>
      <c r="T13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42" s="13" t="str">
        <f>IF(tblSalaries[[#This Row],[Job Type]]=tblSalaries[[#Headers],[Accountant]],tblSalaries[[#This Row],[Salary in USD]],"")</f>
        <v/>
      </c>
      <c r="V1342" s="13" t="str">
        <f>IF(tblSalaries[[#This Row],[Job Type]]=tblSalaries[[#Headers],[Analyst]],tblSalaries[[#This Row],[Salary in USD]],"")</f>
        <v/>
      </c>
      <c r="W1342" s="13" t="str">
        <f>IF(tblSalaries[[#This Row],[Job Type]]=tblSalaries[[#Headers],[Consultant]],tblSalaries[[#This Row],[Salary in USD]],"")</f>
        <v/>
      </c>
      <c r="X1342" s="13">
        <f>IF(tblSalaries[[#This Row],[Job Type]]=tblSalaries[[#Headers],[Controller]],tblSalaries[[#This Row],[Salary in USD]],"")</f>
        <v>78764.765217479682</v>
      </c>
      <c r="Y1342" s="13" t="str">
        <f>IF(tblSalaries[[#This Row],[Job Type]]=tblSalaries[[#Headers],[CXO or Top Mgmt.]],tblSalaries[[#This Row],[clean Salary (in local currency)]],"")</f>
        <v/>
      </c>
      <c r="Z1342" s="13" t="str">
        <f>IF(tblSalaries[[#This Row],[Job Type]]=tblSalaries[[#Headers],[Engineer]],tblSalaries[[#This Row],[Salary in USD]],"")</f>
        <v/>
      </c>
      <c r="AA1342" s="13" t="str">
        <f>IF(tblSalaries[[#This Row],[Job Type]]=tblSalaries[[#Headers],[Manager]],tblSalaries[[#This Row],[Salary in USD]],"")</f>
        <v/>
      </c>
      <c r="AB1342" s="13" t="str">
        <f>IF(tblSalaries[[#This Row],[Job Type]]=tblSalaries[[#Headers],[Misc.]],tblSalaries[[#This Row],[Salary in USD]],"")</f>
        <v/>
      </c>
      <c r="AC1342" s="13" t="str">
        <f>IF(tblSalaries[[#This Row],[Job Type]]=tblSalaries[[#Headers],[Reporting]],tblSalaries[[#This Row],[Salary in USD]],"")</f>
        <v/>
      </c>
      <c r="AD1342" s="13" t="str">
        <f>IF(tblSalaries[[#This Row],[Job Type]]=tblSalaries[[#Headers],[Specialist]],tblSalaries[[#This Row],[Salary in USD]],"")</f>
        <v/>
      </c>
    </row>
    <row r="1343" spans="2:30" ht="15" customHeight="1" x14ac:dyDescent="0.25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 s="9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  <c r="N1343" t="str">
        <f>IF(tblSalaries[[#This Row],[Years of Experience]]="","",IF(tblSalaries[[#This Row],[Years of Experience]]&lt;=2,1,""))</f>
        <v/>
      </c>
      <c r="O1343" t="str">
        <f>IF(tblSalaries[[#This Row],[Years of Experience]]="","",IF(AND(tblSalaries[[#This Row],[Years of Experience]]&gt;2,tblSalaries[[#This Row],[Years of Experience]]&lt;=5),1,""))</f>
        <v/>
      </c>
      <c r="P1343">
        <f>IF(tblSalaries[[#This Row],[Years of Experience]]="","",IF(AND(tblSalaries[[#This Row],[Years of Experience]]&gt;5,tblSalaries[[#This Row],[Years of Experience]]&lt;=10),1,""))</f>
        <v>1</v>
      </c>
      <c r="Q1343" t="str">
        <f>IF(tblSalaries[[#This Row],[Years of Experience]]="","",IF(AND(tblSalaries[[#This Row],[Years of Experience]]&gt;10,tblSalaries[[#This Row],[Years of Experience]]&lt;=15),1,""))</f>
        <v/>
      </c>
      <c r="R1343" t="str">
        <f>IF(tblSalaries[[#This Row],[Years of Experience]]="","",IF(AND(tblSalaries[[#This Row],[Years of Experience]]&gt;16,tblSalaries[[#This Row],[Years of Experience]]&lt;=20),1,""))</f>
        <v/>
      </c>
      <c r="S1343" t="str">
        <f>IF(tblSalaries[[#This Row],[Years of Experience]]="","",IF(tblSalaries[[#This Row],[Years of Experience]]&gt;20,1,""))</f>
        <v/>
      </c>
      <c r="T13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43" s="13" t="str">
        <f>IF(tblSalaries[[#This Row],[Job Type]]=tblSalaries[[#Headers],[Accountant]],tblSalaries[[#This Row],[Salary in USD]],"")</f>
        <v/>
      </c>
      <c r="V1343" s="13" t="str">
        <f>IF(tblSalaries[[#This Row],[Job Type]]=tblSalaries[[#Headers],[Analyst]],tblSalaries[[#This Row],[Salary in USD]],"")</f>
        <v/>
      </c>
      <c r="W1343" s="13" t="str">
        <f>IF(tblSalaries[[#This Row],[Job Type]]=tblSalaries[[#Headers],[Consultant]],tblSalaries[[#This Row],[Salary in USD]],"")</f>
        <v/>
      </c>
      <c r="X1343" s="13" t="str">
        <f>IF(tblSalaries[[#This Row],[Job Type]]=tblSalaries[[#Headers],[Controller]],tblSalaries[[#This Row],[Salary in USD]],"")</f>
        <v/>
      </c>
      <c r="Y1343" s="13" t="str">
        <f>IF(tblSalaries[[#This Row],[Job Type]]=tblSalaries[[#Headers],[CXO or Top Mgmt.]],tblSalaries[[#This Row],[clean Salary (in local currency)]],"")</f>
        <v/>
      </c>
      <c r="Z1343" s="13" t="str">
        <f>IF(tblSalaries[[#This Row],[Job Type]]=tblSalaries[[#Headers],[Engineer]],tblSalaries[[#This Row],[Salary in USD]],"")</f>
        <v/>
      </c>
      <c r="AA1343" s="13">
        <f>IF(tblSalaries[[#This Row],[Job Type]]=tblSalaries[[#Headers],[Manager]],tblSalaries[[#This Row],[Salary in USD]],"")</f>
        <v>80000</v>
      </c>
      <c r="AB1343" s="13" t="str">
        <f>IF(tblSalaries[[#This Row],[Job Type]]=tblSalaries[[#Headers],[Misc.]],tblSalaries[[#This Row],[Salary in USD]],"")</f>
        <v/>
      </c>
      <c r="AC1343" s="13" t="str">
        <f>IF(tblSalaries[[#This Row],[Job Type]]=tblSalaries[[#Headers],[Reporting]],tblSalaries[[#This Row],[Salary in USD]],"")</f>
        <v/>
      </c>
      <c r="AD1343" s="13" t="str">
        <f>IF(tblSalaries[[#This Row],[Job Type]]=tblSalaries[[#Headers],[Specialist]],tblSalaries[[#This Row],[Salary in USD]],"")</f>
        <v/>
      </c>
    </row>
    <row r="1344" spans="2:30" ht="15" customHeight="1" x14ac:dyDescent="0.25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 s="9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  <c r="N1344" t="str">
        <f>IF(tblSalaries[[#This Row],[Years of Experience]]="","",IF(tblSalaries[[#This Row],[Years of Experience]]&lt;=2,1,""))</f>
        <v/>
      </c>
      <c r="O1344" t="str">
        <f>IF(tblSalaries[[#This Row],[Years of Experience]]="","",IF(AND(tblSalaries[[#This Row],[Years of Experience]]&gt;2,tblSalaries[[#This Row],[Years of Experience]]&lt;=5),1,""))</f>
        <v/>
      </c>
      <c r="P1344" t="str">
        <f>IF(tblSalaries[[#This Row],[Years of Experience]]="","",IF(AND(tblSalaries[[#This Row],[Years of Experience]]&gt;5,tblSalaries[[#This Row],[Years of Experience]]&lt;=10),1,""))</f>
        <v/>
      </c>
      <c r="Q1344">
        <f>IF(tblSalaries[[#This Row],[Years of Experience]]="","",IF(AND(tblSalaries[[#This Row],[Years of Experience]]&gt;10,tblSalaries[[#This Row],[Years of Experience]]&lt;=15),1,""))</f>
        <v>1</v>
      </c>
      <c r="R1344" t="str">
        <f>IF(tblSalaries[[#This Row],[Years of Experience]]="","",IF(AND(tblSalaries[[#This Row],[Years of Experience]]&gt;16,tblSalaries[[#This Row],[Years of Experience]]&lt;=20),1,""))</f>
        <v/>
      </c>
      <c r="S1344" t="str">
        <f>IF(tblSalaries[[#This Row],[Years of Experience]]="","",IF(tblSalaries[[#This Row],[Years of Experience]]&gt;20,1,""))</f>
        <v/>
      </c>
      <c r="T13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44" s="13" t="str">
        <f>IF(tblSalaries[[#This Row],[Job Type]]=tblSalaries[[#Headers],[Accountant]],tblSalaries[[#This Row],[Salary in USD]],"")</f>
        <v/>
      </c>
      <c r="V1344" s="13" t="str">
        <f>IF(tblSalaries[[#This Row],[Job Type]]=tblSalaries[[#Headers],[Analyst]],tblSalaries[[#This Row],[Salary in USD]],"")</f>
        <v/>
      </c>
      <c r="W1344" s="13" t="str">
        <f>IF(tblSalaries[[#This Row],[Job Type]]=tblSalaries[[#Headers],[Consultant]],tblSalaries[[#This Row],[Salary in USD]],"")</f>
        <v/>
      </c>
      <c r="X1344" s="13" t="str">
        <f>IF(tblSalaries[[#This Row],[Job Type]]=tblSalaries[[#Headers],[Controller]],tblSalaries[[#This Row],[Salary in USD]],"")</f>
        <v/>
      </c>
      <c r="Y1344" s="13" t="str">
        <f>IF(tblSalaries[[#This Row],[Job Type]]=tblSalaries[[#Headers],[CXO or Top Mgmt.]],tblSalaries[[#This Row],[clean Salary (in local currency)]],"")</f>
        <v/>
      </c>
      <c r="Z1344" s="13" t="str">
        <f>IF(tblSalaries[[#This Row],[Job Type]]=tblSalaries[[#Headers],[Engineer]],tblSalaries[[#This Row],[Salary in USD]],"")</f>
        <v/>
      </c>
      <c r="AA1344" s="13">
        <f>IF(tblSalaries[[#This Row],[Job Type]]=tblSalaries[[#Headers],[Manager]],tblSalaries[[#This Row],[Salary in USD]],"")</f>
        <v>70928.022243027779</v>
      </c>
      <c r="AB1344" s="13" t="str">
        <f>IF(tblSalaries[[#This Row],[Job Type]]=tblSalaries[[#Headers],[Misc.]],tblSalaries[[#This Row],[Salary in USD]],"")</f>
        <v/>
      </c>
      <c r="AC1344" s="13" t="str">
        <f>IF(tblSalaries[[#This Row],[Job Type]]=tblSalaries[[#Headers],[Reporting]],tblSalaries[[#This Row],[Salary in USD]],"")</f>
        <v/>
      </c>
      <c r="AD1344" s="13" t="str">
        <f>IF(tblSalaries[[#This Row],[Job Type]]=tblSalaries[[#Headers],[Specialist]],tblSalaries[[#This Row],[Salary in USD]],"")</f>
        <v/>
      </c>
    </row>
    <row r="1345" spans="2:30" ht="15" customHeight="1" x14ac:dyDescent="0.25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 s="9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  <c r="N1345" t="str">
        <f>IF(tblSalaries[[#This Row],[Years of Experience]]="","",IF(tblSalaries[[#This Row],[Years of Experience]]&lt;=2,1,""))</f>
        <v/>
      </c>
      <c r="O1345">
        <f>IF(tblSalaries[[#This Row],[Years of Experience]]="","",IF(AND(tblSalaries[[#This Row],[Years of Experience]]&gt;2,tblSalaries[[#This Row],[Years of Experience]]&lt;=5),1,""))</f>
        <v>1</v>
      </c>
      <c r="P1345" t="str">
        <f>IF(tblSalaries[[#This Row],[Years of Experience]]="","",IF(AND(tblSalaries[[#This Row],[Years of Experience]]&gt;5,tblSalaries[[#This Row],[Years of Experience]]&lt;=10),1,""))</f>
        <v/>
      </c>
      <c r="Q1345" t="str">
        <f>IF(tblSalaries[[#This Row],[Years of Experience]]="","",IF(AND(tblSalaries[[#This Row],[Years of Experience]]&gt;10,tblSalaries[[#This Row],[Years of Experience]]&lt;=15),1,""))</f>
        <v/>
      </c>
      <c r="R1345" t="str">
        <f>IF(tblSalaries[[#This Row],[Years of Experience]]="","",IF(AND(tblSalaries[[#This Row],[Years of Experience]]&gt;16,tblSalaries[[#This Row],[Years of Experience]]&lt;=20),1,""))</f>
        <v/>
      </c>
      <c r="S1345" t="str">
        <f>IF(tblSalaries[[#This Row],[Years of Experience]]="","",IF(tblSalaries[[#This Row],[Years of Experience]]&gt;20,1,""))</f>
        <v/>
      </c>
      <c r="T13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45" s="13" t="str">
        <f>IF(tblSalaries[[#This Row],[Job Type]]=tblSalaries[[#Headers],[Accountant]],tblSalaries[[#This Row],[Salary in USD]],"")</f>
        <v/>
      </c>
      <c r="V1345" s="13" t="str">
        <f>IF(tblSalaries[[#This Row],[Job Type]]=tblSalaries[[#Headers],[Analyst]],tblSalaries[[#This Row],[Salary in USD]],"")</f>
        <v/>
      </c>
      <c r="W1345" s="13" t="str">
        <f>IF(tblSalaries[[#This Row],[Job Type]]=tblSalaries[[#Headers],[Consultant]],tblSalaries[[#This Row],[Salary in USD]],"")</f>
        <v/>
      </c>
      <c r="X1345" s="13">
        <f>IF(tblSalaries[[#This Row],[Job Type]]=tblSalaries[[#Headers],[Controller]],tblSalaries[[#This Row],[Salary in USD]],"")</f>
        <v>33000</v>
      </c>
      <c r="Y1345" s="13" t="str">
        <f>IF(tblSalaries[[#This Row],[Job Type]]=tblSalaries[[#Headers],[CXO or Top Mgmt.]],tblSalaries[[#This Row],[clean Salary (in local currency)]],"")</f>
        <v/>
      </c>
      <c r="Z1345" s="13" t="str">
        <f>IF(tblSalaries[[#This Row],[Job Type]]=tblSalaries[[#Headers],[Engineer]],tblSalaries[[#This Row],[Salary in USD]],"")</f>
        <v/>
      </c>
      <c r="AA1345" s="13" t="str">
        <f>IF(tblSalaries[[#This Row],[Job Type]]=tblSalaries[[#Headers],[Manager]],tblSalaries[[#This Row],[Salary in USD]],"")</f>
        <v/>
      </c>
      <c r="AB1345" s="13" t="str">
        <f>IF(tblSalaries[[#This Row],[Job Type]]=tblSalaries[[#Headers],[Misc.]],tblSalaries[[#This Row],[Salary in USD]],"")</f>
        <v/>
      </c>
      <c r="AC1345" s="13" t="str">
        <f>IF(tblSalaries[[#This Row],[Job Type]]=tblSalaries[[#Headers],[Reporting]],tblSalaries[[#This Row],[Salary in USD]],"")</f>
        <v/>
      </c>
      <c r="AD1345" s="13" t="str">
        <f>IF(tblSalaries[[#This Row],[Job Type]]=tblSalaries[[#Headers],[Specialist]],tblSalaries[[#This Row],[Salary in USD]],"")</f>
        <v/>
      </c>
    </row>
    <row r="1346" spans="2:30" ht="15" customHeight="1" x14ac:dyDescent="0.25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 s="9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  <c r="N1346">
        <f>IF(tblSalaries[[#This Row],[Years of Experience]]="","",IF(tblSalaries[[#This Row],[Years of Experience]]&lt;=2,1,""))</f>
        <v>1</v>
      </c>
      <c r="O1346" t="str">
        <f>IF(tblSalaries[[#This Row],[Years of Experience]]="","",IF(AND(tblSalaries[[#This Row],[Years of Experience]]&gt;2,tblSalaries[[#This Row],[Years of Experience]]&lt;=5),1,""))</f>
        <v/>
      </c>
      <c r="P1346" t="str">
        <f>IF(tblSalaries[[#This Row],[Years of Experience]]="","",IF(AND(tblSalaries[[#This Row],[Years of Experience]]&gt;5,tblSalaries[[#This Row],[Years of Experience]]&lt;=10),1,""))</f>
        <v/>
      </c>
      <c r="Q1346" t="str">
        <f>IF(tblSalaries[[#This Row],[Years of Experience]]="","",IF(AND(tblSalaries[[#This Row],[Years of Experience]]&gt;10,tblSalaries[[#This Row],[Years of Experience]]&lt;=15),1,""))</f>
        <v/>
      </c>
      <c r="R1346" t="str">
        <f>IF(tblSalaries[[#This Row],[Years of Experience]]="","",IF(AND(tblSalaries[[#This Row],[Years of Experience]]&gt;16,tblSalaries[[#This Row],[Years of Experience]]&lt;=20),1,""))</f>
        <v/>
      </c>
      <c r="S1346" t="str">
        <f>IF(tblSalaries[[#This Row],[Years of Experience]]="","",IF(tblSalaries[[#This Row],[Years of Experience]]&gt;20,1,""))</f>
        <v/>
      </c>
      <c r="T13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46" s="13" t="str">
        <f>IF(tblSalaries[[#This Row],[Job Type]]=tblSalaries[[#Headers],[Accountant]],tblSalaries[[#This Row],[Salary in USD]],"")</f>
        <v/>
      </c>
      <c r="V1346" s="13">
        <f>IF(tblSalaries[[#This Row],[Job Type]]=tblSalaries[[#Headers],[Analyst]],tblSalaries[[#This Row],[Salary in USD]],"")</f>
        <v>100000</v>
      </c>
      <c r="W1346" s="13" t="str">
        <f>IF(tblSalaries[[#This Row],[Job Type]]=tblSalaries[[#Headers],[Consultant]],tblSalaries[[#This Row],[Salary in USD]],"")</f>
        <v/>
      </c>
      <c r="X1346" s="13" t="str">
        <f>IF(tblSalaries[[#This Row],[Job Type]]=tblSalaries[[#Headers],[Controller]],tblSalaries[[#This Row],[Salary in USD]],"")</f>
        <v/>
      </c>
      <c r="Y1346" s="13" t="str">
        <f>IF(tblSalaries[[#This Row],[Job Type]]=tblSalaries[[#Headers],[CXO or Top Mgmt.]],tblSalaries[[#This Row],[clean Salary (in local currency)]],"")</f>
        <v/>
      </c>
      <c r="Z1346" s="13" t="str">
        <f>IF(tblSalaries[[#This Row],[Job Type]]=tblSalaries[[#Headers],[Engineer]],tblSalaries[[#This Row],[Salary in USD]],"")</f>
        <v/>
      </c>
      <c r="AA1346" s="13" t="str">
        <f>IF(tblSalaries[[#This Row],[Job Type]]=tblSalaries[[#Headers],[Manager]],tblSalaries[[#This Row],[Salary in USD]],"")</f>
        <v/>
      </c>
      <c r="AB1346" s="13" t="str">
        <f>IF(tblSalaries[[#This Row],[Job Type]]=tblSalaries[[#Headers],[Misc.]],tblSalaries[[#This Row],[Salary in USD]],"")</f>
        <v/>
      </c>
      <c r="AC1346" s="13" t="str">
        <f>IF(tblSalaries[[#This Row],[Job Type]]=tblSalaries[[#Headers],[Reporting]],tblSalaries[[#This Row],[Salary in USD]],"")</f>
        <v/>
      </c>
      <c r="AD1346" s="13" t="str">
        <f>IF(tblSalaries[[#This Row],[Job Type]]=tblSalaries[[#Headers],[Specialist]],tblSalaries[[#This Row],[Salary in USD]],"")</f>
        <v/>
      </c>
    </row>
    <row r="1347" spans="2:30" ht="15" customHeight="1" x14ac:dyDescent="0.25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 s="9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  <c r="N1347" t="str">
        <f>IF(tblSalaries[[#This Row],[Years of Experience]]="","",IF(tblSalaries[[#This Row],[Years of Experience]]&lt;=2,1,""))</f>
        <v/>
      </c>
      <c r="O1347" t="str">
        <f>IF(tblSalaries[[#This Row],[Years of Experience]]="","",IF(AND(tblSalaries[[#This Row],[Years of Experience]]&gt;2,tblSalaries[[#This Row],[Years of Experience]]&lt;=5),1,""))</f>
        <v/>
      </c>
      <c r="P1347" t="str">
        <f>IF(tblSalaries[[#This Row],[Years of Experience]]="","",IF(AND(tblSalaries[[#This Row],[Years of Experience]]&gt;5,tblSalaries[[#This Row],[Years of Experience]]&lt;=10),1,""))</f>
        <v/>
      </c>
      <c r="Q1347" t="str">
        <f>IF(tblSalaries[[#This Row],[Years of Experience]]="","",IF(AND(tblSalaries[[#This Row],[Years of Experience]]&gt;10,tblSalaries[[#This Row],[Years of Experience]]&lt;=15),1,""))</f>
        <v/>
      </c>
      <c r="R1347">
        <f>IF(tblSalaries[[#This Row],[Years of Experience]]="","",IF(AND(tblSalaries[[#This Row],[Years of Experience]]&gt;16,tblSalaries[[#This Row],[Years of Experience]]&lt;=20),1,""))</f>
        <v>1</v>
      </c>
      <c r="S1347" t="str">
        <f>IF(tblSalaries[[#This Row],[Years of Experience]]="","",IF(tblSalaries[[#This Row],[Years of Experience]]&gt;20,1,""))</f>
        <v/>
      </c>
      <c r="T13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47" s="13" t="str">
        <f>IF(tblSalaries[[#This Row],[Job Type]]=tblSalaries[[#Headers],[Accountant]],tblSalaries[[#This Row],[Salary in USD]],"")</f>
        <v/>
      </c>
      <c r="V1347" s="13" t="str">
        <f>IF(tblSalaries[[#This Row],[Job Type]]=tblSalaries[[#Headers],[Analyst]],tblSalaries[[#This Row],[Salary in USD]],"")</f>
        <v/>
      </c>
      <c r="W1347" s="13" t="str">
        <f>IF(tblSalaries[[#This Row],[Job Type]]=tblSalaries[[#Headers],[Consultant]],tblSalaries[[#This Row],[Salary in USD]],"")</f>
        <v/>
      </c>
      <c r="X1347" s="13" t="str">
        <f>IF(tblSalaries[[#This Row],[Job Type]]=tblSalaries[[#Headers],[Controller]],tblSalaries[[#This Row],[Salary in USD]],"")</f>
        <v/>
      </c>
      <c r="Y1347" s="13" t="str">
        <f>IF(tblSalaries[[#This Row],[Job Type]]=tblSalaries[[#Headers],[CXO or Top Mgmt.]],tblSalaries[[#This Row],[clean Salary (in local currency)]],"")</f>
        <v/>
      </c>
      <c r="Z1347" s="13" t="str">
        <f>IF(tblSalaries[[#This Row],[Job Type]]=tblSalaries[[#Headers],[Engineer]],tblSalaries[[#This Row],[Salary in USD]],"")</f>
        <v/>
      </c>
      <c r="AA1347" s="13">
        <f>IF(tblSalaries[[#This Row],[Job Type]]=tblSalaries[[#Headers],[Manager]],tblSalaries[[#This Row],[Salary in USD]],"")</f>
        <v>60000</v>
      </c>
      <c r="AB1347" s="13" t="str">
        <f>IF(tblSalaries[[#This Row],[Job Type]]=tblSalaries[[#Headers],[Misc.]],tblSalaries[[#This Row],[Salary in USD]],"")</f>
        <v/>
      </c>
      <c r="AC1347" s="13" t="str">
        <f>IF(tblSalaries[[#This Row],[Job Type]]=tblSalaries[[#Headers],[Reporting]],tblSalaries[[#This Row],[Salary in USD]],"")</f>
        <v/>
      </c>
      <c r="AD1347" s="13" t="str">
        <f>IF(tblSalaries[[#This Row],[Job Type]]=tblSalaries[[#Headers],[Specialist]],tblSalaries[[#This Row],[Salary in USD]],"")</f>
        <v/>
      </c>
    </row>
    <row r="1348" spans="2:30" ht="15" customHeight="1" x14ac:dyDescent="0.25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 s="9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  <c r="N1348" t="str">
        <f>IF(tblSalaries[[#This Row],[Years of Experience]]="","",IF(tblSalaries[[#This Row],[Years of Experience]]&lt;=2,1,""))</f>
        <v/>
      </c>
      <c r="O1348" t="str">
        <f>IF(tblSalaries[[#This Row],[Years of Experience]]="","",IF(AND(tblSalaries[[#This Row],[Years of Experience]]&gt;2,tblSalaries[[#This Row],[Years of Experience]]&lt;=5),1,""))</f>
        <v/>
      </c>
      <c r="P1348">
        <f>IF(tblSalaries[[#This Row],[Years of Experience]]="","",IF(AND(tblSalaries[[#This Row],[Years of Experience]]&gt;5,tblSalaries[[#This Row],[Years of Experience]]&lt;=10),1,""))</f>
        <v>1</v>
      </c>
      <c r="Q1348" t="str">
        <f>IF(tblSalaries[[#This Row],[Years of Experience]]="","",IF(AND(tblSalaries[[#This Row],[Years of Experience]]&gt;10,tblSalaries[[#This Row],[Years of Experience]]&lt;=15),1,""))</f>
        <v/>
      </c>
      <c r="R1348" t="str">
        <f>IF(tblSalaries[[#This Row],[Years of Experience]]="","",IF(AND(tblSalaries[[#This Row],[Years of Experience]]&gt;16,tblSalaries[[#This Row],[Years of Experience]]&lt;=20),1,""))</f>
        <v/>
      </c>
      <c r="S1348" t="str">
        <f>IF(tblSalaries[[#This Row],[Years of Experience]]="","",IF(tblSalaries[[#This Row],[Years of Experience]]&gt;20,1,""))</f>
        <v/>
      </c>
      <c r="T13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48" s="13" t="str">
        <f>IF(tblSalaries[[#This Row],[Job Type]]=tblSalaries[[#Headers],[Accountant]],tblSalaries[[#This Row],[Salary in USD]],"")</f>
        <v/>
      </c>
      <c r="V1348" s="13">
        <f>IF(tblSalaries[[#This Row],[Job Type]]=tblSalaries[[#Headers],[Analyst]],tblSalaries[[#This Row],[Salary in USD]],"")</f>
        <v>95000</v>
      </c>
      <c r="W1348" s="13" t="str">
        <f>IF(tblSalaries[[#This Row],[Job Type]]=tblSalaries[[#Headers],[Consultant]],tblSalaries[[#This Row],[Salary in USD]],"")</f>
        <v/>
      </c>
      <c r="X1348" s="13" t="str">
        <f>IF(tblSalaries[[#This Row],[Job Type]]=tblSalaries[[#Headers],[Controller]],tblSalaries[[#This Row],[Salary in USD]],"")</f>
        <v/>
      </c>
      <c r="Y1348" s="13" t="str">
        <f>IF(tblSalaries[[#This Row],[Job Type]]=tblSalaries[[#Headers],[CXO or Top Mgmt.]],tblSalaries[[#This Row],[clean Salary (in local currency)]],"")</f>
        <v/>
      </c>
      <c r="Z1348" s="13" t="str">
        <f>IF(tblSalaries[[#This Row],[Job Type]]=tblSalaries[[#Headers],[Engineer]],tblSalaries[[#This Row],[Salary in USD]],"")</f>
        <v/>
      </c>
      <c r="AA1348" s="13" t="str">
        <f>IF(tblSalaries[[#This Row],[Job Type]]=tblSalaries[[#Headers],[Manager]],tblSalaries[[#This Row],[Salary in USD]],"")</f>
        <v/>
      </c>
      <c r="AB1348" s="13" t="str">
        <f>IF(tblSalaries[[#This Row],[Job Type]]=tblSalaries[[#Headers],[Misc.]],tblSalaries[[#This Row],[Salary in USD]],"")</f>
        <v/>
      </c>
      <c r="AC1348" s="13" t="str">
        <f>IF(tblSalaries[[#This Row],[Job Type]]=tblSalaries[[#Headers],[Reporting]],tblSalaries[[#This Row],[Salary in USD]],"")</f>
        <v/>
      </c>
      <c r="AD1348" s="13" t="str">
        <f>IF(tblSalaries[[#This Row],[Job Type]]=tblSalaries[[#Headers],[Specialist]],tblSalaries[[#This Row],[Salary in USD]],"")</f>
        <v/>
      </c>
    </row>
    <row r="1349" spans="2:30" ht="15" customHeight="1" x14ac:dyDescent="0.25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 s="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  <c r="N1349" t="str">
        <f>IF(tblSalaries[[#This Row],[Years of Experience]]="","",IF(tblSalaries[[#This Row],[Years of Experience]]&lt;=2,1,""))</f>
        <v/>
      </c>
      <c r="O1349" t="str">
        <f>IF(tblSalaries[[#This Row],[Years of Experience]]="","",IF(AND(tblSalaries[[#This Row],[Years of Experience]]&gt;2,tblSalaries[[#This Row],[Years of Experience]]&lt;=5),1,""))</f>
        <v/>
      </c>
      <c r="P1349" t="str">
        <f>IF(tblSalaries[[#This Row],[Years of Experience]]="","",IF(AND(tblSalaries[[#This Row],[Years of Experience]]&gt;5,tblSalaries[[#This Row],[Years of Experience]]&lt;=10),1,""))</f>
        <v/>
      </c>
      <c r="Q1349" t="str">
        <f>IF(tblSalaries[[#This Row],[Years of Experience]]="","",IF(AND(tblSalaries[[#This Row],[Years of Experience]]&gt;10,tblSalaries[[#This Row],[Years of Experience]]&lt;=15),1,""))</f>
        <v/>
      </c>
      <c r="R1349" t="str">
        <f>IF(tblSalaries[[#This Row],[Years of Experience]]="","",IF(AND(tblSalaries[[#This Row],[Years of Experience]]&gt;16,tblSalaries[[#This Row],[Years of Experience]]&lt;=20),1,""))</f>
        <v/>
      </c>
      <c r="S1349">
        <f>IF(tblSalaries[[#This Row],[Years of Experience]]="","",IF(tblSalaries[[#This Row],[Years of Experience]]&gt;20,1,""))</f>
        <v>1</v>
      </c>
      <c r="T13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49" s="13" t="str">
        <f>IF(tblSalaries[[#This Row],[Job Type]]=tblSalaries[[#Headers],[Accountant]],tblSalaries[[#This Row],[Salary in USD]],"")</f>
        <v/>
      </c>
      <c r="V1349" s="13">
        <f>IF(tblSalaries[[#This Row],[Job Type]]=tblSalaries[[#Headers],[Analyst]],tblSalaries[[#This Row],[Salary in USD]],"")</f>
        <v>24000</v>
      </c>
      <c r="W1349" s="13" t="str">
        <f>IF(tblSalaries[[#This Row],[Job Type]]=tblSalaries[[#Headers],[Consultant]],tblSalaries[[#This Row],[Salary in USD]],"")</f>
        <v/>
      </c>
      <c r="X1349" s="13" t="str">
        <f>IF(tblSalaries[[#This Row],[Job Type]]=tblSalaries[[#Headers],[Controller]],tblSalaries[[#This Row],[Salary in USD]],"")</f>
        <v/>
      </c>
      <c r="Y1349" s="13" t="str">
        <f>IF(tblSalaries[[#This Row],[Job Type]]=tblSalaries[[#Headers],[CXO or Top Mgmt.]],tblSalaries[[#This Row],[clean Salary (in local currency)]],"")</f>
        <v/>
      </c>
      <c r="Z1349" s="13" t="str">
        <f>IF(tblSalaries[[#This Row],[Job Type]]=tblSalaries[[#Headers],[Engineer]],tblSalaries[[#This Row],[Salary in USD]],"")</f>
        <v/>
      </c>
      <c r="AA1349" s="13" t="str">
        <f>IF(tblSalaries[[#This Row],[Job Type]]=tblSalaries[[#Headers],[Manager]],tblSalaries[[#This Row],[Salary in USD]],"")</f>
        <v/>
      </c>
      <c r="AB1349" s="13" t="str">
        <f>IF(tblSalaries[[#This Row],[Job Type]]=tblSalaries[[#Headers],[Misc.]],tblSalaries[[#This Row],[Salary in USD]],"")</f>
        <v/>
      </c>
      <c r="AC1349" s="13" t="str">
        <f>IF(tblSalaries[[#This Row],[Job Type]]=tblSalaries[[#Headers],[Reporting]],tblSalaries[[#This Row],[Salary in USD]],"")</f>
        <v/>
      </c>
      <c r="AD1349" s="13" t="str">
        <f>IF(tblSalaries[[#This Row],[Job Type]]=tblSalaries[[#Headers],[Specialist]],tblSalaries[[#This Row],[Salary in USD]],"")</f>
        <v/>
      </c>
    </row>
    <row r="1350" spans="2:30" ht="15" customHeight="1" x14ac:dyDescent="0.25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 s="9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  <c r="N1350">
        <f>IF(tblSalaries[[#This Row],[Years of Experience]]="","",IF(tblSalaries[[#This Row],[Years of Experience]]&lt;=2,1,""))</f>
        <v>1</v>
      </c>
      <c r="O1350" t="str">
        <f>IF(tblSalaries[[#This Row],[Years of Experience]]="","",IF(AND(tblSalaries[[#This Row],[Years of Experience]]&gt;2,tblSalaries[[#This Row],[Years of Experience]]&lt;=5),1,""))</f>
        <v/>
      </c>
      <c r="P1350" t="str">
        <f>IF(tblSalaries[[#This Row],[Years of Experience]]="","",IF(AND(tblSalaries[[#This Row],[Years of Experience]]&gt;5,tblSalaries[[#This Row],[Years of Experience]]&lt;=10),1,""))</f>
        <v/>
      </c>
      <c r="Q1350" t="str">
        <f>IF(tblSalaries[[#This Row],[Years of Experience]]="","",IF(AND(tblSalaries[[#This Row],[Years of Experience]]&gt;10,tblSalaries[[#This Row],[Years of Experience]]&lt;=15),1,""))</f>
        <v/>
      </c>
      <c r="R1350" t="str">
        <f>IF(tblSalaries[[#This Row],[Years of Experience]]="","",IF(AND(tblSalaries[[#This Row],[Years of Experience]]&gt;16,tblSalaries[[#This Row],[Years of Experience]]&lt;=20),1,""))</f>
        <v/>
      </c>
      <c r="S1350" t="str">
        <f>IF(tblSalaries[[#This Row],[Years of Experience]]="","",IF(tblSalaries[[#This Row],[Years of Experience]]&gt;20,1,""))</f>
        <v/>
      </c>
      <c r="T13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50" s="13" t="str">
        <f>IF(tblSalaries[[#This Row],[Job Type]]=tblSalaries[[#Headers],[Accountant]],tblSalaries[[#This Row],[Salary in USD]],"")</f>
        <v/>
      </c>
      <c r="V1350" s="13" t="str">
        <f>IF(tblSalaries[[#This Row],[Job Type]]=tblSalaries[[#Headers],[Analyst]],tblSalaries[[#This Row],[Salary in USD]],"")</f>
        <v/>
      </c>
      <c r="W1350" s="13" t="str">
        <f>IF(tblSalaries[[#This Row],[Job Type]]=tblSalaries[[#Headers],[Consultant]],tblSalaries[[#This Row],[Salary in USD]],"")</f>
        <v/>
      </c>
      <c r="X1350" s="13" t="str">
        <f>IF(tblSalaries[[#This Row],[Job Type]]=tblSalaries[[#Headers],[Controller]],tblSalaries[[#This Row],[Salary in USD]],"")</f>
        <v/>
      </c>
      <c r="Y1350" s="13" t="str">
        <f>IF(tblSalaries[[#This Row],[Job Type]]=tblSalaries[[#Headers],[CXO or Top Mgmt.]],tblSalaries[[#This Row],[clean Salary (in local currency)]],"")</f>
        <v/>
      </c>
      <c r="Z1350" s="13">
        <f>IF(tblSalaries[[#This Row],[Job Type]]=tblSalaries[[#Headers],[Engineer]],tblSalaries[[#This Row],[Salary in USD]],"")</f>
        <v>50000</v>
      </c>
      <c r="AA1350" s="13" t="str">
        <f>IF(tblSalaries[[#This Row],[Job Type]]=tblSalaries[[#Headers],[Manager]],tblSalaries[[#This Row],[Salary in USD]],"")</f>
        <v/>
      </c>
      <c r="AB1350" s="13" t="str">
        <f>IF(tblSalaries[[#This Row],[Job Type]]=tblSalaries[[#Headers],[Misc.]],tblSalaries[[#This Row],[Salary in USD]],"")</f>
        <v/>
      </c>
      <c r="AC1350" s="13" t="str">
        <f>IF(tblSalaries[[#This Row],[Job Type]]=tblSalaries[[#Headers],[Reporting]],tblSalaries[[#This Row],[Salary in USD]],"")</f>
        <v/>
      </c>
      <c r="AD1350" s="13" t="str">
        <f>IF(tblSalaries[[#This Row],[Job Type]]=tblSalaries[[#Headers],[Specialist]],tblSalaries[[#This Row],[Salary in USD]],"")</f>
        <v/>
      </c>
    </row>
    <row r="1351" spans="2:30" ht="15" customHeight="1" x14ac:dyDescent="0.25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 s="9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  <c r="N1351" t="str">
        <f>IF(tblSalaries[[#This Row],[Years of Experience]]="","",IF(tblSalaries[[#This Row],[Years of Experience]]&lt;=2,1,""))</f>
        <v/>
      </c>
      <c r="O1351" t="str">
        <f>IF(tblSalaries[[#This Row],[Years of Experience]]="","",IF(AND(tblSalaries[[#This Row],[Years of Experience]]&gt;2,tblSalaries[[#This Row],[Years of Experience]]&lt;=5),1,""))</f>
        <v/>
      </c>
      <c r="P1351" t="str">
        <f>IF(tblSalaries[[#This Row],[Years of Experience]]="","",IF(AND(tblSalaries[[#This Row],[Years of Experience]]&gt;5,tblSalaries[[#This Row],[Years of Experience]]&lt;=10),1,""))</f>
        <v/>
      </c>
      <c r="Q1351" t="str">
        <f>IF(tblSalaries[[#This Row],[Years of Experience]]="","",IF(AND(tblSalaries[[#This Row],[Years of Experience]]&gt;10,tblSalaries[[#This Row],[Years of Experience]]&lt;=15),1,""))</f>
        <v/>
      </c>
      <c r="R1351" t="str">
        <f>IF(tblSalaries[[#This Row],[Years of Experience]]="","",IF(AND(tblSalaries[[#This Row],[Years of Experience]]&gt;16,tblSalaries[[#This Row],[Years of Experience]]&lt;=20),1,""))</f>
        <v/>
      </c>
      <c r="S1351">
        <f>IF(tblSalaries[[#This Row],[Years of Experience]]="","",IF(tblSalaries[[#This Row],[Years of Experience]]&gt;20,1,""))</f>
        <v>1</v>
      </c>
      <c r="T13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51" s="13" t="str">
        <f>IF(tblSalaries[[#This Row],[Job Type]]=tblSalaries[[#Headers],[Accountant]],tblSalaries[[#This Row],[Salary in USD]],"")</f>
        <v/>
      </c>
      <c r="V1351" s="13" t="str">
        <f>IF(tblSalaries[[#This Row],[Job Type]]=tblSalaries[[#Headers],[Analyst]],tblSalaries[[#This Row],[Salary in USD]],"")</f>
        <v/>
      </c>
      <c r="W1351" s="13" t="str">
        <f>IF(tblSalaries[[#This Row],[Job Type]]=tblSalaries[[#Headers],[Consultant]],tblSalaries[[#This Row],[Salary in USD]],"")</f>
        <v/>
      </c>
      <c r="X1351" s="13">
        <f>IF(tblSalaries[[#This Row],[Job Type]]=tblSalaries[[#Headers],[Controller]],tblSalaries[[#This Row],[Salary in USD]],"")</f>
        <v>103000</v>
      </c>
      <c r="Y1351" s="13" t="str">
        <f>IF(tblSalaries[[#This Row],[Job Type]]=tblSalaries[[#Headers],[CXO or Top Mgmt.]],tblSalaries[[#This Row],[clean Salary (in local currency)]],"")</f>
        <v/>
      </c>
      <c r="Z1351" s="13" t="str">
        <f>IF(tblSalaries[[#This Row],[Job Type]]=tblSalaries[[#Headers],[Engineer]],tblSalaries[[#This Row],[Salary in USD]],"")</f>
        <v/>
      </c>
      <c r="AA1351" s="13" t="str">
        <f>IF(tblSalaries[[#This Row],[Job Type]]=tblSalaries[[#Headers],[Manager]],tblSalaries[[#This Row],[Salary in USD]],"")</f>
        <v/>
      </c>
      <c r="AB1351" s="13" t="str">
        <f>IF(tblSalaries[[#This Row],[Job Type]]=tblSalaries[[#Headers],[Misc.]],tblSalaries[[#This Row],[Salary in USD]],"")</f>
        <v/>
      </c>
      <c r="AC1351" s="13" t="str">
        <f>IF(tblSalaries[[#This Row],[Job Type]]=tblSalaries[[#Headers],[Reporting]],tblSalaries[[#This Row],[Salary in USD]],"")</f>
        <v/>
      </c>
      <c r="AD1351" s="13" t="str">
        <f>IF(tblSalaries[[#This Row],[Job Type]]=tblSalaries[[#Headers],[Specialist]],tblSalaries[[#This Row],[Salary in USD]],"")</f>
        <v/>
      </c>
    </row>
    <row r="1352" spans="2:30" ht="15" customHeight="1" x14ac:dyDescent="0.25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 s="9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  <c r="N1352" t="str">
        <f>IF(tblSalaries[[#This Row],[Years of Experience]]="","",IF(tblSalaries[[#This Row],[Years of Experience]]&lt;=2,1,""))</f>
        <v/>
      </c>
      <c r="O1352" t="str">
        <f>IF(tblSalaries[[#This Row],[Years of Experience]]="","",IF(AND(tblSalaries[[#This Row],[Years of Experience]]&gt;2,tblSalaries[[#This Row],[Years of Experience]]&lt;=5),1,""))</f>
        <v/>
      </c>
      <c r="P1352">
        <f>IF(tblSalaries[[#This Row],[Years of Experience]]="","",IF(AND(tblSalaries[[#This Row],[Years of Experience]]&gt;5,tblSalaries[[#This Row],[Years of Experience]]&lt;=10),1,""))</f>
        <v>1</v>
      </c>
      <c r="Q1352" t="str">
        <f>IF(tblSalaries[[#This Row],[Years of Experience]]="","",IF(AND(tblSalaries[[#This Row],[Years of Experience]]&gt;10,tblSalaries[[#This Row],[Years of Experience]]&lt;=15),1,""))</f>
        <v/>
      </c>
      <c r="R1352" t="str">
        <f>IF(tblSalaries[[#This Row],[Years of Experience]]="","",IF(AND(tblSalaries[[#This Row],[Years of Experience]]&gt;16,tblSalaries[[#This Row],[Years of Experience]]&lt;=20),1,""))</f>
        <v/>
      </c>
      <c r="S1352" t="str">
        <f>IF(tblSalaries[[#This Row],[Years of Experience]]="","",IF(tblSalaries[[#This Row],[Years of Experience]]&gt;20,1,""))</f>
        <v/>
      </c>
      <c r="T13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52" s="13" t="str">
        <f>IF(tblSalaries[[#This Row],[Job Type]]=tblSalaries[[#Headers],[Accountant]],tblSalaries[[#This Row],[Salary in USD]],"")</f>
        <v/>
      </c>
      <c r="V1352" s="13" t="str">
        <f>IF(tblSalaries[[#This Row],[Job Type]]=tblSalaries[[#Headers],[Analyst]],tblSalaries[[#This Row],[Salary in USD]],"")</f>
        <v/>
      </c>
      <c r="W1352" s="13" t="str">
        <f>IF(tblSalaries[[#This Row],[Job Type]]=tblSalaries[[#Headers],[Consultant]],tblSalaries[[#This Row],[Salary in USD]],"")</f>
        <v/>
      </c>
      <c r="X1352" s="13" t="str">
        <f>IF(tblSalaries[[#This Row],[Job Type]]=tblSalaries[[#Headers],[Controller]],tblSalaries[[#This Row],[Salary in USD]],"")</f>
        <v/>
      </c>
      <c r="Y1352" s="13" t="str">
        <f>IF(tblSalaries[[#This Row],[Job Type]]=tblSalaries[[#Headers],[CXO or Top Mgmt.]],tblSalaries[[#This Row],[clean Salary (in local currency)]],"")</f>
        <v/>
      </c>
      <c r="Z1352" s="13" t="str">
        <f>IF(tblSalaries[[#This Row],[Job Type]]=tblSalaries[[#Headers],[Engineer]],tblSalaries[[#This Row],[Salary in USD]],"")</f>
        <v/>
      </c>
      <c r="AA1352" s="13" t="str">
        <f>IF(tblSalaries[[#This Row],[Job Type]]=tblSalaries[[#Headers],[Manager]],tblSalaries[[#This Row],[Salary in USD]],"")</f>
        <v/>
      </c>
      <c r="AB1352" s="13" t="str">
        <f>IF(tblSalaries[[#This Row],[Job Type]]=tblSalaries[[#Headers],[Misc.]],tblSalaries[[#This Row],[Salary in USD]],"")</f>
        <v/>
      </c>
      <c r="AC1352" s="13" t="str">
        <f>IF(tblSalaries[[#This Row],[Job Type]]=tblSalaries[[#Headers],[Reporting]],tblSalaries[[#This Row],[Salary in USD]],"")</f>
        <v/>
      </c>
      <c r="AD1352" s="13">
        <f>IF(tblSalaries[[#This Row],[Job Type]]=tblSalaries[[#Headers],[Specialist]],tblSalaries[[#This Row],[Salary in USD]],"")</f>
        <v>36000</v>
      </c>
    </row>
    <row r="1353" spans="2:30" ht="15" customHeight="1" x14ac:dyDescent="0.25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 s="9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  <c r="N1353" t="str">
        <f>IF(tblSalaries[[#This Row],[Years of Experience]]="","",IF(tblSalaries[[#This Row],[Years of Experience]]&lt;=2,1,""))</f>
        <v/>
      </c>
      <c r="O1353" t="str">
        <f>IF(tblSalaries[[#This Row],[Years of Experience]]="","",IF(AND(tblSalaries[[#This Row],[Years of Experience]]&gt;2,tblSalaries[[#This Row],[Years of Experience]]&lt;=5),1,""))</f>
        <v/>
      </c>
      <c r="P1353" t="str">
        <f>IF(tblSalaries[[#This Row],[Years of Experience]]="","",IF(AND(tblSalaries[[#This Row],[Years of Experience]]&gt;5,tblSalaries[[#This Row],[Years of Experience]]&lt;=10),1,""))</f>
        <v/>
      </c>
      <c r="Q1353" t="str">
        <f>IF(tblSalaries[[#This Row],[Years of Experience]]="","",IF(AND(tblSalaries[[#This Row],[Years of Experience]]&gt;10,tblSalaries[[#This Row],[Years of Experience]]&lt;=15),1,""))</f>
        <v/>
      </c>
      <c r="R1353">
        <f>IF(tblSalaries[[#This Row],[Years of Experience]]="","",IF(AND(tblSalaries[[#This Row],[Years of Experience]]&gt;16,tblSalaries[[#This Row],[Years of Experience]]&lt;=20),1,""))</f>
        <v>1</v>
      </c>
      <c r="S1353" t="str">
        <f>IF(tblSalaries[[#This Row],[Years of Experience]]="","",IF(tblSalaries[[#This Row],[Years of Experience]]&gt;20,1,""))</f>
        <v/>
      </c>
      <c r="T13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53" s="13" t="str">
        <f>IF(tblSalaries[[#This Row],[Job Type]]=tblSalaries[[#Headers],[Accountant]],tblSalaries[[#This Row],[Salary in USD]],"")</f>
        <v/>
      </c>
      <c r="V1353" s="13">
        <f>IF(tblSalaries[[#This Row],[Job Type]]=tblSalaries[[#Headers],[Analyst]],tblSalaries[[#This Row],[Salary in USD]],"")</f>
        <v>85000</v>
      </c>
      <c r="W1353" s="13" t="str">
        <f>IF(tblSalaries[[#This Row],[Job Type]]=tblSalaries[[#Headers],[Consultant]],tblSalaries[[#This Row],[Salary in USD]],"")</f>
        <v/>
      </c>
      <c r="X1353" s="13" t="str">
        <f>IF(tblSalaries[[#This Row],[Job Type]]=tblSalaries[[#Headers],[Controller]],tblSalaries[[#This Row],[Salary in USD]],"")</f>
        <v/>
      </c>
      <c r="Y1353" s="13" t="str">
        <f>IF(tblSalaries[[#This Row],[Job Type]]=tblSalaries[[#Headers],[CXO or Top Mgmt.]],tblSalaries[[#This Row],[clean Salary (in local currency)]],"")</f>
        <v/>
      </c>
      <c r="Z1353" s="13" t="str">
        <f>IF(tblSalaries[[#This Row],[Job Type]]=tblSalaries[[#Headers],[Engineer]],tblSalaries[[#This Row],[Salary in USD]],"")</f>
        <v/>
      </c>
      <c r="AA1353" s="13" t="str">
        <f>IF(tblSalaries[[#This Row],[Job Type]]=tblSalaries[[#Headers],[Manager]],tblSalaries[[#This Row],[Salary in USD]],"")</f>
        <v/>
      </c>
      <c r="AB1353" s="13" t="str">
        <f>IF(tblSalaries[[#This Row],[Job Type]]=tblSalaries[[#Headers],[Misc.]],tblSalaries[[#This Row],[Salary in USD]],"")</f>
        <v/>
      </c>
      <c r="AC1353" s="13" t="str">
        <f>IF(tblSalaries[[#This Row],[Job Type]]=tblSalaries[[#Headers],[Reporting]],tblSalaries[[#This Row],[Salary in USD]],"")</f>
        <v/>
      </c>
      <c r="AD1353" s="13" t="str">
        <f>IF(tblSalaries[[#This Row],[Job Type]]=tblSalaries[[#Headers],[Specialist]],tblSalaries[[#This Row],[Salary in USD]],"")</f>
        <v/>
      </c>
    </row>
    <row r="1354" spans="2:30" ht="15" customHeight="1" x14ac:dyDescent="0.25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 s="9">
        <f>tblSalaries[[#This Row],[clean Salary (in local currency)]]*VLOOKUP(tblSalaries[[#This Row],[Currency]],tblXrate[],2,FALSE)</f>
        <v>100000</v>
      </c>
      <c r="H1354" t="s">
        <v>1541</v>
      </c>
      <c r="I1354" t="s">
        <v>4001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  <c r="N1354" t="str">
        <f>IF(tblSalaries[[#This Row],[Years of Experience]]="","",IF(tblSalaries[[#This Row],[Years of Experience]]&lt;=2,1,""))</f>
        <v/>
      </c>
      <c r="O1354" t="str">
        <f>IF(tblSalaries[[#This Row],[Years of Experience]]="","",IF(AND(tblSalaries[[#This Row],[Years of Experience]]&gt;2,tblSalaries[[#This Row],[Years of Experience]]&lt;=5),1,""))</f>
        <v/>
      </c>
      <c r="P1354" t="str">
        <f>IF(tblSalaries[[#This Row],[Years of Experience]]="","",IF(AND(tblSalaries[[#This Row],[Years of Experience]]&gt;5,tblSalaries[[#This Row],[Years of Experience]]&lt;=10),1,""))</f>
        <v/>
      </c>
      <c r="Q1354" t="str">
        <f>IF(tblSalaries[[#This Row],[Years of Experience]]="","",IF(AND(tblSalaries[[#This Row],[Years of Experience]]&gt;10,tblSalaries[[#This Row],[Years of Experience]]&lt;=15),1,""))</f>
        <v/>
      </c>
      <c r="R1354">
        <f>IF(tblSalaries[[#This Row],[Years of Experience]]="","",IF(AND(tblSalaries[[#This Row],[Years of Experience]]&gt;16,tblSalaries[[#This Row],[Years of Experience]]&lt;=20),1,""))</f>
        <v>1</v>
      </c>
      <c r="S1354" t="str">
        <f>IF(tblSalaries[[#This Row],[Years of Experience]]="","",IF(tblSalaries[[#This Row],[Years of Experience]]&gt;20,1,""))</f>
        <v/>
      </c>
      <c r="T13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54" s="13" t="str">
        <f>IF(tblSalaries[[#This Row],[Job Type]]=tblSalaries[[#Headers],[Accountant]],tblSalaries[[#This Row],[Salary in USD]],"")</f>
        <v/>
      </c>
      <c r="V1354" s="13" t="str">
        <f>IF(tblSalaries[[#This Row],[Job Type]]=tblSalaries[[#Headers],[Analyst]],tblSalaries[[#This Row],[Salary in USD]],"")</f>
        <v/>
      </c>
      <c r="W1354" s="13" t="str">
        <f>IF(tblSalaries[[#This Row],[Job Type]]=tblSalaries[[#Headers],[Consultant]],tblSalaries[[#This Row],[Salary in USD]],"")</f>
        <v/>
      </c>
      <c r="X1354" s="13" t="str">
        <f>IF(tblSalaries[[#This Row],[Job Type]]=tblSalaries[[#Headers],[Controller]],tblSalaries[[#This Row],[Salary in USD]],"")</f>
        <v/>
      </c>
      <c r="Y1354" s="13">
        <f>IF(tblSalaries[[#This Row],[Job Type]]=tblSalaries[[#Headers],[CXO or Top Mgmt.]],tblSalaries[[#This Row],[clean Salary (in local currency)]],"")</f>
        <v>100000</v>
      </c>
      <c r="Z1354" s="13" t="str">
        <f>IF(tblSalaries[[#This Row],[Job Type]]=tblSalaries[[#Headers],[Engineer]],tblSalaries[[#This Row],[Salary in USD]],"")</f>
        <v/>
      </c>
      <c r="AA1354" s="13" t="str">
        <f>IF(tblSalaries[[#This Row],[Job Type]]=tblSalaries[[#Headers],[Manager]],tblSalaries[[#This Row],[Salary in USD]],"")</f>
        <v/>
      </c>
      <c r="AB1354" s="13" t="str">
        <f>IF(tblSalaries[[#This Row],[Job Type]]=tblSalaries[[#Headers],[Misc.]],tblSalaries[[#This Row],[Salary in USD]],"")</f>
        <v/>
      </c>
      <c r="AC1354" s="13" t="str">
        <f>IF(tblSalaries[[#This Row],[Job Type]]=tblSalaries[[#Headers],[Reporting]],tblSalaries[[#This Row],[Salary in USD]],"")</f>
        <v/>
      </c>
      <c r="AD1354" s="13" t="str">
        <f>IF(tblSalaries[[#This Row],[Job Type]]=tblSalaries[[#Headers],[Specialist]],tblSalaries[[#This Row],[Salary in USD]],"")</f>
        <v/>
      </c>
    </row>
    <row r="1355" spans="2:30" ht="15" customHeight="1" x14ac:dyDescent="0.25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 s="9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  <c r="N1355" t="str">
        <f>IF(tblSalaries[[#This Row],[Years of Experience]]="","",IF(tblSalaries[[#This Row],[Years of Experience]]&lt;=2,1,""))</f>
        <v/>
      </c>
      <c r="O1355" t="str">
        <f>IF(tblSalaries[[#This Row],[Years of Experience]]="","",IF(AND(tblSalaries[[#This Row],[Years of Experience]]&gt;2,tblSalaries[[#This Row],[Years of Experience]]&lt;=5),1,""))</f>
        <v/>
      </c>
      <c r="P1355" t="str">
        <f>IF(tblSalaries[[#This Row],[Years of Experience]]="","",IF(AND(tblSalaries[[#This Row],[Years of Experience]]&gt;5,tblSalaries[[#This Row],[Years of Experience]]&lt;=10),1,""))</f>
        <v/>
      </c>
      <c r="Q1355">
        <f>IF(tblSalaries[[#This Row],[Years of Experience]]="","",IF(AND(tblSalaries[[#This Row],[Years of Experience]]&gt;10,tblSalaries[[#This Row],[Years of Experience]]&lt;=15),1,""))</f>
        <v>1</v>
      </c>
      <c r="R1355" t="str">
        <f>IF(tblSalaries[[#This Row],[Years of Experience]]="","",IF(AND(tblSalaries[[#This Row],[Years of Experience]]&gt;16,tblSalaries[[#This Row],[Years of Experience]]&lt;=20),1,""))</f>
        <v/>
      </c>
      <c r="S1355" t="str">
        <f>IF(tblSalaries[[#This Row],[Years of Experience]]="","",IF(tblSalaries[[#This Row],[Years of Experience]]&gt;20,1,""))</f>
        <v/>
      </c>
      <c r="T13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55" s="13" t="str">
        <f>IF(tblSalaries[[#This Row],[Job Type]]=tblSalaries[[#Headers],[Accountant]],tblSalaries[[#This Row],[Salary in USD]],"")</f>
        <v/>
      </c>
      <c r="V1355" s="13">
        <f>IF(tblSalaries[[#This Row],[Job Type]]=tblSalaries[[#Headers],[Analyst]],tblSalaries[[#This Row],[Salary in USD]],"")</f>
        <v>83000</v>
      </c>
      <c r="W1355" s="13" t="str">
        <f>IF(tblSalaries[[#This Row],[Job Type]]=tblSalaries[[#Headers],[Consultant]],tblSalaries[[#This Row],[Salary in USD]],"")</f>
        <v/>
      </c>
      <c r="X1355" s="13" t="str">
        <f>IF(tblSalaries[[#This Row],[Job Type]]=tblSalaries[[#Headers],[Controller]],tblSalaries[[#This Row],[Salary in USD]],"")</f>
        <v/>
      </c>
      <c r="Y1355" s="13" t="str">
        <f>IF(tblSalaries[[#This Row],[Job Type]]=tblSalaries[[#Headers],[CXO or Top Mgmt.]],tblSalaries[[#This Row],[clean Salary (in local currency)]],"")</f>
        <v/>
      </c>
      <c r="Z1355" s="13" t="str">
        <f>IF(tblSalaries[[#This Row],[Job Type]]=tblSalaries[[#Headers],[Engineer]],tblSalaries[[#This Row],[Salary in USD]],"")</f>
        <v/>
      </c>
      <c r="AA1355" s="13" t="str">
        <f>IF(tblSalaries[[#This Row],[Job Type]]=tblSalaries[[#Headers],[Manager]],tblSalaries[[#This Row],[Salary in USD]],"")</f>
        <v/>
      </c>
      <c r="AB1355" s="13" t="str">
        <f>IF(tblSalaries[[#This Row],[Job Type]]=tblSalaries[[#Headers],[Misc.]],tblSalaries[[#This Row],[Salary in USD]],"")</f>
        <v/>
      </c>
      <c r="AC1355" s="13" t="str">
        <f>IF(tblSalaries[[#This Row],[Job Type]]=tblSalaries[[#Headers],[Reporting]],tblSalaries[[#This Row],[Salary in USD]],"")</f>
        <v/>
      </c>
      <c r="AD1355" s="13" t="str">
        <f>IF(tblSalaries[[#This Row],[Job Type]]=tblSalaries[[#Headers],[Specialist]],tblSalaries[[#This Row],[Salary in USD]],"")</f>
        <v/>
      </c>
    </row>
    <row r="1356" spans="2:30" ht="15" customHeight="1" x14ac:dyDescent="0.25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 s="9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  <c r="N1356" t="str">
        <f>IF(tblSalaries[[#This Row],[Years of Experience]]="","",IF(tblSalaries[[#This Row],[Years of Experience]]&lt;=2,1,""))</f>
        <v/>
      </c>
      <c r="O1356" t="str">
        <f>IF(tblSalaries[[#This Row],[Years of Experience]]="","",IF(AND(tblSalaries[[#This Row],[Years of Experience]]&gt;2,tblSalaries[[#This Row],[Years of Experience]]&lt;=5),1,""))</f>
        <v/>
      </c>
      <c r="P1356" t="str">
        <f>IF(tblSalaries[[#This Row],[Years of Experience]]="","",IF(AND(tblSalaries[[#This Row],[Years of Experience]]&gt;5,tblSalaries[[#This Row],[Years of Experience]]&lt;=10),1,""))</f>
        <v/>
      </c>
      <c r="Q1356" t="str">
        <f>IF(tblSalaries[[#This Row],[Years of Experience]]="","",IF(AND(tblSalaries[[#This Row],[Years of Experience]]&gt;10,tblSalaries[[#This Row],[Years of Experience]]&lt;=15),1,""))</f>
        <v/>
      </c>
      <c r="R1356" t="str">
        <f>IF(tblSalaries[[#This Row],[Years of Experience]]="","",IF(AND(tblSalaries[[#This Row],[Years of Experience]]&gt;16,tblSalaries[[#This Row],[Years of Experience]]&lt;=20),1,""))</f>
        <v/>
      </c>
      <c r="S1356">
        <f>IF(tblSalaries[[#This Row],[Years of Experience]]="","",IF(tblSalaries[[#This Row],[Years of Experience]]&gt;20,1,""))</f>
        <v>1</v>
      </c>
      <c r="T13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56" s="13" t="str">
        <f>IF(tblSalaries[[#This Row],[Job Type]]=tblSalaries[[#Headers],[Accountant]],tblSalaries[[#This Row],[Salary in USD]],"")</f>
        <v/>
      </c>
      <c r="V1356" s="13" t="str">
        <f>IF(tblSalaries[[#This Row],[Job Type]]=tblSalaries[[#Headers],[Analyst]],tblSalaries[[#This Row],[Salary in USD]],"")</f>
        <v/>
      </c>
      <c r="W1356" s="13" t="str">
        <f>IF(tblSalaries[[#This Row],[Job Type]]=tblSalaries[[#Headers],[Consultant]],tblSalaries[[#This Row],[Salary in USD]],"")</f>
        <v/>
      </c>
      <c r="X1356" s="13" t="str">
        <f>IF(tblSalaries[[#This Row],[Job Type]]=tblSalaries[[#Headers],[Controller]],tblSalaries[[#This Row],[Salary in USD]],"")</f>
        <v/>
      </c>
      <c r="Y1356" s="13" t="str">
        <f>IF(tblSalaries[[#This Row],[Job Type]]=tblSalaries[[#Headers],[CXO or Top Mgmt.]],tblSalaries[[#This Row],[clean Salary (in local currency)]],"")</f>
        <v/>
      </c>
      <c r="Z1356" s="13">
        <f>IF(tblSalaries[[#This Row],[Job Type]]=tblSalaries[[#Headers],[Engineer]],tblSalaries[[#This Row],[Salary in USD]],"")</f>
        <v>85000</v>
      </c>
      <c r="AA1356" s="13" t="str">
        <f>IF(tblSalaries[[#This Row],[Job Type]]=tblSalaries[[#Headers],[Manager]],tblSalaries[[#This Row],[Salary in USD]],"")</f>
        <v/>
      </c>
      <c r="AB1356" s="13" t="str">
        <f>IF(tblSalaries[[#This Row],[Job Type]]=tblSalaries[[#Headers],[Misc.]],tblSalaries[[#This Row],[Salary in USD]],"")</f>
        <v/>
      </c>
      <c r="AC1356" s="13" t="str">
        <f>IF(tblSalaries[[#This Row],[Job Type]]=tblSalaries[[#Headers],[Reporting]],tblSalaries[[#This Row],[Salary in USD]],"")</f>
        <v/>
      </c>
      <c r="AD1356" s="13" t="str">
        <f>IF(tblSalaries[[#This Row],[Job Type]]=tblSalaries[[#Headers],[Specialist]],tblSalaries[[#This Row],[Salary in USD]],"")</f>
        <v/>
      </c>
    </row>
    <row r="1357" spans="2:30" ht="15" customHeight="1" x14ac:dyDescent="0.25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 s="9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  <c r="N1357" t="str">
        <f>IF(tblSalaries[[#This Row],[Years of Experience]]="","",IF(tblSalaries[[#This Row],[Years of Experience]]&lt;=2,1,""))</f>
        <v/>
      </c>
      <c r="O1357">
        <f>IF(tblSalaries[[#This Row],[Years of Experience]]="","",IF(AND(tblSalaries[[#This Row],[Years of Experience]]&gt;2,tblSalaries[[#This Row],[Years of Experience]]&lt;=5),1,""))</f>
        <v>1</v>
      </c>
      <c r="P1357" t="str">
        <f>IF(tblSalaries[[#This Row],[Years of Experience]]="","",IF(AND(tblSalaries[[#This Row],[Years of Experience]]&gt;5,tblSalaries[[#This Row],[Years of Experience]]&lt;=10),1,""))</f>
        <v/>
      </c>
      <c r="Q1357" t="str">
        <f>IF(tblSalaries[[#This Row],[Years of Experience]]="","",IF(AND(tblSalaries[[#This Row],[Years of Experience]]&gt;10,tblSalaries[[#This Row],[Years of Experience]]&lt;=15),1,""))</f>
        <v/>
      </c>
      <c r="R1357" t="str">
        <f>IF(tblSalaries[[#This Row],[Years of Experience]]="","",IF(AND(tblSalaries[[#This Row],[Years of Experience]]&gt;16,tblSalaries[[#This Row],[Years of Experience]]&lt;=20),1,""))</f>
        <v/>
      </c>
      <c r="S1357" t="str">
        <f>IF(tblSalaries[[#This Row],[Years of Experience]]="","",IF(tblSalaries[[#This Row],[Years of Experience]]&gt;20,1,""))</f>
        <v/>
      </c>
      <c r="T13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57" s="13" t="str">
        <f>IF(tblSalaries[[#This Row],[Job Type]]=tblSalaries[[#Headers],[Accountant]],tblSalaries[[#This Row],[Salary in USD]],"")</f>
        <v/>
      </c>
      <c r="V1357" s="13" t="str">
        <f>IF(tblSalaries[[#This Row],[Job Type]]=tblSalaries[[#Headers],[Analyst]],tblSalaries[[#This Row],[Salary in USD]],"")</f>
        <v/>
      </c>
      <c r="W1357" s="13" t="str">
        <f>IF(tblSalaries[[#This Row],[Job Type]]=tblSalaries[[#Headers],[Consultant]],tblSalaries[[#This Row],[Salary in USD]],"")</f>
        <v/>
      </c>
      <c r="X1357" s="13" t="str">
        <f>IF(tblSalaries[[#This Row],[Job Type]]=tblSalaries[[#Headers],[Controller]],tblSalaries[[#This Row],[Salary in USD]],"")</f>
        <v/>
      </c>
      <c r="Y1357" s="13" t="str">
        <f>IF(tblSalaries[[#This Row],[Job Type]]=tblSalaries[[#Headers],[CXO or Top Mgmt.]],tblSalaries[[#This Row],[clean Salary (in local currency)]],"")</f>
        <v/>
      </c>
      <c r="Z1357" s="13" t="str">
        <f>IF(tblSalaries[[#This Row],[Job Type]]=tblSalaries[[#Headers],[Engineer]],tblSalaries[[#This Row],[Salary in USD]],"")</f>
        <v/>
      </c>
      <c r="AA1357" s="13">
        <f>IF(tblSalaries[[#This Row],[Job Type]]=tblSalaries[[#Headers],[Manager]],tblSalaries[[#This Row],[Salary in USD]],"")</f>
        <v>120000</v>
      </c>
      <c r="AB1357" s="13" t="str">
        <f>IF(tblSalaries[[#This Row],[Job Type]]=tblSalaries[[#Headers],[Misc.]],tblSalaries[[#This Row],[Salary in USD]],"")</f>
        <v/>
      </c>
      <c r="AC1357" s="13" t="str">
        <f>IF(tblSalaries[[#This Row],[Job Type]]=tblSalaries[[#Headers],[Reporting]],tblSalaries[[#This Row],[Salary in USD]],"")</f>
        <v/>
      </c>
      <c r="AD1357" s="13" t="str">
        <f>IF(tblSalaries[[#This Row],[Job Type]]=tblSalaries[[#Headers],[Specialist]],tblSalaries[[#This Row],[Salary in USD]],"")</f>
        <v/>
      </c>
    </row>
    <row r="1358" spans="2:30" ht="15" customHeight="1" x14ac:dyDescent="0.25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 s="9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  <c r="N1358" t="str">
        <f>IF(tblSalaries[[#This Row],[Years of Experience]]="","",IF(tblSalaries[[#This Row],[Years of Experience]]&lt;=2,1,""))</f>
        <v/>
      </c>
      <c r="O1358" t="str">
        <f>IF(tblSalaries[[#This Row],[Years of Experience]]="","",IF(AND(tblSalaries[[#This Row],[Years of Experience]]&gt;2,tblSalaries[[#This Row],[Years of Experience]]&lt;=5),1,""))</f>
        <v/>
      </c>
      <c r="P1358" t="str">
        <f>IF(tblSalaries[[#This Row],[Years of Experience]]="","",IF(AND(tblSalaries[[#This Row],[Years of Experience]]&gt;5,tblSalaries[[#This Row],[Years of Experience]]&lt;=10),1,""))</f>
        <v/>
      </c>
      <c r="Q1358" t="str">
        <f>IF(tblSalaries[[#This Row],[Years of Experience]]="","",IF(AND(tblSalaries[[#This Row],[Years of Experience]]&gt;10,tblSalaries[[#This Row],[Years of Experience]]&lt;=15),1,""))</f>
        <v/>
      </c>
      <c r="R1358" t="str">
        <f>IF(tblSalaries[[#This Row],[Years of Experience]]="","",IF(AND(tblSalaries[[#This Row],[Years of Experience]]&gt;16,tblSalaries[[#This Row],[Years of Experience]]&lt;=20),1,""))</f>
        <v/>
      </c>
      <c r="S1358">
        <f>IF(tblSalaries[[#This Row],[Years of Experience]]="","",IF(tblSalaries[[#This Row],[Years of Experience]]&gt;20,1,""))</f>
        <v>1</v>
      </c>
      <c r="T13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58" s="13" t="str">
        <f>IF(tblSalaries[[#This Row],[Job Type]]=tblSalaries[[#Headers],[Accountant]],tblSalaries[[#This Row],[Salary in USD]],"")</f>
        <v/>
      </c>
      <c r="V1358" s="13" t="str">
        <f>IF(tblSalaries[[#This Row],[Job Type]]=tblSalaries[[#Headers],[Analyst]],tblSalaries[[#This Row],[Salary in USD]],"")</f>
        <v/>
      </c>
      <c r="W1358" s="13" t="str">
        <f>IF(tblSalaries[[#This Row],[Job Type]]=tblSalaries[[#Headers],[Consultant]],tblSalaries[[#This Row],[Salary in USD]],"")</f>
        <v/>
      </c>
      <c r="X1358" s="13" t="str">
        <f>IF(tblSalaries[[#This Row],[Job Type]]=tblSalaries[[#Headers],[Controller]],tblSalaries[[#This Row],[Salary in USD]],"")</f>
        <v/>
      </c>
      <c r="Y1358" s="13" t="str">
        <f>IF(tblSalaries[[#This Row],[Job Type]]=tblSalaries[[#Headers],[CXO or Top Mgmt.]],tblSalaries[[#This Row],[clean Salary (in local currency)]],"")</f>
        <v/>
      </c>
      <c r="Z1358" s="13">
        <f>IF(tblSalaries[[#This Row],[Job Type]]=tblSalaries[[#Headers],[Engineer]],tblSalaries[[#This Row],[Salary in USD]],"")</f>
        <v>69960</v>
      </c>
      <c r="AA1358" s="13" t="str">
        <f>IF(tblSalaries[[#This Row],[Job Type]]=tblSalaries[[#Headers],[Manager]],tblSalaries[[#This Row],[Salary in USD]],"")</f>
        <v/>
      </c>
      <c r="AB1358" s="13" t="str">
        <f>IF(tblSalaries[[#This Row],[Job Type]]=tblSalaries[[#Headers],[Misc.]],tblSalaries[[#This Row],[Salary in USD]],"")</f>
        <v/>
      </c>
      <c r="AC1358" s="13" t="str">
        <f>IF(tblSalaries[[#This Row],[Job Type]]=tblSalaries[[#Headers],[Reporting]],tblSalaries[[#This Row],[Salary in USD]],"")</f>
        <v/>
      </c>
      <c r="AD1358" s="13" t="str">
        <f>IF(tblSalaries[[#This Row],[Job Type]]=tblSalaries[[#Headers],[Specialist]],tblSalaries[[#This Row],[Salary in USD]],"")</f>
        <v/>
      </c>
    </row>
    <row r="1359" spans="2:30" ht="15" customHeight="1" x14ac:dyDescent="0.25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 s="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  <c r="N1359" t="str">
        <f>IF(tblSalaries[[#This Row],[Years of Experience]]="","",IF(tblSalaries[[#This Row],[Years of Experience]]&lt;=2,1,""))</f>
        <v/>
      </c>
      <c r="O1359" t="str">
        <f>IF(tblSalaries[[#This Row],[Years of Experience]]="","",IF(AND(tblSalaries[[#This Row],[Years of Experience]]&gt;2,tblSalaries[[#This Row],[Years of Experience]]&lt;=5),1,""))</f>
        <v/>
      </c>
      <c r="P1359" t="str">
        <f>IF(tblSalaries[[#This Row],[Years of Experience]]="","",IF(AND(tblSalaries[[#This Row],[Years of Experience]]&gt;5,tblSalaries[[#This Row],[Years of Experience]]&lt;=10),1,""))</f>
        <v/>
      </c>
      <c r="Q1359">
        <f>IF(tblSalaries[[#This Row],[Years of Experience]]="","",IF(AND(tblSalaries[[#This Row],[Years of Experience]]&gt;10,tblSalaries[[#This Row],[Years of Experience]]&lt;=15),1,""))</f>
        <v>1</v>
      </c>
      <c r="R1359" t="str">
        <f>IF(tblSalaries[[#This Row],[Years of Experience]]="","",IF(AND(tblSalaries[[#This Row],[Years of Experience]]&gt;16,tblSalaries[[#This Row],[Years of Experience]]&lt;=20),1,""))</f>
        <v/>
      </c>
      <c r="S1359" t="str">
        <f>IF(tblSalaries[[#This Row],[Years of Experience]]="","",IF(tblSalaries[[#This Row],[Years of Experience]]&gt;20,1,""))</f>
        <v/>
      </c>
      <c r="T13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59" s="13" t="str">
        <f>IF(tblSalaries[[#This Row],[Job Type]]=tblSalaries[[#Headers],[Accountant]],tblSalaries[[#This Row],[Salary in USD]],"")</f>
        <v/>
      </c>
      <c r="V1359" s="13" t="str">
        <f>IF(tblSalaries[[#This Row],[Job Type]]=tblSalaries[[#Headers],[Analyst]],tblSalaries[[#This Row],[Salary in USD]],"")</f>
        <v/>
      </c>
      <c r="W1359" s="13" t="str">
        <f>IF(tblSalaries[[#This Row],[Job Type]]=tblSalaries[[#Headers],[Consultant]],tblSalaries[[#This Row],[Salary in USD]],"")</f>
        <v/>
      </c>
      <c r="X1359" s="13" t="str">
        <f>IF(tblSalaries[[#This Row],[Job Type]]=tblSalaries[[#Headers],[Controller]],tblSalaries[[#This Row],[Salary in USD]],"")</f>
        <v/>
      </c>
      <c r="Y1359" s="13" t="str">
        <f>IF(tblSalaries[[#This Row],[Job Type]]=tblSalaries[[#Headers],[CXO or Top Mgmt.]],tblSalaries[[#This Row],[clean Salary (in local currency)]],"")</f>
        <v/>
      </c>
      <c r="Z1359" s="13" t="str">
        <f>IF(tblSalaries[[#This Row],[Job Type]]=tblSalaries[[#Headers],[Engineer]],tblSalaries[[#This Row],[Salary in USD]],"")</f>
        <v/>
      </c>
      <c r="AA1359" s="13">
        <f>IF(tblSalaries[[#This Row],[Job Type]]=tblSalaries[[#Headers],[Manager]],tblSalaries[[#This Row],[Salary in USD]],"")</f>
        <v>97000</v>
      </c>
      <c r="AB1359" s="13" t="str">
        <f>IF(tblSalaries[[#This Row],[Job Type]]=tblSalaries[[#Headers],[Misc.]],tblSalaries[[#This Row],[Salary in USD]],"")</f>
        <v/>
      </c>
      <c r="AC1359" s="13" t="str">
        <f>IF(tblSalaries[[#This Row],[Job Type]]=tblSalaries[[#Headers],[Reporting]],tblSalaries[[#This Row],[Salary in USD]],"")</f>
        <v/>
      </c>
      <c r="AD1359" s="13" t="str">
        <f>IF(tblSalaries[[#This Row],[Job Type]]=tblSalaries[[#Headers],[Specialist]],tblSalaries[[#This Row],[Salary in USD]],"")</f>
        <v/>
      </c>
    </row>
    <row r="1360" spans="2:30" ht="15" customHeight="1" x14ac:dyDescent="0.25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 s="9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  <c r="N1360" t="str">
        <f>IF(tblSalaries[[#This Row],[Years of Experience]]="","",IF(tblSalaries[[#This Row],[Years of Experience]]&lt;=2,1,""))</f>
        <v/>
      </c>
      <c r="O1360" t="str">
        <f>IF(tblSalaries[[#This Row],[Years of Experience]]="","",IF(AND(tblSalaries[[#This Row],[Years of Experience]]&gt;2,tblSalaries[[#This Row],[Years of Experience]]&lt;=5),1,""))</f>
        <v/>
      </c>
      <c r="P1360">
        <f>IF(tblSalaries[[#This Row],[Years of Experience]]="","",IF(AND(tblSalaries[[#This Row],[Years of Experience]]&gt;5,tblSalaries[[#This Row],[Years of Experience]]&lt;=10),1,""))</f>
        <v>1</v>
      </c>
      <c r="Q1360" t="str">
        <f>IF(tblSalaries[[#This Row],[Years of Experience]]="","",IF(AND(tblSalaries[[#This Row],[Years of Experience]]&gt;10,tblSalaries[[#This Row],[Years of Experience]]&lt;=15),1,""))</f>
        <v/>
      </c>
      <c r="R1360" t="str">
        <f>IF(tblSalaries[[#This Row],[Years of Experience]]="","",IF(AND(tblSalaries[[#This Row],[Years of Experience]]&gt;16,tblSalaries[[#This Row],[Years of Experience]]&lt;=20),1,""))</f>
        <v/>
      </c>
      <c r="S1360" t="str">
        <f>IF(tblSalaries[[#This Row],[Years of Experience]]="","",IF(tblSalaries[[#This Row],[Years of Experience]]&gt;20,1,""))</f>
        <v/>
      </c>
      <c r="T13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60" s="13" t="str">
        <f>IF(tblSalaries[[#This Row],[Job Type]]=tblSalaries[[#Headers],[Accountant]],tblSalaries[[#This Row],[Salary in USD]],"")</f>
        <v/>
      </c>
      <c r="V1360" s="13">
        <f>IF(tblSalaries[[#This Row],[Job Type]]=tblSalaries[[#Headers],[Analyst]],tblSalaries[[#This Row],[Salary in USD]],"")</f>
        <v>94570.696324037053</v>
      </c>
      <c r="W1360" s="13" t="str">
        <f>IF(tblSalaries[[#This Row],[Job Type]]=tblSalaries[[#Headers],[Consultant]],tblSalaries[[#This Row],[Salary in USD]],"")</f>
        <v/>
      </c>
      <c r="X1360" s="13" t="str">
        <f>IF(tblSalaries[[#This Row],[Job Type]]=tblSalaries[[#Headers],[Controller]],tblSalaries[[#This Row],[Salary in USD]],"")</f>
        <v/>
      </c>
      <c r="Y1360" s="13" t="str">
        <f>IF(tblSalaries[[#This Row],[Job Type]]=tblSalaries[[#Headers],[CXO or Top Mgmt.]],tblSalaries[[#This Row],[clean Salary (in local currency)]],"")</f>
        <v/>
      </c>
      <c r="Z1360" s="13" t="str">
        <f>IF(tblSalaries[[#This Row],[Job Type]]=tblSalaries[[#Headers],[Engineer]],tblSalaries[[#This Row],[Salary in USD]],"")</f>
        <v/>
      </c>
      <c r="AA1360" s="13" t="str">
        <f>IF(tblSalaries[[#This Row],[Job Type]]=tblSalaries[[#Headers],[Manager]],tblSalaries[[#This Row],[Salary in USD]],"")</f>
        <v/>
      </c>
      <c r="AB1360" s="13" t="str">
        <f>IF(tblSalaries[[#This Row],[Job Type]]=tblSalaries[[#Headers],[Misc.]],tblSalaries[[#This Row],[Salary in USD]],"")</f>
        <v/>
      </c>
      <c r="AC1360" s="13" t="str">
        <f>IF(tblSalaries[[#This Row],[Job Type]]=tblSalaries[[#Headers],[Reporting]],tblSalaries[[#This Row],[Salary in USD]],"")</f>
        <v/>
      </c>
      <c r="AD1360" s="13" t="str">
        <f>IF(tblSalaries[[#This Row],[Job Type]]=tblSalaries[[#Headers],[Specialist]],tblSalaries[[#This Row],[Salary in USD]],"")</f>
        <v/>
      </c>
    </row>
    <row r="1361" spans="2:30" ht="15" customHeight="1" x14ac:dyDescent="0.25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 s="9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  <c r="N1361" t="str">
        <f>IF(tblSalaries[[#This Row],[Years of Experience]]="","",IF(tblSalaries[[#This Row],[Years of Experience]]&lt;=2,1,""))</f>
        <v/>
      </c>
      <c r="O1361" t="str">
        <f>IF(tblSalaries[[#This Row],[Years of Experience]]="","",IF(AND(tblSalaries[[#This Row],[Years of Experience]]&gt;2,tblSalaries[[#This Row],[Years of Experience]]&lt;=5),1,""))</f>
        <v/>
      </c>
      <c r="P1361">
        <f>IF(tblSalaries[[#This Row],[Years of Experience]]="","",IF(AND(tblSalaries[[#This Row],[Years of Experience]]&gt;5,tblSalaries[[#This Row],[Years of Experience]]&lt;=10),1,""))</f>
        <v>1</v>
      </c>
      <c r="Q1361" t="str">
        <f>IF(tblSalaries[[#This Row],[Years of Experience]]="","",IF(AND(tblSalaries[[#This Row],[Years of Experience]]&gt;10,tblSalaries[[#This Row],[Years of Experience]]&lt;=15),1,""))</f>
        <v/>
      </c>
      <c r="R1361" t="str">
        <f>IF(tblSalaries[[#This Row],[Years of Experience]]="","",IF(AND(tblSalaries[[#This Row],[Years of Experience]]&gt;16,tblSalaries[[#This Row],[Years of Experience]]&lt;=20),1,""))</f>
        <v/>
      </c>
      <c r="S1361" t="str">
        <f>IF(tblSalaries[[#This Row],[Years of Experience]]="","",IF(tblSalaries[[#This Row],[Years of Experience]]&gt;20,1,""))</f>
        <v/>
      </c>
      <c r="T13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61" s="13" t="str">
        <f>IF(tblSalaries[[#This Row],[Job Type]]=tblSalaries[[#Headers],[Accountant]],tblSalaries[[#This Row],[Salary in USD]],"")</f>
        <v/>
      </c>
      <c r="V1361" s="13" t="str">
        <f>IF(tblSalaries[[#This Row],[Job Type]]=tblSalaries[[#Headers],[Analyst]],tblSalaries[[#This Row],[Salary in USD]],"")</f>
        <v/>
      </c>
      <c r="W1361" s="13" t="str">
        <f>IF(tblSalaries[[#This Row],[Job Type]]=tblSalaries[[#Headers],[Consultant]],tblSalaries[[#This Row],[Salary in USD]],"")</f>
        <v/>
      </c>
      <c r="X1361" s="13" t="str">
        <f>IF(tblSalaries[[#This Row],[Job Type]]=tblSalaries[[#Headers],[Controller]],tblSalaries[[#This Row],[Salary in USD]],"")</f>
        <v/>
      </c>
      <c r="Y1361" s="13" t="str">
        <f>IF(tblSalaries[[#This Row],[Job Type]]=tblSalaries[[#Headers],[CXO or Top Mgmt.]],tblSalaries[[#This Row],[clean Salary (in local currency)]],"")</f>
        <v/>
      </c>
      <c r="Z1361" s="13" t="str">
        <f>IF(tblSalaries[[#This Row],[Job Type]]=tblSalaries[[#Headers],[Engineer]],tblSalaries[[#This Row],[Salary in USD]],"")</f>
        <v/>
      </c>
      <c r="AA1361" s="13">
        <f>IF(tblSalaries[[#This Row],[Job Type]]=tblSalaries[[#Headers],[Manager]],tblSalaries[[#This Row],[Salary in USD]],"")</f>
        <v>39000</v>
      </c>
      <c r="AB1361" s="13" t="str">
        <f>IF(tblSalaries[[#This Row],[Job Type]]=tblSalaries[[#Headers],[Misc.]],tblSalaries[[#This Row],[Salary in USD]],"")</f>
        <v/>
      </c>
      <c r="AC1361" s="13" t="str">
        <f>IF(tblSalaries[[#This Row],[Job Type]]=tblSalaries[[#Headers],[Reporting]],tblSalaries[[#This Row],[Salary in USD]],"")</f>
        <v/>
      </c>
      <c r="AD1361" s="13" t="str">
        <f>IF(tblSalaries[[#This Row],[Job Type]]=tblSalaries[[#Headers],[Specialist]],tblSalaries[[#This Row],[Salary in USD]],"")</f>
        <v/>
      </c>
    </row>
    <row r="1362" spans="2:30" ht="15" customHeight="1" x14ac:dyDescent="0.25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 s="9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  <c r="N1362" t="str">
        <f>IF(tblSalaries[[#This Row],[Years of Experience]]="","",IF(tblSalaries[[#This Row],[Years of Experience]]&lt;=2,1,""))</f>
        <v/>
      </c>
      <c r="O1362" t="str">
        <f>IF(tblSalaries[[#This Row],[Years of Experience]]="","",IF(AND(tblSalaries[[#This Row],[Years of Experience]]&gt;2,tblSalaries[[#This Row],[Years of Experience]]&lt;=5),1,""))</f>
        <v/>
      </c>
      <c r="P1362" t="str">
        <f>IF(tblSalaries[[#This Row],[Years of Experience]]="","",IF(AND(tblSalaries[[#This Row],[Years of Experience]]&gt;5,tblSalaries[[#This Row],[Years of Experience]]&lt;=10),1,""))</f>
        <v/>
      </c>
      <c r="Q1362">
        <f>IF(tblSalaries[[#This Row],[Years of Experience]]="","",IF(AND(tblSalaries[[#This Row],[Years of Experience]]&gt;10,tblSalaries[[#This Row],[Years of Experience]]&lt;=15),1,""))</f>
        <v>1</v>
      </c>
      <c r="R1362" t="str">
        <f>IF(tblSalaries[[#This Row],[Years of Experience]]="","",IF(AND(tblSalaries[[#This Row],[Years of Experience]]&gt;16,tblSalaries[[#This Row],[Years of Experience]]&lt;=20),1,""))</f>
        <v/>
      </c>
      <c r="S1362" t="str">
        <f>IF(tblSalaries[[#This Row],[Years of Experience]]="","",IF(tblSalaries[[#This Row],[Years of Experience]]&gt;20,1,""))</f>
        <v/>
      </c>
      <c r="T13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62" s="13" t="str">
        <f>IF(tblSalaries[[#This Row],[Job Type]]=tblSalaries[[#Headers],[Accountant]],tblSalaries[[#This Row],[Salary in USD]],"")</f>
        <v/>
      </c>
      <c r="V1362" s="13" t="str">
        <f>IF(tblSalaries[[#This Row],[Job Type]]=tblSalaries[[#Headers],[Analyst]],tblSalaries[[#This Row],[Salary in USD]],"")</f>
        <v/>
      </c>
      <c r="W1362" s="13" t="str">
        <f>IF(tblSalaries[[#This Row],[Job Type]]=tblSalaries[[#Headers],[Consultant]],tblSalaries[[#This Row],[Salary in USD]],"")</f>
        <v/>
      </c>
      <c r="X1362" s="13" t="str">
        <f>IF(tblSalaries[[#This Row],[Job Type]]=tblSalaries[[#Headers],[Controller]],tblSalaries[[#This Row],[Salary in USD]],"")</f>
        <v/>
      </c>
      <c r="Y1362" s="13" t="str">
        <f>IF(tblSalaries[[#This Row],[Job Type]]=tblSalaries[[#Headers],[CXO or Top Mgmt.]],tblSalaries[[#This Row],[clean Salary (in local currency)]],"")</f>
        <v/>
      </c>
      <c r="Z1362" s="13" t="str">
        <f>IF(tblSalaries[[#This Row],[Job Type]]=tblSalaries[[#Headers],[Engineer]],tblSalaries[[#This Row],[Salary in USD]],"")</f>
        <v/>
      </c>
      <c r="AA1362" s="13">
        <f>IF(tblSalaries[[#This Row],[Job Type]]=tblSalaries[[#Headers],[Manager]],tblSalaries[[#This Row],[Salary in USD]],"")</f>
        <v>4451.9791718606421</v>
      </c>
      <c r="AB1362" s="13" t="str">
        <f>IF(tblSalaries[[#This Row],[Job Type]]=tblSalaries[[#Headers],[Misc.]],tblSalaries[[#This Row],[Salary in USD]],"")</f>
        <v/>
      </c>
      <c r="AC1362" s="13" t="str">
        <f>IF(tblSalaries[[#This Row],[Job Type]]=tblSalaries[[#Headers],[Reporting]],tblSalaries[[#This Row],[Salary in USD]],"")</f>
        <v/>
      </c>
      <c r="AD1362" s="13" t="str">
        <f>IF(tblSalaries[[#This Row],[Job Type]]=tblSalaries[[#Headers],[Specialist]],tblSalaries[[#This Row],[Salary in USD]],"")</f>
        <v/>
      </c>
    </row>
    <row r="1363" spans="2:30" ht="15" customHeight="1" x14ac:dyDescent="0.25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 s="9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  <c r="N1363" t="str">
        <f>IF(tblSalaries[[#This Row],[Years of Experience]]="","",IF(tblSalaries[[#This Row],[Years of Experience]]&lt;=2,1,""))</f>
        <v/>
      </c>
      <c r="O1363" t="str">
        <f>IF(tblSalaries[[#This Row],[Years of Experience]]="","",IF(AND(tblSalaries[[#This Row],[Years of Experience]]&gt;2,tblSalaries[[#This Row],[Years of Experience]]&lt;=5),1,""))</f>
        <v/>
      </c>
      <c r="P1363" t="str">
        <f>IF(tblSalaries[[#This Row],[Years of Experience]]="","",IF(AND(tblSalaries[[#This Row],[Years of Experience]]&gt;5,tblSalaries[[#This Row],[Years of Experience]]&lt;=10),1,""))</f>
        <v/>
      </c>
      <c r="Q1363" t="str">
        <f>IF(tblSalaries[[#This Row],[Years of Experience]]="","",IF(AND(tblSalaries[[#This Row],[Years of Experience]]&gt;10,tblSalaries[[#This Row],[Years of Experience]]&lt;=15),1,""))</f>
        <v/>
      </c>
      <c r="R1363" t="str">
        <f>IF(tblSalaries[[#This Row],[Years of Experience]]="","",IF(AND(tblSalaries[[#This Row],[Years of Experience]]&gt;16,tblSalaries[[#This Row],[Years of Experience]]&lt;=20),1,""))</f>
        <v/>
      </c>
      <c r="S1363">
        <f>IF(tblSalaries[[#This Row],[Years of Experience]]="","",IF(tblSalaries[[#This Row],[Years of Experience]]&gt;20,1,""))</f>
        <v>1</v>
      </c>
      <c r="T13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63" s="13" t="str">
        <f>IF(tblSalaries[[#This Row],[Job Type]]=tblSalaries[[#Headers],[Accountant]],tblSalaries[[#This Row],[Salary in USD]],"")</f>
        <v/>
      </c>
      <c r="V1363" s="13" t="str">
        <f>IF(tblSalaries[[#This Row],[Job Type]]=tblSalaries[[#Headers],[Analyst]],tblSalaries[[#This Row],[Salary in USD]],"")</f>
        <v/>
      </c>
      <c r="W1363" s="13" t="str">
        <f>IF(tblSalaries[[#This Row],[Job Type]]=tblSalaries[[#Headers],[Consultant]],tblSalaries[[#This Row],[Salary in USD]],"")</f>
        <v/>
      </c>
      <c r="X1363" s="13" t="str">
        <f>IF(tblSalaries[[#This Row],[Job Type]]=tblSalaries[[#Headers],[Controller]],tblSalaries[[#This Row],[Salary in USD]],"")</f>
        <v/>
      </c>
      <c r="Y1363" s="13" t="str">
        <f>IF(tblSalaries[[#This Row],[Job Type]]=tblSalaries[[#Headers],[CXO or Top Mgmt.]],tblSalaries[[#This Row],[clean Salary (in local currency)]],"")</f>
        <v/>
      </c>
      <c r="Z1363" s="13" t="str">
        <f>IF(tblSalaries[[#This Row],[Job Type]]=tblSalaries[[#Headers],[Engineer]],tblSalaries[[#This Row],[Salary in USD]],"")</f>
        <v/>
      </c>
      <c r="AA1363" s="13" t="str">
        <f>IF(tblSalaries[[#This Row],[Job Type]]=tblSalaries[[#Headers],[Manager]],tblSalaries[[#This Row],[Salary in USD]],"")</f>
        <v/>
      </c>
      <c r="AB1363" s="13" t="str">
        <f>IF(tblSalaries[[#This Row],[Job Type]]=tblSalaries[[#Headers],[Misc.]],tblSalaries[[#This Row],[Salary in USD]],"")</f>
        <v/>
      </c>
      <c r="AC1363" s="13" t="str">
        <f>IF(tblSalaries[[#This Row],[Job Type]]=tblSalaries[[#Headers],[Reporting]],tblSalaries[[#This Row],[Salary in USD]],"")</f>
        <v/>
      </c>
      <c r="AD1363" s="13">
        <f>IF(tblSalaries[[#This Row],[Job Type]]=tblSalaries[[#Headers],[Specialist]],tblSalaries[[#This Row],[Salary in USD]],"")</f>
        <v>62000</v>
      </c>
    </row>
    <row r="1364" spans="2:30" ht="15" customHeight="1" x14ac:dyDescent="0.25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 s="9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  <c r="N1364" t="str">
        <f>IF(tblSalaries[[#This Row],[Years of Experience]]="","",IF(tblSalaries[[#This Row],[Years of Experience]]&lt;=2,1,""))</f>
        <v/>
      </c>
      <c r="O1364" t="str">
        <f>IF(tblSalaries[[#This Row],[Years of Experience]]="","",IF(AND(tblSalaries[[#This Row],[Years of Experience]]&gt;2,tblSalaries[[#This Row],[Years of Experience]]&lt;=5),1,""))</f>
        <v/>
      </c>
      <c r="P1364" t="str">
        <f>IF(tblSalaries[[#This Row],[Years of Experience]]="","",IF(AND(tblSalaries[[#This Row],[Years of Experience]]&gt;5,tblSalaries[[#This Row],[Years of Experience]]&lt;=10),1,""))</f>
        <v/>
      </c>
      <c r="Q1364">
        <f>IF(tblSalaries[[#This Row],[Years of Experience]]="","",IF(AND(tblSalaries[[#This Row],[Years of Experience]]&gt;10,tblSalaries[[#This Row],[Years of Experience]]&lt;=15),1,""))</f>
        <v>1</v>
      </c>
      <c r="R1364" t="str">
        <f>IF(tblSalaries[[#This Row],[Years of Experience]]="","",IF(AND(tblSalaries[[#This Row],[Years of Experience]]&gt;16,tblSalaries[[#This Row],[Years of Experience]]&lt;=20),1,""))</f>
        <v/>
      </c>
      <c r="S1364" t="str">
        <f>IF(tblSalaries[[#This Row],[Years of Experience]]="","",IF(tblSalaries[[#This Row],[Years of Experience]]&gt;20,1,""))</f>
        <v/>
      </c>
      <c r="T13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64" s="13" t="str">
        <f>IF(tblSalaries[[#This Row],[Job Type]]=tblSalaries[[#Headers],[Accountant]],tblSalaries[[#This Row],[Salary in USD]],"")</f>
        <v/>
      </c>
      <c r="V1364" s="13" t="str">
        <f>IF(tblSalaries[[#This Row],[Job Type]]=tblSalaries[[#Headers],[Analyst]],tblSalaries[[#This Row],[Salary in USD]],"")</f>
        <v/>
      </c>
      <c r="W1364" s="13" t="str">
        <f>IF(tblSalaries[[#This Row],[Job Type]]=tblSalaries[[#Headers],[Consultant]],tblSalaries[[#This Row],[Salary in USD]],"")</f>
        <v/>
      </c>
      <c r="X1364" s="13" t="str">
        <f>IF(tblSalaries[[#This Row],[Job Type]]=tblSalaries[[#Headers],[Controller]],tblSalaries[[#This Row],[Salary in USD]],"")</f>
        <v/>
      </c>
      <c r="Y1364" s="13" t="str">
        <f>IF(tblSalaries[[#This Row],[Job Type]]=tblSalaries[[#Headers],[CXO or Top Mgmt.]],tblSalaries[[#This Row],[clean Salary (in local currency)]],"")</f>
        <v/>
      </c>
      <c r="Z1364" s="13">
        <f>IF(tblSalaries[[#This Row],[Job Type]]=tblSalaries[[#Headers],[Engineer]],tblSalaries[[#This Row],[Salary in USD]],"")</f>
        <v>44000</v>
      </c>
      <c r="AA1364" s="13" t="str">
        <f>IF(tblSalaries[[#This Row],[Job Type]]=tblSalaries[[#Headers],[Manager]],tblSalaries[[#This Row],[Salary in USD]],"")</f>
        <v/>
      </c>
      <c r="AB1364" s="13" t="str">
        <f>IF(tblSalaries[[#This Row],[Job Type]]=tblSalaries[[#Headers],[Misc.]],tblSalaries[[#This Row],[Salary in USD]],"")</f>
        <v/>
      </c>
      <c r="AC1364" s="13" t="str">
        <f>IF(tblSalaries[[#This Row],[Job Type]]=tblSalaries[[#Headers],[Reporting]],tblSalaries[[#This Row],[Salary in USD]],"")</f>
        <v/>
      </c>
      <c r="AD1364" s="13" t="str">
        <f>IF(tblSalaries[[#This Row],[Job Type]]=tblSalaries[[#Headers],[Specialist]],tblSalaries[[#This Row],[Salary in USD]],"")</f>
        <v/>
      </c>
    </row>
    <row r="1365" spans="2:30" ht="15" customHeight="1" x14ac:dyDescent="0.25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 s="9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  <c r="N1365" t="str">
        <f>IF(tblSalaries[[#This Row],[Years of Experience]]="","",IF(tblSalaries[[#This Row],[Years of Experience]]&lt;=2,1,""))</f>
        <v/>
      </c>
      <c r="O1365" t="str">
        <f>IF(tblSalaries[[#This Row],[Years of Experience]]="","",IF(AND(tblSalaries[[#This Row],[Years of Experience]]&gt;2,tblSalaries[[#This Row],[Years of Experience]]&lt;=5),1,""))</f>
        <v/>
      </c>
      <c r="P1365" t="str">
        <f>IF(tblSalaries[[#This Row],[Years of Experience]]="","",IF(AND(tblSalaries[[#This Row],[Years of Experience]]&gt;5,tblSalaries[[#This Row],[Years of Experience]]&lt;=10),1,""))</f>
        <v/>
      </c>
      <c r="Q1365" t="str">
        <f>IF(tblSalaries[[#This Row],[Years of Experience]]="","",IF(AND(tblSalaries[[#This Row],[Years of Experience]]&gt;10,tblSalaries[[#This Row],[Years of Experience]]&lt;=15),1,""))</f>
        <v/>
      </c>
      <c r="R1365" t="str">
        <f>IF(tblSalaries[[#This Row],[Years of Experience]]="","",IF(AND(tblSalaries[[#This Row],[Years of Experience]]&gt;16,tblSalaries[[#This Row],[Years of Experience]]&lt;=20),1,""))</f>
        <v/>
      </c>
      <c r="S1365">
        <f>IF(tblSalaries[[#This Row],[Years of Experience]]="","",IF(tblSalaries[[#This Row],[Years of Experience]]&gt;20,1,""))</f>
        <v>1</v>
      </c>
      <c r="T13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65" s="13" t="str">
        <f>IF(tblSalaries[[#This Row],[Job Type]]=tblSalaries[[#Headers],[Accountant]],tblSalaries[[#This Row],[Salary in USD]],"")</f>
        <v/>
      </c>
      <c r="V1365" s="13" t="str">
        <f>IF(tblSalaries[[#This Row],[Job Type]]=tblSalaries[[#Headers],[Analyst]],tblSalaries[[#This Row],[Salary in USD]],"")</f>
        <v/>
      </c>
      <c r="W1365" s="13" t="str">
        <f>IF(tblSalaries[[#This Row],[Job Type]]=tblSalaries[[#Headers],[Consultant]],tblSalaries[[#This Row],[Salary in USD]],"")</f>
        <v/>
      </c>
      <c r="X1365" s="13" t="str">
        <f>IF(tblSalaries[[#This Row],[Job Type]]=tblSalaries[[#Headers],[Controller]],tblSalaries[[#This Row],[Salary in USD]],"")</f>
        <v/>
      </c>
      <c r="Y1365" s="13" t="str">
        <f>IF(tblSalaries[[#This Row],[Job Type]]=tblSalaries[[#Headers],[CXO or Top Mgmt.]],tblSalaries[[#This Row],[clean Salary (in local currency)]],"")</f>
        <v/>
      </c>
      <c r="Z1365" s="13" t="str">
        <f>IF(tblSalaries[[#This Row],[Job Type]]=tblSalaries[[#Headers],[Engineer]],tblSalaries[[#This Row],[Salary in USD]],"")</f>
        <v/>
      </c>
      <c r="AA1365" s="13">
        <f>IF(tblSalaries[[#This Row],[Job Type]]=tblSalaries[[#Headers],[Manager]],tblSalaries[[#This Row],[Salary in USD]],"")</f>
        <v>150000</v>
      </c>
      <c r="AB1365" s="13" t="str">
        <f>IF(tblSalaries[[#This Row],[Job Type]]=tblSalaries[[#Headers],[Misc.]],tblSalaries[[#This Row],[Salary in USD]],"")</f>
        <v/>
      </c>
      <c r="AC1365" s="13" t="str">
        <f>IF(tblSalaries[[#This Row],[Job Type]]=tblSalaries[[#Headers],[Reporting]],tblSalaries[[#This Row],[Salary in USD]],"")</f>
        <v/>
      </c>
      <c r="AD1365" s="13" t="str">
        <f>IF(tblSalaries[[#This Row],[Job Type]]=tblSalaries[[#Headers],[Specialist]],tblSalaries[[#This Row],[Salary in USD]],"")</f>
        <v/>
      </c>
    </row>
    <row r="1366" spans="2:30" ht="15" customHeight="1" x14ac:dyDescent="0.25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 s="9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  <c r="N1366" t="str">
        <f>IF(tblSalaries[[#This Row],[Years of Experience]]="","",IF(tblSalaries[[#This Row],[Years of Experience]]&lt;=2,1,""))</f>
        <v/>
      </c>
      <c r="O1366" t="str">
        <f>IF(tblSalaries[[#This Row],[Years of Experience]]="","",IF(AND(tblSalaries[[#This Row],[Years of Experience]]&gt;2,tblSalaries[[#This Row],[Years of Experience]]&lt;=5),1,""))</f>
        <v/>
      </c>
      <c r="P1366" t="str">
        <f>IF(tblSalaries[[#This Row],[Years of Experience]]="","",IF(AND(tblSalaries[[#This Row],[Years of Experience]]&gt;5,tblSalaries[[#This Row],[Years of Experience]]&lt;=10),1,""))</f>
        <v/>
      </c>
      <c r="Q1366">
        <f>IF(tblSalaries[[#This Row],[Years of Experience]]="","",IF(AND(tblSalaries[[#This Row],[Years of Experience]]&gt;10,tblSalaries[[#This Row],[Years of Experience]]&lt;=15),1,""))</f>
        <v>1</v>
      </c>
      <c r="R1366" t="str">
        <f>IF(tblSalaries[[#This Row],[Years of Experience]]="","",IF(AND(tblSalaries[[#This Row],[Years of Experience]]&gt;16,tblSalaries[[#This Row],[Years of Experience]]&lt;=20),1,""))</f>
        <v/>
      </c>
      <c r="S1366" t="str">
        <f>IF(tblSalaries[[#This Row],[Years of Experience]]="","",IF(tblSalaries[[#This Row],[Years of Experience]]&gt;20,1,""))</f>
        <v/>
      </c>
      <c r="T13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66" s="13" t="str">
        <f>IF(tblSalaries[[#This Row],[Job Type]]=tblSalaries[[#Headers],[Accountant]],tblSalaries[[#This Row],[Salary in USD]],"")</f>
        <v/>
      </c>
      <c r="V1366" s="13" t="str">
        <f>IF(tblSalaries[[#This Row],[Job Type]]=tblSalaries[[#Headers],[Analyst]],tblSalaries[[#This Row],[Salary in USD]],"")</f>
        <v/>
      </c>
      <c r="W1366" s="13" t="str">
        <f>IF(tblSalaries[[#This Row],[Job Type]]=tblSalaries[[#Headers],[Consultant]],tblSalaries[[#This Row],[Salary in USD]],"")</f>
        <v/>
      </c>
      <c r="X1366" s="13">
        <f>IF(tblSalaries[[#This Row],[Job Type]]=tblSalaries[[#Headers],[Controller]],tblSalaries[[#This Row],[Salary in USD]],"")</f>
        <v>228671.89901848941</v>
      </c>
      <c r="Y1366" s="13" t="str">
        <f>IF(tblSalaries[[#This Row],[Job Type]]=tblSalaries[[#Headers],[CXO or Top Mgmt.]],tblSalaries[[#This Row],[clean Salary (in local currency)]],"")</f>
        <v/>
      </c>
      <c r="Z1366" s="13" t="str">
        <f>IF(tblSalaries[[#This Row],[Job Type]]=tblSalaries[[#Headers],[Engineer]],tblSalaries[[#This Row],[Salary in USD]],"")</f>
        <v/>
      </c>
      <c r="AA1366" s="13" t="str">
        <f>IF(tblSalaries[[#This Row],[Job Type]]=tblSalaries[[#Headers],[Manager]],tblSalaries[[#This Row],[Salary in USD]],"")</f>
        <v/>
      </c>
      <c r="AB1366" s="13" t="str">
        <f>IF(tblSalaries[[#This Row],[Job Type]]=tblSalaries[[#Headers],[Misc.]],tblSalaries[[#This Row],[Salary in USD]],"")</f>
        <v/>
      </c>
      <c r="AC1366" s="13" t="str">
        <f>IF(tblSalaries[[#This Row],[Job Type]]=tblSalaries[[#Headers],[Reporting]],tblSalaries[[#This Row],[Salary in USD]],"")</f>
        <v/>
      </c>
      <c r="AD1366" s="13" t="str">
        <f>IF(tblSalaries[[#This Row],[Job Type]]=tblSalaries[[#Headers],[Specialist]],tblSalaries[[#This Row],[Salary in USD]],"")</f>
        <v/>
      </c>
    </row>
    <row r="1367" spans="2:30" ht="15" customHeight="1" x14ac:dyDescent="0.25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 s="9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  <c r="N1367" t="str">
        <f>IF(tblSalaries[[#This Row],[Years of Experience]]="","",IF(tblSalaries[[#This Row],[Years of Experience]]&lt;=2,1,""))</f>
        <v/>
      </c>
      <c r="O1367" t="str">
        <f>IF(tblSalaries[[#This Row],[Years of Experience]]="","",IF(AND(tblSalaries[[#This Row],[Years of Experience]]&gt;2,tblSalaries[[#This Row],[Years of Experience]]&lt;=5),1,""))</f>
        <v/>
      </c>
      <c r="P1367">
        <f>IF(tblSalaries[[#This Row],[Years of Experience]]="","",IF(AND(tblSalaries[[#This Row],[Years of Experience]]&gt;5,tblSalaries[[#This Row],[Years of Experience]]&lt;=10),1,""))</f>
        <v>1</v>
      </c>
      <c r="Q1367" t="str">
        <f>IF(tblSalaries[[#This Row],[Years of Experience]]="","",IF(AND(tblSalaries[[#This Row],[Years of Experience]]&gt;10,tblSalaries[[#This Row],[Years of Experience]]&lt;=15),1,""))</f>
        <v/>
      </c>
      <c r="R1367" t="str">
        <f>IF(tblSalaries[[#This Row],[Years of Experience]]="","",IF(AND(tblSalaries[[#This Row],[Years of Experience]]&gt;16,tblSalaries[[#This Row],[Years of Experience]]&lt;=20),1,""))</f>
        <v/>
      </c>
      <c r="S1367" t="str">
        <f>IF(tblSalaries[[#This Row],[Years of Experience]]="","",IF(tblSalaries[[#This Row],[Years of Experience]]&gt;20,1,""))</f>
        <v/>
      </c>
      <c r="T13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67" s="13" t="str">
        <f>IF(tblSalaries[[#This Row],[Job Type]]=tblSalaries[[#Headers],[Accountant]],tblSalaries[[#This Row],[Salary in USD]],"")</f>
        <v/>
      </c>
      <c r="V1367" s="13">
        <f>IF(tblSalaries[[#This Row],[Job Type]]=tblSalaries[[#Headers],[Analyst]],tblSalaries[[#This Row],[Salary in USD]],"")</f>
        <v>73500</v>
      </c>
      <c r="W1367" s="13" t="str">
        <f>IF(tblSalaries[[#This Row],[Job Type]]=tblSalaries[[#Headers],[Consultant]],tblSalaries[[#This Row],[Salary in USD]],"")</f>
        <v/>
      </c>
      <c r="X1367" s="13" t="str">
        <f>IF(tblSalaries[[#This Row],[Job Type]]=tblSalaries[[#Headers],[Controller]],tblSalaries[[#This Row],[Salary in USD]],"")</f>
        <v/>
      </c>
      <c r="Y1367" s="13" t="str">
        <f>IF(tblSalaries[[#This Row],[Job Type]]=tblSalaries[[#Headers],[CXO or Top Mgmt.]],tblSalaries[[#This Row],[clean Salary (in local currency)]],"")</f>
        <v/>
      </c>
      <c r="Z1367" s="13" t="str">
        <f>IF(tblSalaries[[#This Row],[Job Type]]=tblSalaries[[#Headers],[Engineer]],tblSalaries[[#This Row],[Salary in USD]],"")</f>
        <v/>
      </c>
      <c r="AA1367" s="13" t="str">
        <f>IF(tblSalaries[[#This Row],[Job Type]]=tblSalaries[[#Headers],[Manager]],tblSalaries[[#This Row],[Salary in USD]],"")</f>
        <v/>
      </c>
      <c r="AB1367" s="13" t="str">
        <f>IF(tblSalaries[[#This Row],[Job Type]]=tblSalaries[[#Headers],[Misc.]],tblSalaries[[#This Row],[Salary in USD]],"")</f>
        <v/>
      </c>
      <c r="AC1367" s="13" t="str">
        <f>IF(tblSalaries[[#This Row],[Job Type]]=tblSalaries[[#Headers],[Reporting]],tblSalaries[[#This Row],[Salary in USD]],"")</f>
        <v/>
      </c>
      <c r="AD1367" s="13" t="str">
        <f>IF(tblSalaries[[#This Row],[Job Type]]=tblSalaries[[#Headers],[Specialist]],tblSalaries[[#This Row],[Salary in USD]],"")</f>
        <v/>
      </c>
    </row>
    <row r="1368" spans="2:30" ht="15" customHeight="1" x14ac:dyDescent="0.25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 s="9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  <c r="N1368" t="str">
        <f>IF(tblSalaries[[#This Row],[Years of Experience]]="","",IF(tblSalaries[[#This Row],[Years of Experience]]&lt;=2,1,""))</f>
        <v/>
      </c>
      <c r="O1368" t="str">
        <f>IF(tblSalaries[[#This Row],[Years of Experience]]="","",IF(AND(tblSalaries[[#This Row],[Years of Experience]]&gt;2,tblSalaries[[#This Row],[Years of Experience]]&lt;=5),1,""))</f>
        <v/>
      </c>
      <c r="P1368">
        <f>IF(tblSalaries[[#This Row],[Years of Experience]]="","",IF(AND(tblSalaries[[#This Row],[Years of Experience]]&gt;5,tblSalaries[[#This Row],[Years of Experience]]&lt;=10),1,""))</f>
        <v>1</v>
      </c>
      <c r="Q1368" t="str">
        <f>IF(tblSalaries[[#This Row],[Years of Experience]]="","",IF(AND(tblSalaries[[#This Row],[Years of Experience]]&gt;10,tblSalaries[[#This Row],[Years of Experience]]&lt;=15),1,""))</f>
        <v/>
      </c>
      <c r="R1368" t="str">
        <f>IF(tblSalaries[[#This Row],[Years of Experience]]="","",IF(AND(tblSalaries[[#This Row],[Years of Experience]]&gt;16,tblSalaries[[#This Row],[Years of Experience]]&lt;=20),1,""))</f>
        <v/>
      </c>
      <c r="S1368" t="str">
        <f>IF(tblSalaries[[#This Row],[Years of Experience]]="","",IF(tblSalaries[[#This Row],[Years of Experience]]&gt;20,1,""))</f>
        <v/>
      </c>
      <c r="T13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68" s="13" t="str">
        <f>IF(tblSalaries[[#This Row],[Job Type]]=tblSalaries[[#Headers],[Accountant]],tblSalaries[[#This Row],[Salary in USD]],"")</f>
        <v/>
      </c>
      <c r="V1368" s="13">
        <f>IF(tblSalaries[[#This Row],[Job Type]]=tblSalaries[[#Headers],[Analyst]],tblSalaries[[#This Row],[Salary in USD]],"")</f>
        <v>77500</v>
      </c>
      <c r="W1368" s="13" t="str">
        <f>IF(tblSalaries[[#This Row],[Job Type]]=tblSalaries[[#Headers],[Consultant]],tblSalaries[[#This Row],[Salary in USD]],"")</f>
        <v/>
      </c>
      <c r="X1368" s="13" t="str">
        <f>IF(tblSalaries[[#This Row],[Job Type]]=tblSalaries[[#Headers],[Controller]],tblSalaries[[#This Row],[Salary in USD]],"")</f>
        <v/>
      </c>
      <c r="Y1368" s="13" t="str">
        <f>IF(tblSalaries[[#This Row],[Job Type]]=tblSalaries[[#Headers],[CXO or Top Mgmt.]],tblSalaries[[#This Row],[clean Salary (in local currency)]],"")</f>
        <v/>
      </c>
      <c r="Z1368" s="13" t="str">
        <f>IF(tblSalaries[[#This Row],[Job Type]]=tblSalaries[[#Headers],[Engineer]],tblSalaries[[#This Row],[Salary in USD]],"")</f>
        <v/>
      </c>
      <c r="AA1368" s="13" t="str">
        <f>IF(tblSalaries[[#This Row],[Job Type]]=tblSalaries[[#Headers],[Manager]],tblSalaries[[#This Row],[Salary in USD]],"")</f>
        <v/>
      </c>
      <c r="AB1368" s="13" t="str">
        <f>IF(tblSalaries[[#This Row],[Job Type]]=tblSalaries[[#Headers],[Misc.]],tblSalaries[[#This Row],[Salary in USD]],"")</f>
        <v/>
      </c>
      <c r="AC1368" s="13" t="str">
        <f>IF(tblSalaries[[#This Row],[Job Type]]=tblSalaries[[#Headers],[Reporting]],tblSalaries[[#This Row],[Salary in USD]],"")</f>
        <v/>
      </c>
      <c r="AD1368" s="13" t="str">
        <f>IF(tblSalaries[[#This Row],[Job Type]]=tblSalaries[[#Headers],[Specialist]],tblSalaries[[#This Row],[Salary in USD]],"")</f>
        <v/>
      </c>
    </row>
    <row r="1369" spans="2:30" ht="15" customHeight="1" x14ac:dyDescent="0.25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 s="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  <c r="N1369" t="str">
        <f>IF(tblSalaries[[#This Row],[Years of Experience]]="","",IF(tblSalaries[[#This Row],[Years of Experience]]&lt;=2,1,""))</f>
        <v/>
      </c>
      <c r="O1369" t="str">
        <f>IF(tblSalaries[[#This Row],[Years of Experience]]="","",IF(AND(tblSalaries[[#This Row],[Years of Experience]]&gt;2,tblSalaries[[#This Row],[Years of Experience]]&lt;=5),1,""))</f>
        <v/>
      </c>
      <c r="P1369">
        <f>IF(tblSalaries[[#This Row],[Years of Experience]]="","",IF(AND(tblSalaries[[#This Row],[Years of Experience]]&gt;5,tblSalaries[[#This Row],[Years of Experience]]&lt;=10),1,""))</f>
        <v>1</v>
      </c>
      <c r="Q1369" t="str">
        <f>IF(tblSalaries[[#This Row],[Years of Experience]]="","",IF(AND(tblSalaries[[#This Row],[Years of Experience]]&gt;10,tblSalaries[[#This Row],[Years of Experience]]&lt;=15),1,""))</f>
        <v/>
      </c>
      <c r="R1369" t="str">
        <f>IF(tblSalaries[[#This Row],[Years of Experience]]="","",IF(AND(tblSalaries[[#This Row],[Years of Experience]]&gt;16,tblSalaries[[#This Row],[Years of Experience]]&lt;=20),1,""))</f>
        <v/>
      </c>
      <c r="S1369" t="str">
        <f>IF(tblSalaries[[#This Row],[Years of Experience]]="","",IF(tblSalaries[[#This Row],[Years of Experience]]&gt;20,1,""))</f>
        <v/>
      </c>
      <c r="T13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69" s="13" t="str">
        <f>IF(tblSalaries[[#This Row],[Job Type]]=tblSalaries[[#Headers],[Accountant]],tblSalaries[[#This Row],[Salary in USD]],"")</f>
        <v/>
      </c>
      <c r="V1369" s="13">
        <f>IF(tblSalaries[[#This Row],[Job Type]]=tblSalaries[[#Headers],[Analyst]],tblSalaries[[#This Row],[Salary in USD]],"")</f>
        <v>60800</v>
      </c>
      <c r="W1369" s="13" t="str">
        <f>IF(tblSalaries[[#This Row],[Job Type]]=tblSalaries[[#Headers],[Consultant]],tblSalaries[[#This Row],[Salary in USD]],"")</f>
        <v/>
      </c>
      <c r="X1369" s="13" t="str">
        <f>IF(tblSalaries[[#This Row],[Job Type]]=tblSalaries[[#Headers],[Controller]],tblSalaries[[#This Row],[Salary in USD]],"")</f>
        <v/>
      </c>
      <c r="Y1369" s="13" t="str">
        <f>IF(tblSalaries[[#This Row],[Job Type]]=tblSalaries[[#Headers],[CXO or Top Mgmt.]],tblSalaries[[#This Row],[clean Salary (in local currency)]],"")</f>
        <v/>
      </c>
      <c r="Z1369" s="13" t="str">
        <f>IF(tblSalaries[[#This Row],[Job Type]]=tblSalaries[[#Headers],[Engineer]],tblSalaries[[#This Row],[Salary in USD]],"")</f>
        <v/>
      </c>
      <c r="AA1369" s="13" t="str">
        <f>IF(tblSalaries[[#This Row],[Job Type]]=tblSalaries[[#Headers],[Manager]],tblSalaries[[#This Row],[Salary in USD]],"")</f>
        <v/>
      </c>
      <c r="AB1369" s="13" t="str">
        <f>IF(tblSalaries[[#This Row],[Job Type]]=tblSalaries[[#Headers],[Misc.]],tblSalaries[[#This Row],[Salary in USD]],"")</f>
        <v/>
      </c>
      <c r="AC1369" s="13" t="str">
        <f>IF(tblSalaries[[#This Row],[Job Type]]=tblSalaries[[#Headers],[Reporting]],tblSalaries[[#This Row],[Salary in USD]],"")</f>
        <v/>
      </c>
      <c r="AD1369" s="13" t="str">
        <f>IF(tblSalaries[[#This Row],[Job Type]]=tblSalaries[[#Headers],[Specialist]],tblSalaries[[#This Row],[Salary in USD]],"")</f>
        <v/>
      </c>
    </row>
    <row r="1370" spans="2:30" ht="15" customHeight="1" x14ac:dyDescent="0.25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 s="9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  <c r="N1370" t="str">
        <f>IF(tblSalaries[[#This Row],[Years of Experience]]="","",IF(tblSalaries[[#This Row],[Years of Experience]]&lt;=2,1,""))</f>
        <v/>
      </c>
      <c r="O1370" t="str">
        <f>IF(tblSalaries[[#This Row],[Years of Experience]]="","",IF(AND(tblSalaries[[#This Row],[Years of Experience]]&gt;2,tblSalaries[[#This Row],[Years of Experience]]&lt;=5),1,""))</f>
        <v/>
      </c>
      <c r="P1370">
        <f>IF(tblSalaries[[#This Row],[Years of Experience]]="","",IF(AND(tblSalaries[[#This Row],[Years of Experience]]&gt;5,tblSalaries[[#This Row],[Years of Experience]]&lt;=10),1,""))</f>
        <v>1</v>
      </c>
      <c r="Q1370" t="str">
        <f>IF(tblSalaries[[#This Row],[Years of Experience]]="","",IF(AND(tblSalaries[[#This Row],[Years of Experience]]&gt;10,tblSalaries[[#This Row],[Years of Experience]]&lt;=15),1,""))</f>
        <v/>
      </c>
      <c r="R1370" t="str">
        <f>IF(tblSalaries[[#This Row],[Years of Experience]]="","",IF(AND(tblSalaries[[#This Row],[Years of Experience]]&gt;16,tblSalaries[[#This Row],[Years of Experience]]&lt;=20),1,""))</f>
        <v/>
      </c>
      <c r="S1370" t="str">
        <f>IF(tblSalaries[[#This Row],[Years of Experience]]="","",IF(tblSalaries[[#This Row],[Years of Experience]]&gt;20,1,""))</f>
        <v/>
      </c>
      <c r="T13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0" s="13" t="str">
        <f>IF(tblSalaries[[#This Row],[Job Type]]=tblSalaries[[#Headers],[Accountant]],tblSalaries[[#This Row],[Salary in USD]],"")</f>
        <v/>
      </c>
      <c r="V1370" s="13" t="str">
        <f>IF(tblSalaries[[#This Row],[Job Type]]=tblSalaries[[#Headers],[Analyst]],tblSalaries[[#This Row],[Salary in USD]],"")</f>
        <v/>
      </c>
      <c r="W1370" s="13" t="str">
        <f>IF(tblSalaries[[#This Row],[Job Type]]=tblSalaries[[#Headers],[Consultant]],tblSalaries[[#This Row],[Salary in USD]],"")</f>
        <v/>
      </c>
      <c r="X1370" s="13" t="str">
        <f>IF(tblSalaries[[#This Row],[Job Type]]=tblSalaries[[#Headers],[Controller]],tblSalaries[[#This Row],[Salary in USD]],"")</f>
        <v/>
      </c>
      <c r="Y1370" s="13" t="str">
        <f>IF(tblSalaries[[#This Row],[Job Type]]=tblSalaries[[#Headers],[CXO or Top Mgmt.]],tblSalaries[[#This Row],[clean Salary (in local currency)]],"")</f>
        <v/>
      </c>
      <c r="Z1370" s="13" t="str">
        <f>IF(tblSalaries[[#This Row],[Job Type]]=tblSalaries[[#Headers],[Engineer]],tblSalaries[[#This Row],[Salary in USD]],"")</f>
        <v/>
      </c>
      <c r="AA1370" s="13">
        <f>IF(tblSalaries[[#This Row],[Job Type]]=tblSalaries[[#Headers],[Manager]],tblSalaries[[#This Row],[Salary in USD]],"")</f>
        <v>136000</v>
      </c>
      <c r="AB1370" s="13" t="str">
        <f>IF(tblSalaries[[#This Row],[Job Type]]=tblSalaries[[#Headers],[Misc.]],tblSalaries[[#This Row],[Salary in USD]],"")</f>
        <v/>
      </c>
      <c r="AC1370" s="13" t="str">
        <f>IF(tblSalaries[[#This Row],[Job Type]]=tblSalaries[[#Headers],[Reporting]],tblSalaries[[#This Row],[Salary in USD]],"")</f>
        <v/>
      </c>
      <c r="AD1370" s="13" t="str">
        <f>IF(tblSalaries[[#This Row],[Job Type]]=tblSalaries[[#Headers],[Specialist]],tblSalaries[[#This Row],[Salary in USD]],"")</f>
        <v/>
      </c>
    </row>
    <row r="1371" spans="2:30" ht="15" customHeight="1" x14ac:dyDescent="0.25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 s="9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  <c r="N1371" t="str">
        <f>IF(tblSalaries[[#This Row],[Years of Experience]]="","",IF(tblSalaries[[#This Row],[Years of Experience]]&lt;=2,1,""))</f>
        <v/>
      </c>
      <c r="O1371" t="str">
        <f>IF(tblSalaries[[#This Row],[Years of Experience]]="","",IF(AND(tblSalaries[[#This Row],[Years of Experience]]&gt;2,tblSalaries[[#This Row],[Years of Experience]]&lt;=5),1,""))</f>
        <v/>
      </c>
      <c r="P1371">
        <f>IF(tblSalaries[[#This Row],[Years of Experience]]="","",IF(AND(tblSalaries[[#This Row],[Years of Experience]]&gt;5,tblSalaries[[#This Row],[Years of Experience]]&lt;=10),1,""))</f>
        <v>1</v>
      </c>
      <c r="Q1371" t="str">
        <f>IF(tblSalaries[[#This Row],[Years of Experience]]="","",IF(AND(tblSalaries[[#This Row],[Years of Experience]]&gt;10,tblSalaries[[#This Row],[Years of Experience]]&lt;=15),1,""))</f>
        <v/>
      </c>
      <c r="R1371" t="str">
        <f>IF(tblSalaries[[#This Row],[Years of Experience]]="","",IF(AND(tblSalaries[[#This Row],[Years of Experience]]&gt;16,tblSalaries[[#This Row],[Years of Experience]]&lt;=20),1,""))</f>
        <v/>
      </c>
      <c r="S1371" t="str">
        <f>IF(tblSalaries[[#This Row],[Years of Experience]]="","",IF(tblSalaries[[#This Row],[Years of Experience]]&gt;20,1,""))</f>
        <v/>
      </c>
      <c r="T13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1" s="13" t="str">
        <f>IF(tblSalaries[[#This Row],[Job Type]]=tblSalaries[[#Headers],[Accountant]],tblSalaries[[#This Row],[Salary in USD]],"")</f>
        <v/>
      </c>
      <c r="V1371" s="13" t="str">
        <f>IF(tblSalaries[[#This Row],[Job Type]]=tblSalaries[[#Headers],[Analyst]],tblSalaries[[#This Row],[Salary in USD]],"")</f>
        <v/>
      </c>
      <c r="W1371" s="13" t="str">
        <f>IF(tblSalaries[[#This Row],[Job Type]]=tblSalaries[[#Headers],[Consultant]],tblSalaries[[#This Row],[Salary in USD]],"")</f>
        <v/>
      </c>
      <c r="X1371" s="13" t="str">
        <f>IF(tblSalaries[[#This Row],[Job Type]]=tblSalaries[[#Headers],[Controller]],tblSalaries[[#This Row],[Salary in USD]],"")</f>
        <v/>
      </c>
      <c r="Y1371" s="13" t="str">
        <f>IF(tblSalaries[[#This Row],[Job Type]]=tblSalaries[[#Headers],[CXO or Top Mgmt.]],tblSalaries[[#This Row],[clean Salary (in local currency)]],"")</f>
        <v/>
      </c>
      <c r="Z1371" s="13" t="str">
        <f>IF(tblSalaries[[#This Row],[Job Type]]=tblSalaries[[#Headers],[Engineer]],tblSalaries[[#This Row],[Salary in USD]],"")</f>
        <v/>
      </c>
      <c r="AA1371" s="13" t="str">
        <f>IF(tblSalaries[[#This Row],[Job Type]]=tblSalaries[[#Headers],[Manager]],tblSalaries[[#This Row],[Salary in USD]],"")</f>
        <v/>
      </c>
      <c r="AB1371" s="13" t="str">
        <f>IF(tblSalaries[[#This Row],[Job Type]]=tblSalaries[[#Headers],[Misc.]],tblSalaries[[#This Row],[Salary in USD]],"")</f>
        <v/>
      </c>
      <c r="AC1371" s="13" t="str">
        <f>IF(tblSalaries[[#This Row],[Job Type]]=tblSalaries[[#Headers],[Reporting]],tblSalaries[[#This Row],[Salary in USD]],"")</f>
        <v/>
      </c>
      <c r="AD1371" s="13">
        <f>IF(tblSalaries[[#This Row],[Job Type]]=tblSalaries[[#Headers],[Specialist]],tblSalaries[[#This Row],[Salary in USD]],"")</f>
        <v>20000</v>
      </c>
    </row>
    <row r="1372" spans="2:30" ht="15" customHeight="1" x14ac:dyDescent="0.25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 s="9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  <c r="N1372" t="str">
        <f>IF(tblSalaries[[#This Row],[Years of Experience]]="","",IF(tblSalaries[[#This Row],[Years of Experience]]&lt;=2,1,""))</f>
        <v/>
      </c>
      <c r="O1372" t="str">
        <f>IF(tblSalaries[[#This Row],[Years of Experience]]="","",IF(AND(tblSalaries[[#This Row],[Years of Experience]]&gt;2,tblSalaries[[#This Row],[Years of Experience]]&lt;=5),1,""))</f>
        <v/>
      </c>
      <c r="P1372" t="str">
        <f>IF(tblSalaries[[#This Row],[Years of Experience]]="","",IF(AND(tblSalaries[[#This Row],[Years of Experience]]&gt;5,tblSalaries[[#This Row],[Years of Experience]]&lt;=10),1,""))</f>
        <v/>
      </c>
      <c r="Q1372">
        <f>IF(tblSalaries[[#This Row],[Years of Experience]]="","",IF(AND(tblSalaries[[#This Row],[Years of Experience]]&gt;10,tblSalaries[[#This Row],[Years of Experience]]&lt;=15),1,""))</f>
        <v>1</v>
      </c>
      <c r="R1372" t="str">
        <f>IF(tblSalaries[[#This Row],[Years of Experience]]="","",IF(AND(tblSalaries[[#This Row],[Years of Experience]]&gt;16,tblSalaries[[#This Row],[Years of Experience]]&lt;=20),1,""))</f>
        <v/>
      </c>
      <c r="S1372" t="str">
        <f>IF(tblSalaries[[#This Row],[Years of Experience]]="","",IF(tblSalaries[[#This Row],[Years of Experience]]&gt;20,1,""))</f>
        <v/>
      </c>
      <c r="T13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72" s="13" t="str">
        <f>IF(tblSalaries[[#This Row],[Job Type]]=tblSalaries[[#Headers],[Accountant]],tblSalaries[[#This Row],[Salary in USD]],"")</f>
        <v/>
      </c>
      <c r="V1372" s="13" t="str">
        <f>IF(tblSalaries[[#This Row],[Job Type]]=tblSalaries[[#Headers],[Analyst]],tblSalaries[[#This Row],[Salary in USD]],"")</f>
        <v/>
      </c>
      <c r="W1372" s="13" t="str">
        <f>IF(tblSalaries[[#This Row],[Job Type]]=tblSalaries[[#Headers],[Consultant]],tblSalaries[[#This Row],[Salary in USD]],"")</f>
        <v/>
      </c>
      <c r="X1372" s="13" t="str">
        <f>IF(tblSalaries[[#This Row],[Job Type]]=tblSalaries[[#Headers],[Controller]],tblSalaries[[#This Row],[Salary in USD]],"")</f>
        <v/>
      </c>
      <c r="Y1372" s="13" t="str">
        <f>IF(tblSalaries[[#This Row],[Job Type]]=tblSalaries[[#Headers],[CXO or Top Mgmt.]],tblSalaries[[#This Row],[clean Salary (in local currency)]],"")</f>
        <v/>
      </c>
      <c r="Z1372" s="13">
        <f>IF(tblSalaries[[#This Row],[Job Type]]=tblSalaries[[#Headers],[Engineer]],tblSalaries[[#This Row],[Salary in USD]],"")</f>
        <v>95000</v>
      </c>
      <c r="AA1372" s="13" t="str">
        <f>IF(tblSalaries[[#This Row],[Job Type]]=tblSalaries[[#Headers],[Manager]],tblSalaries[[#This Row],[Salary in USD]],"")</f>
        <v/>
      </c>
      <c r="AB1372" s="13" t="str">
        <f>IF(tblSalaries[[#This Row],[Job Type]]=tblSalaries[[#Headers],[Misc.]],tblSalaries[[#This Row],[Salary in USD]],"")</f>
        <v/>
      </c>
      <c r="AC1372" s="13" t="str">
        <f>IF(tblSalaries[[#This Row],[Job Type]]=tblSalaries[[#Headers],[Reporting]],tblSalaries[[#This Row],[Salary in USD]],"")</f>
        <v/>
      </c>
      <c r="AD1372" s="13" t="str">
        <f>IF(tblSalaries[[#This Row],[Job Type]]=tblSalaries[[#Headers],[Specialist]],tblSalaries[[#This Row],[Salary in USD]],"")</f>
        <v/>
      </c>
    </row>
    <row r="1373" spans="2:30" ht="15" customHeight="1" x14ac:dyDescent="0.25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 s="9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  <c r="N1373" t="str">
        <f>IF(tblSalaries[[#This Row],[Years of Experience]]="","",IF(tblSalaries[[#This Row],[Years of Experience]]&lt;=2,1,""))</f>
        <v/>
      </c>
      <c r="O1373" t="str">
        <f>IF(tblSalaries[[#This Row],[Years of Experience]]="","",IF(AND(tblSalaries[[#This Row],[Years of Experience]]&gt;2,tblSalaries[[#This Row],[Years of Experience]]&lt;=5),1,""))</f>
        <v/>
      </c>
      <c r="P1373" t="str">
        <f>IF(tblSalaries[[#This Row],[Years of Experience]]="","",IF(AND(tblSalaries[[#This Row],[Years of Experience]]&gt;5,tblSalaries[[#This Row],[Years of Experience]]&lt;=10),1,""))</f>
        <v/>
      </c>
      <c r="Q1373" t="str">
        <f>IF(tblSalaries[[#This Row],[Years of Experience]]="","",IF(AND(tblSalaries[[#This Row],[Years of Experience]]&gt;10,tblSalaries[[#This Row],[Years of Experience]]&lt;=15),1,""))</f>
        <v/>
      </c>
      <c r="R1373" t="str">
        <f>IF(tblSalaries[[#This Row],[Years of Experience]]="","",IF(AND(tblSalaries[[#This Row],[Years of Experience]]&gt;16,tblSalaries[[#This Row],[Years of Experience]]&lt;=20),1,""))</f>
        <v/>
      </c>
      <c r="S1373">
        <f>IF(tblSalaries[[#This Row],[Years of Experience]]="","",IF(tblSalaries[[#This Row],[Years of Experience]]&gt;20,1,""))</f>
        <v>1</v>
      </c>
      <c r="T13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73" s="13" t="str">
        <f>IF(tblSalaries[[#This Row],[Job Type]]=tblSalaries[[#Headers],[Accountant]],tblSalaries[[#This Row],[Salary in USD]],"")</f>
        <v/>
      </c>
      <c r="V1373" s="13" t="str">
        <f>IF(tblSalaries[[#This Row],[Job Type]]=tblSalaries[[#Headers],[Analyst]],tblSalaries[[#This Row],[Salary in USD]],"")</f>
        <v/>
      </c>
      <c r="W1373" s="13" t="str">
        <f>IF(tblSalaries[[#This Row],[Job Type]]=tblSalaries[[#Headers],[Consultant]],tblSalaries[[#This Row],[Salary in USD]],"")</f>
        <v/>
      </c>
      <c r="X1373" s="13" t="str">
        <f>IF(tblSalaries[[#This Row],[Job Type]]=tblSalaries[[#Headers],[Controller]],tblSalaries[[#This Row],[Salary in USD]],"")</f>
        <v/>
      </c>
      <c r="Y1373" s="13" t="str">
        <f>IF(tblSalaries[[#This Row],[Job Type]]=tblSalaries[[#Headers],[CXO or Top Mgmt.]],tblSalaries[[#This Row],[clean Salary (in local currency)]],"")</f>
        <v/>
      </c>
      <c r="Z1373" s="13" t="str">
        <f>IF(tblSalaries[[#This Row],[Job Type]]=tblSalaries[[#Headers],[Engineer]],tblSalaries[[#This Row],[Salary in USD]],"")</f>
        <v/>
      </c>
      <c r="AA1373" s="13">
        <f>IF(tblSalaries[[#This Row],[Job Type]]=tblSalaries[[#Headers],[Manager]],tblSalaries[[#This Row],[Salary in USD]],"")</f>
        <v>130000</v>
      </c>
      <c r="AB1373" s="13" t="str">
        <f>IF(tblSalaries[[#This Row],[Job Type]]=tblSalaries[[#Headers],[Misc.]],tblSalaries[[#This Row],[Salary in USD]],"")</f>
        <v/>
      </c>
      <c r="AC1373" s="13" t="str">
        <f>IF(tblSalaries[[#This Row],[Job Type]]=tblSalaries[[#Headers],[Reporting]],tblSalaries[[#This Row],[Salary in USD]],"")</f>
        <v/>
      </c>
      <c r="AD1373" s="13" t="str">
        <f>IF(tblSalaries[[#This Row],[Job Type]]=tblSalaries[[#Headers],[Specialist]],tblSalaries[[#This Row],[Salary in USD]],"")</f>
        <v/>
      </c>
    </row>
    <row r="1374" spans="2:30" ht="15" customHeight="1" x14ac:dyDescent="0.25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 s="9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  <c r="N1374" t="str">
        <f>IF(tblSalaries[[#This Row],[Years of Experience]]="","",IF(tblSalaries[[#This Row],[Years of Experience]]&lt;=2,1,""))</f>
        <v/>
      </c>
      <c r="O1374" t="str">
        <f>IF(tblSalaries[[#This Row],[Years of Experience]]="","",IF(AND(tblSalaries[[#This Row],[Years of Experience]]&gt;2,tblSalaries[[#This Row],[Years of Experience]]&lt;=5),1,""))</f>
        <v/>
      </c>
      <c r="P1374">
        <f>IF(tblSalaries[[#This Row],[Years of Experience]]="","",IF(AND(tblSalaries[[#This Row],[Years of Experience]]&gt;5,tblSalaries[[#This Row],[Years of Experience]]&lt;=10),1,""))</f>
        <v>1</v>
      </c>
      <c r="Q1374" t="str">
        <f>IF(tblSalaries[[#This Row],[Years of Experience]]="","",IF(AND(tblSalaries[[#This Row],[Years of Experience]]&gt;10,tblSalaries[[#This Row],[Years of Experience]]&lt;=15),1,""))</f>
        <v/>
      </c>
      <c r="R1374" t="str">
        <f>IF(tblSalaries[[#This Row],[Years of Experience]]="","",IF(AND(tblSalaries[[#This Row],[Years of Experience]]&gt;16,tblSalaries[[#This Row],[Years of Experience]]&lt;=20),1,""))</f>
        <v/>
      </c>
      <c r="S1374" t="str">
        <f>IF(tblSalaries[[#This Row],[Years of Experience]]="","",IF(tblSalaries[[#This Row],[Years of Experience]]&gt;20,1,""))</f>
        <v/>
      </c>
      <c r="T13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4" s="13" t="str">
        <f>IF(tblSalaries[[#This Row],[Job Type]]=tblSalaries[[#Headers],[Accountant]],tblSalaries[[#This Row],[Salary in USD]],"")</f>
        <v/>
      </c>
      <c r="V1374" s="13">
        <f>IF(tblSalaries[[#This Row],[Job Type]]=tblSalaries[[#Headers],[Analyst]],tblSalaries[[#This Row],[Salary in USD]],"")</f>
        <v>65000</v>
      </c>
      <c r="W1374" s="13" t="str">
        <f>IF(tblSalaries[[#This Row],[Job Type]]=tblSalaries[[#Headers],[Consultant]],tblSalaries[[#This Row],[Salary in USD]],"")</f>
        <v/>
      </c>
      <c r="X1374" s="13" t="str">
        <f>IF(tblSalaries[[#This Row],[Job Type]]=tblSalaries[[#Headers],[Controller]],tblSalaries[[#This Row],[Salary in USD]],"")</f>
        <v/>
      </c>
      <c r="Y1374" s="13" t="str">
        <f>IF(tblSalaries[[#This Row],[Job Type]]=tblSalaries[[#Headers],[CXO or Top Mgmt.]],tblSalaries[[#This Row],[clean Salary (in local currency)]],"")</f>
        <v/>
      </c>
      <c r="Z1374" s="13" t="str">
        <f>IF(tblSalaries[[#This Row],[Job Type]]=tblSalaries[[#Headers],[Engineer]],tblSalaries[[#This Row],[Salary in USD]],"")</f>
        <v/>
      </c>
      <c r="AA1374" s="13" t="str">
        <f>IF(tblSalaries[[#This Row],[Job Type]]=tblSalaries[[#Headers],[Manager]],tblSalaries[[#This Row],[Salary in USD]],"")</f>
        <v/>
      </c>
      <c r="AB1374" s="13" t="str">
        <f>IF(tblSalaries[[#This Row],[Job Type]]=tblSalaries[[#Headers],[Misc.]],tblSalaries[[#This Row],[Salary in USD]],"")</f>
        <v/>
      </c>
      <c r="AC1374" s="13" t="str">
        <f>IF(tblSalaries[[#This Row],[Job Type]]=tblSalaries[[#Headers],[Reporting]],tblSalaries[[#This Row],[Salary in USD]],"")</f>
        <v/>
      </c>
      <c r="AD1374" s="13" t="str">
        <f>IF(tblSalaries[[#This Row],[Job Type]]=tblSalaries[[#Headers],[Specialist]],tblSalaries[[#This Row],[Salary in USD]],"")</f>
        <v/>
      </c>
    </row>
    <row r="1375" spans="2:30" ht="15" customHeight="1" x14ac:dyDescent="0.25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 s="9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  <c r="N1375" t="str">
        <f>IF(tblSalaries[[#This Row],[Years of Experience]]="","",IF(tblSalaries[[#This Row],[Years of Experience]]&lt;=2,1,""))</f>
        <v/>
      </c>
      <c r="O1375" t="str">
        <f>IF(tblSalaries[[#This Row],[Years of Experience]]="","",IF(AND(tblSalaries[[#This Row],[Years of Experience]]&gt;2,tblSalaries[[#This Row],[Years of Experience]]&lt;=5),1,""))</f>
        <v/>
      </c>
      <c r="P1375">
        <f>IF(tblSalaries[[#This Row],[Years of Experience]]="","",IF(AND(tblSalaries[[#This Row],[Years of Experience]]&gt;5,tblSalaries[[#This Row],[Years of Experience]]&lt;=10),1,""))</f>
        <v>1</v>
      </c>
      <c r="Q1375" t="str">
        <f>IF(tblSalaries[[#This Row],[Years of Experience]]="","",IF(AND(tblSalaries[[#This Row],[Years of Experience]]&gt;10,tblSalaries[[#This Row],[Years of Experience]]&lt;=15),1,""))</f>
        <v/>
      </c>
      <c r="R1375" t="str">
        <f>IF(tblSalaries[[#This Row],[Years of Experience]]="","",IF(AND(tblSalaries[[#This Row],[Years of Experience]]&gt;16,tblSalaries[[#This Row],[Years of Experience]]&lt;=20),1,""))</f>
        <v/>
      </c>
      <c r="S1375" t="str">
        <f>IF(tblSalaries[[#This Row],[Years of Experience]]="","",IF(tblSalaries[[#This Row],[Years of Experience]]&gt;20,1,""))</f>
        <v/>
      </c>
      <c r="T13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5" s="13" t="str">
        <f>IF(tblSalaries[[#This Row],[Job Type]]=tblSalaries[[#Headers],[Accountant]],tblSalaries[[#This Row],[Salary in USD]],"")</f>
        <v/>
      </c>
      <c r="V1375" s="13" t="str">
        <f>IF(tblSalaries[[#This Row],[Job Type]]=tblSalaries[[#Headers],[Analyst]],tblSalaries[[#This Row],[Salary in USD]],"")</f>
        <v/>
      </c>
      <c r="W1375" s="13">
        <f>IF(tblSalaries[[#This Row],[Job Type]]=tblSalaries[[#Headers],[Consultant]],tblSalaries[[#This Row],[Salary in USD]],"")</f>
        <v>80000</v>
      </c>
      <c r="X1375" s="13" t="str">
        <f>IF(tblSalaries[[#This Row],[Job Type]]=tblSalaries[[#Headers],[Controller]],tblSalaries[[#This Row],[Salary in USD]],"")</f>
        <v/>
      </c>
      <c r="Y1375" s="13" t="str">
        <f>IF(tblSalaries[[#This Row],[Job Type]]=tblSalaries[[#Headers],[CXO or Top Mgmt.]],tblSalaries[[#This Row],[clean Salary (in local currency)]],"")</f>
        <v/>
      </c>
      <c r="Z1375" s="13" t="str">
        <f>IF(tblSalaries[[#This Row],[Job Type]]=tblSalaries[[#Headers],[Engineer]],tblSalaries[[#This Row],[Salary in USD]],"")</f>
        <v/>
      </c>
      <c r="AA1375" s="13" t="str">
        <f>IF(tblSalaries[[#This Row],[Job Type]]=tblSalaries[[#Headers],[Manager]],tblSalaries[[#This Row],[Salary in USD]],"")</f>
        <v/>
      </c>
      <c r="AB1375" s="13" t="str">
        <f>IF(tblSalaries[[#This Row],[Job Type]]=tblSalaries[[#Headers],[Misc.]],tblSalaries[[#This Row],[Salary in USD]],"")</f>
        <v/>
      </c>
      <c r="AC1375" s="13" t="str">
        <f>IF(tblSalaries[[#This Row],[Job Type]]=tblSalaries[[#Headers],[Reporting]],tblSalaries[[#This Row],[Salary in USD]],"")</f>
        <v/>
      </c>
      <c r="AD1375" s="13" t="str">
        <f>IF(tblSalaries[[#This Row],[Job Type]]=tblSalaries[[#Headers],[Specialist]],tblSalaries[[#This Row],[Salary in USD]],"")</f>
        <v/>
      </c>
    </row>
    <row r="1376" spans="2:30" ht="15" customHeight="1" x14ac:dyDescent="0.25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 s="9">
        <f>tblSalaries[[#This Row],[clean Salary (in local currency)]]*VLOOKUP(tblSalaries[[#This Row],[Currency]],tblXrate[],2,FALSE)</f>
        <v>37000</v>
      </c>
      <c r="H1376" t="s">
        <v>1563</v>
      </c>
      <c r="I1376" t="s">
        <v>3999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  <c r="N1376" t="str">
        <f>IF(tblSalaries[[#This Row],[Years of Experience]]="","",IF(tblSalaries[[#This Row],[Years of Experience]]&lt;=2,1,""))</f>
        <v/>
      </c>
      <c r="O1376" t="str">
        <f>IF(tblSalaries[[#This Row],[Years of Experience]]="","",IF(AND(tblSalaries[[#This Row],[Years of Experience]]&gt;2,tblSalaries[[#This Row],[Years of Experience]]&lt;=5),1,""))</f>
        <v/>
      </c>
      <c r="P1376" t="str">
        <f>IF(tblSalaries[[#This Row],[Years of Experience]]="","",IF(AND(tblSalaries[[#This Row],[Years of Experience]]&gt;5,tblSalaries[[#This Row],[Years of Experience]]&lt;=10),1,""))</f>
        <v/>
      </c>
      <c r="Q1376" t="str">
        <f>IF(tblSalaries[[#This Row],[Years of Experience]]="","",IF(AND(tblSalaries[[#This Row],[Years of Experience]]&gt;10,tblSalaries[[#This Row],[Years of Experience]]&lt;=15),1,""))</f>
        <v/>
      </c>
      <c r="R1376" t="str">
        <f>IF(tblSalaries[[#This Row],[Years of Experience]]="","",IF(AND(tblSalaries[[#This Row],[Years of Experience]]&gt;16,tblSalaries[[#This Row],[Years of Experience]]&lt;=20),1,""))</f>
        <v/>
      </c>
      <c r="S1376">
        <f>IF(tblSalaries[[#This Row],[Years of Experience]]="","",IF(tblSalaries[[#This Row],[Years of Experience]]&gt;20,1,""))</f>
        <v>1</v>
      </c>
      <c r="T13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76" s="13" t="str">
        <f>IF(tblSalaries[[#This Row],[Job Type]]=tblSalaries[[#Headers],[Accountant]],tblSalaries[[#This Row],[Salary in USD]],"")</f>
        <v/>
      </c>
      <c r="V1376" s="13" t="str">
        <f>IF(tblSalaries[[#This Row],[Job Type]]=tblSalaries[[#Headers],[Analyst]],tblSalaries[[#This Row],[Salary in USD]],"")</f>
        <v/>
      </c>
      <c r="W1376" s="13" t="str">
        <f>IF(tblSalaries[[#This Row],[Job Type]]=tblSalaries[[#Headers],[Consultant]],tblSalaries[[#This Row],[Salary in USD]],"")</f>
        <v/>
      </c>
      <c r="X1376" s="13" t="str">
        <f>IF(tblSalaries[[#This Row],[Job Type]]=tblSalaries[[#Headers],[Controller]],tblSalaries[[#This Row],[Salary in USD]],"")</f>
        <v/>
      </c>
      <c r="Y1376" s="13" t="str">
        <f>IF(tblSalaries[[#This Row],[Job Type]]=tblSalaries[[#Headers],[CXO or Top Mgmt.]],tblSalaries[[#This Row],[clean Salary (in local currency)]],"")</f>
        <v/>
      </c>
      <c r="Z1376" s="13" t="str">
        <f>IF(tblSalaries[[#This Row],[Job Type]]=tblSalaries[[#Headers],[Engineer]],tblSalaries[[#This Row],[Salary in USD]],"")</f>
        <v/>
      </c>
      <c r="AA1376" s="13" t="str">
        <f>IF(tblSalaries[[#This Row],[Job Type]]=tblSalaries[[#Headers],[Manager]],tblSalaries[[#This Row],[Salary in USD]],"")</f>
        <v/>
      </c>
      <c r="AB1376" s="13" t="str">
        <f>IF(tblSalaries[[#This Row],[Job Type]]=tblSalaries[[#Headers],[Misc.]],tblSalaries[[#This Row],[Salary in USD]],"")</f>
        <v/>
      </c>
      <c r="AC1376" s="13">
        <f>IF(tblSalaries[[#This Row],[Job Type]]=tblSalaries[[#Headers],[Reporting]],tblSalaries[[#This Row],[Salary in USD]],"")</f>
        <v>37000</v>
      </c>
      <c r="AD1376" s="13" t="str">
        <f>IF(tblSalaries[[#This Row],[Job Type]]=tblSalaries[[#Headers],[Specialist]],tblSalaries[[#This Row],[Salary in USD]],"")</f>
        <v/>
      </c>
    </row>
    <row r="1377" spans="2:30" ht="15" customHeight="1" x14ac:dyDescent="0.25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 s="9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  <c r="N1377" t="str">
        <f>IF(tblSalaries[[#This Row],[Years of Experience]]="","",IF(tblSalaries[[#This Row],[Years of Experience]]&lt;=2,1,""))</f>
        <v/>
      </c>
      <c r="O1377" t="str">
        <f>IF(tblSalaries[[#This Row],[Years of Experience]]="","",IF(AND(tblSalaries[[#This Row],[Years of Experience]]&gt;2,tblSalaries[[#This Row],[Years of Experience]]&lt;=5),1,""))</f>
        <v/>
      </c>
      <c r="P1377">
        <f>IF(tblSalaries[[#This Row],[Years of Experience]]="","",IF(AND(tblSalaries[[#This Row],[Years of Experience]]&gt;5,tblSalaries[[#This Row],[Years of Experience]]&lt;=10),1,""))</f>
        <v>1</v>
      </c>
      <c r="Q1377" t="str">
        <f>IF(tblSalaries[[#This Row],[Years of Experience]]="","",IF(AND(tblSalaries[[#This Row],[Years of Experience]]&gt;10,tblSalaries[[#This Row],[Years of Experience]]&lt;=15),1,""))</f>
        <v/>
      </c>
      <c r="R1377" t="str">
        <f>IF(tblSalaries[[#This Row],[Years of Experience]]="","",IF(AND(tblSalaries[[#This Row],[Years of Experience]]&gt;16,tblSalaries[[#This Row],[Years of Experience]]&lt;=20),1,""))</f>
        <v/>
      </c>
      <c r="S1377" t="str">
        <f>IF(tblSalaries[[#This Row],[Years of Experience]]="","",IF(tblSalaries[[#This Row],[Years of Experience]]&gt;20,1,""))</f>
        <v/>
      </c>
      <c r="T13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7" s="13" t="str">
        <f>IF(tblSalaries[[#This Row],[Job Type]]=tblSalaries[[#Headers],[Accountant]],tblSalaries[[#This Row],[Salary in USD]],"")</f>
        <v/>
      </c>
      <c r="V1377" s="13" t="str">
        <f>IF(tblSalaries[[#This Row],[Job Type]]=tblSalaries[[#Headers],[Analyst]],tblSalaries[[#This Row],[Salary in USD]],"")</f>
        <v/>
      </c>
      <c r="W1377" s="13" t="str">
        <f>IF(tblSalaries[[#This Row],[Job Type]]=tblSalaries[[#Headers],[Consultant]],tblSalaries[[#This Row],[Salary in USD]],"")</f>
        <v/>
      </c>
      <c r="X1377" s="13" t="str">
        <f>IF(tblSalaries[[#This Row],[Job Type]]=tblSalaries[[#Headers],[Controller]],tblSalaries[[#This Row],[Salary in USD]],"")</f>
        <v/>
      </c>
      <c r="Y1377" s="13" t="str">
        <f>IF(tblSalaries[[#This Row],[Job Type]]=tblSalaries[[#Headers],[CXO or Top Mgmt.]],tblSalaries[[#This Row],[clean Salary (in local currency)]],"")</f>
        <v/>
      </c>
      <c r="Z1377" s="13" t="str">
        <f>IF(tblSalaries[[#This Row],[Job Type]]=tblSalaries[[#Headers],[Engineer]],tblSalaries[[#This Row],[Salary in USD]],"")</f>
        <v/>
      </c>
      <c r="AA1377" s="13">
        <f>IF(tblSalaries[[#This Row],[Job Type]]=tblSalaries[[#Headers],[Manager]],tblSalaries[[#This Row],[Salary in USD]],"")</f>
        <v>40000</v>
      </c>
      <c r="AB1377" s="13" t="str">
        <f>IF(tblSalaries[[#This Row],[Job Type]]=tblSalaries[[#Headers],[Misc.]],tblSalaries[[#This Row],[Salary in USD]],"")</f>
        <v/>
      </c>
      <c r="AC1377" s="13" t="str">
        <f>IF(tblSalaries[[#This Row],[Job Type]]=tblSalaries[[#Headers],[Reporting]],tblSalaries[[#This Row],[Salary in USD]],"")</f>
        <v/>
      </c>
      <c r="AD1377" s="13" t="str">
        <f>IF(tblSalaries[[#This Row],[Job Type]]=tblSalaries[[#Headers],[Specialist]],tblSalaries[[#This Row],[Salary in USD]],"")</f>
        <v/>
      </c>
    </row>
    <row r="1378" spans="2:30" ht="15" customHeight="1" x14ac:dyDescent="0.25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 s="9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  <c r="N1378" t="str">
        <f>IF(tblSalaries[[#This Row],[Years of Experience]]="","",IF(tblSalaries[[#This Row],[Years of Experience]]&lt;=2,1,""))</f>
        <v/>
      </c>
      <c r="O1378" t="str">
        <f>IF(tblSalaries[[#This Row],[Years of Experience]]="","",IF(AND(tblSalaries[[#This Row],[Years of Experience]]&gt;2,tblSalaries[[#This Row],[Years of Experience]]&lt;=5),1,""))</f>
        <v/>
      </c>
      <c r="P1378">
        <f>IF(tblSalaries[[#This Row],[Years of Experience]]="","",IF(AND(tblSalaries[[#This Row],[Years of Experience]]&gt;5,tblSalaries[[#This Row],[Years of Experience]]&lt;=10),1,""))</f>
        <v>1</v>
      </c>
      <c r="Q1378" t="str">
        <f>IF(tblSalaries[[#This Row],[Years of Experience]]="","",IF(AND(tblSalaries[[#This Row],[Years of Experience]]&gt;10,tblSalaries[[#This Row],[Years of Experience]]&lt;=15),1,""))</f>
        <v/>
      </c>
      <c r="R1378" t="str">
        <f>IF(tblSalaries[[#This Row],[Years of Experience]]="","",IF(AND(tblSalaries[[#This Row],[Years of Experience]]&gt;16,tblSalaries[[#This Row],[Years of Experience]]&lt;=20),1,""))</f>
        <v/>
      </c>
      <c r="S1378" t="str">
        <f>IF(tblSalaries[[#This Row],[Years of Experience]]="","",IF(tblSalaries[[#This Row],[Years of Experience]]&gt;20,1,""))</f>
        <v/>
      </c>
      <c r="T13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78" s="13" t="str">
        <f>IF(tblSalaries[[#This Row],[Job Type]]=tblSalaries[[#Headers],[Accountant]],tblSalaries[[#This Row],[Salary in USD]],"")</f>
        <v/>
      </c>
      <c r="V1378" s="13">
        <f>IF(tblSalaries[[#This Row],[Job Type]]=tblSalaries[[#Headers],[Analyst]],tblSalaries[[#This Row],[Salary in USD]],"")</f>
        <v>49000</v>
      </c>
      <c r="W1378" s="13" t="str">
        <f>IF(tblSalaries[[#This Row],[Job Type]]=tblSalaries[[#Headers],[Consultant]],tblSalaries[[#This Row],[Salary in USD]],"")</f>
        <v/>
      </c>
      <c r="X1378" s="13" t="str">
        <f>IF(tblSalaries[[#This Row],[Job Type]]=tblSalaries[[#Headers],[Controller]],tblSalaries[[#This Row],[Salary in USD]],"")</f>
        <v/>
      </c>
      <c r="Y1378" s="13" t="str">
        <f>IF(tblSalaries[[#This Row],[Job Type]]=tblSalaries[[#Headers],[CXO or Top Mgmt.]],tblSalaries[[#This Row],[clean Salary (in local currency)]],"")</f>
        <v/>
      </c>
      <c r="Z1378" s="13" t="str">
        <f>IF(tblSalaries[[#This Row],[Job Type]]=tblSalaries[[#Headers],[Engineer]],tblSalaries[[#This Row],[Salary in USD]],"")</f>
        <v/>
      </c>
      <c r="AA1378" s="13" t="str">
        <f>IF(tblSalaries[[#This Row],[Job Type]]=tblSalaries[[#Headers],[Manager]],tblSalaries[[#This Row],[Salary in USD]],"")</f>
        <v/>
      </c>
      <c r="AB1378" s="13" t="str">
        <f>IF(tblSalaries[[#This Row],[Job Type]]=tblSalaries[[#Headers],[Misc.]],tblSalaries[[#This Row],[Salary in USD]],"")</f>
        <v/>
      </c>
      <c r="AC1378" s="13" t="str">
        <f>IF(tblSalaries[[#This Row],[Job Type]]=tblSalaries[[#Headers],[Reporting]],tblSalaries[[#This Row],[Salary in USD]],"")</f>
        <v/>
      </c>
      <c r="AD1378" s="13" t="str">
        <f>IF(tblSalaries[[#This Row],[Job Type]]=tblSalaries[[#Headers],[Specialist]],tblSalaries[[#This Row],[Salary in USD]],"")</f>
        <v/>
      </c>
    </row>
    <row r="1379" spans="2:30" ht="15" customHeight="1" x14ac:dyDescent="0.25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 s="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  <c r="N1379" t="str">
        <f>IF(tblSalaries[[#This Row],[Years of Experience]]="","",IF(tblSalaries[[#This Row],[Years of Experience]]&lt;=2,1,""))</f>
        <v/>
      </c>
      <c r="O1379" t="str">
        <f>IF(tblSalaries[[#This Row],[Years of Experience]]="","",IF(AND(tblSalaries[[#This Row],[Years of Experience]]&gt;2,tblSalaries[[#This Row],[Years of Experience]]&lt;=5),1,""))</f>
        <v/>
      </c>
      <c r="P1379" t="str">
        <f>IF(tblSalaries[[#This Row],[Years of Experience]]="","",IF(AND(tblSalaries[[#This Row],[Years of Experience]]&gt;5,tblSalaries[[#This Row],[Years of Experience]]&lt;=10),1,""))</f>
        <v/>
      </c>
      <c r="Q1379">
        <f>IF(tblSalaries[[#This Row],[Years of Experience]]="","",IF(AND(tblSalaries[[#This Row],[Years of Experience]]&gt;10,tblSalaries[[#This Row],[Years of Experience]]&lt;=15),1,""))</f>
        <v>1</v>
      </c>
      <c r="R1379" t="str">
        <f>IF(tblSalaries[[#This Row],[Years of Experience]]="","",IF(AND(tblSalaries[[#This Row],[Years of Experience]]&gt;16,tblSalaries[[#This Row],[Years of Experience]]&lt;=20),1,""))</f>
        <v/>
      </c>
      <c r="S1379" t="str">
        <f>IF(tblSalaries[[#This Row],[Years of Experience]]="","",IF(tblSalaries[[#This Row],[Years of Experience]]&gt;20,1,""))</f>
        <v/>
      </c>
      <c r="T13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79" s="13" t="str">
        <f>IF(tblSalaries[[#This Row],[Job Type]]=tblSalaries[[#Headers],[Accountant]],tblSalaries[[#This Row],[Salary in USD]],"")</f>
        <v/>
      </c>
      <c r="V1379" s="13">
        <f>IF(tblSalaries[[#This Row],[Job Type]]=tblSalaries[[#Headers],[Analyst]],tblSalaries[[#This Row],[Salary in USD]],"")</f>
        <v>65000</v>
      </c>
      <c r="W1379" s="13" t="str">
        <f>IF(tblSalaries[[#This Row],[Job Type]]=tblSalaries[[#Headers],[Consultant]],tblSalaries[[#This Row],[Salary in USD]],"")</f>
        <v/>
      </c>
      <c r="X1379" s="13" t="str">
        <f>IF(tblSalaries[[#This Row],[Job Type]]=tblSalaries[[#Headers],[Controller]],tblSalaries[[#This Row],[Salary in USD]],"")</f>
        <v/>
      </c>
      <c r="Y1379" s="13" t="str">
        <f>IF(tblSalaries[[#This Row],[Job Type]]=tblSalaries[[#Headers],[CXO or Top Mgmt.]],tblSalaries[[#This Row],[clean Salary (in local currency)]],"")</f>
        <v/>
      </c>
      <c r="Z1379" s="13" t="str">
        <f>IF(tblSalaries[[#This Row],[Job Type]]=tblSalaries[[#Headers],[Engineer]],tblSalaries[[#This Row],[Salary in USD]],"")</f>
        <v/>
      </c>
      <c r="AA1379" s="13" t="str">
        <f>IF(tblSalaries[[#This Row],[Job Type]]=tblSalaries[[#Headers],[Manager]],tblSalaries[[#This Row],[Salary in USD]],"")</f>
        <v/>
      </c>
      <c r="AB1379" s="13" t="str">
        <f>IF(tblSalaries[[#This Row],[Job Type]]=tblSalaries[[#Headers],[Misc.]],tblSalaries[[#This Row],[Salary in USD]],"")</f>
        <v/>
      </c>
      <c r="AC1379" s="13" t="str">
        <f>IF(tblSalaries[[#This Row],[Job Type]]=tblSalaries[[#Headers],[Reporting]],tblSalaries[[#This Row],[Salary in USD]],"")</f>
        <v/>
      </c>
      <c r="AD1379" s="13" t="str">
        <f>IF(tblSalaries[[#This Row],[Job Type]]=tblSalaries[[#Headers],[Specialist]],tblSalaries[[#This Row],[Salary in USD]],"")</f>
        <v/>
      </c>
    </row>
    <row r="1380" spans="2:30" ht="15" customHeight="1" x14ac:dyDescent="0.25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 s="9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  <c r="N1380">
        <f>IF(tblSalaries[[#This Row],[Years of Experience]]="","",IF(tblSalaries[[#This Row],[Years of Experience]]&lt;=2,1,""))</f>
        <v>1</v>
      </c>
      <c r="O1380" t="str">
        <f>IF(tblSalaries[[#This Row],[Years of Experience]]="","",IF(AND(tblSalaries[[#This Row],[Years of Experience]]&gt;2,tblSalaries[[#This Row],[Years of Experience]]&lt;=5),1,""))</f>
        <v/>
      </c>
      <c r="P1380" t="str">
        <f>IF(tblSalaries[[#This Row],[Years of Experience]]="","",IF(AND(tblSalaries[[#This Row],[Years of Experience]]&gt;5,tblSalaries[[#This Row],[Years of Experience]]&lt;=10),1,""))</f>
        <v/>
      </c>
      <c r="Q1380" t="str">
        <f>IF(tblSalaries[[#This Row],[Years of Experience]]="","",IF(AND(tblSalaries[[#This Row],[Years of Experience]]&gt;10,tblSalaries[[#This Row],[Years of Experience]]&lt;=15),1,""))</f>
        <v/>
      </c>
      <c r="R1380" t="str">
        <f>IF(tblSalaries[[#This Row],[Years of Experience]]="","",IF(AND(tblSalaries[[#This Row],[Years of Experience]]&gt;16,tblSalaries[[#This Row],[Years of Experience]]&lt;=20),1,""))</f>
        <v/>
      </c>
      <c r="S1380" t="str">
        <f>IF(tblSalaries[[#This Row],[Years of Experience]]="","",IF(tblSalaries[[#This Row],[Years of Experience]]&gt;20,1,""))</f>
        <v/>
      </c>
      <c r="T13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80" s="13" t="str">
        <f>IF(tblSalaries[[#This Row],[Job Type]]=tblSalaries[[#Headers],[Accountant]],tblSalaries[[#This Row],[Salary in USD]],"")</f>
        <v/>
      </c>
      <c r="V1380" s="13">
        <f>IF(tblSalaries[[#This Row],[Job Type]]=tblSalaries[[#Headers],[Analyst]],tblSalaries[[#This Row],[Salary in USD]],"")</f>
        <v>55000</v>
      </c>
      <c r="W1380" s="13" t="str">
        <f>IF(tblSalaries[[#This Row],[Job Type]]=tblSalaries[[#Headers],[Consultant]],tblSalaries[[#This Row],[Salary in USD]],"")</f>
        <v/>
      </c>
      <c r="X1380" s="13" t="str">
        <f>IF(tblSalaries[[#This Row],[Job Type]]=tblSalaries[[#Headers],[Controller]],tblSalaries[[#This Row],[Salary in USD]],"")</f>
        <v/>
      </c>
      <c r="Y1380" s="13" t="str">
        <f>IF(tblSalaries[[#This Row],[Job Type]]=tblSalaries[[#Headers],[CXO or Top Mgmt.]],tblSalaries[[#This Row],[clean Salary (in local currency)]],"")</f>
        <v/>
      </c>
      <c r="Z1380" s="13" t="str">
        <f>IF(tblSalaries[[#This Row],[Job Type]]=tblSalaries[[#Headers],[Engineer]],tblSalaries[[#This Row],[Salary in USD]],"")</f>
        <v/>
      </c>
      <c r="AA1380" s="13" t="str">
        <f>IF(tblSalaries[[#This Row],[Job Type]]=tblSalaries[[#Headers],[Manager]],tblSalaries[[#This Row],[Salary in USD]],"")</f>
        <v/>
      </c>
      <c r="AB1380" s="13" t="str">
        <f>IF(tblSalaries[[#This Row],[Job Type]]=tblSalaries[[#Headers],[Misc.]],tblSalaries[[#This Row],[Salary in USD]],"")</f>
        <v/>
      </c>
      <c r="AC1380" s="13" t="str">
        <f>IF(tblSalaries[[#This Row],[Job Type]]=tblSalaries[[#Headers],[Reporting]],tblSalaries[[#This Row],[Salary in USD]],"")</f>
        <v/>
      </c>
      <c r="AD1380" s="13" t="str">
        <f>IF(tblSalaries[[#This Row],[Job Type]]=tblSalaries[[#Headers],[Specialist]],tblSalaries[[#This Row],[Salary in USD]],"")</f>
        <v/>
      </c>
    </row>
    <row r="1381" spans="2:30" ht="15" customHeight="1" x14ac:dyDescent="0.25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 s="9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  <c r="N1381">
        <f>IF(tblSalaries[[#This Row],[Years of Experience]]="","",IF(tblSalaries[[#This Row],[Years of Experience]]&lt;=2,1,""))</f>
        <v>1</v>
      </c>
      <c r="O1381" t="str">
        <f>IF(tblSalaries[[#This Row],[Years of Experience]]="","",IF(AND(tblSalaries[[#This Row],[Years of Experience]]&gt;2,tblSalaries[[#This Row],[Years of Experience]]&lt;=5),1,""))</f>
        <v/>
      </c>
      <c r="P1381" t="str">
        <f>IF(tblSalaries[[#This Row],[Years of Experience]]="","",IF(AND(tblSalaries[[#This Row],[Years of Experience]]&gt;5,tblSalaries[[#This Row],[Years of Experience]]&lt;=10),1,""))</f>
        <v/>
      </c>
      <c r="Q1381" t="str">
        <f>IF(tblSalaries[[#This Row],[Years of Experience]]="","",IF(AND(tblSalaries[[#This Row],[Years of Experience]]&gt;10,tblSalaries[[#This Row],[Years of Experience]]&lt;=15),1,""))</f>
        <v/>
      </c>
      <c r="R1381" t="str">
        <f>IF(tblSalaries[[#This Row],[Years of Experience]]="","",IF(AND(tblSalaries[[#This Row],[Years of Experience]]&gt;16,tblSalaries[[#This Row],[Years of Experience]]&lt;=20),1,""))</f>
        <v/>
      </c>
      <c r="S1381" t="str">
        <f>IF(tblSalaries[[#This Row],[Years of Experience]]="","",IF(tblSalaries[[#This Row],[Years of Experience]]&gt;20,1,""))</f>
        <v/>
      </c>
      <c r="T13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81" s="13" t="str">
        <f>IF(tblSalaries[[#This Row],[Job Type]]=tblSalaries[[#Headers],[Accountant]],tblSalaries[[#This Row],[Salary in USD]],"")</f>
        <v/>
      </c>
      <c r="V1381" s="13" t="str">
        <f>IF(tblSalaries[[#This Row],[Job Type]]=tblSalaries[[#Headers],[Analyst]],tblSalaries[[#This Row],[Salary in USD]],"")</f>
        <v/>
      </c>
      <c r="W1381" s="13" t="str">
        <f>IF(tblSalaries[[#This Row],[Job Type]]=tblSalaries[[#Headers],[Consultant]],tblSalaries[[#This Row],[Salary in USD]],"")</f>
        <v/>
      </c>
      <c r="X1381" s="13" t="str">
        <f>IF(tblSalaries[[#This Row],[Job Type]]=tblSalaries[[#Headers],[Controller]],tblSalaries[[#This Row],[Salary in USD]],"")</f>
        <v/>
      </c>
      <c r="Y1381" s="13" t="str">
        <f>IF(tblSalaries[[#This Row],[Job Type]]=tblSalaries[[#Headers],[CXO or Top Mgmt.]],tblSalaries[[#This Row],[clean Salary (in local currency)]],"")</f>
        <v/>
      </c>
      <c r="Z1381" s="13" t="str">
        <f>IF(tblSalaries[[#This Row],[Job Type]]=tblSalaries[[#Headers],[Engineer]],tblSalaries[[#This Row],[Salary in USD]],"")</f>
        <v/>
      </c>
      <c r="AA1381" s="13">
        <f>IF(tblSalaries[[#This Row],[Job Type]]=tblSalaries[[#Headers],[Manager]],tblSalaries[[#This Row],[Salary in USD]],"")</f>
        <v>40000</v>
      </c>
      <c r="AB1381" s="13" t="str">
        <f>IF(tblSalaries[[#This Row],[Job Type]]=tblSalaries[[#Headers],[Misc.]],tblSalaries[[#This Row],[Salary in USD]],"")</f>
        <v/>
      </c>
      <c r="AC1381" s="13" t="str">
        <f>IF(tblSalaries[[#This Row],[Job Type]]=tblSalaries[[#Headers],[Reporting]],tblSalaries[[#This Row],[Salary in USD]],"")</f>
        <v/>
      </c>
      <c r="AD1381" s="13" t="str">
        <f>IF(tblSalaries[[#This Row],[Job Type]]=tblSalaries[[#Headers],[Specialist]],tblSalaries[[#This Row],[Salary in USD]],"")</f>
        <v/>
      </c>
    </row>
    <row r="1382" spans="2:30" ht="15" customHeight="1" x14ac:dyDescent="0.25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 s="9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  <c r="N1382" t="str">
        <f>IF(tblSalaries[[#This Row],[Years of Experience]]="","",IF(tblSalaries[[#This Row],[Years of Experience]]&lt;=2,1,""))</f>
        <v/>
      </c>
      <c r="O1382" t="str">
        <f>IF(tblSalaries[[#This Row],[Years of Experience]]="","",IF(AND(tblSalaries[[#This Row],[Years of Experience]]&gt;2,tblSalaries[[#This Row],[Years of Experience]]&lt;=5),1,""))</f>
        <v/>
      </c>
      <c r="P1382" t="str">
        <f>IF(tblSalaries[[#This Row],[Years of Experience]]="","",IF(AND(tblSalaries[[#This Row],[Years of Experience]]&gt;5,tblSalaries[[#This Row],[Years of Experience]]&lt;=10),1,""))</f>
        <v/>
      </c>
      <c r="Q1382">
        <f>IF(tblSalaries[[#This Row],[Years of Experience]]="","",IF(AND(tblSalaries[[#This Row],[Years of Experience]]&gt;10,tblSalaries[[#This Row],[Years of Experience]]&lt;=15),1,""))</f>
        <v>1</v>
      </c>
      <c r="R1382" t="str">
        <f>IF(tblSalaries[[#This Row],[Years of Experience]]="","",IF(AND(tblSalaries[[#This Row],[Years of Experience]]&gt;16,tblSalaries[[#This Row],[Years of Experience]]&lt;=20),1,""))</f>
        <v/>
      </c>
      <c r="S1382" t="str">
        <f>IF(tblSalaries[[#This Row],[Years of Experience]]="","",IF(tblSalaries[[#This Row],[Years of Experience]]&gt;20,1,""))</f>
        <v/>
      </c>
      <c r="T13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82" s="13" t="str">
        <f>IF(tblSalaries[[#This Row],[Job Type]]=tblSalaries[[#Headers],[Accountant]],tblSalaries[[#This Row],[Salary in USD]],"")</f>
        <v/>
      </c>
      <c r="V1382" s="13">
        <f>IF(tblSalaries[[#This Row],[Job Type]]=tblSalaries[[#Headers],[Analyst]],tblSalaries[[#This Row],[Salary in USD]],"")</f>
        <v>60000</v>
      </c>
      <c r="W1382" s="13" t="str">
        <f>IF(tblSalaries[[#This Row],[Job Type]]=tblSalaries[[#Headers],[Consultant]],tblSalaries[[#This Row],[Salary in USD]],"")</f>
        <v/>
      </c>
      <c r="X1382" s="13" t="str">
        <f>IF(tblSalaries[[#This Row],[Job Type]]=tblSalaries[[#Headers],[Controller]],tblSalaries[[#This Row],[Salary in USD]],"")</f>
        <v/>
      </c>
      <c r="Y1382" s="13" t="str">
        <f>IF(tblSalaries[[#This Row],[Job Type]]=tblSalaries[[#Headers],[CXO or Top Mgmt.]],tblSalaries[[#This Row],[clean Salary (in local currency)]],"")</f>
        <v/>
      </c>
      <c r="Z1382" s="13" t="str">
        <f>IF(tblSalaries[[#This Row],[Job Type]]=tblSalaries[[#Headers],[Engineer]],tblSalaries[[#This Row],[Salary in USD]],"")</f>
        <v/>
      </c>
      <c r="AA1382" s="13" t="str">
        <f>IF(tblSalaries[[#This Row],[Job Type]]=tblSalaries[[#Headers],[Manager]],tblSalaries[[#This Row],[Salary in USD]],"")</f>
        <v/>
      </c>
      <c r="AB1382" s="13" t="str">
        <f>IF(tblSalaries[[#This Row],[Job Type]]=tblSalaries[[#Headers],[Misc.]],tblSalaries[[#This Row],[Salary in USD]],"")</f>
        <v/>
      </c>
      <c r="AC1382" s="13" t="str">
        <f>IF(tblSalaries[[#This Row],[Job Type]]=tblSalaries[[#Headers],[Reporting]],tblSalaries[[#This Row],[Salary in USD]],"")</f>
        <v/>
      </c>
      <c r="AD1382" s="13" t="str">
        <f>IF(tblSalaries[[#This Row],[Job Type]]=tblSalaries[[#Headers],[Specialist]],tblSalaries[[#This Row],[Salary in USD]],"")</f>
        <v/>
      </c>
    </row>
    <row r="1383" spans="2:30" ht="15" customHeight="1" x14ac:dyDescent="0.25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 s="9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  <c r="N1383" t="str">
        <f>IF(tblSalaries[[#This Row],[Years of Experience]]="","",IF(tblSalaries[[#This Row],[Years of Experience]]&lt;=2,1,""))</f>
        <v/>
      </c>
      <c r="O1383">
        <f>IF(tblSalaries[[#This Row],[Years of Experience]]="","",IF(AND(tblSalaries[[#This Row],[Years of Experience]]&gt;2,tblSalaries[[#This Row],[Years of Experience]]&lt;=5),1,""))</f>
        <v>1</v>
      </c>
      <c r="P1383" t="str">
        <f>IF(tblSalaries[[#This Row],[Years of Experience]]="","",IF(AND(tblSalaries[[#This Row],[Years of Experience]]&gt;5,tblSalaries[[#This Row],[Years of Experience]]&lt;=10),1,""))</f>
        <v/>
      </c>
      <c r="Q1383" t="str">
        <f>IF(tblSalaries[[#This Row],[Years of Experience]]="","",IF(AND(tblSalaries[[#This Row],[Years of Experience]]&gt;10,tblSalaries[[#This Row],[Years of Experience]]&lt;=15),1,""))</f>
        <v/>
      </c>
      <c r="R1383" t="str">
        <f>IF(tblSalaries[[#This Row],[Years of Experience]]="","",IF(AND(tblSalaries[[#This Row],[Years of Experience]]&gt;16,tblSalaries[[#This Row],[Years of Experience]]&lt;=20),1,""))</f>
        <v/>
      </c>
      <c r="S1383" t="str">
        <f>IF(tblSalaries[[#This Row],[Years of Experience]]="","",IF(tblSalaries[[#This Row],[Years of Experience]]&gt;20,1,""))</f>
        <v/>
      </c>
      <c r="T13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83" s="13" t="str">
        <f>IF(tblSalaries[[#This Row],[Job Type]]=tblSalaries[[#Headers],[Accountant]],tblSalaries[[#This Row],[Salary in USD]],"")</f>
        <v/>
      </c>
      <c r="V1383" s="13">
        <f>IF(tblSalaries[[#This Row],[Job Type]]=tblSalaries[[#Headers],[Analyst]],tblSalaries[[#This Row],[Salary in USD]],"")</f>
        <v>45734.379803697877</v>
      </c>
      <c r="W1383" s="13" t="str">
        <f>IF(tblSalaries[[#This Row],[Job Type]]=tblSalaries[[#Headers],[Consultant]],tblSalaries[[#This Row],[Salary in USD]],"")</f>
        <v/>
      </c>
      <c r="X1383" s="13" t="str">
        <f>IF(tblSalaries[[#This Row],[Job Type]]=tblSalaries[[#Headers],[Controller]],tblSalaries[[#This Row],[Salary in USD]],"")</f>
        <v/>
      </c>
      <c r="Y1383" s="13" t="str">
        <f>IF(tblSalaries[[#This Row],[Job Type]]=tblSalaries[[#Headers],[CXO or Top Mgmt.]],tblSalaries[[#This Row],[clean Salary (in local currency)]],"")</f>
        <v/>
      </c>
      <c r="Z1383" s="13" t="str">
        <f>IF(tblSalaries[[#This Row],[Job Type]]=tblSalaries[[#Headers],[Engineer]],tblSalaries[[#This Row],[Salary in USD]],"")</f>
        <v/>
      </c>
      <c r="AA1383" s="13" t="str">
        <f>IF(tblSalaries[[#This Row],[Job Type]]=tblSalaries[[#Headers],[Manager]],tblSalaries[[#This Row],[Salary in USD]],"")</f>
        <v/>
      </c>
      <c r="AB1383" s="13" t="str">
        <f>IF(tblSalaries[[#This Row],[Job Type]]=tblSalaries[[#Headers],[Misc.]],tblSalaries[[#This Row],[Salary in USD]],"")</f>
        <v/>
      </c>
      <c r="AC1383" s="13" t="str">
        <f>IF(tblSalaries[[#This Row],[Job Type]]=tblSalaries[[#Headers],[Reporting]],tblSalaries[[#This Row],[Salary in USD]],"")</f>
        <v/>
      </c>
      <c r="AD1383" s="13" t="str">
        <f>IF(tblSalaries[[#This Row],[Job Type]]=tblSalaries[[#Headers],[Specialist]],tblSalaries[[#This Row],[Salary in USD]],"")</f>
        <v/>
      </c>
    </row>
    <row r="1384" spans="2:30" ht="15" customHeight="1" x14ac:dyDescent="0.25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 s="9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  <c r="N1384" t="str">
        <f>IF(tblSalaries[[#This Row],[Years of Experience]]="","",IF(tblSalaries[[#This Row],[Years of Experience]]&lt;=2,1,""))</f>
        <v/>
      </c>
      <c r="O1384" t="str">
        <f>IF(tblSalaries[[#This Row],[Years of Experience]]="","",IF(AND(tblSalaries[[#This Row],[Years of Experience]]&gt;2,tblSalaries[[#This Row],[Years of Experience]]&lt;=5),1,""))</f>
        <v/>
      </c>
      <c r="P1384" t="str">
        <f>IF(tblSalaries[[#This Row],[Years of Experience]]="","",IF(AND(tblSalaries[[#This Row],[Years of Experience]]&gt;5,tblSalaries[[#This Row],[Years of Experience]]&lt;=10),1,""))</f>
        <v/>
      </c>
      <c r="Q1384" t="str">
        <f>IF(tblSalaries[[#This Row],[Years of Experience]]="","",IF(AND(tblSalaries[[#This Row],[Years of Experience]]&gt;10,tblSalaries[[#This Row],[Years of Experience]]&lt;=15),1,""))</f>
        <v/>
      </c>
      <c r="R1384" t="str">
        <f>IF(tblSalaries[[#This Row],[Years of Experience]]="","",IF(AND(tblSalaries[[#This Row],[Years of Experience]]&gt;16,tblSalaries[[#This Row],[Years of Experience]]&lt;=20),1,""))</f>
        <v/>
      </c>
      <c r="S1384">
        <f>IF(tblSalaries[[#This Row],[Years of Experience]]="","",IF(tblSalaries[[#This Row],[Years of Experience]]&gt;20,1,""))</f>
        <v>1</v>
      </c>
      <c r="T13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84" s="13" t="str">
        <f>IF(tblSalaries[[#This Row],[Job Type]]=tblSalaries[[#Headers],[Accountant]],tblSalaries[[#This Row],[Salary in USD]],"")</f>
        <v/>
      </c>
      <c r="V1384" s="13">
        <f>IF(tblSalaries[[#This Row],[Job Type]]=tblSalaries[[#Headers],[Analyst]],tblSalaries[[#This Row],[Salary in USD]],"")</f>
        <v>150000</v>
      </c>
      <c r="W1384" s="13" t="str">
        <f>IF(tblSalaries[[#This Row],[Job Type]]=tblSalaries[[#Headers],[Consultant]],tblSalaries[[#This Row],[Salary in USD]],"")</f>
        <v/>
      </c>
      <c r="X1384" s="13" t="str">
        <f>IF(tblSalaries[[#This Row],[Job Type]]=tblSalaries[[#Headers],[Controller]],tblSalaries[[#This Row],[Salary in USD]],"")</f>
        <v/>
      </c>
      <c r="Y1384" s="13" t="str">
        <f>IF(tblSalaries[[#This Row],[Job Type]]=tblSalaries[[#Headers],[CXO or Top Mgmt.]],tblSalaries[[#This Row],[clean Salary (in local currency)]],"")</f>
        <v/>
      </c>
      <c r="Z1384" s="13" t="str">
        <f>IF(tblSalaries[[#This Row],[Job Type]]=tblSalaries[[#Headers],[Engineer]],tblSalaries[[#This Row],[Salary in USD]],"")</f>
        <v/>
      </c>
      <c r="AA1384" s="13" t="str">
        <f>IF(tblSalaries[[#This Row],[Job Type]]=tblSalaries[[#Headers],[Manager]],tblSalaries[[#This Row],[Salary in USD]],"")</f>
        <v/>
      </c>
      <c r="AB1384" s="13" t="str">
        <f>IF(tblSalaries[[#This Row],[Job Type]]=tblSalaries[[#Headers],[Misc.]],tblSalaries[[#This Row],[Salary in USD]],"")</f>
        <v/>
      </c>
      <c r="AC1384" s="13" t="str">
        <f>IF(tblSalaries[[#This Row],[Job Type]]=tblSalaries[[#Headers],[Reporting]],tblSalaries[[#This Row],[Salary in USD]],"")</f>
        <v/>
      </c>
      <c r="AD1384" s="13" t="str">
        <f>IF(tblSalaries[[#This Row],[Job Type]]=tblSalaries[[#Headers],[Specialist]],tblSalaries[[#This Row],[Salary in USD]],"")</f>
        <v/>
      </c>
    </row>
    <row r="1385" spans="2:30" ht="15" customHeight="1" x14ac:dyDescent="0.25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 s="9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  <c r="N1385" t="str">
        <f>IF(tblSalaries[[#This Row],[Years of Experience]]="","",IF(tblSalaries[[#This Row],[Years of Experience]]&lt;=2,1,""))</f>
        <v/>
      </c>
      <c r="O1385" t="str">
        <f>IF(tblSalaries[[#This Row],[Years of Experience]]="","",IF(AND(tblSalaries[[#This Row],[Years of Experience]]&gt;2,tblSalaries[[#This Row],[Years of Experience]]&lt;=5),1,""))</f>
        <v/>
      </c>
      <c r="P1385" t="str">
        <f>IF(tblSalaries[[#This Row],[Years of Experience]]="","",IF(AND(tblSalaries[[#This Row],[Years of Experience]]&gt;5,tblSalaries[[#This Row],[Years of Experience]]&lt;=10),1,""))</f>
        <v/>
      </c>
      <c r="Q1385" t="str">
        <f>IF(tblSalaries[[#This Row],[Years of Experience]]="","",IF(AND(tblSalaries[[#This Row],[Years of Experience]]&gt;10,tblSalaries[[#This Row],[Years of Experience]]&lt;=15),1,""))</f>
        <v/>
      </c>
      <c r="R1385" t="str">
        <f>IF(tblSalaries[[#This Row],[Years of Experience]]="","",IF(AND(tblSalaries[[#This Row],[Years of Experience]]&gt;16,tblSalaries[[#This Row],[Years of Experience]]&lt;=20),1,""))</f>
        <v/>
      </c>
      <c r="S1385">
        <f>IF(tblSalaries[[#This Row],[Years of Experience]]="","",IF(tblSalaries[[#This Row],[Years of Experience]]&gt;20,1,""))</f>
        <v>1</v>
      </c>
      <c r="T13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85" s="13" t="str">
        <f>IF(tblSalaries[[#This Row],[Job Type]]=tblSalaries[[#Headers],[Accountant]],tblSalaries[[#This Row],[Salary in USD]],"")</f>
        <v/>
      </c>
      <c r="V1385" s="13" t="str">
        <f>IF(tblSalaries[[#This Row],[Job Type]]=tblSalaries[[#Headers],[Analyst]],tblSalaries[[#This Row],[Salary in USD]],"")</f>
        <v/>
      </c>
      <c r="W1385" s="13" t="str">
        <f>IF(tblSalaries[[#This Row],[Job Type]]=tblSalaries[[#Headers],[Consultant]],tblSalaries[[#This Row],[Salary in USD]],"")</f>
        <v/>
      </c>
      <c r="X1385" s="13" t="str">
        <f>IF(tblSalaries[[#This Row],[Job Type]]=tblSalaries[[#Headers],[Controller]],tblSalaries[[#This Row],[Salary in USD]],"")</f>
        <v/>
      </c>
      <c r="Y1385" s="13" t="str">
        <f>IF(tblSalaries[[#This Row],[Job Type]]=tblSalaries[[#Headers],[CXO or Top Mgmt.]],tblSalaries[[#This Row],[clean Salary (in local currency)]],"")</f>
        <v/>
      </c>
      <c r="Z1385" s="13" t="str">
        <f>IF(tblSalaries[[#This Row],[Job Type]]=tblSalaries[[#Headers],[Engineer]],tblSalaries[[#This Row],[Salary in USD]],"")</f>
        <v/>
      </c>
      <c r="AA1385" s="13">
        <f>IF(tblSalaries[[#This Row],[Job Type]]=tblSalaries[[#Headers],[Manager]],tblSalaries[[#This Row],[Salary in USD]],"")</f>
        <v>88000</v>
      </c>
      <c r="AB1385" s="13" t="str">
        <f>IF(tblSalaries[[#This Row],[Job Type]]=tblSalaries[[#Headers],[Misc.]],tblSalaries[[#This Row],[Salary in USD]],"")</f>
        <v/>
      </c>
      <c r="AC1385" s="13" t="str">
        <f>IF(tblSalaries[[#This Row],[Job Type]]=tblSalaries[[#Headers],[Reporting]],tblSalaries[[#This Row],[Salary in USD]],"")</f>
        <v/>
      </c>
      <c r="AD1385" s="13" t="str">
        <f>IF(tblSalaries[[#This Row],[Job Type]]=tblSalaries[[#Headers],[Specialist]],tblSalaries[[#This Row],[Salary in USD]],"")</f>
        <v/>
      </c>
    </row>
    <row r="1386" spans="2:30" ht="15" customHeight="1" x14ac:dyDescent="0.25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 s="9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  <c r="N1386" t="str">
        <f>IF(tblSalaries[[#This Row],[Years of Experience]]="","",IF(tblSalaries[[#This Row],[Years of Experience]]&lt;=2,1,""))</f>
        <v/>
      </c>
      <c r="O1386" t="str">
        <f>IF(tblSalaries[[#This Row],[Years of Experience]]="","",IF(AND(tblSalaries[[#This Row],[Years of Experience]]&gt;2,tblSalaries[[#This Row],[Years of Experience]]&lt;=5),1,""))</f>
        <v/>
      </c>
      <c r="P1386" t="str">
        <f>IF(tblSalaries[[#This Row],[Years of Experience]]="","",IF(AND(tblSalaries[[#This Row],[Years of Experience]]&gt;5,tblSalaries[[#This Row],[Years of Experience]]&lt;=10),1,""))</f>
        <v/>
      </c>
      <c r="Q1386">
        <f>IF(tblSalaries[[#This Row],[Years of Experience]]="","",IF(AND(tblSalaries[[#This Row],[Years of Experience]]&gt;10,tblSalaries[[#This Row],[Years of Experience]]&lt;=15),1,""))</f>
        <v>1</v>
      </c>
      <c r="R1386" t="str">
        <f>IF(tblSalaries[[#This Row],[Years of Experience]]="","",IF(AND(tblSalaries[[#This Row],[Years of Experience]]&gt;16,tblSalaries[[#This Row],[Years of Experience]]&lt;=20),1,""))</f>
        <v/>
      </c>
      <c r="S1386" t="str">
        <f>IF(tblSalaries[[#This Row],[Years of Experience]]="","",IF(tblSalaries[[#This Row],[Years of Experience]]&gt;20,1,""))</f>
        <v/>
      </c>
      <c r="T13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86" s="13" t="str">
        <f>IF(tblSalaries[[#This Row],[Job Type]]=tblSalaries[[#Headers],[Accountant]],tblSalaries[[#This Row],[Salary in USD]],"")</f>
        <v/>
      </c>
      <c r="V1386" s="13">
        <f>IF(tblSalaries[[#This Row],[Job Type]]=tblSalaries[[#Headers],[Analyst]],tblSalaries[[#This Row],[Salary in USD]],"")</f>
        <v>64500</v>
      </c>
      <c r="W1386" s="13" t="str">
        <f>IF(tblSalaries[[#This Row],[Job Type]]=tblSalaries[[#Headers],[Consultant]],tblSalaries[[#This Row],[Salary in USD]],"")</f>
        <v/>
      </c>
      <c r="X1386" s="13" t="str">
        <f>IF(tblSalaries[[#This Row],[Job Type]]=tblSalaries[[#Headers],[Controller]],tblSalaries[[#This Row],[Salary in USD]],"")</f>
        <v/>
      </c>
      <c r="Y1386" s="13" t="str">
        <f>IF(tblSalaries[[#This Row],[Job Type]]=tblSalaries[[#Headers],[CXO or Top Mgmt.]],tblSalaries[[#This Row],[clean Salary (in local currency)]],"")</f>
        <v/>
      </c>
      <c r="Z1386" s="13" t="str">
        <f>IF(tblSalaries[[#This Row],[Job Type]]=tblSalaries[[#Headers],[Engineer]],tblSalaries[[#This Row],[Salary in USD]],"")</f>
        <v/>
      </c>
      <c r="AA1386" s="13" t="str">
        <f>IF(tblSalaries[[#This Row],[Job Type]]=tblSalaries[[#Headers],[Manager]],tblSalaries[[#This Row],[Salary in USD]],"")</f>
        <v/>
      </c>
      <c r="AB1386" s="13" t="str">
        <f>IF(tblSalaries[[#This Row],[Job Type]]=tblSalaries[[#Headers],[Misc.]],tblSalaries[[#This Row],[Salary in USD]],"")</f>
        <v/>
      </c>
      <c r="AC1386" s="13" t="str">
        <f>IF(tblSalaries[[#This Row],[Job Type]]=tblSalaries[[#Headers],[Reporting]],tblSalaries[[#This Row],[Salary in USD]],"")</f>
        <v/>
      </c>
      <c r="AD1386" s="13" t="str">
        <f>IF(tblSalaries[[#This Row],[Job Type]]=tblSalaries[[#Headers],[Specialist]],tblSalaries[[#This Row],[Salary in USD]],"")</f>
        <v/>
      </c>
    </row>
    <row r="1387" spans="2:30" ht="15" customHeight="1" x14ac:dyDescent="0.25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 s="9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  <c r="N1387" t="str">
        <f>IF(tblSalaries[[#This Row],[Years of Experience]]="","",IF(tblSalaries[[#This Row],[Years of Experience]]&lt;=2,1,""))</f>
        <v/>
      </c>
      <c r="O1387" t="str">
        <f>IF(tblSalaries[[#This Row],[Years of Experience]]="","",IF(AND(tblSalaries[[#This Row],[Years of Experience]]&gt;2,tblSalaries[[#This Row],[Years of Experience]]&lt;=5),1,""))</f>
        <v/>
      </c>
      <c r="P1387" t="str">
        <f>IF(tblSalaries[[#This Row],[Years of Experience]]="","",IF(AND(tblSalaries[[#This Row],[Years of Experience]]&gt;5,tblSalaries[[#This Row],[Years of Experience]]&lt;=10),1,""))</f>
        <v/>
      </c>
      <c r="Q1387" t="str">
        <f>IF(tblSalaries[[#This Row],[Years of Experience]]="","",IF(AND(tblSalaries[[#This Row],[Years of Experience]]&gt;10,tblSalaries[[#This Row],[Years of Experience]]&lt;=15),1,""))</f>
        <v/>
      </c>
      <c r="R1387">
        <f>IF(tblSalaries[[#This Row],[Years of Experience]]="","",IF(AND(tblSalaries[[#This Row],[Years of Experience]]&gt;16,tblSalaries[[#This Row],[Years of Experience]]&lt;=20),1,""))</f>
        <v>1</v>
      </c>
      <c r="S1387" t="str">
        <f>IF(tblSalaries[[#This Row],[Years of Experience]]="","",IF(tblSalaries[[#This Row],[Years of Experience]]&gt;20,1,""))</f>
        <v/>
      </c>
      <c r="T13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87" s="13" t="str">
        <f>IF(tblSalaries[[#This Row],[Job Type]]=tblSalaries[[#Headers],[Accountant]],tblSalaries[[#This Row],[Salary in USD]],"")</f>
        <v/>
      </c>
      <c r="V1387" s="13" t="str">
        <f>IF(tblSalaries[[#This Row],[Job Type]]=tblSalaries[[#Headers],[Analyst]],tblSalaries[[#This Row],[Salary in USD]],"")</f>
        <v/>
      </c>
      <c r="W1387" s="13" t="str">
        <f>IF(tblSalaries[[#This Row],[Job Type]]=tblSalaries[[#Headers],[Consultant]],tblSalaries[[#This Row],[Salary in USD]],"")</f>
        <v/>
      </c>
      <c r="X1387" s="13" t="str">
        <f>IF(tblSalaries[[#This Row],[Job Type]]=tblSalaries[[#Headers],[Controller]],tblSalaries[[#This Row],[Salary in USD]],"")</f>
        <v/>
      </c>
      <c r="Y1387" s="13" t="str">
        <f>IF(tblSalaries[[#This Row],[Job Type]]=tblSalaries[[#Headers],[CXO or Top Mgmt.]],tblSalaries[[#This Row],[clean Salary (in local currency)]],"")</f>
        <v/>
      </c>
      <c r="Z1387" s="13">
        <f>IF(tblSalaries[[#This Row],[Job Type]]=tblSalaries[[#Headers],[Engineer]],tblSalaries[[#This Row],[Salary in USD]],"")</f>
        <v>57600</v>
      </c>
      <c r="AA1387" s="13" t="str">
        <f>IF(tblSalaries[[#This Row],[Job Type]]=tblSalaries[[#Headers],[Manager]],tblSalaries[[#This Row],[Salary in USD]],"")</f>
        <v/>
      </c>
      <c r="AB1387" s="13" t="str">
        <f>IF(tblSalaries[[#This Row],[Job Type]]=tblSalaries[[#Headers],[Misc.]],tblSalaries[[#This Row],[Salary in USD]],"")</f>
        <v/>
      </c>
      <c r="AC1387" s="13" t="str">
        <f>IF(tblSalaries[[#This Row],[Job Type]]=tblSalaries[[#Headers],[Reporting]],tblSalaries[[#This Row],[Salary in USD]],"")</f>
        <v/>
      </c>
      <c r="AD1387" s="13" t="str">
        <f>IF(tblSalaries[[#This Row],[Job Type]]=tblSalaries[[#Headers],[Specialist]],tblSalaries[[#This Row],[Salary in USD]],"")</f>
        <v/>
      </c>
    </row>
    <row r="1388" spans="2:30" ht="15" customHeight="1" x14ac:dyDescent="0.25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 s="9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  <c r="N1388" t="str">
        <f>IF(tblSalaries[[#This Row],[Years of Experience]]="","",IF(tblSalaries[[#This Row],[Years of Experience]]&lt;=2,1,""))</f>
        <v/>
      </c>
      <c r="O1388" t="str">
        <f>IF(tblSalaries[[#This Row],[Years of Experience]]="","",IF(AND(tblSalaries[[#This Row],[Years of Experience]]&gt;2,tblSalaries[[#This Row],[Years of Experience]]&lt;=5),1,""))</f>
        <v/>
      </c>
      <c r="P1388" t="str">
        <f>IF(tblSalaries[[#This Row],[Years of Experience]]="","",IF(AND(tblSalaries[[#This Row],[Years of Experience]]&gt;5,tblSalaries[[#This Row],[Years of Experience]]&lt;=10),1,""))</f>
        <v/>
      </c>
      <c r="Q1388">
        <f>IF(tblSalaries[[#This Row],[Years of Experience]]="","",IF(AND(tblSalaries[[#This Row],[Years of Experience]]&gt;10,tblSalaries[[#This Row],[Years of Experience]]&lt;=15),1,""))</f>
        <v>1</v>
      </c>
      <c r="R1388" t="str">
        <f>IF(tblSalaries[[#This Row],[Years of Experience]]="","",IF(AND(tblSalaries[[#This Row],[Years of Experience]]&gt;16,tblSalaries[[#This Row],[Years of Experience]]&lt;=20),1,""))</f>
        <v/>
      </c>
      <c r="S1388" t="str">
        <f>IF(tblSalaries[[#This Row],[Years of Experience]]="","",IF(tblSalaries[[#This Row],[Years of Experience]]&gt;20,1,""))</f>
        <v/>
      </c>
      <c r="T13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88" s="13">
        <f>IF(tblSalaries[[#This Row],[Job Type]]=tblSalaries[[#Headers],[Accountant]],tblSalaries[[#This Row],[Salary in USD]],"")</f>
        <v>50000</v>
      </c>
      <c r="V1388" s="13" t="str">
        <f>IF(tblSalaries[[#This Row],[Job Type]]=tblSalaries[[#Headers],[Analyst]],tblSalaries[[#This Row],[Salary in USD]],"")</f>
        <v/>
      </c>
      <c r="W1388" s="13" t="str">
        <f>IF(tblSalaries[[#This Row],[Job Type]]=tblSalaries[[#Headers],[Consultant]],tblSalaries[[#This Row],[Salary in USD]],"")</f>
        <v/>
      </c>
      <c r="X1388" s="13" t="str">
        <f>IF(tblSalaries[[#This Row],[Job Type]]=tblSalaries[[#Headers],[Controller]],tblSalaries[[#This Row],[Salary in USD]],"")</f>
        <v/>
      </c>
      <c r="Y1388" s="13" t="str">
        <f>IF(tblSalaries[[#This Row],[Job Type]]=tblSalaries[[#Headers],[CXO or Top Mgmt.]],tblSalaries[[#This Row],[clean Salary (in local currency)]],"")</f>
        <v/>
      </c>
      <c r="Z1388" s="13" t="str">
        <f>IF(tblSalaries[[#This Row],[Job Type]]=tblSalaries[[#Headers],[Engineer]],tblSalaries[[#This Row],[Salary in USD]],"")</f>
        <v/>
      </c>
      <c r="AA1388" s="13" t="str">
        <f>IF(tblSalaries[[#This Row],[Job Type]]=tblSalaries[[#Headers],[Manager]],tblSalaries[[#This Row],[Salary in USD]],"")</f>
        <v/>
      </c>
      <c r="AB1388" s="13" t="str">
        <f>IF(tblSalaries[[#This Row],[Job Type]]=tblSalaries[[#Headers],[Misc.]],tblSalaries[[#This Row],[Salary in USD]],"")</f>
        <v/>
      </c>
      <c r="AC1388" s="13" t="str">
        <f>IF(tblSalaries[[#This Row],[Job Type]]=tblSalaries[[#Headers],[Reporting]],tblSalaries[[#This Row],[Salary in USD]],"")</f>
        <v/>
      </c>
      <c r="AD1388" s="13" t="str">
        <f>IF(tblSalaries[[#This Row],[Job Type]]=tblSalaries[[#Headers],[Specialist]],tblSalaries[[#This Row],[Salary in USD]],"")</f>
        <v/>
      </c>
    </row>
    <row r="1389" spans="2:30" ht="15" customHeight="1" x14ac:dyDescent="0.25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 s="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  <c r="N1389" t="str">
        <f>IF(tblSalaries[[#This Row],[Years of Experience]]="","",IF(tblSalaries[[#This Row],[Years of Experience]]&lt;=2,1,""))</f>
        <v/>
      </c>
      <c r="O1389" t="str">
        <f>IF(tblSalaries[[#This Row],[Years of Experience]]="","",IF(AND(tblSalaries[[#This Row],[Years of Experience]]&gt;2,tblSalaries[[#This Row],[Years of Experience]]&lt;=5),1,""))</f>
        <v/>
      </c>
      <c r="P1389">
        <f>IF(tblSalaries[[#This Row],[Years of Experience]]="","",IF(AND(tblSalaries[[#This Row],[Years of Experience]]&gt;5,tblSalaries[[#This Row],[Years of Experience]]&lt;=10),1,""))</f>
        <v>1</v>
      </c>
      <c r="Q1389" t="str">
        <f>IF(tblSalaries[[#This Row],[Years of Experience]]="","",IF(AND(tblSalaries[[#This Row],[Years of Experience]]&gt;10,tblSalaries[[#This Row],[Years of Experience]]&lt;=15),1,""))</f>
        <v/>
      </c>
      <c r="R1389" t="str">
        <f>IF(tblSalaries[[#This Row],[Years of Experience]]="","",IF(AND(tblSalaries[[#This Row],[Years of Experience]]&gt;16,tblSalaries[[#This Row],[Years of Experience]]&lt;=20),1,""))</f>
        <v/>
      </c>
      <c r="S1389" t="str">
        <f>IF(tblSalaries[[#This Row],[Years of Experience]]="","",IF(tblSalaries[[#This Row],[Years of Experience]]&gt;20,1,""))</f>
        <v/>
      </c>
      <c r="T13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89" s="13" t="str">
        <f>IF(tblSalaries[[#This Row],[Job Type]]=tblSalaries[[#Headers],[Accountant]],tblSalaries[[#This Row],[Salary in USD]],"")</f>
        <v/>
      </c>
      <c r="V1389" s="13" t="str">
        <f>IF(tblSalaries[[#This Row],[Job Type]]=tblSalaries[[#Headers],[Analyst]],tblSalaries[[#This Row],[Salary in USD]],"")</f>
        <v/>
      </c>
      <c r="W1389" s="13" t="str">
        <f>IF(tblSalaries[[#This Row],[Job Type]]=tblSalaries[[#Headers],[Consultant]],tblSalaries[[#This Row],[Salary in USD]],"")</f>
        <v/>
      </c>
      <c r="X1389" s="13" t="str">
        <f>IF(tblSalaries[[#This Row],[Job Type]]=tblSalaries[[#Headers],[Controller]],tblSalaries[[#This Row],[Salary in USD]],"")</f>
        <v/>
      </c>
      <c r="Y1389" s="13" t="str">
        <f>IF(tblSalaries[[#This Row],[Job Type]]=tblSalaries[[#Headers],[CXO or Top Mgmt.]],tblSalaries[[#This Row],[clean Salary (in local currency)]],"")</f>
        <v/>
      </c>
      <c r="Z1389" s="13" t="str">
        <f>IF(tblSalaries[[#This Row],[Job Type]]=tblSalaries[[#Headers],[Engineer]],tblSalaries[[#This Row],[Salary in USD]],"")</f>
        <v/>
      </c>
      <c r="AA1389" s="13">
        <f>IF(tblSalaries[[#This Row],[Job Type]]=tblSalaries[[#Headers],[Manager]],tblSalaries[[#This Row],[Salary in USD]],"")</f>
        <v>120000</v>
      </c>
      <c r="AB1389" s="13" t="str">
        <f>IF(tblSalaries[[#This Row],[Job Type]]=tblSalaries[[#Headers],[Misc.]],tblSalaries[[#This Row],[Salary in USD]],"")</f>
        <v/>
      </c>
      <c r="AC1389" s="13" t="str">
        <f>IF(tblSalaries[[#This Row],[Job Type]]=tblSalaries[[#Headers],[Reporting]],tblSalaries[[#This Row],[Salary in USD]],"")</f>
        <v/>
      </c>
      <c r="AD1389" s="13" t="str">
        <f>IF(tblSalaries[[#This Row],[Job Type]]=tblSalaries[[#Headers],[Specialist]],tblSalaries[[#This Row],[Salary in USD]],"")</f>
        <v/>
      </c>
    </row>
    <row r="1390" spans="2:30" ht="15" customHeight="1" x14ac:dyDescent="0.25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 s="9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  <c r="N1390" t="str">
        <f>IF(tblSalaries[[#This Row],[Years of Experience]]="","",IF(tblSalaries[[#This Row],[Years of Experience]]&lt;=2,1,""))</f>
        <v/>
      </c>
      <c r="O1390" t="str">
        <f>IF(tblSalaries[[#This Row],[Years of Experience]]="","",IF(AND(tblSalaries[[#This Row],[Years of Experience]]&gt;2,tblSalaries[[#This Row],[Years of Experience]]&lt;=5),1,""))</f>
        <v/>
      </c>
      <c r="P1390" t="str">
        <f>IF(tblSalaries[[#This Row],[Years of Experience]]="","",IF(AND(tblSalaries[[#This Row],[Years of Experience]]&gt;5,tblSalaries[[#This Row],[Years of Experience]]&lt;=10),1,""))</f>
        <v/>
      </c>
      <c r="Q1390" t="str">
        <f>IF(tblSalaries[[#This Row],[Years of Experience]]="","",IF(AND(tblSalaries[[#This Row],[Years of Experience]]&gt;10,tblSalaries[[#This Row],[Years of Experience]]&lt;=15),1,""))</f>
        <v/>
      </c>
      <c r="R1390" t="str">
        <f>IF(tblSalaries[[#This Row],[Years of Experience]]="","",IF(AND(tblSalaries[[#This Row],[Years of Experience]]&gt;16,tblSalaries[[#This Row],[Years of Experience]]&lt;=20),1,""))</f>
        <v/>
      </c>
      <c r="S1390">
        <f>IF(tblSalaries[[#This Row],[Years of Experience]]="","",IF(tblSalaries[[#This Row],[Years of Experience]]&gt;20,1,""))</f>
        <v>1</v>
      </c>
      <c r="T13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390" s="13" t="str">
        <f>IF(tblSalaries[[#This Row],[Job Type]]=tblSalaries[[#Headers],[Accountant]],tblSalaries[[#This Row],[Salary in USD]],"")</f>
        <v/>
      </c>
      <c r="V1390" s="13" t="str">
        <f>IF(tblSalaries[[#This Row],[Job Type]]=tblSalaries[[#Headers],[Analyst]],tblSalaries[[#This Row],[Salary in USD]],"")</f>
        <v/>
      </c>
      <c r="W1390" s="13" t="str">
        <f>IF(tblSalaries[[#This Row],[Job Type]]=tblSalaries[[#Headers],[Consultant]],tblSalaries[[#This Row],[Salary in USD]],"")</f>
        <v/>
      </c>
      <c r="X1390" s="13" t="str">
        <f>IF(tblSalaries[[#This Row],[Job Type]]=tblSalaries[[#Headers],[Controller]],tblSalaries[[#This Row],[Salary in USD]],"")</f>
        <v/>
      </c>
      <c r="Y1390" s="13" t="str">
        <f>IF(tblSalaries[[#This Row],[Job Type]]=tblSalaries[[#Headers],[CXO or Top Mgmt.]],tblSalaries[[#This Row],[clean Salary (in local currency)]],"")</f>
        <v/>
      </c>
      <c r="Z1390" s="13" t="str">
        <f>IF(tblSalaries[[#This Row],[Job Type]]=tblSalaries[[#Headers],[Engineer]],tblSalaries[[#This Row],[Salary in USD]],"")</f>
        <v/>
      </c>
      <c r="AA1390" s="13">
        <f>IF(tblSalaries[[#This Row],[Job Type]]=tblSalaries[[#Headers],[Manager]],tblSalaries[[#This Row],[Salary in USD]],"")</f>
        <v>107000</v>
      </c>
      <c r="AB1390" s="13" t="str">
        <f>IF(tblSalaries[[#This Row],[Job Type]]=tblSalaries[[#Headers],[Misc.]],tblSalaries[[#This Row],[Salary in USD]],"")</f>
        <v/>
      </c>
      <c r="AC1390" s="13" t="str">
        <f>IF(tblSalaries[[#This Row],[Job Type]]=tblSalaries[[#Headers],[Reporting]],tblSalaries[[#This Row],[Salary in USD]],"")</f>
        <v/>
      </c>
      <c r="AD1390" s="13" t="str">
        <f>IF(tblSalaries[[#This Row],[Job Type]]=tblSalaries[[#Headers],[Specialist]],tblSalaries[[#This Row],[Salary in USD]],"")</f>
        <v/>
      </c>
    </row>
    <row r="1391" spans="2:30" ht="15" customHeight="1" x14ac:dyDescent="0.25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 s="9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  <c r="N1391" t="str">
        <f>IF(tblSalaries[[#This Row],[Years of Experience]]="","",IF(tblSalaries[[#This Row],[Years of Experience]]&lt;=2,1,""))</f>
        <v/>
      </c>
      <c r="O1391" t="str">
        <f>IF(tblSalaries[[#This Row],[Years of Experience]]="","",IF(AND(tblSalaries[[#This Row],[Years of Experience]]&gt;2,tblSalaries[[#This Row],[Years of Experience]]&lt;=5),1,""))</f>
        <v/>
      </c>
      <c r="P1391">
        <f>IF(tblSalaries[[#This Row],[Years of Experience]]="","",IF(AND(tblSalaries[[#This Row],[Years of Experience]]&gt;5,tblSalaries[[#This Row],[Years of Experience]]&lt;=10),1,""))</f>
        <v>1</v>
      </c>
      <c r="Q1391" t="str">
        <f>IF(tblSalaries[[#This Row],[Years of Experience]]="","",IF(AND(tblSalaries[[#This Row],[Years of Experience]]&gt;10,tblSalaries[[#This Row],[Years of Experience]]&lt;=15),1,""))</f>
        <v/>
      </c>
      <c r="R1391" t="str">
        <f>IF(tblSalaries[[#This Row],[Years of Experience]]="","",IF(AND(tblSalaries[[#This Row],[Years of Experience]]&gt;16,tblSalaries[[#This Row],[Years of Experience]]&lt;=20),1,""))</f>
        <v/>
      </c>
      <c r="S1391" t="str">
        <f>IF(tblSalaries[[#This Row],[Years of Experience]]="","",IF(tblSalaries[[#This Row],[Years of Experience]]&gt;20,1,""))</f>
        <v/>
      </c>
      <c r="T13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91" s="13" t="str">
        <f>IF(tblSalaries[[#This Row],[Job Type]]=tblSalaries[[#Headers],[Accountant]],tblSalaries[[#This Row],[Salary in USD]],"")</f>
        <v/>
      </c>
      <c r="V1391" s="13">
        <f>IF(tblSalaries[[#This Row],[Job Type]]=tblSalaries[[#Headers],[Analyst]],tblSalaries[[#This Row],[Salary in USD]],"")</f>
        <v>40000</v>
      </c>
      <c r="W1391" s="13" t="str">
        <f>IF(tblSalaries[[#This Row],[Job Type]]=tblSalaries[[#Headers],[Consultant]],tblSalaries[[#This Row],[Salary in USD]],"")</f>
        <v/>
      </c>
      <c r="X1391" s="13" t="str">
        <f>IF(tblSalaries[[#This Row],[Job Type]]=tblSalaries[[#Headers],[Controller]],tblSalaries[[#This Row],[Salary in USD]],"")</f>
        <v/>
      </c>
      <c r="Y1391" s="13" t="str">
        <f>IF(tblSalaries[[#This Row],[Job Type]]=tblSalaries[[#Headers],[CXO or Top Mgmt.]],tblSalaries[[#This Row],[clean Salary (in local currency)]],"")</f>
        <v/>
      </c>
      <c r="Z1391" s="13" t="str">
        <f>IF(tblSalaries[[#This Row],[Job Type]]=tblSalaries[[#Headers],[Engineer]],tblSalaries[[#This Row],[Salary in USD]],"")</f>
        <v/>
      </c>
      <c r="AA1391" s="13" t="str">
        <f>IF(tblSalaries[[#This Row],[Job Type]]=tblSalaries[[#Headers],[Manager]],tblSalaries[[#This Row],[Salary in USD]],"")</f>
        <v/>
      </c>
      <c r="AB1391" s="13" t="str">
        <f>IF(tblSalaries[[#This Row],[Job Type]]=tblSalaries[[#Headers],[Misc.]],tblSalaries[[#This Row],[Salary in USD]],"")</f>
        <v/>
      </c>
      <c r="AC1391" s="13" t="str">
        <f>IF(tblSalaries[[#This Row],[Job Type]]=tblSalaries[[#Headers],[Reporting]],tblSalaries[[#This Row],[Salary in USD]],"")</f>
        <v/>
      </c>
      <c r="AD1391" s="13" t="str">
        <f>IF(tblSalaries[[#This Row],[Job Type]]=tblSalaries[[#Headers],[Specialist]],tblSalaries[[#This Row],[Salary in USD]],"")</f>
        <v/>
      </c>
    </row>
    <row r="1392" spans="2:30" ht="15" customHeight="1" x14ac:dyDescent="0.25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 s="9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  <c r="N1392" t="str">
        <f>IF(tblSalaries[[#This Row],[Years of Experience]]="","",IF(tblSalaries[[#This Row],[Years of Experience]]&lt;=2,1,""))</f>
        <v/>
      </c>
      <c r="O1392" t="str">
        <f>IF(tblSalaries[[#This Row],[Years of Experience]]="","",IF(AND(tblSalaries[[#This Row],[Years of Experience]]&gt;2,tblSalaries[[#This Row],[Years of Experience]]&lt;=5),1,""))</f>
        <v/>
      </c>
      <c r="P1392" t="str">
        <f>IF(tblSalaries[[#This Row],[Years of Experience]]="","",IF(AND(tblSalaries[[#This Row],[Years of Experience]]&gt;5,tblSalaries[[#This Row],[Years of Experience]]&lt;=10),1,""))</f>
        <v/>
      </c>
      <c r="Q1392">
        <f>IF(tblSalaries[[#This Row],[Years of Experience]]="","",IF(AND(tblSalaries[[#This Row],[Years of Experience]]&gt;10,tblSalaries[[#This Row],[Years of Experience]]&lt;=15),1,""))</f>
        <v>1</v>
      </c>
      <c r="R1392" t="str">
        <f>IF(tblSalaries[[#This Row],[Years of Experience]]="","",IF(AND(tblSalaries[[#This Row],[Years of Experience]]&gt;16,tblSalaries[[#This Row],[Years of Experience]]&lt;=20),1,""))</f>
        <v/>
      </c>
      <c r="S1392" t="str">
        <f>IF(tblSalaries[[#This Row],[Years of Experience]]="","",IF(tblSalaries[[#This Row],[Years of Experience]]&gt;20,1,""))</f>
        <v/>
      </c>
      <c r="T13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392" s="13" t="str">
        <f>IF(tblSalaries[[#This Row],[Job Type]]=tblSalaries[[#Headers],[Accountant]],tblSalaries[[#This Row],[Salary in USD]],"")</f>
        <v/>
      </c>
      <c r="V1392" s="13" t="str">
        <f>IF(tblSalaries[[#This Row],[Job Type]]=tblSalaries[[#Headers],[Analyst]],tblSalaries[[#This Row],[Salary in USD]],"")</f>
        <v/>
      </c>
      <c r="W1392" s="13" t="str">
        <f>IF(tblSalaries[[#This Row],[Job Type]]=tblSalaries[[#Headers],[Consultant]],tblSalaries[[#This Row],[Salary in USD]],"")</f>
        <v/>
      </c>
      <c r="X1392" s="13" t="str">
        <f>IF(tblSalaries[[#This Row],[Job Type]]=tblSalaries[[#Headers],[Controller]],tblSalaries[[#This Row],[Salary in USD]],"")</f>
        <v/>
      </c>
      <c r="Y1392" s="13" t="str">
        <f>IF(tblSalaries[[#This Row],[Job Type]]=tblSalaries[[#Headers],[CXO or Top Mgmt.]],tblSalaries[[#This Row],[clean Salary (in local currency)]],"")</f>
        <v/>
      </c>
      <c r="Z1392" s="13" t="str">
        <f>IF(tblSalaries[[#This Row],[Job Type]]=tblSalaries[[#Headers],[Engineer]],tblSalaries[[#This Row],[Salary in USD]],"")</f>
        <v/>
      </c>
      <c r="AA1392" s="13">
        <f>IF(tblSalaries[[#This Row],[Job Type]]=tblSalaries[[#Headers],[Manager]],tblSalaries[[#This Row],[Salary in USD]],"")</f>
        <v>81000</v>
      </c>
      <c r="AB1392" s="13" t="str">
        <f>IF(tblSalaries[[#This Row],[Job Type]]=tblSalaries[[#Headers],[Misc.]],tblSalaries[[#This Row],[Salary in USD]],"")</f>
        <v/>
      </c>
      <c r="AC1392" s="13" t="str">
        <f>IF(tblSalaries[[#This Row],[Job Type]]=tblSalaries[[#Headers],[Reporting]],tblSalaries[[#This Row],[Salary in USD]],"")</f>
        <v/>
      </c>
      <c r="AD1392" s="13" t="str">
        <f>IF(tblSalaries[[#This Row],[Job Type]]=tblSalaries[[#Headers],[Specialist]],tblSalaries[[#This Row],[Salary in USD]],"")</f>
        <v/>
      </c>
    </row>
    <row r="1393" spans="2:30" ht="15" customHeight="1" x14ac:dyDescent="0.25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 s="9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  <c r="N1393" t="str">
        <f>IF(tblSalaries[[#This Row],[Years of Experience]]="","",IF(tblSalaries[[#This Row],[Years of Experience]]&lt;=2,1,""))</f>
        <v/>
      </c>
      <c r="O1393" t="str">
        <f>IF(tblSalaries[[#This Row],[Years of Experience]]="","",IF(AND(tblSalaries[[#This Row],[Years of Experience]]&gt;2,tblSalaries[[#This Row],[Years of Experience]]&lt;=5),1,""))</f>
        <v/>
      </c>
      <c r="P1393" t="str">
        <f>IF(tblSalaries[[#This Row],[Years of Experience]]="","",IF(AND(tblSalaries[[#This Row],[Years of Experience]]&gt;5,tblSalaries[[#This Row],[Years of Experience]]&lt;=10),1,""))</f>
        <v/>
      </c>
      <c r="Q1393" t="str">
        <f>IF(tblSalaries[[#This Row],[Years of Experience]]="","",IF(AND(tblSalaries[[#This Row],[Years of Experience]]&gt;10,tblSalaries[[#This Row],[Years of Experience]]&lt;=15),1,""))</f>
        <v/>
      </c>
      <c r="R1393">
        <f>IF(tblSalaries[[#This Row],[Years of Experience]]="","",IF(AND(tblSalaries[[#This Row],[Years of Experience]]&gt;16,tblSalaries[[#This Row],[Years of Experience]]&lt;=20),1,""))</f>
        <v>1</v>
      </c>
      <c r="S1393" t="str">
        <f>IF(tblSalaries[[#This Row],[Years of Experience]]="","",IF(tblSalaries[[#This Row],[Years of Experience]]&gt;20,1,""))</f>
        <v/>
      </c>
      <c r="T13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93" s="13" t="str">
        <f>IF(tblSalaries[[#This Row],[Job Type]]=tblSalaries[[#Headers],[Accountant]],tblSalaries[[#This Row],[Salary in USD]],"")</f>
        <v/>
      </c>
      <c r="V1393" s="13" t="str">
        <f>IF(tblSalaries[[#This Row],[Job Type]]=tblSalaries[[#Headers],[Analyst]],tblSalaries[[#This Row],[Salary in USD]],"")</f>
        <v/>
      </c>
      <c r="W1393" s="13" t="str">
        <f>IF(tblSalaries[[#This Row],[Job Type]]=tblSalaries[[#Headers],[Consultant]],tblSalaries[[#This Row],[Salary in USD]],"")</f>
        <v/>
      </c>
      <c r="X1393" s="13" t="str">
        <f>IF(tblSalaries[[#This Row],[Job Type]]=tblSalaries[[#Headers],[Controller]],tblSalaries[[#This Row],[Salary in USD]],"")</f>
        <v/>
      </c>
      <c r="Y1393" s="13" t="str">
        <f>IF(tblSalaries[[#This Row],[Job Type]]=tblSalaries[[#Headers],[CXO or Top Mgmt.]],tblSalaries[[#This Row],[clean Salary (in local currency)]],"")</f>
        <v/>
      </c>
      <c r="Z1393" s="13" t="str">
        <f>IF(tblSalaries[[#This Row],[Job Type]]=tblSalaries[[#Headers],[Engineer]],tblSalaries[[#This Row],[Salary in USD]],"")</f>
        <v/>
      </c>
      <c r="AA1393" s="13" t="str">
        <f>IF(tblSalaries[[#This Row],[Job Type]]=tblSalaries[[#Headers],[Manager]],tblSalaries[[#This Row],[Salary in USD]],"")</f>
        <v/>
      </c>
      <c r="AB1393" s="13" t="str">
        <f>IF(tblSalaries[[#This Row],[Job Type]]=tblSalaries[[#Headers],[Misc.]],tblSalaries[[#This Row],[Salary in USD]],"")</f>
        <v/>
      </c>
      <c r="AC1393" s="13" t="str">
        <f>IF(tblSalaries[[#This Row],[Job Type]]=tblSalaries[[#Headers],[Reporting]],tblSalaries[[#This Row],[Salary in USD]],"")</f>
        <v/>
      </c>
      <c r="AD1393" s="13">
        <f>IF(tblSalaries[[#This Row],[Job Type]]=tblSalaries[[#Headers],[Specialist]],tblSalaries[[#This Row],[Salary in USD]],"")</f>
        <v>45000</v>
      </c>
    </row>
    <row r="1394" spans="2:30" ht="15" customHeight="1" x14ac:dyDescent="0.25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 s="9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  <c r="N1394" t="str">
        <f>IF(tblSalaries[[#This Row],[Years of Experience]]="","",IF(tblSalaries[[#This Row],[Years of Experience]]&lt;=2,1,""))</f>
        <v/>
      </c>
      <c r="O1394">
        <f>IF(tblSalaries[[#This Row],[Years of Experience]]="","",IF(AND(tblSalaries[[#This Row],[Years of Experience]]&gt;2,tblSalaries[[#This Row],[Years of Experience]]&lt;=5),1,""))</f>
        <v>1</v>
      </c>
      <c r="P1394" t="str">
        <f>IF(tblSalaries[[#This Row],[Years of Experience]]="","",IF(AND(tblSalaries[[#This Row],[Years of Experience]]&gt;5,tblSalaries[[#This Row],[Years of Experience]]&lt;=10),1,""))</f>
        <v/>
      </c>
      <c r="Q1394" t="str">
        <f>IF(tblSalaries[[#This Row],[Years of Experience]]="","",IF(AND(tblSalaries[[#This Row],[Years of Experience]]&gt;10,tblSalaries[[#This Row],[Years of Experience]]&lt;=15),1,""))</f>
        <v/>
      </c>
      <c r="R1394" t="str">
        <f>IF(tblSalaries[[#This Row],[Years of Experience]]="","",IF(AND(tblSalaries[[#This Row],[Years of Experience]]&gt;16,tblSalaries[[#This Row],[Years of Experience]]&lt;=20),1,""))</f>
        <v/>
      </c>
      <c r="S1394" t="str">
        <f>IF(tblSalaries[[#This Row],[Years of Experience]]="","",IF(tblSalaries[[#This Row],[Years of Experience]]&gt;20,1,""))</f>
        <v/>
      </c>
      <c r="T13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394" s="13" t="str">
        <f>IF(tblSalaries[[#This Row],[Job Type]]=tblSalaries[[#Headers],[Accountant]],tblSalaries[[#This Row],[Salary in USD]],"")</f>
        <v/>
      </c>
      <c r="V1394" s="13" t="str">
        <f>IF(tblSalaries[[#This Row],[Job Type]]=tblSalaries[[#Headers],[Analyst]],tblSalaries[[#This Row],[Salary in USD]],"")</f>
        <v/>
      </c>
      <c r="W1394" s="13" t="str">
        <f>IF(tblSalaries[[#This Row],[Job Type]]=tblSalaries[[#Headers],[Consultant]],tblSalaries[[#This Row],[Salary in USD]],"")</f>
        <v/>
      </c>
      <c r="X1394" s="13" t="str">
        <f>IF(tblSalaries[[#This Row],[Job Type]]=tblSalaries[[#Headers],[Controller]],tblSalaries[[#This Row],[Salary in USD]],"")</f>
        <v/>
      </c>
      <c r="Y1394" s="13" t="str">
        <f>IF(tblSalaries[[#This Row],[Job Type]]=tblSalaries[[#Headers],[CXO or Top Mgmt.]],tblSalaries[[#This Row],[clean Salary (in local currency)]],"")</f>
        <v/>
      </c>
      <c r="Z1394" s="13" t="str">
        <f>IF(tblSalaries[[#This Row],[Job Type]]=tblSalaries[[#Headers],[Engineer]],tblSalaries[[#This Row],[Salary in USD]],"")</f>
        <v/>
      </c>
      <c r="AA1394" s="13" t="str">
        <f>IF(tblSalaries[[#This Row],[Job Type]]=tblSalaries[[#Headers],[Manager]],tblSalaries[[#This Row],[Salary in USD]],"")</f>
        <v/>
      </c>
      <c r="AB1394" s="13" t="str">
        <f>IF(tblSalaries[[#This Row],[Job Type]]=tblSalaries[[#Headers],[Misc.]],tblSalaries[[#This Row],[Salary in USD]],"")</f>
        <v/>
      </c>
      <c r="AC1394" s="13" t="str">
        <f>IF(tblSalaries[[#This Row],[Job Type]]=tblSalaries[[#Headers],[Reporting]],tblSalaries[[#This Row],[Salary in USD]],"")</f>
        <v/>
      </c>
      <c r="AD1394" s="13">
        <f>IF(tblSalaries[[#This Row],[Job Type]]=tblSalaries[[#Headers],[Specialist]],tblSalaries[[#This Row],[Salary in USD]],"")</f>
        <v>49000</v>
      </c>
    </row>
    <row r="1395" spans="2:30" ht="15" customHeight="1" x14ac:dyDescent="0.25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 s="9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4001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  <c r="N1395">
        <f>IF(tblSalaries[[#This Row],[Years of Experience]]="","",IF(tblSalaries[[#This Row],[Years of Experience]]&lt;=2,1,""))</f>
        <v>1</v>
      </c>
      <c r="O1395" t="str">
        <f>IF(tblSalaries[[#This Row],[Years of Experience]]="","",IF(AND(tblSalaries[[#This Row],[Years of Experience]]&gt;2,tblSalaries[[#This Row],[Years of Experience]]&lt;=5),1,""))</f>
        <v/>
      </c>
      <c r="P1395" t="str">
        <f>IF(tblSalaries[[#This Row],[Years of Experience]]="","",IF(AND(tblSalaries[[#This Row],[Years of Experience]]&gt;5,tblSalaries[[#This Row],[Years of Experience]]&lt;=10),1,""))</f>
        <v/>
      </c>
      <c r="Q1395" t="str">
        <f>IF(tblSalaries[[#This Row],[Years of Experience]]="","",IF(AND(tblSalaries[[#This Row],[Years of Experience]]&gt;10,tblSalaries[[#This Row],[Years of Experience]]&lt;=15),1,""))</f>
        <v/>
      </c>
      <c r="R1395" t="str">
        <f>IF(tblSalaries[[#This Row],[Years of Experience]]="","",IF(AND(tblSalaries[[#This Row],[Years of Experience]]&gt;16,tblSalaries[[#This Row],[Years of Experience]]&lt;=20),1,""))</f>
        <v/>
      </c>
      <c r="S1395" t="str">
        <f>IF(tblSalaries[[#This Row],[Years of Experience]]="","",IF(tblSalaries[[#This Row],[Years of Experience]]&gt;20,1,""))</f>
        <v/>
      </c>
      <c r="T13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95" s="13" t="str">
        <f>IF(tblSalaries[[#This Row],[Job Type]]=tblSalaries[[#Headers],[Accountant]],tblSalaries[[#This Row],[Salary in USD]],"")</f>
        <v/>
      </c>
      <c r="V1395" s="13" t="str">
        <f>IF(tblSalaries[[#This Row],[Job Type]]=tblSalaries[[#Headers],[Analyst]],tblSalaries[[#This Row],[Salary in USD]],"")</f>
        <v/>
      </c>
      <c r="W1395" s="13" t="str">
        <f>IF(tblSalaries[[#This Row],[Job Type]]=tblSalaries[[#Headers],[Consultant]],tblSalaries[[#This Row],[Salary in USD]],"")</f>
        <v/>
      </c>
      <c r="X1395" s="13" t="str">
        <f>IF(tblSalaries[[#This Row],[Job Type]]=tblSalaries[[#Headers],[Controller]],tblSalaries[[#This Row],[Salary in USD]],"")</f>
        <v/>
      </c>
      <c r="Y1395" s="13">
        <f>IF(tblSalaries[[#This Row],[Job Type]]=tblSalaries[[#Headers],[CXO or Top Mgmt.]],tblSalaries[[#This Row],[clean Salary (in local currency)]],"")</f>
        <v>750000</v>
      </c>
      <c r="Z1395" s="13" t="str">
        <f>IF(tblSalaries[[#This Row],[Job Type]]=tblSalaries[[#Headers],[Engineer]],tblSalaries[[#This Row],[Salary in USD]],"")</f>
        <v/>
      </c>
      <c r="AA1395" s="13" t="str">
        <f>IF(tblSalaries[[#This Row],[Job Type]]=tblSalaries[[#Headers],[Manager]],tblSalaries[[#This Row],[Salary in USD]],"")</f>
        <v/>
      </c>
      <c r="AB1395" s="13" t="str">
        <f>IF(tblSalaries[[#This Row],[Job Type]]=tblSalaries[[#Headers],[Misc.]],tblSalaries[[#This Row],[Salary in USD]],"")</f>
        <v/>
      </c>
      <c r="AC1395" s="13" t="str">
        <f>IF(tblSalaries[[#This Row],[Job Type]]=tblSalaries[[#Headers],[Reporting]],tblSalaries[[#This Row],[Salary in USD]],"")</f>
        <v/>
      </c>
      <c r="AD1395" s="13" t="str">
        <f>IF(tblSalaries[[#This Row],[Job Type]]=tblSalaries[[#Headers],[Specialist]],tblSalaries[[#This Row],[Salary in USD]],"")</f>
        <v/>
      </c>
    </row>
    <row r="1396" spans="2:30" ht="15" customHeight="1" x14ac:dyDescent="0.25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 s="9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  <c r="N1396" t="str">
        <f>IF(tblSalaries[[#This Row],[Years of Experience]]="","",IF(tblSalaries[[#This Row],[Years of Experience]]&lt;=2,1,""))</f>
        <v/>
      </c>
      <c r="O1396" t="str">
        <f>IF(tblSalaries[[#This Row],[Years of Experience]]="","",IF(AND(tblSalaries[[#This Row],[Years of Experience]]&gt;2,tblSalaries[[#This Row],[Years of Experience]]&lt;=5),1,""))</f>
        <v/>
      </c>
      <c r="P1396" t="str">
        <f>IF(tblSalaries[[#This Row],[Years of Experience]]="","",IF(AND(tblSalaries[[#This Row],[Years of Experience]]&gt;5,tblSalaries[[#This Row],[Years of Experience]]&lt;=10),1,""))</f>
        <v/>
      </c>
      <c r="Q1396" t="str">
        <f>IF(tblSalaries[[#This Row],[Years of Experience]]="","",IF(AND(tblSalaries[[#This Row],[Years of Experience]]&gt;10,tblSalaries[[#This Row],[Years of Experience]]&lt;=15),1,""))</f>
        <v/>
      </c>
      <c r="R1396">
        <f>IF(tblSalaries[[#This Row],[Years of Experience]]="","",IF(AND(tblSalaries[[#This Row],[Years of Experience]]&gt;16,tblSalaries[[#This Row],[Years of Experience]]&lt;=20),1,""))</f>
        <v>1</v>
      </c>
      <c r="S1396" t="str">
        <f>IF(tblSalaries[[#This Row],[Years of Experience]]="","",IF(tblSalaries[[#This Row],[Years of Experience]]&gt;20,1,""))</f>
        <v/>
      </c>
      <c r="T13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396" s="13" t="str">
        <f>IF(tblSalaries[[#This Row],[Job Type]]=tblSalaries[[#Headers],[Accountant]],tblSalaries[[#This Row],[Salary in USD]],"")</f>
        <v/>
      </c>
      <c r="V1396" s="13" t="str">
        <f>IF(tblSalaries[[#This Row],[Job Type]]=tblSalaries[[#Headers],[Analyst]],tblSalaries[[#This Row],[Salary in USD]],"")</f>
        <v/>
      </c>
      <c r="W1396" s="13" t="str">
        <f>IF(tblSalaries[[#This Row],[Job Type]]=tblSalaries[[#Headers],[Consultant]],tblSalaries[[#This Row],[Salary in USD]],"")</f>
        <v/>
      </c>
      <c r="X1396" s="13" t="str">
        <f>IF(tblSalaries[[#This Row],[Job Type]]=tblSalaries[[#Headers],[Controller]],tblSalaries[[#This Row],[Salary in USD]],"")</f>
        <v/>
      </c>
      <c r="Y1396" s="13" t="str">
        <f>IF(tblSalaries[[#This Row],[Job Type]]=tblSalaries[[#Headers],[CXO or Top Mgmt.]],tblSalaries[[#This Row],[clean Salary (in local currency)]],"")</f>
        <v/>
      </c>
      <c r="Z1396" s="13" t="str">
        <f>IF(tblSalaries[[#This Row],[Job Type]]=tblSalaries[[#Headers],[Engineer]],tblSalaries[[#This Row],[Salary in USD]],"")</f>
        <v/>
      </c>
      <c r="AA1396" s="13">
        <f>IF(tblSalaries[[#This Row],[Job Type]]=tblSalaries[[#Headers],[Manager]],tblSalaries[[#This Row],[Salary in USD]],"")</f>
        <v>72000</v>
      </c>
      <c r="AB1396" s="13" t="str">
        <f>IF(tblSalaries[[#This Row],[Job Type]]=tblSalaries[[#Headers],[Misc.]],tblSalaries[[#This Row],[Salary in USD]],"")</f>
        <v/>
      </c>
      <c r="AC1396" s="13" t="str">
        <f>IF(tblSalaries[[#This Row],[Job Type]]=tblSalaries[[#Headers],[Reporting]],tblSalaries[[#This Row],[Salary in USD]],"")</f>
        <v/>
      </c>
      <c r="AD1396" s="13" t="str">
        <f>IF(tblSalaries[[#This Row],[Job Type]]=tblSalaries[[#Headers],[Specialist]],tblSalaries[[#This Row],[Salary in USD]],"")</f>
        <v/>
      </c>
    </row>
    <row r="1397" spans="2:30" ht="15" customHeight="1" x14ac:dyDescent="0.25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 s="9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  <c r="N1397" t="str">
        <f>IF(tblSalaries[[#This Row],[Years of Experience]]="","",IF(tblSalaries[[#This Row],[Years of Experience]]&lt;=2,1,""))</f>
        <v/>
      </c>
      <c r="O1397" t="str">
        <f>IF(tblSalaries[[#This Row],[Years of Experience]]="","",IF(AND(tblSalaries[[#This Row],[Years of Experience]]&gt;2,tblSalaries[[#This Row],[Years of Experience]]&lt;=5),1,""))</f>
        <v/>
      </c>
      <c r="P1397">
        <f>IF(tblSalaries[[#This Row],[Years of Experience]]="","",IF(AND(tblSalaries[[#This Row],[Years of Experience]]&gt;5,tblSalaries[[#This Row],[Years of Experience]]&lt;=10),1,""))</f>
        <v>1</v>
      </c>
      <c r="Q1397" t="str">
        <f>IF(tblSalaries[[#This Row],[Years of Experience]]="","",IF(AND(tblSalaries[[#This Row],[Years of Experience]]&gt;10,tblSalaries[[#This Row],[Years of Experience]]&lt;=15),1,""))</f>
        <v/>
      </c>
      <c r="R1397" t="str">
        <f>IF(tblSalaries[[#This Row],[Years of Experience]]="","",IF(AND(tblSalaries[[#This Row],[Years of Experience]]&gt;16,tblSalaries[[#This Row],[Years of Experience]]&lt;=20),1,""))</f>
        <v/>
      </c>
      <c r="S1397" t="str">
        <f>IF(tblSalaries[[#This Row],[Years of Experience]]="","",IF(tblSalaries[[#This Row],[Years of Experience]]&gt;20,1,""))</f>
        <v/>
      </c>
      <c r="T13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397" s="13" t="str">
        <f>IF(tblSalaries[[#This Row],[Job Type]]=tblSalaries[[#Headers],[Accountant]],tblSalaries[[#This Row],[Salary in USD]],"")</f>
        <v/>
      </c>
      <c r="V1397" s="13">
        <f>IF(tblSalaries[[#This Row],[Job Type]]=tblSalaries[[#Headers],[Analyst]],tblSalaries[[#This Row],[Salary in USD]],"")</f>
        <v>50000</v>
      </c>
      <c r="W1397" s="13" t="str">
        <f>IF(tblSalaries[[#This Row],[Job Type]]=tblSalaries[[#Headers],[Consultant]],tblSalaries[[#This Row],[Salary in USD]],"")</f>
        <v/>
      </c>
      <c r="X1397" s="13" t="str">
        <f>IF(tblSalaries[[#This Row],[Job Type]]=tblSalaries[[#Headers],[Controller]],tblSalaries[[#This Row],[Salary in USD]],"")</f>
        <v/>
      </c>
      <c r="Y1397" s="13" t="str">
        <f>IF(tblSalaries[[#This Row],[Job Type]]=tblSalaries[[#Headers],[CXO or Top Mgmt.]],tblSalaries[[#This Row],[clean Salary (in local currency)]],"")</f>
        <v/>
      </c>
      <c r="Z1397" s="13" t="str">
        <f>IF(tblSalaries[[#This Row],[Job Type]]=tblSalaries[[#Headers],[Engineer]],tblSalaries[[#This Row],[Salary in USD]],"")</f>
        <v/>
      </c>
      <c r="AA1397" s="13" t="str">
        <f>IF(tblSalaries[[#This Row],[Job Type]]=tblSalaries[[#Headers],[Manager]],tblSalaries[[#This Row],[Salary in USD]],"")</f>
        <v/>
      </c>
      <c r="AB1397" s="13" t="str">
        <f>IF(tblSalaries[[#This Row],[Job Type]]=tblSalaries[[#Headers],[Misc.]],tblSalaries[[#This Row],[Salary in USD]],"")</f>
        <v/>
      </c>
      <c r="AC1397" s="13" t="str">
        <f>IF(tblSalaries[[#This Row],[Job Type]]=tblSalaries[[#Headers],[Reporting]],tblSalaries[[#This Row],[Salary in USD]],"")</f>
        <v/>
      </c>
      <c r="AD1397" s="13" t="str">
        <f>IF(tblSalaries[[#This Row],[Job Type]]=tblSalaries[[#Headers],[Specialist]],tblSalaries[[#This Row],[Salary in USD]],"")</f>
        <v/>
      </c>
    </row>
    <row r="1398" spans="2:30" ht="15" customHeight="1" x14ac:dyDescent="0.25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 s="9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  <c r="N1398">
        <f>IF(tblSalaries[[#This Row],[Years of Experience]]="","",IF(tblSalaries[[#This Row],[Years of Experience]]&lt;=2,1,""))</f>
        <v>1</v>
      </c>
      <c r="O1398" t="str">
        <f>IF(tblSalaries[[#This Row],[Years of Experience]]="","",IF(AND(tblSalaries[[#This Row],[Years of Experience]]&gt;2,tblSalaries[[#This Row],[Years of Experience]]&lt;=5),1,""))</f>
        <v/>
      </c>
      <c r="P1398" t="str">
        <f>IF(tblSalaries[[#This Row],[Years of Experience]]="","",IF(AND(tblSalaries[[#This Row],[Years of Experience]]&gt;5,tblSalaries[[#This Row],[Years of Experience]]&lt;=10),1,""))</f>
        <v/>
      </c>
      <c r="Q1398" t="str">
        <f>IF(tblSalaries[[#This Row],[Years of Experience]]="","",IF(AND(tblSalaries[[#This Row],[Years of Experience]]&gt;10,tblSalaries[[#This Row],[Years of Experience]]&lt;=15),1,""))</f>
        <v/>
      </c>
      <c r="R1398" t="str">
        <f>IF(tblSalaries[[#This Row],[Years of Experience]]="","",IF(AND(tblSalaries[[#This Row],[Years of Experience]]&gt;16,tblSalaries[[#This Row],[Years of Experience]]&lt;=20),1,""))</f>
        <v/>
      </c>
      <c r="S1398" t="str">
        <f>IF(tblSalaries[[#This Row],[Years of Experience]]="","",IF(tblSalaries[[#This Row],[Years of Experience]]&gt;20,1,""))</f>
        <v/>
      </c>
      <c r="T13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398" s="13" t="str">
        <f>IF(tblSalaries[[#This Row],[Job Type]]=tblSalaries[[#Headers],[Accountant]],tblSalaries[[#This Row],[Salary in USD]],"")</f>
        <v/>
      </c>
      <c r="V1398" s="13">
        <f>IF(tblSalaries[[#This Row],[Job Type]]=tblSalaries[[#Headers],[Analyst]],tblSalaries[[#This Row],[Salary in USD]],"")</f>
        <v>57678</v>
      </c>
      <c r="W1398" s="13" t="str">
        <f>IF(tblSalaries[[#This Row],[Job Type]]=tblSalaries[[#Headers],[Consultant]],tblSalaries[[#This Row],[Salary in USD]],"")</f>
        <v/>
      </c>
      <c r="X1398" s="13" t="str">
        <f>IF(tblSalaries[[#This Row],[Job Type]]=tblSalaries[[#Headers],[Controller]],tblSalaries[[#This Row],[Salary in USD]],"")</f>
        <v/>
      </c>
      <c r="Y1398" s="13" t="str">
        <f>IF(tblSalaries[[#This Row],[Job Type]]=tblSalaries[[#Headers],[CXO or Top Mgmt.]],tblSalaries[[#This Row],[clean Salary (in local currency)]],"")</f>
        <v/>
      </c>
      <c r="Z1398" s="13" t="str">
        <f>IF(tblSalaries[[#This Row],[Job Type]]=tblSalaries[[#Headers],[Engineer]],tblSalaries[[#This Row],[Salary in USD]],"")</f>
        <v/>
      </c>
      <c r="AA1398" s="13" t="str">
        <f>IF(tblSalaries[[#This Row],[Job Type]]=tblSalaries[[#Headers],[Manager]],tblSalaries[[#This Row],[Salary in USD]],"")</f>
        <v/>
      </c>
      <c r="AB1398" s="13" t="str">
        <f>IF(tblSalaries[[#This Row],[Job Type]]=tblSalaries[[#Headers],[Misc.]],tblSalaries[[#This Row],[Salary in USD]],"")</f>
        <v/>
      </c>
      <c r="AC1398" s="13" t="str">
        <f>IF(tblSalaries[[#This Row],[Job Type]]=tblSalaries[[#Headers],[Reporting]],tblSalaries[[#This Row],[Salary in USD]],"")</f>
        <v/>
      </c>
      <c r="AD1398" s="13" t="str">
        <f>IF(tblSalaries[[#This Row],[Job Type]]=tblSalaries[[#Headers],[Specialist]],tblSalaries[[#This Row],[Salary in USD]],"")</f>
        <v/>
      </c>
    </row>
    <row r="1399" spans="2:30" ht="15" customHeight="1" x14ac:dyDescent="0.25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 s="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  <c r="N1399" t="str">
        <f>IF(tblSalaries[[#This Row],[Years of Experience]]="","",IF(tblSalaries[[#This Row],[Years of Experience]]&lt;=2,1,""))</f>
        <v/>
      </c>
      <c r="O1399" t="str">
        <f>IF(tblSalaries[[#This Row],[Years of Experience]]="","",IF(AND(tblSalaries[[#This Row],[Years of Experience]]&gt;2,tblSalaries[[#This Row],[Years of Experience]]&lt;=5),1,""))</f>
        <v/>
      </c>
      <c r="P1399" t="str">
        <f>IF(tblSalaries[[#This Row],[Years of Experience]]="","",IF(AND(tblSalaries[[#This Row],[Years of Experience]]&gt;5,tblSalaries[[#This Row],[Years of Experience]]&lt;=10),1,""))</f>
        <v/>
      </c>
      <c r="Q1399" t="str">
        <f>IF(tblSalaries[[#This Row],[Years of Experience]]="","",IF(AND(tblSalaries[[#This Row],[Years of Experience]]&gt;10,tblSalaries[[#This Row],[Years of Experience]]&lt;=15),1,""))</f>
        <v/>
      </c>
      <c r="R1399" t="str">
        <f>IF(tblSalaries[[#This Row],[Years of Experience]]="","",IF(AND(tblSalaries[[#This Row],[Years of Experience]]&gt;16,tblSalaries[[#This Row],[Years of Experience]]&lt;=20),1,""))</f>
        <v/>
      </c>
      <c r="S1399" t="str">
        <f>IF(tblSalaries[[#This Row],[Years of Experience]]="","",IF(tblSalaries[[#This Row],[Years of Experience]]&gt;20,1,""))</f>
        <v/>
      </c>
      <c r="T13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399" s="13" t="str">
        <f>IF(tblSalaries[[#This Row],[Job Type]]=tblSalaries[[#Headers],[Accountant]],tblSalaries[[#This Row],[Salary in USD]],"")</f>
        <v/>
      </c>
      <c r="V1399" s="13">
        <f>IF(tblSalaries[[#This Row],[Job Type]]=tblSalaries[[#Headers],[Analyst]],tblSalaries[[#This Row],[Salary in USD]],"")</f>
        <v>80442</v>
      </c>
      <c r="W1399" s="13" t="str">
        <f>IF(tblSalaries[[#This Row],[Job Type]]=tblSalaries[[#Headers],[Consultant]],tblSalaries[[#This Row],[Salary in USD]],"")</f>
        <v/>
      </c>
      <c r="X1399" s="13" t="str">
        <f>IF(tblSalaries[[#This Row],[Job Type]]=tblSalaries[[#Headers],[Controller]],tblSalaries[[#This Row],[Salary in USD]],"")</f>
        <v/>
      </c>
      <c r="Y1399" s="13" t="str">
        <f>IF(tblSalaries[[#This Row],[Job Type]]=tblSalaries[[#Headers],[CXO or Top Mgmt.]],tblSalaries[[#This Row],[clean Salary (in local currency)]],"")</f>
        <v/>
      </c>
      <c r="Z1399" s="13" t="str">
        <f>IF(tblSalaries[[#This Row],[Job Type]]=tblSalaries[[#Headers],[Engineer]],tblSalaries[[#This Row],[Salary in USD]],"")</f>
        <v/>
      </c>
      <c r="AA1399" s="13" t="str">
        <f>IF(tblSalaries[[#This Row],[Job Type]]=tblSalaries[[#Headers],[Manager]],tblSalaries[[#This Row],[Salary in USD]],"")</f>
        <v/>
      </c>
      <c r="AB1399" s="13" t="str">
        <f>IF(tblSalaries[[#This Row],[Job Type]]=tblSalaries[[#Headers],[Misc.]],tblSalaries[[#This Row],[Salary in USD]],"")</f>
        <v/>
      </c>
      <c r="AC1399" s="13" t="str">
        <f>IF(tblSalaries[[#This Row],[Job Type]]=tblSalaries[[#Headers],[Reporting]],tblSalaries[[#This Row],[Salary in USD]],"")</f>
        <v/>
      </c>
      <c r="AD1399" s="13" t="str">
        <f>IF(tblSalaries[[#This Row],[Job Type]]=tblSalaries[[#Headers],[Specialist]],tblSalaries[[#This Row],[Salary in USD]],"")</f>
        <v/>
      </c>
    </row>
    <row r="1400" spans="2:30" ht="15" customHeight="1" x14ac:dyDescent="0.25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 s="9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  <c r="N1400" t="str">
        <f>IF(tblSalaries[[#This Row],[Years of Experience]]="","",IF(tblSalaries[[#This Row],[Years of Experience]]&lt;=2,1,""))</f>
        <v/>
      </c>
      <c r="O1400" t="str">
        <f>IF(tblSalaries[[#This Row],[Years of Experience]]="","",IF(AND(tblSalaries[[#This Row],[Years of Experience]]&gt;2,tblSalaries[[#This Row],[Years of Experience]]&lt;=5),1,""))</f>
        <v/>
      </c>
      <c r="P1400">
        <f>IF(tblSalaries[[#This Row],[Years of Experience]]="","",IF(AND(tblSalaries[[#This Row],[Years of Experience]]&gt;5,tblSalaries[[#This Row],[Years of Experience]]&lt;=10),1,""))</f>
        <v>1</v>
      </c>
      <c r="Q1400" t="str">
        <f>IF(tblSalaries[[#This Row],[Years of Experience]]="","",IF(AND(tblSalaries[[#This Row],[Years of Experience]]&gt;10,tblSalaries[[#This Row],[Years of Experience]]&lt;=15),1,""))</f>
        <v/>
      </c>
      <c r="R1400" t="str">
        <f>IF(tblSalaries[[#This Row],[Years of Experience]]="","",IF(AND(tblSalaries[[#This Row],[Years of Experience]]&gt;16,tblSalaries[[#This Row],[Years of Experience]]&lt;=20),1,""))</f>
        <v/>
      </c>
      <c r="S1400" t="str">
        <f>IF(tblSalaries[[#This Row],[Years of Experience]]="","",IF(tblSalaries[[#This Row],[Years of Experience]]&gt;20,1,""))</f>
        <v/>
      </c>
      <c r="T14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0" s="13" t="str">
        <f>IF(tblSalaries[[#This Row],[Job Type]]=tblSalaries[[#Headers],[Accountant]],tblSalaries[[#This Row],[Salary in USD]],"")</f>
        <v/>
      </c>
      <c r="V1400" s="13" t="str">
        <f>IF(tblSalaries[[#This Row],[Job Type]]=tblSalaries[[#Headers],[Analyst]],tblSalaries[[#This Row],[Salary in USD]],"")</f>
        <v/>
      </c>
      <c r="W1400" s="13" t="str">
        <f>IF(tblSalaries[[#This Row],[Job Type]]=tblSalaries[[#Headers],[Consultant]],tblSalaries[[#This Row],[Salary in USD]],"")</f>
        <v/>
      </c>
      <c r="X1400" s="13" t="str">
        <f>IF(tblSalaries[[#This Row],[Job Type]]=tblSalaries[[#Headers],[Controller]],tblSalaries[[#This Row],[Salary in USD]],"")</f>
        <v/>
      </c>
      <c r="Y1400" s="13" t="str">
        <f>IF(tblSalaries[[#This Row],[Job Type]]=tblSalaries[[#Headers],[CXO or Top Mgmt.]],tblSalaries[[#This Row],[clean Salary (in local currency)]],"")</f>
        <v/>
      </c>
      <c r="Z1400" s="13" t="str">
        <f>IF(tblSalaries[[#This Row],[Job Type]]=tblSalaries[[#Headers],[Engineer]],tblSalaries[[#This Row],[Salary in USD]],"")</f>
        <v/>
      </c>
      <c r="AA1400" s="13">
        <f>IF(tblSalaries[[#This Row],[Job Type]]=tblSalaries[[#Headers],[Manager]],tblSalaries[[#This Row],[Salary in USD]],"")</f>
        <v>75000</v>
      </c>
      <c r="AB1400" s="13" t="str">
        <f>IF(tblSalaries[[#This Row],[Job Type]]=tblSalaries[[#Headers],[Misc.]],tblSalaries[[#This Row],[Salary in USD]],"")</f>
        <v/>
      </c>
      <c r="AC1400" s="13" t="str">
        <f>IF(tblSalaries[[#This Row],[Job Type]]=tblSalaries[[#Headers],[Reporting]],tblSalaries[[#This Row],[Salary in USD]],"")</f>
        <v/>
      </c>
      <c r="AD1400" s="13" t="str">
        <f>IF(tblSalaries[[#This Row],[Job Type]]=tblSalaries[[#Headers],[Specialist]],tblSalaries[[#This Row],[Salary in USD]],"")</f>
        <v/>
      </c>
    </row>
    <row r="1401" spans="2:30" ht="15" customHeight="1" x14ac:dyDescent="0.25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 s="9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  <c r="N1401" t="str">
        <f>IF(tblSalaries[[#This Row],[Years of Experience]]="","",IF(tblSalaries[[#This Row],[Years of Experience]]&lt;=2,1,""))</f>
        <v/>
      </c>
      <c r="O1401" t="str">
        <f>IF(tblSalaries[[#This Row],[Years of Experience]]="","",IF(AND(tblSalaries[[#This Row],[Years of Experience]]&gt;2,tblSalaries[[#This Row],[Years of Experience]]&lt;=5),1,""))</f>
        <v/>
      </c>
      <c r="P1401" t="str">
        <f>IF(tblSalaries[[#This Row],[Years of Experience]]="","",IF(AND(tblSalaries[[#This Row],[Years of Experience]]&gt;5,tblSalaries[[#This Row],[Years of Experience]]&lt;=10),1,""))</f>
        <v/>
      </c>
      <c r="Q1401">
        <f>IF(tblSalaries[[#This Row],[Years of Experience]]="","",IF(AND(tblSalaries[[#This Row],[Years of Experience]]&gt;10,tblSalaries[[#This Row],[Years of Experience]]&lt;=15),1,""))</f>
        <v>1</v>
      </c>
      <c r="R1401" t="str">
        <f>IF(tblSalaries[[#This Row],[Years of Experience]]="","",IF(AND(tblSalaries[[#This Row],[Years of Experience]]&gt;16,tblSalaries[[#This Row],[Years of Experience]]&lt;=20),1,""))</f>
        <v/>
      </c>
      <c r="S1401" t="str">
        <f>IF(tblSalaries[[#This Row],[Years of Experience]]="","",IF(tblSalaries[[#This Row],[Years of Experience]]&gt;20,1,""))</f>
        <v/>
      </c>
      <c r="T14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01" s="13" t="str">
        <f>IF(tblSalaries[[#This Row],[Job Type]]=tblSalaries[[#Headers],[Accountant]],tblSalaries[[#This Row],[Salary in USD]],"")</f>
        <v/>
      </c>
      <c r="V1401" s="13">
        <f>IF(tblSalaries[[#This Row],[Job Type]]=tblSalaries[[#Headers],[Analyst]],tblSalaries[[#This Row],[Salary in USD]],"")</f>
        <v>61000</v>
      </c>
      <c r="W1401" s="13" t="str">
        <f>IF(tblSalaries[[#This Row],[Job Type]]=tblSalaries[[#Headers],[Consultant]],tblSalaries[[#This Row],[Salary in USD]],"")</f>
        <v/>
      </c>
      <c r="X1401" s="13" t="str">
        <f>IF(tblSalaries[[#This Row],[Job Type]]=tblSalaries[[#Headers],[Controller]],tblSalaries[[#This Row],[Salary in USD]],"")</f>
        <v/>
      </c>
      <c r="Y1401" s="13" t="str">
        <f>IF(tblSalaries[[#This Row],[Job Type]]=tblSalaries[[#Headers],[CXO or Top Mgmt.]],tblSalaries[[#This Row],[clean Salary (in local currency)]],"")</f>
        <v/>
      </c>
      <c r="Z1401" s="13" t="str">
        <f>IF(tblSalaries[[#This Row],[Job Type]]=tblSalaries[[#Headers],[Engineer]],tblSalaries[[#This Row],[Salary in USD]],"")</f>
        <v/>
      </c>
      <c r="AA1401" s="13" t="str">
        <f>IF(tblSalaries[[#This Row],[Job Type]]=tblSalaries[[#Headers],[Manager]],tblSalaries[[#This Row],[Salary in USD]],"")</f>
        <v/>
      </c>
      <c r="AB1401" s="13" t="str">
        <f>IF(tblSalaries[[#This Row],[Job Type]]=tblSalaries[[#Headers],[Misc.]],tblSalaries[[#This Row],[Salary in USD]],"")</f>
        <v/>
      </c>
      <c r="AC1401" s="13" t="str">
        <f>IF(tblSalaries[[#This Row],[Job Type]]=tblSalaries[[#Headers],[Reporting]],tblSalaries[[#This Row],[Salary in USD]],"")</f>
        <v/>
      </c>
      <c r="AD1401" s="13" t="str">
        <f>IF(tblSalaries[[#This Row],[Job Type]]=tblSalaries[[#Headers],[Specialist]],tblSalaries[[#This Row],[Salary in USD]],"")</f>
        <v/>
      </c>
    </row>
    <row r="1402" spans="2:30" ht="15" customHeight="1" x14ac:dyDescent="0.25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 s="9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  <c r="N1402" t="str">
        <f>IF(tblSalaries[[#This Row],[Years of Experience]]="","",IF(tblSalaries[[#This Row],[Years of Experience]]&lt;=2,1,""))</f>
        <v/>
      </c>
      <c r="O1402" t="str">
        <f>IF(tblSalaries[[#This Row],[Years of Experience]]="","",IF(AND(tblSalaries[[#This Row],[Years of Experience]]&gt;2,tblSalaries[[#This Row],[Years of Experience]]&lt;=5),1,""))</f>
        <v/>
      </c>
      <c r="P1402">
        <f>IF(tblSalaries[[#This Row],[Years of Experience]]="","",IF(AND(tblSalaries[[#This Row],[Years of Experience]]&gt;5,tblSalaries[[#This Row],[Years of Experience]]&lt;=10),1,""))</f>
        <v>1</v>
      </c>
      <c r="Q1402" t="str">
        <f>IF(tblSalaries[[#This Row],[Years of Experience]]="","",IF(AND(tblSalaries[[#This Row],[Years of Experience]]&gt;10,tblSalaries[[#This Row],[Years of Experience]]&lt;=15),1,""))</f>
        <v/>
      </c>
      <c r="R1402" t="str">
        <f>IF(tblSalaries[[#This Row],[Years of Experience]]="","",IF(AND(tblSalaries[[#This Row],[Years of Experience]]&gt;16,tblSalaries[[#This Row],[Years of Experience]]&lt;=20),1,""))</f>
        <v/>
      </c>
      <c r="S1402" t="str">
        <f>IF(tblSalaries[[#This Row],[Years of Experience]]="","",IF(tblSalaries[[#This Row],[Years of Experience]]&gt;20,1,""))</f>
        <v/>
      </c>
      <c r="T14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2" s="13" t="str">
        <f>IF(tblSalaries[[#This Row],[Job Type]]=tblSalaries[[#Headers],[Accountant]],tblSalaries[[#This Row],[Salary in USD]],"")</f>
        <v/>
      </c>
      <c r="V1402" s="13" t="str">
        <f>IF(tblSalaries[[#This Row],[Job Type]]=tblSalaries[[#Headers],[Analyst]],tblSalaries[[#This Row],[Salary in USD]],"")</f>
        <v/>
      </c>
      <c r="W1402" s="13" t="str">
        <f>IF(tblSalaries[[#This Row],[Job Type]]=tblSalaries[[#Headers],[Consultant]],tblSalaries[[#This Row],[Salary in USD]],"")</f>
        <v/>
      </c>
      <c r="X1402" s="13" t="str">
        <f>IF(tblSalaries[[#This Row],[Job Type]]=tblSalaries[[#Headers],[Controller]],tblSalaries[[#This Row],[Salary in USD]],"")</f>
        <v/>
      </c>
      <c r="Y1402" s="13" t="str">
        <f>IF(tblSalaries[[#This Row],[Job Type]]=tblSalaries[[#Headers],[CXO or Top Mgmt.]],tblSalaries[[#This Row],[clean Salary (in local currency)]],"")</f>
        <v/>
      </c>
      <c r="Z1402" s="13">
        <f>IF(tblSalaries[[#This Row],[Job Type]]=tblSalaries[[#Headers],[Engineer]],tblSalaries[[#This Row],[Salary in USD]],"")</f>
        <v>77000</v>
      </c>
      <c r="AA1402" s="13" t="str">
        <f>IF(tblSalaries[[#This Row],[Job Type]]=tblSalaries[[#Headers],[Manager]],tblSalaries[[#This Row],[Salary in USD]],"")</f>
        <v/>
      </c>
      <c r="AB1402" s="13" t="str">
        <f>IF(tblSalaries[[#This Row],[Job Type]]=tblSalaries[[#Headers],[Misc.]],tblSalaries[[#This Row],[Salary in USD]],"")</f>
        <v/>
      </c>
      <c r="AC1402" s="13" t="str">
        <f>IF(tblSalaries[[#This Row],[Job Type]]=tblSalaries[[#Headers],[Reporting]],tblSalaries[[#This Row],[Salary in USD]],"")</f>
        <v/>
      </c>
      <c r="AD1402" s="13" t="str">
        <f>IF(tblSalaries[[#This Row],[Job Type]]=tblSalaries[[#Headers],[Specialist]],tblSalaries[[#This Row],[Salary in USD]],"")</f>
        <v/>
      </c>
    </row>
    <row r="1403" spans="2:30" ht="15" customHeight="1" x14ac:dyDescent="0.25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 s="9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  <c r="N1403" t="str">
        <f>IF(tblSalaries[[#This Row],[Years of Experience]]="","",IF(tblSalaries[[#This Row],[Years of Experience]]&lt;=2,1,""))</f>
        <v/>
      </c>
      <c r="O1403" t="str">
        <f>IF(tblSalaries[[#This Row],[Years of Experience]]="","",IF(AND(tblSalaries[[#This Row],[Years of Experience]]&gt;2,tblSalaries[[#This Row],[Years of Experience]]&lt;=5),1,""))</f>
        <v/>
      </c>
      <c r="P1403">
        <f>IF(tblSalaries[[#This Row],[Years of Experience]]="","",IF(AND(tblSalaries[[#This Row],[Years of Experience]]&gt;5,tblSalaries[[#This Row],[Years of Experience]]&lt;=10),1,""))</f>
        <v>1</v>
      </c>
      <c r="Q1403" t="str">
        <f>IF(tblSalaries[[#This Row],[Years of Experience]]="","",IF(AND(tblSalaries[[#This Row],[Years of Experience]]&gt;10,tblSalaries[[#This Row],[Years of Experience]]&lt;=15),1,""))</f>
        <v/>
      </c>
      <c r="R1403" t="str">
        <f>IF(tblSalaries[[#This Row],[Years of Experience]]="","",IF(AND(tblSalaries[[#This Row],[Years of Experience]]&gt;16,tblSalaries[[#This Row],[Years of Experience]]&lt;=20),1,""))</f>
        <v/>
      </c>
      <c r="S1403" t="str">
        <f>IF(tblSalaries[[#This Row],[Years of Experience]]="","",IF(tblSalaries[[#This Row],[Years of Experience]]&gt;20,1,""))</f>
        <v/>
      </c>
      <c r="T14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3" s="13" t="str">
        <f>IF(tblSalaries[[#This Row],[Job Type]]=tblSalaries[[#Headers],[Accountant]],tblSalaries[[#This Row],[Salary in USD]],"")</f>
        <v/>
      </c>
      <c r="V1403" s="13" t="str">
        <f>IF(tblSalaries[[#This Row],[Job Type]]=tblSalaries[[#Headers],[Analyst]],tblSalaries[[#This Row],[Salary in USD]],"")</f>
        <v/>
      </c>
      <c r="W1403" s="13" t="str">
        <f>IF(tblSalaries[[#This Row],[Job Type]]=tblSalaries[[#Headers],[Consultant]],tblSalaries[[#This Row],[Salary in USD]],"")</f>
        <v/>
      </c>
      <c r="X1403" s="13">
        <f>IF(tblSalaries[[#This Row],[Job Type]]=tblSalaries[[#Headers],[Controller]],tblSalaries[[#This Row],[Salary in USD]],"")</f>
        <v>92000</v>
      </c>
      <c r="Y1403" s="13" t="str">
        <f>IF(tblSalaries[[#This Row],[Job Type]]=tblSalaries[[#Headers],[CXO or Top Mgmt.]],tblSalaries[[#This Row],[clean Salary (in local currency)]],"")</f>
        <v/>
      </c>
      <c r="Z1403" s="13" t="str">
        <f>IF(tblSalaries[[#This Row],[Job Type]]=tblSalaries[[#Headers],[Engineer]],tblSalaries[[#This Row],[Salary in USD]],"")</f>
        <v/>
      </c>
      <c r="AA1403" s="13" t="str">
        <f>IF(tblSalaries[[#This Row],[Job Type]]=tblSalaries[[#Headers],[Manager]],tblSalaries[[#This Row],[Salary in USD]],"")</f>
        <v/>
      </c>
      <c r="AB1403" s="13" t="str">
        <f>IF(tblSalaries[[#This Row],[Job Type]]=tblSalaries[[#Headers],[Misc.]],tblSalaries[[#This Row],[Salary in USD]],"")</f>
        <v/>
      </c>
      <c r="AC1403" s="13" t="str">
        <f>IF(tblSalaries[[#This Row],[Job Type]]=tblSalaries[[#Headers],[Reporting]],tblSalaries[[#This Row],[Salary in USD]],"")</f>
        <v/>
      </c>
      <c r="AD1403" s="13" t="str">
        <f>IF(tblSalaries[[#This Row],[Job Type]]=tblSalaries[[#Headers],[Specialist]],tblSalaries[[#This Row],[Salary in USD]],"")</f>
        <v/>
      </c>
    </row>
    <row r="1404" spans="2:30" ht="15" customHeight="1" x14ac:dyDescent="0.25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 s="9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  <c r="N1404" t="str">
        <f>IF(tblSalaries[[#This Row],[Years of Experience]]="","",IF(tblSalaries[[#This Row],[Years of Experience]]&lt;=2,1,""))</f>
        <v/>
      </c>
      <c r="O1404" t="str">
        <f>IF(tblSalaries[[#This Row],[Years of Experience]]="","",IF(AND(tblSalaries[[#This Row],[Years of Experience]]&gt;2,tblSalaries[[#This Row],[Years of Experience]]&lt;=5),1,""))</f>
        <v/>
      </c>
      <c r="P1404">
        <f>IF(tblSalaries[[#This Row],[Years of Experience]]="","",IF(AND(tblSalaries[[#This Row],[Years of Experience]]&gt;5,tblSalaries[[#This Row],[Years of Experience]]&lt;=10),1,""))</f>
        <v>1</v>
      </c>
      <c r="Q1404" t="str">
        <f>IF(tblSalaries[[#This Row],[Years of Experience]]="","",IF(AND(tblSalaries[[#This Row],[Years of Experience]]&gt;10,tblSalaries[[#This Row],[Years of Experience]]&lt;=15),1,""))</f>
        <v/>
      </c>
      <c r="R1404" t="str">
        <f>IF(tblSalaries[[#This Row],[Years of Experience]]="","",IF(AND(tblSalaries[[#This Row],[Years of Experience]]&gt;16,tblSalaries[[#This Row],[Years of Experience]]&lt;=20),1,""))</f>
        <v/>
      </c>
      <c r="S1404" t="str">
        <f>IF(tblSalaries[[#This Row],[Years of Experience]]="","",IF(tblSalaries[[#This Row],[Years of Experience]]&gt;20,1,""))</f>
        <v/>
      </c>
      <c r="T14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4" s="13" t="str">
        <f>IF(tblSalaries[[#This Row],[Job Type]]=tblSalaries[[#Headers],[Accountant]],tblSalaries[[#This Row],[Salary in USD]],"")</f>
        <v/>
      </c>
      <c r="V1404" s="13">
        <f>IF(tblSalaries[[#This Row],[Job Type]]=tblSalaries[[#Headers],[Analyst]],tblSalaries[[#This Row],[Salary in USD]],"")</f>
        <v>72000</v>
      </c>
      <c r="W1404" s="13" t="str">
        <f>IF(tblSalaries[[#This Row],[Job Type]]=tblSalaries[[#Headers],[Consultant]],tblSalaries[[#This Row],[Salary in USD]],"")</f>
        <v/>
      </c>
      <c r="X1404" s="13" t="str">
        <f>IF(tblSalaries[[#This Row],[Job Type]]=tblSalaries[[#Headers],[Controller]],tblSalaries[[#This Row],[Salary in USD]],"")</f>
        <v/>
      </c>
      <c r="Y1404" s="13" t="str">
        <f>IF(tblSalaries[[#This Row],[Job Type]]=tblSalaries[[#Headers],[CXO or Top Mgmt.]],tblSalaries[[#This Row],[clean Salary (in local currency)]],"")</f>
        <v/>
      </c>
      <c r="Z1404" s="13" t="str">
        <f>IF(tblSalaries[[#This Row],[Job Type]]=tblSalaries[[#Headers],[Engineer]],tblSalaries[[#This Row],[Salary in USD]],"")</f>
        <v/>
      </c>
      <c r="AA1404" s="13" t="str">
        <f>IF(tblSalaries[[#This Row],[Job Type]]=tblSalaries[[#Headers],[Manager]],tblSalaries[[#This Row],[Salary in USD]],"")</f>
        <v/>
      </c>
      <c r="AB1404" s="13" t="str">
        <f>IF(tblSalaries[[#This Row],[Job Type]]=tblSalaries[[#Headers],[Misc.]],tblSalaries[[#This Row],[Salary in USD]],"")</f>
        <v/>
      </c>
      <c r="AC1404" s="13" t="str">
        <f>IF(tblSalaries[[#This Row],[Job Type]]=tblSalaries[[#Headers],[Reporting]],tblSalaries[[#This Row],[Salary in USD]],"")</f>
        <v/>
      </c>
      <c r="AD1404" s="13" t="str">
        <f>IF(tblSalaries[[#This Row],[Job Type]]=tblSalaries[[#Headers],[Specialist]],tblSalaries[[#This Row],[Salary in USD]],"")</f>
        <v/>
      </c>
    </row>
    <row r="1405" spans="2:30" ht="15" customHeight="1" x14ac:dyDescent="0.25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 s="9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  <c r="N1405" t="str">
        <f>IF(tblSalaries[[#This Row],[Years of Experience]]="","",IF(tblSalaries[[#This Row],[Years of Experience]]&lt;=2,1,""))</f>
        <v/>
      </c>
      <c r="O1405">
        <f>IF(tblSalaries[[#This Row],[Years of Experience]]="","",IF(AND(tblSalaries[[#This Row],[Years of Experience]]&gt;2,tblSalaries[[#This Row],[Years of Experience]]&lt;=5),1,""))</f>
        <v>1</v>
      </c>
      <c r="P1405" t="str">
        <f>IF(tblSalaries[[#This Row],[Years of Experience]]="","",IF(AND(tblSalaries[[#This Row],[Years of Experience]]&gt;5,tblSalaries[[#This Row],[Years of Experience]]&lt;=10),1,""))</f>
        <v/>
      </c>
      <c r="Q1405" t="str">
        <f>IF(tblSalaries[[#This Row],[Years of Experience]]="","",IF(AND(tblSalaries[[#This Row],[Years of Experience]]&gt;10,tblSalaries[[#This Row],[Years of Experience]]&lt;=15),1,""))</f>
        <v/>
      </c>
      <c r="R1405" t="str">
        <f>IF(tblSalaries[[#This Row],[Years of Experience]]="","",IF(AND(tblSalaries[[#This Row],[Years of Experience]]&gt;16,tblSalaries[[#This Row],[Years of Experience]]&lt;=20),1,""))</f>
        <v/>
      </c>
      <c r="S1405" t="str">
        <f>IF(tblSalaries[[#This Row],[Years of Experience]]="","",IF(tblSalaries[[#This Row],[Years of Experience]]&gt;20,1,""))</f>
        <v/>
      </c>
      <c r="T14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05" s="13" t="str">
        <f>IF(tblSalaries[[#This Row],[Job Type]]=tblSalaries[[#Headers],[Accountant]],tblSalaries[[#This Row],[Salary in USD]],"")</f>
        <v/>
      </c>
      <c r="V1405" s="13" t="str">
        <f>IF(tblSalaries[[#This Row],[Job Type]]=tblSalaries[[#Headers],[Analyst]],tblSalaries[[#This Row],[Salary in USD]],"")</f>
        <v/>
      </c>
      <c r="W1405" s="13">
        <f>IF(tblSalaries[[#This Row],[Job Type]]=tblSalaries[[#Headers],[Consultant]],tblSalaries[[#This Row],[Salary in USD]],"")</f>
        <v>14000</v>
      </c>
      <c r="X1405" s="13" t="str">
        <f>IF(tblSalaries[[#This Row],[Job Type]]=tblSalaries[[#Headers],[Controller]],tblSalaries[[#This Row],[Salary in USD]],"")</f>
        <v/>
      </c>
      <c r="Y1405" s="13" t="str">
        <f>IF(tblSalaries[[#This Row],[Job Type]]=tblSalaries[[#Headers],[CXO or Top Mgmt.]],tblSalaries[[#This Row],[clean Salary (in local currency)]],"")</f>
        <v/>
      </c>
      <c r="Z1405" s="13" t="str">
        <f>IF(tblSalaries[[#This Row],[Job Type]]=tblSalaries[[#Headers],[Engineer]],tblSalaries[[#This Row],[Salary in USD]],"")</f>
        <v/>
      </c>
      <c r="AA1405" s="13" t="str">
        <f>IF(tblSalaries[[#This Row],[Job Type]]=tblSalaries[[#Headers],[Manager]],tblSalaries[[#This Row],[Salary in USD]],"")</f>
        <v/>
      </c>
      <c r="AB1405" s="13" t="str">
        <f>IF(tblSalaries[[#This Row],[Job Type]]=tblSalaries[[#Headers],[Misc.]],tblSalaries[[#This Row],[Salary in USD]],"")</f>
        <v/>
      </c>
      <c r="AC1405" s="13" t="str">
        <f>IF(tblSalaries[[#This Row],[Job Type]]=tblSalaries[[#Headers],[Reporting]],tblSalaries[[#This Row],[Salary in USD]],"")</f>
        <v/>
      </c>
      <c r="AD1405" s="13" t="str">
        <f>IF(tblSalaries[[#This Row],[Job Type]]=tblSalaries[[#Headers],[Specialist]],tblSalaries[[#This Row],[Salary in USD]],"")</f>
        <v/>
      </c>
    </row>
    <row r="1406" spans="2:30" ht="15" customHeight="1" x14ac:dyDescent="0.25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 s="9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  <c r="N1406" t="str">
        <f>IF(tblSalaries[[#This Row],[Years of Experience]]="","",IF(tblSalaries[[#This Row],[Years of Experience]]&lt;=2,1,""))</f>
        <v/>
      </c>
      <c r="O1406" t="str">
        <f>IF(tblSalaries[[#This Row],[Years of Experience]]="","",IF(AND(tblSalaries[[#This Row],[Years of Experience]]&gt;2,tblSalaries[[#This Row],[Years of Experience]]&lt;=5),1,""))</f>
        <v/>
      </c>
      <c r="P1406">
        <f>IF(tblSalaries[[#This Row],[Years of Experience]]="","",IF(AND(tblSalaries[[#This Row],[Years of Experience]]&gt;5,tblSalaries[[#This Row],[Years of Experience]]&lt;=10),1,""))</f>
        <v>1</v>
      </c>
      <c r="Q1406" t="str">
        <f>IF(tblSalaries[[#This Row],[Years of Experience]]="","",IF(AND(tblSalaries[[#This Row],[Years of Experience]]&gt;10,tblSalaries[[#This Row],[Years of Experience]]&lt;=15),1,""))</f>
        <v/>
      </c>
      <c r="R1406" t="str">
        <f>IF(tblSalaries[[#This Row],[Years of Experience]]="","",IF(AND(tblSalaries[[#This Row],[Years of Experience]]&gt;16,tblSalaries[[#This Row],[Years of Experience]]&lt;=20),1,""))</f>
        <v/>
      </c>
      <c r="S1406" t="str">
        <f>IF(tblSalaries[[#This Row],[Years of Experience]]="","",IF(tblSalaries[[#This Row],[Years of Experience]]&gt;20,1,""))</f>
        <v/>
      </c>
      <c r="T14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6" s="13" t="str">
        <f>IF(tblSalaries[[#This Row],[Job Type]]=tblSalaries[[#Headers],[Accountant]],tblSalaries[[#This Row],[Salary in USD]],"")</f>
        <v/>
      </c>
      <c r="V1406" s="13" t="str">
        <f>IF(tblSalaries[[#This Row],[Job Type]]=tblSalaries[[#Headers],[Analyst]],tblSalaries[[#This Row],[Salary in USD]],"")</f>
        <v/>
      </c>
      <c r="W1406" s="13" t="str">
        <f>IF(tblSalaries[[#This Row],[Job Type]]=tblSalaries[[#Headers],[Consultant]],tblSalaries[[#This Row],[Salary in USD]],"")</f>
        <v/>
      </c>
      <c r="X1406" s="13" t="str">
        <f>IF(tblSalaries[[#This Row],[Job Type]]=tblSalaries[[#Headers],[Controller]],tblSalaries[[#This Row],[Salary in USD]],"")</f>
        <v/>
      </c>
      <c r="Y1406" s="13" t="str">
        <f>IF(tblSalaries[[#This Row],[Job Type]]=tblSalaries[[#Headers],[CXO or Top Mgmt.]],tblSalaries[[#This Row],[clean Salary (in local currency)]],"")</f>
        <v/>
      </c>
      <c r="Z1406" s="13" t="str">
        <f>IF(tblSalaries[[#This Row],[Job Type]]=tblSalaries[[#Headers],[Engineer]],tblSalaries[[#This Row],[Salary in USD]],"")</f>
        <v/>
      </c>
      <c r="AA1406" s="13">
        <f>IF(tblSalaries[[#This Row],[Job Type]]=tblSalaries[[#Headers],[Manager]],tblSalaries[[#This Row],[Salary in USD]],"")</f>
        <v>111000</v>
      </c>
      <c r="AB1406" s="13" t="str">
        <f>IF(tblSalaries[[#This Row],[Job Type]]=tblSalaries[[#Headers],[Misc.]],tblSalaries[[#This Row],[Salary in USD]],"")</f>
        <v/>
      </c>
      <c r="AC1406" s="13" t="str">
        <f>IF(tblSalaries[[#This Row],[Job Type]]=tblSalaries[[#Headers],[Reporting]],tblSalaries[[#This Row],[Salary in USD]],"")</f>
        <v/>
      </c>
      <c r="AD1406" s="13" t="str">
        <f>IF(tblSalaries[[#This Row],[Job Type]]=tblSalaries[[#Headers],[Specialist]],tblSalaries[[#This Row],[Salary in USD]],"")</f>
        <v/>
      </c>
    </row>
    <row r="1407" spans="2:30" ht="15" customHeight="1" x14ac:dyDescent="0.25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 s="9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  <c r="N1407" t="str">
        <f>IF(tblSalaries[[#This Row],[Years of Experience]]="","",IF(tblSalaries[[#This Row],[Years of Experience]]&lt;=2,1,""))</f>
        <v/>
      </c>
      <c r="O1407" t="str">
        <f>IF(tblSalaries[[#This Row],[Years of Experience]]="","",IF(AND(tblSalaries[[#This Row],[Years of Experience]]&gt;2,tblSalaries[[#This Row],[Years of Experience]]&lt;=5),1,""))</f>
        <v/>
      </c>
      <c r="P1407" t="str">
        <f>IF(tblSalaries[[#This Row],[Years of Experience]]="","",IF(AND(tblSalaries[[#This Row],[Years of Experience]]&gt;5,tblSalaries[[#This Row],[Years of Experience]]&lt;=10),1,""))</f>
        <v/>
      </c>
      <c r="Q1407" t="str">
        <f>IF(tblSalaries[[#This Row],[Years of Experience]]="","",IF(AND(tblSalaries[[#This Row],[Years of Experience]]&gt;10,tblSalaries[[#This Row],[Years of Experience]]&lt;=15),1,""))</f>
        <v/>
      </c>
      <c r="R1407">
        <f>IF(tblSalaries[[#This Row],[Years of Experience]]="","",IF(AND(tblSalaries[[#This Row],[Years of Experience]]&gt;16,tblSalaries[[#This Row],[Years of Experience]]&lt;=20),1,""))</f>
        <v>1</v>
      </c>
      <c r="S1407" t="str">
        <f>IF(tblSalaries[[#This Row],[Years of Experience]]="","",IF(tblSalaries[[#This Row],[Years of Experience]]&gt;20,1,""))</f>
        <v/>
      </c>
      <c r="T14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07" s="13" t="str">
        <f>IF(tblSalaries[[#This Row],[Job Type]]=tblSalaries[[#Headers],[Accountant]],tblSalaries[[#This Row],[Salary in USD]],"")</f>
        <v/>
      </c>
      <c r="V1407" s="13">
        <f>IF(tblSalaries[[#This Row],[Job Type]]=tblSalaries[[#Headers],[Analyst]],tblSalaries[[#This Row],[Salary in USD]],"")</f>
        <v>80000</v>
      </c>
      <c r="W1407" s="13" t="str">
        <f>IF(tblSalaries[[#This Row],[Job Type]]=tblSalaries[[#Headers],[Consultant]],tblSalaries[[#This Row],[Salary in USD]],"")</f>
        <v/>
      </c>
      <c r="X1407" s="13" t="str">
        <f>IF(tblSalaries[[#This Row],[Job Type]]=tblSalaries[[#Headers],[Controller]],tblSalaries[[#This Row],[Salary in USD]],"")</f>
        <v/>
      </c>
      <c r="Y1407" s="13" t="str">
        <f>IF(tblSalaries[[#This Row],[Job Type]]=tblSalaries[[#Headers],[CXO or Top Mgmt.]],tblSalaries[[#This Row],[clean Salary (in local currency)]],"")</f>
        <v/>
      </c>
      <c r="Z1407" s="13" t="str">
        <f>IF(tblSalaries[[#This Row],[Job Type]]=tblSalaries[[#Headers],[Engineer]],tblSalaries[[#This Row],[Salary in USD]],"")</f>
        <v/>
      </c>
      <c r="AA1407" s="13" t="str">
        <f>IF(tblSalaries[[#This Row],[Job Type]]=tblSalaries[[#Headers],[Manager]],tblSalaries[[#This Row],[Salary in USD]],"")</f>
        <v/>
      </c>
      <c r="AB1407" s="13" t="str">
        <f>IF(tblSalaries[[#This Row],[Job Type]]=tblSalaries[[#Headers],[Misc.]],tblSalaries[[#This Row],[Salary in USD]],"")</f>
        <v/>
      </c>
      <c r="AC1407" s="13" t="str">
        <f>IF(tblSalaries[[#This Row],[Job Type]]=tblSalaries[[#Headers],[Reporting]],tblSalaries[[#This Row],[Salary in USD]],"")</f>
        <v/>
      </c>
      <c r="AD1407" s="13" t="str">
        <f>IF(tblSalaries[[#This Row],[Job Type]]=tblSalaries[[#Headers],[Specialist]],tblSalaries[[#This Row],[Salary in USD]],"")</f>
        <v/>
      </c>
    </row>
    <row r="1408" spans="2:30" ht="15" customHeight="1" x14ac:dyDescent="0.25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 s="9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  <c r="N1408" t="str">
        <f>IF(tblSalaries[[#This Row],[Years of Experience]]="","",IF(tblSalaries[[#This Row],[Years of Experience]]&lt;=2,1,""))</f>
        <v/>
      </c>
      <c r="O1408" t="str">
        <f>IF(tblSalaries[[#This Row],[Years of Experience]]="","",IF(AND(tblSalaries[[#This Row],[Years of Experience]]&gt;2,tblSalaries[[#This Row],[Years of Experience]]&lt;=5),1,""))</f>
        <v/>
      </c>
      <c r="P1408">
        <f>IF(tblSalaries[[#This Row],[Years of Experience]]="","",IF(AND(tblSalaries[[#This Row],[Years of Experience]]&gt;5,tblSalaries[[#This Row],[Years of Experience]]&lt;=10),1,""))</f>
        <v>1</v>
      </c>
      <c r="Q1408" t="str">
        <f>IF(tblSalaries[[#This Row],[Years of Experience]]="","",IF(AND(tblSalaries[[#This Row],[Years of Experience]]&gt;10,tblSalaries[[#This Row],[Years of Experience]]&lt;=15),1,""))</f>
        <v/>
      </c>
      <c r="R1408" t="str">
        <f>IF(tblSalaries[[#This Row],[Years of Experience]]="","",IF(AND(tblSalaries[[#This Row],[Years of Experience]]&gt;16,tblSalaries[[#This Row],[Years of Experience]]&lt;=20),1,""))</f>
        <v/>
      </c>
      <c r="S1408" t="str">
        <f>IF(tblSalaries[[#This Row],[Years of Experience]]="","",IF(tblSalaries[[#This Row],[Years of Experience]]&gt;20,1,""))</f>
        <v/>
      </c>
      <c r="T14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8" s="13" t="str">
        <f>IF(tblSalaries[[#This Row],[Job Type]]=tblSalaries[[#Headers],[Accountant]],tblSalaries[[#This Row],[Salary in USD]],"")</f>
        <v/>
      </c>
      <c r="V1408" s="13">
        <f>IF(tblSalaries[[#This Row],[Job Type]]=tblSalaries[[#Headers],[Analyst]],tblSalaries[[#This Row],[Salary in USD]],"")</f>
        <v>57875.729234188344</v>
      </c>
      <c r="W1408" s="13" t="str">
        <f>IF(tblSalaries[[#This Row],[Job Type]]=tblSalaries[[#Headers],[Consultant]],tblSalaries[[#This Row],[Salary in USD]],"")</f>
        <v/>
      </c>
      <c r="X1408" s="13" t="str">
        <f>IF(tblSalaries[[#This Row],[Job Type]]=tblSalaries[[#Headers],[Controller]],tblSalaries[[#This Row],[Salary in USD]],"")</f>
        <v/>
      </c>
      <c r="Y1408" s="13" t="str">
        <f>IF(tblSalaries[[#This Row],[Job Type]]=tblSalaries[[#Headers],[CXO or Top Mgmt.]],tblSalaries[[#This Row],[clean Salary (in local currency)]],"")</f>
        <v/>
      </c>
      <c r="Z1408" s="13" t="str">
        <f>IF(tblSalaries[[#This Row],[Job Type]]=tblSalaries[[#Headers],[Engineer]],tblSalaries[[#This Row],[Salary in USD]],"")</f>
        <v/>
      </c>
      <c r="AA1408" s="13" t="str">
        <f>IF(tblSalaries[[#This Row],[Job Type]]=tblSalaries[[#Headers],[Manager]],tblSalaries[[#This Row],[Salary in USD]],"")</f>
        <v/>
      </c>
      <c r="AB1408" s="13" t="str">
        <f>IF(tblSalaries[[#This Row],[Job Type]]=tblSalaries[[#Headers],[Misc.]],tblSalaries[[#This Row],[Salary in USD]],"")</f>
        <v/>
      </c>
      <c r="AC1408" s="13" t="str">
        <f>IF(tblSalaries[[#This Row],[Job Type]]=tblSalaries[[#Headers],[Reporting]],tblSalaries[[#This Row],[Salary in USD]],"")</f>
        <v/>
      </c>
      <c r="AD1408" s="13" t="str">
        <f>IF(tblSalaries[[#This Row],[Job Type]]=tblSalaries[[#Headers],[Specialist]],tblSalaries[[#This Row],[Salary in USD]],"")</f>
        <v/>
      </c>
    </row>
    <row r="1409" spans="2:30" ht="15" customHeight="1" x14ac:dyDescent="0.25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 s="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  <c r="N1409" t="str">
        <f>IF(tblSalaries[[#This Row],[Years of Experience]]="","",IF(tblSalaries[[#This Row],[Years of Experience]]&lt;=2,1,""))</f>
        <v/>
      </c>
      <c r="O1409" t="str">
        <f>IF(tblSalaries[[#This Row],[Years of Experience]]="","",IF(AND(tblSalaries[[#This Row],[Years of Experience]]&gt;2,tblSalaries[[#This Row],[Years of Experience]]&lt;=5),1,""))</f>
        <v/>
      </c>
      <c r="P1409">
        <f>IF(tblSalaries[[#This Row],[Years of Experience]]="","",IF(AND(tblSalaries[[#This Row],[Years of Experience]]&gt;5,tblSalaries[[#This Row],[Years of Experience]]&lt;=10),1,""))</f>
        <v>1</v>
      </c>
      <c r="Q1409" t="str">
        <f>IF(tblSalaries[[#This Row],[Years of Experience]]="","",IF(AND(tblSalaries[[#This Row],[Years of Experience]]&gt;10,tblSalaries[[#This Row],[Years of Experience]]&lt;=15),1,""))</f>
        <v/>
      </c>
      <c r="R1409" t="str">
        <f>IF(tblSalaries[[#This Row],[Years of Experience]]="","",IF(AND(tblSalaries[[#This Row],[Years of Experience]]&gt;16,tblSalaries[[#This Row],[Years of Experience]]&lt;=20),1,""))</f>
        <v/>
      </c>
      <c r="S1409" t="str">
        <f>IF(tblSalaries[[#This Row],[Years of Experience]]="","",IF(tblSalaries[[#This Row],[Years of Experience]]&gt;20,1,""))</f>
        <v/>
      </c>
      <c r="T14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09" s="13">
        <f>IF(tblSalaries[[#This Row],[Job Type]]=tblSalaries[[#Headers],[Accountant]],tblSalaries[[#This Row],[Salary in USD]],"")</f>
        <v>25000</v>
      </c>
      <c r="V1409" s="13" t="str">
        <f>IF(tblSalaries[[#This Row],[Job Type]]=tblSalaries[[#Headers],[Analyst]],tblSalaries[[#This Row],[Salary in USD]],"")</f>
        <v/>
      </c>
      <c r="W1409" s="13" t="str">
        <f>IF(tblSalaries[[#This Row],[Job Type]]=tblSalaries[[#Headers],[Consultant]],tblSalaries[[#This Row],[Salary in USD]],"")</f>
        <v/>
      </c>
      <c r="X1409" s="13" t="str">
        <f>IF(tblSalaries[[#This Row],[Job Type]]=tblSalaries[[#Headers],[Controller]],tblSalaries[[#This Row],[Salary in USD]],"")</f>
        <v/>
      </c>
      <c r="Y1409" s="13" t="str">
        <f>IF(tblSalaries[[#This Row],[Job Type]]=tblSalaries[[#Headers],[CXO or Top Mgmt.]],tblSalaries[[#This Row],[clean Salary (in local currency)]],"")</f>
        <v/>
      </c>
      <c r="Z1409" s="13" t="str">
        <f>IF(tblSalaries[[#This Row],[Job Type]]=tblSalaries[[#Headers],[Engineer]],tblSalaries[[#This Row],[Salary in USD]],"")</f>
        <v/>
      </c>
      <c r="AA1409" s="13" t="str">
        <f>IF(tblSalaries[[#This Row],[Job Type]]=tblSalaries[[#Headers],[Manager]],tblSalaries[[#This Row],[Salary in USD]],"")</f>
        <v/>
      </c>
      <c r="AB1409" s="13" t="str">
        <f>IF(tblSalaries[[#This Row],[Job Type]]=tblSalaries[[#Headers],[Misc.]],tblSalaries[[#This Row],[Salary in USD]],"")</f>
        <v/>
      </c>
      <c r="AC1409" s="13" t="str">
        <f>IF(tblSalaries[[#This Row],[Job Type]]=tblSalaries[[#Headers],[Reporting]],tblSalaries[[#This Row],[Salary in USD]],"")</f>
        <v/>
      </c>
      <c r="AD1409" s="13" t="str">
        <f>IF(tblSalaries[[#This Row],[Job Type]]=tblSalaries[[#Headers],[Specialist]],tblSalaries[[#This Row],[Salary in USD]],"")</f>
        <v/>
      </c>
    </row>
    <row r="1410" spans="2:30" ht="15" customHeight="1" x14ac:dyDescent="0.25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 s="9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  <c r="N1410">
        <f>IF(tblSalaries[[#This Row],[Years of Experience]]="","",IF(tblSalaries[[#This Row],[Years of Experience]]&lt;=2,1,""))</f>
        <v>1</v>
      </c>
      <c r="O1410" t="str">
        <f>IF(tblSalaries[[#This Row],[Years of Experience]]="","",IF(AND(tblSalaries[[#This Row],[Years of Experience]]&gt;2,tblSalaries[[#This Row],[Years of Experience]]&lt;=5),1,""))</f>
        <v/>
      </c>
      <c r="P1410" t="str">
        <f>IF(tblSalaries[[#This Row],[Years of Experience]]="","",IF(AND(tblSalaries[[#This Row],[Years of Experience]]&gt;5,tblSalaries[[#This Row],[Years of Experience]]&lt;=10),1,""))</f>
        <v/>
      </c>
      <c r="Q1410" t="str">
        <f>IF(tblSalaries[[#This Row],[Years of Experience]]="","",IF(AND(tblSalaries[[#This Row],[Years of Experience]]&gt;10,tblSalaries[[#This Row],[Years of Experience]]&lt;=15),1,""))</f>
        <v/>
      </c>
      <c r="R1410" t="str">
        <f>IF(tblSalaries[[#This Row],[Years of Experience]]="","",IF(AND(tblSalaries[[#This Row],[Years of Experience]]&gt;16,tblSalaries[[#This Row],[Years of Experience]]&lt;=20),1,""))</f>
        <v/>
      </c>
      <c r="S1410" t="str">
        <f>IF(tblSalaries[[#This Row],[Years of Experience]]="","",IF(tblSalaries[[#This Row],[Years of Experience]]&gt;20,1,""))</f>
        <v/>
      </c>
      <c r="T14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10" s="13" t="str">
        <f>IF(tblSalaries[[#This Row],[Job Type]]=tblSalaries[[#Headers],[Accountant]],tblSalaries[[#This Row],[Salary in USD]],"")</f>
        <v/>
      </c>
      <c r="V1410" s="13" t="str">
        <f>IF(tblSalaries[[#This Row],[Job Type]]=tblSalaries[[#Headers],[Analyst]],tblSalaries[[#This Row],[Salary in USD]],"")</f>
        <v/>
      </c>
      <c r="W1410" s="13" t="str">
        <f>IF(tblSalaries[[#This Row],[Job Type]]=tblSalaries[[#Headers],[Consultant]],tblSalaries[[#This Row],[Salary in USD]],"")</f>
        <v/>
      </c>
      <c r="X1410" s="13">
        <f>IF(tblSalaries[[#This Row],[Job Type]]=tblSalaries[[#Headers],[Controller]],tblSalaries[[#This Row],[Salary in USD]],"")</f>
        <v>24000</v>
      </c>
      <c r="Y1410" s="13" t="str">
        <f>IF(tblSalaries[[#This Row],[Job Type]]=tblSalaries[[#Headers],[CXO or Top Mgmt.]],tblSalaries[[#This Row],[clean Salary (in local currency)]],"")</f>
        <v/>
      </c>
      <c r="Z1410" s="13" t="str">
        <f>IF(tblSalaries[[#This Row],[Job Type]]=tblSalaries[[#Headers],[Engineer]],tblSalaries[[#This Row],[Salary in USD]],"")</f>
        <v/>
      </c>
      <c r="AA1410" s="13" t="str">
        <f>IF(tblSalaries[[#This Row],[Job Type]]=tblSalaries[[#Headers],[Manager]],tblSalaries[[#This Row],[Salary in USD]],"")</f>
        <v/>
      </c>
      <c r="AB1410" s="13" t="str">
        <f>IF(tblSalaries[[#This Row],[Job Type]]=tblSalaries[[#Headers],[Misc.]],tblSalaries[[#This Row],[Salary in USD]],"")</f>
        <v/>
      </c>
      <c r="AC1410" s="13" t="str">
        <f>IF(tblSalaries[[#This Row],[Job Type]]=tblSalaries[[#Headers],[Reporting]],tblSalaries[[#This Row],[Salary in USD]],"")</f>
        <v/>
      </c>
      <c r="AD1410" s="13" t="str">
        <f>IF(tblSalaries[[#This Row],[Job Type]]=tblSalaries[[#Headers],[Specialist]],tblSalaries[[#This Row],[Salary in USD]],"")</f>
        <v/>
      </c>
    </row>
    <row r="1411" spans="2:30" ht="15" customHeight="1" x14ac:dyDescent="0.25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 s="9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  <c r="N1411" t="str">
        <f>IF(tblSalaries[[#This Row],[Years of Experience]]="","",IF(tblSalaries[[#This Row],[Years of Experience]]&lt;=2,1,""))</f>
        <v/>
      </c>
      <c r="O1411" t="str">
        <f>IF(tblSalaries[[#This Row],[Years of Experience]]="","",IF(AND(tblSalaries[[#This Row],[Years of Experience]]&gt;2,tblSalaries[[#This Row],[Years of Experience]]&lt;=5),1,""))</f>
        <v/>
      </c>
      <c r="P1411" t="str">
        <f>IF(tblSalaries[[#This Row],[Years of Experience]]="","",IF(AND(tblSalaries[[#This Row],[Years of Experience]]&gt;5,tblSalaries[[#This Row],[Years of Experience]]&lt;=10),1,""))</f>
        <v/>
      </c>
      <c r="Q1411" t="str">
        <f>IF(tblSalaries[[#This Row],[Years of Experience]]="","",IF(AND(tblSalaries[[#This Row],[Years of Experience]]&gt;10,tblSalaries[[#This Row],[Years of Experience]]&lt;=15),1,""))</f>
        <v/>
      </c>
      <c r="R1411" t="str">
        <f>IF(tblSalaries[[#This Row],[Years of Experience]]="","",IF(AND(tblSalaries[[#This Row],[Years of Experience]]&gt;16,tblSalaries[[#This Row],[Years of Experience]]&lt;=20),1,""))</f>
        <v/>
      </c>
      <c r="S1411">
        <f>IF(tblSalaries[[#This Row],[Years of Experience]]="","",IF(tblSalaries[[#This Row],[Years of Experience]]&gt;20,1,""))</f>
        <v>1</v>
      </c>
      <c r="T14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11" s="13" t="str">
        <f>IF(tblSalaries[[#This Row],[Job Type]]=tblSalaries[[#Headers],[Accountant]],tblSalaries[[#This Row],[Salary in USD]],"")</f>
        <v/>
      </c>
      <c r="V1411" s="13" t="str">
        <f>IF(tblSalaries[[#This Row],[Job Type]]=tblSalaries[[#Headers],[Analyst]],tblSalaries[[#This Row],[Salary in USD]],"")</f>
        <v/>
      </c>
      <c r="W1411" s="13" t="str">
        <f>IF(tblSalaries[[#This Row],[Job Type]]=tblSalaries[[#Headers],[Consultant]],tblSalaries[[#This Row],[Salary in USD]],"")</f>
        <v/>
      </c>
      <c r="X1411" s="13" t="str">
        <f>IF(tblSalaries[[#This Row],[Job Type]]=tblSalaries[[#Headers],[Controller]],tblSalaries[[#This Row],[Salary in USD]],"")</f>
        <v/>
      </c>
      <c r="Y1411" s="13" t="str">
        <f>IF(tblSalaries[[#This Row],[Job Type]]=tblSalaries[[#Headers],[CXO or Top Mgmt.]],tblSalaries[[#This Row],[clean Salary (in local currency)]],"")</f>
        <v/>
      </c>
      <c r="Z1411" s="13" t="str">
        <f>IF(tblSalaries[[#This Row],[Job Type]]=tblSalaries[[#Headers],[Engineer]],tblSalaries[[#This Row],[Salary in USD]],"")</f>
        <v/>
      </c>
      <c r="AA1411" s="13">
        <f>IF(tblSalaries[[#This Row],[Job Type]]=tblSalaries[[#Headers],[Manager]],tblSalaries[[#This Row],[Salary in USD]],"")</f>
        <v>61000</v>
      </c>
      <c r="AB1411" s="13" t="str">
        <f>IF(tblSalaries[[#This Row],[Job Type]]=tblSalaries[[#Headers],[Misc.]],tblSalaries[[#This Row],[Salary in USD]],"")</f>
        <v/>
      </c>
      <c r="AC1411" s="13" t="str">
        <f>IF(tblSalaries[[#This Row],[Job Type]]=tblSalaries[[#Headers],[Reporting]],tblSalaries[[#This Row],[Salary in USD]],"")</f>
        <v/>
      </c>
      <c r="AD1411" s="13" t="str">
        <f>IF(tblSalaries[[#This Row],[Job Type]]=tblSalaries[[#Headers],[Specialist]],tblSalaries[[#This Row],[Salary in USD]],"")</f>
        <v/>
      </c>
    </row>
    <row r="1412" spans="2:30" ht="15" customHeight="1" x14ac:dyDescent="0.25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 s="9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  <c r="N1412" t="str">
        <f>IF(tblSalaries[[#This Row],[Years of Experience]]="","",IF(tblSalaries[[#This Row],[Years of Experience]]&lt;=2,1,""))</f>
        <v/>
      </c>
      <c r="O1412" t="str">
        <f>IF(tblSalaries[[#This Row],[Years of Experience]]="","",IF(AND(tblSalaries[[#This Row],[Years of Experience]]&gt;2,tblSalaries[[#This Row],[Years of Experience]]&lt;=5),1,""))</f>
        <v/>
      </c>
      <c r="P1412" t="str">
        <f>IF(tblSalaries[[#This Row],[Years of Experience]]="","",IF(AND(tblSalaries[[#This Row],[Years of Experience]]&gt;5,tblSalaries[[#This Row],[Years of Experience]]&lt;=10),1,""))</f>
        <v/>
      </c>
      <c r="Q1412">
        <f>IF(tblSalaries[[#This Row],[Years of Experience]]="","",IF(AND(tblSalaries[[#This Row],[Years of Experience]]&gt;10,tblSalaries[[#This Row],[Years of Experience]]&lt;=15),1,""))</f>
        <v>1</v>
      </c>
      <c r="R1412" t="str">
        <f>IF(tblSalaries[[#This Row],[Years of Experience]]="","",IF(AND(tblSalaries[[#This Row],[Years of Experience]]&gt;16,tblSalaries[[#This Row],[Years of Experience]]&lt;=20),1,""))</f>
        <v/>
      </c>
      <c r="S1412" t="str">
        <f>IF(tblSalaries[[#This Row],[Years of Experience]]="","",IF(tblSalaries[[#This Row],[Years of Experience]]&gt;20,1,""))</f>
        <v/>
      </c>
      <c r="T14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12" s="13" t="str">
        <f>IF(tblSalaries[[#This Row],[Job Type]]=tblSalaries[[#Headers],[Accountant]],tblSalaries[[#This Row],[Salary in USD]],"")</f>
        <v/>
      </c>
      <c r="V1412" s="13">
        <f>IF(tblSalaries[[#This Row],[Job Type]]=tblSalaries[[#Headers],[Analyst]],tblSalaries[[#This Row],[Salary in USD]],"")</f>
        <v>56095.031102144967</v>
      </c>
      <c r="W1412" s="13" t="str">
        <f>IF(tblSalaries[[#This Row],[Job Type]]=tblSalaries[[#Headers],[Consultant]],tblSalaries[[#This Row],[Salary in USD]],"")</f>
        <v/>
      </c>
      <c r="X1412" s="13" t="str">
        <f>IF(tblSalaries[[#This Row],[Job Type]]=tblSalaries[[#Headers],[Controller]],tblSalaries[[#This Row],[Salary in USD]],"")</f>
        <v/>
      </c>
      <c r="Y1412" s="13" t="str">
        <f>IF(tblSalaries[[#This Row],[Job Type]]=tblSalaries[[#Headers],[CXO or Top Mgmt.]],tblSalaries[[#This Row],[clean Salary (in local currency)]],"")</f>
        <v/>
      </c>
      <c r="Z1412" s="13" t="str">
        <f>IF(tblSalaries[[#This Row],[Job Type]]=tblSalaries[[#Headers],[Engineer]],tblSalaries[[#This Row],[Salary in USD]],"")</f>
        <v/>
      </c>
      <c r="AA1412" s="13" t="str">
        <f>IF(tblSalaries[[#This Row],[Job Type]]=tblSalaries[[#Headers],[Manager]],tblSalaries[[#This Row],[Salary in USD]],"")</f>
        <v/>
      </c>
      <c r="AB1412" s="13" t="str">
        <f>IF(tblSalaries[[#This Row],[Job Type]]=tblSalaries[[#Headers],[Misc.]],tblSalaries[[#This Row],[Salary in USD]],"")</f>
        <v/>
      </c>
      <c r="AC1412" s="13" t="str">
        <f>IF(tblSalaries[[#This Row],[Job Type]]=tblSalaries[[#Headers],[Reporting]],tblSalaries[[#This Row],[Salary in USD]],"")</f>
        <v/>
      </c>
      <c r="AD1412" s="13" t="str">
        <f>IF(tblSalaries[[#This Row],[Job Type]]=tblSalaries[[#Headers],[Specialist]],tblSalaries[[#This Row],[Salary in USD]],"")</f>
        <v/>
      </c>
    </row>
    <row r="1413" spans="2:30" ht="15" customHeight="1" x14ac:dyDescent="0.25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 s="9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  <c r="N1413" t="str">
        <f>IF(tblSalaries[[#This Row],[Years of Experience]]="","",IF(tblSalaries[[#This Row],[Years of Experience]]&lt;=2,1,""))</f>
        <v/>
      </c>
      <c r="O1413">
        <f>IF(tblSalaries[[#This Row],[Years of Experience]]="","",IF(AND(tblSalaries[[#This Row],[Years of Experience]]&gt;2,tblSalaries[[#This Row],[Years of Experience]]&lt;=5),1,""))</f>
        <v>1</v>
      </c>
      <c r="P1413" t="str">
        <f>IF(tblSalaries[[#This Row],[Years of Experience]]="","",IF(AND(tblSalaries[[#This Row],[Years of Experience]]&gt;5,tblSalaries[[#This Row],[Years of Experience]]&lt;=10),1,""))</f>
        <v/>
      </c>
      <c r="Q1413" t="str">
        <f>IF(tblSalaries[[#This Row],[Years of Experience]]="","",IF(AND(tblSalaries[[#This Row],[Years of Experience]]&gt;10,tblSalaries[[#This Row],[Years of Experience]]&lt;=15),1,""))</f>
        <v/>
      </c>
      <c r="R1413" t="str">
        <f>IF(tblSalaries[[#This Row],[Years of Experience]]="","",IF(AND(tblSalaries[[#This Row],[Years of Experience]]&gt;16,tblSalaries[[#This Row],[Years of Experience]]&lt;=20),1,""))</f>
        <v/>
      </c>
      <c r="S1413" t="str">
        <f>IF(tblSalaries[[#This Row],[Years of Experience]]="","",IF(tblSalaries[[#This Row],[Years of Experience]]&gt;20,1,""))</f>
        <v/>
      </c>
      <c r="T14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13" s="13">
        <f>IF(tblSalaries[[#This Row],[Job Type]]=tblSalaries[[#Headers],[Accountant]],tblSalaries[[#This Row],[Salary in USD]],"")</f>
        <v>71393.675948184507</v>
      </c>
      <c r="V1413" s="13" t="str">
        <f>IF(tblSalaries[[#This Row],[Job Type]]=tblSalaries[[#Headers],[Analyst]],tblSalaries[[#This Row],[Salary in USD]],"")</f>
        <v/>
      </c>
      <c r="W1413" s="13" t="str">
        <f>IF(tblSalaries[[#This Row],[Job Type]]=tblSalaries[[#Headers],[Consultant]],tblSalaries[[#This Row],[Salary in USD]],"")</f>
        <v/>
      </c>
      <c r="X1413" s="13" t="str">
        <f>IF(tblSalaries[[#This Row],[Job Type]]=tblSalaries[[#Headers],[Controller]],tblSalaries[[#This Row],[Salary in USD]],"")</f>
        <v/>
      </c>
      <c r="Y1413" s="13" t="str">
        <f>IF(tblSalaries[[#This Row],[Job Type]]=tblSalaries[[#Headers],[CXO or Top Mgmt.]],tblSalaries[[#This Row],[clean Salary (in local currency)]],"")</f>
        <v/>
      </c>
      <c r="Z1413" s="13" t="str">
        <f>IF(tblSalaries[[#This Row],[Job Type]]=tblSalaries[[#Headers],[Engineer]],tblSalaries[[#This Row],[Salary in USD]],"")</f>
        <v/>
      </c>
      <c r="AA1413" s="13" t="str">
        <f>IF(tblSalaries[[#This Row],[Job Type]]=tblSalaries[[#Headers],[Manager]],tblSalaries[[#This Row],[Salary in USD]],"")</f>
        <v/>
      </c>
      <c r="AB1413" s="13" t="str">
        <f>IF(tblSalaries[[#This Row],[Job Type]]=tblSalaries[[#Headers],[Misc.]],tblSalaries[[#This Row],[Salary in USD]],"")</f>
        <v/>
      </c>
      <c r="AC1413" s="13" t="str">
        <f>IF(tblSalaries[[#This Row],[Job Type]]=tblSalaries[[#Headers],[Reporting]],tblSalaries[[#This Row],[Salary in USD]],"")</f>
        <v/>
      </c>
      <c r="AD1413" s="13" t="str">
        <f>IF(tblSalaries[[#This Row],[Job Type]]=tblSalaries[[#Headers],[Specialist]],tblSalaries[[#This Row],[Salary in USD]],"")</f>
        <v/>
      </c>
    </row>
    <row r="1414" spans="2:30" ht="15" customHeight="1" x14ac:dyDescent="0.25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 s="9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  <c r="N1414" t="str">
        <f>IF(tblSalaries[[#This Row],[Years of Experience]]="","",IF(tblSalaries[[#This Row],[Years of Experience]]&lt;=2,1,""))</f>
        <v/>
      </c>
      <c r="O1414" t="str">
        <f>IF(tblSalaries[[#This Row],[Years of Experience]]="","",IF(AND(tblSalaries[[#This Row],[Years of Experience]]&gt;2,tblSalaries[[#This Row],[Years of Experience]]&lt;=5),1,""))</f>
        <v/>
      </c>
      <c r="P1414" t="str">
        <f>IF(tblSalaries[[#This Row],[Years of Experience]]="","",IF(AND(tblSalaries[[#This Row],[Years of Experience]]&gt;5,tblSalaries[[#This Row],[Years of Experience]]&lt;=10),1,""))</f>
        <v/>
      </c>
      <c r="Q1414" t="str">
        <f>IF(tblSalaries[[#This Row],[Years of Experience]]="","",IF(AND(tblSalaries[[#This Row],[Years of Experience]]&gt;10,tblSalaries[[#This Row],[Years of Experience]]&lt;=15),1,""))</f>
        <v/>
      </c>
      <c r="R1414">
        <f>IF(tblSalaries[[#This Row],[Years of Experience]]="","",IF(AND(tblSalaries[[#This Row],[Years of Experience]]&gt;16,tblSalaries[[#This Row],[Years of Experience]]&lt;=20),1,""))</f>
        <v>1</v>
      </c>
      <c r="S1414" t="str">
        <f>IF(tblSalaries[[#This Row],[Years of Experience]]="","",IF(tblSalaries[[#This Row],[Years of Experience]]&gt;20,1,""))</f>
        <v/>
      </c>
      <c r="T14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14" s="13" t="str">
        <f>IF(tblSalaries[[#This Row],[Job Type]]=tblSalaries[[#Headers],[Accountant]],tblSalaries[[#This Row],[Salary in USD]],"")</f>
        <v/>
      </c>
      <c r="V1414" s="13" t="str">
        <f>IF(tblSalaries[[#This Row],[Job Type]]=tblSalaries[[#Headers],[Analyst]],tblSalaries[[#This Row],[Salary in USD]],"")</f>
        <v/>
      </c>
      <c r="W1414" s="13" t="str">
        <f>IF(tblSalaries[[#This Row],[Job Type]]=tblSalaries[[#Headers],[Consultant]],tblSalaries[[#This Row],[Salary in USD]],"")</f>
        <v/>
      </c>
      <c r="X1414" s="13" t="str">
        <f>IF(tblSalaries[[#This Row],[Job Type]]=tblSalaries[[#Headers],[Controller]],tblSalaries[[#This Row],[Salary in USD]],"")</f>
        <v/>
      </c>
      <c r="Y1414" s="13" t="str">
        <f>IF(tblSalaries[[#This Row],[Job Type]]=tblSalaries[[#Headers],[CXO or Top Mgmt.]],tblSalaries[[#This Row],[clean Salary (in local currency)]],"")</f>
        <v/>
      </c>
      <c r="Z1414" s="13" t="str">
        <f>IF(tblSalaries[[#This Row],[Job Type]]=tblSalaries[[#Headers],[Engineer]],tblSalaries[[#This Row],[Salary in USD]],"")</f>
        <v/>
      </c>
      <c r="AA1414" s="13">
        <f>IF(tblSalaries[[#This Row],[Job Type]]=tblSalaries[[#Headers],[Manager]],tblSalaries[[#This Row],[Salary in USD]],"")</f>
        <v>96230</v>
      </c>
      <c r="AB1414" s="13" t="str">
        <f>IF(tblSalaries[[#This Row],[Job Type]]=tblSalaries[[#Headers],[Misc.]],tblSalaries[[#This Row],[Salary in USD]],"")</f>
        <v/>
      </c>
      <c r="AC1414" s="13" t="str">
        <f>IF(tblSalaries[[#This Row],[Job Type]]=tblSalaries[[#Headers],[Reporting]],tblSalaries[[#This Row],[Salary in USD]],"")</f>
        <v/>
      </c>
      <c r="AD1414" s="13" t="str">
        <f>IF(tblSalaries[[#This Row],[Job Type]]=tblSalaries[[#Headers],[Specialist]],tblSalaries[[#This Row],[Salary in USD]],"")</f>
        <v/>
      </c>
    </row>
    <row r="1415" spans="2:30" ht="15" customHeight="1" x14ac:dyDescent="0.25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 s="9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  <c r="N1415">
        <f>IF(tblSalaries[[#This Row],[Years of Experience]]="","",IF(tblSalaries[[#This Row],[Years of Experience]]&lt;=2,1,""))</f>
        <v>1</v>
      </c>
      <c r="O1415" t="str">
        <f>IF(tblSalaries[[#This Row],[Years of Experience]]="","",IF(AND(tblSalaries[[#This Row],[Years of Experience]]&gt;2,tblSalaries[[#This Row],[Years of Experience]]&lt;=5),1,""))</f>
        <v/>
      </c>
      <c r="P1415" t="str">
        <f>IF(tblSalaries[[#This Row],[Years of Experience]]="","",IF(AND(tblSalaries[[#This Row],[Years of Experience]]&gt;5,tblSalaries[[#This Row],[Years of Experience]]&lt;=10),1,""))</f>
        <v/>
      </c>
      <c r="Q1415" t="str">
        <f>IF(tblSalaries[[#This Row],[Years of Experience]]="","",IF(AND(tblSalaries[[#This Row],[Years of Experience]]&gt;10,tblSalaries[[#This Row],[Years of Experience]]&lt;=15),1,""))</f>
        <v/>
      </c>
      <c r="R1415" t="str">
        <f>IF(tblSalaries[[#This Row],[Years of Experience]]="","",IF(AND(tblSalaries[[#This Row],[Years of Experience]]&gt;16,tblSalaries[[#This Row],[Years of Experience]]&lt;=20),1,""))</f>
        <v/>
      </c>
      <c r="S1415" t="str">
        <f>IF(tblSalaries[[#This Row],[Years of Experience]]="","",IF(tblSalaries[[#This Row],[Years of Experience]]&gt;20,1,""))</f>
        <v/>
      </c>
      <c r="T14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15" s="13" t="str">
        <f>IF(tblSalaries[[#This Row],[Job Type]]=tblSalaries[[#Headers],[Accountant]],tblSalaries[[#This Row],[Salary in USD]],"")</f>
        <v/>
      </c>
      <c r="V1415" s="13">
        <f>IF(tblSalaries[[#This Row],[Job Type]]=tblSalaries[[#Headers],[Analyst]],tblSalaries[[#This Row],[Salary in USD]],"")</f>
        <v>75000</v>
      </c>
      <c r="W1415" s="13" t="str">
        <f>IF(tblSalaries[[#This Row],[Job Type]]=tblSalaries[[#Headers],[Consultant]],tblSalaries[[#This Row],[Salary in USD]],"")</f>
        <v/>
      </c>
      <c r="X1415" s="13" t="str">
        <f>IF(tblSalaries[[#This Row],[Job Type]]=tblSalaries[[#Headers],[Controller]],tblSalaries[[#This Row],[Salary in USD]],"")</f>
        <v/>
      </c>
      <c r="Y1415" s="13" t="str">
        <f>IF(tblSalaries[[#This Row],[Job Type]]=tblSalaries[[#Headers],[CXO or Top Mgmt.]],tblSalaries[[#This Row],[clean Salary (in local currency)]],"")</f>
        <v/>
      </c>
      <c r="Z1415" s="13" t="str">
        <f>IF(tblSalaries[[#This Row],[Job Type]]=tblSalaries[[#Headers],[Engineer]],tblSalaries[[#This Row],[Salary in USD]],"")</f>
        <v/>
      </c>
      <c r="AA1415" s="13" t="str">
        <f>IF(tblSalaries[[#This Row],[Job Type]]=tblSalaries[[#Headers],[Manager]],tblSalaries[[#This Row],[Salary in USD]],"")</f>
        <v/>
      </c>
      <c r="AB1415" s="13" t="str">
        <f>IF(tblSalaries[[#This Row],[Job Type]]=tblSalaries[[#Headers],[Misc.]],tblSalaries[[#This Row],[Salary in USD]],"")</f>
        <v/>
      </c>
      <c r="AC1415" s="13" t="str">
        <f>IF(tblSalaries[[#This Row],[Job Type]]=tblSalaries[[#Headers],[Reporting]],tblSalaries[[#This Row],[Salary in USD]],"")</f>
        <v/>
      </c>
      <c r="AD1415" s="13" t="str">
        <f>IF(tblSalaries[[#This Row],[Job Type]]=tblSalaries[[#Headers],[Specialist]],tblSalaries[[#This Row],[Salary in USD]],"")</f>
        <v/>
      </c>
    </row>
    <row r="1416" spans="2:30" ht="15" customHeight="1" x14ac:dyDescent="0.25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 s="9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  <c r="N1416" t="str">
        <f>IF(tblSalaries[[#This Row],[Years of Experience]]="","",IF(tblSalaries[[#This Row],[Years of Experience]]&lt;=2,1,""))</f>
        <v/>
      </c>
      <c r="O1416">
        <f>IF(tblSalaries[[#This Row],[Years of Experience]]="","",IF(AND(tblSalaries[[#This Row],[Years of Experience]]&gt;2,tblSalaries[[#This Row],[Years of Experience]]&lt;=5),1,""))</f>
        <v>1</v>
      </c>
      <c r="P1416" t="str">
        <f>IF(tblSalaries[[#This Row],[Years of Experience]]="","",IF(AND(tblSalaries[[#This Row],[Years of Experience]]&gt;5,tblSalaries[[#This Row],[Years of Experience]]&lt;=10),1,""))</f>
        <v/>
      </c>
      <c r="Q1416" t="str">
        <f>IF(tblSalaries[[#This Row],[Years of Experience]]="","",IF(AND(tblSalaries[[#This Row],[Years of Experience]]&gt;10,tblSalaries[[#This Row],[Years of Experience]]&lt;=15),1,""))</f>
        <v/>
      </c>
      <c r="R1416" t="str">
        <f>IF(tblSalaries[[#This Row],[Years of Experience]]="","",IF(AND(tblSalaries[[#This Row],[Years of Experience]]&gt;16,tblSalaries[[#This Row],[Years of Experience]]&lt;=20),1,""))</f>
        <v/>
      </c>
      <c r="S1416" t="str">
        <f>IF(tblSalaries[[#This Row],[Years of Experience]]="","",IF(tblSalaries[[#This Row],[Years of Experience]]&gt;20,1,""))</f>
        <v/>
      </c>
      <c r="T14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16" s="13" t="str">
        <f>IF(tblSalaries[[#This Row],[Job Type]]=tblSalaries[[#Headers],[Accountant]],tblSalaries[[#This Row],[Salary in USD]],"")</f>
        <v/>
      </c>
      <c r="V1416" s="13">
        <f>IF(tblSalaries[[#This Row],[Job Type]]=tblSalaries[[#Headers],[Analyst]],tblSalaries[[#This Row],[Salary in USD]],"")</f>
        <v>102000</v>
      </c>
      <c r="W1416" s="13" t="str">
        <f>IF(tblSalaries[[#This Row],[Job Type]]=tblSalaries[[#Headers],[Consultant]],tblSalaries[[#This Row],[Salary in USD]],"")</f>
        <v/>
      </c>
      <c r="X1416" s="13" t="str">
        <f>IF(tblSalaries[[#This Row],[Job Type]]=tblSalaries[[#Headers],[Controller]],tblSalaries[[#This Row],[Salary in USD]],"")</f>
        <v/>
      </c>
      <c r="Y1416" s="13" t="str">
        <f>IF(tblSalaries[[#This Row],[Job Type]]=tblSalaries[[#Headers],[CXO or Top Mgmt.]],tblSalaries[[#This Row],[clean Salary (in local currency)]],"")</f>
        <v/>
      </c>
      <c r="Z1416" s="13" t="str">
        <f>IF(tblSalaries[[#This Row],[Job Type]]=tblSalaries[[#Headers],[Engineer]],tblSalaries[[#This Row],[Salary in USD]],"")</f>
        <v/>
      </c>
      <c r="AA1416" s="13" t="str">
        <f>IF(tblSalaries[[#This Row],[Job Type]]=tblSalaries[[#Headers],[Manager]],tblSalaries[[#This Row],[Salary in USD]],"")</f>
        <v/>
      </c>
      <c r="AB1416" s="13" t="str">
        <f>IF(tblSalaries[[#This Row],[Job Type]]=tblSalaries[[#Headers],[Misc.]],tblSalaries[[#This Row],[Salary in USD]],"")</f>
        <v/>
      </c>
      <c r="AC1416" s="13" t="str">
        <f>IF(tblSalaries[[#This Row],[Job Type]]=tblSalaries[[#Headers],[Reporting]],tblSalaries[[#This Row],[Salary in USD]],"")</f>
        <v/>
      </c>
      <c r="AD1416" s="13" t="str">
        <f>IF(tblSalaries[[#This Row],[Job Type]]=tblSalaries[[#Headers],[Specialist]],tblSalaries[[#This Row],[Salary in USD]],"")</f>
        <v/>
      </c>
    </row>
    <row r="1417" spans="2:30" ht="15" customHeight="1" x14ac:dyDescent="0.25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 s="9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  <c r="N1417" t="str">
        <f>IF(tblSalaries[[#This Row],[Years of Experience]]="","",IF(tblSalaries[[#This Row],[Years of Experience]]&lt;=2,1,""))</f>
        <v/>
      </c>
      <c r="O1417">
        <f>IF(tblSalaries[[#This Row],[Years of Experience]]="","",IF(AND(tblSalaries[[#This Row],[Years of Experience]]&gt;2,tblSalaries[[#This Row],[Years of Experience]]&lt;=5),1,""))</f>
        <v>1</v>
      </c>
      <c r="P1417" t="str">
        <f>IF(tblSalaries[[#This Row],[Years of Experience]]="","",IF(AND(tblSalaries[[#This Row],[Years of Experience]]&gt;5,tblSalaries[[#This Row],[Years of Experience]]&lt;=10),1,""))</f>
        <v/>
      </c>
      <c r="Q1417" t="str">
        <f>IF(tblSalaries[[#This Row],[Years of Experience]]="","",IF(AND(tblSalaries[[#This Row],[Years of Experience]]&gt;10,tblSalaries[[#This Row],[Years of Experience]]&lt;=15),1,""))</f>
        <v/>
      </c>
      <c r="R1417" t="str">
        <f>IF(tblSalaries[[#This Row],[Years of Experience]]="","",IF(AND(tblSalaries[[#This Row],[Years of Experience]]&gt;16,tblSalaries[[#This Row],[Years of Experience]]&lt;=20),1,""))</f>
        <v/>
      </c>
      <c r="S1417" t="str">
        <f>IF(tblSalaries[[#This Row],[Years of Experience]]="","",IF(tblSalaries[[#This Row],[Years of Experience]]&gt;20,1,""))</f>
        <v/>
      </c>
      <c r="T14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17" s="13" t="str">
        <f>IF(tblSalaries[[#This Row],[Job Type]]=tblSalaries[[#Headers],[Accountant]],tblSalaries[[#This Row],[Salary in USD]],"")</f>
        <v/>
      </c>
      <c r="V1417" s="13" t="str">
        <f>IF(tblSalaries[[#This Row],[Job Type]]=tblSalaries[[#Headers],[Analyst]],tblSalaries[[#This Row],[Salary in USD]],"")</f>
        <v/>
      </c>
      <c r="W1417" s="13" t="str">
        <f>IF(tblSalaries[[#This Row],[Job Type]]=tblSalaries[[#Headers],[Consultant]],tblSalaries[[#This Row],[Salary in USD]],"")</f>
        <v/>
      </c>
      <c r="X1417" s="13" t="str">
        <f>IF(tblSalaries[[#This Row],[Job Type]]=tblSalaries[[#Headers],[Controller]],tblSalaries[[#This Row],[Salary in USD]],"")</f>
        <v/>
      </c>
      <c r="Y1417" s="13" t="str">
        <f>IF(tblSalaries[[#This Row],[Job Type]]=tblSalaries[[#Headers],[CXO or Top Mgmt.]],tblSalaries[[#This Row],[clean Salary (in local currency)]],"")</f>
        <v/>
      </c>
      <c r="Z1417" s="13" t="str">
        <f>IF(tblSalaries[[#This Row],[Job Type]]=tblSalaries[[#Headers],[Engineer]],tblSalaries[[#This Row],[Salary in USD]],"")</f>
        <v/>
      </c>
      <c r="AA1417" s="13">
        <f>IF(tblSalaries[[#This Row],[Job Type]]=tblSalaries[[#Headers],[Manager]],tblSalaries[[#This Row],[Salary in USD]],"")</f>
        <v>19008.034062397041</v>
      </c>
      <c r="AB1417" s="13" t="str">
        <f>IF(tblSalaries[[#This Row],[Job Type]]=tblSalaries[[#Headers],[Misc.]],tblSalaries[[#This Row],[Salary in USD]],"")</f>
        <v/>
      </c>
      <c r="AC1417" s="13" t="str">
        <f>IF(tblSalaries[[#This Row],[Job Type]]=tblSalaries[[#Headers],[Reporting]],tblSalaries[[#This Row],[Salary in USD]],"")</f>
        <v/>
      </c>
      <c r="AD1417" s="13" t="str">
        <f>IF(tblSalaries[[#This Row],[Job Type]]=tblSalaries[[#Headers],[Specialist]],tblSalaries[[#This Row],[Salary in USD]],"")</f>
        <v/>
      </c>
    </row>
    <row r="1418" spans="2:30" ht="15" customHeight="1" x14ac:dyDescent="0.25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 s="9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  <c r="N1418" t="str">
        <f>IF(tblSalaries[[#This Row],[Years of Experience]]="","",IF(tblSalaries[[#This Row],[Years of Experience]]&lt;=2,1,""))</f>
        <v/>
      </c>
      <c r="O1418">
        <f>IF(tblSalaries[[#This Row],[Years of Experience]]="","",IF(AND(tblSalaries[[#This Row],[Years of Experience]]&gt;2,tblSalaries[[#This Row],[Years of Experience]]&lt;=5),1,""))</f>
        <v>1</v>
      </c>
      <c r="P1418" t="str">
        <f>IF(tblSalaries[[#This Row],[Years of Experience]]="","",IF(AND(tblSalaries[[#This Row],[Years of Experience]]&gt;5,tblSalaries[[#This Row],[Years of Experience]]&lt;=10),1,""))</f>
        <v/>
      </c>
      <c r="Q1418" t="str">
        <f>IF(tblSalaries[[#This Row],[Years of Experience]]="","",IF(AND(tblSalaries[[#This Row],[Years of Experience]]&gt;10,tblSalaries[[#This Row],[Years of Experience]]&lt;=15),1,""))</f>
        <v/>
      </c>
      <c r="R1418" t="str">
        <f>IF(tblSalaries[[#This Row],[Years of Experience]]="","",IF(AND(tblSalaries[[#This Row],[Years of Experience]]&gt;16,tblSalaries[[#This Row],[Years of Experience]]&lt;=20),1,""))</f>
        <v/>
      </c>
      <c r="S1418" t="str">
        <f>IF(tblSalaries[[#This Row],[Years of Experience]]="","",IF(tblSalaries[[#This Row],[Years of Experience]]&gt;20,1,""))</f>
        <v/>
      </c>
      <c r="T14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18" s="13" t="str">
        <f>IF(tblSalaries[[#This Row],[Job Type]]=tblSalaries[[#Headers],[Accountant]],tblSalaries[[#This Row],[Salary in USD]],"")</f>
        <v/>
      </c>
      <c r="V1418" s="13">
        <f>IF(tblSalaries[[#This Row],[Job Type]]=tblSalaries[[#Headers],[Analyst]],tblSalaries[[#This Row],[Salary in USD]],"")</f>
        <v>4356</v>
      </c>
      <c r="W1418" s="13" t="str">
        <f>IF(tblSalaries[[#This Row],[Job Type]]=tblSalaries[[#Headers],[Consultant]],tblSalaries[[#This Row],[Salary in USD]],"")</f>
        <v/>
      </c>
      <c r="X1418" s="13" t="str">
        <f>IF(tblSalaries[[#This Row],[Job Type]]=tblSalaries[[#Headers],[Controller]],tblSalaries[[#This Row],[Salary in USD]],"")</f>
        <v/>
      </c>
      <c r="Y1418" s="13" t="str">
        <f>IF(tblSalaries[[#This Row],[Job Type]]=tblSalaries[[#Headers],[CXO or Top Mgmt.]],tblSalaries[[#This Row],[clean Salary (in local currency)]],"")</f>
        <v/>
      </c>
      <c r="Z1418" s="13" t="str">
        <f>IF(tblSalaries[[#This Row],[Job Type]]=tblSalaries[[#Headers],[Engineer]],tblSalaries[[#This Row],[Salary in USD]],"")</f>
        <v/>
      </c>
      <c r="AA1418" s="13" t="str">
        <f>IF(tblSalaries[[#This Row],[Job Type]]=tblSalaries[[#Headers],[Manager]],tblSalaries[[#This Row],[Salary in USD]],"")</f>
        <v/>
      </c>
      <c r="AB1418" s="13" t="str">
        <f>IF(tblSalaries[[#This Row],[Job Type]]=tblSalaries[[#Headers],[Misc.]],tblSalaries[[#This Row],[Salary in USD]],"")</f>
        <v/>
      </c>
      <c r="AC1418" s="13" t="str">
        <f>IF(tblSalaries[[#This Row],[Job Type]]=tblSalaries[[#Headers],[Reporting]],tblSalaries[[#This Row],[Salary in USD]],"")</f>
        <v/>
      </c>
      <c r="AD1418" s="13" t="str">
        <f>IF(tblSalaries[[#This Row],[Job Type]]=tblSalaries[[#Headers],[Specialist]],tblSalaries[[#This Row],[Salary in USD]],"")</f>
        <v/>
      </c>
    </row>
    <row r="1419" spans="2:30" ht="15" customHeight="1" x14ac:dyDescent="0.25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 s="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  <c r="N1419" t="str">
        <f>IF(tblSalaries[[#This Row],[Years of Experience]]="","",IF(tblSalaries[[#This Row],[Years of Experience]]&lt;=2,1,""))</f>
        <v/>
      </c>
      <c r="O1419">
        <f>IF(tblSalaries[[#This Row],[Years of Experience]]="","",IF(AND(tblSalaries[[#This Row],[Years of Experience]]&gt;2,tblSalaries[[#This Row],[Years of Experience]]&lt;=5),1,""))</f>
        <v>1</v>
      </c>
      <c r="P1419" t="str">
        <f>IF(tblSalaries[[#This Row],[Years of Experience]]="","",IF(AND(tblSalaries[[#This Row],[Years of Experience]]&gt;5,tblSalaries[[#This Row],[Years of Experience]]&lt;=10),1,""))</f>
        <v/>
      </c>
      <c r="Q1419" t="str">
        <f>IF(tblSalaries[[#This Row],[Years of Experience]]="","",IF(AND(tblSalaries[[#This Row],[Years of Experience]]&gt;10,tblSalaries[[#This Row],[Years of Experience]]&lt;=15),1,""))</f>
        <v/>
      </c>
      <c r="R1419" t="str">
        <f>IF(tblSalaries[[#This Row],[Years of Experience]]="","",IF(AND(tblSalaries[[#This Row],[Years of Experience]]&gt;16,tblSalaries[[#This Row],[Years of Experience]]&lt;=20),1,""))</f>
        <v/>
      </c>
      <c r="S1419" t="str">
        <f>IF(tblSalaries[[#This Row],[Years of Experience]]="","",IF(tblSalaries[[#This Row],[Years of Experience]]&gt;20,1,""))</f>
        <v/>
      </c>
      <c r="T14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19" s="13">
        <f>IF(tblSalaries[[#This Row],[Job Type]]=tblSalaries[[#Headers],[Accountant]],tblSalaries[[#This Row],[Salary in USD]],"")</f>
        <v>5342.3750062327708</v>
      </c>
      <c r="V1419" s="13" t="str">
        <f>IF(tblSalaries[[#This Row],[Job Type]]=tblSalaries[[#Headers],[Analyst]],tblSalaries[[#This Row],[Salary in USD]],"")</f>
        <v/>
      </c>
      <c r="W1419" s="13" t="str">
        <f>IF(tblSalaries[[#This Row],[Job Type]]=tblSalaries[[#Headers],[Consultant]],tblSalaries[[#This Row],[Salary in USD]],"")</f>
        <v/>
      </c>
      <c r="X1419" s="13" t="str">
        <f>IF(tblSalaries[[#This Row],[Job Type]]=tblSalaries[[#Headers],[Controller]],tblSalaries[[#This Row],[Salary in USD]],"")</f>
        <v/>
      </c>
      <c r="Y1419" s="13" t="str">
        <f>IF(tblSalaries[[#This Row],[Job Type]]=tblSalaries[[#Headers],[CXO or Top Mgmt.]],tblSalaries[[#This Row],[clean Salary (in local currency)]],"")</f>
        <v/>
      </c>
      <c r="Z1419" s="13" t="str">
        <f>IF(tblSalaries[[#This Row],[Job Type]]=tblSalaries[[#Headers],[Engineer]],tblSalaries[[#This Row],[Salary in USD]],"")</f>
        <v/>
      </c>
      <c r="AA1419" s="13" t="str">
        <f>IF(tblSalaries[[#This Row],[Job Type]]=tblSalaries[[#Headers],[Manager]],tblSalaries[[#This Row],[Salary in USD]],"")</f>
        <v/>
      </c>
      <c r="AB1419" s="13" t="str">
        <f>IF(tblSalaries[[#This Row],[Job Type]]=tblSalaries[[#Headers],[Misc.]],tblSalaries[[#This Row],[Salary in USD]],"")</f>
        <v/>
      </c>
      <c r="AC1419" s="13" t="str">
        <f>IF(tblSalaries[[#This Row],[Job Type]]=tblSalaries[[#Headers],[Reporting]],tblSalaries[[#This Row],[Salary in USD]],"")</f>
        <v/>
      </c>
      <c r="AD1419" s="13" t="str">
        <f>IF(tblSalaries[[#This Row],[Job Type]]=tblSalaries[[#Headers],[Specialist]],tblSalaries[[#This Row],[Salary in USD]],"")</f>
        <v/>
      </c>
    </row>
    <row r="1420" spans="2:30" ht="15" customHeight="1" x14ac:dyDescent="0.25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 s="9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  <c r="N1420" t="str">
        <f>IF(tblSalaries[[#This Row],[Years of Experience]]="","",IF(tblSalaries[[#This Row],[Years of Experience]]&lt;=2,1,""))</f>
        <v/>
      </c>
      <c r="O1420" t="str">
        <f>IF(tblSalaries[[#This Row],[Years of Experience]]="","",IF(AND(tblSalaries[[#This Row],[Years of Experience]]&gt;2,tblSalaries[[#This Row],[Years of Experience]]&lt;=5),1,""))</f>
        <v/>
      </c>
      <c r="P1420" t="str">
        <f>IF(tblSalaries[[#This Row],[Years of Experience]]="","",IF(AND(tblSalaries[[#This Row],[Years of Experience]]&gt;5,tblSalaries[[#This Row],[Years of Experience]]&lt;=10),1,""))</f>
        <v/>
      </c>
      <c r="Q1420" t="str">
        <f>IF(tblSalaries[[#This Row],[Years of Experience]]="","",IF(AND(tblSalaries[[#This Row],[Years of Experience]]&gt;10,tblSalaries[[#This Row],[Years of Experience]]&lt;=15),1,""))</f>
        <v/>
      </c>
      <c r="R1420">
        <f>IF(tblSalaries[[#This Row],[Years of Experience]]="","",IF(AND(tblSalaries[[#This Row],[Years of Experience]]&gt;16,tblSalaries[[#This Row],[Years of Experience]]&lt;=20),1,""))</f>
        <v>1</v>
      </c>
      <c r="S1420" t="str">
        <f>IF(tblSalaries[[#This Row],[Years of Experience]]="","",IF(tblSalaries[[#This Row],[Years of Experience]]&gt;20,1,""))</f>
        <v/>
      </c>
      <c r="T14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20" s="13" t="str">
        <f>IF(tblSalaries[[#This Row],[Job Type]]=tblSalaries[[#Headers],[Accountant]],tblSalaries[[#This Row],[Salary in USD]],"")</f>
        <v/>
      </c>
      <c r="V1420" s="13" t="str">
        <f>IF(tblSalaries[[#This Row],[Job Type]]=tblSalaries[[#Headers],[Analyst]],tblSalaries[[#This Row],[Salary in USD]],"")</f>
        <v/>
      </c>
      <c r="W1420" s="13" t="str">
        <f>IF(tblSalaries[[#This Row],[Job Type]]=tblSalaries[[#Headers],[Consultant]],tblSalaries[[#This Row],[Salary in USD]],"")</f>
        <v/>
      </c>
      <c r="X1420" s="13" t="str">
        <f>IF(tblSalaries[[#This Row],[Job Type]]=tblSalaries[[#Headers],[Controller]],tblSalaries[[#This Row],[Salary in USD]],"")</f>
        <v/>
      </c>
      <c r="Y1420" s="13" t="str">
        <f>IF(tblSalaries[[#This Row],[Job Type]]=tblSalaries[[#Headers],[CXO or Top Mgmt.]],tblSalaries[[#This Row],[clean Salary (in local currency)]],"")</f>
        <v/>
      </c>
      <c r="Z1420" s="13" t="str">
        <f>IF(tblSalaries[[#This Row],[Job Type]]=tblSalaries[[#Headers],[Engineer]],tblSalaries[[#This Row],[Salary in USD]],"")</f>
        <v/>
      </c>
      <c r="AA1420" s="13">
        <f>IF(tblSalaries[[#This Row],[Job Type]]=tblSalaries[[#Headers],[Manager]],tblSalaries[[#This Row],[Salary in USD]],"")</f>
        <v>67000</v>
      </c>
      <c r="AB1420" s="13" t="str">
        <f>IF(tblSalaries[[#This Row],[Job Type]]=tblSalaries[[#Headers],[Misc.]],tblSalaries[[#This Row],[Salary in USD]],"")</f>
        <v/>
      </c>
      <c r="AC1420" s="13" t="str">
        <f>IF(tblSalaries[[#This Row],[Job Type]]=tblSalaries[[#Headers],[Reporting]],tblSalaries[[#This Row],[Salary in USD]],"")</f>
        <v/>
      </c>
      <c r="AD1420" s="13" t="str">
        <f>IF(tblSalaries[[#This Row],[Job Type]]=tblSalaries[[#Headers],[Specialist]],tblSalaries[[#This Row],[Salary in USD]],"")</f>
        <v/>
      </c>
    </row>
    <row r="1421" spans="2:30" ht="15" customHeight="1" x14ac:dyDescent="0.25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 s="9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  <c r="N1421" t="str">
        <f>IF(tblSalaries[[#This Row],[Years of Experience]]="","",IF(tblSalaries[[#This Row],[Years of Experience]]&lt;=2,1,""))</f>
        <v/>
      </c>
      <c r="O1421" t="str">
        <f>IF(tblSalaries[[#This Row],[Years of Experience]]="","",IF(AND(tblSalaries[[#This Row],[Years of Experience]]&gt;2,tblSalaries[[#This Row],[Years of Experience]]&lt;=5),1,""))</f>
        <v/>
      </c>
      <c r="P1421">
        <f>IF(tblSalaries[[#This Row],[Years of Experience]]="","",IF(AND(tblSalaries[[#This Row],[Years of Experience]]&gt;5,tblSalaries[[#This Row],[Years of Experience]]&lt;=10),1,""))</f>
        <v>1</v>
      </c>
      <c r="Q1421" t="str">
        <f>IF(tblSalaries[[#This Row],[Years of Experience]]="","",IF(AND(tblSalaries[[#This Row],[Years of Experience]]&gt;10,tblSalaries[[#This Row],[Years of Experience]]&lt;=15),1,""))</f>
        <v/>
      </c>
      <c r="R1421" t="str">
        <f>IF(tblSalaries[[#This Row],[Years of Experience]]="","",IF(AND(tblSalaries[[#This Row],[Years of Experience]]&gt;16,tblSalaries[[#This Row],[Years of Experience]]&lt;=20),1,""))</f>
        <v/>
      </c>
      <c r="S1421" t="str">
        <f>IF(tblSalaries[[#This Row],[Years of Experience]]="","",IF(tblSalaries[[#This Row],[Years of Experience]]&gt;20,1,""))</f>
        <v/>
      </c>
      <c r="T14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21" s="13" t="str">
        <f>IF(tblSalaries[[#This Row],[Job Type]]=tblSalaries[[#Headers],[Accountant]],tblSalaries[[#This Row],[Salary in USD]],"")</f>
        <v/>
      </c>
      <c r="V1421" s="13">
        <f>IF(tblSalaries[[#This Row],[Job Type]]=tblSalaries[[#Headers],[Analyst]],tblSalaries[[#This Row],[Salary in USD]],"")</f>
        <v>8547.8000099724322</v>
      </c>
      <c r="W1421" s="13" t="str">
        <f>IF(tblSalaries[[#This Row],[Job Type]]=tblSalaries[[#Headers],[Consultant]],tblSalaries[[#This Row],[Salary in USD]],"")</f>
        <v/>
      </c>
      <c r="X1421" s="13" t="str">
        <f>IF(tblSalaries[[#This Row],[Job Type]]=tblSalaries[[#Headers],[Controller]],tblSalaries[[#This Row],[Salary in USD]],"")</f>
        <v/>
      </c>
      <c r="Y1421" s="13" t="str">
        <f>IF(tblSalaries[[#This Row],[Job Type]]=tblSalaries[[#Headers],[CXO or Top Mgmt.]],tblSalaries[[#This Row],[clean Salary (in local currency)]],"")</f>
        <v/>
      </c>
      <c r="Z1421" s="13" t="str">
        <f>IF(tblSalaries[[#This Row],[Job Type]]=tblSalaries[[#Headers],[Engineer]],tblSalaries[[#This Row],[Salary in USD]],"")</f>
        <v/>
      </c>
      <c r="AA1421" s="13" t="str">
        <f>IF(tblSalaries[[#This Row],[Job Type]]=tblSalaries[[#Headers],[Manager]],tblSalaries[[#This Row],[Salary in USD]],"")</f>
        <v/>
      </c>
      <c r="AB1421" s="13" t="str">
        <f>IF(tblSalaries[[#This Row],[Job Type]]=tblSalaries[[#Headers],[Misc.]],tblSalaries[[#This Row],[Salary in USD]],"")</f>
        <v/>
      </c>
      <c r="AC1421" s="13" t="str">
        <f>IF(tblSalaries[[#This Row],[Job Type]]=tblSalaries[[#Headers],[Reporting]],tblSalaries[[#This Row],[Salary in USD]],"")</f>
        <v/>
      </c>
      <c r="AD1421" s="13" t="str">
        <f>IF(tblSalaries[[#This Row],[Job Type]]=tblSalaries[[#Headers],[Specialist]],tblSalaries[[#This Row],[Salary in USD]],"")</f>
        <v/>
      </c>
    </row>
    <row r="1422" spans="2:30" ht="15" customHeight="1" x14ac:dyDescent="0.25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 s="9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  <c r="N1422" t="str">
        <f>IF(tblSalaries[[#This Row],[Years of Experience]]="","",IF(tblSalaries[[#This Row],[Years of Experience]]&lt;=2,1,""))</f>
        <v/>
      </c>
      <c r="O1422">
        <f>IF(tblSalaries[[#This Row],[Years of Experience]]="","",IF(AND(tblSalaries[[#This Row],[Years of Experience]]&gt;2,tblSalaries[[#This Row],[Years of Experience]]&lt;=5),1,""))</f>
        <v>1</v>
      </c>
      <c r="P1422" t="str">
        <f>IF(tblSalaries[[#This Row],[Years of Experience]]="","",IF(AND(tblSalaries[[#This Row],[Years of Experience]]&gt;5,tblSalaries[[#This Row],[Years of Experience]]&lt;=10),1,""))</f>
        <v/>
      </c>
      <c r="Q1422" t="str">
        <f>IF(tblSalaries[[#This Row],[Years of Experience]]="","",IF(AND(tblSalaries[[#This Row],[Years of Experience]]&gt;10,tblSalaries[[#This Row],[Years of Experience]]&lt;=15),1,""))</f>
        <v/>
      </c>
      <c r="R1422" t="str">
        <f>IF(tblSalaries[[#This Row],[Years of Experience]]="","",IF(AND(tblSalaries[[#This Row],[Years of Experience]]&gt;16,tblSalaries[[#This Row],[Years of Experience]]&lt;=20),1,""))</f>
        <v/>
      </c>
      <c r="S1422" t="str">
        <f>IF(tblSalaries[[#This Row],[Years of Experience]]="","",IF(tblSalaries[[#This Row],[Years of Experience]]&gt;20,1,""))</f>
        <v/>
      </c>
      <c r="T14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22" s="13" t="str">
        <f>IF(tblSalaries[[#This Row],[Job Type]]=tblSalaries[[#Headers],[Accountant]],tblSalaries[[#This Row],[Salary in USD]],"")</f>
        <v/>
      </c>
      <c r="V1422" s="13">
        <f>IF(tblSalaries[[#This Row],[Job Type]]=tblSalaries[[#Headers],[Analyst]],tblSalaries[[#This Row],[Salary in USD]],"")</f>
        <v>16027.125018698311</v>
      </c>
      <c r="W1422" s="13" t="str">
        <f>IF(tblSalaries[[#This Row],[Job Type]]=tblSalaries[[#Headers],[Consultant]],tblSalaries[[#This Row],[Salary in USD]],"")</f>
        <v/>
      </c>
      <c r="X1422" s="13" t="str">
        <f>IF(tblSalaries[[#This Row],[Job Type]]=tblSalaries[[#Headers],[Controller]],tblSalaries[[#This Row],[Salary in USD]],"")</f>
        <v/>
      </c>
      <c r="Y1422" s="13" t="str">
        <f>IF(tblSalaries[[#This Row],[Job Type]]=tblSalaries[[#Headers],[CXO or Top Mgmt.]],tblSalaries[[#This Row],[clean Salary (in local currency)]],"")</f>
        <v/>
      </c>
      <c r="Z1422" s="13" t="str">
        <f>IF(tblSalaries[[#This Row],[Job Type]]=tblSalaries[[#Headers],[Engineer]],tblSalaries[[#This Row],[Salary in USD]],"")</f>
        <v/>
      </c>
      <c r="AA1422" s="13" t="str">
        <f>IF(tblSalaries[[#This Row],[Job Type]]=tblSalaries[[#Headers],[Manager]],tblSalaries[[#This Row],[Salary in USD]],"")</f>
        <v/>
      </c>
      <c r="AB1422" s="13" t="str">
        <f>IF(tblSalaries[[#This Row],[Job Type]]=tblSalaries[[#Headers],[Misc.]],tblSalaries[[#This Row],[Salary in USD]],"")</f>
        <v/>
      </c>
      <c r="AC1422" s="13" t="str">
        <f>IF(tblSalaries[[#This Row],[Job Type]]=tblSalaries[[#Headers],[Reporting]],tblSalaries[[#This Row],[Salary in USD]],"")</f>
        <v/>
      </c>
      <c r="AD1422" s="13" t="str">
        <f>IF(tblSalaries[[#This Row],[Job Type]]=tblSalaries[[#Headers],[Specialist]],tblSalaries[[#This Row],[Salary in USD]],"")</f>
        <v/>
      </c>
    </row>
    <row r="1423" spans="2:30" ht="15" customHeight="1" x14ac:dyDescent="0.25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 s="9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  <c r="N1423" t="str">
        <f>IF(tblSalaries[[#This Row],[Years of Experience]]="","",IF(tblSalaries[[#This Row],[Years of Experience]]&lt;=2,1,""))</f>
        <v/>
      </c>
      <c r="O1423" t="str">
        <f>IF(tblSalaries[[#This Row],[Years of Experience]]="","",IF(AND(tblSalaries[[#This Row],[Years of Experience]]&gt;2,tblSalaries[[#This Row],[Years of Experience]]&lt;=5),1,""))</f>
        <v/>
      </c>
      <c r="P1423" t="str">
        <f>IF(tblSalaries[[#This Row],[Years of Experience]]="","",IF(AND(tblSalaries[[#This Row],[Years of Experience]]&gt;5,tblSalaries[[#This Row],[Years of Experience]]&lt;=10),1,""))</f>
        <v/>
      </c>
      <c r="Q1423" t="str">
        <f>IF(tblSalaries[[#This Row],[Years of Experience]]="","",IF(AND(tblSalaries[[#This Row],[Years of Experience]]&gt;10,tblSalaries[[#This Row],[Years of Experience]]&lt;=15),1,""))</f>
        <v/>
      </c>
      <c r="R1423" t="str">
        <f>IF(tblSalaries[[#This Row],[Years of Experience]]="","",IF(AND(tblSalaries[[#This Row],[Years of Experience]]&gt;16,tblSalaries[[#This Row],[Years of Experience]]&lt;=20),1,""))</f>
        <v/>
      </c>
      <c r="S1423">
        <f>IF(tblSalaries[[#This Row],[Years of Experience]]="","",IF(tblSalaries[[#This Row],[Years of Experience]]&gt;20,1,""))</f>
        <v>1</v>
      </c>
      <c r="T14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23" s="13" t="str">
        <f>IF(tblSalaries[[#This Row],[Job Type]]=tblSalaries[[#Headers],[Accountant]],tblSalaries[[#This Row],[Salary in USD]],"")</f>
        <v/>
      </c>
      <c r="V1423" s="13" t="str">
        <f>IF(tblSalaries[[#This Row],[Job Type]]=tblSalaries[[#Headers],[Analyst]],tblSalaries[[#This Row],[Salary in USD]],"")</f>
        <v/>
      </c>
      <c r="W1423" s="13">
        <f>IF(tblSalaries[[#This Row],[Job Type]]=tblSalaries[[#Headers],[Consultant]],tblSalaries[[#This Row],[Salary in USD]],"")</f>
        <v>10684.750012465542</v>
      </c>
      <c r="X1423" s="13" t="str">
        <f>IF(tblSalaries[[#This Row],[Job Type]]=tblSalaries[[#Headers],[Controller]],tblSalaries[[#This Row],[Salary in USD]],"")</f>
        <v/>
      </c>
      <c r="Y1423" s="13" t="str">
        <f>IF(tblSalaries[[#This Row],[Job Type]]=tblSalaries[[#Headers],[CXO or Top Mgmt.]],tblSalaries[[#This Row],[clean Salary (in local currency)]],"")</f>
        <v/>
      </c>
      <c r="Z1423" s="13" t="str">
        <f>IF(tblSalaries[[#This Row],[Job Type]]=tblSalaries[[#Headers],[Engineer]],tblSalaries[[#This Row],[Salary in USD]],"")</f>
        <v/>
      </c>
      <c r="AA1423" s="13" t="str">
        <f>IF(tblSalaries[[#This Row],[Job Type]]=tblSalaries[[#Headers],[Manager]],tblSalaries[[#This Row],[Salary in USD]],"")</f>
        <v/>
      </c>
      <c r="AB1423" s="13" t="str">
        <f>IF(tblSalaries[[#This Row],[Job Type]]=tblSalaries[[#Headers],[Misc.]],tblSalaries[[#This Row],[Salary in USD]],"")</f>
        <v/>
      </c>
      <c r="AC1423" s="13" t="str">
        <f>IF(tblSalaries[[#This Row],[Job Type]]=tblSalaries[[#Headers],[Reporting]],tblSalaries[[#This Row],[Salary in USD]],"")</f>
        <v/>
      </c>
      <c r="AD1423" s="13" t="str">
        <f>IF(tblSalaries[[#This Row],[Job Type]]=tblSalaries[[#Headers],[Specialist]],tblSalaries[[#This Row],[Salary in USD]],"")</f>
        <v/>
      </c>
    </row>
    <row r="1424" spans="2:30" ht="15" customHeight="1" x14ac:dyDescent="0.25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 s="9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  <c r="N1424" t="str">
        <f>IF(tblSalaries[[#This Row],[Years of Experience]]="","",IF(tblSalaries[[#This Row],[Years of Experience]]&lt;=2,1,""))</f>
        <v/>
      </c>
      <c r="O1424" t="str">
        <f>IF(tblSalaries[[#This Row],[Years of Experience]]="","",IF(AND(tblSalaries[[#This Row],[Years of Experience]]&gt;2,tblSalaries[[#This Row],[Years of Experience]]&lt;=5),1,""))</f>
        <v/>
      </c>
      <c r="P1424">
        <f>IF(tblSalaries[[#This Row],[Years of Experience]]="","",IF(AND(tblSalaries[[#This Row],[Years of Experience]]&gt;5,tblSalaries[[#This Row],[Years of Experience]]&lt;=10),1,""))</f>
        <v>1</v>
      </c>
      <c r="Q1424" t="str">
        <f>IF(tblSalaries[[#This Row],[Years of Experience]]="","",IF(AND(tblSalaries[[#This Row],[Years of Experience]]&gt;10,tblSalaries[[#This Row],[Years of Experience]]&lt;=15),1,""))</f>
        <v/>
      </c>
      <c r="R1424" t="str">
        <f>IF(tblSalaries[[#This Row],[Years of Experience]]="","",IF(AND(tblSalaries[[#This Row],[Years of Experience]]&gt;16,tblSalaries[[#This Row],[Years of Experience]]&lt;=20),1,""))</f>
        <v/>
      </c>
      <c r="S1424" t="str">
        <f>IF(tblSalaries[[#This Row],[Years of Experience]]="","",IF(tblSalaries[[#This Row],[Years of Experience]]&gt;20,1,""))</f>
        <v/>
      </c>
      <c r="T14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24" s="13">
        <f>IF(tblSalaries[[#This Row],[Job Type]]=tblSalaries[[#Headers],[Accountant]],tblSalaries[[#This Row],[Salary in USD]],"")</f>
        <v>30000</v>
      </c>
      <c r="V1424" s="13" t="str">
        <f>IF(tblSalaries[[#This Row],[Job Type]]=tblSalaries[[#Headers],[Analyst]],tblSalaries[[#This Row],[Salary in USD]],"")</f>
        <v/>
      </c>
      <c r="W1424" s="13" t="str">
        <f>IF(tblSalaries[[#This Row],[Job Type]]=tblSalaries[[#Headers],[Consultant]],tblSalaries[[#This Row],[Salary in USD]],"")</f>
        <v/>
      </c>
      <c r="X1424" s="13" t="str">
        <f>IF(tblSalaries[[#This Row],[Job Type]]=tblSalaries[[#Headers],[Controller]],tblSalaries[[#This Row],[Salary in USD]],"")</f>
        <v/>
      </c>
      <c r="Y1424" s="13" t="str">
        <f>IF(tblSalaries[[#This Row],[Job Type]]=tblSalaries[[#Headers],[CXO or Top Mgmt.]],tblSalaries[[#This Row],[clean Salary (in local currency)]],"")</f>
        <v/>
      </c>
      <c r="Z1424" s="13" t="str">
        <f>IF(tblSalaries[[#This Row],[Job Type]]=tblSalaries[[#Headers],[Engineer]],tblSalaries[[#This Row],[Salary in USD]],"")</f>
        <v/>
      </c>
      <c r="AA1424" s="13" t="str">
        <f>IF(tblSalaries[[#This Row],[Job Type]]=tblSalaries[[#Headers],[Manager]],tblSalaries[[#This Row],[Salary in USD]],"")</f>
        <v/>
      </c>
      <c r="AB1424" s="13" t="str">
        <f>IF(tblSalaries[[#This Row],[Job Type]]=tblSalaries[[#Headers],[Misc.]],tblSalaries[[#This Row],[Salary in USD]],"")</f>
        <v/>
      </c>
      <c r="AC1424" s="13" t="str">
        <f>IF(tblSalaries[[#This Row],[Job Type]]=tblSalaries[[#Headers],[Reporting]],tblSalaries[[#This Row],[Salary in USD]],"")</f>
        <v/>
      </c>
      <c r="AD1424" s="13" t="str">
        <f>IF(tblSalaries[[#This Row],[Job Type]]=tblSalaries[[#Headers],[Specialist]],tblSalaries[[#This Row],[Salary in USD]],"")</f>
        <v/>
      </c>
    </row>
    <row r="1425" spans="2:30" ht="15" customHeight="1" x14ac:dyDescent="0.25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 s="9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  <c r="N1425">
        <f>IF(tblSalaries[[#This Row],[Years of Experience]]="","",IF(tblSalaries[[#This Row],[Years of Experience]]&lt;=2,1,""))</f>
        <v>1</v>
      </c>
      <c r="O1425" t="str">
        <f>IF(tblSalaries[[#This Row],[Years of Experience]]="","",IF(AND(tblSalaries[[#This Row],[Years of Experience]]&gt;2,tblSalaries[[#This Row],[Years of Experience]]&lt;=5),1,""))</f>
        <v/>
      </c>
      <c r="P1425" t="str">
        <f>IF(tblSalaries[[#This Row],[Years of Experience]]="","",IF(AND(tblSalaries[[#This Row],[Years of Experience]]&gt;5,tblSalaries[[#This Row],[Years of Experience]]&lt;=10),1,""))</f>
        <v/>
      </c>
      <c r="Q1425" t="str">
        <f>IF(tblSalaries[[#This Row],[Years of Experience]]="","",IF(AND(tblSalaries[[#This Row],[Years of Experience]]&gt;10,tblSalaries[[#This Row],[Years of Experience]]&lt;=15),1,""))</f>
        <v/>
      </c>
      <c r="R1425" t="str">
        <f>IF(tblSalaries[[#This Row],[Years of Experience]]="","",IF(AND(tblSalaries[[#This Row],[Years of Experience]]&gt;16,tblSalaries[[#This Row],[Years of Experience]]&lt;=20),1,""))</f>
        <v/>
      </c>
      <c r="S1425" t="str">
        <f>IF(tblSalaries[[#This Row],[Years of Experience]]="","",IF(tblSalaries[[#This Row],[Years of Experience]]&gt;20,1,""))</f>
        <v/>
      </c>
      <c r="T14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25" s="13" t="str">
        <f>IF(tblSalaries[[#This Row],[Job Type]]=tblSalaries[[#Headers],[Accountant]],tblSalaries[[#This Row],[Salary in USD]],"")</f>
        <v/>
      </c>
      <c r="V1425" s="13" t="str">
        <f>IF(tblSalaries[[#This Row],[Job Type]]=tblSalaries[[#Headers],[Analyst]],tblSalaries[[#This Row],[Salary in USD]],"")</f>
        <v/>
      </c>
      <c r="W1425" s="13" t="str">
        <f>IF(tblSalaries[[#This Row],[Job Type]]=tblSalaries[[#Headers],[Consultant]],tblSalaries[[#This Row],[Salary in USD]],"")</f>
        <v/>
      </c>
      <c r="X1425" s="13" t="str">
        <f>IF(tblSalaries[[#This Row],[Job Type]]=tblSalaries[[#Headers],[Controller]],tblSalaries[[#This Row],[Salary in USD]],"")</f>
        <v/>
      </c>
      <c r="Y1425" s="13" t="str">
        <f>IF(tblSalaries[[#This Row],[Job Type]]=tblSalaries[[#Headers],[CXO or Top Mgmt.]],tblSalaries[[#This Row],[clean Salary (in local currency)]],"")</f>
        <v/>
      </c>
      <c r="Z1425" s="13" t="str">
        <f>IF(tblSalaries[[#This Row],[Job Type]]=tblSalaries[[#Headers],[Engineer]],tblSalaries[[#This Row],[Salary in USD]],"")</f>
        <v/>
      </c>
      <c r="AA1425" s="13">
        <f>IF(tblSalaries[[#This Row],[Job Type]]=tblSalaries[[#Headers],[Manager]],tblSalaries[[#This Row],[Salary in USD]],"")</f>
        <v>8903.9583437212841</v>
      </c>
      <c r="AB1425" s="13" t="str">
        <f>IF(tblSalaries[[#This Row],[Job Type]]=tblSalaries[[#Headers],[Misc.]],tblSalaries[[#This Row],[Salary in USD]],"")</f>
        <v/>
      </c>
      <c r="AC1425" s="13" t="str">
        <f>IF(tblSalaries[[#This Row],[Job Type]]=tblSalaries[[#Headers],[Reporting]],tblSalaries[[#This Row],[Salary in USD]],"")</f>
        <v/>
      </c>
      <c r="AD1425" s="13" t="str">
        <f>IF(tblSalaries[[#This Row],[Job Type]]=tblSalaries[[#Headers],[Specialist]],tblSalaries[[#This Row],[Salary in USD]],"")</f>
        <v/>
      </c>
    </row>
    <row r="1426" spans="2:30" ht="15" customHeight="1" x14ac:dyDescent="0.25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 s="9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  <c r="N1426" t="str">
        <f>IF(tblSalaries[[#This Row],[Years of Experience]]="","",IF(tblSalaries[[#This Row],[Years of Experience]]&lt;=2,1,""))</f>
        <v/>
      </c>
      <c r="O1426" t="str">
        <f>IF(tblSalaries[[#This Row],[Years of Experience]]="","",IF(AND(tblSalaries[[#This Row],[Years of Experience]]&gt;2,tblSalaries[[#This Row],[Years of Experience]]&lt;=5),1,""))</f>
        <v/>
      </c>
      <c r="P1426">
        <f>IF(tblSalaries[[#This Row],[Years of Experience]]="","",IF(AND(tblSalaries[[#This Row],[Years of Experience]]&gt;5,tblSalaries[[#This Row],[Years of Experience]]&lt;=10),1,""))</f>
        <v>1</v>
      </c>
      <c r="Q1426" t="str">
        <f>IF(tblSalaries[[#This Row],[Years of Experience]]="","",IF(AND(tblSalaries[[#This Row],[Years of Experience]]&gt;10,tblSalaries[[#This Row],[Years of Experience]]&lt;=15),1,""))</f>
        <v/>
      </c>
      <c r="R1426" t="str">
        <f>IF(tblSalaries[[#This Row],[Years of Experience]]="","",IF(AND(tblSalaries[[#This Row],[Years of Experience]]&gt;16,tblSalaries[[#This Row],[Years of Experience]]&lt;=20),1,""))</f>
        <v/>
      </c>
      <c r="S1426" t="str">
        <f>IF(tblSalaries[[#This Row],[Years of Experience]]="","",IF(tblSalaries[[#This Row],[Years of Experience]]&gt;20,1,""))</f>
        <v/>
      </c>
      <c r="T14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26" s="13" t="str">
        <f>IF(tblSalaries[[#This Row],[Job Type]]=tblSalaries[[#Headers],[Accountant]],tblSalaries[[#This Row],[Salary in USD]],"")</f>
        <v/>
      </c>
      <c r="V1426" s="13" t="str">
        <f>IF(tblSalaries[[#This Row],[Job Type]]=tblSalaries[[#Headers],[Analyst]],tblSalaries[[#This Row],[Salary in USD]],"")</f>
        <v/>
      </c>
      <c r="W1426" s="13" t="str">
        <f>IF(tblSalaries[[#This Row],[Job Type]]=tblSalaries[[#Headers],[Consultant]],tblSalaries[[#This Row],[Salary in USD]],"")</f>
        <v/>
      </c>
      <c r="X1426" s="13" t="str">
        <f>IF(tblSalaries[[#This Row],[Job Type]]=tblSalaries[[#Headers],[Controller]],tblSalaries[[#This Row],[Salary in USD]],"")</f>
        <v/>
      </c>
      <c r="Y1426" s="13" t="str">
        <f>IF(tblSalaries[[#This Row],[Job Type]]=tblSalaries[[#Headers],[CXO or Top Mgmt.]],tblSalaries[[#This Row],[clean Salary (in local currency)]],"")</f>
        <v/>
      </c>
      <c r="Z1426" s="13" t="str">
        <f>IF(tblSalaries[[#This Row],[Job Type]]=tblSalaries[[#Headers],[Engineer]],tblSalaries[[#This Row],[Salary in USD]],"")</f>
        <v/>
      </c>
      <c r="AA1426" s="13">
        <f>IF(tblSalaries[[#This Row],[Job Type]]=tblSalaries[[#Headers],[Manager]],tblSalaries[[#This Row],[Salary in USD]],"")</f>
        <v>20000</v>
      </c>
      <c r="AB1426" s="13" t="str">
        <f>IF(tblSalaries[[#This Row],[Job Type]]=tblSalaries[[#Headers],[Misc.]],tblSalaries[[#This Row],[Salary in USD]],"")</f>
        <v/>
      </c>
      <c r="AC1426" s="13" t="str">
        <f>IF(tblSalaries[[#This Row],[Job Type]]=tblSalaries[[#Headers],[Reporting]],tblSalaries[[#This Row],[Salary in USD]],"")</f>
        <v/>
      </c>
      <c r="AD1426" s="13" t="str">
        <f>IF(tblSalaries[[#This Row],[Job Type]]=tblSalaries[[#Headers],[Specialist]],tblSalaries[[#This Row],[Salary in USD]],"")</f>
        <v/>
      </c>
    </row>
    <row r="1427" spans="2:30" ht="15" customHeight="1" x14ac:dyDescent="0.25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 s="9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  <c r="N1427" t="str">
        <f>IF(tblSalaries[[#This Row],[Years of Experience]]="","",IF(tblSalaries[[#This Row],[Years of Experience]]&lt;=2,1,""))</f>
        <v/>
      </c>
      <c r="O1427" t="str">
        <f>IF(tblSalaries[[#This Row],[Years of Experience]]="","",IF(AND(tblSalaries[[#This Row],[Years of Experience]]&gt;2,tblSalaries[[#This Row],[Years of Experience]]&lt;=5),1,""))</f>
        <v/>
      </c>
      <c r="P1427">
        <f>IF(tblSalaries[[#This Row],[Years of Experience]]="","",IF(AND(tblSalaries[[#This Row],[Years of Experience]]&gt;5,tblSalaries[[#This Row],[Years of Experience]]&lt;=10),1,""))</f>
        <v>1</v>
      </c>
      <c r="Q1427" t="str">
        <f>IF(tblSalaries[[#This Row],[Years of Experience]]="","",IF(AND(tblSalaries[[#This Row],[Years of Experience]]&gt;10,tblSalaries[[#This Row],[Years of Experience]]&lt;=15),1,""))</f>
        <v/>
      </c>
      <c r="R1427" t="str">
        <f>IF(tblSalaries[[#This Row],[Years of Experience]]="","",IF(AND(tblSalaries[[#This Row],[Years of Experience]]&gt;16,tblSalaries[[#This Row],[Years of Experience]]&lt;=20),1,""))</f>
        <v/>
      </c>
      <c r="S1427" t="str">
        <f>IF(tblSalaries[[#This Row],[Years of Experience]]="","",IF(tblSalaries[[#This Row],[Years of Experience]]&gt;20,1,""))</f>
        <v/>
      </c>
      <c r="T14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27" s="13" t="str">
        <f>IF(tblSalaries[[#This Row],[Job Type]]=tblSalaries[[#Headers],[Accountant]],tblSalaries[[#This Row],[Salary in USD]],"")</f>
        <v/>
      </c>
      <c r="V1427" s="13">
        <f>IF(tblSalaries[[#This Row],[Job Type]]=tblSalaries[[#Headers],[Analyst]],tblSalaries[[#This Row],[Salary in USD]],"")</f>
        <v>87712.230450626681</v>
      </c>
      <c r="W1427" s="13" t="str">
        <f>IF(tblSalaries[[#This Row],[Job Type]]=tblSalaries[[#Headers],[Consultant]],tblSalaries[[#This Row],[Salary in USD]],"")</f>
        <v/>
      </c>
      <c r="X1427" s="13" t="str">
        <f>IF(tblSalaries[[#This Row],[Job Type]]=tblSalaries[[#Headers],[Controller]],tblSalaries[[#This Row],[Salary in USD]],"")</f>
        <v/>
      </c>
      <c r="Y1427" s="13" t="str">
        <f>IF(tblSalaries[[#This Row],[Job Type]]=tblSalaries[[#Headers],[CXO or Top Mgmt.]],tblSalaries[[#This Row],[clean Salary (in local currency)]],"")</f>
        <v/>
      </c>
      <c r="Z1427" s="13" t="str">
        <f>IF(tblSalaries[[#This Row],[Job Type]]=tblSalaries[[#Headers],[Engineer]],tblSalaries[[#This Row],[Salary in USD]],"")</f>
        <v/>
      </c>
      <c r="AA1427" s="13" t="str">
        <f>IF(tblSalaries[[#This Row],[Job Type]]=tblSalaries[[#Headers],[Manager]],tblSalaries[[#This Row],[Salary in USD]],"")</f>
        <v/>
      </c>
      <c r="AB1427" s="13" t="str">
        <f>IF(tblSalaries[[#This Row],[Job Type]]=tblSalaries[[#Headers],[Misc.]],tblSalaries[[#This Row],[Salary in USD]],"")</f>
        <v/>
      </c>
      <c r="AC1427" s="13" t="str">
        <f>IF(tblSalaries[[#This Row],[Job Type]]=tblSalaries[[#Headers],[Reporting]],tblSalaries[[#This Row],[Salary in USD]],"")</f>
        <v/>
      </c>
      <c r="AD1427" s="13" t="str">
        <f>IF(tblSalaries[[#This Row],[Job Type]]=tblSalaries[[#Headers],[Specialist]],tblSalaries[[#This Row],[Salary in USD]],"")</f>
        <v/>
      </c>
    </row>
    <row r="1428" spans="2:30" ht="15" customHeight="1" x14ac:dyDescent="0.25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 s="9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  <c r="N1428" t="str">
        <f>IF(tblSalaries[[#This Row],[Years of Experience]]="","",IF(tblSalaries[[#This Row],[Years of Experience]]&lt;=2,1,""))</f>
        <v/>
      </c>
      <c r="O1428" t="str">
        <f>IF(tblSalaries[[#This Row],[Years of Experience]]="","",IF(AND(tblSalaries[[#This Row],[Years of Experience]]&gt;2,tblSalaries[[#This Row],[Years of Experience]]&lt;=5),1,""))</f>
        <v/>
      </c>
      <c r="P1428">
        <f>IF(tblSalaries[[#This Row],[Years of Experience]]="","",IF(AND(tblSalaries[[#This Row],[Years of Experience]]&gt;5,tblSalaries[[#This Row],[Years of Experience]]&lt;=10),1,""))</f>
        <v>1</v>
      </c>
      <c r="Q1428" t="str">
        <f>IF(tblSalaries[[#This Row],[Years of Experience]]="","",IF(AND(tblSalaries[[#This Row],[Years of Experience]]&gt;10,tblSalaries[[#This Row],[Years of Experience]]&lt;=15),1,""))</f>
        <v/>
      </c>
      <c r="R1428" t="str">
        <f>IF(tblSalaries[[#This Row],[Years of Experience]]="","",IF(AND(tblSalaries[[#This Row],[Years of Experience]]&gt;16,tblSalaries[[#This Row],[Years of Experience]]&lt;=20),1,""))</f>
        <v/>
      </c>
      <c r="S1428" t="str">
        <f>IF(tblSalaries[[#This Row],[Years of Experience]]="","",IF(tblSalaries[[#This Row],[Years of Experience]]&gt;20,1,""))</f>
        <v/>
      </c>
      <c r="T14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28" s="13" t="str">
        <f>IF(tblSalaries[[#This Row],[Job Type]]=tblSalaries[[#Headers],[Accountant]],tblSalaries[[#This Row],[Salary in USD]],"")</f>
        <v/>
      </c>
      <c r="V1428" s="13" t="str">
        <f>IF(tblSalaries[[#This Row],[Job Type]]=tblSalaries[[#Headers],[Analyst]],tblSalaries[[#This Row],[Salary in USD]],"")</f>
        <v/>
      </c>
      <c r="W1428" s="13" t="str">
        <f>IF(tblSalaries[[#This Row],[Job Type]]=tblSalaries[[#Headers],[Consultant]],tblSalaries[[#This Row],[Salary in USD]],"")</f>
        <v/>
      </c>
      <c r="X1428" s="13" t="str">
        <f>IF(tblSalaries[[#This Row],[Job Type]]=tblSalaries[[#Headers],[Controller]],tblSalaries[[#This Row],[Salary in USD]],"")</f>
        <v/>
      </c>
      <c r="Y1428" s="13" t="str">
        <f>IF(tblSalaries[[#This Row],[Job Type]]=tblSalaries[[#Headers],[CXO or Top Mgmt.]],tblSalaries[[#This Row],[clean Salary (in local currency)]],"")</f>
        <v/>
      </c>
      <c r="Z1428" s="13" t="str">
        <f>IF(tblSalaries[[#This Row],[Job Type]]=tblSalaries[[#Headers],[Engineer]],tblSalaries[[#This Row],[Salary in USD]],"")</f>
        <v/>
      </c>
      <c r="AA1428" s="13">
        <f>IF(tblSalaries[[#This Row],[Job Type]]=tblSalaries[[#Headers],[Manager]],tblSalaries[[#This Row],[Salary in USD]],"")</f>
        <v>17807.916687442568</v>
      </c>
      <c r="AB1428" s="13" t="str">
        <f>IF(tblSalaries[[#This Row],[Job Type]]=tblSalaries[[#Headers],[Misc.]],tblSalaries[[#This Row],[Salary in USD]],"")</f>
        <v/>
      </c>
      <c r="AC1428" s="13" t="str">
        <f>IF(tblSalaries[[#This Row],[Job Type]]=tblSalaries[[#Headers],[Reporting]],tblSalaries[[#This Row],[Salary in USD]],"")</f>
        <v/>
      </c>
      <c r="AD1428" s="13" t="str">
        <f>IF(tblSalaries[[#This Row],[Job Type]]=tblSalaries[[#Headers],[Specialist]],tblSalaries[[#This Row],[Salary in USD]],"")</f>
        <v/>
      </c>
    </row>
    <row r="1429" spans="2:30" ht="15" customHeight="1" x14ac:dyDescent="0.25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 s="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  <c r="N1429">
        <f>IF(tblSalaries[[#This Row],[Years of Experience]]="","",IF(tblSalaries[[#This Row],[Years of Experience]]&lt;=2,1,""))</f>
        <v>1</v>
      </c>
      <c r="O1429" t="str">
        <f>IF(tblSalaries[[#This Row],[Years of Experience]]="","",IF(AND(tblSalaries[[#This Row],[Years of Experience]]&gt;2,tblSalaries[[#This Row],[Years of Experience]]&lt;=5),1,""))</f>
        <v/>
      </c>
      <c r="P1429" t="str">
        <f>IF(tblSalaries[[#This Row],[Years of Experience]]="","",IF(AND(tblSalaries[[#This Row],[Years of Experience]]&gt;5,tblSalaries[[#This Row],[Years of Experience]]&lt;=10),1,""))</f>
        <v/>
      </c>
      <c r="Q1429" t="str">
        <f>IF(tblSalaries[[#This Row],[Years of Experience]]="","",IF(AND(tblSalaries[[#This Row],[Years of Experience]]&gt;10,tblSalaries[[#This Row],[Years of Experience]]&lt;=15),1,""))</f>
        <v/>
      </c>
      <c r="R1429" t="str">
        <f>IF(tblSalaries[[#This Row],[Years of Experience]]="","",IF(AND(tblSalaries[[#This Row],[Years of Experience]]&gt;16,tblSalaries[[#This Row],[Years of Experience]]&lt;=20),1,""))</f>
        <v/>
      </c>
      <c r="S1429" t="str">
        <f>IF(tblSalaries[[#This Row],[Years of Experience]]="","",IF(tblSalaries[[#This Row],[Years of Experience]]&gt;20,1,""))</f>
        <v/>
      </c>
      <c r="T14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29" s="13" t="str">
        <f>IF(tblSalaries[[#This Row],[Job Type]]=tblSalaries[[#Headers],[Accountant]],tblSalaries[[#This Row],[Salary in USD]],"")</f>
        <v/>
      </c>
      <c r="V1429" s="13">
        <f>IF(tblSalaries[[#This Row],[Job Type]]=tblSalaries[[#Headers],[Analyst]],tblSalaries[[#This Row],[Salary in USD]],"")</f>
        <v>41000</v>
      </c>
      <c r="W1429" s="13" t="str">
        <f>IF(tblSalaries[[#This Row],[Job Type]]=tblSalaries[[#Headers],[Consultant]],tblSalaries[[#This Row],[Salary in USD]],"")</f>
        <v/>
      </c>
      <c r="X1429" s="13" t="str">
        <f>IF(tblSalaries[[#This Row],[Job Type]]=tblSalaries[[#Headers],[Controller]],tblSalaries[[#This Row],[Salary in USD]],"")</f>
        <v/>
      </c>
      <c r="Y1429" s="13" t="str">
        <f>IF(tblSalaries[[#This Row],[Job Type]]=tblSalaries[[#Headers],[CXO or Top Mgmt.]],tblSalaries[[#This Row],[clean Salary (in local currency)]],"")</f>
        <v/>
      </c>
      <c r="Z1429" s="13" t="str">
        <f>IF(tblSalaries[[#This Row],[Job Type]]=tblSalaries[[#Headers],[Engineer]],tblSalaries[[#This Row],[Salary in USD]],"")</f>
        <v/>
      </c>
      <c r="AA1429" s="13" t="str">
        <f>IF(tblSalaries[[#This Row],[Job Type]]=tblSalaries[[#Headers],[Manager]],tblSalaries[[#This Row],[Salary in USD]],"")</f>
        <v/>
      </c>
      <c r="AB1429" s="13" t="str">
        <f>IF(tblSalaries[[#This Row],[Job Type]]=tblSalaries[[#Headers],[Misc.]],tblSalaries[[#This Row],[Salary in USD]],"")</f>
        <v/>
      </c>
      <c r="AC1429" s="13" t="str">
        <f>IF(tblSalaries[[#This Row],[Job Type]]=tblSalaries[[#Headers],[Reporting]],tblSalaries[[#This Row],[Salary in USD]],"")</f>
        <v/>
      </c>
      <c r="AD1429" s="13" t="str">
        <f>IF(tblSalaries[[#This Row],[Job Type]]=tblSalaries[[#Headers],[Specialist]],tblSalaries[[#This Row],[Salary in USD]],"")</f>
        <v/>
      </c>
    </row>
    <row r="1430" spans="2:30" ht="15" customHeight="1" x14ac:dyDescent="0.25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 s="9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  <c r="N1430" t="str">
        <f>IF(tblSalaries[[#This Row],[Years of Experience]]="","",IF(tblSalaries[[#This Row],[Years of Experience]]&lt;=2,1,""))</f>
        <v/>
      </c>
      <c r="O1430">
        <f>IF(tblSalaries[[#This Row],[Years of Experience]]="","",IF(AND(tblSalaries[[#This Row],[Years of Experience]]&gt;2,tblSalaries[[#This Row],[Years of Experience]]&lt;=5),1,""))</f>
        <v>1</v>
      </c>
      <c r="P1430" t="str">
        <f>IF(tblSalaries[[#This Row],[Years of Experience]]="","",IF(AND(tblSalaries[[#This Row],[Years of Experience]]&gt;5,tblSalaries[[#This Row],[Years of Experience]]&lt;=10),1,""))</f>
        <v/>
      </c>
      <c r="Q1430" t="str">
        <f>IF(tblSalaries[[#This Row],[Years of Experience]]="","",IF(AND(tblSalaries[[#This Row],[Years of Experience]]&gt;10,tblSalaries[[#This Row],[Years of Experience]]&lt;=15),1,""))</f>
        <v/>
      </c>
      <c r="R1430" t="str">
        <f>IF(tblSalaries[[#This Row],[Years of Experience]]="","",IF(AND(tblSalaries[[#This Row],[Years of Experience]]&gt;16,tblSalaries[[#This Row],[Years of Experience]]&lt;=20),1,""))</f>
        <v/>
      </c>
      <c r="S1430" t="str">
        <f>IF(tblSalaries[[#This Row],[Years of Experience]]="","",IF(tblSalaries[[#This Row],[Years of Experience]]&gt;20,1,""))</f>
        <v/>
      </c>
      <c r="T14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30" s="13" t="str">
        <f>IF(tblSalaries[[#This Row],[Job Type]]=tblSalaries[[#Headers],[Accountant]],tblSalaries[[#This Row],[Salary in USD]],"")</f>
        <v/>
      </c>
      <c r="V1430" s="13" t="str">
        <f>IF(tblSalaries[[#This Row],[Job Type]]=tblSalaries[[#Headers],[Analyst]],tblSalaries[[#This Row],[Salary in USD]],"")</f>
        <v/>
      </c>
      <c r="W1430" s="13" t="str">
        <f>IF(tblSalaries[[#This Row],[Job Type]]=tblSalaries[[#Headers],[Consultant]],tblSalaries[[#This Row],[Salary in USD]],"")</f>
        <v/>
      </c>
      <c r="X1430" s="13" t="str">
        <f>IF(tblSalaries[[#This Row],[Job Type]]=tblSalaries[[#Headers],[Controller]],tblSalaries[[#This Row],[Salary in USD]],"")</f>
        <v/>
      </c>
      <c r="Y1430" s="13" t="str">
        <f>IF(tblSalaries[[#This Row],[Job Type]]=tblSalaries[[#Headers],[CXO or Top Mgmt.]],tblSalaries[[#This Row],[clean Salary (in local currency)]],"")</f>
        <v/>
      </c>
      <c r="Z1430" s="13" t="str">
        <f>IF(tblSalaries[[#This Row],[Job Type]]=tblSalaries[[#Headers],[Engineer]],tblSalaries[[#This Row],[Salary in USD]],"")</f>
        <v/>
      </c>
      <c r="AA1430" s="13">
        <f>IF(tblSalaries[[#This Row],[Job Type]]=tblSalaries[[#Headers],[Manager]],tblSalaries[[#This Row],[Salary in USD]],"")</f>
        <v>60000</v>
      </c>
      <c r="AB1430" s="13" t="str">
        <f>IF(tblSalaries[[#This Row],[Job Type]]=tblSalaries[[#Headers],[Misc.]],tblSalaries[[#This Row],[Salary in USD]],"")</f>
        <v/>
      </c>
      <c r="AC1430" s="13" t="str">
        <f>IF(tblSalaries[[#This Row],[Job Type]]=tblSalaries[[#Headers],[Reporting]],tblSalaries[[#This Row],[Salary in USD]],"")</f>
        <v/>
      </c>
      <c r="AD1430" s="13" t="str">
        <f>IF(tblSalaries[[#This Row],[Job Type]]=tblSalaries[[#Headers],[Specialist]],tblSalaries[[#This Row],[Salary in USD]],"")</f>
        <v/>
      </c>
    </row>
    <row r="1431" spans="2:30" ht="15" customHeight="1" x14ac:dyDescent="0.25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 s="9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  <c r="N1431">
        <f>IF(tblSalaries[[#This Row],[Years of Experience]]="","",IF(tblSalaries[[#This Row],[Years of Experience]]&lt;=2,1,""))</f>
        <v>1</v>
      </c>
      <c r="O1431" t="str">
        <f>IF(tblSalaries[[#This Row],[Years of Experience]]="","",IF(AND(tblSalaries[[#This Row],[Years of Experience]]&gt;2,tblSalaries[[#This Row],[Years of Experience]]&lt;=5),1,""))</f>
        <v/>
      </c>
      <c r="P1431" t="str">
        <f>IF(tblSalaries[[#This Row],[Years of Experience]]="","",IF(AND(tblSalaries[[#This Row],[Years of Experience]]&gt;5,tblSalaries[[#This Row],[Years of Experience]]&lt;=10),1,""))</f>
        <v/>
      </c>
      <c r="Q1431" t="str">
        <f>IF(tblSalaries[[#This Row],[Years of Experience]]="","",IF(AND(tblSalaries[[#This Row],[Years of Experience]]&gt;10,tblSalaries[[#This Row],[Years of Experience]]&lt;=15),1,""))</f>
        <v/>
      </c>
      <c r="R1431" t="str">
        <f>IF(tblSalaries[[#This Row],[Years of Experience]]="","",IF(AND(tblSalaries[[#This Row],[Years of Experience]]&gt;16,tblSalaries[[#This Row],[Years of Experience]]&lt;=20),1,""))</f>
        <v/>
      </c>
      <c r="S1431" t="str">
        <f>IF(tblSalaries[[#This Row],[Years of Experience]]="","",IF(tblSalaries[[#This Row],[Years of Experience]]&gt;20,1,""))</f>
        <v/>
      </c>
      <c r="T14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31" s="13" t="str">
        <f>IF(tblSalaries[[#This Row],[Job Type]]=tblSalaries[[#Headers],[Accountant]],tblSalaries[[#This Row],[Salary in USD]],"")</f>
        <v/>
      </c>
      <c r="V1431" s="13">
        <f>IF(tblSalaries[[#This Row],[Job Type]]=tblSalaries[[#Headers],[Analyst]],tblSalaries[[#This Row],[Salary in USD]],"")</f>
        <v>32187.34988380854</v>
      </c>
      <c r="W1431" s="13" t="str">
        <f>IF(tblSalaries[[#This Row],[Job Type]]=tblSalaries[[#Headers],[Consultant]],tblSalaries[[#This Row],[Salary in USD]],"")</f>
        <v/>
      </c>
      <c r="X1431" s="13" t="str">
        <f>IF(tblSalaries[[#This Row],[Job Type]]=tblSalaries[[#Headers],[Controller]],tblSalaries[[#This Row],[Salary in USD]],"")</f>
        <v/>
      </c>
      <c r="Y1431" s="13" t="str">
        <f>IF(tblSalaries[[#This Row],[Job Type]]=tblSalaries[[#Headers],[CXO or Top Mgmt.]],tblSalaries[[#This Row],[clean Salary (in local currency)]],"")</f>
        <v/>
      </c>
      <c r="Z1431" s="13" t="str">
        <f>IF(tblSalaries[[#This Row],[Job Type]]=tblSalaries[[#Headers],[Engineer]],tblSalaries[[#This Row],[Salary in USD]],"")</f>
        <v/>
      </c>
      <c r="AA1431" s="13" t="str">
        <f>IF(tblSalaries[[#This Row],[Job Type]]=tblSalaries[[#Headers],[Manager]],tblSalaries[[#This Row],[Salary in USD]],"")</f>
        <v/>
      </c>
      <c r="AB1431" s="13" t="str">
        <f>IF(tblSalaries[[#This Row],[Job Type]]=tblSalaries[[#Headers],[Misc.]],tblSalaries[[#This Row],[Salary in USD]],"")</f>
        <v/>
      </c>
      <c r="AC1431" s="13" t="str">
        <f>IF(tblSalaries[[#This Row],[Job Type]]=tblSalaries[[#Headers],[Reporting]],tblSalaries[[#This Row],[Salary in USD]],"")</f>
        <v/>
      </c>
      <c r="AD1431" s="13" t="str">
        <f>IF(tblSalaries[[#This Row],[Job Type]]=tblSalaries[[#Headers],[Specialist]],tblSalaries[[#This Row],[Salary in USD]],"")</f>
        <v/>
      </c>
    </row>
    <row r="1432" spans="2:30" ht="15" customHeight="1" x14ac:dyDescent="0.25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 s="9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  <c r="N1432" t="str">
        <f>IF(tblSalaries[[#This Row],[Years of Experience]]="","",IF(tblSalaries[[#This Row],[Years of Experience]]&lt;=2,1,""))</f>
        <v/>
      </c>
      <c r="O1432">
        <f>IF(tblSalaries[[#This Row],[Years of Experience]]="","",IF(AND(tblSalaries[[#This Row],[Years of Experience]]&gt;2,tblSalaries[[#This Row],[Years of Experience]]&lt;=5),1,""))</f>
        <v>1</v>
      </c>
      <c r="P1432" t="str">
        <f>IF(tblSalaries[[#This Row],[Years of Experience]]="","",IF(AND(tblSalaries[[#This Row],[Years of Experience]]&gt;5,tblSalaries[[#This Row],[Years of Experience]]&lt;=10),1,""))</f>
        <v/>
      </c>
      <c r="Q1432" t="str">
        <f>IF(tblSalaries[[#This Row],[Years of Experience]]="","",IF(AND(tblSalaries[[#This Row],[Years of Experience]]&gt;10,tblSalaries[[#This Row],[Years of Experience]]&lt;=15),1,""))</f>
        <v/>
      </c>
      <c r="R1432" t="str">
        <f>IF(tblSalaries[[#This Row],[Years of Experience]]="","",IF(AND(tblSalaries[[#This Row],[Years of Experience]]&gt;16,tblSalaries[[#This Row],[Years of Experience]]&lt;=20),1,""))</f>
        <v/>
      </c>
      <c r="S1432" t="str">
        <f>IF(tblSalaries[[#This Row],[Years of Experience]]="","",IF(tblSalaries[[#This Row],[Years of Experience]]&gt;20,1,""))</f>
        <v/>
      </c>
      <c r="T14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32" s="13" t="str">
        <f>IF(tblSalaries[[#This Row],[Job Type]]=tblSalaries[[#Headers],[Accountant]],tblSalaries[[#This Row],[Salary in USD]],"")</f>
        <v/>
      </c>
      <c r="V1432" s="13" t="str">
        <f>IF(tblSalaries[[#This Row],[Job Type]]=tblSalaries[[#Headers],[Analyst]],tblSalaries[[#This Row],[Salary in USD]],"")</f>
        <v/>
      </c>
      <c r="W1432" s="13" t="str">
        <f>IF(tblSalaries[[#This Row],[Job Type]]=tblSalaries[[#Headers],[Consultant]],tblSalaries[[#This Row],[Salary in USD]],"")</f>
        <v/>
      </c>
      <c r="X1432" s="13" t="str">
        <f>IF(tblSalaries[[#This Row],[Job Type]]=tblSalaries[[#Headers],[Controller]],tblSalaries[[#This Row],[Salary in USD]],"")</f>
        <v/>
      </c>
      <c r="Y1432" s="13" t="str">
        <f>IF(tblSalaries[[#This Row],[Job Type]]=tblSalaries[[#Headers],[CXO or Top Mgmt.]],tblSalaries[[#This Row],[clean Salary (in local currency)]],"")</f>
        <v/>
      </c>
      <c r="Z1432" s="13">
        <f>IF(tblSalaries[[#This Row],[Job Type]]=tblSalaries[[#Headers],[Engineer]],tblSalaries[[#This Row],[Salary in USD]],"")</f>
        <v>39879.404680246938</v>
      </c>
      <c r="AA1432" s="13" t="str">
        <f>IF(tblSalaries[[#This Row],[Job Type]]=tblSalaries[[#Headers],[Manager]],tblSalaries[[#This Row],[Salary in USD]],"")</f>
        <v/>
      </c>
      <c r="AB1432" s="13" t="str">
        <f>IF(tblSalaries[[#This Row],[Job Type]]=tblSalaries[[#Headers],[Misc.]],tblSalaries[[#This Row],[Salary in USD]],"")</f>
        <v/>
      </c>
      <c r="AC1432" s="13" t="str">
        <f>IF(tblSalaries[[#This Row],[Job Type]]=tblSalaries[[#Headers],[Reporting]],tblSalaries[[#This Row],[Salary in USD]],"")</f>
        <v/>
      </c>
      <c r="AD1432" s="13" t="str">
        <f>IF(tblSalaries[[#This Row],[Job Type]]=tblSalaries[[#Headers],[Specialist]],tblSalaries[[#This Row],[Salary in USD]],"")</f>
        <v/>
      </c>
    </row>
    <row r="1433" spans="2:30" ht="15" customHeight="1" x14ac:dyDescent="0.25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 s="9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  <c r="N1433">
        <f>IF(tblSalaries[[#This Row],[Years of Experience]]="","",IF(tblSalaries[[#This Row],[Years of Experience]]&lt;=2,1,""))</f>
        <v>1</v>
      </c>
      <c r="O1433" t="str">
        <f>IF(tblSalaries[[#This Row],[Years of Experience]]="","",IF(AND(tblSalaries[[#This Row],[Years of Experience]]&gt;2,tblSalaries[[#This Row],[Years of Experience]]&lt;=5),1,""))</f>
        <v/>
      </c>
      <c r="P1433" t="str">
        <f>IF(tblSalaries[[#This Row],[Years of Experience]]="","",IF(AND(tblSalaries[[#This Row],[Years of Experience]]&gt;5,tblSalaries[[#This Row],[Years of Experience]]&lt;=10),1,""))</f>
        <v/>
      </c>
      <c r="Q1433" t="str">
        <f>IF(tblSalaries[[#This Row],[Years of Experience]]="","",IF(AND(tblSalaries[[#This Row],[Years of Experience]]&gt;10,tblSalaries[[#This Row],[Years of Experience]]&lt;=15),1,""))</f>
        <v/>
      </c>
      <c r="R1433" t="str">
        <f>IF(tblSalaries[[#This Row],[Years of Experience]]="","",IF(AND(tblSalaries[[#This Row],[Years of Experience]]&gt;16,tblSalaries[[#This Row],[Years of Experience]]&lt;=20),1,""))</f>
        <v/>
      </c>
      <c r="S1433" t="str">
        <f>IF(tblSalaries[[#This Row],[Years of Experience]]="","",IF(tblSalaries[[#This Row],[Years of Experience]]&gt;20,1,""))</f>
        <v/>
      </c>
      <c r="T14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33" s="13" t="str">
        <f>IF(tblSalaries[[#This Row],[Job Type]]=tblSalaries[[#Headers],[Accountant]],tblSalaries[[#This Row],[Salary in USD]],"")</f>
        <v/>
      </c>
      <c r="V1433" s="13">
        <f>IF(tblSalaries[[#This Row],[Job Type]]=tblSalaries[[#Headers],[Analyst]],tblSalaries[[#This Row],[Salary in USD]],"")</f>
        <v>5698.5333399816218</v>
      </c>
      <c r="W1433" s="13" t="str">
        <f>IF(tblSalaries[[#This Row],[Job Type]]=tblSalaries[[#Headers],[Consultant]],tblSalaries[[#This Row],[Salary in USD]],"")</f>
        <v/>
      </c>
      <c r="X1433" s="13" t="str">
        <f>IF(tblSalaries[[#This Row],[Job Type]]=tblSalaries[[#Headers],[Controller]],tblSalaries[[#This Row],[Salary in USD]],"")</f>
        <v/>
      </c>
      <c r="Y1433" s="13" t="str">
        <f>IF(tblSalaries[[#This Row],[Job Type]]=tblSalaries[[#Headers],[CXO or Top Mgmt.]],tblSalaries[[#This Row],[clean Salary (in local currency)]],"")</f>
        <v/>
      </c>
      <c r="Z1433" s="13" t="str">
        <f>IF(tblSalaries[[#This Row],[Job Type]]=tblSalaries[[#Headers],[Engineer]],tblSalaries[[#This Row],[Salary in USD]],"")</f>
        <v/>
      </c>
      <c r="AA1433" s="13" t="str">
        <f>IF(tblSalaries[[#This Row],[Job Type]]=tblSalaries[[#Headers],[Manager]],tblSalaries[[#This Row],[Salary in USD]],"")</f>
        <v/>
      </c>
      <c r="AB1433" s="13" t="str">
        <f>IF(tblSalaries[[#This Row],[Job Type]]=tblSalaries[[#Headers],[Misc.]],tblSalaries[[#This Row],[Salary in USD]],"")</f>
        <v/>
      </c>
      <c r="AC1433" s="13" t="str">
        <f>IF(tblSalaries[[#This Row],[Job Type]]=tblSalaries[[#Headers],[Reporting]],tblSalaries[[#This Row],[Salary in USD]],"")</f>
        <v/>
      </c>
      <c r="AD1433" s="13" t="str">
        <f>IF(tblSalaries[[#This Row],[Job Type]]=tblSalaries[[#Headers],[Specialist]],tblSalaries[[#This Row],[Salary in USD]],"")</f>
        <v/>
      </c>
    </row>
    <row r="1434" spans="2:30" ht="15" customHeight="1" x14ac:dyDescent="0.25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 s="9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  <c r="N1434" t="str">
        <f>IF(tblSalaries[[#This Row],[Years of Experience]]="","",IF(tblSalaries[[#This Row],[Years of Experience]]&lt;=2,1,""))</f>
        <v/>
      </c>
      <c r="O1434" t="str">
        <f>IF(tblSalaries[[#This Row],[Years of Experience]]="","",IF(AND(tblSalaries[[#This Row],[Years of Experience]]&gt;2,tblSalaries[[#This Row],[Years of Experience]]&lt;=5),1,""))</f>
        <v/>
      </c>
      <c r="P1434">
        <f>IF(tblSalaries[[#This Row],[Years of Experience]]="","",IF(AND(tblSalaries[[#This Row],[Years of Experience]]&gt;5,tblSalaries[[#This Row],[Years of Experience]]&lt;=10),1,""))</f>
        <v>1</v>
      </c>
      <c r="Q1434" t="str">
        <f>IF(tblSalaries[[#This Row],[Years of Experience]]="","",IF(AND(tblSalaries[[#This Row],[Years of Experience]]&gt;10,tblSalaries[[#This Row],[Years of Experience]]&lt;=15),1,""))</f>
        <v/>
      </c>
      <c r="R1434" t="str">
        <f>IF(tblSalaries[[#This Row],[Years of Experience]]="","",IF(AND(tblSalaries[[#This Row],[Years of Experience]]&gt;16,tblSalaries[[#This Row],[Years of Experience]]&lt;=20),1,""))</f>
        <v/>
      </c>
      <c r="S1434" t="str">
        <f>IF(tblSalaries[[#This Row],[Years of Experience]]="","",IF(tblSalaries[[#This Row],[Years of Experience]]&gt;20,1,""))</f>
        <v/>
      </c>
      <c r="T14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34" s="13" t="str">
        <f>IF(tblSalaries[[#This Row],[Job Type]]=tblSalaries[[#Headers],[Accountant]],tblSalaries[[#This Row],[Salary in USD]],"")</f>
        <v/>
      </c>
      <c r="V1434" s="13" t="str">
        <f>IF(tblSalaries[[#This Row],[Job Type]]=tblSalaries[[#Headers],[Analyst]],tblSalaries[[#This Row],[Salary in USD]],"")</f>
        <v/>
      </c>
      <c r="W1434" s="13" t="str">
        <f>IF(tblSalaries[[#This Row],[Job Type]]=tblSalaries[[#Headers],[Consultant]],tblSalaries[[#This Row],[Salary in USD]],"")</f>
        <v/>
      </c>
      <c r="X1434" s="13" t="str">
        <f>IF(tblSalaries[[#This Row],[Job Type]]=tblSalaries[[#Headers],[Controller]],tblSalaries[[#This Row],[Salary in USD]],"")</f>
        <v/>
      </c>
      <c r="Y1434" s="13" t="str">
        <f>IF(tblSalaries[[#This Row],[Job Type]]=tblSalaries[[#Headers],[CXO or Top Mgmt.]],tblSalaries[[#This Row],[clean Salary (in local currency)]],"")</f>
        <v/>
      </c>
      <c r="Z1434" s="13" t="str">
        <f>IF(tblSalaries[[#This Row],[Job Type]]=tblSalaries[[#Headers],[Engineer]],tblSalaries[[#This Row],[Salary in USD]],"")</f>
        <v/>
      </c>
      <c r="AA1434" s="13">
        <f>IF(tblSalaries[[#This Row],[Job Type]]=tblSalaries[[#Headers],[Manager]],tblSalaries[[#This Row],[Salary in USD]],"")</f>
        <v>7123.1666749770275</v>
      </c>
      <c r="AB1434" s="13" t="str">
        <f>IF(tblSalaries[[#This Row],[Job Type]]=tblSalaries[[#Headers],[Misc.]],tblSalaries[[#This Row],[Salary in USD]],"")</f>
        <v/>
      </c>
      <c r="AC1434" s="13" t="str">
        <f>IF(tblSalaries[[#This Row],[Job Type]]=tblSalaries[[#Headers],[Reporting]],tblSalaries[[#This Row],[Salary in USD]],"")</f>
        <v/>
      </c>
      <c r="AD1434" s="13" t="str">
        <f>IF(tblSalaries[[#This Row],[Job Type]]=tblSalaries[[#Headers],[Specialist]],tblSalaries[[#This Row],[Salary in USD]],"")</f>
        <v/>
      </c>
    </row>
    <row r="1435" spans="2:30" ht="15" customHeight="1" x14ac:dyDescent="0.25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 s="9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  <c r="N1435" t="str">
        <f>IF(tblSalaries[[#This Row],[Years of Experience]]="","",IF(tblSalaries[[#This Row],[Years of Experience]]&lt;=2,1,""))</f>
        <v/>
      </c>
      <c r="O1435" t="str">
        <f>IF(tblSalaries[[#This Row],[Years of Experience]]="","",IF(AND(tblSalaries[[#This Row],[Years of Experience]]&gt;2,tblSalaries[[#This Row],[Years of Experience]]&lt;=5),1,""))</f>
        <v/>
      </c>
      <c r="P1435" t="str">
        <f>IF(tblSalaries[[#This Row],[Years of Experience]]="","",IF(AND(tblSalaries[[#This Row],[Years of Experience]]&gt;5,tblSalaries[[#This Row],[Years of Experience]]&lt;=10),1,""))</f>
        <v/>
      </c>
      <c r="Q1435">
        <f>IF(tblSalaries[[#This Row],[Years of Experience]]="","",IF(AND(tblSalaries[[#This Row],[Years of Experience]]&gt;10,tblSalaries[[#This Row],[Years of Experience]]&lt;=15),1,""))</f>
        <v>1</v>
      </c>
      <c r="R1435" t="str">
        <f>IF(tblSalaries[[#This Row],[Years of Experience]]="","",IF(AND(tblSalaries[[#This Row],[Years of Experience]]&gt;16,tblSalaries[[#This Row],[Years of Experience]]&lt;=20),1,""))</f>
        <v/>
      </c>
      <c r="S1435" t="str">
        <f>IF(tblSalaries[[#This Row],[Years of Experience]]="","",IF(tblSalaries[[#This Row],[Years of Experience]]&gt;20,1,""))</f>
        <v/>
      </c>
      <c r="T14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35" s="13" t="str">
        <f>IF(tblSalaries[[#This Row],[Job Type]]=tblSalaries[[#Headers],[Accountant]],tblSalaries[[#This Row],[Salary in USD]],"")</f>
        <v/>
      </c>
      <c r="V1435" s="13" t="str">
        <f>IF(tblSalaries[[#This Row],[Job Type]]=tblSalaries[[#Headers],[Analyst]],tblSalaries[[#This Row],[Salary in USD]],"")</f>
        <v/>
      </c>
      <c r="W1435" s="13" t="str">
        <f>IF(tblSalaries[[#This Row],[Job Type]]=tblSalaries[[#Headers],[Consultant]],tblSalaries[[#This Row],[Salary in USD]],"")</f>
        <v/>
      </c>
      <c r="X1435" s="13" t="str">
        <f>IF(tblSalaries[[#This Row],[Job Type]]=tblSalaries[[#Headers],[Controller]],tblSalaries[[#This Row],[Salary in USD]],"")</f>
        <v/>
      </c>
      <c r="Y1435" s="13" t="str">
        <f>IF(tblSalaries[[#This Row],[Job Type]]=tblSalaries[[#Headers],[CXO or Top Mgmt.]],tblSalaries[[#This Row],[clean Salary (in local currency)]],"")</f>
        <v/>
      </c>
      <c r="Z1435" s="13" t="str">
        <f>IF(tblSalaries[[#This Row],[Job Type]]=tblSalaries[[#Headers],[Engineer]],tblSalaries[[#This Row],[Salary in USD]],"")</f>
        <v/>
      </c>
      <c r="AA1435" s="13">
        <f>IF(tblSalaries[[#This Row],[Job Type]]=tblSalaries[[#Headers],[Manager]],tblSalaries[[#This Row],[Salary in USD]],"")</f>
        <v>4451.9791718606421</v>
      </c>
      <c r="AB1435" s="13" t="str">
        <f>IF(tblSalaries[[#This Row],[Job Type]]=tblSalaries[[#Headers],[Misc.]],tblSalaries[[#This Row],[Salary in USD]],"")</f>
        <v/>
      </c>
      <c r="AC1435" s="13" t="str">
        <f>IF(tblSalaries[[#This Row],[Job Type]]=tblSalaries[[#Headers],[Reporting]],tblSalaries[[#This Row],[Salary in USD]],"")</f>
        <v/>
      </c>
      <c r="AD1435" s="13" t="str">
        <f>IF(tblSalaries[[#This Row],[Job Type]]=tblSalaries[[#Headers],[Specialist]],tblSalaries[[#This Row],[Salary in USD]],"")</f>
        <v/>
      </c>
    </row>
    <row r="1436" spans="2:30" ht="15" customHeight="1" x14ac:dyDescent="0.25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 s="9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  <c r="N1436" t="str">
        <f>IF(tblSalaries[[#This Row],[Years of Experience]]="","",IF(tblSalaries[[#This Row],[Years of Experience]]&lt;=2,1,""))</f>
        <v/>
      </c>
      <c r="O1436" t="str">
        <f>IF(tblSalaries[[#This Row],[Years of Experience]]="","",IF(AND(tblSalaries[[#This Row],[Years of Experience]]&gt;2,tblSalaries[[#This Row],[Years of Experience]]&lt;=5),1,""))</f>
        <v/>
      </c>
      <c r="P1436">
        <f>IF(tblSalaries[[#This Row],[Years of Experience]]="","",IF(AND(tblSalaries[[#This Row],[Years of Experience]]&gt;5,tblSalaries[[#This Row],[Years of Experience]]&lt;=10),1,""))</f>
        <v>1</v>
      </c>
      <c r="Q1436" t="str">
        <f>IF(tblSalaries[[#This Row],[Years of Experience]]="","",IF(AND(tblSalaries[[#This Row],[Years of Experience]]&gt;10,tblSalaries[[#This Row],[Years of Experience]]&lt;=15),1,""))</f>
        <v/>
      </c>
      <c r="R1436" t="str">
        <f>IF(tblSalaries[[#This Row],[Years of Experience]]="","",IF(AND(tblSalaries[[#This Row],[Years of Experience]]&gt;16,tblSalaries[[#This Row],[Years of Experience]]&lt;=20),1,""))</f>
        <v/>
      </c>
      <c r="S1436" t="str">
        <f>IF(tblSalaries[[#This Row],[Years of Experience]]="","",IF(tblSalaries[[#This Row],[Years of Experience]]&gt;20,1,""))</f>
        <v/>
      </c>
      <c r="T14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36" s="13" t="str">
        <f>IF(tblSalaries[[#This Row],[Job Type]]=tblSalaries[[#Headers],[Accountant]],tblSalaries[[#This Row],[Salary in USD]],"")</f>
        <v/>
      </c>
      <c r="V1436" s="13">
        <f>IF(tblSalaries[[#This Row],[Job Type]]=tblSalaries[[#Headers],[Analyst]],tblSalaries[[#This Row],[Salary in USD]],"")</f>
        <v>6410.8500074793246</v>
      </c>
      <c r="W1436" s="13" t="str">
        <f>IF(tblSalaries[[#This Row],[Job Type]]=tblSalaries[[#Headers],[Consultant]],tblSalaries[[#This Row],[Salary in USD]],"")</f>
        <v/>
      </c>
      <c r="X1436" s="13" t="str">
        <f>IF(tblSalaries[[#This Row],[Job Type]]=tblSalaries[[#Headers],[Controller]],tblSalaries[[#This Row],[Salary in USD]],"")</f>
        <v/>
      </c>
      <c r="Y1436" s="13" t="str">
        <f>IF(tblSalaries[[#This Row],[Job Type]]=tblSalaries[[#Headers],[CXO or Top Mgmt.]],tblSalaries[[#This Row],[clean Salary (in local currency)]],"")</f>
        <v/>
      </c>
      <c r="Z1436" s="13" t="str">
        <f>IF(tblSalaries[[#This Row],[Job Type]]=tblSalaries[[#Headers],[Engineer]],tblSalaries[[#This Row],[Salary in USD]],"")</f>
        <v/>
      </c>
      <c r="AA1436" s="13" t="str">
        <f>IF(tblSalaries[[#This Row],[Job Type]]=tblSalaries[[#Headers],[Manager]],tblSalaries[[#This Row],[Salary in USD]],"")</f>
        <v/>
      </c>
      <c r="AB1436" s="13" t="str">
        <f>IF(tblSalaries[[#This Row],[Job Type]]=tblSalaries[[#Headers],[Misc.]],tblSalaries[[#This Row],[Salary in USD]],"")</f>
        <v/>
      </c>
      <c r="AC1436" s="13" t="str">
        <f>IF(tblSalaries[[#This Row],[Job Type]]=tblSalaries[[#Headers],[Reporting]],tblSalaries[[#This Row],[Salary in USD]],"")</f>
        <v/>
      </c>
      <c r="AD1436" s="13" t="str">
        <f>IF(tblSalaries[[#This Row],[Job Type]]=tblSalaries[[#Headers],[Specialist]],tblSalaries[[#This Row],[Salary in USD]],"")</f>
        <v/>
      </c>
    </row>
    <row r="1437" spans="2:30" ht="15" customHeight="1" x14ac:dyDescent="0.25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 s="9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  <c r="N1437" t="str">
        <f>IF(tblSalaries[[#This Row],[Years of Experience]]="","",IF(tblSalaries[[#This Row],[Years of Experience]]&lt;=2,1,""))</f>
        <v/>
      </c>
      <c r="O1437" t="str">
        <f>IF(tblSalaries[[#This Row],[Years of Experience]]="","",IF(AND(tblSalaries[[#This Row],[Years of Experience]]&gt;2,tblSalaries[[#This Row],[Years of Experience]]&lt;=5),1,""))</f>
        <v/>
      </c>
      <c r="P1437" t="str">
        <f>IF(tblSalaries[[#This Row],[Years of Experience]]="","",IF(AND(tblSalaries[[#This Row],[Years of Experience]]&gt;5,tblSalaries[[#This Row],[Years of Experience]]&lt;=10),1,""))</f>
        <v/>
      </c>
      <c r="Q1437">
        <f>IF(tblSalaries[[#This Row],[Years of Experience]]="","",IF(AND(tblSalaries[[#This Row],[Years of Experience]]&gt;10,tblSalaries[[#This Row],[Years of Experience]]&lt;=15),1,""))</f>
        <v>1</v>
      </c>
      <c r="R1437" t="str">
        <f>IF(tblSalaries[[#This Row],[Years of Experience]]="","",IF(AND(tblSalaries[[#This Row],[Years of Experience]]&gt;16,tblSalaries[[#This Row],[Years of Experience]]&lt;=20),1,""))</f>
        <v/>
      </c>
      <c r="S1437" t="str">
        <f>IF(tblSalaries[[#This Row],[Years of Experience]]="","",IF(tblSalaries[[#This Row],[Years of Experience]]&gt;20,1,""))</f>
        <v/>
      </c>
      <c r="T14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37" s="13" t="str">
        <f>IF(tblSalaries[[#This Row],[Job Type]]=tblSalaries[[#Headers],[Accountant]],tblSalaries[[#This Row],[Salary in USD]],"")</f>
        <v/>
      </c>
      <c r="V1437" s="13" t="str">
        <f>IF(tblSalaries[[#This Row],[Job Type]]=tblSalaries[[#Headers],[Analyst]],tblSalaries[[#This Row],[Salary in USD]],"")</f>
        <v/>
      </c>
      <c r="W1437" s="13" t="str">
        <f>IF(tblSalaries[[#This Row],[Job Type]]=tblSalaries[[#Headers],[Consultant]],tblSalaries[[#This Row],[Salary in USD]],"")</f>
        <v/>
      </c>
      <c r="X1437" s="13" t="str">
        <f>IF(tblSalaries[[#This Row],[Job Type]]=tblSalaries[[#Headers],[Controller]],tblSalaries[[#This Row],[Salary in USD]],"")</f>
        <v/>
      </c>
      <c r="Y1437" s="13" t="str">
        <f>IF(tblSalaries[[#This Row],[Job Type]]=tblSalaries[[#Headers],[CXO or Top Mgmt.]],tblSalaries[[#This Row],[clean Salary (in local currency)]],"")</f>
        <v/>
      </c>
      <c r="Z1437" s="13" t="str">
        <f>IF(tblSalaries[[#This Row],[Job Type]]=tblSalaries[[#Headers],[Engineer]],tblSalaries[[#This Row],[Salary in USD]],"")</f>
        <v/>
      </c>
      <c r="AA1437" s="13">
        <f>IF(tblSalaries[[#This Row],[Job Type]]=tblSalaries[[#Headers],[Manager]],tblSalaries[[#This Row],[Salary in USD]],"")</f>
        <v>20479.104190558952</v>
      </c>
      <c r="AB1437" s="13" t="str">
        <f>IF(tblSalaries[[#This Row],[Job Type]]=tblSalaries[[#Headers],[Misc.]],tblSalaries[[#This Row],[Salary in USD]],"")</f>
        <v/>
      </c>
      <c r="AC1437" s="13" t="str">
        <f>IF(tblSalaries[[#This Row],[Job Type]]=tblSalaries[[#Headers],[Reporting]],tblSalaries[[#This Row],[Salary in USD]],"")</f>
        <v/>
      </c>
      <c r="AD1437" s="13" t="str">
        <f>IF(tblSalaries[[#This Row],[Job Type]]=tblSalaries[[#Headers],[Specialist]],tblSalaries[[#This Row],[Salary in USD]],"")</f>
        <v/>
      </c>
    </row>
    <row r="1438" spans="2:30" ht="15" customHeight="1" x14ac:dyDescent="0.25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 s="9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  <c r="N1438" t="str">
        <f>IF(tblSalaries[[#This Row],[Years of Experience]]="","",IF(tblSalaries[[#This Row],[Years of Experience]]&lt;=2,1,""))</f>
        <v/>
      </c>
      <c r="O1438">
        <f>IF(tblSalaries[[#This Row],[Years of Experience]]="","",IF(AND(tblSalaries[[#This Row],[Years of Experience]]&gt;2,tblSalaries[[#This Row],[Years of Experience]]&lt;=5),1,""))</f>
        <v>1</v>
      </c>
      <c r="P1438" t="str">
        <f>IF(tblSalaries[[#This Row],[Years of Experience]]="","",IF(AND(tblSalaries[[#This Row],[Years of Experience]]&gt;5,tblSalaries[[#This Row],[Years of Experience]]&lt;=10),1,""))</f>
        <v/>
      </c>
      <c r="Q1438" t="str">
        <f>IF(tblSalaries[[#This Row],[Years of Experience]]="","",IF(AND(tblSalaries[[#This Row],[Years of Experience]]&gt;10,tblSalaries[[#This Row],[Years of Experience]]&lt;=15),1,""))</f>
        <v/>
      </c>
      <c r="R1438" t="str">
        <f>IF(tblSalaries[[#This Row],[Years of Experience]]="","",IF(AND(tblSalaries[[#This Row],[Years of Experience]]&gt;16,tblSalaries[[#This Row],[Years of Experience]]&lt;=20),1,""))</f>
        <v/>
      </c>
      <c r="S1438" t="str">
        <f>IF(tblSalaries[[#This Row],[Years of Experience]]="","",IF(tblSalaries[[#This Row],[Years of Experience]]&gt;20,1,""))</f>
        <v/>
      </c>
      <c r="T14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38" s="13" t="str">
        <f>IF(tblSalaries[[#This Row],[Job Type]]=tblSalaries[[#Headers],[Accountant]],tblSalaries[[#This Row],[Salary in USD]],"")</f>
        <v/>
      </c>
      <c r="V1438" s="13">
        <f>IF(tblSalaries[[#This Row],[Job Type]]=tblSalaries[[#Headers],[Analyst]],tblSalaries[[#This Row],[Salary in USD]],"")</f>
        <v>11040.908346214392</v>
      </c>
      <c r="W1438" s="13" t="str">
        <f>IF(tblSalaries[[#This Row],[Job Type]]=tblSalaries[[#Headers],[Consultant]],tblSalaries[[#This Row],[Salary in USD]],"")</f>
        <v/>
      </c>
      <c r="X1438" s="13" t="str">
        <f>IF(tblSalaries[[#This Row],[Job Type]]=tblSalaries[[#Headers],[Controller]],tblSalaries[[#This Row],[Salary in USD]],"")</f>
        <v/>
      </c>
      <c r="Y1438" s="13" t="str">
        <f>IF(tblSalaries[[#This Row],[Job Type]]=tblSalaries[[#Headers],[CXO or Top Mgmt.]],tblSalaries[[#This Row],[clean Salary (in local currency)]],"")</f>
        <v/>
      </c>
      <c r="Z1438" s="13" t="str">
        <f>IF(tblSalaries[[#This Row],[Job Type]]=tblSalaries[[#Headers],[Engineer]],tblSalaries[[#This Row],[Salary in USD]],"")</f>
        <v/>
      </c>
      <c r="AA1438" s="13" t="str">
        <f>IF(tblSalaries[[#This Row],[Job Type]]=tblSalaries[[#Headers],[Manager]],tblSalaries[[#This Row],[Salary in USD]],"")</f>
        <v/>
      </c>
      <c r="AB1438" s="13" t="str">
        <f>IF(tblSalaries[[#This Row],[Job Type]]=tblSalaries[[#Headers],[Misc.]],tblSalaries[[#This Row],[Salary in USD]],"")</f>
        <v/>
      </c>
      <c r="AC1438" s="13" t="str">
        <f>IF(tblSalaries[[#This Row],[Job Type]]=tblSalaries[[#Headers],[Reporting]],tblSalaries[[#This Row],[Salary in USD]],"")</f>
        <v/>
      </c>
      <c r="AD1438" s="13" t="str">
        <f>IF(tblSalaries[[#This Row],[Job Type]]=tblSalaries[[#Headers],[Specialist]],tblSalaries[[#This Row],[Salary in USD]],"")</f>
        <v/>
      </c>
    </row>
    <row r="1439" spans="2:30" ht="15" customHeight="1" x14ac:dyDescent="0.25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 s="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  <c r="N1439" t="str">
        <f>IF(tblSalaries[[#This Row],[Years of Experience]]="","",IF(tblSalaries[[#This Row],[Years of Experience]]&lt;=2,1,""))</f>
        <v/>
      </c>
      <c r="O1439" t="str">
        <f>IF(tblSalaries[[#This Row],[Years of Experience]]="","",IF(AND(tblSalaries[[#This Row],[Years of Experience]]&gt;2,tblSalaries[[#This Row],[Years of Experience]]&lt;=5),1,""))</f>
        <v/>
      </c>
      <c r="P1439">
        <f>IF(tblSalaries[[#This Row],[Years of Experience]]="","",IF(AND(tblSalaries[[#This Row],[Years of Experience]]&gt;5,tblSalaries[[#This Row],[Years of Experience]]&lt;=10),1,""))</f>
        <v>1</v>
      </c>
      <c r="Q1439" t="str">
        <f>IF(tblSalaries[[#This Row],[Years of Experience]]="","",IF(AND(tblSalaries[[#This Row],[Years of Experience]]&gt;10,tblSalaries[[#This Row],[Years of Experience]]&lt;=15),1,""))</f>
        <v/>
      </c>
      <c r="R1439" t="str">
        <f>IF(tblSalaries[[#This Row],[Years of Experience]]="","",IF(AND(tblSalaries[[#This Row],[Years of Experience]]&gt;16,tblSalaries[[#This Row],[Years of Experience]]&lt;=20),1,""))</f>
        <v/>
      </c>
      <c r="S1439" t="str">
        <f>IF(tblSalaries[[#This Row],[Years of Experience]]="","",IF(tblSalaries[[#This Row],[Years of Experience]]&gt;20,1,""))</f>
        <v/>
      </c>
      <c r="T14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39" s="13" t="str">
        <f>IF(tblSalaries[[#This Row],[Job Type]]=tblSalaries[[#Headers],[Accountant]],tblSalaries[[#This Row],[Salary in USD]],"")</f>
        <v/>
      </c>
      <c r="V1439" s="13" t="str">
        <f>IF(tblSalaries[[#This Row],[Job Type]]=tblSalaries[[#Headers],[Analyst]],tblSalaries[[#This Row],[Salary in USD]],"")</f>
        <v/>
      </c>
      <c r="W1439" s="13" t="str">
        <f>IF(tblSalaries[[#This Row],[Job Type]]=tblSalaries[[#Headers],[Consultant]],tblSalaries[[#This Row],[Salary in USD]],"")</f>
        <v/>
      </c>
      <c r="X1439" s="13" t="str">
        <f>IF(tblSalaries[[#This Row],[Job Type]]=tblSalaries[[#Headers],[Controller]],tblSalaries[[#This Row],[Salary in USD]],"")</f>
        <v/>
      </c>
      <c r="Y1439" s="13" t="str">
        <f>IF(tblSalaries[[#This Row],[Job Type]]=tblSalaries[[#Headers],[CXO or Top Mgmt.]],tblSalaries[[#This Row],[clean Salary (in local currency)]],"")</f>
        <v/>
      </c>
      <c r="Z1439" s="13" t="str">
        <f>IF(tblSalaries[[#This Row],[Job Type]]=tblSalaries[[#Headers],[Engineer]],tblSalaries[[#This Row],[Salary in USD]],"")</f>
        <v/>
      </c>
      <c r="AA1439" s="13" t="str">
        <f>IF(tblSalaries[[#This Row],[Job Type]]=tblSalaries[[#Headers],[Manager]],tblSalaries[[#This Row],[Salary in USD]],"")</f>
        <v/>
      </c>
      <c r="AB1439" s="13" t="str">
        <f>IF(tblSalaries[[#This Row],[Job Type]]=tblSalaries[[#Headers],[Misc.]],tblSalaries[[#This Row],[Salary in USD]],"")</f>
        <v/>
      </c>
      <c r="AC1439" s="13" t="str">
        <f>IF(tblSalaries[[#This Row],[Job Type]]=tblSalaries[[#Headers],[Reporting]],tblSalaries[[#This Row],[Salary in USD]],"")</f>
        <v/>
      </c>
      <c r="AD1439" s="13">
        <f>IF(tblSalaries[[#This Row],[Job Type]]=tblSalaries[[#Headers],[Specialist]],tblSalaries[[#This Row],[Salary in USD]],"")</f>
        <v>17807.916687442568</v>
      </c>
    </row>
    <row r="1440" spans="2:30" ht="15" customHeight="1" x14ac:dyDescent="0.25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 s="9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  <c r="N1440" t="str">
        <f>IF(tblSalaries[[#This Row],[Years of Experience]]="","",IF(tblSalaries[[#This Row],[Years of Experience]]&lt;=2,1,""))</f>
        <v/>
      </c>
      <c r="O1440" t="str">
        <f>IF(tblSalaries[[#This Row],[Years of Experience]]="","",IF(AND(tblSalaries[[#This Row],[Years of Experience]]&gt;2,tblSalaries[[#This Row],[Years of Experience]]&lt;=5),1,""))</f>
        <v/>
      </c>
      <c r="P1440" t="str">
        <f>IF(tblSalaries[[#This Row],[Years of Experience]]="","",IF(AND(tblSalaries[[#This Row],[Years of Experience]]&gt;5,tblSalaries[[#This Row],[Years of Experience]]&lt;=10),1,""))</f>
        <v/>
      </c>
      <c r="Q1440">
        <f>IF(tblSalaries[[#This Row],[Years of Experience]]="","",IF(AND(tblSalaries[[#This Row],[Years of Experience]]&gt;10,tblSalaries[[#This Row],[Years of Experience]]&lt;=15),1,""))</f>
        <v>1</v>
      </c>
      <c r="R1440" t="str">
        <f>IF(tblSalaries[[#This Row],[Years of Experience]]="","",IF(AND(tblSalaries[[#This Row],[Years of Experience]]&gt;16,tblSalaries[[#This Row],[Years of Experience]]&lt;=20),1,""))</f>
        <v/>
      </c>
      <c r="S1440" t="str">
        <f>IF(tblSalaries[[#This Row],[Years of Experience]]="","",IF(tblSalaries[[#This Row],[Years of Experience]]&gt;20,1,""))</f>
        <v/>
      </c>
      <c r="T14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40" s="13" t="str">
        <f>IF(tblSalaries[[#This Row],[Job Type]]=tblSalaries[[#Headers],[Accountant]],tblSalaries[[#This Row],[Salary in USD]],"")</f>
        <v/>
      </c>
      <c r="V1440" s="13">
        <f>IF(tblSalaries[[#This Row],[Job Type]]=tblSalaries[[#Headers],[Analyst]],tblSalaries[[#This Row],[Salary in USD]],"")</f>
        <v>3561.5833374885137</v>
      </c>
      <c r="W1440" s="13" t="str">
        <f>IF(tblSalaries[[#This Row],[Job Type]]=tblSalaries[[#Headers],[Consultant]],tblSalaries[[#This Row],[Salary in USD]],"")</f>
        <v/>
      </c>
      <c r="X1440" s="13" t="str">
        <f>IF(tblSalaries[[#This Row],[Job Type]]=tblSalaries[[#Headers],[Controller]],tblSalaries[[#This Row],[Salary in USD]],"")</f>
        <v/>
      </c>
      <c r="Y1440" s="13" t="str">
        <f>IF(tblSalaries[[#This Row],[Job Type]]=tblSalaries[[#Headers],[CXO or Top Mgmt.]],tblSalaries[[#This Row],[clean Salary (in local currency)]],"")</f>
        <v/>
      </c>
      <c r="Z1440" s="13" t="str">
        <f>IF(tblSalaries[[#This Row],[Job Type]]=tblSalaries[[#Headers],[Engineer]],tblSalaries[[#This Row],[Salary in USD]],"")</f>
        <v/>
      </c>
      <c r="AA1440" s="13" t="str">
        <f>IF(tblSalaries[[#This Row],[Job Type]]=tblSalaries[[#Headers],[Manager]],tblSalaries[[#This Row],[Salary in USD]],"")</f>
        <v/>
      </c>
      <c r="AB1440" s="13" t="str">
        <f>IF(tblSalaries[[#This Row],[Job Type]]=tblSalaries[[#Headers],[Misc.]],tblSalaries[[#This Row],[Salary in USD]],"")</f>
        <v/>
      </c>
      <c r="AC1440" s="13" t="str">
        <f>IF(tblSalaries[[#This Row],[Job Type]]=tblSalaries[[#Headers],[Reporting]],tblSalaries[[#This Row],[Salary in USD]],"")</f>
        <v/>
      </c>
      <c r="AD1440" s="13" t="str">
        <f>IF(tblSalaries[[#This Row],[Job Type]]=tblSalaries[[#Headers],[Specialist]],tblSalaries[[#This Row],[Salary in USD]],"")</f>
        <v/>
      </c>
    </row>
    <row r="1441" spans="2:30" ht="15" customHeight="1" x14ac:dyDescent="0.25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 s="9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  <c r="N1441" t="str">
        <f>IF(tblSalaries[[#This Row],[Years of Experience]]="","",IF(tblSalaries[[#This Row],[Years of Experience]]&lt;=2,1,""))</f>
        <v/>
      </c>
      <c r="O1441">
        <f>IF(tblSalaries[[#This Row],[Years of Experience]]="","",IF(AND(tblSalaries[[#This Row],[Years of Experience]]&gt;2,tblSalaries[[#This Row],[Years of Experience]]&lt;=5),1,""))</f>
        <v>1</v>
      </c>
      <c r="P1441" t="str">
        <f>IF(tblSalaries[[#This Row],[Years of Experience]]="","",IF(AND(tblSalaries[[#This Row],[Years of Experience]]&gt;5,tblSalaries[[#This Row],[Years of Experience]]&lt;=10),1,""))</f>
        <v/>
      </c>
      <c r="Q1441" t="str">
        <f>IF(tblSalaries[[#This Row],[Years of Experience]]="","",IF(AND(tblSalaries[[#This Row],[Years of Experience]]&gt;10,tblSalaries[[#This Row],[Years of Experience]]&lt;=15),1,""))</f>
        <v/>
      </c>
      <c r="R1441" t="str">
        <f>IF(tblSalaries[[#This Row],[Years of Experience]]="","",IF(AND(tblSalaries[[#This Row],[Years of Experience]]&gt;16,tblSalaries[[#This Row],[Years of Experience]]&lt;=20),1,""))</f>
        <v/>
      </c>
      <c r="S1441" t="str">
        <f>IF(tblSalaries[[#This Row],[Years of Experience]]="","",IF(tblSalaries[[#This Row],[Years of Experience]]&gt;20,1,""))</f>
        <v/>
      </c>
      <c r="T14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41" s="13" t="str">
        <f>IF(tblSalaries[[#This Row],[Job Type]]=tblSalaries[[#Headers],[Accountant]],tblSalaries[[#This Row],[Salary in USD]],"")</f>
        <v/>
      </c>
      <c r="V1441" s="13">
        <f>IF(tblSalaries[[#This Row],[Job Type]]=tblSalaries[[#Headers],[Analyst]],tblSalaries[[#This Row],[Salary in USD]],"")</f>
        <v>26795.030625143831</v>
      </c>
      <c r="W1441" s="13" t="str">
        <f>IF(tblSalaries[[#This Row],[Job Type]]=tblSalaries[[#Headers],[Consultant]],tblSalaries[[#This Row],[Salary in USD]],"")</f>
        <v/>
      </c>
      <c r="X1441" s="13" t="str">
        <f>IF(tblSalaries[[#This Row],[Job Type]]=tblSalaries[[#Headers],[Controller]],tblSalaries[[#This Row],[Salary in USD]],"")</f>
        <v/>
      </c>
      <c r="Y1441" s="13" t="str">
        <f>IF(tblSalaries[[#This Row],[Job Type]]=tblSalaries[[#Headers],[CXO or Top Mgmt.]],tblSalaries[[#This Row],[clean Salary (in local currency)]],"")</f>
        <v/>
      </c>
      <c r="Z1441" s="13" t="str">
        <f>IF(tblSalaries[[#This Row],[Job Type]]=tblSalaries[[#Headers],[Engineer]],tblSalaries[[#This Row],[Salary in USD]],"")</f>
        <v/>
      </c>
      <c r="AA1441" s="13" t="str">
        <f>IF(tblSalaries[[#This Row],[Job Type]]=tblSalaries[[#Headers],[Manager]],tblSalaries[[#This Row],[Salary in USD]],"")</f>
        <v/>
      </c>
      <c r="AB1441" s="13" t="str">
        <f>IF(tblSalaries[[#This Row],[Job Type]]=tblSalaries[[#Headers],[Misc.]],tblSalaries[[#This Row],[Salary in USD]],"")</f>
        <v/>
      </c>
      <c r="AC1441" s="13" t="str">
        <f>IF(tblSalaries[[#This Row],[Job Type]]=tblSalaries[[#Headers],[Reporting]],tblSalaries[[#This Row],[Salary in USD]],"")</f>
        <v/>
      </c>
      <c r="AD1441" s="13" t="str">
        <f>IF(tblSalaries[[#This Row],[Job Type]]=tblSalaries[[#Headers],[Specialist]],tblSalaries[[#This Row],[Salary in USD]],"")</f>
        <v/>
      </c>
    </row>
    <row r="1442" spans="2:30" ht="15" customHeight="1" x14ac:dyDescent="0.25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 s="9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  <c r="N1442" t="str">
        <f>IF(tblSalaries[[#This Row],[Years of Experience]]="","",IF(tblSalaries[[#This Row],[Years of Experience]]&lt;=2,1,""))</f>
        <v/>
      </c>
      <c r="O1442" t="str">
        <f>IF(tblSalaries[[#This Row],[Years of Experience]]="","",IF(AND(tblSalaries[[#This Row],[Years of Experience]]&gt;2,tblSalaries[[#This Row],[Years of Experience]]&lt;=5),1,""))</f>
        <v/>
      </c>
      <c r="P1442">
        <f>IF(tblSalaries[[#This Row],[Years of Experience]]="","",IF(AND(tblSalaries[[#This Row],[Years of Experience]]&gt;5,tblSalaries[[#This Row],[Years of Experience]]&lt;=10),1,""))</f>
        <v>1</v>
      </c>
      <c r="Q1442" t="str">
        <f>IF(tblSalaries[[#This Row],[Years of Experience]]="","",IF(AND(tblSalaries[[#This Row],[Years of Experience]]&gt;10,tblSalaries[[#This Row],[Years of Experience]]&lt;=15),1,""))</f>
        <v/>
      </c>
      <c r="R1442" t="str">
        <f>IF(tblSalaries[[#This Row],[Years of Experience]]="","",IF(AND(tblSalaries[[#This Row],[Years of Experience]]&gt;16,tblSalaries[[#This Row],[Years of Experience]]&lt;=20),1,""))</f>
        <v/>
      </c>
      <c r="S1442" t="str">
        <f>IF(tblSalaries[[#This Row],[Years of Experience]]="","",IF(tblSalaries[[#This Row],[Years of Experience]]&gt;20,1,""))</f>
        <v/>
      </c>
      <c r="T14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42" s="13" t="str">
        <f>IF(tblSalaries[[#This Row],[Job Type]]=tblSalaries[[#Headers],[Accountant]],tblSalaries[[#This Row],[Salary in USD]],"")</f>
        <v/>
      </c>
      <c r="V1442" s="13" t="str">
        <f>IF(tblSalaries[[#This Row],[Job Type]]=tblSalaries[[#Headers],[Analyst]],tblSalaries[[#This Row],[Salary in USD]],"")</f>
        <v/>
      </c>
      <c r="W1442" s="13" t="str">
        <f>IF(tblSalaries[[#This Row],[Job Type]]=tblSalaries[[#Headers],[Consultant]],tblSalaries[[#This Row],[Salary in USD]],"")</f>
        <v/>
      </c>
      <c r="X1442" s="13" t="str">
        <f>IF(tblSalaries[[#This Row],[Job Type]]=tblSalaries[[#Headers],[Controller]],tblSalaries[[#This Row],[Salary in USD]],"")</f>
        <v/>
      </c>
      <c r="Y1442" s="13" t="str">
        <f>IF(tblSalaries[[#This Row],[Job Type]]=tblSalaries[[#Headers],[CXO or Top Mgmt.]],tblSalaries[[#This Row],[clean Salary (in local currency)]],"")</f>
        <v/>
      </c>
      <c r="Z1442" s="13" t="str">
        <f>IF(tblSalaries[[#This Row],[Job Type]]=tblSalaries[[#Headers],[Engineer]],tblSalaries[[#This Row],[Salary in USD]],"")</f>
        <v/>
      </c>
      <c r="AA1442" s="13">
        <f>IF(tblSalaries[[#This Row],[Job Type]]=tblSalaries[[#Headers],[Manager]],tblSalaries[[#This Row],[Salary in USD]],"")</f>
        <v>20400</v>
      </c>
      <c r="AB1442" s="13" t="str">
        <f>IF(tblSalaries[[#This Row],[Job Type]]=tblSalaries[[#Headers],[Misc.]],tblSalaries[[#This Row],[Salary in USD]],"")</f>
        <v/>
      </c>
      <c r="AC1442" s="13" t="str">
        <f>IF(tblSalaries[[#This Row],[Job Type]]=tblSalaries[[#Headers],[Reporting]],tblSalaries[[#This Row],[Salary in USD]],"")</f>
        <v/>
      </c>
      <c r="AD1442" s="13" t="str">
        <f>IF(tblSalaries[[#This Row],[Job Type]]=tblSalaries[[#Headers],[Specialist]],tblSalaries[[#This Row],[Salary in USD]],"")</f>
        <v/>
      </c>
    </row>
    <row r="1443" spans="2:30" ht="15" customHeight="1" x14ac:dyDescent="0.25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 s="9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  <c r="N1443" t="str">
        <f>IF(tblSalaries[[#This Row],[Years of Experience]]="","",IF(tblSalaries[[#This Row],[Years of Experience]]&lt;=2,1,""))</f>
        <v/>
      </c>
      <c r="O1443" t="str">
        <f>IF(tblSalaries[[#This Row],[Years of Experience]]="","",IF(AND(tblSalaries[[#This Row],[Years of Experience]]&gt;2,tblSalaries[[#This Row],[Years of Experience]]&lt;=5),1,""))</f>
        <v/>
      </c>
      <c r="P1443" t="str">
        <f>IF(tblSalaries[[#This Row],[Years of Experience]]="","",IF(AND(tblSalaries[[#This Row],[Years of Experience]]&gt;5,tblSalaries[[#This Row],[Years of Experience]]&lt;=10),1,""))</f>
        <v/>
      </c>
      <c r="Q1443" t="str">
        <f>IF(tblSalaries[[#This Row],[Years of Experience]]="","",IF(AND(tblSalaries[[#This Row],[Years of Experience]]&gt;10,tblSalaries[[#This Row],[Years of Experience]]&lt;=15),1,""))</f>
        <v/>
      </c>
      <c r="R1443" t="str">
        <f>IF(tblSalaries[[#This Row],[Years of Experience]]="","",IF(AND(tblSalaries[[#This Row],[Years of Experience]]&gt;16,tblSalaries[[#This Row],[Years of Experience]]&lt;=20),1,""))</f>
        <v/>
      </c>
      <c r="S1443">
        <f>IF(tblSalaries[[#This Row],[Years of Experience]]="","",IF(tblSalaries[[#This Row],[Years of Experience]]&gt;20,1,""))</f>
        <v>1</v>
      </c>
      <c r="T14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43" s="13">
        <f>IF(tblSalaries[[#This Row],[Job Type]]=tblSalaries[[#Headers],[Accountant]],tblSalaries[[#This Row],[Salary in USD]],"")</f>
        <v>39404.456801682099</v>
      </c>
      <c r="V1443" s="13" t="str">
        <f>IF(tblSalaries[[#This Row],[Job Type]]=tblSalaries[[#Headers],[Analyst]],tblSalaries[[#This Row],[Salary in USD]],"")</f>
        <v/>
      </c>
      <c r="W1443" s="13" t="str">
        <f>IF(tblSalaries[[#This Row],[Job Type]]=tblSalaries[[#Headers],[Consultant]],tblSalaries[[#This Row],[Salary in USD]],"")</f>
        <v/>
      </c>
      <c r="X1443" s="13" t="str">
        <f>IF(tblSalaries[[#This Row],[Job Type]]=tblSalaries[[#Headers],[Controller]],tblSalaries[[#This Row],[Salary in USD]],"")</f>
        <v/>
      </c>
      <c r="Y1443" s="13" t="str">
        <f>IF(tblSalaries[[#This Row],[Job Type]]=tblSalaries[[#Headers],[CXO or Top Mgmt.]],tblSalaries[[#This Row],[clean Salary (in local currency)]],"")</f>
        <v/>
      </c>
      <c r="Z1443" s="13" t="str">
        <f>IF(tblSalaries[[#This Row],[Job Type]]=tblSalaries[[#Headers],[Engineer]],tblSalaries[[#This Row],[Salary in USD]],"")</f>
        <v/>
      </c>
      <c r="AA1443" s="13" t="str">
        <f>IF(tblSalaries[[#This Row],[Job Type]]=tblSalaries[[#Headers],[Manager]],tblSalaries[[#This Row],[Salary in USD]],"")</f>
        <v/>
      </c>
      <c r="AB1443" s="13" t="str">
        <f>IF(tblSalaries[[#This Row],[Job Type]]=tblSalaries[[#Headers],[Misc.]],tblSalaries[[#This Row],[Salary in USD]],"")</f>
        <v/>
      </c>
      <c r="AC1443" s="13" t="str">
        <f>IF(tblSalaries[[#This Row],[Job Type]]=tblSalaries[[#Headers],[Reporting]],tblSalaries[[#This Row],[Salary in USD]],"")</f>
        <v/>
      </c>
      <c r="AD1443" s="13" t="str">
        <f>IF(tblSalaries[[#This Row],[Job Type]]=tblSalaries[[#Headers],[Specialist]],tblSalaries[[#This Row],[Salary in USD]],"")</f>
        <v/>
      </c>
    </row>
    <row r="1444" spans="2:30" ht="15" customHeight="1" x14ac:dyDescent="0.25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 s="9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  <c r="N1444" t="str">
        <f>IF(tblSalaries[[#This Row],[Years of Experience]]="","",IF(tblSalaries[[#This Row],[Years of Experience]]&lt;=2,1,""))</f>
        <v/>
      </c>
      <c r="O1444" t="str">
        <f>IF(tblSalaries[[#This Row],[Years of Experience]]="","",IF(AND(tblSalaries[[#This Row],[Years of Experience]]&gt;2,tblSalaries[[#This Row],[Years of Experience]]&lt;=5),1,""))</f>
        <v/>
      </c>
      <c r="P1444">
        <f>IF(tblSalaries[[#This Row],[Years of Experience]]="","",IF(AND(tblSalaries[[#This Row],[Years of Experience]]&gt;5,tblSalaries[[#This Row],[Years of Experience]]&lt;=10),1,""))</f>
        <v>1</v>
      </c>
      <c r="Q1444" t="str">
        <f>IF(tblSalaries[[#This Row],[Years of Experience]]="","",IF(AND(tblSalaries[[#This Row],[Years of Experience]]&gt;10,tblSalaries[[#This Row],[Years of Experience]]&lt;=15),1,""))</f>
        <v/>
      </c>
      <c r="R1444" t="str">
        <f>IF(tblSalaries[[#This Row],[Years of Experience]]="","",IF(AND(tblSalaries[[#This Row],[Years of Experience]]&gt;16,tblSalaries[[#This Row],[Years of Experience]]&lt;=20),1,""))</f>
        <v/>
      </c>
      <c r="S1444" t="str">
        <f>IF(tblSalaries[[#This Row],[Years of Experience]]="","",IF(tblSalaries[[#This Row],[Years of Experience]]&gt;20,1,""))</f>
        <v/>
      </c>
      <c r="T14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44" s="13" t="str">
        <f>IF(tblSalaries[[#This Row],[Job Type]]=tblSalaries[[#Headers],[Accountant]],tblSalaries[[#This Row],[Salary in USD]],"")</f>
        <v/>
      </c>
      <c r="V1444" s="13">
        <f>IF(tblSalaries[[#This Row],[Job Type]]=tblSalaries[[#Headers],[Analyst]],tblSalaries[[#This Row],[Salary in USD]],"")</f>
        <v>149907.13380100971</v>
      </c>
      <c r="W1444" s="13" t="str">
        <f>IF(tblSalaries[[#This Row],[Job Type]]=tblSalaries[[#Headers],[Consultant]],tblSalaries[[#This Row],[Salary in USD]],"")</f>
        <v/>
      </c>
      <c r="X1444" s="13" t="str">
        <f>IF(tblSalaries[[#This Row],[Job Type]]=tblSalaries[[#Headers],[Controller]],tblSalaries[[#This Row],[Salary in USD]],"")</f>
        <v/>
      </c>
      <c r="Y1444" s="13" t="str">
        <f>IF(tblSalaries[[#This Row],[Job Type]]=tblSalaries[[#Headers],[CXO or Top Mgmt.]],tblSalaries[[#This Row],[clean Salary (in local currency)]],"")</f>
        <v/>
      </c>
      <c r="Z1444" s="13" t="str">
        <f>IF(tblSalaries[[#This Row],[Job Type]]=tblSalaries[[#Headers],[Engineer]],tblSalaries[[#This Row],[Salary in USD]],"")</f>
        <v/>
      </c>
      <c r="AA1444" s="13" t="str">
        <f>IF(tblSalaries[[#This Row],[Job Type]]=tblSalaries[[#Headers],[Manager]],tblSalaries[[#This Row],[Salary in USD]],"")</f>
        <v/>
      </c>
      <c r="AB1444" s="13" t="str">
        <f>IF(tblSalaries[[#This Row],[Job Type]]=tblSalaries[[#Headers],[Misc.]],tblSalaries[[#This Row],[Salary in USD]],"")</f>
        <v/>
      </c>
      <c r="AC1444" s="13" t="str">
        <f>IF(tblSalaries[[#This Row],[Job Type]]=tblSalaries[[#Headers],[Reporting]],tblSalaries[[#This Row],[Salary in USD]],"")</f>
        <v/>
      </c>
      <c r="AD1444" s="13" t="str">
        <f>IF(tblSalaries[[#This Row],[Job Type]]=tblSalaries[[#Headers],[Specialist]],tblSalaries[[#This Row],[Salary in USD]],"")</f>
        <v/>
      </c>
    </row>
    <row r="1445" spans="2:30" ht="15" customHeight="1" x14ac:dyDescent="0.25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 s="9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  <c r="N1445">
        <f>IF(tblSalaries[[#This Row],[Years of Experience]]="","",IF(tblSalaries[[#This Row],[Years of Experience]]&lt;=2,1,""))</f>
        <v>1</v>
      </c>
      <c r="O1445" t="str">
        <f>IF(tblSalaries[[#This Row],[Years of Experience]]="","",IF(AND(tblSalaries[[#This Row],[Years of Experience]]&gt;2,tblSalaries[[#This Row],[Years of Experience]]&lt;=5),1,""))</f>
        <v/>
      </c>
      <c r="P1445" t="str">
        <f>IF(tblSalaries[[#This Row],[Years of Experience]]="","",IF(AND(tblSalaries[[#This Row],[Years of Experience]]&gt;5,tblSalaries[[#This Row],[Years of Experience]]&lt;=10),1,""))</f>
        <v/>
      </c>
      <c r="Q1445" t="str">
        <f>IF(tblSalaries[[#This Row],[Years of Experience]]="","",IF(AND(tblSalaries[[#This Row],[Years of Experience]]&gt;10,tblSalaries[[#This Row],[Years of Experience]]&lt;=15),1,""))</f>
        <v/>
      </c>
      <c r="R1445" t="str">
        <f>IF(tblSalaries[[#This Row],[Years of Experience]]="","",IF(AND(tblSalaries[[#This Row],[Years of Experience]]&gt;16,tblSalaries[[#This Row],[Years of Experience]]&lt;=20),1,""))</f>
        <v/>
      </c>
      <c r="S1445" t="str">
        <f>IF(tblSalaries[[#This Row],[Years of Experience]]="","",IF(tblSalaries[[#This Row],[Years of Experience]]&gt;20,1,""))</f>
        <v/>
      </c>
      <c r="T14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45" s="13" t="str">
        <f>IF(tblSalaries[[#This Row],[Job Type]]=tblSalaries[[#Headers],[Accountant]],tblSalaries[[#This Row],[Salary in USD]],"")</f>
        <v/>
      </c>
      <c r="V1445" s="13">
        <f>IF(tblSalaries[[#This Row],[Job Type]]=tblSalaries[[#Headers],[Analyst]],tblSalaries[[#This Row],[Salary in USD]],"")</f>
        <v>4095.8208381117906</v>
      </c>
      <c r="W1445" s="13" t="str">
        <f>IF(tblSalaries[[#This Row],[Job Type]]=tblSalaries[[#Headers],[Consultant]],tblSalaries[[#This Row],[Salary in USD]],"")</f>
        <v/>
      </c>
      <c r="X1445" s="13" t="str">
        <f>IF(tblSalaries[[#This Row],[Job Type]]=tblSalaries[[#Headers],[Controller]],tblSalaries[[#This Row],[Salary in USD]],"")</f>
        <v/>
      </c>
      <c r="Y1445" s="13" t="str">
        <f>IF(tblSalaries[[#This Row],[Job Type]]=tblSalaries[[#Headers],[CXO or Top Mgmt.]],tblSalaries[[#This Row],[clean Salary (in local currency)]],"")</f>
        <v/>
      </c>
      <c r="Z1445" s="13" t="str">
        <f>IF(tblSalaries[[#This Row],[Job Type]]=tblSalaries[[#Headers],[Engineer]],tblSalaries[[#This Row],[Salary in USD]],"")</f>
        <v/>
      </c>
      <c r="AA1445" s="13" t="str">
        <f>IF(tblSalaries[[#This Row],[Job Type]]=tblSalaries[[#Headers],[Manager]],tblSalaries[[#This Row],[Salary in USD]],"")</f>
        <v/>
      </c>
      <c r="AB1445" s="13" t="str">
        <f>IF(tblSalaries[[#This Row],[Job Type]]=tblSalaries[[#Headers],[Misc.]],tblSalaries[[#This Row],[Salary in USD]],"")</f>
        <v/>
      </c>
      <c r="AC1445" s="13" t="str">
        <f>IF(tblSalaries[[#This Row],[Job Type]]=tblSalaries[[#Headers],[Reporting]],tblSalaries[[#This Row],[Salary in USD]],"")</f>
        <v/>
      </c>
      <c r="AD1445" s="13" t="str">
        <f>IF(tblSalaries[[#This Row],[Job Type]]=tblSalaries[[#Headers],[Specialist]],tblSalaries[[#This Row],[Salary in USD]],"")</f>
        <v/>
      </c>
    </row>
    <row r="1446" spans="2:30" ht="15" customHeight="1" x14ac:dyDescent="0.25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 s="9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  <c r="N1446" t="str">
        <f>IF(tblSalaries[[#This Row],[Years of Experience]]="","",IF(tblSalaries[[#This Row],[Years of Experience]]&lt;=2,1,""))</f>
        <v/>
      </c>
      <c r="O1446" t="str">
        <f>IF(tblSalaries[[#This Row],[Years of Experience]]="","",IF(AND(tblSalaries[[#This Row],[Years of Experience]]&gt;2,tblSalaries[[#This Row],[Years of Experience]]&lt;=5),1,""))</f>
        <v/>
      </c>
      <c r="P1446">
        <f>IF(tblSalaries[[#This Row],[Years of Experience]]="","",IF(AND(tblSalaries[[#This Row],[Years of Experience]]&gt;5,tblSalaries[[#This Row],[Years of Experience]]&lt;=10),1,""))</f>
        <v>1</v>
      </c>
      <c r="Q1446" t="str">
        <f>IF(tblSalaries[[#This Row],[Years of Experience]]="","",IF(AND(tblSalaries[[#This Row],[Years of Experience]]&gt;10,tblSalaries[[#This Row],[Years of Experience]]&lt;=15),1,""))</f>
        <v/>
      </c>
      <c r="R1446" t="str">
        <f>IF(tblSalaries[[#This Row],[Years of Experience]]="","",IF(AND(tblSalaries[[#This Row],[Years of Experience]]&gt;16,tblSalaries[[#This Row],[Years of Experience]]&lt;=20),1,""))</f>
        <v/>
      </c>
      <c r="S1446" t="str">
        <f>IF(tblSalaries[[#This Row],[Years of Experience]]="","",IF(tblSalaries[[#This Row],[Years of Experience]]&gt;20,1,""))</f>
        <v/>
      </c>
      <c r="T14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46" s="13">
        <f>IF(tblSalaries[[#This Row],[Job Type]]=tblSalaries[[#Headers],[Accountant]],tblSalaries[[#This Row],[Salary in USD]],"")</f>
        <v>127488.70705032947</v>
      </c>
      <c r="V1446" s="13" t="str">
        <f>IF(tblSalaries[[#This Row],[Job Type]]=tblSalaries[[#Headers],[Analyst]],tblSalaries[[#This Row],[Salary in USD]],"")</f>
        <v/>
      </c>
      <c r="W1446" s="13" t="str">
        <f>IF(tblSalaries[[#This Row],[Job Type]]=tblSalaries[[#Headers],[Consultant]],tblSalaries[[#This Row],[Salary in USD]],"")</f>
        <v/>
      </c>
      <c r="X1446" s="13" t="str">
        <f>IF(tblSalaries[[#This Row],[Job Type]]=tblSalaries[[#Headers],[Controller]],tblSalaries[[#This Row],[Salary in USD]],"")</f>
        <v/>
      </c>
      <c r="Y1446" s="13" t="str">
        <f>IF(tblSalaries[[#This Row],[Job Type]]=tblSalaries[[#Headers],[CXO or Top Mgmt.]],tblSalaries[[#This Row],[clean Salary (in local currency)]],"")</f>
        <v/>
      </c>
      <c r="Z1446" s="13" t="str">
        <f>IF(tblSalaries[[#This Row],[Job Type]]=tblSalaries[[#Headers],[Engineer]],tblSalaries[[#This Row],[Salary in USD]],"")</f>
        <v/>
      </c>
      <c r="AA1446" s="13" t="str">
        <f>IF(tblSalaries[[#This Row],[Job Type]]=tblSalaries[[#Headers],[Manager]],tblSalaries[[#This Row],[Salary in USD]],"")</f>
        <v/>
      </c>
      <c r="AB1446" s="13" t="str">
        <f>IF(tblSalaries[[#This Row],[Job Type]]=tblSalaries[[#Headers],[Misc.]],tblSalaries[[#This Row],[Salary in USD]],"")</f>
        <v/>
      </c>
      <c r="AC1446" s="13" t="str">
        <f>IF(tblSalaries[[#This Row],[Job Type]]=tblSalaries[[#Headers],[Reporting]],tblSalaries[[#This Row],[Salary in USD]],"")</f>
        <v/>
      </c>
      <c r="AD1446" s="13" t="str">
        <f>IF(tblSalaries[[#This Row],[Job Type]]=tblSalaries[[#Headers],[Specialist]],tblSalaries[[#This Row],[Salary in USD]],"")</f>
        <v/>
      </c>
    </row>
    <row r="1447" spans="2:30" ht="15" customHeight="1" x14ac:dyDescent="0.25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 s="9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  <c r="N1447" t="str">
        <f>IF(tblSalaries[[#This Row],[Years of Experience]]="","",IF(tblSalaries[[#This Row],[Years of Experience]]&lt;=2,1,""))</f>
        <v/>
      </c>
      <c r="O1447" t="str">
        <f>IF(tblSalaries[[#This Row],[Years of Experience]]="","",IF(AND(tblSalaries[[#This Row],[Years of Experience]]&gt;2,tblSalaries[[#This Row],[Years of Experience]]&lt;=5),1,""))</f>
        <v/>
      </c>
      <c r="P1447" t="str">
        <f>IF(tblSalaries[[#This Row],[Years of Experience]]="","",IF(AND(tblSalaries[[#This Row],[Years of Experience]]&gt;5,tblSalaries[[#This Row],[Years of Experience]]&lt;=10),1,""))</f>
        <v/>
      </c>
      <c r="Q1447" t="str">
        <f>IF(tblSalaries[[#This Row],[Years of Experience]]="","",IF(AND(tblSalaries[[#This Row],[Years of Experience]]&gt;10,tblSalaries[[#This Row],[Years of Experience]]&lt;=15),1,""))</f>
        <v/>
      </c>
      <c r="R1447">
        <f>IF(tblSalaries[[#This Row],[Years of Experience]]="","",IF(AND(tblSalaries[[#This Row],[Years of Experience]]&gt;16,tblSalaries[[#This Row],[Years of Experience]]&lt;=20),1,""))</f>
        <v>1</v>
      </c>
      <c r="S1447" t="str">
        <f>IF(tblSalaries[[#This Row],[Years of Experience]]="","",IF(tblSalaries[[#This Row],[Years of Experience]]&gt;20,1,""))</f>
        <v/>
      </c>
      <c r="T14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47" s="13" t="str">
        <f>IF(tblSalaries[[#This Row],[Job Type]]=tblSalaries[[#Headers],[Accountant]],tblSalaries[[#This Row],[Salary in USD]],"")</f>
        <v/>
      </c>
      <c r="V1447" s="13" t="str">
        <f>IF(tblSalaries[[#This Row],[Job Type]]=tblSalaries[[#Headers],[Analyst]],tblSalaries[[#This Row],[Salary in USD]],"")</f>
        <v/>
      </c>
      <c r="W1447" s="13" t="str">
        <f>IF(tblSalaries[[#This Row],[Job Type]]=tblSalaries[[#Headers],[Consultant]],tblSalaries[[#This Row],[Salary in USD]],"")</f>
        <v/>
      </c>
      <c r="X1447" s="13" t="str">
        <f>IF(tblSalaries[[#This Row],[Job Type]]=tblSalaries[[#Headers],[Controller]],tblSalaries[[#This Row],[Salary in USD]],"")</f>
        <v/>
      </c>
      <c r="Y1447" s="13" t="str">
        <f>IF(tblSalaries[[#This Row],[Job Type]]=tblSalaries[[#Headers],[CXO or Top Mgmt.]],tblSalaries[[#This Row],[clean Salary (in local currency)]],"")</f>
        <v/>
      </c>
      <c r="Z1447" s="13" t="str">
        <f>IF(tblSalaries[[#This Row],[Job Type]]=tblSalaries[[#Headers],[Engineer]],tblSalaries[[#This Row],[Salary in USD]],"")</f>
        <v/>
      </c>
      <c r="AA1447" s="13">
        <f>IF(tblSalaries[[#This Row],[Job Type]]=tblSalaries[[#Headers],[Manager]],tblSalaries[[#This Row],[Salary in USD]],"")</f>
        <v>58318.59606648951</v>
      </c>
      <c r="AB1447" s="13" t="str">
        <f>IF(tblSalaries[[#This Row],[Job Type]]=tblSalaries[[#Headers],[Misc.]],tblSalaries[[#This Row],[Salary in USD]],"")</f>
        <v/>
      </c>
      <c r="AC1447" s="13" t="str">
        <f>IF(tblSalaries[[#This Row],[Job Type]]=tblSalaries[[#Headers],[Reporting]],tblSalaries[[#This Row],[Salary in USD]],"")</f>
        <v/>
      </c>
      <c r="AD1447" s="13" t="str">
        <f>IF(tblSalaries[[#This Row],[Job Type]]=tblSalaries[[#Headers],[Specialist]],tblSalaries[[#This Row],[Salary in USD]],"")</f>
        <v/>
      </c>
    </row>
    <row r="1448" spans="2:30" ht="15" customHeight="1" x14ac:dyDescent="0.25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 s="9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  <c r="N1448">
        <f>IF(tblSalaries[[#This Row],[Years of Experience]]="","",IF(tblSalaries[[#This Row],[Years of Experience]]&lt;=2,1,""))</f>
        <v>1</v>
      </c>
      <c r="O1448" t="str">
        <f>IF(tblSalaries[[#This Row],[Years of Experience]]="","",IF(AND(tblSalaries[[#This Row],[Years of Experience]]&gt;2,tblSalaries[[#This Row],[Years of Experience]]&lt;=5),1,""))</f>
        <v/>
      </c>
      <c r="P1448" t="str">
        <f>IF(tblSalaries[[#This Row],[Years of Experience]]="","",IF(AND(tblSalaries[[#This Row],[Years of Experience]]&gt;5,tblSalaries[[#This Row],[Years of Experience]]&lt;=10),1,""))</f>
        <v/>
      </c>
      <c r="Q1448" t="str">
        <f>IF(tblSalaries[[#This Row],[Years of Experience]]="","",IF(AND(tblSalaries[[#This Row],[Years of Experience]]&gt;10,tblSalaries[[#This Row],[Years of Experience]]&lt;=15),1,""))</f>
        <v/>
      </c>
      <c r="R1448" t="str">
        <f>IF(tblSalaries[[#This Row],[Years of Experience]]="","",IF(AND(tblSalaries[[#This Row],[Years of Experience]]&gt;16,tblSalaries[[#This Row],[Years of Experience]]&lt;=20),1,""))</f>
        <v/>
      </c>
      <c r="S1448" t="str">
        <f>IF(tblSalaries[[#This Row],[Years of Experience]]="","",IF(tblSalaries[[#This Row],[Years of Experience]]&gt;20,1,""))</f>
        <v/>
      </c>
      <c r="T14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48" s="13" t="str">
        <f>IF(tblSalaries[[#This Row],[Job Type]]=tblSalaries[[#Headers],[Accountant]],tblSalaries[[#This Row],[Salary in USD]],"")</f>
        <v/>
      </c>
      <c r="V1448" s="13" t="str">
        <f>IF(tblSalaries[[#This Row],[Job Type]]=tblSalaries[[#Headers],[Analyst]],tblSalaries[[#This Row],[Salary in USD]],"")</f>
        <v/>
      </c>
      <c r="W1448" s="13" t="str">
        <f>IF(tblSalaries[[#This Row],[Job Type]]=tblSalaries[[#Headers],[Consultant]],tblSalaries[[#This Row],[Salary in USD]],"")</f>
        <v/>
      </c>
      <c r="X1448" s="13">
        <f>IF(tblSalaries[[#This Row],[Job Type]]=tblSalaries[[#Headers],[Controller]],tblSalaries[[#This Row],[Salary in USD]],"")</f>
        <v>9509.8988293070688</v>
      </c>
      <c r="Y1448" s="13" t="str">
        <f>IF(tblSalaries[[#This Row],[Job Type]]=tblSalaries[[#Headers],[CXO or Top Mgmt.]],tblSalaries[[#This Row],[clean Salary (in local currency)]],"")</f>
        <v/>
      </c>
      <c r="Z1448" s="13" t="str">
        <f>IF(tblSalaries[[#This Row],[Job Type]]=tblSalaries[[#Headers],[Engineer]],tblSalaries[[#This Row],[Salary in USD]],"")</f>
        <v/>
      </c>
      <c r="AA1448" s="13" t="str">
        <f>IF(tblSalaries[[#This Row],[Job Type]]=tblSalaries[[#Headers],[Manager]],tblSalaries[[#This Row],[Salary in USD]],"")</f>
        <v/>
      </c>
      <c r="AB1448" s="13" t="str">
        <f>IF(tblSalaries[[#This Row],[Job Type]]=tblSalaries[[#Headers],[Misc.]],tblSalaries[[#This Row],[Salary in USD]],"")</f>
        <v/>
      </c>
      <c r="AC1448" s="13" t="str">
        <f>IF(tblSalaries[[#This Row],[Job Type]]=tblSalaries[[#Headers],[Reporting]],tblSalaries[[#This Row],[Salary in USD]],"")</f>
        <v/>
      </c>
      <c r="AD1448" s="13" t="str">
        <f>IF(tblSalaries[[#This Row],[Job Type]]=tblSalaries[[#Headers],[Specialist]],tblSalaries[[#This Row],[Salary in USD]],"")</f>
        <v/>
      </c>
    </row>
    <row r="1449" spans="2:30" ht="15" customHeight="1" x14ac:dyDescent="0.25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 s="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  <c r="N1449" t="str">
        <f>IF(tblSalaries[[#This Row],[Years of Experience]]="","",IF(tblSalaries[[#This Row],[Years of Experience]]&lt;=2,1,""))</f>
        <v/>
      </c>
      <c r="O1449">
        <f>IF(tblSalaries[[#This Row],[Years of Experience]]="","",IF(AND(tblSalaries[[#This Row],[Years of Experience]]&gt;2,tblSalaries[[#This Row],[Years of Experience]]&lt;=5),1,""))</f>
        <v>1</v>
      </c>
      <c r="P1449" t="str">
        <f>IF(tblSalaries[[#This Row],[Years of Experience]]="","",IF(AND(tblSalaries[[#This Row],[Years of Experience]]&gt;5,tblSalaries[[#This Row],[Years of Experience]]&lt;=10),1,""))</f>
        <v/>
      </c>
      <c r="Q1449" t="str">
        <f>IF(tblSalaries[[#This Row],[Years of Experience]]="","",IF(AND(tblSalaries[[#This Row],[Years of Experience]]&gt;10,tblSalaries[[#This Row],[Years of Experience]]&lt;=15),1,""))</f>
        <v/>
      </c>
      <c r="R1449" t="str">
        <f>IF(tblSalaries[[#This Row],[Years of Experience]]="","",IF(AND(tblSalaries[[#This Row],[Years of Experience]]&gt;16,tblSalaries[[#This Row],[Years of Experience]]&lt;=20),1,""))</f>
        <v/>
      </c>
      <c r="S1449" t="str">
        <f>IF(tblSalaries[[#This Row],[Years of Experience]]="","",IF(tblSalaries[[#This Row],[Years of Experience]]&gt;20,1,""))</f>
        <v/>
      </c>
      <c r="T14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49" s="13" t="str">
        <f>IF(tblSalaries[[#This Row],[Job Type]]=tblSalaries[[#Headers],[Accountant]],tblSalaries[[#This Row],[Salary in USD]],"")</f>
        <v/>
      </c>
      <c r="V1449" s="13">
        <f>IF(tblSalaries[[#This Row],[Job Type]]=tblSalaries[[#Headers],[Analyst]],tblSalaries[[#This Row],[Salary in USD]],"")</f>
        <v>12821.700014958649</v>
      </c>
      <c r="W1449" s="13" t="str">
        <f>IF(tblSalaries[[#This Row],[Job Type]]=tblSalaries[[#Headers],[Consultant]],tblSalaries[[#This Row],[Salary in USD]],"")</f>
        <v/>
      </c>
      <c r="X1449" s="13" t="str">
        <f>IF(tblSalaries[[#This Row],[Job Type]]=tblSalaries[[#Headers],[Controller]],tblSalaries[[#This Row],[Salary in USD]],"")</f>
        <v/>
      </c>
      <c r="Y1449" s="13" t="str">
        <f>IF(tblSalaries[[#This Row],[Job Type]]=tblSalaries[[#Headers],[CXO or Top Mgmt.]],tblSalaries[[#This Row],[clean Salary (in local currency)]],"")</f>
        <v/>
      </c>
      <c r="Z1449" s="13" t="str">
        <f>IF(tblSalaries[[#This Row],[Job Type]]=tblSalaries[[#Headers],[Engineer]],tblSalaries[[#This Row],[Salary in USD]],"")</f>
        <v/>
      </c>
      <c r="AA1449" s="13" t="str">
        <f>IF(tblSalaries[[#This Row],[Job Type]]=tblSalaries[[#Headers],[Manager]],tblSalaries[[#This Row],[Salary in USD]],"")</f>
        <v/>
      </c>
      <c r="AB1449" s="13" t="str">
        <f>IF(tblSalaries[[#This Row],[Job Type]]=tblSalaries[[#Headers],[Misc.]],tblSalaries[[#This Row],[Salary in USD]],"")</f>
        <v/>
      </c>
      <c r="AC1449" s="13" t="str">
        <f>IF(tblSalaries[[#This Row],[Job Type]]=tblSalaries[[#Headers],[Reporting]],tblSalaries[[#This Row],[Salary in USD]],"")</f>
        <v/>
      </c>
      <c r="AD1449" s="13" t="str">
        <f>IF(tblSalaries[[#This Row],[Job Type]]=tblSalaries[[#Headers],[Specialist]],tblSalaries[[#This Row],[Salary in USD]],"")</f>
        <v/>
      </c>
    </row>
    <row r="1450" spans="2:30" ht="15" customHeight="1" x14ac:dyDescent="0.25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 s="9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  <c r="N1450" t="str">
        <f>IF(tblSalaries[[#This Row],[Years of Experience]]="","",IF(tblSalaries[[#This Row],[Years of Experience]]&lt;=2,1,""))</f>
        <v/>
      </c>
      <c r="O1450" t="str">
        <f>IF(tblSalaries[[#This Row],[Years of Experience]]="","",IF(AND(tblSalaries[[#This Row],[Years of Experience]]&gt;2,tblSalaries[[#This Row],[Years of Experience]]&lt;=5),1,""))</f>
        <v/>
      </c>
      <c r="P1450">
        <f>IF(tblSalaries[[#This Row],[Years of Experience]]="","",IF(AND(tblSalaries[[#This Row],[Years of Experience]]&gt;5,tblSalaries[[#This Row],[Years of Experience]]&lt;=10),1,""))</f>
        <v>1</v>
      </c>
      <c r="Q1450" t="str">
        <f>IF(tblSalaries[[#This Row],[Years of Experience]]="","",IF(AND(tblSalaries[[#This Row],[Years of Experience]]&gt;10,tblSalaries[[#This Row],[Years of Experience]]&lt;=15),1,""))</f>
        <v/>
      </c>
      <c r="R1450" t="str">
        <f>IF(tblSalaries[[#This Row],[Years of Experience]]="","",IF(AND(tblSalaries[[#This Row],[Years of Experience]]&gt;16,tblSalaries[[#This Row],[Years of Experience]]&lt;=20),1,""))</f>
        <v/>
      </c>
      <c r="S1450" t="str">
        <f>IF(tblSalaries[[#This Row],[Years of Experience]]="","",IF(tblSalaries[[#This Row],[Years of Experience]]&gt;20,1,""))</f>
        <v/>
      </c>
      <c r="T14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50" s="13" t="str">
        <f>IF(tblSalaries[[#This Row],[Job Type]]=tblSalaries[[#Headers],[Accountant]],tblSalaries[[#This Row],[Salary in USD]],"")</f>
        <v/>
      </c>
      <c r="V1450" s="13">
        <f>IF(tblSalaries[[#This Row],[Job Type]]=tblSalaries[[#Headers],[Analyst]],tblSalaries[[#This Row],[Salary in USD]],"")</f>
        <v>4000</v>
      </c>
      <c r="W1450" s="13" t="str">
        <f>IF(tblSalaries[[#This Row],[Job Type]]=tblSalaries[[#Headers],[Consultant]],tblSalaries[[#This Row],[Salary in USD]],"")</f>
        <v/>
      </c>
      <c r="X1450" s="13" t="str">
        <f>IF(tblSalaries[[#This Row],[Job Type]]=tblSalaries[[#Headers],[Controller]],tblSalaries[[#This Row],[Salary in USD]],"")</f>
        <v/>
      </c>
      <c r="Y1450" s="13" t="str">
        <f>IF(tblSalaries[[#This Row],[Job Type]]=tblSalaries[[#Headers],[CXO or Top Mgmt.]],tblSalaries[[#This Row],[clean Salary (in local currency)]],"")</f>
        <v/>
      </c>
      <c r="Z1450" s="13" t="str">
        <f>IF(tblSalaries[[#This Row],[Job Type]]=tblSalaries[[#Headers],[Engineer]],tblSalaries[[#This Row],[Salary in USD]],"")</f>
        <v/>
      </c>
      <c r="AA1450" s="13" t="str">
        <f>IF(tblSalaries[[#This Row],[Job Type]]=tblSalaries[[#Headers],[Manager]],tblSalaries[[#This Row],[Salary in USD]],"")</f>
        <v/>
      </c>
      <c r="AB1450" s="13" t="str">
        <f>IF(tblSalaries[[#This Row],[Job Type]]=tblSalaries[[#Headers],[Misc.]],tblSalaries[[#This Row],[Salary in USD]],"")</f>
        <v/>
      </c>
      <c r="AC1450" s="13" t="str">
        <f>IF(tblSalaries[[#This Row],[Job Type]]=tblSalaries[[#Headers],[Reporting]],tblSalaries[[#This Row],[Salary in USD]],"")</f>
        <v/>
      </c>
      <c r="AD1450" s="13" t="str">
        <f>IF(tblSalaries[[#This Row],[Job Type]]=tblSalaries[[#Headers],[Specialist]],tblSalaries[[#This Row],[Salary in USD]],"")</f>
        <v/>
      </c>
    </row>
    <row r="1451" spans="2:30" ht="15" customHeight="1" x14ac:dyDescent="0.25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 s="9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  <c r="N1451">
        <f>IF(tblSalaries[[#This Row],[Years of Experience]]="","",IF(tblSalaries[[#This Row],[Years of Experience]]&lt;=2,1,""))</f>
        <v>1</v>
      </c>
      <c r="O1451" t="str">
        <f>IF(tblSalaries[[#This Row],[Years of Experience]]="","",IF(AND(tblSalaries[[#This Row],[Years of Experience]]&gt;2,tblSalaries[[#This Row],[Years of Experience]]&lt;=5),1,""))</f>
        <v/>
      </c>
      <c r="P1451" t="str">
        <f>IF(tblSalaries[[#This Row],[Years of Experience]]="","",IF(AND(tblSalaries[[#This Row],[Years of Experience]]&gt;5,tblSalaries[[#This Row],[Years of Experience]]&lt;=10),1,""))</f>
        <v/>
      </c>
      <c r="Q1451" t="str">
        <f>IF(tblSalaries[[#This Row],[Years of Experience]]="","",IF(AND(tblSalaries[[#This Row],[Years of Experience]]&gt;10,tblSalaries[[#This Row],[Years of Experience]]&lt;=15),1,""))</f>
        <v/>
      </c>
      <c r="R1451" t="str">
        <f>IF(tblSalaries[[#This Row],[Years of Experience]]="","",IF(AND(tblSalaries[[#This Row],[Years of Experience]]&gt;16,tblSalaries[[#This Row],[Years of Experience]]&lt;=20),1,""))</f>
        <v/>
      </c>
      <c r="S1451" t="str">
        <f>IF(tblSalaries[[#This Row],[Years of Experience]]="","",IF(tblSalaries[[#This Row],[Years of Experience]]&gt;20,1,""))</f>
        <v/>
      </c>
      <c r="T14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51" s="13" t="str">
        <f>IF(tblSalaries[[#This Row],[Job Type]]=tblSalaries[[#Headers],[Accountant]],tblSalaries[[#This Row],[Salary in USD]],"")</f>
        <v/>
      </c>
      <c r="V1451" s="13">
        <f>IF(tblSalaries[[#This Row],[Job Type]]=tblSalaries[[#Headers],[Analyst]],tblSalaries[[#This Row],[Salary in USD]],"")</f>
        <v>42000</v>
      </c>
      <c r="W1451" s="13" t="str">
        <f>IF(tblSalaries[[#This Row],[Job Type]]=tblSalaries[[#Headers],[Consultant]],tblSalaries[[#This Row],[Salary in USD]],"")</f>
        <v/>
      </c>
      <c r="X1451" s="13" t="str">
        <f>IF(tblSalaries[[#This Row],[Job Type]]=tblSalaries[[#Headers],[Controller]],tblSalaries[[#This Row],[Salary in USD]],"")</f>
        <v/>
      </c>
      <c r="Y1451" s="13" t="str">
        <f>IF(tblSalaries[[#This Row],[Job Type]]=tblSalaries[[#Headers],[CXO or Top Mgmt.]],tblSalaries[[#This Row],[clean Salary (in local currency)]],"")</f>
        <v/>
      </c>
      <c r="Z1451" s="13" t="str">
        <f>IF(tblSalaries[[#This Row],[Job Type]]=tblSalaries[[#Headers],[Engineer]],tblSalaries[[#This Row],[Salary in USD]],"")</f>
        <v/>
      </c>
      <c r="AA1451" s="13" t="str">
        <f>IF(tblSalaries[[#This Row],[Job Type]]=tblSalaries[[#Headers],[Manager]],tblSalaries[[#This Row],[Salary in USD]],"")</f>
        <v/>
      </c>
      <c r="AB1451" s="13" t="str">
        <f>IF(tblSalaries[[#This Row],[Job Type]]=tblSalaries[[#Headers],[Misc.]],tblSalaries[[#This Row],[Salary in USD]],"")</f>
        <v/>
      </c>
      <c r="AC1451" s="13" t="str">
        <f>IF(tblSalaries[[#This Row],[Job Type]]=tblSalaries[[#Headers],[Reporting]],tblSalaries[[#This Row],[Salary in USD]],"")</f>
        <v/>
      </c>
      <c r="AD1451" s="13" t="str">
        <f>IF(tblSalaries[[#This Row],[Job Type]]=tblSalaries[[#Headers],[Specialist]],tblSalaries[[#This Row],[Salary in USD]],"")</f>
        <v/>
      </c>
    </row>
    <row r="1452" spans="2:30" ht="15" customHeight="1" x14ac:dyDescent="0.25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 s="9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  <c r="N1452" t="str">
        <f>IF(tblSalaries[[#This Row],[Years of Experience]]="","",IF(tblSalaries[[#This Row],[Years of Experience]]&lt;=2,1,""))</f>
        <v/>
      </c>
      <c r="O1452" t="str">
        <f>IF(tblSalaries[[#This Row],[Years of Experience]]="","",IF(AND(tblSalaries[[#This Row],[Years of Experience]]&gt;2,tblSalaries[[#This Row],[Years of Experience]]&lt;=5),1,""))</f>
        <v/>
      </c>
      <c r="P1452" t="str">
        <f>IF(tblSalaries[[#This Row],[Years of Experience]]="","",IF(AND(tblSalaries[[#This Row],[Years of Experience]]&gt;5,tblSalaries[[#This Row],[Years of Experience]]&lt;=10),1,""))</f>
        <v/>
      </c>
      <c r="Q1452" t="str">
        <f>IF(tblSalaries[[#This Row],[Years of Experience]]="","",IF(AND(tblSalaries[[#This Row],[Years of Experience]]&gt;10,tblSalaries[[#This Row],[Years of Experience]]&lt;=15),1,""))</f>
        <v/>
      </c>
      <c r="R1452">
        <f>IF(tblSalaries[[#This Row],[Years of Experience]]="","",IF(AND(tblSalaries[[#This Row],[Years of Experience]]&gt;16,tblSalaries[[#This Row],[Years of Experience]]&lt;=20),1,""))</f>
        <v>1</v>
      </c>
      <c r="S1452" t="str">
        <f>IF(tblSalaries[[#This Row],[Years of Experience]]="","",IF(tblSalaries[[#This Row],[Years of Experience]]&gt;20,1,""))</f>
        <v/>
      </c>
      <c r="T14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52" s="13" t="str">
        <f>IF(tblSalaries[[#This Row],[Job Type]]=tblSalaries[[#Headers],[Accountant]],tblSalaries[[#This Row],[Salary in USD]],"")</f>
        <v/>
      </c>
      <c r="V1452" s="13" t="str">
        <f>IF(tblSalaries[[#This Row],[Job Type]]=tblSalaries[[#Headers],[Analyst]],tblSalaries[[#This Row],[Salary in USD]],"")</f>
        <v/>
      </c>
      <c r="W1452" s="13" t="str">
        <f>IF(tblSalaries[[#This Row],[Job Type]]=tblSalaries[[#Headers],[Consultant]],tblSalaries[[#This Row],[Salary in USD]],"")</f>
        <v/>
      </c>
      <c r="X1452" s="13" t="str">
        <f>IF(tblSalaries[[#This Row],[Job Type]]=tblSalaries[[#Headers],[Controller]],tblSalaries[[#This Row],[Salary in USD]],"")</f>
        <v/>
      </c>
      <c r="Y1452" s="13" t="str">
        <f>IF(tblSalaries[[#This Row],[Job Type]]=tblSalaries[[#Headers],[CXO or Top Mgmt.]],tblSalaries[[#This Row],[clean Salary (in local currency)]],"")</f>
        <v/>
      </c>
      <c r="Z1452" s="13" t="str">
        <f>IF(tblSalaries[[#This Row],[Job Type]]=tblSalaries[[#Headers],[Engineer]],tblSalaries[[#This Row],[Salary in USD]],"")</f>
        <v/>
      </c>
      <c r="AA1452" s="13">
        <f>IF(tblSalaries[[#This Row],[Job Type]]=tblSalaries[[#Headers],[Manager]],tblSalaries[[#This Row],[Salary in USD]],"")</f>
        <v>3200</v>
      </c>
      <c r="AB1452" s="13" t="str">
        <f>IF(tblSalaries[[#This Row],[Job Type]]=tblSalaries[[#Headers],[Misc.]],tblSalaries[[#This Row],[Salary in USD]],"")</f>
        <v/>
      </c>
      <c r="AC1452" s="13" t="str">
        <f>IF(tblSalaries[[#This Row],[Job Type]]=tblSalaries[[#Headers],[Reporting]],tblSalaries[[#This Row],[Salary in USD]],"")</f>
        <v/>
      </c>
      <c r="AD1452" s="13" t="str">
        <f>IF(tblSalaries[[#This Row],[Job Type]]=tblSalaries[[#Headers],[Specialist]],tblSalaries[[#This Row],[Salary in USD]],"")</f>
        <v/>
      </c>
    </row>
    <row r="1453" spans="2:30" ht="15" customHeight="1" x14ac:dyDescent="0.25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 s="9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  <c r="N1453" t="str">
        <f>IF(tblSalaries[[#This Row],[Years of Experience]]="","",IF(tblSalaries[[#This Row],[Years of Experience]]&lt;=2,1,""))</f>
        <v/>
      </c>
      <c r="O1453" t="str">
        <f>IF(tblSalaries[[#This Row],[Years of Experience]]="","",IF(AND(tblSalaries[[#This Row],[Years of Experience]]&gt;2,tblSalaries[[#This Row],[Years of Experience]]&lt;=5),1,""))</f>
        <v/>
      </c>
      <c r="P1453">
        <f>IF(tblSalaries[[#This Row],[Years of Experience]]="","",IF(AND(tblSalaries[[#This Row],[Years of Experience]]&gt;5,tblSalaries[[#This Row],[Years of Experience]]&lt;=10),1,""))</f>
        <v>1</v>
      </c>
      <c r="Q1453" t="str">
        <f>IF(tblSalaries[[#This Row],[Years of Experience]]="","",IF(AND(tblSalaries[[#This Row],[Years of Experience]]&gt;10,tblSalaries[[#This Row],[Years of Experience]]&lt;=15),1,""))</f>
        <v/>
      </c>
      <c r="R1453" t="str">
        <f>IF(tblSalaries[[#This Row],[Years of Experience]]="","",IF(AND(tblSalaries[[#This Row],[Years of Experience]]&gt;16,tblSalaries[[#This Row],[Years of Experience]]&lt;=20),1,""))</f>
        <v/>
      </c>
      <c r="S1453" t="str">
        <f>IF(tblSalaries[[#This Row],[Years of Experience]]="","",IF(tblSalaries[[#This Row],[Years of Experience]]&gt;20,1,""))</f>
        <v/>
      </c>
      <c r="T14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53" s="13" t="str">
        <f>IF(tblSalaries[[#This Row],[Job Type]]=tblSalaries[[#Headers],[Accountant]],tblSalaries[[#This Row],[Salary in USD]],"")</f>
        <v/>
      </c>
      <c r="V1453" s="13">
        <f>IF(tblSalaries[[#This Row],[Job Type]]=tblSalaries[[#Headers],[Analyst]],tblSalaries[[#This Row],[Salary in USD]],"")</f>
        <v>60000</v>
      </c>
      <c r="W1453" s="13" t="str">
        <f>IF(tblSalaries[[#This Row],[Job Type]]=tblSalaries[[#Headers],[Consultant]],tblSalaries[[#This Row],[Salary in USD]],"")</f>
        <v/>
      </c>
      <c r="X1453" s="13" t="str">
        <f>IF(tblSalaries[[#This Row],[Job Type]]=tblSalaries[[#Headers],[Controller]],tblSalaries[[#This Row],[Salary in USD]],"")</f>
        <v/>
      </c>
      <c r="Y1453" s="13" t="str">
        <f>IF(tblSalaries[[#This Row],[Job Type]]=tblSalaries[[#Headers],[CXO or Top Mgmt.]],tblSalaries[[#This Row],[clean Salary (in local currency)]],"")</f>
        <v/>
      </c>
      <c r="Z1453" s="13" t="str">
        <f>IF(tblSalaries[[#This Row],[Job Type]]=tblSalaries[[#Headers],[Engineer]],tblSalaries[[#This Row],[Salary in USD]],"")</f>
        <v/>
      </c>
      <c r="AA1453" s="13" t="str">
        <f>IF(tblSalaries[[#This Row],[Job Type]]=tblSalaries[[#Headers],[Manager]],tblSalaries[[#This Row],[Salary in USD]],"")</f>
        <v/>
      </c>
      <c r="AB1453" s="13" t="str">
        <f>IF(tblSalaries[[#This Row],[Job Type]]=tblSalaries[[#Headers],[Misc.]],tblSalaries[[#This Row],[Salary in USD]],"")</f>
        <v/>
      </c>
      <c r="AC1453" s="13" t="str">
        <f>IF(tblSalaries[[#This Row],[Job Type]]=tblSalaries[[#Headers],[Reporting]],tblSalaries[[#This Row],[Salary in USD]],"")</f>
        <v/>
      </c>
      <c r="AD1453" s="13" t="str">
        <f>IF(tblSalaries[[#This Row],[Job Type]]=tblSalaries[[#Headers],[Specialist]],tblSalaries[[#This Row],[Salary in USD]],"")</f>
        <v/>
      </c>
    </row>
    <row r="1454" spans="2:30" ht="15" customHeight="1" x14ac:dyDescent="0.25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 s="9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  <c r="N1454" t="str">
        <f>IF(tblSalaries[[#This Row],[Years of Experience]]="","",IF(tblSalaries[[#This Row],[Years of Experience]]&lt;=2,1,""))</f>
        <v/>
      </c>
      <c r="O1454" t="str">
        <f>IF(tblSalaries[[#This Row],[Years of Experience]]="","",IF(AND(tblSalaries[[#This Row],[Years of Experience]]&gt;2,tblSalaries[[#This Row],[Years of Experience]]&lt;=5),1,""))</f>
        <v/>
      </c>
      <c r="P1454">
        <f>IF(tblSalaries[[#This Row],[Years of Experience]]="","",IF(AND(tblSalaries[[#This Row],[Years of Experience]]&gt;5,tblSalaries[[#This Row],[Years of Experience]]&lt;=10),1,""))</f>
        <v>1</v>
      </c>
      <c r="Q1454" t="str">
        <f>IF(tblSalaries[[#This Row],[Years of Experience]]="","",IF(AND(tblSalaries[[#This Row],[Years of Experience]]&gt;10,tblSalaries[[#This Row],[Years of Experience]]&lt;=15),1,""))</f>
        <v/>
      </c>
      <c r="R1454" t="str">
        <f>IF(tblSalaries[[#This Row],[Years of Experience]]="","",IF(AND(tblSalaries[[#This Row],[Years of Experience]]&gt;16,tblSalaries[[#This Row],[Years of Experience]]&lt;=20),1,""))</f>
        <v/>
      </c>
      <c r="S1454" t="str">
        <f>IF(tblSalaries[[#This Row],[Years of Experience]]="","",IF(tblSalaries[[#This Row],[Years of Experience]]&gt;20,1,""))</f>
        <v/>
      </c>
      <c r="T14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54" s="13" t="str">
        <f>IF(tblSalaries[[#This Row],[Job Type]]=tblSalaries[[#Headers],[Accountant]],tblSalaries[[#This Row],[Salary in USD]],"")</f>
        <v/>
      </c>
      <c r="V1454" s="13">
        <f>IF(tblSalaries[[#This Row],[Job Type]]=tblSalaries[[#Headers],[Analyst]],tblSalaries[[#This Row],[Salary in USD]],"")</f>
        <v>85000</v>
      </c>
      <c r="W1454" s="13" t="str">
        <f>IF(tblSalaries[[#This Row],[Job Type]]=tblSalaries[[#Headers],[Consultant]],tblSalaries[[#This Row],[Salary in USD]],"")</f>
        <v/>
      </c>
      <c r="X1454" s="13" t="str">
        <f>IF(tblSalaries[[#This Row],[Job Type]]=tblSalaries[[#Headers],[Controller]],tblSalaries[[#This Row],[Salary in USD]],"")</f>
        <v/>
      </c>
      <c r="Y1454" s="13" t="str">
        <f>IF(tblSalaries[[#This Row],[Job Type]]=tblSalaries[[#Headers],[CXO or Top Mgmt.]],tblSalaries[[#This Row],[clean Salary (in local currency)]],"")</f>
        <v/>
      </c>
      <c r="Z1454" s="13" t="str">
        <f>IF(tblSalaries[[#This Row],[Job Type]]=tblSalaries[[#Headers],[Engineer]],tblSalaries[[#This Row],[Salary in USD]],"")</f>
        <v/>
      </c>
      <c r="AA1454" s="13" t="str">
        <f>IF(tblSalaries[[#This Row],[Job Type]]=tblSalaries[[#Headers],[Manager]],tblSalaries[[#This Row],[Salary in USD]],"")</f>
        <v/>
      </c>
      <c r="AB1454" s="13" t="str">
        <f>IF(tblSalaries[[#This Row],[Job Type]]=tblSalaries[[#Headers],[Misc.]],tblSalaries[[#This Row],[Salary in USD]],"")</f>
        <v/>
      </c>
      <c r="AC1454" s="13" t="str">
        <f>IF(tblSalaries[[#This Row],[Job Type]]=tblSalaries[[#Headers],[Reporting]],tblSalaries[[#This Row],[Salary in USD]],"")</f>
        <v/>
      </c>
      <c r="AD1454" s="13" t="str">
        <f>IF(tblSalaries[[#This Row],[Job Type]]=tblSalaries[[#Headers],[Specialist]],tblSalaries[[#This Row],[Salary in USD]],"")</f>
        <v/>
      </c>
    </row>
    <row r="1455" spans="2:30" ht="15" customHeight="1" x14ac:dyDescent="0.25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 s="9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  <c r="N1455" t="str">
        <f>IF(tblSalaries[[#This Row],[Years of Experience]]="","",IF(tblSalaries[[#This Row],[Years of Experience]]&lt;=2,1,""))</f>
        <v/>
      </c>
      <c r="O1455" t="str">
        <f>IF(tblSalaries[[#This Row],[Years of Experience]]="","",IF(AND(tblSalaries[[#This Row],[Years of Experience]]&gt;2,tblSalaries[[#This Row],[Years of Experience]]&lt;=5),1,""))</f>
        <v/>
      </c>
      <c r="P1455" t="str">
        <f>IF(tblSalaries[[#This Row],[Years of Experience]]="","",IF(AND(tblSalaries[[#This Row],[Years of Experience]]&gt;5,tblSalaries[[#This Row],[Years of Experience]]&lt;=10),1,""))</f>
        <v/>
      </c>
      <c r="Q1455">
        <f>IF(tblSalaries[[#This Row],[Years of Experience]]="","",IF(AND(tblSalaries[[#This Row],[Years of Experience]]&gt;10,tblSalaries[[#This Row],[Years of Experience]]&lt;=15),1,""))</f>
        <v>1</v>
      </c>
      <c r="R1455" t="str">
        <f>IF(tblSalaries[[#This Row],[Years of Experience]]="","",IF(AND(tblSalaries[[#This Row],[Years of Experience]]&gt;16,tblSalaries[[#This Row],[Years of Experience]]&lt;=20),1,""))</f>
        <v/>
      </c>
      <c r="S1455" t="str">
        <f>IF(tblSalaries[[#This Row],[Years of Experience]]="","",IF(tblSalaries[[#This Row],[Years of Experience]]&gt;20,1,""))</f>
        <v/>
      </c>
      <c r="T14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55" s="13" t="str">
        <f>IF(tblSalaries[[#This Row],[Job Type]]=tblSalaries[[#Headers],[Accountant]],tblSalaries[[#This Row],[Salary in USD]],"")</f>
        <v/>
      </c>
      <c r="V1455" s="13" t="str">
        <f>IF(tblSalaries[[#This Row],[Job Type]]=tblSalaries[[#Headers],[Analyst]],tblSalaries[[#This Row],[Salary in USD]],"")</f>
        <v/>
      </c>
      <c r="W1455" s="13" t="str">
        <f>IF(tblSalaries[[#This Row],[Job Type]]=tblSalaries[[#Headers],[Consultant]],tblSalaries[[#This Row],[Salary in USD]],"")</f>
        <v/>
      </c>
      <c r="X1455" s="13" t="str">
        <f>IF(tblSalaries[[#This Row],[Job Type]]=tblSalaries[[#Headers],[Controller]],tblSalaries[[#This Row],[Salary in USD]],"")</f>
        <v/>
      </c>
      <c r="Y1455" s="13" t="str">
        <f>IF(tblSalaries[[#This Row],[Job Type]]=tblSalaries[[#Headers],[CXO or Top Mgmt.]],tblSalaries[[#This Row],[clean Salary (in local currency)]],"")</f>
        <v/>
      </c>
      <c r="Z1455" s="13" t="str">
        <f>IF(tblSalaries[[#This Row],[Job Type]]=tblSalaries[[#Headers],[Engineer]],tblSalaries[[#This Row],[Salary in USD]],"")</f>
        <v/>
      </c>
      <c r="AA1455" s="13">
        <f>IF(tblSalaries[[#This Row],[Job Type]]=tblSalaries[[#Headers],[Manager]],tblSalaries[[#This Row],[Salary in USD]],"")</f>
        <v>109000</v>
      </c>
      <c r="AB1455" s="13" t="str">
        <f>IF(tblSalaries[[#This Row],[Job Type]]=tblSalaries[[#Headers],[Misc.]],tblSalaries[[#This Row],[Salary in USD]],"")</f>
        <v/>
      </c>
      <c r="AC1455" s="13" t="str">
        <f>IF(tblSalaries[[#This Row],[Job Type]]=tblSalaries[[#Headers],[Reporting]],tblSalaries[[#This Row],[Salary in USD]],"")</f>
        <v/>
      </c>
      <c r="AD1455" s="13" t="str">
        <f>IF(tblSalaries[[#This Row],[Job Type]]=tblSalaries[[#Headers],[Specialist]],tblSalaries[[#This Row],[Salary in USD]],"")</f>
        <v/>
      </c>
    </row>
    <row r="1456" spans="2:30" ht="15" customHeight="1" x14ac:dyDescent="0.25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 s="9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  <c r="N1456" t="str">
        <f>IF(tblSalaries[[#This Row],[Years of Experience]]="","",IF(tblSalaries[[#This Row],[Years of Experience]]&lt;=2,1,""))</f>
        <v/>
      </c>
      <c r="O1456" t="str">
        <f>IF(tblSalaries[[#This Row],[Years of Experience]]="","",IF(AND(tblSalaries[[#This Row],[Years of Experience]]&gt;2,tblSalaries[[#This Row],[Years of Experience]]&lt;=5),1,""))</f>
        <v/>
      </c>
      <c r="P1456" t="str">
        <f>IF(tblSalaries[[#This Row],[Years of Experience]]="","",IF(AND(tblSalaries[[#This Row],[Years of Experience]]&gt;5,tblSalaries[[#This Row],[Years of Experience]]&lt;=10),1,""))</f>
        <v/>
      </c>
      <c r="Q1456">
        <f>IF(tblSalaries[[#This Row],[Years of Experience]]="","",IF(AND(tblSalaries[[#This Row],[Years of Experience]]&gt;10,tblSalaries[[#This Row],[Years of Experience]]&lt;=15),1,""))</f>
        <v>1</v>
      </c>
      <c r="R1456" t="str">
        <f>IF(tblSalaries[[#This Row],[Years of Experience]]="","",IF(AND(tblSalaries[[#This Row],[Years of Experience]]&gt;16,tblSalaries[[#This Row],[Years of Experience]]&lt;=20),1,""))</f>
        <v/>
      </c>
      <c r="S1456" t="str">
        <f>IF(tblSalaries[[#This Row],[Years of Experience]]="","",IF(tblSalaries[[#This Row],[Years of Experience]]&gt;20,1,""))</f>
        <v/>
      </c>
      <c r="T14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56" s="13" t="str">
        <f>IF(tblSalaries[[#This Row],[Job Type]]=tblSalaries[[#Headers],[Accountant]],tblSalaries[[#This Row],[Salary in USD]],"")</f>
        <v/>
      </c>
      <c r="V1456" s="13">
        <f>IF(tblSalaries[[#This Row],[Job Type]]=tblSalaries[[#Headers],[Analyst]],tblSalaries[[#This Row],[Salary in USD]],"")</f>
        <v>76223.966339496474</v>
      </c>
      <c r="W1456" s="13" t="str">
        <f>IF(tblSalaries[[#This Row],[Job Type]]=tblSalaries[[#Headers],[Consultant]],tblSalaries[[#This Row],[Salary in USD]],"")</f>
        <v/>
      </c>
      <c r="X1456" s="13" t="str">
        <f>IF(tblSalaries[[#This Row],[Job Type]]=tblSalaries[[#Headers],[Controller]],tblSalaries[[#This Row],[Salary in USD]],"")</f>
        <v/>
      </c>
      <c r="Y1456" s="13" t="str">
        <f>IF(tblSalaries[[#This Row],[Job Type]]=tblSalaries[[#Headers],[CXO or Top Mgmt.]],tblSalaries[[#This Row],[clean Salary (in local currency)]],"")</f>
        <v/>
      </c>
      <c r="Z1456" s="13" t="str">
        <f>IF(tblSalaries[[#This Row],[Job Type]]=tblSalaries[[#Headers],[Engineer]],tblSalaries[[#This Row],[Salary in USD]],"")</f>
        <v/>
      </c>
      <c r="AA1456" s="13" t="str">
        <f>IF(tblSalaries[[#This Row],[Job Type]]=tblSalaries[[#Headers],[Manager]],tblSalaries[[#This Row],[Salary in USD]],"")</f>
        <v/>
      </c>
      <c r="AB1456" s="13" t="str">
        <f>IF(tblSalaries[[#This Row],[Job Type]]=tblSalaries[[#Headers],[Misc.]],tblSalaries[[#This Row],[Salary in USD]],"")</f>
        <v/>
      </c>
      <c r="AC1456" s="13" t="str">
        <f>IF(tblSalaries[[#This Row],[Job Type]]=tblSalaries[[#Headers],[Reporting]],tblSalaries[[#This Row],[Salary in USD]],"")</f>
        <v/>
      </c>
      <c r="AD1456" s="13" t="str">
        <f>IF(tblSalaries[[#This Row],[Job Type]]=tblSalaries[[#Headers],[Specialist]],tblSalaries[[#This Row],[Salary in USD]],"")</f>
        <v/>
      </c>
    </row>
    <row r="1457" spans="2:30" ht="15" customHeight="1" x14ac:dyDescent="0.25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 s="9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  <c r="N1457" t="str">
        <f>IF(tblSalaries[[#This Row],[Years of Experience]]="","",IF(tblSalaries[[#This Row],[Years of Experience]]&lt;=2,1,""))</f>
        <v/>
      </c>
      <c r="O1457" t="str">
        <f>IF(tblSalaries[[#This Row],[Years of Experience]]="","",IF(AND(tblSalaries[[#This Row],[Years of Experience]]&gt;2,tblSalaries[[#This Row],[Years of Experience]]&lt;=5),1,""))</f>
        <v/>
      </c>
      <c r="P1457" t="str">
        <f>IF(tblSalaries[[#This Row],[Years of Experience]]="","",IF(AND(tblSalaries[[#This Row],[Years of Experience]]&gt;5,tblSalaries[[#This Row],[Years of Experience]]&lt;=10),1,""))</f>
        <v/>
      </c>
      <c r="Q1457">
        <f>IF(tblSalaries[[#This Row],[Years of Experience]]="","",IF(AND(tblSalaries[[#This Row],[Years of Experience]]&gt;10,tblSalaries[[#This Row],[Years of Experience]]&lt;=15),1,""))</f>
        <v>1</v>
      </c>
      <c r="R1457" t="str">
        <f>IF(tblSalaries[[#This Row],[Years of Experience]]="","",IF(AND(tblSalaries[[#This Row],[Years of Experience]]&gt;16,tblSalaries[[#This Row],[Years of Experience]]&lt;=20),1,""))</f>
        <v/>
      </c>
      <c r="S1457" t="str">
        <f>IF(tblSalaries[[#This Row],[Years of Experience]]="","",IF(tblSalaries[[#This Row],[Years of Experience]]&gt;20,1,""))</f>
        <v/>
      </c>
      <c r="T14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57" s="13" t="str">
        <f>IF(tblSalaries[[#This Row],[Job Type]]=tblSalaries[[#Headers],[Accountant]],tblSalaries[[#This Row],[Salary in USD]],"")</f>
        <v/>
      </c>
      <c r="V1457" s="13" t="str">
        <f>IF(tblSalaries[[#This Row],[Job Type]]=tblSalaries[[#Headers],[Analyst]],tblSalaries[[#This Row],[Salary in USD]],"")</f>
        <v/>
      </c>
      <c r="W1457" s="13" t="str">
        <f>IF(tblSalaries[[#This Row],[Job Type]]=tblSalaries[[#Headers],[Consultant]],tblSalaries[[#This Row],[Salary in USD]],"")</f>
        <v/>
      </c>
      <c r="X1457" s="13" t="str">
        <f>IF(tblSalaries[[#This Row],[Job Type]]=tblSalaries[[#Headers],[Controller]],tblSalaries[[#This Row],[Salary in USD]],"")</f>
        <v/>
      </c>
      <c r="Y1457" s="13" t="str">
        <f>IF(tblSalaries[[#This Row],[Job Type]]=tblSalaries[[#Headers],[CXO or Top Mgmt.]],tblSalaries[[#This Row],[clean Salary (in local currency)]],"")</f>
        <v/>
      </c>
      <c r="Z1457" s="13">
        <f>IF(tblSalaries[[#This Row],[Job Type]]=tblSalaries[[#Headers],[Engineer]],tblSalaries[[#This Row],[Salary in USD]],"")</f>
        <v>77000</v>
      </c>
      <c r="AA1457" s="13" t="str">
        <f>IF(tblSalaries[[#This Row],[Job Type]]=tblSalaries[[#Headers],[Manager]],tblSalaries[[#This Row],[Salary in USD]],"")</f>
        <v/>
      </c>
      <c r="AB1457" s="13" t="str">
        <f>IF(tblSalaries[[#This Row],[Job Type]]=tblSalaries[[#Headers],[Misc.]],tblSalaries[[#This Row],[Salary in USD]],"")</f>
        <v/>
      </c>
      <c r="AC1457" s="13" t="str">
        <f>IF(tblSalaries[[#This Row],[Job Type]]=tblSalaries[[#Headers],[Reporting]],tblSalaries[[#This Row],[Salary in USD]],"")</f>
        <v/>
      </c>
      <c r="AD1457" s="13" t="str">
        <f>IF(tblSalaries[[#This Row],[Job Type]]=tblSalaries[[#Headers],[Specialist]],tblSalaries[[#This Row],[Salary in USD]],"")</f>
        <v/>
      </c>
    </row>
    <row r="1458" spans="2:30" ht="15" customHeight="1" x14ac:dyDescent="0.25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 s="9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  <c r="N1458" t="str">
        <f>IF(tblSalaries[[#This Row],[Years of Experience]]="","",IF(tblSalaries[[#This Row],[Years of Experience]]&lt;=2,1,""))</f>
        <v/>
      </c>
      <c r="O1458">
        <f>IF(tblSalaries[[#This Row],[Years of Experience]]="","",IF(AND(tblSalaries[[#This Row],[Years of Experience]]&gt;2,tblSalaries[[#This Row],[Years of Experience]]&lt;=5),1,""))</f>
        <v>1</v>
      </c>
      <c r="P1458" t="str">
        <f>IF(tblSalaries[[#This Row],[Years of Experience]]="","",IF(AND(tblSalaries[[#This Row],[Years of Experience]]&gt;5,tblSalaries[[#This Row],[Years of Experience]]&lt;=10),1,""))</f>
        <v/>
      </c>
      <c r="Q1458" t="str">
        <f>IF(tblSalaries[[#This Row],[Years of Experience]]="","",IF(AND(tblSalaries[[#This Row],[Years of Experience]]&gt;10,tblSalaries[[#This Row],[Years of Experience]]&lt;=15),1,""))</f>
        <v/>
      </c>
      <c r="R1458" t="str">
        <f>IF(tblSalaries[[#This Row],[Years of Experience]]="","",IF(AND(tblSalaries[[#This Row],[Years of Experience]]&gt;16,tblSalaries[[#This Row],[Years of Experience]]&lt;=20),1,""))</f>
        <v/>
      </c>
      <c r="S1458" t="str">
        <f>IF(tblSalaries[[#This Row],[Years of Experience]]="","",IF(tblSalaries[[#This Row],[Years of Experience]]&gt;20,1,""))</f>
        <v/>
      </c>
      <c r="T14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58" s="13" t="str">
        <f>IF(tblSalaries[[#This Row],[Job Type]]=tblSalaries[[#Headers],[Accountant]],tblSalaries[[#This Row],[Salary in USD]],"")</f>
        <v/>
      </c>
      <c r="V1458" s="13">
        <f>IF(tblSalaries[[#This Row],[Job Type]]=tblSalaries[[#Headers],[Analyst]],tblSalaries[[#This Row],[Salary in USD]],"")</f>
        <v>25000</v>
      </c>
      <c r="W1458" s="13" t="str">
        <f>IF(tblSalaries[[#This Row],[Job Type]]=tblSalaries[[#Headers],[Consultant]],tblSalaries[[#This Row],[Salary in USD]],"")</f>
        <v/>
      </c>
      <c r="X1458" s="13" t="str">
        <f>IF(tblSalaries[[#This Row],[Job Type]]=tblSalaries[[#Headers],[Controller]],tblSalaries[[#This Row],[Salary in USD]],"")</f>
        <v/>
      </c>
      <c r="Y1458" s="13" t="str">
        <f>IF(tblSalaries[[#This Row],[Job Type]]=tblSalaries[[#Headers],[CXO or Top Mgmt.]],tblSalaries[[#This Row],[clean Salary (in local currency)]],"")</f>
        <v/>
      </c>
      <c r="Z1458" s="13" t="str">
        <f>IF(tblSalaries[[#This Row],[Job Type]]=tblSalaries[[#Headers],[Engineer]],tblSalaries[[#This Row],[Salary in USD]],"")</f>
        <v/>
      </c>
      <c r="AA1458" s="13" t="str">
        <f>IF(tblSalaries[[#This Row],[Job Type]]=tblSalaries[[#Headers],[Manager]],tblSalaries[[#This Row],[Salary in USD]],"")</f>
        <v/>
      </c>
      <c r="AB1458" s="13" t="str">
        <f>IF(tblSalaries[[#This Row],[Job Type]]=tblSalaries[[#Headers],[Misc.]],tblSalaries[[#This Row],[Salary in USD]],"")</f>
        <v/>
      </c>
      <c r="AC1458" s="13" t="str">
        <f>IF(tblSalaries[[#This Row],[Job Type]]=tblSalaries[[#Headers],[Reporting]],tblSalaries[[#This Row],[Salary in USD]],"")</f>
        <v/>
      </c>
      <c r="AD1458" s="13" t="str">
        <f>IF(tblSalaries[[#This Row],[Job Type]]=tblSalaries[[#Headers],[Specialist]],tblSalaries[[#This Row],[Salary in USD]],"")</f>
        <v/>
      </c>
    </row>
    <row r="1459" spans="2:30" ht="15" customHeight="1" x14ac:dyDescent="0.25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 s="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  <c r="N1459" t="str">
        <f>IF(tblSalaries[[#This Row],[Years of Experience]]="","",IF(tblSalaries[[#This Row],[Years of Experience]]&lt;=2,1,""))</f>
        <v/>
      </c>
      <c r="O1459" t="str">
        <f>IF(tblSalaries[[#This Row],[Years of Experience]]="","",IF(AND(tblSalaries[[#This Row],[Years of Experience]]&gt;2,tblSalaries[[#This Row],[Years of Experience]]&lt;=5),1,""))</f>
        <v/>
      </c>
      <c r="P1459" t="str">
        <f>IF(tblSalaries[[#This Row],[Years of Experience]]="","",IF(AND(tblSalaries[[#This Row],[Years of Experience]]&gt;5,tblSalaries[[#This Row],[Years of Experience]]&lt;=10),1,""))</f>
        <v/>
      </c>
      <c r="Q1459">
        <f>IF(tblSalaries[[#This Row],[Years of Experience]]="","",IF(AND(tblSalaries[[#This Row],[Years of Experience]]&gt;10,tblSalaries[[#This Row],[Years of Experience]]&lt;=15),1,""))</f>
        <v>1</v>
      </c>
      <c r="R1459" t="str">
        <f>IF(tblSalaries[[#This Row],[Years of Experience]]="","",IF(AND(tblSalaries[[#This Row],[Years of Experience]]&gt;16,tblSalaries[[#This Row],[Years of Experience]]&lt;=20),1,""))</f>
        <v/>
      </c>
      <c r="S1459" t="str">
        <f>IF(tblSalaries[[#This Row],[Years of Experience]]="","",IF(tblSalaries[[#This Row],[Years of Experience]]&gt;20,1,""))</f>
        <v/>
      </c>
      <c r="T14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59" s="13" t="str">
        <f>IF(tblSalaries[[#This Row],[Job Type]]=tblSalaries[[#Headers],[Accountant]],tblSalaries[[#This Row],[Salary in USD]],"")</f>
        <v/>
      </c>
      <c r="V1459" s="13" t="str">
        <f>IF(tblSalaries[[#This Row],[Job Type]]=tblSalaries[[#Headers],[Analyst]],tblSalaries[[#This Row],[Salary in USD]],"")</f>
        <v/>
      </c>
      <c r="W1459" s="13" t="str">
        <f>IF(tblSalaries[[#This Row],[Job Type]]=tblSalaries[[#Headers],[Consultant]],tblSalaries[[#This Row],[Salary in USD]],"")</f>
        <v/>
      </c>
      <c r="X1459" s="13" t="str">
        <f>IF(tblSalaries[[#This Row],[Job Type]]=tblSalaries[[#Headers],[Controller]],tblSalaries[[#This Row],[Salary in USD]],"")</f>
        <v/>
      </c>
      <c r="Y1459" s="13" t="str">
        <f>IF(tblSalaries[[#This Row],[Job Type]]=tblSalaries[[#Headers],[CXO or Top Mgmt.]],tblSalaries[[#This Row],[clean Salary (in local currency)]],"")</f>
        <v/>
      </c>
      <c r="Z1459" s="13" t="str">
        <f>IF(tblSalaries[[#This Row],[Job Type]]=tblSalaries[[#Headers],[Engineer]],tblSalaries[[#This Row],[Salary in USD]],"")</f>
        <v/>
      </c>
      <c r="AA1459" s="13">
        <f>IF(tblSalaries[[#This Row],[Job Type]]=tblSalaries[[#Headers],[Manager]],tblSalaries[[#This Row],[Salary in USD]],"")</f>
        <v>64000</v>
      </c>
      <c r="AB1459" s="13" t="str">
        <f>IF(tblSalaries[[#This Row],[Job Type]]=tblSalaries[[#Headers],[Misc.]],tblSalaries[[#This Row],[Salary in USD]],"")</f>
        <v/>
      </c>
      <c r="AC1459" s="13" t="str">
        <f>IF(tblSalaries[[#This Row],[Job Type]]=tblSalaries[[#Headers],[Reporting]],tblSalaries[[#This Row],[Salary in USD]],"")</f>
        <v/>
      </c>
      <c r="AD1459" s="13" t="str">
        <f>IF(tblSalaries[[#This Row],[Job Type]]=tblSalaries[[#Headers],[Specialist]],tblSalaries[[#This Row],[Salary in USD]],"")</f>
        <v/>
      </c>
    </row>
    <row r="1460" spans="2:30" ht="15" customHeight="1" x14ac:dyDescent="0.25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 s="9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  <c r="N1460" t="str">
        <f>IF(tblSalaries[[#This Row],[Years of Experience]]="","",IF(tblSalaries[[#This Row],[Years of Experience]]&lt;=2,1,""))</f>
        <v/>
      </c>
      <c r="O1460" t="str">
        <f>IF(tblSalaries[[#This Row],[Years of Experience]]="","",IF(AND(tblSalaries[[#This Row],[Years of Experience]]&gt;2,tblSalaries[[#This Row],[Years of Experience]]&lt;=5),1,""))</f>
        <v/>
      </c>
      <c r="P1460">
        <f>IF(tblSalaries[[#This Row],[Years of Experience]]="","",IF(AND(tblSalaries[[#This Row],[Years of Experience]]&gt;5,tblSalaries[[#This Row],[Years of Experience]]&lt;=10),1,""))</f>
        <v>1</v>
      </c>
      <c r="Q1460" t="str">
        <f>IF(tblSalaries[[#This Row],[Years of Experience]]="","",IF(AND(tblSalaries[[#This Row],[Years of Experience]]&gt;10,tblSalaries[[#This Row],[Years of Experience]]&lt;=15),1,""))</f>
        <v/>
      </c>
      <c r="R1460" t="str">
        <f>IF(tblSalaries[[#This Row],[Years of Experience]]="","",IF(AND(tblSalaries[[#This Row],[Years of Experience]]&gt;16,tblSalaries[[#This Row],[Years of Experience]]&lt;=20),1,""))</f>
        <v/>
      </c>
      <c r="S1460" t="str">
        <f>IF(tblSalaries[[#This Row],[Years of Experience]]="","",IF(tblSalaries[[#This Row],[Years of Experience]]&gt;20,1,""))</f>
        <v/>
      </c>
      <c r="T14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0" s="13" t="str">
        <f>IF(tblSalaries[[#This Row],[Job Type]]=tblSalaries[[#Headers],[Accountant]],tblSalaries[[#This Row],[Salary in USD]],"")</f>
        <v/>
      </c>
      <c r="V1460" s="13" t="str">
        <f>IF(tblSalaries[[#This Row],[Job Type]]=tblSalaries[[#Headers],[Analyst]],tblSalaries[[#This Row],[Salary in USD]],"")</f>
        <v/>
      </c>
      <c r="W1460" s="13" t="str">
        <f>IF(tblSalaries[[#This Row],[Job Type]]=tblSalaries[[#Headers],[Consultant]],tblSalaries[[#This Row],[Salary in USD]],"")</f>
        <v/>
      </c>
      <c r="X1460" s="13" t="str">
        <f>IF(tblSalaries[[#This Row],[Job Type]]=tblSalaries[[#Headers],[Controller]],tblSalaries[[#This Row],[Salary in USD]],"")</f>
        <v/>
      </c>
      <c r="Y1460" s="13" t="str">
        <f>IF(tblSalaries[[#This Row],[Job Type]]=tblSalaries[[#Headers],[CXO or Top Mgmt.]],tblSalaries[[#This Row],[clean Salary (in local currency)]],"")</f>
        <v/>
      </c>
      <c r="Z1460" s="13">
        <f>IF(tblSalaries[[#This Row],[Job Type]]=tblSalaries[[#Headers],[Engineer]],tblSalaries[[#This Row],[Salary in USD]],"")</f>
        <v>231119.74856804207</v>
      </c>
      <c r="AA1460" s="13" t="str">
        <f>IF(tblSalaries[[#This Row],[Job Type]]=tblSalaries[[#Headers],[Manager]],tblSalaries[[#This Row],[Salary in USD]],"")</f>
        <v/>
      </c>
      <c r="AB1460" s="13" t="str">
        <f>IF(tblSalaries[[#This Row],[Job Type]]=tblSalaries[[#Headers],[Misc.]],tblSalaries[[#This Row],[Salary in USD]],"")</f>
        <v/>
      </c>
      <c r="AC1460" s="13" t="str">
        <f>IF(tblSalaries[[#This Row],[Job Type]]=tblSalaries[[#Headers],[Reporting]],tblSalaries[[#This Row],[Salary in USD]],"")</f>
        <v/>
      </c>
      <c r="AD1460" s="13" t="str">
        <f>IF(tblSalaries[[#This Row],[Job Type]]=tblSalaries[[#Headers],[Specialist]],tblSalaries[[#This Row],[Salary in USD]],"")</f>
        <v/>
      </c>
    </row>
    <row r="1461" spans="2:30" ht="15" customHeight="1" x14ac:dyDescent="0.25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 s="9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  <c r="N1461" t="str">
        <f>IF(tblSalaries[[#This Row],[Years of Experience]]="","",IF(tblSalaries[[#This Row],[Years of Experience]]&lt;=2,1,""))</f>
        <v/>
      </c>
      <c r="O1461" t="str">
        <f>IF(tblSalaries[[#This Row],[Years of Experience]]="","",IF(AND(tblSalaries[[#This Row],[Years of Experience]]&gt;2,tblSalaries[[#This Row],[Years of Experience]]&lt;=5),1,""))</f>
        <v/>
      </c>
      <c r="P1461">
        <f>IF(tblSalaries[[#This Row],[Years of Experience]]="","",IF(AND(tblSalaries[[#This Row],[Years of Experience]]&gt;5,tblSalaries[[#This Row],[Years of Experience]]&lt;=10),1,""))</f>
        <v>1</v>
      </c>
      <c r="Q1461" t="str">
        <f>IF(tblSalaries[[#This Row],[Years of Experience]]="","",IF(AND(tblSalaries[[#This Row],[Years of Experience]]&gt;10,tblSalaries[[#This Row],[Years of Experience]]&lt;=15),1,""))</f>
        <v/>
      </c>
      <c r="R1461" t="str">
        <f>IF(tblSalaries[[#This Row],[Years of Experience]]="","",IF(AND(tblSalaries[[#This Row],[Years of Experience]]&gt;16,tblSalaries[[#This Row],[Years of Experience]]&lt;=20),1,""))</f>
        <v/>
      </c>
      <c r="S1461" t="str">
        <f>IF(tblSalaries[[#This Row],[Years of Experience]]="","",IF(tblSalaries[[#This Row],[Years of Experience]]&gt;20,1,""))</f>
        <v/>
      </c>
      <c r="T14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1" s="13" t="str">
        <f>IF(tblSalaries[[#This Row],[Job Type]]=tblSalaries[[#Headers],[Accountant]],tblSalaries[[#This Row],[Salary in USD]],"")</f>
        <v/>
      </c>
      <c r="V1461" s="13">
        <f>IF(tblSalaries[[#This Row],[Job Type]]=tblSalaries[[#Headers],[Analyst]],tblSalaries[[#This Row],[Salary in USD]],"")</f>
        <v>76000</v>
      </c>
      <c r="W1461" s="13" t="str">
        <f>IF(tblSalaries[[#This Row],[Job Type]]=tblSalaries[[#Headers],[Consultant]],tblSalaries[[#This Row],[Salary in USD]],"")</f>
        <v/>
      </c>
      <c r="X1461" s="13" t="str">
        <f>IF(tblSalaries[[#This Row],[Job Type]]=tblSalaries[[#Headers],[Controller]],tblSalaries[[#This Row],[Salary in USD]],"")</f>
        <v/>
      </c>
      <c r="Y1461" s="13" t="str">
        <f>IF(tblSalaries[[#This Row],[Job Type]]=tblSalaries[[#Headers],[CXO or Top Mgmt.]],tblSalaries[[#This Row],[clean Salary (in local currency)]],"")</f>
        <v/>
      </c>
      <c r="Z1461" s="13" t="str">
        <f>IF(tblSalaries[[#This Row],[Job Type]]=tblSalaries[[#Headers],[Engineer]],tblSalaries[[#This Row],[Salary in USD]],"")</f>
        <v/>
      </c>
      <c r="AA1461" s="13" t="str">
        <f>IF(tblSalaries[[#This Row],[Job Type]]=tblSalaries[[#Headers],[Manager]],tblSalaries[[#This Row],[Salary in USD]],"")</f>
        <v/>
      </c>
      <c r="AB1461" s="13" t="str">
        <f>IF(tblSalaries[[#This Row],[Job Type]]=tblSalaries[[#Headers],[Misc.]],tblSalaries[[#This Row],[Salary in USD]],"")</f>
        <v/>
      </c>
      <c r="AC1461" s="13" t="str">
        <f>IF(tblSalaries[[#This Row],[Job Type]]=tblSalaries[[#Headers],[Reporting]],tblSalaries[[#This Row],[Salary in USD]],"")</f>
        <v/>
      </c>
      <c r="AD1461" s="13" t="str">
        <f>IF(tblSalaries[[#This Row],[Job Type]]=tblSalaries[[#Headers],[Specialist]],tblSalaries[[#This Row],[Salary in USD]],"")</f>
        <v/>
      </c>
    </row>
    <row r="1462" spans="2:30" ht="15" customHeight="1" x14ac:dyDescent="0.25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 s="9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  <c r="N1462" t="str">
        <f>IF(tblSalaries[[#This Row],[Years of Experience]]="","",IF(tblSalaries[[#This Row],[Years of Experience]]&lt;=2,1,""))</f>
        <v/>
      </c>
      <c r="O1462" t="str">
        <f>IF(tblSalaries[[#This Row],[Years of Experience]]="","",IF(AND(tblSalaries[[#This Row],[Years of Experience]]&gt;2,tblSalaries[[#This Row],[Years of Experience]]&lt;=5),1,""))</f>
        <v/>
      </c>
      <c r="P1462">
        <f>IF(tblSalaries[[#This Row],[Years of Experience]]="","",IF(AND(tblSalaries[[#This Row],[Years of Experience]]&gt;5,tblSalaries[[#This Row],[Years of Experience]]&lt;=10),1,""))</f>
        <v>1</v>
      </c>
      <c r="Q1462" t="str">
        <f>IF(tblSalaries[[#This Row],[Years of Experience]]="","",IF(AND(tblSalaries[[#This Row],[Years of Experience]]&gt;10,tblSalaries[[#This Row],[Years of Experience]]&lt;=15),1,""))</f>
        <v/>
      </c>
      <c r="R1462" t="str">
        <f>IF(tblSalaries[[#This Row],[Years of Experience]]="","",IF(AND(tblSalaries[[#This Row],[Years of Experience]]&gt;16,tblSalaries[[#This Row],[Years of Experience]]&lt;=20),1,""))</f>
        <v/>
      </c>
      <c r="S1462" t="str">
        <f>IF(tblSalaries[[#This Row],[Years of Experience]]="","",IF(tblSalaries[[#This Row],[Years of Experience]]&gt;20,1,""))</f>
        <v/>
      </c>
      <c r="T14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2" s="13" t="str">
        <f>IF(tblSalaries[[#This Row],[Job Type]]=tblSalaries[[#Headers],[Accountant]],tblSalaries[[#This Row],[Salary in USD]],"")</f>
        <v/>
      </c>
      <c r="V1462" s="13">
        <f>IF(tblSalaries[[#This Row],[Job Type]]=tblSalaries[[#Headers],[Analyst]],tblSalaries[[#This Row],[Salary in USD]],"")</f>
        <v>15761.782720672842</v>
      </c>
      <c r="W1462" s="13" t="str">
        <f>IF(tblSalaries[[#This Row],[Job Type]]=tblSalaries[[#Headers],[Consultant]],tblSalaries[[#This Row],[Salary in USD]],"")</f>
        <v/>
      </c>
      <c r="X1462" s="13" t="str">
        <f>IF(tblSalaries[[#This Row],[Job Type]]=tblSalaries[[#Headers],[Controller]],tblSalaries[[#This Row],[Salary in USD]],"")</f>
        <v/>
      </c>
      <c r="Y1462" s="13" t="str">
        <f>IF(tblSalaries[[#This Row],[Job Type]]=tblSalaries[[#Headers],[CXO or Top Mgmt.]],tblSalaries[[#This Row],[clean Salary (in local currency)]],"")</f>
        <v/>
      </c>
      <c r="Z1462" s="13" t="str">
        <f>IF(tblSalaries[[#This Row],[Job Type]]=tblSalaries[[#Headers],[Engineer]],tblSalaries[[#This Row],[Salary in USD]],"")</f>
        <v/>
      </c>
      <c r="AA1462" s="13" t="str">
        <f>IF(tblSalaries[[#This Row],[Job Type]]=tblSalaries[[#Headers],[Manager]],tblSalaries[[#This Row],[Salary in USD]],"")</f>
        <v/>
      </c>
      <c r="AB1462" s="13" t="str">
        <f>IF(tblSalaries[[#This Row],[Job Type]]=tblSalaries[[#Headers],[Misc.]],tblSalaries[[#This Row],[Salary in USD]],"")</f>
        <v/>
      </c>
      <c r="AC1462" s="13" t="str">
        <f>IF(tblSalaries[[#This Row],[Job Type]]=tblSalaries[[#Headers],[Reporting]],tblSalaries[[#This Row],[Salary in USD]],"")</f>
        <v/>
      </c>
      <c r="AD1462" s="13" t="str">
        <f>IF(tblSalaries[[#This Row],[Job Type]]=tblSalaries[[#Headers],[Specialist]],tblSalaries[[#This Row],[Salary in USD]],"")</f>
        <v/>
      </c>
    </row>
    <row r="1463" spans="2:30" ht="15" customHeight="1" x14ac:dyDescent="0.25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 s="9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  <c r="N1463" t="str">
        <f>IF(tblSalaries[[#This Row],[Years of Experience]]="","",IF(tblSalaries[[#This Row],[Years of Experience]]&lt;=2,1,""))</f>
        <v/>
      </c>
      <c r="O1463" t="str">
        <f>IF(tblSalaries[[#This Row],[Years of Experience]]="","",IF(AND(tblSalaries[[#This Row],[Years of Experience]]&gt;2,tblSalaries[[#This Row],[Years of Experience]]&lt;=5),1,""))</f>
        <v/>
      </c>
      <c r="P1463" t="str">
        <f>IF(tblSalaries[[#This Row],[Years of Experience]]="","",IF(AND(tblSalaries[[#This Row],[Years of Experience]]&gt;5,tblSalaries[[#This Row],[Years of Experience]]&lt;=10),1,""))</f>
        <v/>
      </c>
      <c r="Q1463" t="str">
        <f>IF(tblSalaries[[#This Row],[Years of Experience]]="","",IF(AND(tblSalaries[[#This Row],[Years of Experience]]&gt;10,tblSalaries[[#This Row],[Years of Experience]]&lt;=15),1,""))</f>
        <v/>
      </c>
      <c r="R1463">
        <f>IF(tblSalaries[[#This Row],[Years of Experience]]="","",IF(AND(tblSalaries[[#This Row],[Years of Experience]]&gt;16,tblSalaries[[#This Row],[Years of Experience]]&lt;=20),1,""))</f>
        <v>1</v>
      </c>
      <c r="S1463" t="str">
        <f>IF(tblSalaries[[#This Row],[Years of Experience]]="","",IF(tblSalaries[[#This Row],[Years of Experience]]&gt;20,1,""))</f>
        <v/>
      </c>
      <c r="T14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63" s="13" t="str">
        <f>IF(tblSalaries[[#This Row],[Job Type]]=tblSalaries[[#Headers],[Accountant]],tblSalaries[[#This Row],[Salary in USD]],"")</f>
        <v/>
      </c>
      <c r="V1463" s="13" t="str">
        <f>IF(tblSalaries[[#This Row],[Job Type]]=tblSalaries[[#Headers],[Analyst]],tblSalaries[[#This Row],[Salary in USD]],"")</f>
        <v/>
      </c>
      <c r="W1463" s="13" t="str">
        <f>IF(tblSalaries[[#This Row],[Job Type]]=tblSalaries[[#Headers],[Consultant]],tblSalaries[[#This Row],[Salary in USD]],"")</f>
        <v/>
      </c>
      <c r="X1463" s="13" t="str">
        <f>IF(tblSalaries[[#This Row],[Job Type]]=tblSalaries[[#Headers],[Controller]],tblSalaries[[#This Row],[Salary in USD]],"")</f>
        <v/>
      </c>
      <c r="Y1463" s="13" t="str">
        <f>IF(tblSalaries[[#This Row],[Job Type]]=tblSalaries[[#Headers],[CXO or Top Mgmt.]],tblSalaries[[#This Row],[clean Salary (in local currency)]],"")</f>
        <v/>
      </c>
      <c r="Z1463" s="13">
        <f>IF(tblSalaries[[#This Row],[Job Type]]=tblSalaries[[#Headers],[Engineer]],tblSalaries[[#This Row],[Salary in USD]],"")</f>
        <v>168285.09330643489</v>
      </c>
      <c r="AA1463" s="13" t="str">
        <f>IF(tblSalaries[[#This Row],[Job Type]]=tblSalaries[[#Headers],[Manager]],tblSalaries[[#This Row],[Salary in USD]],"")</f>
        <v/>
      </c>
      <c r="AB1463" s="13" t="str">
        <f>IF(tblSalaries[[#This Row],[Job Type]]=tblSalaries[[#Headers],[Misc.]],tblSalaries[[#This Row],[Salary in USD]],"")</f>
        <v/>
      </c>
      <c r="AC1463" s="13" t="str">
        <f>IF(tblSalaries[[#This Row],[Job Type]]=tblSalaries[[#Headers],[Reporting]],tblSalaries[[#This Row],[Salary in USD]],"")</f>
        <v/>
      </c>
      <c r="AD1463" s="13" t="str">
        <f>IF(tblSalaries[[#This Row],[Job Type]]=tblSalaries[[#Headers],[Specialist]],tblSalaries[[#This Row],[Salary in USD]],"")</f>
        <v/>
      </c>
    </row>
    <row r="1464" spans="2:30" ht="15" customHeight="1" x14ac:dyDescent="0.25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 s="9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  <c r="N1464" t="str">
        <f>IF(tblSalaries[[#This Row],[Years of Experience]]="","",IF(tblSalaries[[#This Row],[Years of Experience]]&lt;=2,1,""))</f>
        <v/>
      </c>
      <c r="O1464" t="str">
        <f>IF(tblSalaries[[#This Row],[Years of Experience]]="","",IF(AND(tblSalaries[[#This Row],[Years of Experience]]&gt;2,tblSalaries[[#This Row],[Years of Experience]]&lt;=5),1,""))</f>
        <v/>
      </c>
      <c r="P1464" t="str">
        <f>IF(tblSalaries[[#This Row],[Years of Experience]]="","",IF(AND(tblSalaries[[#This Row],[Years of Experience]]&gt;5,tblSalaries[[#This Row],[Years of Experience]]&lt;=10),1,""))</f>
        <v/>
      </c>
      <c r="Q1464">
        <f>IF(tblSalaries[[#This Row],[Years of Experience]]="","",IF(AND(tblSalaries[[#This Row],[Years of Experience]]&gt;10,tblSalaries[[#This Row],[Years of Experience]]&lt;=15),1,""))</f>
        <v>1</v>
      </c>
      <c r="R1464" t="str">
        <f>IF(tblSalaries[[#This Row],[Years of Experience]]="","",IF(AND(tblSalaries[[#This Row],[Years of Experience]]&gt;16,tblSalaries[[#This Row],[Years of Experience]]&lt;=20),1,""))</f>
        <v/>
      </c>
      <c r="S1464" t="str">
        <f>IF(tblSalaries[[#This Row],[Years of Experience]]="","",IF(tblSalaries[[#This Row],[Years of Experience]]&gt;20,1,""))</f>
        <v/>
      </c>
      <c r="T14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64" s="13" t="str">
        <f>IF(tblSalaries[[#This Row],[Job Type]]=tblSalaries[[#Headers],[Accountant]],tblSalaries[[#This Row],[Salary in USD]],"")</f>
        <v/>
      </c>
      <c r="V1464" s="13">
        <f>IF(tblSalaries[[#This Row],[Job Type]]=tblSalaries[[#Headers],[Analyst]],tblSalaries[[#This Row],[Salary in USD]],"")</f>
        <v>50000</v>
      </c>
      <c r="W1464" s="13" t="str">
        <f>IF(tblSalaries[[#This Row],[Job Type]]=tblSalaries[[#Headers],[Consultant]],tblSalaries[[#This Row],[Salary in USD]],"")</f>
        <v/>
      </c>
      <c r="X1464" s="13" t="str">
        <f>IF(tblSalaries[[#This Row],[Job Type]]=tblSalaries[[#Headers],[Controller]],tblSalaries[[#This Row],[Salary in USD]],"")</f>
        <v/>
      </c>
      <c r="Y1464" s="13" t="str">
        <f>IF(tblSalaries[[#This Row],[Job Type]]=tblSalaries[[#Headers],[CXO or Top Mgmt.]],tblSalaries[[#This Row],[clean Salary (in local currency)]],"")</f>
        <v/>
      </c>
      <c r="Z1464" s="13" t="str">
        <f>IF(tblSalaries[[#This Row],[Job Type]]=tblSalaries[[#Headers],[Engineer]],tblSalaries[[#This Row],[Salary in USD]],"")</f>
        <v/>
      </c>
      <c r="AA1464" s="13" t="str">
        <f>IF(tblSalaries[[#This Row],[Job Type]]=tblSalaries[[#Headers],[Manager]],tblSalaries[[#This Row],[Salary in USD]],"")</f>
        <v/>
      </c>
      <c r="AB1464" s="13" t="str">
        <f>IF(tblSalaries[[#This Row],[Job Type]]=tblSalaries[[#Headers],[Misc.]],tblSalaries[[#This Row],[Salary in USD]],"")</f>
        <v/>
      </c>
      <c r="AC1464" s="13" t="str">
        <f>IF(tblSalaries[[#This Row],[Job Type]]=tblSalaries[[#Headers],[Reporting]],tblSalaries[[#This Row],[Salary in USD]],"")</f>
        <v/>
      </c>
      <c r="AD1464" s="13" t="str">
        <f>IF(tblSalaries[[#This Row],[Job Type]]=tblSalaries[[#Headers],[Specialist]],tblSalaries[[#This Row],[Salary in USD]],"")</f>
        <v/>
      </c>
    </row>
    <row r="1465" spans="2:30" ht="15" customHeight="1" x14ac:dyDescent="0.25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 s="9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  <c r="N1465" t="str">
        <f>IF(tblSalaries[[#This Row],[Years of Experience]]="","",IF(tblSalaries[[#This Row],[Years of Experience]]&lt;=2,1,""))</f>
        <v/>
      </c>
      <c r="O1465" t="str">
        <f>IF(tblSalaries[[#This Row],[Years of Experience]]="","",IF(AND(tblSalaries[[#This Row],[Years of Experience]]&gt;2,tblSalaries[[#This Row],[Years of Experience]]&lt;=5),1,""))</f>
        <v/>
      </c>
      <c r="P1465">
        <f>IF(tblSalaries[[#This Row],[Years of Experience]]="","",IF(AND(tblSalaries[[#This Row],[Years of Experience]]&gt;5,tblSalaries[[#This Row],[Years of Experience]]&lt;=10),1,""))</f>
        <v>1</v>
      </c>
      <c r="Q1465" t="str">
        <f>IF(tblSalaries[[#This Row],[Years of Experience]]="","",IF(AND(tblSalaries[[#This Row],[Years of Experience]]&gt;10,tblSalaries[[#This Row],[Years of Experience]]&lt;=15),1,""))</f>
        <v/>
      </c>
      <c r="R1465" t="str">
        <f>IF(tblSalaries[[#This Row],[Years of Experience]]="","",IF(AND(tblSalaries[[#This Row],[Years of Experience]]&gt;16,tblSalaries[[#This Row],[Years of Experience]]&lt;=20),1,""))</f>
        <v/>
      </c>
      <c r="S1465" t="str">
        <f>IF(tblSalaries[[#This Row],[Years of Experience]]="","",IF(tblSalaries[[#This Row],[Years of Experience]]&gt;20,1,""))</f>
        <v/>
      </c>
      <c r="T14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5" s="13" t="str">
        <f>IF(tblSalaries[[#This Row],[Job Type]]=tblSalaries[[#Headers],[Accountant]],tblSalaries[[#This Row],[Salary in USD]],"")</f>
        <v/>
      </c>
      <c r="V1465" s="13" t="str">
        <f>IF(tblSalaries[[#This Row],[Job Type]]=tblSalaries[[#Headers],[Analyst]],tblSalaries[[#This Row],[Salary in USD]],"")</f>
        <v/>
      </c>
      <c r="W1465" s="13" t="str">
        <f>IF(tblSalaries[[#This Row],[Job Type]]=tblSalaries[[#Headers],[Consultant]],tblSalaries[[#This Row],[Salary in USD]],"")</f>
        <v/>
      </c>
      <c r="X1465" s="13">
        <f>IF(tblSalaries[[#This Row],[Job Type]]=tblSalaries[[#Headers],[Controller]],tblSalaries[[#This Row],[Salary in USD]],"")</f>
        <v>7200</v>
      </c>
      <c r="Y1465" s="13" t="str">
        <f>IF(tblSalaries[[#This Row],[Job Type]]=tblSalaries[[#Headers],[CXO or Top Mgmt.]],tblSalaries[[#This Row],[clean Salary (in local currency)]],"")</f>
        <v/>
      </c>
      <c r="Z1465" s="13" t="str">
        <f>IF(tblSalaries[[#This Row],[Job Type]]=tblSalaries[[#Headers],[Engineer]],tblSalaries[[#This Row],[Salary in USD]],"")</f>
        <v/>
      </c>
      <c r="AA1465" s="13" t="str">
        <f>IF(tblSalaries[[#This Row],[Job Type]]=tblSalaries[[#Headers],[Manager]],tblSalaries[[#This Row],[Salary in USD]],"")</f>
        <v/>
      </c>
      <c r="AB1465" s="13" t="str">
        <f>IF(tblSalaries[[#This Row],[Job Type]]=tblSalaries[[#Headers],[Misc.]],tblSalaries[[#This Row],[Salary in USD]],"")</f>
        <v/>
      </c>
      <c r="AC1465" s="13" t="str">
        <f>IF(tblSalaries[[#This Row],[Job Type]]=tblSalaries[[#Headers],[Reporting]],tblSalaries[[#This Row],[Salary in USD]],"")</f>
        <v/>
      </c>
      <c r="AD1465" s="13" t="str">
        <f>IF(tblSalaries[[#This Row],[Job Type]]=tblSalaries[[#Headers],[Specialist]],tblSalaries[[#This Row],[Salary in USD]],"")</f>
        <v/>
      </c>
    </row>
    <row r="1466" spans="2:30" ht="15" customHeight="1" x14ac:dyDescent="0.25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 s="9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  <c r="N1466" t="str">
        <f>IF(tblSalaries[[#This Row],[Years of Experience]]="","",IF(tblSalaries[[#This Row],[Years of Experience]]&lt;=2,1,""))</f>
        <v/>
      </c>
      <c r="O1466" t="str">
        <f>IF(tblSalaries[[#This Row],[Years of Experience]]="","",IF(AND(tblSalaries[[#This Row],[Years of Experience]]&gt;2,tblSalaries[[#This Row],[Years of Experience]]&lt;=5),1,""))</f>
        <v/>
      </c>
      <c r="P1466">
        <f>IF(tblSalaries[[#This Row],[Years of Experience]]="","",IF(AND(tblSalaries[[#This Row],[Years of Experience]]&gt;5,tblSalaries[[#This Row],[Years of Experience]]&lt;=10),1,""))</f>
        <v>1</v>
      </c>
      <c r="Q1466" t="str">
        <f>IF(tblSalaries[[#This Row],[Years of Experience]]="","",IF(AND(tblSalaries[[#This Row],[Years of Experience]]&gt;10,tblSalaries[[#This Row],[Years of Experience]]&lt;=15),1,""))</f>
        <v/>
      </c>
      <c r="R1466" t="str">
        <f>IF(tblSalaries[[#This Row],[Years of Experience]]="","",IF(AND(tblSalaries[[#This Row],[Years of Experience]]&gt;16,tblSalaries[[#This Row],[Years of Experience]]&lt;=20),1,""))</f>
        <v/>
      </c>
      <c r="S1466" t="str">
        <f>IF(tblSalaries[[#This Row],[Years of Experience]]="","",IF(tblSalaries[[#This Row],[Years of Experience]]&gt;20,1,""))</f>
        <v/>
      </c>
      <c r="T14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6" s="13" t="str">
        <f>IF(tblSalaries[[#This Row],[Job Type]]=tblSalaries[[#Headers],[Accountant]],tblSalaries[[#This Row],[Salary in USD]],"")</f>
        <v/>
      </c>
      <c r="V1466" s="13" t="str">
        <f>IF(tblSalaries[[#This Row],[Job Type]]=tblSalaries[[#Headers],[Analyst]],tblSalaries[[#This Row],[Salary in USD]],"")</f>
        <v/>
      </c>
      <c r="W1466" s="13">
        <f>IF(tblSalaries[[#This Row],[Job Type]]=tblSalaries[[#Headers],[Consultant]],tblSalaries[[#This Row],[Salary in USD]],"")</f>
        <v>53356.776437647524</v>
      </c>
      <c r="X1466" s="13" t="str">
        <f>IF(tblSalaries[[#This Row],[Job Type]]=tblSalaries[[#Headers],[Controller]],tblSalaries[[#This Row],[Salary in USD]],"")</f>
        <v/>
      </c>
      <c r="Y1466" s="13" t="str">
        <f>IF(tblSalaries[[#This Row],[Job Type]]=tblSalaries[[#Headers],[CXO or Top Mgmt.]],tblSalaries[[#This Row],[clean Salary (in local currency)]],"")</f>
        <v/>
      </c>
      <c r="Z1466" s="13" t="str">
        <f>IF(tblSalaries[[#This Row],[Job Type]]=tblSalaries[[#Headers],[Engineer]],tblSalaries[[#This Row],[Salary in USD]],"")</f>
        <v/>
      </c>
      <c r="AA1466" s="13" t="str">
        <f>IF(tblSalaries[[#This Row],[Job Type]]=tblSalaries[[#Headers],[Manager]],tblSalaries[[#This Row],[Salary in USD]],"")</f>
        <v/>
      </c>
      <c r="AB1466" s="13" t="str">
        <f>IF(tblSalaries[[#This Row],[Job Type]]=tblSalaries[[#Headers],[Misc.]],tblSalaries[[#This Row],[Salary in USD]],"")</f>
        <v/>
      </c>
      <c r="AC1466" s="13" t="str">
        <f>IF(tblSalaries[[#This Row],[Job Type]]=tblSalaries[[#Headers],[Reporting]],tblSalaries[[#This Row],[Salary in USD]],"")</f>
        <v/>
      </c>
      <c r="AD1466" s="13" t="str">
        <f>IF(tblSalaries[[#This Row],[Job Type]]=tblSalaries[[#Headers],[Specialist]],tblSalaries[[#This Row],[Salary in USD]],"")</f>
        <v/>
      </c>
    </row>
    <row r="1467" spans="2:30" ht="15" customHeight="1" x14ac:dyDescent="0.25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 s="9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  <c r="N1467" t="str">
        <f>IF(tblSalaries[[#This Row],[Years of Experience]]="","",IF(tblSalaries[[#This Row],[Years of Experience]]&lt;=2,1,""))</f>
        <v/>
      </c>
      <c r="O1467" t="str">
        <f>IF(tblSalaries[[#This Row],[Years of Experience]]="","",IF(AND(tblSalaries[[#This Row],[Years of Experience]]&gt;2,tblSalaries[[#This Row],[Years of Experience]]&lt;=5),1,""))</f>
        <v/>
      </c>
      <c r="P1467">
        <f>IF(tblSalaries[[#This Row],[Years of Experience]]="","",IF(AND(tblSalaries[[#This Row],[Years of Experience]]&gt;5,tblSalaries[[#This Row],[Years of Experience]]&lt;=10),1,""))</f>
        <v>1</v>
      </c>
      <c r="Q1467" t="str">
        <f>IF(tblSalaries[[#This Row],[Years of Experience]]="","",IF(AND(tblSalaries[[#This Row],[Years of Experience]]&gt;10,tblSalaries[[#This Row],[Years of Experience]]&lt;=15),1,""))</f>
        <v/>
      </c>
      <c r="R1467" t="str">
        <f>IF(tblSalaries[[#This Row],[Years of Experience]]="","",IF(AND(tblSalaries[[#This Row],[Years of Experience]]&gt;16,tblSalaries[[#This Row],[Years of Experience]]&lt;=20),1,""))</f>
        <v/>
      </c>
      <c r="S1467" t="str">
        <f>IF(tblSalaries[[#This Row],[Years of Experience]]="","",IF(tblSalaries[[#This Row],[Years of Experience]]&gt;20,1,""))</f>
        <v/>
      </c>
      <c r="T14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67" s="13" t="str">
        <f>IF(tblSalaries[[#This Row],[Job Type]]=tblSalaries[[#Headers],[Accountant]],tblSalaries[[#This Row],[Salary in USD]],"")</f>
        <v/>
      </c>
      <c r="V1467" s="13" t="str">
        <f>IF(tblSalaries[[#This Row],[Job Type]]=tblSalaries[[#Headers],[Analyst]],tblSalaries[[#This Row],[Salary in USD]],"")</f>
        <v/>
      </c>
      <c r="W1467" s="13" t="str">
        <f>IF(tblSalaries[[#This Row],[Job Type]]=tblSalaries[[#Headers],[Consultant]],tblSalaries[[#This Row],[Salary in USD]],"")</f>
        <v/>
      </c>
      <c r="X1467" s="13" t="str">
        <f>IF(tblSalaries[[#This Row],[Job Type]]=tblSalaries[[#Headers],[Controller]],tblSalaries[[#This Row],[Salary in USD]],"")</f>
        <v/>
      </c>
      <c r="Y1467" s="13" t="str">
        <f>IF(tblSalaries[[#This Row],[Job Type]]=tblSalaries[[#Headers],[CXO or Top Mgmt.]],tblSalaries[[#This Row],[clean Salary (in local currency)]],"")</f>
        <v/>
      </c>
      <c r="Z1467" s="13" t="str">
        <f>IF(tblSalaries[[#This Row],[Job Type]]=tblSalaries[[#Headers],[Engineer]],tblSalaries[[#This Row],[Salary in USD]],"")</f>
        <v/>
      </c>
      <c r="AA1467" s="13" t="str">
        <f>IF(tblSalaries[[#This Row],[Job Type]]=tblSalaries[[#Headers],[Manager]],tblSalaries[[#This Row],[Salary in USD]],"")</f>
        <v/>
      </c>
      <c r="AB1467" s="13" t="str">
        <f>IF(tblSalaries[[#This Row],[Job Type]]=tblSalaries[[#Headers],[Misc.]],tblSalaries[[#This Row],[Salary in USD]],"")</f>
        <v/>
      </c>
      <c r="AC1467" s="13" t="str">
        <f>IF(tblSalaries[[#This Row],[Job Type]]=tblSalaries[[#Headers],[Reporting]],tblSalaries[[#This Row],[Salary in USD]],"")</f>
        <v/>
      </c>
      <c r="AD1467" s="13">
        <f>IF(tblSalaries[[#This Row],[Job Type]]=tblSalaries[[#Headers],[Specialist]],tblSalaries[[#This Row],[Salary in USD]],"")</f>
        <v>45000</v>
      </c>
    </row>
    <row r="1468" spans="2:30" ht="15" customHeight="1" x14ac:dyDescent="0.25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 s="9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  <c r="N1468" t="str">
        <f>IF(tblSalaries[[#This Row],[Years of Experience]]="","",IF(tblSalaries[[#This Row],[Years of Experience]]&lt;=2,1,""))</f>
        <v/>
      </c>
      <c r="O1468">
        <f>IF(tblSalaries[[#This Row],[Years of Experience]]="","",IF(AND(tblSalaries[[#This Row],[Years of Experience]]&gt;2,tblSalaries[[#This Row],[Years of Experience]]&lt;=5),1,""))</f>
        <v>1</v>
      </c>
      <c r="P1468" t="str">
        <f>IF(tblSalaries[[#This Row],[Years of Experience]]="","",IF(AND(tblSalaries[[#This Row],[Years of Experience]]&gt;5,tblSalaries[[#This Row],[Years of Experience]]&lt;=10),1,""))</f>
        <v/>
      </c>
      <c r="Q1468" t="str">
        <f>IF(tblSalaries[[#This Row],[Years of Experience]]="","",IF(AND(tblSalaries[[#This Row],[Years of Experience]]&gt;10,tblSalaries[[#This Row],[Years of Experience]]&lt;=15),1,""))</f>
        <v/>
      </c>
      <c r="R1468" t="str">
        <f>IF(tblSalaries[[#This Row],[Years of Experience]]="","",IF(AND(tblSalaries[[#This Row],[Years of Experience]]&gt;16,tblSalaries[[#This Row],[Years of Experience]]&lt;=20),1,""))</f>
        <v/>
      </c>
      <c r="S1468" t="str">
        <f>IF(tblSalaries[[#This Row],[Years of Experience]]="","",IF(tblSalaries[[#This Row],[Years of Experience]]&gt;20,1,""))</f>
        <v/>
      </c>
      <c r="T14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68" s="13" t="str">
        <f>IF(tblSalaries[[#This Row],[Job Type]]=tblSalaries[[#Headers],[Accountant]],tblSalaries[[#This Row],[Salary in USD]],"")</f>
        <v/>
      </c>
      <c r="V1468" s="13" t="str">
        <f>IF(tblSalaries[[#This Row],[Job Type]]=tblSalaries[[#Headers],[Analyst]],tblSalaries[[#This Row],[Salary in USD]],"")</f>
        <v/>
      </c>
      <c r="W1468" s="13" t="str">
        <f>IF(tblSalaries[[#This Row],[Job Type]]=tblSalaries[[#Headers],[Consultant]],tblSalaries[[#This Row],[Salary in USD]],"")</f>
        <v/>
      </c>
      <c r="X1468" s="13" t="str">
        <f>IF(tblSalaries[[#This Row],[Job Type]]=tblSalaries[[#Headers],[Controller]],tblSalaries[[#This Row],[Salary in USD]],"")</f>
        <v/>
      </c>
      <c r="Y1468" s="13" t="str">
        <f>IF(tblSalaries[[#This Row],[Job Type]]=tblSalaries[[#Headers],[CXO or Top Mgmt.]],tblSalaries[[#This Row],[clean Salary (in local currency)]],"")</f>
        <v/>
      </c>
      <c r="Z1468" s="13" t="str">
        <f>IF(tblSalaries[[#This Row],[Job Type]]=tblSalaries[[#Headers],[Engineer]],tblSalaries[[#This Row],[Salary in USD]],"")</f>
        <v/>
      </c>
      <c r="AA1468" s="13">
        <f>IF(tblSalaries[[#This Row],[Job Type]]=tblSalaries[[#Headers],[Manager]],tblSalaries[[#This Row],[Salary in USD]],"")</f>
        <v>5000</v>
      </c>
      <c r="AB1468" s="13" t="str">
        <f>IF(tblSalaries[[#This Row],[Job Type]]=tblSalaries[[#Headers],[Misc.]],tblSalaries[[#This Row],[Salary in USD]],"")</f>
        <v/>
      </c>
      <c r="AC1468" s="13" t="str">
        <f>IF(tblSalaries[[#This Row],[Job Type]]=tblSalaries[[#Headers],[Reporting]],tblSalaries[[#This Row],[Salary in USD]],"")</f>
        <v/>
      </c>
      <c r="AD1468" s="13" t="str">
        <f>IF(tblSalaries[[#This Row],[Job Type]]=tblSalaries[[#Headers],[Specialist]],tblSalaries[[#This Row],[Salary in USD]],"")</f>
        <v/>
      </c>
    </row>
    <row r="1469" spans="2:30" ht="15" customHeight="1" x14ac:dyDescent="0.25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 s="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  <c r="N1469" t="str">
        <f>IF(tblSalaries[[#This Row],[Years of Experience]]="","",IF(tblSalaries[[#This Row],[Years of Experience]]&lt;=2,1,""))</f>
        <v/>
      </c>
      <c r="O1469" t="str">
        <f>IF(tblSalaries[[#This Row],[Years of Experience]]="","",IF(AND(tblSalaries[[#This Row],[Years of Experience]]&gt;2,tblSalaries[[#This Row],[Years of Experience]]&lt;=5),1,""))</f>
        <v/>
      </c>
      <c r="P1469" t="str">
        <f>IF(tblSalaries[[#This Row],[Years of Experience]]="","",IF(AND(tblSalaries[[#This Row],[Years of Experience]]&gt;5,tblSalaries[[#This Row],[Years of Experience]]&lt;=10),1,""))</f>
        <v/>
      </c>
      <c r="Q1469" t="str">
        <f>IF(tblSalaries[[#This Row],[Years of Experience]]="","",IF(AND(tblSalaries[[#This Row],[Years of Experience]]&gt;10,tblSalaries[[#This Row],[Years of Experience]]&lt;=15),1,""))</f>
        <v/>
      </c>
      <c r="R1469">
        <f>IF(tblSalaries[[#This Row],[Years of Experience]]="","",IF(AND(tblSalaries[[#This Row],[Years of Experience]]&gt;16,tblSalaries[[#This Row],[Years of Experience]]&lt;=20),1,""))</f>
        <v>1</v>
      </c>
      <c r="S1469" t="str">
        <f>IF(tblSalaries[[#This Row],[Years of Experience]]="","",IF(tblSalaries[[#This Row],[Years of Experience]]&gt;20,1,""))</f>
        <v/>
      </c>
      <c r="T14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69" s="13" t="str">
        <f>IF(tblSalaries[[#This Row],[Job Type]]=tblSalaries[[#Headers],[Accountant]],tblSalaries[[#This Row],[Salary in USD]],"")</f>
        <v/>
      </c>
      <c r="V1469" s="13">
        <f>IF(tblSalaries[[#This Row],[Job Type]]=tblSalaries[[#Headers],[Analyst]],tblSalaries[[#This Row],[Salary in USD]],"")</f>
        <v>75473.31457379504</v>
      </c>
      <c r="W1469" s="13" t="str">
        <f>IF(tblSalaries[[#This Row],[Job Type]]=tblSalaries[[#Headers],[Consultant]],tblSalaries[[#This Row],[Salary in USD]],"")</f>
        <v/>
      </c>
      <c r="X1469" s="13" t="str">
        <f>IF(tblSalaries[[#This Row],[Job Type]]=tblSalaries[[#Headers],[Controller]],tblSalaries[[#This Row],[Salary in USD]],"")</f>
        <v/>
      </c>
      <c r="Y1469" s="13" t="str">
        <f>IF(tblSalaries[[#This Row],[Job Type]]=tblSalaries[[#Headers],[CXO or Top Mgmt.]],tblSalaries[[#This Row],[clean Salary (in local currency)]],"")</f>
        <v/>
      </c>
      <c r="Z1469" s="13" t="str">
        <f>IF(tblSalaries[[#This Row],[Job Type]]=tblSalaries[[#Headers],[Engineer]],tblSalaries[[#This Row],[Salary in USD]],"")</f>
        <v/>
      </c>
      <c r="AA1469" s="13" t="str">
        <f>IF(tblSalaries[[#This Row],[Job Type]]=tblSalaries[[#Headers],[Manager]],tblSalaries[[#This Row],[Salary in USD]],"")</f>
        <v/>
      </c>
      <c r="AB1469" s="13" t="str">
        <f>IF(tblSalaries[[#This Row],[Job Type]]=tblSalaries[[#Headers],[Misc.]],tblSalaries[[#This Row],[Salary in USD]],"")</f>
        <v/>
      </c>
      <c r="AC1469" s="13" t="str">
        <f>IF(tblSalaries[[#This Row],[Job Type]]=tblSalaries[[#Headers],[Reporting]],tblSalaries[[#This Row],[Salary in USD]],"")</f>
        <v/>
      </c>
      <c r="AD1469" s="13" t="str">
        <f>IF(tblSalaries[[#This Row],[Job Type]]=tblSalaries[[#Headers],[Specialist]],tblSalaries[[#This Row],[Salary in USD]],"")</f>
        <v/>
      </c>
    </row>
    <row r="1470" spans="2:30" ht="15" customHeight="1" x14ac:dyDescent="0.25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 s="9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  <c r="N1470" t="str">
        <f>IF(tblSalaries[[#This Row],[Years of Experience]]="","",IF(tblSalaries[[#This Row],[Years of Experience]]&lt;=2,1,""))</f>
        <v/>
      </c>
      <c r="O1470">
        <f>IF(tblSalaries[[#This Row],[Years of Experience]]="","",IF(AND(tblSalaries[[#This Row],[Years of Experience]]&gt;2,tblSalaries[[#This Row],[Years of Experience]]&lt;=5),1,""))</f>
        <v>1</v>
      </c>
      <c r="P1470" t="str">
        <f>IF(tblSalaries[[#This Row],[Years of Experience]]="","",IF(AND(tblSalaries[[#This Row],[Years of Experience]]&gt;5,tblSalaries[[#This Row],[Years of Experience]]&lt;=10),1,""))</f>
        <v/>
      </c>
      <c r="Q1470" t="str">
        <f>IF(tblSalaries[[#This Row],[Years of Experience]]="","",IF(AND(tblSalaries[[#This Row],[Years of Experience]]&gt;10,tblSalaries[[#This Row],[Years of Experience]]&lt;=15),1,""))</f>
        <v/>
      </c>
      <c r="R1470" t="str">
        <f>IF(tblSalaries[[#This Row],[Years of Experience]]="","",IF(AND(tblSalaries[[#This Row],[Years of Experience]]&gt;16,tblSalaries[[#This Row],[Years of Experience]]&lt;=20),1,""))</f>
        <v/>
      </c>
      <c r="S1470" t="str">
        <f>IF(tblSalaries[[#This Row],[Years of Experience]]="","",IF(tblSalaries[[#This Row],[Years of Experience]]&gt;20,1,""))</f>
        <v/>
      </c>
      <c r="T14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70" s="13" t="str">
        <f>IF(tblSalaries[[#This Row],[Job Type]]=tblSalaries[[#Headers],[Accountant]],tblSalaries[[#This Row],[Salary in USD]],"")</f>
        <v/>
      </c>
      <c r="V1470" s="13" t="str">
        <f>IF(tblSalaries[[#This Row],[Job Type]]=tblSalaries[[#Headers],[Analyst]],tblSalaries[[#This Row],[Salary in USD]],"")</f>
        <v/>
      </c>
      <c r="W1470" s="13" t="str">
        <f>IF(tblSalaries[[#This Row],[Job Type]]=tblSalaries[[#Headers],[Consultant]],tblSalaries[[#This Row],[Salary in USD]],"")</f>
        <v/>
      </c>
      <c r="X1470" s="13" t="str">
        <f>IF(tblSalaries[[#This Row],[Job Type]]=tblSalaries[[#Headers],[Controller]],tblSalaries[[#This Row],[Salary in USD]],"")</f>
        <v/>
      </c>
      <c r="Y1470" s="13" t="str">
        <f>IF(tblSalaries[[#This Row],[Job Type]]=tblSalaries[[#Headers],[CXO or Top Mgmt.]],tblSalaries[[#This Row],[clean Salary (in local currency)]],"")</f>
        <v/>
      </c>
      <c r="Z1470" s="13" t="str">
        <f>IF(tblSalaries[[#This Row],[Job Type]]=tblSalaries[[#Headers],[Engineer]],tblSalaries[[#This Row],[Salary in USD]],"")</f>
        <v/>
      </c>
      <c r="AA1470" s="13">
        <f>IF(tblSalaries[[#This Row],[Job Type]]=tblSalaries[[#Headers],[Manager]],tblSalaries[[#This Row],[Salary in USD]],"")</f>
        <v>15000</v>
      </c>
      <c r="AB1470" s="13" t="str">
        <f>IF(tblSalaries[[#This Row],[Job Type]]=tblSalaries[[#Headers],[Misc.]],tblSalaries[[#This Row],[Salary in USD]],"")</f>
        <v/>
      </c>
      <c r="AC1470" s="13" t="str">
        <f>IF(tblSalaries[[#This Row],[Job Type]]=tblSalaries[[#Headers],[Reporting]],tblSalaries[[#This Row],[Salary in USD]],"")</f>
        <v/>
      </c>
      <c r="AD1470" s="13" t="str">
        <f>IF(tblSalaries[[#This Row],[Job Type]]=tblSalaries[[#Headers],[Specialist]],tblSalaries[[#This Row],[Salary in USD]],"")</f>
        <v/>
      </c>
    </row>
    <row r="1471" spans="2:30" ht="15" customHeight="1" x14ac:dyDescent="0.25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 s="9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  <c r="N1471" t="str">
        <f>IF(tblSalaries[[#This Row],[Years of Experience]]="","",IF(tblSalaries[[#This Row],[Years of Experience]]&lt;=2,1,""))</f>
        <v/>
      </c>
      <c r="O1471" t="str">
        <f>IF(tblSalaries[[#This Row],[Years of Experience]]="","",IF(AND(tblSalaries[[#This Row],[Years of Experience]]&gt;2,tblSalaries[[#This Row],[Years of Experience]]&lt;=5),1,""))</f>
        <v/>
      </c>
      <c r="P1471">
        <f>IF(tblSalaries[[#This Row],[Years of Experience]]="","",IF(AND(tblSalaries[[#This Row],[Years of Experience]]&gt;5,tblSalaries[[#This Row],[Years of Experience]]&lt;=10),1,""))</f>
        <v>1</v>
      </c>
      <c r="Q1471" t="str">
        <f>IF(tblSalaries[[#This Row],[Years of Experience]]="","",IF(AND(tblSalaries[[#This Row],[Years of Experience]]&gt;10,tblSalaries[[#This Row],[Years of Experience]]&lt;=15),1,""))</f>
        <v/>
      </c>
      <c r="R1471" t="str">
        <f>IF(tblSalaries[[#This Row],[Years of Experience]]="","",IF(AND(tblSalaries[[#This Row],[Years of Experience]]&gt;16,tblSalaries[[#This Row],[Years of Experience]]&lt;=20),1,""))</f>
        <v/>
      </c>
      <c r="S1471" t="str">
        <f>IF(tblSalaries[[#This Row],[Years of Experience]]="","",IF(tblSalaries[[#This Row],[Years of Experience]]&gt;20,1,""))</f>
        <v/>
      </c>
      <c r="T14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71" s="13" t="str">
        <f>IF(tblSalaries[[#This Row],[Job Type]]=tblSalaries[[#Headers],[Accountant]],tblSalaries[[#This Row],[Salary in USD]],"")</f>
        <v/>
      </c>
      <c r="V1471" s="13" t="str">
        <f>IF(tblSalaries[[#This Row],[Job Type]]=tblSalaries[[#Headers],[Analyst]],tblSalaries[[#This Row],[Salary in USD]],"")</f>
        <v/>
      </c>
      <c r="W1471" s="13" t="str">
        <f>IF(tblSalaries[[#This Row],[Job Type]]=tblSalaries[[#Headers],[Consultant]],tblSalaries[[#This Row],[Salary in USD]],"")</f>
        <v/>
      </c>
      <c r="X1471" s="13">
        <f>IF(tblSalaries[[#This Row],[Job Type]]=tblSalaries[[#Headers],[Controller]],tblSalaries[[#This Row],[Salary in USD]],"")</f>
        <v>42558.381206218859</v>
      </c>
      <c r="Y1471" s="13" t="str">
        <f>IF(tblSalaries[[#This Row],[Job Type]]=tblSalaries[[#Headers],[CXO or Top Mgmt.]],tblSalaries[[#This Row],[clean Salary (in local currency)]],"")</f>
        <v/>
      </c>
      <c r="Z1471" s="13" t="str">
        <f>IF(tblSalaries[[#This Row],[Job Type]]=tblSalaries[[#Headers],[Engineer]],tblSalaries[[#This Row],[Salary in USD]],"")</f>
        <v/>
      </c>
      <c r="AA1471" s="13" t="str">
        <f>IF(tblSalaries[[#This Row],[Job Type]]=tblSalaries[[#Headers],[Manager]],tblSalaries[[#This Row],[Salary in USD]],"")</f>
        <v/>
      </c>
      <c r="AB1471" s="13" t="str">
        <f>IF(tblSalaries[[#This Row],[Job Type]]=tblSalaries[[#Headers],[Misc.]],tblSalaries[[#This Row],[Salary in USD]],"")</f>
        <v/>
      </c>
      <c r="AC1471" s="13" t="str">
        <f>IF(tblSalaries[[#This Row],[Job Type]]=tblSalaries[[#Headers],[Reporting]],tblSalaries[[#This Row],[Salary in USD]],"")</f>
        <v/>
      </c>
      <c r="AD1471" s="13" t="str">
        <f>IF(tblSalaries[[#This Row],[Job Type]]=tblSalaries[[#Headers],[Specialist]],tblSalaries[[#This Row],[Salary in USD]],"")</f>
        <v/>
      </c>
    </row>
    <row r="1472" spans="2:30" ht="15" customHeight="1" x14ac:dyDescent="0.25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 s="9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  <c r="N1472" t="str">
        <f>IF(tblSalaries[[#This Row],[Years of Experience]]="","",IF(tblSalaries[[#This Row],[Years of Experience]]&lt;=2,1,""))</f>
        <v/>
      </c>
      <c r="O1472">
        <f>IF(tblSalaries[[#This Row],[Years of Experience]]="","",IF(AND(tblSalaries[[#This Row],[Years of Experience]]&gt;2,tblSalaries[[#This Row],[Years of Experience]]&lt;=5),1,""))</f>
        <v>1</v>
      </c>
      <c r="P1472" t="str">
        <f>IF(tblSalaries[[#This Row],[Years of Experience]]="","",IF(AND(tblSalaries[[#This Row],[Years of Experience]]&gt;5,tblSalaries[[#This Row],[Years of Experience]]&lt;=10),1,""))</f>
        <v/>
      </c>
      <c r="Q1472" t="str">
        <f>IF(tblSalaries[[#This Row],[Years of Experience]]="","",IF(AND(tblSalaries[[#This Row],[Years of Experience]]&gt;10,tblSalaries[[#This Row],[Years of Experience]]&lt;=15),1,""))</f>
        <v/>
      </c>
      <c r="R1472" t="str">
        <f>IF(tblSalaries[[#This Row],[Years of Experience]]="","",IF(AND(tblSalaries[[#This Row],[Years of Experience]]&gt;16,tblSalaries[[#This Row],[Years of Experience]]&lt;=20),1,""))</f>
        <v/>
      </c>
      <c r="S1472" t="str">
        <f>IF(tblSalaries[[#This Row],[Years of Experience]]="","",IF(tblSalaries[[#This Row],[Years of Experience]]&gt;20,1,""))</f>
        <v/>
      </c>
      <c r="T14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72" s="13" t="str">
        <f>IF(tblSalaries[[#This Row],[Job Type]]=tblSalaries[[#Headers],[Accountant]],tblSalaries[[#This Row],[Salary in USD]],"")</f>
        <v/>
      </c>
      <c r="V1472" s="13">
        <f>IF(tblSalaries[[#This Row],[Job Type]]=tblSalaries[[#Headers],[Analyst]],tblSalaries[[#This Row],[Salary in USD]],"")</f>
        <v>61000</v>
      </c>
      <c r="W1472" s="13" t="str">
        <f>IF(tblSalaries[[#This Row],[Job Type]]=tblSalaries[[#Headers],[Consultant]],tblSalaries[[#This Row],[Salary in USD]],"")</f>
        <v/>
      </c>
      <c r="X1472" s="13" t="str">
        <f>IF(tblSalaries[[#This Row],[Job Type]]=tblSalaries[[#Headers],[Controller]],tblSalaries[[#This Row],[Salary in USD]],"")</f>
        <v/>
      </c>
      <c r="Y1472" s="13" t="str">
        <f>IF(tblSalaries[[#This Row],[Job Type]]=tblSalaries[[#Headers],[CXO or Top Mgmt.]],tblSalaries[[#This Row],[clean Salary (in local currency)]],"")</f>
        <v/>
      </c>
      <c r="Z1472" s="13" t="str">
        <f>IF(tblSalaries[[#This Row],[Job Type]]=tblSalaries[[#Headers],[Engineer]],tblSalaries[[#This Row],[Salary in USD]],"")</f>
        <v/>
      </c>
      <c r="AA1472" s="13" t="str">
        <f>IF(tblSalaries[[#This Row],[Job Type]]=tblSalaries[[#Headers],[Manager]],tblSalaries[[#This Row],[Salary in USD]],"")</f>
        <v/>
      </c>
      <c r="AB1472" s="13" t="str">
        <f>IF(tblSalaries[[#This Row],[Job Type]]=tblSalaries[[#Headers],[Misc.]],tblSalaries[[#This Row],[Salary in USD]],"")</f>
        <v/>
      </c>
      <c r="AC1472" s="13" t="str">
        <f>IF(tblSalaries[[#This Row],[Job Type]]=tblSalaries[[#Headers],[Reporting]],tblSalaries[[#This Row],[Salary in USD]],"")</f>
        <v/>
      </c>
      <c r="AD1472" s="13" t="str">
        <f>IF(tblSalaries[[#This Row],[Job Type]]=tblSalaries[[#Headers],[Specialist]],tblSalaries[[#This Row],[Salary in USD]],"")</f>
        <v/>
      </c>
    </row>
    <row r="1473" spans="2:30" ht="15" customHeight="1" x14ac:dyDescent="0.25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 s="9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  <c r="N1473">
        <f>IF(tblSalaries[[#This Row],[Years of Experience]]="","",IF(tblSalaries[[#This Row],[Years of Experience]]&lt;=2,1,""))</f>
        <v>1</v>
      </c>
      <c r="O1473" t="str">
        <f>IF(tblSalaries[[#This Row],[Years of Experience]]="","",IF(AND(tblSalaries[[#This Row],[Years of Experience]]&gt;2,tblSalaries[[#This Row],[Years of Experience]]&lt;=5),1,""))</f>
        <v/>
      </c>
      <c r="P1473" t="str">
        <f>IF(tblSalaries[[#This Row],[Years of Experience]]="","",IF(AND(tblSalaries[[#This Row],[Years of Experience]]&gt;5,tblSalaries[[#This Row],[Years of Experience]]&lt;=10),1,""))</f>
        <v/>
      </c>
      <c r="Q1473" t="str">
        <f>IF(tblSalaries[[#This Row],[Years of Experience]]="","",IF(AND(tblSalaries[[#This Row],[Years of Experience]]&gt;10,tblSalaries[[#This Row],[Years of Experience]]&lt;=15),1,""))</f>
        <v/>
      </c>
      <c r="R1473" t="str">
        <f>IF(tblSalaries[[#This Row],[Years of Experience]]="","",IF(AND(tblSalaries[[#This Row],[Years of Experience]]&gt;16,tblSalaries[[#This Row],[Years of Experience]]&lt;=20),1,""))</f>
        <v/>
      </c>
      <c r="S1473" t="str">
        <f>IF(tblSalaries[[#This Row],[Years of Experience]]="","",IF(tblSalaries[[#This Row],[Years of Experience]]&gt;20,1,""))</f>
        <v/>
      </c>
      <c r="T14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73" s="13" t="str">
        <f>IF(tblSalaries[[#This Row],[Job Type]]=tblSalaries[[#Headers],[Accountant]],tblSalaries[[#This Row],[Salary in USD]],"")</f>
        <v/>
      </c>
      <c r="V1473" s="13">
        <f>IF(tblSalaries[[#This Row],[Job Type]]=tblSalaries[[#Headers],[Analyst]],tblSalaries[[#This Row],[Salary in USD]],"")</f>
        <v>66000</v>
      </c>
      <c r="W1473" s="13" t="str">
        <f>IF(tblSalaries[[#This Row],[Job Type]]=tblSalaries[[#Headers],[Consultant]],tblSalaries[[#This Row],[Salary in USD]],"")</f>
        <v/>
      </c>
      <c r="X1473" s="13" t="str">
        <f>IF(tblSalaries[[#This Row],[Job Type]]=tblSalaries[[#Headers],[Controller]],tblSalaries[[#This Row],[Salary in USD]],"")</f>
        <v/>
      </c>
      <c r="Y1473" s="13" t="str">
        <f>IF(tblSalaries[[#This Row],[Job Type]]=tblSalaries[[#Headers],[CXO or Top Mgmt.]],tblSalaries[[#This Row],[clean Salary (in local currency)]],"")</f>
        <v/>
      </c>
      <c r="Z1473" s="13" t="str">
        <f>IF(tblSalaries[[#This Row],[Job Type]]=tblSalaries[[#Headers],[Engineer]],tblSalaries[[#This Row],[Salary in USD]],"")</f>
        <v/>
      </c>
      <c r="AA1473" s="13" t="str">
        <f>IF(tblSalaries[[#This Row],[Job Type]]=tblSalaries[[#Headers],[Manager]],tblSalaries[[#This Row],[Salary in USD]],"")</f>
        <v/>
      </c>
      <c r="AB1473" s="13" t="str">
        <f>IF(tblSalaries[[#This Row],[Job Type]]=tblSalaries[[#Headers],[Misc.]],tblSalaries[[#This Row],[Salary in USD]],"")</f>
        <v/>
      </c>
      <c r="AC1473" s="13" t="str">
        <f>IF(tblSalaries[[#This Row],[Job Type]]=tblSalaries[[#Headers],[Reporting]],tblSalaries[[#This Row],[Salary in USD]],"")</f>
        <v/>
      </c>
      <c r="AD1473" s="13" t="str">
        <f>IF(tblSalaries[[#This Row],[Job Type]]=tblSalaries[[#Headers],[Specialist]],tblSalaries[[#This Row],[Salary in USD]],"")</f>
        <v/>
      </c>
    </row>
    <row r="1474" spans="2:30" ht="15" customHeight="1" x14ac:dyDescent="0.25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 s="9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3999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  <c r="N1474" t="str">
        <f>IF(tblSalaries[[#This Row],[Years of Experience]]="","",IF(tblSalaries[[#This Row],[Years of Experience]]&lt;=2,1,""))</f>
        <v/>
      </c>
      <c r="O1474" t="str">
        <f>IF(tblSalaries[[#This Row],[Years of Experience]]="","",IF(AND(tblSalaries[[#This Row],[Years of Experience]]&gt;2,tblSalaries[[#This Row],[Years of Experience]]&lt;=5),1,""))</f>
        <v/>
      </c>
      <c r="P1474">
        <f>IF(tblSalaries[[#This Row],[Years of Experience]]="","",IF(AND(tblSalaries[[#This Row],[Years of Experience]]&gt;5,tblSalaries[[#This Row],[Years of Experience]]&lt;=10),1,""))</f>
        <v>1</v>
      </c>
      <c r="Q1474" t="str">
        <f>IF(tblSalaries[[#This Row],[Years of Experience]]="","",IF(AND(tblSalaries[[#This Row],[Years of Experience]]&gt;10,tblSalaries[[#This Row],[Years of Experience]]&lt;=15),1,""))</f>
        <v/>
      </c>
      <c r="R1474" t="str">
        <f>IF(tblSalaries[[#This Row],[Years of Experience]]="","",IF(AND(tblSalaries[[#This Row],[Years of Experience]]&gt;16,tblSalaries[[#This Row],[Years of Experience]]&lt;=20),1,""))</f>
        <v/>
      </c>
      <c r="S1474" t="str">
        <f>IF(tblSalaries[[#This Row],[Years of Experience]]="","",IF(tblSalaries[[#This Row],[Years of Experience]]&gt;20,1,""))</f>
        <v/>
      </c>
      <c r="T14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74" s="13" t="str">
        <f>IF(tblSalaries[[#This Row],[Job Type]]=tblSalaries[[#Headers],[Accountant]],tblSalaries[[#This Row],[Salary in USD]],"")</f>
        <v/>
      </c>
      <c r="V1474" s="13" t="str">
        <f>IF(tblSalaries[[#This Row],[Job Type]]=tblSalaries[[#Headers],[Analyst]],tblSalaries[[#This Row],[Salary in USD]],"")</f>
        <v/>
      </c>
      <c r="W1474" s="13" t="str">
        <f>IF(tblSalaries[[#This Row],[Job Type]]=tblSalaries[[#Headers],[Consultant]],tblSalaries[[#This Row],[Salary in USD]],"")</f>
        <v/>
      </c>
      <c r="X1474" s="13" t="str">
        <f>IF(tblSalaries[[#This Row],[Job Type]]=tblSalaries[[#Headers],[Controller]],tblSalaries[[#This Row],[Salary in USD]],"")</f>
        <v/>
      </c>
      <c r="Y1474" s="13" t="str">
        <f>IF(tblSalaries[[#This Row],[Job Type]]=tblSalaries[[#Headers],[CXO or Top Mgmt.]],tblSalaries[[#This Row],[clean Salary (in local currency)]],"")</f>
        <v/>
      </c>
      <c r="Z1474" s="13" t="str">
        <f>IF(tblSalaries[[#This Row],[Job Type]]=tblSalaries[[#Headers],[Engineer]],tblSalaries[[#This Row],[Salary in USD]],"")</f>
        <v/>
      </c>
      <c r="AA1474" s="13" t="str">
        <f>IF(tblSalaries[[#This Row],[Job Type]]=tblSalaries[[#Headers],[Manager]],tblSalaries[[#This Row],[Salary in USD]],"")</f>
        <v/>
      </c>
      <c r="AB1474" s="13" t="str">
        <f>IF(tblSalaries[[#This Row],[Job Type]]=tblSalaries[[#Headers],[Misc.]],tblSalaries[[#This Row],[Salary in USD]],"")</f>
        <v/>
      </c>
      <c r="AC1474" s="13">
        <f>IF(tblSalaries[[#This Row],[Job Type]]=tblSalaries[[#Headers],[Reporting]],tblSalaries[[#This Row],[Salary in USD]],"")</f>
        <v>4950.6008391090336</v>
      </c>
      <c r="AD1474" s="13" t="str">
        <f>IF(tblSalaries[[#This Row],[Job Type]]=tblSalaries[[#Headers],[Specialist]],tblSalaries[[#This Row],[Salary in USD]],"")</f>
        <v/>
      </c>
    </row>
    <row r="1475" spans="2:30" ht="15" customHeight="1" x14ac:dyDescent="0.25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 s="9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  <c r="N1475" t="str">
        <f>IF(tblSalaries[[#This Row],[Years of Experience]]="","",IF(tblSalaries[[#This Row],[Years of Experience]]&lt;=2,1,""))</f>
        <v/>
      </c>
      <c r="O1475" t="str">
        <f>IF(tblSalaries[[#This Row],[Years of Experience]]="","",IF(AND(tblSalaries[[#This Row],[Years of Experience]]&gt;2,tblSalaries[[#This Row],[Years of Experience]]&lt;=5),1,""))</f>
        <v/>
      </c>
      <c r="P1475" t="str">
        <f>IF(tblSalaries[[#This Row],[Years of Experience]]="","",IF(AND(tblSalaries[[#This Row],[Years of Experience]]&gt;5,tblSalaries[[#This Row],[Years of Experience]]&lt;=10),1,""))</f>
        <v/>
      </c>
      <c r="Q1475">
        <f>IF(tblSalaries[[#This Row],[Years of Experience]]="","",IF(AND(tblSalaries[[#This Row],[Years of Experience]]&gt;10,tblSalaries[[#This Row],[Years of Experience]]&lt;=15),1,""))</f>
        <v>1</v>
      </c>
      <c r="R1475" t="str">
        <f>IF(tblSalaries[[#This Row],[Years of Experience]]="","",IF(AND(tblSalaries[[#This Row],[Years of Experience]]&gt;16,tblSalaries[[#This Row],[Years of Experience]]&lt;=20),1,""))</f>
        <v/>
      </c>
      <c r="S1475" t="str">
        <f>IF(tblSalaries[[#This Row],[Years of Experience]]="","",IF(tblSalaries[[#This Row],[Years of Experience]]&gt;20,1,""))</f>
        <v/>
      </c>
      <c r="T14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75" s="13" t="str">
        <f>IF(tblSalaries[[#This Row],[Job Type]]=tblSalaries[[#Headers],[Accountant]],tblSalaries[[#This Row],[Salary in USD]],"")</f>
        <v/>
      </c>
      <c r="V1475" s="13" t="str">
        <f>IF(tblSalaries[[#This Row],[Job Type]]=tblSalaries[[#Headers],[Analyst]],tblSalaries[[#This Row],[Salary in USD]],"")</f>
        <v/>
      </c>
      <c r="W1475" s="13" t="str">
        <f>IF(tblSalaries[[#This Row],[Job Type]]=tblSalaries[[#Headers],[Consultant]],tblSalaries[[#This Row],[Salary in USD]],"")</f>
        <v/>
      </c>
      <c r="X1475" s="13" t="str">
        <f>IF(tblSalaries[[#This Row],[Job Type]]=tblSalaries[[#Headers],[Controller]],tblSalaries[[#This Row],[Salary in USD]],"")</f>
        <v/>
      </c>
      <c r="Y1475" s="13" t="str">
        <f>IF(tblSalaries[[#This Row],[Job Type]]=tblSalaries[[#Headers],[CXO or Top Mgmt.]],tblSalaries[[#This Row],[clean Salary (in local currency)]],"")</f>
        <v/>
      </c>
      <c r="Z1475" s="13" t="str">
        <f>IF(tblSalaries[[#This Row],[Job Type]]=tblSalaries[[#Headers],[Engineer]],tblSalaries[[#This Row],[Salary in USD]],"")</f>
        <v/>
      </c>
      <c r="AA1475" s="13">
        <f>IF(tblSalaries[[#This Row],[Job Type]]=tblSalaries[[#Headers],[Manager]],tblSalaries[[#This Row],[Salary in USD]],"")</f>
        <v>55000</v>
      </c>
      <c r="AB1475" s="13" t="str">
        <f>IF(tblSalaries[[#This Row],[Job Type]]=tblSalaries[[#Headers],[Misc.]],tblSalaries[[#This Row],[Salary in USD]],"")</f>
        <v/>
      </c>
      <c r="AC1475" s="13" t="str">
        <f>IF(tblSalaries[[#This Row],[Job Type]]=tblSalaries[[#Headers],[Reporting]],tblSalaries[[#This Row],[Salary in USD]],"")</f>
        <v/>
      </c>
      <c r="AD1475" s="13" t="str">
        <f>IF(tblSalaries[[#This Row],[Job Type]]=tblSalaries[[#Headers],[Specialist]],tblSalaries[[#This Row],[Salary in USD]],"")</f>
        <v/>
      </c>
    </row>
    <row r="1476" spans="2:30" ht="15" customHeight="1" x14ac:dyDescent="0.25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 s="9">
        <f>tblSalaries[[#This Row],[clean Salary (in local currency)]]*VLOOKUP(tblSalaries[[#This Row],[Currency]],tblXrate[],2,FALSE)</f>
        <v>32000</v>
      </c>
      <c r="H1476" t="s">
        <v>1657</v>
      </c>
      <c r="I1476" t="s">
        <v>3999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  <c r="N1476" t="str">
        <f>IF(tblSalaries[[#This Row],[Years of Experience]]="","",IF(tblSalaries[[#This Row],[Years of Experience]]&lt;=2,1,""))</f>
        <v/>
      </c>
      <c r="O1476" t="str">
        <f>IF(tblSalaries[[#This Row],[Years of Experience]]="","",IF(AND(tblSalaries[[#This Row],[Years of Experience]]&gt;2,tblSalaries[[#This Row],[Years of Experience]]&lt;=5),1,""))</f>
        <v/>
      </c>
      <c r="P1476">
        <f>IF(tblSalaries[[#This Row],[Years of Experience]]="","",IF(AND(tblSalaries[[#This Row],[Years of Experience]]&gt;5,tblSalaries[[#This Row],[Years of Experience]]&lt;=10),1,""))</f>
        <v>1</v>
      </c>
      <c r="Q1476" t="str">
        <f>IF(tblSalaries[[#This Row],[Years of Experience]]="","",IF(AND(tblSalaries[[#This Row],[Years of Experience]]&gt;10,tblSalaries[[#This Row],[Years of Experience]]&lt;=15),1,""))</f>
        <v/>
      </c>
      <c r="R1476" t="str">
        <f>IF(tblSalaries[[#This Row],[Years of Experience]]="","",IF(AND(tblSalaries[[#This Row],[Years of Experience]]&gt;16,tblSalaries[[#This Row],[Years of Experience]]&lt;=20),1,""))</f>
        <v/>
      </c>
      <c r="S1476" t="str">
        <f>IF(tblSalaries[[#This Row],[Years of Experience]]="","",IF(tblSalaries[[#This Row],[Years of Experience]]&gt;20,1,""))</f>
        <v/>
      </c>
      <c r="T14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76" s="13" t="str">
        <f>IF(tblSalaries[[#This Row],[Job Type]]=tblSalaries[[#Headers],[Accountant]],tblSalaries[[#This Row],[Salary in USD]],"")</f>
        <v/>
      </c>
      <c r="V1476" s="13" t="str">
        <f>IF(tblSalaries[[#This Row],[Job Type]]=tblSalaries[[#Headers],[Analyst]],tblSalaries[[#This Row],[Salary in USD]],"")</f>
        <v/>
      </c>
      <c r="W1476" s="13" t="str">
        <f>IF(tblSalaries[[#This Row],[Job Type]]=tblSalaries[[#Headers],[Consultant]],tblSalaries[[#This Row],[Salary in USD]],"")</f>
        <v/>
      </c>
      <c r="X1476" s="13" t="str">
        <f>IF(tblSalaries[[#This Row],[Job Type]]=tblSalaries[[#Headers],[Controller]],tblSalaries[[#This Row],[Salary in USD]],"")</f>
        <v/>
      </c>
      <c r="Y1476" s="13" t="str">
        <f>IF(tblSalaries[[#This Row],[Job Type]]=tblSalaries[[#Headers],[CXO or Top Mgmt.]],tblSalaries[[#This Row],[clean Salary (in local currency)]],"")</f>
        <v/>
      </c>
      <c r="Z1476" s="13" t="str">
        <f>IF(tblSalaries[[#This Row],[Job Type]]=tblSalaries[[#Headers],[Engineer]],tblSalaries[[#This Row],[Salary in USD]],"")</f>
        <v/>
      </c>
      <c r="AA1476" s="13" t="str">
        <f>IF(tblSalaries[[#This Row],[Job Type]]=tblSalaries[[#Headers],[Manager]],tblSalaries[[#This Row],[Salary in USD]],"")</f>
        <v/>
      </c>
      <c r="AB1476" s="13" t="str">
        <f>IF(tblSalaries[[#This Row],[Job Type]]=tblSalaries[[#Headers],[Misc.]],tblSalaries[[#This Row],[Salary in USD]],"")</f>
        <v/>
      </c>
      <c r="AC1476" s="13">
        <f>IF(tblSalaries[[#This Row],[Job Type]]=tblSalaries[[#Headers],[Reporting]],tblSalaries[[#This Row],[Salary in USD]],"")</f>
        <v>32000</v>
      </c>
      <c r="AD1476" s="13" t="str">
        <f>IF(tblSalaries[[#This Row],[Job Type]]=tblSalaries[[#Headers],[Specialist]],tblSalaries[[#This Row],[Salary in USD]],"")</f>
        <v/>
      </c>
    </row>
    <row r="1477" spans="2:30" ht="15" customHeight="1" x14ac:dyDescent="0.25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 s="9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  <c r="N1477" t="str">
        <f>IF(tblSalaries[[#This Row],[Years of Experience]]="","",IF(tblSalaries[[#This Row],[Years of Experience]]&lt;=2,1,""))</f>
        <v/>
      </c>
      <c r="O1477" t="str">
        <f>IF(tblSalaries[[#This Row],[Years of Experience]]="","",IF(AND(tblSalaries[[#This Row],[Years of Experience]]&gt;2,tblSalaries[[#This Row],[Years of Experience]]&lt;=5),1,""))</f>
        <v/>
      </c>
      <c r="P1477">
        <f>IF(tblSalaries[[#This Row],[Years of Experience]]="","",IF(AND(tblSalaries[[#This Row],[Years of Experience]]&gt;5,tblSalaries[[#This Row],[Years of Experience]]&lt;=10),1,""))</f>
        <v>1</v>
      </c>
      <c r="Q1477" t="str">
        <f>IF(tblSalaries[[#This Row],[Years of Experience]]="","",IF(AND(tblSalaries[[#This Row],[Years of Experience]]&gt;10,tblSalaries[[#This Row],[Years of Experience]]&lt;=15),1,""))</f>
        <v/>
      </c>
      <c r="R1477" t="str">
        <f>IF(tblSalaries[[#This Row],[Years of Experience]]="","",IF(AND(tblSalaries[[#This Row],[Years of Experience]]&gt;16,tblSalaries[[#This Row],[Years of Experience]]&lt;=20),1,""))</f>
        <v/>
      </c>
      <c r="S1477" t="str">
        <f>IF(tblSalaries[[#This Row],[Years of Experience]]="","",IF(tblSalaries[[#This Row],[Years of Experience]]&gt;20,1,""))</f>
        <v/>
      </c>
      <c r="T14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77" s="13" t="str">
        <f>IF(tblSalaries[[#This Row],[Job Type]]=tblSalaries[[#Headers],[Accountant]],tblSalaries[[#This Row],[Salary in USD]],"")</f>
        <v/>
      </c>
      <c r="V1477" s="13">
        <f>IF(tblSalaries[[#This Row],[Job Type]]=tblSalaries[[#Headers],[Analyst]],tblSalaries[[#This Row],[Salary in USD]],"")</f>
        <v>18000</v>
      </c>
      <c r="W1477" s="13" t="str">
        <f>IF(tblSalaries[[#This Row],[Job Type]]=tblSalaries[[#Headers],[Consultant]],tblSalaries[[#This Row],[Salary in USD]],"")</f>
        <v/>
      </c>
      <c r="X1477" s="13" t="str">
        <f>IF(tblSalaries[[#This Row],[Job Type]]=tblSalaries[[#Headers],[Controller]],tblSalaries[[#This Row],[Salary in USD]],"")</f>
        <v/>
      </c>
      <c r="Y1477" s="13" t="str">
        <f>IF(tblSalaries[[#This Row],[Job Type]]=tblSalaries[[#Headers],[CXO or Top Mgmt.]],tblSalaries[[#This Row],[clean Salary (in local currency)]],"")</f>
        <v/>
      </c>
      <c r="Z1477" s="13" t="str">
        <f>IF(tblSalaries[[#This Row],[Job Type]]=tblSalaries[[#Headers],[Engineer]],tblSalaries[[#This Row],[Salary in USD]],"")</f>
        <v/>
      </c>
      <c r="AA1477" s="13" t="str">
        <f>IF(tblSalaries[[#This Row],[Job Type]]=tblSalaries[[#Headers],[Manager]],tblSalaries[[#This Row],[Salary in USD]],"")</f>
        <v/>
      </c>
      <c r="AB1477" s="13" t="str">
        <f>IF(tblSalaries[[#This Row],[Job Type]]=tblSalaries[[#Headers],[Misc.]],tblSalaries[[#This Row],[Salary in USD]],"")</f>
        <v/>
      </c>
      <c r="AC1477" s="13" t="str">
        <f>IF(tblSalaries[[#This Row],[Job Type]]=tblSalaries[[#Headers],[Reporting]],tblSalaries[[#This Row],[Salary in USD]],"")</f>
        <v/>
      </c>
      <c r="AD1477" s="13" t="str">
        <f>IF(tblSalaries[[#This Row],[Job Type]]=tblSalaries[[#Headers],[Specialist]],tblSalaries[[#This Row],[Salary in USD]],"")</f>
        <v/>
      </c>
    </row>
    <row r="1478" spans="2:30" ht="15" customHeight="1" x14ac:dyDescent="0.25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 s="9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  <c r="N1478" t="str">
        <f>IF(tblSalaries[[#This Row],[Years of Experience]]="","",IF(tblSalaries[[#This Row],[Years of Experience]]&lt;=2,1,""))</f>
        <v/>
      </c>
      <c r="O1478" t="str">
        <f>IF(tblSalaries[[#This Row],[Years of Experience]]="","",IF(AND(tblSalaries[[#This Row],[Years of Experience]]&gt;2,tblSalaries[[#This Row],[Years of Experience]]&lt;=5),1,""))</f>
        <v/>
      </c>
      <c r="P1478" t="str">
        <f>IF(tblSalaries[[#This Row],[Years of Experience]]="","",IF(AND(tblSalaries[[#This Row],[Years of Experience]]&gt;5,tblSalaries[[#This Row],[Years of Experience]]&lt;=10),1,""))</f>
        <v/>
      </c>
      <c r="Q1478" t="str">
        <f>IF(tblSalaries[[#This Row],[Years of Experience]]="","",IF(AND(tblSalaries[[#This Row],[Years of Experience]]&gt;10,tblSalaries[[#This Row],[Years of Experience]]&lt;=15),1,""))</f>
        <v/>
      </c>
      <c r="R1478" t="str">
        <f>IF(tblSalaries[[#This Row],[Years of Experience]]="","",IF(AND(tblSalaries[[#This Row],[Years of Experience]]&gt;16,tblSalaries[[#This Row],[Years of Experience]]&lt;=20),1,""))</f>
        <v/>
      </c>
      <c r="S1478">
        <f>IF(tblSalaries[[#This Row],[Years of Experience]]="","",IF(tblSalaries[[#This Row],[Years of Experience]]&gt;20,1,""))</f>
        <v>1</v>
      </c>
      <c r="T14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78" s="13" t="str">
        <f>IF(tblSalaries[[#This Row],[Job Type]]=tblSalaries[[#Headers],[Accountant]],tblSalaries[[#This Row],[Salary in USD]],"")</f>
        <v/>
      </c>
      <c r="V1478" s="13">
        <f>IF(tblSalaries[[#This Row],[Job Type]]=tblSalaries[[#Headers],[Analyst]],tblSalaries[[#This Row],[Salary in USD]],"")</f>
        <v>11575.14584683767</v>
      </c>
      <c r="W1478" s="13" t="str">
        <f>IF(tblSalaries[[#This Row],[Job Type]]=tblSalaries[[#Headers],[Consultant]],tblSalaries[[#This Row],[Salary in USD]],"")</f>
        <v/>
      </c>
      <c r="X1478" s="13" t="str">
        <f>IF(tblSalaries[[#This Row],[Job Type]]=tblSalaries[[#Headers],[Controller]],tblSalaries[[#This Row],[Salary in USD]],"")</f>
        <v/>
      </c>
      <c r="Y1478" s="13" t="str">
        <f>IF(tblSalaries[[#This Row],[Job Type]]=tblSalaries[[#Headers],[CXO or Top Mgmt.]],tblSalaries[[#This Row],[clean Salary (in local currency)]],"")</f>
        <v/>
      </c>
      <c r="Z1478" s="13" t="str">
        <f>IF(tblSalaries[[#This Row],[Job Type]]=tblSalaries[[#Headers],[Engineer]],tblSalaries[[#This Row],[Salary in USD]],"")</f>
        <v/>
      </c>
      <c r="AA1478" s="13" t="str">
        <f>IF(tblSalaries[[#This Row],[Job Type]]=tblSalaries[[#Headers],[Manager]],tblSalaries[[#This Row],[Salary in USD]],"")</f>
        <v/>
      </c>
      <c r="AB1478" s="13" t="str">
        <f>IF(tblSalaries[[#This Row],[Job Type]]=tblSalaries[[#Headers],[Misc.]],tblSalaries[[#This Row],[Salary in USD]],"")</f>
        <v/>
      </c>
      <c r="AC1478" s="13" t="str">
        <f>IF(tblSalaries[[#This Row],[Job Type]]=tblSalaries[[#Headers],[Reporting]],tblSalaries[[#This Row],[Salary in USD]],"")</f>
        <v/>
      </c>
      <c r="AD1478" s="13" t="str">
        <f>IF(tblSalaries[[#This Row],[Job Type]]=tblSalaries[[#Headers],[Specialist]],tblSalaries[[#This Row],[Salary in USD]],"")</f>
        <v/>
      </c>
    </row>
    <row r="1479" spans="2:30" ht="15" customHeight="1" x14ac:dyDescent="0.25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 s="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  <c r="N1479" t="str">
        <f>IF(tblSalaries[[#This Row],[Years of Experience]]="","",IF(tblSalaries[[#This Row],[Years of Experience]]&lt;=2,1,""))</f>
        <v/>
      </c>
      <c r="O1479" t="str">
        <f>IF(tblSalaries[[#This Row],[Years of Experience]]="","",IF(AND(tblSalaries[[#This Row],[Years of Experience]]&gt;2,tblSalaries[[#This Row],[Years of Experience]]&lt;=5),1,""))</f>
        <v/>
      </c>
      <c r="P1479" t="str">
        <f>IF(tblSalaries[[#This Row],[Years of Experience]]="","",IF(AND(tblSalaries[[#This Row],[Years of Experience]]&gt;5,tblSalaries[[#This Row],[Years of Experience]]&lt;=10),1,""))</f>
        <v/>
      </c>
      <c r="Q1479">
        <f>IF(tblSalaries[[#This Row],[Years of Experience]]="","",IF(AND(tblSalaries[[#This Row],[Years of Experience]]&gt;10,tblSalaries[[#This Row],[Years of Experience]]&lt;=15),1,""))</f>
        <v>1</v>
      </c>
      <c r="R1479" t="str">
        <f>IF(tblSalaries[[#This Row],[Years of Experience]]="","",IF(AND(tblSalaries[[#This Row],[Years of Experience]]&gt;16,tblSalaries[[#This Row],[Years of Experience]]&lt;=20),1,""))</f>
        <v/>
      </c>
      <c r="S1479" t="str">
        <f>IF(tblSalaries[[#This Row],[Years of Experience]]="","",IF(tblSalaries[[#This Row],[Years of Experience]]&gt;20,1,""))</f>
        <v/>
      </c>
      <c r="T14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79" s="13">
        <f>IF(tblSalaries[[#This Row],[Job Type]]=tblSalaries[[#Headers],[Accountant]],tblSalaries[[#This Row],[Salary in USD]],"")</f>
        <v>63519.971949580387</v>
      </c>
      <c r="V1479" s="13" t="str">
        <f>IF(tblSalaries[[#This Row],[Job Type]]=tblSalaries[[#Headers],[Analyst]],tblSalaries[[#This Row],[Salary in USD]],"")</f>
        <v/>
      </c>
      <c r="W1479" s="13" t="str">
        <f>IF(tblSalaries[[#This Row],[Job Type]]=tblSalaries[[#Headers],[Consultant]],tblSalaries[[#This Row],[Salary in USD]],"")</f>
        <v/>
      </c>
      <c r="X1479" s="13" t="str">
        <f>IF(tblSalaries[[#This Row],[Job Type]]=tblSalaries[[#Headers],[Controller]],tblSalaries[[#This Row],[Salary in USD]],"")</f>
        <v/>
      </c>
      <c r="Y1479" s="13" t="str">
        <f>IF(tblSalaries[[#This Row],[Job Type]]=tblSalaries[[#Headers],[CXO or Top Mgmt.]],tblSalaries[[#This Row],[clean Salary (in local currency)]],"")</f>
        <v/>
      </c>
      <c r="Z1479" s="13" t="str">
        <f>IF(tblSalaries[[#This Row],[Job Type]]=tblSalaries[[#Headers],[Engineer]],tblSalaries[[#This Row],[Salary in USD]],"")</f>
        <v/>
      </c>
      <c r="AA1479" s="13" t="str">
        <f>IF(tblSalaries[[#This Row],[Job Type]]=tblSalaries[[#Headers],[Manager]],tblSalaries[[#This Row],[Salary in USD]],"")</f>
        <v/>
      </c>
      <c r="AB1479" s="13" t="str">
        <f>IF(tblSalaries[[#This Row],[Job Type]]=tblSalaries[[#Headers],[Misc.]],tblSalaries[[#This Row],[Salary in USD]],"")</f>
        <v/>
      </c>
      <c r="AC1479" s="13" t="str">
        <f>IF(tblSalaries[[#This Row],[Job Type]]=tblSalaries[[#Headers],[Reporting]],tblSalaries[[#This Row],[Salary in USD]],"")</f>
        <v/>
      </c>
      <c r="AD1479" s="13" t="str">
        <f>IF(tblSalaries[[#This Row],[Job Type]]=tblSalaries[[#Headers],[Specialist]],tblSalaries[[#This Row],[Salary in USD]],"")</f>
        <v/>
      </c>
    </row>
    <row r="1480" spans="2:30" ht="15" customHeight="1" x14ac:dyDescent="0.25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 s="9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  <c r="N1480" t="str">
        <f>IF(tblSalaries[[#This Row],[Years of Experience]]="","",IF(tblSalaries[[#This Row],[Years of Experience]]&lt;=2,1,""))</f>
        <v/>
      </c>
      <c r="O1480">
        <f>IF(tblSalaries[[#This Row],[Years of Experience]]="","",IF(AND(tblSalaries[[#This Row],[Years of Experience]]&gt;2,tblSalaries[[#This Row],[Years of Experience]]&lt;=5),1,""))</f>
        <v>1</v>
      </c>
      <c r="P1480" t="str">
        <f>IF(tblSalaries[[#This Row],[Years of Experience]]="","",IF(AND(tblSalaries[[#This Row],[Years of Experience]]&gt;5,tblSalaries[[#This Row],[Years of Experience]]&lt;=10),1,""))</f>
        <v/>
      </c>
      <c r="Q1480" t="str">
        <f>IF(tblSalaries[[#This Row],[Years of Experience]]="","",IF(AND(tblSalaries[[#This Row],[Years of Experience]]&gt;10,tblSalaries[[#This Row],[Years of Experience]]&lt;=15),1,""))</f>
        <v/>
      </c>
      <c r="R1480" t="str">
        <f>IF(tblSalaries[[#This Row],[Years of Experience]]="","",IF(AND(tblSalaries[[#This Row],[Years of Experience]]&gt;16,tblSalaries[[#This Row],[Years of Experience]]&lt;=20),1,""))</f>
        <v/>
      </c>
      <c r="S1480" t="str">
        <f>IF(tblSalaries[[#This Row],[Years of Experience]]="","",IF(tblSalaries[[#This Row],[Years of Experience]]&gt;20,1,""))</f>
        <v/>
      </c>
      <c r="T14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80" s="13" t="str">
        <f>IF(tblSalaries[[#This Row],[Job Type]]=tblSalaries[[#Headers],[Accountant]],tblSalaries[[#This Row],[Salary in USD]],"")</f>
        <v/>
      </c>
      <c r="V1480" s="13" t="str">
        <f>IF(tblSalaries[[#This Row],[Job Type]]=tblSalaries[[#Headers],[Analyst]],tblSalaries[[#This Row],[Salary in USD]],"")</f>
        <v/>
      </c>
      <c r="W1480" s="13" t="str">
        <f>IF(tblSalaries[[#This Row],[Job Type]]=tblSalaries[[#Headers],[Consultant]],tblSalaries[[#This Row],[Salary in USD]],"")</f>
        <v/>
      </c>
      <c r="X1480" s="13" t="str">
        <f>IF(tblSalaries[[#This Row],[Job Type]]=tblSalaries[[#Headers],[Controller]],tblSalaries[[#This Row],[Salary in USD]],"")</f>
        <v/>
      </c>
      <c r="Y1480" s="13" t="str">
        <f>IF(tblSalaries[[#This Row],[Job Type]]=tblSalaries[[#Headers],[CXO or Top Mgmt.]],tblSalaries[[#This Row],[clean Salary (in local currency)]],"")</f>
        <v/>
      </c>
      <c r="Z1480" s="13" t="str">
        <f>IF(tblSalaries[[#This Row],[Job Type]]=tblSalaries[[#Headers],[Engineer]],tblSalaries[[#This Row],[Salary in USD]],"")</f>
        <v/>
      </c>
      <c r="AA1480" s="13" t="str">
        <f>IF(tblSalaries[[#This Row],[Job Type]]=tblSalaries[[#Headers],[Manager]],tblSalaries[[#This Row],[Salary in USD]],"")</f>
        <v/>
      </c>
      <c r="AB1480" s="13" t="str">
        <f>IF(tblSalaries[[#This Row],[Job Type]]=tblSalaries[[#Headers],[Misc.]],tblSalaries[[#This Row],[Salary in USD]],"")</f>
        <v/>
      </c>
      <c r="AC1480" s="13" t="str">
        <f>IF(tblSalaries[[#This Row],[Job Type]]=tblSalaries[[#Headers],[Reporting]],tblSalaries[[#This Row],[Salary in USD]],"")</f>
        <v/>
      </c>
      <c r="AD1480" s="13">
        <f>IF(tblSalaries[[#This Row],[Job Type]]=tblSalaries[[#Headers],[Specialist]],tblSalaries[[#This Row],[Salary in USD]],"")</f>
        <v>71231.666749770273</v>
      </c>
    </row>
    <row r="1481" spans="2:30" ht="15" customHeight="1" x14ac:dyDescent="0.25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 s="9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  <c r="N1481">
        <f>IF(tblSalaries[[#This Row],[Years of Experience]]="","",IF(tblSalaries[[#This Row],[Years of Experience]]&lt;=2,1,""))</f>
        <v>1</v>
      </c>
      <c r="O1481" t="str">
        <f>IF(tblSalaries[[#This Row],[Years of Experience]]="","",IF(AND(tblSalaries[[#This Row],[Years of Experience]]&gt;2,tblSalaries[[#This Row],[Years of Experience]]&lt;=5),1,""))</f>
        <v/>
      </c>
      <c r="P1481" t="str">
        <f>IF(tblSalaries[[#This Row],[Years of Experience]]="","",IF(AND(tblSalaries[[#This Row],[Years of Experience]]&gt;5,tblSalaries[[#This Row],[Years of Experience]]&lt;=10),1,""))</f>
        <v/>
      </c>
      <c r="Q1481" t="str">
        <f>IF(tblSalaries[[#This Row],[Years of Experience]]="","",IF(AND(tblSalaries[[#This Row],[Years of Experience]]&gt;10,tblSalaries[[#This Row],[Years of Experience]]&lt;=15),1,""))</f>
        <v/>
      </c>
      <c r="R1481" t="str">
        <f>IF(tblSalaries[[#This Row],[Years of Experience]]="","",IF(AND(tblSalaries[[#This Row],[Years of Experience]]&gt;16,tblSalaries[[#This Row],[Years of Experience]]&lt;=20),1,""))</f>
        <v/>
      </c>
      <c r="S1481" t="str">
        <f>IF(tblSalaries[[#This Row],[Years of Experience]]="","",IF(tblSalaries[[#This Row],[Years of Experience]]&gt;20,1,""))</f>
        <v/>
      </c>
      <c r="T14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81" s="13" t="str">
        <f>IF(tblSalaries[[#This Row],[Job Type]]=tblSalaries[[#Headers],[Accountant]],tblSalaries[[#This Row],[Salary in USD]],"")</f>
        <v/>
      </c>
      <c r="V1481" s="13">
        <f>IF(tblSalaries[[#This Row],[Job Type]]=tblSalaries[[#Headers],[Analyst]],tblSalaries[[#This Row],[Salary in USD]],"")</f>
        <v>10000</v>
      </c>
      <c r="W1481" s="13" t="str">
        <f>IF(tblSalaries[[#This Row],[Job Type]]=tblSalaries[[#Headers],[Consultant]],tblSalaries[[#This Row],[Salary in USD]],"")</f>
        <v/>
      </c>
      <c r="X1481" s="13" t="str">
        <f>IF(tblSalaries[[#This Row],[Job Type]]=tblSalaries[[#Headers],[Controller]],tblSalaries[[#This Row],[Salary in USD]],"")</f>
        <v/>
      </c>
      <c r="Y1481" s="13" t="str">
        <f>IF(tblSalaries[[#This Row],[Job Type]]=tblSalaries[[#Headers],[CXO or Top Mgmt.]],tblSalaries[[#This Row],[clean Salary (in local currency)]],"")</f>
        <v/>
      </c>
      <c r="Z1481" s="13" t="str">
        <f>IF(tblSalaries[[#This Row],[Job Type]]=tblSalaries[[#Headers],[Engineer]],tblSalaries[[#This Row],[Salary in USD]],"")</f>
        <v/>
      </c>
      <c r="AA1481" s="13" t="str">
        <f>IF(tblSalaries[[#This Row],[Job Type]]=tblSalaries[[#Headers],[Manager]],tblSalaries[[#This Row],[Salary in USD]],"")</f>
        <v/>
      </c>
      <c r="AB1481" s="13" t="str">
        <f>IF(tblSalaries[[#This Row],[Job Type]]=tblSalaries[[#Headers],[Misc.]],tblSalaries[[#This Row],[Salary in USD]],"")</f>
        <v/>
      </c>
      <c r="AC1481" s="13" t="str">
        <f>IF(tblSalaries[[#This Row],[Job Type]]=tblSalaries[[#Headers],[Reporting]],tblSalaries[[#This Row],[Salary in USD]],"")</f>
        <v/>
      </c>
      <c r="AD1481" s="13" t="str">
        <f>IF(tblSalaries[[#This Row],[Job Type]]=tblSalaries[[#Headers],[Specialist]],tblSalaries[[#This Row],[Salary in USD]],"")</f>
        <v/>
      </c>
    </row>
    <row r="1482" spans="2:30" ht="15" customHeight="1" x14ac:dyDescent="0.25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 s="9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  <c r="N1482" t="str">
        <f>IF(tblSalaries[[#This Row],[Years of Experience]]="","",IF(tblSalaries[[#This Row],[Years of Experience]]&lt;=2,1,""))</f>
        <v/>
      </c>
      <c r="O1482">
        <f>IF(tblSalaries[[#This Row],[Years of Experience]]="","",IF(AND(tblSalaries[[#This Row],[Years of Experience]]&gt;2,tblSalaries[[#This Row],[Years of Experience]]&lt;=5),1,""))</f>
        <v>1</v>
      </c>
      <c r="P1482" t="str">
        <f>IF(tblSalaries[[#This Row],[Years of Experience]]="","",IF(AND(tblSalaries[[#This Row],[Years of Experience]]&gt;5,tblSalaries[[#This Row],[Years of Experience]]&lt;=10),1,""))</f>
        <v/>
      </c>
      <c r="Q1482" t="str">
        <f>IF(tblSalaries[[#This Row],[Years of Experience]]="","",IF(AND(tblSalaries[[#This Row],[Years of Experience]]&gt;10,tblSalaries[[#This Row],[Years of Experience]]&lt;=15),1,""))</f>
        <v/>
      </c>
      <c r="R1482" t="str">
        <f>IF(tblSalaries[[#This Row],[Years of Experience]]="","",IF(AND(tblSalaries[[#This Row],[Years of Experience]]&gt;16,tblSalaries[[#This Row],[Years of Experience]]&lt;=20),1,""))</f>
        <v/>
      </c>
      <c r="S1482" t="str">
        <f>IF(tblSalaries[[#This Row],[Years of Experience]]="","",IF(tblSalaries[[#This Row],[Years of Experience]]&gt;20,1,""))</f>
        <v/>
      </c>
      <c r="T14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82" s="13" t="str">
        <f>IF(tblSalaries[[#This Row],[Job Type]]=tblSalaries[[#Headers],[Accountant]],tblSalaries[[#This Row],[Salary in USD]],"")</f>
        <v/>
      </c>
      <c r="V1482" s="13">
        <f>IF(tblSalaries[[#This Row],[Job Type]]=tblSalaries[[#Headers],[Analyst]],tblSalaries[[#This Row],[Salary in USD]],"")</f>
        <v>74300</v>
      </c>
      <c r="W1482" s="13" t="str">
        <f>IF(tblSalaries[[#This Row],[Job Type]]=tblSalaries[[#Headers],[Consultant]],tblSalaries[[#This Row],[Salary in USD]],"")</f>
        <v/>
      </c>
      <c r="X1482" s="13" t="str">
        <f>IF(tblSalaries[[#This Row],[Job Type]]=tblSalaries[[#Headers],[Controller]],tblSalaries[[#This Row],[Salary in USD]],"")</f>
        <v/>
      </c>
      <c r="Y1482" s="13" t="str">
        <f>IF(tblSalaries[[#This Row],[Job Type]]=tblSalaries[[#Headers],[CXO or Top Mgmt.]],tblSalaries[[#This Row],[clean Salary (in local currency)]],"")</f>
        <v/>
      </c>
      <c r="Z1482" s="13" t="str">
        <f>IF(tblSalaries[[#This Row],[Job Type]]=tblSalaries[[#Headers],[Engineer]],tblSalaries[[#This Row],[Salary in USD]],"")</f>
        <v/>
      </c>
      <c r="AA1482" s="13" t="str">
        <f>IF(tblSalaries[[#This Row],[Job Type]]=tblSalaries[[#Headers],[Manager]],tblSalaries[[#This Row],[Salary in USD]],"")</f>
        <v/>
      </c>
      <c r="AB1482" s="13" t="str">
        <f>IF(tblSalaries[[#This Row],[Job Type]]=tblSalaries[[#Headers],[Misc.]],tblSalaries[[#This Row],[Salary in USD]],"")</f>
        <v/>
      </c>
      <c r="AC1482" s="13" t="str">
        <f>IF(tblSalaries[[#This Row],[Job Type]]=tblSalaries[[#Headers],[Reporting]],tblSalaries[[#This Row],[Salary in USD]],"")</f>
        <v/>
      </c>
      <c r="AD1482" s="13" t="str">
        <f>IF(tblSalaries[[#This Row],[Job Type]]=tblSalaries[[#Headers],[Specialist]],tblSalaries[[#This Row],[Salary in USD]],"")</f>
        <v/>
      </c>
    </row>
    <row r="1483" spans="2:30" ht="15" customHeight="1" x14ac:dyDescent="0.25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 s="9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  <c r="N1483" t="str">
        <f>IF(tblSalaries[[#This Row],[Years of Experience]]="","",IF(tblSalaries[[#This Row],[Years of Experience]]&lt;=2,1,""))</f>
        <v/>
      </c>
      <c r="O1483" t="str">
        <f>IF(tblSalaries[[#This Row],[Years of Experience]]="","",IF(AND(tblSalaries[[#This Row],[Years of Experience]]&gt;2,tblSalaries[[#This Row],[Years of Experience]]&lt;=5),1,""))</f>
        <v/>
      </c>
      <c r="P1483">
        <f>IF(tblSalaries[[#This Row],[Years of Experience]]="","",IF(AND(tblSalaries[[#This Row],[Years of Experience]]&gt;5,tblSalaries[[#This Row],[Years of Experience]]&lt;=10),1,""))</f>
        <v>1</v>
      </c>
      <c r="Q1483" t="str">
        <f>IF(tblSalaries[[#This Row],[Years of Experience]]="","",IF(AND(tblSalaries[[#This Row],[Years of Experience]]&gt;10,tblSalaries[[#This Row],[Years of Experience]]&lt;=15),1,""))</f>
        <v/>
      </c>
      <c r="R1483" t="str">
        <f>IF(tblSalaries[[#This Row],[Years of Experience]]="","",IF(AND(tblSalaries[[#This Row],[Years of Experience]]&gt;16,tblSalaries[[#This Row],[Years of Experience]]&lt;=20),1,""))</f>
        <v/>
      </c>
      <c r="S1483" t="str">
        <f>IF(tblSalaries[[#This Row],[Years of Experience]]="","",IF(tblSalaries[[#This Row],[Years of Experience]]&gt;20,1,""))</f>
        <v/>
      </c>
      <c r="T14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83" s="13" t="str">
        <f>IF(tblSalaries[[#This Row],[Job Type]]=tblSalaries[[#Headers],[Accountant]],tblSalaries[[#This Row],[Salary in USD]],"")</f>
        <v/>
      </c>
      <c r="V1483" s="13" t="str">
        <f>IF(tblSalaries[[#This Row],[Job Type]]=tblSalaries[[#Headers],[Analyst]],tblSalaries[[#This Row],[Salary in USD]],"")</f>
        <v/>
      </c>
      <c r="W1483" s="13">
        <f>IF(tblSalaries[[#This Row],[Job Type]]=tblSalaries[[#Headers],[Consultant]],tblSalaries[[#This Row],[Salary in USD]],"")</f>
        <v>26711.875031163851</v>
      </c>
      <c r="X1483" s="13" t="str">
        <f>IF(tblSalaries[[#This Row],[Job Type]]=tblSalaries[[#Headers],[Controller]],tblSalaries[[#This Row],[Salary in USD]],"")</f>
        <v/>
      </c>
      <c r="Y1483" s="13" t="str">
        <f>IF(tblSalaries[[#This Row],[Job Type]]=tblSalaries[[#Headers],[CXO or Top Mgmt.]],tblSalaries[[#This Row],[clean Salary (in local currency)]],"")</f>
        <v/>
      </c>
      <c r="Z1483" s="13" t="str">
        <f>IF(tblSalaries[[#This Row],[Job Type]]=tblSalaries[[#Headers],[Engineer]],tblSalaries[[#This Row],[Salary in USD]],"")</f>
        <v/>
      </c>
      <c r="AA1483" s="13" t="str">
        <f>IF(tblSalaries[[#This Row],[Job Type]]=tblSalaries[[#Headers],[Manager]],tblSalaries[[#This Row],[Salary in USD]],"")</f>
        <v/>
      </c>
      <c r="AB1483" s="13" t="str">
        <f>IF(tblSalaries[[#This Row],[Job Type]]=tblSalaries[[#Headers],[Misc.]],tblSalaries[[#This Row],[Salary in USD]],"")</f>
        <v/>
      </c>
      <c r="AC1483" s="13" t="str">
        <f>IF(tblSalaries[[#This Row],[Job Type]]=tblSalaries[[#Headers],[Reporting]],tblSalaries[[#This Row],[Salary in USD]],"")</f>
        <v/>
      </c>
      <c r="AD1483" s="13" t="str">
        <f>IF(tblSalaries[[#This Row],[Job Type]]=tblSalaries[[#Headers],[Specialist]],tblSalaries[[#This Row],[Salary in USD]],"")</f>
        <v/>
      </c>
    </row>
    <row r="1484" spans="2:30" ht="15" customHeight="1" x14ac:dyDescent="0.25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 s="9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  <c r="N1484" t="str">
        <f>IF(tblSalaries[[#This Row],[Years of Experience]]="","",IF(tblSalaries[[#This Row],[Years of Experience]]&lt;=2,1,""))</f>
        <v/>
      </c>
      <c r="O1484">
        <f>IF(tblSalaries[[#This Row],[Years of Experience]]="","",IF(AND(tblSalaries[[#This Row],[Years of Experience]]&gt;2,tblSalaries[[#This Row],[Years of Experience]]&lt;=5),1,""))</f>
        <v>1</v>
      </c>
      <c r="P1484" t="str">
        <f>IF(tblSalaries[[#This Row],[Years of Experience]]="","",IF(AND(tblSalaries[[#This Row],[Years of Experience]]&gt;5,tblSalaries[[#This Row],[Years of Experience]]&lt;=10),1,""))</f>
        <v/>
      </c>
      <c r="Q1484" t="str">
        <f>IF(tblSalaries[[#This Row],[Years of Experience]]="","",IF(AND(tblSalaries[[#This Row],[Years of Experience]]&gt;10,tblSalaries[[#This Row],[Years of Experience]]&lt;=15),1,""))</f>
        <v/>
      </c>
      <c r="R1484" t="str">
        <f>IF(tblSalaries[[#This Row],[Years of Experience]]="","",IF(AND(tblSalaries[[#This Row],[Years of Experience]]&gt;16,tblSalaries[[#This Row],[Years of Experience]]&lt;=20),1,""))</f>
        <v/>
      </c>
      <c r="S1484" t="str">
        <f>IF(tblSalaries[[#This Row],[Years of Experience]]="","",IF(tblSalaries[[#This Row],[Years of Experience]]&gt;20,1,""))</f>
        <v/>
      </c>
      <c r="T14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84" s="13" t="str">
        <f>IF(tblSalaries[[#This Row],[Job Type]]=tblSalaries[[#Headers],[Accountant]],tblSalaries[[#This Row],[Salary in USD]],"")</f>
        <v/>
      </c>
      <c r="V1484" s="13" t="str">
        <f>IF(tblSalaries[[#This Row],[Job Type]]=tblSalaries[[#Headers],[Analyst]],tblSalaries[[#This Row],[Salary in USD]],"")</f>
        <v/>
      </c>
      <c r="W1484" s="13" t="str">
        <f>IF(tblSalaries[[#This Row],[Job Type]]=tblSalaries[[#Headers],[Consultant]],tblSalaries[[#This Row],[Salary in USD]],"")</f>
        <v/>
      </c>
      <c r="X1484" s="13" t="str">
        <f>IF(tblSalaries[[#This Row],[Job Type]]=tblSalaries[[#Headers],[Controller]],tblSalaries[[#This Row],[Salary in USD]],"")</f>
        <v/>
      </c>
      <c r="Y1484" s="13" t="str">
        <f>IF(tblSalaries[[#This Row],[Job Type]]=tblSalaries[[#Headers],[CXO or Top Mgmt.]],tblSalaries[[#This Row],[clean Salary (in local currency)]],"")</f>
        <v/>
      </c>
      <c r="Z1484" s="13" t="str">
        <f>IF(tblSalaries[[#This Row],[Job Type]]=tblSalaries[[#Headers],[Engineer]],tblSalaries[[#This Row],[Salary in USD]],"")</f>
        <v/>
      </c>
      <c r="AA1484" s="13">
        <f>IF(tblSalaries[[#This Row],[Job Type]]=tblSalaries[[#Headers],[Manager]],tblSalaries[[#This Row],[Salary in USD]],"")</f>
        <v>9545.0433444692171</v>
      </c>
      <c r="AB1484" s="13" t="str">
        <f>IF(tblSalaries[[#This Row],[Job Type]]=tblSalaries[[#Headers],[Misc.]],tblSalaries[[#This Row],[Salary in USD]],"")</f>
        <v/>
      </c>
      <c r="AC1484" s="13" t="str">
        <f>IF(tblSalaries[[#This Row],[Job Type]]=tblSalaries[[#Headers],[Reporting]],tblSalaries[[#This Row],[Salary in USD]],"")</f>
        <v/>
      </c>
      <c r="AD1484" s="13" t="str">
        <f>IF(tblSalaries[[#This Row],[Job Type]]=tblSalaries[[#Headers],[Specialist]],tblSalaries[[#This Row],[Salary in USD]],"")</f>
        <v/>
      </c>
    </row>
    <row r="1485" spans="2:30" ht="15" customHeight="1" x14ac:dyDescent="0.25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 s="9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  <c r="N1485" t="str">
        <f>IF(tblSalaries[[#This Row],[Years of Experience]]="","",IF(tblSalaries[[#This Row],[Years of Experience]]&lt;=2,1,""))</f>
        <v/>
      </c>
      <c r="O1485" t="str">
        <f>IF(tblSalaries[[#This Row],[Years of Experience]]="","",IF(AND(tblSalaries[[#This Row],[Years of Experience]]&gt;2,tblSalaries[[#This Row],[Years of Experience]]&lt;=5),1,""))</f>
        <v/>
      </c>
      <c r="P1485" t="str">
        <f>IF(tblSalaries[[#This Row],[Years of Experience]]="","",IF(AND(tblSalaries[[#This Row],[Years of Experience]]&gt;5,tblSalaries[[#This Row],[Years of Experience]]&lt;=10),1,""))</f>
        <v/>
      </c>
      <c r="Q1485">
        <f>IF(tblSalaries[[#This Row],[Years of Experience]]="","",IF(AND(tblSalaries[[#This Row],[Years of Experience]]&gt;10,tblSalaries[[#This Row],[Years of Experience]]&lt;=15),1,""))</f>
        <v>1</v>
      </c>
      <c r="R1485" t="str">
        <f>IF(tblSalaries[[#This Row],[Years of Experience]]="","",IF(AND(tblSalaries[[#This Row],[Years of Experience]]&gt;16,tblSalaries[[#This Row],[Years of Experience]]&lt;=20),1,""))</f>
        <v/>
      </c>
      <c r="S1485" t="str">
        <f>IF(tblSalaries[[#This Row],[Years of Experience]]="","",IF(tblSalaries[[#This Row],[Years of Experience]]&gt;20,1,""))</f>
        <v/>
      </c>
      <c r="T14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85" s="13" t="str">
        <f>IF(tblSalaries[[#This Row],[Job Type]]=tblSalaries[[#Headers],[Accountant]],tblSalaries[[#This Row],[Salary in USD]],"")</f>
        <v/>
      </c>
      <c r="V1485" s="13">
        <f>IF(tblSalaries[[#This Row],[Job Type]]=tblSalaries[[#Headers],[Analyst]],tblSalaries[[#This Row],[Salary in USD]],"")</f>
        <v>95000</v>
      </c>
      <c r="W1485" s="13" t="str">
        <f>IF(tblSalaries[[#This Row],[Job Type]]=tblSalaries[[#Headers],[Consultant]],tblSalaries[[#This Row],[Salary in USD]],"")</f>
        <v/>
      </c>
      <c r="X1485" s="13" t="str">
        <f>IF(tblSalaries[[#This Row],[Job Type]]=tblSalaries[[#Headers],[Controller]],tblSalaries[[#This Row],[Salary in USD]],"")</f>
        <v/>
      </c>
      <c r="Y1485" s="13" t="str">
        <f>IF(tblSalaries[[#This Row],[Job Type]]=tblSalaries[[#Headers],[CXO or Top Mgmt.]],tblSalaries[[#This Row],[clean Salary (in local currency)]],"")</f>
        <v/>
      </c>
      <c r="Z1485" s="13" t="str">
        <f>IF(tblSalaries[[#This Row],[Job Type]]=tblSalaries[[#Headers],[Engineer]],tblSalaries[[#This Row],[Salary in USD]],"")</f>
        <v/>
      </c>
      <c r="AA1485" s="13" t="str">
        <f>IF(tblSalaries[[#This Row],[Job Type]]=tblSalaries[[#Headers],[Manager]],tblSalaries[[#This Row],[Salary in USD]],"")</f>
        <v/>
      </c>
      <c r="AB1485" s="13" t="str">
        <f>IF(tblSalaries[[#This Row],[Job Type]]=tblSalaries[[#Headers],[Misc.]],tblSalaries[[#This Row],[Salary in USD]],"")</f>
        <v/>
      </c>
      <c r="AC1485" s="13" t="str">
        <f>IF(tblSalaries[[#This Row],[Job Type]]=tblSalaries[[#Headers],[Reporting]],tblSalaries[[#This Row],[Salary in USD]],"")</f>
        <v/>
      </c>
      <c r="AD1485" s="13" t="str">
        <f>IF(tblSalaries[[#This Row],[Job Type]]=tblSalaries[[#Headers],[Specialist]],tblSalaries[[#This Row],[Salary in USD]],"")</f>
        <v/>
      </c>
    </row>
    <row r="1486" spans="2:30" ht="15" customHeight="1" x14ac:dyDescent="0.25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 s="9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  <c r="N1486" t="str">
        <f>IF(tblSalaries[[#This Row],[Years of Experience]]="","",IF(tblSalaries[[#This Row],[Years of Experience]]&lt;=2,1,""))</f>
        <v/>
      </c>
      <c r="O1486" t="str">
        <f>IF(tblSalaries[[#This Row],[Years of Experience]]="","",IF(AND(tblSalaries[[#This Row],[Years of Experience]]&gt;2,tblSalaries[[#This Row],[Years of Experience]]&lt;=5),1,""))</f>
        <v/>
      </c>
      <c r="P1486" t="str">
        <f>IF(tblSalaries[[#This Row],[Years of Experience]]="","",IF(AND(tblSalaries[[#This Row],[Years of Experience]]&gt;5,tblSalaries[[#This Row],[Years of Experience]]&lt;=10),1,""))</f>
        <v/>
      </c>
      <c r="Q1486">
        <f>IF(tblSalaries[[#This Row],[Years of Experience]]="","",IF(AND(tblSalaries[[#This Row],[Years of Experience]]&gt;10,tblSalaries[[#This Row],[Years of Experience]]&lt;=15),1,""))</f>
        <v>1</v>
      </c>
      <c r="R1486" t="str">
        <f>IF(tblSalaries[[#This Row],[Years of Experience]]="","",IF(AND(tblSalaries[[#This Row],[Years of Experience]]&gt;16,tblSalaries[[#This Row],[Years of Experience]]&lt;=20),1,""))</f>
        <v/>
      </c>
      <c r="S1486" t="str">
        <f>IF(tblSalaries[[#This Row],[Years of Experience]]="","",IF(tblSalaries[[#This Row],[Years of Experience]]&gt;20,1,""))</f>
        <v/>
      </c>
      <c r="T14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86" s="13">
        <f>IF(tblSalaries[[#This Row],[Job Type]]=tblSalaries[[#Headers],[Accountant]],tblSalaries[[#This Row],[Salary in USD]],"")</f>
        <v>64300</v>
      </c>
      <c r="V1486" s="13" t="str">
        <f>IF(tblSalaries[[#This Row],[Job Type]]=tblSalaries[[#Headers],[Analyst]],tblSalaries[[#This Row],[Salary in USD]],"")</f>
        <v/>
      </c>
      <c r="W1486" s="13" t="str">
        <f>IF(tblSalaries[[#This Row],[Job Type]]=tblSalaries[[#Headers],[Consultant]],tblSalaries[[#This Row],[Salary in USD]],"")</f>
        <v/>
      </c>
      <c r="X1486" s="13" t="str">
        <f>IF(tblSalaries[[#This Row],[Job Type]]=tblSalaries[[#Headers],[Controller]],tblSalaries[[#This Row],[Salary in USD]],"")</f>
        <v/>
      </c>
      <c r="Y1486" s="13" t="str">
        <f>IF(tblSalaries[[#This Row],[Job Type]]=tblSalaries[[#Headers],[CXO or Top Mgmt.]],tblSalaries[[#This Row],[clean Salary (in local currency)]],"")</f>
        <v/>
      </c>
      <c r="Z1486" s="13" t="str">
        <f>IF(tblSalaries[[#This Row],[Job Type]]=tblSalaries[[#Headers],[Engineer]],tblSalaries[[#This Row],[Salary in USD]],"")</f>
        <v/>
      </c>
      <c r="AA1486" s="13" t="str">
        <f>IF(tblSalaries[[#This Row],[Job Type]]=tblSalaries[[#Headers],[Manager]],tblSalaries[[#This Row],[Salary in USD]],"")</f>
        <v/>
      </c>
      <c r="AB1486" s="13" t="str">
        <f>IF(tblSalaries[[#This Row],[Job Type]]=tblSalaries[[#Headers],[Misc.]],tblSalaries[[#This Row],[Salary in USD]],"")</f>
        <v/>
      </c>
      <c r="AC1486" s="13" t="str">
        <f>IF(tblSalaries[[#This Row],[Job Type]]=tblSalaries[[#Headers],[Reporting]],tblSalaries[[#This Row],[Salary in USD]],"")</f>
        <v/>
      </c>
      <c r="AD1486" s="13" t="str">
        <f>IF(tblSalaries[[#This Row],[Job Type]]=tblSalaries[[#Headers],[Specialist]],tblSalaries[[#This Row],[Salary in USD]],"")</f>
        <v/>
      </c>
    </row>
    <row r="1487" spans="2:30" ht="15" customHeight="1" x14ac:dyDescent="0.25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 s="9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  <c r="N1487" t="str">
        <f>IF(tblSalaries[[#This Row],[Years of Experience]]="","",IF(tblSalaries[[#This Row],[Years of Experience]]&lt;=2,1,""))</f>
        <v/>
      </c>
      <c r="O1487" t="str">
        <f>IF(tblSalaries[[#This Row],[Years of Experience]]="","",IF(AND(tblSalaries[[#This Row],[Years of Experience]]&gt;2,tblSalaries[[#This Row],[Years of Experience]]&lt;=5),1,""))</f>
        <v/>
      </c>
      <c r="P1487" t="str">
        <f>IF(tblSalaries[[#This Row],[Years of Experience]]="","",IF(AND(tblSalaries[[#This Row],[Years of Experience]]&gt;5,tblSalaries[[#This Row],[Years of Experience]]&lt;=10),1,""))</f>
        <v/>
      </c>
      <c r="Q1487" t="str">
        <f>IF(tblSalaries[[#This Row],[Years of Experience]]="","",IF(AND(tblSalaries[[#This Row],[Years of Experience]]&gt;10,tblSalaries[[#This Row],[Years of Experience]]&lt;=15),1,""))</f>
        <v/>
      </c>
      <c r="R1487">
        <f>IF(tblSalaries[[#This Row],[Years of Experience]]="","",IF(AND(tblSalaries[[#This Row],[Years of Experience]]&gt;16,tblSalaries[[#This Row],[Years of Experience]]&lt;=20),1,""))</f>
        <v>1</v>
      </c>
      <c r="S1487" t="str">
        <f>IF(tblSalaries[[#This Row],[Years of Experience]]="","",IF(tblSalaries[[#This Row],[Years of Experience]]&gt;20,1,""))</f>
        <v/>
      </c>
      <c r="T14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87" s="13" t="str">
        <f>IF(tblSalaries[[#This Row],[Job Type]]=tblSalaries[[#Headers],[Accountant]],tblSalaries[[#This Row],[Salary in USD]],"")</f>
        <v/>
      </c>
      <c r="V1487" s="13" t="str">
        <f>IF(tblSalaries[[#This Row],[Job Type]]=tblSalaries[[#Headers],[Analyst]],tblSalaries[[#This Row],[Salary in USD]],"")</f>
        <v/>
      </c>
      <c r="W1487" s="13">
        <f>IF(tblSalaries[[#This Row],[Job Type]]=tblSalaries[[#Headers],[Consultant]],tblSalaries[[#This Row],[Salary in USD]],"")</f>
        <v>250000</v>
      </c>
      <c r="X1487" s="13" t="str">
        <f>IF(tblSalaries[[#This Row],[Job Type]]=tblSalaries[[#Headers],[Controller]],tblSalaries[[#This Row],[Salary in USD]],"")</f>
        <v/>
      </c>
      <c r="Y1487" s="13" t="str">
        <f>IF(tblSalaries[[#This Row],[Job Type]]=tblSalaries[[#Headers],[CXO or Top Mgmt.]],tblSalaries[[#This Row],[clean Salary (in local currency)]],"")</f>
        <v/>
      </c>
      <c r="Z1487" s="13" t="str">
        <f>IF(tblSalaries[[#This Row],[Job Type]]=tblSalaries[[#Headers],[Engineer]],tblSalaries[[#This Row],[Salary in USD]],"")</f>
        <v/>
      </c>
      <c r="AA1487" s="13" t="str">
        <f>IF(tblSalaries[[#This Row],[Job Type]]=tblSalaries[[#Headers],[Manager]],tblSalaries[[#This Row],[Salary in USD]],"")</f>
        <v/>
      </c>
      <c r="AB1487" s="13" t="str">
        <f>IF(tblSalaries[[#This Row],[Job Type]]=tblSalaries[[#Headers],[Misc.]],tblSalaries[[#This Row],[Salary in USD]],"")</f>
        <v/>
      </c>
      <c r="AC1487" s="13" t="str">
        <f>IF(tblSalaries[[#This Row],[Job Type]]=tblSalaries[[#Headers],[Reporting]],tblSalaries[[#This Row],[Salary in USD]],"")</f>
        <v/>
      </c>
      <c r="AD1487" s="13" t="str">
        <f>IF(tblSalaries[[#This Row],[Job Type]]=tblSalaries[[#Headers],[Specialist]],tblSalaries[[#This Row],[Salary in USD]],"")</f>
        <v/>
      </c>
    </row>
    <row r="1488" spans="2:30" ht="15" customHeight="1" x14ac:dyDescent="0.25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 s="9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  <c r="N1488" t="str">
        <f>IF(tblSalaries[[#This Row],[Years of Experience]]="","",IF(tblSalaries[[#This Row],[Years of Experience]]&lt;=2,1,""))</f>
        <v/>
      </c>
      <c r="O1488" t="str">
        <f>IF(tblSalaries[[#This Row],[Years of Experience]]="","",IF(AND(tblSalaries[[#This Row],[Years of Experience]]&gt;2,tblSalaries[[#This Row],[Years of Experience]]&lt;=5),1,""))</f>
        <v/>
      </c>
      <c r="P1488">
        <f>IF(tblSalaries[[#This Row],[Years of Experience]]="","",IF(AND(tblSalaries[[#This Row],[Years of Experience]]&gt;5,tblSalaries[[#This Row],[Years of Experience]]&lt;=10),1,""))</f>
        <v>1</v>
      </c>
      <c r="Q1488" t="str">
        <f>IF(tblSalaries[[#This Row],[Years of Experience]]="","",IF(AND(tblSalaries[[#This Row],[Years of Experience]]&gt;10,tblSalaries[[#This Row],[Years of Experience]]&lt;=15),1,""))</f>
        <v/>
      </c>
      <c r="R1488" t="str">
        <f>IF(tblSalaries[[#This Row],[Years of Experience]]="","",IF(AND(tblSalaries[[#This Row],[Years of Experience]]&gt;16,tblSalaries[[#This Row],[Years of Experience]]&lt;=20),1,""))</f>
        <v/>
      </c>
      <c r="S1488" t="str">
        <f>IF(tblSalaries[[#This Row],[Years of Experience]]="","",IF(tblSalaries[[#This Row],[Years of Experience]]&gt;20,1,""))</f>
        <v/>
      </c>
      <c r="T14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88" s="13" t="str">
        <f>IF(tblSalaries[[#This Row],[Job Type]]=tblSalaries[[#Headers],[Accountant]],tblSalaries[[#This Row],[Salary in USD]],"")</f>
        <v/>
      </c>
      <c r="V1488" s="13" t="str">
        <f>IF(tblSalaries[[#This Row],[Job Type]]=tblSalaries[[#Headers],[Analyst]],tblSalaries[[#This Row],[Salary in USD]],"")</f>
        <v/>
      </c>
      <c r="W1488" s="13" t="str">
        <f>IF(tblSalaries[[#This Row],[Job Type]]=tblSalaries[[#Headers],[Consultant]],tblSalaries[[#This Row],[Salary in USD]],"")</f>
        <v/>
      </c>
      <c r="X1488" s="13" t="str">
        <f>IF(tblSalaries[[#This Row],[Job Type]]=tblSalaries[[#Headers],[Controller]],tblSalaries[[#This Row],[Salary in USD]],"")</f>
        <v/>
      </c>
      <c r="Y1488" s="13" t="str">
        <f>IF(tblSalaries[[#This Row],[Job Type]]=tblSalaries[[#Headers],[CXO or Top Mgmt.]],tblSalaries[[#This Row],[clean Salary (in local currency)]],"")</f>
        <v/>
      </c>
      <c r="Z1488" s="13" t="str">
        <f>IF(tblSalaries[[#This Row],[Job Type]]=tblSalaries[[#Headers],[Engineer]],tblSalaries[[#This Row],[Salary in USD]],"")</f>
        <v/>
      </c>
      <c r="AA1488" s="13">
        <f>IF(tblSalaries[[#This Row],[Job Type]]=tblSalaries[[#Headers],[Manager]],tblSalaries[[#This Row],[Salary in USD]],"")</f>
        <v>89000</v>
      </c>
      <c r="AB1488" s="13" t="str">
        <f>IF(tblSalaries[[#This Row],[Job Type]]=tblSalaries[[#Headers],[Misc.]],tblSalaries[[#This Row],[Salary in USD]],"")</f>
        <v/>
      </c>
      <c r="AC1488" s="13" t="str">
        <f>IF(tblSalaries[[#This Row],[Job Type]]=tblSalaries[[#Headers],[Reporting]],tblSalaries[[#This Row],[Salary in USD]],"")</f>
        <v/>
      </c>
      <c r="AD1488" s="13" t="str">
        <f>IF(tblSalaries[[#This Row],[Job Type]]=tblSalaries[[#Headers],[Specialist]],tblSalaries[[#This Row],[Salary in USD]],"")</f>
        <v/>
      </c>
    </row>
    <row r="1489" spans="2:30" ht="15" customHeight="1" x14ac:dyDescent="0.25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 s="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  <c r="N1489">
        <f>IF(tblSalaries[[#This Row],[Years of Experience]]="","",IF(tblSalaries[[#This Row],[Years of Experience]]&lt;=2,1,""))</f>
        <v>1</v>
      </c>
      <c r="O1489" t="str">
        <f>IF(tblSalaries[[#This Row],[Years of Experience]]="","",IF(AND(tblSalaries[[#This Row],[Years of Experience]]&gt;2,tblSalaries[[#This Row],[Years of Experience]]&lt;=5),1,""))</f>
        <v/>
      </c>
      <c r="P1489" t="str">
        <f>IF(tblSalaries[[#This Row],[Years of Experience]]="","",IF(AND(tblSalaries[[#This Row],[Years of Experience]]&gt;5,tblSalaries[[#This Row],[Years of Experience]]&lt;=10),1,""))</f>
        <v/>
      </c>
      <c r="Q1489" t="str">
        <f>IF(tblSalaries[[#This Row],[Years of Experience]]="","",IF(AND(tblSalaries[[#This Row],[Years of Experience]]&gt;10,tblSalaries[[#This Row],[Years of Experience]]&lt;=15),1,""))</f>
        <v/>
      </c>
      <c r="R1489" t="str">
        <f>IF(tblSalaries[[#This Row],[Years of Experience]]="","",IF(AND(tblSalaries[[#This Row],[Years of Experience]]&gt;16,tblSalaries[[#This Row],[Years of Experience]]&lt;=20),1,""))</f>
        <v/>
      </c>
      <c r="S1489" t="str">
        <f>IF(tblSalaries[[#This Row],[Years of Experience]]="","",IF(tblSalaries[[#This Row],[Years of Experience]]&gt;20,1,""))</f>
        <v/>
      </c>
      <c r="T14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89" s="13" t="str">
        <f>IF(tblSalaries[[#This Row],[Job Type]]=tblSalaries[[#Headers],[Accountant]],tblSalaries[[#This Row],[Salary in USD]],"")</f>
        <v/>
      </c>
      <c r="V1489" s="13">
        <f>IF(tblSalaries[[#This Row],[Job Type]]=tblSalaries[[#Headers],[Analyst]],tblSalaries[[#This Row],[Salary in USD]],"")</f>
        <v>75000</v>
      </c>
      <c r="W1489" s="13" t="str">
        <f>IF(tblSalaries[[#This Row],[Job Type]]=tblSalaries[[#Headers],[Consultant]],tblSalaries[[#This Row],[Salary in USD]],"")</f>
        <v/>
      </c>
      <c r="X1489" s="13" t="str">
        <f>IF(tblSalaries[[#This Row],[Job Type]]=tblSalaries[[#Headers],[Controller]],tblSalaries[[#This Row],[Salary in USD]],"")</f>
        <v/>
      </c>
      <c r="Y1489" s="13" t="str">
        <f>IF(tblSalaries[[#This Row],[Job Type]]=tblSalaries[[#Headers],[CXO or Top Mgmt.]],tblSalaries[[#This Row],[clean Salary (in local currency)]],"")</f>
        <v/>
      </c>
      <c r="Z1489" s="13" t="str">
        <f>IF(tblSalaries[[#This Row],[Job Type]]=tblSalaries[[#Headers],[Engineer]],tblSalaries[[#This Row],[Salary in USD]],"")</f>
        <v/>
      </c>
      <c r="AA1489" s="13" t="str">
        <f>IF(tblSalaries[[#This Row],[Job Type]]=tblSalaries[[#Headers],[Manager]],tblSalaries[[#This Row],[Salary in USD]],"")</f>
        <v/>
      </c>
      <c r="AB1489" s="13" t="str">
        <f>IF(tblSalaries[[#This Row],[Job Type]]=tblSalaries[[#Headers],[Misc.]],tblSalaries[[#This Row],[Salary in USD]],"")</f>
        <v/>
      </c>
      <c r="AC1489" s="13" t="str">
        <f>IF(tblSalaries[[#This Row],[Job Type]]=tblSalaries[[#Headers],[Reporting]],tblSalaries[[#This Row],[Salary in USD]],"")</f>
        <v/>
      </c>
      <c r="AD1489" s="13" t="str">
        <f>IF(tblSalaries[[#This Row],[Job Type]]=tblSalaries[[#Headers],[Specialist]],tblSalaries[[#This Row],[Salary in USD]],"")</f>
        <v/>
      </c>
    </row>
    <row r="1490" spans="2:30" ht="15" customHeight="1" x14ac:dyDescent="0.25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 s="9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  <c r="N1490" t="str">
        <f>IF(tblSalaries[[#This Row],[Years of Experience]]="","",IF(tblSalaries[[#This Row],[Years of Experience]]&lt;=2,1,""))</f>
        <v/>
      </c>
      <c r="O1490">
        <f>IF(tblSalaries[[#This Row],[Years of Experience]]="","",IF(AND(tblSalaries[[#This Row],[Years of Experience]]&gt;2,tblSalaries[[#This Row],[Years of Experience]]&lt;=5),1,""))</f>
        <v>1</v>
      </c>
      <c r="P1490" t="str">
        <f>IF(tblSalaries[[#This Row],[Years of Experience]]="","",IF(AND(tblSalaries[[#This Row],[Years of Experience]]&gt;5,tblSalaries[[#This Row],[Years of Experience]]&lt;=10),1,""))</f>
        <v/>
      </c>
      <c r="Q1490" t="str">
        <f>IF(tblSalaries[[#This Row],[Years of Experience]]="","",IF(AND(tblSalaries[[#This Row],[Years of Experience]]&gt;10,tblSalaries[[#This Row],[Years of Experience]]&lt;=15),1,""))</f>
        <v/>
      </c>
      <c r="R1490" t="str">
        <f>IF(tblSalaries[[#This Row],[Years of Experience]]="","",IF(AND(tblSalaries[[#This Row],[Years of Experience]]&gt;16,tblSalaries[[#This Row],[Years of Experience]]&lt;=20),1,""))</f>
        <v/>
      </c>
      <c r="S1490" t="str">
        <f>IF(tblSalaries[[#This Row],[Years of Experience]]="","",IF(tblSalaries[[#This Row],[Years of Experience]]&gt;20,1,""))</f>
        <v/>
      </c>
      <c r="T14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90" s="13" t="str">
        <f>IF(tblSalaries[[#This Row],[Job Type]]=tblSalaries[[#Headers],[Accountant]],tblSalaries[[#This Row],[Salary in USD]],"")</f>
        <v/>
      </c>
      <c r="V1490" s="13">
        <f>IF(tblSalaries[[#This Row],[Job Type]]=tblSalaries[[#Headers],[Analyst]],tblSalaries[[#This Row],[Salary in USD]],"")</f>
        <v>45000</v>
      </c>
      <c r="W1490" s="13" t="str">
        <f>IF(tblSalaries[[#This Row],[Job Type]]=tblSalaries[[#Headers],[Consultant]],tblSalaries[[#This Row],[Salary in USD]],"")</f>
        <v/>
      </c>
      <c r="X1490" s="13" t="str">
        <f>IF(tblSalaries[[#This Row],[Job Type]]=tblSalaries[[#Headers],[Controller]],tblSalaries[[#This Row],[Salary in USD]],"")</f>
        <v/>
      </c>
      <c r="Y1490" s="13" t="str">
        <f>IF(tblSalaries[[#This Row],[Job Type]]=tblSalaries[[#Headers],[CXO or Top Mgmt.]],tblSalaries[[#This Row],[clean Salary (in local currency)]],"")</f>
        <v/>
      </c>
      <c r="Z1490" s="13" t="str">
        <f>IF(tblSalaries[[#This Row],[Job Type]]=tblSalaries[[#Headers],[Engineer]],tblSalaries[[#This Row],[Salary in USD]],"")</f>
        <v/>
      </c>
      <c r="AA1490" s="13" t="str">
        <f>IF(tblSalaries[[#This Row],[Job Type]]=tblSalaries[[#Headers],[Manager]],tblSalaries[[#This Row],[Salary in USD]],"")</f>
        <v/>
      </c>
      <c r="AB1490" s="13" t="str">
        <f>IF(tblSalaries[[#This Row],[Job Type]]=tblSalaries[[#Headers],[Misc.]],tblSalaries[[#This Row],[Salary in USD]],"")</f>
        <v/>
      </c>
      <c r="AC1490" s="13" t="str">
        <f>IF(tblSalaries[[#This Row],[Job Type]]=tblSalaries[[#Headers],[Reporting]],tblSalaries[[#This Row],[Salary in USD]],"")</f>
        <v/>
      </c>
      <c r="AD1490" s="13" t="str">
        <f>IF(tblSalaries[[#This Row],[Job Type]]=tblSalaries[[#Headers],[Specialist]],tblSalaries[[#This Row],[Salary in USD]],"")</f>
        <v/>
      </c>
    </row>
    <row r="1491" spans="2:30" ht="15" customHeight="1" x14ac:dyDescent="0.25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 s="9">
        <f>tblSalaries[[#This Row],[clean Salary (in local currency)]]*VLOOKUP(tblSalaries[[#This Row],[Currency]],tblXrate[],2,FALSE)</f>
        <v>127500</v>
      </c>
      <c r="H1491" t="s">
        <v>1670</v>
      </c>
      <c r="I1491" t="s">
        <v>4001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  <c r="N1491" t="str">
        <f>IF(tblSalaries[[#This Row],[Years of Experience]]="","",IF(tblSalaries[[#This Row],[Years of Experience]]&lt;=2,1,""))</f>
        <v/>
      </c>
      <c r="O1491" t="str">
        <f>IF(tblSalaries[[#This Row],[Years of Experience]]="","",IF(AND(tblSalaries[[#This Row],[Years of Experience]]&gt;2,tblSalaries[[#This Row],[Years of Experience]]&lt;=5),1,""))</f>
        <v/>
      </c>
      <c r="P1491" t="str">
        <f>IF(tblSalaries[[#This Row],[Years of Experience]]="","",IF(AND(tblSalaries[[#This Row],[Years of Experience]]&gt;5,tblSalaries[[#This Row],[Years of Experience]]&lt;=10),1,""))</f>
        <v/>
      </c>
      <c r="Q1491" t="str">
        <f>IF(tblSalaries[[#This Row],[Years of Experience]]="","",IF(AND(tblSalaries[[#This Row],[Years of Experience]]&gt;10,tblSalaries[[#This Row],[Years of Experience]]&lt;=15),1,""))</f>
        <v/>
      </c>
      <c r="R1491" t="str">
        <f>IF(tblSalaries[[#This Row],[Years of Experience]]="","",IF(AND(tblSalaries[[#This Row],[Years of Experience]]&gt;16,tblSalaries[[#This Row],[Years of Experience]]&lt;=20),1,""))</f>
        <v/>
      </c>
      <c r="S1491">
        <f>IF(tblSalaries[[#This Row],[Years of Experience]]="","",IF(tblSalaries[[#This Row],[Years of Experience]]&gt;20,1,""))</f>
        <v>1</v>
      </c>
      <c r="T14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91" s="13" t="str">
        <f>IF(tblSalaries[[#This Row],[Job Type]]=tblSalaries[[#Headers],[Accountant]],tblSalaries[[#This Row],[Salary in USD]],"")</f>
        <v/>
      </c>
      <c r="V1491" s="13" t="str">
        <f>IF(tblSalaries[[#This Row],[Job Type]]=tblSalaries[[#Headers],[Analyst]],tblSalaries[[#This Row],[Salary in USD]],"")</f>
        <v/>
      </c>
      <c r="W1491" s="13" t="str">
        <f>IF(tblSalaries[[#This Row],[Job Type]]=tblSalaries[[#Headers],[Consultant]],tblSalaries[[#This Row],[Salary in USD]],"")</f>
        <v/>
      </c>
      <c r="X1491" s="13" t="str">
        <f>IF(tblSalaries[[#This Row],[Job Type]]=tblSalaries[[#Headers],[Controller]],tblSalaries[[#This Row],[Salary in USD]],"")</f>
        <v/>
      </c>
      <c r="Y1491" s="13">
        <f>IF(tblSalaries[[#This Row],[Job Type]]=tblSalaries[[#Headers],[CXO or Top Mgmt.]],tblSalaries[[#This Row],[clean Salary (in local currency)]],"")</f>
        <v>127500</v>
      </c>
      <c r="Z1491" s="13" t="str">
        <f>IF(tblSalaries[[#This Row],[Job Type]]=tblSalaries[[#Headers],[Engineer]],tblSalaries[[#This Row],[Salary in USD]],"")</f>
        <v/>
      </c>
      <c r="AA1491" s="13" t="str">
        <f>IF(tblSalaries[[#This Row],[Job Type]]=tblSalaries[[#Headers],[Manager]],tblSalaries[[#This Row],[Salary in USD]],"")</f>
        <v/>
      </c>
      <c r="AB1491" s="13" t="str">
        <f>IF(tblSalaries[[#This Row],[Job Type]]=tblSalaries[[#Headers],[Misc.]],tblSalaries[[#This Row],[Salary in USD]],"")</f>
        <v/>
      </c>
      <c r="AC1491" s="13" t="str">
        <f>IF(tblSalaries[[#This Row],[Job Type]]=tblSalaries[[#Headers],[Reporting]],tblSalaries[[#This Row],[Salary in USD]],"")</f>
        <v/>
      </c>
      <c r="AD1491" s="13" t="str">
        <f>IF(tblSalaries[[#This Row],[Job Type]]=tblSalaries[[#Headers],[Specialist]],tblSalaries[[#This Row],[Salary in USD]],"")</f>
        <v/>
      </c>
    </row>
    <row r="1492" spans="2:30" ht="15" customHeight="1" x14ac:dyDescent="0.25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 s="9">
        <f>tblSalaries[[#This Row],[clean Salary (in local currency)]]*VLOOKUP(tblSalaries[[#This Row],[Currency]],tblXrate[],2,FALSE)</f>
        <v>170000</v>
      </c>
      <c r="H1492" t="s">
        <v>29</v>
      </c>
      <c r="I1492" t="s">
        <v>4001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  <c r="N1492" t="str">
        <f>IF(tblSalaries[[#This Row],[Years of Experience]]="","",IF(tblSalaries[[#This Row],[Years of Experience]]&lt;=2,1,""))</f>
        <v/>
      </c>
      <c r="O1492" t="str">
        <f>IF(tblSalaries[[#This Row],[Years of Experience]]="","",IF(AND(tblSalaries[[#This Row],[Years of Experience]]&gt;2,tblSalaries[[#This Row],[Years of Experience]]&lt;=5),1,""))</f>
        <v/>
      </c>
      <c r="P1492" t="str">
        <f>IF(tblSalaries[[#This Row],[Years of Experience]]="","",IF(AND(tblSalaries[[#This Row],[Years of Experience]]&gt;5,tblSalaries[[#This Row],[Years of Experience]]&lt;=10),1,""))</f>
        <v/>
      </c>
      <c r="Q1492" t="str">
        <f>IF(tblSalaries[[#This Row],[Years of Experience]]="","",IF(AND(tblSalaries[[#This Row],[Years of Experience]]&gt;10,tblSalaries[[#This Row],[Years of Experience]]&lt;=15),1,""))</f>
        <v/>
      </c>
      <c r="R1492">
        <f>IF(tblSalaries[[#This Row],[Years of Experience]]="","",IF(AND(tblSalaries[[#This Row],[Years of Experience]]&gt;16,tblSalaries[[#This Row],[Years of Experience]]&lt;=20),1,""))</f>
        <v>1</v>
      </c>
      <c r="S1492" t="str">
        <f>IF(tblSalaries[[#This Row],[Years of Experience]]="","",IF(tblSalaries[[#This Row],[Years of Experience]]&gt;20,1,""))</f>
        <v/>
      </c>
      <c r="T14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492" s="13" t="str">
        <f>IF(tblSalaries[[#This Row],[Job Type]]=tblSalaries[[#Headers],[Accountant]],tblSalaries[[#This Row],[Salary in USD]],"")</f>
        <v/>
      </c>
      <c r="V1492" s="13" t="str">
        <f>IF(tblSalaries[[#This Row],[Job Type]]=tblSalaries[[#Headers],[Analyst]],tblSalaries[[#This Row],[Salary in USD]],"")</f>
        <v/>
      </c>
      <c r="W1492" s="13" t="str">
        <f>IF(tblSalaries[[#This Row],[Job Type]]=tblSalaries[[#Headers],[Consultant]],tblSalaries[[#This Row],[Salary in USD]],"")</f>
        <v/>
      </c>
      <c r="X1492" s="13" t="str">
        <f>IF(tblSalaries[[#This Row],[Job Type]]=tblSalaries[[#Headers],[Controller]],tblSalaries[[#This Row],[Salary in USD]],"")</f>
        <v/>
      </c>
      <c r="Y1492" s="13">
        <f>IF(tblSalaries[[#This Row],[Job Type]]=tblSalaries[[#Headers],[CXO or Top Mgmt.]],tblSalaries[[#This Row],[clean Salary (in local currency)]],"")</f>
        <v>170000</v>
      </c>
      <c r="Z1492" s="13" t="str">
        <f>IF(tblSalaries[[#This Row],[Job Type]]=tblSalaries[[#Headers],[Engineer]],tblSalaries[[#This Row],[Salary in USD]],"")</f>
        <v/>
      </c>
      <c r="AA1492" s="13" t="str">
        <f>IF(tblSalaries[[#This Row],[Job Type]]=tblSalaries[[#Headers],[Manager]],tblSalaries[[#This Row],[Salary in USD]],"")</f>
        <v/>
      </c>
      <c r="AB1492" s="13" t="str">
        <f>IF(tblSalaries[[#This Row],[Job Type]]=tblSalaries[[#Headers],[Misc.]],tblSalaries[[#This Row],[Salary in USD]],"")</f>
        <v/>
      </c>
      <c r="AC1492" s="13" t="str">
        <f>IF(tblSalaries[[#This Row],[Job Type]]=tblSalaries[[#Headers],[Reporting]],tblSalaries[[#This Row],[Salary in USD]],"")</f>
        <v/>
      </c>
      <c r="AD1492" s="13" t="str">
        <f>IF(tblSalaries[[#This Row],[Job Type]]=tblSalaries[[#Headers],[Specialist]],tblSalaries[[#This Row],[Salary in USD]],"")</f>
        <v/>
      </c>
    </row>
    <row r="1493" spans="2:30" ht="15" customHeight="1" x14ac:dyDescent="0.25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 s="9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  <c r="N1493">
        <f>IF(tblSalaries[[#This Row],[Years of Experience]]="","",IF(tblSalaries[[#This Row],[Years of Experience]]&lt;=2,1,""))</f>
        <v>1</v>
      </c>
      <c r="O1493" t="str">
        <f>IF(tblSalaries[[#This Row],[Years of Experience]]="","",IF(AND(tblSalaries[[#This Row],[Years of Experience]]&gt;2,tblSalaries[[#This Row],[Years of Experience]]&lt;=5),1,""))</f>
        <v/>
      </c>
      <c r="P1493" t="str">
        <f>IF(tblSalaries[[#This Row],[Years of Experience]]="","",IF(AND(tblSalaries[[#This Row],[Years of Experience]]&gt;5,tblSalaries[[#This Row],[Years of Experience]]&lt;=10),1,""))</f>
        <v/>
      </c>
      <c r="Q1493" t="str">
        <f>IF(tblSalaries[[#This Row],[Years of Experience]]="","",IF(AND(tblSalaries[[#This Row],[Years of Experience]]&gt;10,tblSalaries[[#This Row],[Years of Experience]]&lt;=15),1,""))</f>
        <v/>
      </c>
      <c r="R1493" t="str">
        <f>IF(tblSalaries[[#This Row],[Years of Experience]]="","",IF(AND(tblSalaries[[#This Row],[Years of Experience]]&gt;16,tblSalaries[[#This Row],[Years of Experience]]&lt;=20),1,""))</f>
        <v/>
      </c>
      <c r="S1493" t="str">
        <f>IF(tblSalaries[[#This Row],[Years of Experience]]="","",IF(tblSalaries[[#This Row],[Years of Experience]]&gt;20,1,""))</f>
        <v/>
      </c>
      <c r="T14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493" s="13" t="str">
        <f>IF(tblSalaries[[#This Row],[Job Type]]=tblSalaries[[#Headers],[Accountant]],tblSalaries[[#This Row],[Salary in USD]],"")</f>
        <v/>
      </c>
      <c r="V1493" s="13">
        <f>IF(tblSalaries[[#This Row],[Job Type]]=tblSalaries[[#Headers],[Analyst]],tblSalaries[[#This Row],[Salary in USD]],"")</f>
        <v>9600</v>
      </c>
      <c r="W1493" s="13" t="str">
        <f>IF(tblSalaries[[#This Row],[Job Type]]=tblSalaries[[#Headers],[Consultant]],tblSalaries[[#This Row],[Salary in USD]],"")</f>
        <v/>
      </c>
      <c r="X1493" s="13" t="str">
        <f>IF(tblSalaries[[#This Row],[Job Type]]=tblSalaries[[#Headers],[Controller]],tblSalaries[[#This Row],[Salary in USD]],"")</f>
        <v/>
      </c>
      <c r="Y1493" s="13" t="str">
        <f>IF(tblSalaries[[#This Row],[Job Type]]=tblSalaries[[#Headers],[CXO or Top Mgmt.]],tblSalaries[[#This Row],[clean Salary (in local currency)]],"")</f>
        <v/>
      </c>
      <c r="Z1493" s="13" t="str">
        <f>IF(tblSalaries[[#This Row],[Job Type]]=tblSalaries[[#Headers],[Engineer]],tblSalaries[[#This Row],[Salary in USD]],"")</f>
        <v/>
      </c>
      <c r="AA1493" s="13" t="str">
        <f>IF(tblSalaries[[#This Row],[Job Type]]=tblSalaries[[#Headers],[Manager]],tblSalaries[[#This Row],[Salary in USD]],"")</f>
        <v/>
      </c>
      <c r="AB1493" s="13" t="str">
        <f>IF(tblSalaries[[#This Row],[Job Type]]=tblSalaries[[#Headers],[Misc.]],tblSalaries[[#This Row],[Salary in USD]],"")</f>
        <v/>
      </c>
      <c r="AC1493" s="13" t="str">
        <f>IF(tblSalaries[[#This Row],[Job Type]]=tblSalaries[[#Headers],[Reporting]],tblSalaries[[#This Row],[Salary in USD]],"")</f>
        <v/>
      </c>
      <c r="AD1493" s="13" t="str">
        <f>IF(tblSalaries[[#This Row],[Job Type]]=tblSalaries[[#Headers],[Specialist]],tblSalaries[[#This Row],[Salary in USD]],"")</f>
        <v/>
      </c>
    </row>
    <row r="1494" spans="2:30" ht="15" customHeight="1" x14ac:dyDescent="0.25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 s="9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  <c r="N1494" t="str">
        <f>IF(tblSalaries[[#This Row],[Years of Experience]]="","",IF(tblSalaries[[#This Row],[Years of Experience]]&lt;=2,1,""))</f>
        <v/>
      </c>
      <c r="O1494" t="str">
        <f>IF(tblSalaries[[#This Row],[Years of Experience]]="","",IF(AND(tblSalaries[[#This Row],[Years of Experience]]&gt;2,tblSalaries[[#This Row],[Years of Experience]]&lt;=5),1,""))</f>
        <v/>
      </c>
      <c r="P1494" t="str">
        <f>IF(tblSalaries[[#This Row],[Years of Experience]]="","",IF(AND(tblSalaries[[#This Row],[Years of Experience]]&gt;5,tblSalaries[[#This Row],[Years of Experience]]&lt;=10),1,""))</f>
        <v/>
      </c>
      <c r="Q1494" t="str">
        <f>IF(tblSalaries[[#This Row],[Years of Experience]]="","",IF(AND(tblSalaries[[#This Row],[Years of Experience]]&gt;10,tblSalaries[[#This Row],[Years of Experience]]&lt;=15),1,""))</f>
        <v/>
      </c>
      <c r="R1494" t="str">
        <f>IF(tblSalaries[[#This Row],[Years of Experience]]="","",IF(AND(tblSalaries[[#This Row],[Years of Experience]]&gt;16,tblSalaries[[#This Row],[Years of Experience]]&lt;=20),1,""))</f>
        <v/>
      </c>
      <c r="S1494">
        <f>IF(tblSalaries[[#This Row],[Years of Experience]]="","",IF(tblSalaries[[#This Row],[Years of Experience]]&gt;20,1,""))</f>
        <v>1</v>
      </c>
      <c r="T14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494" s="13" t="str">
        <f>IF(tblSalaries[[#This Row],[Job Type]]=tblSalaries[[#Headers],[Accountant]],tblSalaries[[#This Row],[Salary in USD]],"")</f>
        <v/>
      </c>
      <c r="V1494" s="13">
        <f>IF(tblSalaries[[#This Row],[Job Type]]=tblSalaries[[#Headers],[Analyst]],tblSalaries[[#This Row],[Salary in USD]],"")</f>
        <v>62000</v>
      </c>
      <c r="W1494" s="13" t="str">
        <f>IF(tblSalaries[[#This Row],[Job Type]]=tblSalaries[[#Headers],[Consultant]],tblSalaries[[#This Row],[Salary in USD]],"")</f>
        <v/>
      </c>
      <c r="X1494" s="13" t="str">
        <f>IF(tblSalaries[[#This Row],[Job Type]]=tblSalaries[[#Headers],[Controller]],tblSalaries[[#This Row],[Salary in USD]],"")</f>
        <v/>
      </c>
      <c r="Y1494" s="13" t="str">
        <f>IF(tblSalaries[[#This Row],[Job Type]]=tblSalaries[[#Headers],[CXO or Top Mgmt.]],tblSalaries[[#This Row],[clean Salary (in local currency)]],"")</f>
        <v/>
      </c>
      <c r="Z1494" s="13" t="str">
        <f>IF(tblSalaries[[#This Row],[Job Type]]=tblSalaries[[#Headers],[Engineer]],tblSalaries[[#This Row],[Salary in USD]],"")</f>
        <v/>
      </c>
      <c r="AA1494" s="13" t="str">
        <f>IF(tblSalaries[[#This Row],[Job Type]]=tblSalaries[[#Headers],[Manager]],tblSalaries[[#This Row],[Salary in USD]],"")</f>
        <v/>
      </c>
      <c r="AB1494" s="13" t="str">
        <f>IF(tblSalaries[[#This Row],[Job Type]]=tblSalaries[[#Headers],[Misc.]],tblSalaries[[#This Row],[Salary in USD]],"")</f>
        <v/>
      </c>
      <c r="AC1494" s="13" t="str">
        <f>IF(tblSalaries[[#This Row],[Job Type]]=tblSalaries[[#Headers],[Reporting]],tblSalaries[[#This Row],[Salary in USD]],"")</f>
        <v/>
      </c>
      <c r="AD1494" s="13" t="str">
        <f>IF(tblSalaries[[#This Row],[Job Type]]=tblSalaries[[#Headers],[Specialist]],tblSalaries[[#This Row],[Salary in USD]],"")</f>
        <v/>
      </c>
    </row>
    <row r="1495" spans="2:30" ht="15" customHeight="1" x14ac:dyDescent="0.25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 s="9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  <c r="N1495" t="str">
        <f>IF(tblSalaries[[#This Row],[Years of Experience]]="","",IF(tblSalaries[[#This Row],[Years of Experience]]&lt;=2,1,""))</f>
        <v/>
      </c>
      <c r="O1495">
        <f>IF(tblSalaries[[#This Row],[Years of Experience]]="","",IF(AND(tblSalaries[[#This Row],[Years of Experience]]&gt;2,tblSalaries[[#This Row],[Years of Experience]]&lt;=5),1,""))</f>
        <v>1</v>
      </c>
      <c r="P1495" t="str">
        <f>IF(tblSalaries[[#This Row],[Years of Experience]]="","",IF(AND(tblSalaries[[#This Row],[Years of Experience]]&gt;5,tblSalaries[[#This Row],[Years of Experience]]&lt;=10),1,""))</f>
        <v/>
      </c>
      <c r="Q1495" t="str">
        <f>IF(tblSalaries[[#This Row],[Years of Experience]]="","",IF(AND(tblSalaries[[#This Row],[Years of Experience]]&gt;10,tblSalaries[[#This Row],[Years of Experience]]&lt;=15),1,""))</f>
        <v/>
      </c>
      <c r="R1495" t="str">
        <f>IF(tblSalaries[[#This Row],[Years of Experience]]="","",IF(AND(tblSalaries[[#This Row],[Years of Experience]]&gt;16,tblSalaries[[#This Row],[Years of Experience]]&lt;=20),1,""))</f>
        <v/>
      </c>
      <c r="S1495" t="str">
        <f>IF(tblSalaries[[#This Row],[Years of Experience]]="","",IF(tblSalaries[[#This Row],[Years of Experience]]&gt;20,1,""))</f>
        <v/>
      </c>
      <c r="T14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495" s="13" t="str">
        <f>IF(tblSalaries[[#This Row],[Job Type]]=tblSalaries[[#Headers],[Accountant]],tblSalaries[[#This Row],[Salary in USD]],"")</f>
        <v/>
      </c>
      <c r="V1495" s="13" t="str">
        <f>IF(tblSalaries[[#This Row],[Job Type]]=tblSalaries[[#Headers],[Analyst]],tblSalaries[[#This Row],[Salary in USD]],"")</f>
        <v/>
      </c>
      <c r="W1495" s="13" t="str">
        <f>IF(tblSalaries[[#This Row],[Job Type]]=tblSalaries[[#Headers],[Consultant]],tblSalaries[[#This Row],[Salary in USD]],"")</f>
        <v/>
      </c>
      <c r="X1495" s="13" t="str">
        <f>IF(tblSalaries[[#This Row],[Job Type]]=tblSalaries[[#Headers],[Controller]],tblSalaries[[#This Row],[Salary in USD]],"")</f>
        <v/>
      </c>
      <c r="Y1495" s="13" t="str">
        <f>IF(tblSalaries[[#This Row],[Job Type]]=tblSalaries[[#Headers],[CXO or Top Mgmt.]],tblSalaries[[#This Row],[clean Salary (in local currency)]],"")</f>
        <v/>
      </c>
      <c r="Z1495" s="13" t="str">
        <f>IF(tblSalaries[[#This Row],[Job Type]]=tblSalaries[[#Headers],[Engineer]],tblSalaries[[#This Row],[Salary in USD]],"")</f>
        <v/>
      </c>
      <c r="AA1495" s="13">
        <f>IF(tblSalaries[[#This Row],[Job Type]]=tblSalaries[[#Headers],[Manager]],tblSalaries[[#This Row],[Salary in USD]],"")</f>
        <v>22000</v>
      </c>
      <c r="AB1495" s="13" t="str">
        <f>IF(tblSalaries[[#This Row],[Job Type]]=tblSalaries[[#Headers],[Misc.]],tblSalaries[[#This Row],[Salary in USD]],"")</f>
        <v/>
      </c>
      <c r="AC1495" s="13" t="str">
        <f>IF(tblSalaries[[#This Row],[Job Type]]=tblSalaries[[#Headers],[Reporting]],tblSalaries[[#This Row],[Salary in USD]],"")</f>
        <v/>
      </c>
      <c r="AD1495" s="13" t="str">
        <f>IF(tblSalaries[[#This Row],[Job Type]]=tblSalaries[[#Headers],[Specialist]],tblSalaries[[#This Row],[Salary in USD]],"")</f>
        <v/>
      </c>
    </row>
    <row r="1496" spans="2:30" ht="15" customHeight="1" x14ac:dyDescent="0.25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 s="9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  <c r="N1496" t="str">
        <f>IF(tblSalaries[[#This Row],[Years of Experience]]="","",IF(tblSalaries[[#This Row],[Years of Experience]]&lt;=2,1,""))</f>
        <v/>
      </c>
      <c r="O1496" t="str">
        <f>IF(tblSalaries[[#This Row],[Years of Experience]]="","",IF(AND(tblSalaries[[#This Row],[Years of Experience]]&gt;2,tblSalaries[[#This Row],[Years of Experience]]&lt;=5),1,""))</f>
        <v/>
      </c>
      <c r="P1496">
        <f>IF(tblSalaries[[#This Row],[Years of Experience]]="","",IF(AND(tblSalaries[[#This Row],[Years of Experience]]&gt;5,tblSalaries[[#This Row],[Years of Experience]]&lt;=10),1,""))</f>
        <v>1</v>
      </c>
      <c r="Q1496" t="str">
        <f>IF(tblSalaries[[#This Row],[Years of Experience]]="","",IF(AND(tblSalaries[[#This Row],[Years of Experience]]&gt;10,tblSalaries[[#This Row],[Years of Experience]]&lt;=15),1,""))</f>
        <v/>
      </c>
      <c r="R1496" t="str">
        <f>IF(tblSalaries[[#This Row],[Years of Experience]]="","",IF(AND(tblSalaries[[#This Row],[Years of Experience]]&gt;16,tblSalaries[[#This Row],[Years of Experience]]&lt;=20),1,""))</f>
        <v/>
      </c>
      <c r="S1496" t="str">
        <f>IF(tblSalaries[[#This Row],[Years of Experience]]="","",IF(tblSalaries[[#This Row],[Years of Experience]]&gt;20,1,""))</f>
        <v/>
      </c>
      <c r="T14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96" s="13" t="str">
        <f>IF(tblSalaries[[#This Row],[Job Type]]=tblSalaries[[#Headers],[Accountant]],tblSalaries[[#This Row],[Salary in USD]],"")</f>
        <v/>
      </c>
      <c r="V1496" s="13">
        <f>IF(tblSalaries[[#This Row],[Job Type]]=tblSalaries[[#Headers],[Analyst]],tblSalaries[[#This Row],[Salary in USD]],"")</f>
        <v>45000</v>
      </c>
      <c r="W1496" s="13" t="str">
        <f>IF(tblSalaries[[#This Row],[Job Type]]=tblSalaries[[#Headers],[Consultant]],tblSalaries[[#This Row],[Salary in USD]],"")</f>
        <v/>
      </c>
      <c r="X1496" s="13" t="str">
        <f>IF(tblSalaries[[#This Row],[Job Type]]=tblSalaries[[#Headers],[Controller]],tblSalaries[[#This Row],[Salary in USD]],"")</f>
        <v/>
      </c>
      <c r="Y1496" s="13" t="str">
        <f>IF(tblSalaries[[#This Row],[Job Type]]=tblSalaries[[#Headers],[CXO or Top Mgmt.]],tblSalaries[[#This Row],[clean Salary (in local currency)]],"")</f>
        <v/>
      </c>
      <c r="Z1496" s="13" t="str">
        <f>IF(tblSalaries[[#This Row],[Job Type]]=tblSalaries[[#Headers],[Engineer]],tblSalaries[[#This Row],[Salary in USD]],"")</f>
        <v/>
      </c>
      <c r="AA1496" s="13" t="str">
        <f>IF(tblSalaries[[#This Row],[Job Type]]=tblSalaries[[#Headers],[Manager]],tblSalaries[[#This Row],[Salary in USD]],"")</f>
        <v/>
      </c>
      <c r="AB1496" s="13" t="str">
        <f>IF(tblSalaries[[#This Row],[Job Type]]=tblSalaries[[#Headers],[Misc.]],tblSalaries[[#This Row],[Salary in USD]],"")</f>
        <v/>
      </c>
      <c r="AC1496" s="13" t="str">
        <f>IF(tblSalaries[[#This Row],[Job Type]]=tblSalaries[[#Headers],[Reporting]],tblSalaries[[#This Row],[Salary in USD]],"")</f>
        <v/>
      </c>
      <c r="AD1496" s="13" t="str">
        <f>IF(tblSalaries[[#This Row],[Job Type]]=tblSalaries[[#Headers],[Specialist]],tblSalaries[[#This Row],[Salary in USD]],"")</f>
        <v/>
      </c>
    </row>
    <row r="1497" spans="2:30" ht="15" customHeight="1" x14ac:dyDescent="0.25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 s="9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  <c r="N1497" t="str">
        <f>IF(tblSalaries[[#This Row],[Years of Experience]]="","",IF(tblSalaries[[#This Row],[Years of Experience]]&lt;=2,1,""))</f>
        <v/>
      </c>
      <c r="O1497" t="str">
        <f>IF(tblSalaries[[#This Row],[Years of Experience]]="","",IF(AND(tblSalaries[[#This Row],[Years of Experience]]&gt;2,tblSalaries[[#This Row],[Years of Experience]]&lt;=5),1,""))</f>
        <v/>
      </c>
      <c r="P1497">
        <f>IF(tblSalaries[[#This Row],[Years of Experience]]="","",IF(AND(tblSalaries[[#This Row],[Years of Experience]]&gt;5,tblSalaries[[#This Row],[Years of Experience]]&lt;=10),1,""))</f>
        <v>1</v>
      </c>
      <c r="Q1497" t="str">
        <f>IF(tblSalaries[[#This Row],[Years of Experience]]="","",IF(AND(tblSalaries[[#This Row],[Years of Experience]]&gt;10,tblSalaries[[#This Row],[Years of Experience]]&lt;=15),1,""))</f>
        <v/>
      </c>
      <c r="R1497" t="str">
        <f>IF(tblSalaries[[#This Row],[Years of Experience]]="","",IF(AND(tblSalaries[[#This Row],[Years of Experience]]&gt;16,tblSalaries[[#This Row],[Years of Experience]]&lt;=20),1,""))</f>
        <v/>
      </c>
      <c r="S1497" t="str">
        <f>IF(tblSalaries[[#This Row],[Years of Experience]]="","",IF(tblSalaries[[#This Row],[Years of Experience]]&gt;20,1,""))</f>
        <v/>
      </c>
      <c r="T14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497" s="13" t="str">
        <f>IF(tblSalaries[[#This Row],[Job Type]]=tblSalaries[[#Headers],[Accountant]],tblSalaries[[#This Row],[Salary in USD]],"")</f>
        <v/>
      </c>
      <c r="V1497" s="13">
        <f>IF(tblSalaries[[#This Row],[Job Type]]=tblSalaries[[#Headers],[Analyst]],tblSalaries[[#This Row],[Salary in USD]],"")</f>
        <v>145000</v>
      </c>
      <c r="W1497" s="13" t="str">
        <f>IF(tblSalaries[[#This Row],[Job Type]]=tblSalaries[[#Headers],[Consultant]],tblSalaries[[#This Row],[Salary in USD]],"")</f>
        <v/>
      </c>
      <c r="X1497" s="13" t="str">
        <f>IF(tblSalaries[[#This Row],[Job Type]]=tblSalaries[[#Headers],[Controller]],tblSalaries[[#This Row],[Salary in USD]],"")</f>
        <v/>
      </c>
      <c r="Y1497" s="13" t="str">
        <f>IF(tblSalaries[[#This Row],[Job Type]]=tblSalaries[[#Headers],[CXO or Top Mgmt.]],tblSalaries[[#This Row],[clean Salary (in local currency)]],"")</f>
        <v/>
      </c>
      <c r="Z1497" s="13" t="str">
        <f>IF(tblSalaries[[#This Row],[Job Type]]=tblSalaries[[#Headers],[Engineer]],tblSalaries[[#This Row],[Salary in USD]],"")</f>
        <v/>
      </c>
      <c r="AA1497" s="13" t="str">
        <f>IF(tblSalaries[[#This Row],[Job Type]]=tblSalaries[[#Headers],[Manager]],tblSalaries[[#This Row],[Salary in USD]],"")</f>
        <v/>
      </c>
      <c r="AB1497" s="13" t="str">
        <f>IF(tblSalaries[[#This Row],[Job Type]]=tblSalaries[[#Headers],[Misc.]],tblSalaries[[#This Row],[Salary in USD]],"")</f>
        <v/>
      </c>
      <c r="AC1497" s="13" t="str">
        <f>IF(tblSalaries[[#This Row],[Job Type]]=tblSalaries[[#Headers],[Reporting]],tblSalaries[[#This Row],[Salary in USD]],"")</f>
        <v/>
      </c>
      <c r="AD1497" s="13" t="str">
        <f>IF(tblSalaries[[#This Row],[Job Type]]=tblSalaries[[#Headers],[Specialist]],tblSalaries[[#This Row],[Salary in USD]],"")</f>
        <v/>
      </c>
    </row>
    <row r="1498" spans="2:30" ht="15" customHeight="1" x14ac:dyDescent="0.25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 s="9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  <c r="N1498" t="str">
        <f>IF(tblSalaries[[#This Row],[Years of Experience]]="","",IF(tblSalaries[[#This Row],[Years of Experience]]&lt;=2,1,""))</f>
        <v/>
      </c>
      <c r="O1498" t="str">
        <f>IF(tblSalaries[[#This Row],[Years of Experience]]="","",IF(AND(tblSalaries[[#This Row],[Years of Experience]]&gt;2,tblSalaries[[#This Row],[Years of Experience]]&lt;=5),1,""))</f>
        <v/>
      </c>
      <c r="P1498" t="str">
        <f>IF(tblSalaries[[#This Row],[Years of Experience]]="","",IF(AND(tblSalaries[[#This Row],[Years of Experience]]&gt;5,tblSalaries[[#This Row],[Years of Experience]]&lt;=10),1,""))</f>
        <v/>
      </c>
      <c r="Q1498">
        <f>IF(tblSalaries[[#This Row],[Years of Experience]]="","",IF(AND(tblSalaries[[#This Row],[Years of Experience]]&gt;10,tblSalaries[[#This Row],[Years of Experience]]&lt;=15),1,""))</f>
        <v>1</v>
      </c>
      <c r="R1498" t="str">
        <f>IF(tblSalaries[[#This Row],[Years of Experience]]="","",IF(AND(tblSalaries[[#This Row],[Years of Experience]]&gt;16,tblSalaries[[#This Row],[Years of Experience]]&lt;=20),1,""))</f>
        <v/>
      </c>
      <c r="S1498" t="str">
        <f>IF(tblSalaries[[#This Row],[Years of Experience]]="","",IF(tblSalaries[[#This Row],[Years of Experience]]&gt;20,1,""))</f>
        <v/>
      </c>
      <c r="T14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98" s="13" t="str">
        <f>IF(tblSalaries[[#This Row],[Job Type]]=tblSalaries[[#Headers],[Accountant]],tblSalaries[[#This Row],[Salary in USD]],"")</f>
        <v/>
      </c>
      <c r="V1498" s="13">
        <f>IF(tblSalaries[[#This Row],[Job Type]]=tblSalaries[[#Headers],[Analyst]],tblSalaries[[#This Row],[Salary in USD]],"")</f>
        <v>89000</v>
      </c>
      <c r="W1498" s="13" t="str">
        <f>IF(tblSalaries[[#This Row],[Job Type]]=tblSalaries[[#Headers],[Consultant]],tblSalaries[[#This Row],[Salary in USD]],"")</f>
        <v/>
      </c>
      <c r="X1498" s="13" t="str">
        <f>IF(tblSalaries[[#This Row],[Job Type]]=tblSalaries[[#Headers],[Controller]],tblSalaries[[#This Row],[Salary in USD]],"")</f>
        <v/>
      </c>
      <c r="Y1498" s="13" t="str">
        <f>IF(tblSalaries[[#This Row],[Job Type]]=tblSalaries[[#Headers],[CXO or Top Mgmt.]],tblSalaries[[#This Row],[clean Salary (in local currency)]],"")</f>
        <v/>
      </c>
      <c r="Z1498" s="13" t="str">
        <f>IF(tblSalaries[[#This Row],[Job Type]]=tblSalaries[[#Headers],[Engineer]],tblSalaries[[#This Row],[Salary in USD]],"")</f>
        <v/>
      </c>
      <c r="AA1498" s="13" t="str">
        <f>IF(tblSalaries[[#This Row],[Job Type]]=tblSalaries[[#Headers],[Manager]],tblSalaries[[#This Row],[Salary in USD]],"")</f>
        <v/>
      </c>
      <c r="AB1498" s="13" t="str">
        <f>IF(tblSalaries[[#This Row],[Job Type]]=tblSalaries[[#Headers],[Misc.]],tblSalaries[[#This Row],[Salary in USD]],"")</f>
        <v/>
      </c>
      <c r="AC1498" s="13" t="str">
        <f>IF(tblSalaries[[#This Row],[Job Type]]=tblSalaries[[#Headers],[Reporting]],tblSalaries[[#This Row],[Salary in USD]],"")</f>
        <v/>
      </c>
      <c r="AD1498" s="13" t="str">
        <f>IF(tblSalaries[[#This Row],[Job Type]]=tblSalaries[[#Headers],[Specialist]],tblSalaries[[#This Row],[Salary in USD]],"")</f>
        <v/>
      </c>
    </row>
    <row r="1499" spans="2:30" ht="15" customHeight="1" x14ac:dyDescent="0.25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 s="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  <c r="N1499" t="str">
        <f>IF(tblSalaries[[#This Row],[Years of Experience]]="","",IF(tblSalaries[[#This Row],[Years of Experience]]&lt;=2,1,""))</f>
        <v/>
      </c>
      <c r="O1499" t="str">
        <f>IF(tblSalaries[[#This Row],[Years of Experience]]="","",IF(AND(tblSalaries[[#This Row],[Years of Experience]]&gt;2,tblSalaries[[#This Row],[Years of Experience]]&lt;=5),1,""))</f>
        <v/>
      </c>
      <c r="P1499" t="str">
        <f>IF(tblSalaries[[#This Row],[Years of Experience]]="","",IF(AND(tblSalaries[[#This Row],[Years of Experience]]&gt;5,tblSalaries[[#This Row],[Years of Experience]]&lt;=10),1,""))</f>
        <v/>
      </c>
      <c r="Q1499">
        <f>IF(tblSalaries[[#This Row],[Years of Experience]]="","",IF(AND(tblSalaries[[#This Row],[Years of Experience]]&gt;10,tblSalaries[[#This Row],[Years of Experience]]&lt;=15),1,""))</f>
        <v>1</v>
      </c>
      <c r="R1499" t="str">
        <f>IF(tblSalaries[[#This Row],[Years of Experience]]="","",IF(AND(tblSalaries[[#This Row],[Years of Experience]]&gt;16,tblSalaries[[#This Row],[Years of Experience]]&lt;=20),1,""))</f>
        <v/>
      </c>
      <c r="S1499" t="str">
        <f>IF(tblSalaries[[#This Row],[Years of Experience]]="","",IF(tblSalaries[[#This Row],[Years of Experience]]&gt;20,1,""))</f>
        <v/>
      </c>
      <c r="T14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499" s="13">
        <f>IF(tblSalaries[[#This Row],[Job Type]]=tblSalaries[[#Headers],[Accountant]],tblSalaries[[#This Row],[Salary in USD]],"")</f>
        <v>38000</v>
      </c>
      <c r="V1499" s="13" t="str">
        <f>IF(tblSalaries[[#This Row],[Job Type]]=tblSalaries[[#Headers],[Analyst]],tblSalaries[[#This Row],[Salary in USD]],"")</f>
        <v/>
      </c>
      <c r="W1499" s="13" t="str">
        <f>IF(tblSalaries[[#This Row],[Job Type]]=tblSalaries[[#Headers],[Consultant]],tblSalaries[[#This Row],[Salary in USD]],"")</f>
        <v/>
      </c>
      <c r="X1499" s="13" t="str">
        <f>IF(tblSalaries[[#This Row],[Job Type]]=tblSalaries[[#Headers],[Controller]],tblSalaries[[#This Row],[Salary in USD]],"")</f>
        <v/>
      </c>
      <c r="Y1499" s="13" t="str">
        <f>IF(tblSalaries[[#This Row],[Job Type]]=tblSalaries[[#Headers],[CXO or Top Mgmt.]],tblSalaries[[#This Row],[clean Salary (in local currency)]],"")</f>
        <v/>
      </c>
      <c r="Z1499" s="13" t="str">
        <f>IF(tblSalaries[[#This Row],[Job Type]]=tblSalaries[[#Headers],[Engineer]],tblSalaries[[#This Row],[Salary in USD]],"")</f>
        <v/>
      </c>
      <c r="AA1499" s="13" t="str">
        <f>IF(tblSalaries[[#This Row],[Job Type]]=tblSalaries[[#Headers],[Manager]],tblSalaries[[#This Row],[Salary in USD]],"")</f>
        <v/>
      </c>
      <c r="AB1499" s="13" t="str">
        <f>IF(tblSalaries[[#This Row],[Job Type]]=tblSalaries[[#Headers],[Misc.]],tblSalaries[[#This Row],[Salary in USD]],"")</f>
        <v/>
      </c>
      <c r="AC1499" s="13" t="str">
        <f>IF(tblSalaries[[#This Row],[Job Type]]=tblSalaries[[#Headers],[Reporting]],tblSalaries[[#This Row],[Salary in USD]],"")</f>
        <v/>
      </c>
      <c r="AD1499" s="13" t="str">
        <f>IF(tblSalaries[[#This Row],[Job Type]]=tblSalaries[[#Headers],[Specialist]],tblSalaries[[#This Row],[Salary in USD]],"")</f>
        <v/>
      </c>
    </row>
    <row r="1500" spans="2:30" ht="15" customHeight="1" x14ac:dyDescent="0.25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 s="9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  <c r="N1500" t="str">
        <f>IF(tblSalaries[[#This Row],[Years of Experience]]="","",IF(tblSalaries[[#This Row],[Years of Experience]]&lt;=2,1,""))</f>
        <v/>
      </c>
      <c r="O1500">
        <f>IF(tblSalaries[[#This Row],[Years of Experience]]="","",IF(AND(tblSalaries[[#This Row],[Years of Experience]]&gt;2,tblSalaries[[#This Row],[Years of Experience]]&lt;=5),1,""))</f>
        <v>1</v>
      </c>
      <c r="P1500" t="str">
        <f>IF(tblSalaries[[#This Row],[Years of Experience]]="","",IF(AND(tblSalaries[[#This Row],[Years of Experience]]&gt;5,tblSalaries[[#This Row],[Years of Experience]]&lt;=10),1,""))</f>
        <v/>
      </c>
      <c r="Q1500" t="str">
        <f>IF(tblSalaries[[#This Row],[Years of Experience]]="","",IF(AND(tblSalaries[[#This Row],[Years of Experience]]&gt;10,tblSalaries[[#This Row],[Years of Experience]]&lt;=15),1,""))</f>
        <v/>
      </c>
      <c r="R1500" t="str">
        <f>IF(tblSalaries[[#This Row],[Years of Experience]]="","",IF(AND(tblSalaries[[#This Row],[Years of Experience]]&gt;16,tblSalaries[[#This Row],[Years of Experience]]&lt;=20),1,""))</f>
        <v/>
      </c>
      <c r="S1500" t="str">
        <f>IF(tblSalaries[[#This Row],[Years of Experience]]="","",IF(tblSalaries[[#This Row],[Years of Experience]]&gt;20,1,""))</f>
        <v/>
      </c>
      <c r="T15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00" s="13" t="str">
        <f>IF(tblSalaries[[#This Row],[Job Type]]=tblSalaries[[#Headers],[Accountant]],tblSalaries[[#This Row],[Salary in USD]],"")</f>
        <v/>
      </c>
      <c r="V1500" s="13">
        <f>IF(tblSalaries[[#This Row],[Job Type]]=tblSalaries[[#Headers],[Analyst]],tblSalaries[[#This Row],[Salary in USD]],"")</f>
        <v>49168.076151516347</v>
      </c>
      <c r="W1500" s="13" t="str">
        <f>IF(tblSalaries[[#This Row],[Job Type]]=tblSalaries[[#Headers],[Consultant]],tblSalaries[[#This Row],[Salary in USD]],"")</f>
        <v/>
      </c>
      <c r="X1500" s="13" t="str">
        <f>IF(tblSalaries[[#This Row],[Job Type]]=tblSalaries[[#Headers],[Controller]],tblSalaries[[#This Row],[Salary in USD]],"")</f>
        <v/>
      </c>
      <c r="Y1500" s="13" t="str">
        <f>IF(tblSalaries[[#This Row],[Job Type]]=tblSalaries[[#Headers],[CXO or Top Mgmt.]],tblSalaries[[#This Row],[clean Salary (in local currency)]],"")</f>
        <v/>
      </c>
      <c r="Z1500" s="13" t="str">
        <f>IF(tblSalaries[[#This Row],[Job Type]]=tblSalaries[[#Headers],[Engineer]],tblSalaries[[#This Row],[Salary in USD]],"")</f>
        <v/>
      </c>
      <c r="AA1500" s="13" t="str">
        <f>IF(tblSalaries[[#This Row],[Job Type]]=tblSalaries[[#Headers],[Manager]],tblSalaries[[#This Row],[Salary in USD]],"")</f>
        <v/>
      </c>
      <c r="AB1500" s="13" t="str">
        <f>IF(tblSalaries[[#This Row],[Job Type]]=tblSalaries[[#Headers],[Misc.]],tblSalaries[[#This Row],[Salary in USD]],"")</f>
        <v/>
      </c>
      <c r="AC1500" s="13" t="str">
        <f>IF(tblSalaries[[#This Row],[Job Type]]=tblSalaries[[#Headers],[Reporting]],tblSalaries[[#This Row],[Salary in USD]],"")</f>
        <v/>
      </c>
      <c r="AD1500" s="13" t="str">
        <f>IF(tblSalaries[[#This Row],[Job Type]]=tblSalaries[[#Headers],[Specialist]],tblSalaries[[#This Row],[Salary in USD]],"")</f>
        <v/>
      </c>
    </row>
    <row r="1501" spans="2:30" ht="15" customHeight="1" x14ac:dyDescent="0.25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 s="9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  <c r="N1501" t="str">
        <f>IF(tblSalaries[[#This Row],[Years of Experience]]="","",IF(tblSalaries[[#This Row],[Years of Experience]]&lt;=2,1,""))</f>
        <v/>
      </c>
      <c r="O1501" t="str">
        <f>IF(tblSalaries[[#This Row],[Years of Experience]]="","",IF(AND(tblSalaries[[#This Row],[Years of Experience]]&gt;2,tblSalaries[[#This Row],[Years of Experience]]&lt;=5),1,""))</f>
        <v/>
      </c>
      <c r="P1501">
        <f>IF(tblSalaries[[#This Row],[Years of Experience]]="","",IF(AND(tblSalaries[[#This Row],[Years of Experience]]&gt;5,tblSalaries[[#This Row],[Years of Experience]]&lt;=10),1,""))</f>
        <v>1</v>
      </c>
      <c r="Q1501" t="str">
        <f>IF(tblSalaries[[#This Row],[Years of Experience]]="","",IF(AND(tblSalaries[[#This Row],[Years of Experience]]&gt;10,tblSalaries[[#This Row],[Years of Experience]]&lt;=15),1,""))</f>
        <v/>
      </c>
      <c r="R1501" t="str">
        <f>IF(tblSalaries[[#This Row],[Years of Experience]]="","",IF(AND(tblSalaries[[#This Row],[Years of Experience]]&gt;16,tblSalaries[[#This Row],[Years of Experience]]&lt;=20),1,""))</f>
        <v/>
      </c>
      <c r="S1501" t="str">
        <f>IF(tblSalaries[[#This Row],[Years of Experience]]="","",IF(tblSalaries[[#This Row],[Years of Experience]]&gt;20,1,""))</f>
        <v/>
      </c>
      <c r="T15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01" s="13" t="str">
        <f>IF(tblSalaries[[#This Row],[Job Type]]=tblSalaries[[#Headers],[Accountant]],tblSalaries[[#This Row],[Salary in USD]],"")</f>
        <v/>
      </c>
      <c r="V1501" s="13">
        <f>IF(tblSalaries[[#This Row],[Job Type]]=tblSalaries[[#Headers],[Analyst]],tblSalaries[[#This Row],[Salary in USD]],"")</f>
        <v>8903.9583437212841</v>
      </c>
      <c r="W1501" s="13" t="str">
        <f>IF(tblSalaries[[#This Row],[Job Type]]=tblSalaries[[#Headers],[Consultant]],tblSalaries[[#This Row],[Salary in USD]],"")</f>
        <v/>
      </c>
      <c r="X1501" s="13" t="str">
        <f>IF(tblSalaries[[#This Row],[Job Type]]=tblSalaries[[#Headers],[Controller]],tblSalaries[[#This Row],[Salary in USD]],"")</f>
        <v/>
      </c>
      <c r="Y1501" s="13" t="str">
        <f>IF(tblSalaries[[#This Row],[Job Type]]=tblSalaries[[#Headers],[CXO or Top Mgmt.]],tblSalaries[[#This Row],[clean Salary (in local currency)]],"")</f>
        <v/>
      </c>
      <c r="Z1501" s="13" t="str">
        <f>IF(tblSalaries[[#This Row],[Job Type]]=tblSalaries[[#Headers],[Engineer]],tblSalaries[[#This Row],[Salary in USD]],"")</f>
        <v/>
      </c>
      <c r="AA1501" s="13" t="str">
        <f>IF(tblSalaries[[#This Row],[Job Type]]=tblSalaries[[#Headers],[Manager]],tblSalaries[[#This Row],[Salary in USD]],"")</f>
        <v/>
      </c>
      <c r="AB1501" s="13" t="str">
        <f>IF(tblSalaries[[#This Row],[Job Type]]=tblSalaries[[#Headers],[Misc.]],tblSalaries[[#This Row],[Salary in USD]],"")</f>
        <v/>
      </c>
      <c r="AC1501" s="13" t="str">
        <f>IF(tblSalaries[[#This Row],[Job Type]]=tblSalaries[[#Headers],[Reporting]],tblSalaries[[#This Row],[Salary in USD]],"")</f>
        <v/>
      </c>
      <c r="AD1501" s="13" t="str">
        <f>IF(tblSalaries[[#This Row],[Job Type]]=tblSalaries[[#Headers],[Specialist]],tblSalaries[[#This Row],[Salary in USD]],"")</f>
        <v/>
      </c>
    </row>
    <row r="1502" spans="2:30" ht="15" customHeight="1" x14ac:dyDescent="0.25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 s="9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  <c r="N1502" t="str">
        <f>IF(tblSalaries[[#This Row],[Years of Experience]]="","",IF(tblSalaries[[#This Row],[Years of Experience]]&lt;=2,1,""))</f>
        <v/>
      </c>
      <c r="O1502" t="str">
        <f>IF(tblSalaries[[#This Row],[Years of Experience]]="","",IF(AND(tblSalaries[[#This Row],[Years of Experience]]&gt;2,tblSalaries[[#This Row],[Years of Experience]]&lt;=5),1,""))</f>
        <v/>
      </c>
      <c r="P1502">
        <f>IF(tblSalaries[[#This Row],[Years of Experience]]="","",IF(AND(tblSalaries[[#This Row],[Years of Experience]]&gt;5,tblSalaries[[#This Row],[Years of Experience]]&lt;=10),1,""))</f>
        <v>1</v>
      </c>
      <c r="Q1502" t="str">
        <f>IF(tblSalaries[[#This Row],[Years of Experience]]="","",IF(AND(tblSalaries[[#This Row],[Years of Experience]]&gt;10,tblSalaries[[#This Row],[Years of Experience]]&lt;=15),1,""))</f>
        <v/>
      </c>
      <c r="R1502" t="str">
        <f>IF(tblSalaries[[#This Row],[Years of Experience]]="","",IF(AND(tblSalaries[[#This Row],[Years of Experience]]&gt;16,tblSalaries[[#This Row],[Years of Experience]]&lt;=20),1,""))</f>
        <v/>
      </c>
      <c r="S1502" t="str">
        <f>IF(tblSalaries[[#This Row],[Years of Experience]]="","",IF(tblSalaries[[#This Row],[Years of Experience]]&gt;20,1,""))</f>
        <v/>
      </c>
      <c r="T15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02" s="13" t="str">
        <f>IF(tblSalaries[[#This Row],[Job Type]]=tblSalaries[[#Headers],[Accountant]],tblSalaries[[#This Row],[Salary in USD]],"")</f>
        <v/>
      </c>
      <c r="V1502" s="13" t="str">
        <f>IF(tblSalaries[[#This Row],[Job Type]]=tblSalaries[[#Headers],[Analyst]],tblSalaries[[#This Row],[Salary in USD]],"")</f>
        <v/>
      </c>
      <c r="W1502" s="13" t="str">
        <f>IF(tblSalaries[[#This Row],[Job Type]]=tblSalaries[[#Headers],[Consultant]],tblSalaries[[#This Row],[Salary in USD]],"")</f>
        <v/>
      </c>
      <c r="X1502" s="13" t="str">
        <f>IF(tblSalaries[[#This Row],[Job Type]]=tblSalaries[[#Headers],[Controller]],tblSalaries[[#This Row],[Salary in USD]],"")</f>
        <v/>
      </c>
      <c r="Y1502" s="13" t="str">
        <f>IF(tblSalaries[[#This Row],[Job Type]]=tblSalaries[[#Headers],[CXO or Top Mgmt.]],tblSalaries[[#This Row],[clean Salary (in local currency)]],"")</f>
        <v/>
      </c>
      <c r="Z1502" s="13" t="str">
        <f>IF(tblSalaries[[#This Row],[Job Type]]=tblSalaries[[#Headers],[Engineer]],tblSalaries[[#This Row],[Salary in USD]],"")</f>
        <v/>
      </c>
      <c r="AA1502" s="13">
        <f>IF(tblSalaries[[#This Row],[Job Type]]=tblSalaries[[#Headers],[Manager]],tblSalaries[[#This Row],[Salary in USD]],"")</f>
        <v>10000</v>
      </c>
      <c r="AB1502" s="13" t="str">
        <f>IF(tblSalaries[[#This Row],[Job Type]]=tblSalaries[[#Headers],[Misc.]],tblSalaries[[#This Row],[Salary in USD]],"")</f>
        <v/>
      </c>
      <c r="AC1502" s="13" t="str">
        <f>IF(tblSalaries[[#This Row],[Job Type]]=tblSalaries[[#Headers],[Reporting]],tblSalaries[[#This Row],[Salary in USD]],"")</f>
        <v/>
      </c>
      <c r="AD1502" s="13" t="str">
        <f>IF(tblSalaries[[#This Row],[Job Type]]=tblSalaries[[#Headers],[Specialist]],tblSalaries[[#This Row],[Salary in USD]],"")</f>
        <v/>
      </c>
    </row>
    <row r="1503" spans="2:30" ht="15" customHeight="1" x14ac:dyDescent="0.25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 s="9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  <c r="N1503" t="str">
        <f>IF(tblSalaries[[#This Row],[Years of Experience]]="","",IF(tblSalaries[[#This Row],[Years of Experience]]&lt;=2,1,""))</f>
        <v/>
      </c>
      <c r="O1503" t="str">
        <f>IF(tblSalaries[[#This Row],[Years of Experience]]="","",IF(AND(tblSalaries[[#This Row],[Years of Experience]]&gt;2,tblSalaries[[#This Row],[Years of Experience]]&lt;=5),1,""))</f>
        <v/>
      </c>
      <c r="P1503" t="str">
        <f>IF(tblSalaries[[#This Row],[Years of Experience]]="","",IF(AND(tblSalaries[[#This Row],[Years of Experience]]&gt;5,tblSalaries[[#This Row],[Years of Experience]]&lt;=10),1,""))</f>
        <v/>
      </c>
      <c r="Q1503" t="str">
        <f>IF(tblSalaries[[#This Row],[Years of Experience]]="","",IF(AND(tblSalaries[[#This Row],[Years of Experience]]&gt;10,tblSalaries[[#This Row],[Years of Experience]]&lt;=15),1,""))</f>
        <v/>
      </c>
      <c r="R1503" t="str">
        <f>IF(tblSalaries[[#This Row],[Years of Experience]]="","",IF(AND(tblSalaries[[#This Row],[Years of Experience]]&gt;16,tblSalaries[[#This Row],[Years of Experience]]&lt;=20),1,""))</f>
        <v/>
      </c>
      <c r="S1503">
        <f>IF(tblSalaries[[#This Row],[Years of Experience]]="","",IF(tblSalaries[[#This Row],[Years of Experience]]&gt;20,1,""))</f>
        <v>1</v>
      </c>
      <c r="T15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503" s="13" t="str">
        <f>IF(tblSalaries[[#This Row],[Job Type]]=tblSalaries[[#Headers],[Accountant]],tblSalaries[[#This Row],[Salary in USD]],"")</f>
        <v/>
      </c>
      <c r="V1503" s="13" t="str">
        <f>IF(tblSalaries[[#This Row],[Job Type]]=tblSalaries[[#Headers],[Analyst]],tblSalaries[[#This Row],[Salary in USD]],"")</f>
        <v/>
      </c>
      <c r="W1503" s="13" t="str">
        <f>IF(tblSalaries[[#This Row],[Job Type]]=tblSalaries[[#Headers],[Consultant]],tblSalaries[[#This Row],[Salary in USD]],"")</f>
        <v/>
      </c>
      <c r="X1503" s="13" t="str">
        <f>IF(tblSalaries[[#This Row],[Job Type]]=tblSalaries[[#Headers],[Controller]],tblSalaries[[#This Row],[Salary in USD]],"")</f>
        <v/>
      </c>
      <c r="Y1503" s="13" t="str">
        <f>IF(tblSalaries[[#This Row],[Job Type]]=tblSalaries[[#Headers],[CXO or Top Mgmt.]],tblSalaries[[#This Row],[clean Salary (in local currency)]],"")</f>
        <v/>
      </c>
      <c r="Z1503" s="13" t="str">
        <f>IF(tblSalaries[[#This Row],[Job Type]]=tblSalaries[[#Headers],[Engineer]],tblSalaries[[#This Row],[Salary in USD]],"")</f>
        <v/>
      </c>
      <c r="AA1503" s="13">
        <f>IF(tblSalaries[[#This Row],[Job Type]]=tblSalaries[[#Headers],[Manager]],tblSalaries[[#This Row],[Salary in USD]],"")</f>
        <v>105000</v>
      </c>
      <c r="AB1503" s="13" t="str">
        <f>IF(tblSalaries[[#This Row],[Job Type]]=tblSalaries[[#Headers],[Misc.]],tblSalaries[[#This Row],[Salary in USD]],"")</f>
        <v/>
      </c>
      <c r="AC1503" s="13" t="str">
        <f>IF(tblSalaries[[#This Row],[Job Type]]=tblSalaries[[#Headers],[Reporting]],tblSalaries[[#This Row],[Salary in USD]],"")</f>
        <v/>
      </c>
      <c r="AD1503" s="13" t="str">
        <f>IF(tblSalaries[[#This Row],[Job Type]]=tblSalaries[[#Headers],[Specialist]],tblSalaries[[#This Row],[Salary in USD]],"")</f>
        <v/>
      </c>
    </row>
    <row r="1504" spans="2:30" ht="15" customHeight="1" x14ac:dyDescent="0.25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 s="9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t="s">
        <v>1679</v>
      </c>
      <c r="K1504" t="str">
        <f>VLOOKUP(tblSalaries[[#This Row],[Where do you work]],tblCountries[[Actual]:[Mapping]],2,FALSE)</f>
        <v>MYS</v>
      </c>
      <c r="L1504" t="s">
        <v>18</v>
      </c>
      <c r="M1504">
        <v>0</v>
      </c>
      <c r="N1504">
        <f>IF(tblSalaries[[#This Row],[Years of Experience]]="","",IF(tblSalaries[[#This Row],[Years of Experience]]&lt;=2,1,""))</f>
        <v>1</v>
      </c>
      <c r="O1504" t="str">
        <f>IF(tblSalaries[[#This Row],[Years of Experience]]="","",IF(AND(tblSalaries[[#This Row],[Years of Experience]]&gt;2,tblSalaries[[#This Row],[Years of Experience]]&lt;=5),1,""))</f>
        <v/>
      </c>
      <c r="P1504" t="str">
        <f>IF(tblSalaries[[#This Row],[Years of Experience]]="","",IF(AND(tblSalaries[[#This Row],[Years of Experience]]&gt;5,tblSalaries[[#This Row],[Years of Experience]]&lt;=10),1,""))</f>
        <v/>
      </c>
      <c r="Q1504" t="str">
        <f>IF(tblSalaries[[#This Row],[Years of Experience]]="","",IF(AND(tblSalaries[[#This Row],[Years of Experience]]&gt;10,tblSalaries[[#This Row],[Years of Experience]]&lt;=15),1,""))</f>
        <v/>
      </c>
      <c r="R1504" t="str">
        <f>IF(tblSalaries[[#This Row],[Years of Experience]]="","",IF(AND(tblSalaries[[#This Row],[Years of Experience]]&gt;16,tblSalaries[[#This Row],[Years of Experience]]&lt;=20),1,""))</f>
        <v/>
      </c>
      <c r="S1504" t="str">
        <f>IF(tblSalaries[[#This Row],[Years of Experience]]="","",IF(tblSalaries[[#This Row],[Years of Experience]]&gt;20,1,""))</f>
        <v/>
      </c>
      <c r="T15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04" s="13" t="str">
        <f>IF(tblSalaries[[#This Row],[Job Type]]=tblSalaries[[#Headers],[Accountant]],tblSalaries[[#This Row],[Salary in USD]],"")</f>
        <v/>
      </c>
      <c r="V1504" s="13">
        <f>IF(tblSalaries[[#This Row],[Job Type]]=tblSalaries[[#Headers],[Analyst]],tblSalaries[[#This Row],[Salary in USD]],"")</f>
        <v>12000</v>
      </c>
      <c r="W1504" s="13" t="str">
        <f>IF(tblSalaries[[#This Row],[Job Type]]=tblSalaries[[#Headers],[Consultant]],tblSalaries[[#This Row],[Salary in USD]],"")</f>
        <v/>
      </c>
      <c r="X1504" s="13" t="str">
        <f>IF(tblSalaries[[#This Row],[Job Type]]=tblSalaries[[#Headers],[Controller]],tblSalaries[[#This Row],[Salary in USD]],"")</f>
        <v/>
      </c>
      <c r="Y1504" s="13" t="str">
        <f>IF(tblSalaries[[#This Row],[Job Type]]=tblSalaries[[#Headers],[CXO or Top Mgmt.]],tblSalaries[[#This Row],[clean Salary (in local currency)]],"")</f>
        <v/>
      </c>
      <c r="Z1504" s="13" t="str">
        <f>IF(tblSalaries[[#This Row],[Job Type]]=tblSalaries[[#Headers],[Engineer]],tblSalaries[[#This Row],[Salary in USD]],"")</f>
        <v/>
      </c>
      <c r="AA1504" s="13" t="str">
        <f>IF(tblSalaries[[#This Row],[Job Type]]=tblSalaries[[#Headers],[Manager]],tblSalaries[[#This Row],[Salary in USD]],"")</f>
        <v/>
      </c>
      <c r="AB1504" s="13" t="str">
        <f>IF(tblSalaries[[#This Row],[Job Type]]=tblSalaries[[#Headers],[Misc.]],tblSalaries[[#This Row],[Salary in USD]],"")</f>
        <v/>
      </c>
      <c r="AC1504" s="13" t="str">
        <f>IF(tblSalaries[[#This Row],[Job Type]]=tblSalaries[[#Headers],[Reporting]],tblSalaries[[#This Row],[Salary in USD]],"")</f>
        <v/>
      </c>
      <c r="AD1504" s="13" t="str">
        <f>IF(tblSalaries[[#This Row],[Job Type]]=tblSalaries[[#Headers],[Specialist]],tblSalaries[[#This Row],[Salary in USD]],"")</f>
        <v/>
      </c>
    </row>
    <row r="1505" spans="2:30" ht="15" customHeight="1" x14ac:dyDescent="0.25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 s="9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  <c r="N1505" t="str">
        <f>IF(tblSalaries[[#This Row],[Years of Experience]]="","",IF(tblSalaries[[#This Row],[Years of Experience]]&lt;=2,1,""))</f>
        <v/>
      </c>
      <c r="O1505">
        <f>IF(tblSalaries[[#This Row],[Years of Experience]]="","",IF(AND(tblSalaries[[#This Row],[Years of Experience]]&gt;2,tblSalaries[[#This Row],[Years of Experience]]&lt;=5),1,""))</f>
        <v>1</v>
      </c>
      <c r="P1505" t="str">
        <f>IF(tblSalaries[[#This Row],[Years of Experience]]="","",IF(AND(tblSalaries[[#This Row],[Years of Experience]]&gt;5,tblSalaries[[#This Row],[Years of Experience]]&lt;=10),1,""))</f>
        <v/>
      </c>
      <c r="Q1505" t="str">
        <f>IF(tblSalaries[[#This Row],[Years of Experience]]="","",IF(AND(tblSalaries[[#This Row],[Years of Experience]]&gt;10,tblSalaries[[#This Row],[Years of Experience]]&lt;=15),1,""))</f>
        <v/>
      </c>
      <c r="R1505" t="str">
        <f>IF(tblSalaries[[#This Row],[Years of Experience]]="","",IF(AND(tblSalaries[[#This Row],[Years of Experience]]&gt;16,tblSalaries[[#This Row],[Years of Experience]]&lt;=20),1,""))</f>
        <v/>
      </c>
      <c r="S1505" t="str">
        <f>IF(tblSalaries[[#This Row],[Years of Experience]]="","",IF(tblSalaries[[#This Row],[Years of Experience]]&gt;20,1,""))</f>
        <v/>
      </c>
      <c r="T15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05" s="13">
        <f>IF(tblSalaries[[#This Row],[Job Type]]=tblSalaries[[#Headers],[Accountant]],tblSalaries[[#This Row],[Salary in USD]],"")</f>
        <v>3561.5833374885137</v>
      </c>
      <c r="V1505" s="13" t="str">
        <f>IF(tblSalaries[[#This Row],[Job Type]]=tblSalaries[[#Headers],[Analyst]],tblSalaries[[#This Row],[Salary in USD]],"")</f>
        <v/>
      </c>
      <c r="W1505" s="13" t="str">
        <f>IF(tblSalaries[[#This Row],[Job Type]]=tblSalaries[[#Headers],[Consultant]],tblSalaries[[#This Row],[Salary in USD]],"")</f>
        <v/>
      </c>
      <c r="X1505" s="13" t="str">
        <f>IF(tblSalaries[[#This Row],[Job Type]]=tblSalaries[[#Headers],[Controller]],tblSalaries[[#This Row],[Salary in USD]],"")</f>
        <v/>
      </c>
      <c r="Y1505" s="13" t="str">
        <f>IF(tblSalaries[[#This Row],[Job Type]]=tblSalaries[[#Headers],[CXO or Top Mgmt.]],tblSalaries[[#This Row],[clean Salary (in local currency)]],"")</f>
        <v/>
      </c>
      <c r="Z1505" s="13" t="str">
        <f>IF(tblSalaries[[#This Row],[Job Type]]=tblSalaries[[#Headers],[Engineer]],tblSalaries[[#This Row],[Salary in USD]],"")</f>
        <v/>
      </c>
      <c r="AA1505" s="13" t="str">
        <f>IF(tblSalaries[[#This Row],[Job Type]]=tblSalaries[[#Headers],[Manager]],tblSalaries[[#This Row],[Salary in USD]],"")</f>
        <v/>
      </c>
      <c r="AB1505" s="13" t="str">
        <f>IF(tblSalaries[[#This Row],[Job Type]]=tblSalaries[[#Headers],[Misc.]],tblSalaries[[#This Row],[Salary in USD]],"")</f>
        <v/>
      </c>
      <c r="AC1505" s="13" t="str">
        <f>IF(tblSalaries[[#This Row],[Job Type]]=tblSalaries[[#Headers],[Reporting]],tblSalaries[[#This Row],[Salary in USD]],"")</f>
        <v/>
      </c>
      <c r="AD1505" s="13" t="str">
        <f>IF(tblSalaries[[#This Row],[Job Type]]=tblSalaries[[#Headers],[Specialist]],tblSalaries[[#This Row],[Salary in USD]],"")</f>
        <v/>
      </c>
    </row>
    <row r="1506" spans="2:30" ht="15" customHeight="1" x14ac:dyDescent="0.25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 s="9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  <c r="N1506" t="str">
        <f>IF(tblSalaries[[#This Row],[Years of Experience]]="","",IF(tblSalaries[[#This Row],[Years of Experience]]&lt;=2,1,""))</f>
        <v/>
      </c>
      <c r="O1506">
        <f>IF(tblSalaries[[#This Row],[Years of Experience]]="","",IF(AND(tblSalaries[[#This Row],[Years of Experience]]&gt;2,tblSalaries[[#This Row],[Years of Experience]]&lt;=5),1,""))</f>
        <v>1</v>
      </c>
      <c r="P1506" t="str">
        <f>IF(tblSalaries[[#This Row],[Years of Experience]]="","",IF(AND(tblSalaries[[#This Row],[Years of Experience]]&gt;5,tblSalaries[[#This Row],[Years of Experience]]&lt;=10),1,""))</f>
        <v/>
      </c>
      <c r="Q1506" t="str">
        <f>IF(tblSalaries[[#This Row],[Years of Experience]]="","",IF(AND(tblSalaries[[#This Row],[Years of Experience]]&gt;10,tblSalaries[[#This Row],[Years of Experience]]&lt;=15),1,""))</f>
        <v/>
      </c>
      <c r="R1506" t="str">
        <f>IF(tblSalaries[[#This Row],[Years of Experience]]="","",IF(AND(tblSalaries[[#This Row],[Years of Experience]]&gt;16,tblSalaries[[#This Row],[Years of Experience]]&lt;=20),1,""))</f>
        <v/>
      </c>
      <c r="S1506" t="str">
        <f>IF(tblSalaries[[#This Row],[Years of Experience]]="","",IF(tblSalaries[[#This Row],[Years of Experience]]&gt;20,1,""))</f>
        <v/>
      </c>
      <c r="T15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06" s="13" t="str">
        <f>IF(tblSalaries[[#This Row],[Job Type]]=tblSalaries[[#Headers],[Accountant]],tblSalaries[[#This Row],[Salary in USD]],"")</f>
        <v/>
      </c>
      <c r="V1506" s="13">
        <f>IF(tblSalaries[[#This Row],[Job Type]]=tblSalaries[[#Headers],[Analyst]],tblSalaries[[#This Row],[Salary in USD]],"")</f>
        <v>86692.320794224041</v>
      </c>
      <c r="W1506" s="13" t="str">
        <f>IF(tblSalaries[[#This Row],[Job Type]]=tblSalaries[[#Headers],[Consultant]],tblSalaries[[#This Row],[Salary in USD]],"")</f>
        <v/>
      </c>
      <c r="X1506" s="13" t="str">
        <f>IF(tblSalaries[[#This Row],[Job Type]]=tblSalaries[[#Headers],[Controller]],tblSalaries[[#This Row],[Salary in USD]],"")</f>
        <v/>
      </c>
      <c r="Y1506" s="13" t="str">
        <f>IF(tblSalaries[[#This Row],[Job Type]]=tblSalaries[[#Headers],[CXO or Top Mgmt.]],tblSalaries[[#This Row],[clean Salary (in local currency)]],"")</f>
        <v/>
      </c>
      <c r="Z1506" s="13" t="str">
        <f>IF(tblSalaries[[#This Row],[Job Type]]=tblSalaries[[#Headers],[Engineer]],tblSalaries[[#This Row],[Salary in USD]],"")</f>
        <v/>
      </c>
      <c r="AA1506" s="13" t="str">
        <f>IF(tblSalaries[[#This Row],[Job Type]]=tblSalaries[[#Headers],[Manager]],tblSalaries[[#This Row],[Salary in USD]],"")</f>
        <v/>
      </c>
      <c r="AB1506" s="13" t="str">
        <f>IF(tblSalaries[[#This Row],[Job Type]]=tblSalaries[[#Headers],[Misc.]],tblSalaries[[#This Row],[Salary in USD]],"")</f>
        <v/>
      </c>
      <c r="AC1506" s="13" t="str">
        <f>IF(tblSalaries[[#This Row],[Job Type]]=tblSalaries[[#Headers],[Reporting]],tblSalaries[[#This Row],[Salary in USD]],"")</f>
        <v/>
      </c>
      <c r="AD1506" s="13" t="str">
        <f>IF(tblSalaries[[#This Row],[Job Type]]=tblSalaries[[#Headers],[Specialist]],tblSalaries[[#This Row],[Salary in USD]],"")</f>
        <v/>
      </c>
    </row>
    <row r="1507" spans="2:30" ht="15" customHeight="1" x14ac:dyDescent="0.25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 s="9">
        <f>tblSalaries[[#This Row],[clean Salary (in local currency)]]*VLOOKUP(tblSalaries[[#This Row],[Currency]],tblXrate[],2,FALSE)</f>
        <v>8000</v>
      </c>
      <c r="H1507" t="s">
        <v>458</v>
      </c>
      <c r="I1507" t="s">
        <v>4001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  <c r="N1507" t="str">
        <f>IF(tblSalaries[[#This Row],[Years of Experience]]="","",IF(tblSalaries[[#This Row],[Years of Experience]]&lt;=2,1,""))</f>
        <v/>
      </c>
      <c r="O1507" t="str">
        <f>IF(tblSalaries[[#This Row],[Years of Experience]]="","",IF(AND(tblSalaries[[#This Row],[Years of Experience]]&gt;2,tblSalaries[[#This Row],[Years of Experience]]&lt;=5),1,""))</f>
        <v/>
      </c>
      <c r="P1507" t="str">
        <f>IF(tblSalaries[[#This Row],[Years of Experience]]="","",IF(AND(tblSalaries[[#This Row],[Years of Experience]]&gt;5,tblSalaries[[#This Row],[Years of Experience]]&lt;=10),1,""))</f>
        <v/>
      </c>
      <c r="Q1507" t="str">
        <f>IF(tblSalaries[[#This Row],[Years of Experience]]="","",IF(AND(tblSalaries[[#This Row],[Years of Experience]]&gt;10,tblSalaries[[#This Row],[Years of Experience]]&lt;=15),1,""))</f>
        <v/>
      </c>
      <c r="R1507">
        <f>IF(tblSalaries[[#This Row],[Years of Experience]]="","",IF(AND(tblSalaries[[#This Row],[Years of Experience]]&gt;16,tblSalaries[[#This Row],[Years of Experience]]&lt;=20),1,""))</f>
        <v>1</v>
      </c>
      <c r="S1507" t="str">
        <f>IF(tblSalaries[[#This Row],[Years of Experience]]="","",IF(tblSalaries[[#This Row],[Years of Experience]]&gt;20,1,""))</f>
        <v/>
      </c>
      <c r="T15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507" s="13" t="str">
        <f>IF(tblSalaries[[#This Row],[Job Type]]=tblSalaries[[#Headers],[Accountant]],tblSalaries[[#This Row],[Salary in USD]],"")</f>
        <v/>
      </c>
      <c r="V1507" s="13" t="str">
        <f>IF(tblSalaries[[#This Row],[Job Type]]=tblSalaries[[#Headers],[Analyst]],tblSalaries[[#This Row],[Salary in USD]],"")</f>
        <v/>
      </c>
      <c r="W1507" s="13" t="str">
        <f>IF(tblSalaries[[#This Row],[Job Type]]=tblSalaries[[#Headers],[Consultant]],tblSalaries[[#This Row],[Salary in USD]],"")</f>
        <v/>
      </c>
      <c r="X1507" s="13" t="str">
        <f>IF(tblSalaries[[#This Row],[Job Type]]=tblSalaries[[#Headers],[Controller]],tblSalaries[[#This Row],[Salary in USD]],"")</f>
        <v/>
      </c>
      <c r="Y1507" s="13">
        <f>IF(tblSalaries[[#This Row],[Job Type]]=tblSalaries[[#Headers],[CXO or Top Mgmt.]],tblSalaries[[#This Row],[clean Salary (in local currency)]],"")</f>
        <v>8000</v>
      </c>
      <c r="Z1507" s="13" t="str">
        <f>IF(tblSalaries[[#This Row],[Job Type]]=tblSalaries[[#Headers],[Engineer]],tblSalaries[[#This Row],[Salary in USD]],"")</f>
        <v/>
      </c>
      <c r="AA1507" s="13" t="str">
        <f>IF(tblSalaries[[#This Row],[Job Type]]=tblSalaries[[#Headers],[Manager]],tblSalaries[[#This Row],[Salary in USD]],"")</f>
        <v/>
      </c>
      <c r="AB1507" s="13" t="str">
        <f>IF(tblSalaries[[#This Row],[Job Type]]=tblSalaries[[#Headers],[Misc.]],tblSalaries[[#This Row],[Salary in USD]],"")</f>
        <v/>
      </c>
      <c r="AC1507" s="13" t="str">
        <f>IF(tblSalaries[[#This Row],[Job Type]]=tblSalaries[[#Headers],[Reporting]],tblSalaries[[#This Row],[Salary in USD]],"")</f>
        <v/>
      </c>
      <c r="AD1507" s="13" t="str">
        <f>IF(tblSalaries[[#This Row],[Job Type]]=tblSalaries[[#Headers],[Specialist]],tblSalaries[[#This Row],[Salary in USD]],"")</f>
        <v/>
      </c>
    </row>
    <row r="1508" spans="2:30" ht="15" customHeight="1" x14ac:dyDescent="0.25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 s="9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  <c r="N1508" t="str">
        <f>IF(tblSalaries[[#This Row],[Years of Experience]]="","",IF(tblSalaries[[#This Row],[Years of Experience]]&lt;=2,1,""))</f>
        <v/>
      </c>
      <c r="O1508" t="str">
        <f>IF(tblSalaries[[#This Row],[Years of Experience]]="","",IF(AND(tblSalaries[[#This Row],[Years of Experience]]&gt;2,tblSalaries[[#This Row],[Years of Experience]]&lt;=5),1,""))</f>
        <v/>
      </c>
      <c r="P1508">
        <f>IF(tblSalaries[[#This Row],[Years of Experience]]="","",IF(AND(tblSalaries[[#This Row],[Years of Experience]]&gt;5,tblSalaries[[#This Row],[Years of Experience]]&lt;=10),1,""))</f>
        <v>1</v>
      </c>
      <c r="Q1508" t="str">
        <f>IF(tblSalaries[[#This Row],[Years of Experience]]="","",IF(AND(tblSalaries[[#This Row],[Years of Experience]]&gt;10,tblSalaries[[#This Row],[Years of Experience]]&lt;=15),1,""))</f>
        <v/>
      </c>
      <c r="R1508" t="str">
        <f>IF(tblSalaries[[#This Row],[Years of Experience]]="","",IF(AND(tblSalaries[[#This Row],[Years of Experience]]&gt;16,tblSalaries[[#This Row],[Years of Experience]]&lt;=20),1,""))</f>
        <v/>
      </c>
      <c r="S1508" t="str">
        <f>IF(tblSalaries[[#This Row],[Years of Experience]]="","",IF(tblSalaries[[#This Row],[Years of Experience]]&gt;20,1,""))</f>
        <v/>
      </c>
      <c r="T15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08" s="13" t="str">
        <f>IF(tblSalaries[[#This Row],[Job Type]]=tblSalaries[[#Headers],[Accountant]],tblSalaries[[#This Row],[Salary in USD]],"")</f>
        <v/>
      </c>
      <c r="V1508" s="13">
        <f>IF(tblSalaries[[#This Row],[Job Type]]=tblSalaries[[#Headers],[Analyst]],tblSalaries[[#This Row],[Salary in USD]],"")</f>
        <v>6767.0083412281756</v>
      </c>
      <c r="W1508" s="13" t="str">
        <f>IF(tblSalaries[[#This Row],[Job Type]]=tblSalaries[[#Headers],[Consultant]],tblSalaries[[#This Row],[Salary in USD]],"")</f>
        <v/>
      </c>
      <c r="X1508" s="13" t="str">
        <f>IF(tblSalaries[[#This Row],[Job Type]]=tblSalaries[[#Headers],[Controller]],tblSalaries[[#This Row],[Salary in USD]],"")</f>
        <v/>
      </c>
      <c r="Y1508" s="13" t="str">
        <f>IF(tblSalaries[[#This Row],[Job Type]]=tblSalaries[[#Headers],[CXO or Top Mgmt.]],tblSalaries[[#This Row],[clean Salary (in local currency)]],"")</f>
        <v/>
      </c>
      <c r="Z1508" s="13" t="str">
        <f>IF(tblSalaries[[#This Row],[Job Type]]=tblSalaries[[#Headers],[Engineer]],tblSalaries[[#This Row],[Salary in USD]],"")</f>
        <v/>
      </c>
      <c r="AA1508" s="13" t="str">
        <f>IF(tblSalaries[[#This Row],[Job Type]]=tblSalaries[[#Headers],[Manager]],tblSalaries[[#This Row],[Salary in USD]],"")</f>
        <v/>
      </c>
      <c r="AB1508" s="13" t="str">
        <f>IF(tblSalaries[[#This Row],[Job Type]]=tblSalaries[[#Headers],[Misc.]],tblSalaries[[#This Row],[Salary in USD]],"")</f>
        <v/>
      </c>
      <c r="AC1508" s="13" t="str">
        <f>IF(tblSalaries[[#This Row],[Job Type]]=tblSalaries[[#Headers],[Reporting]],tblSalaries[[#This Row],[Salary in USD]],"")</f>
        <v/>
      </c>
      <c r="AD1508" s="13" t="str">
        <f>IF(tblSalaries[[#This Row],[Job Type]]=tblSalaries[[#Headers],[Specialist]],tblSalaries[[#This Row],[Salary in USD]],"")</f>
        <v/>
      </c>
    </row>
    <row r="1509" spans="2:30" ht="15" customHeight="1" x14ac:dyDescent="0.25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 s="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  <c r="N1509" t="str">
        <f>IF(tblSalaries[[#This Row],[Years of Experience]]="","",IF(tblSalaries[[#This Row],[Years of Experience]]&lt;=2,1,""))</f>
        <v/>
      </c>
      <c r="O1509" t="str">
        <f>IF(tblSalaries[[#This Row],[Years of Experience]]="","",IF(AND(tblSalaries[[#This Row],[Years of Experience]]&gt;2,tblSalaries[[#This Row],[Years of Experience]]&lt;=5),1,""))</f>
        <v/>
      </c>
      <c r="P1509" t="str">
        <f>IF(tblSalaries[[#This Row],[Years of Experience]]="","",IF(AND(tblSalaries[[#This Row],[Years of Experience]]&gt;5,tblSalaries[[#This Row],[Years of Experience]]&lt;=10),1,""))</f>
        <v/>
      </c>
      <c r="Q1509">
        <f>IF(tblSalaries[[#This Row],[Years of Experience]]="","",IF(AND(tblSalaries[[#This Row],[Years of Experience]]&gt;10,tblSalaries[[#This Row],[Years of Experience]]&lt;=15),1,""))</f>
        <v>1</v>
      </c>
      <c r="R1509" t="str">
        <f>IF(tblSalaries[[#This Row],[Years of Experience]]="","",IF(AND(tblSalaries[[#This Row],[Years of Experience]]&gt;16,tblSalaries[[#This Row],[Years of Experience]]&lt;=20),1,""))</f>
        <v/>
      </c>
      <c r="S1509" t="str">
        <f>IF(tblSalaries[[#This Row],[Years of Experience]]="","",IF(tblSalaries[[#This Row],[Years of Experience]]&gt;20,1,""))</f>
        <v/>
      </c>
      <c r="T15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09" s="13" t="str">
        <f>IF(tblSalaries[[#This Row],[Job Type]]=tblSalaries[[#Headers],[Accountant]],tblSalaries[[#This Row],[Salary in USD]],"")</f>
        <v/>
      </c>
      <c r="V1509" s="13" t="str">
        <f>IF(tblSalaries[[#This Row],[Job Type]]=tblSalaries[[#Headers],[Analyst]],tblSalaries[[#This Row],[Salary in USD]],"")</f>
        <v/>
      </c>
      <c r="W1509" s="13">
        <f>IF(tblSalaries[[#This Row],[Job Type]]=tblSalaries[[#Headers],[Consultant]],tblSalaries[[#This Row],[Salary in USD]],"")</f>
        <v>48073.437298052166</v>
      </c>
      <c r="X1509" s="13" t="str">
        <f>IF(tblSalaries[[#This Row],[Job Type]]=tblSalaries[[#Headers],[Controller]],tblSalaries[[#This Row],[Salary in USD]],"")</f>
        <v/>
      </c>
      <c r="Y1509" s="13" t="str">
        <f>IF(tblSalaries[[#This Row],[Job Type]]=tblSalaries[[#Headers],[CXO or Top Mgmt.]],tblSalaries[[#This Row],[clean Salary (in local currency)]],"")</f>
        <v/>
      </c>
      <c r="Z1509" s="13" t="str">
        <f>IF(tblSalaries[[#This Row],[Job Type]]=tblSalaries[[#Headers],[Engineer]],tblSalaries[[#This Row],[Salary in USD]],"")</f>
        <v/>
      </c>
      <c r="AA1509" s="13" t="str">
        <f>IF(tblSalaries[[#This Row],[Job Type]]=tblSalaries[[#Headers],[Manager]],tblSalaries[[#This Row],[Salary in USD]],"")</f>
        <v/>
      </c>
      <c r="AB1509" s="13" t="str">
        <f>IF(tblSalaries[[#This Row],[Job Type]]=tblSalaries[[#Headers],[Misc.]],tblSalaries[[#This Row],[Salary in USD]],"")</f>
        <v/>
      </c>
      <c r="AC1509" s="13" t="str">
        <f>IF(tblSalaries[[#This Row],[Job Type]]=tblSalaries[[#Headers],[Reporting]],tblSalaries[[#This Row],[Salary in USD]],"")</f>
        <v/>
      </c>
      <c r="AD1509" s="13" t="str">
        <f>IF(tblSalaries[[#This Row],[Job Type]]=tblSalaries[[#Headers],[Specialist]],tblSalaries[[#This Row],[Salary in USD]],"")</f>
        <v/>
      </c>
    </row>
    <row r="1510" spans="2:30" ht="15" customHeight="1" x14ac:dyDescent="0.25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 s="9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  <c r="N1510" t="str">
        <f>IF(tblSalaries[[#This Row],[Years of Experience]]="","",IF(tblSalaries[[#This Row],[Years of Experience]]&lt;=2,1,""))</f>
        <v/>
      </c>
      <c r="O1510" t="str">
        <f>IF(tblSalaries[[#This Row],[Years of Experience]]="","",IF(AND(tblSalaries[[#This Row],[Years of Experience]]&gt;2,tblSalaries[[#This Row],[Years of Experience]]&lt;=5),1,""))</f>
        <v/>
      </c>
      <c r="P1510" t="str">
        <f>IF(tblSalaries[[#This Row],[Years of Experience]]="","",IF(AND(tblSalaries[[#This Row],[Years of Experience]]&gt;5,tblSalaries[[#This Row],[Years of Experience]]&lt;=10),1,""))</f>
        <v/>
      </c>
      <c r="Q1510">
        <f>IF(tblSalaries[[#This Row],[Years of Experience]]="","",IF(AND(tblSalaries[[#This Row],[Years of Experience]]&gt;10,tblSalaries[[#This Row],[Years of Experience]]&lt;=15),1,""))</f>
        <v>1</v>
      </c>
      <c r="R1510" t="str">
        <f>IF(tblSalaries[[#This Row],[Years of Experience]]="","",IF(AND(tblSalaries[[#This Row],[Years of Experience]]&gt;16,tblSalaries[[#This Row],[Years of Experience]]&lt;=20),1,""))</f>
        <v/>
      </c>
      <c r="S1510" t="str">
        <f>IF(tblSalaries[[#This Row],[Years of Experience]]="","",IF(tblSalaries[[#This Row],[Years of Experience]]&gt;20,1,""))</f>
        <v/>
      </c>
      <c r="T15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10" s="13" t="str">
        <f>IF(tblSalaries[[#This Row],[Job Type]]=tblSalaries[[#Headers],[Accountant]],tblSalaries[[#This Row],[Salary in USD]],"")</f>
        <v/>
      </c>
      <c r="V1510" s="13" t="str">
        <f>IF(tblSalaries[[#This Row],[Job Type]]=tblSalaries[[#Headers],[Analyst]],tblSalaries[[#This Row],[Salary in USD]],"")</f>
        <v/>
      </c>
      <c r="W1510" s="13" t="str">
        <f>IF(tblSalaries[[#This Row],[Job Type]]=tblSalaries[[#Headers],[Consultant]],tblSalaries[[#This Row],[Salary in USD]],"")</f>
        <v/>
      </c>
      <c r="X1510" s="13" t="str">
        <f>IF(tblSalaries[[#This Row],[Job Type]]=tblSalaries[[#Headers],[Controller]],tblSalaries[[#This Row],[Salary in USD]],"")</f>
        <v/>
      </c>
      <c r="Y1510" s="13" t="str">
        <f>IF(tblSalaries[[#This Row],[Job Type]]=tblSalaries[[#Headers],[CXO or Top Mgmt.]],tblSalaries[[#This Row],[clean Salary (in local currency)]],"")</f>
        <v/>
      </c>
      <c r="Z1510" s="13" t="str">
        <f>IF(tblSalaries[[#This Row],[Job Type]]=tblSalaries[[#Headers],[Engineer]],tblSalaries[[#This Row],[Salary in USD]],"")</f>
        <v/>
      </c>
      <c r="AA1510" s="13">
        <f>IF(tblSalaries[[#This Row],[Job Type]]=tblSalaries[[#Headers],[Manager]],tblSalaries[[#This Row],[Salary in USD]],"")</f>
        <v>76223.966339496474</v>
      </c>
      <c r="AB1510" s="13" t="str">
        <f>IF(tblSalaries[[#This Row],[Job Type]]=tblSalaries[[#Headers],[Misc.]],tblSalaries[[#This Row],[Salary in USD]],"")</f>
        <v/>
      </c>
      <c r="AC1510" s="13" t="str">
        <f>IF(tblSalaries[[#This Row],[Job Type]]=tblSalaries[[#Headers],[Reporting]],tblSalaries[[#This Row],[Salary in USD]],"")</f>
        <v/>
      </c>
      <c r="AD1510" s="13" t="str">
        <f>IF(tblSalaries[[#This Row],[Job Type]]=tblSalaries[[#Headers],[Specialist]],tblSalaries[[#This Row],[Salary in USD]],"")</f>
        <v/>
      </c>
    </row>
    <row r="1511" spans="2:30" ht="15" customHeight="1" x14ac:dyDescent="0.25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 s="9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  <c r="N1511" t="str">
        <f>IF(tblSalaries[[#This Row],[Years of Experience]]="","",IF(tblSalaries[[#This Row],[Years of Experience]]&lt;=2,1,""))</f>
        <v/>
      </c>
      <c r="O1511" t="str">
        <f>IF(tblSalaries[[#This Row],[Years of Experience]]="","",IF(AND(tblSalaries[[#This Row],[Years of Experience]]&gt;2,tblSalaries[[#This Row],[Years of Experience]]&lt;=5),1,""))</f>
        <v/>
      </c>
      <c r="P1511" t="str">
        <f>IF(tblSalaries[[#This Row],[Years of Experience]]="","",IF(AND(tblSalaries[[#This Row],[Years of Experience]]&gt;5,tblSalaries[[#This Row],[Years of Experience]]&lt;=10),1,""))</f>
        <v/>
      </c>
      <c r="Q1511">
        <f>IF(tblSalaries[[#This Row],[Years of Experience]]="","",IF(AND(tblSalaries[[#This Row],[Years of Experience]]&gt;10,tblSalaries[[#This Row],[Years of Experience]]&lt;=15),1,""))</f>
        <v>1</v>
      </c>
      <c r="R1511" t="str">
        <f>IF(tblSalaries[[#This Row],[Years of Experience]]="","",IF(AND(tblSalaries[[#This Row],[Years of Experience]]&gt;16,tblSalaries[[#This Row],[Years of Experience]]&lt;=20),1,""))</f>
        <v/>
      </c>
      <c r="S1511" t="str">
        <f>IF(tblSalaries[[#This Row],[Years of Experience]]="","",IF(tblSalaries[[#This Row],[Years of Experience]]&gt;20,1,""))</f>
        <v/>
      </c>
      <c r="T15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11" s="13" t="str">
        <f>IF(tblSalaries[[#This Row],[Job Type]]=tblSalaries[[#Headers],[Accountant]],tblSalaries[[#This Row],[Salary in USD]],"")</f>
        <v/>
      </c>
      <c r="V1511" s="13" t="str">
        <f>IF(tblSalaries[[#This Row],[Job Type]]=tblSalaries[[#Headers],[Analyst]],tblSalaries[[#This Row],[Salary in USD]],"")</f>
        <v/>
      </c>
      <c r="W1511" s="13" t="str">
        <f>IF(tblSalaries[[#This Row],[Job Type]]=tblSalaries[[#Headers],[Consultant]],tblSalaries[[#This Row],[Salary in USD]],"")</f>
        <v/>
      </c>
      <c r="X1511" s="13" t="str">
        <f>IF(tblSalaries[[#This Row],[Job Type]]=tblSalaries[[#Headers],[Controller]],tblSalaries[[#This Row],[Salary in USD]],"")</f>
        <v/>
      </c>
      <c r="Y1511" s="13" t="str">
        <f>IF(tblSalaries[[#This Row],[Job Type]]=tblSalaries[[#Headers],[CXO or Top Mgmt.]],tblSalaries[[#This Row],[clean Salary (in local currency)]],"")</f>
        <v/>
      </c>
      <c r="Z1511" s="13" t="str">
        <f>IF(tblSalaries[[#This Row],[Job Type]]=tblSalaries[[#Headers],[Engineer]],tblSalaries[[#This Row],[Salary in USD]],"")</f>
        <v/>
      </c>
      <c r="AA1511" s="13">
        <f>IF(tblSalaries[[#This Row],[Job Type]]=tblSalaries[[#Headers],[Manager]],tblSalaries[[#This Row],[Salary in USD]],"")</f>
        <v>85333.333333333328</v>
      </c>
      <c r="AB1511" s="13" t="str">
        <f>IF(tblSalaries[[#This Row],[Job Type]]=tblSalaries[[#Headers],[Misc.]],tblSalaries[[#This Row],[Salary in USD]],"")</f>
        <v/>
      </c>
      <c r="AC1511" s="13" t="str">
        <f>IF(tblSalaries[[#This Row],[Job Type]]=tblSalaries[[#Headers],[Reporting]],tblSalaries[[#This Row],[Salary in USD]],"")</f>
        <v/>
      </c>
      <c r="AD1511" s="13" t="str">
        <f>IF(tblSalaries[[#This Row],[Job Type]]=tblSalaries[[#Headers],[Specialist]],tblSalaries[[#This Row],[Salary in USD]],"")</f>
        <v/>
      </c>
    </row>
    <row r="1512" spans="2:30" ht="15" customHeight="1" x14ac:dyDescent="0.25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 s="9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  <c r="N1512" t="str">
        <f>IF(tblSalaries[[#This Row],[Years of Experience]]="","",IF(tblSalaries[[#This Row],[Years of Experience]]&lt;=2,1,""))</f>
        <v/>
      </c>
      <c r="O1512" t="str">
        <f>IF(tblSalaries[[#This Row],[Years of Experience]]="","",IF(AND(tblSalaries[[#This Row],[Years of Experience]]&gt;2,tblSalaries[[#This Row],[Years of Experience]]&lt;=5),1,""))</f>
        <v/>
      </c>
      <c r="P1512">
        <f>IF(tblSalaries[[#This Row],[Years of Experience]]="","",IF(AND(tblSalaries[[#This Row],[Years of Experience]]&gt;5,tblSalaries[[#This Row],[Years of Experience]]&lt;=10),1,""))</f>
        <v>1</v>
      </c>
      <c r="Q1512" t="str">
        <f>IF(tblSalaries[[#This Row],[Years of Experience]]="","",IF(AND(tblSalaries[[#This Row],[Years of Experience]]&gt;10,tblSalaries[[#This Row],[Years of Experience]]&lt;=15),1,""))</f>
        <v/>
      </c>
      <c r="R1512" t="str">
        <f>IF(tblSalaries[[#This Row],[Years of Experience]]="","",IF(AND(tblSalaries[[#This Row],[Years of Experience]]&gt;16,tblSalaries[[#This Row],[Years of Experience]]&lt;=20),1,""))</f>
        <v/>
      </c>
      <c r="S1512" t="str">
        <f>IF(tblSalaries[[#This Row],[Years of Experience]]="","",IF(tblSalaries[[#This Row],[Years of Experience]]&gt;20,1,""))</f>
        <v/>
      </c>
      <c r="T15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12" s="13" t="str">
        <f>IF(tblSalaries[[#This Row],[Job Type]]=tblSalaries[[#Headers],[Accountant]],tblSalaries[[#This Row],[Salary in USD]],"")</f>
        <v/>
      </c>
      <c r="V1512" s="13" t="str">
        <f>IF(tblSalaries[[#This Row],[Job Type]]=tblSalaries[[#Headers],[Analyst]],tblSalaries[[#This Row],[Salary in USD]],"")</f>
        <v/>
      </c>
      <c r="W1512" s="13" t="str">
        <f>IF(tblSalaries[[#This Row],[Job Type]]=tblSalaries[[#Headers],[Consultant]],tblSalaries[[#This Row],[Salary in USD]],"")</f>
        <v/>
      </c>
      <c r="X1512" s="13" t="str">
        <f>IF(tblSalaries[[#This Row],[Job Type]]=tblSalaries[[#Headers],[Controller]],tblSalaries[[#This Row],[Salary in USD]],"")</f>
        <v/>
      </c>
      <c r="Y1512" s="13" t="str">
        <f>IF(tblSalaries[[#This Row],[Job Type]]=tblSalaries[[#Headers],[CXO or Top Mgmt.]],tblSalaries[[#This Row],[clean Salary (in local currency)]],"")</f>
        <v/>
      </c>
      <c r="Z1512" s="13" t="str">
        <f>IF(tblSalaries[[#This Row],[Job Type]]=tblSalaries[[#Headers],[Engineer]],tblSalaries[[#This Row],[Salary in USD]],"")</f>
        <v/>
      </c>
      <c r="AA1512" s="13">
        <f>IF(tblSalaries[[#This Row],[Job Type]]=tblSalaries[[#Headers],[Manager]],tblSalaries[[#This Row],[Salary in USD]],"")</f>
        <v>76223.981237173866</v>
      </c>
      <c r="AB1512" s="13" t="str">
        <f>IF(tblSalaries[[#This Row],[Job Type]]=tblSalaries[[#Headers],[Misc.]],tblSalaries[[#This Row],[Salary in USD]],"")</f>
        <v/>
      </c>
      <c r="AC1512" s="13" t="str">
        <f>IF(tblSalaries[[#This Row],[Job Type]]=tblSalaries[[#Headers],[Reporting]],tblSalaries[[#This Row],[Salary in USD]],"")</f>
        <v/>
      </c>
      <c r="AD1512" s="13" t="str">
        <f>IF(tblSalaries[[#This Row],[Job Type]]=tblSalaries[[#Headers],[Specialist]],tblSalaries[[#This Row],[Salary in USD]],"")</f>
        <v/>
      </c>
    </row>
    <row r="1513" spans="2:30" ht="15" customHeight="1" x14ac:dyDescent="0.25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 s="9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  <c r="N1513" t="str">
        <f>IF(tblSalaries[[#This Row],[Years of Experience]]="","",IF(tblSalaries[[#This Row],[Years of Experience]]&lt;=2,1,""))</f>
        <v/>
      </c>
      <c r="O1513">
        <f>IF(tblSalaries[[#This Row],[Years of Experience]]="","",IF(AND(tblSalaries[[#This Row],[Years of Experience]]&gt;2,tblSalaries[[#This Row],[Years of Experience]]&lt;=5),1,""))</f>
        <v>1</v>
      </c>
      <c r="P1513" t="str">
        <f>IF(tblSalaries[[#This Row],[Years of Experience]]="","",IF(AND(tblSalaries[[#This Row],[Years of Experience]]&gt;5,tblSalaries[[#This Row],[Years of Experience]]&lt;=10),1,""))</f>
        <v/>
      </c>
      <c r="Q1513" t="str">
        <f>IF(tblSalaries[[#This Row],[Years of Experience]]="","",IF(AND(tblSalaries[[#This Row],[Years of Experience]]&gt;10,tblSalaries[[#This Row],[Years of Experience]]&lt;=15),1,""))</f>
        <v/>
      </c>
      <c r="R1513" t="str">
        <f>IF(tblSalaries[[#This Row],[Years of Experience]]="","",IF(AND(tblSalaries[[#This Row],[Years of Experience]]&gt;16,tblSalaries[[#This Row],[Years of Experience]]&lt;=20),1,""))</f>
        <v/>
      </c>
      <c r="S1513" t="str">
        <f>IF(tblSalaries[[#This Row],[Years of Experience]]="","",IF(tblSalaries[[#This Row],[Years of Experience]]&gt;20,1,""))</f>
        <v/>
      </c>
      <c r="T15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13" s="13" t="str">
        <f>IF(tblSalaries[[#This Row],[Job Type]]=tblSalaries[[#Headers],[Accountant]],tblSalaries[[#This Row],[Salary in USD]],"")</f>
        <v/>
      </c>
      <c r="V1513" s="13" t="str">
        <f>IF(tblSalaries[[#This Row],[Job Type]]=tblSalaries[[#Headers],[Analyst]],tblSalaries[[#This Row],[Salary in USD]],"")</f>
        <v/>
      </c>
      <c r="W1513" s="13" t="str">
        <f>IF(tblSalaries[[#This Row],[Job Type]]=tblSalaries[[#Headers],[Consultant]],tblSalaries[[#This Row],[Salary in USD]],"")</f>
        <v/>
      </c>
      <c r="X1513" s="13" t="str">
        <f>IF(tblSalaries[[#This Row],[Job Type]]=tblSalaries[[#Headers],[Controller]],tblSalaries[[#This Row],[Salary in USD]],"")</f>
        <v/>
      </c>
      <c r="Y1513" s="13" t="str">
        <f>IF(tblSalaries[[#This Row],[Job Type]]=tblSalaries[[#Headers],[CXO or Top Mgmt.]],tblSalaries[[#This Row],[clean Salary (in local currency)]],"")</f>
        <v/>
      </c>
      <c r="Z1513" s="13" t="str">
        <f>IF(tblSalaries[[#This Row],[Job Type]]=tblSalaries[[#Headers],[Engineer]],tblSalaries[[#This Row],[Salary in USD]],"")</f>
        <v/>
      </c>
      <c r="AA1513" s="13">
        <f>IF(tblSalaries[[#This Row],[Job Type]]=tblSalaries[[#Headers],[Manager]],tblSalaries[[#This Row],[Salary in USD]],"")</f>
        <v>30000</v>
      </c>
      <c r="AB1513" s="13" t="str">
        <f>IF(tblSalaries[[#This Row],[Job Type]]=tblSalaries[[#Headers],[Misc.]],tblSalaries[[#This Row],[Salary in USD]],"")</f>
        <v/>
      </c>
      <c r="AC1513" s="13" t="str">
        <f>IF(tblSalaries[[#This Row],[Job Type]]=tblSalaries[[#Headers],[Reporting]],tblSalaries[[#This Row],[Salary in USD]],"")</f>
        <v/>
      </c>
      <c r="AD1513" s="13" t="str">
        <f>IF(tblSalaries[[#This Row],[Job Type]]=tblSalaries[[#Headers],[Specialist]],tblSalaries[[#This Row],[Salary in USD]],"")</f>
        <v/>
      </c>
    </row>
    <row r="1514" spans="2:30" ht="15" customHeight="1" x14ac:dyDescent="0.25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 s="9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  <c r="N1514" t="str">
        <f>IF(tblSalaries[[#This Row],[Years of Experience]]="","",IF(tblSalaries[[#This Row],[Years of Experience]]&lt;=2,1,""))</f>
        <v/>
      </c>
      <c r="O1514">
        <f>IF(tblSalaries[[#This Row],[Years of Experience]]="","",IF(AND(tblSalaries[[#This Row],[Years of Experience]]&gt;2,tblSalaries[[#This Row],[Years of Experience]]&lt;=5),1,""))</f>
        <v>1</v>
      </c>
      <c r="P1514" t="str">
        <f>IF(tblSalaries[[#This Row],[Years of Experience]]="","",IF(AND(tblSalaries[[#This Row],[Years of Experience]]&gt;5,tblSalaries[[#This Row],[Years of Experience]]&lt;=10),1,""))</f>
        <v/>
      </c>
      <c r="Q1514" t="str">
        <f>IF(tblSalaries[[#This Row],[Years of Experience]]="","",IF(AND(tblSalaries[[#This Row],[Years of Experience]]&gt;10,tblSalaries[[#This Row],[Years of Experience]]&lt;=15),1,""))</f>
        <v/>
      </c>
      <c r="R1514" t="str">
        <f>IF(tblSalaries[[#This Row],[Years of Experience]]="","",IF(AND(tblSalaries[[#This Row],[Years of Experience]]&gt;16,tblSalaries[[#This Row],[Years of Experience]]&lt;=20),1,""))</f>
        <v/>
      </c>
      <c r="S1514" t="str">
        <f>IF(tblSalaries[[#This Row],[Years of Experience]]="","",IF(tblSalaries[[#This Row],[Years of Experience]]&gt;20,1,""))</f>
        <v/>
      </c>
      <c r="T15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14" s="13" t="str">
        <f>IF(tblSalaries[[#This Row],[Job Type]]=tblSalaries[[#Headers],[Accountant]],tblSalaries[[#This Row],[Salary in USD]],"")</f>
        <v/>
      </c>
      <c r="V1514" s="13">
        <f>IF(tblSalaries[[#This Row],[Job Type]]=tblSalaries[[#Headers],[Analyst]],tblSalaries[[#This Row],[Salary in USD]],"")</f>
        <v>34000</v>
      </c>
      <c r="W1514" s="13" t="str">
        <f>IF(tblSalaries[[#This Row],[Job Type]]=tblSalaries[[#Headers],[Consultant]],tblSalaries[[#This Row],[Salary in USD]],"")</f>
        <v/>
      </c>
      <c r="X1514" s="13" t="str">
        <f>IF(tblSalaries[[#This Row],[Job Type]]=tblSalaries[[#Headers],[Controller]],tblSalaries[[#This Row],[Salary in USD]],"")</f>
        <v/>
      </c>
      <c r="Y1514" s="13" t="str">
        <f>IF(tblSalaries[[#This Row],[Job Type]]=tblSalaries[[#Headers],[CXO or Top Mgmt.]],tblSalaries[[#This Row],[clean Salary (in local currency)]],"")</f>
        <v/>
      </c>
      <c r="Z1514" s="13" t="str">
        <f>IF(tblSalaries[[#This Row],[Job Type]]=tblSalaries[[#Headers],[Engineer]],tblSalaries[[#This Row],[Salary in USD]],"")</f>
        <v/>
      </c>
      <c r="AA1514" s="13" t="str">
        <f>IF(tblSalaries[[#This Row],[Job Type]]=tblSalaries[[#Headers],[Manager]],tblSalaries[[#This Row],[Salary in USD]],"")</f>
        <v/>
      </c>
      <c r="AB1514" s="13" t="str">
        <f>IF(tblSalaries[[#This Row],[Job Type]]=tblSalaries[[#Headers],[Misc.]],tblSalaries[[#This Row],[Salary in USD]],"")</f>
        <v/>
      </c>
      <c r="AC1514" s="13" t="str">
        <f>IF(tblSalaries[[#This Row],[Job Type]]=tblSalaries[[#Headers],[Reporting]],tblSalaries[[#This Row],[Salary in USD]],"")</f>
        <v/>
      </c>
      <c r="AD1514" s="13" t="str">
        <f>IF(tblSalaries[[#This Row],[Job Type]]=tblSalaries[[#Headers],[Specialist]],tblSalaries[[#This Row],[Salary in USD]],"")</f>
        <v/>
      </c>
    </row>
    <row r="1515" spans="2:30" ht="15" customHeight="1" x14ac:dyDescent="0.25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 s="9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  <c r="N1515" t="str">
        <f>IF(tblSalaries[[#This Row],[Years of Experience]]="","",IF(tblSalaries[[#This Row],[Years of Experience]]&lt;=2,1,""))</f>
        <v/>
      </c>
      <c r="O1515">
        <f>IF(tblSalaries[[#This Row],[Years of Experience]]="","",IF(AND(tblSalaries[[#This Row],[Years of Experience]]&gt;2,tblSalaries[[#This Row],[Years of Experience]]&lt;=5),1,""))</f>
        <v>1</v>
      </c>
      <c r="P1515" t="str">
        <f>IF(tblSalaries[[#This Row],[Years of Experience]]="","",IF(AND(tblSalaries[[#This Row],[Years of Experience]]&gt;5,tblSalaries[[#This Row],[Years of Experience]]&lt;=10),1,""))</f>
        <v/>
      </c>
      <c r="Q1515" t="str">
        <f>IF(tblSalaries[[#This Row],[Years of Experience]]="","",IF(AND(tblSalaries[[#This Row],[Years of Experience]]&gt;10,tblSalaries[[#This Row],[Years of Experience]]&lt;=15),1,""))</f>
        <v/>
      </c>
      <c r="R1515" t="str">
        <f>IF(tblSalaries[[#This Row],[Years of Experience]]="","",IF(AND(tblSalaries[[#This Row],[Years of Experience]]&gt;16,tblSalaries[[#This Row],[Years of Experience]]&lt;=20),1,""))</f>
        <v/>
      </c>
      <c r="S1515" t="str">
        <f>IF(tblSalaries[[#This Row],[Years of Experience]]="","",IF(tblSalaries[[#This Row],[Years of Experience]]&gt;20,1,""))</f>
        <v/>
      </c>
      <c r="T15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15" s="13" t="str">
        <f>IF(tblSalaries[[#This Row],[Job Type]]=tblSalaries[[#Headers],[Accountant]],tblSalaries[[#This Row],[Salary in USD]],"")</f>
        <v/>
      </c>
      <c r="V1515" s="13" t="str">
        <f>IF(tblSalaries[[#This Row],[Job Type]]=tblSalaries[[#Headers],[Analyst]],tblSalaries[[#This Row],[Salary in USD]],"")</f>
        <v/>
      </c>
      <c r="W1515" s="13" t="str">
        <f>IF(tblSalaries[[#This Row],[Job Type]]=tblSalaries[[#Headers],[Consultant]],tblSalaries[[#This Row],[Salary in USD]],"")</f>
        <v/>
      </c>
      <c r="X1515" s="13" t="str">
        <f>IF(tblSalaries[[#This Row],[Job Type]]=tblSalaries[[#Headers],[Controller]],tblSalaries[[#This Row],[Salary in USD]],"")</f>
        <v/>
      </c>
      <c r="Y1515" s="13" t="str">
        <f>IF(tblSalaries[[#This Row],[Job Type]]=tblSalaries[[#Headers],[CXO or Top Mgmt.]],tblSalaries[[#This Row],[clean Salary (in local currency)]],"")</f>
        <v/>
      </c>
      <c r="Z1515" s="13" t="str">
        <f>IF(tblSalaries[[#This Row],[Job Type]]=tblSalaries[[#Headers],[Engineer]],tblSalaries[[#This Row],[Salary in USD]],"")</f>
        <v/>
      </c>
      <c r="AA1515" s="13">
        <f>IF(tblSalaries[[#This Row],[Job Type]]=tblSalaries[[#Headers],[Manager]],tblSalaries[[#This Row],[Salary in USD]],"")</f>
        <v>3205.4250037396623</v>
      </c>
      <c r="AB1515" s="13" t="str">
        <f>IF(tblSalaries[[#This Row],[Job Type]]=tblSalaries[[#Headers],[Misc.]],tblSalaries[[#This Row],[Salary in USD]],"")</f>
        <v/>
      </c>
      <c r="AC1515" s="13" t="str">
        <f>IF(tblSalaries[[#This Row],[Job Type]]=tblSalaries[[#Headers],[Reporting]],tblSalaries[[#This Row],[Salary in USD]],"")</f>
        <v/>
      </c>
      <c r="AD1515" s="13" t="str">
        <f>IF(tblSalaries[[#This Row],[Job Type]]=tblSalaries[[#Headers],[Specialist]],tblSalaries[[#This Row],[Salary in USD]],"")</f>
        <v/>
      </c>
    </row>
    <row r="1516" spans="2:30" ht="15" customHeight="1" x14ac:dyDescent="0.25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 s="9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  <c r="N1516" t="str">
        <f>IF(tblSalaries[[#This Row],[Years of Experience]]="","",IF(tblSalaries[[#This Row],[Years of Experience]]&lt;=2,1,""))</f>
        <v/>
      </c>
      <c r="O1516">
        <f>IF(tblSalaries[[#This Row],[Years of Experience]]="","",IF(AND(tblSalaries[[#This Row],[Years of Experience]]&gt;2,tblSalaries[[#This Row],[Years of Experience]]&lt;=5),1,""))</f>
        <v>1</v>
      </c>
      <c r="P1516" t="str">
        <f>IF(tblSalaries[[#This Row],[Years of Experience]]="","",IF(AND(tblSalaries[[#This Row],[Years of Experience]]&gt;5,tblSalaries[[#This Row],[Years of Experience]]&lt;=10),1,""))</f>
        <v/>
      </c>
      <c r="Q1516" t="str">
        <f>IF(tblSalaries[[#This Row],[Years of Experience]]="","",IF(AND(tblSalaries[[#This Row],[Years of Experience]]&gt;10,tblSalaries[[#This Row],[Years of Experience]]&lt;=15),1,""))</f>
        <v/>
      </c>
      <c r="R1516" t="str">
        <f>IF(tblSalaries[[#This Row],[Years of Experience]]="","",IF(AND(tblSalaries[[#This Row],[Years of Experience]]&gt;16,tblSalaries[[#This Row],[Years of Experience]]&lt;=20),1,""))</f>
        <v/>
      </c>
      <c r="S1516" t="str">
        <f>IF(tblSalaries[[#This Row],[Years of Experience]]="","",IF(tblSalaries[[#This Row],[Years of Experience]]&gt;20,1,""))</f>
        <v/>
      </c>
      <c r="T15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16" s="13" t="str">
        <f>IF(tblSalaries[[#This Row],[Job Type]]=tblSalaries[[#Headers],[Accountant]],tblSalaries[[#This Row],[Salary in USD]],"")</f>
        <v/>
      </c>
      <c r="V1516" s="13" t="str">
        <f>IF(tblSalaries[[#This Row],[Job Type]]=tblSalaries[[#Headers],[Analyst]],tblSalaries[[#This Row],[Salary in USD]],"")</f>
        <v/>
      </c>
      <c r="W1516" s="13" t="str">
        <f>IF(tblSalaries[[#This Row],[Job Type]]=tblSalaries[[#Headers],[Consultant]],tblSalaries[[#This Row],[Salary in USD]],"")</f>
        <v/>
      </c>
      <c r="X1516" s="13" t="str">
        <f>IF(tblSalaries[[#This Row],[Job Type]]=tblSalaries[[#Headers],[Controller]],tblSalaries[[#This Row],[Salary in USD]],"")</f>
        <v/>
      </c>
      <c r="Y1516" s="13" t="str">
        <f>IF(tblSalaries[[#This Row],[Job Type]]=tblSalaries[[#Headers],[CXO or Top Mgmt.]],tblSalaries[[#This Row],[clean Salary (in local currency)]],"")</f>
        <v/>
      </c>
      <c r="Z1516" s="13" t="str">
        <f>IF(tblSalaries[[#This Row],[Job Type]]=tblSalaries[[#Headers],[Engineer]],tblSalaries[[#This Row],[Salary in USD]],"")</f>
        <v/>
      </c>
      <c r="AA1516" s="13">
        <f>IF(tblSalaries[[#This Row],[Job Type]]=tblSalaries[[#Headers],[Manager]],tblSalaries[[#This Row],[Salary in USD]],"")</f>
        <v>45000</v>
      </c>
      <c r="AB1516" s="13" t="str">
        <f>IF(tblSalaries[[#This Row],[Job Type]]=tblSalaries[[#Headers],[Misc.]],tblSalaries[[#This Row],[Salary in USD]],"")</f>
        <v/>
      </c>
      <c r="AC1516" s="13" t="str">
        <f>IF(tblSalaries[[#This Row],[Job Type]]=tblSalaries[[#Headers],[Reporting]],tblSalaries[[#This Row],[Salary in USD]],"")</f>
        <v/>
      </c>
      <c r="AD1516" s="13" t="str">
        <f>IF(tblSalaries[[#This Row],[Job Type]]=tblSalaries[[#Headers],[Specialist]],tblSalaries[[#This Row],[Salary in USD]],"")</f>
        <v/>
      </c>
    </row>
    <row r="1517" spans="2:30" ht="15" customHeight="1" x14ac:dyDescent="0.25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 s="9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  <c r="N1517" t="str">
        <f>IF(tblSalaries[[#This Row],[Years of Experience]]="","",IF(tblSalaries[[#This Row],[Years of Experience]]&lt;=2,1,""))</f>
        <v/>
      </c>
      <c r="O1517" t="str">
        <f>IF(tblSalaries[[#This Row],[Years of Experience]]="","",IF(AND(tblSalaries[[#This Row],[Years of Experience]]&gt;2,tblSalaries[[#This Row],[Years of Experience]]&lt;=5),1,""))</f>
        <v/>
      </c>
      <c r="P1517">
        <f>IF(tblSalaries[[#This Row],[Years of Experience]]="","",IF(AND(tblSalaries[[#This Row],[Years of Experience]]&gt;5,tblSalaries[[#This Row],[Years of Experience]]&lt;=10),1,""))</f>
        <v>1</v>
      </c>
      <c r="Q1517" t="str">
        <f>IF(tblSalaries[[#This Row],[Years of Experience]]="","",IF(AND(tblSalaries[[#This Row],[Years of Experience]]&gt;10,tblSalaries[[#This Row],[Years of Experience]]&lt;=15),1,""))</f>
        <v/>
      </c>
      <c r="R1517" t="str">
        <f>IF(tblSalaries[[#This Row],[Years of Experience]]="","",IF(AND(tblSalaries[[#This Row],[Years of Experience]]&gt;16,tblSalaries[[#This Row],[Years of Experience]]&lt;=20),1,""))</f>
        <v/>
      </c>
      <c r="S1517" t="str">
        <f>IF(tblSalaries[[#This Row],[Years of Experience]]="","",IF(tblSalaries[[#This Row],[Years of Experience]]&gt;20,1,""))</f>
        <v/>
      </c>
      <c r="T15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17" s="13" t="str">
        <f>IF(tblSalaries[[#This Row],[Job Type]]=tblSalaries[[#Headers],[Accountant]],tblSalaries[[#This Row],[Salary in USD]],"")</f>
        <v/>
      </c>
      <c r="V1517" s="13" t="str">
        <f>IF(tblSalaries[[#This Row],[Job Type]]=tblSalaries[[#Headers],[Analyst]],tblSalaries[[#This Row],[Salary in USD]],"")</f>
        <v/>
      </c>
      <c r="W1517" s="13" t="str">
        <f>IF(tblSalaries[[#This Row],[Job Type]]=tblSalaries[[#Headers],[Consultant]],tblSalaries[[#This Row],[Salary in USD]],"")</f>
        <v/>
      </c>
      <c r="X1517" s="13" t="str">
        <f>IF(tblSalaries[[#This Row],[Job Type]]=tblSalaries[[#Headers],[Controller]],tblSalaries[[#This Row],[Salary in USD]],"")</f>
        <v/>
      </c>
      <c r="Y1517" s="13" t="str">
        <f>IF(tblSalaries[[#This Row],[Job Type]]=tblSalaries[[#Headers],[CXO or Top Mgmt.]],tblSalaries[[#This Row],[clean Salary (in local currency)]],"")</f>
        <v/>
      </c>
      <c r="Z1517" s="13" t="str">
        <f>IF(tblSalaries[[#This Row],[Job Type]]=tblSalaries[[#Headers],[Engineer]],tblSalaries[[#This Row],[Salary in USD]],"")</f>
        <v/>
      </c>
      <c r="AA1517" s="13">
        <f>IF(tblSalaries[[#This Row],[Job Type]]=tblSalaries[[#Headers],[Manager]],tblSalaries[[#This Row],[Salary in USD]],"")</f>
        <v>24864</v>
      </c>
      <c r="AB1517" s="13" t="str">
        <f>IF(tblSalaries[[#This Row],[Job Type]]=tblSalaries[[#Headers],[Misc.]],tblSalaries[[#This Row],[Salary in USD]],"")</f>
        <v/>
      </c>
      <c r="AC1517" s="13" t="str">
        <f>IF(tblSalaries[[#This Row],[Job Type]]=tblSalaries[[#Headers],[Reporting]],tblSalaries[[#This Row],[Salary in USD]],"")</f>
        <v/>
      </c>
      <c r="AD1517" s="13" t="str">
        <f>IF(tblSalaries[[#This Row],[Job Type]]=tblSalaries[[#Headers],[Specialist]],tblSalaries[[#This Row],[Salary in USD]],"")</f>
        <v/>
      </c>
    </row>
    <row r="1518" spans="2:30" ht="15" customHeight="1" x14ac:dyDescent="0.25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 s="9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  <c r="N1518" t="str">
        <f>IF(tblSalaries[[#This Row],[Years of Experience]]="","",IF(tblSalaries[[#This Row],[Years of Experience]]&lt;=2,1,""))</f>
        <v/>
      </c>
      <c r="O1518" t="str">
        <f>IF(tblSalaries[[#This Row],[Years of Experience]]="","",IF(AND(tblSalaries[[#This Row],[Years of Experience]]&gt;2,tblSalaries[[#This Row],[Years of Experience]]&lt;=5),1,""))</f>
        <v/>
      </c>
      <c r="P1518">
        <f>IF(tblSalaries[[#This Row],[Years of Experience]]="","",IF(AND(tblSalaries[[#This Row],[Years of Experience]]&gt;5,tblSalaries[[#This Row],[Years of Experience]]&lt;=10),1,""))</f>
        <v>1</v>
      </c>
      <c r="Q1518" t="str">
        <f>IF(tblSalaries[[#This Row],[Years of Experience]]="","",IF(AND(tblSalaries[[#This Row],[Years of Experience]]&gt;10,tblSalaries[[#This Row],[Years of Experience]]&lt;=15),1,""))</f>
        <v/>
      </c>
      <c r="R1518" t="str">
        <f>IF(tblSalaries[[#This Row],[Years of Experience]]="","",IF(AND(tblSalaries[[#This Row],[Years of Experience]]&gt;16,tblSalaries[[#This Row],[Years of Experience]]&lt;=20),1,""))</f>
        <v/>
      </c>
      <c r="S1518" t="str">
        <f>IF(tblSalaries[[#This Row],[Years of Experience]]="","",IF(tblSalaries[[#This Row],[Years of Experience]]&gt;20,1,""))</f>
        <v/>
      </c>
      <c r="T15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18" s="13" t="str">
        <f>IF(tblSalaries[[#This Row],[Job Type]]=tblSalaries[[#Headers],[Accountant]],tblSalaries[[#This Row],[Salary in USD]],"")</f>
        <v/>
      </c>
      <c r="V1518" s="13">
        <f>IF(tblSalaries[[#This Row],[Job Type]]=tblSalaries[[#Headers],[Analyst]],tblSalaries[[#This Row],[Salary in USD]],"")</f>
        <v>47285.348162018527</v>
      </c>
      <c r="W1518" s="13" t="str">
        <f>IF(tblSalaries[[#This Row],[Job Type]]=tblSalaries[[#Headers],[Consultant]],tblSalaries[[#This Row],[Salary in USD]],"")</f>
        <v/>
      </c>
      <c r="X1518" s="13" t="str">
        <f>IF(tblSalaries[[#This Row],[Job Type]]=tblSalaries[[#Headers],[Controller]],tblSalaries[[#This Row],[Salary in USD]],"")</f>
        <v/>
      </c>
      <c r="Y1518" s="13" t="str">
        <f>IF(tblSalaries[[#This Row],[Job Type]]=tblSalaries[[#Headers],[CXO or Top Mgmt.]],tblSalaries[[#This Row],[clean Salary (in local currency)]],"")</f>
        <v/>
      </c>
      <c r="Z1518" s="13" t="str">
        <f>IF(tblSalaries[[#This Row],[Job Type]]=tblSalaries[[#Headers],[Engineer]],tblSalaries[[#This Row],[Salary in USD]],"")</f>
        <v/>
      </c>
      <c r="AA1518" s="13" t="str">
        <f>IF(tblSalaries[[#This Row],[Job Type]]=tblSalaries[[#Headers],[Manager]],tblSalaries[[#This Row],[Salary in USD]],"")</f>
        <v/>
      </c>
      <c r="AB1518" s="13" t="str">
        <f>IF(tblSalaries[[#This Row],[Job Type]]=tblSalaries[[#Headers],[Misc.]],tblSalaries[[#This Row],[Salary in USD]],"")</f>
        <v/>
      </c>
      <c r="AC1518" s="13" t="str">
        <f>IF(tblSalaries[[#This Row],[Job Type]]=tblSalaries[[#Headers],[Reporting]],tblSalaries[[#This Row],[Salary in USD]],"")</f>
        <v/>
      </c>
      <c r="AD1518" s="13" t="str">
        <f>IF(tblSalaries[[#This Row],[Job Type]]=tblSalaries[[#Headers],[Specialist]],tblSalaries[[#This Row],[Salary in USD]],"")</f>
        <v/>
      </c>
    </row>
    <row r="1519" spans="2:30" ht="15" customHeight="1" x14ac:dyDescent="0.25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 s="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  <c r="N1519" t="str">
        <f>IF(tblSalaries[[#This Row],[Years of Experience]]="","",IF(tblSalaries[[#This Row],[Years of Experience]]&lt;=2,1,""))</f>
        <v/>
      </c>
      <c r="O1519" t="str">
        <f>IF(tblSalaries[[#This Row],[Years of Experience]]="","",IF(AND(tblSalaries[[#This Row],[Years of Experience]]&gt;2,tblSalaries[[#This Row],[Years of Experience]]&lt;=5),1,""))</f>
        <v/>
      </c>
      <c r="P1519">
        <f>IF(tblSalaries[[#This Row],[Years of Experience]]="","",IF(AND(tblSalaries[[#This Row],[Years of Experience]]&gt;5,tblSalaries[[#This Row],[Years of Experience]]&lt;=10),1,""))</f>
        <v>1</v>
      </c>
      <c r="Q1519" t="str">
        <f>IF(tblSalaries[[#This Row],[Years of Experience]]="","",IF(AND(tblSalaries[[#This Row],[Years of Experience]]&gt;10,tblSalaries[[#This Row],[Years of Experience]]&lt;=15),1,""))</f>
        <v/>
      </c>
      <c r="R1519" t="str">
        <f>IF(tblSalaries[[#This Row],[Years of Experience]]="","",IF(AND(tblSalaries[[#This Row],[Years of Experience]]&gt;16,tblSalaries[[#This Row],[Years of Experience]]&lt;=20),1,""))</f>
        <v/>
      </c>
      <c r="S1519" t="str">
        <f>IF(tblSalaries[[#This Row],[Years of Experience]]="","",IF(tblSalaries[[#This Row],[Years of Experience]]&gt;20,1,""))</f>
        <v/>
      </c>
      <c r="T15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19" s="13" t="str">
        <f>IF(tblSalaries[[#This Row],[Job Type]]=tblSalaries[[#Headers],[Accountant]],tblSalaries[[#This Row],[Salary in USD]],"")</f>
        <v/>
      </c>
      <c r="V1519" s="13">
        <f>IF(tblSalaries[[#This Row],[Job Type]]=tblSalaries[[#Headers],[Analyst]],tblSalaries[[#This Row],[Salary in USD]],"")</f>
        <v>17807.916687442568</v>
      </c>
      <c r="W1519" s="13" t="str">
        <f>IF(tblSalaries[[#This Row],[Job Type]]=tblSalaries[[#Headers],[Consultant]],tblSalaries[[#This Row],[Salary in USD]],"")</f>
        <v/>
      </c>
      <c r="X1519" s="13" t="str">
        <f>IF(tblSalaries[[#This Row],[Job Type]]=tblSalaries[[#Headers],[Controller]],tblSalaries[[#This Row],[Salary in USD]],"")</f>
        <v/>
      </c>
      <c r="Y1519" s="13" t="str">
        <f>IF(tblSalaries[[#This Row],[Job Type]]=tblSalaries[[#Headers],[CXO or Top Mgmt.]],tblSalaries[[#This Row],[clean Salary (in local currency)]],"")</f>
        <v/>
      </c>
      <c r="Z1519" s="13" t="str">
        <f>IF(tblSalaries[[#This Row],[Job Type]]=tblSalaries[[#Headers],[Engineer]],tblSalaries[[#This Row],[Salary in USD]],"")</f>
        <v/>
      </c>
      <c r="AA1519" s="13" t="str">
        <f>IF(tblSalaries[[#This Row],[Job Type]]=tblSalaries[[#Headers],[Manager]],tblSalaries[[#This Row],[Salary in USD]],"")</f>
        <v/>
      </c>
      <c r="AB1519" s="13" t="str">
        <f>IF(tblSalaries[[#This Row],[Job Type]]=tblSalaries[[#Headers],[Misc.]],tblSalaries[[#This Row],[Salary in USD]],"")</f>
        <v/>
      </c>
      <c r="AC1519" s="13" t="str">
        <f>IF(tblSalaries[[#This Row],[Job Type]]=tblSalaries[[#Headers],[Reporting]],tblSalaries[[#This Row],[Salary in USD]],"")</f>
        <v/>
      </c>
      <c r="AD1519" s="13" t="str">
        <f>IF(tblSalaries[[#This Row],[Job Type]]=tblSalaries[[#Headers],[Specialist]],tblSalaries[[#This Row],[Salary in USD]],"")</f>
        <v/>
      </c>
    </row>
    <row r="1520" spans="2:30" ht="15" customHeight="1" x14ac:dyDescent="0.25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 s="9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  <c r="N1520" t="str">
        <f>IF(tblSalaries[[#This Row],[Years of Experience]]="","",IF(tblSalaries[[#This Row],[Years of Experience]]&lt;=2,1,""))</f>
        <v/>
      </c>
      <c r="O1520">
        <f>IF(tblSalaries[[#This Row],[Years of Experience]]="","",IF(AND(tblSalaries[[#This Row],[Years of Experience]]&gt;2,tblSalaries[[#This Row],[Years of Experience]]&lt;=5),1,""))</f>
        <v>1</v>
      </c>
      <c r="P1520" t="str">
        <f>IF(tblSalaries[[#This Row],[Years of Experience]]="","",IF(AND(tblSalaries[[#This Row],[Years of Experience]]&gt;5,tblSalaries[[#This Row],[Years of Experience]]&lt;=10),1,""))</f>
        <v/>
      </c>
      <c r="Q1520" t="str">
        <f>IF(tblSalaries[[#This Row],[Years of Experience]]="","",IF(AND(tblSalaries[[#This Row],[Years of Experience]]&gt;10,tblSalaries[[#This Row],[Years of Experience]]&lt;=15),1,""))</f>
        <v/>
      </c>
      <c r="R1520" t="str">
        <f>IF(tblSalaries[[#This Row],[Years of Experience]]="","",IF(AND(tblSalaries[[#This Row],[Years of Experience]]&gt;16,tblSalaries[[#This Row],[Years of Experience]]&lt;=20),1,""))</f>
        <v/>
      </c>
      <c r="S1520" t="str">
        <f>IF(tblSalaries[[#This Row],[Years of Experience]]="","",IF(tblSalaries[[#This Row],[Years of Experience]]&gt;20,1,""))</f>
        <v/>
      </c>
      <c r="T15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20" s="13" t="str">
        <f>IF(tblSalaries[[#This Row],[Job Type]]=tblSalaries[[#Headers],[Accountant]],tblSalaries[[#This Row],[Salary in USD]],"")</f>
        <v/>
      </c>
      <c r="V1520" s="13">
        <f>IF(tblSalaries[[#This Row],[Job Type]]=tblSalaries[[#Headers],[Analyst]],tblSalaries[[#This Row],[Salary in USD]],"")</f>
        <v>55166.239522354947</v>
      </c>
      <c r="W1520" s="13" t="str">
        <f>IF(tblSalaries[[#This Row],[Job Type]]=tblSalaries[[#Headers],[Consultant]],tblSalaries[[#This Row],[Salary in USD]],"")</f>
        <v/>
      </c>
      <c r="X1520" s="13" t="str">
        <f>IF(tblSalaries[[#This Row],[Job Type]]=tblSalaries[[#Headers],[Controller]],tblSalaries[[#This Row],[Salary in USD]],"")</f>
        <v/>
      </c>
      <c r="Y1520" s="13" t="str">
        <f>IF(tblSalaries[[#This Row],[Job Type]]=tblSalaries[[#Headers],[CXO or Top Mgmt.]],tblSalaries[[#This Row],[clean Salary (in local currency)]],"")</f>
        <v/>
      </c>
      <c r="Z1520" s="13" t="str">
        <f>IF(tblSalaries[[#This Row],[Job Type]]=tblSalaries[[#Headers],[Engineer]],tblSalaries[[#This Row],[Salary in USD]],"")</f>
        <v/>
      </c>
      <c r="AA1520" s="13" t="str">
        <f>IF(tblSalaries[[#This Row],[Job Type]]=tblSalaries[[#Headers],[Manager]],tblSalaries[[#This Row],[Salary in USD]],"")</f>
        <v/>
      </c>
      <c r="AB1520" s="13" t="str">
        <f>IF(tblSalaries[[#This Row],[Job Type]]=tblSalaries[[#Headers],[Misc.]],tblSalaries[[#This Row],[Salary in USD]],"")</f>
        <v/>
      </c>
      <c r="AC1520" s="13" t="str">
        <f>IF(tblSalaries[[#This Row],[Job Type]]=tblSalaries[[#Headers],[Reporting]],tblSalaries[[#This Row],[Salary in USD]],"")</f>
        <v/>
      </c>
      <c r="AD1520" s="13" t="str">
        <f>IF(tblSalaries[[#This Row],[Job Type]]=tblSalaries[[#Headers],[Specialist]],tblSalaries[[#This Row],[Salary in USD]],"")</f>
        <v/>
      </c>
    </row>
    <row r="1521" spans="2:30" ht="15" customHeight="1" x14ac:dyDescent="0.25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 s="9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  <c r="N1521" t="str">
        <f>IF(tblSalaries[[#This Row],[Years of Experience]]="","",IF(tblSalaries[[#This Row],[Years of Experience]]&lt;=2,1,""))</f>
        <v/>
      </c>
      <c r="O1521">
        <f>IF(tblSalaries[[#This Row],[Years of Experience]]="","",IF(AND(tblSalaries[[#This Row],[Years of Experience]]&gt;2,tblSalaries[[#This Row],[Years of Experience]]&lt;=5),1,""))</f>
        <v>1</v>
      </c>
      <c r="P1521" t="str">
        <f>IF(tblSalaries[[#This Row],[Years of Experience]]="","",IF(AND(tblSalaries[[#This Row],[Years of Experience]]&gt;5,tblSalaries[[#This Row],[Years of Experience]]&lt;=10),1,""))</f>
        <v/>
      </c>
      <c r="Q1521" t="str">
        <f>IF(tblSalaries[[#This Row],[Years of Experience]]="","",IF(AND(tblSalaries[[#This Row],[Years of Experience]]&gt;10,tblSalaries[[#This Row],[Years of Experience]]&lt;=15),1,""))</f>
        <v/>
      </c>
      <c r="R1521" t="str">
        <f>IF(tblSalaries[[#This Row],[Years of Experience]]="","",IF(AND(tblSalaries[[#This Row],[Years of Experience]]&gt;16,tblSalaries[[#This Row],[Years of Experience]]&lt;=20),1,""))</f>
        <v/>
      </c>
      <c r="S1521" t="str">
        <f>IF(tblSalaries[[#This Row],[Years of Experience]]="","",IF(tblSalaries[[#This Row],[Years of Experience]]&gt;20,1,""))</f>
        <v/>
      </c>
      <c r="T15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21" s="13" t="str">
        <f>IF(tblSalaries[[#This Row],[Job Type]]=tblSalaries[[#Headers],[Accountant]],tblSalaries[[#This Row],[Salary in USD]],"")</f>
        <v/>
      </c>
      <c r="V1521" s="13" t="str">
        <f>IF(tblSalaries[[#This Row],[Job Type]]=tblSalaries[[#Headers],[Analyst]],tblSalaries[[#This Row],[Salary in USD]],"")</f>
        <v/>
      </c>
      <c r="W1521" s="13" t="str">
        <f>IF(tblSalaries[[#This Row],[Job Type]]=tblSalaries[[#Headers],[Consultant]],tblSalaries[[#This Row],[Salary in USD]],"")</f>
        <v/>
      </c>
      <c r="X1521" s="13" t="str">
        <f>IF(tblSalaries[[#This Row],[Job Type]]=tblSalaries[[#Headers],[Controller]],tblSalaries[[#This Row],[Salary in USD]],"")</f>
        <v/>
      </c>
      <c r="Y1521" s="13" t="str">
        <f>IF(tblSalaries[[#This Row],[Job Type]]=tblSalaries[[#Headers],[CXO or Top Mgmt.]],tblSalaries[[#This Row],[clean Salary (in local currency)]],"")</f>
        <v/>
      </c>
      <c r="Z1521" s="13" t="str">
        <f>IF(tblSalaries[[#This Row],[Job Type]]=tblSalaries[[#Headers],[Engineer]],tblSalaries[[#This Row],[Salary in USD]],"")</f>
        <v/>
      </c>
      <c r="AA1521" s="13">
        <f>IF(tblSalaries[[#This Row],[Job Type]]=tblSalaries[[#Headers],[Manager]],tblSalaries[[#This Row],[Salary in USD]],"")</f>
        <v>69871.969144538423</v>
      </c>
      <c r="AB1521" s="13" t="str">
        <f>IF(tblSalaries[[#This Row],[Job Type]]=tblSalaries[[#Headers],[Misc.]],tblSalaries[[#This Row],[Salary in USD]],"")</f>
        <v/>
      </c>
      <c r="AC1521" s="13" t="str">
        <f>IF(tblSalaries[[#This Row],[Job Type]]=tblSalaries[[#Headers],[Reporting]],tblSalaries[[#This Row],[Salary in USD]],"")</f>
        <v/>
      </c>
      <c r="AD1521" s="13" t="str">
        <f>IF(tblSalaries[[#This Row],[Job Type]]=tblSalaries[[#Headers],[Specialist]],tblSalaries[[#This Row],[Salary in USD]],"")</f>
        <v/>
      </c>
    </row>
    <row r="1522" spans="2:30" ht="15" customHeight="1" x14ac:dyDescent="0.25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 s="9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  <c r="N1522" t="str">
        <f>IF(tblSalaries[[#This Row],[Years of Experience]]="","",IF(tblSalaries[[#This Row],[Years of Experience]]&lt;=2,1,""))</f>
        <v/>
      </c>
      <c r="O1522" t="str">
        <f>IF(tblSalaries[[#This Row],[Years of Experience]]="","",IF(AND(tblSalaries[[#This Row],[Years of Experience]]&gt;2,tblSalaries[[#This Row],[Years of Experience]]&lt;=5),1,""))</f>
        <v/>
      </c>
      <c r="P1522" t="str">
        <f>IF(tblSalaries[[#This Row],[Years of Experience]]="","",IF(AND(tblSalaries[[#This Row],[Years of Experience]]&gt;5,tblSalaries[[#This Row],[Years of Experience]]&lt;=10),1,""))</f>
        <v/>
      </c>
      <c r="Q1522" t="str">
        <f>IF(tblSalaries[[#This Row],[Years of Experience]]="","",IF(AND(tblSalaries[[#This Row],[Years of Experience]]&gt;10,tblSalaries[[#This Row],[Years of Experience]]&lt;=15),1,""))</f>
        <v/>
      </c>
      <c r="R1522">
        <f>IF(tblSalaries[[#This Row],[Years of Experience]]="","",IF(AND(tblSalaries[[#This Row],[Years of Experience]]&gt;16,tblSalaries[[#This Row],[Years of Experience]]&lt;=20),1,""))</f>
        <v>1</v>
      </c>
      <c r="S1522" t="str">
        <f>IF(tblSalaries[[#This Row],[Years of Experience]]="","",IF(tblSalaries[[#This Row],[Years of Experience]]&gt;20,1,""))</f>
        <v/>
      </c>
      <c r="T15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522" s="13" t="str">
        <f>IF(tblSalaries[[#This Row],[Job Type]]=tblSalaries[[#Headers],[Accountant]],tblSalaries[[#This Row],[Salary in USD]],"")</f>
        <v/>
      </c>
      <c r="V1522" s="13">
        <f>IF(tblSalaries[[#This Row],[Job Type]]=tblSalaries[[#Headers],[Analyst]],tblSalaries[[#This Row],[Salary in USD]],"")</f>
        <v>70970</v>
      </c>
      <c r="W1522" s="13" t="str">
        <f>IF(tblSalaries[[#This Row],[Job Type]]=tblSalaries[[#Headers],[Consultant]],tblSalaries[[#This Row],[Salary in USD]],"")</f>
        <v/>
      </c>
      <c r="X1522" s="13" t="str">
        <f>IF(tblSalaries[[#This Row],[Job Type]]=tblSalaries[[#Headers],[Controller]],tblSalaries[[#This Row],[Salary in USD]],"")</f>
        <v/>
      </c>
      <c r="Y1522" s="13" t="str">
        <f>IF(tblSalaries[[#This Row],[Job Type]]=tblSalaries[[#Headers],[CXO or Top Mgmt.]],tblSalaries[[#This Row],[clean Salary (in local currency)]],"")</f>
        <v/>
      </c>
      <c r="Z1522" s="13" t="str">
        <f>IF(tblSalaries[[#This Row],[Job Type]]=tblSalaries[[#Headers],[Engineer]],tblSalaries[[#This Row],[Salary in USD]],"")</f>
        <v/>
      </c>
      <c r="AA1522" s="13" t="str">
        <f>IF(tblSalaries[[#This Row],[Job Type]]=tblSalaries[[#Headers],[Manager]],tblSalaries[[#This Row],[Salary in USD]],"")</f>
        <v/>
      </c>
      <c r="AB1522" s="13" t="str">
        <f>IF(tblSalaries[[#This Row],[Job Type]]=tblSalaries[[#Headers],[Misc.]],tblSalaries[[#This Row],[Salary in USD]],"")</f>
        <v/>
      </c>
      <c r="AC1522" s="13" t="str">
        <f>IF(tblSalaries[[#This Row],[Job Type]]=tblSalaries[[#Headers],[Reporting]],tblSalaries[[#This Row],[Salary in USD]],"")</f>
        <v/>
      </c>
      <c r="AD1522" s="13" t="str">
        <f>IF(tblSalaries[[#This Row],[Job Type]]=tblSalaries[[#Headers],[Specialist]],tblSalaries[[#This Row],[Salary in USD]],"")</f>
        <v/>
      </c>
    </row>
    <row r="1523" spans="2:30" ht="15" customHeight="1" x14ac:dyDescent="0.25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 s="9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  <c r="N1523" t="str">
        <f>IF(tblSalaries[[#This Row],[Years of Experience]]="","",IF(tblSalaries[[#This Row],[Years of Experience]]&lt;=2,1,""))</f>
        <v/>
      </c>
      <c r="O1523" t="str">
        <f>IF(tblSalaries[[#This Row],[Years of Experience]]="","",IF(AND(tblSalaries[[#This Row],[Years of Experience]]&gt;2,tblSalaries[[#This Row],[Years of Experience]]&lt;=5),1,""))</f>
        <v/>
      </c>
      <c r="P1523">
        <f>IF(tblSalaries[[#This Row],[Years of Experience]]="","",IF(AND(tblSalaries[[#This Row],[Years of Experience]]&gt;5,tblSalaries[[#This Row],[Years of Experience]]&lt;=10),1,""))</f>
        <v>1</v>
      </c>
      <c r="Q1523" t="str">
        <f>IF(tblSalaries[[#This Row],[Years of Experience]]="","",IF(AND(tblSalaries[[#This Row],[Years of Experience]]&gt;10,tblSalaries[[#This Row],[Years of Experience]]&lt;=15),1,""))</f>
        <v/>
      </c>
      <c r="R1523" t="str">
        <f>IF(tblSalaries[[#This Row],[Years of Experience]]="","",IF(AND(tblSalaries[[#This Row],[Years of Experience]]&gt;16,tblSalaries[[#This Row],[Years of Experience]]&lt;=20),1,""))</f>
        <v/>
      </c>
      <c r="S1523" t="str">
        <f>IF(tblSalaries[[#This Row],[Years of Experience]]="","",IF(tblSalaries[[#This Row],[Years of Experience]]&gt;20,1,""))</f>
        <v/>
      </c>
      <c r="T15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23" s="13" t="str">
        <f>IF(tblSalaries[[#This Row],[Job Type]]=tblSalaries[[#Headers],[Accountant]],tblSalaries[[#This Row],[Salary in USD]],"")</f>
        <v/>
      </c>
      <c r="V1523" s="13" t="str">
        <f>IF(tblSalaries[[#This Row],[Job Type]]=tblSalaries[[#Headers],[Analyst]],tblSalaries[[#This Row],[Salary in USD]],"")</f>
        <v/>
      </c>
      <c r="W1523" s="13" t="str">
        <f>IF(tblSalaries[[#This Row],[Job Type]]=tblSalaries[[#Headers],[Consultant]],tblSalaries[[#This Row],[Salary in USD]],"")</f>
        <v/>
      </c>
      <c r="X1523" s="13" t="str">
        <f>IF(tblSalaries[[#This Row],[Job Type]]=tblSalaries[[#Headers],[Controller]],tblSalaries[[#This Row],[Salary in USD]],"")</f>
        <v/>
      </c>
      <c r="Y1523" s="13" t="str">
        <f>IF(tblSalaries[[#This Row],[Job Type]]=tblSalaries[[#Headers],[CXO or Top Mgmt.]],tblSalaries[[#This Row],[clean Salary (in local currency)]],"")</f>
        <v/>
      </c>
      <c r="Z1523" s="13">
        <f>IF(tblSalaries[[#This Row],[Job Type]]=tblSalaries[[#Headers],[Engineer]],tblSalaries[[#This Row],[Salary in USD]],"")</f>
        <v>76223.966339496474</v>
      </c>
      <c r="AA1523" s="13" t="str">
        <f>IF(tblSalaries[[#This Row],[Job Type]]=tblSalaries[[#Headers],[Manager]],tblSalaries[[#This Row],[Salary in USD]],"")</f>
        <v/>
      </c>
      <c r="AB1523" s="13" t="str">
        <f>IF(tblSalaries[[#This Row],[Job Type]]=tblSalaries[[#Headers],[Misc.]],tblSalaries[[#This Row],[Salary in USD]],"")</f>
        <v/>
      </c>
      <c r="AC1523" s="13" t="str">
        <f>IF(tblSalaries[[#This Row],[Job Type]]=tblSalaries[[#Headers],[Reporting]],tblSalaries[[#This Row],[Salary in USD]],"")</f>
        <v/>
      </c>
      <c r="AD1523" s="13" t="str">
        <f>IF(tblSalaries[[#This Row],[Job Type]]=tblSalaries[[#Headers],[Specialist]],tblSalaries[[#This Row],[Salary in USD]],"")</f>
        <v/>
      </c>
    </row>
    <row r="1524" spans="2:30" ht="15" customHeight="1" x14ac:dyDescent="0.25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 s="9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  <c r="N1524" t="str">
        <f>IF(tblSalaries[[#This Row],[Years of Experience]]="","",IF(tblSalaries[[#This Row],[Years of Experience]]&lt;=2,1,""))</f>
        <v/>
      </c>
      <c r="O1524">
        <f>IF(tblSalaries[[#This Row],[Years of Experience]]="","",IF(AND(tblSalaries[[#This Row],[Years of Experience]]&gt;2,tblSalaries[[#This Row],[Years of Experience]]&lt;=5),1,""))</f>
        <v>1</v>
      </c>
      <c r="P1524" t="str">
        <f>IF(tblSalaries[[#This Row],[Years of Experience]]="","",IF(AND(tblSalaries[[#This Row],[Years of Experience]]&gt;5,tblSalaries[[#This Row],[Years of Experience]]&lt;=10),1,""))</f>
        <v/>
      </c>
      <c r="Q1524" t="str">
        <f>IF(tblSalaries[[#This Row],[Years of Experience]]="","",IF(AND(tblSalaries[[#This Row],[Years of Experience]]&gt;10,tblSalaries[[#This Row],[Years of Experience]]&lt;=15),1,""))</f>
        <v/>
      </c>
      <c r="R1524" t="str">
        <f>IF(tblSalaries[[#This Row],[Years of Experience]]="","",IF(AND(tblSalaries[[#This Row],[Years of Experience]]&gt;16,tblSalaries[[#This Row],[Years of Experience]]&lt;=20),1,""))</f>
        <v/>
      </c>
      <c r="S1524" t="str">
        <f>IF(tblSalaries[[#This Row],[Years of Experience]]="","",IF(tblSalaries[[#This Row],[Years of Experience]]&gt;20,1,""))</f>
        <v/>
      </c>
      <c r="T15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24" s="13" t="str">
        <f>IF(tblSalaries[[#This Row],[Job Type]]=tblSalaries[[#Headers],[Accountant]],tblSalaries[[#This Row],[Salary in USD]],"")</f>
        <v/>
      </c>
      <c r="V1524" s="13" t="str">
        <f>IF(tblSalaries[[#This Row],[Job Type]]=tblSalaries[[#Headers],[Analyst]],tblSalaries[[#This Row],[Salary in USD]],"")</f>
        <v/>
      </c>
      <c r="W1524" s="13" t="str">
        <f>IF(tblSalaries[[#This Row],[Job Type]]=tblSalaries[[#Headers],[Consultant]],tblSalaries[[#This Row],[Salary in USD]],"")</f>
        <v/>
      </c>
      <c r="X1524" s="13">
        <f>IF(tblSalaries[[#This Row],[Job Type]]=tblSalaries[[#Headers],[Controller]],tblSalaries[[#This Row],[Salary in USD]],"")</f>
        <v>110000</v>
      </c>
      <c r="Y1524" s="13" t="str">
        <f>IF(tblSalaries[[#This Row],[Job Type]]=tblSalaries[[#Headers],[CXO or Top Mgmt.]],tblSalaries[[#This Row],[clean Salary (in local currency)]],"")</f>
        <v/>
      </c>
      <c r="Z1524" s="13" t="str">
        <f>IF(tblSalaries[[#This Row],[Job Type]]=tblSalaries[[#Headers],[Engineer]],tblSalaries[[#This Row],[Salary in USD]],"")</f>
        <v/>
      </c>
      <c r="AA1524" s="13" t="str">
        <f>IF(tblSalaries[[#This Row],[Job Type]]=tblSalaries[[#Headers],[Manager]],tblSalaries[[#This Row],[Salary in USD]],"")</f>
        <v/>
      </c>
      <c r="AB1524" s="13" t="str">
        <f>IF(tblSalaries[[#This Row],[Job Type]]=tblSalaries[[#Headers],[Misc.]],tblSalaries[[#This Row],[Salary in USD]],"")</f>
        <v/>
      </c>
      <c r="AC1524" s="13" t="str">
        <f>IF(tblSalaries[[#This Row],[Job Type]]=tblSalaries[[#Headers],[Reporting]],tblSalaries[[#This Row],[Salary in USD]],"")</f>
        <v/>
      </c>
      <c r="AD1524" s="13" t="str">
        <f>IF(tblSalaries[[#This Row],[Job Type]]=tblSalaries[[#Headers],[Specialist]],tblSalaries[[#This Row],[Salary in USD]],"")</f>
        <v/>
      </c>
    </row>
    <row r="1525" spans="2:30" ht="15" customHeight="1" x14ac:dyDescent="0.25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 s="9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  <c r="N1525" t="str">
        <f>IF(tblSalaries[[#This Row],[Years of Experience]]="","",IF(tblSalaries[[#This Row],[Years of Experience]]&lt;=2,1,""))</f>
        <v/>
      </c>
      <c r="O1525" t="str">
        <f>IF(tblSalaries[[#This Row],[Years of Experience]]="","",IF(AND(tblSalaries[[#This Row],[Years of Experience]]&gt;2,tblSalaries[[#This Row],[Years of Experience]]&lt;=5),1,""))</f>
        <v/>
      </c>
      <c r="P1525" t="str">
        <f>IF(tblSalaries[[#This Row],[Years of Experience]]="","",IF(AND(tblSalaries[[#This Row],[Years of Experience]]&gt;5,tblSalaries[[#This Row],[Years of Experience]]&lt;=10),1,""))</f>
        <v/>
      </c>
      <c r="Q1525">
        <f>IF(tblSalaries[[#This Row],[Years of Experience]]="","",IF(AND(tblSalaries[[#This Row],[Years of Experience]]&gt;10,tblSalaries[[#This Row],[Years of Experience]]&lt;=15),1,""))</f>
        <v>1</v>
      </c>
      <c r="R1525" t="str">
        <f>IF(tblSalaries[[#This Row],[Years of Experience]]="","",IF(AND(tblSalaries[[#This Row],[Years of Experience]]&gt;16,tblSalaries[[#This Row],[Years of Experience]]&lt;=20),1,""))</f>
        <v/>
      </c>
      <c r="S1525" t="str">
        <f>IF(tblSalaries[[#This Row],[Years of Experience]]="","",IF(tblSalaries[[#This Row],[Years of Experience]]&gt;20,1,""))</f>
        <v/>
      </c>
      <c r="T15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25" s="13" t="str">
        <f>IF(tblSalaries[[#This Row],[Job Type]]=tblSalaries[[#Headers],[Accountant]],tblSalaries[[#This Row],[Salary in USD]],"")</f>
        <v/>
      </c>
      <c r="V1525" s="13">
        <f>IF(tblSalaries[[#This Row],[Job Type]]=tblSalaries[[#Headers],[Analyst]],tblSalaries[[#This Row],[Salary in USD]],"")</f>
        <v>14400</v>
      </c>
      <c r="W1525" s="13" t="str">
        <f>IF(tblSalaries[[#This Row],[Job Type]]=tblSalaries[[#Headers],[Consultant]],tblSalaries[[#This Row],[Salary in USD]],"")</f>
        <v/>
      </c>
      <c r="X1525" s="13" t="str">
        <f>IF(tblSalaries[[#This Row],[Job Type]]=tblSalaries[[#Headers],[Controller]],tblSalaries[[#This Row],[Salary in USD]],"")</f>
        <v/>
      </c>
      <c r="Y1525" s="13" t="str">
        <f>IF(tblSalaries[[#This Row],[Job Type]]=tblSalaries[[#Headers],[CXO or Top Mgmt.]],tblSalaries[[#This Row],[clean Salary (in local currency)]],"")</f>
        <v/>
      </c>
      <c r="Z1525" s="13" t="str">
        <f>IF(tblSalaries[[#This Row],[Job Type]]=tblSalaries[[#Headers],[Engineer]],tblSalaries[[#This Row],[Salary in USD]],"")</f>
        <v/>
      </c>
      <c r="AA1525" s="13" t="str">
        <f>IF(tblSalaries[[#This Row],[Job Type]]=tblSalaries[[#Headers],[Manager]],tblSalaries[[#This Row],[Salary in USD]],"")</f>
        <v/>
      </c>
      <c r="AB1525" s="13" t="str">
        <f>IF(tblSalaries[[#This Row],[Job Type]]=tblSalaries[[#Headers],[Misc.]],tblSalaries[[#This Row],[Salary in USD]],"")</f>
        <v/>
      </c>
      <c r="AC1525" s="13" t="str">
        <f>IF(tblSalaries[[#This Row],[Job Type]]=tblSalaries[[#Headers],[Reporting]],tblSalaries[[#This Row],[Salary in USD]],"")</f>
        <v/>
      </c>
      <c r="AD1525" s="13" t="str">
        <f>IF(tblSalaries[[#This Row],[Job Type]]=tblSalaries[[#Headers],[Specialist]],tblSalaries[[#This Row],[Salary in USD]],"")</f>
        <v/>
      </c>
    </row>
    <row r="1526" spans="2:30" ht="15" customHeight="1" x14ac:dyDescent="0.25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 s="9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  <c r="N1526" t="str">
        <f>IF(tblSalaries[[#This Row],[Years of Experience]]="","",IF(tblSalaries[[#This Row],[Years of Experience]]&lt;=2,1,""))</f>
        <v/>
      </c>
      <c r="O1526" t="str">
        <f>IF(tblSalaries[[#This Row],[Years of Experience]]="","",IF(AND(tblSalaries[[#This Row],[Years of Experience]]&gt;2,tblSalaries[[#This Row],[Years of Experience]]&lt;=5),1,""))</f>
        <v/>
      </c>
      <c r="P1526">
        <f>IF(tblSalaries[[#This Row],[Years of Experience]]="","",IF(AND(tblSalaries[[#This Row],[Years of Experience]]&gt;5,tblSalaries[[#This Row],[Years of Experience]]&lt;=10),1,""))</f>
        <v>1</v>
      </c>
      <c r="Q1526" t="str">
        <f>IF(tblSalaries[[#This Row],[Years of Experience]]="","",IF(AND(tblSalaries[[#This Row],[Years of Experience]]&gt;10,tblSalaries[[#This Row],[Years of Experience]]&lt;=15),1,""))</f>
        <v/>
      </c>
      <c r="R1526" t="str">
        <f>IF(tblSalaries[[#This Row],[Years of Experience]]="","",IF(AND(tblSalaries[[#This Row],[Years of Experience]]&gt;16,tblSalaries[[#This Row],[Years of Experience]]&lt;=20),1,""))</f>
        <v/>
      </c>
      <c r="S1526" t="str">
        <f>IF(tblSalaries[[#This Row],[Years of Experience]]="","",IF(tblSalaries[[#This Row],[Years of Experience]]&gt;20,1,""))</f>
        <v/>
      </c>
      <c r="T15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26" s="13" t="str">
        <f>IF(tblSalaries[[#This Row],[Job Type]]=tblSalaries[[#Headers],[Accountant]],tblSalaries[[#This Row],[Salary in USD]],"")</f>
        <v/>
      </c>
      <c r="V1526" s="13" t="str">
        <f>IF(tblSalaries[[#This Row],[Job Type]]=tblSalaries[[#Headers],[Analyst]],tblSalaries[[#This Row],[Salary in USD]],"")</f>
        <v/>
      </c>
      <c r="W1526" s="13">
        <f>IF(tblSalaries[[#This Row],[Job Type]]=tblSalaries[[#Headers],[Consultant]],tblSalaries[[#This Row],[Salary in USD]],"")</f>
        <v>125000</v>
      </c>
      <c r="X1526" s="13" t="str">
        <f>IF(tblSalaries[[#This Row],[Job Type]]=tblSalaries[[#Headers],[Controller]],tblSalaries[[#This Row],[Salary in USD]],"")</f>
        <v/>
      </c>
      <c r="Y1526" s="13" t="str">
        <f>IF(tblSalaries[[#This Row],[Job Type]]=tblSalaries[[#Headers],[CXO or Top Mgmt.]],tblSalaries[[#This Row],[clean Salary (in local currency)]],"")</f>
        <v/>
      </c>
      <c r="Z1526" s="13" t="str">
        <f>IF(tblSalaries[[#This Row],[Job Type]]=tblSalaries[[#Headers],[Engineer]],tblSalaries[[#This Row],[Salary in USD]],"")</f>
        <v/>
      </c>
      <c r="AA1526" s="13" t="str">
        <f>IF(tblSalaries[[#This Row],[Job Type]]=tblSalaries[[#Headers],[Manager]],tblSalaries[[#This Row],[Salary in USD]],"")</f>
        <v/>
      </c>
      <c r="AB1526" s="13" t="str">
        <f>IF(tblSalaries[[#This Row],[Job Type]]=tblSalaries[[#Headers],[Misc.]],tblSalaries[[#This Row],[Salary in USD]],"")</f>
        <v/>
      </c>
      <c r="AC1526" s="13" t="str">
        <f>IF(tblSalaries[[#This Row],[Job Type]]=tblSalaries[[#Headers],[Reporting]],tblSalaries[[#This Row],[Salary in USD]],"")</f>
        <v/>
      </c>
      <c r="AD1526" s="13" t="str">
        <f>IF(tblSalaries[[#This Row],[Job Type]]=tblSalaries[[#Headers],[Specialist]],tblSalaries[[#This Row],[Salary in USD]],"")</f>
        <v/>
      </c>
    </row>
    <row r="1527" spans="2:30" ht="15" customHeight="1" x14ac:dyDescent="0.25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 s="9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  <c r="N1527" t="str">
        <f>IF(tblSalaries[[#This Row],[Years of Experience]]="","",IF(tblSalaries[[#This Row],[Years of Experience]]&lt;=2,1,""))</f>
        <v/>
      </c>
      <c r="O1527" t="str">
        <f>IF(tblSalaries[[#This Row],[Years of Experience]]="","",IF(AND(tblSalaries[[#This Row],[Years of Experience]]&gt;2,tblSalaries[[#This Row],[Years of Experience]]&lt;=5),1,""))</f>
        <v/>
      </c>
      <c r="P1527">
        <f>IF(tblSalaries[[#This Row],[Years of Experience]]="","",IF(AND(tblSalaries[[#This Row],[Years of Experience]]&gt;5,tblSalaries[[#This Row],[Years of Experience]]&lt;=10),1,""))</f>
        <v>1</v>
      </c>
      <c r="Q1527" t="str">
        <f>IF(tblSalaries[[#This Row],[Years of Experience]]="","",IF(AND(tblSalaries[[#This Row],[Years of Experience]]&gt;10,tblSalaries[[#This Row],[Years of Experience]]&lt;=15),1,""))</f>
        <v/>
      </c>
      <c r="R1527" t="str">
        <f>IF(tblSalaries[[#This Row],[Years of Experience]]="","",IF(AND(tblSalaries[[#This Row],[Years of Experience]]&gt;16,tblSalaries[[#This Row],[Years of Experience]]&lt;=20),1,""))</f>
        <v/>
      </c>
      <c r="S1527" t="str">
        <f>IF(tblSalaries[[#This Row],[Years of Experience]]="","",IF(tblSalaries[[#This Row],[Years of Experience]]&gt;20,1,""))</f>
        <v/>
      </c>
      <c r="T15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27" s="13" t="str">
        <f>IF(tblSalaries[[#This Row],[Job Type]]=tblSalaries[[#Headers],[Accountant]],tblSalaries[[#This Row],[Salary in USD]],"")</f>
        <v/>
      </c>
      <c r="V1527" s="13">
        <f>IF(tblSalaries[[#This Row],[Job Type]]=tblSalaries[[#Headers],[Analyst]],tblSalaries[[#This Row],[Salary in USD]],"")</f>
        <v>72768.752704244194</v>
      </c>
      <c r="W1527" s="13" t="str">
        <f>IF(tblSalaries[[#This Row],[Job Type]]=tblSalaries[[#Headers],[Consultant]],tblSalaries[[#This Row],[Salary in USD]],"")</f>
        <v/>
      </c>
      <c r="X1527" s="13" t="str">
        <f>IF(tblSalaries[[#This Row],[Job Type]]=tblSalaries[[#Headers],[Controller]],tblSalaries[[#This Row],[Salary in USD]],"")</f>
        <v/>
      </c>
      <c r="Y1527" s="13" t="str">
        <f>IF(tblSalaries[[#This Row],[Job Type]]=tblSalaries[[#Headers],[CXO or Top Mgmt.]],tblSalaries[[#This Row],[clean Salary (in local currency)]],"")</f>
        <v/>
      </c>
      <c r="Z1527" s="13" t="str">
        <f>IF(tblSalaries[[#This Row],[Job Type]]=tblSalaries[[#Headers],[Engineer]],tblSalaries[[#This Row],[Salary in USD]],"")</f>
        <v/>
      </c>
      <c r="AA1527" s="13" t="str">
        <f>IF(tblSalaries[[#This Row],[Job Type]]=tblSalaries[[#Headers],[Manager]],tblSalaries[[#This Row],[Salary in USD]],"")</f>
        <v/>
      </c>
      <c r="AB1527" s="13" t="str">
        <f>IF(tblSalaries[[#This Row],[Job Type]]=tblSalaries[[#Headers],[Misc.]],tblSalaries[[#This Row],[Salary in USD]],"")</f>
        <v/>
      </c>
      <c r="AC1527" s="13" t="str">
        <f>IF(tblSalaries[[#This Row],[Job Type]]=tblSalaries[[#Headers],[Reporting]],tblSalaries[[#This Row],[Salary in USD]],"")</f>
        <v/>
      </c>
      <c r="AD1527" s="13" t="str">
        <f>IF(tblSalaries[[#This Row],[Job Type]]=tblSalaries[[#Headers],[Specialist]],tblSalaries[[#This Row],[Salary in USD]],"")</f>
        <v/>
      </c>
    </row>
    <row r="1528" spans="2:30" ht="15" customHeight="1" x14ac:dyDescent="0.25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 s="9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  <c r="N1528" t="str">
        <f>IF(tblSalaries[[#This Row],[Years of Experience]]="","",IF(tblSalaries[[#This Row],[Years of Experience]]&lt;=2,1,""))</f>
        <v/>
      </c>
      <c r="O1528" t="str">
        <f>IF(tblSalaries[[#This Row],[Years of Experience]]="","",IF(AND(tblSalaries[[#This Row],[Years of Experience]]&gt;2,tblSalaries[[#This Row],[Years of Experience]]&lt;=5),1,""))</f>
        <v/>
      </c>
      <c r="P1528" t="str">
        <f>IF(tblSalaries[[#This Row],[Years of Experience]]="","",IF(AND(tblSalaries[[#This Row],[Years of Experience]]&gt;5,tblSalaries[[#This Row],[Years of Experience]]&lt;=10),1,""))</f>
        <v/>
      </c>
      <c r="Q1528">
        <f>IF(tblSalaries[[#This Row],[Years of Experience]]="","",IF(AND(tblSalaries[[#This Row],[Years of Experience]]&gt;10,tblSalaries[[#This Row],[Years of Experience]]&lt;=15),1,""))</f>
        <v>1</v>
      </c>
      <c r="R1528" t="str">
        <f>IF(tblSalaries[[#This Row],[Years of Experience]]="","",IF(AND(tblSalaries[[#This Row],[Years of Experience]]&gt;16,tblSalaries[[#This Row],[Years of Experience]]&lt;=20),1,""))</f>
        <v/>
      </c>
      <c r="S1528" t="str">
        <f>IF(tblSalaries[[#This Row],[Years of Experience]]="","",IF(tblSalaries[[#This Row],[Years of Experience]]&gt;20,1,""))</f>
        <v/>
      </c>
      <c r="T15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28" s="13" t="str">
        <f>IF(tblSalaries[[#This Row],[Job Type]]=tblSalaries[[#Headers],[Accountant]],tblSalaries[[#This Row],[Salary in USD]],"")</f>
        <v/>
      </c>
      <c r="V1528" s="13" t="str">
        <f>IF(tblSalaries[[#This Row],[Job Type]]=tblSalaries[[#Headers],[Analyst]],tblSalaries[[#This Row],[Salary in USD]],"")</f>
        <v/>
      </c>
      <c r="W1528" s="13" t="str">
        <f>IF(tblSalaries[[#This Row],[Job Type]]=tblSalaries[[#Headers],[Consultant]],tblSalaries[[#This Row],[Salary in USD]],"")</f>
        <v/>
      </c>
      <c r="X1528" s="13" t="str">
        <f>IF(tblSalaries[[#This Row],[Job Type]]=tblSalaries[[#Headers],[Controller]],tblSalaries[[#This Row],[Salary in USD]],"")</f>
        <v/>
      </c>
      <c r="Y1528" s="13" t="str">
        <f>IF(tblSalaries[[#This Row],[Job Type]]=tblSalaries[[#Headers],[CXO or Top Mgmt.]],tblSalaries[[#This Row],[clean Salary (in local currency)]],"")</f>
        <v/>
      </c>
      <c r="Z1528" s="13" t="str">
        <f>IF(tblSalaries[[#This Row],[Job Type]]=tblSalaries[[#Headers],[Engineer]],tblSalaries[[#This Row],[Salary in USD]],"")</f>
        <v/>
      </c>
      <c r="AA1528" s="13">
        <f>IF(tblSalaries[[#This Row],[Job Type]]=tblSalaries[[#Headers],[Manager]],tblSalaries[[#This Row],[Salary in USD]],"")</f>
        <v>59000</v>
      </c>
      <c r="AB1528" s="13" t="str">
        <f>IF(tblSalaries[[#This Row],[Job Type]]=tblSalaries[[#Headers],[Misc.]],tblSalaries[[#This Row],[Salary in USD]],"")</f>
        <v/>
      </c>
      <c r="AC1528" s="13" t="str">
        <f>IF(tblSalaries[[#This Row],[Job Type]]=tblSalaries[[#Headers],[Reporting]],tblSalaries[[#This Row],[Salary in USD]],"")</f>
        <v/>
      </c>
      <c r="AD1528" s="13" t="str">
        <f>IF(tblSalaries[[#This Row],[Job Type]]=tblSalaries[[#Headers],[Specialist]],tblSalaries[[#This Row],[Salary in USD]],"")</f>
        <v/>
      </c>
    </row>
    <row r="1529" spans="2:30" ht="15" customHeight="1" x14ac:dyDescent="0.25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 s="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  <c r="N1529" t="str">
        <f>IF(tblSalaries[[#This Row],[Years of Experience]]="","",IF(tblSalaries[[#This Row],[Years of Experience]]&lt;=2,1,""))</f>
        <v/>
      </c>
      <c r="O1529">
        <f>IF(tblSalaries[[#This Row],[Years of Experience]]="","",IF(AND(tblSalaries[[#This Row],[Years of Experience]]&gt;2,tblSalaries[[#This Row],[Years of Experience]]&lt;=5),1,""))</f>
        <v>1</v>
      </c>
      <c r="P1529" t="str">
        <f>IF(tblSalaries[[#This Row],[Years of Experience]]="","",IF(AND(tblSalaries[[#This Row],[Years of Experience]]&gt;5,tblSalaries[[#This Row],[Years of Experience]]&lt;=10),1,""))</f>
        <v/>
      </c>
      <c r="Q1529" t="str">
        <f>IF(tblSalaries[[#This Row],[Years of Experience]]="","",IF(AND(tblSalaries[[#This Row],[Years of Experience]]&gt;10,tblSalaries[[#This Row],[Years of Experience]]&lt;=15),1,""))</f>
        <v/>
      </c>
      <c r="R1529" t="str">
        <f>IF(tblSalaries[[#This Row],[Years of Experience]]="","",IF(AND(tblSalaries[[#This Row],[Years of Experience]]&gt;16,tblSalaries[[#This Row],[Years of Experience]]&lt;=20),1,""))</f>
        <v/>
      </c>
      <c r="S1529" t="str">
        <f>IF(tblSalaries[[#This Row],[Years of Experience]]="","",IF(tblSalaries[[#This Row],[Years of Experience]]&gt;20,1,""))</f>
        <v/>
      </c>
      <c r="T15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29" s="13" t="str">
        <f>IF(tblSalaries[[#This Row],[Job Type]]=tblSalaries[[#Headers],[Accountant]],tblSalaries[[#This Row],[Salary in USD]],"")</f>
        <v/>
      </c>
      <c r="V1529" s="13">
        <f>IF(tblSalaries[[#This Row],[Job Type]]=tblSalaries[[#Headers],[Analyst]],tblSalaries[[#This Row],[Salary in USD]],"")</f>
        <v>71500</v>
      </c>
      <c r="W1529" s="13" t="str">
        <f>IF(tblSalaries[[#This Row],[Job Type]]=tblSalaries[[#Headers],[Consultant]],tblSalaries[[#This Row],[Salary in USD]],"")</f>
        <v/>
      </c>
      <c r="X1529" s="13" t="str">
        <f>IF(tblSalaries[[#This Row],[Job Type]]=tblSalaries[[#Headers],[Controller]],tblSalaries[[#This Row],[Salary in USD]],"")</f>
        <v/>
      </c>
      <c r="Y1529" s="13" t="str">
        <f>IF(tblSalaries[[#This Row],[Job Type]]=tblSalaries[[#Headers],[CXO or Top Mgmt.]],tblSalaries[[#This Row],[clean Salary (in local currency)]],"")</f>
        <v/>
      </c>
      <c r="Z1529" s="13" t="str">
        <f>IF(tblSalaries[[#This Row],[Job Type]]=tblSalaries[[#Headers],[Engineer]],tblSalaries[[#This Row],[Salary in USD]],"")</f>
        <v/>
      </c>
      <c r="AA1529" s="13" t="str">
        <f>IF(tblSalaries[[#This Row],[Job Type]]=tblSalaries[[#Headers],[Manager]],tblSalaries[[#This Row],[Salary in USD]],"")</f>
        <v/>
      </c>
      <c r="AB1529" s="13" t="str">
        <f>IF(tblSalaries[[#This Row],[Job Type]]=tblSalaries[[#Headers],[Misc.]],tblSalaries[[#This Row],[Salary in USD]],"")</f>
        <v/>
      </c>
      <c r="AC1529" s="13" t="str">
        <f>IF(tblSalaries[[#This Row],[Job Type]]=tblSalaries[[#Headers],[Reporting]],tblSalaries[[#This Row],[Salary in USD]],"")</f>
        <v/>
      </c>
      <c r="AD1529" s="13" t="str">
        <f>IF(tblSalaries[[#This Row],[Job Type]]=tblSalaries[[#Headers],[Specialist]],tblSalaries[[#This Row],[Salary in USD]],"")</f>
        <v/>
      </c>
    </row>
    <row r="1530" spans="2:30" ht="15" customHeight="1" x14ac:dyDescent="0.25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 s="9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3999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  <c r="N1530">
        <f>IF(tblSalaries[[#This Row],[Years of Experience]]="","",IF(tblSalaries[[#This Row],[Years of Experience]]&lt;=2,1,""))</f>
        <v>1</v>
      </c>
      <c r="O1530" t="str">
        <f>IF(tblSalaries[[#This Row],[Years of Experience]]="","",IF(AND(tblSalaries[[#This Row],[Years of Experience]]&gt;2,tblSalaries[[#This Row],[Years of Experience]]&lt;=5),1,""))</f>
        <v/>
      </c>
      <c r="P1530" t="str">
        <f>IF(tblSalaries[[#This Row],[Years of Experience]]="","",IF(AND(tblSalaries[[#This Row],[Years of Experience]]&gt;5,tblSalaries[[#This Row],[Years of Experience]]&lt;=10),1,""))</f>
        <v/>
      </c>
      <c r="Q1530" t="str">
        <f>IF(tblSalaries[[#This Row],[Years of Experience]]="","",IF(AND(tblSalaries[[#This Row],[Years of Experience]]&gt;10,tblSalaries[[#This Row],[Years of Experience]]&lt;=15),1,""))</f>
        <v/>
      </c>
      <c r="R1530" t="str">
        <f>IF(tblSalaries[[#This Row],[Years of Experience]]="","",IF(AND(tblSalaries[[#This Row],[Years of Experience]]&gt;16,tblSalaries[[#This Row],[Years of Experience]]&lt;=20),1,""))</f>
        <v/>
      </c>
      <c r="S1530" t="str">
        <f>IF(tblSalaries[[#This Row],[Years of Experience]]="","",IF(tblSalaries[[#This Row],[Years of Experience]]&gt;20,1,""))</f>
        <v/>
      </c>
      <c r="T15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30" s="13" t="str">
        <f>IF(tblSalaries[[#This Row],[Job Type]]=tblSalaries[[#Headers],[Accountant]],tblSalaries[[#This Row],[Salary in USD]],"")</f>
        <v/>
      </c>
      <c r="V1530" s="13" t="str">
        <f>IF(tblSalaries[[#This Row],[Job Type]]=tblSalaries[[#Headers],[Analyst]],tblSalaries[[#This Row],[Salary in USD]],"")</f>
        <v/>
      </c>
      <c r="W1530" s="13" t="str">
        <f>IF(tblSalaries[[#This Row],[Job Type]]=tblSalaries[[#Headers],[Consultant]],tblSalaries[[#This Row],[Salary in USD]],"")</f>
        <v/>
      </c>
      <c r="X1530" s="13" t="str">
        <f>IF(tblSalaries[[#This Row],[Job Type]]=tblSalaries[[#Headers],[Controller]],tblSalaries[[#This Row],[Salary in USD]],"")</f>
        <v/>
      </c>
      <c r="Y1530" s="13" t="str">
        <f>IF(tblSalaries[[#This Row],[Job Type]]=tblSalaries[[#Headers],[CXO or Top Mgmt.]],tblSalaries[[#This Row],[clean Salary (in local currency)]],"")</f>
        <v/>
      </c>
      <c r="Z1530" s="13" t="str">
        <f>IF(tblSalaries[[#This Row],[Job Type]]=tblSalaries[[#Headers],[Engineer]],tblSalaries[[#This Row],[Salary in USD]],"")</f>
        <v/>
      </c>
      <c r="AA1530" s="13" t="str">
        <f>IF(tblSalaries[[#This Row],[Job Type]]=tblSalaries[[#Headers],[Manager]],tblSalaries[[#This Row],[Salary in USD]],"")</f>
        <v/>
      </c>
      <c r="AB1530" s="13" t="str">
        <f>IF(tblSalaries[[#This Row],[Job Type]]=tblSalaries[[#Headers],[Misc.]],tblSalaries[[#This Row],[Salary in USD]],"")</f>
        <v/>
      </c>
      <c r="AC1530" s="13">
        <f>IF(tblSalaries[[#This Row],[Job Type]]=tblSalaries[[#Headers],[Reporting]],tblSalaries[[#This Row],[Salary in USD]],"")</f>
        <v>39404.456801682099</v>
      </c>
      <c r="AD1530" s="13" t="str">
        <f>IF(tblSalaries[[#This Row],[Job Type]]=tblSalaries[[#Headers],[Specialist]],tblSalaries[[#This Row],[Salary in USD]],"")</f>
        <v/>
      </c>
    </row>
    <row r="1531" spans="2:30" ht="15" customHeight="1" x14ac:dyDescent="0.25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 s="9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  <c r="N1531" t="str">
        <f>IF(tblSalaries[[#This Row],[Years of Experience]]="","",IF(tblSalaries[[#This Row],[Years of Experience]]&lt;=2,1,""))</f>
        <v/>
      </c>
      <c r="O1531">
        <f>IF(tblSalaries[[#This Row],[Years of Experience]]="","",IF(AND(tblSalaries[[#This Row],[Years of Experience]]&gt;2,tblSalaries[[#This Row],[Years of Experience]]&lt;=5),1,""))</f>
        <v>1</v>
      </c>
      <c r="P1531" t="str">
        <f>IF(tblSalaries[[#This Row],[Years of Experience]]="","",IF(AND(tblSalaries[[#This Row],[Years of Experience]]&gt;5,tblSalaries[[#This Row],[Years of Experience]]&lt;=10),1,""))</f>
        <v/>
      </c>
      <c r="Q1531" t="str">
        <f>IF(tblSalaries[[#This Row],[Years of Experience]]="","",IF(AND(tblSalaries[[#This Row],[Years of Experience]]&gt;10,tblSalaries[[#This Row],[Years of Experience]]&lt;=15),1,""))</f>
        <v/>
      </c>
      <c r="R1531" t="str">
        <f>IF(tblSalaries[[#This Row],[Years of Experience]]="","",IF(AND(tblSalaries[[#This Row],[Years of Experience]]&gt;16,tblSalaries[[#This Row],[Years of Experience]]&lt;=20),1,""))</f>
        <v/>
      </c>
      <c r="S1531" t="str">
        <f>IF(tblSalaries[[#This Row],[Years of Experience]]="","",IF(tblSalaries[[#This Row],[Years of Experience]]&gt;20,1,""))</f>
        <v/>
      </c>
      <c r="T15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31" s="13" t="str">
        <f>IF(tblSalaries[[#This Row],[Job Type]]=tblSalaries[[#Headers],[Accountant]],tblSalaries[[#This Row],[Salary in USD]],"")</f>
        <v/>
      </c>
      <c r="V1531" s="13" t="str">
        <f>IF(tblSalaries[[#This Row],[Job Type]]=tblSalaries[[#Headers],[Analyst]],tblSalaries[[#This Row],[Salary in USD]],"")</f>
        <v/>
      </c>
      <c r="W1531" s="13" t="str">
        <f>IF(tblSalaries[[#This Row],[Job Type]]=tblSalaries[[#Headers],[Consultant]],tblSalaries[[#This Row],[Salary in USD]],"")</f>
        <v/>
      </c>
      <c r="X1531" s="13" t="str">
        <f>IF(tblSalaries[[#This Row],[Job Type]]=tblSalaries[[#Headers],[Controller]],tblSalaries[[#This Row],[Salary in USD]],"")</f>
        <v/>
      </c>
      <c r="Y1531" s="13" t="str">
        <f>IF(tblSalaries[[#This Row],[Job Type]]=tblSalaries[[#Headers],[CXO or Top Mgmt.]],tblSalaries[[#This Row],[clean Salary (in local currency)]],"")</f>
        <v/>
      </c>
      <c r="Z1531" s="13" t="str">
        <f>IF(tblSalaries[[#This Row],[Job Type]]=tblSalaries[[#Headers],[Engineer]],tblSalaries[[#This Row],[Salary in USD]],"")</f>
        <v/>
      </c>
      <c r="AA1531" s="13" t="str">
        <f>IF(tblSalaries[[#This Row],[Job Type]]=tblSalaries[[#Headers],[Manager]],tblSalaries[[#This Row],[Salary in USD]],"")</f>
        <v/>
      </c>
      <c r="AB1531" s="13" t="str">
        <f>IF(tblSalaries[[#This Row],[Job Type]]=tblSalaries[[#Headers],[Misc.]],tblSalaries[[#This Row],[Salary in USD]],"")</f>
        <v/>
      </c>
      <c r="AC1531" s="13" t="str">
        <f>IF(tblSalaries[[#This Row],[Job Type]]=tblSalaries[[#Headers],[Reporting]],tblSalaries[[#This Row],[Salary in USD]],"")</f>
        <v/>
      </c>
      <c r="AD1531" s="13">
        <f>IF(tblSalaries[[#This Row],[Job Type]]=tblSalaries[[#Headers],[Specialist]],tblSalaries[[#This Row],[Salary in USD]],"")</f>
        <v>88927.960729412545</v>
      </c>
    </row>
    <row r="1532" spans="2:30" ht="15" customHeight="1" x14ac:dyDescent="0.25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 s="9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  <c r="N1532" t="str">
        <f>IF(tblSalaries[[#This Row],[Years of Experience]]="","",IF(tblSalaries[[#This Row],[Years of Experience]]&lt;=2,1,""))</f>
        <v/>
      </c>
      <c r="O1532" t="str">
        <f>IF(tblSalaries[[#This Row],[Years of Experience]]="","",IF(AND(tblSalaries[[#This Row],[Years of Experience]]&gt;2,tblSalaries[[#This Row],[Years of Experience]]&lt;=5),1,""))</f>
        <v/>
      </c>
      <c r="P1532" t="str">
        <f>IF(tblSalaries[[#This Row],[Years of Experience]]="","",IF(AND(tblSalaries[[#This Row],[Years of Experience]]&gt;5,tblSalaries[[#This Row],[Years of Experience]]&lt;=10),1,""))</f>
        <v/>
      </c>
      <c r="Q1532" t="str">
        <f>IF(tblSalaries[[#This Row],[Years of Experience]]="","",IF(AND(tblSalaries[[#This Row],[Years of Experience]]&gt;10,tblSalaries[[#This Row],[Years of Experience]]&lt;=15),1,""))</f>
        <v/>
      </c>
      <c r="R1532" t="str">
        <f>IF(tblSalaries[[#This Row],[Years of Experience]]="","",IF(AND(tblSalaries[[#This Row],[Years of Experience]]&gt;16,tblSalaries[[#This Row],[Years of Experience]]&lt;=20),1,""))</f>
        <v/>
      </c>
      <c r="S1532">
        <f>IF(tblSalaries[[#This Row],[Years of Experience]]="","",IF(tblSalaries[[#This Row],[Years of Experience]]&gt;20,1,""))</f>
        <v>1</v>
      </c>
      <c r="T15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532" s="13" t="str">
        <f>IF(tblSalaries[[#This Row],[Job Type]]=tblSalaries[[#Headers],[Accountant]],tblSalaries[[#This Row],[Salary in USD]],"")</f>
        <v/>
      </c>
      <c r="V1532" s="13" t="str">
        <f>IF(tblSalaries[[#This Row],[Job Type]]=tblSalaries[[#Headers],[Analyst]],tblSalaries[[#This Row],[Salary in USD]],"")</f>
        <v/>
      </c>
      <c r="W1532" s="13" t="str">
        <f>IF(tblSalaries[[#This Row],[Job Type]]=tblSalaries[[#Headers],[Consultant]],tblSalaries[[#This Row],[Salary in USD]],"")</f>
        <v/>
      </c>
      <c r="X1532" s="13" t="str">
        <f>IF(tblSalaries[[#This Row],[Job Type]]=tblSalaries[[#Headers],[Controller]],tblSalaries[[#This Row],[Salary in USD]],"")</f>
        <v/>
      </c>
      <c r="Y1532" s="13" t="str">
        <f>IF(tblSalaries[[#This Row],[Job Type]]=tblSalaries[[#Headers],[CXO or Top Mgmt.]],tblSalaries[[#This Row],[clean Salary (in local currency)]],"")</f>
        <v/>
      </c>
      <c r="Z1532" s="13" t="str">
        <f>IF(tblSalaries[[#This Row],[Job Type]]=tblSalaries[[#Headers],[Engineer]],tblSalaries[[#This Row],[Salary in USD]],"")</f>
        <v/>
      </c>
      <c r="AA1532" s="13">
        <f>IF(tblSalaries[[#This Row],[Job Type]]=tblSalaries[[#Headers],[Manager]],tblSalaries[[#This Row],[Salary in USD]],"")</f>
        <v>90000</v>
      </c>
      <c r="AB1532" s="13" t="str">
        <f>IF(tblSalaries[[#This Row],[Job Type]]=tblSalaries[[#Headers],[Misc.]],tblSalaries[[#This Row],[Salary in USD]],"")</f>
        <v/>
      </c>
      <c r="AC1532" s="13" t="str">
        <f>IF(tblSalaries[[#This Row],[Job Type]]=tblSalaries[[#Headers],[Reporting]],tblSalaries[[#This Row],[Salary in USD]],"")</f>
        <v/>
      </c>
      <c r="AD1532" s="13" t="str">
        <f>IF(tblSalaries[[#This Row],[Job Type]]=tblSalaries[[#Headers],[Specialist]],tblSalaries[[#This Row],[Salary in USD]],"")</f>
        <v/>
      </c>
    </row>
    <row r="1533" spans="2:30" ht="15" customHeight="1" x14ac:dyDescent="0.25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 s="9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  <c r="N1533" t="str">
        <f>IF(tblSalaries[[#This Row],[Years of Experience]]="","",IF(tblSalaries[[#This Row],[Years of Experience]]&lt;=2,1,""))</f>
        <v/>
      </c>
      <c r="O1533" t="str">
        <f>IF(tblSalaries[[#This Row],[Years of Experience]]="","",IF(AND(tblSalaries[[#This Row],[Years of Experience]]&gt;2,tblSalaries[[#This Row],[Years of Experience]]&lt;=5),1,""))</f>
        <v/>
      </c>
      <c r="P1533" t="str">
        <f>IF(tblSalaries[[#This Row],[Years of Experience]]="","",IF(AND(tblSalaries[[#This Row],[Years of Experience]]&gt;5,tblSalaries[[#This Row],[Years of Experience]]&lt;=10),1,""))</f>
        <v/>
      </c>
      <c r="Q1533" t="str">
        <f>IF(tblSalaries[[#This Row],[Years of Experience]]="","",IF(AND(tblSalaries[[#This Row],[Years of Experience]]&gt;10,tblSalaries[[#This Row],[Years of Experience]]&lt;=15),1,""))</f>
        <v/>
      </c>
      <c r="R1533" t="str">
        <f>IF(tblSalaries[[#This Row],[Years of Experience]]="","",IF(AND(tblSalaries[[#This Row],[Years of Experience]]&gt;16,tblSalaries[[#This Row],[Years of Experience]]&lt;=20),1,""))</f>
        <v/>
      </c>
      <c r="S1533">
        <f>IF(tblSalaries[[#This Row],[Years of Experience]]="","",IF(tblSalaries[[#This Row],[Years of Experience]]&gt;20,1,""))</f>
        <v>1</v>
      </c>
      <c r="T15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533" s="13" t="str">
        <f>IF(tblSalaries[[#This Row],[Job Type]]=tblSalaries[[#Headers],[Accountant]],tblSalaries[[#This Row],[Salary in USD]],"")</f>
        <v/>
      </c>
      <c r="V1533" s="13" t="str">
        <f>IF(tblSalaries[[#This Row],[Job Type]]=tblSalaries[[#Headers],[Analyst]],tblSalaries[[#This Row],[Salary in USD]],"")</f>
        <v/>
      </c>
      <c r="W1533" s="13" t="str">
        <f>IF(tblSalaries[[#This Row],[Job Type]]=tblSalaries[[#Headers],[Consultant]],tblSalaries[[#This Row],[Salary in USD]],"")</f>
        <v/>
      </c>
      <c r="X1533" s="13" t="str">
        <f>IF(tblSalaries[[#This Row],[Job Type]]=tblSalaries[[#Headers],[Controller]],tblSalaries[[#This Row],[Salary in USD]],"")</f>
        <v/>
      </c>
      <c r="Y1533" s="13" t="str">
        <f>IF(tblSalaries[[#This Row],[Job Type]]=tblSalaries[[#Headers],[CXO or Top Mgmt.]],tblSalaries[[#This Row],[clean Salary (in local currency)]],"")</f>
        <v/>
      </c>
      <c r="Z1533" s="13" t="str">
        <f>IF(tblSalaries[[#This Row],[Job Type]]=tblSalaries[[#Headers],[Engineer]],tblSalaries[[#This Row],[Salary in USD]],"")</f>
        <v/>
      </c>
      <c r="AA1533" s="13">
        <f>IF(tblSalaries[[#This Row],[Job Type]]=tblSalaries[[#Headers],[Manager]],tblSalaries[[#This Row],[Salary in USD]],"")</f>
        <v>12465.541681209797</v>
      </c>
      <c r="AB1533" s="13" t="str">
        <f>IF(tblSalaries[[#This Row],[Job Type]]=tblSalaries[[#Headers],[Misc.]],tblSalaries[[#This Row],[Salary in USD]],"")</f>
        <v/>
      </c>
      <c r="AC1533" s="13" t="str">
        <f>IF(tblSalaries[[#This Row],[Job Type]]=tblSalaries[[#Headers],[Reporting]],tblSalaries[[#This Row],[Salary in USD]],"")</f>
        <v/>
      </c>
      <c r="AD1533" s="13" t="str">
        <f>IF(tblSalaries[[#This Row],[Job Type]]=tblSalaries[[#Headers],[Specialist]],tblSalaries[[#This Row],[Salary in USD]],"")</f>
        <v/>
      </c>
    </row>
    <row r="1534" spans="2:30" ht="15" customHeight="1" x14ac:dyDescent="0.25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 s="9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  <c r="N1534" t="str">
        <f>IF(tblSalaries[[#This Row],[Years of Experience]]="","",IF(tblSalaries[[#This Row],[Years of Experience]]&lt;=2,1,""))</f>
        <v/>
      </c>
      <c r="O1534" t="str">
        <f>IF(tblSalaries[[#This Row],[Years of Experience]]="","",IF(AND(tblSalaries[[#This Row],[Years of Experience]]&gt;2,tblSalaries[[#This Row],[Years of Experience]]&lt;=5),1,""))</f>
        <v/>
      </c>
      <c r="P1534">
        <f>IF(tblSalaries[[#This Row],[Years of Experience]]="","",IF(AND(tblSalaries[[#This Row],[Years of Experience]]&gt;5,tblSalaries[[#This Row],[Years of Experience]]&lt;=10),1,""))</f>
        <v>1</v>
      </c>
      <c r="Q1534" t="str">
        <f>IF(tblSalaries[[#This Row],[Years of Experience]]="","",IF(AND(tblSalaries[[#This Row],[Years of Experience]]&gt;10,tblSalaries[[#This Row],[Years of Experience]]&lt;=15),1,""))</f>
        <v/>
      </c>
      <c r="R1534" t="str">
        <f>IF(tblSalaries[[#This Row],[Years of Experience]]="","",IF(AND(tblSalaries[[#This Row],[Years of Experience]]&gt;16,tblSalaries[[#This Row],[Years of Experience]]&lt;=20),1,""))</f>
        <v/>
      </c>
      <c r="S1534" t="str">
        <f>IF(tblSalaries[[#This Row],[Years of Experience]]="","",IF(tblSalaries[[#This Row],[Years of Experience]]&gt;20,1,""))</f>
        <v/>
      </c>
      <c r="T15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34" s="13" t="str">
        <f>IF(tblSalaries[[#This Row],[Job Type]]=tblSalaries[[#Headers],[Accountant]],tblSalaries[[#This Row],[Salary in USD]],"")</f>
        <v/>
      </c>
      <c r="V1534" s="13">
        <f>IF(tblSalaries[[#This Row],[Job Type]]=tblSalaries[[#Headers],[Analyst]],tblSalaries[[#This Row],[Salary in USD]],"")</f>
        <v>40000</v>
      </c>
      <c r="W1534" s="13" t="str">
        <f>IF(tblSalaries[[#This Row],[Job Type]]=tblSalaries[[#Headers],[Consultant]],tblSalaries[[#This Row],[Salary in USD]],"")</f>
        <v/>
      </c>
      <c r="X1534" s="13" t="str">
        <f>IF(tblSalaries[[#This Row],[Job Type]]=tblSalaries[[#Headers],[Controller]],tblSalaries[[#This Row],[Salary in USD]],"")</f>
        <v/>
      </c>
      <c r="Y1534" s="13" t="str">
        <f>IF(tblSalaries[[#This Row],[Job Type]]=tblSalaries[[#Headers],[CXO or Top Mgmt.]],tblSalaries[[#This Row],[clean Salary (in local currency)]],"")</f>
        <v/>
      </c>
      <c r="Z1534" s="13" t="str">
        <f>IF(tblSalaries[[#This Row],[Job Type]]=tblSalaries[[#Headers],[Engineer]],tblSalaries[[#This Row],[Salary in USD]],"")</f>
        <v/>
      </c>
      <c r="AA1534" s="13" t="str">
        <f>IF(tblSalaries[[#This Row],[Job Type]]=tblSalaries[[#Headers],[Manager]],tblSalaries[[#This Row],[Salary in USD]],"")</f>
        <v/>
      </c>
      <c r="AB1534" s="13" t="str">
        <f>IF(tblSalaries[[#This Row],[Job Type]]=tblSalaries[[#Headers],[Misc.]],tblSalaries[[#This Row],[Salary in USD]],"")</f>
        <v/>
      </c>
      <c r="AC1534" s="13" t="str">
        <f>IF(tblSalaries[[#This Row],[Job Type]]=tblSalaries[[#Headers],[Reporting]],tblSalaries[[#This Row],[Salary in USD]],"")</f>
        <v/>
      </c>
      <c r="AD1534" s="13" t="str">
        <f>IF(tblSalaries[[#This Row],[Job Type]]=tblSalaries[[#Headers],[Specialist]],tblSalaries[[#This Row],[Salary in USD]],"")</f>
        <v/>
      </c>
    </row>
    <row r="1535" spans="2:30" ht="15" customHeight="1" x14ac:dyDescent="0.25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 s="9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  <c r="N1535" t="str">
        <f>IF(tblSalaries[[#This Row],[Years of Experience]]="","",IF(tblSalaries[[#This Row],[Years of Experience]]&lt;=2,1,""))</f>
        <v/>
      </c>
      <c r="O1535">
        <f>IF(tblSalaries[[#This Row],[Years of Experience]]="","",IF(AND(tblSalaries[[#This Row],[Years of Experience]]&gt;2,tblSalaries[[#This Row],[Years of Experience]]&lt;=5),1,""))</f>
        <v>1</v>
      </c>
      <c r="P1535" t="str">
        <f>IF(tblSalaries[[#This Row],[Years of Experience]]="","",IF(AND(tblSalaries[[#This Row],[Years of Experience]]&gt;5,tblSalaries[[#This Row],[Years of Experience]]&lt;=10),1,""))</f>
        <v/>
      </c>
      <c r="Q1535" t="str">
        <f>IF(tblSalaries[[#This Row],[Years of Experience]]="","",IF(AND(tblSalaries[[#This Row],[Years of Experience]]&gt;10,tblSalaries[[#This Row],[Years of Experience]]&lt;=15),1,""))</f>
        <v/>
      </c>
      <c r="R1535" t="str">
        <f>IF(tblSalaries[[#This Row],[Years of Experience]]="","",IF(AND(tblSalaries[[#This Row],[Years of Experience]]&gt;16,tblSalaries[[#This Row],[Years of Experience]]&lt;=20),1,""))</f>
        <v/>
      </c>
      <c r="S1535" t="str">
        <f>IF(tblSalaries[[#This Row],[Years of Experience]]="","",IF(tblSalaries[[#This Row],[Years of Experience]]&gt;20,1,""))</f>
        <v/>
      </c>
      <c r="T15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35" s="13" t="str">
        <f>IF(tblSalaries[[#This Row],[Job Type]]=tblSalaries[[#Headers],[Accountant]],tblSalaries[[#This Row],[Salary in USD]],"")</f>
        <v/>
      </c>
      <c r="V1535" s="13">
        <f>IF(tblSalaries[[#This Row],[Job Type]]=tblSalaries[[#Headers],[Analyst]],tblSalaries[[#This Row],[Salary in USD]],"")</f>
        <v>30000</v>
      </c>
      <c r="W1535" s="13" t="str">
        <f>IF(tblSalaries[[#This Row],[Job Type]]=tblSalaries[[#Headers],[Consultant]],tblSalaries[[#This Row],[Salary in USD]],"")</f>
        <v/>
      </c>
      <c r="X1535" s="13" t="str">
        <f>IF(tblSalaries[[#This Row],[Job Type]]=tblSalaries[[#Headers],[Controller]],tblSalaries[[#This Row],[Salary in USD]],"")</f>
        <v/>
      </c>
      <c r="Y1535" s="13" t="str">
        <f>IF(tblSalaries[[#This Row],[Job Type]]=tblSalaries[[#Headers],[CXO or Top Mgmt.]],tblSalaries[[#This Row],[clean Salary (in local currency)]],"")</f>
        <v/>
      </c>
      <c r="Z1535" s="13" t="str">
        <f>IF(tblSalaries[[#This Row],[Job Type]]=tblSalaries[[#Headers],[Engineer]],tblSalaries[[#This Row],[Salary in USD]],"")</f>
        <v/>
      </c>
      <c r="AA1535" s="13" t="str">
        <f>IF(tblSalaries[[#This Row],[Job Type]]=tblSalaries[[#Headers],[Manager]],tblSalaries[[#This Row],[Salary in USD]],"")</f>
        <v/>
      </c>
      <c r="AB1535" s="13" t="str">
        <f>IF(tblSalaries[[#This Row],[Job Type]]=tblSalaries[[#Headers],[Misc.]],tblSalaries[[#This Row],[Salary in USD]],"")</f>
        <v/>
      </c>
      <c r="AC1535" s="13" t="str">
        <f>IF(tblSalaries[[#This Row],[Job Type]]=tblSalaries[[#Headers],[Reporting]],tblSalaries[[#This Row],[Salary in USD]],"")</f>
        <v/>
      </c>
      <c r="AD1535" s="13" t="str">
        <f>IF(tblSalaries[[#This Row],[Job Type]]=tblSalaries[[#Headers],[Specialist]],tblSalaries[[#This Row],[Salary in USD]],"")</f>
        <v/>
      </c>
    </row>
    <row r="1536" spans="2:30" ht="15" customHeight="1" x14ac:dyDescent="0.25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 s="9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  <c r="N1536">
        <f>IF(tblSalaries[[#This Row],[Years of Experience]]="","",IF(tblSalaries[[#This Row],[Years of Experience]]&lt;=2,1,""))</f>
        <v>1</v>
      </c>
      <c r="O1536" t="str">
        <f>IF(tblSalaries[[#This Row],[Years of Experience]]="","",IF(AND(tblSalaries[[#This Row],[Years of Experience]]&gt;2,tblSalaries[[#This Row],[Years of Experience]]&lt;=5),1,""))</f>
        <v/>
      </c>
      <c r="P1536" t="str">
        <f>IF(tblSalaries[[#This Row],[Years of Experience]]="","",IF(AND(tblSalaries[[#This Row],[Years of Experience]]&gt;5,tblSalaries[[#This Row],[Years of Experience]]&lt;=10),1,""))</f>
        <v/>
      </c>
      <c r="Q1536" t="str">
        <f>IF(tblSalaries[[#This Row],[Years of Experience]]="","",IF(AND(tblSalaries[[#This Row],[Years of Experience]]&gt;10,tblSalaries[[#This Row],[Years of Experience]]&lt;=15),1,""))</f>
        <v/>
      </c>
      <c r="R1536" t="str">
        <f>IF(tblSalaries[[#This Row],[Years of Experience]]="","",IF(AND(tblSalaries[[#This Row],[Years of Experience]]&gt;16,tblSalaries[[#This Row],[Years of Experience]]&lt;=20),1,""))</f>
        <v/>
      </c>
      <c r="S1536" t="str">
        <f>IF(tblSalaries[[#This Row],[Years of Experience]]="","",IF(tblSalaries[[#This Row],[Years of Experience]]&gt;20,1,""))</f>
        <v/>
      </c>
      <c r="T15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36" s="13" t="str">
        <f>IF(tblSalaries[[#This Row],[Job Type]]=tblSalaries[[#Headers],[Accountant]],tblSalaries[[#This Row],[Salary in USD]],"")</f>
        <v/>
      </c>
      <c r="V1536" s="13" t="str">
        <f>IF(tblSalaries[[#This Row],[Job Type]]=tblSalaries[[#Headers],[Analyst]],tblSalaries[[#This Row],[Salary in USD]],"")</f>
        <v/>
      </c>
      <c r="W1536" s="13" t="str">
        <f>IF(tblSalaries[[#This Row],[Job Type]]=tblSalaries[[#Headers],[Consultant]],tblSalaries[[#This Row],[Salary in USD]],"")</f>
        <v/>
      </c>
      <c r="X1536" s="13">
        <f>IF(tblSalaries[[#This Row],[Job Type]]=tblSalaries[[#Headers],[Controller]],tblSalaries[[#This Row],[Salary in USD]],"")</f>
        <v>46325</v>
      </c>
      <c r="Y1536" s="13" t="str">
        <f>IF(tblSalaries[[#This Row],[Job Type]]=tblSalaries[[#Headers],[CXO or Top Mgmt.]],tblSalaries[[#This Row],[clean Salary (in local currency)]],"")</f>
        <v/>
      </c>
      <c r="Z1536" s="13" t="str">
        <f>IF(tblSalaries[[#This Row],[Job Type]]=tblSalaries[[#Headers],[Engineer]],tblSalaries[[#This Row],[Salary in USD]],"")</f>
        <v/>
      </c>
      <c r="AA1536" s="13" t="str">
        <f>IF(tblSalaries[[#This Row],[Job Type]]=tblSalaries[[#Headers],[Manager]],tblSalaries[[#This Row],[Salary in USD]],"")</f>
        <v/>
      </c>
      <c r="AB1536" s="13" t="str">
        <f>IF(tblSalaries[[#This Row],[Job Type]]=tblSalaries[[#Headers],[Misc.]],tblSalaries[[#This Row],[Salary in USD]],"")</f>
        <v/>
      </c>
      <c r="AC1536" s="13" t="str">
        <f>IF(tblSalaries[[#This Row],[Job Type]]=tblSalaries[[#Headers],[Reporting]],tblSalaries[[#This Row],[Salary in USD]],"")</f>
        <v/>
      </c>
      <c r="AD1536" s="13" t="str">
        <f>IF(tblSalaries[[#This Row],[Job Type]]=tblSalaries[[#Headers],[Specialist]],tblSalaries[[#This Row],[Salary in USD]],"")</f>
        <v/>
      </c>
    </row>
    <row r="1537" spans="2:30" ht="15" customHeight="1" x14ac:dyDescent="0.25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 s="9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  <c r="N1537" t="str">
        <f>IF(tblSalaries[[#This Row],[Years of Experience]]="","",IF(tblSalaries[[#This Row],[Years of Experience]]&lt;=2,1,""))</f>
        <v/>
      </c>
      <c r="O1537" t="str">
        <f>IF(tblSalaries[[#This Row],[Years of Experience]]="","",IF(AND(tblSalaries[[#This Row],[Years of Experience]]&gt;2,tblSalaries[[#This Row],[Years of Experience]]&lt;=5),1,""))</f>
        <v/>
      </c>
      <c r="P1537">
        <f>IF(tblSalaries[[#This Row],[Years of Experience]]="","",IF(AND(tblSalaries[[#This Row],[Years of Experience]]&gt;5,tblSalaries[[#This Row],[Years of Experience]]&lt;=10),1,""))</f>
        <v>1</v>
      </c>
      <c r="Q1537" t="str">
        <f>IF(tblSalaries[[#This Row],[Years of Experience]]="","",IF(AND(tblSalaries[[#This Row],[Years of Experience]]&gt;10,tblSalaries[[#This Row],[Years of Experience]]&lt;=15),1,""))</f>
        <v/>
      </c>
      <c r="R1537" t="str">
        <f>IF(tblSalaries[[#This Row],[Years of Experience]]="","",IF(AND(tblSalaries[[#This Row],[Years of Experience]]&gt;16,tblSalaries[[#This Row],[Years of Experience]]&lt;=20),1,""))</f>
        <v/>
      </c>
      <c r="S1537" t="str">
        <f>IF(tblSalaries[[#This Row],[Years of Experience]]="","",IF(tblSalaries[[#This Row],[Years of Experience]]&gt;20,1,""))</f>
        <v/>
      </c>
      <c r="T15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37" s="13" t="str">
        <f>IF(tblSalaries[[#This Row],[Job Type]]=tblSalaries[[#Headers],[Accountant]],tblSalaries[[#This Row],[Salary in USD]],"")</f>
        <v/>
      </c>
      <c r="V1537" s="13">
        <f>IF(tblSalaries[[#This Row],[Job Type]]=tblSalaries[[#Headers],[Analyst]],tblSalaries[[#This Row],[Salary in USD]],"")</f>
        <v>15000</v>
      </c>
      <c r="W1537" s="13" t="str">
        <f>IF(tblSalaries[[#This Row],[Job Type]]=tblSalaries[[#Headers],[Consultant]],tblSalaries[[#This Row],[Salary in USD]],"")</f>
        <v/>
      </c>
      <c r="X1537" s="13" t="str">
        <f>IF(tblSalaries[[#This Row],[Job Type]]=tblSalaries[[#Headers],[Controller]],tblSalaries[[#This Row],[Salary in USD]],"")</f>
        <v/>
      </c>
      <c r="Y1537" s="13" t="str">
        <f>IF(tblSalaries[[#This Row],[Job Type]]=tblSalaries[[#Headers],[CXO or Top Mgmt.]],tblSalaries[[#This Row],[clean Salary (in local currency)]],"")</f>
        <v/>
      </c>
      <c r="Z1537" s="13" t="str">
        <f>IF(tblSalaries[[#This Row],[Job Type]]=tblSalaries[[#Headers],[Engineer]],tblSalaries[[#This Row],[Salary in USD]],"")</f>
        <v/>
      </c>
      <c r="AA1537" s="13" t="str">
        <f>IF(tblSalaries[[#This Row],[Job Type]]=tblSalaries[[#Headers],[Manager]],tblSalaries[[#This Row],[Salary in USD]],"")</f>
        <v/>
      </c>
      <c r="AB1537" s="13" t="str">
        <f>IF(tblSalaries[[#This Row],[Job Type]]=tblSalaries[[#Headers],[Misc.]],tblSalaries[[#This Row],[Salary in USD]],"")</f>
        <v/>
      </c>
      <c r="AC1537" s="13" t="str">
        <f>IF(tblSalaries[[#This Row],[Job Type]]=tblSalaries[[#Headers],[Reporting]],tblSalaries[[#This Row],[Salary in USD]],"")</f>
        <v/>
      </c>
      <c r="AD1537" s="13" t="str">
        <f>IF(tblSalaries[[#This Row],[Job Type]]=tblSalaries[[#Headers],[Specialist]],tblSalaries[[#This Row],[Salary in USD]],"")</f>
        <v/>
      </c>
    </row>
    <row r="1538" spans="2:30" ht="15" customHeight="1" x14ac:dyDescent="0.25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 s="9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  <c r="N1538" t="str">
        <f>IF(tblSalaries[[#This Row],[Years of Experience]]="","",IF(tblSalaries[[#This Row],[Years of Experience]]&lt;=2,1,""))</f>
        <v/>
      </c>
      <c r="O1538" t="str">
        <f>IF(tblSalaries[[#This Row],[Years of Experience]]="","",IF(AND(tblSalaries[[#This Row],[Years of Experience]]&gt;2,tblSalaries[[#This Row],[Years of Experience]]&lt;=5),1,""))</f>
        <v/>
      </c>
      <c r="P1538" t="str">
        <f>IF(tblSalaries[[#This Row],[Years of Experience]]="","",IF(AND(tblSalaries[[#This Row],[Years of Experience]]&gt;5,tblSalaries[[#This Row],[Years of Experience]]&lt;=10),1,""))</f>
        <v/>
      </c>
      <c r="Q1538">
        <f>IF(tblSalaries[[#This Row],[Years of Experience]]="","",IF(AND(tblSalaries[[#This Row],[Years of Experience]]&gt;10,tblSalaries[[#This Row],[Years of Experience]]&lt;=15),1,""))</f>
        <v>1</v>
      </c>
      <c r="R1538" t="str">
        <f>IF(tblSalaries[[#This Row],[Years of Experience]]="","",IF(AND(tblSalaries[[#This Row],[Years of Experience]]&gt;16,tblSalaries[[#This Row],[Years of Experience]]&lt;=20),1,""))</f>
        <v/>
      </c>
      <c r="S1538" t="str">
        <f>IF(tblSalaries[[#This Row],[Years of Experience]]="","",IF(tblSalaries[[#This Row],[Years of Experience]]&gt;20,1,""))</f>
        <v/>
      </c>
      <c r="T15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38" s="13" t="str">
        <f>IF(tblSalaries[[#This Row],[Job Type]]=tblSalaries[[#Headers],[Accountant]],tblSalaries[[#This Row],[Salary in USD]],"")</f>
        <v/>
      </c>
      <c r="V1538" s="13">
        <f>IF(tblSalaries[[#This Row],[Job Type]]=tblSalaries[[#Headers],[Analyst]],tblSalaries[[#This Row],[Salary in USD]],"")</f>
        <v>31200</v>
      </c>
      <c r="W1538" s="13" t="str">
        <f>IF(tblSalaries[[#This Row],[Job Type]]=tblSalaries[[#Headers],[Consultant]],tblSalaries[[#This Row],[Salary in USD]],"")</f>
        <v/>
      </c>
      <c r="X1538" s="13" t="str">
        <f>IF(tblSalaries[[#This Row],[Job Type]]=tblSalaries[[#Headers],[Controller]],tblSalaries[[#This Row],[Salary in USD]],"")</f>
        <v/>
      </c>
      <c r="Y1538" s="13" t="str">
        <f>IF(tblSalaries[[#This Row],[Job Type]]=tblSalaries[[#Headers],[CXO or Top Mgmt.]],tblSalaries[[#This Row],[clean Salary (in local currency)]],"")</f>
        <v/>
      </c>
      <c r="Z1538" s="13" t="str">
        <f>IF(tblSalaries[[#This Row],[Job Type]]=tblSalaries[[#Headers],[Engineer]],tblSalaries[[#This Row],[Salary in USD]],"")</f>
        <v/>
      </c>
      <c r="AA1538" s="13" t="str">
        <f>IF(tblSalaries[[#This Row],[Job Type]]=tblSalaries[[#Headers],[Manager]],tblSalaries[[#This Row],[Salary in USD]],"")</f>
        <v/>
      </c>
      <c r="AB1538" s="13" t="str">
        <f>IF(tblSalaries[[#This Row],[Job Type]]=tblSalaries[[#Headers],[Misc.]],tblSalaries[[#This Row],[Salary in USD]],"")</f>
        <v/>
      </c>
      <c r="AC1538" s="13" t="str">
        <f>IF(tblSalaries[[#This Row],[Job Type]]=tblSalaries[[#Headers],[Reporting]],tblSalaries[[#This Row],[Salary in USD]],"")</f>
        <v/>
      </c>
      <c r="AD1538" s="13" t="str">
        <f>IF(tblSalaries[[#This Row],[Job Type]]=tblSalaries[[#Headers],[Specialist]],tblSalaries[[#This Row],[Salary in USD]],"")</f>
        <v/>
      </c>
    </row>
    <row r="1539" spans="2:30" ht="15" customHeight="1" x14ac:dyDescent="0.25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 s="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  <c r="N1539" t="str">
        <f>IF(tblSalaries[[#This Row],[Years of Experience]]="","",IF(tblSalaries[[#This Row],[Years of Experience]]&lt;=2,1,""))</f>
        <v/>
      </c>
      <c r="O1539" t="str">
        <f>IF(tblSalaries[[#This Row],[Years of Experience]]="","",IF(AND(tblSalaries[[#This Row],[Years of Experience]]&gt;2,tblSalaries[[#This Row],[Years of Experience]]&lt;=5),1,""))</f>
        <v/>
      </c>
      <c r="P1539">
        <f>IF(tblSalaries[[#This Row],[Years of Experience]]="","",IF(AND(tblSalaries[[#This Row],[Years of Experience]]&gt;5,tblSalaries[[#This Row],[Years of Experience]]&lt;=10),1,""))</f>
        <v>1</v>
      </c>
      <c r="Q1539" t="str">
        <f>IF(tblSalaries[[#This Row],[Years of Experience]]="","",IF(AND(tblSalaries[[#This Row],[Years of Experience]]&gt;10,tblSalaries[[#This Row],[Years of Experience]]&lt;=15),1,""))</f>
        <v/>
      </c>
      <c r="R1539" t="str">
        <f>IF(tblSalaries[[#This Row],[Years of Experience]]="","",IF(AND(tblSalaries[[#This Row],[Years of Experience]]&gt;16,tblSalaries[[#This Row],[Years of Experience]]&lt;=20),1,""))</f>
        <v/>
      </c>
      <c r="S1539" t="str">
        <f>IF(tblSalaries[[#This Row],[Years of Experience]]="","",IF(tblSalaries[[#This Row],[Years of Experience]]&gt;20,1,""))</f>
        <v/>
      </c>
      <c r="T15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39" s="13" t="str">
        <f>IF(tblSalaries[[#This Row],[Job Type]]=tblSalaries[[#Headers],[Accountant]],tblSalaries[[#This Row],[Salary in USD]],"")</f>
        <v/>
      </c>
      <c r="V1539" s="13">
        <f>IF(tblSalaries[[#This Row],[Job Type]]=tblSalaries[[#Headers],[Analyst]],tblSalaries[[#This Row],[Salary in USD]],"")</f>
        <v>8903.9583437212841</v>
      </c>
      <c r="W1539" s="13" t="str">
        <f>IF(tblSalaries[[#This Row],[Job Type]]=tblSalaries[[#Headers],[Consultant]],tblSalaries[[#This Row],[Salary in USD]],"")</f>
        <v/>
      </c>
      <c r="X1539" s="13" t="str">
        <f>IF(tblSalaries[[#This Row],[Job Type]]=tblSalaries[[#Headers],[Controller]],tblSalaries[[#This Row],[Salary in USD]],"")</f>
        <v/>
      </c>
      <c r="Y1539" s="13" t="str">
        <f>IF(tblSalaries[[#This Row],[Job Type]]=tblSalaries[[#Headers],[CXO or Top Mgmt.]],tblSalaries[[#This Row],[clean Salary (in local currency)]],"")</f>
        <v/>
      </c>
      <c r="Z1539" s="13" t="str">
        <f>IF(tblSalaries[[#This Row],[Job Type]]=tblSalaries[[#Headers],[Engineer]],tblSalaries[[#This Row],[Salary in USD]],"")</f>
        <v/>
      </c>
      <c r="AA1539" s="13" t="str">
        <f>IF(tblSalaries[[#This Row],[Job Type]]=tblSalaries[[#Headers],[Manager]],tblSalaries[[#This Row],[Salary in USD]],"")</f>
        <v/>
      </c>
      <c r="AB1539" s="13" t="str">
        <f>IF(tblSalaries[[#This Row],[Job Type]]=tblSalaries[[#Headers],[Misc.]],tblSalaries[[#This Row],[Salary in USD]],"")</f>
        <v/>
      </c>
      <c r="AC1539" s="13" t="str">
        <f>IF(tblSalaries[[#This Row],[Job Type]]=tblSalaries[[#Headers],[Reporting]],tblSalaries[[#This Row],[Salary in USD]],"")</f>
        <v/>
      </c>
      <c r="AD1539" s="13" t="str">
        <f>IF(tblSalaries[[#This Row],[Job Type]]=tblSalaries[[#Headers],[Specialist]],tblSalaries[[#This Row],[Salary in USD]],"")</f>
        <v/>
      </c>
    </row>
    <row r="1540" spans="2:30" ht="15" customHeight="1" x14ac:dyDescent="0.25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 s="9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  <c r="N1540" t="str">
        <f>IF(tblSalaries[[#This Row],[Years of Experience]]="","",IF(tblSalaries[[#This Row],[Years of Experience]]&lt;=2,1,""))</f>
        <v/>
      </c>
      <c r="O1540" t="str">
        <f>IF(tblSalaries[[#This Row],[Years of Experience]]="","",IF(AND(tblSalaries[[#This Row],[Years of Experience]]&gt;2,tblSalaries[[#This Row],[Years of Experience]]&lt;=5),1,""))</f>
        <v/>
      </c>
      <c r="P1540">
        <f>IF(tblSalaries[[#This Row],[Years of Experience]]="","",IF(AND(tblSalaries[[#This Row],[Years of Experience]]&gt;5,tblSalaries[[#This Row],[Years of Experience]]&lt;=10),1,""))</f>
        <v>1</v>
      </c>
      <c r="Q1540" t="str">
        <f>IF(tblSalaries[[#This Row],[Years of Experience]]="","",IF(AND(tblSalaries[[#This Row],[Years of Experience]]&gt;10,tblSalaries[[#This Row],[Years of Experience]]&lt;=15),1,""))</f>
        <v/>
      </c>
      <c r="R1540" t="str">
        <f>IF(tblSalaries[[#This Row],[Years of Experience]]="","",IF(AND(tblSalaries[[#This Row],[Years of Experience]]&gt;16,tblSalaries[[#This Row],[Years of Experience]]&lt;=20),1,""))</f>
        <v/>
      </c>
      <c r="S1540" t="str">
        <f>IF(tblSalaries[[#This Row],[Years of Experience]]="","",IF(tblSalaries[[#This Row],[Years of Experience]]&gt;20,1,""))</f>
        <v/>
      </c>
      <c r="T15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40" s="13" t="str">
        <f>IF(tblSalaries[[#This Row],[Job Type]]=tblSalaries[[#Headers],[Accountant]],tblSalaries[[#This Row],[Salary in USD]],"")</f>
        <v/>
      </c>
      <c r="V1540" s="13">
        <f>IF(tblSalaries[[#This Row],[Job Type]]=tblSalaries[[#Headers],[Analyst]],tblSalaries[[#This Row],[Salary in USD]],"")</f>
        <v>15840</v>
      </c>
      <c r="W1540" s="13" t="str">
        <f>IF(tblSalaries[[#This Row],[Job Type]]=tblSalaries[[#Headers],[Consultant]],tblSalaries[[#This Row],[Salary in USD]],"")</f>
        <v/>
      </c>
      <c r="X1540" s="13" t="str">
        <f>IF(tblSalaries[[#This Row],[Job Type]]=tblSalaries[[#Headers],[Controller]],tblSalaries[[#This Row],[Salary in USD]],"")</f>
        <v/>
      </c>
      <c r="Y1540" s="13" t="str">
        <f>IF(tblSalaries[[#This Row],[Job Type]]=tblSalaries[[#Headers],[CXO or Top Mgmt.]],tblSalaries[[#This Row],[clean Salary (in local currency)]],"")</f>
        <v/>
      </c>
      <c r="Z1540" s="13" t="str">
        <f>IF(tblSalaries[[#This Row],[Job Type]]=tblSalaries[[#Headers],[Engineer]],tblSalaries[[#This Row],[Salary in USD]],"")</f>
        <v/>
      </c>
      <c r="AA1540" s="13" t="str">
        <f>IF(tblSalaries[[#This Row],[Job Type]]=tblSalaries[[#Headers],[Manager]],tblSalaries[[#This Row],[Salary in USD]],"")</f>
        <v/>
      </c>
      <c r="AB1540" s="13" t="str">
        <f>IF(tblSalaries[[#This Row],[Job Type]]=tblSalaries[[#Headers],[Misc.]],tblSalaries[[#This Row],[Salary in USD]],"")</f>
        <v/>
      </c>
      <c r="AC1540" s="13" t="str">
        <f>IF(tblSalaries[[#This Row],[Job Type]]=tblSalaries[[#Headers],[Reporting]],tblSalaries[[#This Row],[Salary in USD]],"")</f>
        <v/>
      </c>
      <c r="AD1540" s="13" t="str">
        <f>IF(tblSalaries[[#This Row],[Job Type]]=tblSalaries[[#Headers],[Specialist]],tblSalaries[[#This Row],[Salary in USD]],"")</f>
        <v/>
      </c>
    </row>
    <row r="1541" spans="2:30" ht="15" customHeight="1" x14ac:dyDescent="0.25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 s="9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  <c r="N1541" t="str">
        <f>IF(tblSalaries[[#This Row],[Years of Experience]]="","",IF(tblSalaries[[#This Row],[Years of Experience]]&lt;=2,1,""))</f>
        <v/>
      </c>
      <c r="O1541">
        <f>IF(tblSalaries[[#This Row],[Years of Experience]]="","",IF(AND(tblSalaries[[#This Row],[Years of Experience]]&gt;2,tblSalaries[[#This Row],[Years of Experience]]&lt;=5),1,""))</f>
        <v>1</v>
      </c>
      <c r="P1541" t="str">
        <f>IF(tblSalaries[[#This Row],[Years of Experience]]="","",IF(AND(tblSalaries[[#This Row],[Years of Experience]]&gt;5,tblSalaries[[#This Row],[Years of Experience]]&lt;=10),1,""))</f>
        <v/>
      </c>
      <c r="Q1541" t="str">
        <f>IF(tblSalaries[[#This Row],[Years of Experience]]="","",IF(AND(tblSalaries[[#This Row],[Years of Experience]]&gt;10,tblSalaries[[#This Row],[Years of Experience]]&lt;=15),1,""))</f>
        <v/>
      </c>
      <c r="R1541" t="str">
        <f>IF(tblSalaries[[#This Row],[Years of Experience]]="","",IF(AND(tblSalaries[[#This Row],[Years of Experience]]&gt;16,tblSalaries[[#This Row],[Years of Experience]]&lt;=20),1,""))</f>
        <v/>
      </c>
      <c r="S1541" t="str">
        <f>IF(tblSalaries[[#This Row],[Years of Experience]]="","",IF(tblSalaries[[#This Row],[Years of Experience]]&gt;20,1,""))</f>
        <v/>
      </c>
      <c r="T15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41" s="13" t="str">
        <f>IF(tblSalaries[[#This Row],[Job Type]]=tblSalaries[[#Headers],[Accountant]],tblSalaries[[#This Row],[Salary in USD]],"")</f>
        <v/>
      </c>
      <c r="V1541" s="13">
        <f>IF(tblSalaries[[#This Row],[Job Type]]=tblSalaries[[#Headers],[Analyst]],tblSalaries[[#This Row],[Salary in USD]],"")</f>
        <v>15136.729184326183</v>
      </c>
      <c r="W1541" s="13" t="str">
        <f>IF(tblSalaries[[#This Row],[Job Type]]=tblSalaries[[#Headers],[Consultant]],tblSalaries[[#This Row],[Salary in USD]],"")</f>
        <v/>
      </c>
      <c r="X1541" s="13" t="str">
        <f>IF(tblSalaries[[#This Row],[Job Type]]=tblSalaries[[#Headers],[Controller]],tblSalaries[[#This Row],[Salary in USD]],"")</f>
        <v/>
      </c>
      <c r="Y1541" s="13" t="str">
        <f>IF(tblSalaries[[#This Row],[Job Type]]=tblSalaries[[#Headers],[CXO or Top Mgmt.]],tblSalaries[[#This Row],[clean Salary (in local currency)]],"")</f>
        <v/>
      </c>
      <c r="Z1541" s="13" t="str">
        <f>IF(tblSalaries[[#This Row],[Job Type]]=tblSalaries[[#Headers],[Engineer]],tblSalaries[[#This Row],[Salary in USD]],"")</f>
        <v/>
      </c>
      <c r="AA1541" s="13" t="str">
        <f>IF(tblSalaries[[#This Row],[Job Type]]=tblSalaries[[#Headers],[Manager]],tblSalaries[[#This Row],[Salary in USD]],"")</f>
        <v/>
      </c>
      <c r="AB1541" s="13" t="str">
        <f>IF(tblSalaries[[#This Row],[Job Type]]=tblSalaries[[#Headers],[Misc.]],tblSalaries[[#This Row],[Salary in USD]],"")</f>
        <v/>
      </c>
      <c r="AC1541" s="13" t="str">
        <f>IF(tblSalaries[[#This Row],[Job Type]]=tblSalaries[[#Headers],[Reporting]],tblSalaries[[#This Row],[Salary in USD]],"")</f>
        <v/>
      </c>
      <c r="AD1541" s="13" t="str">
        <f>IF(tblSalaries[[#This Row],[Job Type]]=tblSalaries[[#Headers],[Specialist]],tblSalaries[[#This Row],[Salary in USD]],"")</f>
        <v/>
      </c>
    </row>
    <row r="1542" spans="2:30" ht="15" customHeight="1" x14ac:dyDescent="0.25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 s="9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  <c r="N1542" t="str">
        <f>IF(tblSalaries[[#This Row],[Years of Experience]]="","",IF(tblSalaries[[#This Row],[Years of Experience]]&lt;=2,1,""))</f>
        <v/>
      </c>
      <c r="O1542" t="str">
        <f>IF(tblSalaries[[#This Row],[Years of Experience]]="","",IF(AND(tblSalaries[[#This Row],[Years of Experience]]&gt;2,tblSalaries[[#This Row],[Years of Experience]]&lt;=5),1,""))</f>
        <v/>
      </c>
      <c r="P1542">
        <f>IF(tblSalaries[[#This Row],[Years of Experience]]="","",IF(AND(tblSalaries[[#This Row],[Years of Experience]]&gt;5,tblSalaries[[#This Row],[Years of Experience]]&lt;=10),1,""))</f>
        <v>1</v>
      </c>
      <c r="Q1542" t="str">
        <f>IF(tblSalaries[[#This Row],[Years of Experience]]="","",IF(AND(tblSalaries[[#This Row],[Years of Experience]]&gt;10,tblSalaries[[#This Row],[Years of Experience]]&lt;=15),1,""))</f>
        <v/>
      </c>
      <c r="R1542" t="str">
        <f>IF(tblSalaries[[#This Row],[Years of Experience]]="","",IF(AND(tblSalaries[[#This Row],[Years of Experience]]&gt;16,tblSalaries[[#This Row],[Years of Experience]]&lt;=20),1,""))</f>
        <v/>
      </c>
      <c r="S1542" t="str">
        <f>IF(tblSalaries[[#This Row],[Years of Experience]]="","",IF(tblSalaries[[#This Row],[Years of Experience]]&gt;20,1,""))</f>
        <v/>
      </c>
      <c r="T15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42" s="13" t="str">
        <f>IF(tblSalaries[[#This Row],[Job Type]]=tblSalaries[[#Headers],[Accountant]],tblSalaries[[#This Row],[Salary in USD]],"")</f>
        <v/>
      </c>
      <c r="V1542" s="13" t="str">
        <f>IF(tblSalaries[[#This Row],[Job Type]]=tblSalaries[[#Headers],[Analyst]],tblSalaries[[#This Row],[Salary in USD]],"")</f>
        <v/>
      </c>
      <c r="W1542" s="13">
        <f>IF(tblSalaries[[#This Row],[Job Type]]=tblSalaries[[#Headers],[Consultant]],tblSalaries[[#This Row],[Salary in USD]],"")</f>
        <v>41000</v>
      </c>
      <c r="X1542" s="13" t="str">
        <f>IF(tblSalaries[[#This Row],[Job Type]]=tblSalaries[[#Headers],[Controller]],tblSalaries[[#This Row],[Salary in USD]],"")</f>
        <v/>
      </c>
      <c r="Y1542" s="13" t="str">
        <f>IF(tblSalaries[[#This Row],[Job Type]]=tblSalaries[[#Headers],[CXO or Top Mgmt.]],tblSalaries[[#This Row],[clean Salary (in local currency)]],"")</f>
        <v/>
      </c>
      <c r="Z1542" s="13" t="str">
        <f>IF(tblSalaries[[#This Row],[Job Type]]=tblSalaries[[#Headers],[Engineer]],tblSalaries[[#This Row],[Salary in USD]],"")</f>
        <v/>
      </c>
      <c r="AA1542" s="13" t="str">
        <f>IF(tblSalaries[[#This Row],[Job Type]]=tblSalaries[[#Headers],[Manager]],tblSalaries[[#This Row],[Salary in USD]],"")</f>
        <v/>
      </c>
      <c r="AB1542" s="13" t="str">
        <f>IF(tblSalaries[[#This Row],[Job Type]]=tblSalaries[[#Headers],[Misc.]],tblSalaries[[#This Row],[Salary in USD]],"")</f>
        <v/>
      </c>
      <c r="AC1542" s="13" t="str">
        <f>IF(tblSalaries[[#This Row],[Job Type]]=tblSalaries[[#Headers],[Reporting]],tblSalaries[[#This Row],[Salary in USD]],"")</f>
        <v/>
      </c>
      <c r="AD1542" s="13" t="str">
        <f>IF(tblSalaries[[#This Row],[Job Type]]=tblSalaries[[#Headers],[Specialist]],tblSalaries[[#This Row],[Salary in USD]],"")</f>
        <v/>
      </c>
    </row>
    <row r="1543" spans="2:30" ht="15" customHeight="1" x14ac:dyDescent="0.25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 s="9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  <c r="N1543">
        <f>IF(tblSalaries[[#This Row],[Years of Experience]]="","",IF(tblSalaries[[#This Row],[Years of Experience]]&lt;=2,1,""))</f>
        <v>1</v>
      </c>
      <c r="O1543" t="str">
        <f>IF(tblSalaries[[#This Row],[Years of Experience]]="","",IF(AND(tblSalaries[[#This Row],[Years of Experience]]&gt;2,tblSalaries[[#This Row],[Years of Experience]]&lt;=5),1,""))</f>
        <v/>
      </c>
      <c r="P1543" t="str">
        <f>IF(tblSalaries[[#This Row],[Years of Experience]]="","",IF(AND(tblSalaries[[#This Row],[Years of Experience]]&gt;5,tblSalaries[[#This Row],[Years of Experience]]&lt;=10),1,""))</f>
        <v/>
      </c>
      <c r="Q1543" t="str">
        <f>IF(tblSalaries[[#This Row],[Years of Experience]]="","",IF(AND(tblSalaries[[#This Row],[Years of Experience]]&gt;10,tblSalaries[[#This Row],[Years of Experience]]&lt;=15),1,""))</f>
        <v/>
      </c>
      <c r="R1543" t="str">
        <f>IF(tblSalaries[[#This Row],[Years of Experience]]="","",IF(AND(tblSalaries[[#This Row],[Years of Experience]]&gt;16,tblSalaries[[#This Row],[Years of Experience]]&lt;=20),1,""))</f>
        <v/>
      </c>
      <c r="S1543" t="str">
        <f>IF(tblSalaries[[#This Row],[Years of Experience]]="","",IF(tblSalaries[[#This Row],[Years of Experience]]&gt;20,1,""))</f>
        <v/>
      </c>
      <c r="T15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43" s="13" t="str">
        <f>IF(tblSalaries[[#This Row],[Job Type]]=tblSalaries[[#Headers],[Accountant]],tblSalaries[[#This Row],[Salary in USD]],"")</f>
        <v/>
      </c>
      <c r="V1543" s="13" t="str">
        <f>IF(tblSalaries[[#This Row],[Job Type]]=tblSalaries[[#Headers],[Analyst]],tblSalaries[[#This Row],[Salary in USD]],"")</f>
        <v/>
      </c>
      <c r="W1543" s="13" t="str">
        <f>IF(tblSalaries[[#This Row],[Job Type]]=tblSalaries[[#Headers],[Consultant]],tblSalaries[[#This Row],[Salary in USD]],"")</f>
        <v/>
      </c>
      <c r="X1543" s="13" t="str">
        <f>IF(tblSalaries[[#This Row],[Job Type]]=tblSalaries[[#Headers],[Controller]],tblSalaries[[#This Row],[Salary in USD]],"")</f>
        <v/>
      </c>
      <c r="Y1543" s="13" t="str">
        <f>IF(tblSalaries[[#This Row],[Job Type]]=tblSalaries[[#Headers],[CXO or Top Mgmt.]],tblSalaries[[#This Row],[clean Salary (in local currency)]],"")</f>
        <v/>
      </c>
      <c r="Z1543" s="13" t="str">
        <f>IF(tblSalaries[[#This Row],[Job Type]]=tblSalaries[[#Headers],[Engineer]],tblSalaries[[#This Row],[Salary in USD]],"")</f>
        <v/>
      </c>
      <c r="AA1543" s="13">
        <f>IF(tblSalaries[[#This Row],[Job Type]]=tblSalaries[[#Headers],[Manager]],tblSalaries[[#This Row],[Salary in USD]],"")</f>
        <v>11000</v>
      </c>
      <c r="AB1543" s="13" t="str">
        <f>IF(tblSalaries[[#This Row],[Job Type]]=tblSalaries[[#Headers],[Misc.]],tblSalaries[[#This Row],[Salary in USD]],"")</f>
        <v/>
      </c>
      <c r="AC1543" s="13" t="str">
        <f>IF(tblSalaries[[#This Row],[Job Type]]=tblSalaries[[#Headers],[Reporting]],tblSalaries[[#This Row],[Salary in USD]],"")</f>
        <v/>
      </c>
      <c r="AD1543" s="13" t="str">
        <f>IF(tblSalaries[[#This Row],[Job Type]]=tblSalaries[[#Headers],[Specialist]],tblSalaries[[#This Row],[Salary in USD]],"")</f>
        <v/>
      </c>
    </row>
    <row r="1544" spans="2:30" ht="15" customHeight="1" x14ac:dyDescent="0.25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 s="9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4001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  <c r="N1544" t="str">
        <f>IF(tblSalaries[[#This Row],[Years of Experience]]="","",IF(tblSalaries[[#This Row],[Years of Experience]]&lt;=2,1,""))</f>
        <v/>
      </c>
      <c r="O1544" t="str">
        <f>IF(tblSalaries[[#This Row],[Years of Experience]]="","",IF(AND(tblSalaries[[#This Row],[Years of Experience]]&gt;2,tblSalaries[[#This Row],[Years of Experience]]&lt;=5),1,""))</f>
        <v/>
      </c>
      <c r="P1544" t="str">
        <f>IF(tblSalaries[[#This Row],[Years of Experience]]="","",IF(AND(tblSalaries[[#This Row],[Years of Experience]]&gt;5,tblSalaries[[#This Row],[Years of Experience]]&lt;=10),1,""))</f>
        <v/>
      </c>
      <c r="Q1544" t="str">
        <f>IF(tblSalaries[[#This Row],[Years of Experience]]="","",IF(AND(tblSalaries[[#This Row],[Years of Experience]]&gt;10,tblSalaries[[#This Row],[Years of Experience]]&lt;=15),1,""))</f>
        <v/>
      </c>
      <c r="R1544" t="str">
        <f>IF(tblSalaries[[#This Row],[Years of Experience]]="","",IF(AND(tblSalaries[[#This Row],[Years of Experience]]&gt;16,tblSalaries[[#This Row],[Years of Experience]]&lt;=20),1,""))</f>
        <v/>
      </c>
      <c r="S1544">
        <f>IF(tblSalaries[[#This Row],[Years of Experience]]="","",IF(tblSalaries[[#This Row],[Years of Experience]]&gt;20,1,""))</f>
        <v>1</v>
      </c>
      <c r="T15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544" s="13" t="str">
        <f>IF(tblSalaries[[#This Row],[Job Type]]=tblSalaries[[#Headers],[Accountant]],tblSalaries[[#This Row],[Salary in USD]],"")</f>
        <v/>
      </c>
      <c r="V1544" s="13" t="str">
        <f>IF(tblSalaries[[#This Row],[Job Type]]=tblSalaries[[#Headers],[Analyst]],tblSalaries[[#This Row],[Salary in USD]],"")</f>
        <v/>
      </c>
      <c r="W1544" s="13" t="str">
        <f>IF(tblSalaries[[#This Row],[Job Type]]=tblSalaries[[#Headers],[Consultant]],tblSalaries[[#This Row],[Salary in USD]],"")</f>
        <v/>
      </c>
      <c r="X1544" s="13" t="str">
        <f>IF(tblSalaries[[#This Row],[Job Type]]=tblSalaries[[#Headers],[Controller]],tblSalaries[[#This Row],[Salary in USD]],"")</f>
        <v/>
      </c>
      <c r="Y1544" s="13">
        <f>IF(tblSalaries[[#This Row],[Job Type]]=tblSalaries[[#Headers],[CXO or Top Mgmt.]],tblSalaries[[#This Row],[clean Salary (in local currency)]],"")</f>
        <v>35000</v>
      </c>
      <c r="Z1544" s="13" t="str">
        <f>IF(tblSalaries[[#This Row],[Job Type]]=tblSalaries[[#Headers],[Engineer]],tblSalaries[[#This Row],[Salary in USD]],"")</f>
        <v/>
      </c>
      <c r="AA1544" s="13" t="str">
        <f>IF(tblSalaries[[#This Row],[Job Type]]=tblSalaries[[#Headers],[Manager]],tblSalaries[[#This Row],[Salary in USD]],"")</f>
        <v/>
      </c>
      <c r="AB1544" s="13" t="str">
        <f>IF(tblSalaries[[#This Row],[Job Type]]=tblSalaries[[#Headers],[Misc.]],tblSalaries[[#This Row],[Salary in USD]],"")</f>
        <v/>
      </c>
      <c r="AC1544" s="13" t="str">
        <f>IF(tblSalaries[[#This Row],[Job Type]]=tblSalaries[[#Headers],[Reporting]],tblSalaries[[#This Row],[Salary in USD]],"")</f>
        <v/>
      </c>
      <c r="AD1544" s="13" t="str">
        <f>IF(tblSalaries[[#This Row],[Job Type]]=tblSalaries[[#Headers],[Specialist]],tblSalaries[[#This Row],[Salary in USD]],"")</f>
        <v/>
      </c>
    </row>
    <row r="1545" spans="2:30" ht="15" customHeight="1" x14ac:dyDescent="0.25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 s="9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  <c r="N1545" t="str">
        <f>IF(tblSalaries[[#This Row],[Years of Experience]]="","",IF(tblSalaries[[#This Row],[Years of Experience]]&lt;=2,1,""))</f>
        <v/>
      </c>
      <c r="O1545" t="str">
        <f>IF(tblSalaries[[#This Row],[Years of Experience]]="","",IF(AND(tblSalaries[[#This Row],[Years of Experience]]&gt;2,tblSalaries[[#This Row],[Years of Experience]]&lt;=5),1,""))</f>
        <v/>
      </c>
      <c r="P1545" t="str">
        <f>IF(tblSalaries[[#This Row],[Years of Experience]]="","",IF(AND(tblSalaries[[#This Row],[Years of Experience]]&gt;5,tblSalaries[[#This Row],[Years of Experience]]&lt;=10),1,""))</f>
        <v/>
      </c>
      <c r="Q1545">
        <f>IF(tblSalaries[[#This Row],[Years of Experience]]="","",IF(AND(tblSalaries[[#This Row],[Years of Experience]]&gt;10,tblSalaries[[#This Row],[Years of Experience]]&lt;=15),1,""))</f>
        <v>1</v>
      </c>
      <c r="R1545" t="str">
        <f>IF(tblSalaries[[#This Row],[Years of Experience]]="","",IF(AND(tblSalaries[[#This Row],[Years of Experience]]&gt;16,tblSalaries[[#This Row],[Years of Experience]]&lt;=20),1,""))</f>
        <v/>
      </c>
      <c r="S1545" t="str">
        <f>IF(tblSalaries[[#This Row],[Years of Experience]]="","",IF(tblSalaries[[#This Row],[Years of Experience]]&gt;20,1,""))</f>
        <v/>
      </c>
      <c r="T15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45" s="13" t="str">
        <f>IF(tblSalaries[[#This Row],[Job Type]]=tblSalaries[[#Headers],[Accountant]],tblSalaries[[#This Row],[Salary in USD]],"")</f>
        <v/>
      </c>
      <c r="V1545" s="13" t="str">
        <f>IF(tblSalaries[[#This Row],[Job Type]]=tblSalaries[[#Headers],[Analyst]],tblSalaries[[#This Row],[Salary in USD]],"")</f>
        <v/>
      </c>
      <c r="W1545" s="13" t="str">
        <f>IF(tblSalaries[[#This Row],[Job Type]]=tblSalaries[[#Headers],[Consultant]],tblSalaries[[#This Row],[Salary in USD]],"")</f>
        <v/>
      </c>
      <c r="X1545" s="13" t="str">
        <f>IF(tblSalaries[[#This Row],[Job Type]]=tblSalaries[[#Headers],[Controller]],tblSalaries[[#This Row],[Salary in USD]],"")</f>
        <v/>
      </c>
      <c r="Y1545" s="13" t="str">
        <f>IF(tblSalaries[[#This Row],[Job Type]]=tblSalaries[[#Headers],[CXO or Top Mgmt.]],tblSalaries[[#This Row],[clean Salary (in local currency)]],"")</f>
        <v/>
      </c>
      <c r="Z1545" s="13" t="str">
        <f>IF(tblSalaries[[#This Row],[Job Type]]=tblSalaries[[#Headers],[Engineer]],tblSalaries[[#This Row],[Salary in USD]],"")</f>
        <v/>
      </c>
      <c r="AA1545" s="13">
        <f>IF(tblSalaries[[#This Row],[Job Type]]=tblSalaries[[#Headers],[Manager]],tblSalaries[[#This Row],[Salary in USD]],"")</f>
        <v>5689.2125418690484</v>
      </c>
      <c r="AB1545" s="13" t="str">
        <f>IF(tblSalaries[[#This Row],[Job Type]]=tblSalaries[[#Headers],[Misc.]],tblSalaries[[#This Row],[Salary in USD]],"")</f>
        <v/>
      </c>
      <c r="AC1545" s="13" t="str">
        <f>IF(tblSalaries[[#This Row],[Job Type]]=tblSalaries[[#Headers],[Reporting]],tblSalaries[[#This Row],[Salary in USD]],"")</f>
        <v/>
      </c>
      <c r="AD1545" s="13" t="str">
        <f>IF(tblSalaries[[#This Row],[Job Type]]=tblSalaries[[#Headers],[Specialist]],tblSalaries[[#This Row],[Salary in USD]],"")</f>
        <v/>
      </c>
    </row>
    <row r="1546" spans="2:30" ht="15" customHeight="1" x14ac:dyDescent="0.25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 s="9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  <c r="N1546" t="str">
        <f>IF(tblSalaries[[#This Row],[Years of Experience]]="","",IF(tblSalaries[[#This Row],[Years of Experience]]&lt;=2,1,""))</f>
        <v/>
      </c>
      <c r="O1546">
        <f>IF(tblSalaries[[#This Row],[Years of Experience]]="","",IF(AND(tblSalaries[[#This Row],[Years of Experience]]&gt;2,tblSalaries[[#This Row],[Years of Experience]]&lt;=5),1,""))</f>
        <v>1</v>
      </c>
      <c r="P1546" t="str">
        <f>IF(tblSalaries[[#This Row],[Years of Experience]]="","",IF(AND(tblSalaries[[#This Row],[Years of Experience]]&gt;5,tblSalaries[[#This Row],[Years of Experience]]&lt;=10),1,""))</f>
        <v/>
      </c>
      <c r="Q1546" t="str">
        <f>IF(tblSalaries[[#This Row],[Years of Experience]]="","",IF(AND(tblSalaries[[#This Row],[Years of Experience]]&gt;10,tblSalaries[[#This Row],[Years of Experience]]&lt;=15),1,""))</f>
        <v/>
      </c>
      <c r="R1546" t="str">
        <f>IF(tblSalaries[[#This Row],[Years of Experience]]="","",IF(AND(tblSalaries[[#This Row],[Years of Experience]]&gt;16,tblSalaries[[#This Row],[Years of Experience]]&lt;=20),1,""))</f>
        <v/>
      </c>
      <c r="S1546" t="str">
        <f>IF(tblSalaries[[#This Row],[Years of Experience]]="","",IF(tblSalaries[[#This Row],[Years of Experience]]&gt;20,1,""))</f>
        <v/>
      </c>
      <c r="T15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46" s="13" t="str">
        <f>IF(tblSalaries[[#This Row],[Job Type]]=tblSalaries[[#Headers],[Accountant]],tblSalaries[[#This Row],[Salary in USD]],"")</f>
        <v/>
      </c>
      <c r="V1546" s="13">
        <f>IF(tblSalaries[[#This Row],[Job Type]]=tblSalaries[[#Headers],[Analyst]],tblSalaries[[#This Row],[Salary in USD]],"")</f>
        <v>17728</v>
      </c>
      <c r="W1546" s="13" t="str">
        <f>IF(tblSalaries[[#This Row],[Job Type]]=tblSalaries[[#Headers],[Consultant]],tblSalaries[[#This Row],[Salary in USD]],"")</f>
        <v/>
      </c>
      <c r="X1546" s="13" t="str">
        <f>IF(tblSalaries[[#This Row],[Job Type]]=tblSalaries[[#Headers],[Controller]],tblSalaries[[#This Row],[Salary in USD]],"")</f>
        <v/>
      </c>
      <c r="Y1546" s="13" t="str">
        <f>IF(tblSalaries[[#This Row],[Job Type]]=tblSalaries[[#Headers],[CXO or Top Mgmt.]],tblSalaries[[#This Row],[clean Salary (in local currency)]],"")</f>
        <v/>
      </c>
      <c r="Z1546" s="13" t="str">
        <f>IF(tblSalaries[[#This Row],[Job Type]]=tblSalaries[[#Headers],[Engineer]],tblSalaries[[#This Row],[Salary in USD]],"")</f>
        <v/>
      </c>
      <c r="AA1546" s="13" t="str">
        <f>IF(tblSalaries[[#This Row],[Job Type]]=tblSalaries[[#Headers],[Manager]],tblSalaries[[#This Row],[Salary in USD]],"")</f>
        <v/>
      </c>
      <c r="AB1546" s="13" t="str">
        <f>IF(tblSalaries[[#This Row],[Job Type]]=tblSalaries[[#Headers],[Misc.]],tblSalaries[[#This Row],[Salary in USD]],"")</f>
        <v/>
      </c>
      <c r="AC1546" s="13" t="str">
        <f>IF(tblSalaries[[#This Row],[Job Type]]=tblSalaries[[#Headers],[Reporting]],tblSalaries[[#This Row],[Salary in USD]],"")</f>
        <v/>
      </c>
      <c r="AD1546" s="13" t="str">
        <f>IF(tblSalaries[[#This Row],[Job Type]]=tblSalaries[[#Headers],[Specialist]],tblSalaries[[#This Row],[Salary in USD]],"")</f>
        <v/>
      </c>
    </row>
    <row r="1547" spans="2:30" ht="15" customHeight="1" x14ac:dyDescent="0.25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 s="9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  <c r="N1547" t="str">
        <f>IF(tblSalaries[[#This Row],[Years of Experience]]="","",IF(tblSalaries[[#This Row],[Years of Experience]]&lt;=2,1,""))</f>
        <v/>
      </c>
      <c r="O1547" t="str">
        <f>IF(tblSalaries[[#This Row],[Years of Experience]]="","",IF(AND(tblSalaries[[#This Row],[Years of Experience]]&gt;2,tblSalaries[[#This Row],[Years of Experience]]&lt;=5),1,""))</f>
        <v/>
      </c>
      <c r="P1547">
        <f>IF(tblSalaries[[#This Row],[Years of Experience]]="","",IF(AND(tblSalaries[[#This Row],[Years of Experience]]&gt;5,tblSalaries[[#This Row],[Years of Experience]]&lt;=10),1,""))</f>
        <v>1</v>
      </c>
      <c r="Q1547" t="str">
        <f>IF(tblSalaries[[#This Row],[Years of Experience]]="","",IF(AND(tblSalaries[[#This Row],[Years of Experience]]&gt;10,tblSalaries[[#This Row],[Years of Experience]]&lt;=15),1,""))</f>
        <v/>
      </c>
      <c r="R1547" t="str">
        <f>IF(tblSalaries[[#This Row],[Years of Experience]]="","",IF(AND(tblSalaries[[#This Row],[Years of Experience]]&gt;16,tblSalaries[[#This Row],[Years of Experience]]&lt;=20),1,""))</f>
        <v/>
      </c>
      <c r="S1547" t="str">
        <f>IF(tblSalaries[[#This Row],[Years of Experience]]="","",IF(tblSalaries[[#This Row],[Years of Experience]]&gt;20,1,""))</f>
        <v/>
      </c>
      <c r="T15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47" s="13" t="str">
        <f>IF(tblSalaries[[#This Row],[Job Type]]=tblSalaries[[#Headers],[Accountant]],tblSalaries[[#This Row],[Salary in USD]],"")</f>
        <v/>
      </c>
      <c r="V1547" s="13" t="str">
        <f>IF(tblSalaries[[#This Row],[Job Type]]=tblSalaries[[#Headers],[Analyst]],tblSalaries[[#This Row],[Salary in USD]],"")</f>
        <v/>
      </c>
      <c r="W1547" s="13" t="str">
        <f>IF(tblSalaries[[#This Row],[Job Type]]=tblSalaries[[#Headers],[Consultant]],tblSalaries[[#This Row],[Salary in USD]],"")</f>
        <v/>
      </c>
      <c r="X1547" s="13">
        <f>IF(tblSalaries[[#This Row],[Job Type]]=tblSalaries[[#Headers],[Controller]],tblSalaries[[#This Row],[Salary in USD]],"")</f>
        <v>13745.704467353951</v>
      </c>
      <c r="Y1547" s="13" t="str">
        <f>IF(tblSalaries[[#This Row],[Job Type]]=tblSalaries[[#Headers],[CXO or Top Mgmt.]],tblSalaries[[#This Row],[clean Salary (in local currency)]],"")</f>
        <v/>
      </c>
      <c r="Z1547" s="13" t="str">
        <f>IF(tblSalaries[[#This Row],[Job Type]]=tblSalaries[[#Headers],[Engineer]],tblSalaries[[#This Row],[Salary in USD]],"")</f>
        <v/>
      </c>
      <c r="AA1547" s="13" t="str">
        <f>IF(tblSalaries[[#This Row],[Job Type]]=tblSalaries[[#Headers],[Manager]],tblSalaries[[#This Row],[Salary in USD]],"")</f>
        <v/>
      </c>
      <c r="AB1547" s="13" t="str">
        <f>IF(tblSalaries[[#This Row],[Job Type]]=tblSalaries[[#Headers],[Misc.]],tblSalaries[[#This Row],[Salary in USD]],"")</f>
        <v/>
      </c>
      <c r="AC1547" s="13" t="str">
        <f>IF(tblSalaries[[#This Row],[Job Type]]=tblSalaries[[#Headers],[Reporting]],tblSalaries[[#This Row],[Salary in USD]],"")</f>
        <v/>
      </c>
      <c r="AD1547" s="13" t="str">
        <f>IF(tblSalaries[[#This Row],[Job Type]]=tblSalaries[[#Headers],[Specialist]],tblSalaries[[#This Row],[Salary in USD]],"")</f>
        <v/>
      </c>
    </row>
    <row r="1548" spans="2:30" ht="15" customHeight="1" x14ac:dyDescent="0.25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 s="9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  <c r="N1548" t="str">
        <f>IF(tblSalaries[[#This Row],[Years of Experience]]="","",IF(tblSalaries[[#This Row],[Years of Experience]]&lt;=2,1,""))</f>
        <v/>
      </c>
      <c r="O1548" t="str">
        <f>IF(tblSalaries[[#This Row],[Years of Experience]]="","",IF(AND(tblSalaries[[#This Row],[Years of Experience]]&gt;2,tblSalaries[[#This Row],[Years of Experience]]&lt;=5),1,""))</f>
        <v/>
      </c>
      <c r="P1548" t="str">
        <f>IF(tblSalaries[[#This Row],[Years of Experience]]="","",IF(AND(tblSalaries[[#This Row],[Years of Experience]]&gt;5,tblSalaries[[#This Row],[Years of Experience]]&lt;=10),1,""))</f>
        <v/>
      </c>
      <c r="Q1548">
        <f>IF(tblSalaries[[#This Row],[Years of Experience]]="","",IF(AND(tblSalaries[[#This Row],[Years of Experience]]&gt;10,tblSalaries[[#This Row],[Years of Experience]]&lt;=15),1,""))</f>
        <v>1</v>
      </c>
      <c r="R1548" t="str">
        <f>IF(tblSalaries[[#This Row],[Years of Experience]]="","",IF(AND(tblSalaries[[#This Row],[Years of Experience]]&gt;16,tblSalaries[[#This Row],[Years of Experience]]&lt;=20),1,""))</f>
        <v/>
      </c>
      <c r="S1548" t="str">
        <f>IF(tblSalaries[[#This Row],[Years of Experience]]="","",IF(tblSalaries[[#This Row],[Years of Experience]]&gt;20,1,""))</f>
        <v/>
      </c>
      <c r="T15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48" s="13">
        <f>IF(tblSalaries[[#This Row],[Job Type]]=tblSalaries[[#Headers],[Accountant]],tblSalaries[[#This Row],[Salary in USD]],"")</f>
        <v>50000</v>
      </c>
      <c r="V1548" s="13" t="str">
        <f>IF(tblSalaries[[#This Row],[Job Type]]=tblSalaries[[#Headers],[Analyst]],tblSalaries[[#This Row],[Salary in USD]],"")</f>
        <v/>
      </c>
      <c r="W1548" s="13" t="str">
        <f>IF(tblSalaries[[#This Row],[Job Type]]=tblSalaries[[#Headers],[Consultant]],tblSalaries[[#This Row],[Salary in USD]],"")</f>
        <v/>
      </c>
      <c r="X1548" s="13" t="str">
        <f>IF(tblSalaries[[#This Row],[Job Type]]=tblSalaries[[#Headers],[Controller]],tblSalaries[[#This Row],[Salary in USD]],"")</f>
        <v/>
      </c>
      <c r="Y1548" s="13" t="str">
        <f>IF(tblSalaries[[#This Row],[Job Type]]=tblSalaries[[#Headers],[CXO or Top Mgmt.]],tblSalaries[[#This Row],[clean Salary (in local currency)]],"")</f>
        <v/>
      </c>
      <c r="Z1548" s="13" t="str">
        <f>IF(tblSalaries[[#This Row],[Job Type]]=tblSalaries[[#Headers],[Engineer]],tblSalaries[[#This Row],[Salary in USD]],"")</f>
        <v/>
      </c>
      <c r="AA1548" s="13" t="str">
        <f>IF(tblSalaries[[#This Row],[Job Type]]=tblSalaries[[#Headers],[Manager]],tblSalaries[[#This Row],[Salary in USD]],"")</f>
        <v/>
      </c>
      <c r="AB1548" s="13" t="str">
        <f>IF(tblSalaries[[#This Row],[Job Type]]=tblSalaries[[#Headers],[Misc.]],tblSalaries[[#This Row],[Salary in USD]],"")</f>
        <v/>
      </c>
      <c r="AC1548" s="13" t="str">
        <f>IF(tblSalaries[[#This Row],[Job Type]]=tblSalaries[[#Headers],[Reporting]],tblSalaries[[#This Row],[Salary in USD]],"")</f>
        <v/>
      </c>
      <c r="AD1548" s="13" t="str">
        <f>IF(tblSalaries[[#This Row],[Job Type]]=tblSalaries[[#Headers],[Specialist]],tblSalaries[[#This Row],[Salary in USD]],"")</f>
        <v/>
      </c>
    </row>
    <row r="1549" spans="2:30" ht="15" customHeight="1" x14ac:dyDescent="0.25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 s="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  <c r="N1549" t="str">
        <f>IF(tblSalaries[[#This Row],[Years of Experience]]="","",IF(tblSalaries[[#This Row],[Years of Experience]]&lt;=2,1,""))</f>
        <v/>
      </c>
      <c r="O1549" t="str">
        <f>IF(tblSalaries[[#This Row],[Years of Experience]]="","",IF(AND(tblSalaries[[#This Row],[Years of Experience]]&gt;2,tblSalaries[[#This Row],[Years of Experience]]&lt;=5),1,""))</f>
        <v/>
      </c>
      <c r="P1549">
        <f>IF(tblSalaries[[#This Row],[Years of Experience]]="","",IF(AND(tblSalaries[[#This Row],[Years of Experience]]&gt;5,tblSalaries[[#This Row],[Years of Experience]]&lt;=10),1,""))</f>
        <v>1</v>
      </c>
      <c r="Q1549" t="str">
        <f>IF(tblSalaries[[#This Row],[Years of Experience]]="","",IF(AND(tblSalaries[[#This Row],[Years of Experience]]&gt;10,tblSalaries[[#This Row],[Years of Experience]]&lt;=15),1,""))</f>
        <v/>
      </c>
      <c r="R1549" t="str">
        <f>IF(tblSalaries[[#This Row],[Years of Experience]]="","",IF(AND(tblSalaries[[#This Row],[Years of Experience]]&gt;16,tblSalaries[[#This Row],[Years of Experience]]&lt;=20),1,""))</f>
        <v/>
      </c>
      <c r="S1549" t="str">
        <f>IF(tblSalaries[[#This Row],[Years of Experience]]="","",IF(tblSalaries[[#This Row],[Years of Experience]]&gt;20,1,""))</f>
        <v/>
      </c>
      <c r="T15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49" s="13" t="str">
        <f>IF(tblSalaries[[#This Row],[Job Type]]=tblSalaries[[#Headers],[Accountant]],tblSalaries[[#This Row],[Salary in USD]],"")</f>
        <v/>
      </c>
      <c r="V1549" s="13">
        <f>IF(tblSalaries[[#This Row],[Job Type]]=tblSalaries[[#Headers],[Analyst]],tblSalaries[[#This Row],[Salary in USD]],"")</f>
        <v>78668.921842426149</v>
      </c>
      <c r="W1549" s="13" t="str">
        <f>IF(tblSalaries[[#This Row],[Job Type]]=tblSalaries[[#Headers],[Consultant]],tblSalaries[[#This Row],[Salary in USD]],"")</f>
        <v/>
      </c>
      <c r="X1549" s="13" t="str">
        <f>IF(tblSalaries[[#This Row],[Job Type]]=tblSalaries[[#Headers],[Controller]],tblSalaries[[#This Row],[Salary in USD]],"")</f>
        <v/>
      </c>
      <c r="Y1549" s="13" t="str">
        <f>IF(tblSalaries[[#This Row],[Job Type]]=tblSalaries[[#Headers],[CXO or Top Mgmt.]],tblSalaries[[#This Row],[clean Salary (in local currency)]],"")</f>
        <v/>
      </c>
      <c r="Z1549" s="13" t="str">
        <f>IF(tblSalaries[[#This Row],[Job Type]]=tblSalaries[[#Headers],[Engineer]],tblSalaries[[#This Row],[Salary in USD]],"")</f>
        <v/>
      </c>
      <c r="AA1549" s="13" t="str">
        <f>IF(tblSalaries[[#This Row],[Job Type]]=tblSalaries[[#Headers],[Manager]],tblSalaries[[#This Row],[Salary in USD]],"")</f>
        <v/>
      </c>
      <c r="AB1549" s="13" t="str">
        <f>IF(tblSalaries[[#This Row],[Job Type]]=tblSalaries[[#Headers],[Misc.]],tblSalaries[[#This Row],[Salary in USD]],"")</f>
        <v/>
      </c>
      <c r="AC1549" s="13" t="str">
        <f>IF(tblSalaries[[#This Row],[Job Type]]=tblSalaries[[#Headers],[Reporting]],tblSalaries[[#This Row],[Salary in USD]],"")</f>
        <v/>
      </c>
      <c r="AD1549" s="13" t="str">
        <f>IF(tblSalaries[[#This Row],[Job Type]]=tblSalaries[[#Headers],[Specialist]],tblSalaries[[#This Row],[Salary in USD]],"")</f>
        <v/>
      </c>
    </row>
    <row r="1550" spans="2:30" ht="15" customHeight="1" x14ac:dyDescent="0.25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 s="9">
        <f>tblSalaries[[#This Row],[clean Salary (in local currency)]]*VLOOKUP(tblSalaries[[#This Row],[Currency]],tblXrate[],2,FALSE)</f>
        <v>85000</v>
      </c>
      <c r="H1550" t="s">
        <v>1733</v>
      </c>
      <c r="I1550" t="s">
        <v>3999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  <c r="N1550" t="str">
        <f>IF(tblSalaries[[#This Row],[Years of Experience]]="","",IF(tblSalaries[[#This Row],[Years of Experience]]&lt;=2,1,""))</f>
        <v/>
      </c>
      <c r="O1550" t="str">
        <f>IF(tblSalaries[[#This Row],[Years of Experience]]="","",IF(AND(tblSalaries[[#This Row],[Years of Experience]]&gt;2,tblSalaries[[#This Row],[Years of Experience]]&lt;=5),1,""))</f>
        <v/>
      </c>
      <c r="P1550">
        <f>IF(tblSalaries[[#This Row],[Years of Experience]]="","",IF(AND(tblSalaries[[#This Row],[Years of Experience]]&gt;5,tblSalaries[[#This Row],[Years of Experience]]&lt;=10),1,""))</f>
        <v>1</v>
      </c>
      <c r="Q1550" t="str">
        <f>IF(tblSalaries[[#This Row],[Years of Experience]]="","",IF(AND(tblSalaries[[#This Row],[Years of Experience]]&gt;10,tblSalaries[[#This Row],[Years of Experience]]&lt;=15),1,""))</f>
        <v/>
      </c>
      <c r="R1550" t="str">
        <f>IF(tblSalaries[[#This Row],[Years of Experience]]="","",IF(AND(tblSalaries[[#This Row],[Years of Experience]]&gt;16,tblSalaries[[#This Row],[Years of Experience]]&lt;=20),1,""))</f>
        <v/>
      </c>
      <c r="S1550" t="str">
        <f>IF(tblSalaries[[#This Row],[Years of Experience]]="","",IF(tblSalaries[[#This Row],[Years of Experience]]&gt;20,1,""))</f>
        <v/>
      </c>
      <c r="T15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50" s="13" t="str">
        <f>IF(tblSalaries[[#This Row],[Job Type]]=tblSalaries[[#Headers],[Accountant]],tblSalaries[[#This Row],[Salary in USD]],"")</f>
        <v/>
      </c>
      <c r="V1550" s="13" t="str">
        <f>IF(tblSalaries[[#This Row],[Job Type]]=tblSalaries[[#Headers],[Analyst]],tblSalaries[[#This Row],[Salary in USD]],"")</f>
        <v/>
      </c>
      <c r="W1550" s="13" t="str">
        <f>IF(tblSalaries[[#This Row],[Job Type]]=tblSalaries[[#Headers],[Consultant]],tblSalaries[[#This Row],[Salary in USD]],"")</f>
        <v/>
      </c>
      <c r="X1550" s="13" t="str">
        <f>IF(tblSalaries[[#This Row],[Job Type]]=tblSalaries[[#Headers],[Controller]],tblSalaries[[#This Row],[Salary in USD]],"")</f>
        <v/>
      </c>
      <c r="Y1550" s="13" t="str">
        <f>IF(tblSalaries[[#This Row],[Job Type]]=tblSalaries[[#Headers],[CXO or Top Mgmt.]],tblSalaries[[#This Row],[clean Salary (in local currency)]],"")</f>
        <v/>
      </c>
      <c r="Z1550" s="13" t="str">
        <f>IF(tblSalaries[[#This Row],[Job Type]]=tblSalaries[[#Headers],[Engineer]],tblSalaries[[#This Row],[Salary in USD]],"")</f>
        <v/>
      </c>
      <c r="AA1550" s="13" t="str">
        <f>IF(tblSalaries[[#This Row],[Job Type]]=tblSalaries[[#Headers],[Manager]],tblSalaries[[#This Row],[Salary in USD]],"")</f>
        <v/>
      </c>
      <c r="AB1550" s="13" t="str">
        <f>IF(tblSalaries[[#This Row],[Job Type]]=tblSalaries[[#Headers],[Misc.]],tblSalaries[[#This Row],[Salary in USD]],"")</f>
        <v/>
      </c>
      <c r="AC1550" s="13">
        <f>IF(tblSalaries[[#This Row],[Job Type]]=tblSalaries[[#Headers],[Reporting]],tblSalaries[[#This Row],[Salary in USD]],"")</f>
        <v>85000</v>
      </c>
      <c r="AD1550" s="13" t="str">
        <f>IF(tblSalaries[[#This Row],[Job Type]]=tblSalaries[[#Headers],[Specialist]],tblSalaries[[#This Row],[Salary in USD]],"")</f>
        <v/>
      </c>
    </row>
    <row r="1551" spans="2:30" ht="15" customHeight="1" x14ac:dyDescent="0.25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 s="9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  <c r="N1551" t="str">
        <f>IF(tblSalaries[[#This Row],[Years of Experience]]="","",IF(tblSalaries[[#This Row],[Years of Experience]]&lt;=2,1,""))</f>
        <v/>
      </c>
      <c r="O1551" t="str">
        <f>IF(tblSalaries[[#This Row],[Years of Experience]]="","",IF(AND(tblSalaries[[#This Row],[Years of Experience]]&gt;2,tblSalaries[[#This Row],[Years of Experience]]&lt;=5),1,""))</f>
        <v/>
      </c>
      <c r="P1551" t="str">
        <f>IF(tblSalaries[[#This Row],[Years of Experience]]="","",IF(AND(tblSalaries[[#This Row],[Years of Experience]]&gt;5,tblSalaries[[#This Row],[Years of Experience]]&lt;=10),1,""))</f>
        <v/>
      </c>
      <c r="Q1551" t="str">
        <f>IF(tblSalaries[[#This Row],[Years of Experience]]="","",IF(AND(tblSalaries[[#This Row],[Years of Experience]]&gt;10,tblSalaries[[#This Row],[Years of Experience]]&lt;=15),1,""))</f>
        <v/>
      </c>
      <c r="R1551">
        <f>IF(tblSalaries[[#This Row],[Years of Experience]]="","",IF(AND(tblSalaries[[#This Row],[Years of Experience]]&gt;16,tblSalaries[[#This Row],[Years of Experience]]&lt;=20),1,""))</f>
        <v>1</v>
      </c>
      <c r="S1551" t="str">
        <f>IF(tblSalaries[[#This Row],[Years of Experience]]="","",IF(tblSalaries[[#This Row],[Years of Experience]]&gt;20,1,""))</f>
        <v/>
      </c>
      <c r="T15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551" s="13" t="str">
        <f>IF(tblSalaries[[#This Row],[Job Type]]=tblSalaries[[#Headers],[Accountant]],tblSalaries[[#This Row],[Salary in USD]],"")</f>
        <v/>
      </c>
      <c r="V1551" s="13" t="str">
        <f>IF(tblSalaries[[#This Row],[Job Type]]=tblSalaries[[#Headers],[Analyst]],tblSalaries[[#This Row],[Salary in USD]],"")</f>
        <v/>
      </c>
      <c r="W1551" s="13" t="str">
        <f>IF(tblSalaries[[#This Row],[Job Type]]=tblSalaries[[#Headers],[Consultant]],tblSalaries[[#This Row],[Salary in USD]],"")</f>
        <v/>
      </c>
      <c r="X1551" s="13" t="str">
        <f>IF(tblSalaries[[#This Row],[Job Type]]=tblSalaries[[#Headers],[Controller]],tblSalaries[[#This Row],[Salary in USD]],"")</f>
        <v/>
      </c>
      <c r="Y1551" s="13" t="str">
        <f>IF(tblSalaries[[#This Row],[Job Type]]=tblSalaries[[#Headers],[CXO or Top Mgmt.]],tblSalaries[[#This Row],[clean Salary (in local currency)]],"")</f>
        <v/>
      </c>
      <c r="Z1551" s="13" t="str">
        <f>IF(tblSalaries[[#This Row],[Job Type]]=tblSalaries[[#Headers],[Engineer]],tblSalaries[[#This Row],[Salary in USD]],"")</f>
        <v/>
      </c>
      <c r="AA1551" s="13">
        <f>IF(tblSalaries[[#This Row],[Job Type]]=tblSalaries[[#Headers],[Manager]],tblSalaries[[#This Row],[Salary in USD]],"")</f>
        <v>101990.96564026357</v>
      </c>
      <c r="AB1551" s="13" t="str">
        <f>IF(tblSalaries[[#This Row],[Job Type]]=tblSalaries[[#Headers],[Misc.]],tblSalaries[[#This Row],[Salary in USD]],"")</f>
        <v/>
      </c>
      <c r="AC1551" s="13" t="str">
        <f>IF(tblSalaries[[#This Row],[Job Type]]=tblSalaries[[#Headers],[Reporting]],tblSalaries[[#This Row],[Salary in USD]],"")</f>
        <v/>
      </c>
      <c r="AD1551" s="13" t="str">
        <f>IF(tblSalaries[[#This Row],[Job Type]]=tblSalaries[[#Headers],[Specialist]],tblSalaries[[#This Row],[Salary in USD]],"")</f>
        <v/>
      </c>
    </row>
    <row r="1552" spans="2:30" ht="15" customHeight="1" x14ac:dyDescent="0.25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 s="9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3999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  <c r="N1552" t="str">
        <f>IF(tblSalaries[[#This Row],[Years of Experience]]="","",IF(tblSalaries[[#This Row],[Years of Experience]]&lt;=2,1,""))</f>
        <v/>
      </c>
      <c r="O1552" t="str">
        <f>IF(tblSalaries[[#This Row],[Years of Experience]]="","",IF(AND(tblSalaries[[#This Row],[Years of Experience]]&gt;2,tblSalaries[[#This Row],[Years of Experience]]&lt;=5),1,""))</f>
        <v/>
      </c>
      <c r="P1552">
        <f>IF(tblSalaries[[#This Row],[Years of Experience]]="","",IF(AND(tblSalaries[[#This Row],[Years of Experience]]&gt;5,tblSalaries[[#This Row],[Years of Experience]]&lt;=10),1,""))</f>
        <v>1</v>
      </c>
      <c r="Q1552" t="str">
        <f>IF(tblSalaries[[#This Row],[Years of Experience]]="","",IF(AND(tblSalaries[[#This Row],[Years of Experience]]&gt;10,tblSalaries[[#This Row],[Years of Experience]]&lt;=15),1,""))</f>
        <v/>
      </c>
      <c r="R1552" t="str">
        <f>IF(tblSalaries[[#This Row],[Years of Experience]]="","",IF(AND(tblSalaries[[#This Row],[Years of Experience]]&gt;16,tblSalaries[[#This Row],[Years of Experience]]&lt;=20),1,""))</f>
        <v/>
      </c>
      <c r="S1552" t="str">
        <f>IF(tblSalaries[[#This Row],[Years of Experience]]="","",IF(tblSalaries[[#This Row],[Years of Experience]]&gt;20,1,""))</f>
        <v/>
      </c>
      <c r="T15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52" s="13" t="str">
        <f>IF(tblSalaries[[#This Row],[Job Type]]=tblSalaries[[#Headers],[Accountant]],tblSalaries[[#This Row],[Salary in USD]],"")</f>
        <v/>
      </c>
      <c r="V1552" s="13" t="str">
        <f>IF(tblSalaries[[#This Row],[Job Type]]=tblSalaries[[#Headers],[Analyst]],tblSalaries[[#This Row],[Salary in USD]],"")</f>
        <v/>
      </c>
      <c r="W1552" s="13" t="str">
        <f>IF(tblSalaries[[#This Row],[Job Type]]=tblSalaries[[#Headers],[Consultant]],tblSalaries[[#This Row],[Salary in USD]],"")</f>
        <v/>
      </c>
      <c r="X1552" s="13" t="str">
        <f>IF(tblSalaries[[#This Row],[Job Type]]=tblSalaries[[#Headers],[Controller]],tblSalaries[[#This Row],[Salary in USD]],"")</f>
        <v/>
      </c>
      <c r="Y1552" s="13" t="str">
        <f>IF(tblSalaries[[#This Row],[Job Type]]=tblSalaries[[#Headers],[CXO or Top Mgmt.]],tblSalaries[[#This Row],[clean Salary (in local currency)]],"")</f>
        <v/>
      </c>
      <c r="Z1552" s="13" t="str">
        <f>IF(tblSalaries[[#This Row],[Job Type]]=tblSalaries[[#Headers],[Engineer]],tblSalaries[[#This Row],[Salary in USD]],"")</f>
        <v/>
      </c>
      <c r="AA1552" s="13" t="str">
        <f>IF(tblSalaries[[#This Row],[Job Type]]=tblSalaries[[#Headers],[Manager]],tblSalaries[[#This Row],[Salary in USD]],"")</f>
        <v/>
      </c>
      <c r="AB1552" s="13" t="str">
        <f>IF(tblSalaries[[#This Row],[Job Type]]=tblSalaries[[#Headers],[Misc.]],tblSalaries[[#This Row],[Salary in USD]],"")</f>
        <v/>
      </c>
      <c r="AC1552" s="13">
        <f>IF(tblSalaries[[#This Row],[Job Type]]=tblSalaries[[#Headers],[Reporting]],tblSalaries[[#This Row],[Salary in USD]],"")</f>
        <v>100614.72928405051</v>
      </c>
      <c r="AD1552" s="13" t="str">
        <f>IF(tblSalaries[[#This Row],[Job Type]]=tblSalaries[[#Headers],[Specialist]],tblSalaries[[#This Row],[Salary in USD]],"")</f>
        <v/>
      </c>
    </row>
    <row r="1553" spans="2:30" ht="15" customHeight="1" x14ac:dyDescent="0.25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 s="9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  <c r="N1553" t="str">
        <f>IF(tblSalaries[[#This Row],[Years of Experience]]="","",IF(tblSalaries[[#This Row],[Years of Experience]]&lt;=2,1,""))</f>
        <v/>
      </c>
      <c r="O1553" t="str">
        <f>IF(tblSalaries[[#This Row],[Years of Experience]]="","",IF(AND(tblSalaries[[#This Row],[Years of Experience]]&gt;2,tblSalaries[[#This Row],[Years of Experience]]&lt;=5),1,""))</f>
        <v/>
      </c>
      <c r="P1553" t="str">
        <f>IF(tblSalaries[[#This Row],[Years of Experience]]="","",IF(AND(tblSalaries[[#This Row],[Years of Experience]]&gt;5,tblSalaries[[#This Row],[Years of Experience]]&lt;=10),1,""))</f>
        <v/>
      </c>
      <c r="Q1553" t="str">
        <f>IF(tblSalaries[[#This Row],[Years of Experience]]="","",IF(AND(tblSalaries[[#This Row],[Years of Experience]]&gt;10,tblSalaries[[#This Row],[Years of Experience]]&lt;=15),1,""))</f>
        <v/>
      </c>
      <c r="R1553" t="str">
        <f>IF(tblSalaries[[#This Row],[Years of Experience]]="","",IF(AND(tblSalaries[[#This Row],[Years of Experience]]&gt;16,tblSalaries[[#This Row],[Years of Experience]]&lt;=20),1,""))</f>
        <v/>
      </c>
      <c r="S1553">
        <f>IF(tblSalaries[[#This Row],[Years of Experience]]="","",IF(tblSalaries[[#This Row],[Years of Experience]]&gt;20,1,""))</f>
        <v>1</v>
      </c>
      <c r="T15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553" s="13" t="str">
        <f>IF(tblSalaries[[#This Row],[Job Type]]=tblSalaries[[#Headers],[Accountant]],tblSalaries[[#This Row],[Salary in USD]],"")</f>
        <v/>
      </c>
      <c r="V1553" s="13">
        <f>IF(tblSalaries[[#This Row],[Job Type]]=tblSalaries[[#Headers],[Analyst]],tblSalaries[[#This Row],[Salary in USD]],"")</f>
        <v>86692.320794224041</v>
      </c>
      <c r="W1553" s="13" t="str">
        <f>IF(tblSalaries[[#This Row],[Job Type]]=tblSalaries[[#Headers],[Consultant]],tblSalaries[[#This Row],[Salary in USD]],"")</f>
        <v/>
      </c>
      <c r="X1553" s="13" t="str">
        <f>IF(tblSalaries[[#This Row],[Job Type]]=tblSalaries[[#Headers],[Controller]],tblSalaries[[#This Row],[Salary in USD]],"")</f>
        <v/>
      </c>
      <c r="Y1553" s="13" t="str">
        <f>IF(tblSalaries[[#This Row],[Job Type]]=tblSalaries[[#Headers],[CXO or Top Mgmt.]],tblSalaries[[#This Row],[clean Salary (in local currency)]],"")</f>
        <v/>
      </c>
      <c r="Z1553" s="13" t="str">
        <f>IF(tblSalaries[[#This Row],[Job Type]]=tblSalaries[[#Headers],[Engineer]],tblSalaries[[#This Row],[Salary in USD]],"")</f>
        <v/>
      </c>
      <c r="AA1553" s="13" t="str">
        <f>IF(tblSalaries[[#This Row],[Job Type]]=tblSalaries[[#Headers],[Manager]],tblSalaries[[#This Row],[Salary in USD]],"")</f>
        <v/>
      </c>
      <c r="AB1553" s="13" t="str">
        <f>IF(tblSalaries[[#This Row],[Job Type]]=tblSalaries[[#Headers],[Misc.]],tblSalaries[[#This Row],[Salary in USD]],"")</f>
        <v/>
      </c>
      <c r="AC1553" s="13" t="str">
        <f>IF(tblSalaries[[#This Row],[Job Type]]=tblSalaries[[#Headers],[Reporting]],tblSalaries[[#This Row],[Salary in USD]],"")</f>
        <v/>
      </c>
      <c r="AD1553" s="13" t="str">
        <f>IF(tblSalaries[[#This Row],[Job Type]]=tblSalaries[[#Headers],[Specialist]],tblSalaries[[#This Row],[Salary in USD]],"")</f>
        <v/>
      </c>
    </row>
    <row r="1554" spans="2:30" ht="15" customHeight="1" x14ac:dyDescent="0.25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 s="9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  <c r="N1554" t="str">
        <f>IF(tblSalaries[[#This Row],[Years of Experience]]="","",IF(tblSalaries[[#This Row],[Years of Experience]]&lt;=2,1,""))</f>
        <v/>
      </c>
      <c r="O1554">
        <f>IF(tblSalaries[[#This Row],[Years of Experience]]="","",IF(AND(tblSalaries[[#This Row],[Years of Experience]]&gt;2,tblSalaries[[#This Row],[Years of Experience]]&lt;=5),1,""))</f>
        <v>1</v>
      </c>
      <c r="P1554" t="str">
        <f>IF(tblSalaries[[#This Row],[Years of Experience]]="","",IF(AND(tblSalaries[[#This Row],[Years of Experience]]&gt;5,tblSalaries[[#This Row],[Years of Experience]]&lt;=10),1,""))</f>
        <v/>
      </c>
      <c r="Q1554" t="str">
        <f>IF(tblSalaries[[#This Row],[Years of Experience]]="","",IF(AND(tblSalaries[[#This Row],[Years of Experience]]&gt;10,tblSalaries[[#This Row],[Years of Experience]]&lt;=15),1,""))</f>
        <v/>
      </c>
      <c r="R1554" t="str">
        <f>IF(tblSalaries[[#This Row],[Years of Experience]]="","",IF(AND(tblSalaries[[#This Row],[Years of Experience]]&gt;16,tblSalaries[[#This Row],[Years of Experience]]&lt;=20),1,""))</f>
        <v/>
      </c>
      <c r="S1554" t="str">
        <f>IF(tblSalaries[[#This Row],[Years of Experience]]="","",IF(tblSalaries[[#This Row],[Years of Experience]]&gt;20,1,""))</f>
        <v/>
      </c>
      <c r="T15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54" s="13" t="str">
        <f>IF(tblSalaries[[#This Row],[Job Type]]=tblSalaries[[#Headers],[Accountant]],tblSalaries[[#This Row],[Salary in USD]],"")</f>
        <v/>
      </c>
      <c r="V1554" s="13">
        <f>IF(tblSalaries[[#This Row],[Job Type]]=tblSalaries[[#Headers],[Analyst]],tblSalaries[[#This Row],[Salary in USD]],"")</f>
        <v>122389.15876831629</v>
      </c>
      <c r="W1554" s="13" t="str">
        <f>IF(tblSalaries[[#This Row],[Job Type]]=tblSalaries[[#Headers],[Consultant]],tblSalaries[[#This Row],[Salary in USD]],"")</f>
        <v/>
      </c>
      <c r="X1554" s="13" t="str">
        <f>IF(tblSalaries[[#This Row],[Job Type]]=tblSalaries[[#Headers],[Controller]],tblSalaries[[#This Row],[Salary in USD]],"")</f>
        <v/>
      </c>
      <c r="Y1554" s="13" t="str">
        <f>IF(tblSalaries[[#This Row],[Job Type]]=tblSalaries[[#Headers],[CXO or Top Mgmt.]],tblSalaries[[#This Row],[clean Salary (in local currency)]],"")</f>
        <v/>
      </c>
      <c r="Z1554" s="13" t="str">
        <f>IF(tblSalaries[[#This Row],[Job Type]]=tblSalaries[[#Headers],[Engineer]],tblSalaries[[#This Row],[Salary in USD]],"")</f>
        <v/>
      </c>
      <c r="AA1554" s="13" t="str">
        <f>IF(tblSalaries[[#This Row],[Job Type]]=tblSalaries[[#Headers],[Manager]],tblSalaries[[#This Row],[Salary in USD]],"")</f>
        <v/>
      </c>
      <c r="AB1554" s="13" t="str">
        <f>IF(tblSalaries[[#This Row],[Job Type]]=tblSalaries[[#Headers],[Misc.]],tblSalaries[[#This Row],[Salary in USD]],"")</f>
        <v/>
      </c>
      <c r="AC1554" s="13" t="str">
        <f>IF(tblSalaries[[#This Row],[Job Type]]=tblSalaries[[#Headers],[Reporting]],tblSalaries[[#This Row],[Salary in USD]],"")</f>
        <v/>
      </c>
      <c r="AD1554" s="13" t="str">
        <f>IF(tblSalaries[[#This Row],[Job Type]]=tblSalaries[[#Headers],[Specialist]],tblSalaries[[#This Row],[Salary in USD]],"")</f>
        <v/>
      </c>
    </row>
    <row r="1555" spans="2:30" ht="15" customHeight="1" x14ac:dyDescent="0.25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 s="9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  <c r="N1555" t="str">
        <f>IF(tblSalaries[[#This Row],[Years of Experience]]="","",IF(tblSalaries[[#This Row],[Years of Experience]]&lt;=2,1,""))</f>
        <v/>
      </c>
      <c r="O1555" t="str">
        <f>IF(tblSalaries[[#This Row],[Years of Experience]]="","",IF(AND(tblSalaries[[#This Row],[Years of Experience]]&gt;2,tblSalaries[[#This Row],[Years of Experience]]&lt;=5),1,""))</f>
        <v/>
      </c>
      <c r="P1555">
        <f>IF(tblSalaries[[#This Row],[Years of Experience]]="","",IF(AND(tblSalaries[[#This Row],[Years of Experience]]&gt;5,tblSalaries[[#This Row],[Years of Experience]]&lt;=10),1,""))</f>
        <v>1</v>
      </c>
      <c r="Q1555" t="str">
        <f>IF(tblSalaries[[#This Row],[Years of Experience]]="","",IF(AND(tblSalaries[[#This Row],[Years of Experience]]&gt;10,tblSalaries[[#This Row],[Years of Experience]]&lt;=15),1,""))</f>
        <v/>
      </c>
      <c r="R1555" t="str">
        <f>IF(tblSalaries[[#This Row],[Years of Experience]]="","",IF(AND(tblSalaries[[#This Row],[Years of Experience]]&gt;16,tblSalaries[[#This Row],[Years of Experience]]&lt;=20),1,""))</f>
        <v/>
      </c>
      <c r="S1555" t="str">
        <f>IF(tblSalaries[[#This Row],[Years of Experience]]="","",IF(tblSalaries[[#This Row],[Years of Experience]]&gt;20,1,""))</f>
        <v/>
      </c>
      <c r="T15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55" s="13" t="str">
        <f>IF(tblSalaries[[#This Row],[Job Type]]=tblSalaries[[#Headers],[Accountant]],tblSalaries[[#This Row],[Salary in USD]],"")</f>
        <v/>
      </c>
      <c r="V1555" s="13" t="str">
        <f>IF(tblSalaries[[#This Row],[Job Type]]=tblSalaries[[#Headers],[Analyst]],tblSalaries[[#This Row],[Salary in USD]],"")</f>
        <v/>
      </c>
      <c r="W1555" s="13" t="str">
        <f>IF(tblSalaries[[#This Row],[Job Type]]=tblSalaries[[#Headers],[Consultant]],tblSalaries[[#This Row],[Salary in USD]],"")</f>
        <v/>
      </c>
      <c r="X1555" s="13" t="str">
        <f>IF(tblSalaries[[#This Row],[Job Type]]=tblSalaries[[#Headers],[Controller]],tblSalaries[[#This Row],[Salary in USD]],"")</f>
        <v/>
      </c>
      <c r="Y1555" s="13" t="str">
        <f>IF(tblSalaries[[#This Row],[Job Type]]=tblSalaries[[#Headers],[CXO or Top Mgmt.]],tblSalaries[[#This Row],[clean Salary (in local currency)]],"")</f>
        <v/>
      </c>
      <c r="Z1555" s="13" t="str">
        <f>IF(tblSalaries[[#This Row],[Job Type]]=tblSalaries[[#Headers],[Engineer]],tblSalaries[[#This Row],[Salary in USD]],"")</f>
        <v/>
      </c>
      <c r="AA1555" s="13">
        <f>IF(tblSalaries[[#This Row],[Job Type]]=tblSalaries[[#Headers],[Manager]],tblSalaries[[#This Row],[Salary in USD]],"")</f>
        <v>6410.8500074793246</v>
      </c>
      <c r="AB1555" s="13" t="str">
        <f>IF(tblSalaries[[#This Row],[Job Type]]=tblSalaries[[#Headers],[Misc.]],tblSalaries[[#This Row],[Salary in USD]],"")</f>
        <v/>
      </c>
      <c r="AC1555" s="13" t="str">
        <f>IF(tblSalaries[[#This Row],[Job Type]]=tblSalaries[[#Headers],[Reporting]],tblSalaries[[#This Row],[Salary in USD]],"")</f>
        <v/>
      </c>
      <c r="AD1555" s="13" t="str">
        <f>IF(tblSalaries[[#This Row],[Job Type]]=tblSalaries[[#Headers],[Specialist]],tblSalaries[[#This Row],[Salary in USD]],"")</f>
        <v/>
      </c>
    </row>
    <row r="1556" spans="2:30" ht="15" customHeight="1" x14ac:dyDescent="0.25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 s="9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  <c r="N1556" t="str">
        <f>IF(tblSalaries[[#This Row],[Years of Experience]]="","",IF(tblSalaries[[#This Row],[Years of Experience]]&lt;=2,1,""))</f>
        <v/>
      </c>
      <c r="O1556">
        <f>IF(tblSalaries[[#This Row],[Years of Experience]]="","",IF(AND(tblSalaries[[#This Row],[Years of Experience]]&gt;2,tblSalaries[[#This Row],[Years of Experience]]&lt;=5),1,""))</f>
        <v>1</v>
      </c>
      <c r="P1556" t="str">
        <f>IF(tblSalaries[[#This Row],[Years of Experience]]="","",IF(AND(tblSalaries[[#This Row],[Years of Experience]]&gt;5,tblSalaries[[#This Row],[Years of Experience]]&lt;=10),1,""))</f>
        <v/>
      </c>
      <c r="Q1556" t="str">
        <f>IF(tblSalaries[[#This Row],[Years of Experience]]="","",IF(AND(tblSalaries[[#This Row],[Years of Experience]]&gt;10,tblSalaries[[#This Row],[Years of Experience]]&lt;=15),1,""))</f>
        <v/>
      </c>
      <c r="R1556" t="str">
        <f>IF(tblSalaries[[#This Row],[Years of Experience]]="","",IF(AND(tblSalaries[[#This Row],[Years of Experience]]&gt;16,tblSalaries[[#This Row],[Years of Experience]]&lt;=20),1,""))</f>
        <v/>
      </c>
      <c r="S1556" t="str">
        <f>IF(tblSalaries[[#This Row],[Years of Experience]]="","",IF(tblSalaries[[#This Row],[Years of Experience]]&gt;20,1,""))</f>
        <v/>
      </c>
      <c r="T15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56" s="13" t="str">
        <f>IF(tblSalaries[[#This Row],[Job Type]]=tblSalaries[[#Headers],[Accountant]],tblSalaries[[#This Row],[Salary in USD]],"")</f>
        <v/>
      </c>
      <c r="V1556" s="13">
        <f>IF(tblSalaries[[#This Row],[Job Type]]=tblSalaries[[#Headers],[Analyst]],tblSalaries[[#This Row],[Salary in USD]],"")</f>
        <v>44000</v>
      </c>
      <c r="W1556" s="13" t="str">
        <f>IF(tblSalaries[[#This Row],[Job Type]]=tblSalaries[[#Headers],[Consultant]],tblSalaries[[#This Row],[Salary in USD]],"")</f>
        <v/>
      </c>
      <c r="X1556" s="13" t="str">
        <f>IF(tblSalaries[[#This Row],[Job Type]]=tblSalaries[[#Headers],[Controller]],tblSalaries[[#This Row],[Salary in USD]],"")</f>
        <v/>
      </c>
      <c r="Y1556" s="13" t="str">
        <f>IF(tblSalaries[[#This Row],[Job Type]]=tblSalaries[[#Headers],[CXO or Top Mgmt.]],tblSalaries[[#This Row],[clean Salary (in local currency)]],"")</f>
        <v/>
      </c>
      <c r="Z1556" s="13" t="str">
        <f>IF(tblSalaries[[#This Row],[Job Type]]=tblSalaries[[#Headers],[Engineer]],tblSalaries[[#This Row],[Salary in USD]],"")</f>
        <v/>
      </c>
      <c r="AA1556" s="13" t="str">
        <f>IF(tblSalaries[[#This Row],[Job Type]]=tblSalaries[[#Headers],[Manager]],tblSalaries[[#This Row],[Salary in USD]],"")</f>
        <v/>
      </c>
      <c r="AB1556" s="13" t="str">
        <f>IF(tblSalaries[[#This Row],[Job Type]]=tblSalaries[[#Headers],[Misc.]],tblSalaries[[#This Row],[Salary in USD]],"")</f>
        <v/>
      </c>
      <c r="AC1556" s="13" t="str">
        <f>IF(tblSalaries[[#This Row],[Job Type]]=tblSalaries[[#Headers],[Reporting]],tblSalaries[[#This Row],[Salary in USD]],"")</f>
        <v/>
      </c>
      <c r="AD1556" s="13" t="str">
        <f>IF(tblSalaries[[#This Row],[Job Type]]=tblSalaries[[#Headers],[Specialist]],tblSalaries[[#This Row],[Salary in USD]],"")</f>
        <v/>
      </c>
    </row>
    <row r="1557" spans="2:30" ht="15" customHeight="1" x14ac:dyDescent="0.25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 s="9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  <c r="N1557" t="str">
        <f>IF(tblSalaries[[#This Row],[Years of Experience]]="","",IF(tblSalaries[[#This Row],[Years of Experience]]&lt;=2,1,""))</f>
        <v/>
      </c>
      <c r="O1557">
        <f>IF(tblSalaries[[#This Row],[Years of Experience]]="","",IF(AND(tblSalaries[[#This Row],[Years of Experience]]&gt;2,tblSalaries[[#This Row],[Years of Experience]]&lt;=5),1,""))</f>
        <v>1</v>
      </c>
      <c r="P1557" t="str">
        <f>IF(tblSalaries[[#This Row],[Years of Experience]]="","",IF(AND(tblSalaries[[#This Row],[Years of Experience]]&gt;5,tblSalaries[[#This Row],[Years of Experience]]&lt;=10),1,""))</f>
        <v/>
      </c>
      <c r="Q1557" t="str">
        <f>IF(tblSalaries[[#This Row],[Years of Experience]]="","",IF(AND(tblSalaries[[#This Row],[Years of Experience]]&gt;10,tblSalaries[[#This Row],[Years of Experience]]&lt;=15),1,""))</f>
        <v/>
      </c>
      <c r="R1557" t="str">
        <f>IF(tblSalaries[[#This Row],[Years of Experience]]="","",IF(AND(tblSalaries[[#This Row],[Years of Experience]]&gt;16,tblSalaries[[#This Row],[Years of Experience]]&lt;=20),1,""))</f>
        <v/>
      </c>
      <c r="S1557" t="str">
        <f>IF(tblSalaries[[#This Row],[Years of Experience]]="","",IF(tblSalaries[[#This Row],[Years of Experience]]&gt;20,1,""))</f>
        <v/>
      </c>
      <c r="T15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57" s="13" t="str">
        <f>IF(tblSalaries[[#This Row],[Job Type]]=tblSalaries[[#Headers],[Accountant]],tblSalaries[[#This Row],[Salary in USD]],"")</f>
        <v/>
      </c>
      <c r="V1557" s="13" t="str">
        <f>IF(tblSalaries[[#This Row],[Job Type]]=tblSalaries[[#Headers],[Analyst]],tblSalaries[[#This Row],[Salary in USD]],"")</f>
        <v/>
      </c>
      <c r="W1557" s="13" t="str">
        <f>IF(tblSalaries[[#This Row],[Job Type]]=tblSalaries[[#Headers],[Consultant]],tblSalaries[[#This Row],[Salary in USD]],"")</f>
        <v/>
      </c>
      <c r="X1557" s="13" t="str">
        <f>IF(tblSalaries[[#This Row],[Job Type]]=tblSalaries[[#Headers],[Controller]],tblSalaries[[#This Row],[Salary in USD]],"")</f>
        <v/>
      </c>
      <c r="Y1557" s="13" t="str">
        <f>IF(tblSalaries[[#This Row],[Job Type]]=tblSalaries[[#Headers],[CXO or Top Mgmt.]],tblSalaries[[#This Row],[clean Salary (in local currency)]],"")</f>
        <v/>
      </c>
      <c r="Z1557" s="13">
        <f>IF(tblSalaries[[#This Row],[Job Type]]=tblSalaries[[#Headers],[Engineer]],tblSalaries[[#This Row],[Salary in USD]],"")</f>
        <v>4451.9791718606421</v>
      </c>
      <c r="AA1557" s="13" t="str">
        <f>IF(tblSalaries[[#This Row],[Job Type]]=tblSalaries[[#Headers],[Manager]],tblSalaries[[#This Row],[Salary in USD]],"")</f>
        <v/>
      </c>
      <c r="AB1557" s="13" t="str">
        <f>IF(tblSalaries[[#This Row],[Job Type]]=tblSalaries[[#Headers],[Misc.]],tblSalaries[[#This Row],[Salary in USD]],"")</f>
        <v/>
      </c>
      <c r="AC1557" s="13" t="str">
        <f>IF(tblSalaries[[#This Row],[Job Type]]=tblSalaries[[#Headers],[Reporting]],tblSalaries[[#This Row],[Salary in USD]],"")</f>
        <v/>
      </c>
      <c r="AD1557" s="13" t="str">
        <f>IF(tblSalaries[[#This Row],[Job Type]]=tblSalaries[[#Headers],[Specialist]],tblSalaries[[#This Row],[Salary in USD]],"")</f>
        <v/>
      </c>
    </row>
    <row r="1558" spans="2:30" ht="15" customHeight="1" x14ac:dyDescent="0.25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 s="9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  <c r="N1558" t="str">
        <f>IF(tblSalaries[[#This Row],[Years of Experience]]="","",IF(tblSalaries[[#This Row],[Years of Experience]]&lt;=2,1,""))</f>
        <v/>
      </c>
      <c r="O1558" t="str">
        <f>IF(tblSalaries[[#This Row],[Years of Experience]]="","",IF(AND(tblSalaries[[#This Row],[Years of Experience]]&gt;2,tblSalaries[[#This Row],[Years of Experience]]&lt;=5),1,""))</f>
        <v/>
      </c>
      <c r="P1558">
        <f>IF(tblSalaries[[#This Row],[Years of Experience]]="","",IF(AND(tblSalaries[[#This Row],[Years of Experience]]&gt;5,tblSalaries[[#This Row],[Years of Experience]]&lt;=10),1,""))</f>
        <v>1</v>
      </c>
      <c r="Q1558" t="str">
        <f>IF(tblSalaries[[#This Row],[Years of Experience]]="","",IF(AND(tblSalaries[[#This Row],[Years of Experience]]&gt;10,tblSalaries[[#This Row],[Years of Experience]]&lt;=15),1,""))</f>
        <v/>
      </c>
      <c r="R1558" t="str">
        <f>IF(tblSalaries[[#This Row],[Years of Experience]]="","",IF(AND(tblSalaries[[#This Row],[Years of Experience]]&gt;16,tblSalaries[[#This Row],[Years of Experience]]&lt;=20),1,""))</f>
        <v/>
      </c>
      <c r="S1558" t="str">
        <f>IF(tblSalaries[[#This Row],[Years of Experience]]="","",IF(tblSalaries[[#This Row],[Years of Experience]]&gt;20,1,""))</f>
        <v/>
      </c>
      <c r="T15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58" s="13" t="str">
        <f>IF(tblSalaries[[#This Row],[Job Type]]=tblSalaries[[#Headers],[Accountant]],tblSalaries[[#This Row],[Salary in USD]],"")</f>
        <v/>
      </c>
      <c r="V1558" s="13">
        <f>IF(tblSalaries[[#This Row],[Job Type]]=tblSalaries[[#Headers],[Analyst]],tblSalaries[[#This Row],[Salary in USD]],"")</f>
        <v>4500</v>
      </c>
      <c r="W1558" s="13" t="str">
        <f>IF(tblSalaries[[#This Row],[Job Type]]=tblSalaries[[#Headers],[Consultant]],tblSalaries[[#This Row],[Salary in USD]],"")</f>
        <v/>
      </c>
      <c r="X1558" s="13" t="str">
        <f>IF(tblSalaries[[#This Row],[Job Type]]=tblSalaries[[#Headers],[Controller]],tblSalaries[[#This Row],[Salary in USD]],"")</f>
        <v/>
      </c>
      <c r="Y1558" s="13" t="str">
        <f>IF(tblSalaries[[#This Row],[Job Type]]=tblSalaries[[#Headers],[CXO or Top Mgmt.]],tblSalaries[[#This Row],[clean Salary (in local currency)]],"")</f>
        <v/>
      </c>
      <c r="Z1558" s="13" t="str">
        <f>IF(tblSalaries[[#This Row],[Job Type]]=tblSalaries[[#Headers],[Engineer]],tblSalaries[[#This Row],[Salary in USD]],"")</f>
        <v/>
      </c>
      <c r="AA1558" s="13" t="str">
        <f>IF(tblSalaries[[#This Row],[Job Type]]=tblSalaries[[#Headers],[Manager]],tblSalaries[[#This Row],[Salary in USD]],"")</f>
        <v/>
      </c>
      <c r="AB1558" s="13" t="str">
        <f>IF(tblSalaries[[#This Row],[Job Type]]=tblSalaries[[#Headers],[Misc.]],tblSalaries[[#This Row],[Salary in USD]],"")</f>
        <v/>
      </c>
      <c r="AC1558" s="13" t="str">
        <f>IF(tblSalaries[[#This Row],[Job Type]]=tblSalaries[[#Headers],[Reporting]],tblSalaries[[#This Row],[Salary in USD]],"")</f>
        <v/>
      </c>
      <c r="AD1558" s="13" t="str">
        <f>IF(tblSalaries[[#This Row],[Job Type]]=tblSalaries[[#Headers],[Specialist]],tblSalaries[[#This Row],[Salary in USD]],"")</f>
        <v/>
      </c>
    </row>
    <row r="1559" spans="2:30" ht="15" customHeight="1" x14ac:dyDescent="0.25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 s="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4001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  <c r="N1559" t="str">
        <f>IF(tblSalaries[[#This Row],[Years of Experience]]="","",IF(tblSalaries[[#This Row],[Years of Experience]]&lt;=2,1,""))</f>
        <v/>
      </c>
      <c r="O1559" t="str">
        <f>IF(tblSalaries[[#This Row],[Years of Experience]]="","",IF(AND(tblSalaries[[#This Row],[Years of Experience]]&gt;2,tblSalaries[[#This Row],[Years of Experience]]&lt;=5),1,""))</f>
        <v/>
      </c>
      <c r="P1559">
        <f>IF(tblSalaries[[#This Row],[Years of Experience]]="","",IF(AND(tblSalaries[[#This Row],[Years of Experience]]&gt;5,tblSalaries[[#This Row],[Years of Experience]]&lt;=10),1,""))</f>
        <v>1</v>
      </c>
      <c r="Q1559" t="str">
        <f>IF(tblSalaries[[#This Row],[Years of Experience]]="","",IF(AND(tblSalaries[[#This Row],[Years of Experience]]&gt;10,tblSalaries[[#This Row],[Years of Experience]]&lt;=15),1,""))</f>
        <v/>
      </c>
      <c r="R1559" t="str">
        <f>IF(tblSalaries[[#This Row],[Years of Experience]]="","",IF(AND(tblSalaries[[#This Row],[Years of Experience]]&gt;16,tblSalaries[[#This Row],[Years of Experience]]&lt;=20),1,""))</f>
        <v/>
      </c>
      <c r="S1559" t="str">
        <f>IF(tblSalaries[[#This Row],[Years of Experience]]="","",IF(tblSalaries[[#This Row],[Years of Experience]]&gt;20,1,""))</f>
        <v/>
      </c>
      <c r="T15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59" s="13" t="str">
        <f>IF(tblSalaries[[#This Row],[Job Type]]=tblSalaries[[#Headers],[Accountant]],tblSalaries[[#This Row],[Salary in USD]],"")</f>
        <v/>
      </c>
      <c r="V1559" s="13" t="str">
        <f>IF(tblSalaries[[#This Row],[Job Type]]=tblSalaries[[#Headers],[Analyst]],tblSalaries[[#This Row],[Salary in USD]],"")</f>
        <v/>
      </c>
      <c r="W1559" s="13" t="str">
        <f>IF(tblSalaries[[#This Row],[Job Type]]=tblSalaries[[#Headers],[Consultant]],tblSalaries[[#This Row],[Salary in USD]],"")</f>
        <v/>
      </c>
      <c r="X1559" s="13" t="str">
        <f>IF(tblSalaries[[#This Row],[Job Type]]=tblSalaries[[#Headers],[Controller]],tblSalaries[[#This Row],[Salary in USD]],"")</f>
        <v/>
      </c>
      <c r="Y1559" s="13">
        <f>IF(tblSalaries[[#This Row],[Job Type]]=tblSalaries[[#Headers],[CXO or Top Mgmt.]],tblSalaries[[#This Row],[clean Salary (in local currency)]],"")</f>
        <v>1700000</v>
      </c>
      <c r="Z1559" s="13" t="str">
        <f>IF(tblSalaries[[#This Row],[Job Type]]=tblSalaries[[#Headers],[Engineer]],tblSalaries[[#This Row],[Salary in USD]],"")</f>
        <v/>
      </c>
      <c r="AA1559" s="13" t="str">
        <f>IF(tblSalaries[[#This Row],[Job Type]]=tblSalaries[[#Headers],[Manager]],tblSalaries[[#This Row],[Salary in USD]],"")</f>
        <v/>
      </c>
      <c r="AB1559" s="13" t="str">
        <f>IF(tblSalaries[[#This Row],[Job Type]]=tblSalaries[[#Headers],[Misc.]],tblSalaries[[#This Row],[Salary in USD]],"")</f>
        <v/>
      </c>
      <c r="AC1559" s="13" t="str">
        <f>IF(tblSalaries[[#This Row],[Job Type]]=tblSalaries[[#Headers],[Reporting]],tblSalaries[[#This Row],[Salary in USD]],"")</f>
        <v/>
      </c>
      <c r="AD1559" s="13" t="str">
        <f>IF(tblSalaries[[#This Row],[Job Type]]=tblSalaries[[#Headers],[Specialist]],tblSalaries[[#This Row],[Salary in USD]],"")</f>
        <v/>
      </c>
    </row>
    <row r="1560" spans="2:30" ht="15" customHeight="1" x14ac:dyDescent="0.25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 s="9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  <c r="N1560" t="str">
        <f>IF(tblSalaries[[#This Row],[Years of Experience]]="","",IF(tblSalaries[[#This Row],[Years of Experience]]&lt;=2,1,""))</f>
        <v/>
      </c>
      <c r="O1560">
        <f>IF(tblSalaries[[#This Row],[Years of Experience]]="","",IF(AND(tblSalaries[[#This Row],[Years of Experience]]&gt;2,tblSalaries[[#This Row],[Years of Experience]]&lt;=5),1,""))</f>
        <v>1</v>
      </c>
      <c r="P1560" t="str">
        <f>IF(tblSalaries[[#This Row],[Years of Experience]]="","",IF(AND(tblSalaries[[#This Row],[Years of Experience]]&gt;5,tblSalaries[[#This Row],[Years of Experience]]&lt;=10),1,""))</f>
        <v/>
      </c>
      <c r="Q1560" t="str">
        <f>IF(tblSalaries[[#This Row],[Years of Experience]]="","",IF(AND(tblSalaries[[#This Row],[Years of Experience]]&gt;10,tblSalaries[[#This Row],[Years of Experience]]&lt;=15),1,""))</f>
        <v/>
      </c>
      <c r="R1560" t="str">
        <f>IF(tblSalaries[[#This Row],[Years of Experience]]="","",IF(AND(tblSalaries[[#This Row],[Years of Experience]]&gt;16,tblSalaries[[#This Row],[Years of Experience]]&lt;=20),1,""))</f>
        <v/>
      </c>
      <c r="S1560" t="str">
        <f>IF(tblSalaries[[#This Row],[Years of Experience]]="","",IF(tblSalaries[[#This Row],[Years of Experience]]&gt;20,1,""))</f>
        <v/>
      </c>
      <c r="T15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60" s="13" t="str">
        <f>IF(tblSalaries[[#This Row],[Job Type]]=tblSalaries[[#Headers],[Accountant]],tblSalaries[[#This Row],[Salary in USD]],"")</f>
        <v/>
      </c>
      <c r="V1560" s="13">
        <f>IF(tblSalaries[[#This Row],[Job Type]]=tblSalaries[[#Headers],[Analyst]],tblSalaries[[#This Row],[Salary in USD]],"")</f>
        <v>52000</v>
      </c>
      <c r="W1560" s="13" t="str">
        <f>IF(tblSalaries[[#This Row],[Job Type]]=tblSalaries[[#Headers],[Consultant]],tblSalaries[[#This Row],[Salary in USD]],"")</f>
        <v/>
      </c>
      <c r="X1560" s="13" t="str">
        <f>IF(tblSalaries[[#This Row],[Job Type]]=tblSalaries[[#Headers],[Controller]],tblSalaries[[#This Row],[Salary in USD]],"")</f>
        <v/>
      </c>
      <c r="Y1560" s="13" t="str">
        <f>IF(tblSalaries[[#This Row],[Job Type]]=tblSalaries[[#Headers],[CXO or Top Mgmt.]],tblSalaries[[#This Row],[clean Salary (in local currency)]],"")</f>
        <v/>
      </c>
      <c r="Z1560" s="13" t="str">
        <f>IF(tblSalaries[[#This Row],[Job Type]]=tblSalaries[[#Headers],[Engineer]],tblSalaries[[#This Row],[Salary in USD]],"")</f>
        <v/>
      </c>
      <c r="AA1560" s="13" t="str">
        <f>IF(tblSalaries[[#This Row],[Job Type]]=tblSalaries[[#Headers],[Manager]],tblSalaries[[#This Row],[Salary in USD]],"")</f>
        <v/>
      </c>
      <c r="AB1560" s="13" t="str">
        <f>IF(tblSalaries[[#This Row],[Job Type]]=tblSalaries[[#Headers],[Misc.]],tblSalaries[[#This Row],[Salary in USD]],"")</f>
        <v/>
      </c>
      <c r="AC1560" s="13" t="str">
        <f>IF(tblSalaries[[#This Row],[Job Type]]=tblSalaries[[#Headers],[Reporting]],tblSalaries[[#This Row],[Salary in USD]],"")</f>
        <v/>
      </c>
      <c r="AD1560" s="13" t="str">
        <f>IF(tblSalaries[[#This Row],[Job Type]]=tblSalaries[[#Headers],[Specialist]],tblSalaries[[#This Row],[Salary in USD]],"")</f>
        <v/>
      </c>
    </row>
    <row r="1561" spans="2:30" ht="15" customHeight="1" x14ac:dyDescent="0.25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 s="9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  <c r="N1561" t="str">
        <f>IF(tblSalaries[[#This Row],[Years of Experience]]="","",IF(tblSalaries[[#This Row],[Years of Experience]]&lt;=2,1,""))</f>
        <v/>
      </c>
      <c r="O1561" t="str">
        <f>IF(tblSalaries[[#This Row],[Years of Experience]]="","",IF(AND(tblSalaries[[#This Row],[Years of Experience]]&gt;2,tblSalaries[[#This Row],[Years of Experience]]&lt;=5),1,""))</f>
        <v/>
      </c>
      <c r="P1561">
        <f>IF(tblSalaries[[#This Row],[Years of Experience]]="","",IF(AND(tblSalaries[[#This Row],[Years of Experience]]&gt;5,tblSalaries[[#This Row],[Years of Experience]]&lt;=10),1,""))</f>
        <v>1</v>
      </c>
      <c r="Q1561" t="str">
        <f>IF(tblSalaries[[#This Row],[Years of Experience]]="","",IF(AND(tblSalaries[[#This Row],[Years of Experience]]&gt;10,tblSalaries[[#This Row],[Years of Experience]]&lt;=15),1,""))</f>
        <v/>
      </c>
      <c r="R1561" t="str">
        <f>IF(tblSalaries[[#This Row],[Years of Experience]]="","",IF(AND(tblSalaries[[#This Row],[Years of Experience]]&gt;16,tblSalaries[[#This Row],[Years of Experience]]&lt;=20),1,""))</f>
        <v/>
      </c>
      <c r="S1561" t="str">
        <f>IF(tblSalaries[[#This Row],[Years of Experience]]="","",IF(tblSalaries[[#This Row],[Years of Experience]]&gt;20,1,""))</f>
        <v/>
      </c>
      <c r="T15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61" s="13" t="str">
        <f>IF(tblSalaries[[#This Row],[Job Type]]=tblSalaries[[#Headers],[Accountant]],tblSalaries[[#This Row],[Salary in USD]],"")</f>
        <v/>
      </c>
      <c r="V1561" s="13" t="str">
        <f>IF(tblSalaries[[#This Row],[Job Type]]=tblSalaries[[#Headers],[Analyst]],tblSalaries[[#This Row],[Salary in USD]],"")</f>
        <v/>
      </c>
      <c r="W1561" s="13">
        <f>IF(tblSalaries[[#This Row],[Job Type]]=tblSalaries[[#Headers],[Consultant]],tblSalaries[[#This Row],[Salary in USD]],"")</f>
        <v>75000</v>
      </c>
      <c r="X1561" s="13" t="str">
        <f>IF(tblSalaries[[#This Row],[Job Type]]=tblSalaries[[#Headers],[Controller]],tblSalaries[[#This Row],[Salary in USD]],"")</f>
        <v/>
      </c>
      <c r="Y1561" s="13" t="str">
        <f>IF(tblSalaries[[#This Row],[Job Type]]=tblSalaries[[#Headers],[CXO or Top Mgmt.]],tblSalaries[[#This Row],[clean Salary (in local currency)]],"")</f>
        <v/>
      </c>
      <c r="Z1561" s="13" t="str">
        <f>IF(tblSalaries[[#This Row],[Job Type]]=tblSalaries[[#Headers],[Engineer]],tblSalaries[[#This Row],[Salary in USD]],"")</f>
        <v/>
      </c>
      <c r="AA1561" s="13" t="str">
        <f>IF(tblSalaries[[#This Row],[Job Type]]=tblSalaries[[#Headers],[Manager]],tblSalaries[[#This Row],[Salary in USD]],"")</f>
        <v/>
      </c>
      <c r="AB1561" s="13" t="str">
        <f>IF(tblSalaries[[#This Row],[Job Type]]=tblSalaries[[#Headers],[Misc.]],tblSalaries[[#This Row],[Salary in USD]],"")</f>
        <v/>
      </c>
      <c r="AC1561" s="13" t="str">
        <f>IF(tblSalaries[[#This Row],[Job Type]]=tblSalaries[[#Headers],[Reporting]],tblSalaries[[#This Row],[Salary in USD]],"")</f>
        <v/>
      </c>
      <c r="AD1561" s="13" t="str">
        <f>IF(tblSalaries[[#This Row],[Job Type]]=tblSalaries[[#Headers],[Specialist]],tblSalaries[[#This Row],[Salary in USD]],"")</f>
        <v/>
      </c>
    </row>
    <row r="1562" spans="2:30" ht="15" customHeight="1" x14ac:dyDescent="0.25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 s="9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  <c r="N1562" t="str">
        <f>IF(tblSalaries[[#This Row],[Years of Experience]]="","",IF(tblSalaries[[#This Row],[Years of Experience]]&lt;=2,1,""))</f>
        <v/>
      </c>
      <c r="O1562">
        <f>IF(tblSalaries[[#This Row],[Years of Experience]]="","",IF(AND(tblSalaries[[#This Row],[Years of Experience]]&gt;2,tblSalaries[[#This Row],[Years of Experience]]&lt;=5),1,""))</f>
        <v>1</v>
      </c>
      <c r="P1562" t="str">
        <f>IF(tblSalaries[[#This Row],[Years of Experience]]="","",IF(AND(tblSalaries[[#This Row],[Years of Experience]]&gt;5,tblSalaries[[#This Row],[Years of Experience]]&lt;=10),1,""))</f>
        <v/>
      </c>
      <c r="Q1562" t="str">
        <f>IF(tblSalaries[[#This Row],[Years of Experience]]="","",IF(AND(tblSalaries[[#This Row],[Years of Experience]]&gt;10,tblSalaries[[#This Row],[Years of Experience]]&lt;=15),1,""))</f>
        <v/>
      </c>
      <c r="R1562" t="str">
        <f>IF(tblSalaries[[#This Row],[Years of Experience]]="","",IF(AND(tblSalaries[[#This Row],[Years of Experience]]&gt;16,tblSalaries[[#This Row],[Years of Experience]]&lt;=20),1,""))</f>
        <v/>
      </c>
      <c r="S1562" t="str">
        <f>IF(tblSalaries[[#This Row],[Years of Experience]]="","",IF(tblSalaries[[#This Row],[Years of Experience]]&gt;20,1,""))</f>
        <v/>
      </c>
      <c r="T15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62" s="13" t="str">
        <f>IF(tblSalaries[[#This Row],[Job Type]]=tblSalaries[[#Headers],[Accountant]],tblSalaries[[#This Row],[Salary in USD]],"")</f>
        <v/>
      </c>
      <c r="V1562" s="13">
        <f>IF(tblSalaries[[#This Row],[Job Type]]=tblSalaries[[#Headers],[Analyst]],tblSalaries[[#This Row],[Salary in USD]],"")</f>
        <v>17807.916687442568</v>
      </c>
      <c r="W1562" s="13" t="str">
        <f>IF(tblSalaries[[#This Row],[Job Type]]=tblSalaries[[#Headers],[Consultant]],tblSalaries[[#This Row],[Salary in USD]],"")</f>
        <v/>
      </c>
      <c r="X1562" s="13" t="str">
        <f>IF(tblSalaries[[#This Row],[Job Type]]=tblSalaries[[#Headers],[Controller]],tblSalaries[[#This Row],[Salary in USD]],"")</f>
        <v/>
      </c>
      <c r="Y1562" s="13" t="str">
        <f>IF(tblSalaries[[#This Row],[Job Type]]=tblSalaries[[#Headers],[CXO or Top Mgmt.]],tblSalaries[[#This Row],[clean Salary (in local currency)]],"")</f>
        <v/>
      </c>
      <c r="Z1562" s="13" t="str">
        <f>IF(tblSalaries[[#This Row],[Job Type]]=tblSalaries[[#Headers],[Engineer]],tblSalaries[[#This Row],[Salary in USD]],"")</f>
        <v/>
      </c>
      <c r="AA1562" s="13" t="str">
        <f>IF(tblSalaries[[#This Row],[Job Type]]=tblSalaries[[#Headers],[Manager]],tblSalaries[[#This Row],[Salary in USD]],"")</f>
        <v/>
      </c>
      <c r="AB1562" s="13" t="str">
        <f>IF(tblSalaries[[#This Row],[Job Type]]=tblSalaries[[#Headers],[Misc.]],tblSalaries[[#This Row],[Salary in USD]],"")</f>
        <v/>
      </c>
      <c r="AC1562" s="13" t="str">
        <f>IF(tblSalaries[[#This Row],[Job Type]]=tblSalaries[[#Headers],[Reporting]],tblSalaries[[#This Row],[Salary in USD]],"")</f>
        <v/>
      </c>
      <c r="AD1562" s="13" t="str">
        <f>IF(tblSalaries[[#This Row],[Job Type]]=tblSalaries[[#Headers],[Specialist]],tblSalaries[[#This Row],[Salary in USD]],"")</f>
        <v/>
      </c>
    </row>
    <row r="1563" spans="2:30" ht="15" customHeight="1" x14ac:dyDescent="0.25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 s="9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  <c r="N1563" t="str">
        <f>IF(tblSalaries[[#This Row],[Years of Experience]]="","",IF(tblSalaries[[#This Row],[Years of Experience]]&lt;=2,1,""))</f>
        <v/>
      </c>
      <c r="O1563" t="str">
        <f>IF(tblSalaries[[#This Row],[Years of Experience]]="","",IF(AND(tblSalaries[[#This Row],[Years of Experience]]&gt;2,tblSalaries[[#This Row],[Years of Experience]]&lt;=5),1,""))</f>
        <v/>
      </c>
      <c r="P1563">
        <f>IF(tblSalaries[[#This Row],[Years of Experience]]="","",IF(AND(tblSalaries[[#This Row],[Years of Experience]]&gt;5,tblSalaries[[#This Row],[Years of Experience]]&lt;=10),1,""))</f>
        <v>1</v>
      </c>
      <c r="Q1563" t="str">
        <f>IF(tblSalaries[[#This Row],[Years of Experience]]="","",IF(AND(tblSalaries[[#This Row],[Years of Experience]]&gt;10,tblSalaries[[#This Row],[Years of Experience]]&lt;=15),1,""))</f>
        <v/>
      </c>
      <c r="R1563" t="str">
        <f>IF(tblSalaries[[#This Row],[Years of Experience]]="","",IF(AND(tblSalaries[[#This Row],[Years of Experience]]&gt;16,tblSalaries[[#This Row],[Years of Experience]]&lt;=20),1,""))</f>
        <v/>
      </c>
      <c r="S1563" t="str">
        <f>IF(tblSalaries[[#This Row],[Years of Experience]]="","",IF(tblSalaries[[#This Row],[Years of Experience]]&gt;20,1,""))</f>
        <v/>
      </c>
      <c r="T15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63" s="13">
        <f>IF(tblSalaries[[#This Row],[Job Type]]=tblSalaries[[#Headers],[Accountant]],tblSalaries[[#This Row],[Salary in USD]],"")</f>
        <v>177600</v>
      </c>
      <c r="V1563" s="13" t="str">
        <f>IF(tblSalaries[[#This Row],[Job Type]]=tblSalaries[[#Headers],[Analyst]],tblSalaries[[#This Row],[Salary in USD]],"")</f>
        <v/>
      </c>
      <c r="W1563" s="13" t="str">
        <f>IF(tblSalaries[[#This Row],[Job Type]]=tblSalaries[[#Headers],[Consultant]],tblSalaries[[#This Row],[Salary in USD]],"")</f>
        <v/>
      </c>
      <c r="X1563" s="13" t="str">
        <f>IF(tblSalaries[[#This Row],[Job Type]]=tblSalaries[[#Headers],[Controller]],tblSalaries[[#This Row],[Salary in USD]],"")</f>
        <v/>
      </c>
      <c r="Y1563" s="13" t="str">
        <f>IF(tblSalaries[[#This Row],[Job Type]]=tblSalaries[[#Headers],[CXO or Top Mgmt.]],tblSalaries[[#This Row],[clean Salary (in local currency)]],"")</f>
        <v/>
      </c>
      <c r="Z1563" s="13" t="str">
        <f>IF(tblSalaries[[#This Row],[Job Type]]=tblSalaries[[#Headers],[Engineer]],tblSalaries[[#This Row],[Salary in USD]],"")</f>
        <v/>
      </c>
      <c r="AA1563" s="13" t="str">
        <f>IF(tblSalaries[[#This Row],[Job Type]]=tblSalaries[[#Headers],[Manager]],tblSalaries[[#This Row],[Salary in USD]],"")</f>
        <v/>
      </c>
      <c r="AB1563" s="13" t="str">
        <f>IF(tblSalaries[[#This Row],[Job Type]]=tblSalaries[[#Headers],[Misc.]],tblSalaries[[#This Row],[Salary in USD]],"")</f>
        <v/>
      </c>
      <c r="AC1563" s="13" t="str">
        <f>IF(tblSalaries[[#This Row],[Job Type]]=tblSalaries[[#Headers],[Reporting]],tblSalaries[[#This Row],[Salary in USD]],"")</f>
        <v/>
      </c>
      <c r="AD1563" s="13" t="str">
        <f>IF(tblSalaries[[#This Row],[Job Type]]=tblSalaries[[#Headers],[Specialist]],tblSalaries[[#This Row],[Salary in USD]],"")</f>
        <v/>
      </c>
    </row>
    <row r="1564" spans="2:30" ht="15" customHeight="1" x14ac:dyDescent="0.25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 s="9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  <c r="N1564" t="str">
        <f>IF(tblSalaries[[#This Row],[Years of Experience]]="","",IF(tblSalaries[[#This Row],[Years of Experience]]&lt;=2,1,""))</f>
        <v/>
      </c>
      <c r="O1564">
        <f>IF(tblSalaries[[#This Row],[Years of Experience]]="","",IF(AND(tblSalaries[[#This Row],[Years of Experience]]&gt;2,tblSalaries[[#This Row],[Years of Experience]]&lt;=5),1,""))</f>
        <v>1</v>
      </c>
      <c r="P1564" t="str">
        <f>IF(tblSalaries[[#This Row],[Years of Experience]]="","",IF(AND(tblSalaries[[#This Row],[Years of Experience]]&gt;5,tblSalaries[[#This Row],[Years of Experience]]&lt;=10),1,""))</f>
        <v/>
      </c>
      <c r="Q1564" t="str">
        <f>IF(tblSalaries[[#This Row],[Years of Experience]]="","",IF(AND(tblSalaries[[#This Row],[Years of Experience]]&gt;10,tblSalaries[[#This Row],[Years of Experience]]&lt;=15),1,""))</f>
        <v/>
      </c>
      <c r="R1564" t="str">
        <f>IF(tblSalaries[[#This Row],[Years of Experience]]="","",IF(AND(tblSalaries[[#This Row],[Years of Experience]]&gt;16,tblSalaries[[#This Row],[Years of Experience]]&lt;=20),1,""))</f>
        <v/>
      </c>
      <c r="S1564" t="str">
        <f>IF(tblSalaries[[#This Row],[Years of Experience]]="","",IF(tblSalaries[[#This Row],[Years of Experience]]&gt;20,1,""))</f>
        <v/>
      </c>
      <c r="T15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64" s="13" t="str">
        <f>IF(tblSalaries[[#This Row],[Job Type]]=tblSalaries[[#Headers],[Accountant]],tblSalaries[[#This Row],[Salary in USD]],"")</f>
        <v/>
      </c>
      <c r="V1564" s="13">
        <f>IF(tblSalaries[[#This Row],[Job Type]]=tblSalaries[[#Headers],[Analyst]],tblSalaries[[#This Row],[Salary in USD]],"")</f>
        <v>11575.14584683767</v>
      </c>
      <c r="W1564" s="13" t="str">
        <f>IF(tblSalaries[[#This Row],[Job Type]]=tblSalaries[[#Headers],[Consultant]],tblSalaries[[#This Row],[Salary in USD]],"")</f>
        <v/>
      </c>
      <c r="X1564" s="13" t="str">
        <f>IF(tblSalaries[[#This Row],[Job Type]]=tblSalaries[[#Headers],[Controller]],tblSalaries[[#This Row],[Salary in USD]],"")</f>
        <v/>
      </c>
      <c r="Y1564" s="13" t="str">
        <f>IF(tblSalaries[[#This Row],[Job Type]]=tblSalaries[[#Headers],[CXO or Top Mgmt.]],tblSalaries[[#This Row],[clean Salary (in local currency)]],"")</f>
        <v/>
      </c>
      <c r="Z1564" s="13" t="str">
        <f>IF(tblSalaries[[#This Row],[Job Type]]=tblSalaries[[#Headers],[Engineer]],tblSalaries[[#This Row],[Salary in USD]],"")</f>
        <v/>
      </c>
      <c r="AA1564" s="13" t="str">
        <f>IF(tblSalaries[[#This Row],[Job Type]]=tblSalaries[[#Headers],[Manager]],tblSalaries[[#This Row],[Salary in USD]],"")</f>
        <v/>
      </c>
      <c r="AB1564" s="13" t="str">
        <f>IF(tblSalaries[[#This Row],[Job Type]]=tblSalaries[[#Headers],[Misc.]],tblSalaries[[#This Row],[Salary in USD]],"")</f>
        <v/>
      </c>
      <c r="AC1564" s="13" t="str">
        <f>IF(tblSalaries[[#This Row],[Job Type]]=tblSalaries[[#Headers],[Reporting]],tblSalaries[[#This Row],[Salary in USD]],"")</f>
        <v/>
      </c>
      <c r="AD1564" s="13" t="str">
        <f>IF(tblSalaries[[#This Row],[Job Type]]=tblSalaries[[#Headers],[Specialist]],tblSalaries[[#This Row],[Salary in USD]],"")</f>
        <v/>
      </c>
    </row>
    <row r="1565" spans="2:30" ht="15" customHeight="1" x14ac:dyDescent="0.25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 s="9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  <c r="N1565" t="str">
        <f>IF(tblSalaries[[#This Row],[Years of Experience]]="","",IF(tblSalaries[[#This Row],[Years of Experience]]&lt;=2,1,""))</f>
        <v/>
      </c>
      <c r="O1565" t="str">
        <f>IF(tblSalaries[[#This Row],[Years of Experience]]="","",IF(AND(tblSalaries[[#This Row],[Years of Experience]]&gt;2,tblSalaries[[#This Row],[Years of Experience]]&lt;=5),1,""))</f>
        <v/>
      </c>
      <c r="P1565">
        <f>IF(tblSalaries[[#This Row],[Years of Experience]]="","",IF(AND(tblSalaries[[#This Row],[Years of Experience]]&gt;5,tblSalaries[[#This Row],[Years of Experience]]&lt;=10),1,""))</f>
        <v>1</v>
      </c>
      <c r="Q1565" t="str">
        <f>IF(tblSalaries[[#This Row],[Years of Experience]]="","",IF(AND(tblSalaries[[#This Row],[Years of Experience]]&gt;10,tblSalaries[[#This Row],[Years of Experience]]&lt;=15),1,""))</f>
        <v/>
      </c>
      <c r="R1565" t="str">
        <f>IF(tblSalaries[[#This Row],[Years of Experience]]="","",IF(AND(tblSalaries[[#This Row],[Years of Experience]]&gt;16,tblSalaries[[#This Row],[Years of Experience]]&lt;=20),1,""))</f>
        <v/>
      </c>
      <c r="S1565" t="str">
        <f>IF(tblSalaries[[#This Row],[Years of Experience]]="","",IF(tblSalaries[[#This Row],[Years of Experience]]&gt;20,1,""))</f>
        <v/>
      </c>
      <c r="T15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65" s="13" t="str">
        <f>IF(tblSalaries[[#This Row],[Job Type]]=tblSalaries[[#Headers],[Accountant]],tblSalaries[[#This Row],[Salary in USD]],"")</f>
        <v/>
      </c>
      <c r="V1565" s="13" t="str">
        <f>IF(tblSalaries[[#This Row],[Job Type]]=tblSalaries[[#Headers],[Analyst]],tblSalaries[[#This Row],[Salary in USD]],"")</f>
        <v/>
      </c>
      <c r="W1565" s="13" t="str">
        <f>IF(tblSalaries[[#This Row],[Job Type]]=tblSalaries[[#Headers],[Consultant]],tblSalaries[[#This Row],[Salary in USD]],"")</f>
        <v/>
      </c>
      <c r="X1565" s="13" t="str">
        <f>IF(tblSalaries[[#This Row],[Job Type]]=tblSalaries[[#Headers],[Controller]],tblSalaries[[#This Row],[Salary in USD]],"")</f>
        <v/>
      </c>
      <c r="Y1565" s="13" t="str">
        <f>IF(tblSalaries[[#This Row],[Job Type]]=tblSalaries[[#Headers],[CXO or Top Mgmt.]],tblSalaries[[#This Row],[clean Salary (in local currency)]],"")</f>
        <v/>
      </c>
      <c r="Z1565" s="13" t="str">
        <f>IF(tblSalaries[[#This Row],[Job Type]]=tblSalaries[[#Headers],[Engineer]],tblSalaries[[#This Row],[Salary in USD]],"")</f>
        <v/>
      </c>
      <c r="AA1565" s="13">
        <f>IF(tblSalaries[[#This Row],[Job Type]]=tblSalaries[[#Headers],[Manager]],tblSalaries[[#This Row],[Salary in USD]],"")</f>
        <v>26678.388218823762</v>
      </c>
      <c r="AB1565" s="13" t="str">
        <f>IF(tblSalaries[[#This Row],[Job Type]]=tblSalaries[[#Headers],[Misc.]],tblSalaries[[#This Row],[Salary in USD]],"")</f>
        <v/>
      </c>
      <c r="AC1565" s="13" t="str">
        <f>IF(tblSalaries[[#This Row],[Job Type]]=tblSalaries[[#Headers],[Reporting]],tblSalaries[[#This Row],[Salary in USD]],"")</f>
        <v/>
      </c>
      <c r="AD1565" s="13" t="str">
        <f>IF(tblSalaries[[#This Row],[Job Type]]=tblSalaries[[#Headers],[Specialist]],tblSalaries[[#This Row],[Salary in USD]],"")</f>
        <v/>
      </c>
    </row>
    <row r="1566" spans="2:30" ht="15" customHeight="1" x14ac:dyDescent="0.25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 s="9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  <c r="N1566" t="str">
        <f>IF(tblSalaries[[#This Row],[Years of Experience]]="","",IF(tblSalaries[[#This Row],[Years of Experience]]&lt;=2,1,""))</f>
        <v/>
      </c>
      <c r="O1566" t="str">
        <f>IF(tblSalaries[[#This Row],[Years of Experience]]="","",IF(AND(tblSalaries[[#This Row],[Years of Experience]]&gt;2,tblSalaries[[#This Row],[Years of Experience]]&lt;=5),1,""))</f>
        <v/>
      </c>
      <c r="P1566" t="str">
        <f>IF(tblSalaries[[#This Row],[Years of Experience]]="","",IF(AND(tblSalaries[[#This Row],[Years of Experience]]&gt;5,tblSalaries[[#This Row],[Years of Experience]]&lt;=10),1,""))</f>
        <v/>
      </c>
      <c r="Q1566">
        <f>IF(tblSalaries[[#This Row],[Years of Experience]]="","",IF(AND(tblSalaries[[#This Row],[Years of Experience]]&gt;10,tblSalaries[[#This Row],[Years of Experience]]&lt;=15),1,""))</f>
        <v>1</v>
      </c>
      <c r="R1566" t="str">
        <f>IF(tblSalaries[[#This Row],[Years of Experience]]="","",IF(AND(tblSalaries[[#This Row],[Years of Experience]]&gt;16,tblSalaries[[#This Row],[Years of Experience]]&lt;=20),1,""))</f>
        <v/>
      </c>
      <c r="S1566" t="str">
        <f>IF(tblSalaries[[#This Row],[Years of Experience]]="","",IF(tblSalaries[[#This Row],[Years of Experience]]&gt;20,1,""))</f>
        <v/>
      </c>
      <c r="T15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66" s="13" t="str">
        <f>IF(tblSalaries[[#This Row],[Job Type]]=tblSalaries[[#Headers],[Accountant]],tblSalaries[[#This Row],[Salary in USD]],"")</f>
        <v/>
      </c>
      <c r="V1566" s="13" t="str">
        <f>IF(tblSalaries[[#This Row],[Job Type]]=tblSalaries[[#Headers],[Analyst]],tblSalaries[[#This Row],[Salary in USD]],"")</f>
        <v/>
      </c>
      <c r="W1566" s="13">
        <f>IF(tblSalaries[[#This Row],[Job Type]]=tblSalaries[[#Headers],[Consultant]],tblSalaries[[#This Row],[Salary in USD]],"")</f>
        <v>126094.26176538273</v>
      </c>
      <c r="X1566" s="13" t="str">
        <f>IF(tblSalaries[[#This Row],[Job Type]]=tblSalaries[[#Headers],[Controller]],tblSalaries[[#This Row],[Salary in USD]],"")</f>
        <v/>
      </c>
      <c r="Y1566" s="13" t="str">
        <f>IF(tblSalaries[[#This Row],[Job Type]]=tblSalaries[[#Headers],[CXO or Top Mgmt.]],tblSalaries[[#This Row],[clean Salary (in local currency)]],"")</f>
        <v/>
      </c>
      <c r="Z1566" s="13" t="str">
        <f>IF(tblSalaries[[#This Row],[Job Type]]=tblSalaries[[#Headers],[Engineer]],tblSalaries[[#This Row],[Salary in USD]],"")</f>
        <v/>
      </c>
      <c r="AA1566" s="13" t="str">
        <f>IF(tblSalaries[[#This Row],[Job Type]]=tblSalaries[[#Headers],[Manager]],tblSalaries[[#This Row],[Salary in USD]],"")</f>
        <v/>
      </c>
      <c r="AB1566" s="13" t="str">
        <f>IF(tblSalaries[[#This Row],[Job Type]]=tblSalaries[[#Headers],[Misc.]],tblSalaries[[#This Row],[Salary in USD]],"")</f>
        <v/>
      </c>
      <c r="AC1566" s="13" t="str">
        <f>IF(tblSalaries[[#This Row],[Job Type]]=tblSalaries[[#Headers],[Reporting]],tblSalaries[[#This Row],[Salary in USD]],"")</f>
        <v/>
      </c>
      <c r="AD1566" s="13" t="str">
        <f>IF(tblSalaries[[#This Row],[Job Type]]=tblSalaries[[#Headers],[Specialist]],tblSalaries[[#This Row],[Salary in USD]],"")</f>
        <v/>
      </c>
    </row>
    <row r="1567" spans="2:30" ht="15" customHeight="1" x14ac:dyDescent="0.25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 s="9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  <c r="N1567">
        <f>IF(tblSalaries[[#This Row],[Years of Experience]]="","",IF(tblSalaries[[#This Row],[Years of Experience]]&lt;=2,1,""))</f>
        <v>1</v>
      </c>
      <c r="O1567" t="str">
        <f>IF(tblSalaries[[#This Row],[Years of Experience]]="","",IF(AND(tblSalaries[[#This Row],[Years of Experience]]&gt;2,tblSalaries[[#This Row],[Years of Experience]]&lt;=5),1,""))</f>
        <v/>
      </c>
      <c r="P1567" t="str">
        <f>IF(tblSalaries[[#This Row],[Years of Experience]]="","",IF(AND(tblSalaries[[#This Row],[Years of Experience]]&gt;5,tblSalaries[[#This Row],[Years of Experience]]&lt;=10),1,""))</f>
        <v/>
      </c>
      <c r="Q1567" t="str">
        <f>IF(tblSalaries[[#This Row],[Years of Experience]]="","",IF(AND(tblSalaries[[#This Row],[Years of Experience]]&gt;10,tblSalaries[[#This Row],[Years of Experience]]&lt;=15),1,""))</f>
        <v/>
      </c>
      <c r="R1567" t="str">
        <f>IF(tblSalaries[[#This Row],[Years of Experience]]="","",IF(AND(tblSalaries[[#This Row],[Years of Experience]]&gt;16,tblSalaries[[#This Row],[Years of Experience]]&lt;=20),1,""))</f>
        <v/>
      </c>
      <c r="S1567" t="str">
        <f>IF(tblSalaries[[#This Row],[Years of Experience]]="","",IF(tblSalaries[[#This Row],[Years of Experience]]&gt;20,1,""))</f>
        <v/>
      </c>
      <c r="T15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67" s="13" t="str">
        <f>IF(tblSalaries[[#This Row],[Job Type]]=tblSalaries[[#Headers],[Accountant]],tblSalaries[[#This Row],[Salary in USD]],"")</f>
        <v/>
      </c>
      <c r="V1567" s="13">
        <f>IF(tblSalaries[[#This Row],[Job Type]]=tblSalaries[[#Headers],[Analyst]],tblSalaries[[#This Row],[Salary in USD]],"")</f>
        <v>6000</v>
      </c>
      <c r="W1567" s="13" t="str">
        <f>IF(tblSalaries[[#This Row],[Job Type]]=tblSalaries[[#Headers],[Consultant]],tblSalaries[[#This Row],[Salary in USD]],"")</f>
        <v/>
      </c>
      <c r="X1567" s="13" t="str">
        <f>IF(tblSalaries[[#This Row],[Job Type]]=tblSalaries[[#Headers],[Controller]],tblSalaries[[#This Row],[Salary in USD]],"")</f>
        <v/>
      </c>
      <c r="Y1567" s="13" t="str">
        <f>IF(tblSalaries[[#This Row],[Job Type]]=tblSalaries[[#Headers],[CXO or Top Mgmt.]],tblSalaries[[#This Row],[clean Salary (in local currency)]],"")</f>
        <v/>
      </c>
      <c r="Z1567" s="13" t="str">
        <f>IF(tblSalaries[[#This Row],[Job Type]]=tblSalaries[[#Headers],[Engineer]],tblSalaries[[#This Row],[Salary in USD]],"")</f>
        <v/>
      </c>
      <c r="AA1567" s="13" t="str">
        <f>IF(tblSalaries[[#This Row],[Job Type]]=tblSalaries[[#Headers],[Manager]],tblSalaries[[#This Row],[Salary in USD]],"")</f>
        <v/>
      </c>
      <c r="AB1567" s="13" t="str">
        <f>IF(tblSalaries[[#This Row],[Job Type]]=tblSalaries[[#Headers],[Misc.]],tblSalaries[[#This Row],[Salary in USD]],"")</f>
        <v/>
      </c>
      <c r="AC1567" s="13" t="str">
        <f>IF(tblSalaries[[#This Row],[Job Type]]=tblSalaries[[#Headers],[Reporting]],tblSalaries[[#This Row],[Salary in USD]],"")</f>
        <v/>
      </c>
      <c r="AD1567" s="13" t="str">
        <f>IF(tblSalaries[[#This Row],[Job Type]]=tblSalaries[[#Headers],[Specialist]],tblSalaries[[#This Row],[Salary in USD]],"")</f>
        <v/>
      </c>
    </row>
    <row r="1568" spans="2:30" ht="15" customHeight="1" x14ac:dyDescent="0.25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 s="9">
        <f>tblSalaries[[#This Row],[clean Salary (in local currency)]]*VLOOKUP(tblSalaries[[#This Row],[Currency]],tblXrate[],2,FALSE)</f>
        <v>10000</v>
      </c>
      <c r="H1568" t="s">
        <v>360</v>
      </c>
      <c r="I1568" t="s">
        <v>3999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  <c r="N1568" t="str">
        <f>IF(tblSalaries[[#This Row],[Years of Experience]]="","",IF(tblSalaries[[#This Row],[Years of Experience]]&lt;=2,1,""))</f>
        <v/>
      </c>
      <c r="O1568" t="str">
        <f>IF(tblSalaries[[#This Row],[Years of Experience]]="","",IF(AND(tblSalaries[[#This Row],[Years of Experience]]&gt;2,tblSalaries[[#This Row],[Years of Experience]]&lt;=5),1,""))</f>
        <v/>
      </c>
      <c r="P1568">
        <f>IF(tblSalaries[[#This Row],[Years of Experience]]="","",IF(AND(tblSalaries[[#This Row],[Years of Experience]]&gt;5,tblSalaries[[#This Row],[Years of Experience]]&lt;=10),1,""))</f>
        <v>1</v>
      </c>
      <c r="Q1568" t="str">
        <f>IF(tblSalaries[[#This Row],[Years of Experience]]="","",IF(AND(tblSalaries[[#This Row],[Years of Experience]]&gt;10,tblSalaries[[#This Row],[Years of Experience]]&lt;=15),1,""))</f>
        <v/>
      </c>
      <c r="R1568" t="str">
        <f>IF(tblSalaries[[#This Row],[Years of Experience]]="","",IF(AND(tblSalaries[[#This Row],[Years of Experience]]&gt;16,tblSalaries[[#This Row],[Years of Experience]]&lt;=20),1,""))</f>
        <v/>
      </c>
      <c r="S1568" t="str">
        <f>IF(tblSalaries[[#This Row],[Years of Experience]]="","",IF(tblSalaries[[#This Row],[Years of Experience]]&gt;20,1,""))</f>
        <v/>
      </c>
      <c r="T15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68" s="13" t="str">
        <f>IF(tblSalaries[[#This Row],[Job Type]]=tblSalaries[[#Headers],[Accountant]],tblSalaries[[#This Row],[Salary in USD]],"")</f>
        <v/>
      </c>
      <c r="V1568" s="13" t="str">
        <f>IF(tblSalaries[[#This Row],[Job Type]]=tblSalaries[[#Headers],[Analyst]],tblSalaries[[#This Row],[Salary in USD]],"")</f>
        <v/>
      </c>
      <c r="W1568" s="13" t="str">
        <f>IF(tblSalaries[[#This Row],[Job Type]]=tblSalaries[[#Headers],[Consultant]],tblSalaries[[#This Row],[Salary in USD]],"")</f>
        <v/>
      </c>
      <c r="X1568" s="13" t="str">
        <f>IF(tblSalaries[[#This Row],[Job Type]]=tblSalaries[[#Headers],[Controller]],tblSalaries[[#This Row],[Salary in USD]],"")</f>
        <v/>
      </c>
      <c r="Y1568" s="13" t="str">
        <f>IF(tblSalaries[[#This Row],[Job Type]]=tblSalaries[[#Headers],[CXO or Top Mgmt.]],tblSalaries[[#This Row],[clean Salary (in local currency)]],"")</f>
        <v/>
      </c>
      <c r="Z1568" s="13" t="str">
        <f>IF(tblSalaries[[#This Row],[Job Type]]=tblSalaries[[#Headers],[Engineer]],tblSalaries[[#This Row],[Salary in USD]],"")</f>
        <v/>
      </c>
      <c r="AA1568" s="13" t="str">
        <f>IF(tblSalaries[[#This Row],[Job Type]]=tblSalaries[[#Headers],[Manager]],tblSalaries[[#This Row],[Salary in USD]],"")</f>
        <v/>
      </c>
      <c r="AB1568" s="13" t="str">
        <f>IF(tblSalaries[[#This Row],[Job Type]]=tblSalaries[[#Headers],[Misc.]],tblSalaries[[#This Row],[Salary in USD]],"")</f>
        <v/>
      </c>
      <c r="AC1568" s="13">
        <f>IF(tblSalaries[[#This Row],[Job Type]]=tblSalaries[[#Headers],[Reporting]],tblSalaries[[#This Row],[Salary in USD]],"")</f>
        <v>10000</v>
      </c>
      <c r="AD1568" s="13" t="str">
        <f>IF(tblSalaries[[#This Row],[Job Type]]=tblSalaries[[#Headers],[Specialist]],tblSalaries[[#This Row],[Salary in USD]],"")</f>
        <v/>
      </c>
    </row>
    <row r="1569" spans="2:30" ht="15" customHeight="1" x14ac:dyDescent="0.25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 s="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  <c r="N1569">
        <f>IF(tblSalaries[[#This Row],[Years of Experience]]="","",IF(tblSalaries[[#This Row],[Years of Experience]]&lt;=2,1,""))</f>
        <v>1</v>
      </c>
      <c r="O1569" t="str">
        <f>IF(tblSalaries[[#This Row],[Years of Experience]]="","",IF(AND(tblSalaries[[#This Row],[Years of Experience]]&gt;2,tblSalaries[[#This Row],[Years of Experience]]&lt;=5),1,""))</f>
        <v/>
      </c>
      <c r="P1569" t="str">
        <f>IF(tblSalaries[[#This Row],[Years of Experience]]="","",IF(AND(tblSalaries[[#This Row],[Years of Experience]]&gt;5,tblSalaries[[#This Row],[Years of Experience]]&lt;=10),1,""))</f>
        <v/>
      </c>
      <c r="Q1569" t="str">
        <f>IF(tblSalaries[[#This Row],[Years of Experience]]="","",IF(AND(tblSalaries[[#This Row],[Years of Experience]]&gt;10,tblSalaries[[#This Row],[Years of Experience]]&lt;=15),1,""))</f>
        <v/>
      </c>
      <c r="R1569" t="str">
        <f>IF(tblSalaries[[#This Row],[Years of Experience]]="","",IF(AND(tblSalaries[[#This Row],[Years of Experience]]&gt;16,tblSalaries[[#This Row],[Years of Experience]]&lt;=20),1,""))</f>
        <v/>
      </c>
      <c r="S1569" t="str">
        <f>IF(tblSalaries[[#This Row],[Years of Experience]]="","",IF(tblSalaries[[#This Row],[Years of Experience]]&gt;20,1,""))</f>
        <v/>
      </c>
      <c r="T15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69" s="13" t="str">
        <f>IF(tblSalaries[[#This Row],[Job Type]]=tblSalaries[[#Headers],[Accountant]],tblSalaries[[#This Row],[Salary in USD]],"")</f>
        <v/>
      </c>
      <c r="V1569" s="13">
        <f>IF(tblSalaries[[#This Row],[Job Type]]=tblSalaries[[#Headers],[Analyst]],tblSalaries[[#This Row],[Salary in USD]],"")</f>
        <v>50000</v>
      </c>
      <c r="W1569" s="13" t="str">
        <f>IF(tblSalaries[[#This Row],[Job Type]]=tblSalaries[[#Headers],[Consultant]],tblSalaries[[#This Row],[Salary in USD]],"")</f>
        <v/>
      </c>
      <c r="X1569" s="13" t="str">
        <f>IF(tblSalaries[[#This Row],[Job Type]]=tblSalaries[[#Headers],[Controller]],tblSalaries[[#This Row],[Salary in USD]],"")</f>
        <v/>
      </c>
      <c r="Y1569" s="13" t="str">
        <f>IF(tblSalaries[[#This Row],[Job Type]]=tblSalaries[[#Headers],[CXO or Top Mgmt.]],tblSalaries[[#This Row],[clean Salary (in local currency)]],"")</f>
        <v/>
      </c>
      <c r="Z1569" s="13" t="str">
        <f>IF(tblSalaries[[#This Row],[Job Type]]=tblSalaries[[#Headers],[Engineer]],tblSalaries[[#This Row],[Salary in USD]],"")</f>
        <v/>
      </c>
      <c r="AA1569" s="13" t="str">
        <f>IF(tblSalaries[[#This Row],[Job Type]]=tblSalaries[[#Headers],[Manager]],tblSalaries[[#This Row],[Salary in USD]],"")</f>
        <v/>
      </c>
      <c r="AB1569" s="13" t="str">
        <f>IF(tblSalaries[[#This Row],[Job Type]]=tblSalaries[[#Headers],[Misc.]],tblSalaries[[#This Row],[Salary in USD]],"")</f>
        <v/>
      </c>
      <c r="AC1569" s="13" t="str">
        <f>IF(tblSalaries[[#This Row],[Job Type]]=tblSalaries[[#Headers],[Reporting]],tblSalaries[[#This Row],[Salary in USD]],"")</f>
        <v/>
      </c>
      <c r="AD1569" s="13" t="str">
        <f>IF(tblSalaries[[#This Row],[Job Type]]=tblSalaries[[#Headers],[Specialist]],tblSalaries[[#This Row],[Salary in USD]],"")</f>
        <v/>
      </c>
    </row>
    <row r="1570" spans="2:30" ht="15" customHeight="1" x14ac:dyDescent="0.25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 s="9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  <c r="N1570" t="str">
        <f>IF(tblSalaries[[#This Row],[Years of Experience]]="","",IF(tblSalaries[[#This Row],[Years of Experience]]&lt;=2,1,""))</f>
        <v/>
      </c>
      <c r="O1570" t="str">
        <f>IF(tblSalaries[[#This Row],[Years of Experience]]="","",IF(AND(tblSalaries[[#This Row],[Years of Experience]]&gt;2,tblSalaries[[#This Row],[Years of Experience]]&lt;=5),1,""))</f>
        <v/>
      </c>
      <c r="P1570" t="str">
        <f>IF(tblSalaries[[#This Row],[Years of Experience]]="","",IF(AND(tblSalaries[[#This Row],[Years of Experience]]&gt;5,tblSalaries[[#This Row],[Years of Experience]]&lt;=10),1,""))</f>
        <v/>
      </c>
      <c r="Q1570">
        <f>IF(tblSalaries[[#This Row],[Years of Experience]]="","",IF(AND(tblSalaries[[#This Row],[Years of Experience]]&gt;10,tblSalaries[[#This Row],[Years of Experience]]&lt;=15),1,""))</f>
        <v>1</v>
      </c>
      <c r="R1570" t="str">
        <f>IF(tblSalaries[[#This Row],[Years of Experience]]="","",IF(AND(tblSalaries[[#This Row],[Years of Experience]]&gt;16,tblSalaries[[#This Row],[Years of Experience]]&lt;=20),1,""))</f>
        <v/>
      </c>
      <c r="S1570" t="str">
        <f>IF(tblSalaries[[#This Row],[Years of Experience]]="","",IF(tblSalaries[[#This Row],[Years of Experience]]&gt;20,1,""))</f>
        <v/>
      </c>
      <c r="T15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70" s="13" t="str">
        <f>IF(tblSalaries[[#This Row],[Job Type]]=tblSalaries[[#Headers],[Accountant]],tblSalaries[[#This Row],[Salary in USD]],"")</f>
        <v/>
      </c>
      <c r="V1570" s="13" t="str">
        <f>IF(tblSalaries[[#This Row],[Job Type]]=tblSalaries[[#Headers],[Analyst]],tblSalaries[[#This Row],[Salary in USD]],"")</f>
        <v/>
      </c>
      <c r="W1570" s="13" t="str">
        <f>IF(tblSalaries[[#This Row],[Job Type]]=tblSalaries[[#Headers],[Consultant]],tblSalaries[[#This Row],[Salary in USD]],"")</f>
        <v/>
      </c>
      <c r="X1570" s="13" t="str">
        <f>IF(tblSalaries[[#This Row],[Job Type]]=tblSalaries[[#Headers],[Controller]],tblSalaries[[#This Row],[Salary in USD]],"")</f>
        <v/>
      </c>
      <c r="Y1570" s="13" t="str">
        <f>IF(tblSalaries[[#This Row],[Job Type]]=tblSalaries[[#Headers],[CXO or Top Mgmt.]],tblSalaries[[#This Row],[clean Salary (in local currency)]],"")</f>
        <v/>
      </c>
      <c r="Z1570" s="13" t="str">
        <f>IF(tblSalaries[[#This Row],[Job Type]]=tblSalaries[[#Headers],[Engineer]],tblSalaries[[#This Row],[Salary in USD]],"")</f>
        <v/>
      </c>
      <c r="AA1570" s="13">
        <f>IF(tblSalaries[[#This Row],[Job Type]]=tblSalaries[[#Headers],[Manager]],tblSalaries[[#This Row],[Salary in USD]],"")</f>
        <v>10000</v>
      </c>
      <c r="AB1570" s="13" t="str">
        <f>IF(tblSalaries[[#This Row],[Job Type]]=tblSalaries[[#Headers],[Misc.]],tblSalaries[[#This Row],[Salary in USD]],"")</f>
        <v/>
      </c>
      <c r="AC1570" s="13" t="str">
        <f>IF(tblSalaries[[#This Row],[Job Type]]=tblSalaries[[#Headers],[Reporting]],tblSalaries[[#This Row],[Salary in USD]],"")</f>
        <v/>
      </c>
      <c r="AD1570" s="13" t="str">
        <f>IF(tblSalaries[[#This Row],[Job Type]]=tblSalaries[[#Headers],[Specialist]],tblSalaries[[#This Row],[Salary in USD]],"")</f>
        <v/>
      </c>
    </row>
    <row r="1571" spans="2:30" ht="15" customHeight="1" x14ac:dyDescent="0.25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 s="9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  <c r="N1571" t="str">
        <f>IF(tblSalaries[[#This Row],[Years of Experience]]="","",IF(tblSalaries[[#This Row],[Years of Experience]]&lt;=2,1,""))</f>
        <v/>
      </c>
      <c r="O1571" t="str">
        <f>IF(tblSalaries[[#This Row],[Years of Experience]]="","",IF(AND(tblSalaries[[#This Row],[Years of Experience]]&gt;2,tblSalaries[[#This Row],[Years of Experience]]&lt;=5),1,""))</f>
        <v/>
      </c>
      <c r="P1571" t="str">
        <f>IF(tblSalaries[[#This Row],[Years of Experience]]="","",IF(AND(tblSalaries[[#This Row],[Years of Experience]]&gt;5,tblSalaries[[#This Row],[Years of Experience]]&lt;=10),1,""))</f>
        <v/>
      </c>
      <c r="Q1571">
        <f>IF(tblSalaries[[#This Row],[Years of Experience]]="","",IF(AND(tblSalaries[[#This Row],[Years of Experience]]&gt;10,tblSalaries[[#This Row],[Years of Experience]]&lt;=15),1,""))</f>
        <v>1</v>
      </c>
      <c r="R1571" t="str">
        <f>IF(tblSalaries[[#This Row],[Years of Experience]]="","",IF(AND(tblSalaries[[#This Row],[Years of Experience]]&gt;16,tblSalaries[[#This Row],[Years of Experience]]&lt;=20),1,""))</f>
        <v/>
      </c>
      <c r="S1571" t="str">
        <f>IF(tblSalaries[[#This Row],[Years of Experience]]="","",IF(tblSalaries[[#This Row],[Years of Experience]]&gt;20,1,""))</f>
        <v/>
      </c>
      <c r="T15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71" s="13" t="str">
        <f>IF(tblSalaries[[#This Row],[Job Type]]=tblSalaries[[#Headers],[Accountant]],tblSalaries[[#This Row],[Salary in USD]],"")</f>
        <v/>
      </c>
      <c r="V1571" s="13">
        <f>IF(tblSalaries[[#This Row],[Job Type]]=tblSalaries[[#Headers],[Analyst]],tblSalaries[[#This Row],[Salary in USD]],"")</f>
        <v>50000</v>
      </c>
      <c r="W1571" s="13" t="str">
        <f>IF(tblSalaries[[#This Row],[Job Type]]=tblSalaries[[#Headers],[Consultant]],tblSalaries[[#This Row],[Salary in USD]],"")</f>
        <v/>
      </c>
      <c r="X1571" s="13" t="str">
        <f>IF(tblSalaries[[#This Row],[Job Type]]=tblSalaries[[#Headers],[Controller]],tblSalaries[[#This Row],[Salary in USD]],"")</f>
        <v/>
      </c>
      <c r="Y1571" s="13" t="str">
        <f>IF(tblSalaries[[#This Row],[Job Type]]=tblSalaries[[#Headers],[CXO or Top Mgmt.]],tblSalaries[[#This Row],[clean Salary (in local currency)]],"")</f>
        <v/>
      </c>
      <c r="Z1571" s="13" t="str">
        <f>IF(tblSalaries[[#This Row],[Job Type]]=tblSalaries[[#Headers],[Engineer]],tblSalaries[[#This Row],[Salary in USD]],"")</f>
        <v/>
      </c>
      <c r="AA1571" s="13" t="str">
        <f>IF(tblSalaries[[#This Row],[Job Type]]=tblSalaries[[#Headers],[Manager]],tblSalaries[[#This Row],[Salary in USD]],"")</f>
        <v/>
      </c>
      <c r="AB1571" s="13" t="str">
        <f>IF(tblSalaries[[#This Row],[Job Type]]=tblSalaries[[#Headers],[Misc.]],tblSalaries[[#This Row],[Salary in USD]],"")</f>
        <v/>
      </c>
      <c r="AC1571" s="13" t="str">
        <f>IF(tblSalaries[[#This Row],[Job Type]]=tblSalaries[[#Headers],[Reporting]],tblSalaries[[#This Row],[Salary in USD]],"")</f>
        <v/>
      </c>
      <c r="AD1571" s="13" t="str">
        <f>IF(tblSalaries[[#This Row],[Job Type]]=tblSalaries[[#Headers],[Specialist]],tblSalaries[[#This Row],[Salary in USD]],"")</f>
        <v/>
      </c>
    </row>
    <row r="1572" spans="2:30" ht="15" customHeight="1" x14ac:dyDescent="0.25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 s="9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  <c r="N1572">
        <f>IF(tblSalaries[[#This Row],[Years of Experience]]="","",IF(tblSalaries[[#This Row],[Years of Experience]]&lt;=2,1,""))</f>
        <v>1</v>
      </c>
      <c r="O1572" t="str">
        <f>IF(tblSalaries[[#This Row],[Years of Experience]]="","",IF(AND(tblSalaries[[#This Row],[Years of Experience]]&gt;2,tblSalaries[[#This Row],[Years of Experience]]&lt;=5),1,""))</f>
        <v/>
      </c>
      <c r="P1572" t="str">
        <f>IF(tblSalaries[[#This Row],[Years of Experience]]="","",IF(AND(tblSalaries[[#This Row],[Years of Experience]]&gt;5,tblSalaries[[#This Row],[Years of Experience]]&lt;=10),1,""))</f>
        <v/>
      </c>
      <c r="Q1572" t="str">
        <f>IF(tblSalaries[[#This Row],[Years of Experience]]="","",IF(AND(tblSalaries[[#This Row],[Years of Experience]]&gt;10,tblSalaries[[#This Row],[Years of Experience]]&lt;=15),1,""))</f>
        <v/>
      </c>
      <c r="R1572" t="str">
        <f>IF(tblSalaries[[#This Row],[Years of Experience]]="","",IF(AND(tblSalaries[[#This Row],[Years of Experience]]&gt;16,tblSalaries[[#This Row],[Years of Experience]]&lt;=20),1,""))</f>
        <v/>
      </c>
      <c r="S1572" t="str">
        <f>IF(tblSalaries[[#This Row],[Years of Experience]]="","",IF(tblSalaries[[#This Row],[Years of Experience]]&gt;20,1,""))</f>
        <v/>
      </c>
      <c r="T15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72" s="13" t="str">
        <f>IF(tblSalaries[[#This Row],[Job Type]]=tblSalaries[[#Headers],[Accountant]],tblSalaries[[#This Row],[Salary in USD]],"")</f>
        <v/>
      </c>
      <c r="V1572" s="13" t="str">
        <f>IF(tblSalaries[[#This Row],[Job Type]]=tblSalaries[[#Headers],[Analyst]],tblSalaries[[#This Row],[Salary in USD]],"")</f>
        <v/>
      </c>
      <c r="W1572" s="13" t="str">
        <f>IF(tblSalaries[[#This Row],[Job Type]]=tblSalaries[[#Headers],[Consultant]],tblSalaries[[#This Row],[Salary in USD]],"")</f>
        <v/>
      </c>
      <c r="X1572" s="13" t="str">
        <f>IF(tblSalaries[[#This Row],[Job Type]]=tblSalaries[[#Headers],[Controller]],tblSalaries[[#This Row],[Salary in USD]],"")</f>
        <v/>
      </c>
      <c r="Y1572" s="13" t="str">
        <f>IF(tblSalaries[[#This Row],[Job Type]]=tblSalaries[[#Headers],[CXO or Top Mgmt.]],tblSalaries[[#This Row],[clean Salary (in local currency)]],"")</f>
        <v/>
      </c>
      <c r="Z1572" s="13" t="str">
        <f>IF(tblSalaries[[#This Row],[Job Type]]=tblSalaries[[#Headers],[Engineer]],tblSalaries[[#This Row],[Salary in USD]],"")</f>
        <v/>
      </c>
      <c r="AA1572" s="13">
        <f>IF(tblSalaries[[#This Row],[Job Type]]=tblSalaries[[#Headers],[Manager]],tblSalaries[[#This Row],[Salary in USD]],"")</f>
        <v>20000</v>
      </c>
      <c r="AB1572" s="13" t="str">
        <f>IF(tblSalaries[[#This Row],[Job Type]]=tblSalaries[[#Headers],[Misc.]],tblSalaries[[#This Row],[Salary in USD]],"")</f>
        <v/>
      </c>
      <c r="AC1572" s="13" t="str">
        <f>IF(tblSalaries[[#This Row],[Job Type]]=tblSalaries[[#Headers],[Reporting]],tblSalaries[[#This Row],[Salary in USD]],"")</f>
        <v/>
      </c>
      <c r="AD1572" s="13" t="str">
        <f>IF(tblSalaries[[#This Row],[Job Type]]=tblSalaries[[#Headers],[Specialist]],tblSalaries[[#This Row],[Salary in USD]],"")</f>
        <v/>
      </c>
    </row>
    <row r="1573" spans="2:30" ht="15" customHeight="1" x14ac:dyDescent="0.25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 s="9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  <c r="N1573" t="str">
        <f>IF(tblSalaries[[#This Row],[Years of Experience]]="","",IF(tblSalaries[[#This Row],[Years of Experience]]&lt;=2,1,""))</f>
        <v/>
      </c>
      <c r="O1573">
        <f>IF(tblSalaries[[#This Row],[Years of Experience]]="","",IF(AND(tblSalaries[[#This Row],[Years of Experience]]&gt;2,tblSalaries[[#This Row],[Years of Experience]]&lt;=5),1,""))</f>
        <v>1</v>
      </c>
      <c r="P1573" t="str">
        <f>IF(tblSalaries[[#This Row],[Years of Experience]]="","",IF(AND(tblSalaries[[#This Row],[Years of Experience]]&gt;5,tblSalaries[[#This Row],[Years of Experience]]&lt;=10),1,""))</f>
        <v/>
      </c>
      <c r="Q1573" t="str">
        <f>IF(tblSalaries[[#This Row],[Years of Experience]]="","",IF(AND(tblSalaries[[#This Row],[Years of Experience]]&gt;10,tblSalaries[[#This Row],[Years of Experience]]&lt;=15),1,""))</f>
        <v/>
      </c>
      <c r="R1573" t="str">
        <f>IF(tblSalaries[[#This Row],[Years of Experience]]="","",IF(AND(tblSalaries[[#This Row],[Years of Experience]]&gt;16,tblSalaries[[#This Row],[Years of Experience]]&lt;=20),1,""))</f>
        <v/>
      </c>
      <c r="S1573" t="str">
        <f>IF(tblSalaries[[#This Row],[Years of Experience]]="","",IF(tblSalaries[[#This Row],[Years of Experience]]&gt;20,1,""))</f>
        <v/>
      </c>
      <c r="T15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73" s="13" t="str">
        <f>IF(tblSalaries[[#This Row],[Job Type]]=tblSalaries[[#Headers],[Accountant]],tblSalaries[[#This Row],[Salary in USD]],"")</f>
        <v/>
      </c>
      <c r="V1573" s="13">
        <f>IF(tblSalaries[[#This Row],[Job Type]]=tblSalaries[[#Headers],[Analyst]],tblSalaries[[#This Row],[Salary in USD]],"")</f>
        <v>31523.565441345683</v>
      </c>
      <c r="W1573" s="13" t="str">
        <f>IF(tblSalaries[[#This Row],[Job Type]]=tblSalaries[[#Headers],[Consultant]],tblSalaries[[#This Row],[Salary in USD]],"")</f>
        <v/>
      </c>
      <c r="X1573" s="13" t="str">
        <f>IF(tblSalaries[[#This Row],[Job Type]]=tblSalaries[[#Headers],[Controller]],tblSalaries[[#This Row],[Salary in USD]],"")</f>
        <v/>
      </c>
      <c r="Y1573" s="13" t="str">
        <f>IF(tblSalaries[[#This Row],[Job Type]]=tblSalaries[[#Headers],[CXO or Top Mgmt.]],tblSalaries[[#This Row],[clean Salary (in local currency)]],"")</f>
        <v/>
      </c>
      <c r="Z1573" s="13" t="str">
        <f>IF(tblSalaries[[#This Row],[Job Type]]=tblSalaries[[#Headers],[Engineer]],tblSalaries[[#This Row],[Salary in USD]],"")</f>
        <v/>
      </c>
      <c r="AA1573" s="13" t="str">
        <f>IF(tblSalaries[[#This Row],[Job Type]]=tblSalaries[[#Headers],[Manager]],tblSalaries[[#This Row],[Salary in USD]],"")</f>
        <v/>
      </c>
      <c r="AB1573" s="13" t="str">
        <f>IF(tblSalaries[[#This Row],[Job Type]]=tblSalaries[[#Headers],[Misc.]],tblSalaries[[#This Row],[Salary in USD]],"")</f>
        <v/>
      </c>
      <c r="AC1573" s="13" t="str">
        <f>IF(tblSalaries[[#This Row],[Job Type]]=tblSalaries[[#Headers],[Reporting]],tblSalaries[[#This Row],[Salary in USD]],"")</f>
        <v/>
      </c>
      <c r="AD1573" s="13" t="str">
        <f>IF(tblSalaries[[#This Row],[Job Type]]=tblSalaries[[#Headers],[Specialist]],tblSalaries[[#This Row],[Salary in USD]],"")</f>
        <v/>
      </c>
    </row>
    <row r="1574" spans="2:30" ht="15" customHeight="1" x14ac:dyDescent="0.25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 s="9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  <c r="N1574" t="str">
        <f>IF(tblSalaries[[#This Row],[Years of Experience]]="","",IF(tblSalaries[[#This Row],[Years of Experience]]&lt;=2,1,""))</f>
        <v/>
      </c>
      <c r="O1574" t="str">
        <f>IF(tblSalaries[[#This Row],[Years of Experience]]="","",IF(AND(tblSalaries[[#This Row],[Years of Experience]]&gt;2,tblSalaries[[#This Row],[Years of Experience]]&lt;=5),1,""))</f>
        <v/>
      </c>
      <c r="P1574">
        <f>IF(tblSalaries[[#This Row],[Years of Experience]]="","",IF(AND(tblSalaries[[#This Row],[Years of Experience]]&gt;5,tblSalaries[[#This Row],[Years of Experience]]&lt;=10),1,""))</f>
        <v>1</v>
      </c>
      <c r="Q1574" t="str">
        <f>IF(tblSalaries[[#This Row],[Years of Experience]]="","",IF(AND(tblSalaries[[#This Row],[Years of Experience]]&gt;10,tblSalaries[[#This Row],[Years of Experience]]&lt;=15),1,""))</f>
        <v/>
      </c>
      <c r="R1574" t="str">
        <f>IF(tblSalaries[[#This Row],[Years of Experience]]="","",IF(AND(tblSalaries[[#This Row],[Years of Experience]]&gt;16,tblSalaries[[#This Row],[Years of Experience]]&lt;=20),1,""))</f>
        <v/>
      </c>
      <c r="S1574" t="str">
        <f>IF(tblSalaries[[#This Row],[Years of Experience]]="","",IF(tblSalaries[[#This Row],[Years of Experience]]&gt;20,1,""))</f>
        <v/>
      </c>
      <c r="T15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74" s="13" t="str">
        <f>IF(tblSalaries[[#This Row],[Job Type]]=tblSalaries[[#Headers],[Accountant]],tblSalaries[[#This Row],[Salary in USD]],"")</f>
        <v/>
      </c>
      <c r="V1574" s="13" t="str">
        <f>IF(tblSalaries[[#This Row],[Job Type]]=tblSalaries[[#Headers],[Analyst]],tblSalaries[[#This Row],[Salary in USD]],"")</f>
        <v/>
      </c>
      <c r="W1574" s="13" t="str">
        <f>IF(tblSalaries[[#This Row],[Job Type]]=tblSalaries[[#Headers],[Consultant]],tblSalaries[[#This Row],[Salary in USD]],"")</f>
        <v/>
      </c>
      <c r="X1574" s="13">
        <f>IF(tblSalaries[[#This Row],[Job Type]]=tblSalaries[[#Headers],[Controller]],tblSalaries[[#This Row],[Salary in USD]],"")</f>
        <v>63519.971949580387</v>
      </c>
      <c r="Y1574" s="13" t="str">
        <f>IF(tblSalaries[[#This Row],[Job Type]]=tblSalaries[[#Headers],[CXO or Top Mgmt.]],tblSalaries[[#This Row],[clean Salary (in local currency)]],"")</f>
        <v/>
      </c>
      <c r="Z1574" s="13" t="str">
        <f>IF(tblSalaries[[#This Row],[Job Type]]=tblSalaries[[#Headers],[Engineer]],tblSalaries[[#This Row],[Salary in USD]],"")</f>
        <v/>
      </c>
      <c r="AA1574" s="13" t="str">
        <f>IF(tblSalaries[[#This Row],[Job Type]]=tblSalaries[[#Headers],[Manager]],tblSalaries[[#This Row],[Salary in USD]],"")</f>
        <v/>
      </c>
      <c r="AB1574" s="13" t="str">
        <f>IF(tblSalaries[[#This Row],[Job Type]]=tblSalaries[[#Headers],[Misc.]],tblSalaries[[#This Row],[Salary in USD]],"")</f>
        <v/>
      </c>
      <c r="AC1574" s="13" t="str">
        <f>IF(tblSalaries[[#This Row],[Job Type]]=tblSalaries[[#Headers],[Reporting]],tblSalaries[[#This Row],[Salary in USD]],"")</f>
        <v/>
      </c>
      <c r="AD1574" s="13" t="str">
        <f>IF(tblSalaries[[#This Row],[Job Type]]=tblSalaries[[#Headers],[Specialist]],tblSalaries[[#This Row],[Salary in USD]],"")</f>
        <v/>
      </c>
    </row>
    <row r="1575" spans="2:30" ht="15" customHeight="1" x14ac:dyDescent="0.25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 s="9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  <c r="N1575" t="str">
        <f>IF(tblSalaries[[#This Row],[Years of Experience]]="","",IF(tblSalaries[[#This Row],[Years of Experience]]&lt;=2,1,""))</f>
        <v/>
      </c>
      <c r="O1575" t="str">
        <f>IF(tblSalaries[[#This Row],[Years of Experience]]="","",IF(AND(tblSalaries[[#This Row],[Years of Experience]]&gt;2,tblSalaries[[#This Row],[Years of Experience]]&lt;=5),1,""))</f>
        <v/>
      </c>
      <c r="P1575" t="str">
        <f>IF(tblSalaries[[#This Row],[Years of Experience]]="","",IF(AND(tblSalaries[[#This Row],[Years of Experience]]&gt;5,tblSalaries[[#This Row],[Years of Experience]]&lt;=10),1,""))</f>
        <v/>
      </c>
      <c r="Q1575">
        <f>IF(tblSalaries[[#This Row],[Years of Experience]]="","",IF(AND(tblSalaries[[#This Row],[Years of Experience]]&gt;10,tblSalaries[[#This Row],[Years of Experience]]&lt;=15),1,""))</f>
        <v>1</v>
      </c>
      <c r="R1575" t="str">
        <f>IF(tblSalaries[[#This Row],[Years of Experience]]="","",IF(AND(tblSalaries[[#This Row],[Years of Experience]]&gt;16,tblSalaries[[#This Row],[Years of Experience]]&lt;=20),1,""))</f>
        <v/>
      </c>
      <c r="S1575" t="str">
        <f>IF(tblSalaries[[#This Row],[Years of Experience]]="","",IF(tblSalaries[[#This Row],[Years of Experience]]&gt;20,1,""))</f>
        <v/>
      </c>
      <c r="T15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75" s="13" t="str">
        <f>IF(tblSalaries[[#This Row],[Job Type]]=tblSalaries[[#Headers],[Accountant]],tblSalaries[[#This Row],[Salary in USD]],"")</f>
        <v/>
      </c>
      <c r="V1575" s="13" t="str">
        <f>IF(tblSalaries[[#This Row],[Job Type]]=tblSalaries[[#Headers],[Analyst]],tblSalaries[[#This Row],[Salary in USD]],"")</f>
        <v/>
      </c>
      <c r="W1575" s="13" t="str">
        <f>IF(tblSalaries[[#This Row],[Job Type]]=tblSalaries[[#Headers],[Consultant]],tblSalaries[[#This Row],[Salary in USD]],"")</f>
        <v/>
      </c>
      <c r="X1575" s="13">
        <f>IF(tblSalaries[[#This Row],[Job Type]]=tblSalaries[[#Headers],[Controller]],tblSalaries[[#This Row],[Salary in USD]],"")</f>
        <v>35063.024516168378</v>
      </c>
      <c r="Y1575" s="13" t="str">
        <f>IF(tblSalaries[[#This Row],[Job Type]]=tblSalaries[[#Headers],[CXO or Top Mgmt.]],tblSalaries[[#This Row],[clean Salary (in local currency)]],"")</f>
        <v/>
      </c>
      <c r="Z1575" s="13" t="str">
        <f>IF(tblSalaries[[#This Row],[Job Type]]=tblSalaries[[#Headers],[Engineer]],tblSalaries[[#This Row],[Salary in USD]],"")</f>
        <v/>
      </c>
      <c r="AA1575" s="13" t="str">
        <f>IF(tblSalaries[[#This Row],[Job Type]]=tblSalaries[[#Headers],[Manager]],tblSalaries[[#This Row],[Salary in USD]],"")</f>
        <v/>
      </c>
      <c r="AB1575" s="13" t="str">
        <f>IF(tblSalaries[[#This Row],[Job Type]]=tblSalaries[[#Headers],[Misc.]],tblSalaries[[#This Row],[Salary in USD]],"")</f>
        <v/>
      </c>
      <c r="AC1575" s="13" t="str">
        <f>IF(tblSalaries[[#This Row],[Job Type]]=tblSalaries[[#Headers],[Reporting]],tblSalaries[[#This Row],[Salary in USD]],"")</f>
        <v/>
      </c>
      <c r="AD1575" s="13" t="str">
        <f>IF(tblSalaries[[#This Row],[Job Type]]=tblSalaries[[#Headers],[Specialist]],tblSalaries[[#This Row],[Salary in USD]],"")</f>
        <v/>
      </c>
    </row>
    <row r="1576" spans="2:30" ht="15" customHeight="1" x14ac:dyDescent="0.25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 s="9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  <c r="N1576">
        <f>IF(tblSalaries[[#This Row],[Years of Experience]]="","",IF(tblSalaries[[#This Row],[Years of Experience]]&lt;=2,1,""))</f>
        <v>1</v>
      </c>
      <c r="O1576" t="str">
        <f>IF(tblSalaries[[#This Row],[Years of Experience]]="","",IF(AND(tblSalaries[[#This Row],[Years of Experience]]&gt;2,tblSalaries[[#This Row],[Years of Experience]]&lt;=5),1,""))</f>
        <v/>
      </c>
      <c r="P1576" t="str">
        <f>IF(tblSalaries[[#This Row],[Years of Experience]]="","",IF(AND(tblSalaries[[#This Row],[Years of Experience]]&gt;5,tblSalaries[[#This Row],[Years of Experience]]&lt;=10),1,""))</f>
        <v/>
      </c>
      <c r="Q1576" t="str">
        <f>IF(tblSalaries[[#This Row],[Years of Experience]]="","",IF(AND(tblSalaries[[#This Row],[Years of Experience]]&gt;10,tblSalaries[[#This Row],[Years of Experience]]&lt;=15),1,""))</f>
        <v/>
      </c>
      <c r="R1576" t="str">
        <f>IF(tblSalaries[[#This Row],[Years of Experience]]="","",IF(AND(tblSalaries[[#This Row],[Years of Experience]]&gt;16,tblSalaries[[#This Row],[Years of Experience]]&lt;=20),1,""))</f>
        <v/>
      </c>
      <c r="S1576" t="str">
        <f>IF(tblSalaries[[#This Row],[Years of Experience]]="","",IF(tblSalaries[[#This Row],[Years of Experience]]&gt;20,1,""))</f>
        <v/>
      </c>
      <c r="T15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76" s="13" t="str">
        <f>IF(tblSalaries[[#This Row],[Job Type]]=tblSalaries[[#Headers],[Accountant]],tblSalaries[[#This Row],[Salary in USD]],"")</f>
        <v/>
      </c>
      <c r="V1576" s="13">
        <f>IF(tblSalaries[[#This Row],[Job Type]]=tblSalaries[[#Headers],[Analyst]],tblSalaries[[#This Row],[Salary in USD]],"")</f>
        <v>55000</v>
      </c>
      <c r="W1576" s="13" t="str">
        <f>IF(tblSalaries[[#This Row],[Job Type]]=tblSalaries[[#Headers],[Consultant]],tblSalaries[[#This Row],[Salary in USD]],"")</f>
        <v/>
      </c>
      <c r="X1576" s="13" t="str">
        <f>IF(tblSalaries[[#This Row],[Job Type]]=tblSalaries[[#Headers],[Controller]],tblSalaries[[#This Row],[Salary in USD]],"")</f>
        <v/>
      </c>
      <c r="Y1576" s="13" t="str">
        <f>IF(tblSalaries[[#This Row],[Job Type]]=tblSalaries[[#Headers],[CXO or Top Mgmt.]],tblSalaries[[#This Row],[clean Salary (in local currency)]],"")</f>
        <v/>
      </c>
      <c r="Z1576" s="13" t="str">
        <f>IF(tblSalaries[[#This Row],[Job Type]]=tblSalaries[[#Headers],[Engineer]],tblSalaries[[#This Row],[Salary in USD]],"")</f>
        <v/>
      </c>
      <c r="AA1576" s="13" t="str">
        <f>IF(tblSalaries[[#This Row],[Job Type]]=tblSalaries[[#Headers],[Manager]],tblSalaries[[#This Row],[Salary in USD]],"")</f>
        <v/>
      </c>
      <c r="AB1576" s="13" t="str">
        <f>IF(tblSalaries[[#This Row],[Job Type]]=tblSalaries[[#Headers],[Misc.]],tblSalaries[[#This Row],[Salary in USD]],"")</f>
        <v/>
      </c>
      <c r="AC1576" s="13" t="str">
        <f>IF(tblSalaries[[#This Row],[Job Type]]=tblSalaries[[#Headers],[Reporting]],tblSalaries[[#This Row],[Salary in USD]],"")</f>
        <v/>
      </c>
      <c r="AD1576" s="13" t="str">
        <f>IF(tblSalaries[[#This Row],[Job Type]]=tblSalaries[[#Headers],[Specialist]],tblSalaries[[#This Row],[Salary in USD]],"")</f>
        <v/>
      </c>
    </row>
    <row r="1577" spans="2:30" ht="15" customHeight="1" x14ac:dyDescent="0.25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 s="9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  <c r="N1577">
        <f>IF(tblSalaries[[#This Row],[Years of Experience]]="","",IF(tblSalaries[[#This Row],[Years of Experience]]&lt;=2,1,""))</f>
        <v>1</v>
      </c>
      <c r="O1577" t="str">
        <f>IF(tblSalaries[[#This Row],[Years of Experience]]="","",IF(AND(tblSalaries[[#This Row],[Years of Experience]]&gt;2,tblSalaries[[#This Row],[Years of Experience]]&lt;=5),1,""))</f>
        <v/>
      </c>
      <c r="P1577" t="str">
        <f>IF(tblSalaries[[#This Row],[Years of Experience]]="","",IF(AND(tblSalaries[[#This Row],[Years of Experience]]&gt;5,tblSalaries[[#This Row],[Years of Experience]]&lt;=10),1,""))</f>
        <v/>
      </c>
      <c r="Q1577" t="str">
        <f>IF(tblSalaries[[#This Row],[Years of Experience]]="","",IF(AND(tblSalaries[[#This Row],[Years of Experience]]&gt;10,tblSalaries[[#This Row],[Years of Experience]]&lt;=15),1,""))</f>
        <v/>
      </c>
      <c r="R1577" t="str">
        <f>IF(tblSalaries[[#This Row],[Years of Experience]]="","",IF(AND(tblSalaries[[#This Row],[Years of Experience]]&gt;16,tblSalaries[[#This Row],[Years of Experience]]&lt;=20),1,""))</f>
        <v/>
      </c>
      <c r="S1577" t="str">
        <f>IF(tblSalaries[[#This Row],[Years of Experience]]="","",IF(tblSalaries[[#This Row],[Years of Experience]]&gt;20,1,""))</f>
        <v/>
      </c>
      <c r="T15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77" s="13" t="str">
        <f>IF(tblSalaries[[#This Row],[Job Type]]=tblSalaries[[#Headers],[Accountant]],tblSalaries[[#This Row],[Salary in USD]],"")</f>
        <v/>
      </c>
      <c r="V1577" s="13">
        <f>IF(tblSalaries[[#This Row],[Job Type]]=tblSalaries[[#Headers],[Analyst]],tblSalaries[[#This Row],[Salary in USD]],"")</f>
        <v>38000</v>
      </c>
      <c r="W1577" s="13" t="str">
        <f>IF(tblSalaries[[#This Row],[Job Type]]=tblSalaries[[#Headers],[Consultant]],tblSalaries[[#This Row],[Salary in USD]],"")</f>
        <v/>
      </c>
      <c r="X1577" s="13" t="str">
        <f>IF(tblSalaries[[#This Row],[Job Type]]=tblSalaries[[#Headers],[Controller]],tblSalaries[[#This Row],[Salary in USD]],"")</f>
        <v/>
      </c>
      <c r="Y1577" s="13" t="str">
        <f>IF(tblSalaries[[#This Row],[Job Type]]=tblSalaries[[#Headers],[CXO or Top Mgmt.]],tblSalaries[[#This Row],[clean Salary (in local currency)]],"")</f>
        <v/>
      </c>
      <c r="Z1577" s="13" t="str">
        <f>IF(tblSalaries[[#This Row],[Job Type]]=tblSalaries[[#Headers],[Engineer]],tblSalaries[[#This Row],[Salary in USD]],"")</f>
        <v/>
      </c>
      <c r="AA1577" s="13" t="str">
        <f>IF(tblSalaries[[#This Row],[Job Type]]=tblSalaries[[#Headers],[Manager]],tblSalaries[[#This Row],[Salary in USD]],"")</f>
        <v/>
      </c>
      <c r="AB1577" s="13" t="str">
        <f>IF(tblSalaries[[#This Row],[Job Type]]=tblSalaries[[#Headers],[Misc.]],tblSalaries[[#This Row],[Salary in USD]],"")</f>
        <v/>
      </c>
      <c r="AC1577" s="13" t="str">
        <f>IF(tblSalaries[[#This Row],[Job Type]]=tblSalaries[[#Headers],[Reporting]],tblSalaries[[#This Row],[Salary in USD]],"")</f>
        <v/>
      </c>
      <c r="AD1577" s="13" t="str">
        <f>IF(tblSalaries[[#This Row],[Job Type]]=tblSalaries[[#Headers],[Specialist]],tblSalaries[[#This Row],[Salary in USD]],"")</f>
        <v/>
      </c>
    </row>
    <row r="1578" spans="2:30" ht="15" customHeight="1" x14ac:dyDescent="0.25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 s="9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  <c r="N1578">
        <f>IF(tblSalaries[[#This Row],[Years of Experience]]="","",IF(tblSalaries[[#This Row],[Years of Experience]]&lt;=2,1,""))</f>
        <v>1</v>
      </c>
      <c r="O1578" t="str">
        <f>IF(tblSalaries[[#This Row],[Years of Experience]]="","",IF(AND(tblSalaries[[#This Row],[Years of Experience]]&gt;2,tblSalaries[[#This Row],[Years of Experience]]&lt;=5),1,""))</f>
        <v/>
      </c>
      <c r="P1578" t="str">
        <f>IF(tblSalaries[[#This Row],[Years of Experience]]="","",IF(AND(tblSalaries[[#This Row],[Years of Experience]]&gt;5,tblSalaries[[#This Row],[Years of Experience]]&lt;=10),1,""))</f>
        <v/>
      </c>
      <c r="Q1578" t="str">
        <f>IF(tblSalaries[[#This Row],[Years of Experience]]="","",IF(AND(tblSalaries[[#This Row],[Years of Experience]]&gt;10,tblSalaries[[#This Row],[Years of Experience]]&lt;=15),1,""))</f>
        <v/>
      </c>
      <c r="R1578" t="str">
        <f>IF(tblSalaries[[#This Row],[Years of Experience]]="","",IF(AND(tblSalaries[[#This Row],[Years of Experience]]&gt;16,tblSalaries[[#This Row],[Years of Experience]]&lt;=20),1,""))</f>
        <v/>
      </c>
      <c r="S1578" t="str">
        <f>IF(tblSalaries[[#This Row],[Years of Experience]]="","",IF(tblSalaries[[#This Row],[Years of Experience]]&gt;20,1,""))</f>
        <v/>
      </c>
      <c r="T15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78" s="13" t="str">
        <f>IF(tblSalaries[[#This Row],[Job Type]]=tblSalaries[[#Headers],[Accountant]],tblSalaries[[#This Row],[Salary in USD]],"")</f>
        <v/>
      </c>
      <c r="V1578" s="13">
        <f>IF(tblSalaries[[#This Row],[Job Type]]=tblSalaries[[#Headers],[Analyst]],tblSalaries[[#This Row],[Salary in USD]],"")</f>
        <v>32054.250037396621</v>
      </c>
      <c r="W1578" s="13" t="str">
        <f>IF(tblSalaries[[#This Row],[Job Type]]=tblSalaries[[#Headers],[Consultant]],tblSalaries[[#This Row],[Salary in USD]],"")</f>
        <v/>
      </c>
      <c r="X1578" s="13" t="str">
        <f>IF(tblSalaries[[#This Row],[Job Type]]=tblSalaries[[#Headers],[Controller]],tblSalaries[[#This Row],[Salary in USD]],"")</f>
        <v/>
      </c>
      <c r="Y1578" s="13" t="str">
        <f>IF(tblSalaries[[#This Row],[Job Type]]=tblSalaries[[#Headers],[CXO or Top Mgmt.]],tblSalaries[[#This Row],[clean Salary (in local currency)]],"")</f>
        <v/>
      </c>
      <c r="Z1578" s="13" t="str">
        <f>IF(tblSalaries[[#This Row],[Job Type]]=tblSalaries[[#Headers],[Engineer]],tblSalaries[[#This Row],[Salary in USD]],"")</f>
        <v/>
      </c>
      <c r="AA1578" s="13" t="str">
        <f>IF(tblSalaries[[#This Row],[Job Type]]=tblSalaries[[#Headers],[Manager]],tblSalaries[[#This Row],[Salary in USD]],"")</f>
        <v/>
      </c>
      <c r="AB1578" s="13" t="str">
        <f>IF(tblSalaries[[#This Row],[Job Type]]=tblSalaries[[#Headers],[Misc.]],tblSalaries[[#This Row],[Salary in USD]],"")</f>
        <v/>
      </c>
      <c r="AC1578" s="13" t="str">
        <f>IF(tblSalaries[[#This Row],[Job Type]]=tblSalaries[[#Headers],[Reporting]],tblSalaries[[#This Row],[Salary in USD]],"")</f>
        <v/>
      </c>
      <c r="AD1578" s="13" t="str">
        <f>IF(tblSalaries[[#This Row],[Job Type]]=tblSalaries[[#Headers],[Specialist]],tblSalaries[[#This Row],[Salary in USD]],"")</f>
        <v/>
      </c>
    </row>
    <row r="1579" spans="2:30" ht="15" customHeight="1" x14ac:dyDescent="0.25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 s="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  <c r="N1579" t="str">
        <f>IF(tblSalaries[[#This Row],[Years of Experience]]="","",IF(tblSalaries[[#This Row],[Years of Experience]]&lt;=2,1,""))</f>
        <v/>
      </c>
      <c r="O1579" t="str">
        <f>IF(tblSalaries[[#This Row],[Years of Experience]]="","",IF(AND(tblSalaries[[#This Row],[Years of Experience]]&gt;2,tblSalaries[[#This Row],[Years of Experience]]&lt;=5),1,""))</f>
        <v/>
      </c>
      <c r="P1579" t="str">
        <f>IF(tblSalaries[[#This Row],[Years of Experience]]="","",IF(AND(tblSalaries[[#This Row],[Years of Experience]]&gt;5,tblSalaries[[#This Row],[Years of Experience]]&lt;=10),1,""))</f>
        <v/>
      </c>
      <c r="Q1579" t="str">
        <f>IF(tblSalaries[[#This Row],[Years of Experience]]="","",IF(AND(tblSalaries[[#This Row],[Years of Experience]]&gt;10,tblSalaries[[#This Row],[Years of Experience]]&lt;=15),1,""))</f>
        <v/>
      </c>
      <c r="R1579">
        <f>IF(tblSalaries[[#This Row],[Years of Experience]]="","",IF(AND(tblSalaries[[#This Row],[Years of Experience]]&gt;16,tblSalaries[[#This Row],[Years of Experience]]&lt;=20),1,""))</f>
        <v>1</v>
      </c>
      <c r="S1579" t="str">
        <f>IF(tblSalaries[[#This Row],[Years of Experience]]="","",IF(tblSalaries[[#This Row],[Years of Experience]]&gt;20,1,""))</f>
        <v/>
      </c>
      <c r="T15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579" s="13" t="str">
        <f>IF(tblSalaries[[#This Row],[Job Type]]=tblSalaries[[#Headers],[Accountant]],tblSalaries[[#This Row],[Salary in USD]],"")</f>
        <v/>
      </c>
      <c r="V1579" s="13">
        <f>IF(tblSalaries[[#This Row],[Job Type]]=tblSalaries[[#Headers],[Analyst]],tblSalaries[[#This Row],[Salary in USD]],"")</f>
        <v>35500</v>
      </c>
      <c r="W1579" s="13" t="str">
        <f>IF(tblSalaries[[#This Row],[Job Type]]=tblSalaries[[#Headers],[Consultant]],tblSalaries[[#This Row],[Salary in USD]],"")</f>
        <v/>
      </c>
      <c r="X1579" s="13" t="str">
        <f>IF(tblSalaries[[#This Row],[Job Type]]=tblSalaries[[#Headers],[Controller]],tblSalaries[[#This Row],[Salary in USD]],"")</f>
        <v/>
      </c>
      <c r="Y1579" s="13" t="str">
        <f>IF(tblSalaries[[#This Row],[Job Type]]=tblSalaries[[#Headers],[CXO or Top Mgmt.]],tblSalaries[[#This Row],[clean Salary (in local currency)]],"")</f>
        <v/>
      </c>
      <c r="Z1579" s="13" t="str">
        <f>IF(tblSalaries[[#This Row],[Job Type]]=tblSalaries[[#Headers],[Engineer]],tblSalaries[[#This Row],[Salary in USD]],"")</f>
        <v/>
      </c>
      <c r="AA1579" s="13" t="str">
        <f>IF(tblSalaries[[#This Row],[Job Type]]=tblSalaries[[#Headers],[Manager]],tblSalaries[[#This Row],[Salary in USD]],"")</f>
        <v/>
      </c>
      <c r="AB1579" s="13" t="str">
        <f>IF(tblSalaries[[#This Row],[Job Type]]=tblSalaries[[#Headers],[Misc.]],tblSalaries[[#This Row],[Salary in USD]],"")</f>
        <v/>
      </c>
      <c r="AC1579" s="13" t="str">
        <f>IF(tblSalaries[[#This Row],[Job Type]]=tblSalaries[[#Headers],[Reporting]],tblSalaries[[#This Row],[Salary in USD]],"")</f>
        <v/>
      </c>
      <c r="AD1579" s="13" t="str">
        <f>IF(tblSalaries[[#This Row],[Job Type]]=tblSalaries[[#Headers],[Specialist]],tblSalaries[[#This Row],[Salary in USD]],"")</f>
        <v/>
      </c>
    </row>
    <row r="1580" spans="2:30" ht="15" customHeight="1" x14ac:dyDescent="0.25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 s="9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  <c r="N1580" t="str">
        <f>IF(tblSalaries[[#This Row],[Years of Experience]]="","",IF(tblSalaries[[#This Row],[Years of Experience]]&lt;=2,1,""))</f>
        <v/>
      </c>
      <c r="O1580">
        <f>IF(tblSalaries[[#This Row],[Years of Experience]]="","",IF(AND(tblSalaries[[#This Row],[Years of Experience]]&gt;2,tblSalaries[[#This Row],[Years of Experience]]&lt;=5),1,""))</f>
        <v>1</v>
      </c>
      <c r="P1580" t="str">
        <f>IF(tblSalaries[[#This Row],[Years of Experience]]="","",IF(AND(tblSalaries[[#This Row],[Years of Experience]]&gt;5,tblSalaries[[#This Row],[Years of Experience]]&lt;=10),1,""))</f>
        <v/>
      </c>
      <c r="Q1580" t="str">
        <f>IF(tblSalaries[[#This Row],[Years of Experience]]="","",IF(AND(tblSalaries[[#This Row],[Years of Experience]]&gt;10,tblSalaries[[#This Row],[Years of Experience]]&lt;=15),1,""))</f>
        <v/>
      </c>
      <c r="R1580" t="str">
        <f>IF(tblSalaries[[#This Row],[Years of Experience]]="","",IF(AND(tblSalaries[[#This Row],[Years of Experience]]&gt;16,tblSalaries[[#This Row],[Years of Experience]]&lt;=20),1,""))</f>
        <v/>
      </c>
      <c r="S1580" t="str">
        <f>IF(tblSalaries[[#This Row],[Years of Experience]]="","",IF(tblSalaries[[#This Row],[Years of Experience]]&gt;20,1,""))</f>
        <v/>
      </c>
      <c r="T15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80" s="13" t="str">
        <f>IF(tblSalaries[[#This Row],[Job Type]]=tblSalaries[[#Headers],[Accountant]],tblSalaries[[#This Row],[Salary in USD]],"")</f>
        <v/>
      </c>
      <c r="V1580" s="13">
        <f>IF(tblSalaries[[#This Row],[Job Type]]=tblSalaries[[#Headers],[Analyst]],tblSalaries[[#This Row],[Salary in USD]],"")</f>
        <v>62000</v>
      </c>
      <c r="W1580" s="13" t="str">
        <f>IF(tblSalaries[[#This Row],[Job Type]]=tblSalaries[[#Headers],[Consultant]],tblSalaries[[#This Row],[Salary in USD]],"")</f>
        <v/>
      </c>
      <c r="X1580" s="13" t="str">
        <f>IF(tblSalaries[[#This Row],[Job Type]]=tblSalaries[[#Headers],[Controller]],tblSalaries[[#This Row],[Salary in USD]],"")</f>
        <v/>
      </c>
      <c r="Y1580" s="13" t="str">
        <f>IF(tblSalaries[[#This Row],[Job Type]]=tblSalaries[[#Headers],[CXO or Top Mgmt.]],tblSalaries[[#This Row],[clean Salary (in local currency)]],"")</f>
        <v/>
      </c>
      <c r="Z1580" s="13" t="str">
        <f>IF(tblSalaries[[#This Row],[Job Type]]=tblSalaries[[#Headers],[Engineer]],tblSalaries[[#This Row],[Salary in USD]],"")</f>
        <v/>
      </c>
      <c r="AA1580" s="13" t="str">
        <f>IF(tblSalaries[[#This Row],[Job Type]]=tblSalaries[[#Headers],[Manager]],tblSalaries[[#This Row],[Salary in USD]],"")</f>
        <v/>
      </c>
      <c r="AB1580" s="13" t="str">
        <f>IF(tblSalaries[[#This Row],[Job Type]]=tblSalaries[[#Headers],[Misc.]],tblSalaries[[#This Row],[Salary in USD]],"")</f>
        <v/>
      </c>
      <c r="AC1580" s="13" t="str">
        <f>IF(tblSalaries[[#This Row],[Job Type]]=tblSalaries[[#Headers],[Reporting]],tblSalaries[[#This Row],[Salary in USD]],"")</f>
        <v/>
      </c>
      <c r="AD1580" s="13" t="str">
        <f>IF(tblSalaries[[#This Row],[Job Type]]=tblSalaries[[#Headers],[Specialist]],tblSalaries[[#This Row],[Salary in USD]],"")</f>
        <v/>
      </c>
    </row>
    <row r="1581" spans="2:30" ht="15" customHeight="1" x14ac:dyDescent="0.25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 s="9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  <c r="N1581">
        <f>IF(tblSalaries[[#This Row],[Years of Experience]]="","",IF(tblSalaries[[#This Row],[Years of Experience]]&lt;=2,1,""))</f>
        <v>1</v>
      </c>
      <c r="O1581" t="str">
        <f>IF(tblSalaries[[#This Row],[Years of Experience]]="","",IF(AND(tblSalaries[[#This Row],[Years of Experience]]&gt;2,tblSalaries[[#This Row],[Years of Experience]]&lt;=5),1,""))</f>
        <v/>
      </c>
      <c r="P1581" t="str">
        <f>IF(tblSalaries[[#This Row],[Years of Experience]]="","",IF(AND(tblSalaries[[#This Row],[Years of Experience]]&gt;5,tblSalaries[[#This Row],[Years of Experience]]&lt;=10),1,""))</f>
        <v/>
      </c>
      <c r="Q1581" t="str">
        <f>IF(tblSalaries[[#This Row],[Years of Experience]]="","",IF(AND(tblSalaries[[#This Row],[Years of Experience]]&gt;10,tblSalaries[[#This Row],[Years of Experience]]&lt;=15),1,""))</f>
        <v/>
      </c>
      <c r="R1581" t="str">
        <f>IF(tblSalaries[[#This Row],[Years of Experience]]="","",IF(AND(tblSalaries[[#This Row],[Years of Experience]]&gt;16,tblSalaries[[#This Row],[Years of Experience]]&lt;=20),1,""))</f>
        <v/>
      </c>
      <c r="S1581" t="str">
        <f>IF(tblSalaries[[#This Row],[Years of Experience]]="","",IF(tblSalaries[[#This Row],[Years of Experience]]&gt;20,1,""))</f>
        <v/>
      </c>
      <c r="T15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81" s="13" t="str">
        <f>IF(tblSalaries[[#This Row],[Job Type]]=tblSalaries[[#Headers],[Accountant]],tblSalaries[[#This Row],[Salary in USD]],"")</f>
        <v/>
      </c>
      <c r="V1581" s="13">
        <f>IF(tblSalaries[[#This Row],[Job Type]]=tblSalaries[[#Headers],[Analyst]],tblSalaries[[#This Row],[Salary in USD]],"")</f>
        <v>33887.832849446611</v>
      </c>
      <c r="W1581" s="13" t="str">
        <f>IF(tblSalaries[[#This Row],[Job Type]]=tblSalaries[[#Headers],[Consultant]],tblSalaries[[#This Row],[Salary in USD]],"")</f>
        <v/>
      </c>
      <c r="X1581" s="13" t="str">
        <f>IF(tblSalaries[[#This Row],[Job Type]]=tblSalaries[[#Headers],[Controller]],tblSalaries[[#This Row],[Salary in USD]],"")</f>
        <v/>
      </c>
      <c r="Y1581" s="13" t="str">
        <f>IF(tblSalaries[[#This Row],[Job Type]]=tblSalaries[[#Headers],[CXO or Top Mgmt.]],tblSalaries[[#This Row],[clean Salary (in local currency)]],"")</f>
        <v/>
      </c>
      <c r="Z1581" s="13" t="str">
        <f>IF(tblSalaries[[#This Row],[Job Type]]=tblSalaries[[#Headers],[Engineer]],tblSalaries[[#This Row],[Salary in USD]],"")</f>
        <v/>
      </c>
      <c r="AA1581" s="13" t="str">
        <f>IF(tblSalaries[[#This Row],[Job Type]]=tblSalaries[[#Headers],[Manager]],tblSalaries[[#This Row],[Salary in USD]],"")</f>
        <v/>
      </c>
      <c r="AB1581" s="13" t="str">
        <f>IF(tblSalaries[[#This Row],[Job Type]]=tblSalaries[[#Headers],[Misc.]],tblSalaries[[#This Row],[Salary in USD]],"")</f>
        <v/>
      </c>
      <c r="AC1581" s="13" t="str">
        <f>IF(tblSalaries[[#This Row],[Job Type]]=tblSalaries[[#Headers],[Reporting]],tblSalaries[[#This Row],[Salary in USD]],"")</f>
        <v/>
      </c>
      <c r="AD1581" s="13" t="str">
        <f>IF(tblSalaries[[#This Row],[Job Type]]=tblSalaries[[#Headers],[Specialist]],tblSalaries[[#This Row],[Salary in USD]],"")</f>
        <v/>
      </c>
    </row>
    <row r="1582" spans="2:30" ht="15" customHeight="1" x14ac:dyDescent="0.25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 s="9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  <c r="N1582">
        <f>IF(tblSalaries[[#This Row],[Years of Experience]]="","",IF(tblSalaries[[#This Row],[Years of Experience]]&lt;=2,1,""))</f>
        <v>1</v>
      </c>
      <c r="O1582" t="str">
        <f>IF(tblSalaries[[#This Row],[Years of Experience]]="","",IF(AND(tblSalaries[[#This Row],[Years of Experience]]&gt;2,tblSalaries[[#This Row],[Years of Experience]]&lt;=5),1,""))</f>
        <v/>
      </c>
      <c r="P1582" t="str">
        <f>IF(tblSalaries[[#This Row],[Years of Experience]]="","",IF(AND(tblSalaries[[#This Row],[Years of Experience]]&gt;5,tblSalaries[[#This Row],[Years of Experience]]&lt;=10),1,""))</f>
        <v/>
      </c>
      <c r="Q1582" t="str">
        <f>IF(tblSalaries[[#This Row],[Years of Experience]]="","",IF(AND(tblSalaries[[#This Row],[Years of Experience]]&gt;10,tblSalaries[[#This Row],[Years of Experience]]&lt;=15),1,""))</f>
        <v/>
      </c>
      <c r="R1582" t="str">
        <f>IF(tblSalaries[[#This Row],[Years of Experience]]="","",IF(AND(tblSalaries[[#This Row],[Years of Experience]]&gt;16,tblSalaries[[#This Row],[Years of Experience]]&lt;=20),1,""))</f>
        <v/>
      </c>
      <c r="S1582" t="str">
        <f>IF(tblSalaries[[#This Row],[Years of Experience]]="","",IF(tblSalaries[[#This Row],[Years of Experience]]&gt;20,1,""))</f>
        <v/>
      </c>
      <c r="T15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82" s="13" t="str">
        <f>IF(tblSalaries[[#This Row],[Job Type]]=tblSalaries[[#Headers],[Accountant]],tblSalaries[[#This Row],[Salary in USD]],"")</f>
        <v/>
      </c>
      <c r="V1582" s="13">
        <f>IF(tblSalaries[[#This Row],[Job Type]]=tblSalaries[[#Headers],[Analyst]],tblSalaries[[#This Row],[Salary in USD]],"")</f>
        <v>60000</v>
      </c>
      <c r="W1582" s="13" t="str">
        <f>IF(tblSalaries[[#This Row],[Job Type]]=tblSalaries[[#Headers],[Consultant]],tblSalaries[[#This Row],[Salary in USD]],"")</f>
        <v/>
      </c>
      <c r="X1582" s="13" t="str">
        <f>IF(tblSalaries[[#This Row],[Job Type]]=tblSalaries[[#Headers],[Controller]],tblSalaries[[#This Row],[Salary in USD]],"")</f>
        <v/>
      </c>
      <c r="Y1582" s="13" t="str">
        <f>IF(tblSalaries[[#This Row],[Job Type]]=tblSalaries[[#Headers],[CXO or Top Mgmt.]],tblSalaries[[#This Row],[clean Salary (in local currency)]],"")</f>
        <v/>
      </c>
      <c r="Z1582" s="13" t="str">
        <f>IF(tblSalaries[[#This Row],[Job Type]]=tblSalaries[[#Headers],[Engineer]],tblSalaries[[#This Row],[Salary in USD]],"")</f>
        <v/>
      </c>
      <c r="AA1582" s="13" t="str">
        <f>IF(tblSalaries[[#This Row],[Job Type]]=tblSalaries[[#Headers],[Manager]],tblSalaries[[#This Row],[Salary in USD]],"")</f>
        <v/>
      </c>
      <c r="AB1582" s="13" t="str">
        <f>IF(tblSalaries[[#This Row],[Job Type]]=tblSalaries[[#Headers],[Misc.]],tblSalaries[[#This Row],[Salary in USD]],"")</f>
        <v/>
      </c>
      <c r="AC1582" s="13" t="str">
        <f>IF(tblSalaries[[#This Row],[Job Type]]=tblSalaries[[#Headers],[Reporting]],tblSalaries[[#This Row],[Salary in USD]],"")</f>
        <v/>
      </c>
      <c r="AD1582" s="13" t="str">
        <f>IF(tblSalaries[[#This Row],[Job Type]]=tblSalaries[[#Headers],[Specialist]],tblSalaries[[#This Row],[Salary in USD]],"")</f>
        <v/>
      </c>
    </row>
    <row r="1583" spans="2:30" ht="15" customHeight="1" x14ac:dyDescent="0.25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 s="9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  <c r="N1583" t="str">
        <f>IF(tblSalaries[[#This Row],[Years of Experience]]="","",IF(tblSalaries[[#This Row],[Years of Experience]]&lt;=2,1,""))</f>
        <v/>
      </c>
      <c r="O1583" t="str">
        <f>IF(tblSalaries[[#This Row],[Years of Experience]]="","",IF(AND(tblSalaries[[#This Row],[Years of Experience]]&gt;2,tblSalaries[[#This Row],[Years of Experience]]&lt;=5),1,""))</f>
        <v/>
      </c>
      <c r="P1583">
        <f>IF(tblSalaries[[#This Row],[Years of Experience]]="","",IF(AND(tblSalaries[[#This Row],[Years of Experience]]&gt;5,tblSalaries[[#This Row],[Years of Experience]]&lt;=10),1,""))</f>
        <v>1</v>
      </c>
      <c r="Q1583" t="str">
        <f>IF(tblSalaries[[#This Row],[Years of Experience]]="","",IF(AND(tblSalaries[[#This Row],[Years of Experience]]&gt;10,tblSalaries[[#This Row],[Years of Experience]]&lt;=15),1,""))</f>
        <v/>
      </c>
      <c r="R1583" t="str">
        <f>IF(tblSalaries[[#This Row],[Years of Experience]]="","",IF(AND(tblSalaries[[#This Row],[Years of Experience]]&gt;16,tblSalaries[[#This Row],[Years of Experience]]&lt;=20),1,""))</f>
        <v/>
      </c>
      <c r="S1583" t="str">
        <f>IF(tblSalaries[[#This Row],[Years of Experience]]="","",IF(tblSalaries[[#This Row],[Years of Experience]]&gt;20,1,""))</f>
        <v/>
      </c>
      <c r="T15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83" s="13" t="str">
        <f>IF(tblSalaries[[#This Row],[Job Type]]=tblSalaries[[#Headers],[Accountant]],tblSalaries[[#This Row],[Salary in USD]],"")</f>
        <v/>
      </c>
      <c r="V1583" s="13">
        <f>IF(tblSalaries[[#This Row],[Job Type]]=tblSalaries[[#Headers],[Analyst]],tblSalaries[[#This Row],[Salary in USD]],"")</f>
        <v>32884</v>
      </c>
      <c r="W1583" s="13" t="str">
        <f>IF(tblSalaries[[#This Row],[Job Type]]=tblSalaries[[#Headers],[Consultant]],tblSalaries[[#This Row],[Salary in USD]],"")</f>
        <v/>
      </c>
      <c r="X1583" s="13" t="str">
        <f>IF(tblSalaries[[#This Row],[Job Type]]=tblSalaries[[#Headers],[Controller]],tblSalaries[[#This Row],[Salary in USD]],"")</f>
        <v/>
      </c>
      <c r="Y1583" s="13" t="str">
        <f>IF(tblSalaries[[#This Row],[Job Type]]=tblSalaries[[#Headers],[CXO or Top Mgmt.]],tblSalaries[[#This Row],[clean Salary (in local currency)]],"")</f>
        <v/>
      </c>
      <c r="Z1583" s="13" t="str">
        <f>IF(tblSalaries[[#This Row],[Job Type]]=tblSalaries[[#Headers],[Engineer]],tblSalaries[[#This Row],[Salary in USD]],"")</f>
        <v/>
      </c>
      <c r="AA1583" s="13" t="str">
        <f>IF(tblSalaries[[#This Row],[Job Type]]=tblSalaries[[#Headers],[Manager]],tblSalaries[[#This Row],[Salary in USD]],"")</f>
        <v/>
      </c>
      <c r="AB1583" s="13" t="str">
        <f>IF(tblSalaries[[#This Row],[Job Type]]=tblSalaries[[#Headers],[Misc.]],tblSalaries[[#This Row],[Salary in USD]],"")</f>
        <v/>
      </c>
      <c r="AC1583" s="13" t="str">
        <f>IF(tblSalaries[[#This Row],[Job Type]]=tblSalaries[[#Headers],[Reporting]],tblSalaries[[#This Row],[Salary in USD]],"")</f>
        <v/>
      </c>
      <c r="AD1583" s="13" t="str">
        <f>IF(tblSalaries[[#This Row],[Job Type]]=tblSalaries[[#Headers],[Specialist]],tblSalaries[[#This Row],[Salary in USD]],"")</f>
        <v/>
      </c>
    </row>
    <row r="1584" spans="2:30" ht="15" customHeight="1" x14ac:dyDescent="0.25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 s="9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  <c r="N1584">
        <f>IF(tblSalaries[[#This Row],[Years of Experience]]="","",IF(tblSalaries[[#This Row],[Years of Experience]]&lt;=2,1,""))</f>
        <v>1</v>
      </c>
      <c r="O1584" t="str">
        <f>IF(tblSalaries[[#This Row],[Years of Experience]]="","",IF(AND(tblSalaries[[#This Row],[Years of Experience]]&gt;2,tblSalaries[[#This Row],[Years of Experience]]&lt;=5),1,""))</f>
        <v/>
      </c>
      <c r="P1584" t="str">
        <f>IF(tblSalaries[[#This Row],[Years of Experience]]="","",IF(AND(tblSalaries[[#This Row],[Years of Experience]]&gt;5,tblSalaries[[#This Row],[Years of Experience]]&lt;=10),1,""))</f>
        <v/>
      </c>
      <c r="Q1584" t="str">
        <f>IF(tblSalaries[[#This Row],[Years of Experience]]="","",IF(AND(tblSalaries[[#This Row],[Years of Experience]]&gt;10,tblSalaries[[#This Row],[Years of Experience]]&lt;=15),1,""))</f>
        <v/>
      </c>
      <c r="R1584" t="str">
        <f>IF(tblSalaries[[#This Row],[Years of Experience]]="","",IF(AND(tblSalaries[[#This Row],[Years of Experience]]&gt;16,tblSalaries[[#This Row],[Years of Experience]]&lt;=20),1,""))</f>
        <v/>
      </c>
      <c r="S1584" t="str">
        <f>IF(tblSalaries[[#This Row],[Years of Experience]]="","",IF(tblSalaries[[#This Row],[Years of Experience]]&gt;20,1,""))</f>
        <v/>
      </c>
      <c r="T15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84" s="13" t="str">
        <f>IF(tblSalaries[[#This Row],[Job Type]]=tblSalaries[[#Headers],[Accountant]],tblSalaries[[#This Row],[Salary in USD]],"")</f>
        <v/>
      </c>
      <c r="V1584" s="13">
        <f>IF(tblSalaries[[#This Row],[Job Type]]=tblSalaries[[#Headers],[Analyst]],tblSalaries[[#This Row],[Salary in USD]],"")</f>
        <v>42000</v>
      </c>
      <c r="W1584" s="13" t="str">
        <f>IF(tblSalaries[[#This Row],[Job Type]]=tblSalaries[[#Headers],[Consultant]],tblSalaries[[#This Row],[Salary in USD]],"")</f>
        <v/>
      </c>
      <c r="X1584" s="13" t="str">
        <f>IF(tblSalaries[[#This Row],[Job Type]]=tblSalaries[[#Headers],[Controller]],tblSalaries[[#This Row],[Salary in USD]],"")</f>
        <v/>
      </c>
      <c r="Y1584" s="13" t="str">
        <f>IF(tblSalaries[[#This Row],[Job Type]]=tblSalaries[[#Headers],[CXO or Top Mgmt.]],tblSalaries[[#This Row],[clean Salary (in local currency)]],"")</f>
        <v/>
      </c>
      <c r="Z1584" s="13" t="str">
        <f>IF(tblSalaries[[#This Row],[Job Type]]=tblSalaries[[#Headers],[Engineer]],tblSalaries[[#This Row],[Salary in USD]],"")</f>
        <v/>
      </c>
      <c r="AA1584" s="13" t="str">
        <f>IF(tblSalaries[[#This Row],[Job Type]]=tblSalaries[[#Headers],[Manager]],tblSalaries[[#This Row],[Salary in USD]],"")</f>
        <v/>
      </c>
      <c r="AB1584" s="13" t="str">
        <f>IF(tblSalaries[[#This Row],[Job Type]]=tblSalaries[[#Headers],[Misc.]],tblSalaries[[#This Row],[Salary in USD]],"")</f>
        <v/>
      </c>
      <c r="AC1584" s="13" t="str">
        <f>IF(tblSalaries[[#This Row],[Job Type]]=tblSalaries[[#Headers],[Reporting]],tblSalaries[[#This Row],[Salary in USD]],"")</f>
        <v/>
      </c>
      <c r="AD1584" s="13" t="str">
        <f>IF(tblSalaries[[#This Row],[Job Type]]=tblSalaries[[#Headers],[Specialist]],tblSalaries[[#This Row],[Salary in USD]],"")</f>
        <v/>
      </c>
    </row>
    <row r="1585" spans="2:30" ht="15" customHeight="1" x14ac:dyDescent="0.25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 s="9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  <c r="N1585" t="str">
        <f>IF(tblSalaries[[#This Row],[Years of Experience]]="","",IF(tblSalaries[[#This Row],[Years of Experience]]&lt;=2,1,""))</f>
        <v/>
      </c>
      <c r="O1585" t="str">
        <f>IF(tblSalaries[[#This Row],[Years of Experience]]="","",IF(AND(tblSalaries[[#This Row],[Years of Experience]]&gt;2,tblSalaries[[#This Row],[Years of Experience]]&lt;=5),1,""))</f>
        <v/>
      </c>
      <c r="P1585" t="str">
        <f>IF(tblSalaries[[#This Row],[Years of Experience]]="","",IF(AND(tblSalaries[[#This Row],[Years of Experience]]&gt;5,tblSalaries[[#This Row],[Years of Experience]]&lt;=10),1,""))</f>
        <v/>
      </c>
      <c r="Q1585">
        <f>IF(tblSalaries[[#This Row],[Years of Experience]]="","",IF(AND(tblSalaries[[#This Row],[Years of Experience]]&gt;10,tblSalaries[[#This Row],[Years of Experience]]&lt;=15),1,""))</f>
        <v>1</v>
      </c>
      <c r="R1585" t="str">
        <f>IF(tblSalaries[[#This Row],[Years of Experience]]="","",IF(AND(tblSalaries[[#This Row],[Years of Experience]]&gt;16,tblSalaries[[#This Row],[Years of Experience]]&lt;=20),1,""))</f>
        <v/>
      </c>
      <c r="S1585" t="str">
        <f>IF(tblSalaries[[#This Row],[Years of Experience]]="","",IF(tblSalaries[[#This Row],[Years of Experience]]&gt;20,1,""))</f>
        <v/>
      </c>
      <c r="T15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85" s="13" t="str">
        <f>IF(tblSalaries[[#This Row],[Job Type]]=tblSalaries[[#Headers],[Accountant]],tblSalaries[[#This Row],[Salary in USD]],"")</f>
        <v/>
      </c>
      <c r="V1585" s="13">
        <f>IF(tblSalaries[[#This Row],[Job Type]]=tblSalaries[[#Headers],[Analyst]],tblSalaries[[#This Row],[Salary in USD]],"")</f>
        <v>68000</v>
      </c>
      <c r="W1585" s="13" t="str">
        <f>IF(tblSalaries[[#This Row],[Job Type]]=tblSalaries[[#Headers],[Consultant]],tblSalaries[[#This Row],[Salary in USD]],"")</f>
        <v/>
      </c>
      <c r="X1585" s="13" t="str">
        <f>IF(tblSalaries[[#This Row],[Job Type]]=tblSalaries[[#Headers],[Controller]],tblSalaries[[#This Row],[Salary in USD]],"")</f>
        <v/>
      </c>
      <c r="Y1585" s="13" t="str">
        <f>IF(tblSalaries[[#This Row],[Job Type]]=tblSalaries[[#Headers],[CXO or Top Mgmt.]],tblSalaries[[#This Row],[clean Salary (in local currency)]],"")</f>
        <v/>
      </c>
      <c r="Z1585" s="13" t="str">
        <f>IF(tblSalaries[[#This Row],[Job Type]]=tblSalaries[[#Headers],[Engineer]],tblSalaries[[#This Row],[Salary in USD]],"")</f>
        <v/>
      </c>
      <c r="AA1585" s="13" t="str">
        <f>IF(tblSalaries[[#This Row],[Job Type]]=tblSalaries[[#Headers],[Manager]],tblSalaries[[#This Row],[Salary in USD]],"")</f>
        <v/>
      </c>
      <c r="AB1585" s="13" t="str">
        <f>IF(tblSalaries[[#This Row],[Job Type]]=tblSalaries[[#Headers],[Misc.]],tblSalaries[[#This Row],[Salary in USD]],"")</f>
        <v/>
      </c>
      <c r="AC1585" s="13" t="str">
        <f>IF(tblSalaries[[#This Row],[Job Type]]=tblSalaries[[#Headers],[Reporting]],tblSalaries[[#This Row],[Salary in USD]],"")</f>
        <v/>
      </c>
      <c r="AD1585" s="13" t="str">
        <f>IF(tblSalaries[[#This Row],[Job Type]]=tblSalaries[[#Headers],[Specialist]],tblSalaries[[#This Row],[Salary in USD]],"")</f>
        <v/>
      </c>
    </row>
    <row r="1586" spans="2:30" ht="15" customHeight="1" x14ac:dyDescent="0.25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 s="9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  <c r="N1586" t="str">
        <f>IF(tblSalaries[[#This Row],[Years of Experience]]="","",IF(tblSalaries[[#This Row],[Years of Experience]]&lt;=2,1,""))</f>
        <v/>
      </c>
      <c r="O1586" t="str">
        <f>IF(tblSalaries[[#This Row],[Years of Experience]]="","",IF(AND(tblSalaries[[#This Row],[Years of Experience]]&gt;2,tblSalaries[[#This Row],[Years of Experience]]&lt;=5),1,""))</f>
        <v/>
      </c>
      <c r="P1586">
        <f>IF(tblSalaries[[#This Row],[Years of Experience]]="","",IF(AND(tblSalaries[[#This Row],[Years of Experience]]&gt;5,tblSalaries[[#This Row],[Years of Experience]]&lt;=10),1,""))</f>
        <v>1</v>
      </c>
      <c r="Q1586" t="str">
        <f>IF(tblSalaries[[#This Row],[Years of Experience]]="","",IF(AND(tblSalaries[[#This Row],[Years of Experience]]&gt;10,tblSalaries[[#This Row],[Years of Experience]]&lt;=15),1,""))</f>
        <v/>
      </c>
      <c r="R1586" t="str">
        <f>IF(tblSalaries[[#This Row],[Years of Experience]]="","",IF(AND(tblSalaries[[#This Row],[Years of Experience]]&gt;16,tblSalaries[[#This Row],[Years of Experience]]&lt;=20),1,""))</f>
        <v/>
      </c>
      <c r="S1586" t="str">
        <f>IF(tblSalaries[[#This Row],[Years of Experience]]="","",IF(tblSalaries[[#This Row],[Years of Experience]]&gt;20,1,""))</f>
        <v/>
      </c>
      <c r="T15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86" s="13">
        <f>IF(tblSalaries[[#This Row],[Job Type]]=tblSalaries[[#Headers],[Accountant]],tblSalaries[[#This Row],[Salary in USD]],"")</f>
        <v>85000</v>
      </c>
      <c r="V1586" s="13" t="str">
        <f>IF(tblSalaries[[#This Row],[Job Type]]=tblSalaries[[#Headers],[Analyst]],tblSalaries[[#This Row],[Salary in USD]],"")</f>
        <v/>
      </c>
      <c r="W1586" s="13" t="str">
        <f>IF(tblSalaries[[#This Row],[Job Type]]=tblSalaries[[#Headers],[Consultant]],tblSalaries[[#This Row],[Salary in USD]],"")</f>
        <v/>
      </c>
      <c r="X1586" s="13" t="str">
        <f>IF(tblSalaries[[#This Row],[Job Type]]=tblSalaries[[#Headers],[Controller]],tblSalaries[[#This Row],[Salary in USD]],"")</f>
        <v/>
      </c>
      <c r="Y1586" s="13" t="str">
        <f>IF(tblSalaries[[#This Row],[Job Type]]=tblSalaries[[#Headers],[CXO or Top Mgmt.]],tblSalaries[[#This Row],[clean Salary (in local currency)]],"")</f>
        <v/>
      </c>
      <c r="Z1586" s="13" t="str">
        <f>IF(tblSalaries[[#This Row],[Job Type]]=tblSalaries[[#Headers],[Engineer]],tblSalaries[[#This Row],[Salary in USD]],"")</f>
        <v/>
      </c>
      <c r="AA1586" s="13" t="str">
        <f>IF(tblSalaries[[#This Row],[Job Type]]=tblSalaries[[#Headers],[Manager]],tblSalaries[[#This Row],[Salary in USD]],"")</f>
        <v/>
      </c>
      <c r="AB1586" s="13" t="str">
        <f>IF(tblSalaries[[#This Row],[Job Type]]=tblSalaries[[#Headers],[Misc.]],tblSalaries[[#This Row],[Salary in USD]],"")</f>
        <v/>
      </c>
      <c r="AC1586" s="13" t="str">
        <f>IF(tblSalaries[[#This Row],[Job Type]]=tblSalaries[[#Headers],[Reporting]],tblSalaries[[#This Row],[Salary in USD]],"")</f>
        <v/>
      </c>
      <c r="AD1586" s="13" t="str">
        <f>IF(tblSalaries[[#This Row],[Job Type]]=tblSalaries[[#Headers],[Specialist]],tblSalaries[[#This Row],[Salary in USD]],"")</f>
        <v/>
      </c>
    </row>
    <row r="1587" spans="2:30" ht="15" customHeight="1" x14ac:dyDescent="0.25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 s="9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  <c r="N1587" t="str">
        <f>IF(tblSalaries[[#This Row],[Years of Experience]]="","",IF(tblSalaries[[#This Row],[Years of Experience]]&lt;=2,1,""))</f>
        <v/>
      </c>
      <c r="O1587">
        <f>IF(tblSalaries[[#This Row],[Years of Experience]]="","",IF(AND(tblSalaries[[#This Row],[Years of Experience]]&gt;2,tblSalaries[[#This Row],[Years of Experience]]&lt;=5),1,""))</f>
        <v>1</v>
      </c>
      <c r="P1587" t="str">
        <f>IF(tblSalaries[[#This Row],[Years of Experience]]="","",IF(AND(tblSalaries[[#This Row],[Years of Experience]]&gt;5,tblSalaries[[#This Row],[Years of Experience]]&lt;=10),1,""))</f>
        <v/>
      </c>
      <c r="Q1587" t="str">
        <f>IF(tblSalaries[[#This Row],[Years of Experience]]="","",IF(AND(tblSalaries[[#This Row],[Years of Experience]]&gt;10,tblSalaries[[#This Row],[Years of Experience]]&lt;=15),1,""))</f>
        <v/>
      </c>
      <c r="R1587" t="str">
        <f>IF(tblSalaries[[#This Row],[Years of Experience]]="","",IF(AND(tblSalaries[[#This Row],[Years of Experience]]&gt;16,tblSalaries[[#This Row],[Years of Experience]]&lt;=20),1,""))</f>
        <v/>
      </c>
      <c r="S1587" t="str">
        <f>IF(tblSalaries[[#This Row],[Years of Experience]]="","",IF(tblSalaries[[#This Row],[Years of Experience]]&gt;20,1,""))</f>
        <v/>
      </c>
      <c r="T15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87" s="13" t="str">
        <f>IF(tblSalaries[[#This Row],[Job Type]]=tblSalaries[[#Headers],[Accountant]],tblSalaries[[#This Row],[Salary in USD]],"")</f>
        <v/>
      </c>
      <c r="V1587" s="13">
        <f>IF(tblSalaries[[#This Row],[Job Type]]=tblSalaries[[#Headers],[Analyst]],tblSalaries[[#This Row],[Salary in USD]],"")</f>
        <v>13000</v>
      </c>
      <c r="W1587" s="13" t="str">
        <f>IF(tblSalaries[[#This Row],[Job Type]]=tblSalaries[[#Headers],[Consultant]],tblSalaries[[#This Row],[Salary in USD]],"")</f>
        <v/>
      </c>
      <c r="X1587" s="13" t="str">
        <f>IF(tblSalaries[[#This Row],[Job Type]]=tblSalaries[[#Headers],[Controller]],tblSalaries[[#This Row],[Salary in USD]],"")</f>
        <v/>
      </c>
      <c r="Y1587" s="13" t="str">
        <f>IF(tblSalaries[[#This Row],[Job Type]]=tblSalaries[[#Headers],[CXO or Top Mgmt.]],tblSalaries[[#This Row],[clean Salary (in local currency)]],"")</f>
        <v/>
      </c>
      <c r="Z1587" s="13" t="str">
        <f>IF(tblSalaries[[#This Row],[Job Type]]=tblSalaries[[#Headers],[Engineer]],tblSalaries[[#This Row],[Salary in USD]],"")</f>
        <v/>
      </c>
      <c r="AA1587" s="13" t="str">
        <f>IF(tblSalaries[[#This Row],[Job Type]]=tblSalaries[[#Headers],[Manager]],tblSalaries[[#This Row],[Salary in USD]],"")</f>
        <v/>
      </c>
      <c r="AB1587" s="13" t="str">
        <f>IF(tblSalaries[[#This Row],[Job Type]]=tblSalaries[[#Headers],[Misc.]],tblSalaries[[#This Row],[Salary in USD]],"")</f>
        <v/>
      </c>
      <c r="AC1587" s="13" t="str">
        <f>IF(tblSalaries[[#This Row],[Job Type]]=tblSalaries[[#Headers],[Reporting]],tblSalaries[[#This Row],[Salary in USD]],"")</f>
        <v/>
      </c>
      <c r="AD1587" s="13" t="str">
        <f>IF(tblSalaries[[#This Row],[Job Type]]=tblSalaries[[#Headers],[Specialist]],tblSalaries[[#This Row],[Salary in USD]],"")</f>
        <v/>
      </c>
    </row>
    <row r="1588" spans="2:30" ht="15" customHeight="1" x14ac:dyDescent="0.25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 s="9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  <c r="N1588" t="str">
        <f>IF(tblSalaries[[#This Row],[Years of Experience]]="","",IF(tblSalaries[[#This Row],[Years of Experience]]&lt;=2,1,""))</f>
        <v/>
      </c>
      <c r="O1588">
        <f>IF(tblSalaries[[#This Row],[Years of Experience]]="","",IF(AND(tblSalaries[[#This Row],[Years of Experience]]&gt;2,tblSalaries[[#This Row],[Years of Experience]]&lt;=5),1,""))</f>
        <v>1</v>
      </c>
      <c r="P1588" t="str">
        <f>IF(tblSalaries[[#This Row],[Years of Experience]]="","",IF(AND(tblSalaries[[#This Row],[Years of Experience]]&gt;5,tblSalaries[[#This Row],[Years of Experience]]&lt;=10),1,""))</f>
        <v/>
      </c>
      <c r="Q1588" t="str">
        <f>IF(tblSalaries[[#This Row],[Years of Experience]]="","",IF(AND(tblSalaries[[#This Row],[Years of Experience]]&gt;10,tblSalaries[[#This Row],[Years of Experience]]&lt;=15),1,""))</f>
        <v/>
      </c>
      <c r="R1588" t="str">
        <f>IF(tblSalaries[[#This Row],[Years of Experience]]="","",IF(AND(tblSalaries[[#This Row],[Years of Experience]]&gt;16,tblSalaries[[#This Row],[Years of Experience]]&lt;=20),1,""))</f>
        <v/>
      </c>
      <c r="S1588" t="str">
        <f>IF(tblSalaries[[#This Row],[Years of Experience]]="","",IF(tblSalaries[[#This Row],[Years of Experience]]&gt;20,1,""))</f>
        <v/>
      </c>
      <c r="T15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88" s="13" t="str">
        <f>IF(tblSalaries[[#This Row],[Job Type]]=tblSalaries[[#Headers],[Accountant]],tblSalaries[[#This Row],[Salary in USD]],"")</f>
        <v/>
      </c>
      <c r="V1588" s="13">
        <f>IF(tblSalaries[[#This Row],[Job Type]]=tblSalaries[[#Headers],[Analyst]],tblSalaries[[#This Row],[Salary in USD]],"")</f>
        <v>15000</v>
      </c>
      <c r="W1588" s="13" t="str">
        <f>IF(tblSalaries[[#This Row],[Job Type]]=tblSalaries[[#Headers],[Consultant]],tblSalaries[[#This Row],[Salary in USD]],"")</f>
        <v/>
      </c>
      <c r="X1588" s="13" t="str">
        <f>IF(tblSalaries[[#This Row],[Job Type]]=tblSalaries[[#Headers],[Controller]],tblSalaries[[#This Row],[Salary in USD]],"")</f>
        <v/>
      </c>
      <c r="Y1588" s="13" t="str">
        <f>IF(tblSalaries[[#This Row],[Job Type]]=tblSalaries[[#Headers],[CXO or Top Mgmt.]],tblSalaries[[#This Row],[clean Salary (in local currency)]],"")</f>
        <v/>
      </c>
      <c r="Z1588" s="13" t="str">
        <f>IF(tblSalaries[[#This Row],[Job Type]]=tblSalaries[[#Headers],[Engineer]],tblSalaries[[#This Row],[Salary in USD]],"")</f>
        <v/>
      </c>
      <c r="AA1588" s="13" t="str">
        <f>IF(tblSalaries[[#This Row],[Job Type]]=tblSalaries[[#Headers],[Manager]],tblSalaries[[#This Row],[Salary in USD]],"")</f>
        <v/>
      </c>
      <c r="AB1588" s="13" t="str">
        <f>IF(tblSalaries[[#This Row],[Job Type]]=tblSalaries[[#Headers],[Misc.]],tblSalaries[[#This Row],[Salary in USD]],"")</f>
        <v/>
      </c>
      <c r="AC1588" s="13" t="str">
        <f>IF(tblSalaries[[#This Row],[Job Type]]=tblSalaries[[#Headers],[Reporting]],tblSalaries[[#This Row],[Salary in USD]],"")</f>
        <v/>
      </c>
      <c r="AD1588" s="13" t="str">
        <f>IF(tblSalaries[[#This Row],[Job Type]]=tblSalaries[[#Headers],[Specialist]],tblSalaries[[#This Row],[Salary in USD]],"")</f>
        <v/>
      </c>
    </row>
    <row r="1589" spans="2:30" ht="15" customHeight="1" x14ac:dyDescent="0.25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 s="9">
        <f>tblSalaries[[#This Row],[clean Salary (in local currency)]]*VLOOKUP(tblSalaries[[#This Row],[Currency]],tblXrate[],2,FALSE)</f>
        <v>50000</v>
      </c>
      <c r="H1589" t="s">
        <v>1762</v>
      </c>
      <c r="I1589" t="s">
        <v>4001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  <c r="N1589" t="str">
        <f>IF(tblSalaries[[#This Row],[Years of Experience]]="","",IF(tblSalaries[[#This Row],[Years of Experience]]&lt;=2,1,""))</f>
        <v/>
      </c>
      <c r="O1589" t="str">
        <f>IF(tblSalaries[[#This Row],[Years of Experience]]="","",IF(AND(tblSalaries[[#This Row],[Years of Experience]]&gt;2,tblSalaries[[#This Row],[Years of Experience]]&lt;=5),1,""))</f>
        <v/>
      </c>
      <c r="P1589">
        <f>IF(tblSalaries[[#This Row],[Years of Experience]]="","",IF(AND(tblSalaries[[#This Row],[Years of Experience]]&gt;5,tblSalaries[[#This Row],[Years of Experience]]&lt;=10),1,""))</f>
        <v>1</v>
      </c>
      <c r="Q1589" t="str">
        <f>IF(tblSalaries[[#This Row],[Years of Experience]]="","",IF(AND(tblSalaries[[#This Row],[Years of Experience]]&gt;10,tblSalaries[[#This Row],[Years of Experience]]&lt;=15),1,""))</f>
        <v/>
      </c>
      <c r="R1589" t="str">
        <f>IF(tblSalaries[[#This Row],[Years of Experience]]="","",IF(AND(tblSalaries[[#This Row],[Years of Experience]]&gt;16,tblSalaries[[#This Row],[Years of Experience]]&lt;=20),1,""))</f>
        <v/>
      </c>
      <c r="S1589" t="str">
        <f>IF(tblSalaries[[#This Row],[Years of Experience]]="","",IF(tblSalaries[[#This Row],[Years of Experience]]&gt;20,1,""))</f>
        <v/>
      </c>
      <c r="T15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89" s="13" t="str">
        <f>IF(tblSalaries[[#This Row],[Job Type]]=tblSalaries[[#Headers],[Accountant]],tblSalaries[[#This Row],[Salary in USD]],"")</f>
        <v/>
      </c>
      <c r="V1589" s="13" t="str">
        <f>IF(tblSalaries[[#This Row],[Job Type]]=tblSalaries[[#Headers],[Analyst]],tblSalaries[[#This Row],[Salary in USD]],"")</f>
        <v/>
      </c>
      <c r="W1589" s="13" t="str">
        <f>IF(tblSalaries[[#This Row],[Job Type]]=tblSalaries[[#Headers],[Consultant]],tblSalaries[[#This Row],[Salary in USD]],"")</f>
        <v/>
      </c>
      <c r="X1589" s="13" t="str">
        <f>IF(tblSalaries[[#This Row],[Job Type]]=tblSalaries[[#Headers],[Controller]],tblSalaries[[#This Row],[Salary in USD]],"")</f>
        <v/>
      </c>
      <c r="Y1589" s="13">
        <f>IF(tblSalaries[[#This Row],[Job Type]]=tblSalaries[[#Headers],[CXO or Top Mgmt.]],tblSalaries[[#This Row],[clean Salary (in local currency)]],"")</f>
        <v>50000</v>
      </c>
      <c r="Z1589" s="13" t="str">
        <f>IF(tblSalaries[[#This Row],[Job Type]]=tblSalaries[[#Headers],[Engineer]],tblSalaries[[#This Row],[Salary in USD]],"")</f>
        <v/>
      </c>
      <c r="AA1589" s="13" t="str">
        <f>IF(tblSalaries[[#This Row],[Job Type]]=tblSalaries[[#Headers],[Manager]],tblSalaries[[#This Row],[Salary in USD]],"")</f>
        <v/>
      </c>
      <c r="AB1589" s="13" t="str">
        <f>IF(tblSalaries[[#This Row],[Job Type]]=tblSalaries[[#Headers],[Misc.]],tblSalaries[[#This Row],[Salary in USD]],"")</f>
        <v/>
      </c>
      <c r="AC1589" s="13" t="str">
        <f>IF(tblSalaries[[#This Row],[Job Type]]=tblSalaries[[#Headers],[Reporting]],tblSalaries[[#This Row],[Salary in USD]],"")</f>
        <v/>
      </c>
      <c r="AD1589" s="13" t="str">
        <f>IF(tblSalaries[[#This Row],[Job Type]]=tblSalaries[[#Headers],[Specialist]],tblSalaries[[#This Row],[Salary in USD]],"")</f>
        <v/>
      </c>
    </row>
    <row r="1590" spans="2:30" ht="15" customHeight="1" x14ac:dyDescent="0.25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 s="9">
        <f>tblSalaries[[#This Row],[clean Salary (in local currency)]]*VLOOKUP(tblSalaries[[#This Row],[Currency]],tblXrate[],2,FALSE)</f>
        <v>7000</v>
      </c>
      <c r="H1590" t="s">
        <v>1763</v>
      </c>
      <c r="I1590" t="s">
        <v>3999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  <c r="N1590">
        <f>IF(tblSalaries[[#This Row],[Years of Experience]]="","",IF(tblSalaries[[#This Row],[Years of Experience]]&lt;=2,1,""))</f>
        <v>1</v>
      </c>
      <c r="O1590" t="str">
        <f>IF(tblSalaries[[#This Row],[Years of Experience]]="","",IF(AND(tblSalaries[[#This Row],[Years of Experience]]&gt;2,tblSalaries[[#This Row],[Years of Experience]]&lt;=5),1,""))</f>
        <v/>
      </c>
      <c r="P1590" t="str">
        <f>IF(tblSalaries[[#This Row],[Years of Experience]]="","",IF(AND(tblSalaries[[#This Row],[Years of Experience]]&gt;5,tblSalaries[[#This Row],[Years of Experience]]&lt;=10),1,""))</f>
        <v/>
      </c>
      <c r="Q1590" t="str">
        <f>IF(tblSalaries[[#This Row],[Years of Experience]]="","",IF(AND(tblSalaries[[#This Row],[Years of Experience]]&gt;10,tblSalaries[[#This Row],[Years of Experience]]&lt;=15),1,""))</f>
        <v/>
      </c>
      <c r="R1590" t="str">
        <f>IF(tblSalaries[[#This Row],[Years of Experience]]="","",IF(AND(tblSalaries[[#This Row],[Years of Experience]]&gt;16,tblSalaries[[#This Row],[Years of Experience]]&lt;=20),1,""))</f>
        <v/>
      </c>
      <c r="S1590" t="str">
        <f>IF(tblSalaries[[#This Row],[Years of Experience]]="","",IF(tblSalaries[[#This Row],[Years of Experience]]&gt;20,1,""))</f>
        <v/>
      </c>
      <c r="T15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90" s="13" t="str">
        <f>IF(tblSalaries[[#This Row],[Job Type]]=tblSalaries[[#Headers],[Accountant]],tblSalaries[[#This Row],[Salary in USD]],"")</f>
        <v/>
      </c>
      <c r="V1590" s="13" t="str">
        <f>IF(tblSalaries[[#This Row],[Job Type]]=tblSalaries[[#Headers],[Analyst]],tblSalaries[[#This Row],[Salary in USD]],"")</f>
        <v/>
      </c>
      <c r="W1590" s="13" t="str">
        <f>IF(tblSalaries[[#This Row],[Job Type]]=tblSalaries[[#Headers],[Consultant]],tblSalaries[[#This Row],[Salary in USD]],"")</f>
        <v/>
      </c>
      <c r="X1590" s="13" t="str">
        <f>IF(tblSalaries[[#This Row],[Job Type]]=tblSalaries[[#Headers],[Controller]],tblSalaries[[#This Row],[Salary in USD]],"")</f>
        <v/>
      </c>
      <c r="Y1590" s="13" t="str">
        <f>IF(tblSalaries[[#This Row],[Job Type]]=tblSalaries[[#Headers],[CXO or Top Mgmt.]],tblSalaries[[#This Row],[clean Salary (in local currency)]],"")</f>
        <v/>
      </c>
      <c r="Z1590" s="13" t="str">
        <f>IF(tblSalaries[[#This Row],[Job Type]]=tblSalaries[[#Headers],[Engineer]],tblSalaries[[#This Row],[Salary in USD]],"")</f>
        <v/>
      </c>
      <c r="AA1590" s="13" t="str">
        <f>IF(tblSalaries[[#This Row],[Job Type]]=tblSalaries[[#Headers],[Manager]],tblSalaries[[#This Row],[Salary in USD]],"")</f>
        <v/>
      </c>
      <c r="AB1590" s="13" t="str">
        <f>IF(tblSalaries[[#This Row],[Job Type]]=tblSalaries[[#Headers],[Misc.]],tblSalaries[[#This Row],[Salary in USD]],"")</f>
        <v/>
      </c>
      <c r="AC1590" s="13">
        <f>IF(tblSalaries[[#This Row],[Job Type]]=tblSalaries[[#Headers],[Reporting]],tblSalaries[[#This Row],[Salary in USD]],"")</f>
        <v>7000</v>
      </c>
      <c r="AD1590" s="13" t="str">
        <f>IF(tblSalaries[[#This Row],[Job Type]]=tblSalaries[[#Headers],[Specialist]],tblSalaries[[#This Row],[Salary in USD]],"")</f>
        <v/>
      </c>
    </row>
    <row r="1591" spans="2:30" ht="15" customHeight="1" x14ac:dyDescent="0.25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 s="9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  <c r="N1591" t="str">
        <f>IF(tblSalaries[[#This Row],[Years of Experience]]="","",IF(tblSalaries[[#This Row],[Years of Experience]]&lt;=2,1,""))</f>
        <v/>
      </c>
      <c r="O1591" t="str">
        <f>IF(tblSalaries[[#This Row],[Years of Experience]]="","",IF(AND(tblSalaries[[#This Row],[Years of Experience]]&gt;2,tblSalaries[[#This Row],[Years of Experience]]&lt;=5),1,""))</f>
        <v/>
      </c>
      <c r="P1591" t="str">
        <f>IF(tblSalaries[[#This Row],[Years of Experience]]="","",IF(AND(tblSalaries[[#This Row],[Years of Experience]]&gt;5,tblSalaries[[#This Row],[Years of Experience]]&lt;=10),1,""))</f>
        <v/>
      </c>
      <c r="Q1591">
        <f>IF(tblSalaries[[#This Row],[Years of Experience]]="","",IF(AND(tblSalaries[[#This Row],[Years of Experience]]&gt;10,tblSalaries[[#This Row],[Years of Experience]]&lt;=15),1,""))</f>
        <v>1</v>
      </c>
      <c r="R1591" t="str">
        <f>IF(tblSalaries[[#This Row],[Years of Experience]]="","",IF(AND(tblSalaries[[#This Row],[Years of Experience]]&gt;16,tblSalaries[[#This Row],[Years of Experience]]&lt;=20),1,""))</f>
        <v/>
      </c>
      <c r="S1591" t="str">
        <f>IF(tblSalaries[[#This Row],[Years of Experience]]="","",IF(tblSalaries[[#This Row],[Years of Experience]]&gt;20,1,""))</f>
        <v/>
      </c>
      <c r="T15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591" s="13" t="str">
        <f>IF(tblSalaries[[#This Row],[Job Type]]=tblSalaries[[#Headers],[Accountant]],tblSalaries[[#This Row],[Salary in USD]],"")</f>
        <v/>
      </c>
      <c r="V1591" s="13" t="str">
        <f>IF(tblSalaries[[#This Row],[Job Type]]=tblSalaries[[#Headers],[Analyst]],tblSalaries[[#This Row],[Salary in USD]],"")</f>
        <v/>
      </c>
      <c r="W1591" s="13" t="str">
        <f>IF(tblSalaries[[#This Row],[Job Type]]=tblSalaries[[#Headers],[Consultant]],tblSalaries[[#This Row],[Salary in USD]],"")</f>
        <v/>
      </c>
      <c r="X1591" s="13" t="str">
        <f>IF(tblSalaries[[#This Row],[Job Type]]=tblSalaries[[#Headers],[Controller]],tblSalaries[[#This Row],[Salary in USD]],"")</f>
        <v/>
      </c>
      <c r="Y1591" s="13" t="str">
        <f>IF(tblSalaries[[#This Row],[Job Type]]=tblSalaries[[#Headers],[CXO or Top Mgmt.]],tblSalaries[[#This Row],[clean Salary (in local currency)]],"")</f>
        <v/>
      </c>
      <c r="Z1591" s="13" t="str">
        <f>IF(tblSalaries[[#This Row],[Job Type]]=tblSalaries[[#Headers],[Engineer]],tblSalaries[[#This Row],[Salary in USD]],"")</f>
        <v/>
      </c>
      <c r="AA1591" s="13">
        <f>IF(tblSalaries[[#This Row],[Job Type]]=tblSalaries[[#Headers],[Manager]],tblSalaries[[#This Row],[Salary in USD]],"")</f>
        <v>140000</v>
      </c>
      <c r="AB1591" s="13" t="str">
        <f>IF(tblSalaries[[#This Row],[Job Type]]=tblSalaries[[#Headers],[Misc.]],tblSalaries[[#This Row],[Salary in USD]],"")</f>
        <v/>
      </c>
      <c r="AC1591" s="13" t="str">
        <f>IF(tblSalaries[[#This Row],[Job Type]]=tblSalaries[[#Headers],[Reporting]],tblSalaries[[#This Row],[Salary in USD]],"")</f>
        <v/>
      </c>
      <c r="AD1591" s="13" t="str">
        <f>IF(tblSalaries[[#This Row],[Job Type]]=tblSalaries[[#Headers],[Specialist]],tblSalaries[[#This Row],[Salary in USD]],"")</f>
        <v/>
      </c>
    </row>
    <row r="1592" spans="2:30" ht="15" customHeight="1" x14ac:dyDescent="0.25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 s="9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  <c r="N1592" t="str">
        <f>IF(tblSalaries[[#This Row],[Years of Experience]]="","",IF(tblSalaries[[#This Row],[Years of Experience]]&lt;=2,1,""))</f>
        <v/>
      </c>
      <c r="O1592">
        <f>IF(tblSalaries[[#This Row],[Years of Experience]]="","",IF(AND(tblSalaries[[#This Row],[Years of Experience]]&gt;2,tblSalaries[[#This Row],[Years of Experience]]&lt;=5),1,""))</f>
        <v>1</v>
      </c>
      <c r="P1592" t="str">
        <f>IF(tblSalaries[[#This Row],[Years of Experience]]="","",IF(AND(tblSalaries[[#This Row],[Years of Experience]]&gt;5,tblSalaries[[#This Row],[Years of Experience]]&lt;=10),1,""))</f>
        <v/>
      </c>
      <c r="Q1592" t="str">
        <f>IF(tblSalaries[[#This Row],[Years of Experience]]="","",IF(AND(tblSalaries[[#This Row],[Years of Experience]]&gt;10,tblSalaries[[#This Row],[Years of Experience]]&lt;=15),1,""))</f>
        <v/>
      </c>
      <c r="R1592" t="str">
        <f>IF(tblSalaries[[#This Row],[Years of Experience]]="","",IF(AND(tblSalaries[[#This Row],[Years of Experience]]&gt;16,tblSalaries[[#This Row],[Years of Experience]]&lt;=20),1,""))</f>
        <v/>
      </c>
      <c r="S1592" t="str">
        <f>IF(tblSalaries[[#This Row],[Years of Experience]]="","",IF(tblSalaries[[#This Row],[Years of Experience]]&gt;20,1,""))</f>
        <v/>
      </c>
      <c r="T15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92" s="13" t="str">
        <f>IF(tblSalaries[[#This Row],[Job Type]]=tblSalaries[[#Headers],[Accountant]],tblSalaries[[#This Row],[Salary in USD]],"")</f>
        <v/>
      </c>
      <c r="V1592" s="13">
        <f>IF(tblSalaries[[#This Row],[Job Type]]=tblSalaries[[#Headers],[Analyst]],tblSalaries[[#This Row],[Salary in USD]],"")</f>
        <v>7123.1666749770275</v>
      </c>
      <c r="W1592" s="13" t="str">
        <f>IF(tblSalaries[[#This Row],[Job Type]]=tblSalaries[[#Headers],[Consultant]],tblSalaries[[#This Row],[Salary in USD]],"")</f>
        <v/>
      </c>
      <c r="X1592" s="13" t="str">
        <f>IF(tblSalaries[[#This Row],[Job Type]]=tblSalaries[[#Headers],[Controller]],tblSalaries[[#This Row],[Salary in USD]],"")</f>
        <v/>
      </c>
      <c r="Y1592" s="13" t="str">
        <f>IF(tblSalaries[[#This Row],[Job Type]]=tblSalaries[[#Headers],[CXO or Top Mgmt.]],tblSalaries[[#This Row],[clean Salary (in local currency)]],"")</f>
        <v/>
      </c>
      <c r="Z1592" s="13" t="str">
        <f>IF(tblSalaries[[#This Row],[Job Type]]=tblSalaries[[#Headers],[Engineer]],tblSalaries[[#This Row],[Salary in USD]],"")</f>
        <v/>
      </c>
      <c r="AA1592" s="13" t="str">
        <f>IF(tblSalaries[[#This Row],[Job Type]]=tblSalaries[[#Headers],[Manager]],tblSalaries[[#This Row],[Salary in USD]],"")</f>
        <v/>
      </c>
      <c r="AB1592" s="13" t="str">
        <f>IF(tblSalaries[[#This Row],[Job Type]]=tblSalaries[[#Headers],[Misc.]],tblSalaries[[#This Row],[Salary in USD]],"")</f>
        <v/>
      </c>
      <c r="AC1592" s="13" t="str">
        <f>IF(tblSalaries[[#This Row],[Job Type]]=tblSalaries[[#Headers],[Reporting]],tblSalaries[[#This Row],[Salary in USD]],"")</f>
        <v/>
      </c>
      <c r="AD1592" s="13" t="str">
        <f>IF(tblSalaries[[#This Row],[Job Type]]=tblSalaries[[#Headers],[Specialist]],tblSalaries[[#This Row],[Salary in USD]],"")</f>
        <v/>
      </c>
    </row>
    <row r="1593" spans="2:30" ht="15" customHeight="1" x14ac:dyDescent="0.25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 s="9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  <c r="N1593" t="str">
        <f>IF(tblSalaries[[#This Row],[Years of Experience]]="","",IF(tblSalaries[[#This Row],[Years of Experience]]&lt;=2,1,""))</f>
        <v/>
      </c>
      <c r="O1593" t="str">
        <f>IF(tblSalaries[[#This Row],[Years of Experience]]="","",IF(AND(tblSalaries[[#This Row],[Years of Experience]]&gt;2,tblSalaries[[#This Row],[Years of Experience]]&lt;=5),1,""))</f>
        <v/>
      </c>
      <c r="P1593">
        <f>IF(tblSalaries[[#This Row],[Years of Experience]]="","",IF(AND(tblSalaries[[#This Row],[Years of Experience]]&gt;5,tblSalaries[[#This Row],[Years of Experience]]&lt;=10),1,""))</f>
        <v>1</v>
      </c>
      <c r="Q1593" t="str">
        <f>IF(tblSalaries[[#This Row],[Years of Experience]]="","",IF(AND(tblSalaries[[#This Row],[Years of Experience]]&gt;10,tblSalaries[[#This Row],[Years of Experience]]&lt;=15),1,""))</f>
        <v/>
      </c>
      <c r="R1593" t="str">
        <f>IF(tblSalaries[[#This Row],[Years of Experience]]="","",IF(AND(tblSalaries[[#This Row],[Years of Experience]]&gt;16,tblSalaries[[#This Row],[Years of Experience]]&lt;=20),1,""))</f>
        <v/>
      </c>
      <c r="S1593" t="str">
        <f>IF(tblSalaries[[#This Row],[Years of Experience]]="","",IF(tblSalaries[[#This Row],[Years of Experience]]&gt;20,1,""))</f>
        <v/>
      </c>
      <c r="T15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93" s="13" t="str">
        <f>IF(tblSalaries[[#This Row],[Job Type]]=tblSalaries[[#Headers],[Accountant]],tblSalaries[[#This Row],[Salary in USD]],"")</f>
        <v/>
      </c>
      <c r="V1593" s="13">
        <f>IF(tblSalaries[[#This Row],[Job Type]]=tblSalaries[[#Headers],[Analyst]],tblSalaries[[#This Row],[Salary in USD]],"")</f>
        <v>58318.59606648951</v>
      </c>
      <c r="W1593" s="13" t="str">
        <f>IF(tblSalaries[[#This Row],[Job Type]]=tblSalaries[[#Headers],[Consultant]],tblSalaries[[#This Row],[Salary in USD]],"")</f>
        <v/>
      </c>
      <c r="X1593" s="13" t="str">
        <f>IF(tblSalaries[[#This Row],[Job Type]]=tblSalaries[[#Headers],[Controller]],tblSalaries[[#This Row],[Salary in USD]],"")</f>
        <v/>
      </c>
      <c r="Y1593" s="13" t="str">
        <f>IF(tblSalaries[[#This Row],[Job Type]]=tblSalaries[[#Headers],[CXO or Top Mgmt.]],tblSalaries[[#This Row],[clean Salary (in local currency)]],"")</f>
        <v/>
      </c>
      <c r="Z1593" s="13" t="str">
        <f>IF(tblSalaries[[#This Row],[Job Type]]=tblSalaries[[#Headers],[Engineer]],tblSalaries[[#This Row],[Salary in USD]],"")</f>
        <v/>
      </c>
      <c r="AA1593" s="13" t="str">
        <f>IF(tblSalaries[[#This Row],[Job Type]]=tblSalaries[[#Headers],[Manager]],tblSalaries[[#This Row],[Salary in USD]],"")</f>
        <v/>
      </c>
      <c r="AB1593" s="13" t="str">
        <f>IF(tblSalaries[[#This Row],[Job Type]]=tblSalaries[[#Headers],[Misc.]],tblSalaries[[#This Row],[Salary in USD]],"")</f>
        <v/>
      </c>
      <c r="AC1593" s="13" t="str">
        <f>IF(tblSalaries[[#This Row],[Job Type]]=tblSalaries[[#Headers],[Reporting]],tblSalaries[[#This Row],[Salary in USD]],"")</f>
        <v/>
      </c>
      <c r="AD1593" s="13" t="str">
        <f>IF(tblSalaries[[#This Row],[Job Type]]=tblSalaries[[#Headers],[Specialist]],tblSalaries[[#This Row],[Salary in USD]],"")</f>
        <v/>
      </c>
    </row>
    <row r="1594" spans="2:30" ht="15" customHeight="1" x14ac:dyDescent="0.25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 s="9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  <c r="N1594">
        <f>IF(tblSalaries[[#This Row],[Years of Experience]]="","",IF(tblSalaries[[#This Row],[Years of Experience]]&lt;=2,1,""))</f>
        <v>1</v>
      </c>
      <c r="O1594" t="str">
        <f>IF(tblSalaries[[#This Row],[Years of Experience]]="","",IF(AND(tblSalaries[[#This Row],[Years of Experience]]&gt;2,tblSalaries[[#This Row],[Years of Experience]]&lt;=5),1,""))</f>
        <v/>
      </c>
      <c r="P1594" t="str">
        <f>IF(tblSalaries[[#This Row],[Years of Experience]]="","",IF(AND(tblSalaries[[#This Row],[Years of Experience]]&gt;5,tblSalaries[[#This Row],[Years of Experience]]&lt;=10),1,""))</f>
        <v/>
      </c>
      <c r="Q1594" t="str">
        <f>IF(tblSalaries[[#This Row],[Years of Experience]]="","",IF(AND(tblSalaries[[#This Row],[Years of Experience]]&gt;10,tblSalaries[[#This Row],[Years of Experience]]&lt;=15),1,""))</f>
        <v/>
      </c>
      <c r="R1594" t="str">
        <f>IF(tblSalaries[[#This Row],[Years of Experience]]="","",IF(AND(tblSalaries[[#This Row],[Years of Experience]]&gt;16,tblSalaries[[#This Row],[Years of Experience]]&lt;=20),1,""))</f>
        <v/>
      </c>
      <c r="S1594" t="str">
        <f>IF(tblSalaries[[#This Row],[Years of Experience]]="","",IF(tblSalaries[[#This Row],[Years of Experience]]&gt;20,1,""))</f>
        <v/>
      </c>
      <c r="T15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94" s="13" t="str">
        <f>IF(tblSalaries[[#This Row],[Job Type]]=tblSalaries[[#Headers],[Accountant]],tblSalaries[[#This Row],[Salary in USD]],"")</f>
        <v/>
      </c>
      <c r="V1594" s="13" t="str">
        <f>IF(tblSalaries[[#This Row],[Job Type]]=tblSalaries[[#Headers],[Analyst]],tblSalaries[[#This Row],[Salary in USD]],"")</f>
        <v/>
      </c>
      <c r="W1594" s="13" t="str">
        <f>IF(tblSalaries[[#This Row],[Job Type]]=tblSalaries[[#Headers],[Consultant]],tblSalaries[[#This Row],[Salary in USD]],"")</f>
        <v/>
      </c>
      <c r="X1594" s="13" t="str">
        <f>IF(tblSalaries[[#This Row],[Job Type]]=tblSalaries[[#Headers],[Controller]],tblSalaries[[#This Row],[Salary in USD]],"")</f>
        <v/>
      </c>
      <c r="Y1594" s="13" t="str">
        <f>IF(tblSalaries[[#This Row],[Job Type]]=tblSalaries[[#Headers],[CXO or Top Mgmt.]],tblSalaries[[#This Row],[clean Salary (in local currency)]],"")</f>
        <v/>
      </c>
      <c r="Z1594" s="13" t="str">
        <f>IF(tblSalaries[[#This Row],[Job Type]]=tblSalaries[[#Headers],[Engineer]],tblSalaries[[#This Row],[Salary in USD]],"")</f>
        <v/>
      </c>
      <c r="AA1594" s="13">
        <f>IF(tblSalaries[[#This Row],[Job Type]]=tblSalaries[[#Headers],[Manager]],tblSalaries[[#This Row],[Salary in USD]],"")</f>
        <v>12109.383347460946</v>
      </c>
      <c r="AB1594" s="13" t="str">
        <f>IF(tblSalaries[[#This Row],[Job Type]]=tblSalaries[[#Headers],[Misc.]],tblSalaries[[#This Row],[Salary in USD]],"")</f>
        <v/>
      </c>
      <c r="AC1594" s="13" t="str">
        <f>IF(tblSalaries[[#This Row],[Job Type]]=tblSalaries[[#Headers],[Reporting]],tblSalaries[[#This Row],[Salary in USD]],"")</f>
        <v/>
      </c>
      <c r="AD1594" s="13" t="str">
        <f>IF(tblSalaries[[#This Row],[Job Type]]=tblSalaries[[#Headers],[Specialist]],tblSalaries[[#This Row],[Salary in USD]],"")</f>
        <v/>
      </c>
    </row>
    <row r="1595" spans="2:30" ht="15" customHeight="1" x14ac:dyDescent="0.25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 s="9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  <c r="N1595">
        <f>IF(tblSalaries[[#This Row],[Years of Experience]]="","",IF(tblSalaries[[#This Row],[Years of Experience]]&lt;=2,1,""))</f>
        <v>1</v>
      </c>
      <c r="O1595" t="str">
        <f>IF(tblSalaries[[#This Row],[Years of Experience]]="","",IF(AND(tblSalaries[[#This Row],[Years of Experience]]&gt;2,tblSalaries[[#This Row],[Years of Experience]]&lt;=5),1,""))</f>
        <v/>
      </c>
      <c r="P1595" t="str">
        <f>IF(tblSalaries[[#This Row],[Years of Experience]]="","",IF(AND(tblSalaries[[#This Row],[Years of Experience]]&gt;5,tblSalaries[[#This Row],[Years of Experience]]&lt;=10),1,""))</f>
        <v/>
      </c>
      <c r="Q1595" t="str">
        <f>IF(tblSalaries[[#This Row],[Years of Experience]]="","",IF(AND(tblSalaries[[#This Row],[Years of Experience]]&gt;10,tblSalaries[[#This Row],[Years of Experience]]&lt;=15),1,""))</f>
        <v/>
      </c>
      <c r="R1595" t="str">
        <f>IF(tblSalaries[[#This Row],[Years of Experience]]="","",IF(AND(tblSalaries[[#This Row],[Years of Experience]]&gt;16,tblSalaries[[#This Row],[Years of Experience]]&lt;=20),1,""))</f>
        <v/>
      </c>
      <c r="S1595" t="str">
        <f>IF(tblSalaries[[#This Row],[Years of Experience]]="","",IF(tblSalaries[[#This Row],[Years of Experience]]&gt;20,1,""))</f>
        <v/>
      </c>
      <c r="T15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595" s="13" t="str">
        <f>IF(tblSalaries[[#This Row],[Job Type]]=tblSalaries[[#Headers],[Accountant]],tblSalaries[[#This Row],[Salary in USD]],"")</f>
        <v/>
      </c>
      <c r="V1595" s="13">
        <f>IF(tblSalaries[[#This Row],[Job Type]]=tblSalaries[[#Headers],[Analyst]],tblSalaries[[#This Row],[Salary in USD]],"")</f>
        <v>55000</v>
      </c>
      <c r="W1595" s="13" t="str">
        <f>IF(tblSalaries[[#This Row],[Job Type]]=tblSalaries[[#Headers],[Consultant]],tblSalaries[[#This Row],[Salary in USD]],"")</f>
        <v/>
      </c>
      <c r="X1595" s="13" t="str">
        <f>IF(tblSalaries[[#This Row],[Job Type]]=tblSalaries[[#Headers],[Controller]],tblSalaries[[#This Row],[Salary in USD]],"")</f>
        <v/>
      </c>
      <c r="Y1595" s="13" t="str">
        <f>IF(tblSalaries[[#This Row],[Job Type]]=tblSalaries[[#Headers],[CXO or Top Mgmt.]],tblSalaries[[#This Row],[clean Salary (in local currency)]],"")</f>
        <v/>
      </c>
      <c r="Z1595" s="13" t="str">
        <f>IF(tblSalaries[[#This Row],[Job Type]]=tblSalaries[[#Headers],[Engineer]],tblSalaries[[#This Row],[Salary in USD]],"")</f>
        <v/>
      </c>
      <c r="AA1595" s="13" t="str">
        <f>IF(tblSalaries[[#This Row],[Job Type]]=tblSalaries[[#Headers],[Manager]],tblSalaries[[#This Row],[Salary in USD]],"")</f>
        <v/>
      </c>
      <c r="AB1595" s="13" t="str">
        <f>IF(tblSalaries[[#This Row],[Job Type]]=tblSalaries[[#Headers],[Misc.]],tblSalaries[[#This Row],[Salary in USD]],"")</f>
        <v/>
      </c>
      <c r="AC1595" s="13" t="str">
        <f>IF(tblSalaries[[#This Row],[Job Type]]=tblSalaries[[#Headers],[Reporting]],tblSalaries[[#This Row],[Salary in USD]],"")</f>
        <v/>
      </c>
      <c r="AD1595" s="13" t="str">
        <f>IF(tblSalaries[[#This Row],[Job Type]]=tblSalaries[[#Headers],[Specialist]],tblSalaries[[#This Row],[Salary in USD]],"")</f>
        <v/>
      </c>
    </row>
    <row r="1596" spans="2:30" ht="15" customHeight="1" x14ac:dyDescent="0.25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 s="9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  <c r="N1596" t="str">
        <f>IF(tblSalaries[[#This Row],[Years of Experience]]="","",IF(tblSalaries[[#This Row],[Years of Experience]]&lt;=2,1,""))</f>
        <v/>
      </c>
      <c r="O1596" t="str">
        <f>IF(tblSalaries[[#This Row],[Years of Experience]]="","",IF(AND(tblSalaries[[#This Row],[Years of Experience]]&gt;2,tblSalaries[[#This Row],[Years of Experience]]&lt;=5),1,""))</f>
        <v/>
      </c>
      <c r="P1596" t="str">
        <f>IF(tblSalaries[[#This Row],[Years of Experience]]="","",IF(AND(tblSalaries[[#This Row],[Years of Experience]]&gt;5,tblSalaries[[#This Row],[Years of Experience]]&lt;=10),1,""))</f>
        <v/>
      </c>
      <c r="Q1596" t="str">
        <f>IF(tblSalaries[[#This Row],[Years of Experience]]="","",IF(AND(tblSalaries[[#This Row],[Years of Experience]]&gt;10,tblSalaries[[#This Row],[Years of Experience]]&lt;=15),1,""))</f>
        <v/>
      </c>
      <c r="R1596" t="str">
        <f>IF(tblSalaries[[#This Row],[Years of Experience]]="","",IF(AND(tblSalaries[[#This Row],[Years of Experience]]&gt;16,tblSalaries[[#This Row],[Years of Experience]]&lt;=20),1,""))</f>
        <v/>
      </c>
      <c r="S1596" t="str">
        <f>IF(tblSalaries[[#This Row],[Years of Experience]]="","",IF(tblSalaries[[#This Row],[Years of Experience]]&gt;20,1,""))</f>
        <v/>
      </c>
      <c r="T15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596" s="13" t="str">
        <f>IF(tblSalaries[[#This Row],[Job Type]]=tblSalaries[[#Headers],[Accountant]],tblSalaries[[#This Row],[Salary in USD]],"")</f>
        <v/>
      </c>
      <c r="V1596" s="13" t="str">
        <f>IF(tblSalaries[[#This Row],[Job Type]]=tblSalaries[[#Headers],[Analyst]],tblSalaries[[#This Row],[Salary in USD]],"")</f>
        <v/>
      </c>
      <c r="W1596" s="13" t="str">
        <f>IF(tblSalaries[[#This Row],[Job Type]]=tblSalaries[[#Headers],[Consultant]],tblSalaries[[#This Row],[Salary in USD]],"")</f>
        <v/>
      </c>
      <c r="X1596" s="13" t="str">
        <f>IF(tblSalaries[[#This Row],[Job Type]]=tblSalaries[[#Headers],[Controller]],tblSalaries[[#This Row],[Salary in USD]],"")</f>
        <v/>
      </c>
      <c r="Y1596" s="13" t="str">
        <f>IF(tblSalaries[[#This Row],[Job Type]]=tblSalaries[[#Headers],[CXO or Top Mgmt.]],tblSalaries[[#This Row],[clean Salary (in local currency)]],"")</f>
        <v/>
      </c>
      <c r="Z1596" s="13" t="str">
        <f>IF(tblSalaries[[#This Row],[Job Type]]=tblSalaries[[#Headers],[Engineer]],tblSalaries[[#This Row],[Salary in USD]],"")</f>
        <v/>
      </c>
      <c r="AA1596" s="13">
        <f>IF(tblSalaries[[#This Row],[Job Type]]=tblSalaries[[#Headers],[Manager]],tblSalaries[[#This Row],[Salary in USD]],"")</f>
        <v>60000</v>
      </c>
      <c r="AB1596" s="13" t="str">
        <f>IF(tblSalaries[[#This Row],[Job Type]]=tblSalaries[[#Headers],[Misc.]],tblSalaries[[#This Row],[Salary in USD]],"")</f>
        <v/>
      </c>
      <c r="AC1596" s="13" t="str">
        <f>IF(tblSalaries[[#This Row],[Job Type]]=tblSalaries[[#Headers],[Reporting]],tblSalaries[[#This Row],[Salary in USD]],"")</f>
        <v/>
      </c>
      <c r="AD1596" s="13" t="str">
        <f>IF(tblSalaries[[#This Row],[Job Type]]=tblSalaries[[#Headers],[Specialist]],tblSalaries[[#This Row],[Salary in USD]],"")</f>
        <v/>
      </c>
    </row>
    <row r="1597" spans="2:30" ht="15" customHeight="1" x14ac:dyDescent="0.25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 s="9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  <c r="N1597" t="str">
        <f>IF(tblSalaries[[#This Row],[Years of Experience]]="","",IF(tblSalaries[[#This Row],[Years of Experience]]&lt;=2,1,""))</f>
        <v/>
      </c>
      <c r="O1597">
        <f>IF(tblSalaries[[#This Row],[Years of Experience]]="","",IF(AND(tblSalaries[[#This Row],[Years of Experience]]&gt;2,tblSalaries[[#This Row],[Years of Experience]]&lt;=5),1,""))</f>
        <v>1</v>
      </c>
      <c r="P1597" t="str">
        <f>IF(tblSalaries[[#This Row],[Years of Experience]]="","",IF(AND(tblSalaries[[#This Row],[Years of Experience]]&gt;5,tblSalaries[[#This Row],[Years of Experience]]&lt;=10),1,""))</f>
        <v/>
      </c>
      <c r="Q1597" t="str">
        <f>IF(tblSalaries[[#This Row],[Years of Experience]]="","",IF(AND(tblSalaries[[#This Row],[Years of Experience]]&gt;10,tblSalaries[[#This Row],[Years of Experience]]&lt;=15),1,""))</f>
        <v/>
      </c>
      <c r="R1597" t="str">
        <f>IF(tblSalaries[[#This Row],[Years of Experience]]="","",IF(AND(tblSalaries[[#This Row],[Years of Experience]]&gt;16,tblSalaries[[#This Row],[Years of Experience]]&lt;=20),1,""))</f>
        <v/>
      </c>
      <c r="S1597" t="str">
        <f>IF(tblSalaries[[#This Row],[Years of Experience]]="","",IF(tblSalaries[[#This Row],[Years of Experience]]&gt;20,1,""))</f>
        <v/>
      </c>
      <c r="T15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97" s="13" t="str">
        <f>IF(tblSalaries[[#This Row],[Job Type]]=tblSalaries[[#Headers],[Accountant]],tblSalaries[[#This Row],[Salary in USD]],"")</f>
        <v/>
      </c>
      <c r="V1597" s="13" t="str">
        <f>IF(tblSalaries[[#This Row],[Job Type]]=tblSalaries[[#Headers],[Analyst]],tblSalaries[[#This Row],[Salary in USD]],"")</f>
        <v/>
      </c>
      <c r="W1597" s="13" t="str">
        <f>IF(tblSalaries[[#This Row],[Job Type]]=tblSalaries[[#Headers],[Consultant]],tblSalaries[[#This Row],[Salary in USD]],"")</f>
        <v/>
      </c>
      <c r="X1597" s="13" t="str">
        <f>IF(tblSalaries[[#This Row],[Job Type]]=tblSalaries[[#Headers],[Controller]],tblSalaries[[#This Row],[Salary in USD]],"")</f>
        <v/>
      </c>
      <c r="Y1597" s="13" t="str">
        <f>IF(tblSalaries[[#This Row],[Job Type]]=tblSalaries[[#Headers],[CXO or Top Mgmt.]],tblSalaries[[#This Row],[clean Salary (in local currency)]],"")</f>
        <v/>
      </c>
      <c r="Z1597" s="13" t="str">
        <f>IF(tblSalaries[[#This Row],[Job Type]]=tblSalaries[[#Headers],[Engineer]],tblSalaries[[#This Row],[Salary in USD]],"")</f>
        <v/>
      </c>
      <c r="AA1597" s="13">
        <f>IF(tblSalaries[[#This Row],[Job Type]]=tblSalaries[[#Headers],[Manager]],tblSalaries[[#This Row],[Salary in USD]],"")</f>
        <v>5698.5333399816218</v>
      </c>
      <c r="AB1597" s="13" t="str">
        <f>IF(tblSalaries[[#This Row],[Job Type]]=tblSalaries[[#Headers],[Misc.]],tblSalaries[[#This Row],[Salary in USD]],"")</f>
        <v/>
      </c>
      <c r="AC1597" s="13" t="str">
        <f>IF(tblSalaries[[#This Row],[Job Type]]=tblSalaries[[#Headers],[Reporting]],tblSalaries[[#This Row],[Salary in USD]],"")</f>
        <v/>
      </c>
      <c r="AD1597" s="13" t="str">
        <f>IF(tblSalaries[[#This Row],[Job Type]]=tblSalaries[[#Headers],[Specialist]],tblSalaries[[#This Row],[Salary in USD]],"")</f>
        <v/>
      </c>
    </row>
    <row r="1598" spans="2:30" ht="15" customHeight="1" x14ac:dyDescent="0.25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 s="9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  <c r="N1598" t="str">
        <f>IF(tblSalaries[[#This Row],[Years of Experience]]="","",IF(tblSalaries[[#This Row],[Years of Experience]]&lt;=2,1,""))</f>
        <v/>
      </c>
      <c r="O1598" t="str">
        <f>IF(tblSalaries[[#This Row],[Years of Experience]]="","",IF(AND(tblSalaries[[#This Row],[Years of Experience]]&gt;2,tblSalaries[[#This Row],[Years of Experience]]&lt;=5),1,""))</f>
        <v/>
      </c>
      <c r="P1598">
        <f>IF(tblSalaries[[#This Row],[Years of Experience]]="","",IF(AND(tblSalaries[[#This Row],[Years of Experience]]&gt;5,tblSalaries[[#This Row],[Years of Experience]]&lt;=10),1,""))</f>
        <v>1</v>
      </c>
      <c r="Q1598" t="str">
        <f>IF(tblSalaries[[#This Row],[Years of Experience]]="","",IF(AND(tblSalaries[[#This Row],[Years of Experience]]&gt;10,tblSalaries[[#This Row],[Years of Experience]]&lt;=15),1,""))</f>
        <v/>
      </c>
      <c r="R1598" t="str">
        <f>IF(tblSalaries[[#This Row],[Years of Experience]]="","",IF(AND(tblSalaries[[#This Row],[Years of Experience]]&gt;16,tblSalaries[[#This Row],[Years of Experience]]&lt;=20),1,""))</f>
        <v/>
      </c>
      <c r="S1598" t="str">
        <f>IF(tblSalaries[[#This Row],[Years of Experience]]="","",IF(tblSalaries[[#This Row],[Years of Experience]]&gt;20,1,""))</f>
        <v/>
      </c>
      <c r="T15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598" s="13" t="str">
        <f>IF(tblSalaries[[#This Row],[Job Type]]=tblSalaries[[#Headers],[Accountant]],tblSalaries[[#This Row],[Salary in USD]],"")</f>
        <v/>
      </c>
      <c r="V1598" s="13" t="str">
        <f>IF(tblSalaries[[#This Row],[Job Type]]=tblSalaries[[#Headers],[Analyst]],tblSalaries[[#This Row],[Salary in USD]],"")</f>
        <v/>
      </c>
      <c r="W1598" s="13" t="str">
        <f>IF(tblSalaries[[#This Row],[Job Type]]=tblSalaries[[#Headers],[Consultant]],tblSalaries[[#This Row],[Salary in USD]],"")</f>
        <v/>
      </c>
      <c r="X1598" s="13" t="str">
        <f>IF(tblSalaries[[#This Row],[Job Type]]=tblSalaries[[#Headers],[Controller]],tblSalaries[[#This Row],[Salary in USD]],"")</f>
        <v/>
      </c>
      <c r="Y1598" s="13" t="str">
        <f>IF(tblSalaries[[#This Row],[Job Type]]=tblSalaries[[#Headers],[CXO or Top Mgmt.]],tblSalaries[[#This Row],[clean Salary (in local currency)]],"")</f>
        <v/>
      </c>
      <c r="Z1598" s="13">
        <f>IF(tblSalaries[[#This Row],[Job Type]]=tblSalaries[[#Headers],[Engineer]],tblSalaries[[#This Row],[Salary in USD]],"")</f>
        <v>9376.2513877177607</v>
      </c>
      <c r="AA1598" s="13" t="str">
        <f>IF(tblSalaries[[#This Row],[Job Type]]=tblSalaries[[#Headers],[Manager]],tblSalaries[[#This Row],[Salary in USD]],"")</f>
        <v/>
      </c>
      <c r="AB1598" s="13" t="str">
        <f>IF(tblSalaries[[#This Row],[Job Type]]=tblSalaries[[#Headers],[Misc.]],tblSalaries[[#This Row],[Salary in USD]],"")</f>
        <v/>
      </c>
      <c r="AC1598" s="13" t="str">
        <f>IF(tblSalaries[[#This Row],[Job Type]]=tblSalaries[[#Headers],[Reporting]],tblSalaries[[#This Row],[Salary in USD]],"")</f>
        <v/>
      </c>
      <c r="AD1598" s="13" t="str">
        <f>IF(tblSalaries[[#This Row],[Job Type]]=tblSalaries[[#Headers],[Specialist]],tblSalaries[[#This Row],[Salary in USD]],"")</f>
        <v/>
      </c>
    </row>
    <row r="1599" spans="2:30" ht="15" customHeight="1" x14ac:dyDescent="0.25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 s="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  <c r="N1599" t="str">
        <f>IF(tblSalaries[[#This Row],[Years of Experience]]="","",IF(tblSalaries[[#This Row],[Years of Experience]]&lt;=2,1,""))</f>
        <v/>
      </c>
      <c r="O1599">
        <f>IF(tblSalaries[[#This Row],[Years of Experience]]="","",IF(AND(tblSalaries[[#This Row],[Years of Experience]]&gt;2,tblSalaries[[#This Row],[Years of Experience]]&lt;=5),1,""))</f>
        <v>1</v>
      </c>
      <c r="P1599" t="str">
        <f>IF(tblSalaries[[#This Row],[Years of Experience]]="","",IF(AND(tblSalaries[[#This Row],[Years of Experience]]&gt;5,tblSalaries[[#This Row],[Years of Experience]]&lt;=10),1,""))</f>
        <v/>
      </c>
      <c r="Q1599" t="str">
        <f>IF(tblSalaries[[#This Row],[Years of Experience]]="","",IF(AND(tblSalaries[[#This Row],[Years of Experience]]&gt;10,tblSalaries[[#This Row],[Years of Experience]]&lt;=15),1,""))</f>
        <v/>
      </c>
      <c r="R1599" t="str">
        <f>IF(tblSalaries[[#This Row],[Years of Experience]]="","",IF(AND(tblSalaries[[#This Row],[Years of Experience]]&gt;16,tblSalaries[[#This Row],[Years of Experience]]&lt;=20),1,""))</f>
        <v/>
      </c>
      <c r="S1599" t="str">
        <f>IF(tblSalaries[[#This Row],[Years of Experience]]="","",IF(tblSalaries[[#This Row],[Years of Experience]]&gt;20,1,""))</f>
        <v/>
      </c>
      <c r="T15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599" s="13" t="str">
        <f>IF(tblSalaries[[#This Row],[Job Type]]=tblSalaries[[#Headers],[Accountant]],tblSalaries[[#This Row],[Salary in USD]],"")</f>
        <v/>
      </c>
      <c r="V1599" s="13">
        <f>IF(tblSalaries[[#This Row],[Job Type]]=tblSalaries[[#Headers],[Analyst]],tblSalaries[[#This Row],[Salary in USD]],"")</f>
        <v>94570.696324037053</v>
      </c>
      <c r="W1599" s="13" t="str">
        <f>IF(tblSalaries[[#This Row],[Job Type]]=tblSalaries[[#Headers],[Consultant]],tblSalaries[[#This Row],[Salary in USD]],"")</f>
        <v/>
      </c>
      <c r="X1599" s="13" t="str">
        <f>IF(tblSalaries[[#This Row],[Job Type]]=tblSalaries[[#Headers],[Controller]],tblSalaries[[#This Row],[Salary in USD]],"")</f>
        <v/>
      </c>
      <c r="Y1599" s="13" t="str">
        <f>IF(tblSalaries[[#This Row],[Job Type]]=tblSalaries[[#Headers],[CXO or Top Mgmt.]],tblSalaries[[#This Row],[clean Salary (in local currency)]],"")</f>
        <v/>
      </c>
      <c r="Z1599" s="13" t="str">
        <f>IF(tblSalaries[[#This Row],[Job Type]]=tblSalaries[[#Headers],[Engineer]],tblSalaries[[#This Row],[Salary in USD]],"")</f>
        <v/>
      </c>
      <c r="AA1599" s="13" t="str">
        <f>IF(tblSalaries[[#This Row],[Job Type]]=tblSalaries[[#Headers],[Manager]],tblSalaries[[#This Row],[Salary in USD]],"")</f>
        <v/>
      </c>
      <c r="AB1599" s="13" t="str">
        <f>IF(tblSalaries[[#This Row],[Job Type]]=tblSalaries[[#Headers],[Misc.]],tblSalaries[[#This Row],[Salary in USD]],"")</f>
        <v/>
      </c>
      <c r="AC1599" s="13" t="str">
        <f>IF(tblSalaries[[#This Row],[Job Type]]=tblSalaries[[#Headers],[Reporting]],tblSalaries[[#This Row],[Salary in USD]],"")</f>
        <v/>
      </c>
      <c r="AD1599" s="13" t="str">
        <f>IF(tblSalaries[[#This Row],[Job Type]]=tblSalaries[[#Headers],[Specialist]],tblSalaries[[#This Row],[Salary in USD]],"")</f>
        <v/>
      </c>
    </row>
    <row r="1600" spans="2:30" ht="15" customHeight="1" x14ac:dyDescent="0.25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 s="9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  <c r="N1600" t="str">
        <f>IF(tblSalaries[[#This Row],[Years of Experience]]="","",IF(tblSalaries[[#This Row],[Years of Experience]]&lt;=2,1,""))</f>
        <v/>
      </c>
      <c r="O1600">
        <f>IF(tblSalaries[[#This Row],[Years of Experience]]="","",IF(AND(tblSalaries[[#This Row],[Years of Experience]]&gt;2,tblSalaries[[#This Row],[Years of Experience]]&lt;=5),1,""))</f>
        <v>1</v>
      </c>
      <c r="P1600" t="str">
        <f>IF(tblSalaries[[#This Row],[Years of Experience]]="","",IF(AND(tblSalaries[[#This Row],[Years of Experience]]&gt;5,tblSalaries[[#This Row],[Years of Experience]]&lt;=10),1,""))</f>
        <v/>
      </c>
      <c r="Q1600" t="str">
        <f>IF(tblSalaries[[#This Row],[Years of Experience]]="","",IF(AND(tblSalaries[[#This Row],[Years of Experience]]&gt;10,tblSalaries[[#This Row],[Years of Experience]]&lt;=15),1,""))</f>
        <v/>
      </c>
      <c r="R1600" t="str">
        <f>IF(tblSalaries[[#This Row],[Years of Experience]]="","",IF(AND(tblSalaries[[#This Row],[Years of Experience]]&gt;16,tblSalaries[[#This Row],[Years of Experience]]&lt;=20),1,""))</f>
        <v/>
      </c>
      <c r="S1600" t="str">
        <f>IF(tblSalaries[[#This Row],[Years of Experience]]="","",IF(tblSalaries[[#This Row],[Years of Experience]]&gt;20,1,""))</f>
        <v/>
      </c>
      <c r="T16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00" s="13" t="str">
        <f>IF(tblSalaries[[#This Row],[Job Type]]=tblSalaries[[#Headers],[Accountant]],tblSalaries[[#This Row],[Salary in USD]],"")</f>
        <v/>
      </c>
      <c r="V1600" s="13" t="str">
        <f>IF(tblSalaries[[#This Row],[Job Type]]=tblSalaries[[#Headers],[Analyst]],tblSalaries[[#This Row],[Salary in USD]],"")</f>
        <v/>
      </c>
      <c r="W1600" s="13">
        <f>IF(tblSalaries[[#This Row],[Job Type]]=tblSalaries[[#Headers],[Consultant]],tblSalaries[[#This Row],[Salary in USD]],"")</f>
        <v>36000</v>
      </c>
      <c r="X1600" s="13" t="str">
        <f>IF(tblSalaries[[#This Row],[Job Type]]=tblSalaries[[#Headers],[Controller]],tblSalaries[[#This Row],[Salary in USD]],"")</f>
        <v/>
      </c>
      <c r="Y1600" s="13" t="str">
        <f>IF(tblSalaries[[#This Row],[Job Type]]=tblSalaries[[#Headers],[CXO or Top Mgmt.]],tblSalaries[[#This Row],[clean Salary (in local currency)]],"")</f>
        <v/>
      </c>
      <c r="Z1600" s="13" t="str">
        <f>IF(tblSalaries[[#This Row],[Job Type]]=tblSalaries[[#Headers],[Engineer]],tblSalaries[[#This Row],[Salary in USD]],"")</f>
        <v/>
      </c>
      <c r="AA1600" s="13" t="str">
        <f>IF(tblSalaries[[#This Row],[Job Type]]=tblSalaries[[#Headers],[Manager]],tblSalaries[[#This Row],[Salary in USD]],"")</f>
        <v/>
      </c>
      <c r="AB1600" s="13" t="str">
        <f>IF(tblSalaries[[#This Row],[Job Type]]=tblSalaries[[#Headers],[Misc.]],tblSalaries[[#This Row],[Salary in USD]],"")</f>
        <v/>
      </c>
      <c r="AC1600" s="13" t="str">
        <f>IF(tblSalaries[[#This Row],[Job Type]]=tblSalaries[[#Headers],[Reporting]],tblSalaries[[#This Row],[Salary in USD]],"")</f>
        <v/>
      </c>
      <c r="AD1600" s="13" t="str">
        <f>IF(tblSalaries[[#This Row],[Job Type]]=tblSalaries[[#Headers],[Specialist]],tblSalaries[[#This Row],[Salary in USD]],"")</f>
        <v/>
      </c>
    </row>
    <row r="1601" spans="2:30" ht="15" customHeight="1" x14ac:dyDescent="0.25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 s="9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  <c r="N1601" t="str">
        <f>IF(tblSalaries[[#This Row],[Years of Experience]]="","",IF(tblSalaries[[#This Row],[Years of Experience]]&lt;=2,1,""))</f>
        <v/>
      </c>
      <c r="O1601">
        <f>IF(tblSalaries[[#This Row],[Years of Experience]]="","",IF(AND(tblSalaries[[#This Row],[Years of Experience]]&gt;2,tblSalaries[[#This Row],[Years of Experience]]&lt;=5),1,""))</f>
        <v>1</v>
      </c>
      <c r="P1601" t="str">
        <f>IF(tblSalaries[[#This Row],[Years of Experience]]="","",IF(AND(tblSalaries[[#This Row],[Years of Experience]]&gt;5,tblSalaries[[#This Row],[Years of Experience]]&lt;=10),1,""))</f>
        <v/>
      </c>
      <c r="Q1601" t="str">
        <f>IF(tblSalaries[[#This Row],[Years of Experience]]="","",IF(AND(tblSalaries[[#This Row],[Years of Experience]]&gt;10,tblSalaries[[#This Row],[Years of Experience]]&lt;=15),1,""))</f>
        <v/>
      </c>
      <c r="R1601" t="str">
        <f>IF(tblSalaries[[#This Row],[Years of Experience]]="","",IF(AND(tblSalaries[[#This Row],[Years of Experience]]&gt;16,tblSalaries[[#This Row],[Years of Experience]]&lt;=20),1,""))</f>
        <v/>
      </c>
      <c r="S1601" t="str">
        <f>IF(tblSalaries[[#This Row],[Years of Experience]]="","",IF(tblSalaries[[#This Row],[Years of Experience]]&gt;20,1,""))</f>
        <v/>
      </c>
      <c r="T16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01" s="13" t="str">
        <f>IF(tblSalaries[[#This Row],[Job Type]]=tblSalaries[[#Headers],[Accountant]],tblSalaries[[#This Row],[Salary in USD]],"")</f>
        <v/>
      </c>
      <c r="V1601" s="13" t="str">
        <f>IF(tblSalaries[[#This Row],[Job Type]]=tblSalaries[[#Headers],[Analyst]],tblSalaries[[#This Row],[Salary in USD]],"")</f>
        <v/>
      </c>
      <c r="W1601" s="13" t="str">
        <f>IF(tblSalaries[[#This Row],[Job Type]]=tblSalaries[[#Headers],[Consultant]],tblSalaries[[#This Row],[Salary in USD]],"")</f>
        <v/>
      </c>
      <c r="X1601" s="13" t="str">
        <f>IF(tblSalaries[[#This Row],[Job Type]]=tblSalaries[[#Headers],[Controller]],tblSalaries[[#This Row],[Salary in USD]],"")</f>
        <v/>
      </c>
      <c r="Y1601" s="13" t="str">
        <f>IF(tblSalaries[[#This Row],[Job Type]]=tblSalaries[[#Headers],[CXO or Top Mgmt.]],tblSalaries[[#This Row],[clean Salary (in local currency)]],"")</f>
        <v/>
      </c>
      <c r="Z1601" s="13" t="str">
        <f>IF(tblSalaries[[#This Row],[Job Type]]=tblSalaries[[#Headers],[Engineer]],tblSalaries[[#This Row],[Salary in USD]],"")</f>
        <v/>
      </c>
      <c r="AA1601" s="13">
        <f>IF(tblSalaries[[#This Row],[Job Type]]=tblSalaries[[#Headers],[Manager]],tblSalaries[[#This Row],[Salary in USD]],"")</f>
        <v>65889.291743537498</v>
      </c>
      <c r="AB1601" s="13" t="str">
        <f>IF(tblSalaries[[#This Row],[Job Type]]=tblSalaries[[#Headers],[Misc.]],tblSalaries[[#This Row],[Salary in USD]],"")</f>
        <v/>
      </c>
      <c r="AC1601" s="13" t="str">
        <f>IF(tblSalaries[[#This Row],[Job Type]]=tblSalaries[[#Headers],[Reporting]],tblSalaries[[#This Row],[Salary in USD]],"")</f>
        <v/>
      </c>
      <c r="AD1601" s="13" t="str">
        <f>IF(tblSalaries[[#This Row],[Job Type]]=tblSalaries[[#Headers],[Specialist]],tblSalaries[[#This Row],[Salary in USD]],"")</f>
        <v/>
      </c>
    </row>
    <row r="1602" spans="2:30" ht="15" customHeight="1" x14ac:dyDescent="0.25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 s="9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  <c r="N1602" t="str">
        <f>IF(tblSalaries[[#This Row],[Years of Experience]]="","",IF(tblSalaries[[#This Row],[Years of Experience]]&lt;=2,1,""))</f>
        <v/>
      </c>
      <c r="O1602" t="str">
        <f>IF(tblSalaries[[#This Row],[Years of Experience]]="","",IF(AND(tblSalaries[[#This Row],[Years of Experience]]&gt;2,tblSalaries[[#This Row],[Years of Experience]]&lt;=5),1,""))</f>
        <v/>
      </c>
      <c r="P1602">
        <f>IF(tblSalaries[[#This Row],[Years of Experience]]="","",IF(AND(tblSalaries[[#This Row],[Years of Experience]]&gt;5,tblSalaries[[#This Row],[Years of Experience]]&lt;=10),1,""))</f>
        <v>1</v>
      </c>
      <c r="Q1602" t="str">
        <f>IF(tblSalaries[[#This Row],[Years of Experience]]="","",IF(AND(tblSalaries[[#This Row],[Years of Experience]]&gt;10,tblSalaries[[#This Row],[Years of Experience]]&lt;=15),1,""))</f>
        <v/>
      </c>
      <c r="R1602" t="str">
        <f>IF(tblSalaries[[#This Row],[Years of Experience]]="","",IF(AND(tblSalaries[[#This Row],[Years of Experience]]&gt;16,tblSalaries[[#This Row],[Years of Experience]]&lt;=20),1,""))</f>
        <v/>
      </c>
      <c r="S1602" t="str">
        <f>IF(tblSalaries[[#This Row],[Years of Experience]]="","",IF(tblSalaries[[#This Row],[Years of Experience]]&gt;20,1,""))</f>
        <v/>
      </c>
      <c r="T16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02" s="13" t="str">
        <f>IF(tblSalaries[[#This Row],[Job Type]]=tblSalaries[[#Headers],[Accountant]],tblSalaries[[#This Row],[Salary in USD]],"")</f>
        <v/>
      </c>
      <c r="V1602" s="13">
        <f>IF(tblSalaries[[#This Row],[Job Type]]=tblSalaries[[#Headers],[Analyst]],tblSalaries[[#This Row],[Salary in USD]],"")</f>
        <v>106000</v>
      </c>
      <c r="W1602" s="13" t="str">
        <f>IF(tblSalaries[[#This Row],[Job Type]]=tblSalaries[[#Headers],[Consultant]],tblSalaries[[#This Row],[Salary in USD]],"")</f>
        <v/>
      </c>
      <c r="X1602" s="13" t="str">
        <f>IF(tblSalaries[[#This Row],[Job Type]]=tblSalaries[[#Headers],[Controller]],tblSalaries[[#This Row],[Salary in USD]],"")</f>
        <v/>
      </c>
      <c r="Y1602" s="13" t="str">
        <f>IF(tblSalaries[[#This Row],[Job Type]]=tblSalaries[[#Headers],[CXO or Top Mgmt.]],tblSalaries[[#This Row],[clean Salary (in local currency)]],"")</f>
        <v/>
      </c>
      <c r="Z1602" s="13" t="str">
        <f>IF(tblSalaries[[#This Row],[Job Type]]=tblSalaries[[#Headers],[Engineer]],tblSalaries[[#This Row],[Salary in USD]],"")</f>
        <v/>
      </c>
      <c r="AA1602" s="13" t="str">
        <f>IF(tblSalaries[[#This Row],[Job Type]]=tblSalaries[[#Headers],[Manager]],tblSalaries[[#This Row],[Salary in USD]],"")</f>
        <v/>
      </c>
      <c r="AB1602" s="13" t="str">
        <f>IF(tblSalaries[[#This Row],[Job Type]]=tblSalaries[[#Headers],[Misc.]],tblSalaries[[#This Row],[Salary in USD]],"")</f>
        <v/>
      </c>
      <c r="AC1602" s="13" t="str">
        <f>IF(tblSalaries[[#This Row],[Job Type]]=tblSalaries[[#Headers],[Reporting]],tblSalaries[[#This Row],[Salary in USD]],"")</f>
        <v/>
      </c>
      <c r="AD1602" s="13" t="str">
        <f>IF(tblSalaries[[#This Row],[Job Type]]=tblSalaries[[#Headers],[Specialist]],tblSalaries[[#This Row],[Salary in USD]],"")</f>
        <v/>
      </c>
    </row>
    <row r="1603" spans="2:30" ht="15" customHeight="1" x14ac:dyDescent="0.25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 s="9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  <c r="N1603" t="str">
        <f>IF(tblSalaries[[#This Row],[Years of Experience]]="","",IF(tblSalaries[[#This Row],[Years of Experience]]&lt;=2,1,""))</f>
        <v/>
      </c>
      <c r="O1603" t="str">
        <f>IF(tblSalaries[[#This Row],[Years of Experience]]="","",IF(AND(tblSalaries[[#This Row],[Years of Experience]]&gt;2,tblSalaries[[#This Row],[Years of Experience]]&lt;=5),1,""))</f>
        <v/>
      </c>
      <c r="P1603" t="str">
        <f>IF(tblSalaries[[#This Row],[Years of Experience]]="","",IF(AND(tblSalaries[[#This Row],[Years of Experience]]&gt;5,tblSalaries[[#This Row],[Years of Experience]]&lt;=10),1,""))</f>
        <v/>
      </c>
      <c r="Q1603" t="str">
        <f>IF(tblSalaries[[#This Row],[Years of Experience]]="","",IF(AND(tblSalaries[[#This Row],[Years of Experience]]&gt;10,tblSalaries[[#This Row],[Years of Experience]]&lt;=15),1,""))</f>
        <v/>
      </c>
      <c r="R1603">
        <f>IF(tblSalaries[[#This Row],[Years of Experience]]="","",IF(AND(tblSalaries[[#This Row],[Years of Experience]]&gt;16,tblSalaries[[#This Row],[Years of Experience]]&lt;=20),1,""))</f>
        <v>1</v>
      </c>
      <c r="S1603" t="str">
        <f>IF(tblSalaries[[#This Row],[Years of Experience]]="","",IF(tblSalaries[[#This Row],[Years of Experience]]&gt;20,1,""))</f>
        <v/>
      </c>
      <c r="T16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603" s="13" t="str">
        <f>IF(tblSalaries[[#This Row],[Job Type]]=tblSalaries[[#Headers],[Accountant]],tblSalaries[[#This Row],[Salary in USD]],"")</f>
        <v/>
      </c>
      <c r="V1603" s="13" t="str">
        <f>IF(tblSalaries[[#This Row],[Job Type]]=tblSalaries[[#Headers],[Analyst]],tblSalaries[[#This Row],[Salary in USD]],"")</f>
        <v/>
      </c>
      <c r="W1603" s="13" t="str">
        <f>IF(tblSalaries[[#This Row],[Job Type]]=tblSalaries[[#Headers],[Consultant]],tblSalaries[[#This Row],[Salary in USD]],"")</f>
        <v/>
      </c>
      <c r="X1603" s="13">
        <f>IF(tblSalaries[[#This Row],[Job Type]]=tblSalaries[[#Headers],[Controller]],tblSalaries[[#This Row],[Salary in USD]],"")</f>
        <v>82888.5550559455</v>
      </c>
      <c r="Y1603" s="13" t="str">
        <f>IF(tblSalaries[[#This Row],[Job Type]]=tblSalaries[[#Headers],[CXO or Top Mgmt.]],tblSalaries[[#This Row],[clean Salary (in local currency)]],"")</f>
        <v/>
      </c>
      <c r="Z1603" s="13" t="str">
        <f>IF(tblSalaries[[#This Row],[Job Type]]=tblSalaries[[#Headers],[Engineer]],tblSalaries[[#This Row],[Salary in USD]],"")</f>
        <v/>
      </c>
      <c r="AA1603" s="13" t="str">
        <f>IF(tblSalaries[[#This Row],[Job Type]]=tblSalaries[[#Headers],[Manager]],tblSalaries[[#This Row],[Salary in USD]],"")</f>
        <v/>
      </c>
      <c r="AB1603" s="13" t="str">
        <f>IF(tblSalaries[[#This Row],[Job Type]]=tblSalaries[[#Headers],[Misc.]],tblSalaries[[#This Row],[Salary in USD]],"")</f>
        <v/>
      </c>
      <c r="AC1603" s="13" t="str">
        <f>IF(tblSalaries[[#This Row],[Job Type]]=tblSalaries[[#Headers],[Reporting]],tblSalaries[[#This Row],[Salary in USD]],"")</f>
        <v/>
      </c>
      <c r="AD1603" s="13" t="str">
        <f>IF(tblSalaries[[#This Row],[Job Type]]=tblSalaries[[#Headers],[Specialist]],tblSalaries[[#This Row],[Salary in USD]],"")</f>
        <v/>
      </c>
    </row>
    <row r="1604" spans="2:30" ht="15" customHeight="1" x14ac:dyDescent="0.25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 s="9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  <c r="N1604" t="str">
        <f>IF(tblSalaries[[#This Row],[Years of Experience]]="","",IF(tblSalaries[[#This Row],[Years of Experience]]&lt;=2,1,""))</f>
        <v/>
      </c>
      <c r="O1604" t="str">
        <f>IF(tblSalaries[[#This Row],[Years of Experience]]="","",IF(AND(tblSalaries[[#This Row],[Years of Experience]]&gt;2,tblSalaries[[#This Row],[Years of Experience]]&lt;=5),1,""))</f>
        <v/>
      </c>
      <c r="P1604">
        <f>IF(tblSalaries[[#This Row],[Years of Experience]]="","",IF(AND(tblSalaries[[#This Row],[Years of Experience]]&gt;5,tblSalaries[[#This Row],[Years of Experience]]&lt;=10),1,""))</f>
        <v>1</v>
      </c>
      <c r="Q1604" t="str">
        <f>IF(tblSalaries[[#This Row],[Years of Experience]]="","",IF(AND(tblSalaries[[#This Row],[Years of Experience]]&gt;10,tblSalaries[[#This Row],[Years of Experience]]&lt;=15),1,""))</f>
        <v/>
      </c>
      <c r="R1604" t="str">
        <f>IF(tblSalaries[[#This Row],[Years of Experience]]="","",IF(AND(tblSalaries[[#This Row],[Years of Experience]]&gt;16,tblSalaries[[#This Row],[Years of Experience]]&lt;=20),1,""))</f>
        <v/>
      </c>
      <c r="S1604" t="str">
        <f>IF(tblSalaries[[#This Row],[Years of Experience]]="","",IF(tblSalaries[[#This Row],[Years of Experience]]&gt;20,1,""))</f>
        <v/>
      </c>
      <c r="T16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04" s="13" t="str">
        <f>IF(tblSalaries[[#This Row],[Job Type]]=tblSalaries[[#Headers],[Accountant]],tblSalaries[[#This Row],[Salary in USD]],"")</f>
        <v/>
      </c>
      <c r="V1604" s="13">
        <f>IF(tblSalaries[[#This Row],[Job Type]]=tblSalaries[[#Headers],[Analyst]],tblSalaries[[#This Row],[Salary in USD]],"")</f>
        <v>59819.107020370408</v>
      </c>
      <c r="W1604" s="13" t="str">
        <f>IF(tblSalaries[[#This Row],[Job Type]]=tblSalaries[[#Headers],[Consultant]],tblSalaries[[#This Row],[Salary in USD]],"")</f>
        <v/>
      </c>
      <c r="X1604" s="13" t="str">
        <f>IF(tblSalaries[[#This Row],[Job Type]]=tblSalaries[[#Headers],[Controller]],tblSalaries[[#This Row],[Salary in USD]],"")</f>
        <v/>
      </c>
      <c r="Y1604" s="13" t="str">
        <f>IF(tblSalaries[[#This Row],[Job Type]]=tblSalaries[[#Headers],[CXO or Top Mgmt.]],tblSalaries[[#This Row],[clean Salary (in local currency)]],"")</f>
        <v/>
      </c>
      <c r="Z1604" s="13" t="str">
        <f>IF(tblSalaries[[#This Row],[Job Type]]=tblSalaries[[#Headers],[Engineer]],tblSalaries[[#This Row],[Salary in USD]],"")</f>
        <v/>
      </c>
      <c r="AA1604" s="13" t="str">
        <f>IF(tblSalaries[[#This Row],[Job Type]]=tblSalaries[[#Headers],[Manager]],tblSalaries[[#This Row],[Salary in USD]],"")</f>
        <v/>
      </c>
      <c r="AB1604" s="13" t="str">
        <f>IF(tblSalaries[[#This Row],[Job Type]]=tblSalaries[[#Headers],[Misc.]],tblSalaries[[#This Row],[Salary in USD]],"")</f>
        <v/>
      </c>
      <c r="AC1604" s="13" t="str">
        <f>IF(tblSalaries[[#This Row],[Job Type]]=tblSalaries[[#Headers],[Reporting]],tblSalaries[[#This Row],[Salary in USD]],"")</f>
        <v/>
      </c>
      <c r="AD1604" s="13" t="str">
        <f>IF(tblSalaries[[#This Row],[Job Type]]=tblSalaries[[#Headers],[Specialist]],tblSalaries[[#This Row],[Salary in USD]],"")</f>
        <v/>
      </c>
    </row>
    <row r="1605" spans="2:30" ht="15" customHeight="1" x14ac:dyDescent="0.25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 s="9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  <c r="N1605" t="str">
        <f>IF(tblSalaries[[#This Row],[Years of Experience]]="","",IF(tblSalaries[[#This Row],[Years of Experience]]&lt;=2,1,""))</f>
        <v/>
      </c>
      <c r="O1605" t="str">
        <f>IF(tblSalaries[[#This Row],[Years of Experience]]="","",IF(AND(tblSalaries[[#This Row],[Years of Experience]]&gt;2,tblSalaries[[#This Row],[Years of Experience]]&lt;=5),1,""))</f>
        <v/>
      </c>
      <c r="P1605">
        <f>IF(tblSalaries[[#This Row],[Years of Experience]]="","",IF(AND(tblSalaries[[#This Row],[Years of Experience]]&gt;5,tblSalaries[[#This Row],[Years of Experience]]&lt;=10),1,""))</f>
        <v>1</v>
      </c>
      <c r="Q1605" t="str">
        <f>IF(tblSalaries[[#This Row],[Years of Experience]]="","",IF(AND(tblSalaries[[#This Row],[Years of Experience]]&gt;10,tblSalaries[[#This Row],[Years of Experience]]&lt;=15),1,""))</f>
        <v/>
      </c>
      <c r="R1605" t="str">
        <f>IF(tblSalaries[[#This Row],[Years of Experience]]="","",IF(AND(tblSalaries[[#This Row],[Years of Experience]]&gt;16,tblSalaries[[#This Row],[Years of Experience]]&lt;=20),1,""))</f>
        <v/>
      </c>
      <c r="S1605" t="str">
        <f>IF(tblSalaries[[#This Row],[Years of Experience]]="","",IF(tblSalaries[[#This Row],[Years of Experience]]&gt;20,1,""))</f>
        <v/>
      </c>
      <c r="T16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05" s="13" t="str">
        <f>IF(tblSalaries[[#This Row],[Job Type]]=tblSalaries[[#Headers],[Accountant]],tblSalaries[[#This Row],[Salary in USD]],"")</f>
        <v/>
      </c>
      <c r="V1605" s="13" t="str">
        <f>IF(tblSalaries[[#This Row],[Job Type]]=tblSalaries[[#Headers],[Analyst]],tblSalaries[[#This Row],[Salary in USD]],"")</f>
        <v/>
      </c>
      <c r="W1605" s="13" t="str">
        <f>IF(tblSalaries[[#This Row],[Job Type]]=tblSalaries[[#Headers],[Consultant]],tblSalaries[[#This Row],[Salary in USD]],"")</f>
        <v/>
      </c>
      <c r="X1605" s="13" t="str">
        <f>IF(tblSalaries[[#This Row],[Job Type]]=tblSalaries[[#Headers],[Controller]],tblSalaries[[#This Row],[Salary in USD]],"")</f>
        <v/>
      </c>
      <c r="Y1605" s="13" t="str">
        <f>IF(tblSalaries[[#This Row],[Job Type]]=tblSalaries[[#Headers],[CXO or Top Mgmt.]],tblSalaries[[#This Row],[clean Salary (in local currency)]],"")</f>
        <v/>
      </c>
      <c r="Z1605" s="13" t="str">
        <f>IF(tblSalaries[[#This Row],[Job Type]]=tblSalaries[[#Headers],[Engineer]],tblSalaries[[#This Row],[Salary in USD]],"")</f>
        <v/>
      </c>
      <c r="AA1605" s="13">
        <f>IF(tblSalaries[[#This Row],[Job Type]]=tblSalaries[[#Headers],[Manager]],tblSalaries[[#This Row],[Salary in USD]],"")</f>
        <v>6545</v>
      </c>
      <c r="AB1605" s="13" t="str">
        <f>IF(tblSalaries[[#This Row],[Job Type]]=tblSalaries[[#Headers],[Misc.]],tblSalaries[[#This Row],[Salary in USD]],"")</f>
        <v/>
      </c>
      <c r="AC1605" s="13" t="str">
        <f>IF(tblSalaries[[#This Row],[Job Type]]=tblSalaries[[#Headers],[Reporting]],tblSalaries[[#This Row],[Salary in USD]],"")</f>
        <v/>
      </c>
      <c r="AD1605" s="13" t="str">
        <f>IF(tblSalaries[[#This Row],[Job Type]]=tblSalaries[[#Headers],[Specialist]],tblSalaries[[#This Row],[Salary in USD]],"")</f>
        <v/>
      </c>
    </row>
    <row r="1606" spans="2:30" ht="15" customHeight="1" x14ac:dyDescent="0.25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 s="9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  <c r="N1606" t="str">
        <f>IF(tblSalaries[[#This Row],[Years of Experience]]="","",IF(tblSalaries[[#This Row],[Years of Experience]]&lt;=2,1,""))</f>
        <v/>
      </c>
      <c r="O1606" t="str">
        <f>IF(tblSalaries[[#This Row],[Years of Experience]]="","",IF(AND(tblSalaries[[#This Row],[Years of Experience]]&gt;2,tblSalaries[[#This Row],[Years of Experience]]&lt;=5),1,""))</f>
        <v/>
      </c>
      <c r="P1606" t="str">
        <f>IF(tblSalaries[[#This Row],[Years of Experience]]="","",IF(AND(tblSalaries[[#This Row],[Years of Experience]]&gt;5,tblSalaries[[#This Row],[Years of Experience]]&lt;=10),1,""))</f>
        <v/>
      </c>
      <c r="Q1606">
        <f>IF(tblSalaries[[#This Row],[Years of Experience]]="","",IF(AND(tblSalaries[[#This Row],[Years of Experience]]&gt;10,tblSalaries[[#This Row],[Years of Experience]]&lt;=15),1,""))</f>
        <v>1</v>
      </c>
      <c r="R1606" t="str">
        <f>IF(tblSalaries[[#This Row],[Years of Experience]]="","",IF(AND(tblSalaries[[#This Row],[Years of Experience]]&gt;16,tblSalaries[[#This Row],[Years of Experience]]&lt;=20),1,""))</f>
        <v/>
      </c>
      <c r="S1606" t="str">
        <f>IF(tblSalaries[[#This Row],[Years of Experience]]="","",IF(tblSalaries[[#This Row],[Years of Experience]]&gt;20,1,""))</f>
        <v/>
      </c>
      <c r="T16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06" s="13" t="str">
        <f>IF(tblSalaries[[#This Row],[Job Type]]=tblSalaries[[#Headers],[Accountant]],tblSalaries[[#This Row],[Salary in USD]],"")</f>
        <v/>
      </c>
      <c r="V1606" s="13" t="str">
        <f>IF(tblSalaries[[#This Row],[Job Type]]=tblSalaries[[#Headers],[Analyst]],tblSalaries[[#This Row],[Salary in USD]],"")</f>
        <v/>
      </c>
      <c r="W1606" s="13" t="str">
        <f>IF(tblSalaries[[#This Row],[Job Type]]=tblSalaries[[#Headers],[Consultant]],tblSalaries[[#This Row],[Salary in USD]],"")</f>
        <v/>
      </c>
      <c r="X1606" s="13" t="str">
        <f>IF(tblSalaries[[#This Row],[Job Type]]=tblSalaries[[#Headers],[Controller]],tblSalaries[[#This Row],[Salary in USD]],"")</f>
        <v/>
      </c>
      <c r="Y1606" s="13" t="str">
        <f>IF(tblSalaries[[#This Row],[Job Type]]=tblSalaries[[#Headers],[CXO or Top Mgmt.]],tblSalaries[[#This Row],[clean Salary (in local currency)]],"")</f>
        <v/>
      </c>
      <c r="Z1606" s="13" t="str">
        <f>IF(tblSalaries[[#This Row],[Job Type]]=tblSalaries[[#Headers],[Engineer]],tblSalaries[[#This Row],[Salary in USD]],"")</f>
        <v/>
      </c>
      <c r="AA1606" s="13">
        <f>IF(tblSalaries[[#This Row],[Job Type]]=tblSalaries[[#Headers],[Manager]],tblSalaries[[#This Row],[Salary in USD]],"")</f>
        <v>17807.916687442568</v>
      </c>
      <c r="AB1606" s="13" t="str">
        <f>IF(tblSalaries[[#This Row],[Job Type]]=tblSalaries[[#Headers],[Misc.]],tblSalaries[[#This Row],[Salary in USD]],"")</f>
        <v/>
      </c>
      <c r="AC1606" s="13" t="str">
        <f>IF(tblSalaries[[#This Row],[Job Type]]=tblSalaries[[#Headers],[Reporting]],tblSalaries[[#This Row],[Salary in USD]],"")</f>
        <v/>
      </c>
      <c r="AD1606" s="13" t="str">
        <f>IF(tblSalaries[[#This Row],[Job Type]]=tblSalaries[[#Headers],[Specialist]],tblSalaries[[#This Row],[Salary in USD]],"")</f>
        <v/>
      </c>
    </row>
    <row r="1607" spans="2:30" ht="15" customHeight="1" x14ac:dyDescent="0.25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 s="9">
        <f>tblSalaries[[#This Row],[clean Salary (in local currency)]]*VLOOKUP(tblSalaries[[#This Row],[Currency]],tblXrate[],2,FALSE)</f>
        <v>54000</v>
      </c>
      <c r="H1607" t="s">
        <v>1782</v>
      </c>
      <c r="I1607" t="s">
        <v>4001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  <c r="N1607" t="str">
        <f>IF(tblSalaries[[#This Row],[Years of Experience]]="","",IF(tblSalaries[[#This Row],[Years of Experience]]&lt;=2,1,""))</f>
        <v/>
      </c>
      <c r="O1607" t="str">
        <f>IF(tblSalaries[[#This Row],[Years of Experience]]="","",IF(AND(tblSalaries[[#This Row],[Years of Experience]]&gt;2,tblSalaries[[#This Row],[Years of Experience]]&lt;=5),1,""))</f>
        <v/>
      </c>
      <c r="P1607">
        <f>IF(tblSalaries[[#This Row],[Years of Experience]]="","",IF(AND(tblSalaries[[#This Row],[Years of Experience]]&gt;5,tblSalaries[[#This Row],[Years of Experience]]&lt;=10),1,""))</f>
        <v>1</v>
      </c>
      <c r="Q1607" t="str">
        <f>IF(tblSalaries[[#This Row],[Years of Experience]]="","",IF(AND(tblSalaries[[#This Row],[Years of Experience]]&gt;10,tblSalaries[[#This Row],[Years of Experience]]&lt;=15),1,""))</f>
        <v/>
      </c>
      <c r="R1607" t="str">
        <f>IF(tblSalaries[[#This Row],[Years of Experience]]="","",IF(AND(tblSalaries[[#This Row],[Years of Experience]]&gt;16,tblSalaries[[#This Row],[Years of Experience]]&lt;=20),1,""))</f>
        <v/>
      </c>
      <c r="S1607" t="str">
        <f>IF(tblSalaries[[#This Row],[Years of Experience]]="","",IF(tblSalaries[[#This Row],[Years of Experience]]&gt;20,1,""))</f>
        <v/>
      </c>
      <c r="T16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07" s="13" t="str">
        <f>IF(tblSalaries[[#This Row],[Job Type]]=tblSalaries[[#Headers],[Accountant]],tblSalaries[[#This Row],[Salary in USD]],"")</f>
        <v/>
      </c>
      <c r="V1607" s="13" t="str">
        <f>IF(tblSalaries[[#This Row],[Job Type]]=tblSalaries[[#Headers],[Analyst]],tblSalaries[[#This Row],[Salary in USD]],"")</f>
        <v/>
      </c>
      <c r="W1607" s="13" t="str">
        <f>IF(tblSalaries[[#This Row],[Job Type]]=tblSalaries[[#Headers],[Consultant]],tblSalaries[[#This Row],[Salary in USD]],"")</f>
        <v/>
      </c>
      <c r="X1607" s="13" t="str">
        <f>IF(tblSalaries[[#This Row],[Job Type]]=tblSalaries[[#Headers],[Controller]],tblSalaries[[#This Row],[Salary in USD]],"")</f>
        <v/>
      </c>
      <c r="Y1607" s="13">
        <f>IF(tblSalaries[[#This Row],[Job Type]]=tblSalaries[[#Headers],[CXO or Top Mgmt.]],tblSalaries[[#This Row],[clean Salary (in local currency)]],"")</f>
        <v>54000</v>
      </c>
      <c r="Z1607" s="13" t="str">
        <f>IF(tblSalaries[[#This Row],[Job Type]]=tblSalaries[[#Headers],[Engineer]],tblSalaries[[#This Row],[Salary in USD]],"")</f>
        <v/>
      </c>
      <c r="AA1607" s="13" t="str">
        <f>IF(tblSalaries[[#This Row],[Job Type]]=tblSalaries[[#Headers],[Manager]],tblSalaries[[#This Row],[Salary in USD]],"")</f>
        <v/>
      </c>
      <c r="AB1607" s="13" t="str">
        <f>IF(tblSalaries[[#This Row],[Job Type]]=tblSalaries[[#Headers],[Misc.]],tblSalaries[[#This Row],[Salary in USD]],"")</f>
        <v/>
      </c>
      <c r="AC1607" s="13" t="str">
        <f>IF(tblSalaries[[#This Row],[Job Type]]=tblSalaries[[#Headers],[Reporting]],tblSalaries[[#This Row],[Salary in USD]],"")</f>
        <v/>
      </c>
      <c r="AD1607" s="13" t="str">
        <f>IF(tblSalaries[[#This Row],[Job Type]]=tblSalaries[[#Headers],[Specialist]],tblSalaries[[#This Row],[Salary in USD]],"")</f>
        <v/>
      </c>
    </row>
    <row r="1608" spans="2:30" ht="15" customHeight="1" x14ac:dyDescent="0.25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 s="9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  <c r="N1608" t="str">
        <f>IF(tblSalaries[[#This Row],[Years of Experience]]="","",IF(tblSalaries[[#This Row],[Years of Experience]]&lt;=2,1,""))</f>
        <v/>
      </c>
      <c r="O1608">
        <f>IF(tblSalaries[[#This Row],[Years of Experience]]="","",IF(AND(tblSalaries[[#This Row],[Years of Experience]]&gt;2,tblSalaries[[#This Row],[Years of Experience]]&lt;=5),1,""))</f>
        <v>1</v>
      </c>
      <c r="P1608" t="str">
        <f>IF(tblSalaries[[#This Row],[Years of Experience]]="","",IF(AND(tblSalaries[[#This Row],[Years of Experience]]&gt;5,tblSalaries[[#This Row],[Years of Experience]]&lt;=10),1,""))</f>
        <v/>
      </c>
      <c r="Q1608" t="str">
        <f>IF(tblSalaries[[#This Row],[Years of Experience]]="","",IF(AND(tblSalaries[[#This Row],[Years of Experience]]&gt;10,tblSalaries[[#This Row],[Years of Experience]]&lt;=15),1,""))</f>
        <v/>
      </c>
      <c r="R1608" t="str">
        <f>IF(tblSalaries[[#This Row],[Years of Experience]]="","",IF(AND(tblSalaries[[#This Row],[Years of Experience]]&gt;16,tblSalaries[[#This Row],[Years of Experience]]&lt;=20),1,""))</f>
        <v/>
      </c>
      <c r="S1608" t="str">
        <f>IF(tblSalaries[[#This Row],[Years of Experience]]="","",IF(tblSalaries[[#This Row],[Years of Experience]]&gt;20,1,""))</f>
        <v/>
      </c>
      <c r="T16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08" s="13" t="str">
        <f>IF(tblSalaries[[#This Row],[Job Type]]=tblSalaries[[#Headers],[Accountant]],tblSalaries[[#This Row],[Salary in USD]],"")</f>
        <v/>
      </c>
      <c r="V1608" s="13" t="str">
        <f>IF(tblSalaries[[#This Row],[Job Type]]=tblSalaries[[#Headers],[Analyst]],tblSalaries[[#This Row],[Salary in USD]],"")</f>
        <v/>
      </c>
      <c r="W1608" s="13">
        <f>IF(tblSalaries[[#This Row],[Job Type]]=tblSalaries[[#Headers],[Consultant]],tblSalaries[[#This Row],[Salary in USD]],"")</f>
        <v>100000</v>
      </c>
      <c r="X1608" s="13" t="str">
        <f>IF(tblSalaries[[#This Row],[Job Type]]=tblSalaries[[#Headers],[Controller]],tblSalaries[[#This Row],[Salary in USD]],"")</f>
        <v/>
      </c>
      <c r="Y1608" s="13" t="str">
        <f>IF(tblSalaries[[#This Row],[Job Type]]=tblSalaries[[#Headers],[CXO or Top Mgmt.]],tblSalaries[[#This Row],[clean Salary (in local currency)]],"")</f>
        <v/>
      </c>
      <c r="Z1608" s="13" t="str">
        <f>IF(tblSalaries[[#This Row],[Job Type]]=tblSalaries[[#Headers],[Engineer]],tblSalaries[[#This Row],[Salary in USD]],"")</f>
        <v/>
      </c>
      <c r="AA1608" s="13" t="str">
        <f>IF(tblSalaries[[#This Row],[Job Type]]=tblSalaries[[#Headers],[Manager]],tblSalaries[[#This Row],[Salary in USD]],"")</f>
        <v/>
      </c>
      <c r="AB1608" s="13" t="str">
        <f>IF(tblSalaries[[#This Row],[Job Type]]=tblSalaries[[#Headers],[Misc.]],tblSalaries[[#This Row],[Salary in USD]],"")</f>
        <v/>
      </c>
      <c r="AC1608" s="13" t="str">
        <f>IF(tblSalaries[[#This Row],[Job Type]]=tblSalaries[[#Headers],[Reporting]],tblSalaries[[#This Row],[Salary in USD]],"")</f>
        <v/>
      </c>
      <c r="AD1608" s="13" t="str">
        <f>IF(tblSalaries[[#This Row],[Job Type]]=tblSalaries[[#Headers],[Specialist]],tblSalaries[[#This Row],[Salary in USD]],"")</f>
        <v/>
      </c>
    </row>
    <row r="1609" spans="2:30" ht="15" customHeight="1" x14ac:dyDescent="0.25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 s="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  <c r="N1609" t="str">
        <f>IF(tblSalaries[[#This Row],[Years of Experience]]="","",IF(tblSalaries[[#This Row],[Years of Experience]]&lt;=2,1,""))</f>
        <v/>
      </c>
      <c r="O1609">
        <f>IF(tblSalaries[[#This Row],[Years of Experience]]="","",IF(AND(tblSalaries[[#This Row],[Years of Experience]]&gt;2,tblSalaries[[#This Row],[Years of Experience]]&lt;=5),1,""))</f>
        <v>1</v>
      </c>
      <c r="P1609" t="str">
        <f>IF(tblSalaries[[#This Row],[Years of Experience]]="","",IF(AND(tblSalaries[[#This Row],[Years of Experience]]&gt;5,tblSalaries[[#This Row],[Years of Experience]]&lt;=10),1,""))</f>
        <v/>
      </c>
      <c r="Q1609" t="str">
        <f>IF(tblSalaries[[#This Row],[Years of Experience]]="","",IF(AND(tblSalaries[[#This Row],[Years of Experience]]&gt;10,tblSalaries[[#This Row],[Years of Experience]]&lt;=15),1,""))</f>
        <v/>
      </c>
      <c r="R1609" t="str">
        <f>IF(tblSalaries[[#This Row],[Years of Experience]]="","",IF(AND(tblSalaries[[#This Row],[Years of Experience]]&gt;16,tblSalaries[[#This Row],[Years of Experience]]&lt;=20),1,""))</f>
        <v/>
      </c>
      <c r="S1609" t="str">
        <f>IF(tblSalaries[[#This Row],[Years of Experience]]="","",IF(tblSalaries[[#This Row],[Years of Experience]]&gt;20,1,""))</f>
        <v/>
      </c>
      <c r="T16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09" s="13" t="str">
        <f>IF(tblSalaries[[#This Row],[Job Type]]=tblSalaries[[#Headers],[Accountant]],tblSalaries[[#This Row],[Salary in USD]],"")</f>
        <v/>
      </c>
      <c r="V1609" s="13">
        <f>IF(tblSalaries[[#This Row],[Job Type]]=tblSalaries[[#Headers],[Analyst]],tblSalaries[[#This Row],[Salary in USD]],"")</f>
        <v>49168.076151516347</v>
      </c>
      <c r="W1609" s="13" t="str">
        <f>IF(tblSalaries[[#This Row],[Job Type]]=tblSalaries[[#Headers],[Consultant]],tblSalaries[[#This Row],[Salary in USD]],"")</f>
        <v/>
      </c>
      <c r="X1609" s="13" t="str">
        <f>IF(tblSalaries[[#This Row],[Job Type]]=tblSalaries[[#Headers],[Controller]],tblSalaries[[#This Row],[Salary in USD]],"")</f>
        <v/>
      </c>
      <c r="Y1609" s="13" t="str">
        <f>IF(tblSalaries[[#This Row],[Job Type]]=tblSalaries[[#Headers],[CXO or Top Mgmt.]],tblSalaries[[#This Row],[clean Salary (in local currency)]],"")</f>
        <v/>
      </c>
      <c r="Z1609" s="13" t="str">
        <f>IF(tblSalaries[[#This Row],[Job Type]]=tblSalaries[[#Headers],[Engineer]],tblSalaries[[#This Row],[Salary in USD]],"")</f>
        <v/>
      </c>
      <c r="AA1609" s="13" t="str">
        <f>IF(tblSalaries[[#This Row],[Job Type]]=tblSalaries[[#Headers],[Manager]],tblSalaries[[#This Row],[Salary in USD]],"")</f>
        <v/>
      </c>
      <c r="AB1609" s="13" t="str">
        <f>IF(tblSalaries[[#This Row],[Job Type]]=tblSalaries[[#Headers],[Misc.]],tblSalaries[[#This Row],[Salary in USD]],"")</f>
        <v/>
      </c>
      <c r="AC1609" s="13" t="str">
        <f>IF(tblSalaries[[#This Row],[Job Type]]=tblSalaries[[#Headers],[Reporting]],tblSalaries[[#This Row],[Salary in USD]],"")</f>
        <v/>
      </c>
      <c r="AD1609" s="13" t="str">
        <f>IF(tblSalaries[[#This Row],[Job Type]]=tblSalaries[[#Headers],[Specialist]],tblSalaries[[#This Row],[Salary in USD]],"")</f>
        <v/>
      </c>
    </row>
    <row r="1610" spans="2:30" ht="15" customHeight="1" x14ac:dyDescent="0.25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 s="9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  <c r="N1610" t="str">
        <f>IF(tblSalaries[[#This Row],[Years of Experience]]="","",IF(tblSalaries[[#This Row],[Years of Experience]]&lt;=2,1,""))</f>
        <v/>
      </c>
      <c r="O1610">
        <f>IF(tblSalaries[[#This Row],[Years of Experience]]="","",IF(AND(tblSalaries[[#This Row],[Years of Experience]]&gt;2,tblSalaries[[#This Row],[Years of Experience]]&lt;=5),1,""))</f>
        <v>1</v>
      </c>
      <c r="P1610" t="str">
        <f>IF(tblSalaries[[#This Row],[Years of Experience]]="","",IF(AND(tblSalaries[[#This Row],[Years of Experience]]&gt;5,tblSalaries[[#This Row],[Years of Experience]]&lt;=10),1,""))</f>
        <v/>
      </c>
      <c r="Q1610" t="str">
        <f>IF(tblSalaries[[#This Row],[Years of Experience]]="","",IF(AND(tblSalaries[[#This Row],[Years of Experience]]&gt;10,tblSalaries[[#This Row],[Years of Experience]]&lt;=15),1,""))</f>
        <v/>
      </c>
      <c r="R1610" t="str">
        <f>IF(tblSalaries[[#This Row],[Years of Experience]]="","",IF(AND(tblSalaries[[#This Row],[Years of Experience]]&gt;16,tblSalaries[[#This Row],[Years of Experience]]&lt;=20),1,""))</f>
        <v/>
      </c>
      <c r="S1610" t="str">
        <f>IF(tblSalaries[[#This Row],[Years of Experience]]="","",IF(tblSalaries[[#This Row],[Years of Experience]]&gt;20,1,""))</f>
        <v/>
      </c>
      <c r="T16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0" s="13" t="str">
        <f>IF(tblSalaries[[#This Row],[Job Type]]=tblSalaries[[#Headers],[Accountant]],tblSalaries[[#This Row],[Salary in USD]],"")</f>
        <v/>
      </c>
      <c r="V1610" s="13" t="str">
        <f>IF(tblSalaries[[#This Row],[Job Type]]=tblSalaries[[#Headers],[Analyst]],tblSalaries[[#This Row],[Salary in USD]],"")</f>
        <v/>
      </c>
      <c r="W1610" s="13" t="str">
        <f>IF(tblSalaries[[#This Row],[Job Type]]=tblSalaries[[#Headers],[Consultant]],tblSalaries[[#This Row],[Salary in USD]],"")</f>
        <v/>
      </c>
      <c r="X1610" s="13" t="str">
        <f>IF(tblSalaries[[#This Row],[Job Type]]=tblSalaries[[#Headers],[Controller]],tblSalaries[[#This Row],[Salary in USD]],"")</f>
        <v/>
      </c>
      <c r="Y1610" s="13" t="str">
        <f>IF(tblSalaries[[#This Row],[Job Type]]=tblSalaries[[#Headers],[CXO or Top Mgmt.]],tblSalaries[[#This Row],[clean Salary (in local currency)]],"")</f>
        <v/>
      </c>
      <c r="Z1610" s="13" t="str">
        <f>IF(tblSalaries[[#This Row],[Job Type]]=tblSalaries[[#Headers],[Engineer]],tblSalaries[[#This Row],[Salary in USD]],"")</f>
        <v/>
      </c>
      <c r="AA1610" s="13" t="str">
        <f>IF(tblSalaries[[#This Row],[Job Type]]=tblSalaries[[#Headers],[Manager]],tblSalaries[[#This Row],[Salary in USD]],"")</f>
        <v/>
      </c>
      <c r="AB1610" s="13" t="str">
        <f>IF(tblSalaries[[#This Row],[Job Type]]=tblSalaries[[#Headers],[Misc.]],tblSalaries[[#This Row],[Salary in USD]],"")</f>
        <v/>
      </c>
      <c r="AC1610" s="13" t="str">
        <f>IF(tblSalaries[[#This Row],[Job Type]]=tblSalaries[[#Headers],[Reporting]],tblSalaries[[#This Row],[Salary in USD]],"")</f>
        <v/>
      </c>
      <c r="AD1610" s="13">
        <f>IF(tblSalaries[[#This Row],[Job Type]]=tblSalaries[[#Headers],[Specialist]],tblSalaries[[#This Row],[Salary in USD]],"")</f>
        <v>4019</v>
      </c>
    </row>
    <row r="1611" spans="2:30" ht="15" customHeight="1" x14ac:dyDescent="0.25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 s="9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  <c r="N1611" t="str">
        <f>IF(tblSalaries[[#This Row],[Years of Experience]]="","",IF(tblSalaries[[#This Row],[Years of Experience]]&lt;=2,1,""))</f>
        <v/>
      </c>
      <c r="O1611">
        <f>IF(tblSalaries[[#This Row],[Years of Experience]]="","",IF(AND(tblSalaries[[#This Row],[Years of Experience]]&gt;2,tblSalaries[[#This Row],[Years of Experience]]&lt;=5),1,""))</f>
        <v>1</v>
      </c>
      <c r="P1611" t="str">
        <f>IF(tblSalaries[[#This Row],[Years of Experience]]="","",IF(AND(tblSalaries[[#This Row],[Years of Experience]]&gt;5,tblSalaries[[#This Row],[Years of Experience]]&lt;=10),1,""))</f>
        <v/>
      </c>
      <c r="Q1611" t="str">
        <f>IF(tblSalaries[[#This Row],[Years of Experience]]="","",IF(AND(tblSalaries[[#This Row],[Years of Experience]]&gt;10,tblSalaries[[#This Row],[Years of Experience]]&lt;=15),1,""))</f>
        <v/>
      </c>
      <c r="R1611" t="str">
        <f>IF(tblSalaries[[#This Row],[Years of Experience]]="","",IF(AND(tblSalaries[[#This Row],[Years of Experience]]&gt;16,tblSalaries[[#This Row],[Years of Experience]]&lt;=20),1,""))</f>
        <v/>
      </c>
      <c r="S1611" t="str">
        <f>IF(tblSalaries[[#This Row],[Years of Experience]]="","",IF(tblSalaries[[#This Row],[Years of Experience]]&gt;20,1,""))</f>
        <v/>
      </c>
      <c r="T16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1" s="13" t="str">
        <f>IF(tblSalaries[[#This Row],[Job Type]]=tblSalaries[[#Headers],[Accountant]],tblSalaries[[#This Row],[Salary in USD]],"")</f>
        <v/>
      </c>
      <c r="V1611" s="13">
        <f>IF(tblSalaries[[#This Row],[Job Type]]=tblSalaries[[#Headers],[Analyst]],tblSalaries[[#This Row],[Salary in USD]],"")</f>
        <v>15000</v>
      </c>
      <c r="W1611" s="13" t="str">
        <f>IF(tblSalaries[[#This Row],[Job Type]]=tblSalaries[[#Headers],[Consultant]],tblSalaries[[#This Row],[Salary in USD]],"")</f>
        <v/>
      </c>
      <c r="X1611" s="13" t="str">
        <f>IF(tblSalaries[[#This Row],[Job Type]]=tblSalaries[[#Headers],[Controller]],tblSalaries[[#This Row],[Salary in USD]],"")</f>
        <v/>
      </c>
      <c r="Y1611" s="13" t="str">
        <f>IF(tblSalaries[[#This Row],[Job Type]]=tblSalaries[[#Headers],[CXO or Top Mgmt.]],tblSalaries[[#This Row],[clean Salary (in local currency)]],"")</f>
        <v/>
      </c>
      <c r="Z1611" s="13" t="str">
        <f>IF(tblSalaries[[#This Row],[Job Type]]=tblSalaries[[#Headers],[Engineer]],tblSalaries[[#This Row],[Salary in USD]],"")</f>
        <v/>
      </c>
      <c r="AA1611" s="13" t="str">
        <f>IF(tblSalaries[[#This Row],[Job Type]]=tblSalaries[[#Headers],[Manager]],tblSalaries[[#This Row],[Salary in USD]],"")</f>
        <v/>
      </c>
      <c r="AB1611" s="13" t="str">
        <f>IF(tblSalaries[[#This Row],[Job Type]]=tblSalaries[[#Headers],[Misc.]],tblSalaries[[#This Row],[Salary in USD]],"")</f>
        <v/>
      </c>
      <c r="AC1611" s="13" t="str">
        <f>IF(tblSalaries[[#This Row],[Job Type]]=tblSalaries[[#Headers],[Reporting]],tblSalaries[[#This Row],[Salary in USD]],"")</f>
        <v/>
      </c>
      <c r="AD1611" s="13" t="str">
        <f>IF(tblSalaries[[#This Row],[Job Type]]=tblSalaries[[#Headers],[Specialist]],tblSalaries[[#This Row],[Salary in USD]],"")</f>
        <v/>
      </c>
    </row>
    <row r="1612" spans="2:30" ht="15" customHeight="1" x14ac:dyDescent="0.25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 s="9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  <c r="N1612" t="str">
        <f>IF(tblSalaries[[#This Row],[Years of Experience]]="","",IF(tblSalaries[[#This Row],[Years of Experience]]&lt;=2,1,""))</f>
        <v/>
      </c>
      <c r="O1612">
        <f>IF(tblSalaries[[#This Row],[Years of Experience]]="","",IF(AND(tblSalaries[[#This Row],[Years of Experience]]&gt;2,tblSalaries[[#This Row],[Years of Experience]]&lt;=5),1,""))</f>
        <v>1</v>
      </c>
      <c r="P1612" t="str">
        <f>IF(tblSalaries[[#This Row],[Years of Experience]]="","",IF(AND(tblSalaries[[#This Row],[Years of Experience]]&gt;5,tblSalaries[[#This Row],[Years of Experience]]&lt;=10),1,""))</f>
        <v/>
      </c>
      <c r="Q1612" t="str">
        <f>IF(tblSalaries[[#This Row],[Years of Experience]]="","",IF(AND(tblSalaries[[#This Row],[Years of Experience]]&gt;10,tblSalaries[[#This Row],[Years of Experience]]&lt;=15),1,""))</f>
        <v/>
      </c>
      <c r="R1612" t="str">
        <f>IF(tblSalaries[[#This Row],[Years of Experience]]="","",IF(AND(tblSalaries[[#This Row],[Years of Experience]]&gt;16,tblSalaries[[#This Row],[Years of Experience]]&lt;=20),1,""))</f>
        <v/>
      </c>
      <c r="S1612" t="str">
        <f>IF(tblSalaries[[#This Row],[Years of Experience]]="","",IF(tblSalaries[[#This Row],[Years of Experience]]&gt;20,1,""))</f>
        <v/>
      </c>
      <c r="T16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2" s="13" t="str">
        <f>IF(tblSalaries[[#This Row],[Job Type]]=tblSalaries[[#Headers],[Accountant]],tblSalaries[[#This Row],[Salary in USD]],"")</f>
        <v/>
      </c>
      <c r="V1612" s="13">
        <f>IF(tblSalaries[[#This Row],[Job Type]]=tblSalaries[[#Headers],[Analyst]],tblSalaries[[#This Row],[Salary in USD]],"")</f>
        <v>17807.916687442568</v>
      </c>
      <c r="W1612" s="13" t="str">
        <f>IF(tblSalaries[[#This Row],[Job Type]]=tblSalaries[[#Headers],[Consultant]],tblSalaries[[#This Row],[Salary in USD]],"")</f>
        <v/>
      </c>
      <c r="X1612" s="13" t="str">
        <f>IF(tblSalaries[[#This Row],[Job Type]]=tblSalaries[[#Headers],[Controller]],tblSalaries[[#This Row],[Salary in USD]],"")</f>
        <v/>
      </c>
      <c r="Y1612" s="13" t="str">
        <f>IF(tblSalaries[[#This Row],[Job Type]]=tblSalaries[[#Headers],[CXO or Top Mgmt.]],tblSalaries[[#This Row],[clean Salary (in local currency)]],"")</f>
        <v/>
      </c>
      <c r="Z1612" s="13" t="str">
        <f>IF(tblSalaries[[#This Row],[Job Type]]=tblSalaries[[#Headers],[Engineer]],tblSalaries[[#This Row],[Salary in USD]],"")</f>
        <v/>
      </c>
      <c r="AA1612" s="13" t="str">
        <f>IF(tblSalaries[[#This Row],[Job Type]]=tblSalaries[[#Headers],[Manager]],tblSalaries[[#This Row],[Salary in USD]],"")</f>
        <v/>
      </c>
      <c r="AB1612" s="13" t="str">
        <f>IF(tblSalaries[[#This Row],[Job Type]]=tblSalaries[[#Headers],[Misc.]],tblSalaries[[#This Row],[Salary in USD]],"")</f>
        <v/>
      </c>
      <c r="AC1612" s="13" t="str">
        <f>IF(tblSalaries[[#This Row],[Job Type]]=tblSalaries[[#Headers],[Reporting]],tblSalaries[[#This Row],[Salary in USD]],"")</f>
        <v/>
      </c>
      <c r="AD1612" s="13" t="str">
        <f>IF(tblSalaries[[#This Row],[Job Type]]=tblSalaries[[#Headers],[Specialist]],tblSalaries[[#This Row],[Salary in USD]],"")</f>
        <v/>
      </c>
    </row>
    <row r="1613" spans="2:30" ht="15" customHeight="1" x14ac:dyDescent="0.25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 s="9">
        <f>tblSalaries[[#This Row],[clean Salary (in local currency)]]*VLOOKUP(tblSalaries[[#This Row],[Currency]],tblXrate[],2,FALSE)</f>
        <v>12000</v>
      </c>
      <c r="H1613" t="s">
        <v>1786</v>
      </c>
      <c r="I1613" t="s">
        <v>3999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  <c r="N1613" t="str">
        <f>IF(tblSalaries[[#This Row],[Years of Experience]]="","",IF(tblSalaries[[#This Row],[Years of Experience]]&lt;=2,1,""))</f>
        <v/>
      </c>
      <c r="O1613">
        <f>IF(tblSalaries[[#This Row],[Years of Experience]]="","",IF(AND(tblSalaries[[#This Row],[Years of Experience]]&gt;2,tblSalaries[[#This Row],[Years of Experience]]&lt;=5),1,""))</f>
        <v>1</v>
      </c>
      <c r="P1613" t="str">
        <f>IF(tblSalaries[[#This Row],[Years of Experience]]="","",IF(AND(tblSalaries[[#This Row],[Years of Experience]]&gt;5,tblSalaries[[#This Row],[Years of Experience]]&lt;=10),1,""))</f>
        <v/>
      </c>
      <c r="Q1613" t="str">
        <f>IF(tblSalaries[[#This Row],[Years of Experience]]="","",IF(AND(tblSalaries[[#This Row],[Years of Experience]]&gt;10,tblSalaries[[#This Row],[Years of Experience]]&lt;=15),1,""))</f>
        <v/>
      </c>
      <c r="R1613" t="str">
        <f>IF(tblSalaries[[#This Row],[Years of Experience]]="","",IF(AND(tblSalaries[[#This Row],[Years of Experience]]&gt;16,tblSalaries[[#This Row],[Years of Experience]]&lt;=20),1,""))</f>
        <v/>
      </c>
      <c r="S1613" t="str">
        <f>IF(tblSalaries[[#This Row],[Years of Experience]]="","",IF(tblSalaries[[#This Row],[Years of Experience]]&gt;20,1,""))</f>
        <v/>
      </c>
      <c r="T16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3" s="13" t="str">
        <f>IF(tblSalaries[[#This Row],[Job Type]]=tblSalaries[[#Headers],[Accountant]],tblSalaries[[#This Row],[Salary in USD]],"")</f>
        <v/>
      </c>
      <c r="V1613" s="13" t="str">
        <f>IF(tblSalaries[[#This Row],[Job Type]]=tblSalaries[[#Headers],[Analyst]],tblSalaries[[#This Row],[Salary in USD]],"")</f>
        <v/>
      </c>
      <c r="W1613" s="13" t="str">
        <f>IF(tblSalaries[[#This Row],[Job Type]]=tblSalaries[[#Headers],[Consultant]],tblSalaries[[#This Row],[Salary in USD]],"")</f>
        <v/>
      </c>
      <c r="X1613" s="13" t="str">
        <f>IF(tblSalaries[[#This Row],[Job Type]]=tblSalaries[[#Headers],[Controller]],tblSalaries[[#This Row],[Salary in USD]],"")</f>
        <v/>
      </c>
      <c r="Y1613" s="13" t="str">
        <f>IF(tblSalaries[[#This Row],[Job Type]]=tblSalaries[[#Headers],[CXO or Top Mgmt.]],tblSalaries[[#This Row],[clean Salary (in local currency)]],"")</f>
        <v/>
      </c>
      <c r="Z1613" s="13" t="str">
        <f>IF(tblSalaries[[#This Row],[Job Type]]=tblSalaries[[#Headers],[Engineer]],tblSalaries[[#This Row],[Salary in USD]],"")</f>
        <v/>
      </c>
      <c r="AA1613" s="13" t="str">
        <f>IF(tblSalaries[[#This Row],[Job Type]]=tblSalaries[[#Headers],[Manager]],tblSalaries[[#This Row],[Salary in USD]],"")</f>
        <v/>
      </c>
      <c r="AB1613" s="13" t="str">
        <f>IF(tblSalaries[[#This Row],[Job Type]]=tblSalaries[[#Headers],[Misc.]],tblSalaries[[#This Row],[Salary in USD]],"")</f>
        <v/>
      </c>
      <c r="AC1613" s="13">
        <f>IF(tblSalaries[[#This Row],[Job Type]]=tblSalaries[[#Headers],[Reporting]],tblSalaries[[#This Row],[Salary in USD]],"")</f>
        <v>12000</v>
      </c>
      <c r="AD1613" s="13" t="str">
        <f>IF(tblSalaries[[#This Row],[Job Type]]=tblSalaries[[#Headers],[Specialist]],tblSalaries[[#This Row],[Salary in USD]],"")</f>
        <v/>
      </c>
    </row>
    <row r="1614" spans="2:30" ht="15" customHeight="1" x14ac:dyDescent="0.25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 s="9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  <c r="N1614" t="str">
        <f>IF(tblSalaries[[#This Row],[Years of Experience]]="","",IF(tblSalaries[[#This Row],[Years of Experience]]&lt;=2,1,""))</f>
        <v/>
      </c>
      <c r="O1614">
        <f>IF(tblSalaries[[#This Row],[Years of Experience]]="","",IF(AND(tblSalaries[[#This Row],[Years of Experience]]&gt;2,tblSalaries[[#This Row],[Years of Experience]]&lt;=5),1,""))</f>
        <v>1</v>
      </c>
      <c r="P1614" t="str">
        <f>IF(tblSalaries[[#This Row],[Years of Experience]]="","",IF(AND(tblSalaries[[#This Row],[Years of Experience]]&gt;5,tblSalaries[[#This Row],[Years of Experience]]&lt;=10),1,""))</f>
        <v/>
      </c>
      <c r="Q1614" t="str">
        <f>IF(tblSalaries[[#This Row],[Years of Experience]]="","",IF(AND(tblSalaries[[#This Row],[Years of Experience]]&gt;10,tblSalaries[[#This Row],[Years of Experience]]&lt;=15),1,""))</f>
        <v/>
      </c>
      <c r="R1614" t="str">
        <f>IF(tblSalaries[[#This Row],[Years of Experience]]="","",IF(AND(tblSalaries[[#This Row],[Years of Experience]]&gt;16,tblSalaries[[#This Row],[Years of Experience]]&lt;=20),1,""))</f>
        <v/>
      </c>
      <c r="S1614" t="str">
        <f>IF(tblSalaries[[#This Row],[Years of Experience]]="","",IF(tblSalaries[[#This Row],[Years of Experience]]&gt;20,1,""))</f>
        <v/>
      </c>
      <c r="T16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4" s="13" t="str">
        <f>IF(tblSalaries[[#This Row],[Job Type]]=tblSalaries[[#Headers],[Accountant]],tblSalaries[[#This Row],[Salary in USD]],"")</f>
        <v/>
      </c>
      <c r="V1614" s="13">
        <f>IF(tblSalaries[[#This Row],[Job Type]]=tblSalaries[[#Headers],[Analyst]],tblSalaries[[#This Row],[Salary in USD]],"")</f>
        <v>2225.989585930321</v>
      </c>
      <c r="W1614" s="13" t="str">
        <f>IF(tblSalaries[[#This Row],[Job Type]]=tblSalaries[[#Headers],[Consultant]],tblSalaries[[#This Row],[Salary in USD]],"")</f>
        <v/>
      </c>
      <c r="X1614" s="13" t="str">
        <f>IF(tblSalaries[[#This Row],[Job Type]]=tblSalaries[[#Headers],[Controller]],tblSalaries[[#This Row],[Salary in USD]],"")</f>
        <v/>
      </c>
      <c r="Y1614" s="13" t="str">
        <f>IF(tblSalaries[[#This Row],[Job Type]]=tblSalaries[[#Headers],[CXO or Top Mgmt.]],tblSalaries[[#This Row],[clean Salary (in local currency)]],"")</f>
        <v/>
      </c>
      <c r="Z1614" s="13" t="str">
        <f>IF(tblSalaries[[#This Row],[Job Type]]=tblSalaries[[#Headers],[Engineer]],tblSalaries[[#This Row],[Salary in USD]],"")</f>
        <v/>
      </c>
      <c r="AA1614" s="13" t="str">
        <f>IF(tblSalaries[[#This Row],[Job Type]]=tblSalaries[[#Headers],[Manager]],tblSalaries[[#This Row],[Salary in USD]],"")</f>
        <v/>
      </c>
      <c r="AB1614" s="13" t="str">
        <f>IF(tblSalaries[[#This Row],[Job Type]]=tblSalaries[[#Headers],[Misc.]],tblSalaries[[#This Row],[Salary in USD]],"")</f>
        <v/>
      </c>
      <c r="AC1614" s="13" t="str">
        <f>IF(tblSalaries[[#This Row],[Job Type]]=tblSalaries[[#Headers],[Reporting]],tblSalaries[[#This Row],[Salary in USD]],"")</f>
        <v/>
      </c>
      <c r="AD1614" s="13" t="str">
        <f>IF(tblSalaries[[#This Row],[Job Type]]=tblSalaries[[#Headers],[Specialist]],tblSalaries[[#This Row],[Salary in USD]],"")</f>
        <v/>
      </c>
    </row>
    <row r="1615" spans="2:30" ht="15" customHeight="1" x14ac:dyDescent="0.25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 s="9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  <c r="N1615" t="str">
        <f>IF(tblSalaries[[#This Row],[Years of Experience]]="","",IF(tblSalaries[[#This Row],[Years of Experience]]&lt;=2,1,""))</f>
        <v/>
      </c>
      <c r="O1615">
        <f>IF(tblSalaries[[#This Row],[Years of Experience]]="","",IF(AND(tblSalaries[[#This Row],[Years of Experience]]&gt;2,tblSalaries[[#This Row],[Years of Experience]]&lt;=5),1,""))</f>
        <v>1</v>
      </c>
      <c r="P1615" t="str">
        <f>IF(tblSalaries[[#This Row],[Years of Experience]]="","",IF(AND(tblSalaries[[#This Row],[Years of Experience]]&gt;5,tblSalaries[[#This Row],[Years of Experience]]&lt;=10),1,""))</f>
        <v/>
      </c>
      <c r="Q1615" t="str">
        <f>IF(tblSalaries[[#This Row],[Years of Experience]]="","",IF(AND(tblSalaries[[#This Row],[Years of Experience]]&gt;10,tblSalaries[[#This Row],[Years of Experience]]&lt;=15),1,""))</f>
        <v/>
      </c>
      <c r="R1615" t="str">
        <f>IF(tblSalaries[[#This Row],[Years of Experience]]="","",IF(AND(tblSalaries[[#This Row],[Years of Experience]]&gt;16,tblSalaries[[#This Row],[Years of Experience]]&lt;=20),1,""))</f>
        <v/>
      </c>
      <c r="S1615" t="str">
        <f>IF(tblSalaries[[#This Row],[Years of Experience]]="","",IF(tblSalaries[[#This Row],[Years of Experience]]&gt;20,1,""))</f>
        <v/>
      </c>
      <c r="T16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5" s="13" t="str">
        <f>IF(tblSalaries[[#This Row],[Job Type]]=tblSalaries[[#Headers],[Accountant]],tblSalaries[[#This Row],[Salary in USD]],"")</f>
        <v/>
      </c>
      <c r="V1615" s="13">
        <f>IF(tblSalaries[[#This Row],[Job Type]]=tblSalaries[[#Headers],[Analyst]],tblSalaries[[#This Row],[Salary in USD]],"")</f>
        <v>86000</v>
      </c>
      <c r="W1615" s="13" t="str">
        <f>IF(tblSalaries[[#This Row],[Job Type]]=tblSalaries[[#Headers],[Consultant]],tblSalaries[[#This Row],[Salary in USD]],"")</f>
        <v/>
      </c>
      <c r="X1615" s="13" t="str">
        <f>IF(tblSalaries[[#This Row],[Job Type]]=tblSalaries[[#Headers],[Controller]],tblSalaries[[#This Row],[Salary in USD]],"")</f>
        <v/>
      </c>
      <c r="Y1615" s="13" t="str">
        <f>IF(tblSalaries[[#This Row],[Job Type]]=tblSalaries[[#Headers],[CXO or Top Mgmt.]],tblSalaries[[#This Row],[clean Salary (in local currency)]],"")</f>
        <v/>
      </c>
      <c r="Z1615" s="13" t="str">
        <f>IF(tblSalaries[[#This Row],[Job Type]]=tblSalaries[[#Headers],[Engineer]],tblSalaries[[#This Row],[Salary in USD]],"")</f>
        <v/>
      </c>
      <c r="AA1615" s="13" t="str">
        <f>IF(tblSalaries[[#This Row],[Job Type]]=tblSalaries[[#Headers],[Manager]],tblSalaries[[#This Row],[Salary in USD]],"")</f>
        <v/>
      </c>
      <c r="AB1615" s="13" t="str">
        <f>IF(tblSalaries[[#This Row],[Job Type]]=tblSalaries[[#Headers],[Misc.]],tblSalaries[[#This Row],[Salary in USD]],"")</f>
        <v/>
      </c>
      <c r="AC1615" s="13" t="str">
        <f>IF(tblSalaries[[#This Row],[Job Type]]=tblSalaries[[#Headers],[Reporting]],tblSalaries[[#This Row],[Salary in USD]],"")</f>
        <v/>
      </c>
      <c r="AD1615" s="13" t="str">
        <f>IF(tblSalaries[[#This Row],[Job Type]]=tblSalaries[[#Headers],[Specialist]],tblSalaries[[#This Row],[Salary in USD]],"")</f>
        <v/>
      </c>
    </row>
    <row r="1616" spans="2:30" ht="15" customHeight="1" x14ac:dyDescent="0.25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 s="9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  <c r="N1616" t="str">
        <f>IF(tblSalaries[[#This Row],[Years of Experience]]="","",IF(tblSalaries[[#This Row],[Years of Experience]]&lt;=2,1,""))</f>
        <v/>
      </c>
      <c r="O1616">
        <f>IF(tblSalaries[[#This Row],[Years of Experience]]="","",IF(AND(tblSalaries[[#This Row],[Years of Experience]]&gt;2,tblSalaries[[#This Row],[Years of Experience]]&lt;=5),1,""))</f>
        <v>1</v>
      </c>
      <c r="P1616" t="str">
        <f>IF(tblSalaries[[#This Row],[Years of Experience]]="","",IF(AND(tblSalaries[[#This Row],[Years of Experience]]&gt;5,tblSalaries[[#This Row],[Years of Experience]]&lt;=10),1,""))</f>
        <v/>
      </c>
      <c r="Q1616" t="str">
        <f>IF(tblSalaries[[#This Row],[Years of Experience]]="","",IF(AND(tblSalaries[[#This Row],[Years of Experience]]&gt;10,tblSalaries[[#This Row],[Years of Experience]]&lt;=15),1,""))</f>
        <v/>
      </c>
      <c r="R1616" t="str">
        <f>IF(tblSalaries[[#This Row],[Years of Experience]]="","",IF(AND(tblSalaries[[#This Row],[Years of Experience]]&gt;16,tblSalaries[[#This Row],[Years of Experience]]&lt;=20),1,""))</f>
        <v/>
      </c>
      <c r="S1616" t="str">
        <f>IF(tblSalaries[[#This Row],[Years of Experience]]="","",IF(tblSalaries[[#This Row],[Years of Experience]]&gt;20,1,""))</f>
        <v/>
      </c>
      <c r="T16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6" s="13" t="str">
        <f>IF(tblSalaries[[#This Row],[Job Type]]=tblSalaries[[#Headers],[Accountant]],tblSalaries[[#This Row],[Salary in USD]],"")</f>
        <v/>
      </c>
      <c r="V1616" s="13" t="str">
        <f>IF(tblSalaries[[#This Row],[Job Type]]=tblSalaries[[#Headers],[Analyst]],tblSalaries[[#This Row],[Salary in USD]],"")</f>
        <v/>
      </c>
      <c r="W1616" s="13" t="str">
        <f>IF(tblSalaries[[#This Row],[Job Type]]=tblSalaries[[#Headers],[Consultant]],tblSalaries[[#This Row],[Salary in USD]],"")</f>
        <v/>
      </c>
      <c r="X1616" s="13" t="str">
        <f>IF(tblSalaries[[#This Row],[Job Type]]=tblSalaries[[#Headers],[Controller]],tblSalaries[[#This Row],[Salary in USD]],"")</f>
        <v/>
      </c>
      <c r="Y1616" s="13" t="str">
        <f>IF(tblSalaries[[#This Row],[Job Type]]=tblSalaries[[#Headers],[CXO or Top Mgmt.]],tblSalaries[[#This Row],[clean Salary (in local currency)]],"")</f>
        <v/>
      </c>
      <c r="Z1616" s="13" t="str">
        <f>IF(tblSalaries[[#This Row],[Job Type]]=tblSalaries[[#Headers],[Engineer]],tblSalaries[[#This Row],[Salary in USD]],"")</f>
        <v/>
      </c>
      <c r="AA1616" s="13">
        <f>IF(tblSalaries[[#This Row],[Job Type]]=tblSalaries[[#Headers],[Manager]],tblSalaries[[#This Row],[Salary in USD]],"")</f>
        <v>6054.6916737304728</v>
      </c>
      <c r="AB1616" s="13" t="str">
        <f>IF(tblSalaries[[#This Row],[Job Type]]=tblSalaries[[#Headers],[Misc.]],tblSalaries[[#This Row],[Salary in USD]],"")</f>
        <v/>
      </c>
      <c r="AC1616" s="13" t="str">
        <f>IF(tblSalaries[[#This Row],[Job Type]]=tblSalaries[[#Headers],[Reporting]],tblSalaries[[#This Row],[Salary in USD]],"")</f>
        <v/>
      </c>
      <c r="AD1616" s="13" t="str">
        <f>IF(tblSalaries[[#This Row],[Job Type]]=tblSalaries[[#Headers],[Specialist]],tblSalaries[[#This Row],[Salary in USD]],"")</f>
        <v/>
      </c>
    </row>
    <row r="1617" spans="2:30" ht="15" customHeight="1" x14ac:dyDescent="0.25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 s="9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  <c r="N1617" t="str">
        <f>IF(tblSalaries[[#This Row],[Years of Experience]]="","",IF(tblSalaries[[#This Row],[Years of Experience]]&lt;=2,1,""))</f>
        <v/>
      </c>
      <c r="O1617">
        <f>IF(tblSalaries[[#This Row],[Years of Experience]]="","",IF(AND(tblSalaries[[#This Row],[Years of Experience]]&gt;2,tblSalaries[[#This Row],[Years of Experience]]&lt;=5),1,""))</f>
        <v>1</v>
      </c>
      <c r="P1617" t="str">
        <f>IF(tblSalaries[[#This Row],[Years of Experience]]="","",IF(AND(tblSalaries[[#This Row],[Years of Experience]]&gt;5,tblSalaries[[#This Row],[Years of Experience]]&lt;=10),1,""))</f>
        <v/>
      </c>
      <c r="Q1617" t="str">
        <f>IF(tblSalaries[[#This Row],[Years of Experience]]="","",IF(AND(tblSalaries[[#This Row],[Years of Experience]]&gt;10,tblSalaries[[#This Row],[Years of Experience]]&lt;=15),1,""))</f>
        <v/>
      </c>
      <c r="R1617" t="str">
        <f>IF(tblSalaries[[#This Row],[Years of Experience]]="","",IF(AND(tblSalaries[[#This Row],[Years of Experience]]&gt;16,tblSalaries[[#This Row],[Years of Experience]]&lt;=20),1,""))</f>
        <v/>
      </c>
      <c r="S1617" t="str">
        <f>IF(tblSalaries[[#This Row],[Years of Experience]]="","",IF(tblSalaries[[#This Row],[Years of Experience]]&gt;20,1,""))</f>
        <v/>
      </c>
      <c r="T16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17" s="13" t="str">
        <f>IF(tblSalaries[[#This Row],[Job Type]]=tblSalaries[[#Headers],[Accountant]],tblSalaries[[#This Row],[Salary in USD]],"")</f>
        <v/>
      </c>
      <c r="V1617" s="13">
        <f>IF(tblSalaries[[#This Row],[Job Type]]=tblSalaries[[#Headers],[Analyst]],tblSalaries[[#This Row],[Salary in USD]],"")</f>
        <v>3360</v>
      </c>
      <c r="W1617" s="13" t="str">
        <f>IF(tblSalaries[[#This Row],[Job Type]]=tblSalaries[[#Headers],[Consultant]],tblSalaries[[#This Row],[Salary in USD]],"")</f>
        <v/>
      </c>
      <c r="X1617" s="13" t="str">
        <f>IF(tblSalaries[[#This Row],[Job Type]]=tblSalaries[[#Headers],[Controller]],tblSalaries[[#This Row],[Salary in USD]],"")</f>
        <v/>
      </c>
      <c r="Y1617" s="13" t="str">
        <f>IF(tblSalaries[[#This Row],[Job Type]]=tblSalaries[[#Headers],[CXO or Top Mgmt.]],tblSalaries[[#This Row],[clean Salary (in local currency)]],"")</f>
        <v/>
      </c>
      <c r="Z1617" s="13" t="str">
        <f>IF(tblSalaries[[#This Row],[Job Type]]=tblSalaries[[#Headers],[Engineer]],tblSalaries[[#This Row],[Salary in USD]],"")</f>
        <v/>
      </c>
      <c r="AA1617" s="13" t="str">
        <f>IF(tblSalaries[[#This Row],[Job Type]]=tblSalaries[[#Headers],[Manager]],tblSalaries[[#This Row],[Salary in USD]],"")</f>
        <v/>
      </c>
      <c r="AB1617" s="13" t="str">
        <f>IF(tblSalaries[[#This Row],[Job Type]]=tblSalaries[[#Headers],[Misc.]],tblSalaries[[#This Row],[Salary in USD]],"")</f>
        <v/>
      </c>
      <c r="AC1617" s="13" t="str">
        <f>IF(tblSalaries[[#This Row],[Job Type]]=tblSalaries[[#Headers],[Reporting]],tblSalaries[[#This Row],[Salary in USD]],"")</f>
        <v/>
      </c>
      <c r="AD1617" s="13" t="str">
        <f>IF(tblSalaries[[#This Row],[Job Type]]=tblSalaries[[#Headers],[Specialist]],tblSalaries[[#This Row],[Salary in USD]],"")</f>
        <v/>
      </c>
    </row>
    <row r="1618" spans="2:30" ht="15" customHeight="1" x14ac:dyDescent="0.25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 s="9">
        <f>tblSalaries[[#This Row],[clean Salary (in local currency)]]*VLOOKUP(tblSalaries[[#This Row],[Currency]],tblXrate[],2,FALSE)</f>
        <v>10000</v>
      </c>
      <c r="H1618" t="s">
        <v>452</v>
      </c>
      <c r="I1618" t="s">
        <v>4001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  <c r="N1618">
        <f>IF(tblSalaries[[#This Row],[Years of Experience]]="","",IF(tblSalaries[[#This Row],[Years of Experience]]&lt;=2,1,""))</f>
        <v>1</v>
      </c>
      <c r="O1618" t="str">
        <f>IF(tblSalaries[[#This Row],[Years of Experience]]="","",IF(AND(tblSalaries[[#This Row],[Years of Experience]]&gt;2,tblSalaries[[#This Row],[Years of Experience]]&lt;=5),1,""))</f>
        <v/>
      </c>
      <c r="P1618" t="str">
        <f>IF(tblSalaries[[#This Row],[Years of Experience]]="","",IF(AND(tblSalaries[[#This Row],[Years of Experience]]&gt;5,tblSalaries[[#This Row],[Years of Experience]]&lt;=10),1,""))</f>
        <v/>
      </c>
      <c r="Q1618" t="str">
        <f>IF(tblSalaries[[#This Row],[Years of Experience]]="","",IF(AND(tblSalaries[[#This Row],[Years of Experience]]&gt;10,tblSalaries[[#This Row],[Years of Experience]]&lt;=15),1,""))</f>
        <v/>
      </c>
      <c r="R1618" t="str">
        <f>IF(tblSalaries[[#This Row],[Years of Experience]]="","",IF(AND(tblSalaries[[#This Row],[Years of Experience]]&gt;16,tblSalaries[[#This Row],[Years of Experience]]&lt;=20),1,""))</f>
        <v/>
      </c>
      <c r="S1618" t="str">
        <f>IF(tblSalaries[[#This Row],[Years of Experience]]="","",IF(tblSalaries[[#This Row],[Years of Experience]]&gt;20,1,""))</f>
        <v/>
      </c>
      <c r="T16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18" s="13" t="str">
        <f>IF(tblSalaries[[#This Row],[Job Type]]=tblSalaries[[#Headers],[Accountant]],tblSalaries[[#This Row],[Salary in USD]],"")</f>
        <v/>
      </c>
      <c r="V1618" s="13" t="str">
        <f>IF(tblSalaries[[#This Row],[Job Type]]=tblSalaries[[#Headers],[Analyst]],tblSalaries[[#This Row],[Salary in USD]],"")</f>
        <v/>
      </c>
      <c r="W1618" s="13" t="str">
        <f>IF(tblSalaries[[#This Row],[Job Type]]=tblSalaries[[#Headers],[Consultant]],tblSalaries[[#This Row],[Salary in USD]],"")</f>
        <v/>
      </c>
      <c r="X1618" s="13" t="str">
        <f>IF(tblSalaries[[#This Row],[Job Type]]=tblSalaries[[#Headers],[Controller]],tblSalaries[[#This Row],[Salary in USD]],"")</f>
        <v/>
      </c>
      <c r="Y1618" s="13">
        <f>IF(tblSalaries[[#This Row],[Job Type]]=tblSalaries[[#Headers],[CXO or Top Mgmt.]],tblSalaries[[#This Row],[clean Salary (in local currency)]],"")</f>
        <v>10000</v>
      </c>
      <c r="Z1618" s="13" t="str">
        <f>IF(tblSalaries[[#This Row],[Job Type]]=tblSalaries[[#Headers],[Engineer]],tblSalaries[[#This Row],[Salary in USD]],"")</f>
        <v/>
      </c>
      <c r="AA1618" s="13" t="str">
        <f>IF(tblSalaries[[#This Row],[Job Type]]=tblSalaries[[#Headers],[Manager]],tblSalaries[[#This Row],[Salary in USD]],"")</f>
        <v/>
      </c>
      <c r="AB1618" s="13" t="str">
        <f>IF(tblSalaries[[#This Row],[Job Type]]=tblSalaries[[#Headers],[Misc.]],tblSalaries[[#This Row],[Salary in USD]],"")</f>
        <v/>
      </c>
      <c r="AC1618" s="13" t="str">
        <f>IF(tblSalaries[[#This Row],[Job Type]]=tblSalaries[[#Headers],[Reporting]],tblSalaries[[#This Row],[Salary in USD]],"")</f>
        <v/>
      </c>
      <c r="AD1618" s="13" t="str">
        <f>IF(tblSalaries[[#This Row],[Job Type]]=tblSalaries[[#Headers],[Specialist]],tblSalaries[[#This Row],[Salary in USD]],"")</f>
        <v/>
      </c>
    </row>
    <row r="1619" spans="2:30" ht="15" customHeight="1" x14ac:dyDescent="0.25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 s="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  <c r="N1619" t="str">
        <f>IF(tblSalaries[[#This Row],[Years of Experience]]="","",IF(tblSalaries[[#This Row],[Years of Experience]]&lt;=2,1,""))</f>
        <v/>
      </c>
      <c r="O1619" t="str">
        <f>IF(tblSalaries[[#This Row],[Years of Experience]]="","",IF(AND(tblSalaries[[#This Row],[Years of Experience]]&gt;2,tblSalaries[[#This Row],[Years of Experience]]&lt;=5),1,""))</f>
        <v/>
      </c>
      <c r="P1619">
        <f>IF(tblSalaries[[#This Row],[Years of Experience]]="","",IF(AND(tblSalaries[[#This Row],[Years of Experience]]&gt;5,tblSalaries[[#This Row],[Years of Experience]]&lt;=10),1,""))</f>
        <v>1</v>
      </c>
      <c r="Q1619" t="str">
        <f>IF(tblSalaries[[#This Row],[Years of Experience]]="","",IF(AND(tblSalaries[[#This Row],[Years of Experience]]&gt;10,tblSalaries[[#This Row],[Years of Experience]]&lt;=15),1,""))</f>
        <v/>
      </c>
      <c r="R1619" t="str">
        <f>IF(tblSalaries[[#This Row],[Years of Experience]]="","",IF(AND(tblSalaries[[#This Row],[Years of Experience]]&gt;16,tblSalaries[[#This Row],[Years of Experience]]&lt;=20),1,""))</f>
        <v/>
      </c>
      <c r="S1619" t="str">
        <f>IF(tblSalaries[[#This Row],[Years of Experience]]="","",IF(tblSalaries[[#This Row],[Years of Experience]]&gt;20,1,""))</f>
        <v/>
      </c>
      <c r="T16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19" s="13" t="str">
        <f>IF(tblSalaries[[#This Row],[Job Type]]=tblSalaries[[#Headers],[Accountant]],tblSalaries[[#This Row],[Salary in USD]],"")</f>
        <v/>
      </c>
      <c r="V1619" s="13">
        <f>IF(tblSalaries[[#This Row],[Job Type]]=tblSalaries[[#Headers],[Analyst]],tblSalaries[[#This Row],[Salary in USD]],"")</f>
        <v>70000</v>
      </c>
      <c r="W1619" s="13" t="str">
        <f>IF(tblSalaries[[#This Row],[Job Type]]=tblSalaries[[#Headers],[Consultant]],tblSalaries[[#This Row],[Salary in USD]],"")</f>
        <v/>
      </c>
      <c r="X1619" s="13" t="str">
        <f>IF(tblSalaries[[#This Row],[Job Type]]=tblSalaries[[#Headers],[Controller]],tblSalaries[[#This Row],[Salary in USD]],"")</f>
        <v/>
      </c>
      <c r="Y1619" s="13" t="str">
        <f>IF(tblSalaries[[#This Row],[Job Type]]=tblSalaries[[#Headers],[CXO or Top Mgmt.]],tblSalaries[[#This Row],[clean Salary (in local currency)]],"")</f>
        <v/>
      </c>
      <c r="Z1619" s="13" t="str">
        <f>IF(tblSalaries[[#This Row],[Job Type]]=tblSalaries[[#Headers],[Engineer]],tblSalaries[[#This Row],[Salary in USD]],"")</f>
        <v/>
      </c>
      <c r="AA1619" s="13" t="str">
        <f>IF(tblSalaries[[#This Row],[Job Type]]=tblSalaries[[#Headers],[Manager]],tblSalaries[[#This Row],[Salary in USD]],"")</f>
        <v/>
      </c>
      <c r="AB1619" s="13" t="str">
        <f>IF(tblSalaries[[#This Row],[Job Type]]=tblSalaries[[#Headers],[Misc.]],tblSalaries[[#This Row],[Salary in USD]],"")</f>
        <v/>
      </c>
      <c r="AC1619" s="13" t="str">
        <f>IF(tblSalaries[[#This Row],[Job Type]]=tblSalaries[[#Headers],[Reporting]],tblSalaries[[#This Row],[Salary in USD]],"")</f>
        <v/>
      </c>
      <c r="AD1619" s="13" t="str">
        <f>IF(tblSalaries[[#This Row],[Job Type]]=tblSalaries[[#Headers],[Specialist]],tblSalaries[[#This Row],[Salary in USD]],"")</f>
        <v/>
      </c>
    </row>
    <row r="1620" spans="2:30" ht="15" customHeight="1" x14ac:dyDescent="0.25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 s="9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  <c r="N1620" t="str">
        <f>IF(tblSalaries[[#This Row],[Years of Experience]]="","",IF(tblSalaries[[#This Row],[Years of Experience]]&lt;=2,1,""))</f>
        <v/>
      </c>
      <c r="O1620" t="str">
        <f>IF(tblSalaries[[#This Row],[Years of Experience]]="","",IF(AND(tblSalaries[[#This Row],[Years of Experience]]&gt;2,tblSalaries[[#This Row],[Years of Experience]]&lt;=5),1,""))</f>
        <v/>
      </c>
      <c r="P1620" t="str">
        <f>IF(tblSalaries[[#This Row],[Years of Experience]]="","",IF(AND(tblSalaries[[#This Row],[Years of Experience]]&gt;5,tblSalaries[[#This Row],[Years of Experience]]&lt;=10),1,""))</f>
        <v/>
      </c>
      <c r="Q1620">
        <f>IF(tblSalaries[[#This Row],[Years of Experience]]="","",IF(AND(tblSalaries[[#This Row],[Years of Experience]]&gt;10,tblSalaries[[#This Row],[Years of Experience]]&lt;=15),1,""))</f>
        <v>1</v>
      </c>
      <c r="R1620" t="str">
        <f>IF(tblSalaries[[#This Row],[Years of Experience]]="","",IF(AND(tblSalaries[[#This Row],[Years of Experience]]&gt;16,tblSalaries[[#This Row],[Years of Experience]]&lt;=20),1,""))</f>
        <v/>
      </c>
      <c r="S1620" t="str">
        <f>IF(tblSalaries[[#This Row],[Years of Experience]]="","",IF(tblSalaries[[#This Row],[Years of Experience]]&gt;20,1,""))</f>
        <v/>
      </c>
      <c r="T16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20" s="13" t="str">
        <f>IF(tblSalaries[[#This Row],[Job Type]]=tblSalaries[[#Headers],[Accountant]],tblSalaries[[#This Row],[Salary in USD]],"")</f>
        <v/>
      </c>
      <c r="V1620" s="13" t="str">
        <f>IF(tblSalaries[[#This Row],[Job Type]]=tblSalaries[[#Headers],[Analyst]],tblSalaries[[#This Row],[Salary in USD]],"")</f>
        <v/>
      </c>
      <c r="W1620" s="13" t="str">
        <f>IF(tblSalaries[[#This Row],[Job Type]]=tblSalaries[[#Headers],[Consultant]],tblSalaries[[#This Row],[Salary in USD]],"")</f>
        <v/>
      </c>
      <c r="X1620" s="13" t="str">
        <f>IF(tblSalaries[[#This Row],[Job Type]]=tblSalaries[[#Headers],[Controller]],tblSalaries[[#This Row],[Salary in USD]],"")</f>
        <v/>
      </c>
      <c r="Y1620" s="13" t="str">
        <f>IF(tblSalaries[[#This Row],[Job Type]]=tblSalaries[[#Headers],[CXO or Top Mgmt.]],tblSalaries[[#This Row],[clean Salary (in local currency)]],"")</f>
        <v/>
      </c>
      <c r="Z1620" s="13" t="str">
        <f>IF(tblSalaries[[#This Row],[Job Type]]=tblSalaries[[#Headers],[Engineer]],tblSalaries[[#This Row],[Salary in USD]],"")</f>
        <v/>
      </c>
      <c r="AA1620" s="13">
        <f>IF(tblSalaries[[#This Row],[Job Type]]=tblSalaries[[#Headers],[Manager]],tblSalaries[[#This Row],[Salary in USD]],"")</f>
        <v>155000</v>
      </c>
      <c r="AB1620" s="13" t="str">
        <f>IF(tblSalaries[[#This Row],[Job Type]]=tblSalaries[[#Headers],[Misc.]],tblSalaries[[#This Row],[Salary in USD]],"")</f>
        <v/>
      </c>
      <c r="AC1620" s="13" t="str">
        <f>IF(tblSalaries[[#This Row],[Job Type]]=tblSalaries[[#Headers],[Reporting]],tblSalaries[[#This Row],[Salary in USD]],"")</f>
        <v/>
      </c>
      <c r="AD1620" s="13" t="str">
        <f>IF(tblSalaries[[#This Row],[Job Type]]=tblSalaries[[#Headers],[Specialist]],tblSalaries[[#This Row],[Salary in USD]],"")</f>
        <v/>
      </c>
    </row>
    <row r="1621" spans="2:30" ht="15" customHeight="1" x14ac:dyDescent="0.25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 s="9">
        <f>tblSalaries[[#This Row],[clean Salary (in local currency)]]*VLOOKUP(tblSalaries[[#This Row],[Currency]],tblXrate[],2,FALSE)</f>
        <v>225000</v>
      </c>
      <c r="H1621" t="s">
        <v>1793</v>
      </c>
      <c r="I1621" t="s">
        <v>4001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  <c r="N1621" t="str">
        <f>IF(tblSalaries[[#This Row],[Years of Experience]]="","",IF(tblSalaries[[#This Row],[Years of Experience]]&lt;=2,1,""))</f>
        <v/>
      </c>
      <c r="O1621" t="str">
        <f>IF(tblSalaries[[#This Row],[Years of Experience]]="","",IF(AND(tblSalaries[[#This Row],[Years of Experience]]&gt;2,tblSalaries[[#This Row],[Years of Experience]]&lt;=5),1,""))</f>
        <v/>
      </c>
      <c r="P1621" t="str">
        <f>IF(tblSalaries[[#This Row],[Years of Experience]]="","",IF(AND(tblSalaries[[#This Row],[Years of Experience]]&gt;5,tblSalaries[[#This Row],[Years of Experience]]&lt;=10),1,""))</f>
        <v/>
      </c>
      <c r="Q1621">
        <f>IF(tblSalaries[[#This Row],[Years of Experience]]="","",IF(AND(tblSalaries[[#This Row],[Years of Experience]]&gt;10,tblSalaries[[#This Row],[Years of Experience]]&lt;=15),1,""))</f>
        <v>1</v>
      </c>
      <c r="R1621" t="str">
        <f>IF(tblSalaries[[#This Row],[Years of Experience]]="","",IF(AND(tblSalaries[[#This Row],[Years of Experience]]&gt;16,tblSalaries[[#This Row],[Years of Experience]]&lt;=20),1,""))</f>
        <v/>
      </c>
      <c r="S1621" t="str">
        <f>IF(tblSalaries[[#This Row],[Years of Experience]]="","",IF(tblSalaries[[#This Row],[Years of Experience]]&gt;20,1,""))</f>
        <v/>
      </c>
      <c r="T16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21" s="13" t="str">
        <f>IF(tblSalaries[[#This Row],[Job Type]]=tblSalaries[[#Headers],[Accountant]],tblSalaries[[#This Row],[Salary in USD]],"")</f>
        <v/>
      </c>
      <c r="V1621" s="13" t="str">
        <f>IF(tblSalaries[[#This Row],[Job Type]]=tblSalaries[[#Headers],[Analyst]],tblSalaries[[#This Row],[Salary in USD]],"")</f>
        <v/>
      </c>
      <c r="W1621" s="13" t="str">
        <f>IF(tblSalaries[[#This Row],[Job Type]]=tblSalaries[[#Headers],[Consultant]],tblSalaries[[#This Row],[Salary in USD]],"")</f>
        <v/>
      </c>
      <c r="X1621" s="13" t="str">
        <f>IF(tblSalaries[[#This Row],[Job Type]]=tblSalaries[[#Headers],[Controller]],tblSalaries[[#This Row],[Salary in USD]],"")</f>
        <v/>
      </c>
      <c r="Y1621" s="13">
        <f>IF(tblSalaries[[#This Row],[Job Type]]=tblSalaries[[#Headers],[CXO or Top Mgmt.]],tblSalaries[[#This Row],[clean Salary (in local currency)]],"")</f>
        <v>225000</v>
      </c>
      <c r="Z1621" s="13" t="str">
        <f>IF(tblSalaries[[#This Row],[Job Type]]=tblSalaries[[#Headers],[Engineer]],tblSalaries[[#This Row],[Salary in USD]],"")</f>
        <v/>
      </c>
      <c r="AA1621" s="13" t="str">
        <f>IF(tblSalaries[[#This Row],[Job Type]]=tblSalaries[[#Headers],[Manager]],tblSalaries[[#This Row],[Salary in USD]],"")</f>
        <v/>
      </c>
      <c r="AB1621" s="13" t="str">
        <f>IF(tblSalaries[[#This Row],[Job Type]]=tblSalaries[[#Headers],[Misc.]],tblSalaries[[#This Row],[Salary in USD]],"")</f>
        <v/>
      </c>
      <c r="AC1621" s="13" t="str">
        <f>IF(tblSalaries[[#This Row],[Job Type]]=tblSalaries[[#Headers],[Reporting]],tblSalaries[[#This Row],[Salary in USD]],"")</f>
        <v/>
      </c>
      <c r="AD1621" s="13" t="str">
        <f>IF(tblSalaries[[#This Row],[Job Type]]=tblSalaries[[#Headers],[Specialist]],tblSalaries[[#This Row],[Salary in USD]],"")</f>
        <v/>
      </c>
    </row>
    <row r="1622" spans="2:30" ht="15" customHeight="1" x14ac:dyDescent="0.25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 s="9">
        <f>tblSalaries[[#This Row],[clean Salary (in local currency)]]*VLOOKUP(tblSalaries[[#This Row],[Currency]],tblXrate[],2,FALSE)</f>
        <v>10000</v>
      </c>
      <c r="H1622" t="s">
        <v>721</v>
      </c>
      <c r="I1622" t="s">
        <v>3999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  <c r="N1622">
        <f>IF(tblSalaries[[#This Row],[Years of Experience]]="","",IF(tblSalaries[[#This Row],[Years of Experience]]&lt;=2,1,""))</f>
        <v>1</v>
      </c>
      <c r="O1622" t="str">
        <f>IF(tblSalaries[[#This Row],[Years of Experience]]="","",IF(AND(tblSalaries[[#This Row],[Years of Experience]]&gt;2,tblSalaries[[#This Row],[Years of Experience]]&lt;=5),1,""))</f>
        <v/>
      </c>
      <c r="P1622" t="str">
        <f>IF(tblSalaries[[#This Row],[Years of Experience]]="","",IF(AND(tblSalaries[[#This Row],[Years of Experience]]&gt;5,tblSalaries[[#This Row],[Years of Experience]]&lt;=10),1,""))</f>
        <v/>
      </c>
      <c r="Q1622" t="str">
        <f>IF(tblSalaries[[#This Row],[Years of Experience]]="","",IF(AND(tblSalaries[[#This Row],[Years of Experience]]&gt;10,tblSalaries[[#This Row],[Years of Experience]]&lt;=15),1,""))</f>
        <v/>
      </c>
      <c r="R1622" t="str">
        <f>IF(tblSalaries[[#This Row],[Years of Experience]]="","",IF(AND(tblSalaries[[#This Row],[Years of Experience]]&gt;16,tblSalaries[[#This Row],[Years of Experience]]&lt;=20),1,""))</f>
        <v/>
      </c>
      <c r="S1622" t="str">
        <f>IF(tblSalaries[[#This Row],[Years of Experience]]="","",IF(tblSalaries[[#This Row],[Years of Experience]]&gt;20,1,""))</f>
        <v/>
      </c>
      <c r="T16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22" s="13" t="str">
        <f>IF(tblSalaries[[#This Row],[Job Type]]=tblSalaries[[#Headers],[Accountant]],tblSalaries[[#This Row],[Salary in USD]],"")</f>
        <v/>
      </c>
      <c r="V1622" s="13" t="str">
        <f>IF(tblSalaries[[#This Row],[Job Type]]=tblSalaries[[#Headers],[Analyst]],tblSalaries[[#This Row],[Salary in USD]],"")</f>
        <v/>
      </c>
      <c r="W1622" s="13" t="str">
        <f>IF(tblSalaries[[#This Row],[Job Type]]=tblSalaries[[#Headers],[Consultant]],tblSalaries[[#This Row],[Salary in USD]],"")</f>
        <v/>
      </c>
      <c r="X1622" s="13" t="str">
        <f>IF(tblSalaries[[#This Row],[Job Type]]=tblSalaries[[#Headers],[Controller]],tblSalaries[[#This Row],[Salary in USD]],"")</f>
        <v/>
      </c>
      <c r="Y1622" s="13" t="str">
        <f>IF(tblSalaries[[#This Row],[Job Type]]=tblSalaries[[#Headers],[CXO or Top Mgmt.]],tblSalaries[[#This Row],[clean Salary (in local currency)]],"")</f>
        <v/>
      </c>
      <c r="Z1622" s="13" t="str">
        <f>IF(tblSalaries[[#This Row],[Job Type]]=tblSalaries[[#Headers],[Engineer]],tblSalaries[[#This Row],[Salary in USD]],"")</f>
        <v/>
      </c>
      <c r="AA1622" s="13" t="str">
        <f>IF(tblSalaries[[#This Row],[Job Type]]=tblSalaries[[#Headers],[Manager]],tblSalaries[[#This Row],[Salary in USD]],"")</f>
        <v/>
      </c>
      <c r="AB1622" s="13" t="str">
        <f>IF(tblSalaries[[#This Row],[Job Type]]=tblSalaries[[#Headers],[Misc.]],tblSalaries[[#This Row],[Salary in USD]],"")</f>
        <v/>
      </c>
      <c r="AC1622" s="13">
        <f>IF(tblSalaries[[#This Row],[Job Type]]=tblSalaries[[#Headers],[Reporting]],tblSalaries[[#This Row],[Salary in USD]],"")</f>
        <v>10000</v>
      </c>
      <c r="AD1622" s="13" t="str">
        <f>IF(tblSalaries[[#This Row],[Job Type]]=tblSalaries[[#Headers],[Specialist]],tblSalaries[[#This Row],[Salary in USD]],"")</f>
        <v/>
      </c>
    </row>
    <row r="1623" spans="2:30" ht="15" customHeight="1" x14ac:dyDescent="0.25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 s="9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  <c r="N1623" t="str">
        <f>IF(tblSalaries[[#This Row],[Years of Experience]]="","",IF(tblSalaries[[#This Row],[Years of Experience]]&lt;=2,1,""))</f>
        <v/>
      </c>
      <c r="O1623" t="str">
        <f>IF(tblSalaries[[#This Row],[Years of Experience]]="","",IF(AND(tblSalaries[[#This Row],[Years of Experience]]&gt;2,tblSalaries[[#This Row],[Years of Experience]]&lt;=5),1,""))</f>
        <v/>
      </c>
      <c r="P1623">
        <f>IF(tblSalaries[[#This Row],[Years of Experience]]="","",IF(AND(tblSalaries[[#This Row],[Years of Experience]]&gt;5,tblSalaries[[#This Row],[Years of Experience]]&lt;=10),1,""))</f>
        <v>1</v>
      </c>
      <c r="Q1623" t="str">
        <f>IF(tblSalaries[[#This Row],[Years of Experience]]="","",IF(AND(tblSalaries[[#This Row],[Years of Experience]]&gt;10,tblSalaries[[#This Row],[Years of Experience]]&lt;=15),1,""))</f>
        <v/>
      </c>
      <c r="R1623" t="str">
        <f>IF(tblSalaries[[#This Row],[Years of Experience]]="","",IF(AND(tblSalaries[[#This Row],[Years of Experience]]&gt;16,tblSalaries[[#This Row],[Years of Experience]]&lt;=20),1,""))</f>
        <v/>
      </c>
      <c r="S1623" t="str">
        <f>IF(tblSalaries[[#This Row],[Years of Experience]]="","",IF(tblSalaries[[#This Row],[Years of Experience]]&gt;20,1,""))</f>
        <v/>
      </c>
      <c r="T16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23" s="13" t="str">
        <f>IF(tblSalaries[[#This Row],[Job Type]]=tblSalaries[[#Headers],[Accountant]],tblSalaries[[#This Row],[Salary in USD]],"")</f>
        <v/>
      </c>
      <c r="V1623" s="13">
        <f>IF(tblSalaries[[#This Row],[Job Type]]=tblSalaries[[#Headers],[Analyst]],tblSalaries[[#This Row],[Salary in USD]],"")</f>
        <v>5342.3750062327708</v>
      </c>
      <c r="W1623" s="13" t="str">
        <f>IF(tblSalaries[[#This Row],[Job Type]]=tblSalaries[[#Headers],[Consultant]],tblSalaries[[#This Row],[Salary in USD]],"")</f>
        <v/>
      </c>
      <c r="X1623" s="13" t="str">
        <f>IF(tblSalaries[[#This Row],[Job Type]]=tblSalaries[[#Headers],[Controller]],tblSalaries[[#This Row],[Salary in USD]],"")</f>
        <v/>
      </c>
      <c r="Y1623" s="13" t="str">
        <f>IF(tblSalaries[[#This Row],[Job Type]]=tblSalaries[[#Headers],[CXO or Top Mgmt.]],tblSalaries[[#This Row],[clean Salary (in local currency)]],"")</f>
        <v/>
      </c>
      <c r="Z1623" s="13" t="str">
        <f>IF(tblSalaries[[#This Row],[Job Type]]=tblSalaries[[#Headers],[Engineer]],tblSalaries[[#This Row],[Salary in USD]],"")</f>
        <v/>
      </c>
      <c r="AA1623" s="13" t="str">
        <f>IF(tblSalaries[[#This Row],[Job Type]]=tblSalaries[[#Headers],[Manager]],tblSalaries[[#This Row],[Salary in USD]],"")</f>
        <v/>
      </c>
      <c r="AB1623" s="13" t="str">
        <f>IF(tblSalaries[[#This Row],[Job Type]]=tblSalaries[[#Headers],[Misc.]],tblSalaries[[#This Row],[Salary in USD]],"")</f>
        <v/>
      </c>
      <c r="AC1623" s="13" t="str">
        <f>IF(tblSalaries[[#This Row],[Job Type]]=tblSalaries[[#Headers],[Reporting]],tblSalaries[[#This Row],[Salary in USD]],"")</f>
        <v/>
      </c>
      <c r="AD1623" s="13" t="str">
        <f>IF(tblSalaries[[#This Row],[Job Type]]=tblSalaries[[#Headers],[Specialist]],tblSalaries[[#This Row],[Salary in USD]],"")</f>
        <v/>
      </c>
    </row>
    <row r="1624" spans="2:30" ht="15" customHeight="1" x14ac:dyDescent="0.25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 s="9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  <c r="N1624" t="str">
        <f>IF(tblSalaries[[#This Row],[Years of Experience]]="","",IF(tblSalaries[[#This Row],[Years of Experience]]&lt;=2,1,""))</f>
        <v/>
      </c>
      <c r="O1624" t="str">
        <f>IF(tblSalaries[[#This Row],[Years of Experience]]="","",IF(AND(tblSalaries[[#This Row],[Years of Experience]]&gt;2,tblSalaries[[#This Row],[Years of Experience]]&lt;=5),1,""))</f>
        <v/>
      </c>
      <c r="P1624">
        <f>IF(tblSalaries[[#This Row],[Years of Experience]]="","",IF(AND(tblSalaries[[#This Row],[Years of Experience]]&gt;5,tblSalaries[[#This Row],[Years of Experience]]&lt;=10),1,""))</f>
        <v>1</v>
      </c>
      <c r="Q1624" t="str">
        <f>IF(tblSalaries[[#This Row],[Years of Experience]]="","",IF(AND(tblSalaries[[#This Row],[Years of Experience]]&gt;10,tblSalaries[[#This Row],[Years of Experience]]&lt;=15),1,""))</f>
        <v/>
      </c>
      <c r="R1624" t="str">
        <f>IF(tblSalaries[[#This Row],[Years of Experience]]="","",IF(AND(tblSalaries[[#This Row],[Years of Experience]]&gt;16,tblSalaries[[#This Row],[Years of Experience]]&lt;=20),1,""))</f>
        <v/>
      </c>
      <c r="S1624" t="str">
        <f>IF(tblSalaries[[#This Row],[Years of Experience]]="","",IF(tblSalaries[[#This Row],[Years of Experience]]&gt;20,1,""))</f>
        <v/>
      </c>
      <c r="T16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24" s="13" t="str">
        <f>IF(tblSalaries[[#This Row],[Job Type]]=tblSalaries[[#Headers],[Accountant]],tblSalaries[[#This Row],[Salary in USD]],"")</f>
        <v/>
      </c>
      <c r="V1624" s="13" t="str">
        <f>IF(tblSalaries[[#This Row],[Job Type]]=tblSalaries[[#Headers],[Analyst]],tblSalaries[[#This Row],[Salary in USD]],"")</f>
        <v/>
      </c>
      <c r="W1624" s="13">
        <f>IF(tblSalaries[[#This Row],[Job Type]]=tblSalaries[[#Headers],[Consultant]],tblSalaries[[#This Row],[Salary in USD]],"")</f>
        <v>85672.4111378214</v>
      </c>
      <c r="X1624" s="13" t="str">
        <f>IF(tblSalaries[[#This Row],[Job Type]]=tblSalaries[[#Headers],[Controller]],tblSalaries[[#This Row],[Salary in USD]],"")</f>
        <v/>
      </c>
      <c r="Y1624" s="13" t="str">
        <f>IF(tblSalaries[[#This Row],[Job Type]]=tblSalaries[[#Headers],[CXO or Top Mgmt.]],tblSalaries[[#This Row],[clean Salary (in local currency)]],"")</f>
        <v/>
      </c>
      <c r="Z1624" s="13" t="str">
        <f>IF(tblSalaries[[#This Row],[Job Type]]=tblSalaries[[#Headers],[Engineer]],tblSalaries[[#This Row],[Salary in USD]],"")</f>
        <v/>
      </c>
      <c r="AA1624" s="13" t="str">
        <f>IF(tblSalaries[[#This Row],[Job Type]]=tblSalaries[[#Headers],[Manager]],tblSalaries[[#This Row],[Salary in USD]],"")</f>
        <v/>
      </c>
      <c r="AB1624" s="13" t="str">
        <f>IF(tblSalaries[[#This Row],[Job Type]]=tblSalaries[[#Headers],[Misc.]],tblSalaries[[#This Row],[Salary in USD]],"")</f>
        <v/>
      </c>
      <c r="AC1624" s="13" t="str">
        <f>IF(tblSalaries[[#This Row],[Job Type]]=tblSalaries[[#Headers],[Reporting]],tblSalaries[[#This Row],[Salary in USD]],"")</f>
        <v/>
      </c>
      <c r="AD1624" s="13" t="str">
        <f>IF(tblSalaries[[#This Row],[Job Type]]=tblSalaries[[#Headers],[Specialist]],tblSalaries[[#This Row],[Salary in USD]],"")</f>
        <v/>
      </c>
    </row>
    <row r="1625" spans="2:30" ht="15" customHeight="1" x14ac:dyDescent="0.25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 s="9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  <c r="N1625" t="str">
        <f>IF(tblSalaries[[#This Row],[Years of Experience]]="","",IF(tblSalaries[[#This Row],[Years of Experience]]&lt;=2,1,""))</f>
        <v/>
      </c>
      <c r="O1625" t="str">
        <f>IF(tblSalaries[[#This Row],[Years of Experience]]="","",IF(AND(tblSalaries[[#This Row],[Years of Experience]]&gt;2,tblSalaries[[#This Row],[Years of Experience]]&lt;=5),1,""))</f>
        <v/>
      </c>
      <c r="P1625" t="str">
        <f>IF(tblSalaries[[#This Row],[Years of Experience]]="","",IF(AND(tblSalaries[[#This Row],[Years of Experience]]&gt;5,tblSalaries[[#This Row],[Years of Experience]]&lt;=10),1,""))</f>
        <v/>
      </c>
      <c r="Q1625">
        <f>IF(tblSalaries[[#This Row],[Years of Experience]]="","",IF(AND(tblSalaries[[#This Row],[Years of Experience]]&gt;10,tblSalaries[[#This Row],[Years of Experience]]&lt;=15),1,""))</f>
        <v>1</v>
      </c>
      <c r="R1625" t="str">
        <f>IF(tblSalaries[[#This Row],[Years of Experience]]="","",IF(AND(tblSalaries[[#This Row],[Years of Experience]]&gt;16,tblSalaries[[#This Row],[Years of Experience]]&lt;=20),1,""))</f>
        <v/>
      </c>
      <c r="S1625" t="str">
        <f>IF(tblSalaries[[#This Row],[Years of Experience]]="","",IF(tblSalaries[[#This Row],[Years of Experience]]&gt;20,1,""))</f>
        <v/>
      </c>
      <c r="T16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25" s="13" t="str">
        <f>IF(tblSalaries[[#This Row],[Job Type]]=tblSalaries[[#Headers],[Accountant]],tblSalaries[[#This Row],[Salary in USD]],"")</f>
        <v/>
      </c>
      <c r="V1625" s="13" t="str">
        <f>IF(tblSalaries[[#This Row],[Job Type]]=tblSalaries[[#Headers],[Analyst]],tblSalaries[[#This Row],[Salary in USD]],"")</f>
        <v/>
      </c>
      <c r="W1625" s="13" t="str">
        <f>IF(tblSalaries[[#This Row],[Job Type]]=tblSalaries[[#Headers],[Consultant]],tblSalaries[[#This Row],[Salary in USD]],"")</f>
        <v/>
      </c>
      <c r="X1625" s="13">
        <f>IF(tblSalaries[[#This Row],[Job Type]]=tblSalaries[[#Headers],[Controller]],tblSalaries[[#This Row],[Salary in USD]],"")</f>
        <v>4273.9000049862161</v>
      </c>
      <c r="Y1625" s="13" t="str">
        <f>IF(tblSalaries[[#This Row],[Job Type]]=tblSalaries[[#Headers],[CXO or Top Mgmt.]],tblSalaries[[#This Row],[clean Salary (in local currency)]],"")</f>
        <v/>
      </c>
      <c r="Z1625" s="13" t="str">
        <f>IF(tblSalaries[[#This Row],[Job Type]]=tblSalaries[[#Headers],[Engineer]],tblSalaries[[#This Row],[Salary in USD]],"")</f>
        <v/>
      </c>
      <c r="AA1625" s="13" t="str">
        <f>IF(tblSalaries[[#This Row],[Job Type]]=tblSalaries[[#Headers],[Manager]],tblSalaries[[#This Row],[Salary in USD]],"")</f>
        <v/>
      </c>
      <c r="AB1625" s="13" t="str">
        <f>IF(tblSalaries[[#This Row],[Job Type]]=tblSalaries[[#Headers],[Misc.]],tblSalaries[[#This Row],[Salary in USD]],"")</f>
        <v/>
      </c>
      <c r="AC1625" s="13" t="str">
        <f>IF(tblSalaries[[#This Row],[Job Type]]=tblSalaries[[#Headers],[Reporting]],tblSalaries[[#This Row],[Salary in USD]],"")</f>
        <v/>
      </c>
      <c r="AD1625" s="13" t="str">
        <f>IF(tblSalaries[[#This Row],[Job Type]]=tblSalaries[[#Headers],[Specialist]],tblSalaries[[#This Row],[Salary in USD]],"")</f>
        <v/>
      </c>
    </row>
    <row r="1626" spans="2:30" ht="15" customHeight="1" x14ac:dyDescent="0.25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 s="9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  <c r="N1626" t="str">
        <f>IF(tblSalaries[[#This Row],[Years of Experience]]="","",IF(tblSalaries[[#This Row],[Years of Experience]]&lt;=2,1,""))</f>
        <v/>
      </c>
      <c r="O1626" t="str">
        <f>IF(tblSalaries[[#This Row],[Years of Experience]]="","",IF(AND(tblSalaries[[#This Row],[Years of Experience]]&gt;2,tblSalaries[[#This Row],[Years of Experience]]&lt;=5),1,""))</f>
        <v/>
      </c>
      <c r="P1626" t="str">
        <f>IF(tblSalaries[[#This Row],[Years of Experience]]="","",IF(AND(tblSalaries[[#This Row],[Years of Experience]]&gt;5,tblSalaries[[#This Row],[Years of Experience]]&lt;=10),1,""))</f>
        <v/>
      </c>
      <c r="Q1626" t="str">
        <f>IF(tblSalaries[[#This Row],[Years of Experience]]="","",IF(AND(tblSalaries[[#This Row],[Years of Experience]]&gt;10,tblSalaries[[#This Row],[Years of Experience]]&lt;=15),1,""))</f>
        <v/>
      </c>
      <c r="R1626">
        <f>IF(tblSalaries[[#This Row],[Years of Experience]]="","",IF(AND(tblSalaries[[#This Row],[Years of Experience]]&gt;16,tblSalaries[[#This Row],[Years of Experience]]&lt;=20),1,""))</f>
        <v>1</v>
      </c>
      <c r="S1626" t="str">
        <f>IF(tblSalaries[[#This Row],[Years of Experience]]="","",IF(tblSalaries[[#This Row],[Years of Experience]]&gt;20,1,""))</f>
        <v/>
      </c>
      <c r="T16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626" s="13" t="str">
        <f>IF(tblSalaries[[#This Row],[Job Type]]=tblSalaries[[#Headers],[Accountant]],tblSalaries[[#This Row],[Salary in USD]],"")</f>
        <v/>
      </c>
      <c r="V1626" s="13" t="str">
        <f>IF(tblSalaries[[#This Row],[Job Type]]=tblSalaries[[#Headers],[Analyst]],tblSalaries[[#This Row],[Salary in USD]],"")</f>
        <v/>
      </c>
      <c r="W1626" s="13" t="str">
        <f>IF(tblSalaries[[#This Row],[Job Type]]=tblSalaries[[#Headers],[Consultant]],tblSalaries[[#This Row],[Salary in USD]],"")</f>
        <v/>
      </c>
      <c r="X1626" s="13" t="str">
        <f>IF(tblSalaries[[#This Row],[Job Type]]=tblSalaries[[#Headers],[Controller]],tblSalaries[[#This Row],[Salary in USD]],"")</f>
        <v/>
      </c>
      <c r="Y1626" s="13" t="str">
        <f>IF(tblSalaries[[#This Row],[Job Type]]=tblSalaries[[#Headers],[CXO or Top Mgmt.]],tblSalaries[[#This Row],[clean Salary (in local currency)]],"")</f>
        <v/>
      </c>
      <c r="Z1626" s="13" t="str">
        <f>IF(tblSalaries[[#This Row],[Job Type]]=tblSalaries[[#Headers],[Engineer]],tblSalaries[[#This Row],[Salary in USD]],"")</f>
        <v/>
      </c>
      <c r="AA1626" s="13">
        <f>IF(tblSalaries[[#This Row],[Job Type]]=tblSalaries[[#Headers],[Manager]],tblSalaries[[#This Row],[Salary in USD]],"")</f>
        <v>8903.9583437212841</v>
      </c>
      <c r="AB1626" s="13" t="str">
        <f>IF(tblSalaries[[#This Row],[Job Type]]=tblSalaries[[#Headers],[Misc.]],tblSalaries[[#This Row],[Salary in USD]],"")</f>
        <v/>
      </c>
      <c r="AC1626" s="13" t="str">
        <f>IF(tblSalaries[[#This Row],[Job Type]]=tblSalaries[[#Headers],[Reporting]],tblSalaries[[#This Row],[Salary in USD]],"")</f>
        <v/>
      </c>
      <c r="AD1626" s="13" t="str">
        <f>IF(tblSalaries[[#This Row],[Job Type]]=tblSalaries[[#Headers],[Specialist]],tblSalaries[[#This Row],[Salary in USD]],"")</f>
        <v/>
      </c>
    </row>
    <row r="1627" spans="2:30" ht="15" customHeight="1" x14ac:dyDescent="0.25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 s="9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  <c r="N1627" t="str">
        <f>IF(tblSalaries[[#This Row],[Years of Experience]]="","",IF(tblSalaries[[#This Row],[Years of Experience]]&lt;=2,1,""))</f>
        <v/>
      </c>
      <c r="O1627" t="str">
        <f>IF(tblSalaries[[#This Row],[Years of Experience]]="","",IF(AND(tblSalaries[[#This Row],[Years of Experience]]&gt;2,tblSalaries[[#This Row],[Years of Experience]]&lt;=5),1,""))</f>
        <v/>
      </c>
      <c r="P1627" t="str">
        <f>IF(tblSalaries[[#This Row],[Years of Experience]]="","",IF(AND(tblSalaries[[#This Row],[Years of Experience]]&gt;5,tblSalaries[[#This Row],[Years of Experience]]&lt;=10),1,""))</f>
        <v/>
      </c>
      <c r="Q1627" t="str">
        <f>IF(tblSalaries[[#This Row],[Years of Experience]]="","",IF(AND(tblSalaries[[#This Row],[Years of Experience]]&gt;10,tblSalaries[[#This Row],[Years of Experience]]&lt;=15),1,""))</f>
        <v/>
      </c>
      <c r="R1627" t="str">
        <f>IF(tblSalaries[[#This Row],[Years of Experience]]="","",IF(AND(tblSalaries[[#This Row],[Years of Experience]]&gt;16,tblSalaries[[#This Row],[Years of Experience]]&lt;=20),1,""))</f>
        <v/>
      </c>
      <c r="S1627">
        <f>IF(tblSalaries[[#This Row],[Years of Experience]]="","",IF(tblSalaries[[#This Row],[Years of Experience]]&gt;20,1,""))</f>
        <v>1</v>
      </c>
      <c r="T16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627" s="13" t="str">
        <f>IF(tblSalaries[[#This Row],[Job Type]]=tblSalaries[[#Headers],[Accountant]],tblSalaries[[#This Row],[Salary in USD]],"")</f>
        <v/>
      </c>
      <c r="V1627" s="13" t="str">
        <f>IF(tblSalaries[[#This Row],[Job Type]]=tblSalaries[[#Headers],[Analyst]],tblSalaries[[#This Row],[Salary in USD]],"")</f>
        <v/>
      </c>
      <c r="W1627" s="13" t="str">
        <f>IF(tblSalaries[[#This Row],[Job Type]]=tblSalaries[[#Headers],[Consultant]],tblSalaries[[#This Row],[Salary in USD]],"")</f>
        <v/>
      </c>
      <c r="X1627" s="13" t="str">
        <f>IF(tblSalaries[[#This Row],[Job Type]]=tblSalaries[[#Headers],[Controller]],tblSalaries[[#This Row],[Salary in USD]],"")</f>
        <v/>
      </c>
      <c r="Y1627" s="13" t="str">
        <f>IF(tblSalaries[[#This Row],[Job Type]]=tblSalaries[[#Headers],[CXO or Top Mgmt.]],tblSalaries[[#This Row],[clean Salary (in local currency)]],"")</f>
        <v/>
      </c>
      <c r="Z1627" s="13" t="str">
        <f>IF(tblSalaries[[#This Row],[Job Type]]=tblSalaries[[#Headers],[Engineer]],tblSalaries[[#This Row],[Salary in USD]],"")</f>
        <v/>
      </c>
      <c r="AA1627" s="13">
        <f>IF(tblSalaries[[#This Row],[Job Type]]=tblSalaries[[#Headers],[Manager]],tblSalaries[[#This Row],[Salary in USD]],"")</f>
        <v>66199.48742682593</v>
      </c>
      <c r="AB1627" s="13" t="str">
        <f>IF(tblSalaries[[#This Row],[Job Type]]=tblSalaries[[#Headers],[Misc.]],tblSalaries[[#This Row],[Salary in USD]],"")</f>
        <v/>
      </c>
      <c r="AC1627" s="13" t="str">
        <f>IF(tblSalaries[[#This Row],[Job Type]]=tblSalaries[[#Headers],[Reporting]],tblSalaries[[#This Row],[Salary in USD]],"")</f>
        <v/>
      </c>
      <c r="AD1627" s="13" t="str">
        <f>IF(tblSalaries[[#This Row],[Job Type]]=tblSalaries[[#Headers],[Specialist]],tblSalaries[[#This Row],[Salary in USD]],"")</f>
        <v/>
      </c>
    </row>
    <row r="1628" spans="2:30" ht="15" customHeight="1" x14ac:dyDescent="0.25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 s="9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  <c r="N1628" t="str">
        <f>IF(tblSalaries[[#This Row],[Years of Experience]]="","",IF(tblSalaries[[#This Row],[Years of Experience]]&lt;=2,1,""))</f>
        <v/>
      </c>
      <c r="O1628">
        <f>IF(tblSalaries[[#This Row],[Years of Experience]]="","",IF(AND(tblSalaries[[#This Row],[Years of Experience]]&gt;2,tblSalaries[[#This Row],[Years of Experience]]&lt;=5),1,""))</f>
        <v>1</v>
      </c>
      <c r="P1628" t="str">
        <f>IF(tblSalaries[[#This Row],[Years of Experience]]="","",IF(AND(tblSalaries[[#This Row],[Years of Experience]]&gt;5,tblSalaries[[#This Row],[Years of Experience]]&lt;=10),1,""))</f>
        <v/>
      </c>
      <c r="Q1628" t="str">
        <f>IF(tblSalaries[[#This Row],[Years of Experience]]="","",IF(AND(tblSalaries[[#This Row],[Years of Experience]]&gt;10,tblSalaries[[#This Row],[Years of Experience]]&lt;=15),1,""))</f>
        <v/>
      </c>
      <c r="R1628" t="str">
        <f>IF(tblSalaries[[#This Row],[Years of Experience]]="","",IF(AND(tblSalaries[[#This Row],[Years of Experience]]&gt;16,tblSalaries[[#This Row],[Years of Experience]]&lt;=20),1,""))</f>
        <v/>
      </c>
      <c r="S1628" t="str">
        <f>IF(tblSalaries[[#This Row],[Years of Experience]]="","",IF(tblSalaries[[#This Row],[Years of Experience]]&gt;20,1,""))</f>
        <v/>
      </c>
      <c r="T16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28" s="13" t="str">
        <f>IF(tblSalaries[[#This Row],[Job Type]]=tblSalaries[[#Headers],[Accountant]],tblSalaries[[#This Row],[Salary in USD]],"")</f>
        <v/>
      </c>
      <c r="V1628" s="13">
        <f>IF(tblSalaries[[#This Row],[Job Type]]=tblSalaries[[#Headers],[Analyst]],tblSalaries[[#This Row],[Salary in USD]],"")</f>
        <v>5698.5333399816218</v>
      </c>
      <c r="W1628" s="13" t="str">
        <f>IF(tblSalaries[[#This Row],[Job Type]]=tblSalaries[[#Headers],[Consultant]],tblSalaries[[#This Row],[Salary in USD]],"")</f>
        <v/>
      </c>
      <c r="X1628" s="13" t="str">
        <f>IF(tblSalaries[[#This Row],[Job Type]]=tblSalaries[[#Headers],[Controller]],tblSalaries[[#This Row],[Salary in USD]],"")</f>
        <v/>
      </c>
      <c r="Y1628" s="13" t="str">
        <f>IF(tblSalaries[[#This Row],[Job Type]]=tblSalaries[[#Headers],[CXO or Top Mgmt.]],tblSalaries[[#This Row],[clean Salary (in local currency)]],"")</f>
        <v/>
      </c>
      <c r="Z1628" s="13" t="str">
        <f>IF(tblSalaries[[#This Row],[Job Type]]=tblSalaries[[#Headers],[Engineer]],tblSalaries[[#This Row],[Salary in USD]],"")</f>
        <v/>
      </c>
      <c r="AA1628" s="13" t="str">
        <f>IF(tblSalaries[[#This Row],[Job Type]]=tblSalaries[[#Headers],[Manager]],tblSalaries[[#This Row],[Salary in USD]],"")</f>
        <v/>
      </c>
      <c r="AB1628" s="13" t="str">
        <f>IF(tblSalaries[[#This Row],[Job Type]]=tblSalaries[[#Headers],[Misc.]],tblSalaries[[#This Row],[Salary in USD]],"")</f>
        <v/>
      </c>
      <c r="AC1628" s="13" t="str">
        <f>IF(tblSalaries[[#This Row],[Job Type]]=tblSalaries[[#Headers],[Reporting]],tblSalaries[[#This Row],[Salary in USD]],"")</f>
        <v/>
      </c>
      <c r="AD1628" s="13" t="str">
        <f>IF(tblSalaries[[#This Row],[Job Type]]=tblSalaries[[#Headers],[Specialist]],tblSalaries[[#This Row],[Salary in USD]],"")</f>
        <v/>
      </c>
    </row>
    <row r="1629" spans="2:30" ht="15" customHeight="1" x14ac:dyDescent="0.25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 s="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  <c r="N1629" t="str">
        <f>IF(tblSalaries[[#This Row],[Years of Experience]]="","",IF(tblSalaries[[#This Row],[Years of Experience]]&lt;=2,1,""))</f>
        <v/>
      </c>
      <c r="O1629" t="str">
        <f>IF(tblSalaries[[#This Row],[Years of Experience]]="","",IF(AND(tblSalaries[[#This Row],[Years of Experience]]&gt;2,tblSalaries[[#This Row],[Years of Experience]]&lt;=5),1,""))</f>
        <v/>
      </c>
      <c r="P1629" t="str">
        <f>IF(tblSalaries[[#This Row],[Years of Experience]]="","",IF(AND(tblSalaries[[#This Row],[Years of Experience]]&gt;5,tblSalaries[[#This Row],[Years of Experience]]&lt;=10),1,""))</f>
        <v/>
      </c>
      <c r="Q1629" t="str">
        <f>IF(tblSalaries[[#This Row],[Years of Experience]]="","",IF(AND(tblSalaries[[#This Row],[Years of Experience]]&gt;10,tblSalaries[[#This Row],[Years of Experience]]&lt;=15),1,""))</f>
        <v/>
      </c>
      <c r="R1629">
        <f>IF(tblSalaries[[#This Row],[Years of Experience]]="","",IF(AND(tblSalaries[[#This Row],[Years of Experience]]&gt;16,tblSalaries[[#This Row],[Years of Experience]]&lt;=20),1,""))</f>
        <v>1</v>
      </c>
      <c r="S1629" t="str">
        <f>IF(tblSalaries[[#This Row],[Years of Experience]]="","",IF(tblSalaries[[#This Row],[Years of Experience]]&gt;20,1,""))</f>
        <v/>
      </c>
      <c r="T16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629" s="13" t="str">
        <f>IF(tblSalaries[[#This Row],[Job Type]]=tblSalaries[[#Headers],[Accountant]],tblSalaries[[#This Row],[Salary in USD]],"")</f>
        <v/>
      </c>
      <c r="V1629" s="13" t="str">
        <f>IF(tblSalaries[[#This Row],[Job Type]]=tblSalaries[[#Headers],[Analyst]],tblSalaries[[#This Row],[Salary in USD]],"")</f>
        <v/>
      </c>
      <c r="W1629" s="13" t="str">
        <f>IF(tblSalaries[[#This Row],[Job Type]]=tblSalaries[[#Headers],[Consultant]],tblSalaries[[#This Row],[Salary in USD]],"")</f>
        <v/>
      </c>
      <c r="X1629" s="13" t="str">
        <f>IF(tblSalaries[[#This Row],[Job Type]]=tblSalaries[[#Headers],[Controller]],tblSalaries[[#This Row],[Salary in USD]],"")</f>
        <v/>
      </c>
      <c r="Y1629" s="13" t="str">
        <f>IF(tblSalaries[[#This Row],[Job Type]]=tblSalaries[[#Headers],[CXO or Top Mgmt.]],tblSalaries[[#This Row],[clean Salary (in local currency)]],"")</f>
        <v/>
      </c>
      <c r="Z1629" s="13" t="str">
        <f>IF(tblSalaries[[#This Row],[Job Type]]=tblSalaries[[#Headers],[Engineer]],tblSalaries[[#This Row],[Salary in USD]],"")</f>
        <v/>
      </c>
      <c r="AA1629" s="13">
        <f>IF(tblSalaries[[#This Row],[Job Type]]=tblSalaries[[#Headers],[Manager]],tblSalaries[[#This Row],[Salary in USD]],"")</f>
        <v>34675.92198548025</v>
      </c>
      <c r="AB1629" s="13" t="str">
        <f>IF(tblSalaries[[#This Row],[Job Type]]=tblSalaries[[#Headers],[Misc.]],tblSalaries[[#This Row],[Salary in USD]],"")</f>
        <v/>
      </c>
      <c r="AC1629" s="13" t="str">
        <f>IF(tblSalaries[[#This Row],[Job Type]]=tblSalaries[[#Headers],[Reporting]],tblSalaries[[#This Row],[Salary in USD]],"")</f>
        <v/>
      </c>
      <c r="AD1629" s="13" t="str">
        <f>IF(tblSalaries[[#This Row],[Job Type]]=tblSalaries[[#Headers],[Specialist]],tblSalaries[[#This Row],[Salary in USD]],"")</f>
        <v/>
      </c>
    </row>
    <row r="1630" spans="2:30" ht="15" customHeight="1" x14ac:dyDescent="0.25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 s="9">
        <f>tblSalaries[[#This Row],[clean Salary (in local currency)]]*VLOOKUP(tblSalaries[[#This Row],[Currency]],tblXrate[],2,FALSE)</f>
        <v>31200</v>
      </c>
      <c r="H1630" t="s">
        <v>467</v>
      </c>
      <c r="I1630" t="s">
        <v>3999</v>
      </c>
      <c r="J1630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  <c r="N1630" t="str">
        <f>IF(tblSalaries[[#This Row],[Years of Experience]]="","",IF(tblSalaries[[#This Row],[Years of Experience]]&lt;=2,1,""))</f>
        <v/>
      </c>
      <c r="O1630" t="str">
        <f>IF(tblSalaries[[#This Row],[Years of Experience]]="","",IF(AND(tblSalaries[[#This Row],[Years of Experience]]&gt;2,tblSalaries[[#This Row],[Years of Experience]]&lt;=5),1,""))</f>
        <v/>
      </c>
      <c r="P1630" t="str">
        <f>IF(tblSalaries[[#This Row],[Years of Experience]]="","",IF(AND(tblSalaries[[#This Row],[Years of Experience]]&gt;5,tblSalaries[[#This Row],[Years of Experience]]&lt;=10),1,""))</f>
        <v/>
      </c>
      <c r="Q1630">
        <f>IF(tblSalaries[[#This Row],[Years of Experience]]="","",IF(AND(tblSalaries[[#This Row],[Years of Experience]]&gt;10,tblSalaries[[#This Row],[Years of Experience]]&lt;=15),1,""))</f>
        <v>1</v>
      </c>
      <c r="R1630" t="str">
        <f>IF(tblSalaries[[#This Row],[Years of Experience]]="","",IF(AND(tblSalaries[[#This Row],[Years of Experience]]&gt;16,tblSalaries[[#This Row],[Years of Experience]]&lt;=20),1,""))</f>
        <v/>
      </c>
      <c r="S1630" t="str">
        <f>IF(tblSalaries[[#This Row],[Years of Experience]]="","",IF(tblSalaries[[#This Row],[Years of Experience]]&gt;20,1,""))</f>
        <v/>
      </c>
      <c r="T16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30" s="13" t="str">
        <f>IF(tblSalaries[[#This Row],[Job Type]]=tblSalaries[[#Headers],[Accountant]],tblSalaries[[#This Row],[Salary in USD]],"")</f>
        <v/>
      </c>
      <c r="V1630" s="13" t="str">
        <f>IF(tblSalaries[[#This Row],[Job Type]]=tblSalaries[[#Headers],[Analyst]],tblSalaries[[#This Row],[Salary in USD]],"")</f>
        <v/>
      </c>
      <c r="W1630" s="13" t="str">
        <f>IF(tblSalaries[[#This Row],[Job Type]]=tblSalaries[[#Headers],[Consultant]],tblSalaries[[#This Row],[Salary in USD]],"")</f>
        <v/>
      </c>
      <c r="X1630" s="13" t="str">
        <f>IF(tblSalaries[[#This Row],[Job Type]]=tblSalaries[[#Headers],[Controller]],tblSalaries[[#This Row],[Salary in USD]],"")</f>
        <v/>
      </c>
      <c r="Y1630" s="13" t="str">
        <f>IF(tblSalaries[[#This Row],[Job Type]]=tblSalaries[[#Headers],[CXO or Top Mgmt.]],tblSalaries[[#This Row],[clean Salary (in local currency)]],"")</f>
        <v/>
      </c>
      <c r="Z1630" s="13" t="str">
        <f>IF(tblSalaries[[#This Row],[Job Type]]=tblSalaries[[#Headers],[Engineer]],tblSalaries[[#This Row],[Salary in USD]],"")</f>
        <v/>
      </c>
      <c r="AA1630" s="13" t="str">
        <f>IF(tblSalaries[[#This Row],[Job Type]]=tblSalaries[[#Headers],[Manager]],tblSalaries[[#This Row],[Salary in USD]],"")</f>
        <v/>
      </c>
      <c r="AB1630" s="13" t="str">
        <f>IF(tblSalaries[[#This Row],[Job Type]]=tblSalaries[[#Headers],[Misc.]],tblSalaries[[#This Row],[Salary in USD]],"")</f>
        <v/>
      </c>
      <c r="AC1630" s="13">
        <f>IF(tblSalaries[[#This Row],[Job Type]]=tblSalaries[[#Headers],[Reporting]],tblSalaries[[#This Row],[Salary in USD]],"")</f>
        <v>31200</v>
      </c>
      <c r="AD1630" s="13" t="str">
        <f>IF(tblSalaries[[#This Row],[Job Type]]=tblSalaries[[#Headers],[Specialist]],tblSalaries[[#This Row],[Salary in USD]],"")</f>
        <v/>
      </c>
    </row>
    <row r="1631" spans="2:30" ht="15" customHeight="1" x14ac:dyDescent="0.25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 s="9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  <c r="N1631">
        <f>IF(tblSalaries[[#This Row],[Years of Experience]]="","",IF(tblSalaries[[#This Row],[Years of Experience]]&lt;=2,1,""))</f>
        <v>1</v>
      </c>
      <c r="O1631" t="str">
        <f>IF(tblSalaries[[#This Row],[Years of Experience]]="","",IF(AND(tblSalaries[[#This Row],[Years of Experience]]&gt;2,tblSalaries[[#This Row],[Years of Experience]]&lt;=5),1,""))</f>
        <v/>
      </c>
      <c r="P1631" t="str">
        <f>IF(tblSalaries[[#This Row],[Years of Experience]]="","",IF(AND(tblSalaries[[#This Row],[Years of Experience]]&gt;5,tblSalaries[[#This Row],[Years of Experience]]&lt;=10),1,""))</f>
        <v/>
      </c>
      <c r="Q1631" t="str">
        <f>IF(tblSalaries[[#This Row],[Years of Experience]]="","",IF(AND(tblSalaries[[#This Row],[Years of Experience]]&gt;10,tblSalaries[[#This Row],[Years of Experience]]&lt;=15),1,""))</f>
        <v/>
      </c>
      <c r="R1631" t="str">
        <f>IF(tblSalaries[[#This Row],[Years of Experience]]="","",IF(AND(tblSalaries[[#This Row],[Years of Experience]]&gt;16,tblSalaries[[#This Row],[Years of Experience]]&lt;=20),1,""))</f>
        <v/>
      </c>
      <c r="S1631" t="str">
        <f>IF(tblSalaries[[#This Row],[Years of Experience]]="","",IF(tblSalaries[[#This Row],[Years of Experience]]&gt;20,1,""))</f>
        <v/>
      </c>
      <c r="T16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31" s="13" t="str">
        <f>IF(tblSalaries[[#This Row],[Job Type]]=tblSalaries[[#Headers],[Accountant]],tblSalaries[[#This Row],[Salary in USD]],"")</f>
        <v/>
      </c>
      <c r="V1631" s="13" t="str">
        <f>IF(tblSalaries[[#This Row],[Job Type]]=tblSalaries[[#Headers],[Analyst]],tblSalaries[[#This Row],[Salary in USD]],"")</f>
        <v/>
      </c>
      <c r="W1631" s="13">
        <f>IF(tblSalaries[[#This Row],[Job Type]]=tblSalaries[[#Headers],[Consultant]],tblSalaries[[#This Row],[Salary in USD]],"")</f>
        <v>55068.245289698301</v>
      </c>
      <c r="X1631" s="13" t="str">
        <f>IF(tblSalaries[[#This Row],[Job Type]]=tblSalaries[[#Headers],[Controller]],tblSalaries[[#This Row],[Salary in USD]],"")</f>
        <v/>
      </c>
      <c r="Y1631" s="13" t="str">
        <f>IF(tblSalaries[[#This Row],[Job Type]]=tblSalaries[[#Headers],[CXO or Top Mgmt.]],tblSalaries[[#This Row],[clean Salary (in local currency)]],"")</f>
        <v/>
      </c>
      <c r="Z1631" s="13" t="str">
        <f>IF(tblSalaries[[#This Row],[Job Type]]=tblSalaries[[#Headers],[Engineer]],tblSalaries[[#This Row],[Salary in USD]],"")</f>
        <v/>
      </c>
      <c r="AA1631" s="13" t="str">
        <f>IF(tblSalaries[[#This Row],[Job Type]]=tblSalaries[[#Headers],[Manager]],tblSalaries[[#This Row],[Salary in USD]],"")</f>
        <v/>
      </c>
      <c r="AB1631" s="13" t="str">
        <f>IF(tblSalaries[[#This Row],[Job Type]]=tblSalaries[[#Headers],[Misc.]],tblSalaries[[#This Row],[Salary in USD]],"")</f>
        <v/>
      </c>
      <c r="AC1631" s="13" t="str">
        <f>IF(tblSalaries[[#This Row],[Job Type]]=tblSalaries[[#Headers],[Reporting]],tblSalaries[[#This Row],[Salary in USD]],"")</f>
        <v/>
      </c>
      <c r="AD1631" s="13" t="str">
        <f>IF(tblSalaries[[#This Row],[Job Type]]=tblSalaries[[#Headers],[Specialist]],tblSalaries[[#This Row],[Salary in USD]],"")</f>
        <v/>
      </c>
    </row>
    <row r="1632" spans="2:30" ht="15" customHeight="1" x14ac:dyDescent="0.25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 s="9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  <c r="N1632" t="str">
        <f>IF(tblSalaries[[#This Row],[Years of Experience]]="","",IF(tblSalaries[[#This Row],[Years of Experience]]&lt;=2,1,""))</f>
        <v/>
      </c>
      <c r="O1632" t="str">
        <f>IF(tblSalaries[[#This Row],[Years of Experience]]="","",IF(AND(tblSalaries[[#This Row],[Years of Experience]]&gt;2,tblSalaries[[#This Row],[Years of Experience]]&lt;=5),1,""))</f>
        <v/>
      </c>
      <c r="P1632">
        <f>IF(tblSalaries[[#This Row],[Years of Experience]]="","",IF(AND(tblSalaries[[#This Row],[Years of Experience]]&gt;5,tblSalaries[[#This Row],[Years of Experience]]&lt;=10),1,""))</f>
        <v>1</v>
      </c>
      <c r="Q1632" t="str">
        <f>IF(tblSalaries[[#This Row],[Years of Experience]]="","",IF(AND(tblSalaries[[#This Row],[Years of Experience]]&gt;10,tblSalaries[[#This Row],[Years of Experience]]&lt;=15),1,""))</f>
        <v/>
      </c>
      <c r="R1632" t="str">
        <f>IF(tblSalaries[[#This Row],[Years of Experience]]="","",IF(AND(tblSalaries[[#This Row],[Years of Experience]]&gt;16,tblSalaries[[#This Row],[Years of Experience]]&lt;=20),1,""))</f>
        <v/>
      </c>
      <c r="S1632" t="str">
        <f>IF(tblSalaries[[#This Row],[Years of Experience]]="","",IF(tblSalaries[[#This Row],[Years of Experience]]&gt;20,1,""))</f>
        <v/>
      </c>
      <c r="T16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32" s="13" t="str">
        <f>IF(tblSalaries[[#This Row],[Job Type]]=tblSalaries[[#Headers],[Accountant]],tblSalaries[[#This Row],[Salary in USD]],"")</f>
        <v/>
      </c>
      <c r="V1632" s="13">
        <f>IF(tblSalaries[[#This Row],[Job Type]]=tblSalaries[[#Headers],[Analyst]],tblSalaries[[#This Row],[Salary in USD]],"")</f>
        <v>13000</v>
      </c>
      <c r="W1632" s="13" t="str">
        <f>IF(tblSalaries[[#This Row],[Job Type]]=tblSalaries[[#Headers],[Consultant]],tblSalaries[[#This Row],[Salary in USD]],"")</f>
        <v/>
      </c>
      <c r="X1632" s="13" t="str">
        <f>IF(tblSalaries[[#This Row],[Job Type]]=tblSalaries[[#Headers],[Controller]],tblSalaries[[#This Row],[Salary in USD]],"")</f>
        <v/>
      </c>
      <c r="Y1632" s="13" t="str">
        <f>IF(tblSalaries[[#This Row],[Job Type]]=tblSalaries[[#Headers],[CXO or Top Mgmt.]],tblSalaries[[#This Row],[clean Salary (in local currency)]],"")</f>
        <v/>
      </c>
      <c r="Z1632" s="13" t="str">
        <f>IF(tblSalaries[[#This Row],[Job Type]]=tblSalaries[[#Headers],[Engineer]],tblSalaries[[#This Row],[Salary in USD]],"")</f>
        <v/>
      </c>
      <c r="AA1632" s="13" t="str">
        <f>IF(tblSalaries[[#This Row],[Job Type]]=tblSalaries[[#Headers],[Manager]],tblSalaries[[#This Row],[Salary in USD]],"")</f>
        <v/>
      </c>
      <c r="AB1632" s="13" t="str">
        <f>IF(tblSalaries[[#This Row],[Job Type]]=tblSalaries[[#Headers],[Misc.]],tblSalaries[[#This Row],[Salary in USD]],"")</f>
        <v/>
      </c>
      <c r="AC1632" s="13" t="str">
        <f>IF(tblSalaries[[#This Row],[Job Type]]=tblSalaries[[#Headers],[Reporting]],tblSalaries[[#This Row],[Salary in USD]],"")</f>
        <v/>
      </c>
      <c r="AD1632" s="13" t="str">
        <f>IF(tblSalaries[[#This Row],[Job Type]]=tblSalaries[[#Headers],[Specialist]],tblSalaries[[#This Row],[Salary in USD]],"")</f>
        <v/>
      </c>
    </row>
    <row r="1633" spans="2:30" ht="15" customHeight="1" x14ac:dyDescent="0.25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 s="9">
        <f>tblSalaries[[#This Row],[clean Salary (in local currency)]]*VLOOKUP(tblSalaries[[#This Row],[Currency]],tblXrate[],2,FALSE)</f>
        <v>92000</v>
      </c>
      <c r="H1633" t="s">
        <v>1805</v>
      </c>
      <c r="I1633" t="s">
        <v>3999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  <c r="N1633" t="str">
        <f>IF(tblSalaries[[#This Row],[Years of Experience]]="","",IF(tblSalaries[[#This Row],[Years of Experience]]&lt;=2,1,""))</f>
        <v/>
      </c>
      <c r="O1633" t="str">
        <f>IF(tblSalaries[[#This Row],[Years of Experience]]="","",IF(AND(tblSalaries[[#This Row],[Years of Experience]]&gt;2,tblSalaries[[#This Row],[Years of Experience]]&lt;=5),1,""))</f>
        <v/>
      </c>
      <c r="P1633" t="str">
        <f>IF(tblSalaries[[#This Row],[Years of Experience]]="","",IF(AND(tblSalaries[[#This Row],[Years of Experience]]&gt;5,tblSalaries[[#This Row],[Years of Experience]]&lt;=10),1,""))</f>
        <v/>
      </c>
      <c r="Q1633">
        <f>IF(tblSalaries[[#This Row],[Years of Experience]]="","",IF(AND(tblSalaries[[#This Row],[Years of Experience]]&gt;10,tblSalaries[[#This Row],[Years of Experience]]&lt;=15),1,""))</f>
        <v>1</v>
      </c>
      <c r="R1633" t="str">
        <f>IF(tblSalaries[[#This Row],[Years of Experience]]="","",IF(AND(tblSalaries[[#This Row],[Years of Experience]]&gt;16,tblSalaries[[#This Row],[Years of Experience]]&lt;=20),1,""))</f>
        <v/>
      </c>
      <c r="S1633" t="str">
        <f>IF(tblSalaries[[#This Row],[Years of Experience]]="","",IF(tblSalaries[[#This Row],[Years of Experience]]&gt;20,1,""))</f>
        <v/>
      </c>
      <c r="T16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33" s="13" t="str">
        <f>IF(tblSalaries[[#This Row],[Job Type]]=tblSalaries[[#Headers],[Accountant]],tblSalaries[[#This Row],[Salary in USD]],"")</f>
        <v/>
      </c>
      <c r="V1633" s="13" t="str">
        <f>IF(tblSalaries[[#This Row],[Job Type]]=tblSalaries[[#Headers],[Analyst]],tblSalaries[[#This Row],[Salary in USD]],"")</f>
        <v/>
      </c>
      <c r="W1633" s="13" t="str">
        <f>IF(tblSalaries[[#This Row],[Job Type]]=tblSalaries[[#Headers],[Consultant]],tblSalaries[[#This Row],[Salary in USD]],"")</f>
        <v/>
      </c>
      <c r="X1633" s="13" t="str">
        <f>IF(tblSalaries[[#This Row],[Job Type]]=tblSalaries[[#Headers],[Controller]],tblSalaries[[#This Row],[Salary in USD]],"")</f>
        <v/>
      </c>
      <c r="Y1633" s="13" t="str">
        <f>IF(tblSalaries[[#This Row],[Job Type]]=tblSalaries[[#Headers],[CXO or Top Mgmt.]],tblSalaries[[#This Row],[clean Salary (in local currency)]],"")</f>
        <v/>
      </c>
      <c r="Z1633" s="13" t="str">
        <f>IF(tblSalaries[[#This Row],[Job Type]]=tblSalaries[[#Headers],[Engineer]],tblSalaries[[#This Row],[Salary in USD]],"")</f>
        <v/>
      </c>
      <c r="AA1633" s="13" t="str">
        <f>IF(tblSalaries[[#This Row],[Job Type]]=tblSalaries[[#Headers],[Manager]],tblSalaries[[#This Row],[Salary in USD]],"")</f>
        <v/>
      </c>
      <c r="AB1633" s="13" t="str">
        <f>IF(tblSalaries[[#This Row],[Job Type]]=tblSalaries[[#Headers],[Misc.]],tblSalaries[[#This Row],[Salary in USD]],"")</f>
        <v/>
      </c>
      <c r="AC1633" s="13">
        <f>IF(tblSalaries[[#This Row],[Job Type]]=tblSalaries[[#Headers],[Reporting]],tblSalaries[[#This Row],[Salary in USD]],"")</f>
        <v>92000</v>
      </c>
      <c r="AD1633" s="13" t="str">
        <f>IF(tblSalaries[[#This Row],[Job Type]]=tblSalaries[[#Headers],[Specialist]],tblSalaries[[#This Row],[Salary in USD]],"")</f>
        <v/>
      </c>
    </row>
    <row r="1634" spans="2:30" ht="15" customHeight="1" x14ac:dyDescent="0.25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 s="9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  <c r="N1634" t="str">
        <f>IF(tblSalaries[[#This Row],[Years of Experience]]="","",IF(tblSalaries[[#This Row],[Years of Experience]]&lt;=2,1,""))</f>
        <v/>
      </c>
      <c r="O1634" t="str">
        <f>IF(tblSalaries[[#This Row],[Years of Experience]]="","",IF(AND(tblSalaries[[#This Row],[Years of Experience]]&gt;2,tblSalaries[[#This Row],[Years of Experience]]&lt;=5),1,""))</f>
        <v/>
      </c>
      <c r="P1634">
        <f>IF(tblSalaries[[#This Row],[Years of Experience]]="","",IF(AND(tblSalaries[[#This Row],[Years of Experience]]&gt;5,tblSalaries[[#This Row],[Years of Experience]]&lt;=10),1,""))</f>
        <v>1</v>
      </c>
      <c r="Q1634" t="str">
        <f>IF(tblSalaries[[#This Row],[Years of Experience]]="","",IF(AND(tblSalaries[[#This Row],[Years of Experience]]&gt;10,tblSalaries[[#This Row],[Years of Experience]]&lt;=15),1,""))</f>
        <v/>
      </c>
      <c r="R1634" t="str">
        <f>IF(tblSalaries[[#This Row],[Years of Experience]]="","",IF(AND(tblSalaries[[#This Row],[Years of Experience]]&gt;16,tblSalaries[[#This Row],[Years of Experience]]&lt;=20),1,""))</f>
        <v/>
      </c>
      <c r="S1634" t="str">
        <f>IF(tblSalaries[[#This Row],[Years of Experience]]="","",IF(tblSalaries[[#This Row],[Years of Experience]]&gt;20,1,""))</f>
        <v/>
      </c>
      <c r="T16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34" s="13" t="str">
        <f>IF(tblSalaries[[#This Row],[Job Type]]=tblSalaries[[#Headers],[Accountant]],tblSalaries[[#This Row],[Salary in USD]],"")</f>
        <v/>
      </c>
      <c r="V1634" s="13" t="str">
        <f>IF(tblSalaries[[#This Row],[Job Type]]=tblSalaries[[#Headers],[Analyst]],tblSalaries[[#This Row],[Salary in USD]],"")</f>
        <v/>
      </c>
      <c r="W1634" s="13" t="str">
        <f>IF(tblSalaries[[#This Row],[Job Type]]=tblSalaries[[#Headers],[Consultant]],tblSalaries[[#This Row],[Salary in USD]],"")</f>
        <v/>
      </c>
      <c r="X1634" s="13" t="str">
        <f>IF(tblSalaries[[#This Row],[Job Type]]=tblSalaries[[#Headers],[Controller]],tblSalaries[[#This Row],[Salary in USD]],"")</f>
        <v/>
      </c>
      <c r="Y1634" s="13" t="str">
        <f>IF(tblSalaries[[#This Row],[Job Type]]=tblSalaries[[#Headers],[CXO or Top Mgmt.]],tblSalaries[[#This Row],[clean Salary (in local currency)]],"")</f>
        <v/>
      </c>
      <c r="Z1634" s="13" t="str">
        <f>IF(tblSalaries[[#This Row],[Job Type]]=tblSalaries[[#Headers],[Engineer]],tblSalaries[[#This Row],[Salary in USD]],"")</f>
        <v/>
      </c>
      <c r="AA1634" s="13">
        <f>IF(tblSalaries[[#This Row],[Job Type]]=tblSalaries[[#Headers],[Manager]],tblSalaries[[#This Row],[Salary in USD]],"")</f>
        <v>85000</v>
      </c>
      <c r="AB1634" s="13" t="str">
        <f>IF(tblSalaries[[#This Row],[Job Type]]=tblSalaries[[#Headers],[Misc.]],tblSalaries[[#This Row],[Salary in USD]],"")</f>
        <v/>
      </c>
      <c r="AC1634" s="13" t="str">
        <f>IF(tblSalaries[[#This Row],[Job Type]]=tblSalaries[[#Headers],[Reporting]],tblSalaries[[#This Row],[Salary in USD]],"")</f>
        <v/>
      </c>
      <c r="AD1634" s="13" t="str">
        <f>IF(tblSalaries[[#This Row],[Job Type]]=tblSalaries[[#Headers],[Specialist]],tblSalaries[[#This Row],[Salary in USD]],"")</f>
        <v/>
      </c>
    </row>
    <row r="1635" spans="2:30" ht="15" customHeight="1" x14ac:dyDescent="0.25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 s="9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  <c r="N1635" t="str">
        <f>IF(tblSalaries[[#This Row],[Years of Experience]]="","",IF(tblSalaries[[#This Row],[Years of Experience]]&lt;=2,1,""))</f>
        <v/>
      </c>
      <c r="O1635" t="str">
        <f>IF(tblSalaries[[#This Row],[Years of Experience]]="","",IF(AND(tblSalaries[[#This Row],[Years of Experience]]&gt;2,tblSalaries[[#This Row],[Years of Experience]]&lt;=5),1,""))</f>
        <v/>
      </c>
      <c r="P1635">
        <f>IF(tblSalaries[[#This Row],[Years of Experience]]="","",IF(AND(tblSalaries[[#This Row],[Years of Experience]]&gt;5,tblSalaries[[#This Row],[Years of Experience]]&lt;=10),1,""))</f>
        <v>1</v>
      </c>
      <c r="Q1635" t="str">
        <f>IF(tblSalaries[[#This Row],[Years of Experience]]="","",IF(AND(tblSalaries[[#This Row],[Years of Experience]]&gt;10,tblSalaries[[#This Row],[Years of Experience]]&lt;=15),1,""))</f>
        <v/>
      </c>
      <c r="R1635" t="str">
        <f>IF(tblSalaries[[#This Row],[Years of Experience]]="","",IF(AND(tblSalaries[[#This Row],[Years of Experience]]&gt;16,tblSalaries[[#This Row],[Years of Experience]]&lt;=20),1,""))</f>
        <v/>
      </c>
      <c r="S1635" t="str">
        <f>IF(tblSalaries[[#This Row],[Years of Experience]]="","",IF(tblSalaries[[#This Row],[Years of Experience]]&gt;20,1,""))</f>
        <v/>
      </c>
      <c r="T16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35" s="13" t="str">
        <f>IF(tblSalaries[[#This Row],[Job Type]]=tblSalaries[[#Headers],[Accountant]],tblSalaries[[#This Row],[Salary in USD]],"")</f>
        <v/>
      </c>
      <c r="V1635" s="13">
        <f>IF(tblSalaries[[#This Row],[Job Type]]=tblSalaries[[#Headers],[Analyst]],tblSalaries[[#This Row],[Salary in USD]],"")</f>
        <v>11000</v>
      </c>
      <c r="W1635" s="13" t="str">
        <f>IF(tblSalaries[[#This Row],[Job Type]]=tblSalaries[[#Headers],[Consultant]],tblSalaries[[#This Row],[Salary in USD]],"")</f>
        <v/>
      </c>
      <c r="X1635" s="13" t="str">
        <f>IF(tblSalaries[[#This Row],[Job Type]]=tblSalaries[[#Headers],[Controller]],tblSalaries[[#This Row],[Salary in USD]],"")</f>
        <v/>
      </c>
      <c r="Y1635" s="13" t="str">
        <f>IF(tblSalaries[[#This Row],[Job Type]]=tblSalaries[[#Headers],[CXO or Top Mgmt.]],tblSalaries[[#This Row],[clean Salary (in local currency)]],"")</f>
        <v/>
      </c>
      <c r="Z1635" s="13" t="str">
        <f>IF(tblSalaries[[#This Row],[Job Type]]=tblSalaries[[#Headers],[Engineer]],tblSalaries[[#This Row],[Salary in USD]],"")</f>
        <v/>
      </c>
      <c r="AA1635" s="13" t="str">
        <f>IF(tblSalaries[[#This Row],[Job Type]]=tblSalaries[[#Headers],[Manager]],tblSalaries[[#This Row],[Salary in USD]],"")</f>
        <v/>
      </c>
      <c r="AB1635" s="13" t="str">
        <f>IF(tblSalaries[[#This Row],[Job Type]]=tblSalaries[[#Headers],[Misc.]],tblSalaries[[#This Row],[Salary in USD]],"")</f>
        <v/>
      </c>
      <c r="AC1635" s="13" t="str">
        <f>IF(tblSalaries[[#This Row],[Job Type]]=tblSalaries[[#Headers],[Reporting]],tblSalaries[[#This Row],[Salary in USD]],"")</f>
        <v/>
      </c>
      <c r="AD1635" s="13" t="str">
        <f>IF(tblSalaries[[#This Row],[Job Type]]=tblSalaries[[#Headers],[Specialist]],tblSalaries[[#This Row],[Salary in USD]],"")</f>
        <v/>
      </c>
    </row>
    <row r="1636" spans="2:30" ht="15" customHeight="1" x14ac:dyDescent="0.25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 s="9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  <c r="N1636" t="str">
        <f>IF(tblSalaries[[#This Row],[Years of Experience]]="","",IF(tblSalaries[[#This Row],[Years of Experience]]&lt;=2,1,""))</f>
        <v/>
      </c>
      <c r="O1636" t="str">
        <f>IF(tblSalaries[[#This Row],[Years of Experience]]="","",IF(AND(tblSalaries[[#This Row],[Years of Experience]]&gt;2,tblSalaries[[#This Row],[Years of Experience]]&lt;=5),1,""))</f>
        <v/>
      </c>
      <c r="P1636" t="str">
        <f>IF(tblSalaries[[#This Row],[Years of Experience]]="","",IF(AND(tblSalaries[[#This Row],[Years of Experience]]&gt;5,tblSalaries[[#This Row],[Years of Experience]]&lt;=10),1,""))</f>
        <v/>
      </c>
      <c r="Q1636">
        <f>IF(tblSalaries[[#This Row],[Years of Experience]]="","",IF(AND(tblSalaries[[#This Row],[Years of Experience]]&gt;10,tblSalaries[[#This Row],[Years of Experience]]&lt;=15),1,""))</f>
        <v>1</v>
      </c>
      <c r="R1636" t="str">
        <f>IF(tblSalaries[[#This Row],[Years of Experience]]="","",IF(AND(tblSalaries[[#This Row],[Years of Experience]]&gt;16,tblSalaries[[#This Row],[Years of Experience]]&lt;=20),1,""))</f>
        <v/>
      </c>
      <c r="S1636" t="str">
        <f>IF(tblSalaries[[#This Row],[Years of Experience]]="","",IF(tblSalaries[[#This Row],[Years of Experience]]&gt;20,1,""))</f>
        <v/>
      </c>
      <c r="T16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36" s="13" t="str">
        <f>IF(tblSalaries[[#This Row],[Job Type]]=tblSalaries[[#Headers],[Accountant]],tblSalaries[[#This Row],[Salary in USD]],"")</f>
        <v/>
      </c>
      <c r="V1636" s="13">
        <f>IF(tblSalaries[[#This Row],[Job Type]]=tblSalaries[[#Headers],[Analyst]],tblSalaries[[#This Row],[Salary in USD]],"")</f>
        <v>38111.983169748237</v>
      </c>
      <c r="W1636" s="13" t="str">
        <f>IF(tblSalaries[[#This Row],[Job Type]]=tblSalaries[[#Headers],[Consultant]],tblSalaries[[#This Row],[Salary in USD]],"")</f>
        <v/>
      </c>
      <c r="X1636" s="13" t="str">
        <f>IF(tblSalaries[[#This Row],[Job Type]]=tblSalaries[[#Headers],[Controller]],tblSalaries[[#This Row],[Salary in USD]],"")</f>
        <v/>
      </c>
      <c r="Y1636" s="13" t="str">
        <f>IF(tblSalaries[[#This Row],[Job Type]]=tblSalaries[[#Headers],[CXO or Top Mgmt.]],tblSalaries[[#This Row],[clean Salary (in local currency)]],"")</f>
        <v/>
      </c>
      <c r="Z1636" s="13" t="str">
        <f>IF(tblSalaries[[#This Row],[Job Type]]=tblSalaries[[#Headers],[Engineer]],tblSalaries[[#This Row],[Salary in USD]],"")</f>
        <v/>
      </c>
      <c r="AA1636" s="13" t="str">
        <f>IF(tblSalaries[[#This Row],[Job Type]]=tblSalaries[[#Headers],[Manager]],tblSalaries[[#This Row],[Salary in USD]],"")</f>
        <v/>
      </c>
      <c r="AB1636" s="13" t="str">
        <f>IF(tblSalaries[[#This Row],[Job Type]]=tblSalaries[[#Headers],[Misc.]],tblSalaries[[#This Row],[Salary in USD]],"")</f>
        <v/>
      </c>
      <c r="AC1636" s="13" t="str">
        <f>IF(tblSalaries[[#This Row],[Job Type]]=tblSalaries[[#Headers],[Reporting]],tblSalaries[[#This Row],[Salary in USD]],"")</f>
        <v/>
      </c>
      <c r="AD1636" s="13" t="str">
        <f>IF(tblSalaries[[#This Row],[Job Type]]=tblSalaries[[#Headers],[Specialist]],tblSalaries[[#This Row],[Salary in USD]],"")</f>
        <v/>
      </c>
    </row>
    <row r="1637" spans="2:30" ht="15" customHeight="1" x14ac:dyDescent="0.25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 s="9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  <c r="N1637" t="str">
        <f>IF(tblSalaries[[#This Row],[Years of Experience]]="","",IF(tblSalaries[[#This Row],[Years of Experience]]&lt;=2,1,""))</f>
        <v/>
      </c>
      <c r="O1637">
        <f>IF(tblSalaries[[#This Row],[Years of Experience]]="","",IF(AND(tblSalaries[[#This Row],[Years of Experience]]&gt;2,tblSalaries[[#This Row],[Years of Experience]]&lt;=5),1,""))</f>
        <v>1</v>
      </c>
      <c r="P1637" t="str">
        <f>IF(tblSalaries[[#This Row],[Years of Experience]]="","",IF(AND(tblSalaries[[#This Row],[Years of Experience]]&gt;5,tblSalaries[[#This Row],[Years of Experience]]&lt;=10),1,""))</f>
        <v/>
      </c>
      <c r="Q1637" t="str">
        <f>IF(tblSalaries[[#This Row],[Years of Experience]]="","",IF(AND(tblSalaries[[#This Row],[Years of Experience]]&gt;10,tblSalaries[[#This Row],[Years of Experience]]&lt;=15),1,""))</f>
        <v/>
      </c>
      <c r="R1637" t="str">
        <f>IF(tblSalaries[[#This Row],[Years of Experience]]="","",IF(AND(tblSalaries[[#This Row],[Years of Experience]]&gt;16,tblSalaries[[#This Row],[Years of Experience]]&lt;=20),1,""))</f>
        <v/>
      </c>
      <c r="S1637" t="str">
        <f>IF(tblSalaries[[#This Row],[Years of Experience]]="","",IF(tblSalaries[[#This Row],[Years of Experience]]&gt;20,1,""))</f>
        <v/>
      </c>
      <c r="T16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37" s="13" t="str">
        <f>IF(tblSalaries[[#This Row],[Job Type]]=tblSalaries[[#Headers],[Accountant]],tblSalaries[[#This Row],[Salary in USD]],"")</f>
        <v/>
      </c>
      <c r="V1637" s="13">
        <f>IF(tblSalaries[[#This Row],[Job Type]]=tblSalaries[[#Headers],[Analyst]],tblSalaries[[#This Row],[Salary in USD]],"")</f>
        <v>49000</v>
      </c>
      <c r="W1637" s="13" t="str">
        <f>IF(tblSalaries[[#This Row],[Job Type]]=tblSalaries[[#Headers],[Consultant]],tblSalaries[[#This Row],[Salary in USD]],"")</f>
        <v/>
      </c>
      <c r="X1637" s="13" t="str">
        <f>IF(tblSalaries[[#This Row],[Job Type]]=tblSalaries[[#Headers],[Controller]],tblSalaries[[#This Row],[Salary in USD]],"")</f>
        <v/>
      </c>
      <c r="Y1637" s="13" t="str">
        <f>IF(tblSalaries[[#This Row],[Job Type]]=tblSalaries[[#Headers],[CXO or Top Mgmt.]],tblSalaries[[#This Row],[clean Salary (in local currency)]],"")</f>
        <v/>
      </c>
      <c r="Z1637" s="13" t="str">
        <f>IF(tblSalaries[[#This Row],[Job Type]]=tblSalaries[[#Headers],[Engineer]],tblSalaries[[#This Row],[Salary in USD]],"")</f>
        <v/>
      </c>
      <c r="AA1637" s="13" t="str">
        <f>IF(tblSalaries[[#This Row],[Job Type]]=tblSalaries[[#Headers],[Manager]],tblSalaries[[#This Row],[Salary in USD]],"")</f>
        <v/>
      </c>
      <c r="AB1637" s="13" t="str">
        <f>IF(tblSalaries[[#This Row],[Job Type]]=tblSalaries[[#Headers],[Misc.]],tblSalaries[[#This Row],[Salary in USD]],"")</f>
        <v/>
      </c>
      <c r="AC1637" s="13" t="str">
        <f>IF(tblSalaries[[#This Row],[Job Type]]=tblSalaries[[#Headers],[Reporting]],tblSalaries[[#This Row],[Salary in USD]],"")</f>
        <v/>
      </c>
      <c r="AD1637" s="13" t="str">
        <f>IF(tblSalaries[[#This Row],[Job Type]]=tblSalaries[[#Headers],[Specialist]],tblSalaries[[#This Row],[Salary in USD]],"")</f>
        <v/>
      </c>
    </row>
    <row r="1638" spans="2:30" ht="15" customHeight="1" x14ac:dyDescent="0.25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 s="9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  <c r="N1638" t="str">
        <f>IF(tblSalaries[[#This Row],[Years of Experience]]="","",IF(tblSalaries[[#This Row],[Years of Experience]]&lt;=2,1,""))</f>
        <v/>
      </c>
      <c r="O1638">
        <f>IF(tblSalaries[[#This Row],[Years of Experience]]="","",IF(AND(tblSalaries[[#This Row],[Years of Experience]]&gt;2,tblSalaries[[#This Row],[Years of Experience]]&lt;=5),1,""))</f>
        <v>1</v>
      </c>
      <c r="P1638" t="str">
        <f>IF(tblSalaries[[#This Row],[Years of Experience]]="","",IF(AND(tblSalaries[[#This Row],[Years of Experience]]&gt;5,tblSalaries[[#This Row],[Years of Experience]]&lt;=10),1,""))</f>
        <v/>
      </c>
      <c r="Q1638" t="str">
        <f>IF(tblSalaries[[#This Row],[Years of Experience]]="","",IF(AND(tblSalaries[[#This Row],[Years of Experience]]&gt;10,tblSalaries[[#This Row],[Years of Experience]]&lt;=15),1,""))</f>
        <v/>
      </c>
      <c r="R1638" t="str">
        <f>IF(tblSalaries[[#This Row],[Years of Experience]]="","",IF(AND(tblSalaries[[#This Row],[Years of Experience]]&gt;16,tblSalaries[[#This Row],[Years of Experience]]&lt;=20),1,""))</f>
        <v/>
      </c>
      <c r="S1638" t="str">
        <f>IF(tblSalaries[[#This Row],[Years of Experience]]="","",IF(tblSalaries[[#This Row],[Years of Experience]]&gt;20,1,""))</f>
        <v/>
      </c>
      <c r="T16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38" s="13" t="str">
        <f>IF(tblSalaries[[#This Row],[Job Type]]=tblSalaries[[#Headers],[Accountant]],tblSalaries[[#This Row],[Salary in USD]],"")</f>
        <v/>
      </c>
      <c r="V1638" s="13" t="str">
        <f>IF(tblSalaries[[#This Row],[Job Type]]=tblSalaries[[#Headers],[Analyst]],tblSalaries[[#This Row],[Salary in USD]],"")</f>
        <v/>
      </c>
      <c r="W1638" s="13" t="str">
        <f>IF(tblSalaries[[#This Row],[Job Type]]=tblSalaries[[#Headers],[Consultant]],tblSalaries[[#This Row],[Salary in USD]],"")</f>
        <v/>
      </c>
      <c r="X1638" s="13" t="str">
        <f>IF(tblSalaries[[#This Row],[Job Type]]=tblSalaries[[#Headers],[Controller]],tblSalaries[[#This Row],[Salary in USD]],"")</f>
        <v/>
      </c>
      <c r="Y1638" s="13" t="str">
        <f>IF(tblSalaries[[#This Row],[Job Type]]=tblSalaries[[#Headers],[CXO or Top Mgmt.]],tblSalaries[[#This Row],[clean Salary (in local currency)]],"")</f>
        <v/>
      </c>
      <c r="Z1638" s="13" t="str">
        <f>IF(tblSalaries[[#This Row],[Job Type]]=tblSalaries[[#Headers],[Engineer]],tblSalaries[[#This Row],[Salary in USD]],"")</f>
        <v/>
      </c>
      <c r="AA1638" s="13">
        <f>IF(tblSalaries[[#This Row],[Job Type]]=tblSalaries[[#Headers],[Manager]],tblSalaries[[#This Row],[Salary in USD]],"")</f>
        <v>59000</v>
      </c>
      <c r="AB1638" s="13" t="str">
        <f>IF(tblSalaries[[#This Row],[Job Type]]=tblSalaries[[#Headers],[Misc.]],tblSalaries[[#This Row],[Salary in USD]],"")</f>
        <v/>
      </c>
      <c r="AC1638" s="13" t="str">
        <f>IF(tblSalaries[[#This Row],[Job Type]]=tblSalaries[[#Headers],[Reporting]],tblSalaries[[#This Row],[Salary in USD]],"")</f>
        <v/>
      </c>
      <c r="AD1638" s="13" t="str">
        <f>IF(tblSalaries[[#This Row],[Job Type]]=tblSalaries[[#Headers],[Specialist]],tblSalaries[[#This Row],[Salary in USD]],"")</f>
        <v/>
      </c>
    </row>
    <row r="1639" spans="2:30" ht="15" customHeight="1" x14ac:dyDescent="0.25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 s="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  <c r="N1639" t="str">
        <f>IF(tblSalaries[[#This Row],[Years of Experience]]="","",IF(tblSalaries[[#This Row],[Years of Experience]]&lt;=2,1,""))</f>
        <v/>
      </c>
      <c r="O1639" t="str">
        <f>IF(tblSalaries[[#This Row],[Years of Experience]]="","",IF(AND(tblSalaries[[#This Row],[Years of Experience]]&gt;2,tblSalaries[[#This Row],[Years of Experience]]&lt;=5),1,""))</f>
        <v/>
      </c>
      <c r="P1639" t="str">
        <f>IF(tblSalaries[[#This Row],[Years of Experience]]="","",IF(AND(tblSalaries[[#This Row],[Years of Experience]]&gt;5,tblSalaries[[#This Row],[Years of Experience]]&lt;=10),1,""))</f>
        <v/>
      </c>
      <c r="Q1639">
        <f>IF(tblSalaries[[#This Row],[Years of Experience]]="","",IF(AND(tblSalaries[[#This Row],[Years of Experience]]&gt;10,tblSalaries[[#This Row],[Years of Experience]]&lt;=15),1,""))</f>
        <v>1</v>
      </c>
      <c r="R1639" t="str">
        <f>IF(tblSalaries[[#This Row],[Years of Experience]]="","",IF(AND(tblSalaries[[#This Row],[Years of Experience]]&gt;16,tblSalaries[[#This Row],[Years of Experience]]&lt;=20),1,""))</f>
        <v/>
      </c>
      <c r="S1639" t="str">
        <f>IF(tblSalaries[[#This Row],[Years of Experience]]="","",IF(tblSalaries[[#This Row],[Years of Experience]]&gt;20,1,""))</f>
        <v/>
      </c>
      <c r="T16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39" s="13" t="str">
        <f>IF(tblSalaries[[#This Row],[Job Type]]=tblSalaries[[#Headers],[Accountant]],tblSalaries[[#This Row],[Salary in USD]],"")</f>
        <v/>
      </c>
      <c r="V1639" s="13">
        <f>IF(tblSalaries[[#This Row],[Job Type]]=tblSalaries[[#Headers],[Analyst]],tblSalaries[[#This Row],[Salary in USD]],"")</f>
        <v>55000</v>
      </c>
      <c r="W1639" s="13" t="str">
        <f>IF(tblSalaries[[#This Row],[Job Type]]=tblSalaries[[#Headers],[Consultant]],tblSalaries[[#This Row],[Salary in USD]],"")</f>
        <v/>
      </c>
      <c r="X1639" s="13" t="str">
        <f>IF(tblSalaries[[#This Row],[Job Type]]=tblSalaries[[#Headers],[Controller]],tblSalaries[[#This Row],[Salary in USD]],"")</f>
        <v/>
      </c>
      <c r="Y1639" s="13" t="str">
        <f>IF(tblSalaries[[#This Row],[Job Type]]=tblSalaries[[#Headers],[CXO or Top Mgmt.]],tblSalaries[[#This Row],[clean Salary (in local currency)]],"")</f>
        <v/>
      </c>
      <c r="Z1639" s="13" t="str">
        <f>IF(tblSalaries[[#This Row],[Job Type]]=tblSalaries[[#Headers],[Engineer]],tblSalaries[[#This Row],[Salary in USD]],"")</f>
        <v/>
      </c>
      <c r="AA1639" s="13" t="str">
        <f>IF(tblSalaries[[#This Row],[Job Type]]=tblSalaries[[#Headers],[Manager]],tblSalaries[[#This Row],[Salary in USD]],"")</f>
        <v/>
      </c>
      <c r="AB1639" s="13" t="str">
        <f>IF(tblSalaries[[#This Row],[Job Type]]=tblSalaries[[#Headers],[Misc.]],tblSalaries[[#This Row],[Salary in USD]],"")</f>
        <v/>
      </c>
      <c r="AC1639" s="13" t="str">
        <f>IF(tblSalaries[[#This Row],[Job Type]]=tblSalaries[[#Headers],[Reporting]],tblSalaries[[#This Row],[Salary in USD]],"")</f>
        <v/>
      </c>
      <c r="AD1639" s="13" t="str">
        <f>IF(tblSalaries[[#This Row],[Job Type]]=tblSalaries[[#Headers],[Specialist]],tblSalaries[[#This Row],[Salary in USD]],"")</f>
        <v/>
      </c>
    </row>
    <row r="1640" spans="2:30" ht="15" customHeight="1" x14ac:dyDescent="0.25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 s="9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  <c r="N1640" t="str">
        <f>IF(tblSalaries[[#This Row],[Years of Experience]]="","",IF(tblSalaries[[#This Row],[Years of Experience]]&lt;=2,1,""))</f>
        <v/>
      </c>
      <c r="O1640" t="str">
        <f>IF(tblSalaries[[#This Row],[Years of Experience]]="","",IF(AND(tblSalaries[[#This Row],[Years of Experience]]&gt;2,tblSalaries[[#This Row],[Years of Experience]]&lt;=5),1,""))</f>
        <v/>
      </c>
      <c r="P1640">
        <f>IF(tblSalaries[[#This Row],[Years of Experience]]="","",IF(AND(tblSalaries[[#This Row],[Years of Experience]]&gt;5,tblSalaries[[#This Row],[Years of Experience]]&lt;=10),1,""))</f>
        <v>1</v>
      </c>
      <c r="Q1640" t="str">
        <f>IF(tblSalaries[[#This Row],[Years of Experience]]="","",IF(AND(tblSalaries[[#This Row],[Years of Experience]]&gt;10,tblSalaries[[#This Row],[Years of Experience]]&lt;=15),1,""))</f>
        <v/>
      </c>
      <c r="R1640" t="str">
        <f>IF(tblSalaries[[#This Row],[Years of Experience]]="","",IF(AND(tblSalaries[[#This Row],[Years of Experience]]&gt;16,tblSalaries[[#This Row],[Years of Experience]]&lt;=20),1,""))</f>
        <v/>
      </c>
      <c r="S1640" t="str">
        <f>IF(tblSalaries[[#This Row],[Years of Experience]]="","",IF(tblSalaries[[#This Row],[Years of Experience]]&gt;20,1,""))</f>
        <v/>
      </c>
      <c r="T16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40" s="13">
        <f>IF(tblSalaries[[#This Row],[Job Type]]=tblSalaries[[#Headers],[Accountant]],tblSalaries[[#This Row],[Salary in USD]],"")</f>
        <v>75000</v>
      </c>
      <c r="V1640" s="13" t="str">
        <f>IF(tblSalaries[[#This Row],[Job Type]]=tblSalaries[[#Headers],[Analyst]],tblSalaries[[#This Row],[Salary in USD]],"")</f>
        <v/>
      </c>
      <c r="W1640" s="13" t="str">
        <f>IF(tblSalaries[[#This Row],[Job Type]]=tblSalaries[[#Headers],[Consultant]],tblSalaries[[#This Row],[Salary in USD]],"")</f>
        <v/>
      </c>
      <c r="X1640" s="13" t="str">
        <f>IF(tblSalaries[[#This Row],[Job Type]]=tblSalaries[[#Headers],[Controller]],tblSalaries[[#This Row],[Salary in USD]],"")</f>
        <v/>
      </c>
      <c r="Y1640" s="13" t="str">
        <f>IF(tblSalaries[[#This Row],[Job Type]]=tblSalaries[[#Headers],[CXO or Top Mgmt.]],tblSalaries[[#This Row],[clean Salary (in local currency)]],"")</f>
        <v/>
      </c>
      <c r="Z1640" s="13" t="str">
        <f>IF(tblSalaries[[#This Row],[Job Type]]=tblSalaries[[#Headers],[Engineer]],tblSalaries[[#This Row],[Salary in USD]],"")</f>
        <v/>
      </c>
      <c r="AA1640" s="13" t="str">
        <f>IF(tblSalaries[[#This Row],[Job Type]]=tblSalaries[[#Headers],[Manager]],tblSalaries[[#This Row],[Salary in USD]],"")</f>
        <v/>
      </c>
      <c r="AB1640" s="13" t="str">
        <f>IF(tblSalaries[[#This Row],[Job Type]]=tblSalaries[[#Headers],[Misc.]],tblSalaries[[#This Row],[Salary in USD]],"")</f>
        <v/>
      </c>
      <c r="AC1640" s="13" t="str">
        <f>IF(tblSalaries[[#This Row],[Job Type]]=tblSalaries[[#Headers],[Reporting]],tblSalaries[[#This Row],[Salary in USD]],"")</f>
        <v/>
      </c>
      <c r="AD1640" s="13" t="str">
        <f>IF(tblSalaries[[#This Row],[Job Type]]=tblSalaries[[#Headers],[Specialist]],tblSalaries[[#This Row],[Salary in USD]],"")</f>
        <v/>
      </c>
    </row>
    <row r="1641" spans="2:30" ht="15" customHeight="1" x14ac:dyDescent="0.25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 s="9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  <c r="N1641" t="str">
        <f>IF(tblSalaries[[#This Row],[Years of Experience]]="","",IF(tblSalaries[[#This Row],[Years of Experience]]&lt;=2,1,""))</f>
        <v/>
      </c>
      <c r="O1641">
        <f>IF(tblSalaries[[#This Row],[Years of Experience]]="","",IF(AND(tblSalaries[[#This Row],[Years of Experience]]&gt;2,tblSalaries[[#This Row],[Years of Experience]]&lt;=5),1,""))</f>
        <v>1</v>
      </c>
      <c r="P1641" t="str">
        <f>IF(tblSalaries[[#This Row],[Years of Experience]]="","",IF(AND(tblSalaries[[#This Row],[Years of Experience]]&gt;5,tblSalaries[[#This Row],[Years of Experience]]&lt;=10),1,""))</f>
        <v/>
      </c>
      <c r="Q1641" t="str">
        <f>IF(tblSalaries[[#This Row],[Years of Experience]]="","",IF(AND(tblSalaries[[#This Row],[Years of Experience]]&gt;10,tblSalaries[[#This Row],[Years of Experience]]&lt;=15),1,""))</f>
        <v/>
      </c>
      <c r="R1641" t="str">
        <f>IF(tblSalaries[[#This Row],[Years of Experience]]="","",IF(AND(tblSalaries[[#This Row],[Years of Experience]]&gt;16,tblSalaries[[#This Row],[Years of Experience]]&lt;=20),1,""))</f>
        <v/>
      </c>
      <c r="S1641" t="str">
        <f>IF(tblSalaries[[#This Row],[Years of Experience]]="","",IF(tblSalaries[[#This Row],[Years of Experience]]&gt;20,1,""))</f>
        <v/>
      </c>
      <c r="T16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41" s="13" t="str">
        <f>IF(tblSalaries[[#This Row],[Job Type]]=tblSalaries[[#Headers],[Accountant]],tblSalaries[[#This Row],[Salary in USD]],"")</f>
        <v/>
      </c>
      <c r="V1641" s="13" t="str">
        <f>IF(tblSalaries[[#This Row],[Job Type]]=tblSalaries[[#Headers],[Analyst]],tblSalaries[[#This Row],[Salary in USD]],"")</f>
        <v/>
      </c>
      <c r="W1641" s="13" t="str">
        <f>IF(tblSalaries[[#This Row],[Job Type]]=tblSalaries[[#Headers],[Consultant]],tblSalaries[[#This Row],[Salary in USD]],"")</f>
        <v/>
      </c>
      <c r="X1641" s="13" t="str">
        <f>IF(tblSalaries[[#This Row],[Job Type]]=tblSalaries[[#Headers],[Controller]],tblSalaries[[#This Row],[Salary in USD]],"")</f>
        <v/>
      </c>
      <c r="Y1641" s="13" t="str">
        <f>IF(tblSalaries[[#This Row],[Job Type]]=tblSalaries[[#Headers],[CXO or Top Mgmt.]],tblSalaries[[#This Row],[clean Salary (in local currency)]],"")</f>
        <v/>
      </c>
      <c r="Z1641" s="13" t="str">
        <f>IF(tblSalaries[[#This Row],[Job Type]]=tblSalaries[[#Headers],[Engineer]],tblSalaries[[#This Row],[Salary in USD]],"")</f>
        <v/>
      </c>
      <c r="AA1641" s="13">
        <f>IF(tblSalaries[[#This Row],[Job Type]]=tblSalaries[[#Headers],[Manager]],tblSalaries[[#This Row],[Salary in USD]],"")</f>
        <v>50307.817784067665</v>
      </c>
      <c r="AB1641" s="13" t="str">
        <f>IF(tblSalaries[[#This Row],[Job Type]]=tblSalaries[[#Headers],[Misc.]],tblSalaries[[#This Row],[Salary in USD]],"")</f>
        <v/>
      </c>
      <c r="AC1641" s="13" t="str">
        <f>IF(tblSalaries[[#This Row],[Job Type]]=tblSalaries[[#Headers],[Reporting]],tblSalaries[[#This Row],[Salary in USD]],"")</f>
        <v/>
      </c>
      <c r="AD1641" s="13" t="str">
        <f>IF(tblSalaries[[#This Row],[Job Type]]=tblSalaries[[#Headers],[Specialist]],tblSalaries[[#This Row],[Salary in USD]],"")</f>
        <v/>
      </c>
    </row>
    <row r="1642" spans="2:30" ht="15" customHeight="1" x14ac:dyDescent="0.25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 s="9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  <c r="N1642" t="str">
        <f>IF(tblSalaries[[#This Row],[Years of Experience]]="","",IF(tblSalaries[[#This Row],[Years of Experience]]&lt;=2,1,""))</f>
        <v/>
      </c>
      <c r="O1642" t="str">
        <f>IF(tblSalaries[[#This Row],[Years of Experience]]="","",IF(AND(tblSalaries[[#This Row],[Years of Experience]]&gt;2,tblSalaries[[#This Row],[Years of Experience]]&lt;=5),1,""))</f>
        <v/>
      </c>
      <c r="P1642">
        <f>IF(tblSalaries[[#This Row],[Years of Experience]]="","",IF(AND(tblSalaries[[#This Row],[Years of Experience]]&gt;5,tblSalaries[[#This Row],[Years of Experience]]&lt;=10),1,""))</f>
        <v>1</v>
      </c>
      <c r="Q1642" t="str">
        <f>IF(tblSalaries[[#This Row],[Years of Experience]]="","",IF(AND(tblSalaries[[#This Row],[Years of Experience]]&gt;10,tblSalaries[[#This Row],[Years of Experience]]&lt;=15),1,""))</f>
        <v/>
      </c>
      <c r="R1642" t="str">
        <f>IF(tblSalaries[[#This Row],[Years of Experience]]="","",IF(AND(tblSalaries[[#This Row],[Years of Experience]]&gt;16,tblSalaries[[#This Row],[Years of Experience]]&lt;=20),1,""))</f>
        <v/>
      </c>
      <c r="S1642" t="str">
        <f>IF(tblSalaries[[#This Row],[Years of Experience]]="","",IF(tblSalaries[[#This Row],[Years of Experience]]&gt;20,1,""))</f>
        <v/>
      </c>
      <c r="T16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42" s="13" t="str">
        <f>IF(tblSalaries[[#This Row],[Job Type]]=tblSalaries[[#Headers],[Accountant]],tblSalaries[[#This Row],[Salary in USD]],"")</f>
        <v/>
      </c>
      <c r="V1642" s="13">
        <f>IF(tblSalaries[[#This Row],[Job Type]]=tblSalaries[[#Headers],[Analyst]],tblSalaries[[#This Row],[Salary in USD]],"")</f>
        <v>30500</v>
      </c>
      <c r="W1642" s="13" t="str">
        <f>IF(tblSalaries[[#This Row],[Job Type]]=tblSalaries[[#Headers],[Consultant]],tblSalaries[[#This Row],[Salary in USD]],"")</f>
        <v/>
      </c>
      <c r="X1642" s="13" t="str">
        <f>IF(tblSalaries[[#This Row],[Job Type]]=tblSalaries[[#Headers],[Controller]],tblSalaries[[#This Row],[Salary in USD]],"")</f>
        <v/>
      </c>
      <c r="Y1642" s="13" t="str">
        <f>IF(tblSalaries[[#This Row],[Job Type]]=tblSalaries[[#Headers],[CXO or Top Mgmt.]],tblSalaries[[#This Row],[clean Salary (in local currency)]],"")</f>
        <v/>
      </c>
      <c r="Z1642" s="13" t="str">
        <f>IF(tblSalaries[[#This Row],[Job Type]]=tblSalaries[[#Headers],[Engineer]],tblSalaries[[#This Row],[Salary in USD]],"")</f>
        <v/>
      </c>
      <c r="AA1642" s="13" t="str">
        <f>IF(tblSalaries[[#This Row],[Job Type]]=tblSalaries[[#Headers],[Manager]],tblSalaries[[#This Row],[Salary in USD]],"")</f>
        <v/>
      </c>
      <c r="AB1642" s="13" t="str">
        <f>IF(tblSalaries[[#This Row],[Job Type]]=tblSalaries[[#Headers],[Misc.]],tblSalaries[[#This Row],[Salary in USD]],"")</f>
        <v/>
      </c>
      <c r="AC1642" s="13" t="str">
        <f>IF(tblSalaries[[#This Row],[Job Type]]=tblSalaries[[#Headers],[Reporting]],tblSalaries[[#This Row],[Salary in USD]],"")</f>
        <v/>
      </c>
      <c r="AD1642" s="13" t="str">
        <f>IF(tblSalaries[[#This Row],[Job Type]]=tblSalaries[[#Headers],[Specialist]],tblSalaries[[#This Row],[Salary in USD]],"")</f>
        <v/>
      </c>
    </row>
    <row r="1643" spans="2:30" ht="15" customHeight="1" x14ac:dyDescent="0.25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 s="9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  <c r="N1643">
        <f>IF(tblSalaries[[#This Row],[Years of Experience]]="","",IF(tblSalaries[[#This Row],[Years of Experience]]&lt;=2,1,""))</f>
        <v>1</v>
      </c>
      <c r="O1643" t="str">
        <f>IF(tblSalaries[[#This Row],[Years of Experience]]="","",IF(AND(tblSalaries[[#This Row],[Years of Experience]]&gt;2,tblSalaries[[#This Row],[Years of Experience]]&lt;=5),1,""))</f>
        <v/>
      </c>
      <c r="P1643" t="str">
        <f>IF(tblSalaries[[#This Row],[Years of Experience]]="","",IF(AND(tblSalaries[[#This Row],[Years of Experience]]&gt;5,tblSalaries[[#This Row],[Years of Experience]]&lt;=10),1,""))</f>
        <v/>
      </c>
      <c r="Q1643" t="str">
        <f>IF(tblSalaries[[#This Row],[Years of Experience]]="","",IF(AND(tblSalaries[[#This Row],[Years of Experience]]&gt;10,tblSalaries[[#This Row],[Years of Experience]]&lt;=15),1,""))</f>
        <v/>
      </c>
      <c r="R1643" t="str">
        <f>IF(tblSalaries[[#This Row],[Years of Experience]]="","",IF(AND(tblSalaries[[#This Row],[Years of Experience]]&gt;16,tblSalaries[[#This Row],[Years of Experience]]&lt;=20),1,""))</f>
        <v/>
      </c>
      <c r="S1643" t="str">
        <f>IF(tblSalaries[[#This Row],[Years of Experience]]="","",IF(tblSalaries[[#This Row],[Years of Experience]]&gt;20,1,""))</f>
        <v/>
      </c>
      <c r="T16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43" s="13" t="str">
        <f>IF(tblSalaries[[#This Row],[Job Type]]=tblSalaries[[#Headers],[Accountant]],tblSalaries[[#This Row],[Salary in USD]],"")</f>
        <v/>
      </c>
      <c r="V1643" s="13" t="str">
        <f>IF(tblSalaries[[#This Row],[Job Type]]=tblSalaries[[#Headers],[Analyst]],tblSalaries[[#This Row],[Salary in USD]],"")</f>
        <v/>
      </c>
      <c r="W1643" s="13" t="str">
        <f>IF(tblSalaries[[#This Row],[Job Type]]=tblSalaries[[#Headers],[Consultant]],tblSalaries[[#This Row],[Salary in USD]],"")</f>
        <v/>
      </c>
      <c r="X1643" s="13" t="str">
        <f>IF(tblSalaries[[#This Row],[Job Type]]=tblSalaries[[#Headers],[Controller]],tblSalaries[[#This Row],[Salary in USD]],"")</f>
        <v/>
      </c>
      <c r="Y1643" s="13" t="str">
        <f>IF(tblSalaries[[#This Row],[Job Type]]=tblSalaries[[#Headers],[CXO or Top Mgmt.]],tblSalaries[[#This Row],[clean Salary (in local currency)]],"")</f>
        <v/>
      </c>
      <c r="Z1643" s="13" t="str">
        <f>IF(tblSalaries[[#This Row],[Job Type]]=tblSalaries[[#Headers],[Engineer]],tblSalaries[[#This Row],[Salary in USD]],"")</f>
        <v/>
      </c>
      <c r="AA1643" s="13" t="str">
        <f>IF(tblSalaries[[#This Row],[Job Type]]=tblSalaries[[#Headers],[Manager]],tblSalaries[[#This Row],[Salary in USD]],"")</f>
        <v/>
      </c>
      <c r="AB1643" s="13" t="str">
        <f>IF(tblSalaries[[#This Row],[Job Type]]=tblSalaries[[#Headers],[Misc.]],tblSalaries[[#This Row],[Salary in USD]],"")</f>
        <v/>
      </c>
      <c r="AC1643" s="13" t="str">
        <f>IF(tblSalaries[[#This Row],[Job Type]]=tblSalaries[[#Headers],[Reporting]],tblSalaries[[#This Row],[Salary in USD]],"")</f>
        <v/>
      </c>
      <c r="AD1643" s="13">
        <f>IF(tblSalaries[[#This Row],[Job Type]]=tblSalaries[[#Headers],[Specialist]],tblSalaries[[#This Row],[Salary in USD]],"")</f>
        <v>80000</v>
      </c>
    </row>
    <row r="1644" spans="2:30" ht="15" customHeight="1" x14ac:dyDescent="0.25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 s="9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  <c r="N1644">
        <f>IF(tblSalaries[[#This Row],[Years of Experience]]="","",IF(tblSalaries[[#This Row],[Years of Experience]]&lt;=2,1,""))</f>
        <v>1</v>
      </c>
      <c r="O1644" t="str">
        <f>IF(tblSalaries[[#This Row],[Years of Experience]]="","",IF(AND(tblSalaries[[#This Row],[Years of Experience]]&gt;2,tblSalaries[[#This Row],[Years of Experience]]&lt;=5),1,""))</f>
        <v/>
      </c>
      <c r="P1644" t="str">
        <f>IF(tblSalaries[[#This Row],[Years of Experience]]="","",IF(AND(tblSalaries[[#This Row],[Years of Experience]]&gt;5,tblSalaries[[#This Row],[Years of Experience]]&lt;=10),1,""))</f>
        <v/>
      </c>
      <c r="Q1644" t="str">
        <f>IF(tblSalaries[[#This Row],[Years of Experience]]="","",IF(AND(tblSalaries[[#This Row],[Years of Experience]]&gt;10,tblSalaries[[#This Row],[Years of Experience]]&lt;=15),1,""))</f>
        <v/>
      </c>
      <c r="R1644" t="str">
        <f>IF(tblSalaries[[#This Row],[Years of Experience]]="","",IF(AND(tblSalaries[[#This Row],[Years of Experience]]&gt;16,tblSalaries[[#This Row],[Years of Experience]]&lt;=20),1,""))</f>
        <v/>
      </c>
      <c r="S1644" t="str">
        <f>IF(tblSalaries[[#This Row],[Years of Experience]]="","",IF(tblSalaries[[#This Row],[Years of Experience]]&gt;20,1,""))</f>
        <v/>
      </c>
      <c r="T16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44" s="13" t="str">
        <f>IF(tblSalaries[[#This Row],[Job Type]]=tblSalaries[[#Headers],[Accountant]],tblSalaries[[#This Row],[Salary in USD]],"")</f>
        <v/>
      </c>
      <c r="V1644" s="13">
        <f>IF(tblSalaries[[#This Row],[Job Type]]=tblSalaries[[#Headers],[Analyst]],tblSalaries[[#This Row],[Salary in USD]],"")</f>
        <v>12000</v>
      </c>
      <c r="W1644" s="13" t="str">
        <f>IF(tblSalaries[[#This Row],[Job Type]]=tblSalaries[[#Headers],[Consultant]],tblSalaries[[#This Row],[Salary in USD]],"")</f>
        <v/>
      </c>
      <c r="X1644" s="13" t="str">
        <f>IF(tblSalaries[[#This Row],[Job Type]]=tblSalaries[[#Headers],[Controller]],tblSalaries[[#This Row],[Salary in USD]],"")</f>
        <v/>
      </c>
      <c r="Y1644" s="13" t="str">
        <f>IF(tblSalaries[[#This Row],[Job Type]]=tblSalaries[[#Headers],[CXO or Top Mgmt.]],tblSalaries[[#This Row],[clean Salary (in local currency)]],"")</f>
        <v/>
      </c>
      <c r="Z1644" s="13" t="str">
        <f>IF(tblSalaries[[#This Row],[Job Type]]=tblSalaries[[#Headers],[Engineer]],tblSalaries[[#This Row],[Salary in USD]],"")</f>
        <v/>
      </c>
      <c r="AA1644" s="13" t="str">
        <f>IF(tblSalaries[[#This Row],[Job Type]]=tblSalaries[[#Headers],[Manager]],tblSalaries[[#This Row],[Salary in USD]],"")</f>
        <v/>
      </c>
      <c r="AB1644" s="13" t="str">
        <f>IF(tblSalaries[[#This Row],[Job Type]]=tblSalaries[[#Headers],[Misc.]],tblSalaries[[#This Row],[Salary in USD]],"")</f>
        <v/>
      </c>
      <c r="AC1644" s="13" t="str">
        <f>IF(tblSalaries[[#This Row],[Job Type]]=tblSalaries[[#Headers],[Reporting]],tblSalaries[[#This Row],[Salary in USD]],"")</f>
        <v/>
      </c>
      <c r="AD1644" s="13" t="str">
        <f>IF(tblSalaries[[#This Row],[Job Type]]=tblSalaries[[#Headers],[Specialist]],tblSalaries[[#This Row],[Salary in USD]],"")</f>
        <v/>
      </c>
    </row>
    <row r="1645" spans="2:30" ht="15" customHeight="1" x14ac:dyDescent="0.25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 s="9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  <c r="N1645" t="str">
        <f>IF(tblSalaries[[#This Row],[Years of Experience]]="","",IF(tblSalaries[[#This Row],[Years of Experience]]&lt;=2,1,""))</f>
        <v/>
      </c>
      <c r="O1645" t="str">
        <f>IF(tblSalaries[[#This Row],[Years of Experience]]="","",IF(AND(tblSalaries[[#This Row],[Years of Experience]]&gt;2,tblSalaries[[#This Row],[Years of Experience]]&lt;=5),1,""))</f>
        <v/>
      </c>
      <c r="P1645">
        <f>IF(tblSalaries[[#This Row],[Years of Experience]]="","",IF(AND(tblSalaries[[#This Row],[Years of Experience]]&gt;5,tblSalaries[[#This Row],[Years of Experience]]&lt;=10),1,""))</f>
        <v>1</v>
      </c>
      <c r="Q1645" t="str">
        <f>IF(tblSalaries[[#This Row],[Years of Experience]]="","",IF(AND(tblSalaries[[#This Row],[Years of Experience]]&gt;10,tblSalaries[[#This Row],[Years of Experience]]&lt;=15),1,""))</f>
        <v/>
      </c>
      <c r="R1645" t="str">
        <f>IF(tblSalaries[[#This Row],[Years of Experience]]="","",IF(AND(tblSalaries[[#This Row],[Years of Experience]]&gt;16,tblSalaries[[#This Row],[Years of Experience]]&lt;=20),1,""))</f>
        <v/>
      </c>
      <c r="S1645" t="str">
        <f>IF(tblSalaries[[#This Row],[Years of Experience]]="","",IF(tblSalaries[[#This Row],[Years of Experience]]&gt;20,1,""))</f>
        <v/>
      </c>
      <c r="T16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45" s="13" t="str">
        <f>IF(tblSalaries[[#This Row],[Job Type]]=tblSalaries[[#Headers],[Accountant]],tblSalaries[[#This Row],[Salary in USD]],"")</f>
        <v/>
      </c>
      <c r="V1645" s="13">
        <f>IF(tblSalaries[[#This Row],[Job Type]]=tblSalaries[[#Headers],[Analyst]],tblSalaries[[#This Row],[Salary in USD]],"")</f>
        <v>48500</v>
      </c>
      <c r="W1645" s="13" t="str">
        <f>IF(tblSalaries[[#This Row],[Job Type]]=tblSalaries[[#Headers],[Consultant]],tblSalaries[[#This Row],[Salary in USD]],"")</f>
        <v/>
      </c>
      <c r="X1645" s="13" t="str">
        <f>IF(tblSalaries[[#This Row],[Job Type]]=tblSalaries[[#Headers],[Controller]],tblSalaries[[#This Row],[Salary in USD]],"")</f>
        <v/>
      </c>
      <c r="Y1645" s="13" t="str">
        <f>IF(tblSalaries[[#This Row],[Job Type]]=tblSalaries[[#Headers],[CXO or Top Mgmt.]],tblSalaries[[#This Row],[clean Salary (in local currency)]],"")</f>
        <v/>
      </c>
      <c r="Z1645" s="13" t="str">
        <f>IF(tblSalaries[[#This Row],[Job Type]]=tblSalaries[[#Headers],[Engineer]],tblSalaries[[#This Row],[Salary in USD]],"")</f>
        <v/>
      </c>
      <c r="AA1645" s="13" t="str">
        <f>IF(tblSalaries[[#This Row],[Job Type]]=tblSalaries[[#Headers],[Manager]],tblSalaries[[#This Row],[Salary in USD]],"")</f>
        <v/>
      </c>
      <c r="AB1645" s="13" t="str">
        <f>IF(tblSalaries[[#This Row],[Job Type]]=tblSalaries[[#Headers],[Misc.]],tblSalaries[[#This Row],[Salary in USD]],"")</f>
        <v/>
      </c>
      <c r="AC1645" s="13" t="str">
        <f>IF(tblSalaries[[#This Row],[Job Type]]=tblSalaries[[#Headers],[Reporting]],tblSalaries[[#This Row],[Salary in USD]],"")</f>
        <v/>
      </c>
      <c r="AD1645" s="13" t="str">
        <f>IF(tblSalaries[[#This Row],[Job Type]]=tblSalaries[[#Headers],[Specialist]],tblSalaries[[#This Row],[Salary in USD]],"")</f>
        <v/>
      </c>
    </row>
    <row r="1646" spans="2:30" ht="15" customHeight="1" x14ac:dyDescent="0.25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 s="9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  <c r="N1646" t="str">
        <f>IF(tblSalaries[[#This Row],[Years of Experience]]="","",IF(tblSalaries[[#This Row],[Years of Experience]]&lt;=2,1,""))</f>
        <v/>
      </c>
      <c r="O1646" t="str">
        <f>IF(tblSalaries[[#This Row],[Years of Experience]]="","",IF(AND(tblSalaries[[#This Row],[Years of Experience]]&gt;2,tblSalaries[[#This Row],[Years of Experience]]&lt;=5),1,""))</f>
        <v/>
      </c>
      <c r="P1646" t="str">
        <f>IF(tblSalaries[[#This Row],[Years of Experience]]="","",IF(AND(tblSalaries[[#This Row],[Years of Experience]]&gt;5,tblSalaries[[#This Row],[Years of Experience]]&lt;=10),1,""))</f>
        <v/>
      </c>
      <c r="Q1646" t="str">
        <f>IF(tblSalaries[[#This Row],[Years of Experience]]="","",IF(AND(tblSalaries[[#This Row],[Years of Experience]]&gt;10,tblSalaries[[#This Row],[Years of Experience]]&lt;=15),1,""))</f>
        <v/>
      </c>
      <c r="R1646" t="str">
        <f>IF(tblSalaries[[#This Row],[Years of Experience]]="","",IF(AND(tblSalaries[[#This Row],[Years of Experience]]&gt;16,tblSalaries[[#This Row],[Years of Experience]]&lt;=20),1,""))</f>
        <v/>
      </c>
      <c r="S1646">
        <f>IF(tblSalaries[[#This Row],[Years of Experience]]="","",IF(tblSalaries[[#This Row],[Years of Experience]]&gt;20,1,""))</f>
        <v>1</v>
      </c>
      <c r="T16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646" s="13" t="str">
        <f>IF(tblSalaries[[#This Row],[Job Type]]=tblSalaries[[#Headers],[Accountant]],tblSalaries[[#This Row],[Salary in USD]],"")</f>
        <v/>
      </c>
      <c r="V1646" s="13" t="str">
        <f>IF(tblSalaries[[#This Row],[Job Type]]=tblSalaries[[#Headers],[Analyst]],tblSalaries[[#This Row],[Salary in USD]],"")</f>
        <v/>
      </c>
      <c r="W1646" s="13" t="str">
        <f>IF(tblSalaries[[#This Row],[Job Type]]=tblSalaries[[#Headers],[Consultant]],tblSalaries[[#This Row],[Salary in USD]],"")</f>
        <v/>
      </c>
      <c r="X1646" s="13" t="str">
        <f>IF(tblSalaries[[#This Row],[Job Type]]=tblSalaries[[#Headers],[Controller]],tblSalaries[[#This Row],[Salary in USD]],"")</f>
        <v/>
      </c>
      <c r="Y1646" s="13" t="str">
        <f>IF(tblSalaries[[#This Row],[Job Type]]=tblSalaries[[#Headers],[CXO or Top Mgmt.]],tblSalaries[[#This Row],[clean Salary (in local currency)]],"")</f>
        <v/>
      </c>
      <c r="Z1646" s="13" t="str">
        <f>IF(tblSalaries[[#This Row],[Job Type]]=tblSalaries[[#Headers],[Engineer]],tblSalaries[[#This Row],[Salary in USD]],"")</f>
        <v/>
      </c>
      <c r="AA1646" s="13" t="str">
        <f>IF(tblSalaries[[#This Row],[Job Type]]=tblSalaries[[#Headers],[Manager]],tblSalaries[[#This Row],[Salary in USD]],"")</f>
        <v/>
      </c>
      <c r="AB1646" s="13" t="str">
        <f>IF(tblSalaries[[#This Row],[Job Type]]=tblSalaries[[#Headers],[Misc.]],tblSalaries[[#This Row],[Salary in USD]],"")</f>
        <v/>
      </c>
      <c r="AC1646" s="13" t="str">
        <f>IF(tblSalaries[[#This Row],[Job Type]]=tblSalaries[[#Headers],[Reporting]],tblSalaries[[#This Row],[Salary in USD]],"")</f>
        <v/>
      </c>
      <c r="AD1646" s="13">
        <f>IF(tblSalaries[[#This Row],[Job Type]]=tblSalaries[[#Headers],[Specialist]],tblSalaries[[#This Row],[Salary in USD]],"")</f>
        <v>63047.130882691366</v>
      </c>
    </row>
    <row r="1647" spans="2:30" ht="15" customHeight="1" x14ac:dyDescent="0.25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 s="9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  <c r="N1647" t="str">
        <f>IF(tblSalaries[[#This Row],[Years of Experience]]="","",IF(tblSalaries[[#This Row],[Years of Experience]]&lt;=2,1,""))</f>
        <v/>
      </c>
      <c r="O1647">
        <f>IF(tblSalaries[[#This Row],[Years of Experience]]="","",IF(AND(tblSalaries[[#This Row],[Years of Experience]]&gt;2,tblSalaries[[#This Row],[Years of Experience]]&lt;=5),1,""))</f>
        <v>1</v>
      </c>
      <c r="P1647" t="str">
        <f>IF(tblSalaries[[#This Row],[Years of Experience]]="","",IF(AND(tblSalaries[[#This Row],[Years of Experience]]&gt;5,tblSalaries[[#This Row],[Years of Experience]]&lt;=10),1,""))</f>
        <v/>
      </c>
      <c r="Q1647" t="str">
        <f>IF(tblSalaries[[#This Row],[Years of Experience]]="","",IF(AND(tblSalaries[[#This Row],[Years of Experience]]&gt;10,tblSalaries[[#This Row],[Years of Experience]]&lt;=15),1,""))</f>
        <v/>
      </c>
      <c r="R1647" t="str">
        <f>IF(tblSalaries[[#This Row],[Years of Experience]]="","",IF(AND(tblSalaries[[#This Row],[Years of Experience]]&gt;16,tblSalaries[[#This Row],[Years of Experience]]&lt;=20),1,""))</f>
        <v/>
      </c>
      <c r="S1647" t="str">
        <f>IF(tblSalaries[[#This Row],[Years of Experience]]="","",IF(tblSalaries[[#This Row],[Years of Experience]]&gt;20,1,""))</f>
        <v/>
      </c>
      <c r="T16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47" s="13" t="str">
        <f>IF(tblSalaries[[#This Row],[Job Type]]=tblSalaries[[#Headers],[Accountant]],tblSalaries[[#This Row],[Salary in USD]],"")</f>
        <v/>
      </c>
      <c r="V1647" s="13">
        <f>IF(tblSalaries[[#This Row],[Job Type]]=tblSalaries[[#Headers],[Analyst]],tblSalaries[[#This Row],[Salary in USD]],"")</f>
        <v>3419.1200039889732</v>
      </c>
      <c r="W1647" s="13" t="str">
        <f>IF(tblSalaries[[#This Row],[Job Type]]=tblSalaries[[#Headers],[Consultant]],tblSalaries[[#This Row],[Salary in USD]],"")</f>
        <v/>
      </c>
      <c r="X1647" s="13" t="str">
        <f>IF(tblSalaries[[#This Row],[Job Type]]=tblSalaries[[#Headers],[Controller]],tblSalaries[[#This Row],[Salary in USD]],"")</f>
        <v/>
      </c>
      <c r="Y1647" s="13" t="str">
        <f>IF(tblSalaries[[#This Row],[Job Type]]=tblSalaries[[#Headers],[CXO or Top Mgmt.]],tblSalaries[[#This Row],[clean Salary (in local currency)]],"")</f>
        <v/>
      </c>
      <c r="Z1647" s="13" t="str">
        <f>IF(tblSalaries[[#This Row],[Job Type]]=tblSalaries[[#Headers],[Engineer]],tblSalaries[[#This Row],[Salary in USD]],"")</f>
        <v/>
      </c>
      <c r="AA1647" s="13" t="str">
        <f>IF(tblSalaries[[#This Row],[Job Type]]=tblSalaries[[#Headers],[Manager]],tblSalaries[[#This Row],[Salary in USD]],"")</f>
        <v/>
      </c>
      <c r="AB1647" s="13" t="str">
        <f>IF(tblSalaries[[#This Row],[Job Type]]=tblSalaries[[#Headers],[Misc.]],tblSalaries[[#This Row],[Salary in USD]],"")</f>
        <v/>
      </c>
      <c r="AC1647" s="13" t="str">
        <f>IF(tblSalaries[[#This Row],[Job Type]]=tblSalaries[[#Headers],[Reporting]],tblSalaries[[#This Row],[Salary in USD]],"")</f>
        <v/>
      </c>
      <c r="AD1647" s="13" t="str">
        <f>IF(tblSalaries[[#This Row],[Job Type]]=tblSalaries[[#Headers],[Specialist]],tblSalaries[[#This Row],[Salary in USD]],"")</f>
        <v/>
      </c>
    </row>
    <row r="1648" spans="2:30" ht="15" customHeight="1" x14ac:dyDescent="0.25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 s="9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  <c r="N1648" t="str">
        <f>IF(tblSalaries[[#This Row],[Years of Experience]]="","",IF(tblSalaries[[#This Row],[Years of Experience]]&lt;=2,1,""))</f>
        <v/>
      </c>
      <c r="O1648" t="str">
        <f>IF(tblSalaries[[#This Row],[Years of Experience]]="","",IF(AND(tblSalaries[[#This Row],[Years of Experience]]&gt;2,tblSalaries[[#This Row],[Years of Experience]]&lt;=5),1,""))</f>
        <v/>
      </c>
      <c r="P1648">
        <f>IF(tblSalaries[[#This Row],[Years of Experience]]="","",IF(AND(tblSalaries[[#This Row],[Years of Experience]]&gt;5,tblSalaries[[#This Row],[Years of Experience]]&lt;=10),1,""))</f>
        <v>1</v>
      </c>
      <c r="Q1648" t="str">
        <f>IF(tblSalaries[[#This Row],[Years of Experience]]="","",IF(AND(tblSalaries[[#This Row],[Years of Experience]]&gt;10,tblSalaries[[#This Row],[Years of Experience]]&lt;=15),1,""))</f>
        <v/>
      </c>
      <c r="R1648" t="str">
        <f>IF(tblSalaries[[#This Row],[Years of Experience]]="","",IF(AND(tblSalaries[[#This Row],[Years of Experience]]&gt;16,tblSalaries[[#This Row],[Years of Experience]]&lt;=20),1,""))</f>
        <v/>
      </c>
      <c r="S1648" t="str">
        <f>IF(tblSalaries[[#This Row],[Years of Experience]]="","",IF(tblSalaries[[#This Row],[Years of Experience]]&gt;20,1,""))</f>
        <v/>
      </c>
      <c r="T16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48" s="13" t="str">
        <f>IF(tblSalaries[[#This Row],[Job Type]]=tblSalaries[[#Headers],[Accountant]],tblSalaries[[#This Row],[Salary in USD]],"")</f>
        <v/>
      </c>
      <c r="V1648" s="13" t="str">
        <f>IF(tblSalaries[[#This Row],[Job Type]]=tblSalaries[[#Headers],[Analyst]],tblSalaries[[#This Row],[Salary in USD]],"")</f>
        <v/>
      </c>
      <c r="W1648" s="13" t="str">
        <f>IF(tblSalaries[[#This Row],[Job Type]]=tblSalaries[[#Headers],[Consultant]],tblSalaries[[#This Row],[Salary in USD]],"")</f>
        <v/>
      </c>
      <c r="X1648" s="13" t="str">
        <f>IF(tblSalaries[[#This Row],[Job Type]]=tblSalaries[[#Headers],[Controller]],tblSalaries[[#This Row],[Salary in USD]],"")</f>
        <v/>
      </c>
      <c r="Y1648" s="13" t="str">
        <f>IF(tblSalaries[[#This Row],[Job Type]]=tblSalaries[[#Headers],[CXO or Top Mgmt.]],tblSalaries[[#This Row],[clean Salary (in local currency)]],"")</f>
        <v/>
      </c>
      <c r="Z1648" s="13" t="str">
        <f>IF(tblSalaries[[#This Row],[Job Type]]=tblSalaries[[#Headers],[Engineer]],tblSalaries[[#This Row],[Salary in USD]],"")</f>
        <v/>
      </c>
      <c r="AA1648" s="13">
        <f>IF(tblSalaries[[#This Row],[Job Type]]=tblSalaries[[#Headers],[Manager]],tblSalaries[[#This Row],[Salary in USD]],"")</f>
        <v>87734.690296543267</v>
      </c>
      <c r="AB1648" s="13" t="str">
        <f>IF(tblSalaries[[#This Row],[Job Type]]=tblSalaries[[#Headers],[Misc.]],tblSalaries[[#This Row],[Salary in USD]],"")</f>
        <v/>
      </c>
      <c r="AC1648" s="13" t="str">
        <f>IF(tblSalaries[[#This Row],[Job Type]]=tblSalaries[[#Headers],[Reporting]],tblSalaries[[#This Row],[Salary in USD]],"")</f>
        <v/>
      </c>
      <c r="AD1648" s="13" t="str">
        <f>IF(tblSalaries[[#This Row],[Job Type]]=tblSalaries[[#Headers],[Specialist]],tblSalaries[[#This Row],[Salary in USD]],"")</f>
        <v/>
      </c>
    </row>
    <row r="1649" spans="2:30" ht="15" customHeight="1" x14ac:dyDescent="0.25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 s="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  <c r="N1649" t="str">
        <f>IF(tblSalaries[[#This Row],[Years of Experience]]="","",IF(tblSalaries[[#This Row],[Years of Experience]]&lt;=2,1,""))</f>
        <v/>
      </c>
      <c r="O1649" t="str">
        <f>IF(tblSalaries[[#This Row],[Years of Experience]]="","",IF(AND(tblSalaries[[#This Row],[Years of Experience]]&gt;2,tblSalaries[[#This Row],[Years of Experience]]&lt;=5),1,""))</f>
        <v/>
      </c>
      <c r="P1649">
        <f>IF(tblSalaries[[#This Row],[Years of Experience]]="","",IF(AND(tblSalaries[[#This Row],[Years of Experience]]&gt;5,tblSalaries[[#This Row],[Years of Experience]]&lt;=10),1,""))</f>
        <v>1</v>
      </c>
      <c r="Q1649" t="str">
        <f>IF(tblSalaries[[#This Row],[Years of Experience]]="","",IF(AND(tblSalaries[[#This Row],[Years of Experience]]&gt;10,tblSalaries[[#This Row],[Years of Experience]]&lt;=15),1,""))</f>
        <v/>
      </c>
      <c r="R1649" t="str">
        <f>IF(tblSalaries[[#This Row],[Years of Experience]]="","",IF(AND(tblSalaries[[#This Row],[Years of Experience]]&gt;16,tblSalaries[[#This Row],[Years of Experience]]&lt;=20),1,""))</f>
        <v/>
      </c>
      <c r="S1649" t="str">
        <f>IF(tblSalaries[[#This Row],[Years of Experience]]="","",IF(tblSalaries[[#This Row],[Years of Experience]]&gt;20,1,""))</f>
        <v/>
      </c>
      <c r="T16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49" s="13" t="str">
        <f>IF(tblSalaries[[#This Row],[Job Type]]=tblSalaries[[#Headers],[Accountant]],tblSalaries[[#This Row],[Salary in USD]],"")</f>
        <v/>
      </c>
      <c r="V1649" s="13">
        <f>IF(tblSalaries[[#This Row],[Job Type]]=tblSalaries[[#Headers],[Analyst]],tblSalaries[[#This Row],[Salary in USD]],"")</f>
        <v>56628.754645950656</v>
      </c>
      <c r="W1649" s="13" t="str">
        <f>IF(tblSalaries[[#This Row],[Job Type]]=tblSalaries[[#Headers],[Consultant]],tblSalaries[[#This Row],[Salary in USD]],"")</f>
        <v/>
      </c>
      <c r="X1649" s="13" t="str">
        <f>IF(tblSalaries[[#This Row],[Job Type]]=tblSalaries[[#Headers],[Controller]],tblSalaries[[#This Row],[Salary in USD]],"")</f>
        <v/>
      </c>
      <c r="Y1649" s="13" t="str">
        <f>IF(tblSalaries[[#This Row],[Job Type]]=tblSalaries[[#Headers],[CXO or Top Mgmt.]],tblSalaries[[#This Row],[clean Salary (in local currency)]],"")</f>
        <v/>
      </c>
      <c r="Z1649" s="13" t="str">
        <f>IF(tblSalaries[[#This Row],[Job Type]]=tblSalaries[[#Headers],[Engineer]],tblSalaries[[#This Row],[Salary in USD]],"")</f>
        <v/>
      </c>
      <c r="AA1649" s="13" t="str">
        <f>IF(tblSalaries[[#This Row],[Job Type]]=tblSalaries[[#Headers],[Manager]],tblSalaries[[#This Row],[Salary in USD]],"")</f>
        <v/>
      </c>
      <c r="AB1649" s="13" t="str">
        <f>IF(tblSalaries[[#This Row],[Job Type]]=tblSalaries[[#Headers],[Misc.]],tblSalaries[[#This Row],[Salary in USD]],"")</f>
        <v/>
      </c>
      <c r="AC1649" s="13" t="str">
        <f>IF(tblSalaries[[#This Row],[Job Type]]=tblSalaries[[#Headers],[Reporting]],tblSalaries[[#This Row],[Salary in USD]],"")</f>
        <v/>
      </c>
      <c r="AD1649" s="13" t="str">
        <f>IF(tblSalaries[[#This Row],[Job Type]]=tblSalaries[[#Headers],[Specialist]],tblSalaries[[#This Row],[Salary in USD]],"")</f>
        <v/>
      </c>
    </row>
    <row r="1650" spans="2:30" ht="15" customHeight="1" x14ac:dyDescent="0.25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 s="9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3999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  <c r="N1650" t="str">
        <f>IF(tblSalaries[[#This Row],[Years of Experience]]="","",IF(tblSalaries[[#This Row],[Years of Experience]]&lt;=2,1,""))</f>
        <v/>
      </c>
      <c r="O1650">
        <f>IF(tblSalaries[[#This Row],[Years of Experience]]="","",IF(AND(tblSalaries[[#This Row],[Years of Experience]]&gt;2,tblSalaries[[#This Row],[Years of Experience]]&lt;=5),1,""))</f>
        <v>1</v>
      </c>
      <c r="P1650" t="str">
        <f>IF(tblSalaries[[#This Row],[Years of Experience]]="","",IF(AND(tblSalaries[[#This Row],[Years of Experience]]&gt;5,tblSalaries[[#This Row],[Years of Experience]]&lt;=10),1,""))</f>
        <v/>
      </c>
      <c r="Q1650" t="str">
        <f>IF(tblSalaries[[#This Row],[Years of Experience]]="","",IF(AND(tblSalaries[[#This Row],[Years of Experience]]&gt;10,tblSalaries[[#This Row],[Years of Experience]]&lt;=15),1,""))</f>
        <v/>
      </c>
      <c r="R1650" t="str">
        <f>IF(tblSalaries[[#This Row],[Years of Experience]]="","",IF(AND(tblSalaries[[#This Row],[Years of Experience]]&gt;16,tblSalaries[[#This Row],[Years of Experience]]&lt;=20),1,""))</f>
        <v/>
      </c>
      <c r="S1650" t="str">
        <f>IF(tblSalaries[[#This Row],[Years of Experience]]="","",IF(tblSalaries[[#This Row],[Years of Experience]]&gt;20,1,""))</f>
        <v/>
      </c>
      <c r="T16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50" s="13" t="str">
        <f>IF(tblSalaries[[#This Row],[Job Type]]=tblSalaries[[#Headers],[Accountant]],tblSalaries[[#This Row],[Salary in USD]],"")</f>
        <v/>
      </c>
      <c r="V1650" s="13" t="str">
        <f>IF(tblSalaries[[#This Row],[Job Type]]=tblSalaries[[#Headers],[Analyst]],tblSalaries[[#This Row],[Salary in USD]],"")</f>
        <v/>
      </c>
      <c r="W1650" s="13" t="str">
        <f>IF(tblSalaries[[#This Row],[Job Type]]=tblSalaries[[#Headers],[Consultant]],tblSalaries[[#This Row],[Salary in USD]],"")</f>
        <v/>
      </c>
      <c r="X1650" s="13" t="str">
        <f>IF(tblSalaries[[#This Row],[Job Type]]=tblSalaries[[#Headers],[Controller]],tblSalaries[[#This Row],[Salary in USD]],"")</f>
        <v/>
      </c>
      <c r="Y1650" s="13" t="str">
        <f>IF(tblSalaries[[#This Row],[Job Type]]=tblSalaries[[#Headers],[CXO or Top Mgmt.]],tblSalaries[[#This Row],[clean Salary (in local currency)]],"")</f>
        <v/>
      </c>
      <c r="Z1650" s="13" t="str">
        <f>IF(tblSalaries[[#This Row],[Job Type]]=tblSalaries[[#Headers],[Engineer]],tblSalaries[[#This Row],[Salary in USD]],"")</f>
        <v/>
      </c>
      <c r="AA1650" s="13" t="str">
        <f>IF(tblSalaries[[#This Row],[Job Type]]=tblSalaries[[#Headers],[Manager]],tblSalaries[[#This Row],[Salary in USD]],"")</f>
        <v/>
      </c>
      <c r="AB1650" s="13" t="str">
        <f>IF(tblSalaries[[#This Row],[Job Type]]=tblSalaries[[#Headers],[Misc.]],tblSalaries[[#This Row],[Salary in USD]],"")</f>
        <v/>
      </c>
      <c r="AC1650" s="13">
        <f>IF(tblSalaries[[#This Row],[Job Type]]=tblSalaries[[#Headers],[Reporting]],tblSalaries[[#This Row],[Salary in USD]],"")</f>
        <v>8013.5625093491553</v>
      </c>
      <c r="AD1650" s="13" t="str">
        <f>IF(tblSalaries[[#This Row],[Job Type]]=tblSalaries[[#Headers],[Specialist]],tblSalaries[[#This Row],[Salary in USD]],"")</f>
        <v/>
      </c>
    </row>
    <row r="1651" spans="2:30" ht="15" customHeight="1" x14ac:dyDescent="0.25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 s="9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  <c r="N1651" t="str">
        <f>IF(tblSalaries[[#This Row],[Years of Experience]]="","",IF(tblSalaries[[#This Row],[Years of Experience]]&lt;=2,1,""))</f>
        <v/>
      </c>
      <c r="O1651" t="str">
        <f>IF(tblSalaries[[#This Row],[Years of Experience]]="","",IF(AND(tblSalaries[[#This Row],[Years of Experience]]&gt;2,tblSalaries[[#This Row],[Years of Experience]]&lt;=5),1,""))</f>
        <v/>
      </c>
      <c r="P1651" t="str">
        <f>IF(tblSalaries[[#This Row],[Years of Experience]]="","",IF(AND(tblSalaries[[#This Row],[Years of Experience]]&gt;5,tblSalaries[[#This Row],[Years of Experience]]&lt;=10),1,""))</f>
        <v/>
      </c>
      <c r="Q1651" t="str">
        <f>IF(tblSalaries[[#This Row],[Years of Experience]]="","",IF(AND(tblSalaries[[#This Row],[Years of Experience]]&gt;10,tblSalaries[[#This Row],[Years of Experience]]&lt;=15),1,""))</f>
        <v/>
      </c>
      <c r="R1651" t="str">
        <f>IF(tblSalaries[[#This Row],[Years of Experience]]="","",IF(AND(tblSalaries[[#This Row],[Years of Experience]]&gt;16,tblSalaries[[#This Row],[Years of Experience]]&lt;=20),1,""))</f>
        <v/>
      </c>
      <c r="S1651" t="str">
        <f>IF(tblSalaries[[#This Row],[Years of Experience]]="","",IF(tblSalaries[[#This Row],[Years of Experience]]&gt;20,1,""))</f>
        <v/>
      </c>
      <c r="T16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651" s="13" t="str">
        <f>IF(tblSalaries[[#This Row],[Job Type]]=tblSalaries[[#Headers],[Accountant]],tblSalaries[[#This Row],[Salary in USD]],"")</f>
        <v/>
      </c>
      <c r="V1651" s="13">
        <f>IF(tblSalaries[[#This Row],[Job Type]]=tblSalaries[[#Headers],[Analyst]],tblSalaries[[#This Row],[Salary in USD]],"")</f>
        <v>3561.5833374885137</v>
      </c>
      <c r="W1651" s="13" t="str">
        <f>IF(tblSalaries[[#This Row],[Job Type]]=tblSalaries[[#Headers],[Consultant]],tblSalaries[[#This Row],[Salary in USD]],"")</f>
        <v/>
      </c>
      <c r="X1651" s="13" t="str">
        <f>IF(tblSalaries[[#This Row],[Job Type]]=tblSalaries[[#Headers],[Controller]],tblSalaries[[#This Row],[Salary in USD]],"")</f>
        <v/>
      </c>
      <c r="Y1651" s="13" t="str">
        <f>IF(tblSalaries[[#This Row],[Job Type]]=tblSalaries[[#Headers],[CXO or Top Mgmt.]],tblSalaries[[#This Row],[clean Salary (in local currency)]],"")</f>
        <v/>
      </c>
      <c r="Z1651" s="13" t="str">
        <f>IF(tblSalaries[[#This Row],[Job Type]]=tblSalaries[[#Headers],[Engineer]],tblSalaries[[#This Row],[Salary in USD]],"")</f>
        <v/>
      </c>
      <c r="AA1651" s="13" t="str">
        <f>IF(tblSalaries[[#This Row],[Job Type]]=tblSalaries[[#Headers],[Manager]],tblSalaries[[#This Row],[Salary in USD]],"")</f>
        <v/>
      </c>
      <c r="AB1651" s="13" t="str">
        <f>IF(tblSalaries[[#This Row],[Job Type]]=tblSalaries[[#Headers],[Misc.]],tblSalaries[[#This Row],[Salary in USD]],"")</f>
        <v/>
      </c>
      <c r="AC1651" s="13" t="str">
        <f>IF(tblSalaries[[#This Row],[Job Type]]=tblSalaries[[#Headers],[Reporting]],tblSalaries[[#This Row],[Salary in USD]],"")</f>
        <v/>
      </c>
      <c r="AD1651" s="13" t="str">
        <f>IF(tblSalaries[[#This Row],[Job Type]]=tblSalaries[[#Headers],[Specialist]],tblSalaries[[#This Row],[Salary in USD]],"")</f>
        <v/>
      </c>
    </row>
    <row r="1652" spans="2:30" ht="15" customHeight="1" x14ac:dyDescent="0.25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 s="9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  <c r="N1652" t="str">
        <f>IF(tblSalaries[[#This Row],[Years of Experience]]="","",IF(tblSalaries[[#This Row],[Years of Experience]]&lt;=2,1,""))</f>
        <v/>
      </c>
      <c r="O1652" t="str">
        <f>IF(tblSalaries[[#This Row],[Years of Experience]]="","",IF(AND(tblSalaries[[#This Row],[Years of Experience]]&gt;2,tblSalaries[[#This Row],[Years of Experience]]&lt;=5),1,""))</f>
        <v/>
      </c>
      <c r="P1652" t="str">
        <f>IF(tblSalaries[[#This Row],[Years of Experience]]="","",IF(AND(tblSalaries[[#This Row],[Years of Experience]]&gt;5,tblSalaries[[#This Row],[Years of Experience]]&lt;=10),1,""))</f>
        <v/>
      </c>
      <c r="Q1652">
        <f>IF(tblSalaries[[#This Row],[Years of Experience]]="","",IF(AND(tblSalaries[[#This Row],[Years of Experience]]&gt;10,tblSalaries[[#This Row],[Years of Experience]]&lt;=15),1,""))</f>
        <v>1</v>
      </c>
      <c r="R1652" t="str">
        <f>IF(tblSalaries[[#This Row],[Years of Experience]]="","",IF(AND(tblSalaries[[#This Row],[Years of Experience]]&gt;16,tblSalaries[[#This Row],[Years of Experience]]&lt;=20),1,""))</f>
        <v/>
      </c>
      <c r="S1652" t="str">
        <f>IF(tblSalaries[[#This Row],[Years of Experience]]="","",IF(tblSalaries[[#This Row],[Years of Experience]]&gt;20,1,""))</f>
        <v/>
      </c>
      <c r="T16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52" s="13" t="str">
        <f>IF(tblSalaries[[#This Row],[Job Type]]=tblSalaries[[#Headers],[Accountant]],tblSalaries[[#This Row],[Salary in USD]],"")</f>
        <v/>
      </c>
      <c r="V1652" s="13" t="str">
        <f>IF(tblSalaries[[#This Row],[Job Type]]=tblSalaries[[#Headers],[Analyst]],tblSalaries[[#This Row],[Salary in USD]],"")</f>
        <v/>
      </c>
      <c r="W1652" s="13" t="str">
        <f>IF(tblSalaries[[#This Row],[Job Type]]=tblSalaries[[#Headers],[Consultant]],tblSalaries[[#This Row],[Salary in USD]],"")</f>
        <v/>
      </c>
      <c r="X1652" s="13" t="str">
        <f>IF(tblSalaries[[#This Row],[Job Type]]=tblSalaries[[#Headers],[Controller]],tblSalaries[[#This Row],[Salary in USD]],"")</f>
        <v/>
      </c>
      <c r="Y1652" s="13" t="str">
        <f>IF(tblSalaries[[#This Row],[Job Type]]=tblSalaries[[#Headers],[CXO or Top Mgmt.]],tblSalaries[[#This Row],[clean Salary (in local currency)]],"")</f>
        <v/>
      </c>
      <c r="Z1652" s="13">
        <f>IF(tblSalaries[[#This Row],[Job Type]]=tblSalaries[[#Headers],[Engineer]],tblSalaries[[#This Row],[Salary in USD]],"")</f>
        <v>62000</v>
      </c>
      <c r="AA1652" s="13" t="str">
        <f>IF(tblSalaries[[#This Row],[Job Type]]=tblSalaries[[#Headers],[Manager]],tblSalaries[[#This Row],[Salary in USD]],"")</f>
        <v/>
      </c>
      <c r="AB1652" s="13" t="str">
        <f>IF(tblSalaries[[#This Row],[Job Type]]=tblSalaries[[#Headers],[Misc.]],tblSalaries[[#This Row],[Salary in USD]],"")</f>
        <v/>
      </c>
      <c r="AC1652" s="13" t="str">
        <f>IF(tblSalaries[[#This Row],[Job Type]]=tblSalaries[[#Headers],[Reporting]],tblSalaries[[#This Row],[Salary in USD]],"")</f>
        <v/>
      </c>
      <c r="AD1652" s="13" t="str">
        <f>IF(tblSalaries[[#This Row],[Job Type]]=tblSalaries[[#Headers],[Specialist]],tblSalaries[[#This Row],[Salary in USD]],"")</f>
        <v/>
      </c>
    </row>
    <row r="1653" spans="2:30" ht="15" customHeight="1" x14ac:dyDescent="0.25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 s="9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  <c r="N1653" t="str">
        <f>IF(tblSalaries[[#This Row],[Years of Experience]]="","",IF(tblSalaries[[#This Row],[Years of Experience]]&lt;=2,1,""))</f>
        <v/>
      </c>
      <c r="O1653">
        <f>IF(tblSalaries[[#This Row],[Years of Experience]]="","",IF(AND(tblSalaries[[#This Row],[Years of Experience]]&gt;2,tblSalaries[[#This Row],[Years of Experience]]&lt;=5),1,""))</f>
        <v>1</v>
      </c>
      <c r="P1653" t="str">
        <f>IF(tblSalaries[[#This Row],[Years of Experience]]="","",IF(AND(tblSalaries[[#This Row],[Years of Experience]]&gt;5,tblSalaries[[#This Row],[Years of Experience]]&lt;=10),1,""))</f>
        <v/>
      </c>
      <c r="Q1653" t="str">
        <f>IF(tblSalaries[[#This Row],[Years of Experience]]="","",IF(AND(tblSalaries[[#This Row],[Years of Experience]]&gt;10,tblSalaries[[#This Row],[Years of Experience]]&lt;=15),1,""))</f>
        <v/>
      </c>
      <c r="R1653" t="str">
        <f>IF(tblSalaries[[#This Row],[Years of Experience]]="","",IF(AND(tblSalaries[[#This Row],[Years of Experience]]&gt;16,tblSalaries[[#This Row],[Years of Experience]]&lt;=20),1,""))</f>
        <v/>
      </c>
      <c r="S1653" t="str">
        <f>IF(tblSalaries[[#This Row],[Years of Experience]]="","",IF(tblSalaries[[#This Row],[Years of Experience]]&gt;20,1,""))</f>
        <v/>
      </c>
      <c r="T16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53" s="13" t="str">
        <f>IF(tblSalaries[[#This Row],[Job Type]]=tblSalaries[[#Headers],[Accountant]],tblSalaries[[#This Row],[Salary in USD]],"")</f>
        <v/>
      </c>
      <c r="V1653" s="13">
        <f>IF(tblSalaries[[#This Row],[Job Type]]=tblSalaries[[#Headers],[Analyst]],tblSalaries[[#This Row],[Salary in USD]],"")</f>
        <v>26678.388218823762</v>
      </c>
      <c r="W1653" s="13" t="str">
        <f>IF(tblSalaries[[#This Row],[Job Type]]=tblSalaries[[#Headers],[Consultant]],tblSalaries[[#This Row],[Salary in USD]],"")</f>
        <v/>
      </c>
      <c r="X1653" s="13" t="str">
        <f>IF(tblSalaries[[#This Row],[Job Type]]=tblSalaries[[#Headers],[Controller]],tblSalaries[[#This Row],[Salary in USD]],"")</f>
        <v/>
      </c>
      <c r="Y1653" s="13" t="str">
        <f>IF(tblSalaries[[#This Row],[Job Type]]=tblSalaries[[#Headers],[CXO or Top Mgmt.]],tblSalaries[[#This Row],[clean Salary (in local currency)]],"")</f>
        <v/>
      </c>
      <c r="Z1653" s="13" t="str">
        <f>IF(tblSalaries[[#This Row],[Job Type]]=tblSalaries[[#Headers],[Engineer]],tblSalaries[[#This Row],[Salary in USD]],"")</f>
        <v/>
      </c>
      <c r="AA1653" s="13" t="str">
        <f>IF(tblSalaries[[#This Row],[Job Type]]=tblSalaries[[#Headers],[Manager]],tblSalaries[[#This Row],[Salary in USD]],"")</f>
        <v/>
      </c>
      <c r="AB1653" s="13" t="str">
        <f>IF(tblSalaries[[#This Row],[Job Type]]=tblSalaries[[#Headers],[Misc.]],tblSalaries[[#This Row],[Salary in USD]],"")</f>
        <v/>
      </c>
      <c r="AC1653" s="13" t="str">
        <f>IF(tblSalaries[[#This Row],[Job Type]]=tblSalaries[[#Headers],[Reporting]],tblSalaries[[#This Row],[Salary in USD]],"")</f>
        <v/>
      </c>
      <c r="AD1653" s="13" t="str">
        <f>IF(tblSalaries[[#This Row],[Job Type]]=tblSalaries[[#Headers],[Specialist]],tblSalaries[[#This Row],[Salary in USD]],"")</f>
        <v/>
      </c>
    </row>
    <row r="1654" spans="2:30" ht="15" customHeight="1" x14ac:dyDescent="0.25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 s="9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  <c r="N1654" t="str">
        <f>IF(tblSalaries[[#This Row],[Years of Experience]]="","",IF(tblSalaries[[#This Row],[Years of Experience]]&lt;=2,1,""))</f>
        <v/>
      </c>
      <c r="O1654">
        <f>IF(tblSalaries[[#This Row],[Years of Experience]]="","",IF(AND(tblSalaries[[#This Row],[Years of Experience]]&gt;2,tblSalaries[[#This Row],[Years of Experience]]&lt;=5),1,""))</f>
        <v>1</v>
      </c>
      <c r="P1654" t="str">
        <f>IF(tblSalaries[[#This Row],[Years of Experience]]="","",IF(AND(tblSalaries[[#This Row],[Years of Experience]]&gt;5,tblSalaries[[#This Row],[Years of Experience]]&lt;=10),1,""))</f>
        <v/>
      </c>
      <c r="Q1654" t="str">
        <f>IF(tblSalaries[[#This Row],[Years of Experience]]="","",IF(AND(tblSalaries[[#This Row],[Years of Experience]]&gt;10,tblSalaries[[#This Row],[Years of Experience]]&lt;=15),1,""))</f>
        <v/>
      </c>
      <c r="R1654" t="str">
        <f>IF(tblSalaries[[#This Row],[Years of Experience]]="","",IF(AND(tblSalaries[[#This Row],[Years of Experience]]&gt;16,tblSalaries[[#This Row],[Years of Experience]]&lt;=20),1,""))</f>
        <v/>
      </c>
      <c r="S1654" t="str">
        <f>IF(tblSalaries[[#This Row],[Years of Experience]]="","",IF(tblSalaries[[#This Row],[Years of Experience]]&gt;20,1,""))</f>
        <v/>
      </c>
      <c r="T16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54" s="13" t="str">
        <f>IF(tblSalaries[[#This Row],[Job Type]]=tblSalaries[[#Headers],[Accountant]],tblSalaries[[#This Row],[Salary in USD]],"")</f>
        <v/>
      </c>
      <c r="V1654" s="13">
        <f>IF(tblSalaries[[#This Row],[Job Type]]=tblSalaries[[#Headers],[Analyst]],tblSalaries[[#This Row],[Salary in USD]],"")</f>
        <v>70928.022243027779</v>
      </c>
      <c r="W1654" s="13" t="str">
        <f>IF(tblSalaries[[#This Row],[Job Type]]=tblSalaries[[#Headers],[Consultant]],tblSalaries[[#This Row],[Salary in USD]],"")</f>
        <v/>
      </c>
      <c r="X1654" s="13" t="str">
        <f>IF(tblSalaries[[#This Row],[Job Type]]=tblSalaries[[#Headers],[Controller]],tblSalaries[[#This Row],[Salary in USD]],"")</f>
        <v/>
      </c>
      <c r="Y1654" s="13" t="str">
        <f>IF(tblSalaries[[#This Row],[Job Type]]=tblSalaries[[#Headers],[CXO or Top Mgmt.]],tblSalaries[[#This Row],[clean Salary (in local currency)]],"")</f>
        <v/>
      </c>
      <c r="Z1654" s="13" t="str">
        <f>IF(tblSalaries[[#This Row],[Job Type]]=tblSalaries[[#Headers],[Engineer]],tblSalaries[[#This Row],[Salary in USD]],"")</f>
        <v/>
      </c>
      <c r="AA1654" s="13" t="str">
        <f>IF(tblSalaries[[#This Row],[Job Type]]=tblSalaries[[#Headers],[Manager]],tblSalaries[[#This Row],[Salary in USD]],"")</f>
        <v/>
      </c>
      <c r="AB1654" s="13" t="str">
        <f>IF(tblSalaries[[#This Row],[Job Type]]=tblSalaries[[#Headers],[Misc.]],tblSalaries[[#This Row],[Salary in USD]],"")</f>
        <v/>
      </c>
      <c r="AC1654" s="13" t="str">
        <f>IF(tblSalaries[[#This Row],[Job Type]]=tblSalaries[[#Headers],[Reporting]],tblSalaries[[#This Row],[Salary in USD]],"")</f>
        <v/>
      </c>
      <c r="AD1654" s="13" t="str">
        <f>IF(tblSalaries[[#This Row],[Job Type]]=tblSalaries[[#Headers],[Specialist]],tblSalaries[[#This Row],[Salary in USD]],"")</f>
        <v/>
      </c>
    </row>
    <row r="1655" spans="2:30" ht="15" customHeight="1" x14ac:dyDescent="0.25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 s="9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  <c r="N1655" t="str">
        <f>IF(tblSalaries[[#This Row],[Years of Experience]]="","",IF(tblSalaries[[#This Row],[Years of Experience]]&lt;=2,1,""))</f>
        <v/>
      </c>
      <c r="O1655" t="str">
        <f>IF(tblSalaries[[#This Row],[Years of Experience]]="","",IF(AND(tblSalaries[[#This Row],[Years of Experience]]&gt;2,tblSalaries[[#This Row],[Years of Experience]]&lt;=5),1,""))</f>
        <v/>
      </c>
      <c r="P1655">
        <f>IF(tblSalaries[[#This Row],[Years of Experience]]="","",IF(AND(tblSalaries[[#This Row],[Years of Experience]]&gt;5,tblSalaries[[#This Row],[Years of Experience]]&lt;=10),1,""))</f>
        <v>1</v>
      </c>
      <c r="Q1655" t="str">
        <f>IF(tblSalaries[[#This Row],[Years of Experience]]="","",IF(AND(tblSalaries[[#This Row],[Years of Experience]]&gt;10,tblSalaries[[#This Row],[Years of Experience]]&lt;=15),1,""))</f>
        <v/>
      </c>
      <c r="R1655" t="str">
        <f>IF(tblSalaries[[#This Row],[Years of Experience]]="","",IF(AND(tblSalaries[[#This Row],[Years of Experience]]&gt;16,tblSalaries[[#This Row],[Years of Experience]]&lt;=20),1,""))</f>
        <v/>
      </c>
      <c r="S1655" t="str">
        <f>IF(tblSalaries[[#This Row],[Years of Experience]]="","",IF(tblSalaries[[#This Row],[Years of Experience]]&gt;20,1,""))</f>
        <v/>
      </c>
      <c r="T16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55" s="13" t="str">
        <f>IF(tblSalaries[[#This Row],[Job Type]]=tblSalaries[[#Headers],[Accountant]],tblSalaries[[#This Row],[Salary in USD]],"")</f>
        <v/>
      </c>
      <c r="V1655" s="13">
        <f>IF(tblSalaries[[#This Row],[Job Type]]=tblSalaries[[#Headers],[Analyst]],tblSalaries[[#This Row],[Salary in USD]],"")</f>
        <v>41923.181486723057</v>
      </c>
      <c r="W1655" s="13" t="str">
        <f>IF(tblSalaries[[#This Row],[Job Type]]=tblSalaries[[#Headers],[Consultant]],tblSalaries[[#This Row],[Salary in USD]],"")</f>
        <v/>
      </c>
      <c r="X1655" s="13" t="str">
        <f>IF(tblSalaries[[#This Row],[Job Type]]=tblSalaries[[#Headers],[Controller]],tblSalaries[[#This Row],[Salary in USD]],"")</f>
        <v/>
      </c>
      <c r="Y1655" s="13" t="str">
        <f>IF(tblSalaries[[#This Row],[Job Type]]=tblSalaries[[#Headers],[CXO or Top Mgmt.]],tblSalaries[[#This Row],[clean Salary (in local currency)]],"")</f>
        <v/>
      </c>
      <c r="Z1655" s="13" t="str">
        <f>IF(tblSalaries[[#This Row],[Job Type]]=tblSalaries[[#Headers],[Engineer]],tblSalaries[[#This Row],[Salary in USD]],"")</f>
        <v/>
      </c>
      <c r="AA1655" s="13" t="str">
        <f>IF(tblSalaries[[#This Row],[Job Type]]=tblSalaries[[#Headers],[Manager]],tblSalaries[[#This Row],[Salary in USD]],"")</f>
        <v/>
      </c>
      <c r="AB1655" s="13" t="str">
        <f>IF(tblSalaries[[#This Row],[Job Type]]=tblSalaries[[#Headers],[Misc.]],tblSalaries[[#This Row],[Salary in USD]],"")</f>
        <v/>
      </c>
      <c r="AC1655" s="13" t="str">
        <f>IF(tblSalaries[[#This Row],[Job Type]]=tblSalaries[[#Headers],[Reporting]],tblSalaries[[#This Row],[Salary in USD]],"")</f>
        <v/>
      </c>
      <c r="AD1655" s="13" t="str">
        <f>IF(tblSalaries[[#This Row],[Job Type]]=tblSalaries[[#Headers],[Specialist]],tblSalaries[[#This Row],[Salary in USD]],"")</f>
        <v/>
      </c>
    </row>
    <row r="1656" spans="2:30" ht="15" customHeight="1" x14ac:dyDescent="0.25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 s="9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  <c r="N1656" t="str">
        <f>IF(tblSalaries[[#This Row],[Years of Experience]]="","",IF(tblSalaries[[#This Row],[Years of Experience]]&lt;=2,1,""))</f>
        <v/>
      </c>
      <c r="O1656" t="str">
        <f>IF(tblSalaries[[#This Row],[Years of Experience]]="","",IF(AND(tblSalaries[[#This Row],[Years of Experience]]&gt;2,tblSalaries[[#This Row],[Years of Experience]]&lt;=5),1,""))</f>
        <v/>
      </c>
      <c r="P1656">
        <f>IF(tblSalaries[[#This Row],[Years of Experience]]="","",IF(AND(tblSalaries[[#This Row],[Years of Experience]]&gt;5,tblSalaries[[#This Row],[Years of Experience]]&lt;=10),1,""))</f>
        <v>1</v>
      </c>
      <c r="Q1656" t="str">
        <f>IF(tblSalaries[[#This Row],[Years of Experience]]="","",IF(AND(tblSalaries[[#This Row],[Years of Experience]]&gt;10,tblSalaries[[#This Row],[Years of Experience]]&lt;=15),1,""))</f>
        <v/>
      </c>
      <c r="R1656" t="str">
        <f>IF(tblSalaries[[#This Row],[Years of Experience]]="","",IF(AND(tblSalaries[[#This Row],[Years of Experience]]&gt;16,tblSalaries[[#This Row],[Years of Experience]]&lt;=20),1,""))</f>
        <v/>
      </c>
      <c r="S1656" t="str">
        <f>IF(tblSalaries[[#This Row],[Years of Experience]]="","",IF(tblSalaries[[#This Row],[Years of Experience]]&gt;20,1,""))</f>
        <v/>
      </c>
      <c r="T16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56" s="13" t="str">
        <f>IF(tblSalaries[[#This Row],[Job Type]]=tblSalaries[[#Headers],[Accountant]],tblSalaries[[#This Row],[Salary in USD]],"")</f>
        <v/>
      </c>
      <c r="V1656" s="13">
        <f>IF(tblSalaries[[#This Row],[Job Type]]=tblSalaries[[#Headers],[Analyst]],tblSalaries[[#This Row],[Salary in USD]],"")</f>
        <v>90000</v>
      </c>
      <c r="W1656" s="13" t="str">
        <f>IF(tblSalaries[[#This Row],[Job Type]]=tblSalaries[[#Headers],[Consultant]],tblSalaries[[#This Row],[Salary in USD]],"")</f>
        <v/>
      </c>
      <c r="X1656" s="13" t="str">
        <f>IF(tblSalaries[[#This Row],[Job Type]]=tblSalaries[[#Headers],[Controller]],tblSalaries[[#This Row],[Salary in USD]],"")</f>
        <v/>
      </c>
      <c r="Y1656" s="13" t="str">
        <f>IF(tblSalaries[[#This Row],[Job Type]]=tblSalaries[[#Headers],[CXO or Top Mgmt.]],tblSalaries[[#This Row],[clean Salary (in local currency)]],"")</f>
        <v/>
      </c>
      <c r="Z1656" s="13" t="str">
        <f>IF(tblSalaries[[#This Row],[Job Type]]=tblSalaries[[#Headers],[Engineer]],tblSalaries[[#This Row],[Salary in USD]],"")</f>
        <v/>
      </c>
      <c r="AA1656" s="13" t="str">
        <f>IF(tblSalaries[[#This Row],[Job Type]]=tblSalaries[[#Headers],[Manager]],tblSalaries[[#This Row],[Salary in USD]],"")</f>
        <v/>
      </c>
      <c r="AB1656" s="13" t="str">
        <f>IF(tblSalaries[[#This Row],[Job Type]]=tblSalaries[[#Headers],[Misc.]],tblSalaries[[#This Row],[Salary in USD]],"")</f>
        <v/>
      </c>
      <c r="AC1656" s="13" t="str">
        <f>IF(tblSalaries[[#This Row],[Job Type]]=tblSalaries[[#Headers],[Reporting]],tblSalaries[[#This Row],[Salary in USD]],"")</f>
        <v/>
      </c>
      <c r="AD1656" s="13" t="str">
        <f>IF(tblSalaries[[#This Row],[Job Type]]=tblSalaries[[#Headers],[Specialist]],tblSalaries[[#This Row],[Salary in USD]],"")</f>
        <v/>
      </c>
    </row>
    <row r="1657" spans="2:30" ht="15" customHeight="1" x14ac:dyDescent="0.25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 s="9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  <c r="N1657" t="str">
        <f>IF(tblSalaries[[#This Row],[Years of Experience]]="","",IF(tblSalaries[[#This Row],[Years of Experience]]&lt;=2,1,""))</f>
        <v/>
      </c>
      <c r="O1657">
        <f>IF(tblSalaries[[#This Row],[Years of Experience]]="","",IF(AND(tblSalaries[[#This Row],[Years of Experience]]&gt;2,tblSalaries[[#This Row],[Years of Experience]]&lt;=5),1,""))</f>
        <v>1</v>
      </c>
      <c r="P1657" t="str">
        <f>IF(tblSalaries[[#This Row],[Years of Experience]]="","",IF(AND(tblSalaries[[#This Row],[Years of Experience]]&gt;5,tblSalaries[[#This Row],[Years of Experience]]&lt;=10),1,""))</f>
        <v/>
      </c>
      <c r="Q1657" t="str">
        <f>IF(tblSalaries[[#This Row],[Years of Experience]]="","",IF(AND(tblSalaries[[#This Row],[Years of Experience]]&gt;10,tblSalaries[[#This Row],[Years of Experience]]&lt;=15),1,""))</f>
        <v/>
      </c>
      <c r="R1657" t="str">
        <f>IF(tblSalaries[[#This Row],[Years of Experience]]="","",IF(AND(tblSalaries[[#This Row],[Years of Experience]]&gt;16,tblSalaries[[#This Row],[Years of Experience]]&lt;=20),1,""))</f>
        <v/>
      </c>
      <c r="S1657" t="str">
        <f>IF(tblSalaries[[#This Row],[Years of Experience]]="","",IF(tblSalaries[[#This Row],[Years of Experience]]&gt;20,1,""))</f>
        <v/>
      </c>
      <c r="T16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57" s="13" t="str">
        <f>IF(tblSalaries[[#This Row],[Job Type]]=tblSalaries[[#Headers],[Accountant]],tblSalaries[[#This Row],[Salary in USD]],"")</f>
        <v/>
      </c>
      <c r="V1657" s="13">
        <f>IF(tblSalaries[[#This Row],[Job Type]]=tblSalaries[[#Headers],[Analyst]],tblSalaries[[#This Row],[Salary in USD]],"")</f>
        <v>67700.452577525488</v>
      </c>
      <c r="W1657" s="13" t="str">
        <f>IF(tblSalaries[[#This Row],[Job Type]]=tblSalaries[[#Headers],[Consultant]],tblSalaries[[#This Row],[Salary in USD]],"")</f>
        <v/>
      </c>
      <c r="X1657" s="13" t="str">
        <f>IF(tblSalaries[[#This Row],[Job Type]]=tblSalaries[[#Headers],[Controller]],tblSalaries[[#This Row],[Salary in USD]],"")</f>
        <v/>
      </c>
      <c r="Y1657" s="13" t="str">
        <f>IF(tblSalaries[[#This Row],[Job Type]]=tblSalaries[[#Headers],[CXO or Top Mgmt.]],tblSalaries[[#This Row],[clean Salary (in local currency)]],"")</f>
        <v/>
      </c>
      <c r="Z1657" s="13" t="str">
        <f>IF(tblSalaries[[#This Row],[Job Type]]=tblSalaries[[#Headers],[Engineer]],tblSalaries[[#This Row],[Salary in USD]],"")</f>
        <v/>
      </c>
      <c r="AA1657" s="13" t="str">
        <f>IF(tblSalaries[[#This Row],[Job Type]]=tblSalaries[[#Headers],[Manager]],tblSalaries[[#This Row],[Salary in USD]],"")</f>
        <v/>
      </c>
      <c r="AB1657" s="13" t="str">
        <f>IF(tblSalaries[[#This Row],[Job Type]]=tblSalaries[[#Headers],[Misc.]],tblSalaries[[#This Row],[Salary in USD]],"")</f>
        <v/>
      </c>
      <c r="AC1657" s="13" t="str">
        <f>IF(tblSalaries[[#This Row],[Job Type]]=tblSalaries[[#Headers],[Reporting]],tblSalaries[[#This Row],[Salary in USD]],"")</f>
        <v/>
      </c>
      <c r="AD1657" s="13" t="str">
        <f>IF(tblSalaries[[#This Row],[Job Type]]=tblSalaries[[#Headers],[Specialist]],tblSalaries[[#This Row],[Salary in USD]],"")</f>
        <v/>
      </c>
    </row>
    <row r="1658" spans="2:30" ht="15" customHeight="1" x14ac:dyDescent="0.25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 s="9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  <c r="N1658" t="str">
        <f>IF(tblSalaries[[#This Row],[Years of Experience]]="","",IF(tblSalaries[[#This Row],[Years of Experience]]&lt;=2,1,""))</f>
        <v/>
      </c>
      <c r="O1658" t="str">
        <f>IF(tblSalaries[[#This Row],[Years of Experience]]="","",IF(AND(tblSalaries[[#This Row],[Years of Experience]]&gt;2,tblSalaries[[#This Row],[Years of Experience]]&lt;=5),1,""))</f>
        <v/>
      </c>
      <c r="P1658" t="str">
        <f>IF(tblSalaries[[#This Row],[Years of Experience]]="","",IF(AND(tblSalaries[[#This Row],[Years of Experience]]&gt;5,tblSalaries[[#This Row],[Years of Experience]]&lt;=10),1,""))</f>
        <v/>
      </c>
      <c r="Q1658">
        <f>IF(tblSalaries[[#This Row],[Years of Experience]]="","",IF(AND(tblSalaries[[#This Row],[Years of Experience]]&gt;10,tblSalaries[[#This Row],[Years of Experience]]&lt;=15),1,""))</f>
        <v>1</v>
      </c>
      <c r="R1658" t="str">
        <f>IF(tblSalaries[[#This Row],[Years of Experience]]="","",IF(AND(tblSalaries[[#This Row],[Years of Experience]]&gt;16,tblSalaries[[#This Row],[Years of Experience]]&lt;=20),1,""))</f>
        <v/>
      </c>
      <c r="S1658" t="str">
        <f>IF(tblSalaries[[#This Row],[Years of Experience]]="","",IF(tblSalaries[[#This Row],[Years of Experience]]&gt;20,1,""))</f>
        <v/>
      </c>
      <c r="T16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58" s="13" t="str">
        <f>IF(tblSalaries[[#This Row],[Job Type]]=tblSalaries[[#Headers],[Accountant]],tblSalaries[[#This Row],[Salary in USD]],"")</f>
        <v/>
      </c>
      <c r="V1658" s="13">
        <f>IF(tblSalaries[[#This Row],[Job Type]]=tblSalaries[[#Headers],[Analyst]],tblSalaries[[#This Row],[Salary in USD]],"")</f>
        <v>85000</v>
      </c>
      <c r="W1658" s="13" t="str">
        <f>IF(tblSalaries[[#This Row],[Job Type]]=tblSalaries[[#Headers],[Consultant]],tblSalaries[[#This Row],[Salary in USD]],"")</f>
        <v/>
      </c>
      <c r="X1658" s="13" t="str">
        <f>IF(tblSalaries[[#This Row],[Job Type]]=tblSalaries[[#Headers],[Controller]],tblSalaries[[#This Row],[Salary in USD]],"")</f>
        <v/>
      </c>
      <c r="Y1658" s="13" t="str">
        <f>IF(tblSalaries[[#This Row],[Job Type]]=tblSalaries[[#Headers],[CXO or Top Mgmt.]],tblSalaries[[#This Row],[clean Salary (in local currency)]],"")</f>
        <v/>
      </c>
      <c r="Z1658" s="13" t="str">
        <f>IF(tblSalaries[[#This Row],[Job Type]]=tblSalaries[[#Headers],[Engineer]],tblSalaries[[#This Row],[Salary in USD]],"")</f>
        <v/>
      </c>
      <c r="AA1658" s="13" t="str">
        <f>IF(tblSalaries[[#This Row],[Job Type]]=tblSalaries[[#Headers],[Manager]],tblSalaries[[#This Row],[Salary in USD]],"")</f>
        <v/>
      </c>
      <c r="AB1658" s="13" t="str">
        <f>IF(tblSalaries[[#This Row],[Job Type]]=tblSalaries[[#Headers],[Misc.]],tblSalaries[[#This Row],[Salary in USD]],"")</f>
        <v/>
      </c>
      <c r="AC1658" s="13" t="str">
        <f>IF(tblSalaries[[#This Row],[Job Type]]=tblSalaries[[#Headers],[Reporting]],tblSalaries[[#This Row],[Salary in USD]],"")</f>
        <v/>
      </c>
      <c r="AD1658" s="13" t="str">
        <f>IF(tblSalaries[[#This Row],[Job Type]]=tblSalaries[[#Headers],[Specialist]],tblSalaries[[#This Row],[Salary in USD]],"")</f>
        <v/>
      </c>
    </row>
    <row r="1659" spans="2:30" ht="15" customHeight="1" x14ac:dyDescent="0.25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 s="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4001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  <c r="N1659" t="str">
        <f>IF(tblSalaries[[#This Row],[Years of Experience]]="","",IF(tblSalaries[[#This Row],[Years of Experience]]&lt;=2,1,""))</f>
        <v/>
      </c>
      <c r="O1659" t="str">
        <f>IF(tblSalaries[[#This Row],[Years of Experience]]="","",IF(AND(tblSalaries[[#This Row],[Years of Experience]]&gt;2,tblSalaries[[#This Row],[Years of Experience]]&lt;=5),1,""))</f>
        <v/>
      </c>
      <c r="P1659">
        <f>IF(tblSalaries[[#This Row],[Years of Experience]]="","",IF(AND(tblSalaries[[#This Row],[Years of Experience]]&gt;5,tblSalaries[[#This Row],[Years of Experience]]&lt;=10),1,""))</f>
        <v>1</v>
      </c>
      <c r="Q1659" t="str">
        <f>IF(tblSalaries[[#This Row],[Years of Experience]]="","",IF(AND(tblSalaries[[#This Row],[Years of Experience]]&gt;10,tblSalaries[[#This Row],[Years of Experience]]&lt;=15),1,""))</f>
        <v/>
      </c>
      <c r="R1659" t="str">
        <f>IF(tblSalaries[[#This Row],[Years of Experience]]="","",IF(AND(tblSalaries[[#This Row],[Years of Experience]]&gt;16,tblSalaries[[#This Row],[Years of Experience]]&lt;=20),1,""))</f>
        <v/>
      </c>
      <c r="S1659" t="str">
        <f>IF(tblSalaries[[#This Row],[Years of Experience]]="","",IF(tblSalaries[[#This Row],[Years of Experience]]&gt;20,1,""))</f>
        <v/>
      </c>
      <c r="T16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59" s="13" t="str">
        <f>IF(tblSalaries[[#This Row],[Job Type]]=tblSalaries[[#Headers],[Accountant]],tblSalaries[[#This Row],[Salary in USD]],"")</f>
        <v/>
      </c>
      <c r="V1659" s="13" t="str">
        <f>IF(tblSalaries[[#This Row],[Job Type]]=tblSalaries[[#Headers],[Analyst]],tblSalaries[[#This Row],[Salary in USD]],"")</f>
        <v/>
      </c>
      <c r="W1659" s="13" t="str">
        <f>IF(tblSalaries[[#This Row],[Job Type]]=tblSalaries[[#Headers],[Consultant]],tblSalaries[[#This Row],[Salary in USD]],"")</f>
        <v/>
      </c>
      <c r="X1659" s="13" t="str">
        <f>IF(tblSalaries[[#This Row],[Job Type]]=tblSalaries[[#Headers],[Controller]],tblSalaries[[#This Row],[Salary in USD]],"")</f>
        <v/>
      </c>
      <c r="Y1659" s="13">
        <f>IF(tblSalaries[[#This Row],[Job Type]]=tblSalaries[[#Headers],[CXO or Top Mgmt.]],tblSalaries[[#This Row],[clean Salary (in local currency)]],"")</f>
        <v>50000</v>
      </c>
      <c r="Z1659" s="13" t="str">
        <f>IF(tblSalaries[[#This Row],[Job Type]]=tblSalaries[[#Headers],[Engineer]],tblSalaries[[#This Row],[Salary in USD]],"")</f>
        <v/>
      </c>
      <c r="AA1659" s="13" t="str">
        <f>IF(tblSalaries[[#This Row],[Job Type]]=tblSalaries[[#Headers],[Manager]],tblSalaries[[#This Row],[Salary in USD]],"")</f>
        <v/>
      </c>
      <c r="AB1659" s="13" t="str">
        <f>IF(tblSalaries[[#This Row],[Job Type]]=tblSalaries[[#Headers],[Misc.]],tblSalaries[[#This Row],[Salary in USD]],"")</f>
        <v/>
      </c>
      <c r="AC1659" s="13" t="str">
        <f>IF(tblSalaries[[#This Row],[Job Type]]=tblSalaries[[#Headers],[Reporting]],tblSalaries[[#This Row],[Salary in USD]],"")</f>
        <v/>
      </c>
      <c r="AD1659" s="13" t="str">
        <f>IF(tblSalaries[[#This Row],[Job Type]]=tblSalaries[[#Headers],[Specialist]],tblSalaries[[#This Row],[Salary in USD]],"")</f>
        <v/>
      </c>
    </row>
    <row r="1660" spans="2:30" ht="15" customHeight="1" x14ac:dyDescent="0.25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 s="9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  <c r="N1660" t="str">
        <f>IF(tblSalaries[[#This Row],[Years of Experience]]="","",IF(tblSalaries[[#This Row],[Years of Experience]]&lt;=2,1,""))</f>
        <v/>
      </c>
      <c r="O1660" t="str">
        <f>IF(tblSalaries[[#This Row],[Years of Experience]]="","",IF(AND(tblSalaries[[#This Row],[Years of Experience]]&gt;2,tblSalaries[[#This Row],[Years of Experience]]&lt;=5),1,""))</f>
        <v/>
      </c>
      <c r="P1660">
        <f>IF(tblSalaries[[#This Row],[Years of Experience]]="","",IF(AND(tblSalaries[[#This Row],[Years of Experience]]&gt;5,tblSalaries[[#This Row],[Years of Experience]]&lt;=10),1,""))</f>
        <v>1</v>
      </c>
      <c r="Q1660" t="str">
        <f>IF(tblSalaries[[#This Row],[Years of Experience]]="","",IF(AND(tblSalaries[[#This Row],[Years of Experience]]&gt;10,tblSalaries[[#This Row],[Years of Experience]]&lt;=15),1,""))</f>
        <v/>
      </c>
      <c r="R1660" t="str">
        <f>IF(tblSalaries[[#This Row],[Years of Experience]]="","",IF(AND(tblSalaries[[#This Row],[Years of Experience]]&gt;16,tblSalaries[[#This Row],[Years of Experience]]&lt;=20),1,""))</f>
        <v/>
      </c>
      <c r="S1660" t="str">
        <f>IF(tblSalaries[[#This Row],[Years of Experience]]="","",IF(tblSalaries[[#This Row],[Years of Experience]]&gt;20,1,""))</f>
        <v/>
      </c>
      <c r="T16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60" s="13" t="str">
        <f>IF(tblSalaries[[#This Row],[Job Type]]=tblSalaries[[#Headers],[Accountant]],tblSalaries[[#This Row],[Salary in USD]],"")</f>
        <v/>
      </c>
      <c r="V1660" s="13">
        <f>IF(tblSalaries[[#This Row],[Job Type]]=tblSalaries[[#Headers],[Analyst]],tblSalaries[[#This Row],[Salary in USD]],"")</f>
        <v>65000</v>
      </c>
      <c r="W1660" s="13" t="str">
        <f>IF(tblSalaries[[#This Row],[Job Type]]=tblSalaries[[#Headers],[Consultant]],tblSalaries[[#This Row],[Salary in USD]],"")</f>
        <v/>
      </c>
      <c r="X1660" s="13" t="str">
        <f>IF(tblSalaries[[#This Row],[Job Type]]=tblSalaries[[#Headers],[Controller]],tblSalaries[[#This Row],[Salary in USD]],"")</f>
        <v/>
      </c>
      <c r="Y1660" s="13" t="str">
        <f>IF(tblSalaries[[#This Row],[Job Type]]=tblSalaries[[#Headers],[CXO or Top Mgmt.]],tblSalaries[[#This Row],[clean Salary (in local currency)]],"")</f>
        <v/>
      </c>
      <c r="Z1660" s="13" t="str">
        <f>IF(tblSalaries[[#This Row],[Job Type]]=tblSalaries[[#Headers],[Engineer]],tblSalaries[[#This Row],[Salary in USD]],"")</f>
        <v/>
      </c>
      <c r="AA1660" s="13" t="str">
        <f>IF(tblSalaries[[#This Row],[Job Type]]=tblSalaries[[#Headers],[Manager]],tblSalaries[[#This Row],[Salary in USD]],"")</f>
        <v/>
      </c>
      <c r="AB1660" s="13" t="str">
        <f>IF(tblSalaries[[#This Row],[Job Type]]=tblSalaries[[#Headers],[Misc.]],tblSalaries[[#This Row],[Salary in USD]],"")</f>
        <v/>
      </c>
      <c r="AC1660" s="13" t="str">
        <f>IF(tblSalaries[[#This Row],[Job Type]]=tblSalaries[[#Headers],[Reporting]],tblSalaries[[#This Row],[Salary in USD]],"")</f>
        <v/>
      </c>
      <c r="AD1660" s="13" t="str">
        <f>IF(tblSalaries[[#This Row],[Job Type]]=tblSalaries[[#Headers],[Specialist]],tblSalaries[[#This Row],[Salary in USD]],"")</f>
        <v/>
      </c>
    </row>
    <row r="1661" spans="2:30" ht="15" customHeight="1" x14ac:dyDescent="0.25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 s="9">
        <f>tblSalaries[[#This Row],[clean Salary (in local currency)]]*VLOOKUP(tblSalaries[[#This Row],[Currency]],tblXrate[],2,FALSE)</f>
        <v>75000</v>
      </c>
      <c r="H1661" t="s">
        <v>1831</v>
      </c>
      <c r="I1661" t="s">
        <v>4001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  <c r="N1661" t="str">
        <f>IF(tblSalaries[[#This Row],[Years of Experience]]="","",IF(tblSalaries[[#This Row],[Years of Experience]]&lt;=2,1,""))</f>
        <v/>
      </c>
      <c r="O1661">
        <f>IF(tblSalaries[[#This Row],[Years of Experience]]="","",IF(AND(tblSalaries[[#This Row],[Years of Experience]]&gt;2,tblSalaries[[#This Row],[Years of Experience]]&lt;=5),1,""))</f>
        <v>1</v>
      </c>
      <c r="P1661" t="str">
        <f>IF(tblSalaries[[#This Row],[Years of Experience]]="","",IF(AND(tblSalaries[[#This Row],[Years of Experience]]&gt;5,tblSalaries[[#This Row],[Years of Experience]]&lt;=10),1,""))</f>
        <v/>
      </c>
      <c r="Q1661" t="str">
        <f>IF(tblSalaries[[#This Row],[Years of Experience]]="","",IF(AND(tblSalaries[[#This Row],[Years of Experience]]&gt;10,tblSalaries[[#This Row],[Years of Experience]]&lt;=15),1,""))</f>
        <v/>
      </c>
      <c r="R1661" t="str">
        <f>IF(tblSalaries[[#This Row],[Years of Experience]]="","",IF(AND(tblSalaries[[#This Row],[Years of Experience]]&gt;16,tblSalaries[[#This Row],[Years of Experience]]&lt;=20),1,""))</f>
        <v/>
      </c>
      <c r="S1661" t="str">
        <f>IF(tblSalaries[[#This Row],[Years of Experience]]="","",IF(tblSalaries[[#This Row],[Years of Experience]]&gt;20,1,""))</f>
        <v/>
      </c>
      <c r="T16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61" s="13" t="str">
        <f>IF(tblSalaries[[#This Row],[Job Type]]=tblSalaries[[#Headers],[Accountant]],tblSalaries[[#This Row],[Salary in USD]],"")</f>
        <v/>
      </c>
      <c r="V1661" s="13" t="str">
        <f>IF(tblSalaries[[#This Row],[Job Type]]=tblSalaries[[#Headers],[Analyst]],tblSalaries[[#This Row],[Salary in USD]],"")</f>
        <v/>
      </c>
      <c r="W1661" s="13" t="str">
        <f>IF(tblSalaries[[#This Row],[Job Type]]=tblSalaries[[#Headers],[Consultant]],tblSalaries[[#This Row],[Salary in USD]],"")</f>
        <v/>
      </c>
      <c r="X1661" s="13" t="str">
        <f>IF(tblSalaries[[#This Row],[Job Type]]=tblSalaries[[#Headers],[Controller]],tblSalaries[[#This Row],[Salary in USD]],"")</f>
        <v/>
      </c>
      <c r="Y1661" s="13">
        <f>IF(tblSalaries[[#This Row],[Job Type]]=tblSalaries[[#Headers],[CXO or Top Mgmt.]],tblSalaries[[#This Row],[clean Salary (in local currency)]],"")</f>
        <v>75000</v>
      </c>
      <c r="Z1661" s="13" t="str">
        <f>IF(tblSalaries[[#This Row],[Job Type]]=tblSalaries[[#Headers],[Engineer]],tblSalaries[[#This Row],[Salary in USD]],"")</f>
        <v/>
      </c>
      <c r="AA1661" s="13" t="str">
        <f>IF(tblSalaries[[#This Row],[Job Type]]=tblSalaries[[#Headers],[Manager]],tblSalaries[[#This Row],[Salary in USD]],"")</f>
        <v/>
      </c>
      <c r="AB1661" s="13" t="str">
        <f>IF(tblSalaries[[#This Row],[Job Type]]=tblSalaries[[#Headers],[Misc.]],tblSalaries[[#This Row],[Salary in USD]],"")</f>
        <v/>
      </c>
      <c r="AC1661" s="13" t="str">
        <f>IF(tblSalaries[[#This Row],[Job Type]]=tblSalaries[[#Headers],[Reporting]],tblSalaries[[#This Row],[Salary in USD]],"")</f>
        <v/>
      </c>
      <c r="AD1661" s="13" t="str">
        <f>IF(tblSalaries[[#This Row],[Job Type]]=tblSalaries[[#Headers],[Specialist]],tblSalaries[[#This Row],[Salary in USD]],"")</f>
        <v/>
      </c>
    </row>
    <row r="1662" spans="2:30" ht="15" customHeight="1" x14ac:dyDescent="0.25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 s="9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  <c r="N1662" t="str">
        <f>IF(tblSalaries[[#This Row],[Years of Experience]]="","",IF(tblSalaries[[#This Row],[Years of Experience]]&lt;=2,1,""))</f>
        <v/>
      </c>
      <c r="O1662" t="str">
        <f>IF(tblSalaries[[#This Row],[Years of Experience]]="","",IF(AND(tblSalaries[[#This Row],[Years of Experience]]&gt;2,tblSalaries[[#This Row],[Years of Experience]]&lt;=5),1,""))</f>
        <v/>
      </c>
      <c r="P1662">
        <f>IF(tblSalaries[[#This Row],[Years of Experience]]="","",IF(AND(tblSalaries[[#This Row],[Years of Experience]]&gt;5,tblSalaries[[#This Row],[Years of Experience]]&lt;=10),1,""))</f>
        <v>1</v>
      </c>
      <c r="Q1662" t="str">
        <f>IF(tblSalaries[[#This Row],[Years of Experience]]="","",IF(AND(tblSalaries[[#This Row],[Years of Experience]]&gt;10,tblSalaries[[#This Row],[Years of Experience]]&lt;=15),1,""))</f>
        <v/>
      </c>
      <c r="R1662" t="str">
        <f>IF(tblSalaries[[#This Row],[Years of Experience]]="","",IF(AND(tblSalaries[[#This Row],[Years of Experience]]&gt;16,tblSalaries[[#This Row],[Years of Experience]]&lt;=20),1,""))</f>
        <v/>
      </c>
      <c r="S1662" t="str">
        <f>IF(tblSalaries[[#This Row],[Years of Experience]]="","",IF(tblSalaries[[#This Row],[Years of Experience]]&gt;20,1,""))</f>
        <v/>
      </c>
      <c r="T16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62" s="13" t="str">
        <f>IF(tblSalaries[[#This Row],[Job Type]]=tblSalaries[[#Headers],[Accountant]],tblSalaries[[#This Row],[Salary in USD]],"")</f>
        <v/>
      </c>
      <c r="V1662" s="13">
        <f>IF(tblSalaries[[#This Row],[Job Type]]=tblSalaries[[#Headers],[Analyst]],tblSalaries[[#This Row],[Salary in USD]],"")</f>
        <v>92000</v>
      </c>
      <c r="W1662" s="13" t="str">
        <f>IF(tblSalaries[[#This Row],[Job Type]]=tblSalaries[[#Headers],[Consultant]],tblSalaries[[#This Row],[Salary in USD]],"")</f>
        <v/>
      </c>
      <c r="X1662" s="13" t="str">
        <f>IF(tblSalaries[[#This Row],[Job Type]]=tblSalaries[[#Headers],[Controller]],tblSalaries[[#This Row],[Salary in USD]],"")</f>
        <v/>
      </c>
      <c r="Y1662" s="13" t="str">
        <f>IF(tblSalaries[[#This Row],[Job Type]]=tblSalaries[[#Headers],[CXO or Top Mgmt.]],tblSalaries[[#This Row],[clean Salary (in local currency)]],"")</f>
        <v/>
      </c>
      <c r="Z1662" s="13" t="str">
        <f>IF(tblSalaries[[#This Row],[Job Type]]=tblSalaries[[#Headers],[Engineer]],tblSalaries[[#This Row],[Salary in USD]],"")</f>
        <v/>
      </c>
      <c r="AA1662" s="13" t="str">
        <f>IF(tblSalaries[[#This Row],[Job Type]]=tblSalaries[[#Headers],[Manager]],tblSalaries[[#This Row],[Salary in USD]],"")</f>
        <v/>
      </c>
      <c r="AB1662" s="13" t="str">
        <f>IF(tblSalaries[[#This Row],[Job Type]]=tblSalaries[[#Headers],[Misc.]],tblSalaries[[#This Row],[Salary in USD]],"")</f>
        <v/>
      </c>
      <c r="AC1662" s="13" t="str">
        <f>IF(tblSalaries[[#This Row],[Job Type]]=tblSalaries[[#Headers],[Reporting]],tblSalaries[[#This Row],[Salary in USD]],"")</f>
        <v/>
      </c>
      <c r="AD1662" s="13" t="str">
        <f>IF(tblSalaries[[#This Row],[Job Type]]=tblSalaries[[#Headers],[Specialist]],tblSalaries[[#This Row],[Salary in USD]],"")</f>
        <v/>
      </c>
    </row>
    <row r="1663" spans="2:30" ht="15" customHeight="1" x14ac:dyDescent="0.25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 s="9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  <c r="N1663" t="str">
        <f>IF(tblSalaries[[#This Row],[Years of Experience]]="","",IF(tblSalaries[[#This Row],[Years of Experience]]&lt;=2,1,""))</f>
        <v/>
      </c>
      <c r="O1663">
        <f>IF(tblSalaries[[#This Row],[Years of Experience]]="","",IF(AND(tblSalaries[[#This Row],[Years of Experience]]&gt;2,tblSalaries[[#This Row],[Years of Experience]]&lt;=5),1,""))</f>
        <v>1</v>
      </c>
      <c r="P1663" t="str">
        <f>IF(tblSalaries[[#This Row],[Years of Experience]]="","",IF(AND(tblSalaries[[#This Row],[Years of Experience]]&gt;5,tblSalaries[[#This Row],[Years of Experience]]&lt;=10),1,""))</f>
        <v/>
      </c>
      <c r="Q1663" t="str">
        <f>IF(tblSalaries[[#This Row],[Years of Experience]]="","",IF(AND(tblSalaries[[#This Row],[Years of Experience]]&gt;10,tblSalaries[[#This Row],[Years of Experience]]&lt;=15),1,""))</f>
        <v/>
      </c>
      <c r="R1663" t="str">
        <f>IF(tblSalaries[[#This Row],[Years of Experience]]="","",IF(AND(tblSalaries[[#This Row],[Years of Experience]]&gt;16,tblSalaries[[#This Row],[Years of Experience]]&lt;=20),1,""))</f>
        <v/>
      </c>
      <c r="S1663" t="str">
        <f>IF(tblSalaries[[#This Row],[Years of Experience]]="","",IF(tblSalaries[[#This Row],[Years of Experience]]&gt;20,1,""))</f>
        <v/>
      </c>
      <c r="T16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63" s="13" t="str">
        <f>IF(tblSalaries[[#This Row],[Job Type]]=tblSalaries[[#Headers],[Accountant]],tblSalaries[[#This Row],[Salary in USD]],"")</f>
        <v/>
      </c>
      <c r="V1663" s="13">
        <f>IF(tblSalaries[[#This Row],[Job Type]]=tblSalaries[[#Headers],[Analyst]],tblSalaries[[#This Row],[Salary in USD]],"")</f>
        <v>50815.977559664309</v>
      </c>
      <c r="W1663" s="13" t="str">
        <f>IF(tblSalaries[[#This Row],[Job Type]]=tblSalaries[[#Headers],[Consultant]],tblSalaries[[#This Row],[Salary in USD]],"")</f>
        <v/>
      </c>
      <c r="X1663" s="13" t="str">
        <f>IF(tblSalaries[[#This Row],[Job Type]]=tblSalaries[[#Headers],[Controller]],tblSalaries[[#This Row],[Salary in USD]],"")</f>
        <v/>
      </c>
      <c r="Y1663" s="13" t="str">
        <f>IF(tblSalaries[[#This Row],[Job Type]]=tblSalaries[[#Headers],[CXO or Top Mgmt.]],tblSalaries[[#This Row],[clean Salary (in local currency)]],"")</f>
        <v/>
      </c>
      <c r="Z1663" s="13" t="str">
        <f>IF(tblSalaries[[#This Row],[Job Type]]=tblSalaries[[#Headers],[Engineer]],tblSalaries[[#This Row],[Salary in USD]],"")</f>
        <v/>
      </c>
      <c r="AA1663" s="13" t="str">
        <f>IF(tblSalaries[[#This Row],[Job Type]]=tblSalaries[[#Headers],[Manager]],tblSalaries[[#This Row],[Salary in USD]],"")</f>
        <v/>
      </c>
      <c r="AB1663" s="13" t="str">
        <f>IF(tblSalaries[[#This Row],[Job Type]]=tblSalaries[[#Headers],[Misc.]],tblSalaries[[#This Row],[Salary in USD]],"")</f>
        <v/>
      </c>
      <c r="AC1663" s="13" t="str">
        <f>IF(tblSalaries[[#This Row],[Job Type]]=tblSalaries[[#Headers],[Reporting]],tblSalaries[[#This Row],[Salary in USD]],"")</f>
        <v/>
      </c>
      <c r="AD1663" s="13" t="str">
        <f>IF(tblSalaries[[#This Row],[Job Type]]=tblSalaries[[#Headers],[Specialist]],tblSalaries[[#This Row],[Salary in USD]],"")</f>
        <v/>
      </c>
    </row>
    <row r="1664" spans="2:30" ht="15" customHeight="1" x14ac:dyDescent="0.25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 s="9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  <c r="N1664" t="str">
        <f>IF(tblSalaries[[#This Row],[Years of Experience]]="","",IF(tblSalaries[[#This Row],[Years of Experience]]&lt;=2,1,""))</f>
        <v/>
      </c>
      <c r="O1664" t="str">
        <f>IF(tblSalaries[[#This Row],[Years of Experience]]="","",IF(AND(tblSalaries[[#This Row],[Years of Experience]]&gt;2,tblSalaries[[#This Row],[Years of Experience]]&lt;=5),1,""))</f>
        <v/>
      </c>
      <c r="P1664">
        <f>IF(tblSalaries[[#This Row],[Years of Experience]]="","",IF(AND(tblSalaries[[#This Row],[Years of Experience]]&gt;5,tblSalaries[[#This Row],[Years of Experience]]&lt;=10),1,""))</f>
        <v>1</v>
      </c>
      <c r="Q1664" t="str">
        <f>IF(tblSalaries[[#This Row],[Years of Experience]]="","",IF(AND(tblSalaries[[#This Row],[Years of Experience]]&gt;10,tblSalaries[[#This Row],[Years of Experience]]&lt;=15),1,""))</f>
        <v/>
      </c>
      <c r="R1664" t="str">
        <f>IF(tblSalaries[[#This Row],[Years of Experience]]="","",IF(AND(tblSalaries[[#This Row],[Years of Experience]]&gt;16,tblSalaries[[#This Row],[Years of Experience]]&lt;=20),1,""))</f>
        <v/>
      </c>
      <c r="S1664" t="str">
        <f>IF(tblSalaries[[#This Row],[Years of Experience]]="","",IF(tblSalaries[[#This Row],[Years of Experience]]&gt;20,1,""))</f>
        <v/>
      </c>
      <c r="T16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64" s="13">
        <f>IF(tblSalaries[[#This Row],[Job Type]]=tblSalaries[[#Headers],[Accountant]],tblSalaries[[#This Row],[Salary in USD]],"")</f>
        <v>55954.328658388586</v>
      </c>
      <c r="V1664" s="13" t="str">
        <f>IF(tblSalaries[[#This Row],[Job Type]]=tblSalaries[[#Headers],[Analyst]],tblSalaries[[#This Row],[Salary in USD]],"")</f>
        <v/>
      </c>
      <c r="W1664" s="13" t="str">
        <f>IF(tblSalaries[[#This Row],[Job Type]]=tblSalaries[[#Headers],[Consultant]],tblSalaries[[#This Row],[Salary in USD]],"")</f>
        <v/>
      </c>
      <c r="X1664" s="13" t="str">
        <f>IF(tblSalaries[[#This Row],[Job Type]]=tblSalaries[[#Headers],[Controller]],tblSalaries[[#This Row],[Salary in USD]],"")</f>
        <v/>
      </c>
      <c r="Y1664" s="13" t="str">
        <f>IF(tblSalaries[[#This Row],[Job Type]]=tblSalaries[[#Headers],[CXO or Top Mgmt.]],tblSalaries[[#This Row],[clean Salary (in local currency)]],"")</f>
        <v/>
      </c>
      <c r="Z1664" s="13" t="str">
        <f>IF(tblSalaries[[#This Row],[Job Type]]=tblSalaries[[#Headers],[Engineer]],tblSalaries[[#This Row],[Salary in USD]],"")</f>
        <v/>
      </c>
      <c r="AA1664" s="13" t="str">
        <f>IF(tblSalaries[[#This Row],[Job Type]]=tblSalaries[[#Headers],[Manager]],tblSalaries[[#This Row],[Salary in USD]],"")</f>
        <v/>
      </c>
      <c r="AB1664" s="13" t="str">
        <f>IF(tblSalaries[[#This Row],[Job Type]]=tblSalaries[[#Headers],[Misc.]],tblSalaries[[#This Row],[Salary in USD]],"")</f>
        <v/>
      </c>
      <c r="AC1664" s="13" t="str">
        <f>IF(tblSalaries[[#This Row],[Job Type]]=tblSalaries[[#Headers],[Reporting]],tblSalaries[[#This Row],[Salary in USD]],"")</f>
        <v/>
      </c>
      <c r="AD1664" s="13" t="str">
        <f>IF(tblSalaries[[#This Row],[Job Type]]=tblSalaries[[#Headers],[Specialist]],tblSalaries[[#This Row],[Salary in USD]],"")</f>
        <v/>
      </c>
    </row>
    <row r="1665" spans="2:30" ht="15" customHeight="1" x14ac:dyDescent="0.25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 s="9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  <c r="N1665" t="str">
        <f>IF(tblSalaries[[#This Row],[Years of Experience]]="","",IF(tblSalaries[[#This Row],[Years of Experience]]&lt;=2,1,""))</f>
        <v/>
      </c>
      <c r="O1665">
        <f>IF(tblSalaries[[#This Row],[Years of Experience]]="","",IF(AND(tblSalaries[[#This Row],[Years of Experience]]&gt;2,tblSalaries[[#This Row],[Years of Experience]]&lt;=5),1,""))</f>
        <v>1</v>
      </c>
      <c r="P1665" t="str">
        <f>IF(tblSalaries[[#This Row],[Years of Experience]]="","",IF(AND(tblSalaries[[#This Row],[Years of Experience]]&gt;5,tblSalaries[[#This Row],[Years of Experience]]&lt;=10),1,""))</f>
        <v/>
      </c>
      <c r="Q1665" t="str">
        <f>IF(tblSalaries[[#This Row],[Years of Experience]]="","",IF(AND(tblSalaries[[#This Row],[Years of Experience]]&gt;10,tblSalaries[[#This Row],[Years of Experience]]&lt;=15),1,""))</f>
        <v/>
      </c>
      <c r="R1665" t="str">
        <f>IF(tblSalaries[[#This Row],[Years of Experience]]="","",IF(AND(tblSalaries[[#This Row],[Years of Experience]]&gt;16,tblSalaries[[#This Row],[Years of Experience]]&lt;=20),1,""))</f>
        <v/>
      </c>
      <c r="S1665" t="str">
        <f>IF(tblSalaries[[#This Row],[Years of Experience]]="","",IF(tblSalaries[[#This Row],[Years of Experience]]&gt;20,1,""))</f>
        <v/>
      </c>
      <c r="T16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65" s="13" t="str">
        <f>IF(tblSalaries[[#This Row],[Job Type]]=tblSalaries[[#Headers],[Accountant]],tblSalaries[[#This Row],[Salary in USD]],"")</f>
        <v/>
      </c>
      <c r="V1665" s="13">
        <f>IF(tblSalaries[[#This Row],[Job Type]]=tblSalaries[[#Headers],[Analyst]],tblSalaries[[#This Row],[Salary in USD]],"")</f>
        <v>45000</v>
      </c>
      <c r="W1665" s="13" t="str">
        <f>IF(tblSalaries[[#This Row],[Job Type]]=tblSalaries[[#Headers],[Consultant]],tblSalaries[[#This Row],[Salary in USD]],"")</f>
        <v/>
      </c>
      <c r="X1665" s="13" t="str">
        <f>IF(tblSalaries[[#This Row],[Job Type]]=tblSalaries[[#Headers],[Controller]],tblSalaries[[#This Row],[Salary in USD]],"")</f>
        <v/>
      </c>
      <c r="Y1665" s="13" t="str">
        <f>IF(tblSalaries[[#This Row],[Job Type]]=tblSalaries[[#Headers],[CXO or Top Mgmt.]],tblSalaries[[#This Row],[clean Salary (in local currency)]],"")</f>
        <v/>
      </c>
      <c r="Z1665" s="13" t="str">
        <f>IF(tblSalaries[[#This Row],[Job Type]]=tblSalaries[[#Headers],[Engineer]],tblSalaries[[#This Row],[Salary in USD]],"")</f>
        <v/>
      </c>
      <c r="AA1665" s="13" t="str">
        <f>IF(tblSalaries[[#This Row],[Job Type]]=tblSalaries[[#Headers],[Manager]],tblSalaries[[#This Row],[Salary in USD]],"")</f>
        <v/>
      </c>
      <c r="AB1665" s="13" t="str">
        <f>IF(tblSalaries[[#This Row],[Job Type]]=tblSalaries[[#Headers],[Misc.]],tblSalaries[[#This Row],[Salary in USD]],"")</f>
        <v/>
      </c>
      <c r="AC1665" s="13" t="str">
        <f>IF(tblSalaries[[#This Row],[Job Type]]=tblSalaries[[#Headers],[Reporting]],tblSalaries[[#This Row],[Salary in USD]],"")</f>
        <v/>
      </c>
      <c r="AD1665" s="13" t="str">
        <f>IF(tblSalaries[[#This Row],[Job Type]]=tblSalaries[[#Headers],[Specialist]],tblSalaries[[#This Row],[Salary in USD]],"")</f>
        <v/>
      </c>
    </row>
    <row r="1666" spans="2:30" ht="15" customHeight="1" x14ac:dyDescent="0.25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 s="9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  <c r="N1666" t="str">
        <f>IF(tblSalaries[[#This Row],[Years of Experience]]="","",IF(tblSalaries[[#This Row],[Years of Experience]]&lt;=2,1,""))</f>
        <v/>
      </c>
      <c r="O1666">
        <f>IF(tblSalaries[[#This Row],[Years of Experience]]="","",IF(AND(tblSalaries[[#This Row],[Years of Experience]]&gt;2,tblSalaries[[#This Row],[Years of Experience]]&lt;=5),1,""))</f>
        <v>1</v>
      </c>
      <c r="P1666" t="str">
        <f>IF(tblSalaries[[#This Row],[Years of Experience]]="","",IF(AND(tblSalaries[[#This Row],[Years of Experience]]&gt;5,tblSalaries[[#This Row],[Years of Experience]]&lt;=10),1,""))</f>
        <v/>
      </c>
      <c r="Q1666" t="str">
        <f>IF(tblSalaries[[#This Row],[Years of Experience]]="","",IF(AND(tblSalaries[[#This Row],[Years of Experience]]&gt;10,tblSalaries[[#This Row],[Years of Experience]]&lt;=15),1,""))</f>
        <v/>
      </c>
      <c r="R1666" t="str">
        <f>IF(tblSalaries[[#This Row],[Years of Experience]]="","",IF(AND(tblSalaries[[#This Row],[Years of Experience]]&gt;16,tblSalaries[[#This Row],[Years of Experience]]&lt;=20),1,""))</f>
        <v/>
      </c>
      <c r="S1666" t="str">
        <f>IF(tblSalaries[[#This Row],[Years of Experience]]="","",IF(tblSalaries[[#This Row],[Years of Experience]]&gt;20,1,""))</f>
        <v/>
      </c>
      <c r="T16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66" s="13" t="str">
        <f>IF(tblSalaries[[#This Row],[Job Type]]=tblSalaries[[#Headers],[Accountant]],tblSalaries[[#This Row],[Salary in USD]],"")</f>
        <v/>
      </c>
      <c r="V1666" s="13">
        <f>IF(tblSalaries[[#This Row],[Job Type]]=tblSalaries[[#Headers],[Analyst]],tblSalaries[[#This Row],[Salary in USD]],"")</f>
        <v>7123.1666749770275</v>
      </c>
      <c r="W1666" s="13" t="str">
        <f>IF(tblSalaries[[#This Row],[Job Type]]=tblSalaries[[#Headers],[Consultant]],tblSalaries[[#This Row],[Salary in USD]],"")</f>
        <v/>
      </c>
      <c r="X1666" s="13" t="str">
        <f>IF(tblSalaries[[#This Row],[Job Type]]=tblSalaries[[#Headers],[Controller]],tblSalaries[[#This Row],[Salary in USD]],"")</f>
        <v/>
      </c>
      <c r="Y1666" s="13" t="str">
        <f>IF(tblSalaries[[#This Row],[Job Type]]=tblSalaries[[#Headers],[CXO or Top Mgmt.]],tblSalaries[[#This Row],[clean Salary (in local currency)]],"")</f>
        <v/>
      </c>
      <c r="Z1666" s="13" t="str">
        <f>IF(tblSalaries[[#This Row],[Job Type]]=tblSalaries[[#Headers],[Engineer]],tblSalaries[[#This Row],[Salary in USD]],"")</f>
        <v/>
      </c>
      <c r="AA1666" s="13" t="str">
        <f>IF(tblSalaries[[#This Row],[Job Type]]=tblSalaries[[#Headers],[Manager]],tblSalaries[[#This Row],[Salary in USD]],"")</f>
        <v/>
      </c>
      <c r="AB1666" s="13" t="str">
        <f>IF(tblSalaries[[#This Row],[Job Type]]=tblSalaries[[#Headers],[Misc.]],tblSalaries[[#This Row],[Salary in USD]],"")</f>
        <v/>
      </c>
      <c r="AC1666" s="13" t="str">
        <f>IF(tblSalaries[[#This Row],[Job Type]]=tblSalaries[[#Headers],[Reporting]],tblSalaries[[#This Row],[Salary in USD]],"")</f>
        <v/>
      </c>
      <c r="AD1666" s="13" t="str">
        <f>IF(tblSalaries[[#This Row],[Job Type]]=tblSalaries[[#Headers],[Specialist]],tblSalaries[[#This Row],[Salary in USD]],"")</f>
        <v/>
      </c>
    </row>
    <row r="1667" spans="2:30" ht="15" customHeight="1" x14ac:dyDescent="0.25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 s="9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  <c r="N1667">
        <f>IF(tblSalaries[[#This Row],[Years of Experience]]="","",IF(tblSalaries[[#This Row],[Years of Experience]]&lt;=2,1,""))</f>
        <v>1</v>
      </c>
      <c r="O1667" t="str">
        <f>IF(tblSalaries[[#This Row],[Years of Experience]]="","",IF(AND(tblSalaries[[#This Row],[Years of Experience]]&gt;2,tblSalaries[[#This Row],[Years of Experience]]&lt;=5),1,""))</f>
        <v/>
      </c>
      <c r="P1667" t="str">
        <f>IF(tblSalaries[[#This Row],[Years of Experience]]="","",IF(AND(tblSalaries[[#This Row],[Years of Experience]]&gt;5,tblSalaries[[#This Row],[Years of Experience]]&lt;=10),1,""))</f>
        <v/>
      </c>
      <c r="Q1667" t="str">
        <f>IF(tblSalaries[[#This Row],[Years of Experience]]="","",IF(AND(tblSalaries[[#This Row],[Years of Experience]]&gt;10,tblSalaries[[#This Row],[Years of Experience]]&lt;=15),1,""))</f>
        <v/>
      </c>
      <c r="R1667" t="str">
        <f>IF(tblSalaries[[#This Row],[Years of Experience]]="","",IF(AND(tblSalaries[[#This Row],[Years of Experience]]&gt;16,tblSalaries[[#This Row],[Years of Experience]]&lt;=20),1,""))</f>
        <v/>
      </c>
      <c r="S1667" t="str">
        <f>IF(tblSalaries[[#This Row],[Years of Experience]]="","",IF(tblSalaries[[#This Row],[Years of Experience]]&gt;20,1,""))</f>
        <v/>
      </c>
      <c r="T16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67" s="13" t="str">
        <f>IF(tblSalaries[[#This Row],[Job Type]]=tblSalaries[[#Headers],[Accountant]],tblSalaries[[#This Row],[Salary in USD]],"")</f>
        <v/>
      </c>
      <c r="V1667" s="13">
        <f>IF(tblSalaries[[#This Row],[Job Type]]=tblSalaries[[#Headers],[Analyst]],tblSalaries[[#This Row],[Salary in USD]],"")</f>
        <v>49443.946165553374</v>
      </c>
      <c r="W1667" s="13" t="str">
        <f>IF(tblSalaries[[#This Row],[Job Type]]=tblSalaries[[#Headers],[Consultant]],tblSalaries[[#This Row],[Salary in USD]],"")</f>
        <v/>
      </c>
      <c r="X1667" s="13" t="str">
        <f>IF(tblSalaries[[#This Row],[Job Type]]=tblSalaries[[#Headers],[Controller]],tblSalaries[[#This Row],[Salary in USD]],"")</f>
        <v/>
      </c>
      <c r="Y1667" s="13" t="str">
        <f>IF(tblSalaries[[#This Row],[Job Type]]=tblSalaries[[#Headers],[CXO or Top Mgmt.]],tblSalaries[[#This Row],[clean Salary (in local currency)]],"")</f>
        <v/>
      </c>
      <c r="Z1667" s="13" t="str">
        <f>IF(tblSalaries[[#This Row],[Job Type]]=tblSalaries[[#Headers],[Engineer]],tblSalaries[[#This Row],[Salary in USD]],"")</f>
        <v/>
      </c>
      <c r="AA1667" s="13" t="str">
        <f>IF(tblSalaries[[#This Row],[Job Type]]=tblSalaries[[#Headers],[Manager]],tblSalaries[[#This Row],[Salary in USD]],"")</f>
        <v/>
      </c>
      <c r="AB1667" s="13" t="str">
        <f>IF(tblSalaries[[#This Row],[Job Type]]=tblSalaries[[#Headers],[Misc.]],tblSalaries[[#This Row],[Salary in USD]],"")</f>
        <v/>
      </c>
      <c r="AC1667" s="13" t="str">
        <f>IF(tblSalaries[[#This Row],[Job Type]]=tblSalaries[[#Headers],[Reporting]],tblSalaries[[#This Row],[Salary in USD]],"")</f>
        <v/>
      </c>
      <c r="AD1667" s="13" t="str">
        <f>IF(tblSalaries[[#This Row],[Job Type]]=tblSalaries[[#Headers],[Specialist]],tblSalaries[[#This Row],[Salary in USD]],"")</f>
        <v/>
      </c>
    </row>
    <row r="1668" spans="2:30" ht="15" customHeight="1" x14ac:dyDescent="0.25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 s="9">
        <f>tblSalaries[[#This Row],[clean Salary (in local currency)]]*VLOOKUP(tblSalaries[[#This Row],[Currency]],tblXrate[],2,FALSE)</f>
        <v>45000</v>
      </c>
      <c r="H1668" t="s">
        <v>29</v>
      </c>
      <c r="I1668" t="s">
        <v>4001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  <c r="N1668" t="str">
        <f>IF(tblSalaries[[#This Row],[Years of Experience]]="","",IF(tblSalaries[[#This Row],[Years of Experience]]&lt;=2,1,""))</f>
        <v/>
      </c>
      <c r="O1668">
        <f>IF(tblSalaries[[#This Row],[Years of Experience]]="","",IF(AND(tblSalaries[[#This Row],[Years of Experience]]&gt;2,tblSalaries[[#This Row],[Years of Experience]]&lt;=5),1,""))</f>
        <v>1</v>
      </c>
      <c r="P1668" t="str">
        <f>IF(tblSalaries[[#This Row],[Years of Experience]]="","",IF(AND(tblSalaries[[#This Row],[Years of Experience]]&gt;5,tblSalaries[[#This Row],[Years of Experience]]&lt;=10),1,""))</f>
        <v/>
      </c>
      <c r="Q1668" t="str">
        <f>IF(tblSalaries[[#This Row],[Years of Experience]]="","",IF(AND(tblSalaries[[#This Row],[Years of Experience]]&gt;10,tblSalaries[[#This Row],[Years of Experience]]&lt;=15),1,""))</f>
        <v/>
      </c>
      <c r="R1668" t="str">
        <f>IF(tblSalaries[[#This Row],[Years of Experience]]="","",IF(AND(tblSalaries[[#This Row],[Years of Experience]]&gt;16,tblSalaries[[#This Row],[Years of Experience]]&lt;=20),1,""))</f>
        <v/>
      </c>
      <c r="S1668" t="str">
        <f>IF(tblSalaries[[#This Row],[Years of Experience]]="","",IF(tblSalaries[[#This Row],[Years of Experience]]&gt;20,1,""))</f>
        <v/>
      </c>
      <c r="T16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68" s="13" t="str">
        <f>IF(tblSalaries[[#This Row],[Job Type]]=tblSalaries[[#Headers],[Accountant]],tblSalaries[[#This Row],[Salary in USD]],"")</f>
        <v/>
      </c>
      <c r="V1668" s="13" t="str">
        <f>IF(tblSalaries[[#This Row],[Job Type]]=tblSalaries[[#Headers],[Analyst]],tblSalaries[[#This Row],[Salary in USD]],"")</f>
        <v/>
      </c>
      <c r="W1668" s="13" t="str">
        <f>IF(tblSalaries[[#This Row],[Job Type]]=tblSalaries[[#Headers],[Consultant]],tblSalaries[[#This Row],[Salary in USD]],"")</f>
        <v/>
      </c>
      <c r="X1668" s="13" t="str">
        <f>IF(tblSalaries[[#This Row],[Job Type]]=tblSalaries[[#Headers],[Controller]],tblSalaries[[#This Row],[Salary in USD]],"")</f>
        <v/>
      </c>
      <c r="Y1668" s="13">
        <f>IF(tblSalaries[[#This Row],[Job Type]]=tblSalaries[[#Headers],[CXO or Top Mgmt.]],tblSalaries[[#This Row],[clean Salary (in local currency)]],"")</f>
        <v>45000</v>
      </c>
      <c r="Z1668" s="13" t="str">
        <f>IF(tblSalaries[[#This Row],[Job Type]]=tblSalaries[[#Headers],[Engineer]],tblSalaries[[#This Row],[Salary in USD]],"")</f>
        <v/>
      </c>
      <c r="AA1668" s="13" t="str">
        <f>IF(tblSalaries[[#This Row],[Job Type]]=tblSalaries[[#Headers],[Manager]],tblSalaries[[#This Row],[Salary in USD]],"")</f>
        <v/>
      </c>
      <c r="AB1668" s="13" t="str">
        <f>IF(tblSalaries[[#This Row],[Job Type]]=tblSalaries[[#Headers],[Misc.]],tblSalaries[[#This Row],[Salary in USD]],"")</f>
        <v/>
      </c>
      <c r="AC1668" s="13" t="str">
        <f>IF(tblSalaries[[#This Row],[Job Type]]=tblSalaries[[#Headers],[Reporting]],tblSalaries[[#This Row],[Salary in USD]],"")</f>
        <v/>
      </c>
      <c r="AD1668" s="13" t="str">
        <f>IF(tblSalaries[[#This Row],[Job Type]]=tblSalaries[[#Headers],[Specialist]],tblSalaries[[#This Row],[Salary in USD]],"")</f>
        <v/>
      </c>
    </row>
    <row r="1669" spans="2:30" ht="15" customHeight="1" x14ac:dyDescent="0.25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 s="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  <c r="N1669">
        <f>IF(tblSalaries[[#This Row],[Years of Experience]]="","",IF(tblSalaries[[#This Row],[Years of Experience]]&lt;=2,1,""))</f>
        <v>1</v>
      </c>
      <c r="O1669" t="str">
        <f>IF(tblSalaries[[#This Row],[Years of Experience]]="","",IF(AND(tblSalaries[[#This Row],[Years of Experience]]&gt;2,tblSalaries[[#This Row],[Years of Experience]]&lt;=5),1,""))</f>
        <v/>
      </c>
      <c r="P1669" t="str">
        <f>IF(tblSalaries[[#This Row],[Years of Experience]]="","",IF(AND(tblSalaries[[#This Row],[Years of Experience]]&gt;5,tblSalaries[[#This Row],[Years of Experience]]&lt;=10),1,""))</f>
        <v/>
      </c>
      <c r="Q1669" t="str">
        <f>IF(tblSalaries[[#This Row],[Years of Experience]]="","",IF(AND(tblSalaries[[#This Row],[Years of Experience]]&gt;10,tblSalaries[[#This Row],[Years of Experience]]&lt;=15),1,""))</f>
        <v/>
      </c>
      <c r="R1669" t="str">
        <f>IF(tblSalaries[[#This Row],[Years of Experience]]="","",IF(AND(tblSalaries[[#This Row],[Years of Experience]]&gt;16,tblSalaries[[#This Row],[Years of Experience]]&lt;=20),1,""))</f>
        <v/>
      </c>
      <c r="S1669" t="str">
        <f>IF(tblSalaries[[#This Row],[Years of Experience]]="","",IF(tblSalaries[[#This Row],[Years of Experience]]&gt;20,1,""))</f>
        <v/>
      </c>
      <c r="T16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69" s="13" t="str">
        <f>IF(tblSalaries[[#This Row],[Job Type]]=tblSalaries[[#Headers],[Accountant]],tblSalaries[[#This Row],[Salary in USD]],"")</f>
        <v/>
      </c>
      <c r="V1669" s="13">
        <f>IF(tblSalaries[[#This Row],[Job Type]]=tblSalaries[[#Headers],[Analyst]],tblSalaries[[#This Row],[Salary in USD]],"")</f>
        <v>60000</v>
      </c>
      <c r="W1669" s="13" t="str">
        <f>IF(tblSalaries[[#This Row],[Job Type]]=tblSalaries[[#Headers],[Consultant]],tblSalaries[[#This Row],[Salary in USD]],"")</f>
        <v/>
      </c>
      <c r="X1669" s="13" t="str">
        <f>IF(tblSalaries[[#This Row],[Job Type]]=tblSalaries[[#Headers],[Controller]],tblSalaries[[#This Row],[Salary in USD]],"")</f>
        <v/>
      </c>
      <c r="Y1669" s="13" t="str">
        <f>IF(tblSalaries[[#This Row],[Job Type]]=tblSalaries[[#Headers],[CXO or Top Mgmt.]],tblSalaries[[#This Row],[clean Salary (in local currency)]],"")</f>
        <v/>
      </c>
      <c r="Z1669" s="13" t="str">
        <f>IF(tblSalaries[[#This Row],[Job Type]]=tblSalaries[[#Headers],[Engineer]],tblSalaries[[#This Row],[Salary in USD]],"")</f>
        <v/>
      </c>
      <c r="AA1669" s="13" t="str">
        <f>IF(tblSalaries[[#This Row],[Job Type]]=tblSalaries[[#Headers],[Manager]],tblSalaries[[#This Row],[Salary in USD]],"")</f>
        <v/>
      </c>
      <c r="AB1669" s="13" t="str">
        <f>IF(tblSalaries[[#This Row],[Job Type]]=tblSalaries[[#Headers],[Misc.]],tblSalaries[[#This Row],[Salary in USD]],"")</f>
        <v/>
      </c>
      <c r="AC1669" s="13" t="str">
        <f>IF(tblSalaries[[#This Row],[Job Type]]=tblSalaries[[#Headers],[Reporting]],tblSalaries[[#This Row],[Salary in USD]],"")</f>
        <v/>
      </c>
      <c r="AD1669" s="13" t="str">
        <f>IF(tblSalaries[[#This Row],[Job Type]]=tblSalaries[[#Headers],[Specialist]],tblSalaries[[#This Row],[Salary in USD]],"")</f>
        <v/>
      </c>
    </row>
    <row r="1670" spans="2:30" ht="15" customHeight="1" x14ac:dyDescent="0.25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 s="9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  <c r="N1670" t="str">
        <f>IF(tblSalaries[[#This Row],[Years of Experience]]="","",IF(tblSalaries[[#This Row],[Years of Experience]]&lt;=2,1,""))</f>
        <v/>
      </c>
      <c r="O1670">
        <f>IF(tblSalaries[[#This Row],[Years of Experience]]="","",IF(AND(tblSalaries[[#This Row],[Years of Experience]]&gt;2,tblSalaries[[#This Row],[Years of Experience]]&lt;=5),1,""))</f>
        <v>1</v>
      </c>
      <c r="P1670" t="str">
        <f>IF(tblSalaries[[#This Row],[Years of Experience]]="","",IF(AND(tblSalaries[[#This Row],[Years of Experience]]&gt;5,tblSalaries[[#This Row],[Years of Experience]]&lt;=10),1,""))</f>
        <v/>
      </c>
      <c r="Q1670" t="str">
        <f>IF(tblSalaries[[#This Row],[Years of Experience]]="","",IF(AND(tblSalaries[[#This Row],[Years of Experience]]&gt;10,tblSalaries[[#This Row],[Years of Experience]]&lt;=15),1,""))</f>
        <v/>
      </c>
      <c r="R1670" t="str">
        <f>IF(tblSalaries[[#This Row],[Years of Experience]]="","",IF(AND(tblSalaries[[#This Row],[Years of Experience]]&gt;16,tblSalaries[[#This Row],[Years of Experience]]&lt;=20),1,""))</f>
        <v/>
      </c>
      <c r="S1670" t="str">
        <f>IF(tblSalaries[[#This Row],[Years of Experience]]="","",IF(tblSalaries[[#This Row],[Years of Experience]]&gt;20,1,""))</f>
        <v/>
      </c>
      <c r="T16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70" s="13" t="str">
        <f>IF(tblSalaries[[#This Row],[Job Type]]=tblSalaries[[#Headers],[Accountant]],tblSalaries[[#This Row],[Salary in USD]],"")</f>
        <v/>
      </c>
      <c r="V1670" s="13">
        <f>IF(tblSalaries[[#This Row],[Job Type]]=tblSalaries[[#Headers],[Analyst]],tblSalaries[[#This Row],[Salary in USD]],"")</f>
        <v>65000</v>
      </c>
      <c r="W1670" s="13" t="str">
        <f>IF(tblSalaries[[#This Row],[Job Type]]=tblSalaries[[#Headers],[Consultant]],tblSalaries[[#This Row],[Salary in USD]],"")</f>
        <v/>
      </c>
      <c r="X1670" s="13" t="str">
        <f>IF(tblSalaries[[#This Row],[Job Type]]=tblSalaries[[#Headers],[Controller]],tblSalaries[[#This Row],[Salary in USD]],"")</f>
        <v/>
      </c>
      <c r="Y1670" s="13" t="str">
        <f>IF(tblSalaries[[#This Row],[Job Type]]=tblSalaries[[#Headers],[CXO or Top Mgmt.]],tblSalaries[[#This Row],[clean Salary (in local currency)]],"")</f>
        <v/>
      </c>
      <c r="Z1670" s="13" t="str">
        <f>IF(tblSalaries[[#This Row],[Job Type]]=tblSalaries[[#Headers],[Engineer]],tblSalaries[[#This Row],[Salary in USD]],"")</f>
        <v/>
      </c>
      <c r="AA1670" s="13" t="str">
        <f>IF(tblSalaries[[#This Row],[Job Type]]=tblSalaries[[#Headers],[Manager]],tblSalaries[[#This Row],[Salary in USD]],"")</f>
        <v/>
      </c>
      <c r="AB1670" s="13" t="str">
        <f>IF(tblSalaries[[#This Row],[Job Type]]=tblSalaries[[#Headers],[Misc.]],tblSalaries[[#This Row],[Salary in USD]],"")</f>
        <v/>
      </c>
      <c r="AC1670" s="13" t="str">
        <f>IF(tblSalaries[[#This Row],[Job Type]]=tblSalaries[[#Headers],[Reporting]],tblSalaries[[#This Row],[Salary in USD]],"")</f>
        <v/>
      </c>
      <c r="AD1670" s="13" t="str">
        <f>IF(tblSalaries[[#This Row],[Job Type]]=tblSalaries[[#Headers],[Specialist]],tblSalaries[[#This Row],[Salary in USD]],"")</f>
        <v/>
      </c>
    </row>
    <row r="1671" spans="2:30" ht="15" customHeight="1" x14ac:dyDescent="0.25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 s="9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  <c r="N1671" t="str">
        <f>IF(tblSalaries[[#This Row],[Years of Experience]]="","",IF(tblSalaries[[#This Row],[Years of Experience]]&lt;=2,1,""))</f>
        <v/>
      </c>
      <c r="O1671" t="str">
        <f>IF(tblSalaries[[#This Row],[Years of Experience]]="","",IF(AND(tblSalaries[[#This Row],[Years of Experience]]&gt;2,tblSalaries[[#This Row],[Years of Experience]]&lt;=5),1,""))</f>
        <v/>
      </c>
      <c r="P1671">
        <f>IF(tblSalaries[[#This Row],[Years of Experience]]="","",IF(AND(tblSalaries[[#This Row],[Years of Experience]]&gt;5,tblSalaries[[#This Row],[Years of Experience]]&lt;=10),1,""))</f>
        <v>1</v>
      </c>
      <c r="Q1671" t="str">
        <f>IF(tblSalaries[[#This Row],[Years of Experience]]="","",IF(AND(tblSalaries[[#This Row],[Years of Experience]]&gt;10,tblSalaries[[#This Row],[Years of Experience]]&lt;=15),1,""))</f>
        <v/>
      </c>
      <c r="R1671" t="str">
        <f>IF(tblSalaries[[#This Row],[Years of Experience]]="","",IF(AND(tblSalaries[[#This Row],[Years of Experience]]&gt;16,tblSalaries[[#This Row],[Years of Experience]]&lt;=20),1,""))</f>
        <v/>
      </c>
      <c r="S1671" t="str">
        <f>IF(tblSalaries[[#This Row],[Years of Experience]]="","",IF(tblSalaries[[#This Row],[Years of Experience]]&gt;20,1,""))</f>
        <v/>
      </c>
      <c r="T16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71" s="13" t="str">
        <f>IF(tblSalaries[[#This Row],[Job Type]]=tblSalaries[[#Headers],[Accountant]],tblSalaries[[#This Row],[Salary in USD]],"")</f>
        <v/>
      </c>
      <c r="V1671" s="13" t="str">
        <f>IF(tblSalaries[[#This Row],[Job Type]]=tblSalaries[[#Headers],[Analyst]],tblSalaries[[#This Row],[Salary in USD]],"")</f>
        <v/>
      </c>
      <c r="W1671" s="13" t="str">
        <f>IF(tblSalaries[[#This Row],[Job Type]]=tblSalaries[[#Headers],[Consultant]],tblSalaries[[#This Row],[Salary in USD]],"")</f>
        <v/>
      </c>
      <c r="X1671" s="13" t="str">
        <f>IF(tblSalaries[[#This Row],[Job Type]]=tblSalaries[[#Headers],[Controller]],tblSalaries[[#This Row],[Salary in USD]],"")</f>
        <v/>
      </c>
      <c r="Y1671" s="13" t="str">
        <f>IF(tblSalaries[[#This Row],[Job Type]]=tblSalaries[[#Headers],[CXO or Top Mgmt.]],tblSalaries[[#This Row],[clean Salary (in local currency)]],"")</f>
        <v/>
      </c>
      <c r="Z1671" s="13" t="str">
        <f>IF(tblSalaries[[#This Row],[Job Type]]=tblSalaries[[#Headers],[Engineer]],tblSalaries[[#This Row],[Salary in USD]],"")</f>
        <v/>
      </c>
      <c r="AA1671" s="13">
        <f>IF(tblSalaries[[#This Row],[Job Type]]=tblSalaries[[#Headers],[Manager]],tblSalaries[[#This Row],[Salary in USD]],"")</f>
        <v>73000</v>
      </c>
      <c r="AB1671" s="13" t="str">
        <f>IF(tblSalaries[[#This Row],[Job Type]]=tblSalaries[[#Headers],[Misc.]],tblSalaries[[#This Row],[Salary in USD]],"")</f>
        <v/>
      </c>
      <c r="AC1671" s="13" t="str">
        <f>IF(tblSalaries[[#This Row],[Job Type]]=tblSalaries[[#Headers],[Reporting]],tblSalaries[[#This Row],[Salary in USD]],"")</f>
        <v/>
      </c>
      <c r="AD1671" s="13" t="str">
        <f>IF(tblSalaries[[#This Row],[Job Type]]=tblSalaries[[#Headers],[Specialist]],tblSalaries[[#This Row],[Salary in USD]],"")</f>
        <v/>
      </c>
    </row>
    <row r="1672" spans="2:30" ht="15" customHeight="1" x14ac:dyDescent="0.25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 s="9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  <c r="N1672" t="str">
        <f>IF(tblSalaries[[#This Row],[Years of Experience]]="","",IF(tblSalaries[[#This Row],[Years of Experience]]&lt;=2,1,""))</f>
        <v/>
      </c>
      <c r="O1672" t="str">
        <f>IF(tblSalaries[[#This Row],[Years of Experience]]="","",IF(AND(tblSalaries[[#This Row],[Years of Experience]]&gt;2,tblSalaries[[#This Row],[Years of Experience]]&lt;=5),1,""))</f>
        <v/>
      </c>
      <c r="P1672">
        <f>IF(tblSalaries[[#This Row],[Years of Experience]]="","",IF(AND(tblSalaries[[#This Row],[Years of Experience]]&gt;5,tblSalaries[[#This Row],[Years of Experience]]&lt;=10),1,""))</f>
        <v>1</v>
      </c>
      <c r="Q1672" t="str">
        <f>IF(tblSalaries[[#This Row],[Years of Experience]]="","",IF(AND(tblSalaries[[#This Row],[Years of Experience]]&gt;10,tblSalaries[[#This Row],[Years of Experience]]&lt;=15),1,""))</f>
        <v/>
      </c>
      <c r="R1672" t="str">
        <f>IF(tblSalaries[[#This Row],[Years of Experience]]="","",IF(AND(tblSalaries[[#This Row],[Years of Experience]]&gt;16,tblSalaries[[#This Row],[Years of Experience]]&lt;=20),1,""))</f>
        <v/>
      </c>
      <c r="S1672" t="str">
        <f>IF(tblSalaries[[#This Row],[Years of Experience]]="","",IF(tblSalaries[[#This Row],[Years of Experience]]&gt;20,1,""))</f>
        <v/>
      </c>
      <c r="T16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72" s="13" t="str">
        <f>IF(tblSalaries[[#This Row],[Job Type]]=tblSalaries[[#Headers],[Accountant]],tblSalaries[[#This Row],[Salary in USD]],"")</f>
        <v/>
      </c>
      <c r="V1672" s="13">
        <f>IF(tblSalaries[[#This Row],[Job Type]]=tblSalaries[[#Headers],[Analyst]],tblSalaries[[#This Row],[Salary in USD]],"")</f>
        <v>54000</v>
      </c>
      <c r="W1672" s="13" t="str">
        <f>IF(tblSalaries[[#This Row],[Job Type]]=tblSalaries[[#Headers],[Consultant]],tblSalaries[[#This Row],[Salary in USD]],"")</f>
        <v/>
      </c>
      <c r="X1672" s="13" t="str">
        <f>IF(tblSalaries[[#This Row],[Job Type]]=tblSalaries[[#Headers],[Controller]],tblSalaries[[#This Row],[Salary in USD]],"")</f>
        <v/>
      </c>
      <c r="Y1672" s="13" t="str">
        <f>IF(tblSalaries[[#This Row],[Job Type]]=tblSalaries[[#Headers],[CXO or Top Mgmt.]],tblSalaries[[#This Row],[clean Salary (in local currency)]],"")</f>
        <v/>
      </c>
      <c r="Z1672" s="13" t="str">
        <f>IF(tblSalaries[[#This Row],[Job Type]]=tblSalaries[[#Headers],[Engineer]],tblSalaries[[#This Row],[Salary in USD]],"")</f>
        <v/>
      </c>
      <c r="AA1672" s="13" t="str">
        <f>IF(tblSalaries[[#This Row],[Job Type]]=tblSalaries[[#Headers],[Manager]],tblSalaries[[#This Row],[Salary in USD]],"")</f>
        <v/>
      </c>
      <c r="AB1672" s="13" t="str">
        <f>IF(tblSalaries[[#This Row],[Job Type]]=tblSalaries[[#Headers],[Misc.]],tblSalaries[[#This Row],[Salary in USD]],"")</f>
        <v/>
      </c>
      <c r="AC1672" s="13" t="str">
        <f>IF(tblSalaries[[#This Row],[Job Type]]=tblSalaries[[#Headers],[Reporting]],tblSalaries[[#This Row],[Salary in USD]],"")</f>
        <v/>
      </c>
      <c r="AD1672" s="13" t="str">
        <f>IF(tblSalaries[[#This Row],[Job Type]]=tblSalaries[[#Headers],[Specialist]],tblSalaries[[#This Row],[Salary in USD]],"")</f>
        <v/>
      </c>
    </row>
    <row r="1673" spans="2:30" ht="15" customHeight="1" x14ac:dyDescent="0.25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 s="9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  <c r="N1673" t="str">
        <f>IF(tblSalaries[[#This Row],[Years of Experience]]="","",IF(tblSalaries[[#This Row],[Years of Experience]]&lt;=2,1,""))</f>
        <v/>
      </c>
      <c r="O1673" t="str">
        <f>IF(tblSalaries[[#This Row],[Years of Experience]]="","",IF(AND(tblSalaries[[#This Row],[Years of Experience]]&gt;2,tblSalaries[[#This Row],[Years of Experience]]&lt;=5),1,""))</f>
        <v/>
      </c>
      <c r="P1673">
        <f>IF(tblSalaries[[#This Row],[Years of Experience]]="","",IF(AND(tblSalaries[[#This Row],[Years of Experience]]&gt;5,tblSalaries[[#This Row],[Years of Experience]]&lt;=10),1,""))</f>
        <v>1</v>
      </c>
      <c r="Q1673" t="str">
        <f>IF(tblSalaries[[#This Row],[Years of Experience]]="","",IF(AND(tblSalaries[[#This Row],[Years of Experience]]&gt;10,tblSalaries[[#This Row],[Years of Experience]]&lt;=15),1,""))</f>
        <v/>
      </c>
      <c r="R1673" t="str">
        <f>IF(tblSalaries[[#This Row],[Years of Experience]]="","",IF(AND(tblSalaries[[#This Row],[Years of Experience]]&gt;16,tblSalaries[[#This Row],[Years of Experience]]&lt;=20),1,""))</f>
        <v/>
      </c>
      <c r="S1673" t="str">
        <f>IF(tblSalaries[[#This Row],[Years of Experience]]="","",IF(tblSalaries[[#This Row],[Years of Experience]]&gt;20,1,""))</f>
        <v/>
      </c>
      <c r="T16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73" s="13" t="str">
        <f>IF(tblSalaries[[#This Row],[Job Type]]=tblSalaries[[#Headers],[Accountant]],tblSalaries[[#This Row],[Salary in USD]],"")</f>
        <v/>
      </c>
      <c r="V1673" s="13">
        <f>IF(tblSalaries[[#This Row],[Job Type]]=tblSalaries[[#Headers],[Analyst]],tblSalaries[[#This Row],[Salary in USD]],"")</f>
        <v>81000</v>
      </c>
      <c r="W1673" s="13" t="str">
        <f>IF(tblSalaries[[#This Row],[Job Type]]=tblSalaries[[#Headers],[Consultant]],tblSalaries[[#This Row],[Salary in USD]],"")</f>
        <v/>
      </c>
      <c r="X1673" s="13" t="str">
        <f>IF(tblSalaries[[#This Row],[Job Type]]=tblSalaries[[#Headers],[Controller]],tblSalaries[[#This Row],[Salary in USD]],"")</f>
        <v/>
      </c>
      <c r="Y1673" s="13" t="str">
        <f>IF(tblSalaries[[#This Row],[Job Type]]=tblSalaries[[#Headers],[CXO or Top Mgmt.]],tblSalaries[[#This Row],[clean Salary (in local currency)]],"")</f>
        <v/>
      </c>
      <c r="Z1673" s="13" t="str">
        <f>IF(tblSalaries[[#This Row],[Job Type]]=tblSalaries[[#Headers],[Engineer]],tblSalaries[[#This Row],[Salary in USD]],"")</f>
        <v/>
      </c>
      <c r="AA1673" s="13" t="str">
        <f>IF(tblSalaries[[#This Row],[Job Type]]=tblSalaries[[#Headers],[Manager]],tblSalaries[[#This Row],[Salary in USD]],"")</f>
        <v/>
      </c>
      <c r="AB1673" s="13" t="str">
        <f>IF(tblSalaries[[#This Row],[Job Type]]=tblSalaries[[#Headers],[Misc.]],tblSalaries[[#This Row],[Salary in USD]],"")</f>
        <v/>
      </c>
      <c r="AC1673" s="13" t="str">
        <f>IF(tblSalaries[[#This Row],[Job Type]]=tblSalaries[[#Headers],[Reporting]],tblSalaries[[#This Row],[Salary in USD]],"")</f>
        <v/>
      </c>
      <c r="AD1673" s="13" t="str">
        <f>IF(tblSalaries[[#This Row],[Job Type]]=tblSalaries[[#Headers],[Specialist]],tblSalaries[[#This Row],[Salary in USD]],"")</f>
        <v/>
      </c>
    </row>
    <row r="1674" spans="2:30" ht="15" customHeight="1" x14ac:dyDescent="0.25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 s="9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  <c r="N1674">
        <f>IF(tblSalaries[[#This Row],[Years of Experience]]="","",IF(tblSalaries[[#This Row],[Years of Experience]]&lt;=2,1,""))</f>
        <v>1</v>
      </c>
      <c r="O1674" t="str">
        <f>IF(tblSalaries[[#This Row],[Years of Experience]]="","",IF(AND(tblSalaries[[#This Row],[Years of Experience]]&gt;2,tblSalaries[[#This Row],[Years of Experience]]&lt;=5),1,""))</f>
        <v/>
      </c>
      <c r="P1674" t="str">
        <f>IF(tblSalaries[[#This Row],[Years of Experience]]="","",IF(AND(tblSalaries[[#This Row],[Years of Experience]]&gt;5,tblSalaries[[#This Row],[Years of Experience]]&lt;=10),1,""))</f>
        <v/>
      </c>
      <c r="Q1674" t="str">
        <f>IF(tblSalaries[[#This Row],[Years of Experience]]="","",IF(AND(tblSalaries[[#This Row],[Years of Experience]]&gt;10,tblSalaries[[#This Row],[Years of Experience]]&lt;=15),1,""))</f>
        <v/>
      </c>
      <c r="R1674" t="str">
        <f>IF(tblSalaries[[#This Row],[Years of Experience]]="","",IF(AND(tblSalaries[[#This Row],[Years of Experience]]&gt;16,tblSalaries[[#This Row],[Years of Experience]]&lt;=20),1,""))</f>
        <v/>
      </c>
      <c r="S1674" t="str">
        <f>IF(tblSalaries[[#This Row],[Years of Experience]]="","",IF(tblSalaries[[#This Row],[Years of Experience]]&gt;20,1,""))</f>
        <v/>
      </c>
      <c r="T16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74" s="13" t="str">
        <f>IF(tblSalaries[[#This Row],[Job Type]]=tblSalaries[[#Headers],[Accountant]],tblSalaries[[#This Row],[Salary in USD]],"")</f>
        <v/>
      </c>
      <c r="V1674" s="13">
        <f>IF(tblSalaries[[#This Row],[Job Type]]=tblSalaries[[#Headers],[Analyst]],tblSalaries[[#This Row],[Salary in USD]],"")</f>
        <v>10000</v>
      </c>
      <c r="W1674" s="13" t="str">
        <f>IF(tblSalaries[[#This Row],[Job Type]]=tblSalaries[[#Headers],[Consultant]],tblSalaries[[#This Row],[Salary in USD]],"")</f>
        <v/>
      </c>
      <c r="X1674" s="13" t="str">
        <f>IF(tblSalaries[[#This Row],[Job Type]]=tblSalaries[[#Headers],[Controller]],tblSalaries[[#This Row],[Salary in USD]],"")</f>
        <v/>
      </c>
      <c r="Y1674" s="13" t="str">
        <f>IF(tblSalaries[[#This Row],[Job Type]]=tblSalaries[[#Headers],[CXO or Top Mgmt.]],tblSalaries[[#This Row],[clean Salary (in local currency)]],"")</f>
        <v/>
      </c>
      <c r="Z1674" s="13" t="str">
        <f>IF(tblSalaries[[#This Row],[Job Type]]=tblSalaries[[#Headers],[Engineer]],tblSalaries[[#This Row],[Salary in USD]],"")</f>
        <v/>
      </c>
      <c r="AA1674" s="13" t="str">
        <f>IF(tblSalaries[[#This Row],[Job Type]]=tblSalaries[[#Headers],[Manager]],tblSalaries[[#This Row],[Salary in USD]],"")</f>
        <v/>
      </c>
      <c r="AB1674" s="13" t="str">
        <f>IF(tblSalaries[[#This Row],[Job Type]]=tblSalaries[[#Headers],[Misc.]],tblSalaries[[#This Row],[Salary in USD]],"")</f>
        <v/>
      </c>
      <c r="AC1674" s="13" t="str">
        <f>IF(tblSalaries[[#This Row],[Job Type]]=tblSalaries[[#Headers],[Reporting]],tblSalaries[[#This Row],[Salary in USD]],"")</f>
        <v/>
      </c>
      <c r="AD1674" s="13" t="str">
        <f>IF(tblSalaries[[#This Row],[Job Type]]=tblSalaries[[#Headers],[Specialist]],tblSalaries[[#This Row],[Salary in USD]],"")</f>
        <v/>
      </c>
    </row>
    <row r="1675" spans="2:30" ht="15" customHeight="1" x14ac:dyDescent="0.25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 s="9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  <c r="N1675">
        <f>IF(tblSalaries[[#This Row],[Years of Experience]]="","",IF(tblSalaries[[#This Row],[Years of Experience]]&lt;=2,1,""))</f>
        <v>1</v>
      </c>
      <c r="O1675" t="str">
        <f>IF(tblSalaries[[#This Row],[Years of Experience]]="","",IF(AND(tblSalaries[[#This Row],[Years of Experience]]&gt;2,tblSalaries[[#This Row],[Years of Experience]]&lt;=5),1,""))</f>
        <v/>
      </c>
      <c r="P1675" t="str">
        <f>IF(tblSalaries[[#This Row],[Years of Experience]]="","",IF(AND(tblSalaries[[#This Row],[Years of Experience]]&gt;5,tblSalaries[[#This Row],[Years of Experience]]&lt;=10),1,""))</f>
        <v/>
      </c>
      <c r="Q1675" t="str">
        <f>IF(tblSalaries[[#This Row],[Years of Experience]]="","",IF(AND(tblSalaries[[#This Row],[Years of Experience]]&gt;10,tblSalaries[[#This Row],[Years of Experience]]&lt;=15),1,""))</f>
        <v/>
      </c>
      <c r="R1675" t="str">
        <f>IF(tblSalaries[[#This Row],[Years of Experience]]="","",IF(AND(tblSalaries[[#This Row],[Years of Experience]]&gt;16,tblSalaries[[#This Row],[Years of Experience]]&lt;=20),1,""))</f>
        <v/>
      </c>
      <c r="S1675" t="str">
        <f>IF(tblSalaries[[#This Row],[Years of Experience]]="","",IF(tblSalaries[[#This Row],[Years of Experience]]&gt;20,1,""))</f>
        <v/>
      </c>
      <c r="T16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75" s="13">
        <f>IF(tblSalaries[[#This Row],[Job Type]]=tblSalaries[[#Headers],[Accountant]],tblSalaries[[#This Row],[Salary in USD]],"")</f>
        <v>42000</v>
      </c>
      <c r="V1675" s="13" t="str">
        <f>IF(tblSalaries[[#This Row],[Job Type]]=tblSalaries[[#Headers],[Analyst]],tblSalaries[[#This Row],[Salary in USD]],"")</f>
        <v/>
      </c>
      <c r="W1675" s="13" t="str">
        <f>IF(tblSalaries[[#This Row],[Job Type]]=tblSalaries[[#Headers],[Consultant]],tblSalaries[[#This Row],[Salary in USD]],"")</f>
        <v/>
      </c>
      <c r="X1675" s="13" t="str">
        <f>IF(tblSalaries[[#This Row],[Job Type]]=tblSalaries[[#Headers],[Controller]],tblSalaries[[#This Row],[Salary in USD]],"")</f>
        <v/>
      </c>
      <c r="Y1675" s="13" t="str">
        <f>IF(tblSalaries[[#This Row],[Job Type]]=tblSalaries[[#Headers],[CXO or Top Mgmt.]],tblSalaries[[#This Row],[clean Salary (in local currency)]],"")</f>
        <v/>
      </c>
      <c r="Z1675" s="13" t="str">
        <f>IF(tblSalaries[[#This Row],[Job Type]]=tblSalaries[[#Headers],[Engineer]],tblSalaries[[#This Row],[Salary in USD]],"")</f>
        <v/>
      </c>
      <c r="AA1675" s="13" t="str">
        <f>IF(tblSalaries[[#This Row],[Job Type]]=tblSalaries[[#Headers],[Manager]],tblSalaries[[#This Row],[Salary in USD]],"")</f>
        <v/>
      </c>
      <c r="AB1675" s="13" t="str">
        <f>IF(tblSalaries[[#This Row],[Job Type]]=tblSalaries[[#Headers],[Misc.]],tblSalaries[[#This Row],[Salary in USD]],"")</f>
        <v/>
      </c>
      <c r="AC1675" s="13" t="str">
        <f>IF(tblSalaries[[#This Row],[Job Type]]=tblSalaries[[#Headers],[Reporting]],tblSalaries[[#This Row],[Salary in USD]],"")</f>
        <v/>
      </c>
      <c r="AD1675" s="13" t="str">
        <f>IF(tblSalaries[[#This Row],[Job Type]]=tblSalaries[[#Headers],[Specialist]],tblSalaries[[#This Row],[Salary in USD]],"")</f>
        <v/>
      </c>
    </row>
    <row r="1676" spans="2:30" ht="15" customHeight="1" x14ac:dyDescent="0.25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 s="9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  <c r="N1676" t="str">
        <f>IF(tblSalaries[[#This Row],[Years of Experience]]="","",IF(tblSalaries[[#This Row],[Years of Experience]]&lt;=2,1,""))</f>
        <v/>
      </c>
      <c r="O1676">
        <f>IF(tblSalaries[[#This Row],[Years of Experience]]="","",IF(AND(tblSalaries[[#This Row],[Years of Experience]]&gt;2,tblSalaries[[#This Row],[Years of Experience]]&lt;=5),1,""))</f>
        <v>1</v>
      </c>
      <c r="P1676" t="str">
        <f>IF(tblSalaries[[#This Row],[Years of Experience]]="","",IF(AND(tblSalaries[[#This Row],[Years of Experience]]&gt;5,tblSalaries[[#This Row],[Years of Experience]]&lt;=10),1,""))</f>
        <v/>
      </c>
      <c r="Q1676" t="str">
        <f>IF(tblSalaries[[#This Row],[Years of Experience]]="","",IF(AND(tblSalaries[[#This Row],[Years of Experience]]&gt;10,tblSalaries[[#This Row],[Years of Experience]]&lt;=15),1,""))</f>
        <v/>
      </c>
      <c r="R1676" t="str">
        <f>IF(tblSalaries[[#This Row],[Years of Experience]]="","",IF(AND(tblSalaries[[#This Row],[Years of Experience]]&gt;16,tblSalaries[[#This Row],[Years of Experience]]&lt;=20),1,""))</f>
        <v/>
      </c>
      <c r="S1676" t="str">
        <f>IF(tblSalaries[[#This Row],[Years of Experience]]="","",IF(tblSalaries[[#This Row],[Years of Experience]]&gt;20,1,""))</f>
        <v/>
      </c>
      <c r="T16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76" s="13" t="str">
        <f>IF(tblSalaries[[#This Row],[Job Type]]=tblSalaries[[#Headers],[Accountant]],tblSalaries[[#This Row],[Salary in USD]],"")</f>
        <v/>
      </c>
      <c r="V1676" s="13" t="str">
        <f>IF(tblSalaries[[#This Row],[Job Type]]=tblSalaries[[#Headers],[Analyst]],tblSalaries[[#This Row],[Salary in USD]],"")</f>
        <v/>
      </c>
      <c r="W1676" s="13" t="str">
        <f>IF(tblSalaries[[#This Row],[Job Type]]=tblSalaries[[#Headers],[Consultant]],tblSalaries[[#This Row],[Salary in USD]],"")</f>
        <v/>
      </c>
      <c r="X1676" s="13" t="str">
        <f>IF(tblSalaries[[#This Row],[Job Type]]=tblSalaries[[#Headers],[Controller]],tblSalaries[[#This Row],[Salary in USD]],"")</f>
        <v/>
      </c>
      <c r="Y1676" s="13" t="str">
        <f>IF(tblSalaries[[#This Row],[Job Type]]=tblSalaries[[#Headers],[CXO or Top Mgmt.]],tblSalaries[[#This Row],[clean Salary (in local currency)]],"")</f>
        <v/>
      </c>
      <c r="Z1676" s="13" t="str">
        <f>IF(tblSalaries[[#This Row],[Job Type]]=tblSalaries[[#Headers],[Engineer]],tblSalaries[[#This Row],[Salary in USD]],"")</f>
        <v/>
      </c>
      <c r="AA1676" s="13" t="str">
        <f>IF(tblSalaries[[#This Row],[Job Type]]=tblSalaries[[#Headers],[Manager]],tblSalaries[[#This Row],[Salary in USD]],"")</f>
        <v/>
      </c>
      <c r="AB1676" s="13" t="str">
        <f>IF(tblSalaries[[#This Row],[Job Type]]=tblSalaries[[#Headers],[Misc.]],tblSalaries[[#This Row],[Salary in USD]],"")</f>
        <v/>
      </c>
      <c r="AC1676" s="13" t="str">
        <f>IF(tblSalaries[[#This Row],[Job Type]]=tblSalaries[[#Headers],[Reporting]],tblSalaries[[#This Row],[Salary in USD]],"")</f>
        <v/>
      </c>
      <c r="AD1676" s="13">
        <f>IF(tblSalaries[[#This Row],[Job Type]]=tblSalaries[[#Headers],[Specialist]],tblSalaries[[#This Row],[Salary in USD]],"")</f>
        <v>81592.772512210868</v>
      </c>
    </row>
    <row r="1677" spans="2:30" ht="15" customHeight="1" x14ac:dyDescent="0.25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 s="9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  <c r="N1677">
        <f>IF(tblSalaries[[#This Row],[Years of Experience]]="","",IF(tblSalaries[[#This Row],[Years of Experience]]&lt;=2,1,""))</f>
        <v>1</v>
      </c>
      <c r="O1677" t="str">
        <f>IF(tblSalaries[[#This Row],[Years of Experience]]="","",IF(AND(tblSalaries[[#This Row],[Years of Experience]]&gt;2,tblSalaries[[#This Row],[Years of Experience]]&lt;=5),1,""))</f>
        <v/>
      </c>
      <c r="P1677" t="str">
        <f>IF(tblSalaries[[#This Row],[Years of Experience]]="","",IF(AND(tblSalaries[[#This Row],[Years of Experience]]&gt;5,tblSalaries[[#This Row],[Years of Experience]]&lt;=10),1,""))</f>
        <v/>
      </c>
      <c r="Q1677" t="str">
        <f>IF(tblSalaries[[#This Row],[Years of Experience]]="","",IF(AND(tblSalaries[[#This Row],[Years of Experience]]&gt;10,tblSalaries[[#This Row],[Years of Experience]]&lt;=15),1,""))</f>
        <v/>
      </c>
      <c r="R1677" t="str">
        <f>IF(tblSalaries[[#This Row],[Years of Experience]]="","",IF(AND(tblSalaries[[#This Row],[Years of Experience]]&gt;16,tblSalaries[[#This Row],[Years of Experience]]&lt;=20),1,""))</f>
        <v/>
      </c>
      <c r="S1677" t="str">
        <f>IF(tblSalaries[[#This Row],[Years of Experience]]="","",IF(tblSalaries[[#This Row],[Years of Experience]]&gt;20,1,""))</f>
        <v/>
      </c>
      <c r="T16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77" s="13" t="str">
        <f>IF(tblSalaries[[#This Row],[Job Type]]=tblSalaries[[#Headers],[Accountant]],tblSalaries[[#This Row],[Salary in USD]],"")</f>
        <v/>
      </c>
      <c r="V1677" s="13">
        <f>IF(tblSalaries[[#This Row],[Job Type]]=tblSalaries[[#Headers],[Analyst]],tblSalaries[[#This Row],[Salary in USD]],"")</f>
        <v>35401.014829091764</v>
      </c>
      <c r="W1677" s="13" t="str">
        <f>IF(tblSalaries[[#This Row],[Job Type]]=tblSalaries[[#Headers],[Consultant]],tblSalaries[[#This Row],[Salary in USD]],"")</f>
        <v/>
      </c>
      <c r="X1677" s="13" t="str">
        <f>IF(tblSalaries[[#This Row],[Job Type]]=tblSalaries[[#Headers],[Controller]],tblSalaries[[#This Row],[Salary in USD]],"")</f>
        <v/>
      </c>
      <c r="Y1677" s="13" t="str">
        <f>IF(tblSalaries[[#This Row],[Job Type]]=tblSalaries[[#Headers],[CXO or Top Mgmt.]],tblSalaries[[#This Row],[clean Salary (in local currency)]],"")</f>
        <v/>
      </c>
      <c r="Z1677" s="13" t="str">
        <f>IF(tblSalaries[[#This Row],[Job Type]]=tblSalaries[[#Headers],[Engineer]],tblSalaries[[#This Row],[Salary in USD]],"")</f>
        <v/>
      </c>
      <c r="AA1677" s="13" t="str">
        <f>IF(tblSalaries[[#This Row],[Job Type]]=tblSalaries[[#Headers],[Manager]],tblSalaries[[#This Row],[Salary in USD]],"")</f>
        <v/>
      </c>
      <c r="AB1677" s="13" t="str">
        <f>IF(tblSalaries[[#This Row],[Job Type]]=tblSalaries[[#Headers],[Misc.]],tblSalaries[[#This Row],[Salary in USD]],"")</f>
        <v/>
      </c>
      <c r="AC1677" s="13" t="str">
        <f>IF(tblSalaries[[#This Row],[Job Type]]=tblSalaries[[#Headers],[Reporting]],tblSalaries[[#This Row],[Salary in USD]],"")</f>
        <v/>
      </c>
      <c r="AD1677" s="13" t="str">
        <f>IF(tblSalaries[[#This Row],[Job Type]]=tblSalaries[[#Headers],[Specialist]],tblSalaries[[#This Row],[Salary in USD]],"")</f>
        <v/>
      </c>
    </row>
    <row r="1678" spans="2:30" ht="15" customHeight="1" x14ac:dyDescent="0.25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 s="9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  <c r="N1678" t="str">
        <f>IF(tblSalaries[[#This Row],[Years of Experience]]="","",IF(tblSalaries[[#This Row],[Years of Experience]]&lt;=2,1,""))</f>
        <v/>
      </c>
      <c r="O1678">
        <f>IF(tblSalaries[[#This Row],[Years of Experience]]="","",IF(AND(tblSalaries[[#This Row],[Years of Experience]]&gt;2,tblSalaries[[#This Row],[Years of Experience]]&lt;=5),1,""))</f>
        <v>1</v>
      </c>
      <c r="P1678" t="str">
        <f>IF(tblSalaries[[#This Row],[Years of Experience]]="","",IF(AND(tblSalaries[[#This Row],[Years of Experience]]&gt;5,tblSalaries[[#This Row],[Years of Experience]]&lt;=10),1,""))</f>
        <v/>
      </c>
      <c r="Q1678" t="str">
        <f>IF(tblSalaries[[#This Row],[Years of Experience]]="","",IF(AND(tblSalaries[[#This Row],[Years of Experience]]&gt;10,tblSalaries[[#This Row],[Years of Experience]]&lt;=15),1,""))</f>
        <v/>
      </c>
      <c r="R1678" t="str">
        <f>IF(tblSalaries[[#This Row],[Years of Experience]]="","",IF(AND(tblSalaries[[#This Row],[Years of Experience]]&gt;16,tblSalaries[[#This Row],[Years of Experience]]&lt;=20),1,""))</f>
        <v/>
      </c>
      <c r="S1678" t="str">
        <f>IF(tblSalaries[[#This Row],[Years of Experience]]="","",IF(tblSalaries[[#This Row],[Years of Experience]]&gt;20,1,""))</f>
        <v/>
      </c>
      <c r="T16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78" s="13" t="str">
        <f>IF(tblSalaries[[#This Row],[Job Type]]=tblSalaries[[#Headers],[Accountant]],tblSalaries[[#This Row],[Salary in USD]],"")</f>
        <v/>
      </c>
      <c r="V1678" s="13">
        <f>IF(tblSalaries[[#This Row],[Job Type]]=tblSalaries[[#Headers],[Analyst]],tblSalaries[[#This Row],[Salary in USD]],"")</f>
        <v>8903.9583437212841</v>
      </c>
      <c r="W1678" s="13" t="str">
        <f>IF(tblSalaries[[#This Row],[Job Type]]=tblSalaries[[#Headers],[Consultant]],tblSalaries[[#This Row],[Salary in USD]],"")</f>
        <v/>
      </c>
      <c r="X1678" s="13" t="str">
        <f>IF(tblSalaries[[#This Row],[Job Type]]=tblSalaries[[#Headers],[Controller]],tblSalaries[[#This Row],[Salary in USD]],"")</f>
        <v/>
      </c>
      <c r="Y1678" s="13" t="str">
        <f>IF(tblSalaries[[#This Row],[Job Type]]=tblSalaries[[#Headers],[CXO or Top Mgmt.]],tblSalaries[[#This Row],[clean Salary (in local currency)]],"")</f>
        <v/>
      </c>
      <c r="Z1678" s="13" t="str">
        <f>IF(tblSalaries[[#This Row],[Job Type]]=tblSalaries[[#Headers],[Engineer]],tblSalaries[[#This Row],[Salary in USD]],"")</f>
        <v/>
      </c>
      <c r="AA1678" s="13" t="str">
        <f>IF(tblSalaries[[#This Row],[Job Type]]=tblSalaries[[#Headers],[Manager]],tblSalaries[[#This Row],[Salary in USD]],"")</f>
        <v/>
      </c>
      <c r="AB1678" s="13" t="str">
        <f>IF(tblSalaries[[#This Row],[Job Type]]=tblSalaries[[#Headers],[Misc.]],tblSalaries[[#This Row],[Salary in USD]],"")</f>
        <v/>
      </c>
      <c r="AC1678" s="13" t="str">
        <f>IF(tblSalaries[[#This Row],[Job Type]]=tblSalaries[[#Headers],[Reporting]],tblSalaries[[#This Row],[Salary in USD]],"")</f>
        <v/>
      </c>
      <c r="AD1678" s="13" t="str">
        <f>IF(tblSalaries[[#This Row],[Job Type]]=tblSalaries[[#Headers],[Specialist]],tblSalaries[[#This Row],[Salary in USD]],"")</f>
        <v/>
      </c>
    </row>
    <row r="1679" spans="2:30" ht="15" customHeight="1" x14ac:dyDescent="0.25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 s="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  <c r="N1679" t="str">
        <f>IF(tblSalaries[[#This Row],[Years of Experience]]="","",IF(tblSalaries[[#This Row],[Years of Experience]]&lt;=2,1,""))</f>
        <v/>
      </c>
      <c r="O1679">
        <f>IF(tblSalaries[[#This Row],[Years of Experience]]="","",IF(AND(tblSalaries[[#This Row],[Years of Experience]]&gt;2,tblSalaries[[#This Row],[Years of Experience]]&lt;=5),1,""))</f>
        <v>1</v>
      </c>
      <c r="P1679" t="str">
        <f>IF(tblSalaries[[#This Row],[Years of Experience]]="","",IF(AND(tblSalaries[[#This Row],[Years of Experience]]&gt;5,tblSalaries[[#This Row],[Years of Experience]]&lt;=10),1,""))</f>
        <v/>
      </c>
      <c r="Q1679" t="str">
        <f>IF(tblSalaries[[#This Row],[Years of Experience]]="","",IF(AND(tblSalaries[[#This Row],[Years of Experience]]&gt;10,tblSalaries[[#This Row],[Years of Experience]]&lt;=15),1,""))</f>
        <v/>
      </c>
      <c r="R1679" t="str">
        <f>IF(tblSalaries[[#This Row],[Years of Experience]]="","",IF(AND(tblSalaries[[#This Row],[Years of Experience]]&gt;16,tblSalaries[[#This Row],[Years of Experience]]&lt;=20),1,""))</f>
        <v/>
      </c>
      <c r="S1679" t="str">
        <f>IF(tblSalaries[[#This Row],[Years of Experience]]="","",IF(tblSalaries[[#This Row],[Years of Experience]]&gt;20,1,""))</f>
        <v/>
      </c>
      <c r="T16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79" s="13" t="str">
        <f>IF(tblSalaries[[#This Row],[Job Type]]=tblSalaries[[#Headers],[Accountant]],tblSalaries[[#This Row],[Salary in USD]],"")</f>
        <v/>
      </c>
      <c r="V1679" s="13">
        <f>IF(tblSalaries[[#This Row],[Job Type]]=tblSalaries[[#Headers],[Analyst]],tblSalaries[[#This Row],[Salary in USD]],"")</f>
        <v>10684.750012465542</v>
      </c>
      <c r="W1679" s="13" t="str">
        <f>IF(tblSalaries[[#This Row],[Job Type]]=tblSalaries[[#Headers],[Consultant]],tblSalaries[[#This Row],[Salary in USD]],"")</f>
        <v/>
      </c>
      <c r="X1679" s="13" t="str">
        <f>IF(tblSalaries[[#This Row],[Job Type]]=tblSalaries[[#Headers],[Controller]],tblSalaries[[#This Row],[Salary in USD]],"")</f>
        <v/>
      </c>
      <c r="Y1679" s="13" t="str">
        <f>IF(tblSalaries[[#This Row],[Job Type]]=tblSalaries[[#Headers],[CXO or Top Mgmt.]],tblSalaries[[#This Row],[clean Salary (in local currency)]],"")</f>
        <v/>
      </c>
      <c r="Z1679" s="13" t="str">
        <f>IF(tblSalaries[[#This Row],[Job Type]]=tblSalaries[[#Headers],[Engineer]],tblSalaries[[#This Row],[Salary in USD]],"")</f>
        <v/>
      </c>
      <c r="AA1679" s="13" t="str">
        <f>IF(tblSalaries[[#This Row],[Job Type]]=tblSalaries[[#Headers],[Manager]],tblSalaries[[#This Row],[Salary in USD]],"")</f>
        <v/>
      </c>
      <c r="AB1679" s="13" t="str">
        <f>IF(tblSalaries[[#This Row],[Job Type]]=tblSalaries[[#Headers],[Misc.]],tblSalaries[[#This Row],[Salary in USD]],"")</f>
        <v/>
      </c>
      <c r="AC1679" s="13" t="str">
        <f>IF(tblSalaries[[#This Row],[Job Type]]=tblSalaries[[#Headers],[Reporting]],tblSalaries[[#This Row],[Salary in USD]],"")</f>
        <v/>
      </c>
      <c r="AD1679" s="13" t="str">
        <f>IF(tblSalaries[[#This Row],[Job Type]]=tblSalaries[[#Headers],[Specialist]],tblSalaries[[#This Row],[Salary in USD]],"")</f>
        <v/>
      </c>
    </row>
    <row r="1680" spans="2:30" ht="15" customHeight="1" x14ac:dyDescent="0.25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 s="9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  <c r="N1680" t="str">
        <f>IF(tblSalaries[[#This Row],[Years of Experience]]="","",IF(tblSalaries[[#This Row],[Years of Experience]]&lt;=2,1,""))</f>
        <v/>
      </c>
      <c r="O1680" t="str">
        <f>IF(tblSalaries[[#This Row],[Years of Experience]]="","",IF(AND(tblSalaries[[#This Row],[Years of Experience]]&gt;2,tblSalaries[[#This Row],[Years of Experience]]&lt;=5),1,""))</f>
        <v/>
      </c>
      <c r="P1680" t="str">
        <f>IF(tblSalaries[[#This Row],[Years of Experience]]="","",IF(AND(tblSalaries[[#This Row],[Years of Experience]]&gt;5,tblSalaries[[#This Row],[Years of Experience]]&lt;=10),1,""))</f>
        <v/>
      </c>
      <c r="Q1680">
        <f>IF(tblSalaries[[#This Row],[Years of Experience]]="","",IF(AND(tblSalaries[[#This Row],[Years of Experience]]&gt;10,tblSalaries[[#This Row],[Years of Experience]]&lt;=15),1,""))</f>
        <v>1</v>
      </c>
      <c r="R1680" t="str">
        <f>IF(tblSalaries[[#This Row],[Years of Experience]]="","",IF(AND(tblSalaries[[#This Row],[Years of Experience]]&gt;16,tblSalaries[[#This Row],[Years of Experience]]&lt;=20),1,""))</f>
        <v/>
      </c>
      <c r="S1680" t="str">
        <f>IF(tblSalaries[[#This Row],[Years of Experience]]="","",IF(tblSalaries[[#This Row],[Years of Experience]]&gt;20,1,""))</f>
        <v/>
      </c>
      <c r="T16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80" s="13" t="str">
        <f>IF(tblSalaries[[#This Row],[Job Type]]=tblSalaries[[#Headers],[Accountant]],tblSalaries[[#This Row],[Salary in USD]],"")</f>
        <v/>
      </c>
      <c r="V1680" s="13">
        <f>IF(tblSalaries[[#This Row],[Job Type]]=tblSalaries[[#Headers],[Analyst]],tblSalaries[[#This Row],[Salary in USD]],"")</f>
        <v>8400</v>
      </c>
      <c r="W1680" s="13" t="str">
        <f>IF(tblSalaries[[#This Row],[Job Type]]=tblSalaries[[#Headers],[Consultant]],tblSalaries[[#This Row],[Salary in USD]],"")</f>
        <v/>
      </c>
      <c r="X1680" s="13" t="str">
        <f>IF(tblSalaries[[#This Row],[Job Type]]=tblSalaries[[#Headers],[Controller]],tblSalaries[[#This Row],[Salary in USD]],"")</f>
        <v/>
      </c>
      <c r="Y1680" s="13" t="str">
        <f>IF(tblSalaries[[#This Row],[Job Type]]=tblSalaries[[#Headers],[CXO or Top Mgmt.]],tblSalaries[[#This Row],[clean Salary (in local currency)]],"")</f>
        <v/>
      </c>
      <c r="Z1680" s="13" t="str">
        <f>IF(tblSalaries[[#This Row],[Job Type]]=tblSalaries[[#Headers],[Engineer]],tblSalaries[[#This Row],[Salary in USD]],"")</f>
        <v/>
      </c>
      <c r="AA1680" s="13" t="str">
        <f>IF(tblSalaries[[#This Row],[Job Type]]=tblSalaries[[#Headers],[Manager]],tblSalaries[[#This Row],[Salary in USD]],"")</f>
        <v/>
      </c>
      <c r="AB1680" s="13" t="str">
        <f>IF(tblSalaries[[#This Row],[Job Type]]=tblSalaries[[#Headers],[Misc.]],tblSalaries[[#This Row],[Salary in USD]],"")</f>
        <v/>
      </c>
      <c r="AC1680" s="13" t="str">
        <f>IF(tblSalaries[[#This Row],[Job Type]]=tblSalaries[[#Headers],[Reporting]],tblSalaries[[#This Row],[Salary in USD]],"")</f>
        <v/>
      </c>
      <c r="AD1680" s="13" t="str">
        <f>IF(tblSalaries[[#This Row],[Job Type]]=tblSalaries[[#Headers],[Specialist]],tblSalaries[[#This Row],[Salary in USD]],"")</f>
        <v/>
      </c>
    </row>
    <row r="1681" spans="2:30" ht="15" customHeight="1" x14ac:dyDescent="0.25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 s="9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  <c r="N1681" t="str">
        <f>IF(tblSalaries[[#This Row],[Years of Experience]]="","",IF(tblSalaries[[#This Row],[Years of Experience]]&lt;=2,1,""))</f>
        <v/>
      </c>
      <c r="O1681" t="str">
        <f>IF(tblSalaries[[#This Row],[Years of Experience]]="","",IF(AND(tblSalaries[[#This Row],[Years of Experience]]&gt;2,tblSalaries[[#This Row],[Years of Experience]]&lt;=5),1,""))</f>
        <v/>
      </c>
      <c r="P1681" t="str">
        <f>IF(tblSalaries[[#This Row],[Years of Experience]]="","",IF(AND(tblSalaries[[#This Row],[Years of Experience]]&gt;5,tblSalaries[[#This Row],[Years of Experience]]&lt;=10),1,""))</f>
        <v/>
      </c>
      <c r="Q1681">
        <f>IF(tblSalaries[[#This Row],[Years of Experience]]="","",IF(AND(tblSalaries[[#This Row],[Years of Experience]]&gt;10,tblSalaries[[#This Row],[Years of Experience]]&lt;=15),1,""))</f>
        <v>1</v>
      </c>
      <c r="R1681" t="str">
        <f>IF(tblSalaries[[#This Row],[Years of Experience]]="","",IF(AND(tblSalaries[[#This Row],[Years of Experience]]&gt;16,tblSalaries[[#This Row],[Years of Experience]]&lt;=20),1,""))</f>
        <v/>
      </c>
      <c r="S1681" t="str">
        <f>IF(tblSalaries[[#This Row],[Years of Experience]]="","",IF(tblSalaries[[#This Row],[Years of Experience]]&gt;20,1,""))</f>
        <v/>
      </c>
      <c r="T16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81" s="13" t="str">
        <f>IF(tblSalaries[[#This Row],[Job Type]]=tblSalaries[[#Headers],[Accountant]],tblSalaries[[#This Row],[Salary in USD]],"")</f>
        <v/>
      </c>
      <c r="V1681" s="13" t="str">
        <f>IF(tblSalaries[[#This Row],[Job Type]]=tblSalaries[[#Headers],[Analyst]],tblSalaries[[#This Row],[Salary in USD]],"")</f>
        <v/>
      </c>
      <c r="W1681" s="13" t="str">
        <f>IF(tblSalaries[[#This Row],[Job Type]]=tblSalaries[[#Headers],[Consultant]],tblSalaries[[#This Row],[Salary in USD]],"")</f>
        <v/>
      </c>
      <c r="X1681" s="13" t="str">
        <f>IF(tblSalaries[[#This Row],[Job Type]]=tblSalaries[[#Headers],[Controller]],tblSalaries[[#This Row],[Salary in USD]],"")</f>
        <v/>
      </c>
      <c r="Y1681" s="13" t="str">
        <f>IF(tblSalaries[[#This Row],[Job Type]]=tblSalaries[[#Headers],[CXO or Top Mgmt.]],tblSalaries[[#This Row],[clean Salary (in local currency)]],"")</f>
        <v/>
      </c>
      <c r="Z1681" s="13" t="str">
        <f>IF(tblSalaries[[#This Row],[Job Type]]=tblSalaries[[#Headers],[Engineer]],tblSalaries[[#This Row],[Salary in USD]],"")</f>
        <v/>
      </c>
      <c r="AA1681" s="13">
        <f>IF(tblSalaries[[#This Row],[Job Type]]=tblSalaries[[#Headers],[Manager]],tblSalaries[[#This Row],[Salary in USD]],"")</f>
        <v>9794.354178093412</v>
      </c>
      <c r="AB1681" s="13" t="str">
        <f>IF(tblSalaries[[#This Row],[Job Type]]=tblSalaries[[#Headers],[Misc.]],tblSalaries[[#This Row],[Salary in USD]],"")</f>
        <v/>
      </c>
      <c r="AC1681" s="13" t="str">
        <f>IF(tblSalaries[[#This Row],[Job Type]]=tblSalaries[[#Headers],[Reporting]],tblSalaries[[#This Row],[Salary in USD]],"")</f>
        <v/>
      </c>
      <c r="AD1681" s="13" t="str">
        <f>IF(tblSalaries[[#This Row],[Job Type]]=tblSalaries[[#Headers],[Specialist]],tblSalaries[[#This Row],[Salary in USD]],"")</f>
        <v/>
      </c>
    </row>
    <row r="1682" spans="2:30" ht="15" customHeight="1" x14ac:dyDescent="0.25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 s="9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  <c r="N1682" t="str">
        <f>IF(tblSalaries[[#This Row],[Years of Experience]]="","",IF(tblSalaries[[#This Row],[Years of Experience]]&lt;=2,1,""))</f>
        <v/>
      </c>
      <c r="O1682" t="str">
        <f>IF(tblSalaries[[#This Row],[Years of Experience]]="","",IF(AND(tblSalaries[[#This Row],[Years of Experience]]&gt;2,tblSalaries[[#This Row],[Years of Experience]]&lt;=5),1,""))</f>
        <v/>
      </c>
      <c r="P1682">
        <f>IF(tblSalaries[[#This Row],[Years of Experience]]="","",IF(AND(tblSalaries[[#This Row],[Years of Experience]]&gt;5,tblSalaries[[#This Row],[Years of Experience]]&lt;=10),1,""))</f>
        <v>1</v>
      </c>
      <c r="Q1682" t="str">
        <f>IF(tblSalaries[[#This Row],[Years of Experience]]="","",IF(AND(tblSalaries[[#This Row],[Years of Experience]]&gt;10,tblSalaries[[#This Row],[Years of Experience]]&lt;=15),1,""))</f>
        <v/>
      </c>
      <c r="R1682" t="str">
        <f>IF(tblSalaries[[#This Row],[Years of Experience]]="","",IF(AND(tblSalaries[[#This Row],[Years of Experience]]&gt;16,tblSalaries[[#This Row],[Years of Experience]]&lt;=20),1,""))</f>
        <v/>
      </c>
      <c r="S1682" t="str">
        <f>IF(tblSalaries[[#This Row],[Years of Experience]]="","",IF(tblSalaries[[#This Row],[Years of Experience]]&gt;20,1,""))</f>
        <v/>
      </c>
      <c r="T16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82" s="13" t="str">
        <f>IF(tblSalaries[[#This Row],[Job Type]]=tblSalaries[[#Headers],[Accountant]],tblSalaries[[#This Row],[Salary in USD]],"")</f>
        <v/>
      </c>
      <c r="V1682" s="13" t="str">
        <f>IF(tblSalaries[[#This Row],[Job Type]]=tblSalaries[[#Headers],[Analyst]],tblSalaries[[#This Row],[Salary in USD]],"")</f>
        <v/>
      </c>
      <c r="W1682" s="13" t="str">
        <f>IF(tblSalaries[[#This Row],[Job Type]]=tblSalaries[[#Headers],[Consultant]],tblSalaries[[#This Row],[Salary in USD]],"")</f>
        <v/>
      </c>
      <c r="X1682" s="13" t="str">
        <f>IF(tblSalaries[[#This Row],[Job Type]]=tblSalaries[[#Headers],[Controller]],tblSalaries[[#This Row],[Salary in USD]],"")</f>
        <v/>
      </c>
      <c r="Y1682" s="13" t="str">
        <f>IF(tblSalaries[[#This Row],[Job Type]]=tblSalaries[[#Headers],[CXO or Top Mgmt.]],tblSalaries[[#This Row],[clean Salary (in local currency)]],"")</f>
        <v/>
      </c>
      <c r="Z1682" s="13">
        <f>IF(tblSalaries[[#This Row],[Job Type]]=tblSalaries[[#Headers],[Engineer]],tblSalaries[[#This Row],[Salary in USD]],"")</f>
        <v>14400</v>
      </c>
      <c r="AA1682" s="13" t="str">
        <f>IF(tblSalaries[[#This Row],[Job Type]]=tblSalaries[[#Headers],[Manager]],tblSalaries[[#This Row],[Salary in USD]],"")</f>
        <v/>
      </c>
      <c r="AB1682" s="13" t="str">
        <f>IF(tblSalaries[[#This Row],[Job Type]]=tblSalaries[[#Headers],[Misc.]],tblSalaries[[#This Row],[Salary in USD]],"")</f>
        <v/>
      </c>
      <c r="AC1682" s="13" t="str">
        <f>IF(tblSalaries[[#This Row],[Job Type]]=tblSalaries[[#Headers],[Reporting]],tblSalaries[[#This Row],[Salary in USD]],"")</f>
        <v/>
      </c>
      <c r="AD1682" s="13" t="str">
        <f>IF(tblSalaries[[#This Row],[Job Type]]=tblSalaries[[#Headers],[Specialist]],tblSalaries[[#This Row],[Salary in USD]],"")</f>
        <v/>
      </c>
    </row>
    <row r="1683" spans="2:30" ht="15" customHeight="1" x14ac:dyDescent="0.25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 s="9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3999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  <c r="N1683" t="str">
        <f>IF(tblSalaries[[#This Row],[Years of Experience]]="","",IF(tblSalaries[[#This Row],[Years of Experience]]&lt;=2,1,""))</f>
        <v/>
      </c>
      <c r="O1683">
        <f>IF(tblSalaries[[#This Row],[Years of Experience]]="","",IF(AND(tblSalaries[[#This Row],[Years of Experience]]&gt;2,tblSalaries[[#This Row],[Years of Experience]]&lt;=5),1,""))</f>
        <v>1</v>
      </c>
      <c r="P1683" t="str">
        <f>IF(tblSalaries[[#This Row],[Years of Experience]]="","",IF(AND(tblSalaries[[#This Row],[Years of Experience]]&gt;5,tblSalaries[[#This Row],[Years of Experience]]&lt;=10),1,""))</f>
        <v/>
      </c>
      <c r="Q1683" t="str">
        <f>IF(tblSalaries[[#This Row],[Years of Experience]]="","",IF(AND(tblSalaries[[#This Row],[Years of Experience]]&gt;10,tblSalaries[[#This Row],[Years of Experience]]&lt;=15),1,""))</f>
        <v/>
      </c>
      <c r="R1683" t="str">
        <f>IF(tblSalaries[[#This Row],[Years of Experience]]="","",IF(AND(tblSalaries[[#This Row],[Years of Experience]]&gt;16,tblSalaries[[#This Row],[Years of Experience]]&lt;=20),1,""))</f>
        <v/>
      </c>
      <c r="S1683" t="str">
        <f>IF(tblSalaries[[#This Row],[Years of Experience]]="","",IF(tblSalaries[[#This Row],[Years of Experience]]&gt;20,1,""))</f>
        <v/>
      </c>
      <c r="T16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83" s="13" t="str">
        <f>IF(tblSalaries[[#This Row],[Job Type]]=tblSalaries[[#Headers],[Accountant]],tblSalaries[[#This Row],[Salary in USD]],"")</f>
        <v/>
      </c>
      <c r="V1683" s="13" t="str">
        <f>IF(tblSalaries[[#This Row],[Job Type]]=tblSalaries[[#Headers],[Analyst]],tblSalaries[[#This Row],[Salary in USD]],"")</f>
        <v/>
      </c>
      <c r="W1683" s="13" t="str">
        <f>IF(tblSalaries[[#This Row],[Job Type]]=tblSalaries[[#Headers],[Consultant]],tblSalaries[[#This Row],[Salary in USD]],"")</f>
        <v/>
      </c>
      <c r="X1683" s="13" t="str">
        <f>IF(tblSalaries[[#This Row],[Job Type]]=tblSalaries[[#Headers],[Controller]],tblSalaries[[#This Row],[Salary in USD]],"")</f>
        <v/>
      </c>
      <c r="Y1683" s="13" t="str">
        <f>IF(tblSalaries[[#This Row],[Job Type]]=tblSalaries[[#Headers],[CXO or Top Mgmt.]],tblSalaries[[#This Row],[clean Salary (in local currency)]],"")</f>
        <v/>
      </c>
      <c r="Z1683" s="13" t="str">
        <f>IF(tblSalaries[[#This Row],[Job Type]]=tblSalaries[[#Headers],[Engineer]],tblSalaries[[#This Row],[Salary in USD]],"")</f>
        <v/>
      </c>
      <c r="AA1683" s="13" t="str">
        <f>IF(tblSalaries[[#This Row],[Job Type]]=tblSalaries[[#Headers],[Manager]],tblSalaries[[#This Row],[Salary in USD]],"")</f>
        <v/>
      </c>
      <c r="AB1683" s="13" t="str">
        <f>IF(tblSalaries[[#This Row],[Job Type]]=tblSalaries[[#Headers],[Misc.]],tblSalaries[[#This Row],[Salary in USD]],"")</f>
        <v/>
      </c>
      <c r="AC1683" s="13">
        <f>IF(tblSalaries[[#This Row],[Job Type]]=tblSalaries[[#Headers],[Reporting]],tblSalaries[[#This Row],[Salary in USD]],"")</f>
        <v>2671.1875031163854</v>
      </c>
      <c r="AD1683" s="13" t="str">
        <f>IF(tblSalaries[[#This Row],[Job Type]]=tblSalaries[[#Headers],[Specialist]],tblSalaries[[#This Row],[Salary in USD]],"")</f>
        <v/>
      </c>
    </row>
    <row r="1684" spans="2:30" ht="15" customHeight="1" x14ac:dyDescent="0.25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 s="9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  <c r="N1684" t="str">
        <f>IF(tblSalaries[[#This Row],[Years of Experience]]="","",IF(tblSalaries[[#This Row],[Years of Experience]]&lt;=2,1,""))</f>
        <v/>
      </c>
      <c r="O1684" t="str">
        <f>IF(tblSalaries[[#This Row],[Years of Experience]]="","",IF(AND(tblSalaries[[#This Row],[Years of Experience]]&gt;2,tblSalaries[[#This Row],[Years of Experience]]&lt;=5),1,""))</f>
        <v/>
      </c>
      <c r="P1684">
        <f>IF(tblSalaries[[#This Row],[Years of Experience]]="","",IF(AND(tblSalaries[[#This Row],[Years of Experience]]&gt;5,tblSalaries[[#This Row],[Years of Experience]]&lt;=10),1,""))</f>
        <v>1</v>
      </c>
      <c r="Q1684" t="str">
        <f>IF(tblSalaries[[#This Row],[Years of Experience]]="","",IF(AND(tblSalaries[[#This Row],[Years of Experience]]&gt;10,tblSalaries[[#This Row],[Years of Experience]]&lt;=15),1,""))</f>
        <v/>
      </c>
      <c r="R1684" t="str">
        <f>IF(tblSalaries[[#This Row],[Years of Experience]]="","",IF(AND(tblSalaries[[#This Row],[Years of Experience]]&gt;16,tblSalaries[[#This Row],[Years of Experience]]&lt;=20),1,""))</f>
        <v/>
      </c>
      <c r="S1684" t="str">
        <f>IF(tblSalaries[[#This Row],[Years of Experience]]="","",IF(tblSalaries[[#This Row],[Years of Experience]]&gt;20,1,""))</f>
        <v/>
      </c>
      <c r="T16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84" s="13" t="str">
        <f>IF(tblSalaries[[#This Row],[Job Type]]=tblSalaries[[#Headers],[Accountant]],tblSalaries[[#This Row],[Salary in USD]],"")</f>
        <v/>
      </c>
      <c r="V1684" s="13" t="str">
        <f>IF(tblSalaries[[#This Row],[Job Type]]=tblSalaries[[#Headers],[Analyst]],tblSalaries[[#This Row],[Salary in USD]],"")</f>
        <v/>
      </c>
      <c r="W1684" s="13" t="str">
        <f>IF(tblSalaries[[#This Row],[Job Type]]=tblSalaries[[#Headers],[Consultant]],tblSalaries[[#This Row],[Salary in USD]],"")</f>
        <v/>
      </c>
      <c r="X1684" s="13" t="str">
        <f>IF(tblSalaries[[#This Row],[Job Type]]=tblSalaries[[#Headers],[Controller]],tblSalaries[[#This Row],[Salary in USD]],"")</f>
        <v/>
      </c>
      <c r="Y1684" s="13" t="str">
        <f>IF(tblSalaries[[#This Row],[Job Type]]=tblSalaries[[#Headers],[CXO or Top Mgmt.]],tblSalaries[[#This Row],[clean Salary (in local currency)]],"")</f>
        <v/>
      </c>
      <c r="Z1684" s="13" t="str">
        <f>IF(tblSalaries[[#This Row],[Job Type]]=tblSalaries[[#Headers],[Engineer]],tblSalaries[[#This Row],[Salary in USD]],"")</f>
        <v/>
      </c>
      <c r="AA1684" s="13">
        <f>IF(tblSalaries[[#This Row],[Job Type]]=tblSalaries[[#Headers],[Manager]],tblSalaries[[#This Row],[Salary in USD]],"")</f>
        <v>22000</v>
      </c>
      <c r="AB1684" s="13" t="str">
        <f>IF(tblSalaries[[#This Row],[Job Type]]=tblSalaries[[#Headers],[Misc.]],tblSalaries[[#This Row],[Salary in USD]],"")</f>
        <v/>
      </c>
      <c r="AC1684" s="13" t="str">
        <f>IF(tblSalaries[[#This Row],[Job Type]]=tblSalaries[[#Headers],[Reporting]],tblSalaries[[#This Row],[Salary in USD]],"")</f>
        <v/>
      </c>
      <c r="AD1684" s="13" t="str">
        <f>IF(tblSalaries[[#This Row],[Job Type]]=tblSalaries[[#Headers],[Specialist]],tblSalaries[[#This Row],[Salary in USD]],"")</f>
        <v/>
      </c>
    </row>
    <row r="1685" spans="2:30" ht="15" customHeight="1" x14ac:dyDescent="0.25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 s="9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  <c r="N1685" t="str">
        <f>IF(tblSalaries[[#This Row],[Years of Experience]]="","",IF(tblSalaries[[#This Row],[Years of Experience]]&lt;=2,1,""))</f>
        <v/>
      </c>
      <c r="O1685" t="str">
        <f>IF(tblSalaries[[#This Row],[Years of Experience]]="","",IF(AND(tblSalaries[[#This Row],[Years of Experience]]&gt;2,tblSalaries[[#This Row],[Years of Experience]]&lt;=5),1,""))</f>
        <v/>
      </c>
      <c r="P1685">
        <f>IF(tblSalaries[[#This Row],[Years of Experience]]="","",IF(AND(tblSalaries[[#This Row],[Years of Experience]]&gt;5,tblSalaries[[#This Row],[Years of Experience]]&lt;=10),1,""))</f>
        <v>1</v>
      </c>
      <c r="Q1685" t="str">
        <f>IF(tblSalaries[[#This Row],[Years of Experience]]="","",IF(AND(tblSalaries[[#This Row],[Years of Experience]]&gt;10,tblSalaries[[#This Row],[Years of Experience]]&lt;=15),1,""))</f>
        <v/>
      </c>
      <c r="R1685" t="str">
        <f>IF(tblSalaries[[#This Row],[Years of Experience]]="","",IF(AND(tblSalaries[[#This Row],[Years of Experience]]&gt;16,tblSalaries[[#This Row],[Years of Experience]]&lt;=20),1,""))</f>
        <v/>
      </c>
      <c r="S1685" t="str">
        <f>IF(tblSalaries[[#This Row],[Years of Experience]]="","",IF(tblSalaries[[#This Row],[Years of Experience]]&gt;20,1,""))</f>
        <v/>
      </c>
      <c r="T16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85" s="13" t="str">
        <f>IF(tblSalaries[[#This Row],[Job Type]]=tblSalaries[[#Headers],[Accountant]],tblSalaries[[#This Row],[Salary in USD]],"")</f>
        <v/>
      </c>
      <c r="V1685" s="13">
        <f>IF(tblSalaries[[#This Row],[Job Type]]=tblSalaries[[#Headers],[Analyst]],tblSalaries[[#This Row],[Salary in USD]],"")</f>
        <v>100000</v>
      </c>
      <c r="W1685" s="13" t="str">
        <f>IF(tblSalaries[[#This Row],[Job Type]]=tblSalaries[[#Headers],[Consultant]],tblSalaries[[#This Row],[Salary in USD]],"")</f>
        <v/>
      </c>
      <c r="X1685" s="13" t="str">
        <f>IF(tblSalaries[[#This Row],[Job Type]]=tblSalaries[[#Headers],[Controller]],tblSalaries[[#This Row],[Salary in USD]],"")</f>
        <v/>
      </c>
      <c r="Y1685" s="13" t="str">
        <f>IF(tblSalaries[[#This Row],[Job Type]]=tblSalaries[[#Headers],[CXO or Top Mgmt.]],tblSalaries[[#This Row],[clean Salary (in local currency)]],"")</f>
        <v/>
      </c>
      <c r="Z1685" s="13" t="str">
        <f>IF(tblSalaries[[#This Row],[Job Type]]=tblSalaries[[#Headers],[Engineer]],tblSalaries[[#This Row],[Salary in USD]],"")</f>
        <v/>
      </c>
      <c r="AA1685" s="13" t="str">
        <f>IF(tblSalaries[[#This Row],[Job Type]]=tblSalaries[[#Headers],[Manager]],tblSalaries[[#This Row],[Salary in USD]],"")</f>
        <v/>
      </c>
      <c r="AB1685" s="13" t="str">
        <f>IF(tblSalaries[[#This Row],[Job Type]]=tblSalaries[[#Headers],[Misc.]],tblSalaries[[#This Row],[Salary in USD]],"")</f>
        <v/>
      </c>
      <c r="AC1685" s="13" t="str">
        <f>IF(tblSalaries[[#This Row],[Job Type]]=tblSalaries[[#Headers],[Reporting]],tblSalaries[[#This Row],[Salary in USD]],"")</f>
        <v/>
      </c>
      <c r="AD1685" s="13" t="str">
        <f>IF(tblSalaries[[#This Row],[Job Type]]=tblSalaries[[#Headers],[Specialist]],tblSalaries[[#This Row],[Salary in USD]],"")</f>
        <v/>
      </c>
    </row>
    <row r="1686" spans="2:30" ht="15" customHeight="1" x14ac:dyDescent="0.25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 s="9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  <c r="N1686" t="str">
        <f>IF(tblSalaries[[#This Row],[Years of Experience]]="","",IF(tblSalaries[[#This Row],[Years of Experience]]&lt;=2,1,""))</f>
        <v/>
      </c>
      <c r="O1686" t="str">
        <f>IF(tblSalaries[[#This Row],[Years of Experience]]="","",IF(AND(tblSalaries[[#This Row],[Years of Experience]]&gt;2,tblSalaries[[#This Row],[Years of Experience]]&lt;=5),1,""))</f>
        <v/>
      </c>
      <c r="P1686" t="str">
        <f>IF(tblSalaries[[#This Row],[Years of Experience]]="","",IF(AND(tblSalaries[[#This Row],[Years of Experience]]&gt;5,tblSalaries[[#This Row],[Years of Experience]]&lt;=10),1,""))</f>
        <v/>
      </c>
      <c r="Q1686">
        <f>IF(tblSalaries[[#This Row],[Years of Experience]]="","",IF(AND(tblSalaries[[#This Row],[Years of Experience]]&gt;10,tblSalaries[[#This Row],[Years of Experience]]&lt;=15),1,""))</f>
        <v>1</v>
      </c>
      <c r="R1686" t="str">
        <f>IF(tblSalaries[[#This Row],[Years of Experience]]="","",IF(AND(tblSalaries[[#This Row],[Years of Experience]]&gt;16,tblSalaries[[#This Row],[Years of Experience]]&lt;=20),1,""))</f>
        <v/>
      </c>
      <c r="S1686" t="str">
        <f>IF(tblSalaries[[#This Row],[Years of Experience]]="","",IF(tblSalaries[[#This Row],[Years of Experience]]&gt;20,1,""))</f>
        <v/>
      </c>
      <c r="T16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86" s="13" t="str">
        <f>IF(tblSalaries[[#This Row],[Job Type]]=tblSalaries[[#Headers],[Accountant]],tblSalaries[[#This Row],[Salary in USD]],"")</f>
        <v/>
      </c>
      <c r="V1686" s="13" t="str">
        <f>IF(tblSalaries[[#This Row],[Job Type]]=tblSalaries[[#Headers],[Analyst]],tblSalaries[[#This Row],[Salary in USD]],"")</f>
        <v/>
      </c>
      <c r="W1686" s="13" t="str">
        <f>IF(tblSalaries[[#This Row],[Job Type]]=tblSalaries[[#Headers],[Consultant]],tblSalaries[[#This Row],[Salary in USD]],"")</f>
        <v/>
      </c>
      <c r="X1686" s="13" t="str">
        <f>IF(tblSalaries[[#This Row],[Job Type]]=tblSalaries[[#Headers],[Controller]],tblSalaries[[#This Row],[Salary in USD]],"")</f>
        <v/>
      </c>
      <c r="Y1686" s="13" t="str">
        <f>IF(tblSalaries[[#This Row],[Job Type]]=tblSalaries[[#Headers],[CXO or Top Mgmt.]],tblSalaries[[#This Row],[clean Salary (in local currency)]],"")</f>
        <v/>
      </c>
      <c r="Z1686" s="13" t="str">
        <f>IF(tblSalaries[[#This Row],[Job Type]]=tblSalaries[[#Headers],[Engineer]],tblSalaries[[#This Row],[Salary in USD]],"")</f>
        <v/>
      </c>
      <c r="AA1686" s="13">
        <f>IF(tblSalaries[[#This Row],[Job Type]]=tblSalaries[[#Headers],[Manager]],tblSalaries[[#This Row],[Salary in USD]],"")</f>
        <v>63047.130882691366</v>
      </c>
      <c r="AB1686" s="13" t="str">
        <f>IF(tblSalaries[[#This Row],[Job Type]]=tblSalaries[[#Headers],[Misc.]],tblSalaries[[#This Row],[Salary in USD]],"")</f>
        <v/>
      </c>
      <c r="AC1686" s="13" t="str">
        <f>IF(tblSalaries[[#This Row],[Job Type]]=tblSalaries[[#Headers],[Reporting]],tblSalaries[[#This Row],[Salary in USD]],"")</f>
        <v/>
      </c>
      <c r="AD1686" s="13" t="str">
        <f>IF(tblSalaries[[#This Row],[Job Type]]=tblSalaries[[#Headers],[Specialist]],tblSalaries[[#This Row],[Salary in USD]],"")</f>
        <v/>
      </c>
    </row>
    <row r="1687" spans="2:30" ht="15" customHeight="1" x14ac:dyDescent="0.25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 s="9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  <c r="N1687" t="str">
        <f>IF(tblSalaries[[#This Row],[Years of Experience]]="","",IF(tblSalaries[[#This Row],[Years of Experience]]&lt;=2,1,""))</f>
        <v/>
      </c>
      <c r="O1687" t="str">
        <f>IF(tblSalaries[[#This Row],[Years of Experience]]="","",IF(AND(tblSalaries[[#This Row],[Years of Experience]]&gt;2,tblSalaries[[#This Row],[Years of Experience]]&lt;=5),1,""))</f>
        <v/>
      </c>
      <c r="P1687" t="str">
        <f>IF(tblSalaries[[#This Row],[Years of Experience]]="","",IF(AND(tblSalaries[[#This Row],[Years of Experience]]&gt;5,tblSalaries[[#This Row],[Years of Experience]]&lt;=10),1,""))</f>
        <v/>
      </c>
      <c r="Q1687" t="str">
        <f>IF(tblSalaries[[#This Row],[Years of Experience]]="","",IF(AND(tblSalaries[[#This Row],[Years of Experience]]&gt;10,tblSalaries[[#This Row],[Years of Experience]]&lt;=15),1,""))</f>
        <v/>
      </c>
      <c r="R1687" t="str">
        <f>IF(tblSalaries[[#This Row],[Years of Experience]]="","",IF(AND(tblSalaries[[#This Row],[Years of Experience]]&gt;16,tblSalaries[[#This Row],[Years of Experience]]&lt;=20),1,""))</f>
        <v/>
      </c>
      <c r="S1687">
        <f>IF(tblSalaries[[#This Row],[Years of Experience]]="","",IF(tblSalaries[[#This Row],[Years of Experience]]&gt;20,1,""))</f>
        <v>1</v>
      </c>
      <c r="T16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687" s="13" t="str">
        <f>IF(tblSalaries[[#This Row],[Job Type]]=tblSalaries[[#Headers],[Accountant]],tblSalaries[[#This Row],[Salary in USD]],"")</f>
        <v/>
      </c>
      <c r="V1687" s="13" t="str">
        <f>IF(tblSalaries[[#This Row],[Job Type]]=tblSalaries[[#Headers],[Analyst]],tblSalaries[[#This Row],[Salary in USD]],"")</f>
        <v/>
      </c>
      <c r="W1687" s="13" t="str">
        <f>IF(tblSalaries[[#This Row],[Job Type]]=tblSalaries[[#Headers],[Consultant]],tblSalaries[[#This Row],[Salary in USD]],"")</f>
        <v/>
      </c>
      <c r="X1687" s="13" t="str">
        <f>IF(tblSalaries[[#This Row],[Job Type]]=tblSalaries[[#Headers],[Controller]],tblSalaries[[#This Row],[Salary in USD]],"")</f>
        <v/>
      </c>
      <c r="Y1687" s="13" t="str">
        <f>IF(tblSalaries[[#This Row],[Job Type]]=tblSalaries[[#Headers],[CXO or Top Mgmt.]],tblSalaries[[#This Row],[clean Salary (in local currency)]],"")</f>
        <v/>
      </c>
      <c r="Z1687" s="13" t="str">
        <f>IF(tblSalaries[[#This Row],[Job Type]]=tblSalaries[[#Headers],[Engineer]],tblSalaries[[#This Row],[Salary in USD]],"")</f>
        <v/>
      </c>
      <c r="AA1687" s="13">
        <f>IF(tblSalaries[[#This Row],[Job Type]]=tblSalaries[[#Headers],[Manager]],tblSalaries[[#This Row],[Salary in USD]],"")</f>
        <v>56742.417794422225</v>
      </c>
      <c r="AB1687" s="13" t="str">
        <f>IF(tblSalaries[[#This Row],[Job Type]]=tblSalaries[[#Headers],[Misc.]],tblSalaries[[#This Row],[Salary in USD]],"")</f>
        <v/>
      </c>
      <c r="AC1687" s="13" t="str">
        <f>IF(tblSalaries[[#This Row],[Job Type]]=tblSalaries[[#Headers],[Reporting]],tblSalaries[[#This Row],[Salary in USD]],"")</f>
        <v/>
      </c>
      <c r="AD1687" s="13" t="str">
        <f>IF(tblSalaries[[#This Row],[Job Type]]=tblSalaries[[#Headers],[Specialist]],tblSalaries[[#This Row],[Salary in USD]],"")</f>
        <v/>
      </c>
    </row>
    <row r="1688" spans="2:30" ht="15" customHeight="1" x14ac:dyDescent="0.25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 s="9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  <c r="N1688" t="str">
        <f>IF(tblSalaries[[#This Row],[Years of Experience]]="","",IF(tblSalaries[[#This Row],[Years of Experience]]&lt;=2,1,""))</f>
        <v/>
      </c>
      <c r="O1688" t="str">
        <f>IF(tblSalaries[[#This Row],[Years of Experience]]="","",IF(AND(tblSalaries[[#This Row],[Years of Experience]]&gt;2,tblSalaries[[#This Row],[Years of Experience]]&lt;=5),1,""))</f>
        <v/>
      </c>
      <c r="P1688">
        <f>IF(tblSalaries[[#This Row],[Years of Experience]]="","",IF(AND(tblSalaries[[#This Row],[Years of Experience]]&gt;5,tblSalaries[[#This Row],[Years of Experience]]&lt;=10),1,""))</f>
        <v>1</v>
      </c>
      <c r="Q1688" t="str">
        <f>IF(tblSalaries[[#This Row],[Years of Experience]]="","",IF(AND(tblSalaries[[#This Row],[Years of Experience]]&gt;10,tblSalaries[[#This Row],[Years of Experience]]&lt;=15),1,""))</f>
        <v/>
      </c>
      <c r="R1688" t="str">
        <f>IF(tblSalaries[[#This Row],[Years of Experience]]="","",IF(AND(tblSalaries[[#This Row],[Years of Experience]]&gt;16,tblSalaries[[#This Row],[Years of Experience]]&lt;=20),1,""))</f>
        <v/>
      </c>
      <c r="S1688" t="str">
        <f>IF(tblSalaries[[#This Row],[Years of Experience]]="","",IF(tblSalaries[[#This Row],[Years of Experience]]&gt;20,1,""))</f>
        <v/>
      </c>
      <c r="T16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688" s="13" t="str">
        <f>IF(tblSalaries[[#This Row],[Job Type]]=tblSalaries[[#Headers],[Accountant]],tblSalaries[[#This Row],[Salary in USD]],"")</f>
        <v/>
      </c>
      <c r="V1688" s="13">
        <f>IF(tblSalaries[[#This Row],[Job Type]]=tblSalaries[[#Headers],[Analyst]],tblSalaries[[#This Row],[Salary in USD]],"")</f>
        <v>25000</v>
      </c>
      <c r="W1688" s="13" t="str">
        <f>IF(tblSalaries[[#This Row],[Job Type]]=tblSalaries[[#Headers],[Consultant]],tblSalaries[[#This Row],[Salary in USD]],"")</f>
        <v/>
      </c>
      <c r="X1688" s="13" t="str">
        <f>IF(tblSalaries[[#This Row],[Job Type]]=tblSalaries[[#Headers],[Controller]],tblSalaries[[#This Row],[Salary in USD]],"")</f>
        <v/>
      </c>
      <c r="Y1688" s="13" t="str">
        <f>IF(tblSalaries[[#This Row],[Job Type]]=tblSalaries[[#Headers],[CXO or Top Mgmt.]],tblSalaries[[#This Row],[clean Salary (in local currency)]],"")</f>
        <v/>
      </c>
      <c r="Z1688" s="13" t="str">
        <f>IF(tblSalaries[[#This Row],[Job Type]]=tblSalaries[[#Headers],[Engineer]],tblSalaries[[#This Row],[Salary in USD]],"")</f>
        <v/>
      </c>
      <c r="AA1688" s="13" t="str">
        <f>IF(tblSalaries[[#This Row],[Job Type]]=tblSalaries[[#Headers],[Manager]],tblSalaries[[#This Row],[Salary in USD]],"")</f>
        <v/>
      </c>
      <c r="AB1688" s="13" t="str">
        <f>IF(tblSalaries[[#This Row],[Job Type]]=tblSalaries[[#Headers],[Misc.]],tblSalaries[[#This Row],[Salary in USD]],"")</f>
        <v/>
      </c>
      <c r="AC1688" s="13" t="str">
        <f>IF(tblSalaries[[#This Row],[Job Type]]=tblSalaries[[#Headers],[Reporting]],tblSalaries[[#This Row],[Salary in USD]],"")</f>
        <v/>
      </c>
      <c r="AD1688" s="13" t="str">
        <f>IF(tblSalaries[[#This Row],[Job Type]]=tblSalaries[[#Headers],[Specialist]],tblSalaries[[#This Row],[Salary in USD]],"")</f>
        <v/>
      </c>
    </row>
    <row r="1689" spans="2:30" ht="15" customHeight="1" x14ac:dyDescent="0.25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 s="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  <c r="N1689">
        <f>IF(tblSalaries[[#This Row],[Years of Experience]]="","",IF(tblSalaries[[#This Row],[Years of Experience]]&lt;=2,1,""))</f>
        <v>1</v>
      </c>
      <c r="O1689" t="str">
        <f>IF(tblSalaries[[#This Row],[Years of Experience]]="","",IF(AND(tblSalaries[[#This Row],[Years of Experience]]&gt;2,tblSalaries[[#This Row],[Years of Experience]]&lt;=5),1,""))</f>
        <v/>
      </c>
      <c r="P1689" t="str">
        <f>IF(tblSalaries[[#This Row],[Years of Experience]]="","",IF(AND(tblSalaries[[#This Row],[Years of Experience]]&gt;5,tblSalaries[[#This Row],[Years of Experience]]&lt;=10),1,""))</f>
        <v/>
      </c>
      <c r="Q1689" t="str">
        <f>IF(tblSalaries[[#This Row],[Years of Experience]]="","",IF(AND(tblSalaries[[#This Row],[Years of Experience]]&gt;10,tblSalaries[[#This Row],[Years of Experience]]&lt;=15),1,""))</f>
        <v/>
      </c>
      <c r="R1689" t="str">
        <f>IF(tblSalaries[[#This Row],[Years of Experience]]="","",IF(AND(tblSalaries[[#This Row],[Years of Experience]]&gt;16,tblSalaries[[#This Row],[Years of Experience]]&lt;=20),1,""))</f>
        <v/>
      </c>
      <c r="S1689" t="str">
        <f>IF(tblSalaries[[#This Row],[Years of Experience]]="","",IF(tblSalaries[[#This Row],[Years of Experience]]&gt;20,1,""))</f>
        <v/>
      </c>
      <c r="T16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89" s="13" t="str">
        <f>IF(tblSalaries[[#This Row],[Job Type]]=tblSalaries[[#Headers],[Accountant]],tblSalaries[[#This Row],[Salary in USD]],"")</f>
        <v/>
      </c>
      <c r="V1689" s="13">
        <f>IF(tblSalaries[[#This Row],[Job Type]]=tblSalaries[[#Headers],[Analyst]],tblSalaries[[#This Row],[Salary in USD]],"")</f>
        <v>8903.9583437212841</v>
      </c>
      <c r="W1689" s="13" t="str">
        <f>IF(tblSalaries[[#This Row],[Job Type]]=tblSalaries[[#Headers],[Consultant]],tblSalaries[[#This Row],[Salary in USD]],"")</f>
        <v/>
      </c>
      <c r="X1689" s="13" t="str">
        <f>IF(tblSalaries[[#This Row],[Job Type]]=tblSalaries[[#Headers],[Controller]],tblSalaries[[#This Row],[Salary in USD]],"")</f>
        <v/>
      </c>
      <c r="Y1689" s="13" t="str">
        <f>IF(tblSalaries[[#This Row],[Job Type]]=tblSalaries[[#Headers],[CXO or Top Mgmt.]],tblSalaries[[#This Row],[clean Salary (in local currency)]],"")</f>
        <v/>
      </c>
      <c r="Z1689" s="13" t="str">
        <f>IF(tblSalaries[[#This Row],[Job Type]]=tblSalaries[[#Headers],[Engineer]],tblSalaries[[#This Row],[Salary in USD]],"")</f>
        <v/>
      </c>
      <c r="AA1689" s="13" t="str">
        <f>IF(tblSalaries[[#This Row],[Job Type]]=tblSalaries[[#Headers],[Manager]],tblSalaries[[#This Row],[Salary in USD]],"")</f>
        <v/>
      </c>
      <c r="AB1689" s="13" t="str">
        <f>IF(tblSalaries[[#This Row],[Job Type]]=tblSalaries[[#Headers],[Misc.]],tblSalaries[[#This Row],[Salary in USD]],"")</f>
        <v/>
      </c>
      <c r="AC1689" s="13" t="str">
        <f>IF(tblSalaries[[#This Row],[Job Type]]=tblSalaries[[#Headers],[Reporting]],tblSalaries[[#This Row],[Salary in USD]],"")</f>
        <v/>
      </c>
      <c r="AD1689" s="13" t="str">
        <f>IF(tblSalaries[[#This Row],[Job Type]]=tblSalaries[[#Headers],[Specialist]],tblSalaries[[#This Row],[Salary in USD]],"")</f>
        <v/>
      </c>
    </row>
    <row r="1690" spans="2:30" ht="15" customHeight="1" x14ac:dyDescent="0.25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 s="9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  <c r="N1690">
        <f>IF(tblSalaries[[#This Row],[Years of Experience]]="","",IF(tblSalaries[[#This Row],[Years of Experience]]&lt;=2,1,""))</f>
        <v>1</v>
      </c>
      <c r="O1690" t="str">
        <f>IF(tblSalaries[[#This Row],[Years of Experience]]="","",IF(AND(tblSalaries[[#This Row],[Years of Experience]]&gt;2,tblSalaries[[#This Row],[Years of Experience]]&lt;=5),1,""))</f>
        <v/>
      </c>
      <c r="P1690" t="str">
        <f>IF(tblSalaries[[#This Row],[Years of Experience]]="","",IF(AND(tblSalaries[[#This Row],[Years of Experience]]&gt;5,tblSalaries[[#This Row],[Years of Experience]]&lt;=10),1,""))</f>
        <v/>
      </c>
      <c r="Q1690" t="str">
        <f>IF(tblSalaries[[#This Row],[Years of Experience]]="","",IF(AND(tblSalaries[[#This Row],[Years of Experience]]&gt;10,tblSalaries[[#This Row],[Years of Experience]]&lt;=15),1,""))</f>
        <v/>
      </c>
      <c r="R1690" t="str">
        <f>IF(tblSalaries[[#This Row],[Years of Experience]]="","",IF(AND(tblSalaries[[#This Row],[Years of Experience]]&gt;16,tblSalaries[[#This Row],[Years of Experience]]&lt;=20),1,""))</f>
        <v/>
      </c>
      <c r="S1690" t="str">
        <f>IF(tblSalaries[[#This Row],[Years of Experience]]="","",IF(tblSalaries[[#This Row],[Years of Experience]]&gt;20,1,""))</f>
        <v/>
      </c>
      <c r="T16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90" s="13" t="str">
        <f>IF(tblSalaries[[#This Row],[Job Type]]=tblSalaries[[#Headers],[Accountant]],tblSalaries[[#This Row],[Salary in USD]],"")</f>
        <v/>
      </c>
      <c r="V1690" s="13">
        <f>IF(tblSalaries[[#This Row],[Job Type]]=tblSalaries[[#Headers],[Analyst]],tblSalaries[[#This Row],[Salary in USD]],"")</f>
        <v>42556.81334581667</v>
      </c>
      <c r="W1690" s="13" t="str">
        <f>IF(tblSalaries[[#This Row],[Job Type]]=tblSalaries[[#Headers],[Consultant]],tblSalaries[[#This Row],[Salary in USD]],"")</f>
        <v/>
      </c>
      <c r="X1690" s="13" t="str">
        <f>IF(tblSalaries[[#This Row],[Job Type]]=tblSalaries[[#Headers],[Controller]],tblSalaries[[#This Row],[Salary in USD]],"")</f>
        <v/>
      </c>
      <c r="Y1690" s="13" t="str">
        <f>IF(tblSalaries[[#This Row],[Job Type]]=tblSalaries[[#Headers],[CXO or Top Mgmt.]],tblSalaries[[#This Row],[clean Salary (in local currency)]],"")</f>
        <v/>
      </c>
      <c r="Z1690" s="13" t="str">
        <f>IF(tblSalaries[[#This Row],[Job Type]]=tblSalaries[[#Headers],[Engineer]],tblSalaries[[#This Row],[Salary in USD]],"")</f>
        <v/>
      </c>
      <c r="AA1690" s="13" t="str">
        <f>IF(tblSalaries[[#This Row],[Job Type]]=tblSalaries[[#Headers],[Manager]],tblSalaries[[#This Row],[Salary in USD]],"")</f>
        <v/>
      </c>
      <c r="AB1690" s="13" t="str">
        <f>IF(tblSalaries[[#This Row],[Job Type]]=tblSalaries[[#Headers],[Misc.]],tblSalaries[[#This Row],[Salary in USD]],"")</f>
        <v/>
      </c>
      <c r="AC1690" s="13" t="str">
        <f>IF(tblSalaries[[#This Row],[Job Type]]=tblSalaries[[#Headers],[Reporting]],tblSalaries[[#This Row],[Salary in USD]],"")</f>
        <v/>
      </c>
      <c r="AD1690" s="13" t="str">
        <f>IF(tblSalaries[[#This Row],[Job Type]]=tblSalaries[[#Headers],[Specialist]],tblSalaries[[#This Row],[Salary in USD]],"")</f>
        <v/>
      </c>
    </row>
    <row r="1691" spans="2:30" ht="15" customHeight="1" x14ac:dyDescent="0.25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 s="9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  <c r="N1691" t="str">
        <f>IF(tblSalaries[[#This Row],[Years of Experience]]="","",IF(tblSalaries[[#This Row],[Years of Experience]]&lt;=2,1,""))</f>
        <v/>
      </c>
      <c r="O1691" t="str">
        <f>IF(tblSalaries[[#This Row],[Years of Experience]]="","",IF(AND(tblSalaries[[#This Row],[Years of Experience]]&gt;2,tblSalaries[[#This Row],[Years of Experience]]&lt;=5),1,""))</f>
        <v/>
      </c>
      <c r="P1691" t="str">
        <f>IF(tblSalaries[[#This Row],[Years of Experience]]="","",IF(AND(tblSalaries[[#This Row],[Years of Experience]]&gt;5,tblSalaries[[#This Row],[Years of Experience]]&lt;=10),1,""))</f>
        <v/>
      </c>
      <c r="Q1691" t="str">
        <f>IF(tblSalaries[[#This Row],[Years of Experience]]="","",IF(AND(tblSalaries[[#This Row],[Years of Experience]]&gt;10,tblSalaries[[#This Row],[Years of Experience]]&lt;=15),1,""))</f>
        <v/>
      </c>
      <c r="R1691">
        <f>IF(tblSalaries[[#This Row],[Years of Experience]]="","",IF(AND(tblSalaries[[#This Row],[Years of Experience]]&gt;16,tblSalaries[[#This Row],[Years of Experience]]&lt;=20),1,""))</f>
        <v>1</v>
      </c>
      <c r="S1691" t="str">
        <f>IF(tblSalaries[[#This Row],[Years of Experience]]="","",IF(tblSalaries[[#This Row],[Years of Experience]]&gt;20,1,""))</f>
        <v/>
      </c>
      <c r="T16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691" s="13">
        <f>IF(tblSalaries[[#This Row],[Job Type]]=tblSalaries[[#Headers],[Accountant]],tblSalaries[[#This Row],[Salary in USD]],"")</f>
        <v>131770.4440860638</v>
      </c>
      <c r="V1691" s="13" t="str">
        <f>IF(tblSalaries[[#This Row],[Job Type]]=tblSalaries[[#Headers],[Analyst]],tblSalaries[[#This Row],[Salary in USD]],"")</f>
        <v/>
      </c>
      <c r="W1691" s="13" t="str">
        <f>IF(tblSalaries[[#This Row],[Job Type]]=tblSalaries[[#Headers],[Consultant]],tblSalaries[[#This Row],[Salary in USD]],"")</f>
        <v/>
      </c>
      <c r="X1691" s="13" t="str">
        <f>IF(tblSalaries[[#This Row],[Job Type]]=tblSalaries[[#Headers],[Controller]],tblSalaries[[#This Row],[Salary in USD]],"")</f>
        <v/>
      </c>
      <c r="Y1691" s="13" t="str">
        <f>IF(tblSalaries[[#This Row],[Job Type]]=tblSalaries[[#Headers],[CXO or Top Mgmt.]],tblSalaries[[#This Row],[clean Salary (in local currency)]],"")</f>
        <v/>
      </c>
      <c r="Z1691" s="13" t="str">
        <f>IF(tblSalaries[[#This Row],[Job Type]]=tblSalaries[[#Headers],[Engineer]],tblSalaries[[#This Row],[Salary in USD]],"")</f>
        <v/>
      </c>
      <c r="AA1691" s="13" t="str">
        <f>IF(tblSalaries[[#This Row],[Job Type]]=tblSalaries[[#Headers],[Manager]],tblSalaries[[#This Row],[Salary in USD]],"")</f>
        <v/>
      </c>
      <c r="AB1691" s="13" t="str">
        <f>IF(tblSalaries[[#This Row],[Job Type]]=tblSalaries[[#Headers],[Misc.]],tblSalaries[[#This Row],[Salary in USD]],"")</f>
        <v/>
      </c>
      <c r="AC1691" s="13" t="str">
        <f>IF(tblSalaries[[#This Row],[Job Type]]=tblSalaries[[#Headers],[Reporting]],tblSalaries[[#This Row],[Salary in USD]],"")</f>
        <v/>
      </c>
      <c r="AD1691" s="13" t="str">
        <f>IF(tblSalaries[[#This Row],[Job Type]]=tblSalaries[[#Headers],[Specialist]],tblSalaries[[#This Row],[Salary in USD]],"")</f>
        <v/>
      </c>
    </row>
    <row r="1692" spans="2:30" ht="15" customHeight="1" x14ac:dyDescent="0.25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 s="9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  <c r="N1692">
        <f>IF(tblSalaries[[#This Row],[Years of Experience]]="","",IF(tblSalaries[[#This Row],[Years of Experience]]&lt;=2,1,""))</f>
        <v>1</v>
      </c>
      <c r="O1692" t="str">
        <f>IF(tblSalaries[[#This Row],[Years of Experience]]="","",IF(AND(tblSalaries[[#This Row],[Years of Experience]]&gt;2,tblSalaries[[#This Row],[Years of Experience]]&lt;=5),1,""))</f>
        <v/>
      </c>
      <c r="P1692" t="str">
        <f>IF(tblSalaries[[#This Row],[Years of Experience]]="","",IF(AND(tblSalaries[[#This Row],[Years of Experience]]&gt;5,tblSalaries[[#This Row],[Years of Experience]]&lt;=10),1,""))</f>
        <v/>
      </c>
      <c r="Q1692" t="str">
        <f>IF(tblSalaries[[#This Row],[Years of Experience]]="","",IF(AND(tblSalaries[[#This Row],[Years of Experience]]&gt;10,tblSalaries[[#This Row],[Years of Experience]]&lt;=15),1,""))</f>
        <v/>
      </c>
      <c r="R1692" t="str">
        <f>IF(tblSalaries[[#This Row],[Years of Experience]]="","",IF(AND(tblSalaries[[#This Row],[Years of Experience]]&gt;16,tblSalaries[[#This Row],[Years of Experience]]&lt;=20),1,""))</f>
        <v/>
      </c>
      <c r="S1692" t="str">
        <f>IF(tblSalaries[[#This Row],[Years of Experience]]="","",IF(tblSalaries[[#This Row],[Years of Experience]]&gt;20,1,""))</f>
        <v/>
      </c>
      <c r="T16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92" s="13" t="str">
        <f>IF(tblSalaries[[#This Row],[Job Type]]=tblSalaries[[#Headers],[Accountant]],tblSalaries[[#This Row],[Salary in USD]],"")</f>
        <v/>
      </c>
      <c r="V1692" s="13">
        <f>IF(tblSalaries[[#This Row],[Job Type]]=tblSalaries[[#Headers],[Analyst]],tblSalaries[[#This Row],[Salary in USD]],"")</f>
        <v>68835.306612122877</v>
      </c>
      <c r="W1692" s="13" t="str">
        <f>IF(tblSalaries[[#This Row],[Job Type]]=tblSalaries[[#Headers],[Consultant]],tblSalaries[[#This Row],[Salary in USD]],"")</f>
        <v/>
      </c>
      <c r="X1692" s="13" t="str">
        <f>IF(tblSalaries[[#This Row],[Job Type]]=tblSalaries[[#Headers],[Controller]],tblSalaries[[#This Row],[Salary in USD]],"")</f>
        <v/>
      </c>
      <c r="Y1692" s="13" t="str">
        <f>IF(tblSalaries[[#This Row],[Job Type]]=tblSalaries[[#Headers],[CXO or Top Mgmt.]],tblSalaries[[#This Row],[clean Salary (in local currency)]],"")</f>
        <v/>
      </c>
      <c r="Z1692" s="13" t="str">
        <f>IF(tblSalaries[[#This Row],[Job Type]]=tblSalaries[[#Headers],[Engineer]],tblSalaries[[#This Row],[Salary in USD]],"")</f>
        <v/>
      </c>
      <c r="AA1692" s="13" t="str">
        <f>IF(tblSalaries[[#This Row],[Job Type]]=tblSalaries[[#Headers],[Manager]],tblSalaries[[#This Row],[Salary in USD]],"")</f>
        <v/>
      </c>
      <c r="AB1692" s="13" t="str">
        <f>IF(tblSalaries[[#This Row],[Job Type]]=tblSalaries[[#Headers],[Misc.]],tblSalaries[[#This Row],[Salary in USD]],"")</f>
        <v/>
      </c>
      <c r="AC1692" s="13" t="str">
        <f>IF(tblSalaries[[#This Row],[Job Type]]=tblSalaries[[#Headers],[Reporting]],tblSalaries[[#This Row],[Salary in USD]],"")</f>
        <v/>
      </c>
      <c r="AD1692" s="13" t="str">
        <f>IF(tblSalaries[[#This Row],[Job Type]]=tblSalaries[[#Headers],[Specialist]],tblSalaries[[#This Row],[Salary in USD]],"")</f>
        <v/>
      </c>
    </row>
    <row r="1693" spans="2:30" ht="15" customHeight="1" x14ac:dyDescent="0.25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 s="9">
        <f>tblSalaries[[#This Row],[clean Salary (in local currency)]]*VLOOKUP(tblSalaries[[#This Row],[Currency]],tblXrate[],2,FALSE)</f>
        <v>6000</v>
      </c>
      <c r="H1693" t="s">
        <v>1859</v>
      </c>
      <c r="I1693" t="s">
        <v>3999</v>
      </c>
      <c r="J1693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  <c r="N1693" t="str">
        <f>IF(tblSalaries[[#This Row],[Years of Experience]]="","",IF(tblSalaries[[#This Row],[Years of Experience]]&lt;=2,1,""))</f>
        <v/>
      </c>
      <c r="O1693">
        <f>IF(tblSalaries[[#This Row],[Years of Experience]]="","",IF(AND(tblSalaries[[#This Row],[Years of Experience]]&gt;2,tblSalaries[[#This Row],[Years of Experience]]&lt;=5),1,""))</f>
        <v>1</v>
      </c>
      <c r="P1693" t="str">
        <f>IF(tblSalaries[[#This Row],[Years of Experience]]="","",IF(AND(tblSalaries[[#This Row],[Years of Experience]]&gt;5,tblSalaries[[#This Row],[Years of Experience]]&lt;=10),1,""))</f>
        <v/>
      </c>
      <c r="Q1693" t="str">
        <f>IF(tblSalaries[[#This Row],[Years of Experience]]="","",IF(AND(tblSalaries[[#This Row],[Years of Experience]]&gt;10,tblSalaries[[#This Row],[Years of Experience]]&lt;=15),1,""))</f>
        <v/>
      </c>
      <c r="R1693" t="str">
        <f>IF(tblSalaries[[#This Row],[Years of Experience]]="","",IF(AND(tblSalaries[[#This Row],[Years of Experience]]&gt;16,tblSalaries[[#This Row],[Years of Experience]]&lt;=20),1,""))</f>
        <v/>
      </c>
      <c r="S1693" t="str">
        <f>IF(tblSalaries[[#This Row],[Years of Experience]]="","",IF(tblSalaries[[#This Row],[Years of Experience]]&gt;20,1,""))</f>
        <v/>
      </c>
      <c r="T16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93" s="13" t="str">
        <f>IF(tblSalaries[[#This Row],[Job Type]]=tblSalaries[[#Headers],[Accountant]],tblSalaries[[#This Row],[Salary in USD]],"")</f>
        <v/>
      </c>
      <c r="V1693" s="13" t="str">
        <f>IF(tblSalaries[[#This Row],[Job Type]]=tblSalaries[[#Headers],[Analyst]],tblSalaries[[#This Row],[Salary in USD]],"")</f>
        <v/>
      </c>
      <c r="W1693" s="13" t="str">
        <f>IF(tblSalaries[[#This Row],[Job Type]]=tblSalaries[[#Headers],[Consultant]],tblSalaries[[#This Row],[Salary in USD]],"")</f>
        <v/>
      </c>
      <c r="X1693" s="13" t="str">
        <f>IF(tblSalaries[[#This Row],[Job Type]]=tblSalaries[[#Headers],[Controller]],tblSalaries[[#This Row],[Salary in USD]],"")</f>
        <v/>
      </c>
      <c r="Y1693" s="13" t="str">
        <f>IF(tblSalaries[[#This Row],[Job Type]]=tblSalaries[[#Headers],[CXO or Top Mgmt.]],tblSalaries[[#This Row],[clean Salary (in local currency)]],"")</f>
        <v/>
      </c>
      <c r="Z1693" s="13" t="str">
        <f>IF(tblSalaries[[#This Row],[Job Type]]=tblSalaries[[#Headers],[Engineer]],tblSalaries[[#This Row],[Salary in USD]],"")</f>
        <v/>
      </c>
      <c r="AA1693" s="13" t="str">
        <f>IF(tblSalaries[[#This Row],[Job Type]]=tblSalaries[[#Headers],[Manager]],tblSalaries[[#This Row],[Salary in USD]],"")</f>
        <v/>
      </c>
      <c r="AB1693" s="13" t="str">
        <f>IF(tblSalaries[[#This Row],[Job Type]]=tblSalaries[[#Headers],[Misc.]],tblSalaries[[#This Row],[Salary in USD]],"")</f>
        <v/>
      </c>
      <c r="AC1693" s="13">
        <f>IF(tblSalaries[[#This Row],[Job Type]]=tblSalaries[[#Headers],[Reporting]],tblSalaries[[#This Row],[Salary in USD]],"")</f>
        <v>6000</v>
      </c>
      <c r="AD1693" s="13" t="str">
        <f>IF(tblSalaries[[#This Row],[Job Type]]=tblSalaries[[#Headers],[Specialist]],tblSalaries[[#This Row],[Salary in USD]],"")</f>
        <v/>
      </c>
    </row>
    <row r="1694" spans="2:30" ht="15" customHeight="1" x14ac:dyDescent="0.25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 s="9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  <c r="N1694">
        <f>IF(tblSalaries[[#This Row],[Years of Experience]]="","",IF(tblSalaries[[#This Row],[Years of Experience]]&lt;=2,1,""))</f>
        <v>1</v>
      </c>
      <c r="O1694" t="str">
        <f>IF(tblSalaries[[#This Row],[Years of Experience]]="","",IF(AND(tblSalaries[[#This Row],[Years of Experience]]&gt;2,tblSalaries[[#This Row],[Years of Experience]]&lt;=5),1,""))</f>
        <v/>
      </c>
      <c r="P1694" t="str">
        <f>IF(tblSalaries[[#This Row],[Years of Experience]]="","",IF(AND(tblSalaries[[#This Row],[Years of Experience]]&gt;5,tblSalaries[[#This Row],[Years of Experience]]&lt;=10),1,""))</f>
        <v/>
      </c>
      <c r="Q1694" t="str">
        <f>IF(tblSalaries[[#This Row],[Years of Experience]]="","",IF(AND(tblSalaries[[#This Row],[Years of Experience]]&gt;10,tblSalaries[[#This Row],[Years of Experience]]&lt;=15),1,""))</f>
        <v/>
      </c>
      <c r="R1694" t="str">
        <f>IF(tblSalaries[[#This Row],[Years of Experience]]="","",IF(AND(tblSalaries[[#This Row],[Years of Experience]]&gt;16,tblSalaries[[#This Row],[Years of Experience]]&lt;=20),1,""))</f>
        <v/>
      </c>
      <c r="S1694" t="str">
        <f>IF(tblSalaries[[#This Row],[Years of Experience]]="","",IF(tblSalaries[[#This Row],[Years of Experience]]&gt;20,1,""))</f>
        <v/>
      </c>
      <c r="T16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94" s="13" t="str">
        <f>IF(tblSalaries[[#This Row],[Job Type]]=tblSalaries[[#Headers],[Accountant]],tblSalaries[[#This Row],[Salary in USD]],"")</f>
        <v/>
      </c>
      <c r="V1694" s="13">
        <f>IF(tblSalaries[[#This Row],[Job Type]]=tblSalaries[[#Headers],[Analyst]],tblSalaries[[#This Row],[Salary in USD]],"")</f>
        <v>78808.913603364199</v>
      </c>
      <c r="W1694" s="13" t="str">
        <f>IF(tblSalaries[[#This Row],[Job Type]]=tblSalaries[[#Headers],[Consultant]],tblSalaries[[#This Row],[Salary in USD]],"")</f>
        <v/>
      </c>
      <c r="X1694" s="13" t="str">
        <f>IF(tblSalaries[[#This Row],[Job Type]]=tblSalaries[[#Headers],[Controller]],tblSalaries[[#This Row],[Salary in USD]],"")</f>
        <v/>
      </c>
      <c r="Y1694" s="13" t="str">
        <f>IF(tblSalaries[[#This Row],[Job Type]]=tblSalaries[[#Headers],[CXO or Top Mgmt.]],tblSalaries[[#This Row],[clean Salary (in local currency)]],"")</f>
        <v/>
      </c>
      <c r="Z1694" s="13" t="str">
        <f>IF(tblSalaries[[#This Row],[Job Type]]=tblSalaries[[#Headers],[Engineer]],tblSalaries[[#This Row],[Salary in USD]],"")</f>
        <v/>
      </c>
      <c r="AA1694" s="13" t="str">
        <f>IF(tblSalaries[[#This Row],[Job Type]]=tblSalaries[[#Headers],[Manager]],tblSalaries[[#This Row],[Salary in USD]],"")</f>
        <v/>
      </c>
      <c r="AB1694" s="13" t="str">
        <f>IF(tblSalaries[[#This Row],[Job Type]]=tblSalaries[[#Headers],[Misc.]],tblSalaries[[#This Row],[Salary in USD]],"")</f>
        <v/>
      </c>
      <c r="AC1694" s="13" t="str">
        <f>IF(tblSalaries[[#This Row],[Job Type]]=tblSalaries[[#Headers],[Reporting]],tblSalaries[[#This Row],[Salary in USD]],"")</f>
        <v/>
      </c>
      <c r="AD1694" s="13" t="str">
        <f>IF(tblSalaries[[#This Row],[Job Type]]=tblSalaries[[#Headers],[Specialist]],tblSalaries[[#This Row],[Salary in USD]],"")</f>
        <v/>
      </c>
    </row>
    <row r="1695" spans="2:30" ht="15" customHeight="1" x14ac:dyDescent="0.25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 s="9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  <c r="N1695" t="str">
        <f>IF(tblSalaries[[#This Row],[Years of Experience]]="","",IF(tblSalaries[[#This Row],[Years of Experience]]&lt;=2,1,""))</f>
        <v/>
      </c>
      <c r="O1695">
        <f>IF(tblSalaries[[#This Row],[Years of Experience]]="","",IF(AND(tblSalaries[[#This Row],[Years of Experience]]&gt;2,tblSalaries[[#This Row],[Years of Experience]]&lt;=5),1,""))</f>
        <v>1</v>
      </c>
      <c r="P1695" t="str">
        <f>IF(tblSalaries[[#This Row],[Years of Experience]]="","",IF(AND(tblSalaries[[#This Row],[Years of Experience]]&gt;5,tblSalaries[[#This Row],[Years of Experience]]&lt;=10),1,""))</f>
        <v/>
      </c>
      <c r="Q1695" t="str">
        <f>IF(tblSalaries[[#This Row],[Years of Experience]]="","",IF(AND(tblSalaries[[#This Row],[Years of Experience]]&gt;10,tblSalaries[[#This Row],[Years of Experience]]&lt;=15),1,""))</f>
        <v/>
      </c>
      <c r="R1695" t="str">
        <f>IF(tblSalaries[[#This Row],[Years of Experience]]="","",IF(AND(tblSalaries[[#This Row],[Years of Experience]]&gt;16,tblSalaries[[#This Row],[Years of Experience]]&lt;=20),1,""))</f>
        <v/>
      </c>
      <c r="S1695" t="str">
        <f>IF(tblSalaries[[#This Row],[Years of Experience]]="","",IF(tblSalaries[[#This Row],[Years of Experience]]&gt;20,1,""))</f>
        <v/>
      </c>
      <c r="T16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95" s="13" t="str">
        <f>IF(tblSalaries[[#This Row],[Job Type]]=tblSalaries[[#Headers],[Accountant]],tblSalaries[[#This Row],[Salary in USD]],"")</f>
        <v/>
      </c>
      <c r="V1695" s="13">
        <f>IF(tblSalaries[[#This Row],[Job Type]]=tblSalaries[[#Headers],[Analyst]],tblSalaries[[#This Row],[Salary in USD]],"")</f>
        <v>7497.1329254133216</v>
      </c>
      <c r="W1695" s="13" t="str">
        <f>IF(tblSalaries[[#This Row],[Job Type]]=tblSalaries[[#Headers],[Consultant]],tblSalaries[[#This Row],[Salary in USD]],"")</f>
        <v/>
      </c>
      <c r="X1695" s="13" t="str">
        <f>IF(tblSalaries[[#This Row],[Job Type]]=tblSalaries[[#Headers],[Controller]],tblSalaries[[#This Row],[Salary in USD]],"")</f>
        <v/>
      </c>
      <c r="Y1695" s="13" t="str">
        <f>IF(tblSalaries[[#This Row],[Job Type]]=tblSalaries[[#Headers],[CXO or Top Mgmt.]],tblSalaries[[#This Row],[clean Salary (in local currency)]],"")</f>
        <v/>
      </c>
      <c r="Z1695" s="13" t="str">
        <f>IF(tblSalaries[[#This Row],[Job Type]]=tblSalaries[[#Headers],[Engineer]],tblSalaries[[#This Row],[Salary in USD]],"")</f>
        <v/>
      </c>
      <c r="AA1695" s="13" t="str">
        <f>IF(tblSalaries[[#This Row],[Job Type]]=tblSalaries[[#Headers],[Manager]],tblSalaries[[#This Row],[Salary in USD]],"")</f>
        <v/>
      </c>
      <c r="AB1695" s="13" t="str">
        <f>IF(tblSalaries[[#This Row],[Job Type]]=tblSalaries[[#Headers],[Misc.]],tblSalaries[[#This Row],[Salary in USD]],"")</f>
        <v/>
      </c>
      <c r="AC1695" s="13" t="str">
        <f>IF(tblSalaries[[#This Row],[Job Type]]=tblSalaries[[#Headers],[Reporting]],tblSalaries[[#This Row],[Salary in USD]],"")</f>
        <v/>
      </c>
      <c r="AD1695" s="13" t="str">
        <f>IF(tblSalaries[[#This Row],[Job Type]]=tblSalaries[[#Headers],[Specialist]],tblSalaries[[#This Row],[Salary in USD]],"")</f>
        <v/>
      </c>
    </row>
    <row r="1696" spans="2:30" ht="15" customHeight="1" x14ac:dyDescent="0.25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 s="9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  <c r="N1696" t="str">
        <f>IF(tblSalaries[[#This Row],[Years of Experience]]="","",IF(tblSalaries[[#This Row],[Years of Experience]]&lt;=2,1,""))</f>
        <v/>
      </c>
      <c r="O1696" t="str">
        <f>IF(tblSalaries[[#This Row],[Years of Experience]]="","",IF(AND(tblSalaries[[#This Row],[Years of Experience]]&gt;2,tblSalaries[[#This Row],[Years of Experience]]&lt;=5),1,""))</f>
        <v/>
      </c>
      <c r="P1696" t="str">
        <f>IF(tblSalaries[[#This Row],[Years of Experience]]="","",IF(AND(tblSalaries[[#This Row],[Years of Experience]]&gt;5,tblSalaries[[#This Row],[Years of Experience]]&lt;=10),1,""))</f>
        <v/>
      </c>
      <c r="Q1696">
        <f>IF(tblSalaries[[#This Row],[Years of Experience]]="","",IF(AND(tblSalaries[[#This Row],[Years of Experience]]&gt;10,tblSalaries[[#This Row],[Years of Experience]]&lt;=15),1,""))</f>
        <v>1</v>
      </c>
      <c r="R1696" t="str">
        <f>IF(tblSalaries[[#This Row],[Years of Experience]]="","",IF(AND(tblSalaries[[#This Row],[Years of Experience]]&gt;16,tblSalaries[[#This Row],[Years of Experience]]&lt;=20),1,""))</f>
        <v/>
      </c>
      <c r="S1696" t="str">
        <f>IF(tblSalaries[[#This Row],[Years of Experience]]="","",IF(tblSalaries[[#This Row],[Years of Experience]]&gt;20,1,""))</f>
        <v/>
      </c>
      <c r="T16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696" s="13" t="str">
        <f>IF(tblSalaries[[#This Row],[Job Type]]=tblSalaries[[#Headers],[Accountant]],tblSalaries[[#This Row],[Salary in USD]],"")</f>
        <v/>
      </c>
      <c r="V1696" s="13" t="str">
        <f>IF(tblSalaries[[#This Row],[Job Type]]=tblSalaries[[#Headers],[Analyst]],tblSalaries[[#This Row],[Salary in USD]],"")</f>
        <v/>
      </c>
      <c r="W1696" s="13" t="str">
        <f>IF(tblSalaries[[#This Row],[Job Type]]=tblSalaries[[#Headers],[Consultant]],tblSalaries[[#This Row],[Salary in USD]],"")</f>
        <v/>
      </c>
      <c r="X1696" s="13" t="str">
        <f>IF(tblSalaries[[#This Row],[Job Type]]=tblSalaries[[#Headers],[Controller]],tblSalaries[[#This Row],[Salary in USD]],"")</f>
        <v/>
      </c>
      <c r="Y1696" s="13" t="str">
        <f>IF(tblSalaries[[#This Row],[Job Type]]=tblSalaries[[#Headers],[CXO or Top Mgmt.]],tblSalaries[[#This Row],[clean Salary (in local currency)]],"")</f>
        <v/>
      </c>
      <c r="Z1696" s="13" t="str">
        <f>IF(tblSalaries[[#This Row],[Job Type]]=tblSalaries[[#Headers],[Engineer]],tblSalaries[[#This Row],[Salary in USD]],"")</f>
        <v/>
      </c>
      <c r="AA1696" s="13">
        <f>IF(tblSalaries[[#This Row],[Job Type]]=tblSalaries[[#Headers],[Manager]],tblSalaries[[#This Row],[Salary in USD]],"")</f>
        <v>10000</v>
      </c>
      <c r="AB1696" s="13" t="str">
        <f>IF(tblSalaries[[#This Row],[Job Type]]=tblSalaries[[#Headers],[Misc.]],tblSalaries[[#This Row],[Salary in USD]],"")</f>
        <v/>
      </c>
      <c r="AC1696" s="13" t="str">
        <f>IF(tblSalaries[[#This Row],[Job Type]]=tblSalaries[[#Headers],[Reporting]],tblSalaries[[#This Row],[Salary in USD]],"")</f>
        <v/>
      </c>
      <c r="AD1696" s="13" t="str">
        <f>IF(tblSalaries[[#This Row],[Job Type]]=tblSalaries[[#Headers],[Specialist]],tblSalaries[[#This Row],[Salary in USD]],"")</f>
        <v/>
      </c>
    </row>
    <row r="1697" spans="2:30" ht="15" customHeight="1" x14ac:dyDescent="0.25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 s="9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  <c r="N1697">
        <f>IF(tblSalaries[[#This Row],[Years of Experience]]="","",IF(tblSalaries[[#This Row],[Years of Experience]]&lt;=2,1,""))</f>
        <v>1</v>
      </c>
      <c r="O1697" t="str">
        <f>IF(tblSalaries[[#This Row],[Years of Experience]]="","",IF(AND(tblSalaries[[#This Row],[Years of Experience]]&gt;2,tblSalaries[[#This Row],[Years of Experience]]&lt;=5),1,""))</f>
        <v/>
      </c>
      <c r="P1697" t="str">
        <f>IF(tblSalaries[[#This Row],[Years of Experience]]="","",IF(AND(tblSalaries[[#This Row],[Years of Experience]]&gt;5,tblSalaries[[#This Row],[Years of Experience]]&lt;=10),1,""))</f>
        <v/>
      </c>
      <c r="Q1697" t="str">
        <f>IF(tblSalaries[[#This Row],[Years of Experience]]="","",IF(AND(tblSalaries[[#This Row],[Years of Experience]]&gt;10,tblSalaries[[#This Row],[Years of Experience]]&lt;=15),1,""))</f>
        <v/>
      </c>
      <c r="R1697" t="str">
        <f>IF(tblSalaries[[#This Row],[Years of Experience]]="","",IF(AND(tblSalaries[[#This Row],[Years of Experience]]&gt;16,tblSalaries[[#This Row],[Years of Experience]]&lt;=20),1,""))</f>
        <v/>
      </c>
      <c r="S1697" t="str">
        <f>IF(tblSalaries[[#This Row],[Years of Experience]]="","",IF(tblSalaries[[#This Row],[Years of Experience]]&gt;20,1,""))</f>
        <v/>
      </c>
      <c r="T16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697" s="13" t="str">
        <f>IF(tblSalaries[[#This Row],[Job Type]]=tblSalaries[[#Headers],[Accountant]],tblSalaries[[#This Row],[Salary in USD]],"")</f>
        <v/>
      </c>
      <c r="V1697" s="13" t="str">
        <f>IF(tblSalaries[[#This Row],[Job Type]]=tblSalaries[[#Headers],[Analyst]],tblSalaries[[#This Row],[Salary in USD]],"")</f>
        <v/>
      </c>
      <c r="W1697" s="13">
        <f>IF(tblSalaries[[#This Row],[Job Type]]=tblSalaries[[#Headers],[Consultant]],tblSalaries[[#This Row],[Salary in USD]],"")</f>
        <v>6410.8500074793246</v>
      </c>
      <c r="X1697" s="13" t="str">
        <f>IF(tblSalaries[[#This Row],[Job Type]]=tblSalaries[[#Headers],[Controller]],tblSalaries[[#This Row],[Salary in USD]],"")</f>
        <v/>
      </c>
      <c r="Y1697" s="13" t="str">
        <f>IF(tblSalaries[[#This Row],[Job Type]]=tblSalaries[[#Headers],[CXO or Top Mgmt.]],tblSalaries[[#This Row],[clean Salary (in local currency)]],"")</f>
        <v/>
      </c>
      <c r="Z1697" s="13" t="str">
        <f>IF(tblSalaries[[#This Row],[Job Type]]=tblSalaries[[#Headers],[Engineer]],tblSalaries[[#This Row],[Salary in USD]],"")</f>
        <v/>
      </c>
      <c r="AA1697" s="13" t="str">
        <f>IF(tblSalaries[[#This Row],[Job Type]]=tblSalaries[[#Headers],[Manager]],tblSalaries[[#This Row],[Salary in USD]],"")</f>
        <v/>
      </c>
      <c r="AB1697" s="13" t="str">
        <f>IF(tblSalaries[[#This Row],[Job Type]]=tblSalaries[[#Headers],[Misc.]],tblSalaries[[#This Row],[Salary in USD]],"")</f>
        <v/>
      </c>
      <c r="AC1697" s="13" t="str">
        <f>IF(tblSalaries[[#This Row],[Job Type]]=tblSalaries[[#Headers],[Reporting]],tblSalaries[[#This Row],[Salary in USD]],"")</f>
        <v/>
      </c>
      <c r="AD1697" s="13" t="str">
        <f>IF(tblSalaries[[#This Row],[Job Type]]=tblSalaries[[#Headers],[Specialist]],tblSalaries[[#This Row],[Salary in USD]],"")</f>
        <v/>
      </c>
    </row>
    <row r="1698" spans="2:30" ht="15" customHeight="1" x14ac:dyDescent="0.25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 s="9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  <c r="N1698" t="str">
        <f>IF(tblSalaries[[#This Row],[Years of Experience]]="","",IF(tblSalaries[[#This Row],[Years of Experience]]&lt;=2,1,""))</f>
        <v/>
      </c>
      <c r="O1698">
        <f>IF(tblSalaries[[#This Row],[Years of Experience]]="","",IF(AND(tblSalaries[[#This Row],[Years of Experience]]&gt;2,tblSalaries[[#This Row],[Years of Experience]]&lt;=5),1,""))</f>
        <v>1</v>
      </c>
      <c r="P1698" t="str">
        <f>IF(tblSalaries[[#This Row],[Years of Experience]]="","",IF(AND(tblSalaries[[#This Row],[Years of Experience]]&gt;5,tblSalaries[[#This Row],[Years of Experience]]&lt;=10),1,""))</f>
        <v/>
      </c>
      <c r="Q1698" t="str">
        <f>IF(tblSalaries[[#This Row],[Years of Experience]]="","",IF(AND(tblSalaries[[#This Row],[Years of Experience]]&gt;10,tblSalaries[[#This Row],[Years of Experience]]&lt;=15),1,""))</f>
        <v/>
      </c>
      <c r="R1698" t="str">
        <f>IF(tblSalaries[[#This Row],[Years of Experience]]="","",IF(AND(tblSalaries[[#This Row],[Years of Experience]]&gt;16,tblSalaries[[#This Row],[Years of Experience]]&lt;=20),1,""))</f>
        <v/>
      </c>
      <c r="S1698" t="str">
        <f>IF(tblSalaries[[#This Row],[Years of Experience]]="","",IF(tblSalaries[[#This Row],[Years of Experience]]&gt;20,1,""))</f>
        <v/>
      </c>
      <c r="T16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98" s="13" t="str">
        <f>IF(tblSalaries[[#This Row],[Job Type]]=tblSalaries[[#Headers],[Accountant]],tblSalaries[[#This Row],[Salary in USD]],"")</f>
        <v/>
      </c>
      <c r="V1698" s="13">
        <f>IF(tblSalaries[[#This Row],[Job Type]]=tblSalaries[[#Headers],[Analyst]],tblSalaries[[#This Row],[Salary in USD]],"")</f>
        <v>63047.130882691366</v>
      </c>
      <c r="W1698" s="13" t="str">
        <f>IF(tblSalaries[[#This Row],[Job Type]]=tblSalaries[[#Headers],[Consultant]],tblSalaries[[#This Row],[Salary in USD]],"")</f>
        <v/>
      </c>
      <c r="X1698" s="13" t="str">
        <f>IF(tblSalaries[[#This Row],[Job Type]]=tblSalaries[[#Headers],[Controller]],tblSalaries[[#This Row],[Salary in USD]],"")</f>
        <v/>
      </c>
      <c r="Y1698" s="13" t="str">
        <f>IF(tblSalaries[[#This Row],[Job Type]]=tblSalaries[[#Headers],[CXO or Top Mgmt.]],tblSalaries[[#This Row],[clean Salary (in local currency)]],"")</f>
        <v/>
      </c>
      <c r="Z1698" s="13" t="str">
        <f>IF(tblSalaries[[#This Row],[Job Type]]=tblSalaries[[#Headers],[Engineer]],tblSalaries[[#This Row],[Salary in USD]],"")</f>
        <v/>
      </c>
      <c r="AA1698" s="13" t="str">
        <f>IF(tblSalaries[[#This Row],[Job Type]]=tblSalaries[[#Headers],[Manager]],tblSalaries[[#This Row],[Salary in USD]],"")</f>
        <v/>
      </c>
      <c r="AB1698" s="13" t="str">
        <f>IF(tblSalaries[[#This Row],[Job Type]]=tblSalaries[[#Headers],[Misc.]],tblSalaries[[#This Row],[Salary in USD]],"")</f>
        <v/>
      </c>
      <c r="AC1698" s="13" t="str">
        <f>IF(tblSalaries[[#This Row],[Job Type]]=tblSalaries[[#Headers],[Reporting]],tblSalaries[[#This Row],[Salary in USD]],"")</f>
        <v/>
      </c>
      <c r="AD1698" s="13" t="str">
        <f>IF(tblSalaries[[#This Row],[Job Type]]=tblSalaries[[#Headers],[Specialist]],tblSalaries[[#This Row],[Salary in USD]],"")</f>
        <v/>
      </c>
    </row>
    <row r="1699" spans="2:30" ht="15" customHeight="1" x14ac:dyDescent="0.25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 s="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  <c r="N1699" t="str">
        <f>IF(tblSalaries[[#This Row],[Years of Experience]]="","",IF(tblSalaries[[#This Row],[Years of Experience]]&lt;=2,1,""))</f>
        <v/>
      </c>
      <c r="O1699">
        <f>IF(tblSalaries[[#This Row],[Years of Experience]]="","",IF(AND(tblSalaries[[#This Row],[Years of Experience]]&gt;2,tblSalaries[[#This Row],[Years of Experience]]&lt;=5),1,""))</f>
        <v>1</v>
      </c>
      <c r="P1699" t="str">
        <f>IF(tblSalaries[[#This Row],[Years of Experience]]="","",IF(AND(tblSalaries[[#This Row],[Years of Experience]]&gt;5,tblSalaries[[#This Row],[Years of Experience]]&lt;=10),1,""))</f>
        <v/>
      </c>
      <c r="Q1699" t="str">
        <f>IF(tblSalaries[[#This Row],[Years of Experience]]="","",IF(AND(tblSalaries[[#This Row],[Years of Experience]]&gt;10,tblSalaries[[#This Row],[Years of Experience]]&lt;=15),1,""))</f>
        <v/>
      </c>
      <c r="R1699" t="str">
        <f>IF(tblSalaries[[#This Row],[Years of Experience]]="","",IF(AND(tblSalaries[[#This Row],[Years of Experience]]&gt;16,tblSalaries[[#This Row],[Years of Experience]]&lt;=20),1,""))</f>
        <v/>
      </c>
      <c r="S1699" t="str">
        <f>IF(tblSalaries[[#This Row],[Years of Experience]]="","",IF(tblSalaries[[#This Row],[Years of Experience]]&gt;20,1,""))</f>
        <v/>
      </c>
      <c r="T16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699" s="13" t="str">
        <f>IF(tblSalaries[[#This Row],[Job Type]]=tblSalaries[[#Headers],[Accountant]],tblSalaries[[#This Row],[Salary in USD]],"")</f>
        <v/>
      </c>
      <c r="V1699" s="13">
        <f>IF(tblSalaries[[#This Row],[Job Type]]=tblSalaries[[#Headers],[Analyst]],tblSalaries[[#This Row],[Salary in USD]],"")</f>
        <v>61194.579384158147</v>
      </c>
      <c r="W1699" s="13" t="str">
        <f>IF(tblSalaries[[#This Row],[Job Type]]=tblSalaries[[#Headers],[Consultant]],tblSalaries[[#This Row],[Salary in USD]],"")</f>
        <v/>
      </c>
      <c r="X1699" s="13" t="str">
        <f>IF(tblSalaries[[#This Row],[Job Type]]=tblSalaries[[#Headers],[Controller]],tblSalaries[[#This Row],[Salary in USD]],"")</f>
        <v/>
      </c>
      <c r="Y1699" s="13" t="str">
        <f>IF(tblSalaries[[#This Row],[Job Type]]=tblSalaries[[#Headers],[CXO or Top Mgmt.]],tblSalaries[[#This Row],[clean Salary (in local currency)]],"")</f>
        <v/>
      </c>
      <c r="Z1699" s="13" t="str">
        <f>IF(tblSalaries[[#This Row],[Job Type]]=tblSalaries[[#Headers],[Engineer]],tblSalaries[[#This Row],[Salary in USD]],"")</f>
        <v/>
      </c>
      <c r="AA1699" s="13" t="str">
        <f>IF(tblSalaries[[#This Row],[Job Type]]=tblSalaries[[#Headers],[Manager]],tblSalaries[[#This Row],[Salary in USD]],"")</f>
        <v/>
      </c>
      <c r="AB1699" s="13" t="str">
        <f>IF(tblSalaries[[#This Row],[Job Type]]=tblSalaries[[#Headers],[Misc.]],tblSalaries[[#This Row],[Salary in USD]],"")</f>
        <v/>
      </c>
      <c r="AC1699" s="13" t="str">
        <f>IF(tblSalaries[[#This Row],[Job Type]]=tblSalaries[[#Headers],[Reporting]],tblSalaries[[#This Row],[Salary in USD]],"")</f>
        <v/>
      </c>
      <c r="AD1699" s="13" t="str">
        <f>IF(tblSalaries[[#This Row],[Job Type]]=tblSalaries[[#Headers],[Specialist]],tblSalaries[[#This Row],[Salary in USD]],"")</f>
        <v/>
      </c>
    </row>
    <row r="1700" spans="2:30" ht="15" customHeight="1" x14ac:dyDescent="0.25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 s="9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  <c r="N1700" t="str">
        <f>IF(tblSalaries[[#This Row],[Years of Experience]]="","",IF(tblSalaries[[#This Row],[Years of Experience]]&lt;=2,1,""))</f>
        <v/>
      </c>
      <c r="O1700" t="str">
        <f>IF(tblSalaries[[#This Row],[Years of Experience]]="","",IF(AND(tblSalaries[[#This Row],[Years of Experience]]&gt;2,tblSalaries[[#This Row],[Years of Experience]]&lt;=5),1,""))</f>
        <v/>
      </c>
      <c r="P1700">
        <f>IF(tblSalaries[[#This Row],[Years of Experience]]="","",IF(AND(tblSalaries[[#This Row],[Years of Experience]]&gt;5,tblSalaries[[#This Row],[Years of Experience]]&lt;=10),1,""))</f>
        <v>1</v>
      </c>
      <c r="Q1700" t="str">
        <f>IF(tblSalaries[[#This Row],[Years of Experience]]="","",IF(AND(tblSalaries[[#This Row],[Years of Experience]]&gt;10,tblSalaries[[#This Row],[Years of Experience]]&lt;=15),1,""))</f>
        <v/>
      </c>
      <c r="R1700" t="str">
        <f>IF(tblSalaries[[#This Row],[Years of Experience]]="","",IF(AND(tblSalaries[[#This Row],[Years of Experience]]&gt;16,tblSalaries[[#This Row],[Years of Experience]]&lt;=20),1,""))</f>
        <v/>
      </c>
      <c r="S1700" t="str">
        <f>IF(tblSalaries[[#This Row],[Years of Experience]]="","",IF(tblSalaries[[#This Row],[Years of Experience]]&gt;20,1,""))</f>
        <v/>
      </c>
      <c r="T17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00" s="13" t="str">
        <f>IF(tblSalaries[[#This Row],[Job Type]]=tblSalaries[[#Headers],[Accountant]],tblSalaries[[#This Row],[Salary in USD]],"")</f>
        <v/>
      </c>
      <c r="V1700" s="13" t="str">
        <f>IF(tblSalaries[[#This Row],[Job Type]]=tblSalaries[[#Headers],[Analyst]],tblSalaries[[#This Row],[Salary in USD]],"")</f>
        <v/>
      </c>
      <c r="W1700" s="13" t="str">
        <f>IF(tblSalaries[[#This Row],[Job Type]]=tblSalaries[[#Headers],[Consultant]],tblSalaries[[#This Row],[Salary in USD]],"")</f>
        <v/>
      </c>
      <c r="X1700" s="13">
        <f>IF(tblSalaries[[#This Row],[Job Type]]=tblSalaries[[#Headers],[Controller]],tblSalaries[[#This Row],[Salary in USD]],"")</f>
        <v>115061.01386091174</v>
      </c>
      <c r="Y1700" s="13" t="str">
        <f>IF(tblSalaries[[#This Row],[Job Type]]=tblSalaries[[#Headers],[CXO or Top Mgmt.]],tblSalaries[[#This Row],[clean Salary (in local currency)]],"")</f>
        <v/>
      </c>
      <c r="Z1700" s="13" t="str">
        <f>IF(tblSalaries[[#This Row],[Job Type]]=tblSalaries[[#Headers],[Engineer]],tblSalaries[[#This Row],[Salary in USD]],"")</f>
        <v/>
      </c>
      <c r="AA1700" s="13" t="str">
        <f>IF(tblSalaries[[#This Row],[Job Type]]=tblSalaries[[#Headers],[Manager]],tblSalaries[[#This Row],[Salary in USD]],"")</f>
        <v/>
      </c>
      <c r="AB1700" s="13" t="str">
        <f>IF(tblSalaries[[#This Row],[Job Type]]=tblSalaries[[#Headers],[Misc.]],tblSalaries[[#This Row],[Salary in USD]],"")</f>
        <v/>
      </c>
      <c r="AC1700" s="13" t="str">
        <f>IF(tblSalaries[[#This Row],[Job Type]]=tblSalaries[[#Headers],[Reporting]],tblSalaries[[#This Row],[Salary in USD]],"")</f>
        <v/>
      </c>
      <c r="AD1700" s="13" t="str">
        <f>IF(tblSalaries[[#This Row],[Job Type]]=tblSalaries[[#Headers],[Specialist]],tblSalaries[[#This Row],[Salary in USD]],"")</f>
        <v/>
      </c>
    </row>
    <row r="1701" spans="2:30" ht="15" customHeight="1" x14ac:dyDescent="0.25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 s="9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  <c r="N1701">
        <f>IF(tblSalaries[[#This Row],[Years of Experience]]="","",IF(tblSalaries[[#This Row],[Years of Experience]]&lt;=2,1,""))</f>
        <v>1</v>
      </c>
      <c r="O1701" t="str">
        <f>IF(tblSalaries[[#This Row],[Years of Experience]]="","",IF(AND(tblSalaries[[#This Row],[Years of Experience]]&gt;2,tblSalaries[[#This Row],[Years of Experience]]&lt;=5),1,""))</f>
        <v/>
      </c>
      <c r="P1701" t="str">
        <f>IF(tblSalaries[[#This Row],[Years of Experience]]="","",IF(AND(tblSalaries[[#This Row],[Years of Experience]]&gt;5,tblSalaries[[#This Row],[Years of Experience]]&lt;=10),1,""))</f>
        <v/>
      </c>
      <c r="Q1701" t="str">
        <f>IF(tblSalaries[[#This Row],[Years of Experience]]="","",IF(AND(tblSalaries[[#This Row],[Years of Experience]]&gt;10,tblSalaries[[#This Row],[Years of Experience]]&lt;=15),1,""))</f>
        <v/>
      </c>
      <c r="R1701" t="str">
        <f>IF(tblSalaries[[#This Row],[Years of Experience]]="","",IF(AND(tblSalaries[[#This Row],[Years of Experience]]&gt;16,tblSalaries[[#This Row],[Years of Experience]]&lt;=20),1,""))</f>
        <v/>
      </c>
      <c r="S1701" t="str">
        <f>IF(tblSalaries[[#This Row],[Years of Experience]]="","",IF(tblSalaries[[#This Row],[Years of Experience]]&gt;20,1,""))</f>
        <v/>
      </c>
      <c r="T17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01" s="13" t="str">
        <f>IF(tblSalaries[[#This Row],[Job Type]]=tblSalaries[[#Headers],[Accountant]],tblSalaries[[#This Row],[Salary in USD]],"")</f>
        <v/>
      </c>
      <c r="V1701" s="13">
        <f>IF(tblSalaries[[#This Row],[Job Type]]=tblSalaries[[#Headers],[Analyst]],tblSalaries[[#This Row],[Salary in USD]],"")</f>
        <v>45000</v>
      </c>
      <c r="W1701" s="13" t="str">
        <f>IF(tblSalaries[[#This Row],[Job Type]]=tblSalaries[[#Headers],[Consultant]],tblSalaries[[#This Row],[Salary in USD]],"")</f>
        <v/>
      </c>
      <c r="X1701" s="13" t="str">
        <f>IF(tblSalaries[[#This Row],[Job Type]]=tblSalaries[[#Headers],[Controller]],tblSalaries[[#This Row],[Salary in USD]],"")</f>
        <v/>
      </c>
      <c r="Y1701" s="13" t="str">
        <f>IF(tblSalaries[[#This Row],[Job Type]]=tblSalaries[[#Headers],[CXO or Top Mgmt.]],tblSalaries[[#This Row],[clean Salary (in local currency)]],"")</f>
        <v/>
      </c>
      <c r="Z1701" s="13" t="str">
        <f>IF(tblSalaries[[#This Row],[Job Type]]=tblSalaries[[#Headers],[Engineer]],tblSalaries[[#This Row],[Salary in USD]],"")</f>
        <v/>
      </c>
      <c r="AA1701" s="13" t="str">
        <f>IF(tblSalaries[[#This Row],[Job Type]]=tblSalaries[[#Headers],[Manager]],tblSalaries[[#This Row],[Salary in USD]],"")</f>
        <v/>
      </c>
      <c r="AB1701" s="13" t="str">
        <f>IF(tblSalaries[[#This Row],[Job Type]]=tblSalaries[[#Headers],[Misc.]],tblSalaries[[#This Row],[Salary in USD]],"")</f>
        <v/>
      </c>
      <c r="AC1701" s="13" t="str">
        <f>IF(tblSalaries[[#This Row],[Job Type]]=tblSalaries[[#Headers],[Reporting]],tblSalaries[[#This Row],[Salary in USD]],"")</f>
        <v/>
      </c>
      <c r="AD1701" s="13" t="str">
        <f>IF(tblSalaries[[#This Row],[Job Type]]=tblSalaries[[#Headers],[Specialist]],tblSalaries[[#This Row],[Salary in USD]],"")</f>
        <v/>
      </c>
    </row>
    <row r="1702" spans="2:30" ht="15" customHeight="1" x14ac:dyDescent="0.25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 s="9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  <c r="N1702" t="str">
        <f>IF(tblSalaries[[#This Row],[Years of Experience]]="","",IF(tblSalaries[[#This Row],[Years of Experience]]&lt;=2,1,""))</f>
        <v/>
      </c>
      <c r="O1702">
        <f>IF(tblSalaries[[#This Row],[Years of Experience]]="","",IF(AND(tblSalaries[[#This Row],[Years of Experience]]&gt;2,tblSalaries[[#This Row],[Years of Experience]]&lt;=5),1,""))</f>
        <v>1</v>
      </c>
      <c r="P1702" t="str">
        <f>IF(tblSalaries[[#This Row],[Years of Experience]]="","",IF(AND(tblSalaries[[#This Row],[Years of Experience]]&gt;5,tblSalaries[[#This Row],[Years of Experience]]&lt;=10),1,""))</f>
        <v/>
      </c>
      <c r="Q1702" t="str">
        <f>IF(tblSalaries[[#This Row],[Years of Experience]]="","",IF(AND(tblSalaries[[#This Row],[Years of Experience]]&gt;10,tblSalaries[[#This Row],[Years of Experience]]&lt;=15),1,""))</f>
        <v/>
      </c>
      <c r="R1702" t="str">
        <f>IF(tblSalaries[[#This Row],[Years of Experience]]="","",IF(AND(tblSalaries[[#This Row],[Years of Experience]]&gt;16,tblSalaries[[#This Row],[Years of Experience]]&lt;=20),1,""))</f>
        <v/>
      </c>
      <c r="S1702" t="str">
        <f>IF(tblSalaries[[#This Row],[Years of Experience]]="","",IF(tblSalaries[[#This Row],[Years of Experience]]&gt;20,1,""))</f>
        <v/>
      </c>
      <c r="T17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02" s="13" t="str">
        <f>IF(tblSalaries[[#This Row],[Job Type]]=tblSalaries[[#Headers],[Accountant]],tblSalaries[[#This Row],[Salary in USD]],"")</f>
        <v/>
      </c>
      <c r="V1702" s="13">
        <f>IF(tblSalaries[[#This Row],[Job Type]]=tblSalaries[[#Headers],[Analyst]],tblSalaries[[#This Row],[Salary in USD]],"")</f>
        <v>36000</v>
      </c>
      <c r="W1702" s="13" t="str">
        <f>IF(tblSalaries[[#This Row],[Job Type]]=tblSalaries[[#Headers],[Consultant]],tblSalaries[[#This Row],[Salary in USD]],"")</f>
        <v/>
      </c>
      <c r="X1702" s="13" t="str">
        <f>IF(tblSalaries[[#This Row],[Job Type]]=tblSalaries[[#Headers],[Controller]],tblSalaries[[#This Row],[Salary in USD]],"")</f>
        <v/>
      </c>
      <c r="Y1702" s="13" t="str">
        <f>IF(tblSalaries[[#This Row],[Job Type]]=tblSalaries[[#Headers],[CXO or Top Mgmt.]],tblSalaries[[#This Row],[clean Salary (in local currency)]],"")</f>
        <v/>
      </c>
      <c r="Z1702" s="13" t="str">
        <f>IF(tblSalaries[[#This Row],[Job Type]]=tblSalaries[[#Headers],[Engineer]],tblSalaries[[#This Row],[Salary in USD]],"")</f>
        <v/>
      </c>
      <c r="AA1702" s="13" t="str">
        <f>IF(tblSalaries[[#This Row],[Job Type]]=tblSalaries[[#Headers],[Manager]],tblSalaries[[#This Row],[Salary in USD]],"")</f>
        <v/>
      </c>
      <c r="AB1702" s="13" t="str">
        <f>IF(tblSalaries[[#This Row],[Job Type]]=tblSalaries[[#Headers],[Misc.]],tblSalaries[[#This Row],[Salary in USD]],"")</f>
        <v/>
      </c>
      <c r="AC1702" s="13" t="str">
        <f>IF(tblSalaries[[#This Row],[Job Type]]=tblSalaries[[#Headers],[Reporting]],tblSalaries[[#This Row],[Salary in USD]],"")</f>
        <v/>
      </c>
      <c r="AD1702" s="13" t="str">
        <f>IF(tblSalaries[[#This Row],[Job Type]]=tblSalaries[[#Headers],[Specialist]],tblSalaries[[#This Row],[Salary in USD]],"")</f>
        <v/>
      </c>
    </row>
    <row r="1703" spans="2:30" ht="15" customHeight="1" x14ac:dyDescent="0.25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 s="9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  <c r="N1703" t="str">
        <f>IF(tblSalaries[[#This Row],[Years of Experience]]="","",IF(tblSalaries[[#This Row],[Years of Experience]]&lt;=2,1,""))</f>
        <v/>
      </c>
      <c r="O1703">
        <f>IF(tblSalaries[[#This Row],[Years of Experience]]="","",IF(AND(tblSalaries[[#This Row],[Years of Experience]]&gt;2,tblSalaries[[#This Row],[Years of Experience]]&lt;=5),1,""))</f>
        <v>1</v>
      </c>
      <c r="P1703" t="str">
        <f>IF(tblSalaries[[#This Row],[Years of Experience]]="","",IF(AND(tblSalaries[[#This Row],[Years of Experience]]&gt;5,tblSalaries[[#This Row],[Years of Experience]]&lt;=10),1,""))</f>
        <v/>
      </c>
      <c r="Q1703" t="str">
        <f>IF(tblSalaries[[#This Row],[Years of Experience]]="","",IF(AND(tblSalaries[[#This Row],[Years of Experience]]&gt;10,tblSalaries[[#This Row],[Years of Experience]]&lt;=15),1,""))</f>
        <v/>
      </c>
      <c r="R1703" t="str">
        <f>IF(tblSalaries[[#This Row],[Years of Experience]]="","",IF(AND(tblSalaries[[#This Row],[Years of Experience]]&gt;16,tblSalaries[[#This Row],[Years of Experience]]&lt;=20),1,""))</f>
        <v/>
      </c>
      <c r="S1703" t="str">
        <f>IF(tblSalaries[[#This Row],[Years of Experience]]="","",IF(tblSalaries[[#This Row],[Years of Experience]]&gt;20,1,""))</f>
        <v/>
      </c>
      <c r="T17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03" s="13" t="str">
        <f>IF(tblSalaries[[#This Row],[Job Type]]=tblSalaries[[#Headers],[Accountant]],tblSalaries[[#This Row],[Salary in USD]],"")</f>
        <v/>
      </c>
      <c r="V1703" s="13">
        <f>IF(tblSalaries[[#This Row],[Job Type]]=tblSalaries[[#Headers],[Analyst]],tblSalaries[[#This Row],[Salary in USD]],"")</f>
        <v>68000</v>
      </c>
      <c r="W1703" s="13" t="str">
        <f>IF(tblSalaries[[#This Row],[Job Type]]=tblSalaries[[#Headers],[Consultant]],tblSalaries[[#This Row],[Salary in USD]],"")</f>
        <v/>
      </c>
      <c r="X1703" s="13" t="str">
        <f>IF(tblSalaries[[#This Row],[Job Type]]=tblSalaries[[#Headers],[Controller]],tblSalaries[[#This Row],[Salary in USD]],"")</f>
        <v/>
      </c>
      <c r="Y1703" s="13" t="str">
        <f>IF(tblSalaries[[#This Row],[Job Type]]=tblSalaries[[#Headers],[CXO or Top Mgmt.]],tblSalaries[[#This Row],[clean Salary (in local currency)]],"")</f>
        <v/>
      </c>
      <c r="Z1703" s="13" t="str">
        <f>IF(tblSalaries[[#This Row],[Job Type]]=tblSalaries[[#Headers],[Engineer]],tblSalaries[[#This Row],[Salary in USD]],"")</f>
        <v/>
      </c>
      <c r="AA1703" s="13" t="str">
        <f>IF(tblSalaries[[#This Row],[Job Type]]=tblSalaries[[#Headers],[Manager]],tblSalaries[[#This Row],[Salary in USD]],"")</f>
        <v/>
      </c>
      <c r="AB1703" s="13" t="str">
        <f>IF(tblSalaries[[#This Row],[Job Type]]=tblSalaries[[#Headers],[Misc.]],tblSalaries[[#This Row],[Salary in USD]],"")</f>
        <v/>
      </c>
      <c r="AC1703" s="13" t="str">
        <f>IF(tblSalaries[[#This Row],[Job Type]]=tblSalaries[[#Headers],[Reporting]],tblSalaries[[#This Row],[Salary in USD]],"")</f>
        <v/>
      </c>
      <c r="AD1703" s="13" t="str">
        <f>IF(tblSalaries[[#This Row],[Job Type]]=tblSalaries[[#Headers],[Specialist]],tblSalaries[[#This Row],[Salary in USD]],"")</f>
        <v/>
      </c>
    </row>
    <row r="1704" spans="2:30" ht="15" customHeight="1" x14ac:dyDescent="0.25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 s="9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  <c r="N1704" t="str">
        <f>IF(tblSalaries[[#This Row],[Years of Experience]]="","",IF(tblSalaries[[#This Row],[Years of Experience]]&lt;=2,1,""))</f>
        <v/>
      </c>
      <c r="O1704">
        <f>IF(tblSalaries[[#This Row],[Years of Experience]]="","",IF(AND(tblSalaries[[#This Row],[Years of Experience]]&gt;2,tblSalaries[[#This Row],[Years of Experience]]&lt;=5),1,""))</f>
        <v>1</v>
      </c>
      <c r="P1704" t="str">
        <f>IF(tblSalaries[[#This Row],[Years of Experience]]="","",IF(AND(tblSalaries[[#This Row],[Years of Experience]]&gt;5,tblSalaries[[#This Row],[Years of Experience]]&lt;=10),1,""))</f>
        <v/>
      </c>
      <c r="Q1704" t="str">
        <f>IF(tblSalaries[[#This Row],[Years of Experience]]="","",IF(AND(tblSalaries[[#This Row],[Years of Experience]]&gt;10,tblSalaries[[#This Row],[Years of Experience]]&lt;=15),1,""))</f>
        <v/>
      </c>
      <c r="R1704" t="str">
        <f>IF(tblSalaries[[#This Row],[Years of Experience]]="","",IF(AND(tblSalaries[[#This Row],[Years of Experience]]&gt;16,tblSalaries[[#This Row],[Years of Experience]]&lt;=20),1,""))</f>
        <v/>
      </c>
      <c r="S1704" t="str">
        <f>IF(tblSalaries[[#This Row],[Years of Experience]]="","",IF(tblSalaries[[#This Row],[Years of Experience]]&gt;20,1,""))</f>
        <v/>
      </c>
      <c r="T17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04" s="13" t="str">
        <f>IF(tblSalaries[[#This Row],[Job Type]]=tblSalaries[[#Headers],[Accountant]],tblSalaries[[#This Row],[Salary in USD]],"")</f>
        <v/>
      </c>
      <c r="V1704" s="13">
        <f>IF(tblSalaries[[#This Row],[Job Type]]=tblSalaries[[#Headers],[Analyst]],tblSalaries[[#This Row],[Salary in USD]],"")</f>
        <v>75000</v>
      </c>
      <c r="W1704" s="13" t="str">
        <f>IF(tblSalaries[[#This Row],[Job Type]]=tblSalaries[[#Headers],[Consultant]],tblSalaries[[#This Row],[Salary in USD]],"")</f>
        <v/>
      </c>
      <c r="X1704" s="13" t="str">
        <f>IF(tblSalaries[[#This Row],[Job Type]]=tblSalaries[[#Headers],[Controller]],tblSalaries[[#This Row],[Salary in USD]],"")</f>
        <v/>
      </c>
      <c r="Y1704" s="13" t="str">
        <f>IF(tblSalaries[[#This Row],[Job Type]]=tblSalaries[[#Headers],[CXO or Top Mgmt.]],tblSalaries[[#This Row],[clean Salary (in local currency)]],"")</f>
        <v/>
      </c>
      <c r="Z1704" s="13" t="str">
        <f>IF(tblSalaries[[#This Row],[Job Type]]=tblSalaries[[#Headers],[Engineer]],tblSalaries[[#This Row],[Salary in USD]],"")</f>
        <v/>
      </c>
      <c r="AA1704" s="13" t="str">
        <f>IF(tblSalaries[[#This Row],[Job Type]]=tblSalaries[[#Headers],[Manager]],tblSalaries[[#This Row],[Salary in USD]],"")</f>
        <v/>
      </c>
      <c r="AB1704" s="13" t="str">
        <f>IF(tblSalaries[[#This Row],[Job Type]]=tblSalaries[[#Headers],[Misc.]],tblSalaries[[#This Row],[Salary in USD]],"")</f>
        <v/>
      </c>
      <c r="AC1704" s="13" t="str">
        <f>IF(tblSalaries[[#This Row],[Job Type]]=tblSalaries[[#Headers],[Reporting]],tblSalaries[[#This Row],[Salary in USD]],"")</f>
        <v/>
      </c>
      <c r="AD1704" s="13" t="str">
        <f>IF(tblSalaries[[#This Row],[Job Type]]=tblSalaries[[#Headers],[Specialist]],tblSalaries[[#This Row],[Salary in USD]],"")</f>
        <v/>
      </c>
    </row>
    <row r="1705" spans="2:30" ht="15" customHeight="1" x14ac:dyDescent="0.25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 s="9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  <c r="N1705" t="str">
        <f>IF(tblSalaries[[#This Row],[Years of Experience]]="","",IF(tblSalaries[[#This Row],[Years of Experience]]&lt;=2,1,""))</f>
        <v/>
      </c>
      <c r="O1705" t="str">
        <f>IF(tblSalaries[[#This Row],[Years of Experience]]="","",IF(AND(tblSalaries[[#This Row],[Years of Experience]]&gt;2,tblSalaries[[#This Row],[Years of Experience]]&lt;=5),1,""))</f>
        <v/>
      </c>
      <c r="P1705">
        <f>IF(tblSalaries[[#This Row],[Years of Experience]]="","",IF(AND(tblSalaries[[#This Row],[Years of Experience]]&gt;5,tblSalaries[[#This Row],[Years of Experience]]&lt;=10),1,""))</f>
        <v>1</v>
      </c>
      <c r="Q1705" t="str">
        <f>IF(tblSalaries[[#This Row],[Years of Experience]]="","",IF(AND(tblSalaries[[#This Row],[Years of Experience]]&gt;10,tblSalaries[[#This Row],[Years of Experience]]&lt;=15),1,""))</f>
        <v/>
      </c>
      <c r="R1705" t="str">
        <f>IF(tblSalaries[[#This Row],[Years of Experience]]="","",IF(AND(tblSalaries[[#This Row],[Years of Experience]]&gt;16,tblSalaries[[#This Row],[Years of Experience]]&lt;=20),1,""))</f>
        <v/>
      </c>
      <c r="S1705" t="str">
        <f>IF(tblSalaries[[#This Row],[Years of Experience]]="","",IF(tblSalaries[[#This Row],[Years of Experience]]&gt;20,1,""))</f>
        <v/>
      </c>
      <c r="T17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05" s="13" t="str">
        <f>IF(tblSalaries[[#This Row],[Job Type]]=tblSalaries[[#Headers],[Accountant]],tblSalaries[[#This Row],[Salary in USD]],"")</f>
        <v/>
      </c>
      <c r="V1705" s="13">
        <f>IF(tblSalaries[[#This Row],[Job Type]]=tblSalaries[[#Headers],[Analyst]],tblSalaries[[#This Row],[Salary in USD]],"")</f>
        <v>88000</v>
      </c>
      <c r="W1705" s="13" t="str">
        <f>IF(tblSalaries[[#This Row],[Job Type]]=tblSalaries[[#Headers],[Consultant]],tblSalaries[[#This Row],[Salary in USD]],"")</f>
        <v/>
      </c>
      <c r="X1705" s="13" t="str">
        <f>IF(tblSalaries[[#This Row],[Job Type]]=tblSalaries[[#Headers],[Controller]],tblSalaries[[#This Row],[Salary in USD]],"")</f>
        <v/>
      </c>
      <c r="Y1705" s="13" t="str">
        <f>IF(tblSalaries[[#This Row],[Job Type]]=tblSalaries[[#Headers],[CXO or Top Mgmt.]],tblSalaries[[#This Row],[clean Salary (in local currency)]],"")</f>
        <v/>
      </c>
      <c r="Z1705" s="13" t="str">
        <f>IF(tblSalaries[[#This Row],[Job Type]]=tblSalaries[[#Headers],[Engineer]],tblSalaries[[#This Row],[Salary in USD]],"")</f>
        <v/>
      </c>
      <c r="AA1705" s="13" t="str">
        <f>IF(tblSalaries[[#This Row],[Job Type]]=tblSalaries[[#Headers],[Manager]],tblSalaries[[#This Row],[Salary in USD]],"")</f>
        <v/>
      </c>
      <c r="AB1705" s="13" t="str">
        <f>IF(tblSalaries[[#This Row],[Job Type]]=tblSalaries[[#Headers],[Misc.]],tblSalaries[[#This Row],[Salary in USD]],"")</f>
        <v/>
      </c>
      <c r="AC1705" s="13" t="str">
        <f>IF(tblSalaries[[#This Row],[Job Type]]=tblSalaries[[#Headers],[Reporting]],tblSalaries[[#This Row],[Salary in USD]],"")</f>
        <v/>
      </c>
      <c r="AD1705" s="13" t="str">
        <f>IF(tblSalaries[[#This Row],[Job Type]]=tblSalaries[[#Headers],[Specialist]],tblSalaries[[#This Row],[Salary in USD]],"")</f>
        <v/>
      </c>
    </row>
    <row r="1706" spans="2:30" ht="15" customHeight="1" x14ac:dyDescent="0.25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 s="9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  <c r="N1706" t="str">
        <f>IF(tblSalaries[[#This Row],[Years of Experience]]="","",IF(tblSalaries[[#This Row],[Years of Experience]]&lt;=2,1,""))</f>
        <v/>
      </c>
      <c r="O1706">
        <f>IF(tblSalaries[[#This Row],[Years of Experience]]="","",IF(AND(tblSalaries[[#This Row],[Years of Experience]]&gt;2,tblSalaries[[#This Row],[Years of Experience]]&lt;=5),1,""))</f>
        <v>1</v>
      </c>
      <c r="P1706" t="str">
        <f>IF(tblSalaries[[#This Row],[Years of Experience]]="","",IF(AND(tblSalaries[[#This Row],[Years of Experience]]&gt;5,tblSalaries[[#This Row],[Years of Experience]]&lt;=10),1,""))</f>
        <v/>
      </c>
      <c r="Q1706" t="str">
        <f>IF(tblSalaries[[#This Row],[Years of Experience]]="","",IF(AND(tblSalaries[[#This Row],[Years of Experience]]&gt;10,tblSalaries[[#This Row],[Years of Experience]]&lt;=15),1,""))</f>
        <v/>
      </c>
      <c r="R1706" t="str">
        <f>IF(tblSalaries[[#This Row],[Years of Experience]]="","",IF(AND(tblSalaries[[#This Row],[Years of Experience]]&gt;16,tblSalaries[[#This Row],[Years of Experience]]&lt;=20),1,""))</f>
        <v/>
      </c>
      <c r="S1706" t="str">
        <f>IF(tblSalaries[[#This Row],[Years of Experience]]="","",IF(tblSalaries[[#This Row],[Years of Experience]]&gt;20,1,""))</f>
        <v/>
      </c>
      <c r="T17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06" s="13" t="str">
        <f>IF(tblSalaries[[#This Row],[Job Type]]=tblSalaries[[#Headers],[Accountant]],tblSalaries[[#This Row],[Salary in USD]],"")</f>
        <v/>
      </c>
      <c r="V1706" s="13">
        <f>IF(tblSalaries[[#This Row],[Job Type]]=tblSalaries[[#Headers],[Analyst]],tblSalaries[[#This Row],[Salary in USD]],"")</f>
        <v>4594.4425053601826</v>
      </c>
      <c r="W1706" s="13" t="str">
        <f>IF(tblSalaries[[#This Row],[Job Type]]=tblSalaries[[#Headers],[Consultant]],tblSalaries[[#This Row],[Salary in USD]],"")</f>
        <v/>
      </c>
      <c r="X1706" s="13" t="str">
        <f>IF(tblSalaries[[#This Row],[Job Type]]=tblSalaries[[#Headers],[Controller]],tblSalaries[[#This Row],[Salary in USD]],"")</f>
        <v/>
      </c>
      <c r="Y1706" s="13" t="str">
        <f>IF(tblSalaries[[#This Row],[Job Type]]=tblSalaries[[#Headers],[CXO or Top Mgmt.]],tblSalaries[[#This Row],[clean Salary (in local currency)]],"")</f>
        <v/>
      </c>
      <c r="Z1706" s="13" t="str">
        <f>IF(tblSalaries[[#This Row],[Job Type]]=tblSalaries[[#Headers],[Engineer]],tblSalaries[[#This Row],[Salary in USD]],"")</f>
        <v/>
      </c>
      <c r="AA1706" s="13" t="str">
        <f>IF(tblSalaries[[#This Row],[Job Type]]=tblSalaries[[#Headers],[Manager]],tblSalaries[[#This Row],[Salary in USD]],"")</f>
        <v/>
      </c>
      <c r="AB1706" s="13" t="str">
        <f>IF(tblSalaries[[#This Row],[Job Type]]=tblSalaries[[#Headers],[Misc.]],tblSalaries[[#This Row],[Salary in USD]],"")</f>
        <v/>
      </c>
      <c r="AC1706" s="13" t="str">
        <f>IF(tblSalaries[[#This Row],[Job Type]]=tblSalaries[[#Headers],[Reporting]],tblSalaries[[#This Row],[Salary in USD]],"")</f>
        <v/>
      </c>
      <c r="AD1706" s="13" t="str">
        <f>IF(tblSalaries[[#This Row],[Job Type]]=tblSalaries[[#Headers],[Specialist]],tblSalaries[[#This Row],[Salary in USD]],"")</f>
        <v/>
      </c>
    </row>
    <row r="1707" spans="2:30" ht="15" customHeight="1" x14ac:dyDescent="0.25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 s="9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  <c r="N1707" t="str">
        <f>IF(tblSalaries[[#This Row],[Years of Experience]]="","",IF(tblSalaries[[#This Row],[Years of Experience]]&lt;=2,1,""))</f>
        <v/>
      </c>
      <c r="O1707" t="str">
        <f>IF(tblSalaries[[#This Row],[Years of Experience]]="","",IF(AND(tblSalaries[[#This Row],[Years of Experience]]&gt;2,tblSalaries[[#This Row],[Years of Experience]]&lt;=5),1,""))</f>
        <v/>
      </c>
      <c r="P1707" t="str">
        <f>IF(tblSalaries[[#This Row],[Years of Experience]]="","",IF(AND(tblSalaries[[#This Row],[Years of Experience]]&gt;5,tblSalaries[[#This Row],[Years of Experience]]&lt;=10),1,""))</f>
        <v/>
      </c>
      <c r="Q1707">
        <f>IF(tblSalaries[[#This Row],[Years of Experience]]="","",IF(AND(tblSalaries[[#This Row],[Years of Experience]]&gt;10,tblSalaries[[#This Row],[Years of Experience]]&lt;=15),1,""))</f>
        <v>1</v>
      </c>
      <c r="R1707" t="str">
        <f>IF(tblSalaries[[#This Row],[Years of Experience]]="","",IF(AND(tblSalaries[[#This Row],[Years of Experience]]&gt;16,tblSalaries[[#This Row],[Years of Experience]]&lt;=20),1,""))</f>
        <v/>
      </c>
      <c r="S1707" t="str">
        <f>IF(tblSalaries[[#This Row],[Years of Experience]]="","",IF(tblSalaries[[#This Row],[Years of Experience]]&gt;20,1,""))</f>
        <v/>
      </c>
      <c r="T17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07" s="13" t="str">
        <f>IF(tblSalaries[[#This Row],[Job Type]]=tblSalaries[[#Headers],[Accountant]],tblSalaries[[#This Row],[Salary in USD]],"")</f>
        <v/>
      </c>
      <c r="V1707" s="13">
        <f>IF(tblSalaries[[#This Row],[Job Type]]=tblSalaries[[#Headers],[Analyst]],tblSalaries[[#This Row],[Salary in USD]],"")</f>
        <v>69000</v>
      </c>
      <c r="W1707" s="13" t="str">
        <f>IF(tblSalaries[[#This Row],[Job Type]]=tblSalaries[[#Headers],[Consultant]],tblSalaries[[#This Row],[Salary in USD]],"")</f>
        <v/>
      </c>
      <c r="X1707" s="13" t="str">
        <f>IF(tblSalaries[[#This Row],[Job Type]]=tblSalaries[[#Headers],[Controller]],tblSalaries[[#This Row],[Salary in USD]],"")</f>
        <v/>
      </c>
      <c r="Y1707" s="13" t="str">
        <f>IF(tblSalaries[[#This Row],[Job Type]]=tblSalaries[[#Headers],[CXO or Top Mgmt.]],tblSalaries[[#This Row],[clean Salary (in local currency)]],"")</f>
        <v/>
      </c>
      <c r="Z1707" s="13" t="str">
        <f>IF(tblSalaries[[#This Row],[Job Type]]=tblSalaries[[#Headers],[Engineer]],tblSalaries[[#This Row],[Salary in USD]],"")</f>
        <v/>
      </c>
      <c r="AA1707" s="13" t="str">
        <f>IF(tblSalaries[[#This Row],[Job Type]]=tblSalaries[[#Headers],[Manager]],tblSalaries[[#This Row],[Salary in USD]],"")</f>
        <v/>
      </c>
      <c r="AB1707" s="13" t="str">
        <f>IF(tblSalaries[[#This Row],[Job Type]]=tblSalaries[[#Headers],[Misc.]],tblSalaries[[#This Row],[Salary in USD]],"")</f>
        <v/>
      </c>
      <c r="AC1707" s="13" t="str">
        <f>IF(tblSalaries[[#This Row],[Job Type]]=tblSalaries[[#Headers],[Reporting]],tblSalaries[[#This Row],[Salary in USD]],"")</f>
        <v/>
      </c>
      <c r="AD1707" s="13" t="str">
        <f>IF(tblSalaries[[#This Row],[Job Type]]=tblSalaries[[#Headers],[Specialist]],tblSalaries[[#This Row],[Salary in USD]],"")</f>
        <v/>
      </c>
    </row>
    <row r="1708" spans="2:30" ht="15" customHeight="1" x14ac:dyDescent="0.25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 s="9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  <c r="N1708">
        <f>IF(tblSalaries[[#This Row],[Years of Experience]]="","",IF(tblSalaries[[#This Row],[Years of Experience]]&lt;=2,1,""))</f>
        <v>1</v>
      </c>
      <c r="O1708" t="str">
        <f>IF(tblSalaries[[#This Row],[Years of Experience]]="","",IF(AND(tblSalaries[[#This Row],[Years of Experience]]&gt;2,tblSalaries[[#This Row],[Years of Experience]]&lt;=5),1,""))</f>
        <v/>
      </c>
      <c r="P1708" t="str">
        <f>IF(tblSalaries[[#This Row],[Years of Experience]]="","",IF(AND(tblSalaries[[#This Row],[Years of Experience]]&gt;5,tblSalaries[[#This Row],[Years of Experience]]&lt;=10),1,""))</f>
        <v/>
      </c>
      <c r="Q1708" t="str">
        <f>IF(tblSalaries[[#This Row],[Years of Experience]]="","",IF(AND(tblSalaries[[#This Row],[Years of Experience]]&gt;10,tblSalaries[[#This Row],[Years of Experience]]&lt;=15),1,""))</f>
        <v/>
      </c>
      <c r="R1708" t="str">
        <f>IF(tblSalaries[[#This Row],[Years of Experience]]="","",IF(AND(tblSalaries[[#This Row],[Years of Experience]]&gt;16,tblSalaries[[#This Row],[Years of Experience]]&lt;=20),1,""))</f>
        <v/>
      </c>
      <c r="S1708" t="str">
        <f>IF(tblSalaries[[#This Row],[Years of Experience]]="","",IF(tblSalaries[[#This Row],[Years of Experience]]&gt;20,1,""))</f>
        <v/>
      </c>
      <c r="T17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08" s="13" t="str">
        <f>IF(tblSalaries[[#This Row],[Job Type]]=tblSalaries[[#Headers],[Accountant]],tblSalaries[[#This Row],[Salary in USD]],"")</f>
        <v/>
      </c>
      <c r="V1708" s="13" t="str">
        <f>IF(tblSalaries[[#This Row],[Job Type]]=tblSalaries[[#Headers],[Analyst]],tblSalaries[[#This Row],[Salary in USD]],"")</f>
        <v/>
      </c>
      <c r="W1708" s="13" t="str">
        <f>IF(tblSalaries[[#This Row],[Job Type]]=tblSalaries[[#Headers],[Consultant]],tblSalaries[[#This Row],[Salary in USD]],"")</f>
        <v/>
      </c>
      <c r="X1708" s="13" t="str">
        <f>IF(tblSalaries[[#This Row],[Job Type]]=tblSalaries[[#Headers],[Controller]],tblSalaries[[#This Row],[Salary in USD]],"")</f>
        <v/>
      </c>
      <c r="Y1708" s="13" t="str">
        <f>IF(tblSalaries[[#This Row],[Job Type]]=tblSalaries[[#Headers],[CXO or Top Mgmt.]],tblSalaries[[#This Row],[clean Salary (in local currency)]],"")</f>
        <v/>
      </c>
      <c r="Z1708" s="13" t="str">
        <f>IF(tblSalaries[[#This Row],[Job Type]]=tblSalaries[[#Headers],[Engineer]],tblSalaries[[#This Row],[Salary in USD]],"")</f>
        <v/>
      </c>
      <c r="AA1708" s="13">
        <f>IF(tblSalaries[[#This Row],[Job Type]]=tblSalaries[[#Headers],[Manager]],tblSalaries[[#This Row],[Salary in USD]],"")</f>
        <v>30000</v>
      </c>
      <c r="AB1708" s="13" t="str">
        <f>IF(tblSalaries[[#This Row],[Job Type]]=tblSalaries[[#Headers],[Misc.]],tblSalaries[[#This Row],[Salary in USD]],"")</f>
        <v/>
      </c>
      <c r="AC1708" s="13" t="str">
        <f>IF(tblSalaries[[#This Row],[Job Type]]=tblSalaries[[#Headers],[Reporting]],tblSalaries[[#This Row],[Salary in USD]],"")</f>
        <v/>
      </c>
      <c r="AD1708" s="13" t="str">
        <f>IF(tblSalaries[[#This Row],[Job Type]]=tblSalaries[[#Headers],[Specialist]],tblSalaries[[#This Row],[Salary in USD]],"")</f>
        <v/>
      </c>
    </row>
    <row r="1709" spans="2:30" ht="15" customHeight="1" x14ac:dyDescent="0.25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 s="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  <c r="N1709" t="str">
        <f>IF(tblSalaries[[#This Row],[Years of Experience]]="","",IF(tblSalaries[[#This Row],[Years of Experience]]&lt;=2,1,""))</f>
        <v/>
      </c>
      <c r="O1709" t="str">
        <f>IF(tblSalaries[[#This Row],[Years of Experience]]="","",IF(AND(tblSalaries[[#This Row],[Years of Experience]]&gt;2,tblSalaries[[#This Row],[Years of Experience]]&lt;=5),1,""))</f>
        <v/>
      </c>
      <c r="P1709">
        <f>IF(tblSalaries[[#This Row],[Years of Experience]]="","",IF(AND(tblSalaries[[#This Row],[Years of Experience]]&gt;5,tblSalaries[[#This Row],[Years of Experience]]&lt;=10),1,""))</f>
        <v>1</v>
      </c>
      <c r="Q1709" t="str">
        <f>IF(tblSalaries[[#This Row],[Years of Experience]]="","",IF(AND(tblSalaries[[#This Row],[Years of Experience]]&gt;10,tblSalaries[[#This Row],[Years of Experience]]&lt;=15),1,""))</f>
        <v/>
      </c>
      <c r="R1709" t="str">
        <f>IF(tblSalaries[[#This Row],[Years of Experience]]="","",IF(AND(tblSalaries[[#This Row],[Years of Experience]]&gt;16,tblSalaries[[#This Row],[Years of Experience]]&lt;=20),1,""))</f>
        <v/>
      </c>
      <c r="S1709" t="str">
        <f>IF(tblSalaries[[#This Row],[Years of Experience]]="","",IF(tblSalaries[[#This Row],[Years of Experience]]&gt;20,1,""))</f>
        <v/>
      </c>
      <c r="T17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09" s="13" t="str">
        <f>IF(tblSalaries[[#This Row],[Job Type]]=tblSalaries[[#Headers],[Accountant]],tblSalaries[[#This Row],[Salary in USD]],"")</f>
        <v/>
      </c>
      <c r="V1709" s="13" t="str">
        <f>IF(tblSalaries[[#This Row],[Job Type]]=tblSalaries[[#Headers],[Analyst]],tblSalaries[[#This Row],[Salary in USD]],"")</f>
        <v/>
      </c>
      <c r="W1709" s="13" t="str">
        <f>IF(tblSalaries[[#This Row],[Job Type]]=tblSalaries[[#Headers],[Consultant]],tblSalaries[[#This Row],[Salary in USD]],"")</f>
        <v/>
      </c>
      <c r="X1709" s="13" t="str">
        <f>IF(tblSalaries[[#This Row],[Job Type]]=tblSalaries[[#Headers],[Controller]],tblSalaries[[#This Row],[Salary in USD]],"")</f>
        <v/>
      </c>
      <c r="Y1709" s="13" t="str">
        <f>IF(tblSalaries[[#This Row],[Job Type]]=tblSalaries[[#Headers],[CXO or Top Mgmt.]],tblSalaries[[#This Row],[clean Salary (in local currency)]],"")</f>
        <v/>
      </c>
      <c r="Z1709" s="13" t="str">
        <f>IF(tblSalaries[[#This Row],[Job Type]]=tblSalaries[[#Headers],[Engineer]],tblSalaries[[#This Row],[Salary in USD]],"")</f>
        <v/>
      </c>
      <c r="AA1709" s="13">
        <f>IF(tblSalaries[[#This Row],[Job Type]]=tblSalaries[[#Headers],[Manager]],tblSalaries[[#This Row],[Salary in USD]],"")</f>
        <v>80000</v>
      </c>
      <c r="AB1709" s="13" t="str">
        <f>IF(tblSalaries[[#This Row],[Job Type]]=tblSalaries[[#Headers],[Misc.]],tblSalaries[[#This Row],[Salary in USD]],"")</f>
        <v/>
      </c>
      <c r="AC1709" s="13" t="str">
        <f>IF(tblSalaries[[#This Row],[Job Type]]=tblSalaries[[#Headers],[Reporting]],tblSalaries[[#This Row],[Salary in USD]],"")</f>
        <v/>
      </c>
      <c r="AD1709" s="13" t="str">
        <f>IF(tblSalaries[[#This Row],[Job Type]]=tblSalaries[[#Headers],[Specialist]],tblSalaries[[#This Row],[Salary in USD]],"")</f>
        <v/>
      </c>
    </row>
    <row r="1710" spans="2:30" ht="15" customHeight="1" x14ac:dyDescent="0.25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 s="9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  <c r="N1710">
        <f>IF(tblSalaries[[#This Row],[Years of Experience]]="","",IF(tblSalaries[[#This Row],[Years of Experience]]&lt;=2,1,""))</f>
        <v>1</v>
      </c>
      <c r="O1710" t="str">
        <f>IF(tblSalaries[[#This Row],[Years of Experience]]="","",IF(AND(tblSalaries[[#This Row],[Years of Experience]]&gt;2,tblSalaries[[#This Row],[Years of Experience]]&lt;=5),1,""))</f>
        <v/>
      </c>
      <c r="P1710" t="str">
        <f>IF(tblSalaries[[#This Row],[Years of Experience]]="","",IF(AND(tblSalaries[[#This Row],[Years of Experience]]&gt;5,tblSalaries[[#This Row],[Years of Experience]]&lt;=10),1,""))</f>
        <v/>
      </c>
      <c r="Q1710" t="str">
        <f>IF(tblSalaries[[#This Row],[Years of Experience]]="","",IF(AND(tblSalaries[[#This Row],[Years of Experience]]&gt;10,tblSalaries[[#This Row],[Years of Experience]]&lt;=15),1,""))</f>
        <v/>
      </c>
      <c r="R1710" t="str">
        <f>IF(tblSalaries[[#This Row],[Years of Experience]]="","",IF(AND(tblSalaries[[#This Row],[Years of Experience]]&gt;16,tblSalaries[[#This Row],[Years of Experience]]&lt;=20),1,""))</f>
        <v/>
      </c>
      <c r="S1710" t="str">
        <f>IF(tblSalaries[[#This Row],[Years of Experience]]="","",IF(tblSalaries[[#This Row],[Years of Experience]]&gt;20,1,""))</f>
        <v/>
      </c>
      <c r="T17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0" s="13">
        <f>IF(tblSalaries[[#This Row],[Job Type]]=tblSalaries[[#Headers],[Accountant]],tblSalaries[[#This Row],[Salary in USD]],"")</f>
        <v>75000</v>
      </c>
      <c r="V1710" s="13" t="str">
        <f>IF(tblSalaries[[#This Row],[Job Type]]=tblSalaries[[#Headers],[Analyst]],tblSalaries[[#This Row],[Salary in USD]],"")</f>
        <v/>
      </c>
      <c r="W1710" s="13" t="str">
        <f>IF(tblSalaries[[#This Row],[Job Type]]=tblSalaries[[#Headers],[Consultant]],tblSalaries[[#This Row],[Salary in USD]],"")</f>
        <v/>
      </c>
      <c r="X1710" s="13" t="str">
        <f>IF(tblSalaries[[#This Row],[Job Type]]=tblSalaries[[#Headers],[Controller]],tblSalaries[[#This Row],[Salary in USD]],"")</f>
        <v/>
      </c>
      <c r="Y1710" s="13" t="str">
        <f>IF(tblSalaries[[#This Row],[Job Type]]=tblSalaries[[#Headers],[CXO or Top Mgmt.]],tblSalaries[[#This Row],[clean Salary (in local currency)]],"")</f>
        <v/>
      </c>
      <c r="Z1710" s="13" t="str">
        <f>IF(tblSalaries[[#This Row],[Job Type]]=tblSalaries[[#Headers],[Engineer]],tblSalaries[[#This Row],[Salary in USD]],"")</f>
        <v/>
      </c>
      <c r="AA1710" s="13" t="str">
        <f>IF(tblSalaries[[#This Row],[Job Type]]=tblSalaries[[#Headers],[Manager]],tblSalaries[[#This Row],[Salary in USD]],"")</f>
        <v/>
      </c>
      <c r="AB1710" s="13" t="str">
        <f>IF(tblSalaries[[#This Row],[Job Type]]=tblSalaries[[#Headers],[Misc.]],tblSalaries[[#This Row],[Salary in USD]],"")</f>
        <v/>
      </c>
      <c r="AC1710" s="13" t="str">
        <f>IF(tblSalaries[[#This Row],[Job Type]]=tblSalaries[[#Headers],[Reporting]],tblSalaries[[#This Row],[Salary in USD]],"")</f>
        <v/>
      </c>
      <c r="AD1710" s="13" t="str">
        <f>IF(tblSalaries[[#This Row],[Job Type]]=tblSalaries[[#Headers],[Specialist]],tblSalaries[[#This Row],[Salary in USD]],"")</f>
        <v/>
      </c>
    </row>
    <row r="1711" spans="2:30" ht="15" customHeight="1" x14ac:dyDescent="0.25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 s="9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  <c r="N1711" t="str">
        <f>IF(tblSalaries[[#This Row],[Years of Experience]]="","",IF(tblSalaries[[#This Row],[Years of Experience]]&lt;=2,1,""))</f>
        <v/>
      </c>
      <c r="O1711">
        <f>IF(tblSalaries[[#This Row],[Years of Experience]]="","",IF(AND(tblSalaries[[#This Row],[Years of Experience]]&gt;2,tblSalaries[[#This Row],[Years of Experience]]&lt;=5),1,""))</f>
        <v>1</v>
      </c>
      <c r="P1711" t="str">
        <f>IF(tblSalaries[[#This Row],[Years of Experience]]="","",IF(AND(tblSalaries[[#This Row],[Years of Experience]]&gt;5,tblSalaries[[#This Row],[Years of Experience]]&lt;=10),1,""))</f>
        <v/>
      </c>
      <c r="Q1711" t="str">
        <f>IF(tblSalaries[[#This Row],[Years of Experience]]="","",IF(AND(tblSalaries[[#This Row],[Years of Experience]]&gt;10,tblSalaries[[#This Row],[Years of Experience]]&lt;=15),1,""))</f>
        <v/>
      </c>
      <c r="R1711" t="str">
        <f>IF(tblSalaries[[#This Row],[Years of Experience]]="","",IF(AND(tblSalaries[[#This Row],[Years of Experience]]&gt;16,tblSalaries[[#This Row],[Years of Experience]]&lt;=20),1,""))</f>
        <v/>
      </c>
      <c r="S1711" t="str">
        <f>IF(tblSalaries[[#This Row],[Years of Experience]]="","",IF(tblSalaries[[#This Row],[Years of Experience]]&gt;20,1,""))</f>
        <v/>
      </c>
      <c r="T17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11" s="13" t="str">
        <f>IF(tblSalaries[[#This Row],[Job Type]]=tblSalaries[[#Headers],[Accountant]],tblSalaries[[#This Row],[Salary in USD]],"")</f>
        <v/>
      </c>
      <c r="V1711" s="13">
        <f>IF(tblSalaries[[#This Row],[Job Type]]=tblSalaries[[#Headers],[Analyst]],tblSalaries[[#This Row],[Salary in USD]],"")</f>
        <v>31200</v>
      </c>
      <c r="W1711" s="13" t="str">
        <f>IF(tblSalaries[[#This Row],[Job Type]]=tblSalaries[[#Headers],[Consultant]],tblSalaries[[#This Row],[Salary in USD]],"")</f>
        <v/>
      </c>
      <c r="X1711" s="13" t="str">
        <f>IF(tblSalaries[[#This Row],[Job Type]]=tblSalaries[[#Headers],[Controller]],tblSalaries[[#This Row],[Salary in USD]],"")</f>
        <v/>
      </c>
      <c r="Y1711" s="13" t="str">
        <f>IF(tblSalaries[[#This Row],[Job Type]]=tblSalaries[[#Headers],[CXO or Top Mgmt.]],tblSalaries[[#This Row],[clean Salary (in local currency)]],"")</f>
        <v/>
      </c>
      <c r="Z1711" s="13" t="str">
        <f>IF(tblSalaries[[#This Row],[Job Type]]=tblSalaries[[#Headers],[Engineer]],tblSalaries[[#This Row],[Salary in USD]],"")</f>
        <v/>
      </c>
      <c r="AA1711" s="13" t="str">
        <f>IF(tblSalaries[[#This Row],[Job Type]]=tblSalaries[[#Headers],[Manager]],tblSalaries[[#This Row],[Salary in USD]],"")</f>
        <v/>
      </c>
      <c r="AB1711" s="13" t="str">
        <f>IF(tblSalaries[[#This Row],[Job Type]]=tblSalaries[[#Headers],[Misc.]],tblSalaries[[#This Row],[Salary in USD]],"")</f>
        <v/>
      </c>
      <c r="AC1711" s="13" t="str">
        <f>IF(tblSalaries[[#This Row],[Job Type]]=tblSalaries[[#Headers],[Reporting]],tblSalaries[[#This Row],[Salary in USD]],"")</f>
        <v/>
      </c>
      <c r="AD1711" s="13" t="str">
        <f>IF(tblSalaries[[#This Row],[Job Type]]=tblSalaries[[#Headers],[Specialist]],tblSalaries[[#This Row],[Salary in USD]],"")</f>
        <v/>
      </c>
    </row>
    <row r="1712" spans="2:30" ht="15" customHeight="1" x14ac:dyDescent="0.25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 s="9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  <c r="N1712" t="str">
        <f>IF(tblSalaries[[#This Row],[Years of Experience]]="","",IF(tblSalaries[[#This Row],[Years of Experience]]&lt;=2,1,""))</f>
        <v/>
      </c>
      <c r="O1712" t="str">
        <f>IF(tblSalaries[[#This Row],[Years of Experience]]="","",IF(AND(tblSalaries[[#This Row],[Years of Experience]]&gt;2,tblSalaries[[#This Row],[Years of Experience]]&lt;=5),1,""))</f>
        <v/>
      </c>
      <c r="P1712" t="str">
        <f>IF(tblSalaries[[#This Row],[Years of Experience]]="","",IF(AND(tblSalaries[[#This Row],[Years of Experience]]&gt;5,tblSalaries[[#This Row],[Years of Experience]]&lt;=10),1,""))</f>
        <v/>
      </c>
      <c r="Q1712" t="str">
        <f>IF(tblSalaries[[#This Row],[Years of Experience]]="","",IF(AND(tblSalaries[[#This Row],[Years of Experience]]&gt;10,tblSalaries[[#This Row],[Years of Experience]]&lt;=15),1,""))</f>
        <v/>
      </c>
      <c r="R1712">
        <f>IF(tblSalaries[[#This Row],[Years of Experience]]="","",IF(AND(tblSalaries[[#This Row],[Years of Experience]]&gt;16,tblSalaries[[#This Row],[Years of Experience]]&lt;=20),1,""))</f>
        <v>1</v>
      </c>
      <c r="S1712" t="str">
        <f>IF(tblSalaries[[#This Row],[Years of Experience]]="","",IF(tblSalaries[[#This Row],[Years of Experience]]&gt;20,1,""))</f>
        <v/>
      </c>
      <c r="T17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12" s="13">
        <f>IF(tblSalaries[[#This Row],[Job Type]]=tblSalaries[[#Headers],[Accountant]],tblSalaries[[#This Row],[Salary in USD]],"")</f>
        <v>85000</v>
      </c>
      <c r="V1712" s="13" t="str">
        <f>IF(tblSalaries[[#This Row],[Job Type]]=tblSalaries[[#Headers],[Analyst]],tblSalaries[[#This Row],[Salary in USD]],"")</f>
        <v/>
      </c>
      <c r="W1712" s="13" t="str">
        <f>IF(tblSalaries[[#This Row],[Job Type]]=tblSalaries[[#Headers],[Consultant]],tblSalaries[[#This Row],[Salary in USD]],"")</f>
        <v/>
      </c>
      <c r="X1712" s="13" t="str">
        <f>IF(tblSalaries[[#This Row],[Job Type]]=tblSalaries[[#Headers],[Controller]],tblSalaries[[#This Row],[Salary in USD]],"")</f>
        <v/>
      </c>
      <c r="Y1712" s="13" t="str">
        <f>IF(tblSalaries[[#This Row],[Job Type]]=tblSalaries[[#Headers],[CXO or Top Mgmt.]],tblSalaries[[#This Row],[clean Salary (in local currency)]],"")</f>
        <v/>
      </c>
      <c r="Z1712" s="13" t="str">
        <f>IF(tblSalaries[[#This Row],[Job Type]]=tblSalaries[[#Headers],[Engineer]],tblSalaries[[#This Row],[Salary in USD]],"")</f>
        <v/>
      </c>
      <c r="AA1712" s="13" t="str">
        <f>IF(tblSalaries[[#This Row],[Job Type]]=tblSalaries[[#Headers],[Manager]],tblSalaries[[#This Row],[Salary in USD]],"")</f>
        <v/>
      </c>
      <c r="AB1712" s="13" t="str">
        <f>IF(tblSalaries[[#This Row],[Job Type]]=tblSalaries[[#Headers],[Misc.]],tblSalaries[[#This Row],[Salary in USD]],"")</f>
        <v/>
      </c>
      <c r="AC1712" s="13" t="str">
        <f>IF(tblSalaries[[#This Row],[Job Type]]=tblSalaries[[#Headers],[Reporting]],tblSalaries[[#This Row],[Salary in USD]],"")</f>
        <v/>
      </c>
      <c r="AD1712" s="13" t="str">
        <f>IF(tblSalaries[[#This Row],[Job Type]]=tblSalaries[[#Headers],[Specialist]],tblSalaries[[#This Row],[Salary in USD]],"")</f>
        <v/>
      </c>
    </row>
    <row r="1713" spans="2:30" ht="15" customHeight="1" x14ac:dyDescent="0.25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 s="9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  <c r="N1713" t="str">
        <f>IF(tblSalaries[[#This Row],[Years of Experience]]="","",IF(tblSalaries[[#This Row],[Years of Experience]]&lt;=2,1,""))</f>
        <v/>
      </c>
      <c r="O1713" t="str">
        <f>IF(tblSalaries[[#This Row],[Years of Experience]]="","",IF(AND(tblSalaries[[#This Row],[Years of Experience]]&gt;2,tblSalaries[[#This Row],[Years of Experience]]&lt;=5),1,""))</f>
        <v/>
      </c>
      <c r="P1713">
        <f>IF(tblSalaries[[#This Row],[Years of Experience]]="","",IF(AND(tblSalaries[[#This Row],[Years of Experience]]&gt;5,tblSalaries[[#This Row],[Years of Experience]]&lt;=10),1,""))</f>
        <v>1</v>
      </c>
      <c r="Q1713" t="str">
        <f>IF(tblSalaries[[#This Row],[Years of Experience]]="","",IF(AND(tblSalaries[[#This Row],[Years of Experience]]&gt;10,tblSalaries[[#This Row],[Years of Experience]]&lt;=15),1,""))</f>
        <v/>
      </c>
      <c r="R1713" t="str">
        <f>IF(tblSalaries[[#This Row],[Years of Experience]]="","",IF(AND(tblSalaries[[#This Row],[Years of Experience]]&gt;16,tblSalaries[[#This Row],[Years of Experience]]&lt;=20),1,""))</f>
        <v/>
      </c>
      <c r="S1713" t="str">
        <f>IF(tblSalaries[[#This Row],[Years of Experience]]="","",IF(tblSalaries[[#This Row],[Years of Experience]]&gt;20,1,""))</f>
        <v/>
      </c>
      <c r="T17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13" s="13" t="str">
        <f>IF(tblSalaries[[#This Row],[Job Type]]=tblSalaries[[#Headers],[Accountant]],tblSalaries[[#This Row],[Salary in USD]],"")</f>
        <v/>
      </c>
      <c r="V1713" s="13" t="str">
        <f>IF(tblSalaries[[#This Row],[Job Type]]=tblSalaries[[#Headers],[Analyst]],tblSalaries[[#This Row],[Salary in USD]],"")</f>
        <v/>
      </c>
      <c r="W1713" s="13" t="str">
        <f>IF(tblSalaries[[#This Row],[Job Type]]=tblSalaries[[#Headers],[Consultant]],tblSalaries[[#This Row],[Salary in USD]],"")</f>
        <v/>
      </c>
      <c r="X1713" s="13" t="str">
        <f>IF(tblSalaries[[#This Row],[Job Type]]=tblSalaries[[#Headers],[Controller]],tblSalaries[[#This Row],[Salary in USD]],"")</f>
        <v/>
      </c>
      <c r="Y1713" s="13" t="str">
        <f>IF(tblSalaries[[#This Row],[Job Type]]=tblSalaries[[#Headers],[CXO or Top Mgmt.]],tblSalaries[[#This Row],[clean Salary (in local currency)]],"")</f>
        <v/>
      </c>
      <c r="Z1713" s="13" t="str">
        <f>IF(tblSalaries[[#This Row],[Job Type]]=tblSalaries[[#Headers],[Engineer]],tblSalaries[[#This Row],[Salary in USD]],"")</f>
        <v/>
      </c>
      <c r="AA1713" s="13">
        <f>IF(tblSalaries[[#This Row],[Job Type]]=tblSalaries[[#Headers],[Manager]],tblSalaries[[#This Row],[Salary in USD]],"")</f>
        <v>16917.52085307044</v>
      </c>
      <c r="AB1713" s="13" t="str">
        <f>IF(tblSalaries[[#This Row],[Job Type]]=tblSalaries[[#Headers],[Misc.]],tblSalaries[[#This Row],[Salary in USD]],"")</f>
        <v/>
      </c>
      <c r="AC1713" s="13" t="str">
        <f>IF(tblSalaries[[#This Row],[Job Type]]=tblSalaries[[#Headers],[Reporting]],tblSalaries[[#This Row],[Salary in USD]],"")</f>
        <v/>
      </c>
      <c r="AD1713" s="13" t="str">
        <f>IF(tblSalaries[[#This Row],[Job Type]]=tblSalaries[[#Headers],[Specialist]],tblSalaries[[#This Row],[Salary in USD]],"")</f>
        <v/>
      </c>
    </row>
    <row r="1714" spans="2:30" ht="15" customHeight="1" x14ac:dyDescent="0.25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 s="9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3999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  <c r="N1714">
        <f>IF(tblSalaries[[#This Row],[Years of Experience]]="","",IF(tblSalaries[[#This Row],[Years of Experience]]&lt;=2,1,""))</f>
        <v>1</v>
      </c>
      <c r="O1714" t="str">
        <f>IF(tblSalaries[[#This Row],[Years of Experience]]="","",IF(AND(tblSalaries[[#This Row],[Years of Experience]]&gt;2,tblSalaries[[#This Row],[Years of Experience]]&lt;=5),1,""))</f>
        <v/>
      </c>
      <c r="P1714" t="str">
        <f>IF(tblSalaries[[#This Row],[Years of Experience]]="","",IF(AND(tblSalaries[[#This Row],[Years of Experience]]&gt;5,tblSalaries[[#This Row],[Years of Experience]]&lt;=10),1,""))</f>
        <v/>
      </c>
      <c r="Q1714" t="str">
        <f>IF(tblSalaries[[#This Row],[Years of Experience]]="","",IF(AND(tblSalaries[[#This Row],[Years of Experience]]&gt;10,tblSalaries[[#This Row],[Years of Experience]]&lt;=15),1,""))</f>
        <v/>
      </c>
      <c r="R1714" t="str">
        <f>IF(tblSalaries[[#This Row],[Years of Experience]]="","",IF(AND(tblSalaries[[#This Row],[Years of Experience]]&gt;16,tblSalaries[[#This Row],[Years of Experience]]&lt;=20),1,""))</f>
        <v/>
      </c>
      <c r="S1714" t="str">
        <f>IF(tblSalaries[[#This Row],[Years of Experience]]="","",IF(tblSalaries[[#This Row],[Years of Experience]]&gt;20,1,""))</f>
        <v/>
      </c>
      <c r="T17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4" s="13" t="str">
        <f>IF(tblSalaries[[#This Row],[Job Type]]=tblSalaries[[#Headers],[Accountant]],tblSalaries[[#This Row],[Salary in USD]],"")</f>
        <v/>
      </c>
      <c r="V1714" s="13" t="str">
        <f>IF(tblSalaries[[#This Row],[Job Type]]=tblSalaries[[#Headers],[Analyst]],tblSalaries[[#This Row],[Salary in USD]],"")</f>
        <v/>
      </c>
      <c r="W1714" s="13" t="str">
        <f>IF(tblSalaries[[#This Row],[Job Type]]=tblSalaries[[#Headers],[Consultant]],tblSalaries[[#This Row],[Salary in USD]],"")</f>
        <v/>
      </c>
      <c r="X1714" s="13" t="str">
        <f>IF(tblSalaries[[#This Row],[Job Type]]=tblSalaries[[#Headers],[Controller]],tblSalaries[[#This Row],[Salary in USD]],"")</f>
        <v/>
      </c>
      <c r="Y1714" s="13" t="str">
        <f>IF(tblSalaries[[#This Row],[Job Type]]=tblSalaries[[#Headers],[CXO or Top Mgmt.]],tblSalaries[[#This Row],[clean Salary (in local currency)]],"")</f>
        <v/>
      </c>
      <c r="Z1714" s="13" t="str">
        <f>IF(tblSalaries[[#This Row],[Job Type]]=tblSalaries[[#Headers],[Engineer]],tblSalaries[[#This Row],[Salary in USD]],"")</f>
        <v/>
      </c>
      <c r="AA1714" s="13" t="str">
        <f>IF(tblSalaries[[#This Row],[Job Type]]=tblSalaries[[#Headers],[Manager]],tblSalaries[[#This Row],[Salary in USD]],"")</f>
        <v/>
      </c>
      <c r="AB1714" s="13" t="str">
        <f>IF(tblSalaries[[#This Row],[Job Type]]=tblSalaries[[#Headers],[Misc.]],tblSalaries[[#This Row],[Salary in USD]],"")</f>
        <v/>
      </c>
      <c r="AC1714" s="13">
        <f>IF(tblSalaries[[#This Row],[Job Type]]=tblSalaries[[#Headers],[Reporting]],tblSalaries[[#This Row],[Salary in USD]],"")</f>
        <v>3205.4250037396623</v>
      </c>
      <c r="AD1714" s="13" t="str">
        <f>IF(tblSalaries[[#This Row],[Job Type]]=tblSalaries[[#Headers],[Specialist]],tblSalaries[[#This Row],[Salary in USD]],"")</f>
        <v/>
      </c>
    </row>
    <row r="1715" spans="2:30" ht="15" customHeight="1" x14ac:dyDescent="0.25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 s="9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  <c r="N1715">
        <f>IF(tblSalaries[[#This Row],[Years of Experience]]="","",IF(tblSalaries[[#This Row],[Years of Experience]]&lt;=2,1,""))</f>
        <v>1</v>
      </c>
      <c r="O1715" t="str">
        <f>IF(tblSalaries[[#This Row],[Years of Experience]]="","",IF(AND(tblSalaries[[#This Row],[Years of Experience]]&gt;2,tblSalaries[[#This Row],[Years of Experience]]&lt;=5),1,""))</f>
        <v/>
      </c>
      <c r="P1715" t="str">
        <f>IF(tblSalaries[[#This Row],[Years of Experience]]="","",IF(AND(tblSalaries[[#This Row],[Years of Experience]]&gt;5,tblSalaries[[#This Row],[Years of Experience]]&lt;=10),1,""))</f>
        <v/>
      </c>
      <c r="Q1715" t="str">
        <f>IF(tblSalaries[[#This Row],[Years of Experience]]="","",IF(AND(tblSalaries[[#This Row],[Years of Experience]]&gt;10,tblSalaries[[#This Row],[Years of Experience]]&lt;=15),1,""))</f>
        <v/>
      </c>
      <c r="R1715" t="str">
        <f>IF(tblSalaries[[#This Row],[Years of Experience]]="","",IF(AND(tblSalaries[[#This Row],[Years of Experience]]&gt;16,tblSalaries[[#This Row],[Years of Experience]]&lt;=20),1,""))</f>
        <v/>
      </c>
      <c r="S1715" t="str">
        <f>IF(tblSalaries[[#This Row],[Years of Experience]]="","",IF(tblSalaries[[#This Row],[Years of Experience]]&gt;20,1,""))</f>
        <v/>
      </c>
      <c r="T17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5" s="13" t="str">
        <f>IF(tblSalaries[[#This Row],[Job Type]]=tblSalaries[[#Headers],[Accountant]],tblSalaries[[#This Row],[Salary in USD]],"")</f>
        <v/>
      </c>
      <c r="V1715" s="13" t="str">
        <f>IF(tblSalaries[[#This Row],[Job Type]]=tblSalaries[[#Headers],[Analyst]],tblSalaries[[#This Row],[Salary in USD]],"")</f>
        <v/>
      </c>
      <c r="W1715" s="13" t="str">
        <f>IF(tblSalaries[[#This Row],[Job Type]]=tblSalaries[[#Headers],[Consultant]],tblSalaries[[#This Row],[Salary in USD]],"")</f>
        <v/>
      </c>
      <c r="X1715" s="13" t="str">
        <f>IF(tblSalaries[[#This Row],[Job Type]]=tblSalaries[[#Headers],[Controller]],tblSalaries[[#This Row],[Salary in USD]],"")</f>
        <v/>
      </c>
      <c r="Y1715" s="13" t="str">
        <f>IF(tblSalaries[[#This Row],[Job Type]]=tblSalaries[[#Headers],[CXO or Top Mgmt.]],tblSalaries[[#This Row],[clean Salary (in local currency)]],"")</f>
        <v/>
      </c>
      <c r="Z1715" s="13" t="str">
        <f>IF(tblSalaries[[#This Row],[Job Type]]=tblSalaries[[#Headers],[Engineer]],tblSalaries[[#This Row],[Salary in USD]],"")</f>
        <v/>
      </c>
      <c r="AA1715" s="13">
        <f>IF(tblSalaries[[#This Row],[Job Type]]=tblSalaries[[#Headers],[Manager]],tblSalaries[[#This Row],[Salary in USD]],"")</f>
        <v>60000</v>
      </c>
      <c r="AB1715" s="13" t="str">
        <f>IF(tblSalaries[[#This Row],[Job Type]]=tblSalaries[[#Headers],[Misc.]],tblSalaries[[#This Row],[Salary in USD]],"")</f>
        <v/>
      </c>
      <c r="AC1715" s="13" t="str">
        <f>IF(tblSalaries[[#This Row],[Job Type]]=tblSalaries[[#Headers],[Reporting]],tblSalaries[[#This Row],[Salary in USD]],"")</f>
        <v/>
      </c>
      <c r="AD1715" s="13" t="str">
        <f>IF(tblSalaries[[#This Row],[Job Type]]=tblSalaries[[#Headers],[Specialist]],tblSalaries[[#This Row],[Salary in USD]],"")</f>
        <v/>
      </c>
    </row>
    <row r="1716" spans="2:30" ht="15" customHeight="1" x14ac:dyDescent="0.25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 s="9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  <c r="N1716">
        <f>IF(tblSalaries[[#This Row],[Years of Experience]]="","",IF(tblSalaries[[#This Row],[Years of Experience]]&lt;=2,1,""))</f>
        <v>1</v>
      </c>
      <c r="O1716" t="str">
        <f>IF(tblSalaries[[#This Row],[Years of Experience]]="","",IF(AND(tblSalaries[[#This Row],[Years of Experience]]&gt;2,tblSalaries[[#This Row],[Years of Experience]]&lt;=5),1,""))</f>
        <v/>
      </c>
      <c r="P1716" t="str">
        <f>IF(tblSalaries[[#This Row],[Years of Experience]]="","",IF(AND(tblSalaries[[#This Row],[Years of Experience]]&gt;5,tblSalaries[[#This Row],[Years of Experience]]&lt;=10),1,""))</f>
        <v/>
      </c>
      <c r="Q1716" t="str">
        <f>IF(tblSalaries[[#This Row],[Years of Experience]]="","",IF(AND(tblSalaries[[#This Row],[Years of Experience]]&gt;10,tblSalaries[[#This Row],[Years of Experience]]&lt;=15),1,""))</f>
        <v/>
      </c>
      <c r="R1716" t="str">
        <f>IF(tblSalaries[[#This Row],[Years of Experience]]="","",IF(AND(tblSalaries[[#This Row],[Years of Experience]]&gt;16,tblSalaries[[#This Row],[Years of Experience]]&lt;=20),1,""))</f>
        <v/>
      </c>
      <c r="S1716" t="str">
        <f>IF(tblSalaries[[#This Row],[Years of Experience]]="","",IF(tblSalaries[[#This Row],[Years of Experience]]&gt;20,1,""))</f>
        <v/>
      </c>
      <c r="T17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6" s="13" t="str">
        <f>IF(tblSalaries[[#This Row],[Job Type]]=tblSalaries[[#Headers],[Accountant]],tblSalaries[[#This Row],[Salary in USD]],"")</f>
        <v/>
      </c>
      <c r="V1716" s="13" t="str">
        <f>IF(tblSalaries[[#This Row],[Job Type]]=tblSalaries[[#Headers],[Analyst]],tblSalaries[[#This Row],[Salary in USD]],"")</f>
        <v/>
      </c>
      <c r="W1716" s="13" t="str">
        <f>IF(tblSalaries[[#This Row],[Job Type]]=tblSalaries[[#Headers],[Consultant]],tblSalaries[[#This Row],[Salary in USD]],"")</f>
        <v/>
      </c>
      <c r="X1716" s="13" t="str">
        <f>IF(tblSalaries[[#This Row],[Job Type]]=tblSalaries[[#Headers],[Controller]],tblSalaries[[#This Row],[Salary in USD]],"")</f>
        <v/>
      </c>
      <c r="Y1716" s="13" t="str">
        <f>IF(tblSalaries[[#This Row],[Job Type]]=tblSalaries[[#Headers],[CXO or Top Mgmt.]],tblSalaries[[#This Row],[clean Salary (in local currency)]],"")</f>
        <v/>
      </c>
      <c r="Z1716" s="13" t="str">
        <f>IF(tblSalaries[[#This Row],[Job Type]]=tblSalaries[[#Headers],[Engineer]],tblSalaries[[#This Row],[Salary in USD]],"")</f>
        <v/>
      </c>
      <c r="AA1716" s="13">
        <f>IF(tblSalaries[[#This Row],[Job Type]]=tblSalaries[[#Headers],[Manager]],tblSalaries[[#This Row],[Salary in USD]],"")</f>
        <v>60000</v>
      </c>
      <c r="AB1716" s="13" t="str">
        <f>IF(tblSalaries[[#This Row],[Job Type]]=tblSalaries[[#Headers],[Misc.]],tblSalaries[[#This Row],[Salary in USD]],"")</f>
        <v/>
      </c>
      <c r="AC1716" s="13" t="str">
        <f>IF(tblSalaries[[#This Row],[Job Type]]=tblSalaries[[#Headers],[Reporting]],tblSalaries[[#This Row],[Salary in USD]],"")</f>
        <v/>
      </c>
      <c r="AD1716" s="13" t="str">
        <f>IF(tblSalaries[[#This Row],[Job Type]]=tblSalaries[[#Headers],[Specialist]],tblSalaries[[#This Row],[Salary in USD]],"")</f>
        <v/>
      </c>
    </row>
    <row r="1717" spans="2:30" ht="15" customHeight="1" x14ac:dyDescent="0.25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 s="9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  <c r="N1717">
        <f>IF(tblSalaries[[#This Row],[Years of Experience]]="","",IF(tblSalaries[[#This Row],[Years of Experience]]&lt;=2,1,""))</f>
        <v>1</v>
      </c>
      <c r="O1717" t="str">
        <f>IF(tblSalaries[[#This Row],[Years of Experience]]="","",IF(AND(tblSalaries[[#This Row],[Years of Experience]]&gt;2,tblSalaries[[#This Row],[Years of Experience]]&lt;=5),1,""))</f>
        <v/>
      </c>
      <c r="P1717" t="str">
        <f>IF(tblSalaries[[#This Row],[Years of Experience]]="","",IF(AND(tblSalaries[[#This Row],[Years of Experience]]&gt;5,tblSalaries[[#This Row],[Years of Experience]]&lt;=10),1,""))</f>
        <v/>
      </c>
      <c r="Q1717" t="str">
        <f>IF(tblSalaries[[#This Row],[Years of Experience]]="","",IF(AND(tblSalaries[[#This Row],[Years of Experience]]&gt;10,tblSalaries[[#This Row],[Years of Experience]]&lt;=15),1,""))</f>
        <v/>
      </c>
      <c r="R1717" t="str">
        <f>IF(tblSalaries[[#This Row],[Years of Experience]]="","",IF(AND(tblSalaries[[#This Row],[Years of Experience]]&gt;16,tblSalaries[[#This Row],[Years of Experience]]&lt;=20),1,""))</f>
        <v/>
      </c>
      <c r="S1717" t="str">
        <f>IF(tblSalaries[[#This Row],[Years of Experience]]="","",IF(tblSalaries[[#This Row],[Years of Experience]]&gt;20,1,""))</f>
        <v/>
      </c>
      <c r="T17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7" s="13" t="str">
        <f>IF(tblSalaries[[#This Row],[Job Type]]=tblSalaries[[#Headers],[Accountant]],tblSalaries[[#This Row],[Salary in USD]],"")</f>
        <v/>
      </c>
      <c r="V1717" s="13" t="str">
        <f>IF(tblSalaries[[#This Row],[Job Type]]=tblSalaries[[#Headers],[Analyst]],tblSalaries[[#This Row],[Salary in USD]],"")</f>
        <v/>
      </c>
      <c r="W1717" s="13" t="str">
        <f>IF(tblSalaries[[#This Row],[Job Type]]=tblSalaries[[#Headers],[Consultant]],tblSalaries[[#This Row],[Salary in USD]],"")</f>
        <v/>
      </c>
      <c r="X1717" s="13" t="str">
        <f>IF(tblSalaries[[#This Row],[Job Type]]=tblSalaries[[#Headers],[Controller]],tblSalaries[[#This Row],[Salary in USD]],"")</f>
        <v/>
      </c>
      <c r="Y1717" s="13" t="str">
        <f>IF(tblSalaries[[#This Row],[Job Type]]=tblSalaries[[#Headers],[CXO or Top Mgmt.]],tblSalaries[[#This Row],[clean Salary (in local currency)]],"")</f>
        <v/>
      </c>
      <c r="Z1717" s="13" t="str">
        <f>IF(tblSalaries[[#This Row],[Job Type]]=tblSalaries[[#Headers],[Engineer]],tblSalaries[[#This Row],[Salary in USD]],"")</f>
        <v/>
      </c>
      <c r="AA1717" s="13">
        <f>IF(tblSalaries[[#This Row],[Job Type]]=tblSalaries[[#Headers],[Manager]],tblSalaries[[#This Row],[Salary in USD]],"")</f>
        <v>14246.333349954055</v>
      </c>
      <c r="AB1717" s="13" t="str">
        <f>IF(tblSalaries[[#This Row],[Job Type]]=tblSalaries[[#Headers],[Misc.]],tblSalaries[[#This Row],[Salary in USD]],"")</f>
        <v/>
      </c>
      <c r="AC1717" s="13" t="str">
        <f>IF(tblSalaries[[#This Row],[Job Type]]=tblSalaries[[#Headers],[Reporting]],tblSalaries[[#This Row],[Salary in USD]],"")</f>
        <v/>
      </c>
      <c r="AD1717" s="13" t="str">
        <f>IF(tblSalaries[[#This Row],[Job Type]]=tblSalaries[[#Headers],[Specialist]],tblSalaries[[#This Row],[Salary in USD]],"")</f>
        <v/>
      </c>
    </row>
    <row r="1718" spans="2:30" ht="15" customHeight="1" x14ac:dyDescent="0.25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 s="9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  <c r="N1718">
        <f>IF(tblSalaries[[#This Row],[Years of Experience]]="","",IF(tblSalaries[[#This Row],[Years of Experience]]&lt;=2,1,""))</f>
        <v>1</v>
      </c>
      <c r="O1718" t="str">
        <f>IF(tblSalaries[[#This Row],[Years of Experience]]="","",IF(AND(tblSalaries[[#This Row],[Years of Experience]]&gt;2,tblSalaries[[#This Row],[Years of Experience]]&lt;=5),1,""))</f>
        <v/>
      </c>
      <c r="P1718" t="str">
        <f>IF(tblSalaries[[#This Row],[Years of Experience]]="","",IF(AND(tblSalaries[[#This Row],[Years of Experience]]&gt;5,tblSalaries[[#This Row],[Years of Experience]]&lt;=10),1,""))</f>
        <v/>
      </c>
      <c r="Q1718" t="str">
        <f>IF(tblSalaries[[#This Row],[Years of Experience]]="","",IF(AND(tblSalaries[[#This Row],[Years of Experience]]&gt;10,tblSalaries[[#This Row],[Years of Experience]]&lt;=15),1,""))</f>
        <v/>
      </c>
      <c r="R1718" t="str">
        <f>IF(tblSalaries[[#This Row],[Years of Experience]]="","",IF(AND(tblSalaries[[#This Row],[Years of Experience]]&gt;16,tblSalaries[[#This Row],[Years of Experience]]&lt;=20),1,""))</f>
        <v/>
      </c>
      <c r="S1718" t="str">
        <f>IF(tblSalaries[[#This Row],[Years of Experience]]="","",IF(tblSalaries[[#This Row],[Years of Experience]]&gt;20,1,""))</f>
        <v/>
      </c>
      <c r="T17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18" s="13" t="str">
        <f>IF(tblSalaries[[#This Row],[Job Type]]=tblSalaries[[#Headers],[Accountant]],tblSalaries[[#This Row],[Salary in USD]],"")</f>
        <v/>
      </c>
      <c r="V1718" s="13" t="str">
        <f>IF(tblSalaries[[#This Row],[Job Type]]=tblSalaries[[#Headers],[Analyst]],tblSalaries[[#This Row],[Salary in USD]],"")</f>
        <v/>
      </c>
      <c r="W1718" s="13" t="str">
        <f>IF(tblSalaries[[#This Row],[Job Type]]=tblSalaries[[#Headers],[Consultant]],tblSalaries[[#This Row],[Salary in USD]],"")</f>
        <v/>
      </c>
      <c r="X1718" s="13" t="str">
        <f>IF(tblSalaries[[#This Row],[Job Type]]=tblSalaries[[#Headers],[Controller]],tblSalaries[[#This Row],[Salary in USD]],"")</f>
        <v/>
      </c>
      <c r="Y1718" s="13" t="str">
        <f>IF(tblSalaries[[#This Row],[Job Type]]=tblSalaries[[#Headers],[CXO or Top Mgmt.]],tblSalaries[[#This Row],[clean Salary (in local currency)]],"")</f>
        <v/>
      </c>
      <c r="Z1718" s="13" t="str">
        <f>IF(tblSalaries[[#This Row],[Job Type]]=tblSalaries[[#Headers],[Engineer]],tblSalaries[[#This Row],[Salary in USD]],"")</f>
        <v/>
      </c>
      <c r="AA1718" s="13">
        <f>IF(tblSalaries[[#This Row],[Job Type]]=tblSalaries[[#Headers],[Manager]],tblSalaries[[#This Row],[Salary in USD]],"")</f>
        <v>14246.333349954055</v>
      </c>
      <c r="AB1718" s="13" t="str">
        <f>IF(tblSalaries[[#This Row],[Job Type]]=tblSalaries[[#Headers],[Misc.]],tblSalaries[[#This Row],[Salary in USD]],"")</f>
        <v/>
      </c>
      <c r="AC1718" s="13" t="str">
        <f>IF(tblSalaries[[#This Row],[Job Type]]=tblSalaries[[#Headers],[Reporting]],tblSalaries[[#This Row],[Salary in USD]],"")</f>
        <v/>
      </c>
      <c r="AD1718" s="13" t="str">
        <f>IF(tblSalaries[[#This Row],[Job Type]]=tblSalaries[[#Headers],[Specialist]],tblSalaries[[#This Row],[Salary in USD]],"")</f>
        <v/>
      </c>
    </row>
    <row r="1719" spans="2:30" ht="15" customHeight="1" x14ac:dyDescent="0.25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 s="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  <c r="N1719" t="str">
        <f>IF(tblSalaries[[#This Row],[Years of Experience]]="","",IF(tblSalaries[[#This Row],[Years of Experience]]&lt;=2,1,""))</f>
        <v/>
      </c>
      <c r="O1719" t="str">
        <f>IF(tblSalaries[[#This Row],[Years of Experience]]="","",IF(AND(tblSalaries[[#This Row],[Years of Experience]]&gt;2,tblSalaries[[#This Row],[Years of Experience]]&lt;=5),1,""))</f>
        <v/>
      </c>
      <c r="P1719">
        <f>IF(tblSalaries[[#This Row],[Years of Experience]]="","",IF(AND(tblSalaries[[#This Row],[Years of Experience]]&gt;5,tblSalaries[[#This Row],[Years of Experience]]&lt;=10),1,""))</f>
        <v>1</v>
      </c>
      <c r="Q1719" t="str">
        <f>IF(tblSalaries[[#This Row],[Years of Experience]]="","",IF(AND(tblSalaries[[#This Row],[Years of Experience]]&gt;10,tblSalaries[[#This Row],[Years of Experience]]&lt;=15),1,""))</f>
        <v/>
      </c>
      <c r="R1719" t="str">
        <f>IF(tblSalaries[[#This Row],[Years of Experience]]="","",IF(AND(tblSalaries[[#This Row],[Years of Experience]]&gt;16,tblSalaries[[#This Row],[Years of Experience]]&lt;=20),1,""))</f>
        <v/>
      </c>
      <c r="S1719" t="str">
        <f>IF(tblSalaries[[#This Row],[Years of Experience]]="","",IF(tblSalaries[[#This Row],[Years of Experience]]&gt;20,1,""))</f>
        <v/>
      </c>
      <c r="T17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19" s="13" t="str">
        <f>IF(tblSalaries[[#This Row],[Job Type]]=tblSalaries[[#Headers],[Accountant]],tblSalaries[[#This Row],[Salary in USD]],"")</f>
        <v/>
      </c>
      <c r="V1719" s="13" t="str">
        <f>IF(tblSalaries[[#This Row],[Job Type]]=tblSalaries[[#Headers],[Analyst]],tblSalaries[[#This Row],[Salary in USD]],"")</f>
        <v/>
      </c>
      <c r="W1719" s="13" t="str">
        <f>IF(tblSalaries[[#This Row],[Job Type]]=tblSalaries[[#Headers],[Consultant]],tblSalaries[[#This Row],[Salary in USD]],"")</f>
        <v/>
      </c>
      <c r="X1719" s="13" t="str">
        <f>IF(tblSalaries[[#This Row],[Job Type]]=tblSalaries[[#Headers],[Controller]],tblSalaries[[#This Row],[Salary in USD]],"")</f>
        <v/>
      </c>
      <c r="Y1719" s="13" t="str">
        <f>IF(tblSalaries[[#This Row],[Job Type]]=tblSalaries[[#Headers],[CXO or Top Mgmt.]],tblSalaries[[#This Row],[clean Salary (in local currency)]],"")</f>
        <v/>
      </c>
      <c r="Z1719" s="13" t="str">
        <f>IF(tblSalaries[[#This Row],[Job Type]]=tblSalaries[[#Headers],[Engineer]],tblSalaries[[#This Row],[Salary in USD]],"")</f>
        <v/>
      </c>
      <c r="AA1719" s="13">
        <f>IF(tblSalaries[[#This Row],[Job Type]]=tblSalaries[[#Headers],[Manager]],tblSalaries[[#This Row],[Salary in USD]],"")</f>
        <v>28995</v>
      </c>
      <c r="AB1719" s="13" t="str">
        <f>IF(tblSalaries[[#This Row],[Job Type]]=tblSalaries[[#Headers],[Misc.]],tblSalaries[[#This Row],[Salary in USD]],"")</f>
        <v/>
      </c>
      <c r="AC1719" s="13" t="str">
        <f>IF(tblSalaries[[#This Row],[Job Type]]=tblSalaries[[#Headers],[Reporting]],tblSalaries[[#This Row],[Salary in USD]],"")</f>
        <v/>
      </c>
      <c r="AD1719" s="13" t="str">
        <f>IF(tblSalaries[[#This Row],[Job Type]]=tblSalaries[[#Headers],[Specialist]],tblSalaries[[#This Row],[Salary in USD]],"")</f>
        <v/>
      </c>
    </row>
    <row r="1720" spans="2:30" ht="15" customHeight="1" x14ac:dyDescent="0.25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 s="9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  <c r="N1720" t="str">
        <f>IF(tblSalaries[[#This Row],[Years of Experience]]="","",IF(tblSalaries[[#This Row],[Years of Experience]]&lt;=2,1,""))</f>
        <v/>
      </c>
      <c r="O1720">
        <f>IF(tblSalaries[[#This Row],[Years of Experience]]="","",IF(AND(tblSalaries[[#This Row],[Years of Experience]]&gt;2,tblSalaries[[#This Row],[Years of Experience]]&lt;=5),1,""))</f>
        <v>1</v>
      </c>
      <c r="P1720" t="str">
        <f>IF(tblSalaries[[#This Row],[Years of Experience]]="","",IF(AND(tblSalaries[[#This Row],[Years of Experience]]&gt;5,tblSalaries[[#This Row],[Years of Experience]]&lt;=10),1,""))</f>
        <v/>
      </c>
      <c r="Q1720" t="str">
        <f>IF(tblSalaries[[#This Row],[Years of Experience]]="","",IF(AND(tblSalaries[[#This Row],[Years of Experience]]&gt;10,tblSalaries[[#This Row],[Years of Experience]]&lt;=15),1,""))</f>
        <v/>
      </c>
      <c r="R1720" t="str">
        <f>IF(tblSalaries[[#This Row],[Years of Experience]]="","",IF(AND(tblSalaries[[#This Row],[Years of Experience]]&gt;16,tblSalaries[[#This Row],[Years of Experience]]&lt;=20),1,""))</f>
        <v/>
      </c>
      <c r="S1720" t="str">
        <f>IF(tblSalaries[[#This Row],[Years of Experience]]="","",IF(tblSalaries[[#This Row],[Years of Experience]]&gt;20,1,""))</f>
        <v/>
      </c>
      <c r="T17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20" s="13" t="str">
        <f>IF(tblSalaries[[#This Row],[Job Type]]=tblSalaries[[#Headers],[Accountant]],tblSalaries[[#This Row],[Salary in USD]],"")</f>
        <v/>
      </c>
      <c r="V1720" s="13">
        <f>IF(tblSalaries[[#This Row],[Job Type]]=tblSalaries[[#Headers],[Analyst]],tblSalaries[[#This Row],[Salary in USD]],"")</f>
        <v>21903.737525554359</v>
      </c>
      <c r="W1720" s="13" t="str">
        <f>IF(tblSalaries[[#This Row],[Job Type]]=tblSalaries[[#Headers],[Consultant]],tblSalaries[[#This Row],[Salary in USD]],"")</f>
        <v/>
      </c>
      <c r="X1720" s="13" t="str">
        <f>IF(tblSalaries[[#This Row],[Job Type]]=tblSalaries[[#Headers],[Controller]],tblSalaries[[#This Row],[Salary in USD]],"")</f>
        <v/>
      </c>
      <c r="Y1720" s="13" t="str">
        <f>IF(tblSalaries[[#This Row],[Job Type]]=tblSalaries[[#Headers],[CXO or Top Mgmt.]],tblSalaries[[#This Row],[clean Salary (in local currency)]],"")</f>
        <v/>
      </c>
      <c r="Z1720" s="13" t="str">
        <f>IF(tblSalaries[[#This Row],[Job Type]]=tblSalaries[[#Headers],[Engineer]],tblSalaries[[#This Row],[Salary in USD]],"")</f>
        <v/>
      </c>
      <c r="AA1720" s="13" t="str">
        <f>IF(tblSalaries[[#This Row],[Job Type]]=tblSalaries[[#Headers],[Manager]],tblSalaries[[#This Row],[Salary in USD]],"")</f>
        <v/>
      </c>
      <c r="AB1720" s="13" t="str">
        <f>IF(tblSalaries[[#This Row],[Job Type]]=tblSalaries[[#Headers],[Misc.]],tblSalaries[[#This Row],[Salary in USD]],"")</f>
        <v/>
      </c>
      <c r="AC1720" s="13" t="str">
        <f>IF(tblSalaries[[#This Row],[Job Type]]=tblSalaries[[#Headers],[Reporting]],tblSalaries[[#This Row],[Salary in USD]],"")</f>
        <v/>
      </c>
      <c r="AD1720" s="13" t="str">
        <f>IF(tblSalaries[[#This Row],[Job Type]]=tblSalaries[[#Headers],[Specialist]],tblSalaries[[#This Row],[Salary in USD]],"")</f>
        <v/>
      </c>
    </row>
    <row r="1721" spans="2:30" ht="15" customHeight="1" x14ac:dyDescent="0.25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 s="9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  <c r="N1721" t="str">
        <f>IF(tblSalaries[[#This Row],[Years of Experience]]="","",IF(tblSalaries[[#This Row],[Years of Experience]]&lt;=2,1,""))</f>
        <v/>
      </c>
      <c r="O1721">
        <f>IF(tblSalaries[[#This Row],[Years of Experience]]="","",IF(AND(tblSalaries[[#This Row],[Years of Experience]]&gt;2,tblSalaries[[#This Row],[Years of Experience]]&lt;=5),1,""))</f>
        <v>1</v>
      </c>
      <c r="P1721" t="str">
        <f>IF(tblSalaries[[#This Row],[Years of Experience]]="","",IF(AND(tblSalaries[[#This Row],[Years of Experience]]&gt;5,tblSalaries[[#This Row],[Years of Experience]]&lt;=10),1,""))</f>
        <v/>
      </c>
      <c r="Q1721" t="str">
        <f>IF(tblSalaries[[#This Row],[Years of Experience]]="","",IF(AND(tblSalaries[[#This Row],[Years of Experience]]&gt;10,tblSalaries[[#This Row],[Years of Experience]]&lt;=15),1,""))</f>
        <v/>
      </c>
      <c r="R1721" t="str">
        <f>IF(tblSalaries[[#This Row],[Years of Experience]]="","",IF(AND(tblSalaries[[#This Row],[Years of Experience]]&gt;16,tblSalaries[[#This Row],[Years of Experience]]&lt;=20),1,""))</f>
        <v/>
      </c>
      <c r="S1721" t="str">
        <f>IF(tblSalaries[[#This Row],[Years of Experience]]="","",IF(tblSalaries[[#This Row],[Years of Experience]]&gt;20,1,""))</f>
        <v/>
      </c>
      <c r="T17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21" s="13" t="str">
        <f>IF(tblSalaries[[#This Row],[Job Type]]=tblSalaries[[#Headers],[Accountant]],tblSalaries[[#This Row],[Salary in USD]],"")</f>
        <v/>
      </c>
      <c r="V1721" s="13">
        <f>IF(tblSalaries[[#This Row],[Job Type]]=tblSalaries[[#Headers],[Analyst]],tblSalaries[[#This Row],[Salary in USD]],"")</f>
        <v>20122.945856810104</v>
      </c>
      <c r="W1721" s="13" t="str">
        <f>IF(tblSalaries[[#This Row],[Job Type]]=tblSalaries[[#Headers],[Consultant]],tblSalaries[[#This Row],[Salary in USD]],"")</f>
        <v/>
      </c>
      <c r="X1721" s="13" t="str">
        <f>IF(tblSalaries[[#This Row],[Job Type]]=tblSalaries[[#Headers],[Controller]],tblSalaries[[#This Row],[Salary in USD]],"")</f>
        <v/>
      </c>
      <c r="Y1721" s="13" t="str">
        <f>IF(tblSalaries[[#This Row],[Job Type]]=tblSalaries[[#Headers],[CXO or Top Mgmt.]],tblSalaries[[#This Row],[clean Salary (in local currency)]],"")</f>
        <v/>
      </c>
      <c r="Z1721" s="13" t="str">
        <f>IF(tblSalaries[[#This Row],[Job Type]]=tblSalaries[[#Headers],[Engineer]],tblSalaries[[#This Row],[Salary in USD]],"")</f>
        <v/>
      </c>
      <c r="AA1721" s="13" t="str">
        <f>IF(tblSalaries[[#This Row],[Job Type]]=tblSalaries[[#Headers],[Manager]],tblSalaries[[#This Row],[Salary in USD]],"")</f>
        <v/>
      </c>
      <c r="AB1721" s="13" t="str">
        <f>IF(tblSalaries[[#This Row],[Job Type]]=tblSalaries[[#Headers],[Misc.]],tblSalaries[[#This Row],[Salary in USD]],"")</f>
        <v/>
      </c>
      <c r="AC1721" s="13" t="str">
        <f>IF(tblSalaries[[#This Row],[Job Type]]=tblSalaries[[#Headers],[Reporting]],tblSalaries[[#This Row],[Salary in USD]],"")</f>
        <v/>
      </c>
      <c r="AD1721" s="13" t="str">
        <f>IF(tblSalaries[[#This Row],[Job Type]]=tblSalaries[[#Headers],[Specialist]],tblSalaries[[#This Row],[Salary in USD]],"")</f>
        <v/>
      </c>
    </row>
    <row r="1722" spans="2:30" ht="15" customHeight="1" x14ac:dyDescent="0.25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 s="9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  <c r="N1722" t="str">
        <f>IF(tblSalaries[[#This Row],[Years of Experience]]="","",IF(tblSalaries[[#This Row],[Years of Experience]]&lt;=2,1,""))</f>
        <v/>
      </c>
      <c r="O1722" t="str">
        <f>IF(tblSalaries[[#This Row],[Years of Experience]]="","",IF(AND(tblSalaries[[#This Row],[Years of Experience]]&gt;2,tblSalaries[[#This Row],[Years of Experience]]&lt;=5),1,""))</f>
        <v/>
      </c>
      <c r="P1722" t="str">
        <f>IF(tblSalaries[[#This Row],[Years of Experience]]="","",IF(AND(tblSalaries[[#This Row],[Years of Experience]]&gt;5,tblSalaries[[#This Row],[Years of Experience]]&lt;=10),1,""))</f>
        <v/>
      </c>
      <c r="Q1722" t="str">
        <f>IF(tblSalaries[[#This Row],[Years of Experience]]="","",IF(AND(tblSalaries[[#This Row],[Years of Experience]]&gt;10,tblSalaries[[#This Row],[Years of Experience]]&lt;=15),1,""))</f>
        <v/>
      </c>
      <c r="R1722">
        <f>IF(tblSalaries[[#This Row],[Years of Experience]]="","",IF(AND(tblSalaries[[#This Row],[Years of Experience]]&gt;16,tblSalaries[[#This Row],[Years of Experience]]&lt;=20),1,""))</f>
        <v>1</v>
      </c>
      <c r="S1722" t="str">
        <f>IF(tblSalaries[[#This Row],[Years of Experience]]="","",IF(tblSalaries[[#This Row],[Years of Experience]]&gt;20,1,""))</f>
        <v/>
      </c>
      <c r="T17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22" s="13" t="str">
        <f>IF(tblSalaries[[#This Row],[Job Type]]=tblSalaries[[#Headers],[Accountant]],tblSalaries[[#This Row],[Salary in USD]],"")</f>
        <v/>
      </c>
      <c r="V1722" s="13">
        <f>IF(tblSalaries[[#This Row],[Job Type]]=tblSalaries[[#Headers],[Analyst]],tblSalaries[[#This Row],[Salary in USD]],"")</f>
        <v>70928.022243027779</v>
      </c>
      <c r="W1722" s="13" t="str">
        <f>IF(tblSalaries[[#This Row],[Job Type]]=tblSalaries[[#Headers],[Consultant]],tblSalaries[[#This Row],[Salary in USD]],"")</f>
        <v/>
      </c>
      <c r="X1722" s="13" t="str">
        <f>IF(tblSalaries[[#This Row],[Job Type]]=tblSalaries[[#Headers],[Controller]],tblSalaries[[#This Row],[Salary in USD]],"")</f>
        <v/>
      </c>
      <c r="Y1722" s="13" t="str">
        <f>IF(tblSalaries[[#This Row],[Job Type]]=tblSalaries[[#Headers],[CXO or Top Mgmt.]],tblSalaries[[#This Row],[clean Salary (in local currency)]],"")</f>
        <v/>
      </c>
      <c r="Z1722" s="13" t="str">
        <f>IF(tblSalaries[[#This Row],[Job Type]]=tblSalaries[[#Headers],[Engineer]],tblSalaries[[#This Row],[Salary in USD]],"")</f>
        <v/>
      </c>
      <c r="AA1722" s="13" t="str">
        <f>IF(tblSalaries[[#This Row],[Job Type]]=tblSalaries[[#Headers],[Manager]],tblSalaries[[#This Row],[Salary in USD]],"")</f>
        <v/>
      </c>
      <c r="AB1722" s="13" t="str">
        <f>IF(tblSalaries[[#This Row],[Job Type]]=tblSalaries[[#Headers],[Misc.]],tblSalaries[[#This Row],[Salary in USD]],"")</f>
        <v/>
      </c>
      <c r="AC1722" s="13" t="str">
        <f>IF(tblSalaries[[#This Row],[Job Type]]=tblSalaries[[#Headers],[Reporting]],tblSalaries[[#This Row],[Salary in USD]],"")</f>
        <v/>
      </c>
      <c r="AD1722" s="13" t="str">
        <f>IF(tblSalaries[[#This Row],[Job Type]]=tblSalaries[[#Headers],[Specialist]],tblSalaries[[#This Row],[Salary in USD]],"")</f>
        <v/>
      </c>
    </row>
    <row r="1723" spans="2:30" ht="15" customHeight="1" x14ac:dyDescent="0.25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 s="9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  <c r="N1723" t="str">
        <f>IF(tblSalaries[[#This Row],[Years of Experience]]="","",IF(tblSalaries[[#This Row],[Years of Experience]]&lt;=2,1,""))</f>
        <v/>
      </c>
      <c r="O1723" t="str">
        <f>IF(tblSalaries[[#This Row],[Years of Experience]]="","",IF(AND(tblSalaries[[#This Row],[Years of Experience]]&gt;2,tblSalaries[[#This Row],[Years of Experience]]&lt;=5),1,""))</f>
        <v/>
      </c>
      <c r="P1723" t="str">
        <f>IF(tblSalaries[[#This Row],[Years of Experience]]="","",IF(AND(tblSalaries[[#This Row],[Years of Experience]]&gt;5,tblSalaries[[#This Row],[Years of Experience]]&lt;=10),1,""))</f>
        <v/>
      </c>
      <c r="Q1723" t="str">
        <f>IF(tblSalaries[[#This Row],[Years of Experience]]="","",IF(AND(tblSalaries[[#This Row],[Years of Experience]]&gt;10,tblSalaries[[#This Row],[Years of Experience]]&lt;=15),1,""))</f>
        <v/>
      </c>
      <c r="R1723" t="str">
        <f>IF(tblSalaries[[#This Row],[Years of Experience]]="","",IF(AND(tblSalaries[[#This Row],[Years of Experience]]&gt;16,tblSalaries[[#This Row],[Years of Experience]]&lt;=20),1,""))</f>
        <v/>
      </c>
      <c r="S1723" t="str">
        <f>IF(tblSalaries[[#This Row],[Years of Experience]]="","",IF(tblSalaries[[#This Row],[Years of Experience]]&gt;20,1,""))</f>
        <v/>
      </c>
      <c r="T17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23" s="13" t="str">
        <f>IF(tblSalaries[[#This Row],[Job Type]]=tblSalaries[[#Headers],[Accountant]],tblSalaries[[#This Row],[Salary in USD]],"")</f>
        <v/>
      </c>
      <c r="V1723" s="13" t="str">
        <f>IF(tblSalaries[[#This Row],[Job Type]]=tblSalaries[[#Headers],[Analyst]],tblSalaries[[#This Row],[Salary in USD]],"")</f>
        <v/>
      </c>
      <c r="W1723" s="13" t="str">
        <f>IF(tblSalaries[[#This Row],[Job Type]]=tblSalaries[[#Headers],[Consultant]],tblSalaries[[#This Row],[Salary in USD]],"")</f>
        <v/>
      </c>
      <c r="X1723" s="13" t="str">
        <f>IF(tblSalaries[[#This Row],[Job Type]]=tblSalaries[[#Headers],[Controller]],tblSalaries[[#This Row],[Salary in USD]],"")</f>
        <v/>
      </c>
      <c r="Y1723" s="13" t="str">
        <f>IF(tblSalaries[[#This Row],[Job Type]]=tblSalaries[[#Headers],[CXO or Top Mgmt.]],tblSalaries[[#This Row],[clean Salary (in local currency)]],"")</f>
        <v/>
      </c>
      <c r="Z1723" s="13" t="str">
        <f>IF(tblSalaries[[#This Row],[Job Type]]=tblSalaries[[#Headers],[Engineer]],tblSalaries[[#This Row],[Salary in USD]],"")</f>
        <v/>
      </c>
      <c r="AA1723" s="13">
        <f>IF(tblSalaries[[#This Row],[Job Type]]=tblSalaries[[#Headers],[Manager]],tblSalaries[[#This Row],[Salary in USD]],"")</f>
        <v>67000</v>
      </c>
      <c r="AB1723" s="13" t="str">
        <f>IF(tblSalaries[[#This Row],[Job Type]]=tblSalaries[[#Headers],[Misc.]],tblSalaries[[#This Row],[Salary in USD]],"")</f>
        <v/>
      </c>
      <c r="AC1723" s="13" t="str">
        <f>IF(tblSalaries[[#This Row],[Job Type]]=tblSalaries[[#Headers],[Reporting]],tblSalaries[[#This Row],[Salary in USD]],"")</f>
        <v/>
      </c>
      <c r="AD1723" s="13" t="str">
        <f>IF(tblSalaries[[#This Row],[Job Type]]=tblSalaries[[#Headers],[Specialist]],tblSalaries[[#This Row],[Salary in USD]],"")</f>
        <v/>
      </c>
    </row>
    <row r="1724" spans="2:30" ht="15" customHeight="1" x14ac:dyDescent="0.25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 s="9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  <c r="N1724" t="str">
        <f>IF(tblSalaries[[#This Row],[Years of Experience]]="","",IF(tblSalaries[[#This Row],[Years of Experience]]&lt;=2,1,""))</f>
        <v/>
      </c>
      <c r="O1724">
        <f>IF(tblSalaries[[#This Row],[Years of Experience]]="","",IF(AND(tblSalaries[[#This Row],[Years of Experience]]&gt;2,tblSalaries[[#This Row],[Years of Experience]]&lt;=5),1,""))</f>
        <v>1</v>
      </c>
      <c r="P1724" t="str">
        <f>IF(tblSalaries[[#This Row],[Years of Experience]]="","",IF(AND(tblSalaries[[#This Row],[Years of Experience]]&gt;5,tblSalaries[[#This Row],[Years of Experience]]&lt;=10),1,""))</f>
        <v/>
      </c>
      <c r="Q1724" t="str">
        <f>IF(tblSalaries[[#This Row],[Years of Experience]]="","",IF(AND(tblSalaries[[#This Row],[Years of Experience]]&gt;10,tblSalaries[[#This Row],[Years of Experience]]&lt;=15),1,""))</f>
        <v/>
      </c>
      <c r="R1724" t="str">
        <f>IF(tblSalaries[[#This Row],[Years of Experience]]="","",IF(AND(tblSalaries[[#This Row],[Years of Experience]]&gt;16,tblSalaries[[#This Row],[Years of Experience]]&lt;=20),1,""))</f>
        <v/>
      </c>
      <c r="S1724" t="str">
        <f>IF(tblSalaries[[#This Row],[Years of Experience]]="","",IF(tblSalaries[[#This Row],[Years of Experience]]&gt;20,1,""))</f>
        <v/>
      </c>
      <c r="T17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24" s="13" t="str">
        <f>IF(tblSalaries[[#This Row],[Job Type]]=tblSalaries[[#Headers],[Accountant]],tblSalaries[[#This Row],[Salary in USD]],"")</f>
        <v/>
      </c>
      <c r="V1724" s="13">
        <f>IF(tblSalaries[[#This Row],[Job Type]]=tblSalaries[[#Headers],[Analyst]],tblSalaries[[#This Row],[Salary in USD]],"")</f>
        <v>30000</v>
      </c>
      <c r="W1724" s="13" t="str">
        <f>IF(tblSalaries[[#This Row],[Job Type]]=tblSalaries[[#Headers],[Consultant]],tblSalaries[[#This Row],[Salary in USD]],"")</f>
        <v/>
      </c>
      <c r="X1724" s="13" t="str">
        <f>IF(tblSalaries[[#This Row],[Job Type]]=tblSalaries[[#Headers],[Controller]],tblSalaries[[#This Row],[Salary in USD]],"")</f>
        <v/>
      </c>
      <c r="Y1724" s="13" t="str">
        <f>IF(tblSalaries[[#This Row],[Job Type]]=tblSalaries[[#Headers],[CXO or Top Mgmt.]],tblSalaries[[#This Row],[clean Salary (in local currency)]],"")</f>
        <v/>
      </c>
      <c r="Z1724" s="13" t="str">
        <f>IF(tblSalaries[[#This Row],[Job Type]]=tblSalaries[[#Headers],[Engineer]],tblSalaries[[#This Row],[Salary in USD]],"")</f>
        <v/>
      </c>
      <c r="AA1724" s="13" t="str">
        <f>IF(tblSalaries[[#This Row],[Job Type]]=tblSalaries[[#Headers],[Manager]],tblSalaries[[#This Row],[Salary in USD]],"")</f>
        <v/>
      </c>
      <c r="AB1724" s="13" t="str">
        <f>IF(tblSalaries[[#This Row],[Job Type]]=tblSalaries[[#Headers],[Misc.]],tblSalaries[[#This Row],[Salary in USD]],"")</f>
        <v/>
      </c>
      <c r="AC1724" s="13" t="str">
        <f>IF(tblSalaries[[#This Row],[Job Type]]=tblSalaries[[#Headers],[Reporting]],tblSalaries[[#This Row],[Salary in USD]],"")</f>
        <v/>
      </c>
      <c r="AD1724" s="13" t="str">
        <f>IF(tblSalaries[[#This Row],[Job Type]]=tblSalaries[[#Headers],[Specialist]],tblSalaries[[#This Row],[Salary in USD]],"")</f>
        <v/>
      </c>
    </row>
    <row r="1725" spans="2:30" ht="15" customHeight="1" x14ac:dyDescent="0.25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 s="9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  <c r="N1725" t="str">
        <f>IF(tblSalaries[[#This Row],[Years of Experience]]="","",IF(tblSalaries[[#This Row],[Years of Experience]]&lt;=2,1,""))</f>
        <v/>
      </c>
      <c r="O1725" t="str">
        <f>IF(tblSalaries[[#This Row],[Years of Experience]]="","",IF(AND(tblSalaries[[#This Row],[Years of Experience]]&gt;2,tblSalaries[[#This Row],[Years of Experience]]&lt;=5),1,""))</f>
        <v/>
      </c>
      <c r="P1725">
        <f>IF(tblSalaries[[#This Row],[Years of Experience]]="","",IF(AND(tblSalaries[[#This Row],[Years of Experience]]&gt;5,tblSalaries[[#This Row],[Years of Experience]]&lt;=10),1,""))</f>
        <v>1</v>
      </c>
      <c r="Q1725" t="str">
        <f>IF(tblSalaries[[#This Row],[Years of Experience]]="","",IF(AND(tblSalaries[[#This Row],[Years of Experience]]&gt;10,tblSalaries[[#This Row],[Years of Experience]]&lt;=15),1,""))</f>
        <v/>
      </c>
      <c r="R1725" t="str">
        <f>IF(tblSalaries[[#This Row],[Years of Experience]]="","",IF(AND(tblSalaries[[#This Row],[Years of Experience]]&gt;16,tblSalaries[[#This Row],[Years of Experience]]&lt;=20),1,""))</f>
        <v/>
      </c>
      <c r="S1725" t="str">
        <f>IF(tblSalaries[[#This Row],[Years of Experience]]="","",IF(tblSalaries[[#This Row],[Years of Experience]]&gt;20,1,""))</f>
        <v/>
      </c>
      <c r="T17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25" s="13" t="str">
        <f>IF(tblSalaries[[#This Row],[Job Type]]=tblSalaries[[#Headers],[Accountant]],tblSalaries[[#This Row],[Salary in USD]],"")</f>
        <v/>
      </c>
      <c r="V1725" s="13" t="str">
        <f>IF(tblSalaries[[#This Row],[Job Type]]=tblSalaries[[#Headers],[Analyst]],tblSalaries[[#This Row],[Salary in USD]],"")</f>
        <v/>
      </c>
      <c r="W1725" s="13" t="str">
        <f>IF(tblSalaries[[#This Row],[Job Type]]=tblSalaries[[#Headers],[Consultant]],tblSalaries[[#This Row],[Salary in USD]],"")</f>
        <v/>
      </c>
      <c r="X1725" s="13" t="str">
        <f>IF(tblSalaries[[#This Row],[Job Type]]=tblSalaries[[#Headers],[Controller]],tblSalaries[[#This Row],[Salary in USD]],"")</f>
        <v/>
      </c>
      <c r="Y1725" s="13" t="str">
        <f>IF(tblSalaries[[#This Row],[Job Type]]=tblSalaries[[#Headers],[CXO or Top Mgmt.]],tblSalaries[[#This Row],[clean Salary (in local currency)]],"")</f>
        <v/>
      </c>
      <c r="Z1725" s="13" t="str">
        <f>IF(tblSalaries[[#This Row],[Job Type]]=tblSalaries[[#Headers],[Engineer]],tblSalaries[[#This Row],[Salary in USD]],"")</f>
        <v/>
      </c>
      <c r="AA1725" s="13">
        <f>IF(tblSalaries[[#This Row],[Job Type]]=tblSalaries[[#Headers],[Manager]],tblSalaries[[#This Row],[Salary in USD]],"")</f>
        <v>148102.22862117883</v>
      </c>
      <c r="AB1725" s="13" t="str">
        <f>IF(tblSalaries[[#This Row],[Job Type]]=tblSalaries[[#Headers],[Misc.]],tblSalaries[[#This Row],[Salary in USD]],"")</f>
        <v/>
      </c>
      <c r="AC1725" s="13" t="str">
        <f>IF(tblSalaries[[#This Row],[Job Type]]=tblSalaries[[#Headers],[Reporting]],tblSalaries[[#This Row],[Salary in USD]],"")</f>
        <v/>
      </c>
      <c r="AD1725" s="13" t="str">
        <f>IF(tblSalaries[[#This Row],[Job Type]]=tblSalaries[[#Headers],[Specialist]],tblSalaries[[#This Row],[Salary in USD]],"")</f>
        <v/>
      </c>
    </row>
    <row r="1726" spans="2:30" ht="15" customHeight="1" x14ac:dyDescent="0.25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 s="9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  <c r="N1726" t="str">
        <f>IF(tblSalaries[[#This Row],[Years of Experience]]="","",IF(tblSalaries[[#This Row],[Years of Experience]]&lt;=2,1,""))</f>
        <v/>
      </c>
      <c r="O1726" t="str">
        <f>IF(tblSalaries[[#This Row],[Years of Experience]]="","",IF(AND(tblSalaries[[#This Row],[Years of Experience]]&gt;2,tblSalaries[[#This Row],[Years of Experience]]&lt;=5),1,""))</f>
        <v/>
      </c>
      <c r="P1726" t="str">
        <f>IF(tblSalaries[[#This Row],[Years of Experience]]="","",IF(AND(tblSalaries[[#This Row],[Years of Experience]]&gt;5,tblSalaries[[#This Row],[Years of Experience]]&lt;=10),1,""))</f>
        <v/>
      </c>
      <c r="Q1726">
        <f>IF(tblSalaries[[#This Row],[Years of Experience]]="","",IF(AND(tblSalaries[[#This Row],[Years of Experience]]&gt;10,tblSalaries[[#This Row],[Years of Experience]]&lt;=15),1,""))</f>
        <v>1</v>
      </c>
      <c r="R1726" t="str">
        <f>IF(tblSalaries[[#This Row],[Years of Experience]]="","",IF(AND(tblSalaries[[#This Row],[Years of Experience]]&gt;16,tblSalaries[[#This Row],[Years of Experience]]&lt;=20),1,""))</f>
        <v/>
      </c>
      <c r="S1726" t="str">
        <f>IF(tblSalaries[[#This Row],[Years of Experience]]="","",IF(tblSalaries[[#This Row],[Years of Experience]]&gt;20,1,""))</f>
        <v/>
      </c>
      <c r="T17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26" s="13" t="str">
        <f>IF(tblSalaries[[#This Row],[Job Type]]=tblSalaries[[#Headers],[Accountant]],tblSalaries[[#This Row],[Salary in USD]],"")</f>
        <v/>
      </c>
      <c r="V1726" s="13" t="str">
        <f>IF(tblSalaries[[#This Row],[Job Type]]=tblSalaries[[#Headers],[Analyst]],tblSalaries[[#This Row],[Salary in USD]],"")</f>
        <v/>
      </c>
      <c r="W1726" s="13" t="str">
        <f>IF(tblSalaries[[#This Row],[Job Type]]=tblSalaries[[#Headers],[Consultant]],tblSalaries[[#This Row],[Salary in USD]],"")</f>
        <v/>
      </c>
      <c r="X1726" s="13" t="str">
        <f>IF(tblSalaries[[#This Row],[Job Type]]=tblSalaries[[#Headers],[Controller]],tblSalaries[[#This Row],[Salary in USD]],"")</f>
        <v/>
      </c>
      <c r="Y1726" s="13" t="str">
        <f>IF(tblSalaries[[#This Row],[Job Type]]=tblSalaries[[#Headers],[CXO or Top Mgmt.]],tblSalaries[[#This Row],[clean Salary (in local currency)]],"")</f>
        <v/>
      </c>
      <c r="Z1726" s="13" t="str">
        <f>IF(tblSalaries[[#This Row],[Job Type]]=tblSalaries[[#Headers],[Engineer]],tblSalaries[[#This Row],[Salary in USD]],"")</f>
        <v/>
      </c>
      <c r="AA1726" s="13">
        <f>IF(tblSalaries[[#This Row],[Job Type]]=tblSalaries[[#Headers],[Manager]],tblSalaries[[#This Row],[Salary in USD]],"")</f>
        <v>71500</v>
      </c>
      <c r="AB1726" s="13" t="str">
        <f>IF(tblSalaries[[#This Row],[Job Type]]=tblSalaries[[#Headers],[Misc.]],tblSalaries[[#This Row],[Salary in USD]],"")</f>
        <v/>
      </c>
      <c r="AC1726" s="13" t="str">
        <f>IF(tblSalaries[[#This Row],[Job Type]]=tblSalaries[[#Headers],[Reporting]],tblSalaries[[#This Row],[Salary in USD]],"")</f>
        <v/>
      </c>
      <c r="AD1726" s="13" t="str">
        <f>IF(tblSalaries[[#This Row],[Job Type]]=tblSalaries[[#Headers],[Specialist]],tblSalaries[[#This Row],[Salary in USD]],"")</f>
        <v/>
      </c>
    </row>
    <row r="1727" spans="2:30" ht="15" customHeight="1" x14ac:dyDescent="0.25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 s="9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  <c r="N1727" t="str">
        <f>IF(tblSalaries[[#This Row],[Years of Experience]]="","",IF(tblSalaries[[#This Row],[Years of Experience]]&lt;=2,1,""))</f>
        <v/>
      </c>
      <c r="O1727" t="str">
        <f>IF(tblSalaries[[#This Row],[Years of Experience]]="","",IF(AND(tblSalaries[[#This Row],[Years of Experience]]&gt;2,tblSalaries[[#This Row],[Years of Experience]]&lt;=5),1,""))</f>
        <v/>
      </c>
      <c r="P1727">
        <f>IF(tblSalaries[[#This Row],[Years of Experience]]="","",IF(AND(tblSalaries[[#This Row],[Years of Experience]]&gt;5,tblSalaries[[#This Row],[Years of Experience]]&lt;=10),1,""))</f>
        <v>1</v>
      </c>
      <c r="Q1727" t="str">
        <f>IF(tblSalaries[[#This Row],[Years of Experience]]="","",IF(AND(tblSalaries[[#This Row],[Years of Experience]]&gt;10,tblSalaries[[#This Row],[Years of Experience]]&lt;=15),1,""))</f>
        <v/>
      </c>
      <c r="R1727" t="str">
        <f>IF(tblSalaries[[#This Row],[Years of Experience]]="","",IF(AND(tblSalaries[[#This Row],[Years of Experience]]&gt;16,tblSalaries[[#This Row],[Years of Experience]]&lt;=20),1,""))</f>
        <v/>
      </c>
      <c r="S1727" t="str">
        <f>IF(tblSalaries[[#This Row],[Years of Experience]]="","",IF(tblSalaries[[#This Row],[Years of Experience]]&gt;20,1,""))</f>
        <v/>
      </c>
      <c r="T17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27" s="13" t="str">
        <f>IF(tblSalaries[[#This Row],[Job Type]]=tblSalaries[[#Headers],[Accountant]],tblSalaries[[#This Row],[Salary in USD]],"")</f>
        <v/>
      </c>
      <c r="V1727" s="13" t="str">
        <f>IF(tblSalaries[[#This Row],[Job Type]]=tblSalaries[[#Headers],[Analyst]],tblSalaries[[#This Row],[Salary in USD]],"")</f>
        <v/>
      </c>
      <c r="W1727" s="13" t="str">
        <f>IF(tblSalaries[[#This Row],[Job Type]]=tblSalaries[[#Headers],[Consultant]],tblSalaries[[#This Row],[Salary in USD]],"")</f>
        <v/>
      </c>
      <c r="X1727" s="13" t="str">
        <f>IF(tblSalaries[[#This Row],[Job Type]]=tblSalaries[[#Headers],[Controller]],tblSalaries[[#This Row],[Salary in USD]],"")</f>
        <v/>
      </c>
      <c r="Y1727" s="13" t="str">
        <f>IF(tblSalaries[[#This Row],[Job Type]]=tblSalaries[[#Headers],[CXO or Top Mgmt.]],tblSalaries[[#This Row],[clean Salary (in local currency)]],"")</f>
        <v/>
      </c>
      <c r="Z1727" s="13" t="str">
        <f>IF(tblSalaries[[#This Row],[Job Type]]=tblSalaries[[#Headers],[Engineer]],tblSalaries[[#This Row],[Salary in USD]],"")</f>
        <v/>
      </c>
      <c r="AA1727" s="13">
        <f>IF(tblSalaries[[#This Row],[Job Type]]=tblSalaries[[#Headers],[Manager]],tblSalaries[[#This Row],[Salary in USD]],"")</f>
        <v>67000</v>
      </c>
      <c r="AB1727" s="13" t="str">
        <f>IF(tblSalaries[[#This Row],[Job Type]]=tblSalaries[[#Headers],[Misc.]],tblSalaries[[#This Row],[Salary in USD]],"")</f>
        <v/>
      </c>
      <c r="AC1727" s="13" t="str">
        <f>IF(tblSalaries[[#This Row],[Job Type]]=tblSalaries[[#Headers],[Reporting]],tblSalaries[[#This Row],[Salary in USD]],"")</f>
        <v/>
      </c>
      <c r="AD1727" s="13" t="str">
        <f>IF(tblSalaries[[#This Row],[Job Type]]=tblSalaries[[#Headers],[Specialist]],tblSalaries[[#This Row],[Salary in USD]],"")</f>
        <v/>
      </c>
    </row>
    <row r="1728" spans="2:30" ht="15" customHeight="1" x14ac:dyDescent="0.25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 s="9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  <c r="N1728" t="str">
        <f>IF(tblSalaries[[#This Row],[Years of Experience]]="","",IF(tblSalaries[[#This Row],[Years of Experience]]&lt;=2,1,""))</f>
        <v/>
      </c>
      <c r="O1728">
        <f>IF(tblSalaries[[#This Row],[Years of Experience]]="","",IF(AND(tblSalaries[[#This Row],[Years of Experience]]&gt;2,tblSalaries[[#This Row],[Years of Experience]]&lt;=5),1,""))</f>
        <v>1</v>
      </c>
      <c r="P1728" t="str">
        <f>IF(tblSalaries[[#This Row],[Years of Experience]]="","",IF(AND(tblSalaries[[#This Row],[Years of Experience]]&gt;5,tblSalaries[[#This Row],[Years of Experience]]&lt;=10),1,""))</f>
        <v/>
      </c>
      <c r="Q1728" t="str">
        <f>IF(tblSalaries[[#This Row],[Years of Experience]]="","",IF(AND(tblSalaries[[#This Row],[Years of Experience]]&gt;10,tblSalaries[[#This Row],[Years of Experience]]&lt;=15),1,""))</f>
        <v/>
      </c>
      <c r="R1728" t="str">
        <f>IF(tblSalaries[[#This Row],[Years of Experience]]="","",IF(AND(tblSalaries[[#This Row],[Years of Experience]]&gt;16,tblSalaries[[#This Row],[Years of Experience]]&lt;=20),1,""))</f>
        <v/>
      </c>
      <c r="S1728" t="str">
        <f>IF(tblSalaries[[#This Row],[Years of Experience]]="","",IF(tblSalaries[[#This Row],[Years of Experience]]&gt;20,1,""))</f>
        <v/>
      </c>
      <c r="T17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28" s="13" t="str">
        <f>IF(tblSalaries[[#This Row],[Job Type]]=tblSalaries[[#Headers],[Accountant]],tblSalaries[[#This Row],[Salary in USD]],"")</f>
        <v/>
      </c>
      <c r="V1728" s="13">
        <f>IF(tblSalaries[[#This Row],[Job Type]]=tblSalaries[[#Headers],[Analyst]],tblSalaries[[#This Row],[Salary in USD]],"")</f>
        <v>40000</v>
      </c>
      <c r="W1728" s="13" t="str">
        <f>IF(tblSalaries[[#This Row],[Job Type]]=tblSalaries[[#Headers],[Consultant]],tblSalaries[[#This Row],[Salary in USD]],"")</f>
        <v/>
      </c>
      <c r="X1728" s="13" t="str">
        <f>IF(tblSalaries[[#This Row],[Job Type]]=tblSalaries[[#Headers],[Controller]],tblSalaries[[#This Row],[Salary in USD]],"")</f>
        <v/>
      </c>
      <c r="Y1728" s="13" t="str">
        <f>IF(tblSalaries[[#This Row],[Job Type]]=tblSalaries[[#Headers],[CXO or Top Mgmt.]],tblSalaries[[#This Row],[clean Salary (in local currency)]],"")</f>
        <v/>
      </c>
      <c r="Z1728" s="13" t="str">
        <f>IF(tblSalaries[[#This Row],[Job Type]]=tblSalaries[[#Headers],[Engineer]],tblSalaries[[#This Row],[Salary in USD]],"")</f>
        <v/>
      </c>
      <c r="AA1728" s="13" t="str">
        <f>IF(tblSalaries[[#This Row],[Job Type]]=tblSalaries[[#Headers],[Manager]],tblSalaries[[#This Row],[Salary in USD]],"")</f>
        <v/>
      </c>
      <c r="AB1728" s="13" t="str">
        <f>IF(tblSalaries[[#This Row],[Job Type]]=tblSalaries[[#Headers],[Misc.]],tblSalaries[[#This Row],[Salary in USD]],"")</f>
        <v/>
      </c>
      <c r="AC1728" s="13" t="str">
        <f>IF(tblSalaries[[#This Row],[Job Type]]=tblSalaries[[#Headers],[Reporting]],tblSalaries[[#This Row],[Salary in USD]],"")</f>
        <v/>
      </c>
      <c r="AD1728" s="13" t="str">
        <f>IF(tblSalaries[[#This Row],[Job Type]]=tblSalaries[[#Headers],[Specialist]],tblSalaries[[#This Row],[Salary in USD]],"")</f>
        <v/>
      </c>
    </row>
    <row r="1729" spans="2:30" ht="15" customHeight="1" x14ac:dyDescent="0.25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 s="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  <c r="N1729">
        <f>IF(tblSalaries[[#This Row],[Years of Experience]]="","",IF(tblSalaries[[#This Row],[Years of Experience]]&lt;=2,1,""))</f>
        <v>1</v>
      </c>
      <c r="O1729" t="str">
        <f>IF(tblSalaries[[#This Row],[Years of Experience]]="","",IF(AND(tblSalaries[[#This Row],[Years of Experience]]&gt;2,tblSalaries[[#This Row],[Years of Experience]]&lt;=5),1,""))</f>
        <v/>
      </c>
      <c r="P1729" t="str">
        <f>IF(tblSalaries[[#This Row],[Years of Experience]]="","",IF(AND(tblSalaries[[#This Row],[Years of Experience]]&gt;5,tblSalaries[[#This Row],[Years of Experience]]&lt;=10),1,""))</f>
        <v/>
      </c>
      <c r="Q1729" t="str">
        <f>IF(tblSalaries[[#This Row],[Years of Experience]]="","",IF(AND(tblSalaries[[#This Row],[Years of Experience]]&gt;10,tblSalaries[[#This Row],[Years of Experience]]&lt;=15),1,""))</f>
        <v/>
      </c>
      <c r="R1729" t="str">
        <f>IF(tblSalaries[[#This Row],[Years of Experience]]="","",IF(AND(tblSalaries[[#This Row],[Years of Experience]]&gt;16,tblSalaries[[#This Row],[Years of Experience]]&lt;=20),1,""))</f>
        <v/>
      </c>
      <c r="S1729" t="str">
        <f>IF(tblSalaries[[#This Row],[Years of Experience]]="","",IF(tblSalaries[[#This Row],[Years of Experience]]&gt;20,1,""))</f>
        <v/>
      </c>
      <c r="T17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29" s="13" t="str">
        <f>IF(tblSalaries[[#This Row],[Job Type]]=tblSalaries[[#Headers],[Accountant]],tblSalaries[[#This Row],[Salary in USD]],"")</f>
        <v/>
      </c>
      <c r="V1729" s="13" t="str">
        <f>IF(tblSalaries[[#This Row],[Job Type]]=tblSalaries[[#Headers],[Analyst]],tblSalaries[[#This Row],[Salary in USD]],"")</f>
        <v/>
      </c>
      <c r="W1729" s="13" t="str">
        <f>IF(tblSalaries[[#This Row],[Job Type]]=tblSalaries[[#Headers],[Consultant]],tblSalaries[[#This Row],[Salary in USD]],"")</f>
        <v/>
      </c>
      <c r="X1729" s="13" t="str">
        <f>IF(tblSalaries[[#This Row],[Job Type]]=tblSalaries[[#Headers],[Controller]],tblSalaries[[#This Row],[Salary in USD]],"")</f>
        <v/>
      </c>
      <c r="Y1729" s="13" t="str">
        <f>IF(tblSalaries[[#This Row],[Job Type]]=tblSalaries[[#Headers],[CXO or Top Mgmt.]],tblSalaries[[#This Row],[clean Salary (in local currency)]],"")</f>
        <v/>
      </c>
      <c r="Z1729" s="13" t="str">
        <f>IF(tblSalaries[[#This Row],[Job Type]]=tblSalaries[[#Headers],[Engineer]],tblSalaries[[#This Row],[Salary in USD]],"")</f>
        <v/>
      </c>
      <c r="AA1729" s="13">
        <f>IF(tblSalaries[[#This Row],[Job Type]]=tblSalaries[[#Headers],[Manager]],tblSalaries[[#This Row],[Salary in USD]],"")</f>
        <v>65000</v>
      </c>
      <c r="AB1729" s="13" t="str">
        <f>IF(tblSalaries[[#This Row],[Job Type]]=tblSalaries[[#Headers],[Misc.]],tblSalaries[[#This Row],[Salary in USD]],"")</f>
        <v/>
      </c>
      <c r="AC1729" s="13" t="str">
        <f>IF(tblSalaries[[#This Row],[Job Type]]=tblSalaries[[#Headers],[Reporting]],tblSalaries[[#This Row],[Salary in USD]],"")</f>
        <v/>
      </c>
      <c r="AD1729" s="13" t="str">
        <f>IF(tblSalaries[[#This Row],[Job Type]]=tblSalaries[[#Headers],[Specialist]],tblSalaries[[#This Row],[Salary in USD]],"")</f>
        <v/>
      </c>
    </row>
    <row r="1730" spans="2:30" ht="15" customHeight="1" x14ac:dyDescent="0.25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 s="9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  <c r="N1730" t="str">
        <f>IF(tblSalaries[[#This Row],[Years of Experience]]="","",IF(tblSalaries[[#This Row],[Years of Experience]]&lt;=2,1,""))</f>
        <v/>
      </c>
      <c r="O1730" t="str">
        <f>IF(tblSalaries[[#This Row],[Years of Experience]]="","",IF(AND(tblSalaries[[#This Row],[Years of Experience]]&gt;2,tblSalaries[[#This Row],[Years of Experience]]&lt;=5),1,""))</f>
        <v/>
      </c>
      <c r="P1730" t="str">
        <f>IF(tblSalaries[[#This Row],[Years of Experience]]="","",IF(AND(tblSalaries[[#This Row],[Years of Experience]]&gt;5,tblSalaries[[#This Row],[Years of Experience]]&lt;=10),1,""))</f>
        <v/>
      </c>
      <c r="Q1730">
        <f>IF(tblSalaries[[#This Row],[Years of Experience]]="","",IF(AND(tblSalaries[[#This Row],[Years of Experience]]&gt;10,tblSalaries[[#This Row],[Years of Experience]]&lt;=15),1,""))</f>
        <v>1</v>
      </c>
      <c r="R1730" t="str">
        <f>IF(tblSalaries[[#This Row],[Years of Experience]]="","",IF(AND(tblSalaries[[#This Row],[Years of Experience]]&gt;16,tblSalaries[[#This Row],[Years of Experience]]&lt;=20),1,""))</f>
        <v/>
      </c>
      <c r="S1730" t="str">
        <f>IF(tblSalaries[[#This Row],[Years of Experience]]="","",IF(tblSalaries[[#This Row],[Years of Experience]]&gt;20,1,""))</f>
        <v/>
      </c>
      <c r="T17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30" s="13" t="str">
        <f>IF(tblSalaries[[#This Row],[Job Type]]=tblSalaries[[#Headers],[Accountant]],tblSalaries[[#This Row],[Salary in USD]],"")</f>
        <v/>
      </c>
      <c r="V1730" s="13" t="str">
        <f>IF(tblSalaries[[#This Row],[Job Type]]=tblSalaries[[#Headers],[Analyst]],tblSalaries[[#This Row],[Salary in USD]],"")</f>
        <v/>
      </c>
      <c r="W1730" s="13">
        <f>IF(tblSalaries[[#This Row],[Job Type]]=tblSalaries[[#Headers],[Consultant]],tblSalaries[[#This Row],[Salary in USD]],"")</f>
        <v>72000</v>
      </c>
      <c r="X1730" s="13" t="str">
        <f>IF(tblSalaries[[#This Row],[Job Type]]=tblSalaries[[#Headers],[Controller]],tblSalaries[[#This Row],[Salary in USD]],"")</f>
        <v/>
      </c>
      <c r="Y1730" s="13" t="str">
        <f>IF(tblSalaries[[#This Row],[Job Type]]=tblSalaries[[#Headers],[CXO or Top Mgmt.]],tblSalaries[[#This Row],[clean Salary (in local currency)]],"")</f>
        <v/>
      </c>
      <c r="Z1730" s="13" t="str">
        <f>IF(tblSalaries[[#This Row],[Job Type]]=tblSalaries[[#Headers],[Engineer]],tblSalaries[[#This Row],[Salary in USD]],"")</f>
        <v/>
      </c>
      <c r="AA1730" s="13" t="str">
        <f>IF(tblSalaries[[#This Row],[Job Type]]=tblSalaries[[#Headers],[Manager]],tblSalaries[[#This Row],[Salary in USD]],"")</f>
        <v/>
      </c>
      <c r="AB1730" s="13" t="str">
        <f>IF(tblSalaries[[#This Row],[Job Type]]=tblSalaries[[#Headers],[Misc.]],tblSalaries[[#This Row],[Salary in USD]],"")</f>
        <v/>
      </c>
      <c r="AC1730" s="13" t="str">
        <f>IF(tblSalaries[[#This Row],[Job Type]]=tblSalaries[[#Headers],[Reporting]],tblSalaries[[#This Row],[Salary in USD]],"")</f>
        <v/>
      </c>
      <c r="AD1730" s="13" t="str">
        <f>IF(tblSalaries[[#This Row],[Job Type]]=tblSalaries[[#Headers],[Specialist]],tblSalaries[[#This Row],[Salary in USD]],"")</f>
        <v/>
      </c>
    </row>
    <row r="1731" spans="2:30" ht="15" customHeight="1" x14ac:dyDescent="0.25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 s="9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  <c r="N1731" t="str">
        <f>IF(tblSalaries[[#This Row],[Years of Experience]]="","",IF(tblSalaries[[#This Row],[Years of Experience]]&lt;=2,1,""))</f>
        <v/>
      </c>
      <c r="O1731">
        <f>IF(tblSalaries[[#This Row],[Years of Experience]]="","",IF(AND(tblSalaries[[#This Row],[Years of Experience]]&gt;2,tblSalaries[[#This Row],[Years of Experience]]&lt;=5),1,""))</f>
        <v>1</v>
      </c>
      <c r="P1731" t="str">
        <f>IF(tblSalaries[[#This Row],[Years of Experience]]="","",IF(AND(tblSalaries[[#This Row],[Years of Experience]]&gt;5,tblSalaries[[#This Row],[Years of Experience]]&lt;=10),1,""))</f>
        <v/>
      </c>
      <c r="Q1731" t="str">
        <f>IF(tblSalaries[[#This Row],[Years of Experience]]="","",IF(AND(tblSalaries[[#This Row],[Years of Experience]]&gt;10,tblSalaries[[#This Row],[Years of Experience]]&lt;=15),1,""))</f>
        <v/>
      </c>
      <c r="R1731" t="str">
        <f>IF(tblSalaries[[#This Row],[Years of Experience]]="","",IF(AND(tblSalaries[[#This Row],[Years of Experience]]&gt;16,tblSalaries[[#This Row],[Years of Experience]]&lt;=20),1,""))</f>
        <v/>
      </c>
      <c r="S1731" t="str">
        <f>IF(tblSalaries[[#This Row],[Years of Experience]]="","",IF(tblSalaries[[#This Row],[Years of Experience]]&gt;20,1,""))</f>
        <v/>
      </c>
      <c r="T17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31" s="13" t="str">
        <f>IF(tblSalaries[[#This Row],[Job Type]]=tblSalaries[[#Headers],[Accountant]],tblSalaries[[#This Row],[Salary in USD]],"")</f>
        <v/>
      </c>
      <c r="V1731" s="13" t="str">
        <f>IF(tblSalaries[[#This Row],[Job Type]]=tblSalaries[[#Headers],[Analyst]],tblSalaries[[#This Row],[Salary in USD]],"")</f>
        <v/>
      </c>
      <c r="W1731" s="13" t="str">
        <f>IF(tblSalaries[[#This Row],[Job Type]]=tblSalaries[[#Headers],[Consultant]],tblSalaries[[#This Row],[Salary in USD]],"")</f>
        <v/>
      </c>
      <c r="X1731" s="13" t="str">
        <f>IF(tblSalaries[[#This Row],[Job Type]]=tblSalaries[[#Headers],[Controller]],tblSalaries[[#This Row],[Salary in USD]],"")</f>
        <v/>
      </c>
      <c r="Y1731" s="13" t="str">
        <f>IF(tblSalaries[[#This Row],[Job Type]]=tblSalaries[[#Headers],[CXO or Top Mgmt.]],tblSalaries[[#This Row],[clean Salary (in local currency)]],"")</f>
        <v/>
      </c>
      <c r="Z1731" s="13" t="str">
        <f>IF(tblSalaries[[#This Row],[Job Type]]=tblSalaries[[#Headers],[Engineer]],tblSalaries[[#This Row],[Salary in USD]],"")</f>
        <v/>
      </c>
      <c r="AA1731" s="13">
        <f>IF(tblSalaries[[#This Row],[Job Type]]=tblSalaries[[#Headers],[Manager]],tblSalaries[[#This Row],[Salary in USD]],"")</f>
        <v>52500</v>
      </c>
      <c r="AB1731" s="13" t="str">
        <f>IF(tblSalaries[[#This Row],[Job Type]]=tblSalaries[[#Headers],[Misc.]],tblSalaries[[#This Row],[Salary in USD]],"")</f>
        <v/>
      </c>
      <c r="AC1731" s="13" t="str">
        <f>IF(tblSalaries[[#This Row],[Job Type]]=tblSalaries[[#Headers],[Reporting]],tblSalaries[[#This Row],[Salary in USD]],"")</f>
        <v/>
      </c>
      <c r="AD1731" s="13" t="str">
        <f>IF(tblSalaries[[#This Row],[Job Type]]=tblSalaries[[#Headers],[Specialist]],tblSalaries[[#This Row],[Salary in USD]],"")</f>
        <v/>
      </c>
    </row>
    <row r="1732" spans="2:30" ht="15" customHeight="1" x14ac:dyDescent="0.25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 s="9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  <c r="N1732" t="str">
        <f>IF(tblSalaries[[#This Row],[Years of Experience]]="","",IF(tblSalaries[[#This Row],[Years of Experience]]&lt;=2,1,""))</f>
        <v/>
      </c>
      <c r="O1732">
        <f>IF(tblSalaries[[#This Row],[Years of Experience]]="","",IF(AND(tblSalaries[[#This Row],[Years of Experience]]&gt;2,tblSalaries[[#This Row],[Years of Experience]]&lt;=5),1,""))</f>
        <v>1</v>
      </c>
      <c r="P1732" t="str">
        <f>IF(tblSalaries[[#This Row],[Years of Experience]]="","",IF(AND(tblSalaries[[#This Row],[Years of Experience]]&gt;5,tblSalaries[[#This Row],[Years of Experience]]&lt;=10),1,""))</f>
        <v/>
      </c>
      <c r="Q1732" t="str">
        <f>IF(tblSalaries[[#This Row],[Years of Experience]]="","",IF(AND(tblSalaries[[#This Row],[Years of Experience]]&gt;10,tblSalaries[[#This Row],[Years of Experience]]&lt;=15),1,""))</f>
        <v/>
      </c>
      <c r="R1732" t="str">
        <f>IF(tblSalaries[[#This Row],[Years of Experience]]="","",IF(AND(tblSalaries[[#This Row],[Years of Experience]]&gt;16,tblSalaries[[#This Row],[Years of Experience]]&lt;=20),1,""))</f>
        <v/>
      </c>
      <c r="S1732" t="str">
        <f>IF(tblSalaries[[#This Row],[Years of Experience]]="","",IF(tblSalaries[[#This Row],[Years of Experience]]&gt;20,1,""))</f>
        <v/>
      </c>
      <c r="T17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32" s="13" t="str">
        <f>IF(tblSalaries[[#This Row],[Job Type]]=tblSalaries[[#Headers],[Accountant]],tblSalaries[[#This Row],[Salary in USD]],"")</f>
        <v/>
      </c>
      <c r="V1732" s="13" t="str">
        <f>IF(tblSalaries[[#This Row],[Job Type]]=tblSalaries[[#Headers],[Analyst]],tblSalaries[[#This Row],[Salary in USD]],"")</f>
        <v/>
      </c>
      <c r="W1732" s="13" t="str">
        <f>IF(tblSalaries[[#This Row],[Job Type]]=tblSalaries[[#Headers],[Consultant]],tblSalaries[[#This Row],[Salary in USD]],"")</f>
        <v/>
      </c>
      <c r="X1732" s="13" t="str">
        <f>IF(tblSalaries[[#This Row],[Job Type]]=tblSalaries[[#Headers],[Controller]],tblSalaries[[#This Row],[Salary in USD]],"")</f>
        <v/>
      </c>
      <c r="Y1732" s="13" t="str">
        <f>IF(tblSalaries[[#This Row],[Job Type]]=tblSalaries[[#Headers],[CXO or Top Mgmt.]],tblSalaries[[#This Row],[clean Salary (in local currency)]],"")</f>
        <v/>
      </c>
      <c r="Z1732" s="13" t="str">
        <f>IF(tblSalaries[[#This Row],[Job Type]]=tblSalaries[[#Headers],[Engineer]],tblSalaries[[#This Row],[Salary in USD]],"")</f>
        <v/>
      </c>
      <c r="AA1732" s="13">
        <f>IF(tblSalaries[[#This Row],[Job Type]]=tblSalaries[[#Headers],[Manager]],tblSalaries[[#This Row],[Salary in USD]],"")</f>
        <v>5320</v>
      </c>
      <c r="AB1732" s="13" t="str">
        <f>IF(tblSalaries[[#This Row],[Job Type]]=tblSalaries[[#Headers],[Misc.]],tblSalaries[[#This Row],[Salary in USD]],"")</f>
        <v/>
      </c>
      <c r="AC1732" s="13" t="str">
        <f>IF(tblSalaries[[#This Row],[Job Type]]=tblSalaries[[#Headers],[Reporting]],tblSalaries[[#This Row],[Salary in USD]],"")</f>
        <v/>
      </c>
      <c r="AD1732" s="13" t="str">
        <f>IF(tblSalaries[[#This Row],[Job Type]]=tblSalaries[[#Headers],[Specialist]],tblSalaries[[#This Row],[Salary in USD]],"")</f>
        <v/>
      </c>
    </row>
    <row r="1733" spans="2:30" ht="15" customHeight="1" x14ac:dyDescent="0.25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 s="9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  <c r="N1733" t="str">
        <f>IF(tblSalaries[[#This Row],[Years of Experience]]="","",IF(tblSalaries[[#This Row],[Years of Experience]]&lt;=2,1,""))</f>
        <v/>
      </c>
      <c r="O1733">
        <f>IF(tblSalaries[[#This Row],[Years of Experience]]="","",IF(AND(tblSalaries[[#This Row],[Years of Experience]]&gt;2,tblSalaries[[#This Row],[Years of Experience]]&lt;=5),1,""))</f>
        <v>1</v>
      </c>
      <c r="P1733" t="str">
        <f>IF(tblSalaries[[#This Row],[Years of Experience]]="","",IF(AND(tblSalaries[[#This Row],[Years of Experience]]&gt;5,tblSalaries[[#This Row],[Years of Experience]]&lt;=10),1,""))</f>
        <v/>
      </c>
      <c r="Q1733" t="str">
        <f>IF(tblSalaries[[#This Row],[Years of Experience]]="","",IF(AND(tblSalaries[[#This Row],[Years of Experience]]&gt;10,tblSalaries[[#This Row],[Years of Experience]]&lt;=15),1,""))</f>
        <v/>
      </c>
      <c r="R1733" t="str">
        <f>IF(tblSalaries[[#This Row],[Years of Experience]]="","",IF(AND(tblSalaries[[#This Row],[Years of Experience]]&gt;16,tblSalaries[[#This Row],[Years of Experience]]&lt;=20),1,""))</f>
        <v/>
      </c>
      <c r="S1733" t="str">
        <f>IF(tblSalaries[[#This Row],[Years of Experience]]="","",IF(tblSalaries[[#This Row],[Years of Experience]]&gt;20,1,""))</f>
        <v/>
      </c>
      <c r="T17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33" s="13">
        <f>IF(tblSalaries[[#This Row],[Job Type]]=tblSalaries[[#Headers],[Accountant]],tblSalaries[[#This Row],[Salary in USD]],"")</f>
        <v>18000</v>
      </c>
      <c r="V1733" s="13" t="str">
        <f>IF(tblSalaries[[#This Row],[Job Type]]=tblSalaries[[#Headers],[Analyst]],tblSalaries[[#This Row],[Salary in USD]],"")</f>
        <v/>
      </c>
      <c r="W1733" s="13" t="str">
        <f>IF(tblSalaries[[#This Row],[Job Type]]=tblSalaries[[#Headers],[Consultant]],tblSalaries[[#This Row],[Salary in USD]],"")</f>
        <v/>
      </c>
      <c r="X1733" s="13" t="str">
        <f>IF(tblSalaries[[#This Row],[Job Type]]=tblSalaries[[#Headers],[Controller]],tblSalaries[[#This Row],[Salary in USD]],"")</f>
        <v/>
      </c>
      <c r="Y1733" s="13" t="str">
        <f>IF(tblSalaries[[#This Row],[Job Type]]=tblSalaries[[#Headers],[CXO or Top Mgmt.]],tblSalaries[[#This Row],[clean Salary (in local currency)]],"")</f>
        <v/>
      </c>
      <c r="Z1733" s="13" t="str">
        <f>IF(tblSalaries[[#This Row],[Job Type]]=tblSalaries[[#Headers],[Engineer]],tblSalaries[[#This Row],[Salary in USD]],"")</f>
        <v/>
      </c>
      <c r="AA1733" s="13" t="str">
        <f>IF(tblSalaries[[#This Row],[Job Type]]=tblSalaries[[#Headers],[Manager]],tblSalaries[[#This Row],[Salary in USD]],"")</f>
        <v/>
      </c>
      <c r="AB1733" s="13" t="str">
        <f>IF(tblSalaries[[#This Row],[Job Type]]=tblSalaries[[#Headers],[Misc.]],tblSalaries[[#This Row],[Salary in USD]],"")</f>
        <v/>
      </c>
      <c r="AC1733" s="13" t="str">
        <f>IF(tblSalaries[[#This Row],[Job Type]]=tblSalaries[[#Headers],[Reporting]],tblSalaries[[#This Row],[Salary in USD]],"")</f>
        <v/>
      </c>
      <c r="AD1733" s="13" t="str">
        <f>IF(tblSalaries[[#This Row],[Job Type]]=tblSalaries[[#Headers],[Specialist]],tblSalaries[[#This Row],[Salary in USD]],"")</f>
        <v/>
      </c>
    </row>
    <row r="1734" spans="2:30" ht="15" customHeight="1" x14ac:dyDescent="0.25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 s="9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4000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  <c r="N1734" t="str">
        <f>IF(tblSalaries[[#This Row],[Years of Experience]]="","",IF(tblSalaries[[#This Row],[Years of Experience]]&lt;=2,1,""))</f>
        <v/>
      </c>
      <c r="O1734">
        <f>IF(tblSalaries[[#This Row],[Years of Experience]]="","",IF(AND(tblSalaries[[#This Row],[Years of Experience]]&gt;2,tblSalaries[[#This Row],[Years of Experience]]&lt;=5),1,""))</f>
        <v>1</v>
      </c>
      <c r="P1734" t="str">
        <f>IF(tblSalaries[[#This Row],[Years of Experience]]="","",IF(AND(tblSalaries[[#This Row],[Years of Experience]]&gt;5,tblSalaries[[#This Row],[Years of Experience]]&lt;=10),1,""))</f>
        <v/>
      </c>
      <c r="Q1734" t="str">
        <f>IF(tblSalaries[[#This Row],[Years of Experience]]="","",IF(AND(tblSalaries[[#This Row],[Years of Experience]]&gt;10,tblSalaries[[#This Row],[Years of Experience]]&lt;=15),1,""))</f>
        <v/>
      </c>
      <c r="R1734" t="str">
        <f>IF(tblSalaries[[#This Row],[Years of Experience]]="","",IF(AND(tblSalaries[[#This Row],[Years of Experience]]&gt;16,tblSalaries[[#This Row],[Years of Experience]]&lt;=20),1,""))</f>
        <v/>
      </c>
      <c r="S1734" t="str">
        <f>IF(tblSalaries[[#This Row],[Years of Experience]]="","",IF(tblSalaries[[#This Row],[Years of Experience]]&gt;20,1,""))</f>
        <v/>
      </c>
      <c r="T17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34" s="13" t="str">
        <f>IF(tblSalaries[[#This Row],[Job Type]]=tblSalaries[[#Headers],[Accountant]],tblSalaries[[#This Row],[Salary in USD]],"")</f>
        <v/>
      </c>
      <c r="V1734" s="13" t="str">
        <f>IF(tblSalaries[[#This Row],[Job Type]]=tblSalaries[[#Headers],[Analyst]],tblSalaries[[#This Row],[Salary in USD]],"")</f>
        <v/>
      </c>
      <c r="W1734" s="13" t="str">
        <f>IF(tblSalaries[[#This Row],[Job Type]]=tblSalaries[[#Headers],[Consultant]],tblSalaries[[#This Row],[Salary in USD]],"")</f>
        <v/>
      </c>
      <c r="X1734" s="13" t="str">
        <f>IF(tblSalaries[[#This Row],[Job Type]]=tblSalaries[[#Headers],[Controller]],tblSalaries[[#This Row],[Salary in USD]],"")</f>
        <v/>
      </c>
      <c r="Y1734" s="13" t="str">
        <f>IF(tblSalaries[[#This Row],[Job Type]]=tblSalaries[[#Headers],[CXO or Top Mgmt.]],tblSalaries[[#This Row],[clean Salary (in local currency)]],"")</f>
        <v/>
      </c>
      <c r="Z1734" s="13" t="str">
        <f>IF(tblSalaries[[#This Row],[Job Type]]=tblSalaries[[#Headers],[Engineer]],tblSalaries[[#This Row],[Salary in USD]],"")</f>
        <v/>
      </c>
      <c r="AA1734" s="13" t="str">
        <f>IF(tblSalaries[[#This Row],[Job Type]]=tblSalaries[[#Headers],[Manager]],tblSalaries[[#This Row],[Salary in USD]],"")</f>
        <v/>
      </c>
      <c r="AB1734" s="13">
        <f>IF(tblSalaries[[#This Row],[Job Type]]=tblSalaries[[#Headers],[Misc.]],tblSalaries[[#This Row],[Salary in USD]],"")</f>
        <v>2493.1083362419595</v>
      </c>
      <c r="AC1734" s="13" t="str">
        <f>IF(tblSalaries[[#This Row],[Job Type]]=tblSalaries[[#Headers],[Reporting]],tblSalaries[[#This Row],[Salary in USD]],"")</f>
        <v/>
      </c>
      <c r="AD1734" s="13" t="str">
        <f>IF(tblSalaries[[#This Row],[Job Type]]=tblSalaries[[#Headers],[Specialist]],tblSalaries[[#This Row],[Salary in USD]],"")</f>
        <v/>
      </c>
    </row>
    <row r="1735" spans="2:30" ht="15" customHeight="1" x14ac:dyDescent="0.25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 s="9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  <c r="N1735" t="str">
        <f>IF(tblSalaries[[#This Row],[Years of Experience]]="","",IF(tblSalaries[[#This Row],[Years of Experience]]&lt;=2,1,""))</f>
        <v/>
      </c>
      <c r="O1735" t="str">
        <f>IF(tblSalaries[[#This Row],[Years of Experience]]="","",IF(AND(tblSalaries[[#This Row],[Years of Experience]]&gt;2,tblSalaries[[#This Row],[Years of Experience]]&lt;=5),1,""))</f>
        <v/>
      </c>
      <c r="P1735" t="str">
        <f>IF(tblSalaries[[#This Row],[Years of Experience]]="","",IF(AND(tblSalaries[[#This Row],[Years of Experience]]&gt;5,tblSalaries[[#This Row],[Years of Experience]]&lt;=10),1,""))</f>
        <v/>
      </c>
      <c r="Q1735">
        <f>IF(tblSalaries[[#This Row],[Years of Experience]]="","",IF(AND(tblSalaries[[#This Row],[Years of Experience]]&gt;10,tblSalaries[[#This Row],[Years of Experience]]&lt;=15),1,""))</f>
        <v>1</v>
      </c>
      <c r="R1735" t="str">
        <f>IF(tblSalaries[[#This Row],[Years of Experience]]="","",IF(AND(tblSalaries[[#This Row],[Years of Experience]]&gt;16,tblSalaries[[#This Row],[Years of Experience]]&lt;=20),1,""))</f>
        <v/>
      </c>
      <c r="S1735" t="str">
        <f>IF(tblSalaries[[#This Row],[Years of Experience]]="","",IF(tblSalaries[[#This Row],[Years of Experience]]&gt;20,1,""))</f>
        <v/>
      </c>
      <c r="T17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35" s="13">
        <f>IF(tblSalaries[[#This Row],[Job Type]]=tblSalaries[[#Headers],[Accountant]],tblSalaries[[#This Row],[Salary in USD]],"")</f>
        <v>21342.710575059013</v>
      </c>
      <c r="V1735" s="13" t="str">
        <f>IF(tblSalaries[[#This Row],[Job Type]]=tblSalaries[[#Headers],[Analyst]],tblSalaries[[#This Row],[Salary in USD]],"")</f>
        <v/>
      </c>
      <c r="W1735" s="13" t="str">
        <f>IF(tblSalaries[[#This Row],[Job Type]]=tblSalaries[[#Headers],[Consultant]],tblSalaries[[#This Row],[Salary in USD]],"")</f>
        <v/>
      </c>
      <c r="X1735" s="13" t="str">
        <f>IF(tblSalaries[[#This Row],[Job Type]]=tblSalaries[[#Headers],[Controller]],tblSalaries[[#This Row],[Salary in USD]],"")</f>
        <v/>
      </c>
      <c r="Y1735" s="13" t="str">
        <f>IF(tblSalaries[[#This Row],[Job Type]]=tblSalaries[[#Headers],[CXO or Top Mgmt.]],tblSalaries[[#This Row],[clean Salary (in local currency)]],"")</f>
        <v/>
      </c>
      <c r="Z1735" s="13" t="str">
        <f>IF(tblSalaries[[#This Row],[Job Type]]=tblSalaries[[#Headers],[Engineer]],tblSalaries[[#This Row],[Salary in USD]],"")</f>
        <v/>
      </c>
      <c r="AA1735" s="13" t="str">
        <f>IF(tblSalaries[[#This Row],[Job Type]]=tblSalaries[[#Headers],[Manager]],tblSalaries[[#This Row],[Salary in USD]],"")</f>
        <v/>
      </c>
      <c r="AB1735" s="13" t="str">
        <f>IF(tblSalaries[[#This Row],[Job Type]]=tblSalaries[[#Headers],[Misc.]],tblSalaries[[#This Row],[Salary in USD]],"")</f>
        <v/>
      </c>
      <c r="AC1735" s="13" t="str">
        <f>IF(tblSalaries[[#This Row],[Job Type]]=tblSalaries[[#Headers],[Reporting]],tblSalaries[[#This Row],[Salary in USD]],"")</f>
        <v/>
      </c>
      <c r="AD1735" s="13" t="str">
        <f>IF(tblSalaries[[#This Row],[Job Type]]=tblSalaries[[#Headers],[Specialist]],tblSalaries[[#This Row],[Salary in USD]],"")</f>
        <v/>
      </c>
    </row>
    <row r="1736" spans="2:30" ht="15" customHeight="1" x14ac:dyDescent="0.25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 s="9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  <c r="N1736" t="str">
        <f>IF(tblSalaries[[#This Row],[Years of Experience]]="","",IF(tblSalaries[[#This Row],[Years of Experience]]&lt;=2,1,""))</f>
        <v/>
      </c>
      <c r="O1736" t="str">
        <f>IF(tblSalaries[[#This Row],[Years of Experience]]="","",IF(AND(tblSalaries[[#This Row],[Years of Experience]]&gt;2,tblSalaries[[#This Row],[Years of Experience]]&lt;=5),1,""))</f>
        <v/>
      </c>
      <c r="P1736" t="str">
        <f>IF(tblSalaries[[#This Row],[Years of Experience]]="","",IF(AND(tblSalaries[[#This Row],[Years of Experience]]&gt;5,tblSalaries[[#This Row],[Years of Experience]]&lt;=10),1,""))</f>
        <v/>
      </c>
      <c r="Q1736">
        <f>IF(tblSalaries[[#This Row],[Years of Experience]]="","",IF(AND(tblSalaries[[#This Row],[Years of Experience]]&gt;10,tblSalaries[[#This Row],[Years of Experience]]&lt;=15),1,""))</f>
        <v>1</v>
      </c>
      <c r="R1736" t="str">
        <f>IF(tblSalaries[[#This Row],[Years of Experience]]="","",IF(AND(tblSalaries[[#This Row],[Years of Experience]]&gt;16,tblSalaries[[#This Row],[Years of Experience]]&lt;=20),1,""))</f>
        <v/>
      </c>
      <c r="S1736" t="str">
        <f>IF(tblSalaries[[#This Row],[Years of Experience]]="","",IF(tblSalaries[[#This Row],[Years of Experience]]&gt;20,1,""))</f>
        <v/>
      </c>
      <c r="T17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36" s="13" t="str">
        <f>IF(tblSalaries[[#This Row],[Job Type]]=tblSalaries[[#Headers],[Accountant]],tblSalaries[[#This Row],[Salary in USD]],"")</f>
        <v/>
      </c>
      <c r="V1736" s="13" t="str">
        <f>IF(tblSalaries[[#This Row],[Job Type]]=tblSalaries[[#Headers],[Analyst]],tblSalaries[[#This Row],[Salary in USD]],"")</f>
        <v/>
      </c>
      <c r="W1736" s="13" t="str">
        <f>IF(tblSalaries[[#This Row],[Job Type]]=tblSalaries[[#Headers],[Consultant]],tblSalaries[[#This Row],[Salary in USD]],"")</f>
        <v/>
      </c>
      <c r="X1736" s="13" t="str">
        <f>IF(tblSalaries[[#This Row],[Job Type]]=tblSalaries[[#Headers],[Controller]],tblSalaries[[#This Row],[Salary in USD]],"")</f>
        <v/>
      </c>
      <c r="Y1736" s="13" t="str">
        <f>IF(tblSalaries[[#This Row],[Job Type]]=tblSalaries[[#Headers],[CXO or Top Mgmt.]],tblSalaries[[#This Row],[clean Salary (in local currency)]],"")</f>
        <v/>
      </c>
      <c r="Z1736" s="13" t="str">
        <f>IF(tblSalaries[[#This Row],[Job Type]]=tblSalaries[[#Headers],[Engineer]],tblSalaries[[#This Row],[Salary in USD]],"")</f>
        <v/>
      </c>
      <c r="AA1736" s="13">
        <f>IF(tblSalaries[[#This Row],[Job Type]]=tblSalaries[[#Headers],[Manager]],tblSalaries[[#This Row],[Salary in USD]],"")</f>
        <v>85000</v>
      </c>
      <c r="AB1736" s="13" t="str">
        <f>IF(tblSalaries[[#This Row],[Job Type]]=tblSalaries[[#Headers],[Misc.]],tblSalaries[[#This Row],[Salary in USD]],"")</f>
        <v/>
      </c>
      <c r="AC1736" s="13" t="str">
        <f>IF(tblSalaries[[#This Row],[Job Type]]=tblSalaries[[#Headers],[Reporting]],tblSalaries[[#This Row],[Salary in USD]],"")</f>
        <v/>
      </c>
      <c r="AD1736" s="13" t="str">
        <f>IF(tblSalaries[[#This Row],[Job Type]]=tblSalaries[[#Headers],[Specialist]],tblSalaries[[#This Row],[Salary in USD]],"")</f>
        <v/>
      </c>
    </row>
    <row r="1737" spans="2:30" ht="15" customHeight="1" x14ac:dyDescent="0.25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 s="9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  <c r="N1737" t="str">
        <f>IF(tblSalaries[[#This Row],[Years of Experience]]="","",IF(tblSalaries[[#This Row],[Years of Experience]]&lt;=2,1,""))</f>
        <v/>
      </c>
      <c r="O1737" t="str">
        <f>IF(tblSalaries[[#This Row],[Years of Experience]]="","",IF(AND(tblSalaries[[#This Row],[Years of Experience]]&gt;2,tblSalaries[[#This Row],[Years of Experience]]&lt;=5),1,""))</f>
        <v/>
      </c>
      <c r="P1737">
        <f>IF(tblSalaries[[#This Row],[Years of Experience]]="","",IF(AND(tblSalaries[[#This Row],[Years of Experience]]&gt;5,tblSalaries[[#This Row],[Years of Experience]]&lt;=10),1,""))</f>
        <v>1</v>
      </c>
      <c r="Q1737" t="str">
        <f>IF(tblSalaries[[#This Row],[Years of Experience]]="","",IF(AND(tblSalaries[[#This Row],[Years of Experience]]&gt;10,tblSalaries[[#This Row],[Years of Experience]]&lt;=15),1,""))</f>
        <v/>
      </c>
      <c r="R1737" t="str">
        <f>IF(tblSalaries[[#This Row],[Years of Experience]]="","",IF(AND(tblSalaries[[#This Row],[Years of Experience]]&gt;16,tblSalaries[[#This Row],[Years of Experience]]&lt;=20),1,""))</f>
        <v/>
      </c>
      <c r="S1737" t="str">
        <f>IF(tblSalaries[[#This Row],[Years of Experience]]="","",IF(tblSalaries[[#This Row],[Years of Experience]]&gt;20,1,""))</f>
        <v/>
      </c>
      <c r="T17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37" s="13" t="str">
        <f>IF(tblSalaries[[#This Row],[Job Type]]=tblSalaries[[#Headers],[Accountant]],tblSalaries[[#This Row],[Salary in USD]],"")</f>
        <v/>
      </c>
      <c r="V1737" s="13" t="str">
        <f>IF(tblSalaries[[#This Row],[Job Type]]=tblSalaries[[#Headers],[Analyst]],tblSalaries[[#This Row],[Salary in USD]],"")</f>
        <v/>
      </c>
      <c r="W1737" s="13" t="str">
        <f>IF(tblSalaries[[#This Row],[Job Type]]=tblSalaries[[#Headers],[Consultant]],tblSalaries[[#This Row],[Salary in USD]],"")</f>
        <v/>
      </c>
      <c r="X1737" s="13" t="str">
        <f>IF(tblSalaries[[#This Row],[Job Type]]=tblSalaries[[#Headers],[Controller]],tblSalaries[[#This Row],[Salary in USD]],"")</f>
        <v/>
      </c>
      <c r="Y1737" s="13" t="str">
        <f>IF(tblSalaries[[#This Row],[Job Type]]=tblSalaries[[#Headers],[CXO or Top Mgmt.]],tblSalaries[[#This Row],[clean Salary (in local currency)]],"")</f>
        <v/>
      </c>
      <c r="Z1737" s="13">
        <f>IF(tblSalaries[[#This Row],[Job Type]]=tblSalaries[[#Headers],[Engineer]],tblSalaries[[#This Row],[Salary in USD]],"")</f>
        <v>80000</v>
      </c>
      <c r="AA1737" s="13" t="str">
        <f>IF(tblSalaries[[#This Row],[Job Type]]=tblSalaries[[#Headers],[Manager]],tblSalaries[[#This Row],[Salary in USD]],"")</f>
        <v/>
      </c>
      <c r="AB1737" s="13" t="str">
        <f>IF(tblSalaries[[#This Row],[Job Type]]=tblSalaries[[#Headers],[Misc.]],tblSalaries[[#This Row],[Salary in USD]],"")</f>
        <v/>
      </c>
      <c r="AC1737" s="13" t="str">
        <f>IF(tblSalaries[[#This Row],[Job Type]]=tblSalaries[[#Headers],[Reporting]],tblSalaries[[#This Row],[Salary in USD]],"")</f>
        <v/>
      </c>
      <c r="AD1737" s="13" t="str">
        <f>IF(tblSalaries[[#This Row],[Job Type]]=tblSalaries[[#Headers],[Specialist]],tblSalaries[[#This Row],[Salary in USD]],"")</f>
        <v/>
      </c>
    </row>
    <row r="1738" spans="2:30" ht="15" customHeight="1" x14ac:dyDescent="0.25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 s="9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  <c r="N1738">
        <f>IF(tblSalaries[[#This Row],[Years of Experience]]="","",IF(tblSalaries[[#This Row],[Years of Experience]]&lt;=2,1,""))</f>
        <v>1</v>
      </c>
      <c r="O1738" t="str">
        <f>IF(tblSalaries[[#This Row],[Years of Experience]]="","",IF(AND(tblSalaries[[#This Row],[Years of Experience]]&gt;2,tblSalaries[[#This Row],[Years of Experience]]&lt;=5),1,""))</f>
        <v/>
      </c>
      <c r="P1738" t="str">
        <f>IF(tblSalaries[[#This Row],[Years of Experience]]="","",IF(AND(tblSalaries[[#This Row],[Years of Experience]]&gt;5,tblSalaries[[#This Row],[Years of Experience]]&lt;=10),1,""))</f>
        <v/>
      </c>
      <c r="Q1738" t="str">
        <f>IF(tblSalaries[[#This Row],[Years of Experience]]="","",IF(AND(tblSalaries[[#This Row],[Years of Experience]]&gt;10,tblSalaries[[#This Row],[Years of Experience]]&lt;=15),1,""))</f>
        <v/>
      </c>
      <c r="R1738" t="str">
        <f>IF(tblSalaries[[#This Row],[Years of Experience]]="","",IF(AND(tblSalaries[[#This Row],[Years of Experience]]&gt;16,tblSalaries[[#This Row],[Years of Experience]]&lt;=20),1,""))</f>
        <v/>
      </c>
      <c r="S1738" t="str">
        <f>IF(tblSalaries[[#This Row],[Years of Experience]]="","",IF(tblSalaries[[#This Row],[Years of Experience]]&gt;20,1,""))</f>
        <v/>
      </c>
      <c r="T17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38" s="13" t="str">
        <f>IF(tblSalaries[[#This Row],[Job Type]]=tblSalaries[[#Headers],[Accountant]],tblSalaries[[#This Row],[Salary in USD]],"")</f>
        <v/>
      </c>
      <c r="V1738" s="13">
        <f>IF(tblSalaries[[#This Row],[Job Type]]=tblSalaries[[#Headers],[Analyst]],tblSalaries[[#This Row],[Salary in USD]],"")</f>
        <v>8903.9583437212841</v>
      </c>
      <c r="W1738" s="13" t="str">
        <f>IF(tblSalaries[[#This Row],[Job Type]]=tblSalaries[[#Headers],[Consultant]],tblSalaries[[#This Row],[Salary in USD]],"")</f>
        <v/>
      </c>
      <c r="X1738" s="13" t="str">
        <f>IF(tblSalaries[[#This Row],[Job Type]]=tblSalaries[[#Headers],[Controller]],tblSalaries[[#This Row],[Salary in USD]],"")</f>
        <v/>
      </c>
      <c r="Y1738" s="13" t="str">
        <f>IF(tblSalaries[[#This Row],[Job Type]]=tblSalaries[[#Headers],[CXO or Top Mgmt.]],tblSalaries[[#This Row],[clean Salary (in local currency)]],"")</f>
        <v/>
      </c>
      <c r="Z1738" s="13" t="str">
        <f>IF(tblSalaries[[#This Row],[Job Type]]=tblSalaries[[#Headers],[Engineer]],tblSalaries[[#This Row],[Salary in USD]],"")</f>
        <v/>
      </c>
      <c r="AA1738" s="13" t="str">
        <f>IF(tblSalaries[[#This Row],[Job Type]]=tblSalaries[[#Headers],[Manager]],tblSalaries[[#This Row],[Salary in USD]],"")</f>
        <v/>
      </c>
      <c r="AB1738" s="13" t="str">
        <f>IF(tblSalaries[[#This Row],[Job Type]]=tblSalaries[[#Headers],[Misc.]],tblSalaries[[#This Row],[Salary in USD]],"")</f>
        <v/>
      </c>
      <c r="AC1738" s="13" t="str">
        <f>IF(tblSalaries[[#This Row],[Job Type]]=tblSalaries[[#Headers],[Reporting]],tblSalaries[[#This Row],[Salary in USD]],"")</f>
        <v/>
      </c>
      <c r="AD1738" s="13" t="str">
        <f>IF(tblSalaries[[#This Row],[Job Type]]=tblSalaries[[#Headers],[Specialist]],tblSalaries[[#This Row],[Salary in USD]],"")</f>
        <v/>
      </c>
    </row>
    <row r="1739" spans="2:30" ht="15" customHeight="1" x14ac:dyDescent="0.25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 s="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  <c r="N1739" t="str">
        <f>IF(tblSalaries[[#This Row],[Years of Experience]]="","",IF(tblSalaries[[#This Row],[Years of Experience]]&lt;=2,1,""))</f>
        <v/>
      </c>
      <c r="O1739" t="str">
        <f>IF(tblSalaries[[#This Row],[Years of Experience]]="","",IF(AND(tblSalaries[[#This Row],[Years of Experience]]&gt;2,tblSalaries[[#This Row],[Years of Experience]]&lt;=5),1,""))</f>
        <v/>
      </c>
      <c r="P1739">
        <f>IF(tblSalaries[[#This Row],[Years of Experience]]="","",IF(AND(tblSalaries[[#This Row],[Years of Experience]]&gt;5,tblSalaries[[#This Row],[Years of Experience]]&lt;=10),1,""))</f>
        <v>1</v>
      </c>
      <c r="Q1739" t="str">
        <f>IF(tblSalaries[[#This Row],[Years of Experience]]="","",IF(AND(tblSalaries[[#This Row],[Years of Experience]]&gt;10,tblSalaries[[#This Row],[Years of Experience]]&lt;=15),1,""))</f>
        <v/>
      </c>
      <c r="R1739" t="str">
        <f>IF(tblSalaries[[#This Row],[Years of Experience]]="","",IF(AND(tblSalaries[[#This Row],[Years of Experience]]&gt;16,tblSalaries[[#This Row],[Years of Experience]]&lt;=20),1,""))</f>
        <v/>
      </c>
      <c r="S1739" t="str">
        <f>IF(tblSalaries[[#This Row],[Years of Experience]]="","",IF(tblSalaries[[#This Row],[Years of Experience]]&gt;20,1,""))</f>
        <v/>
      </c>
      <c r="T17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39" s="13" t="str">
        <f>IF(tblSalaries[[#This Row],[Job Type]]=tblSalaries[[#Headers],[Accountant]],tblSalaries[[#This Row],[Salary in USD]],"")</f>
        <v/>
      </c>
      <c r="V1739" s="13" t="str">
        <f>IF(tblSalaries[[#This Row],[Job Type]]=tblSalaries[[#Headers],[Analyst]],tblSalaries[[#This Row],[Salary in USD]],"")</f>
        <v/>
      </c>
      <c r="W1739" s="13" t="str">
        <f>IF(tblSalaries[[#This Row],[Job Type]]=tblSalaries[[#Headers],[Consultant]],tblSalaries[[#This Row],[Salary in USD]],"")</f>
        <v/>
      </c>
      <c r="X1739" s="13" t="str">
        <f>IF(tblSalaries[[#This Row],[Job Type]]=tblSalaries[[#Headers],[Controller]],tblSalaries[[#This Row],[Salary in USD]],"")</f>
        <v/>
      </c>
      <c r="Y1739" s="13" t="str">
        <f>IF(tblSalaries[[#This Row],[Job Type]]=tblSalaries[[#Headers],[CXO or Top Mgmt.]],tblSalaries[[#This Row],[clean Salary (in local currency)]],"")</f>
        <v/>
      </c>
      <c r="Z1739" s="13" t="str">
        <f>IF(tblSalaries[[#This Row],[Job Type]]=tblSalaries[[#Headers],[Engineer]],tblSalaries[[#This Row],[Salary in USD]],"")</f>
        <v/>
      </c>
      <c r="AA1739" s="13">
        <f>IF(tblSalaries[[#This Row],[Job Type]]=tblSalaries[[#Headers],[Manager]],tblSalaries[[#This Row],[Salary in USD]],"")</f>
        <v>125000</v>
      </c>
      <c r="AB1739" s="13" t="str">
        <f>IF(tblSalaries[[#This Row],[Job Type]]=tblSalaries[[#Headers],[Misc.]],tblSalaries[[#This Row],[Salary in USD]],"")</f>
        <v/>
      </c>
      <c r="AC1739" s="13" t="str">
        <f>IF(tblSalaries[[#This Row],[Job Type]]=tblSalaries[[#Headers],[Reporting]],tblSalaries[[#This Row],[Salary in USD]],"")</f>
        <v/>
      </c>
      <c r="AD1739" s="13" t="str">
        <f>IF(tblSalaries[[#This Row],[Job Type]]=tblSalaries[[#Headers],[Specialist]],tblSalaries[[#This Row],[Salary in USD]],"")</f>
        <v/>
      </c>
    </row>
    <row r="1740" spans="2:30" ht="15" customHeight="1" x14ac:dyDescent="0.25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 s="9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  <c r="N1740" t="str">
        <f>IF(tblSalaries[[#This Row],[Years of Experience]]="","",IF(tblSalaries[[#This Row],[Years of Experience]]&lt;=2,1,""))</f>
        <v/>
      </c>
      <c r="O1740" t="str">
        <f>IF(tblSalaries[[#This Row],[Years of Experience]]="","",IF(AND(tblSalaries[[#This Row],[Years of Experience]]&gt;2,tblSalaries[[#This Row],[Years of Experience]]&lt;=5),1,""))</f>
        <v/>
      </c>
      <c r="P1740">
        <f>IF(tblSalaries[[#This Row],[Years of Experience]]="","",IF(AND(tblSalaries[[#This Row],[Years of Experience]]&gt;5,tblSalaries[[#This Row],[Years of Experience]]&lt;=10),1,""))</f>
        <v>1</v>
      </c>
      <c r="Q1740" t="str">
        <f>IF(tblSalaries[[#This Row],[Years of Experience]]="","",IF(AND(tblSalaries[[#This Row],[Years of Experience]]&gt;10,tblSalaries[[#This Row],[Years of Experience]]&lt;=15),1,""))</f>
        <v/>
      </c>
      <c r="R1740" t="str">
        <f>IF(tblSalaries[[#This Row],[Years of Experience]]="","",IF(AND(tblSalaries[[#This Row],[Years of Experience]]&gt;16,tblSalaries[[#This Row],[Years of Experience]]&lt;=20),1,""))</f>
        <v/>
      </c>
      <c r="S1740" t="str">
        <f>IF(tblSalaries[[#This Row],[Years of Experience]]="","",IF(tblSalaries[[#This Row],[Years of Experience]]&gt;20,1,""))</f>
        <v/>
      </c>
      <c r="T17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40" s="13" t="str">
        <f>IF(tblSalaries[[#This Row],[Job Type]]=tblSalaries[[#Headers],[Accountant]],tblSalaries[[#This Row],[Salary in USD]],"")</f>
        <v/>
      </c>
      <c r="V1740" s="13" t="str">
        <f>IF(tblSalaries[[#This Row],[Job Type]]=tblSalaries[[#Headers],[Analyst]],tblSalaries[[#This Row],[Salary in USD]],"")</f>
        <v/>
      </c>
      <c r="W1740" s="13" t="str">
        <f>IF(tblSalaries[[#This Row],[Job Type]]=tblSalaries[[#Headers],[Consultant]],tblSalaries[[#This Row],[Salary in USD]],"")</f>
        <v/>
      </c>
      <c r="X1740" s="13" t="str">
        <f>IF(tblSalaries[[#This Row],[Job Type]]=tblSalaries[[#Headers],[Controller]],tblSalaries[[#This Row],[Salary in USD]],"")</f>
        <v/>
      </c>
      <c r="Y1740" s="13" t="str">
        <f>IF(tblSalaries[[#This Row],[Job Type]]=tblSalaries[[#Headers],[CXO or Top Mgmt.]],tblSalaries[[#This Row],[clean Salary (in local currency)]],"")</f>
        <v/>
      </c>
      <c r="Z1740" s="13" t="str">
        <f>IF(tblSalaries[[#This Row],[Job Type]]=tblSalaries[[#Headers],[Engineer]],tblSalaries[[#This Row],[Salary in USD]],"")</f>
        <v/>
      </c>
      <c r="AA1740" s="13">
        <f>IF(tblSalaries[[#This Row],[Job Type]]=tblSalaries[[#Headers],[Manager]],tblSalaries[[#This Row],[Salary in USD]],"")</f>
        <v>23150.291693675339</v>
      </c>
      <c r="AB1740" s="13" t="str">
        <f>IF(tblSalaries[[#This Row],[Job Type]]=tblSalaries[[#Headers],[Misc.]],tblSalaries[[#This Row],[Salary in USD]],"")</f>
        <v/>
      </c>
      <c r="AC1740" s="13" t="str">
        <f>IF(tblSalaries[[#This Row],[Job Type]]=tblSalaries[[#Headers],[Reporting]],tblSalaries[[#This Row],[Salary in USD]],"")</f>
        <v/>
      </c>
      <c r="AD1740" s="13" t="str">
        <f>IF(tblSalaries[[#This Row],[Job Type]]=tblSalaries[[#Headers],[Specialist]],tblSalaries[[#This Row],[Salary in USD]],"")</f>
        <v/>
      </c>
    </row>
    <row r="1741" spans="2:30" ht="15" customHeight="1" x14ac:dyDescent="0.25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 s="9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  <c r="N1741" t="str">
        <f>IF(tblSalaries[[#This Row],[Years of Experience]]="","",IF(tblSalaries[[#This Row],[Years of Experience]]&lt;=2,1,""))</f>
        <v/>
      </c>
      <c r="O1741" t="str">
        <f>IF(tblSalaries[[#This Row],[Years of Experience]]="","",IF(AND(tblSalaries[[#This Row],[Years of Experience]]&gt;2,tblSalaries[[#This Row],[Years of Experience]]&lt;=5),1,""))</f>
        <v/>
      </c>
      <c r="P1741">
        <f>IF(tblSalaries[[#This Row],[Years of Experience]]="","",IF(AND(tblSalaries[[#This Row],[Years of Experience]]&gt;5,tblSalaries[[#This Row],[Years of Experience]]&lt;=10),1,""))</f>
        <v>1</v>
      </c>
      <c r="Q1741" t="str">
        <f>IF(tblSalaries[[#This Row],[Years of Experience]]="","",IF(AND(tblSalaries[[#This Row],[Years of Experience]]&gt;10,tblSalaries[[#This Row],[Years of Experience]]&lt;=15),1,""))</f>
        <v/>
      </c>
      <c r="R1741" t="str">
        <f>IF(tblSalaries[[#This Row],[Years of Experience]]="","",IF(AND(tblSalaries[[#This Row],[Years of Experience]]&gt;16,tblSalaries[[#This Row],[Years of Experience]]&lt;=20),1,""))</f>
        <v/>
      </c>
      <c r="S1741" t="str">
        <f>IF(tblSalaries[[#This Row],[Years of Experience]]="","",IF(tblSalaries[[#This Row],[Years of Experience]]&gt;20,1,""))</f>
        <v/>
      </c>
      <c r="T17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41" s="13" t="str">
        <f>IF(tblSalaries[[#This Row],[Job Type]]=tblSalaries[[#Headers],[Accountant]],tblSalaries[[#This Row],[Salary in USD]],"")</f>
        <v/>
      </c>
      <c r="V1741" s="13" t="str">
        <f>IF(tblSalaries[[#This Row],[Job Type]]=tblSalaries[[#Headers],[Analyst]],tblSalaries[[#This Row],[Salary in USD]],"")</f>
        <v/>
      </c>
      <c r="W1741" s="13" t="str">
        <f>IF(tblSalaries[[#This Row],[Job Type]]=tblSalaries[[#Headers],[Consultant]],tblSalaries[[#This Row],[Salary in USD]],"")</f>
        <v/>
      </c>
      <c r="X1741" s="13" t="str">
        <f>IF(tblSalaries[[#This Row],[Job Type]]=tblSalaries[[#Headers],[Controller]],tblSalaries[[#This Row],[Salary in USD]],"")</f>
        <v/>
      </c>
      <c r="Y1741" s="13" t="str">
        <f>IF(tblSalaries[[#This Row],[Job Type]]=tblSalaries[[#Headers],[CXO or Top Mgmt.]],tblSalaries[[#This Row],[clean Salary (in local currency)]],"")</f>
        <v/>
      </c>
      <c r="Z1741" s="13">
        <f>IF(tblSalaries[[#This Row],[Job Type]]=tblSalaries[[#Headers],[Engineer]],tblSalaries[[#This Row],[Salary in USD]],"")</f>
        <v>12000</v>
      </c>
      <c r="AA1741" s="13" t="str">
        <f>IF(tblSalaries[[#This Row],[Job Type]]=tblSalaries[[#Headers],[Manager]],tblSalaries[[#This Row],[Salary in USD]],"")</f>
        <v/>
      </c>
      <c r="AB1741" s="13" t="str">
        <f>IF(tblSalaries[[#This Row],[Job Type]]=tblSalaries[[#Headers],[Misc.]],tblSalaries[[#This Row],[Salary in USD]],"")</f>
        <v/>
      </c>
      <c r="AC1741" s="13" t="str">
        <f>IF(tblSalaries[[#This Row],[Job Type]]=tblSalaries[[#Headers],[Reporting]],tblSalaries[[#This Row],[Salary in USD]],"")</f>
        <v/>
      </c>
      <c r="AD1741" s="13" t="str">
        <f>IF(tblSalaries[[#This Row],[Job Type]]=tblSalaries[[#Headers],[Specialist]],tblSalaries[[#This Row],[Salary in USD]],"")</f>
        <v/>
      </c>
    </row>
    <row r="1742" spans="2:30" ht="15" customHeight="1" x14ac:dyDescent="0.25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 s="9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  <c r="N1742" t="str">
        <f>IF(tblSalaries[[#This Row],[Years of Experience]]="","",IF(tblSalaries[[#This Row],[Years of Experience]]&lt;=2,1,""))</f>
        <v/>
      </c>
      <c r="O1742" t="str">
        <f>IF(tblSalaries[[#This Row],[Years of Experience]]="","",IF(AND(tblSalaries[[#This Row],[Years of Experience]]&gt;2,tblSalaries[[#This Row],[Years of Experience]]&lt;=5),1,""))</f>
        <v/>
      </c>
      <c r="P1742" t="str">
        <f>IF(tblSalaries[[#This Row],[Years of Experience]]="","",IF(AND(tblSalaries[[#This Row],[Years of Experience]]&gt;5,tblSalaries[[#This Row],[Years of Experience]]&lt;=10),1,""))</f>
        <v/>
      </c>
      <c r="Q1742">
        <f>IF(tblSalaries[[#This Row],[Years of Experience]]="","",IF(AND(tblSalaries[[#This Row],[Years of Experience]]&gt;10,tblSalaries[[#This Row],[Years of Experience]]&lt;=15),1,""))</f>
        <v>1</v>
      </c>
      <c r="R1742" t="str">
        <f>IF(tblSalaries[[#This Row],[Years of Experience]]="","",IF(AND(tblSalaries[[#This Row],[Years of Experience]]&gt;16,tblSalaries[[#This Row],[Years of Experience]]&lt;=20),1,""))</f>
        <v/>
      </c>
      <c r="S1742" t="str">
        <f>IF(tblSalaries[[#This Row],[Years of Experience]]="","",IF(tblSalaries[[#This Row],[Years of Experience]]&gt;20,1,""))</f>
        <v/>
      </c>
      <c r="T17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42" s="13" t="str">
        <f>IF(tblSalaries[[#This Row],[Job Type]]=tblSalaries[[#Headers],[Accountant]],tblSalaries[[#This Row],[Salary in USD]],"")</f>
        <v/>
      </c>
      <c r="V1742" s="13">
        <f>IF(tblSalaries[[#This Row],[Job Type]]=tblSalaries[[#Headers],[Analyst]],tblSalaries[[#This Row],[Salary in USD]],"")</f>
        <v>30000</v>
      </c>
      <c r="W1742" s="13" t="str">
        <f>IF(tblSalaries[[#This Row],[Job Type]]=tblSalaries[[#Headers],[Consultant]],tblSalaries[[#This Row],[Salary in USD]],"")</f>
        <v/>
      </c>
      <c r="X1742" s="13" t="str">
        <f>IF(tblSalaries[[#This Row],[Job Type]]=tblSalaries[[#Headers],[Controller]],tblSalaries[[#This Row],[Salary in USD]],"")</f>
        <v/>
      </c>
      <c r="Y1742" s="13" t="str">
        <f>IF(tblSalaries[[#This Row],[Job Type]]=tblSalaries[[#Headers],[CXO or Top Mgmt.]],tblSalaries[[#This Row],[clean Salary (in local currency)]],"")</f>
        <v/>
      </c>
      <c r="Z1742" s="13" t="str">
        <f>IF(tblSalaries[[#This Row],[Job Type]]=tblSalaries[[#Headers],[Engineer]],tblSalaries[[#This Row],[Salary in USD]],"")</f>
        <v/>
      </c>
      <c r="AA1742" s="13" t="str">
        <f>IF(tblSalaries[[#This Row],[Job Type]]=tblSalaries[[#Headers],[Manager]],tblSalaries[[#This Row],[Salary in USD]],"")</f>
        <v/>
      </c>
      <c r="AB1742" s="13" t="str">
        <f>IF(tblSalaries[[#This Row],[Job Type]]=tblSalaries[[#Headers],[Misc.]],tblSalaries[[#This Row],[Salary in USD]],"")</f>
        <v/>
      </c>
      <c r="AC1742" s="13" t="str">
        <f>IF(tblSalaries[[#This Row],[Job Type]]=tblSalaries[[#Headers],[Reporting]],tblSalaries[[#This Row],[Salary in USD]],"")</f>
        <v/>
      </c>
      <c r="AD1742" s="13" t="str">
        <f>IF(tblSalaries[[#This Row],[Job Type]]=tblSalaries[[#Headers],[Specialist]],tblSalaries[[#This Row],[Salary in USD]],"")</f>
        <v/>
      </c>
    </row>
    <row r="1743" spans="2:30" ht="15" customHeight="1" x14ac:dyDescent="0.25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 s="9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  <c r="N1743" t="str">
        <f>IF(tblSalaries[[#This Row],[Years of Experience]]="","",IF(tblSalaries[[#This Row],[Years of Experience]]&lt;=2,1,""))</f>
        <v/>
      </c>
      <c r="O1743">
        <f>IF(tblSalaries[[#This Row],[Years of Experience]]="","",IF(AND(tblSalaries[[#This Row],[Years of Experience]]&gt;2,tblSalaries[[#This Row],[Years of Experience]]&lt;=5),1,""))</f>
        <v>1</v>
      </c>
      <c r="P1743" t="str">
        <f>IF(tblSalaries[[#This Row],[Years of Experience]]="","",IF(AND(tblSalaries[[#This Row],[Years of Experience]]&gt;5,tblSalaries[[#This Row],[Years of Experience]]&lt;=10),1,""))</f>
        <v/>
      </c>
      <c r="Q1743" t="str">
        <f>IF(tblSalaries[[#This Row],[Years of Experience]]="","",IF(AND(tblSalaries[[#This Row],[Years of Experience]]&gt;10,tblSalaries[[#This Row],[Years of Experience]]&lt;=15),1,""))</f>
        <v/>
      </c>
      <c r="R1743" t="str">
        <f>IF(tblSalaries[[#This Row],[Years of Experience]]="","",IF(AND(tblSalaries[[#This Row],[Years of Experience]]&gt;16,tblSalaries[[#This Row],[Years of Experience]]&lt;=20),1,""))</f>
        <v/>
      </c>
      <c r="S1743" t="str">
        <f>IF(tblSalaries[[#This Row],[Years of Experience]]="","",IF(tblSalaries[[#This Row],[Years of Experience]]&gt;20,1,""))</f>
        <v/>
      </c>
      <c r="T17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43" s="13" t="str">
        <f>IF(tblSalaries[[#This Row],[Job Type]]=tblSalaries[[#Headers],[Accountant]],tblSalaries[[#This Row],[Salary in USD]],"")</f>
        <v/>
      </c>
      <c r="V1743" s="13" t="str">
        <f>IF(tblSalaries[[#This Row],[Job Type]]=tblSalaries[[#Headers],[Analyst]],tblSalaries[[#This Row],[Salary in USD]],"")</f>
        <v/>
      </c>
      <c r="W1743" s="13" t="str">
        <f>IF(tblSalaries[[#This Row],[Job Type]]=tblSalaries[[#Headers],[Consultant]],tblSalaries[[#This Row],[Salary in USD]],"")</f>
        <v/>
      </c>
      <c r="X1743" s="13" t="str">
        <f>IF(tblSalaries[[#This Row],[Job Type]]=tblSalaries[[#Headers],[Controller]],tblSalaries[[#This Row],[Salary in USD]],"")</f>
        <v/>
      </c>
      <c r="Y1743" s="13" t="str">
        <f>IF(tblSalaries[[#This Row],[Job Type]]=tblSalaries[[#Headers],[CXO or Top Mgmt.]],tblSalaries[[#This Row],[clean Salary (in local currency)]],"")</f>
        <v/>
      </c>
      <c r="Z1743" s="13" t="str">
        <f>IF(tblSalaries[[#This Row],[Job Type]]=tblSalaries[[#Headers],[Engineer]],tblSalaries[[#This Row],[Salary in USD]],"")</f>
        <v/>
      </c>
      <c r="AA1743" s="13">
        <f>IF(tblSalaries[[#This Row],[Job Type]]=tblSalaries[[#Headers],[Manager]],tblSalaries[[#This Row],[Salary in USD]],"")</f>
        <v>91468.759607395754</v>
      </c>
      <c r="AB1743" s="13" t="str">
        <f>IF(tblSalaries[[#This Row],[Job Type]]=tblSalaries[[#Headers],[Misc.]],tblSalaries[[#This Row],[Salary in USD]],"")</f>
        <v/>
      </c>
      <c r="AC1743" s="13" t="str">
        <f>IF(tblSalaries[[#This Row],[Job Type]]=tblSalaries[[#Headers],[Reporting]],tblSalaries[[#This Row],[Salary in USD]],"")</f>
        <v/>
      </c>
      <c r="AD1743" s="13" t="str">
        <f>IF(tblSalaries[[#This Row],[Job Type]]=tblSalaries[[#Headers],[Specialist]],tblSalaries[[#This Row],[Salary in USD]],"")</f>
        <v/>
      </c>
    </row>
    <row r="1744" spans="2:30" ht="15" customHeight="1" x14ac:dyDescent="0.25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 s="9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  <c r="N1744" t="str">
        <f>IF(tblSalaries[[#This Row],[Years of Experience]]="","",IF(tblSalaries[[#This Row],[Years of Experience]]&lt;=2,1,""))</f>
        <v/>
      </c>
      <c r="O1744">
        <f>IF(tblSalaries[[#This Row],[Years of Experience]]="","",IF(AND(tblSalaries[[#This Row],[Years of Experience]]&gt;2,tblSalaries[[#This Row],[Years of Experience]]&lt;=5),1,""))</f>
        <v>1</v>
      </c>
      <c r="P1744" t="str">
        <f>IF(tblSalaries[[#This Row],[Years of Experience]]="","",IF(AND(tblSalaries[[#This Row],[Years of Experience]]&gt;5,tblSalaries[[#This Row],[Years of Experience]]&lt;=10),1,""))</f>
        <v/>
      </c>
      <c r="Q1744" t="str">
        <f>IF(tblSalaries[[#This Row],[Years of Experience]]="","",IF(AND(tblSalaries[[#This Row],[Years of Experience]]&gt;10,tblSalaries[[#This Row],[Years of Experience]]&lt;=15),1,""))</f>
        <v/>
      </c>
      <c r="R1744" t="str">
        <f>IF(tblSalaries[[#This Row],[Years of Experience]]="","",IF(AND(tblSalaries[[#This Row],[Years of Experience]]&gt;16,tblSalaries[[#This Row],[Years of Experience]]&lt;=20),1,""))</f>
        <v/>
      </c>
      <c r="S1744" t="str">
        <f>IF(tblSalaries[[#This Row],[Years of Experience]]="","",IF(tblSalaries[[#This Row],[Years of Experience]]&gt;20,1,""))</f>
        <v/>
      </c>
      <c r="T17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44" s="13" t="str">
        <f>IF(tblSalaries[[#This Row],[Job Type]]=tblSalaries[[#Headers],[Accountant]],tblSalaries[[#This Row],[Salary in USD]],"")</f>
        <v/>
      </c>
      <c r="V1744" s="13">
        <f>IF(tblSalaries[[#This Row],[Job Type]]=tblSalaries[[#Headers],[Analyst]],tblSalaries[[#This Row],[Salary in USD]],"")</f>
        <v>35148.775467100437</v>
      </c>
      <c r="W1744" s="13" t="str">
        <f>IF(tblSalaries[[#This Row],[Job Type]]=tblSalaries[[#Headers],[Consultant]],tblSalaries[[#This Row],[Salary in USD]],"")</f>
        <v/>
      </c>
      <c r="X1744" s="13" t="str">
        <f>IF(tblSalaries[[#This Row],[Job Type]]=tblSalaries[[#Headers],[Controller]],tblSalaries[[#This Row],[Salary in USD]],"")</f>
        <v/>
      </c>
      <c r="Y1744" s="13" t="str">
        <f>IF(tblSalaries[[#This Row],[Job Type]]=tblSalaries[[#Headers],[CXO or Top Mgmt.]],tblSalaries[[#This Row],[clean Salary (in local currency)]],"")</f>
        <v/>
      </c>
      <c r="Z1744" s="13" t="str">
        <f>IF(tblSalaries[[#This Row],[Job Type]]=tblSalaries[[#Headers],[Engineer]],tblSalaries[[#This Row],[Salary in USD]],"")</f>
        <v/>
      </c>
      <c r="AA1744" s="13" t="str">
        <f>IF(tblSalaries[[#This Row],[Job Type]]=tblSalaries[[#Headers],[Manager]],tblSalaries[[#This Row],[Salary in USD]],"")</f>
        <v/>
      </c>
      <c r="AB1744" s="13" t="str">
        <f>IF(tblSalaries[[#This Row],[Job Type]]=tblSalaries[[#Headers],[Misc.]],tblSalaries[[#This Row],[Salary in USD]],"")</f>
        <v/>
      </c>
      <c r="AC1744" s="13" t="str">
        <f>IF(tblSalaries[[#This Row],[Job Type]]=tblSalaries[[#Headers],[Reporting]],tblSalaries[[#This Row],[Salary in USD]],"")</f>
        <v/>
      </c>
      <c r="AD1744" s="13" t="str">
        <f>IF(tblSalaries[[#This Row],[Job Type]]=tblSalaries[[#Headers],[Specialist]],tblSalaries[[#This Row],[Salary in USD]],"")</f>
        <v/>
      </c>
    </row>
    <row r="1745" spans="2:30" ht="15" customHeight="1" x14ac:dyDescent="0.25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 s="9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  <c r="N1745" t="str">
        <f>IF(tblSalaries[[#This Row],[Years of Experience]]="","",IF(tblSalaries[[#This Row],[Years of Experience]]&lt;=2,1,""))</f>
        <v/>
      </c>
      <c r="O1745" t="str">
        <f>IF(tblSalaries[[#This Row],[Years of Experience]]="","",IF(AND(tblSalaries[[#This Row],[Years of Experience]]&gt;2,tblSalaries[[#This Row],[Years of Experience]]&lt;=5),1,""))</f>
        <v/>
      </c>
      <c r="P1745">
        <f>IF(tblSalaries[[#This Row],[Years of Experience]]="","",IF(AND(tblSalaries[[#This Row],[Years of Experience]]&gt;5,tblSalaries[[#This Row],[Years of Experience]]&lt;=10),1,""))</f>
        <v>1</v>
      </c>
      <c r="Q1745" t="str">
        <f>IF(tblSalaries[[#This Row],[Years of Experience]]="","",IF(AND(tblSalaries[[#This Row],[Years of Experience]]&gt;10,tblSalaries[[#This Row],[Years of Experience]]&lt;=15),1,""))</f>
        <v/>
      </c>
      <c r="R1745" t="str">
        <f>IF(tblSalaries[[#This Row],[Years of Experience]]="","",IF(AND(tblSalaries[[#This Row],[Years of Experience]]&gt;16,tblSalaries[[#This Row],[Years of Experience]]&lt;=20),1,""))</f>
        <v/>
      </c>
      <c r="S1745" t="str">
        <f>IF(tblSalaries[[#This Row],[Years of Experience]]="","",IF(tblSalaries[[#This Row],[Years of Experience]]&gt;20,1,""))</f>
        <v/>
      </c>
      <c r="T17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45" s="13" t="str">
        <f>IF(tblSalaries[[#This Row],[Job Type]]=tblSalaries[[#Headers],[Accountant]],tblSalaries[[#This Row],[Salary in USD]],"")</f>
        <v/>
      </c>
      <c r="V1745" s="13" t="str">
        <f>IF(tblSalaries[[#This Row],[Job Type]]=tblSalaries[[#Headers],[Analyst]],tblSalaries[[#This Row],[Salary in USD]],"")</f>
        <v/>
      </c>
      <c r="W1745" s="13" t="str">
        <f>IF(tblSalaries[[#This Row],[Job Type]]=tblSalaries[[#Headers],[Consultant]],tblSalaries[[#This Row],[Salary in USD]],"")</f>
        <v/>
      </c>
      <c r="X1745" s="13" t="str">
        <f>IF(tblSalaries[[#This Row],[Job Type]]=tblSalaries[[#Headers],[Controller]],tblSalaries[[#This Row],[Salary in USD]],"")</f>
        <v/>
      </c>
      <c r="Y1745" s="13" t="str">
        <f>IF(tblSalaries[[#This Row],[Job Type]]=tblSalaries[[#Headers],[CXO or Top Mgmt.]],tblSalaries[[#This Row],[clean Salary (in local currency)]],"")</f>
        <v/>
      </c>
      <c r="Z1745" s="13" t="str">
        <f>IF(tblSalaries[[#This Row],[Job Type]]=tblSalaries[[#Headers],[Engineer]],tblSalaries[[#This Row],[Salary in USD]],"")</f>
        <v/>
      </c>
      <c r="AA1745" s="13">
        <f>IF(tblSalaries[[#This Row],[Job Type]]=tblSalaries[[#Headers],[Manager]],tblSalaries[[#This Row],[Salary in USD]],"")</f>
        <v>49153.119414418252</v>
      </c>
      <c r="AB1745" s="13" t="str">
        <f>IF(tblSalaries[[#This Row],[Job Type]]=tblSalaries[[#Headers],[Misc.]],tblSalaries[[#This Row],[Salary in USD]],"")</f>
        <v/>
      </c>
      <c r="AC1745" s="13" t="str">
        <f>IF(tblSalaries[[#This Row],[Job Type]]=tblSalaries[[#Headers],[Reporting]],tblSalaries[[#This Row],[Salary in USD]],"")</f>
        <v/>
      </c>
      <c r="AD1745" s="13" t="str">
        <f>IF(tblSalaries[[#This Row],[Job Type]]=tblSalaries[[#Headers],[Specialist]],tblSalaries[[#This Row],[Salary in USD]],"")</f>
        <v/>
      </c>
    </row>
    <row r="1746" spans="2:30" ht="15" customHeight="1" x14ac:dyDescent="0.25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 s="9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  <c r="N1746">
        <f>IF(tblSalaries[[#This Row],[Years of Experience]]="","",IF(tblSalaries[[#This Row],[Years of Experience]]&lt;=2,1,""))</f>
        <v>1</v>
      </c>
      <c r="O1746" t="str">
        <f>IF(tblSalaries[[#This Row],[Years of Experience]]="","",IF(AND(tblSalaries[[#This Row],[Years of Experience]]&gt;2,tblSalaries[[#This Row],[Years of Experience]]&lt;=5),1,""))</f>
        <v/>
      </c>
      <c r="P1746" t="str">
        <f>IF(tblSalaries[[#This Row],[Years of Experience]]="","",IF(AND(tblSalaries[[#This Row],[Years of Experience]]&gt;5,tblSalaries[[#This Row],[Years of Experience]]&lt;=10),1,""))</f>
        <v/>
      </c>
      <c r="Q1746" t="str">
        <f>IF(tblSalaries[[#This Row],[Years of Experience]]="","",IF(AND(tblSalaries[[#This Row],[Years of Experience]]&gt;10,tblSalaries[[#This Row],[Years of Experience]]&lt;=15),1,""))</f>
        <v/>
      </c>
      <c r="R1746" t="str">
        <f>IF(tblSalaries[[#This Row],[Years of Experience]]="","",IF(AND(tblSalaries[[#This Row],[Years of Experience]]&gt;16,tblSalaries[[#This Row],[Years of Experience]]&lt;=20),1,""))</f>
        <v/>
      </c>
      <c r="S1746" t="str">
        <f>IF(tblSalaries[[#This Row],[Years of Experience]]="","",IF(tblSalaries[[#This Row],[Years of Experience]]&gt;20,1,""))</f>
        <v/>
      </c>
      <c r="T17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46" s="13" t="str">
        <f>IF(tblSalaries[[#This Row],[Job Type]]=tblSalaries[[#Headers],[Accountant]],tblSalaries[[#This Row],[Salary in USD]],"")</f>
        <v/>
      </c>
      <c r="V1746" s="13" t="str">
        <f>IF(tblSalaries[[#This Row],[Job Type]]=tblSalaries[[#Headers],[Analyst]],tblSalaries[[#This Row],[Salary in USD]],"")</f>
        <v/>
      </c>
      <c r="W1746" s="13" t="str">
        <f>IF(tblSalaries[[#This Row],[Job Type]]=tblSalaries[[#Headers],[Consultant]],tblSalaries[[#This Row],[Salary in USD]],"")</f>
        <v/>
      </c>
      <c r="X1746" s="13" t="str">
        <f>IF(tblSalaries[[#This Row],[Job Type]]=tblSalaries[[#Headers],[Controller]],tblSalaries[[#This Row],[Salary in USD]],"")</f>
        <v/>
      </c>
      <c r="Y1746" s="13" t="str">
        <f>IF(tblSalaries[[#This Row],[Job Type]]=tblSalaries[[#Headers],[CXO or Top Mgmt.]],tblSalaries[[#This Row],[clean Salary (in local currency)]],"")</f>
        <v/>
      </c>
      <c r="Z1746" s="13">
        <f>IF(tblSalaries[[#This Row],[Job Type]]=tblSalaries[[#Headers],[Engineer]],tblSalaries[[#This Row],[Salary in USD]],"")</f>
        <v>2671.1875031163854</v>
      </c>
      <c r="AA1746" s="13" t="str">
        <f>IF(tblSalaries[[#This Row],[Job Type]]=tblSalaries[[#Headers],[Manager]],tblSalaries[[#This Row],[Salary in USD]],"")</f>
        <v/>
      </c>
      <c r="AB1746" s="13" t="str">
        <f>IF(tblSalaries[[#This Row],[Job Type]]=tblSalaries[[#Headers],[Misc.]],tblSalaries[[#This Row],[Salary in USD]],"")</f>
        <v/>
      </c>
      <c r="AC1746" s="13" t="str">
        <f>IF(tblSalaries[[#This Row],[Job Type]]=tblSalaries[[#Headers],[Reporting]],tblSalaries[[#This Row],[Salary in USD]],"")</f>
        <v/>
      </c>
      <c r="AD1746" s="13" t="str">
        <f>IF(tblSalaries[[#This Row],[Job Type]]=tblSalaries[[#Headers],[Specialist]],tblSalaries[[#This Row],[Salary in USD]],"")</f>
        <v/>
      </c>
    </row>
    <row r="1747" spans="2:30" ht="15" customHeight="1" x14ac:dyDescent="0.25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 s="9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  <c r="N1747" t="str">
        <f>IF(tblSalaries[[#This Row],[Years of Experience]]="","",IF(tblSalaries[[#This Row],[Years of Experience]]&lt;=2,1,""))</f>
        <v/>
      </c>
      <c r="O1747">
        <f>IF(tblSalaries[[#This Row],[Years of Experience]]="","",IF(AND(tblSalaries[[#This Row],[Years of Experience]]&gt;2,tblSalaries[[#This Row],[Years of Experience]]&lt;=5),1,""))</f>
        <v>1</v>
      </c>
      <c r="P1747" t="str">
        <f>IF(tblSalaries[[#This Row],[Years of Experience]]="","",IF(AND(tblSalaries[[#This Row],[Years of Experience]]&gt;5,tblSalaries[[#This Row],[Years of Experience]]&lt;=10),1,""))</f>
        <v/>
      </c>
      <c r="Q1747" t="str">
        <f>IF(tblSalaries[[#This Row],[Years of Experience]]="","",IF(AND(tblSalaries[[#This Row],[Years of Experience]]&gt;10,tblSalaries[[#This Row],[Years of Experience]]&lt;=15),1,""))</f>
        <v/>
      </c>
      <c r="R1747" t="str">
        <f>IF(tblSalaries[[#This Row],[Years of Experience]]="","",IF(AND(tblSalaries[[#This Row],[Years of Experience]]&gt;16,tblSalaries[[#This Row],[Years of Experience]]&lt;=20),1,""))</f>
        <v/>
      </c>
      <c r="S1747" t="str">
        <f>IF(tblSalaries[[#This Row],[Years of Experience]]="","",IF(tblSalaries[[#This Row],[Years of Experience]]&gt;20,1,""))</f>
        <v/>
      </c>
      <c r="T17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47" s="13" t="str">
        <f>IF(tblSalaries[[#This Row],[Job Type]]=tblSalaries[[#Headers],[Accountant]],tblSalaries[[#This Row],[Salary in USD]],"")</f>
        <v/>
      </c>
      <c r="V1747" s="13" t="str">
        <f>IF(tblSalaries[[#This Row],[Job Type]]=tblSalaries[[#Headers],[Analyst]],tblSalaries[[#This Row],[Salary in USD]],"")</f>
        <v/>
      </c>
      <c r="W1747" s="13" t="str">
        <f>IF(tblSalaries[[#This Row],[Job Type]]=tblSalaries[[#Headers],[Consultant]],tblSalaries[[#This Row],[Salary in USD]],"")</f>
        <v/>
      </c>
      <c r="X1747" s="13" t="str">
        <f>IF(tblSalaries[[#This Row],[Job Type]]=tblSalaries[[#Headers],[Controller]],tblSalaries[[#This Row],[Salary in USD]],"")</f>
        <v/>
      </c>
      <c r="Y1747" s="13" t="str">
        <f>IF(tblSalaries[[#This Row],[Job Type]]=tblSalaries[[#Headers],[CXO or Top Mgmt.]],tblSalaries[[#This Row],[clean Salary (in local currency)]],"")</f>
        <v/>
      </c>
      <c r="Z1747" s="13" t="str">
        <f>IF(tblSalaries[[#This Row],[Job Type]]=tblSalaries[[#Headers],[Engineer]],tblSalaries[[#This Row],[Salary in USD]],"")</f>
        <v/>
      </c>
      <c r="AA1747" s="13">
        <f>IF(tblSalaries[[#This Row],[Job Type]]=tblSalaries[[#Headers],[Manager]],tblSalaries[[#This Row],[Salary in USD]],"")</f>
        <v>42556.81334581667</v>
      </c>
      <c r="AB1747" s="13" t="str">
        <f>IF(tblSalaries[[#This Row],[Job Type]]=tblSalaries[[#Headers],[Misc.]],tblSalaries[[#This Row],[Salary in USD]],"")</f>
        <v/>
      </c>
      <c r="AC1747" s="13" t="str">
        <f>IF(tblSalaries[[#This Row],[Job Type]]=tblSalaries[[#Headers],[Reporting]],tblSalaries[[#This Row],[Salary in USD]],"")</f>
        <v/>
      </c>
      <c r="AD1747" s="13" t="str">
        <f>IF(tblSalaries[[#This Row],[Job Type]]=tblSalaries[[#Headers],[Specialist]],tblSalaries[[#This Row],[Salary in USD]],"")</f>
        <v/>
      </c>
    </row>
    <row r="1748" spans="2:30" ht="15" customHeight="1" x14ac:dyDescent="0.25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 s="9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  <c r="N1748" t="str">
        <f>IF(tblSalaries[[#This Row],[Years of Experience]]="","",IF(tblSalaries[[#This Row],[Years of Experience]]&lt;=2,1,""))</f>
        <v/>
      </c>
      <c r="O1748">
        <f>IF(tblSalaries[[#This Row],[Years of Experience]]="","",IF(AND(tblSalaries[[#This Row],[Years of Experience]]&gt;2,tblSalaries[[#This Row],[Years of Experience]]&lt;=5),1,""))</f>
        <v>1</v>
      </c>
      <c r="P1748" t="str">
        <f>IF(tblSalaries[[#This Row],[Years of Experience]]="","",IF(AND(tblSalaries[[#This Row],[Years of Experience]]&gt;5,tblSalaries[[#This Row],[Years of Experience]]&lt;=10),1,""))</f>
        <v/>
      </c>
      <c r="Q1748" t="str">
        <f>IF(tblSalaries[[#This Row],[Years of Experience]]="","",IF(AND(tblSalaries[[#This Row],[Years of Experience]]&gt;10,tblSalaries[[#This Row],[Years of Experience]]&lt;=15),1,""))</f>
        <v/>
      </c>
      <c r="R1748" t="str">
        <f>IF(tblSalaries[[#This Row],[Years of Experience]]="","",IF(AND(tblSalaries[[#This Row],[Years of Experience]]&gt;16,tblSalaries[[#This Row],[Years of Experience]]&lt;=20),1,""))</f>
        <v/>
      </c>
      <c r="S1748" t="str">
        <f>IF(tblSalaries[[#This Row],[Years of Experience]]="","",IF(tblSalaries[[#This Row],[Years of Experience]]&gt;20,1,""))</f>
        <v/>
      </c>
      <c r="T17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48" s="13" t="str">
        <f>IF(tblSalaries[[#This Row],[Job Type]]=tblSalaries[[#Headers],[Accountant]],tblSalaries[[#This Row],[Salary in USD]],"")</f>
        <v/>
      </c>
      <c r="V1748" s="13" t="str">
        <f>IF(tblSalaries[[#This Row],[Job Type]]=tblSalaries[[#Headers],[Analyst]],tblSalaries[[#This Row],[Salary in USD]],"")</f>
        <v/>
      </c>
      <c r="W1748" s="13" t="str">
        <f>IF(tblSalaries[[#This Row],[Job Type]]=tblSalaries[[#Headers],[Consultant]],tblSalaries[[#This Row],[Salary in USD]],"")</f>
        <v/>
      </c>
      <c r="X1748" s="13" t="str">
        <f>IF(tblSalaries[[#This Row],[Job Type]]=tblSalaries[[#Headers],[Controller]],tblSalaries[[#This Row],[Salary in USD]],"")</f>
        <v/>
      </c>
      <c r="Y1748" s="13" t="str">
        <f>IF(tblSalaries[[#This Row],[Job Type]]=tblSalaries[[#Headers],[CXO or Top Mgmt.]],tblSalaries[[#This Row],[clean Salary (in local currency)]],"")</f>
        <v/>
      </c>
      <c r="Z1748" s="13" t="str">
        <f>IF(tblSalaries[[#This Row],[Job Type]]=tblSalaries[[#Headers],[Engineer]],tblSalaries[[#This Row],[Salary in USD]],"")</f>
        <v/>
      </c>
      <c r="AA1748" s="13">
        <f>IF(tblSalaries[[#This Row],[Job Type]]=tblSalaries[[#Headers],[Manager]],tblSalaries[[#This Row],[Salary in USD]],"")</f>
        <v>42556.81334581667</v>
      </c>
      <c r="AB1748" s="13" t="str">
        <f>IF(tblSalaries[[#This Row],[Job Type]]=tblSalaries[[#Headers],[Misc.]],tblSalaries[[#This Row],[Salary in USD]],"")</f>
        <v/>
      </c>
      <c r="AC1748" s="13" t="str">
        <f>IF(tblSalaries[[#This Row],[Job Type]]=tblSalaries[[#Headers],[Reporting]],tblSalaries[[#This Row],[Salary in USD]],"")</f>
        <v/>
      </c>
      <c r="AD1748" s="13" t="str">
        <f>IF(tblSalaries[[#This Row],[Job Type]]=tblSalaries[[#Headers],[Specialist]],tblSalaries[[#This Row],[Salary in USD]],"")</f>
        <v/>
      </c>
    </row>
    <row r="1749" spans="2:30" ht="15" customHeight="1" x14ac:dyDescent="0.25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 s="9">
        <f>tblSalaries[[#This Row],[clean Salary (in local currency)]]*VLOOKUP(tblSalaries[[#This Row],[Currency]],tblXrate[],2,FALSE)</f>
        <v>74461</v>
      </c>
      <c r="H1749" t="s">
        <v>1901</v>
      </c>
      <c r="I1749" t="s">
        <v>4000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  <c r="N1749" t="str">
        <f>IF(tblSalaries[[#This Row],[Years of Experience]]="","",IF(tblSalaries[[#This Row],[Years of Experience]]&lt;=2,1,""))</f>
        <v/>
      </c>
      <c r="O1749" t="str">
        <f>IF(tblSalaries[[#This Row],[Years of Experience]]="","",IF(AND(tblSalaries[[#This Row],[Years of Experience]]&gt;2,tblSalaries[[#This Row],[Years of Experience]]&lt;=5),1,""))</f>
        <v/>
      </c>
      <c r="P1749">
        <f>IF(tblSalaries[[#This Row],[Years of Experience]]="","",IF(AND(tblSalaries[[#This Row],[Years of Experience]]&gt;5,tblSalaries[[#This Row],[Years of Experience]]&lt;=10),1,""))</f>
        <v>1</v>
      </c>
      <c r="Q1749" t="str">
        <f>IF(tblSalaries[[#This Row],[Years of Experience]]="","",IF(AND(tblSalaries[[#This Row],[Years of Experience]]&gt;10,tblSalaries[[#This Row],[Years of Experience]]&lt;=15),1,""))</f>
        <v/>
      </c>
      <c r="R1749" t="str">
        <f>IF(tblSalaries[[#This Row],[Years of Experience]]="","",IF(AND(tblSalaries[[#This Row],[Years of Experience]]&gt;16,tblSalaries[[#This Row],[Years of Experience]]&lt;=20),1,""))</f>
        <v/>
      </c>
      <c r="S1749" t="str">
        <f>IF(tblSalaries[[#This Row],[Years of Experience]]="","",IF(tblSalaries[[#This Row],[Years of Experience]]&gt;20,1,""))</f>
        <v/>
      </c>
      <c r="T17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49" s="13" t="str">
        <f>IF(tblSalaries[[#This Row],[Job Type]]=tblSalaries[[#Headers],[Accountant]],tblSalaries[[#This Row],[Salary in USD]],"")</f>
        <v/>
      </c>
      <c r="V1749" s="13" t="str">
        <f>IF(tblSalaries[[#This Row],[Job Type]]=tblSalaries[[#Headers],[Analyst]],tblSalaries[[#This Row],[Salary in USD]],"")</f>
        <v/>
      </c>
      <c r="W1749" s="13" t="str">
        <f>IF(tblSalaries[[#This Row],[Job Type]]=tblSalaries[[#Headers],[Consultant]],tblSalaries[[#This Row],[Salary in USD]],"")</f>
        <v/>
      </c>
      <c r="X1749" s="13" t="str">
        <f>IF(tblSalaries[[#This Row],[Job Type]]=tblSalaries[[#Headers],[Controller]],tblSalaries[[#This Row],[Salary in USD]],"")</f>
        <v/>
      </c>
      <c r="Y1749" s="13" t="str">
        <f>IF(tblSalaries[[#This Row],[Job Type]]=tblSalaries[[#Headers],[CXO or Top Mgmt.]],tblSalaries[[#This Row],[clean Salary (in local currency)]],"")</f>
        <v/>
      </c>
      <c r="Z1749" s="13" t="str">
        <f>IF(tblSalaries[[#This Row],[Job Type]]=tblSalaries[[#Headers],[Engineer]],tblSalaries[[#This Row],[Salary in USD]],"")</f>
        <v/>
      </c>
      <c r="AA1749" s="13" t="str">
        <f>IF(tblSalaries[[#This Row],[Job Type]]=tblSalaries[[#Headers],[Manager]],tblSalaries[[#This Row],[Salary in USD]],"")</f>
        <v/>
      </c>
      <c r="AB1749" s="13">
        <f>IF(tblSalaries[[#This Row],[Job Type]]=tblSalaries[[#Headers],[Misc.]],tblSalaries[[#This Row],[Salary in USD]],"")</f>
        <v>74461</v>
      </c>
      <c r="AC1749" s="13" t="str">
        <f>IF(tblSalaries[[#This Row],[Job Type]]=tblSalaries[[#Headers],[Reporting]],tblSalaries[[#This Row],[Salary in USD]],"")</f>
        <v/>
      </c>
      <c r="AD1749" s="13" t="str">
        <f>IF(tblSalaries[[#This Row],[Job Type]]=tblSalaries[[#Headers],[Specialist]],tblSalaries[[#This Row],[Salary in USD]],"")</f>
        <v/>
      </c>
    </row>
    <row r="1750" spans="2:30" ht="15" customHeight="1" x14ac:dyDescent="0.25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 s="9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  <c r="N1750" t="str">
        <f>IF(tblSalaries[[#This Row],[Years of Experience]]="","",IF(tblSalaries[[#This Row],[Years of Experience]]&lt;=2,1,""))</f>
        <v/>
      </c>
      <c r="O1750" t="str">
        <f>IF(tblSalaries[[#This Row],[Years of Experience]]="","",IF(AND(tblSalaries[[#This Row],[Years of Experience]]&gt;2,tblSalaries[[#This Row],[Years of Experience]]&lt;=5),1,""))</f>
        <v/>
      </c>
      <c r="P1750" t="str">
        <f>IF(tblSalaries[[#This Row],[Years of Experience]]="","",IF(AND(tblSalaries[[#This Row],[Years of Experience]]&gt;5,tblSalaries[[#This Row],[Years of Experience]]&lt;=10),1,""))</f>
        <v/>
      </c>
      <c r="Q1750" t="str">
        <f>IF(tblSalaries[[#This Row],[Years of Experience]]="","",IF(AND(tblSalaries[[#This Row],[Years of Experience]]&gt;10,tblSalaries[[#This Row],[Years of Experience]]&lt;=15),1,""))</f>
        <v/>
      </c>
      <c r="R1750" t="str">
        <f>IF(tblSalaries[[#This Row],[Years of Experience]]="","",IF(AND(tblSalaries[[#This Row],[Years of Experience]]&gt;16,tblSalaries[[#This Row],[Years of Experience]]&lt;=20),1,""))</f>
        <v/>
      </c>
      <c r="S1750" t="str">
        <f>IF(tblSalaries[[#This Row],[Years of Experience]]="","",IF(tblSalaries[[#This Row],[Years of Experience]]&gt;20,1,""))</f>
        <v/>
      </c>
      <c r="T17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/>
      </c>
      <c r="U1750" s="13" t="str">
        <f>IF(tblSalaries[[#This Row],[Job Type]]=tblSalaries[[#Headers],[Accountant]],tblSalaries[[#This Row],[Salary in USD]],"")</f>
        <v/>
      </c>
      <c r="V1750" s="13" t="str">
        <f>IF(tblSalaries[[#This Row],[Job Type]]=tblSalaries[[#Headers],[Analyst]],tblSalaries[[#This Row],[Salary in USD]],"")</f>
        <v/>
      </c>
      <c r="W1750" s="13" t="str">
        <f>IF(tblSalaries[[#This Row],[Job Type]]=tblSalaries[[#Headers],[Consultant]],tblSalaries[[#This Row],[Salary in USD]],"")</f>
        <v/>
      </c>
      <c r="X1750" s="13" t="str">
        <f>IF(tblSalaries[[#This Row],[Job Type]]=tblSalaries[[#Headers],[Controller]],tblSalaries[[#This Row],[Salary in USD]],"")</f>
        <v/>
      </c>
      <c r="Y1750" s="13" t="str">
        <f>IF(tblSalaries[[#This Row],[Job Type]]=tblSalaries[[#Headers],[CXO or Top Mgmt.]],tblSalaries[[#This Row],[clean Salary (in local currency)]],"")</f>
        <v/>
      </c>
      <c r="Z1750" s="13" t="str">
        <f>IF(tblSalaries[[#This Row],[Job Type]]=tblSalaries[[#Headers],[Engineer]],tblSalaries[[#This Row],[Salary in USD]],"")</f>
        <v/>
      </c>
      <c r="AA1750" s="13">
        <f>IF(tblSalaries[[#This Row],[Job Type]]=tblSalaries[[#Headers],[Manager]],tblSalaries[[#This Row],[Salary in USD]],"")</f>
        <v>41768.724209783031</v>
      </c>
      <c r="AB1750" s="13" t="str">
        <f>IF(tblSalaries[[#This Row],[Job Type]]=tblSalaries[[#Headers],[Misc.]],tblSalaries[[#This Row],[Salary in USD]],"")</f>
        <v/>
      </c>
      <c r="AC1750" s="13" t="str">
        <f>IF(tblSalaries[[#This Row],[Job Type]]=tblSalaries[[#Headers],[Reporting]],tblSalaries[[#This Row],[Salary in USD]],"")</f>
        <v/>
      </c>
      <c r="AD1750" s="13" t="str">
        <f>IF(tblSalaries[[#This Row],[Job Type]]=tblSalaries[[#Headers],[Specialist]],tblSalaries[[#This Row],[Salary in USD]],"")</f>
        <v/>
      </c>
    </row>
    <row r="1751" spans="2:30" ht="15" customHeight="1" x14ac:dyDescent="0.25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 s="9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  <c r="N1751">
        <f>IF(tblSalaries[[#This Row],[Years of Experience]]="","",IF(tblSalaries[[#This Row],[Years of Experience]]&lt;=2,1,""))</f>
        <v>1</v>
      </c>
      <c r="O1751" t="str">
        <f>IF(tblSalaries[[#This Row],[Years of Experience]]="","",IF(AND(tblSalaries[[#This Row],[Years of Experience]]&gt;2,tblSalaries[[#This Row],[Years of Experience]]&lt;=5),1,""))</f>
        <v/>
      </c>
      <c r="P1751" t="str">
        <f>IF(tblSalaries[[#This Row],[Years of Experience]]="","",IF(AND(tblSalaries[[#This Row],[Years of Experience]]&gt;5,tblSalaries[[#This Row],[Years of Experience]]&lt;=10),1,""))</f>
        <v/>
      </c>
      <c r="Q1751" t="str">
        <f>IF(tblSalaries[[#This Row],[Years of Experience]]="","",IF(AND(tblSalaries[[#This Row],[Years of Experience]]&gt;10,tblSalaries[[#This Row],[Years of Experience]]&lt;=15),1,""))</f>
        <v/>
      </c>
      <c r="R1751" t="str">
        <f>IF(tblSalaries[[#This Row],[Years of Experience]]="","",IF(AND(tblSalaries[[#This Row],[Years of Experience]]&gt;16,tblSalaries[[#This Row],[Years of Experience]]&lt;=20),1,""))</f>
        <v/>
      </c>
      <c r="S1751" t="str">
        <f>IF(tblSalaries[[#This Row],[Years of Experience]]="","",IF(tblSalaries[[#This Row],[Years of Experience]]&gt;20,1,""))</f>
        <v/>
      </c>
      <c r="T17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1" s="13" t="str">
        <f>IF(tblSalaries[[#This Row],[Job Type]]=tblSalaries[[#Headers],[Accountant]],tblSalaries[[#This Row],[Salary in USD]],"")</f>
        <v/>
      </c>
      <c r="V1751" s="13">
        <f>IF(tblSalaries[[#This Row],[Job Type]]=tblSalaries[[#Headers],[Analyst]],tblSalaries[[#This Row],[Salary in USD]],"")</f>
        <v>8547.8000099724322</v>
      </c>
      <c r="W1751" s="13" t="str">
        <f>IF(tblSalaries[[#This Row],[Job Type]]=tblSalaries[[#Headers],[Consultant]],tblSalaries[[#This Row],[Salary in USD]],"")</f>
        <v/>
      </c>
      <c r="X1751" s="13" t="str">
        <f>IF(tblSalaries[[#This Row],[Job Type]]=tblSalaries[[#Headers],[Controller]],tblSalaries[[#This Row],[Salary in USD]],"")</f>
        <v/>
      </c>
      <c r="Y1751" s="13" t="str">
        <f>IF(tblSalaries[[#This Row],[Job Type]]=tblSalaries[[#Headers],[CXO or Top Mgmt.]],tblSalaries[[#This Row],[clean Salary (in local currency)]],"")</f>
        <v/>
      </c>
      <c r="Z1751" s="13" t="str">
        <f>IF(tblSalaries[[#This Row],[Job Type]]=tblSalaries[[#Headers],[Engineer]],tblSalaries[[#This Row],[Salary in USD]],"")</f>
        <v/>
      </c>
      <c r="AA1751" s="13" t="str">
        <f>IF(tblSalaries[[#This Row],[Job Type]]=tblSalaries[[#Headers],[Manager]],tblSalaries[[#This Row],[Salary in USD]],"")</f>
        <v/>
      </c>
      <c r="AB1751" s="13" t="str">
        <f>IF(tblSalaries[[#This Row],[Job Type]]=tblSalaries[[#Headers],[Misc.]],tblSalaries[[#This Row],[Salary in USD]],"")</f>
        <v/>
      </c>
      <c r="AC1751" s="13" t="str">
        <f>IF(tblSalaries[[#This Row],[Job Type]]=tblSalaries[[#Headers],[Reporting]],tblSalaries[[#This Row],[Salary in USD]],"")</f>
        <v/>
      </c>
      <c r="AD1751" s="13" t="str">
        <f>IF(tblSalaries[[#This Row],[Job Type]]=tblSalaries[[#Headers],[Specialist]],tblSalaries[[#This Row],[Salary in USD]],"")</f>
        <v/>
      </c>
    </row>
    <row r="1752" spans="2:30" ht="15" customHeight="1" x14ac:dyDescent="0.25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 s="9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  <c r="N1752" t="str">
        <f>IF(tblSalaries[[#This Row],[Years of Experience]]="","",IF(tblSalaries[[#This Row],[Years of Experience]]&lt;=2,1,""))</f>
        <v/>
      </c>
      <c r="O1752">
        <f>IF(tblSalaries[[#This Row],[Years of Experience]]="","",IF(AND(tblSalaries[[#This Row],[Years of Experience]]&gt;2,tblSalaries[[#This Row],[Years of Experience]]&lt;=5),1,""))</f>
        <v>1</v>
      </c>
      <c r="P1752" t="str">
        <f>IF(tblSalaries[[#This Row],[Years of Experience]]="","",IF(AND(tblSalaries[[#This Row],[Years of Experience]]&gt;5,tblSalaries[[#This Row],[Years of Experience]]&lt;=10),1,""))</f>
        <v/>
      </c>
      <c r="Q1752" t="str">
        <f>IF(tblSalaries[[#This Row],[Years of Experience]]="","",IF(AND(tblSalaries[[#This Row],[Years of Experience]]&gt;10,tblSalaries[[#This Row],[Years of Experience]]&lt;=15),1,""))</f>
        <v/>
      </c>
      <c r="R1752" t="str">
        <f>IF(tblSalaries[[#This Row],[Years of Experience]]="","",IF(AND(tblSalaries[[#This Row],[Years of Experience]]&gt;16,tblSalaries[[#This Row],[Years of Experience]]&lt;=20),1,""))</f>
        <v/>
      </c>
      <c r="S1752" t="str">
        <f>IF(tblSalaries[[#This Row],[Years of Experience]]="","",IF(tblSalaries[[#This Row],[Years of Experience]]&gt;20,1,""))</f>
        <v/>
      </c>
      <c r="T17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52" s="13" t="str">
        <f>IF(tblSalaries[[#This Row],[Job Type]]=tblSalaries[[#Headers],[Accountant]],tblSalaries[[#This Row],[Salary in USD]],"")</f>
        <v/>
      </c>
      <c r="V1752" s="13">
        <f>IF(tblSalaries[[#This Row],[Job Type]]=tblSalaries[[#Headers],[Analyst]],tblSalaries[[#This Row],[Salary in USD]],"")</f>
        <v>2400</v>
      </c>
      <c r="W1752" s="13" t="str">
        <f>IF(tblSalaries[[#This Row],[Job Type]]=tblSalaries[[#Headers],[Consultant]],tblSalaries[[#This Row],[Salary in USD]],"")</f>
        <v/>
      </c>
      <c r="X1752" s="13" t="str">
        <f>IF(tblSalaries[[#This Row],[Job Type]]=tblSalaries[[#Headers],[Controller]],tblSalaries[[#This Row],[Salary in USD]],"")</f>
        <v/>
      </c>
      <c r="Y1752" s="13" t="str">
        <f>IF(tblSalaries[[#This Row],[Job Type]]=tblSalaries[[#Headers],[CXO or Top Mgmt.]],tblSalaries[[#This Row],[clean Salary (in local currency)]],"")</f>
        <v/>
      </c>
      <c r="Z1752" s="13" t="str">
        <f>IF(tblSalaries[[#This Row],[Job Type]]=tblSalaries[[#Headers],[Engineer]],tblSalaries[[#This Row],[Salary in USD]],"")</f>
        <v/>
      </c>
      <c r="AA1752" s="13" t="str">
        <f>IF(tblSalaries[[#This Row],[Job Type]]=tblSalaries[[#Headers],[Manager]],tblSalaries[[#This Row],[Salary in USD]],"")</f>
        <v/>
      </c>
      <c r="AB1752" s="13" t="str">
        <f>IF(tblSalaries[[#This Row],[Job Type]]=tblSalaries[[#Headers],[Misc.]],tblSalaries[[#This Row],[Salary in USD]],"")</f>
        <v/>
      </c>
      <c r="AC1752" s="13" t="str">
        <f>IF(tblSalaries[[#This Row],[Job Type]]=tblSalaries[[#Headers],[Reporting]],tblSalaries[[#This Row],[Salary in USD]],"")</f>
        <v/>
      </c>
      <c r="AD1752" s="13" t="str">
        <f>IF(tblSalaries[[#This Row],[Job Type]]=tblSalaries[[#Headers],[Specialist]],tblSalaries[[#This Row],[Salary in USD]],"")</f>
        <v/>
      </c>
    </row>
    <row r="1753" spans="2:30" ht="15" customHeight="1" x14ac:dyDescent="0.25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 s="9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  <c r="N1753" t="str">
        <f>IF(tblSalaries[[#This Row],[Years of Experience]]="","",IF(tblSalaries[[#This Row],[Years of Experience]]&lt;=2,1,""))</f>
        <v/>
      </c>
      <c r="O1753" t="str">
        <f>IF(tblSalaries[[#This Row],[Years of Experience]]="","",IF(AND(tblSalaries[[#This Row],[Years of Experience]]&gt;2,tblSalaries[[#This Row],[Years of Experience]]&lt;=5),1,""))</f>
        <v/>
      </c>
      <c r="P1753" t="str">
        <f>IF(tblSalaries[[#This Row],[Years of Experience]]="","",IF(AND(tblSalaries[[#This Row],[Years of Experience]]&gt;5,tblSalaries[[#This Row],[Years of Experience]]&lt;=10),1,""))</f>
        <v/>
      </c>
      <c r="Q1753">
        <f>IF(tblSalaries[[#This Row],[Years of Experience]]="","",IF(AND(tblSalaries[[#This Row],[Years of Experience]]&gt;10,tblSalaries[[#This Row],[Years of Experience]]&lt;=15),1,""))</f>
        <v>1</v>
      </c>
      <c r="R1753" t="str">
        <f>IF(tblSalaries[[#This Row],[Years of Experience]]="","",IF(AND(tblSalaries[[#This Row],[Years of Experience]]&gt;16,tblSalaries[[#This Row],[Years of Experience]]&lt;=20),1,""))</f>
        <v/>
      </c>
      <c r="S1753" t="str">
        <f>IF(tblSalaries[[#This Row],[Years of Experience]]="","",IF(tblSalaries[[#This Row],[Years of Experience]]&gt;20,1,""))</f>
        <v/>
      </c>
      <c r="T17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53" s="13" t="str">
        <f>IF(tblSalaries[[#This Row],[Job Type]]=tblSalaries[[#Headers],[Accountant]],tblSalaries[[#This Row],[Salary in USD]],"")</f>
        <v/>
      </c>
      <c r="V1753" s="13">
        <f>IF(tblSalaries[[#This Row],[Job Type]]=tblSalaries[[#Headers],[Analyst]],tblSalaries[[#This Row],[Salary in USD]],"")</f>
        <v>3000</v>
      </c>
      <c r="W1753" s="13" t="str">
        <f>IF(tblSalaries[[#This Row],[Job Type]]=tblSalaries[[#Headers],[Consultant]],tblSalaries[[#This Row],[Salary in USD]],"")</f>
        <v/>
      </c>
      <c r="X1753" s="13" t="str">
        <f>IF(tblSalaries[[#This Row],[Job Type]]=tblSalaries[[#Headers],[Controller]],tblSalaries[[#This Row],[Salary in USD]],"")</f>
        <v/>
      </c>
      <c r="Y1753" s="13" t="str">
        <f>IF(tblSalaries[[#This Row],[Job Type]]=tblSalaries[[#Headers],[CXO or Top Mgmt.]],tblSalaries[[#This Row],[clean Salary (in local currency)]],"")</f>
        <v/>
      </c>
      <c r="Z1753" s="13" t="str">
        <f>IF(tblSalaries[[#This Row],[Job Type]]=tblSalaries[[#Headers],[Engineer]],tblSalaries[[#This Row],[Salary in USD]],"")</f>
        <v/>
      </c>
      <c r="AA1753" s="13" t="str">
        <f>IF(tblSalaries[[#This Row],[Job Type]]=tblSalaries[[#Headers],[Manager]],tblSalaries[[#This Row],[Salary in USD]],"")</f>
        <v/>
      </c>
      <c r="AB1753" s="13" t="str">
        <f>IF(tblSalaries[[#This Row],[Job Type]]=tblSalaries[[#Headers],[Misc.]],tblSalaries[[#This Row],[Salary in USD]],"")</f>
        <v/>
      </c>
      <c r="AC1753" s="13" t="str">
        <f>IF(tblSalaries[[#This Row],[Job Type]]=tblSalaries[[#Headers],[Reporting]],tblSalaries[[#This Row],[Salary in USD]],"")</f>
        <v/>
      </c>
      <c r="AD1753" s="13" t="str">
        <f>IF(tblSalaries[[#This Row],[Job Type]]=tblSalaries[[#Headers],[Specialist]],tblSalaries[[#This Row],[Salary in USD]],"")</f>
        <v/>
      </c>
    </row>
    <row r="1754" spans="2:30" ht="15" customHeight="1" x14ac:dyDescent="0.25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 s="9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  <c r="N1754">
        <f>IF(tblSalaries[[#This Row],[Years of Experience]]="","",IF(tblSalaries[[#This Row],[Years of Experience]]&lt;=2,1,""))</f>
        <v>1</v>
      </c>
      <c r="O1754" t="str">
        <f>IF(tblSalaries[[#This Row],[Years of Experience]]="","",IF(AND(tblSalaries[[#This Row],[Years of Experience]]&gt;2,tblSalaries[[#This Row],[Years of Experience]]&lt;=5),1,""))</f>
        <v/>
      </c>
      <c r="P1754" t="str">
        <f>IF(tblSalaries[[#This Row],[Years of Experience]]="","",IF(AND(tblSalaries[[#This Row],[Years of Experience]]&gt;5,tblSalaries[[#This Row],[Years of Experience]]&lt;=10),1,""))</f>
        <v/>
      </c>
      <c r="Q1754" t="str">
        <f>IF(tblSalaries[[#This Row],[Years of Experience]]="","",IF(AND(tblSalaries[[#This Row],[Years of Experience]]&gt;10,tblSalaries[[#This Row],[Years of Experience]]&lt;=15),1,""))</f>
        <v/>
      </c>
      <c r="R1754" t="str">
        <f>IF(tblSalaries[[#This Row],[Years of Experience]]="","",IF(AND(tblSalaries[[#This Row],[Years of Experience]]&gt;16,tblSalaries[[#This Row],[Years of Experience]]&lt;=20),1,""))</f>
        <v/>
      </c>
      <c r="S1754" t="str">
        <f>IF(tblSalaries[[#This Row],[Years of Experience]]="","",IF(tblSalaries[[#This Row],[Years of Experience]]&gt;20,1,""))</f>
        <v/>
      </c>
      <c r="T17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4" s="13" t="str">
        <f>IF(tblSalaries[[#This Row],[Job Type]]=tblSalaries[[#Headers],[Accountant]],tblSalaries[[#This Row],[Salary in USD]],"")</f>
        <v/>
      </c>
      <c r="V1754" s="13">
        <f>IF(tblSalaries[[#This Row],[Job Type]]=tblSalaries[[#Headers],[Analyst]],tblSalaries[[#This Row],[Salary in USD]],"")</f>
        <v>11000</v>
      </c>
      <c r="W1754" s="13" t="str">
        <f>IF(tblSalaries[[#This Row],[Job Type]]=tblSalaries[[#Headers],[Consultant]],tblSalaries[[#This Row],[Salary in USD]],"")</f>
        <v/>
      </c>
      <c r="X1754" s="13" t="str">
        <f>IF(tblSalaries[[#This Row],[Job Type]]=tblSalaries[[#Headers],[Controller]],tblSalaries[[#This Row],[Salary in USD]],"")</f>
        <v/>
      </c>
      <c r="Y1754" s="13" t="str">
        <f>IF(tblSalaries[[#This Row],[Job Type]]=tblSalaries[[#Headers],[CXO or Top Mgmt.]],tblSalaries[[#This Row],[clean Salary (in local currency)]],"")</f>
        <v/>
      </c>
      <c r="Z1754" s="13" t="str">
        <f>IF(tblSalaries[[#This Row],[Job Type]]=tblSalaries[[#Headers],[Engineer]],tblSalaries[[#This Row],[Salary in USD]],"")</f>
        <v/>
      </c>
      <c r="AA1754" s="13" t="str">
        <f>IF(tblSalaries[[#This Row],[Job Type]]=tblSalaries[[#Headers],[Manager]],tblSalaries[[#This Row],[Salary in USD]],"")</f>
        <v/>
      </c>
      <c r="AB1754" s="13" t="str">
        <f>IF(tblSalaries[[#This Row],[Job Type]]=tblSalaries[[#Headers],[Misc.]],tblSalaries[[#This Row],[Salary in USD]],"")</f>
        <v/>
      </c>
      <c r="AC1754" s="13" t="str">
        <f>IF(tblSalaries[[#This Row],[Job Type]]=tblSalaries[[#Headers],[Reporting]],tblSalaries[[#This Row],[Salary in USD]],"")</f>
        <v/>
      </c>
      <c r="AD1754" s="13" t="str">
        <f>IF(tblSalaries[[#This Row],[Job Type]]=tblSalaries[[#Headers],[Specialist]],tblSalaries[[#This Row],[Salary in USD]],"")</f>
        <v/>
      </c>
    </row>
    <row r="1755" spans="2:30" ht="15" customHeight="1" x14ac:dyDescent="0.25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 s="9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  <c r="N1755">
        <f>IF(tblSalaries[[#This Row],[Years of Experience]]="","",IF(tblSalaries[[#This Row],[Years of Experience]]&lt;=2,1,""))</f>
        <v>1</v>
      </c>
      <c r="O1755" t="str">
        <f>IF(tblSalaries[[#This Row],[Years of Experience]]="","",IF(AND(tblSalaries[[#This Row],[Years of Experience]]&gt;2,tblSalaries[[#This Row],[Years of Experience]]&lt;=5),1,""))</f>
        <v/>
      </c>
      <c r="P1755" t="str">
        <f>IF(tblSalaries[[#This Row],[Years of Experience]]="","",IF(AND(tblSalaries[[#This Row],[Years of Experience]]&gt;5,tblSalaries[[#This Row],[Years of Experience]]&lt;=10),1,""))</f>
        <v/>
      </c>
      <c r="Q1755" t="str">
        <f>IF(tblSalaries[[#This Row],[Years of Experience]]="","",IF(AND(tblSalaries[[#This Row],[Years of Experience]]&gt;10,tblSalaries[[#This Row],[Years of Experience]]&lt;=15),1,""))</f>
        <v/>
      </c>
      <c r="R1755" t="str">
        <f>IF(tblSalaries[[#This Row],[Years of Experience]]="","",IF(AND(tblSalaries[[#This Row],[Years of Experience]]&gt;16,tblSalaries[[#This Row],[Years of Experience]]&lt;=20),1,""))</f>
        <v/>
      </c>
      <c r="S1755" t="str">
        <f>IF(tblSalaries[[#This Row],[Years of Experience]]="","",IF(tblSalaries[[#This Row],[Years of Experience]]&gt;20,1,""))</f>
        <v/>
      </c>
      <c r="T17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5" s="13" t="str">
        <f>IF(tblSalaries[[#This Row],[Job Type]]=tblSalaries[[#Headers],[Accountant]],tblSalaries[[#This Row],[Salary in USD]],"")</f>
        <v/>
      </c>
      <c r="V1755" s="13">
        <f>IF(tblSalaries[[#This Row],[Job Type]]=tblSalaries[[#Headers],[Analyst]],tblSalaries[[#This Row],[Salary in USD]],"")</f>
        <v>40000</v>
      </c>
      <c r="W1755" s="13" t="str">
        <f>IF(tblSalaries[[#This Row],[Job Type]]=tblSalaries[[#Headers],[Consultant]],tblSalaries[[#This Row],[Salary in USD]],"")</f>
        <v/>
      </c>
      <c r="X1755" s="13" t="str">
        <f>IF(tblSalaries[[#This Row],[Job Type]]=tblSalaries[[#Headers],[Controller]],tblSalaries[[#This Row],[Salary in USD]],"")</f>
        <v/>
      </c>
      <c r="Y1755" s="13" t="str">
        <f>IF(tblSalaries[[#This Row],[Job Type]]=tblSalaries[[#Headers],[CXO or Top Mgmt.]],tblSalaries[[#This Row],[clean Salary (in local currency)]],"")</f>
        <v/>
      </c>
      <c r="Z1755" s="13" t="str">
        <f>IF(tblSalaries[[#This Row],[Job Type]]=tblSalaries[[#Headers],[Engineer]],tblSalaries[[#This Row],[Salary in USD]],"")</f>
        <v/>
      </c>
      <c r="AA1755" s="13" t="str">
        <f>IF(tblSalaries[[#This Row],[Job Type]]=tblSalaries[[#Headers],[Manager]],tblSalaries[[#This Row],[Salary in USD]],"")</f>
        <v/>
      </c>
      <c r="AB1755" s="13" t="str">
        <f>IF(tblSalaries[[#This Row],[Job Type]]=tblSalaries[[#Headers],[Misc.]],tblSalaries[[#This Row],[Salary in USD]],"")</f>
        <v/>
      </c>
      <c r="AC1755" s="13" t="str">
        <f>IF(tblSalaries[[#This Row],[Job Type]]=tblSalaries[[#Headers],[Reporting]],tblSalaries[[#This Row],[Salary in USD]],"")</f>
        <v/>
      </c>
      <c r="AD1755" s="13" t="str">
        <f>IF(tblSalaries[[#This Row],[Job Type]]=tblSalaries[[#Headers],[Specialist]],tblSalaries[[#This Row],[Salary in USD]],"")</f>
        <v/>
      </c>
    </row>
    <row r="1756" spans="2:30" ht="15" customHeight="1" x14ac:dyDescent="0.25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 s="9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  <c r="N1756">
        <f>IF(tblSalaries[[#This Row],[Years of Experience]]="","",IF(tblSalaries[[#This Row],[Years of Experience]]&lt;=2,1,""))</f>
        <v>1</v>
      </c>
      <c r="O1756" t="str">
        <f>IF(tblSalaries[[#This Row],[Years of Experience]]="","",IF(AND(tblSalaries[[#This Row],[Years of Experience]]&gt;2,tblSalaries[[#This Row],[Years of Experience]]&lt;=5),1,""))</f>
        <v/>
      </c>
      <c r="P1756" t="str">
        <f>IF(tblSalaries[[#This Row],[Years of Experience]]="","",IF(AND(tblSalaries[[#This Row],[Years of Experience]]&gt;5,tblSalaries[[#This Row],[Years of Experience]]&lt;=10),1,""))</f>
        <v/>
      </c>
      <c r="Q1756" t="str">
        <f>IF(tblSalaries[[#This Row],[Years of Experience]]="","",IF(AND(tblSalaries[[#This Row],[Years of Experience]]&gt;10,tblSalaries[[#This Row],[Years of Experience]]&lt;=15),1,""))</f>
        <v/>
      </c>
      <c r="R1756" t="str">
        <f>IF(tblSalaries[[#This Row],[Years of Experience]]="","",IF(AND(tblSalaries[[#This Row],[Years of Experience]]&gt;16,tblSalaries[[#This Row],[Years of Experience]]&lt;=20),1,""))</f>
        <v/>
      </c>
      <c r="S1756" t="str">
        <f>IF(tblSalaries[[#This Row],[Years of Experience]]="","",IF(tblSalaries[[#This Row],[Years of Experience]]&gt;20,1,""))</f>
        <v/>
      </c>
      <c r="T17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6" s="13" t="str">
        <f>IF(tblSalaries[[#This Row],[Job Type]]=tblSalaries[[#Headers],[Accountant]],tblSalaries[[#This Row],[Salary in USD]],"")</f>
        <v/>
      </c>
      <c r="V1756" s="13">
        <f>IF(tblSalaries[[#This Row],[Job Type]]=tblSalaries[[#Headers],[Analyst]],tblSalaries[[#This Row],[Salary in USD]],"")</f>
        <v>3600</v>
      </c>
      <c r="W1756" s="13" t="str">
        <f>IF(tblSalaries[[#This Row],[Job Type]]=tblSalaries[[#Headers],[Consultant]],tblSalaries[[#This Row],[Salary in USD]],"")</f>
        <v/>
      </c>
      <c r="X1756" s="13" t="str">
        <f>IF(tblSalaries[[#This Row],[Job Type]]=tblSalaries[[#Headers],[Controller]],tblSalaries[[#This Row],[Salary in USD]],"")</f>
        <v/>
      </c>
      <c r="Y1756" s="13" t="str">
        <f>IF(tblSalaries[[#This Row],[Job Type]]=tblSalaries[[#Headers],[CXO or Top Mgmt.]],tblSalaries[[#This Row],[clean Salary (in local currency)]],"")</f>
        <v/>
      </c>
      <c r="Z1756" s="13" t="str">
        <f>IF(tblSalaries[[#This Row],[Job Type]]=tblSalaries[[#Headers],[Engineer]],tblSalaries[[#This Row],[Salary in USD]],"")</f>
        <v/>
      </c>
      <c r="AA1756" s="13" t="str">
        <f>IF(tblSalaries[[#This Row],[Job Type]]=tblSalaries[[#Headers],[Manager]],tblSalaries[[#This Row],[Salary in USD]],"")</f>
        <v/>
      </c>
      <c r="AB1756" s="13" t="str">
        <f>IF(tblSalaries[[#This Row],[Job Type]]=tblSalaries[[#Headers],[Misc.]],tblSalaries[[#This Row],[Salary in USD]],"")</f>
        <v/>
      </c>
      <c r="AC1756" s="13" t="str">
        <f>IF(tblSalaries[[#This Row],[Job Type]]=tblSalaries[[#Headers],[Reporting]],tblSalaries[[#This Row],[Salary in USD]],"")</f>
        <v/>
      </c>
      <c r="AD1756" s="13" t="str">
        <f>IF(tblSalaries[[#This Row],[Job Type]]=tblSalaries[[#Headers],[Specialist]],tblSalaries[[#This Row],[Salary in USD]],"")</f>
        <v/>
      </c>
    </row>
    <row r="1757" spans="2:30" ht="15" customHeight="1" x14ac:dyDescent="0.25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 s="9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  <c r="N1757" t="str">
        <f>IF(tblSalaries[[#This Row],[Years of Experience]]="","",IF(tblSalaries[[#This Row],[Years of Experience]]&lt;=2,1,""))</f>
        <v/>
      </c>
      <c r="O1757" t="str">
        <f>IF(tblSalaries[[#This Row],[Years of Experience]]="","",IF(AND(tblSalaries[[#This Row],[Years of Experience]]&gt;2,tblSalaries[[#This Row],[Years of Experience]]&lt;=5),1,""))</f>
        <v/>
      </c>
      <c r="P1757" t="str">
        <f>IF(tblSalaries[[#This Row],[Years of Experience]]="","",IF(AND(tblSalaries[[#This Row],[Years of Experience]]&gt;5,tblSalaries[[#This Row],[Years of Experience]]&lt;=10),1,""))</f>
        <v/>
      </c>
      <c r="Q1757">
        <f>IF(tblSalaries[[#This Row],[Years of Experience]]="","",IF(AND(tblSalaries[[#This Row],[Years of Experience]]&gt;10,tblSalaries[[#This Row],[Years of Experience]]&lt;=15),1,""))</f>
        <v>1</v>
      </c>
      <c r="R1757" t="str">
        <f>IF(tblSalaries[[#This Row],[Years of Experience]]="","",IF(AND(tblSalaries[[#This Row],[Years of Experience]]&gt;16,tblSalaries[[#This Row],[Years of Experience]]&lt;=20),1,""))</f>
        <v/>
      </c>
      <c r="S1757" t="str">
        <f>IF(tblSalaries[[#This Row],[Years of Experience]]="","",IF(tblSalaries[[#This Row],[Years of Experience]]&gt;20,1,""))</f>
        <v/>
      </c>
      <c r="T17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57" s="13" t="str">
        <f>IF(tblSalaries[[#This Row],[Job Type]]=tblSalaries[[#Headers],[Accountant]],tblSalaries[[#This Row],[Salary in USD]],"")</f>
        <v/>
      </c>
      <c r="V1757" s="13" t="str">
        <f>IF(tblSalaries[[#This Row],[Job Type]]=tblSalaries[[#Headers],[Analyst]],tblSalaries[[#This Row],[Salary in USD]],"")</f>
        <v/>
      </c>
      <c r="W1757" s="13" t="str">
        <f>IF(tblSalaries[[#This Row],[Job Type]]=tblSalaries[[#Headers],[Consultant]],tblSalaries[[#This Row],[Salary in USD]],"")</f>
        <v/>
      </c>
      <c r="X1757" s="13" t="str">
        <f>IF(tblSalaries[[#This Row],[Job Type]]=tblSalaries[[#Headers],[Controller]],tblSalaries[[#This Row],[Salary in USD]],"")</f>
        <v/>
      </c>
      <c r="Y1757" s="13" t="str">
        <f>IF(tblSalaries[[#This Row],[Job Type]]=tblSalaries[[#Headers],[CXO or Top Mgmt.]],tblSalaries[[#This Row],[clean Salary (in local currency)]],"")</f>
        <v/>
      </c>
      <c r="Z1757" s="13" t="str">
        <f>IF(tblSalaries[[#This Row],[Job Type]]=tblSalaries[[#Headers],[Engineer]],tblSalaries[[#This Row],[Salary in USD]],"")</f>
        <v/>
      </c>
      <c r="AA1757" s="13">
        <f>IF(tblSalaries[[#This Row],[Job Type]]=tblSalaries[[#Headers],[Manager]],tblSalaries[[#This Row],[Salary in USD]],"")</f>
        <v>56600</v>
      </c>
      <c r="AB1757" s="13" t="str">
        <f>IF(tblSalaries[[#This Row],[Job Type]]=tblSalaries[[#Headers],[Misc.]],tblSalaries[[#This Row],[Salary in USD]],"")</f>
        <v/>
      </c>
      <c r="AC1757" s="13" t="str">
        <f>IF(tblSalaries[[#This Row],[Job Type]]=tblSalaries[[#Headers],[Reporting]],tblSalaries[[#This Row],[Salary in USD]],"")</f>
        <v/>
      </c>
      <c r="AD1757" s="13" t="str">
        <f>IF(tblSalaries[[#This Row],[Job Type]]=tblSalaries[[#Headers],[Specialist]],tblSalaries[[#This Row],[Salary in USD]],"")</f>
        <v/>
      </c>
    </row>
    <row r="1758" spans="2:30" ht="15" customHeight="1" x14ac:dyDescent="0.25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 s="9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  <c r="N1758">
        <f>IF(tblSalaries[[#This Row],[Years of Experience]]="","",IF(tblSalaries[[#This Row],[Years of Experience]]&lt;=2,1,""))</f>
        <v>1</v>
      </c>
      <c r="O1758" t="str">
        <f>IF(tblSalaries[[#This Row],[Years of Experience]]="","",IF(AND(tblSalaries[[#This Row],[Years of Experience]]&gt;2,tblSalaries[[#This Row],[Years of Experience]]&lt;=5),1,""))</f>
        <v/>
      </c>
      <c r="P1758" t="str">
        <f>IF(tblSalaries[[#This Row],[Years of Experience]]="","",IF(AND(tblSalaries[[#This Row],[Years of Experience]]&gt;5,tblSalaries[[#This Row],[Years of Experience]]&lt;=10),1,""))</f>
        <v/>
      </c>
      <c r="Q1758" t="str">
        <f>IF(tblSalaries[[#This Row],[Years of Experience]]="","",IF(AND(tblSalaries[[#This Row],[Years of Experience]]&gt;10,tblSalaries[[#This Row],[Years of Experience]]&lt;=15),1,""))</f>
        <v/>
      </c>
      <c r="R1758" t="str">
        <f>IF(tblSalaries[[#This Row],[Years of Experience]]="","",IF(AND(tblSalaries[[#This Row],[Years of Experience]]&gt;16,tblSalaries[[#This Row],[Years of Experience]]&lt;=20),1,""))</f>
        <v/>
      </c>
      <c r="S1758" t="str">
        <f>IF(tblSalaries[[#This Row],[Years of Experience]]="","",IF(tblSalaries[[#This Row],[Years of Experience]]&gt;20,1,""))</f>
        <v/>
      </c>
      <c r="T17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8" s="13" t="str">
        <f>IF(tblSalaries[[#This Row],[Job Type]]=tblSalaries[[#Headers],[Accountant]],tblSalaries[[#This Row],[Salary in USD]],"")</f>
        <v/>
      </c>
      <c r="V1758" s="13">
        <f>IF(tblSalaries[[#This Row],[Job Type]]=tblSalaries[[#Headers],[Analyst]],tblSalaries[[#This Row],[Salary in USD]],"")</f>
        <v>33600</v>
      </c>
      <c r="W1758" s="13" t="str">
        <f>IF(tblSalaries[[#This Row],[Job Type]]=tblSalaries[[#Headers],[Consultant]],tblSalaries[[#This Row],[Salary in USD]],"")</f>
        <v/>
      </c>
      <c r="X1758" s="13" t="str">
        <f>IF(tblSalaries[[#This Row],[Job Type]]=tblSalaries[[#Headers],[Controller]],tblSalaries[[#This Row],[Salary in USD]],"")</f>
        <v/>
      </c>
      <c r="Y1758" s="13" t="str">
        <f>IF(tblSalaries[[#This Row],[Job Type]]=tblSalaries[[#Headers],[CXO or Top Mgmt.]],tblSalaries[[#This Row],[clean Salary (in local currency)]],"")</f>
        <v/>
      </c>
      <c r="Z1758" s="13" t="str">
        <f>IF(tblSalaries[[#This Row],[Job Type]]=tblSalaries[[#Headers],[Engineer]],tblSalaries[[#This Row],[Salary in USD]],"")</f>
        <v/>
      </c>
      <c r="AA1758" s="13" t="str">
        <f>IF(tblSalaries[[#This Row],[Job Type]]=tblSalaries[[#Headers],[Manager]],tblSalaries[[#This Row],[Salary in USD]],"")</f>
        <v/>
      </c>
      <c r="AB1758" s="13" t="str">
        <f>IF(tblSalaries[[#This Row],[Job Type]]=tblSalaries[[#Headers],[Misc.]],tblSalaries[[#This Row],[Salary in USD]],"")</f>
        <v/>
      </c>
      <c r="AC1758" s="13" t="str">
        <f>IF(tblSalaries[[#This Row],[Job Type]]=tblSalaries[[#Headers],[Reporting]],tblSalaries[[#This Row],[Salary in USD]],"")</f>
        <v/>
      </c>
      <c r="AD1758" s="13" t="str">
        <f>IF(tblSalaries[[#This Row],[Job Type]]=tblSalaries[[#Headers],[Specialist]],tblSalaries[[#This Row],[Salary in USD]],"")</f>
        <v/>
      </c>
    </row>
    <row r="1759" spans="2:30" ht="15" customHeight="1" x14ac:dyDescent="0.25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 s="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  <c r="N1759">
        <f>IF(tblSalaries[[#This Row],[Years of Experience]]="","",IF(tblSalaries[[#This Row],[Years of Experience]]&lt;=2,1,""))</f>
        <v>1</v>
      </c>
      <c r="O1759" t="str">
        <f>IF(tblSalaries[[#This Row],[Years of Experience]]="","",IF(AND(tblSalaries[[#This Row],[Years of Experience]]&gt;2,tblSalaries[[#This Row],[Years of Experience]]&lt;=5),1,""))</f>
        <v/>
      </c>
      <c r="P1759" t="str">
        <f>IF(tblSalaries[[#This Row],[Years of Experience]]="","",IF(AND(tblSalaries[[#This Row],[Years of Experience]]&gt;5,tblSalaries[[#This Row],[Years of Experience]]&lt;=10),1,""))</f>
        <v/>
      </c>
      <c r="Q1759" t="str">
        <f>IF(tblSalaries[[#This Row],[Years of Experience]]="","",IF(AND(tblSalaries[[#This Row],[Years of Experience]]&gt;10,tblSalaries[[#This Row],[Years of Experience]]&lt;=15),1,""))</f>
        <v/>
      </c>
      <c r="R1759" t="str">
        <f>IF(tblSalaries[[#This Row],[Years of Experience]]="","",IF(AND(tblSalaries[[#This Row],[Years of Experience]]&gt;16,tblSalaries[[#This Row],[Years of Experience]]&lt;=20),1,""))</f>
        <v/>
      </c>
      <c r="S1759" t="str">
        <f>IF(tblSalaries[[#This Row],[Years of Experience]]="","",IF(tblSalaries[[#This Row],[Years of Experience]]&gt;20,1,""))</f>
        <v/>
      </c>
      <c r="T17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59" s="13" t="str">
        <f>IF(tblSalaries[[#This Row],[Job Type]]=tblSalaries[[#Headers],[Accountant]],tblSalaries[[#This Row],[Salary in USD]],"")</f>
        <v/>
      </c>
      <c r="V1759" s="13">
        <f>IF(tblSalaries[[#This Row],[Job Type]]=tblSalaries[[#Headers],[Analyst]],tblSalaries[[#This Row],[Salary in USD]],"")</f>
        <v>33600</v>
      </c>
      <c r="W1759" s="13" t="str">
        <f>IF(tblSalaries[[#This Row],[Job Type]]=tblSalaries[[#Headers],[Consultant]],tblSalaries[[#This Row],[Salary in USD]],"")</f>
        <v/>
      </c>
      <c r="X1759" s="13" t="str">
        <f>IF(tblSalaries[[#This Row],[Job Type]]=tblSalaries[[#Headers],[Controller]],tblSalaries[[#This Row],[Salary in USD]],"")</f>
        <v/>
      </c>
      <c r="Y1759" s="13" t="str">
        <f>IF(tblSalaries[[#This Row],[Job Type]]=tblSalaries[[#Headers],[CXO or Top Mgmt.]],tblSalaries[[#This Row],[clean Salary (in local currency)]],"")</f>
        <v/>
      </c>
      <c r="Z1759" s="13" t="str">
        <f>IF(tblSalaries[[#This Row],[Job Type]]=tblSalaries[[#Headers],[Engineer]],tblSalaries[[#This Row],[Salary in USD]],"")</f>
        <v/>
      </c>
      <c r="AA1759" s="13" t="str">
        <f>IF(tblSalaries[[#This Row],[Job Type]]=tblSalaries[[#Headers],[Manager]],tblSalaries[[#This Row],[Salary in USD]],"")</f>
        <v/>
      </c>
      <c r="AB1759" s="13" t="str">
        <f>IF(tblSalaries[[#This Row],[Job Type]]=tblSalaries[[#Headers],[Misc.]],tblSalaries[[#This Row],[Salary in USD]],"")</f>
        <v/>
      </c>
      <c r="AC1759" s="13" t="str">
        <f>IF(tblSalaries[[#This Row],[Job Type]]=tblSalaries[[#Headers],[Reporting]],tblSalaries[[#This Row],[Salary in USD]],"")</f>
        <v/>
      </c>
      <c r="AD1759" s="13" t="str">
        <f>IF(tblSalaries[[#This Row],[Job Type]]=tblSalaries[[#Headers],[Specialist]],tblSalaries[[#This Row],[Salary in USD]],"")</f>
        <v/>
      </c>
    </row>
    <row r="1760" spans="2:30" ht="15" customHeight="1" x14ac:dyDescent="0.25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 s="9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  <c r="N1760" t="str">
        <f>IF(tblSalaries[[#This Row],[Years of Experience]]="","",IF(tblSalaries[[#This Row],[Years of Experience]]&lt;=2,1,""))</f>
        <v/>
      </c>
      <c r="O1760" t="str">
        <f>IF(tblSalaries[[#This Row],[Years of Experience]]="","",IF(AND(tblSalaries[[#This Row],[Years of Experience]]&gt;2,tblSalaries[[#This Row],[Years of Experience]]&lt;=5),1,""))</f>
        <v/>
      </c>
      <c r="P1760" t="str">
        <f>IF(tblSalaries[[#This Row],[Years of Experience]]="","",IF(AND(tblSalaries[[#This Row],[Years of Experience]]&gt;5,tblSalaries[[#This Row],[Years of Experience]]&lt;=10),1,""))</f>
        <v/>
      </c>
      <c r="Q1760">
        <f>IF(tblSalaries[[#This Row],[Years of Experience]]="","",IF(AND(tblSalaries[[#This Row],[Years of Experience]]&gt;10,tblSalaries[[#This Row],[Years of Experience]]&lt;=15),1,""))</f>
        <v>1</v>
      </c>
      <c r="R1760" t="str">
        <f>IF(tblSalaries[[#This Row],[Years of Experience]]="","",IF(AND(tblSalaries[[#This Row],[Years of Experience]]&gt;16,tblSalaries[[#This Row],[Years of Experience]]&lt;=20),1,""))</f>
        <v/>
      </c>
      <c r="S1760" t="str">
        <f>IF(tblSalaries[[#This Row],[Years of Experience]]="","",IF(tblSalaries[[#This Row],[Years of Experience]]&gt;20,1,""))</f>
        <v/>
      </c>
      <c r="T17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60" s="13" t="str">
        <f>IF(tblSalaries[[#This Row],[Job Type]]=tblSalaries[[#Headers],[Accountant]],tblSalaries[[#This Row],[Salary in USD]],"")</f>
        <v/>
      </c>
      <c r="V1760" s="13">
        <f>IF(tblSalaries[[#This Row],[Job Type]]=tblSalaries[[#Headers],[Analyst]],tblSalaries[[#This Row],[Salary in USD]],"")</f>
        <v>100000</v>
      </c>
      <c r="W1760" s="13" t="str">
        <f>IF(tblSalaries[[#This Row],[Job Type]]=tblSalaries[[#Headers],[Consultant]],tblSalaries[[#This Row],[Salary in USD]],"")</f>
        <v/>
      </c>
      <c r="X1760" s="13" t="str">
        <f>IF(tblSalaries[[#This Row],[Job Type]]=tblSalaries[[#Headers],[Controller]],tblSalaries[[#This Row],[Salary in USD]],"")</f>
        <v/>
      </c>
      <c r="Y1760" s="13" t="str">
        <f>IF(tblSalaries[[#This Row],[Job Type]]=tblSalaries[[#Headers],[CXO or Top Mgmt.]],tblSalaries[[#This Row],[clean Salary (in local currency)]],"")</f>
        <v/>
      </c>
      <c r="Z1760" s="13" t="str">
        <f>IF(tblSalaries[[#This Row],[Job Type]]=tblSalaries[[#Headers],[Engineer]],tblSalaries[[#This Row],[Salary in USD]],"")</f>
        <v/>
      </c>
      <c r="AA1760" s="13" t="str">
        <f>IF(tblSalaries[[#This Row],[Job Type]]=tblSalaries[[#Headers],[Manager]],tblSalaries[[#This Row],[Salary in USD]],"")</f>
        <v/>
      </c>
      <c r="AB1760" s="13" t="str">
        <f>IF(tblSalaries[[#This Row],[Job Type]]=tblSalaries[[#Headers],[Misc.]],tblSalaries[[#This Row],[Salary in USD]],"")</f>
        <v/>
      </c>
      <c r="AC1760" s="13" t="str">
        <f>IF(tblSalaries[[#This Row],[Job Type]]=tblSalaries[[#Headers],[Reporting]],tblSalaries[[#This Row],[Salary in USD]],"")</f>
        <v/>
      </c>
      <c r="AD1760" s="13" t="str">
        <f>IF(tblSalaries[[#This Row],[Job Type]]=tblSalaries[[#Headers],[Specialist]],tblSalaries[[#This Row],[Salary in USD]],"")</f>
        <v/>
      </c>
    </row>
    <row r="1761" spans="2:30" ht="15" customHeight="1" x14ac:dyDescent="0.25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 s="9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  <c r="N1761">
        <f>IF(tblSalaries[[#This Row],[Years of Experience]]="","",IF(tblSalaries[[#This Row],[Years of Experience]]&lt;=2,1,""))</f>
        <v>1</v>
      </c>
      <c r="O1761" t="str">
        <f>IF(tblSalaries[[#This Row],[Years of Experience]]="","",IF(AND(tblSalaries[[#This Row],[Years of Experience]]&gt;2,tblSalaries[[#This Row],[Years of Experience]]&lt;=5),1,""))</f>
        <v/>
      </c>
      <c r="P1761" t="str">
        <f>IF(tblSalaries[[#This Row],[Years of Experience]]="","",IF(AND(tblSalaries[[#This Row],[Years of Experience]]&gt;5,tblSalaries[[#This Row],[Years of Experience]]&lt;=10),1,""))</f>
        <v/>
      </c>
      <c r="Q1761" t="str">
        <f>IF(tblSalaries[[#This Row],[Years of Experience]]="","",IF(AND(tblSalaries[[#This Row],[Years of Experience]]&gt;10,tblSalaries[[#This Row],[Years of Experience]]&lt;=15),1,""))</f>
        <v/>
      </c>
      <c r="R1761" t="str">
        <f>IF(tblSalaries[[#This Row],[Years of Experience]]="","",IF(AND(tblSalaries[[#This Row],[Years of Experience]]&gt;16,tblSalaries[[#This Row],[Years of Experience]]&lt;=20),1,""))</f>
        <v/>
      </c>
      <c r="S1761" t="str">
        <f>IF(tblSalaries[[#This Row],[Years of Experience]]="","",IF(tblSalaries[[#This Row],[Years of Experience]]&gt;20,1,""))</f>
        <v/>
      </c>
      <c r="T17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61" s="13" t="str">
        <f>IF(tblSalaries[[#This Row],[Job Type]]=tblSalaries[[#Headers],[Accountant]],tblSalaries[[#This Row],[Salary in USD]],"")</f>
        <v/>
      </c>
      <c r="V1761" s="13">
        <f>IF(tblSalaries[[#This Row],[Job Type]]=tblSalaries[[#Headers],[Analyst]],tblSalaries[[#This Row],[Salary in USD]],"")</f>
        <v>39334.460921213074</v>
      </c>
      <c r="W1761" s="13" t="str">
        <f>IF(tblSalaries[[#This Row],[Job Type]]=tblSalaries[[#Headers],[Consultant]],tblSalaries[[#This Row],[Salary in USD]],"")</f>
        <v/>
      </c>
      <c r="X1761" s="13" t="str">
        <f>IF(tblSalaries[[#This Row],[Job Type]]=tblSalaries[[#Headers],[Controller]],tblSalaries[[#This Row],[Salary in USD]],"")</f>
        <v/>
      </c>
      <c r="Y1761" s="13" t="str">
        <f>IF(tblSalaries[[#This Row],[Job Type]]=tblSalaries[[#Headers],[CXO or Top Mgmt.]],tblSalaries[[#This Row],[clean Salary (in local currency)]],"")</f>
        <v/>
      </c>
      <c r="Z1761" s="13" t="str">
        <f>IF(tblSalaries[[#This Row],[Job Type]]=tblSalaries[[#Headers],[Engineer]],tblSalaries[[#This Row],[Salary in USD]],"")</f>
        <v/>
      </c>
      <c r="AA1761" s="13" t="str">
        <f>IF(tblSalaries[[#This Row],[Job Type]]=tblSalaries[[#Headers],[Manager]],tblSalaries[[#This Row],[Salary in USD]],"")</f>
        <v/>
      </c>
      <c r="AB1761" s="13" t="str">
        <f>IF(tblSalaries[[#This Row],[Job Type]]=tblSalaries[[#Headers],[Misc.]],tblSalaries[[#This Row],[Salary in USD]],"")</f>
        <v/>
      </c>
      <c r="AC1761" s="13" t="str">
        <f>IF(tblSalaries[[#This Row],[Job Type]]=tblSalaries[[#Headers],[Reporting]],tblSalaries[[#This Row],[Salary in USD]],"")</f>
        <v/>
      </c>
      <c r="AD1761" s="13" t="str">
        <f>IF(tblSalaries[[#This Row],[Job Type]]=tblSalaries[[#Headers],[Specialist]],tblSalaries[[#This Row],[Salary in USD]],"")</f>
        <v/>
      </c>
    </row>
    <row r="1762" spans="2:30" ht="15" customHeight="1" x14ac:dyDescent="0.25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 s="9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  <c r="N1762" t="str">
        <f>IF(tblSalaries[[#This Row],[Years of Experience]]="","",IF(tblSalaries[[#This Row],[Years of Experience]]&lt;=2,1,""))</f>
        <v/>
      </c>
      <c r="O1762">
        <f>IF(tblSalaries[[#This Row],[Years of Experience]]="","",IF(AND(tblSalaries[[#This Row],[Years of Experience]]&gt;2,tblSalaries[[#This Row],[Years of Experience]]&lt;=5),1,""))</f>
        <v>1</v>
      </c>
      <c r="P1762" t="str">
        <f>IF(tblSalaries[[#This Row],[Years of Experience]]="","",IF(AND(tblSalaries[[#This Row],[Years of Experience]]&gt;5,tblSalaries[[#This Row],[Years of Experience]]&lt;=10),1,""))</f>
        <v/>
      </c>
      <c r="Q1762" t="str">
        <f>IF(tblSalaries[[#This Row],[Years of Experience]]="","",IF(AND(tblSalaries[[#This Row],[Years of Experience]]&gt;10,tblSalaries[[#This Row],[Years of Experience]]&lt;=15),1,""))</f>
        <v/>
      </c>
      <c r="R1762" t="str">
        <f>IF(tblSalaries[[#This Row],[Years of Experience]]="","",IF(AND(tblSalaries[[#This Row],[Years of Experience]]&gt;16,tblSalaries[[#This Row],[Years of Experience]]&lt;=20),1,""))</f>
        <v/>
      </c>
      <c r="S1762" t="str">
        <f>IF(tblSalaries[[#This Row],[Years of Experience]]="","",IF(tblSalaries[[#This Row],[Years of Experience]]&gt;20,1,""))</f>
        <v/>
      </c>
      <c r="T17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62" s="13" t="str">
        <f>IF(tblSalaries[[#This Row],[Job Type]]=tblSalaries[[#Headers],[Accountant]],tblSalaries[[#This Row],[Salary in USD]],"")</f>
        <v/>
      </c>
      <c r="V1762" s="13">
        <f>IF(tblSalaries[[#This Row],[Job Type]]=tblSalaries[[#Headers],[Analyst]],tblSalaries[[#This Row],[Salary in USD]],"")</f>
        <v>7123.1666749770275</v>
      </c>
      <c r="W1762" s="13" t="str">
        <f>IF(tblSalaries[[#This Row],[Job Type]]=tblSalaries[[#Headers],[Consultant]],tblSalaries[[#This Row],[Salary in USD]],"")</f>
        <v/>
      </c>
      <c r="X1762" s="13" t="str">
        <f>IF(tblSalaries[[#This Row],[Job Type]]=tblSalaries[[#Headers],[Controller]],tblSalaries[[#This Row],[Salary in USD]],"")</f>
        <v/>
      </c>
      <c r="Y1762" s="13" t="str">
        <f>IF(tblSalaries[[#This Row],[Job Type]]=tblSalaries[[#Headers],[CXO or Top Mgmt.]],tblSalaries[[#This Row],[clean Salary (in local currency)]],"")</f>
        <v/>
      </c>
      <c r="Z1762" s="13" t="str">
        <f>IF(tblSalaries[[#This Row],[Job Type]]=tblSalaries[[#Headers],[Engineer]],tblSalaries[[#This Row],[Salary in USD]],"")</f>
        <v/>
      </c>
      <c r="AA1762" s="13" t="str">
        <f>IF(tblSalaries[[#This Row],[Job Type]]=tblSalaries[[#Headers],[Manager]],tblSalaries[[#This Row],[Salary in USD]],"")</f>
        <v/>
      </c>
      <c r="AB1762" s="13" t="str">
        <f>IF(tblSalaries[[#This Row],[Job Type]]=tblSalaries[[#Headers],[Misc.]],tblSalaries[[#This Row],[Salary in USD]],"")</f>
        <v/>
      </c>
      <c r="AC1762" s="13" t="str">
        <f>IF(tblSalaries[[#This Row],[Job Type]]=tblSalaries[[#Headers],[Reporting]],tblSalaries[[#This Row],[Salary in USD]],"")</f>
        <v/>
      </c>
      <c r="AD1762" s="13" t="str">
        <f>IF(tblSalaries[[#This Row],[Job Type]]=tblSalaries[[#Headers],[Specialist]],tblSalaries[[#This Row],[Salary in USD]],"")</f>
        <v/>
      </c>
    </row>
    <row r="1763" spans="2:30" ht="15" customHeight="1" x14ac:dyDescent="0.25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 s="9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  <c r="N1763" t="str">
        <f>IF(tblSalaries[[#This Row],[Years of Experience]]="","",IF(tblSalaries[[#This Row],[Years of Experience]]&lt;=2,1,""))</f>
        <v/>
      </c>
      <c r="O1763" t="str">
        <f>IF(tblSalaries[[#This Row],[Years of Experience]]="","",IF(AND(tblSalaries[[#This Row],[Years of Experience]]&gt;2,tblSalaries[[#This Row],[Years of Experience]]&lt;=5),1,""))</f>
        <v/>
      </c>
      <c r="P1763" t="str">
        <f>IF(tblSalaries[[#This Row],[Years of Experience]]="","",IF(AND(tblSalaries[[#This Row],[Years of Experience]]&gt;5,tblSalaries[[#This Row],[Years of Experience]]&lt;=10),1,""))</f>
        <v/>
      </c>
      <c r="Q1763">
        <f>IF(tblSalaries[[#This Row],[Years of Experience]]="","",IF(AND(tblSalaries[[#This Row],[Years of Experience]]&gt;10,tblSalaries[[#This Row],[Years of Experience]]&lt;=15),1,""))</f>
        <v>1</v>
      </c>
      <c r="R1763" t="str">
        <f>IF(tblSalaries[[#This Row],[Years of Experience]]="","",IF(AND(tblSalaries[[#This Row],[Years of Experience]]&gt;16,tblSalaries[[#This Row],[Years of Experience]]&lt;=20),1,""))</f>
        <v/>
      </c>
      <c r="S1763" t="str">
        <f>IF(tblSalaries[[#This Row],[Years of Experience]]="","",IF(tblSalaries[[#This Row],[Years of Experience]]&gt;20,1,""))</f>
        <v/>
      </c>
      <c r="T17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63" s="13" t="str">
        <f>IF(tblSalaries[[#This Row],[Job Type]]=tblSalaries[[#Headers],[Accountant]],tblSalaries[[#This Row],[Salary in USD]],"")</f>
        <v/>
      </c>
      <c r="V1763" s="13">
        <f>IF(tblSalaries[[#This Row],[Job Type]]=tblSalaries[[#Headers],[Analyst]],tblSalaries[[#This Row],[Salary in USD]],"")</f>
        <v>65000</v>
      </c>
      <c r="W1763" s="13" t="str">
        <f>IF(tblSalaries[[#This Row],[Job Type]]=tblSalaries[[#Headers],[Consultant]],tblSalaries[[#This Row],[Salary in USD]],"")</f>
        <v/>
      </c>
      <c r="X1763" s="13" t="str">
        <f>IF(tblSalaries[[#This Row],[Job Type]]=tblSalaries[[#Headers],[Controller]],tblSalaries[[#This Row],[Salary in USD]],"")</f>
        <v/>
      </c>
      <c r="Y1763" s="13" t="str">
        <f>IF(tblSalaries[[#This Row],[Job Type]]=tblSalaries[[#Headers],[CXO or Top Mgmt.]],tblSalaries[[#This Row],[clean Salary (in local currency)]],"")</f>
        <v/>
      </c>
      <c r="Z1763" s="13" t="str">
        <f>IF(tblSalaries[[#This Row],[Job Type]]=tblSalaries[[#Headers],[Engineer]],tblSalaries[[#This Row],[Salary in USD]],"")</f>
        <v/>
      </c>
      <c r="AA1763" s="13" t="str">
        <f>IF(tblSalaries[[#This Row],[Job Type]]=tblSalaries[[#Headers],[Manager]],tblSalaries[[#This Row],[Salary in USD]],"")</f>
        <v/>
      </c>
      <c r="AB1763" s="13" t="str">
        <f>IF(tblSalaries[[#This Row],[Job Type]]=tblSalaries[[#Headers],[Misc.]],tblSalaries[[#This Row],[Salary in USD]],"")</f>
        <v/>
      </c>
      <c r="AC1763" s="13" t="str">
        <f>IF(tblSalaries[[#This Row],[Job Type]]=tblSalaries[[#Headers],[Reporting]],tblSalaries[[#This Row],[Salary in USD]],"")</f>
        <v/>
      </c>
      <c r="AD1763" s="13" t="str">
        <f>IF(tblSalaries[[#This Row],[Job Type]]=tblSalaries[[#Headers],[Specialist]],tblSalaries[[#This Row],[Salary in USD]],"")</f>
        <v/>
      </c>
    </row>
    <row r="1764" spans="2:30" ht="15" customHeight="1" x14ac:dyDescent="0.25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 s="9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  <c r="N1764" t="str">
        <f>IF(tblSalaries[[#This Row],[Years of Experience]]="","",IF(tblSalaries[[#This Row],[Years of Experience]]&lt;=2,1,""))</f>
        <v/>
      </c>
      <c r="O1764" t="str">
        <f>IF(tblSalaries[[#This Row],[Years of Experience]]="","",IF(AND(tblSalaries[[#This Row],[Years of Experience]]&gt;2,tblSalaries[[#This Row],[Years of Experience]]&lt;=5),1,""))</f>
        <v/>
      </c>
      <c r="P1764">
        <f>IF(tblSalaries[[#This Row],[Years of Experience]]="","",IF(AND(tblSalaries[[#This Row],[Years of Experience]]&gt;5,tblSalaries[[#This Row],[Years of Experience]]&lt;=10),1,""))</f>
        <v>1</v>
      </c>
      <c r="Q1764" t="str">
        <f>IF(tblSalaries[[#This Row],[Years of Experience]]="","",IF(AND(tblSalaries[[#This Row],[Years of Experience]]&gt;10,tblSalaries[[#This Row],[Years of Experience]]&lt;=15),1,""))</f>
        <v/>
      </c>
      <c r="R1764" t="str">
        <f>IF(tblSalaries[[#This Row],[Years of Experience]]="","",IF(AND(tblSalaries[[#This Row],[Years of Experience]]&gt;16,tblSalaries[[#This Row],[Years of Experience]]&lt;=20),1,""))</f>
        <v/>
      </c>
      <c r="S1764" t="str">
        <f>IF(tblSalaries[[#This Row],[Years of Experience]]="","",IF(tblSalaries[[#This Row],[Years of Experience]]&gt;20,1,""))</f>
        <v/>
      </c>
      <c r="T17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64" s="13" t="str">
        <f>IF(tblSalaries[[#This Row],[Job Type]]=tblSalaries[[#Headers],[Accountant]],tblSalaries[[#This Row],[Salary in USD]],"")</f>
        <v/>
      </c>
      <c r="V1764" s="13">
        <f>IF(tblSalaries[[#This Row],[Job Type]]=tblSalaries[[#Headers],[Analyst]],tblSalaries[[#This Row],[Salary in USD]],"")</f>
        <v>65000</v>
      </c>
      <c r="W1764" s="13" t="str">
        <f>IF(tblSalaries[[#This Row],[Job Type]]=tblSalaries[[#Headers],[Consultant]],tblSalaries[[#This Row],[Salary in USD]],"")</f>
        <v/>
      </c>
      <c r="X1764" s="13" t="str">
        <f>IF(tblSalaries[[#This Row],[Job Type]]=tblSalaries[[#Headers],[Controller]],tblSalaries[[#This Row],[Salary in USD]],"")</f>
        <v/>
      </c>
      <c r="Y1764" s="13" t="str">
        <f>IF(tblSalaries[[#This Row],[Job Type]]=tblSalaries[[#Headers],[CXO or Top Mgmt.]],tblSalaries[[#This Row],[clean Salary (in local currency)]],"")</f>
        <v/>
      </c>
      <c r="Z1764" s="13" t="str">
        <f>IF(tblSalaries[[#This Row],[Job Type]]=tblSalaries[[#Headers],[Engineer]],tblSalaries[[#This Row],[Salary in USD]],"")</f>
        <v/>
      </c>
      <c r="AA1764" s="13" t="str">
        <f>IF(tblSalaries[[#This Row],[Job Type]]=tblSalaries[[#Headers],[Manager]],tblSalaries[[#This Row],[Salary in USD]],"")</f>
        <v/>
      </c>
      <c r="AB1764" s="13" t="str">
        <f>IF(tblSalaries[[#This Row],[Job Type]]=tblSalaries[[#Headers],[Misc.]],tblSalaries[[#This Row],[Salary in USD]],"")</f>
        <v/>
      </c>
      <c r="AC1764" s="13" t="str">
        <f>IF(tblSalaries[[#This Row],[Job Type]]=tblSalaries[[#Headers],[Reporting]],tblSalaries[[#This Row],[Salary in USD]],"")</f>
        <v/>
      </c>
      <c r="AD1764" s="13" t="str">
        <f>IF(tblSalaries[[#This Row],[Job Type]]=tblSalaries[[#Headers],[Specialist]],tblSalaries[[#This Row],[Salary in USD]],"")</f>
        <v/>
      </c>
    </row>
    <row r="1765" spans="2:30" ht="15" customHeight="1" x14ac:dyDescent="0.25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 s="9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  <c r="N1765" t="str">
        <f>IF(tblSalaries[[#This Row],[Years of Experience]]="","",IF(tblSalaries[[#This Row],[Years of Experience]]&lt;=2,1,""))</f>
        <v/>
      </c>
      <c r="O1765" t="str">
        <f>IF(tblSalaries[[#This Row],[Years of Experience]]="","",IF(AND(tblSalaries[[#This Row],[Years of Experience]]&gt;2,tblSalaries[[#This Row],[Years of Experience]]&lt;=5),1,""))</f>
        <v/>
      </c>
      <c r="P1765" t="str">
        <f>IF(tblSalaries[[#This Row],[Years of Experience]]="","",IF(AND(tblSalaries[[#This Row],[Years of Experience]]&gt;5,tblSalaries[[#This Row],[Years of Experience]]&lt;=10),1,""))</f>
        <v/>
      </c>
      <c r="Q1765">
        <f>IF(tblSalaries[[#This Row],[Years of Experience]]="","",IF(AND(tblSalaries[[#This Row],[Years of Experience]]&gt;10,tblSalaries[[#This Row],[Years of Experience]]&lt;=15),1,""))</f>
        <v>1</v>
      </c>
      <c r="R1765" t="str">
        <f>IF(tblSalaries[[#This Row],[Years of Experience]]="","",IF(AND(tblSalaries[[#This Row],[Years of Experience]]&gt;16,tblSalaries[[#This Row],[Years of Experience]]&lt;=20),1,""))</f>
        <v/>
      </c>
      <c r="S1765" t="str">
        <f>IF(tblSalaries[[#This Row],[Years of Experience]]="","",IF(tblSalaries[[#This Row],[Years of Experience]]&gt;20,1,""))</f>
        <v/>
      </c>
      <c r="T17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65" s="13" t="str">
        <f>IF(tblSalaries[[#This Row],[Job Type]]=tblSalaries[[#Headers],[Accountant]],tblSalaries[[#This Row],[Salary in USD]],"")</f>
        <v/>
      </c>
      <c r="V1765" s="13" t="str">
        <f>IF(tblSalaries[[#This Row],[Job Type]]=tblSalaries[[#Headers],[Analyst]],tblSalaries[[#This Row],[Salary in USD]],"")</f>
        <v/>
      </c>
      <c r="W1765" s="13" t="str">
        <f>IF(tblSalaries[[#This Row],[Job Type]]=tblSalaries[[#Headers],[Consultant]],tblSalaries[[#This Row],[Salary in USD]],"")</f>
        <v/>
      </c>
      <c r="X1765" s="13">
        <f>IF(tblSalaries[[#This Row],[Job Type]]=tblSalaries[[#Headers],[Controller]],tblSalaries[[#This Row],[Salary in USD]],"")</f>
        <v>65000</v>
      </c>
      <c r="Y1765" s="13" t="str">
        <f>IF(tblSalaries[[#This Row],[Job Type]]=tblSalaries[[#Headers],[CXO or Top Mgmt.]],tblSalaries[[#This Row],[clean Salary (in local currency)]],"")</f>
        <v/>
      </c>
      <c r="Z1765" s="13" t="str">
        <f>IF(tblSalaries[[#This Row],[Job Type]]=tblSalaries[[#Headers],[Engineer]],tblSalaries[[#This Row],[Salary in USD]],"")</f>
        <v/>
      </c>
      <c r="AA1765" s="13" t="str">
        <f>IF(tblSalaries[[#This Row],[Job Type]]=tblSalaries[[#Headers],[Manager]],tblSalaries[[#This Row],[Salary in USD]],"")</f>
        <v/>
      </c>
      <c r="AB1765" s="13" t="str">
        <f>IF(tblSalaries[[#This Row],[Job Type]]=tblSalaries[[#Headers],[Misc.]],tblSalaries[[#This Row],[Salary in USD]],"")</f>
        <v/>
      </c>
      <c r="AC1765" s="13" t="str">
        <f>IF(tblSalaries[[#This Row],[Job Type]]=tblSalaries[[#Headers],[Reporting]],tblSalaries[[#This Row],[Salary in USD]],"")</f>
        <v/>
      </c>
      <c r="AD1765" s="13" t="str">
        <f>IF(tblSalaries[[#This Row],[Job Type]]=tblSalaries[[#Headers],[Specialist]],tblSalaries[[#This Row],[Salary in USD]],"")</f>
        <v/>
      </c>
    </row>
    <row r="1766" spans="2:30" ht="15" customHeight="1" x14ac:dyDescent="0.25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 s="9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  <c r="N1766" t="str">
        <f>IF(tblSalaries[[#This Row],[Years of Experience]]="","",IF(tblSalaries[[#This Row],[Years of Experience]]&lt;=2,1,""))</f>
        <v/>
      </c>
      <c r="O1766">
        <f>IF(tblSalaries[[#This Row],[Years of Experience]]="","",IF(AND(tblSalaries[[#This Row],[Years of Experience]]&gt;2,tblSalaries[[#This Row],[Years of Experience]]&lt;=5),1,""))</f>
        <v>1</v>
      </c>
      <c r="P1766" t="str">
        <f>IF(tblSalaries[[#This Row],[Years of Experience]]="","",IF(AND(tblSalaries[[#This Row],[Years of Experience]]&gt;5,tblSalaries[[#This Row],[Years of Experience]]&lt;=10),1,""))</f>
        <v/>
      </c>
      <c r="Q1766" t="str">
        <f>IF(tblSalaries[[#This Row],[Years of Experience]]="","",IF(AND(tblSalaries[[#This Row],[Years of Experience]]&gt;10,tblSalaries[[#This Row],[Years of Experience]]&lt;=15),1,""))</f>
        <v/>
      </c>
      <c r="R1766" t="str">
        <f>IF(tblSalaries[[#This Row],[Years of Experience]]="","",IF(AND(tblSalaries[[#This Row],[Years of Experience]]&gt;16,tblSalaries[[#This Row],[Years of Experience]]&lt;=20),1,""))</f>
        <v/>
      </c>
      <c r="S1766" t="str">
        <f>IF(tblSalaries[[#This Row],[Years of Experience]]="","",IF(tblSalaries[[#This Row],[Years of Experience]]&gt;20,1,""))</f>
        <v/>
      </c>
      <c r="T17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66" s="13" t="str">
        <f>IF(tblSalaries[[#This Row],[Job Type]]=tblSalaries[[#Headers],[Accountant]],tblSalaries[[#This Row],[Salary in USD]],"")</f>
        <v/>
      </c>
      <c r="V1766" s="13">
        <f>IF(tblSalaries[[#This Row],[Job Type]]=tblSalaries[[#Headers],[Analyst]],tblSalaries[[#This Row],[Salary in USD]],"")</f>
        <v>76702.198796365497</v>
      </c>
      <c r="W1766" s="13" t="str">
        <f>IF(tblSalaries[[#This Row],[Job Type]]=tblSalaries[[#Headers],[Consultant]],tblSalaries[[#This Row],[Salary in USD]],"")</f>
        <v/>
      </c>
      <c r="X1766" s="13" t="str">
        <f>IF(tblSalaries[[#This Row],[Job Type]]=tblSalaries[[#Headers],[Controller]],tblSalaries[[#This Row],[Salary in USD]],"")</f>
        <v/>
      </c>
      <c r="Y1766" s="13" t="str">
        <f>IF(tblSalaries[[#This Row],[Job Type]]=tblSalaries[[#Headers],[CXO or Top Mgmt.]],tblSalaries[[#This Row],[clean Salary (in local currency)]],"")</f>
        <v/>
      </c>
      <c r="Z1766" s="13" t="str">
        <f>IF(tblSalaries[[#This Row],[Job Type]]=tblSalaries[[#Headers],[Engineer]],tblSalaries[[#This Row],[Salary in USD]],"")</f>
        <v/>
      </c>
      <c r="AA1766" s="13" t="str">
        <f>IF(tblSalaries[[#This Row],[Job Type]]=tblSalaries[[#Headers],[Manager]],tblSalaries[[#This Row],[Salary in USD]],"")</f>
        <v/>
      </c>
      <c r="AB1766" s="13" t="str">
        <f>IF(tblSalaries[[#This Row],[Job Type]]=tblSalaries[[#Headers],[Misc.]],tblSalaries[[#This Row],[Salary in USD]],"")</f>
        <v/>
      </c>
      <c r="AC1766" s="13" t="str">
        <f>IF(tblSalaries[[#This Row],[Job Type]]=tblSalaries[[#Headers],[Reporting]],tblSalaries[[#This Row],[Salary in USD]],"")</f>
        <v/>
      </c>
      <c r="AD1766" s="13" t="str">
        <f>IF(tblSalaries[[#This Row],[Job Type]]=tblSalaries[[#Headers],[Specialist]],tblSalaries[[#This Row],[Salary in USD]],"")</f>
        <v/>
      </c>
    </row>
    <row r="1767" spans="2:30" ht="15" customHeight="1" x14ac:dyDescent="0.25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 s="9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  <c r="N1767" t="str">
        <f>IF(tblSalaries[[#This Row],[Years of Experience]]="","",IF(tblSalaries[[#This Row],[Years of Experience]]&lt;=2,1,""))</f>
        <v/>
      </c>
      <c r="O1767" t="str">
        <f>IF(tblSalaries[[#This Row],[Years of Experience]]="","",IF(AND(tblSalaries[[#This Row],[Years of Experience]]&gt;2,tblSalaries[[#This Row],[Years of Experience]]&lt;=5),1,""))</f>
        <v/>
      </c>
      <c r="P1767">
        <f>IF(tblSalaries[[#This Row],[Years of Experience]]="","",IF(AND(tblSalaries[[#This Row],[Years of Experience]]&gt;5,tblSalaries[[#This Row],[Years of Experience]]&lt;=10),1,""))</f>
        <v>1</v>
      </c>
      <c r="Q1767" t="str">
        <f>IF(tblSalaries[[#This Row],[Years of Experience]]="","",IF(AND(tblSalaries[[#This Row],[Years of Experience]]&gt;10,tblSalaries[[#This Row],[Years of Experience]]&lt;=15),1,""))</f>
        <v/>
      </c>
      <c r="R1767" t="str">
        <f>IF(tblSalaries[[#This Row],[Years of Experience]]="","",IF(AND(tblSalaries[[#This Row],[Years of Experience]]&gt;16,tblSalaries[[#This Row],[Years of Experience]]&lt;=20),1,""))</f>
        <v/>
      </c>
      <c r="S1767" t="str">
        <f>IF(tblSalaries[[#This Row],[Years of Experience]]="","",IF(tblSalaries[[#This Row],[Years of Experience]]&gt;20,1,""))</f>
        <v/>
      </c>
      <c r="T17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67" s="13" t="str">
        <f>IF(tblSalaries[[#This Row],[Job Type]]=tblSalaries[[#Headers],[Accountant]],tblSalaries[[#This Row],[Salary in USD]],"")</f>
        <v/>
      </c>
      <c r="V1767" s="13">
        <f>IF(tblSalaries[[#This Row],[Job Type]]=tblSalaries[[#Headers],[Analyst]],tblSalaries[[#This Row],[Salary in USD]],"")</f>
        <v>63000</v>
      </c>
      <c r="W1767" s="13" t="str">
        <f>IF(tblSalaries[[#This Row],[Job Type]]=tblSalaries[[#Headers],[Consultant]],tblSalaries[[#This Row],[Salary in USD]],"")</f>
        <v/>
      </c>
      <c r="X1767" s="13" t="str">
        <f>IF(tblSalaries[[#This Row],[Job Type]]=tblSalaries[[#Headers],[Controller]],tblSalaries[[#This Row],[Salary in USD]],"")</f>
        <v/>
      </c>
      <c r="Y1767" s="13" t="str">
        <f>IF(tblSalaries[[#This Row],[Job Type]]=tblSalaries[[#Headers],[CXO or Top Mgmt.]],tblSalaries[[#This Row],[clean Salary (in local currency)]],"")</f>
        <v/>
      </c>
      <c r="Z1767" s="13" t="str">
        <f>IF(tblSalaries[[#This Row],[Job Type]]=tblSalaries[[#Headers],[Engineer]],tblSalaries[[#This Row],[Salary in USD]],"")</f>
        <v/>
      </c>
      <c r="AA1767" s="13" t="str">
        <f>IF(tblSalaries[[#This Row],[Job Type]]=tblSalaries[[#Headers],[Manager]],tblSalaries[[#This Row],[Salary in USD]],"")</f>
        <v/>
      </c>
      <c r="AB1767" s="13" t="str">
        <f>IF(tblSalaries[[#This Row],[Job Type]]=tblSalaries[[#Headers],[Misc.]],tblSalaries[[#This Row],[Salary in USD]],"")</f>
        <v/>
      </c>
      <c r="AC1767" s="13" t="str">
        <f>IF(tblSalaries[[#This Row],[Job Type]]=tblSalaries[[#Headers],[Reporting]],tblSalaries[[#This Row],[Salary in USD]],"")</f>
        <v/>
      </c>
      <c r="AD1767" s="13" t="str">
        <f>IF(tblSalaries[[#This Row],[Job Type]]=tblSalaries[[#Headers],[Specialist]],tblSalaries[[#This Row],[Salary in USD]],"")</f>
        <v/>
      </c>
    </row>
    <row r="1768" spans="2:30" ht="15" customHeight="1" x14ac:dyDescent="0.25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 s="9">
        <f>tblSalaries[[#This Row],[clean Salary (in local currency)]]*VLOOKUP(tblSalaries[[#This Row],[Currency]],tblXrate[],2,FALSE)</f>
        <v>87000</v>
      </c>
      <c r="H1768" t="s">
        <v>1911</v>
      </c>
      <c r="I1768" t="s">
        <v>4000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  <c r="N1768" t="str">
        <f>IF(tblSalaries[[#This Row],[Years of Experience]]="","",IF(tblSalaries[[#This Row],[Years of Experience]]&lt;=2,1,""))</f>
        <v/>
      </c>
      <c r="O1768">
        <f>IF(tblSalaries[[#This Row],[Years of Experience]]="","",IF(AND(tblSalaries[[#This Row],[Years of Experience]]&gt;2,tblSalaries[[#This Row],[Years of Experience]]&lt;=5),1,""))</f>
        <v>1</v>
      </c>
      <c r="P1768" t="str">
        <f>IF(tblSalaries[[#This Row],[Years of Experience]]="","",IF(AND(tblSalaries[[#This Row],[Years of Experience]]&gt;5,tblSalaries[[#This Row],[Years of Experience]]&lt;=10),1,""))</f>
        <v/>
      </c>
      <c r="Q1768" t="str">
        <f>IF(tblSalaries[[#This Row],[Years of Experience]]="","",IF(AND(tblSalaries[[#This Row],[Years of Experience]]&gt;10,tblSalaries[[#This Row],[Years of Experience]]&lt;=15),1,""))</f>
        <v/>
      </c>
      <c r="R1768" t="str">
        <f>IF(tblSalaries[[#This Row],[Years of Experience]]="","",IF(AND(tblSalaries[[#This Row],[Years of Experience]]&gt;16,tblSalaries[[#This Row],[Years of Experience]]&lt;=20),1,""))</f>
        <v/>
      </c>
      <c r="S1768" t="str">
        <f>IF(tblSalaries[[#This Row],[Years of Experience]]="","",IF(tblSalaries[[#This Row],[Years of Experience]]&gt;20,1,""))</f>
        <v/>
      </c>
      <c r="T17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68" s="13" t="str">
        <f>IF(tblSalaries[[#This Row],[Job Type]]=tblSalaries[[#Headers],[Accountant]],tblSalaries[[#This Row],[Salary in USD]],"")</f>
        <v/>
      </c>
      <c r="V1768" s="13" t="str">
        <f>IF(tblSalaries[[#This Row],[Job Type]]=tblSalaries[[#Headers],[Analyst]],tblSalaries[[#This Row],[Salary in USD]],"")</f>
        <v/>
      </c>
      <c r="W1768" s="13" t="str">
        <f>IF(tblSalaries[[#This Row],[Job Type]]=tblSalaries[[#Headers],[Consultant]],tblSalaries[[#This Row],[Salary in USD]],"")</f>
        <v/>
      </c>
      <c r="X1768" s="13" t="str">
        <f>IF(tblSalaries[[#This Row],[Job Type]]=tblSalaries[[#Headers],[Controller]],tblSalaries[[#This Row],[Salary in USD]],"")</f>
        <v/>
      </c>
      <c r="Y1768" s="13" t="str">
        <f>IF(tblSalaries[[#This Row],[Job Type]]=tblSalaries[[#Headers],[CXO or Top Mgmt.]],tblSalaries[[#This Row],[clean Salary (in local currency)]],"")</f>
        <v/>
      </c>
      <c r="Z1768" s="13" t="str">
        <f>IF(tblSalaries[[#This Row],[Job Type]]=tblSalaries[[#Headers],[Engineer]],tblSalaries[[#This Row],[Salary in USD]],"")</f>
        <v/>
      </c>
      <c r="AA1768" s="13" t="str">
        <f>IF(tblSalaries[[#This Row],[Job Type]]=tblSalaries[[#Headers],[Manager]],tblSalaries[[#This Row],[Salary in USD]],"")</f>
        <v/>
      </c>
      <c r="AB1768" s="13">
        <f>IF(tblSalaries[[#This Row],[Job Type]]=tblSalaries[[#Headers],[Misc.]],tblSalaries[[#This Row],[Salary in USD]],"")</f>
        <v>87000</v>
      </c>
      <c r="AC1768" s="13" t="str">
        <f>IF(tblSalaries[[#This Row],[Job Type]]=tblSalaries[[#Headers],[Reporting]],tblSalaries[[#This Row],[Salary in USD]],"")</f>
        <v/>
      </c>
      <c r="AD1768" s="13" t="str">
        <f>IF(tblSalaries[[#This Row],[Job Type]]=tblSalaries[[#Headers],[Specialist]],tblSalaries[[#This Row],[Salary in USD]],"")</f>
        <v/>
      </c>
    </row>
    <row r="1769" spans="2:30" ht="15" customHeight="1" x14ac:dyDescent="0.25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 s="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  <c r="N1769" t="str">
        <f>IF(tblSalaries[[#This Row],[Years of Experience]]="","",IF(tblSalaries[[#This Row],[Years of Experience]]&lt;=2,1,""))</f>
        <v/>
      </c>
      <c r="O1769">
        <f>IF(tblSalaries[[#This Row],[Years of Experience]]="","",IF(AND(tblSalaries[[#This Row],[Years of Experience]]&gt;2,tblSalaries[[#This Row],[Years of Experience]]&lt;=5),1,""))</f>
        <v>1</v>
      </c>
      <c r="P1769" t="str">
        <f>IF(tblSalaries[[#This Row],[Years of Experience]]="","",IF(AND(tblSalaries[[#This Row],[Years of Experience]]&gt;5,tblSalaries[[#This Row],[Years of Experience]]&lt;=10),1,""))</f>
        <v/>
      </c>
      <c r="Q1769" t="str">
        <f>IF(tblSalaries[[#This Row],[Years of Experience]]="","",IF(AND(tblSalaries[[#This Row],[Years of Experience]]&gt;10,tblSalaries[[#This Row],[Years of Experience]]&lt;=15),1,""))</f>
        <v/>
      </c>
      <c r="R1769" t="str">
        <f>IF(tblSalaries[[#This Row],[Years of Experience]]="","",IF(AND(tblSalaries[[#This Row],[Years of Experience]]&gt;16,tblSalaries[[#This Row],[Years of Experience]]&lt;=20),1,""))</f>
        <v/>
      </c>
      <c r="S1769" t="str">
        <f>IF(tblSalaries[[#This Row],[Years of Experience]]="","",IF(tblSalaries[[#This Row],[Years of Experience]]&gt;20,1,""))</f>
        <v/>
      </c>
      <c r="T17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69" s="13" t="str">
        <f>IF(tblSalaries[[#This Row],[Job Type]]=tblSalaries[[#Headers],[Accountant]],tblSalaries[[#This Row],[Salary in USD]],"")</f>
        <v/>
      </c>
      <c r="V1769" s="13">
        <f>IF(tblSalaries[[#This Row],[Job Type]]=tblSalaries[[#Headers],[Analyst]],tblSalaries[[#This Row],[Salary in USD]],"")</f>
        <v>45000</v>
      </c>
      <c r="W1769" s="13" t="str">
        <f>IF(tblSalaries[[#This Row],[Job Type]]=tblSalaries[[#Headers],[Consultant]],tblSalaries[[#This Row],[Salary in USD]],"")</f>
        <v/>
      </c>
      <c r="X1769" s="13" t="str">
        <f>IF(tblSalaries[[#This Row],[Job Type]]=tblSalaries[[#Headers],[Controller]],tblSalaries[[#This Row],[Salary in USD]],"")</f>
        <v/>
      </c>
      <c r="Y1769" s="13" t="str">
        <f>IF(tblSalaries[[#This Row],[Job Type]]=tblSalaries[[#Headers],[CXO or Top Mgmt.]],tblSalaries[[#This Row],[clean Salary (in local currency)]],"")</f>
        <v/>
      </c>
      <c r="Z1769" s="13" t="str">
        <f>IF(tblSalaries[[#This Row],[Job Type]]=tblSalaries[[#Headers],[Engineer]],tblSalaries[[#This Row],[Salary in USD]],"")</f>
        <v/>
      </c>
      <c r="AA1769" s="13" t="str">
        <f>IF(tblSalaries[[#This Row],[Job Type]]=tblSalaries[[#Headers],[Manager]],tblSalaries[[#This Row],[Salary in USD]],"")</f>
        <v/>
      </c>
      <c r="AB1769" s="13" t="str">
        <f>IF(tblSalaries[[#This Row],[Job Type]]=tblSalaries[[#Headers],[Misc.]],tblSalaries[[#This Row],[Salary in USD]],"")</f>
        <v/>
      </c>
      <c r="AC1769" s="13" t="str">
        <f>IF(tblSalaries[[#This Row],[Job Type]]=tblSalaries[[#Headers],[Reporting]],tblSalaries[[#This Row],[Salary in USD]],"")</f>
        <v/>
      </c>
      <c r="AD1769" s="13" t="str">
        <f>IF(tblSalaries[[#This Row],[Job Type]]=tblSalaries[[#Headers],[Specialist]],tblSalaries[[#This Row],[Salary in USD]],"")</f>
        <v/>
      </c>
    </row>
    <row r="1770" spans="2:30" ht="15" customHeight="1" x14ac:dyDescent="0.25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 s="9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  <c r="N1770" t="str">
        <f>IF(tblSalaries[[#This Row],[Years of Experience]]="","",IF(tblSalaries[[#This Row],[Years of Experience]]&lt;=2,1,""))</f>
        <v/>
      </c>
      <c r="O1770">
        <f>IF(tblSalaries[[#This Row],[Years of Experience]]="","",IF(AND(tblSalaries[[#This Row],[Years of Experience]]&gt;2,tblSalaries[[#This Row],[Years of Experience]]&lt;=5),1,""))</f>
        <v>1</v>
      </c>
      <c r="P1770" t="str">
        <f>IF(tblSalaries[[#This Row],[Years of Experience]]="","",IF(AND(tblSalaries[[#This Row],[Years of Experience]]&gt;5,tblSalaries[[#This Row],[Years of Experience]]&lt;=10),1,""))</f>
        <v/>
      </c>
      <c r="Q1770" t="str">
        <f>IF(tblSalaries[[#This Row],[Years of Experience]]="","",IF(AND(tblSalaries[[#This Row],[Years of Experience]]&gt;10,tblSalaries[[#This Row],[Years of Experience]]&lt;=15),1,""))</f>
        <v/>
      </c>
      <c r="R1770" t="str">
        <f>IF(tblSalaries[[#This Row],[Years of Experience]]="","",IF(AND(tblSalaries[[#This Row],[Years of Experience]]&gt;16,tblSalaries[[#This Row],[Years of Experience]]&lt;=20),1,""))</f>
        <v/>
      </c>
      <c r="S1770" t="str">
        <f>IF(tblSalaries[[#This Row],[Years of Experience]]="","",IF(tblSalaries[[#This Row],[Years of Experience]]&gt;20,1,""))</f>
        <v/>
      </c>
      <c r="T17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70" s="13" t="str">
        <f>IF(tblSalaries[[#This Row],[Job Type]]=tblSalaries[[#Headers],[Accountant]],tblSalaries[[#This Row],[Salary in USD]],"")</f>
        <v/>
      </c>
      <c r="V1770" s="13">
        <f>IF(tblSalaries[[#This Row],[Job Type]]=tblSalaries[[#Headers],[Analyst]],tblSalaries[[#This Row],[Salary in USD]],"")</f>
        <v>85000</v>
      </c>
      <c r="W1770" s="13" t="str">
        <f>IF(tblSalaries[[#This Row],[Job Type]]=tblSalaries[[#Headers],[Consultant]],tblSalaries[[#This Row],[Salary in USD]],"")</f>
        <v/>
      </c>
      <c r="X1770" s="13" t="str">
        <f>IF(tblSalaries[[#This Row],[Job Type]]=tblSalaries[[#Headers],[Controller]],tblSalaries[[#This Row],[Salary in USD]],"")</f>
        <v/>
      </c>
      <c r="Y1770" s="13" t="str">
        <f>IF(tblSalaries[[#This Row],[Job Type]]=tblSalaries[[#Headers],[CXO or Top Mgmt.]],tblSalaries[[#This Row],[clean Salary (in local currency)]],"")</f>
        <v/>
      </c>
      <c r="Z1770" s="13" t="str">
        <f>IF(tblSalaries[[#This Row],[Job Type]]=tblSalaries[[#Headers],[Engineer]],tblSalaries[[#This Row],[Salary in USD]],"")</f>
        <v/>
      </c>
      <c r="AA1770" s="13" t="str">
        <f>IF(tblSalaries[[#This Row],[Job Type]]=tblSalaries[[#Headers],[Manager]],tblSalaries[[#This Row],[Salary in USD]],"")</f>
        <v/>
      </c>
      <c r="AB1770" s="13" t="str">
        <f>IF(tblSalaries[[#This Row],[Job Type]]=tblSalaries[[#Headers],[Misc.]],tblSalaries[[#This Row],[Salary in USD]],"")</f>
        <v/>
      </c>
      <c r="AC1770" s="13" t="str">
        <f>IF(tblSalaries[[#This Row],[Job Type]]=tblSalaries[[#Headers],[Reporting]],tblSalaries[[#This Row],[Salary in USD]],"")</f>
        <v/>
      </c>
      <c r="AD1770" s="13" t="str">
        <f>IF(tblSalaries[[#This Row],[Job Type]]=tblSalaries[[#Headers],[Specialist]],tblSalaries[[#This Row],[Salary in USD]],"")</f>
        <v/>
      </c>
    </row>
    <row r="1771" spans="2:30" ht="15" customHeight="1" x14ac:dyDescent="0.25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 s="9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  <c r="N1771" t="str">
        <f>IF(tblSalaries[[#This Row],[Years of Experience]]="","",IF(tblSalaries[[#This Row],[Years of Experience]]&lt;=2,1,""))</f>
        <v/>
      </c>
      <c r="O1771" t="str">
        <f>IF(tblSalaries[[#This Row],[Years of Experience]]="","",IF(AND(tblSalaries[[#This Row],[Years of Experience]]&gt;2,tblSalaries[[#This Row],[Years of Experience]]&lt;=5),1,""))</f>
        <v/>
      </c>
      <c r="P1771" t="str">
        <f>IF(tblSalaries[[#This Row],[Years of Experience]]="","",IF(AND(tblSalaries[[#This Row],[Years of Experience]]&gt;5,tblSalaries[[#This Row],[Years of Experience]]&lt;=10),1,""))</f>
        <v/>
      </c>
      <c r="Q1771">
        <f>IF(tblSalaries[[#This Row],[Years of Experience]]="","",IF(AND(tblSalaries[[#This Row],[Years of Experience]]&gt;10,tblSalaries[[#This Row],[Years of Experience]]&lt;=15),1,""))</f>
        <v>1</v>
      </c>
      <c r="R1771" t="str">
        <f>IF(tblSalaries[[#This Row],[Years of Experience]]="","",IF(AND(tblSalaries[[#This Row],[Years of Experience]]&gt;16,tblSalaries[[#This Row],[Years of Experience]]&lt;=20),1,""))</f>
        <v/>
      </c>
      <c r="S1771" t="str">
        <f>IF(tblSalaries[[#This Row],[Years of Experience]]="","",IF(tblSalaries[[#This Row],[Years of Experience]]&gt;20,1,""))</f>
        <v/>
      </c>
      <c r="T17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71" s="13" t="str">
        <f>IF(tblSalaries[[#This Row],[Job Type]]=tblSalaries[[#Headers],[Accountant]],tblSalaries[[#This Row],[Salary in USD]],"")</f>
        <v/>
      </c>
      <c r="V1771" s="13" t="str">
        <f>IF(tblSalaries[[#This Row],[Job Type]]=tblSalaries[[#Headers],[Analyst]],tblSalaries[[#This Row],[Salary in USD]],"")</f>
        <v/>
      </c>
      <c r="W1771" s="13" t="str">
        <f>IF(tblSalaries[[#This Row],[Job Type]]=tblSalaries[[#Headers],[Consultant]],tblSalaries[[#This Row],[Salary in USD]],"")</f>
        <v/>
      </c>
      <c r="X1771" s="13" t="str">
        <f>IF(tblSalaries[[#This Row],[Job Type]]=tblSalaries[[#Headers],[Controller]],tblSalaries[[#This Row],[Salary in USD]],"")</f>
        <v/>
      </c>
      <c r="Y1771" s="13" t="str">
        <f>IF(tblSalaries[[#This Row],[Job Type]]=tblSalaries[[#Headers],[CXO or Top Mgmt.]],tblSalaries[[#This Row],[clean Salary (in local currency)]],"")</f>
        <v/>
      </c>
      <c r="Z1771" s="13">
        <f>IF(tblSalaries[[#This Row],[Job Type]]=tblSalaries[[#Headers],[Engineer]],tblSalaries[[#This Row],[Salary in USD]],"")</f>
        <v>159105.90639881117</v>
      </c>
      <c r="AA1771" s="13" t="str">
        <f>IF(tblSalaries[[#This Row],[Job Type]]=tblSalaries[[#Headers],[Manager]],tblSalaries[[#This Row],[Salary in USD]],"")</f>
        <v/>
      </c>
      <c r="AB1771" s="13" t="str">
        <f>IF(tblSalaries[[#This Row],[Job Type]]=tblSalaries[[#Headers],[Misc.]],tblSalaries[[#This Row],[Salary in USD]],"")</f>
        <v/>
      </c>
      <c r="AC1771" s="13" t="str">
        <f>IF(tblSalaries[[#This Row],[Job Type]]=tblSalaries[[#Headers],[Reporting]],tblSalaries[[#This Row],[Salary in USD]],"")</f>
        <v/>
      </c>
      <c r="AD1771" s="13" t="str">
        <f>IF(tblSalaries[[#This Row],[Job Type]]=tblSalaries[[#Headers],[Specialist]],tblSalaries[[#This Row],[Salary in USD]],"")</f>
        <v/>
      </c>
    </row>
    <row r="1772" spans="2:30" ht="15" customHeight="1" x14ac:dyDescent="0.25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 s="9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  <c r="N1772" t="str">
        <f>IF(tblSalaries[[#This Row],[Years of Experience]]="","",IF(tblSalaries[[#This Row],[Years of Experience]]&lt;=2,1,""))</f>
        <v/>
      </c>
      <c r="O1772">
        <f>IF(tblSalaries[[#This Row],[Years of Experience]]="","",IF(AND(tblSalaries[[#This Row],[Years of Experience]]&gt;2,tblSalaries[[#This Row],[Years of Experience]]&lt;=5),1,""))</f>
        <v>1</v>
      </c>
      <c r="P1772" t="str">
        <f>IF(tblSalaries[[#This Row],[Years of Experience]]="","",IF(AND(tblSalaries[[#This Row],[Years of Experience]]&gt;5,tblSalaries[[#This Row],[Years of Experience]]&lt;=10),1,""))</f>
        <v/>
      </c>
      <c r="Q1772" t="str">
        <f>IF(tblSalaries[[#This Row],[Years of Experience]]="","",IF(AND(tblSalaries[[#This Row],[Years of Experience]]&gt;10,tblSalaries[[#This Row],[Years of Experience]]&lt;=15),1,""))</f>
        <v/>
      </c>
      <c r="R1772" t="str">
        <f>IF(tblSalaries[[#This Row],[Years of Experience]]="","",IF(AND(tblSalaries[[#This Row],[Years of Experience]]&gt;16,tblSalaries[[#This Row],[Years of Experience]]&lt;=20),1,""))</f>
        <v/>
      </c>
      <c r="S1772" t="str">
        <f>IF(tblSalaries[[#This Row],[Years of Experience]]="","",IF(tblSalaries[[#This Row],[Years of Experience]]&gt;20,1,""))</f>
        <v/>
      </c>
      <c r="T17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72" s="13" t="str">
        <f>IF(tblSalaries[[#This Row],[Job Type]]=tblSalaries[[#Headers],[Accountant]],tblSalaries[[#This Row],[Salary in USD]],"")</f>
        <v/>
      </c>
      <c r="V1772" s="13" t="str">
        <f>IF(tblSalaries[[#This Row],[Job Type]]=tblSalaries[[#Headers],[Analyst]],tblSalaries[[#This Row],[Salary in USD]],"")</f>
        <v/>
      </c>
      <c r="W1772" s="13" t="str">
        <f>IF(tblSalaries[[#This Row],[Job Type]]=tblSalaries[[#Headers],[Consultant]],tblSalaries[[#This Row],[Salary in USD]],"")</f>
        <v/>
      </c>
      <c r="X1772" s="13" t="str">
        <f>IF(tblSalaries[[#This Row],[Job Type]]=tblSalaries[[#Headers],[Controller]],tblSalaries[[#This Row],[Salary in USD]],"")</f>
        <v/>
      </c>
      <c r="Y1772" s="13" t="str">
        <f>IF(tblSalaries[[#This Row],[Job Type]]=tblSalaries[[#Headers],[CXO or Top Mgmt.]],tblSalaries[[#This Row],[clean Salary (in local currency)]],"")</f>
        <v/>
      </c>
      <c r="Z1772" s="13" t="str">
        <f>IF(tblSalaries[[#This Row],[Job Type]]=tblSalaries[[#Headers],[Engineer]],tblSalaries[[#This Row],[Salary in USD]],"")</f>
        <v/>
      </c>
      <c r="AA1772" s="13">
        <f>IF(tblSalaries[[#This Row],[Job Type]]=tblSalaries[[#Headers],[Manager]],tblSalaries[[#This Row],[Salary in USD]],"")</f>
        <v>9972.4333449678379</v>
      </c>
      <c r="AB1772" s="13" t="str">
        <f>IF(tblSalaries[[#This Row],[Job Type]]=tblSalaries[[#Headers],[Misc.]],tblSalaries[[#This Row],[Salary in USD]],"")</f>
        <v/>
      </c>
      <c r="AC1772" s="13" t="str">
        <f>IF(tblSalaries[[#This Row],[Job Type]]=tblSalaries[[#Headers],[Reporting]],tblSalaries[[#This Row],[Salary in USD]],"")</f>
        <v/>
      </c>
      <c r="AD1772" s="13" t="str">
        <f>IF(tblSalaries[[#This Row],[Job Type]]=tblSalaries[[#Headers],[Specialist]],tblSalaries[[#This Row],[Salary in USD]],"")</f>
        <v/>
      </c>
    </row>
    <row r="1773" spans="2:30" ht="15" customHeight="1" x14ac:dyDescent="0.25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 s="9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  <c r="N1773" t="str">
        <f>IF(tblSalaries[[#This Row],[Years of Experience]]="","",IF(tblSalaries[[#This Row],[Years of Experience]]&lt;=2,1,""))</f>
        <v/>
      </c>
      <c r="O1773">
        <f>IF(tblSalaries[[#This Row],[Years of Experience]]="","",IF(AND(tblSalaries[[#This Row],[Years of Experience]]&gt;2,tblSalaries[[#This Row],[Years of Experience]]&lt;=5),1,""))</f>
        <v>1</v>
      </c>
      <c r="P1773" t="str">
        <f>IF(tblSalaries[[#This Row],[Years of Experience]]="","",IF(AND(tblSalaries[[#This Row],[Years of Experience]]&gt;5,tblSalaries[[#This Row],[Years of Experience]]&lt;=10),1,""))</f>
        <v/>
      </c>
      <c r="Q1773" t="str">
        <f>IF(tblSalaries[[#This Row],[Years of Experience]]="","",IF(AND(tblSalaries[[#This Row],[Years of Experience]]&gt;10,tblSalaries[[#This Row],[Years of Experience]]&lt;=15),1,""))</f>
        <v/>
      </c>
      <c r="R1773" t="str">
        <f>IF(tblSalaries[[#This Row],[Years of Experience]]="","",IF(AND(tblSalaries[[#This Row],[Years of Experience]]&gt;16,tblSalaries[[#This Row],[Years of Experience]]&lt;=20),1,""))</f>
        <v/>
      </c>
      <c r="S1773" t="str">
        <f>IF(tblSalaries[[#This Row],[Years of Experience]]="","",IF(tblSalaries[[#This Row],[Years of Experience]]&gt;20,1,""))</f>
        <v/>
      </c>
      <c r="T17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73" s="13" t="str">
        <f>IF(tblSalaries[[#This Row],[Job Type]]=tblSalaries[[#Headers],[Accountant]],tblSalaries[[#This Row],[Salary in USD]],"")</f>
        <v/>
      </c>
      <c r="V1773" s="13" t="str">
        <f>IF(tblSalaries[[#This Row],[Job Type]]=tblSalaries[[#Headers],[Analyst]],tblSalaries[[#This Row],[Salary in USD]],"")</f>
        <v/>
      </c>
      <c r="W1773" s="13" t="str">
        <f>IF(tblSalaries[[#This Row],[Job Type]]=tblSalaries[[#Headers],[Consultant]],tblSalaries[[#This Row],[Salary in USD]],"")</f>
        <v/>
      </c>
      <c r="X1773" s="13" t="str">
        <f>IF(tblSalaries[[#This Row],[Job Type]]=tblSalaries[[#Headers],[Controller]],tblSalaries[[#This Row],[Salary in USD]],"")</f>
        <v/>
      </c>
      <c r="Y1773" s="13" t="str">
        <f>IF(tblSalaries[[#This Row],[Job Type]]=tblSalaries[[#Headers],[CXO or Top Mgmt.]],tblSalaries[[#This Row],[clean Salary (in local currency)]],"")</f>
        <v/>
      </c>
      <c r="Z1773" s="13" t="str">
        <f>IF(tblSalaries[[#This Row],[Job Type]]=tblSalaries[[#Headers],[Engineer]],tblSalaries[[#This Row],[Salary in USD]],"")</f>
        <v/>
      </c>
      <c r="AA1773" s="13">
        <f>IF(tblSalaries[[#This Row],[Job Type]]=tblSalaries[[#Headers],[Manager]],tblSalaries[[#This Row],[Salary in USD]],"")</f>
        <v>14000</v>
      </c>
      <c r="AB1773" s="13" t="str">
        <f>IF(tblSalaries[[#This Row],[Job Type]]=tblSalaries[[#Headers],[Misc.]],tblSalaries[[#This Row],[Salary in USD]],"")</f>
        <v/>
      </c>
      <c r="AC1773" s="13" t="str">
        <f>IF(tblSalaries[[#This Row],[Job Type]]=tblSalaries[[#Headers],[Reporting]],tblSalaries[[#This Row],[Salary in USD]],"")</f>
        <v/>
      </c>
      <c r="AD1773" s="13" t="str">
        <f>IF(tblSalaries[[#This Row],[Job Type]]=tblSalaries[[#Headers],[Specialist]],tblSalaries[[#This Row],[Salary in USD]],"")</f>
        <v/>
      </c>
    </row>
    <row r="1774" spans="2:30" ht="15" customHeight="1" x14ac:dyDescent="0.25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 s="9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  <c r="N1774" t="str">
        <f>IF(tblSalaries[[#This Row],[Years of Experience]]="","",IF(tblSalaries[[#This Row],[Years of Experience]]&lt;=2,1,""))</f>
        <v/>
      </c>
      <c r="O1774" t="str">
        <f>IF(tblSalaries[[#This Row],[Years of Experience]]="","",IF(AND(tblSalaries[[#This Row],[Years of Experience]]&gt;2,tblSalaries[[#This Row],[Years of Experience]]&lt;=5),1,""))</f>
        <v/>
      </c>
      <c r="P1774" t="str">
        <f>IF(tblSalaries[[#This Row],[Years of Experience]]="","",IF(AND(tblSalaries[[#This Row],[Years of Experience]]&gt;5,tblSalaries[[#This Row],[Years of Experience]]&lt;=10),1,""))</f>
        <v/>
      </c>
      <c r="Q1774" t="str">
        <f>IF(tblSalaries[[#This Row],[Years of Experience]]="","",IF(AND(tblSalaries[[#This Row],[Years of Experience]]&gt;10,tblSalaries[[#This Row],[Years of Experience]]&lt;=15),1,""))</f>
        <v/>
      </c>
      <c r="R1774">
        <f>IF(tblSalaries[[#This Row],[Years of Experience]]="","",IF(AND(tblSalaries[[#This Row],[Years of Experience]]&gt;16,tblSalaries[[#This Row],[Years of Experience]]&lt;=20),1,""))</f>
        <v>1</v>
      </c>
      <c r="S1774" t="str">
        <f>IF(tblSalaries[[#This Row],[Years of Experience]]="","",IF(tblSalaries[[#This Row],[Years of Experience]]&gt;20,1,""))</f>
        <v/>
      </c>
      <c r="T17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74" s="13" t="str">
        <f>IF(tblSalaries[[#This Row],[Job Type]]=tblSalaries[[#Headers],[Accountant]],tblSalaries[[#This Row],[Salary in USD]],"")</f>
        <v/>
      </c>
      <c r="V1774" s="13">
        <f>IF(tblSalaries[[#This Row],[Job Type]]=tblSalaries[[#Headers],[Analyst]],tblSalaries[[#This Row],[Salary in USD]],"")</f>
        <v>50437.70470615309</v>
      </c>
      <c r="W1774" s="13" t="str">
        <f>IF(tblSalaries[[#This Row],[Job Type]]=tblSalaries[[#Headers],[Consultant]],tblSalaries[[#This Row],[Salary in USD]],"")</f>
        <v/>
      </c>
      <c r="X1774" s="13" t="str">
        <f>IF(tblSalaries[[#This Row],[Job Type]]=tblSalaries[[#Headers],[Controller]],tblSalaries[[#This Row],[Salary in USD]],"")</f>
        <v/>
      </c>
      <c r="Y1774" s="13" t="str">
        <f>IF(tblSalaries[[#This Row],[Job Type]]=tblSalaries[[#Headers],[CXO or Top Mgmt.]],tblSalaries[[#This Row],[clean Salary (in local currency)]],"")</f>
        <v/>
      </c>
      <c r="Z1774" s="13" t="str">
        <f>IF(tblSalaries[[#This Row],[Job Type]]=tblSalaries[[#Headers],[Engineer]],tblSalaries[[#This Row],[Salary in USD]],"")</f>
        <v/>
      </c>
      <c r="AA1774" s="13" t="str">
        <f>IF(tblSalaries[[#This Row],[Job Type]]=tblSalaries[[#Headers],[Manager]],tblSalaries[[#This Row],[Salary in USD]],"")</f>
        <v/>
      </c>
      <c r="AB1774" s="13" t="str">
        <f>IF(tblSalaries[[#This Row],[Job Type]]=tblSalaries[[#Headers],[Misc.]],tblSalaries[[#This Row],[Salary in USD]],"")</f>
        <v/>
      </c>
      <c r="AC1774" s="13" t="str">
        <f>IF(tblSalaries[[#This Row],[Job Type]]=tblSalaries[[#Headers],[Reporting]],tblSalaries[[#This Row],[Salary in USD]],"")</f>
        <v/>
      </c>
      <c r="AD1774" s="13" t="str">
        <f>IF(tblSalaries[[#This Row],[Job Type]]=tblSalaries[[#Headers],[Specialist]],tblSalaries[[#This Row],[Salary in USD]],"")</f>
        <v/>
      </c>
    </row>
    <row r="1775" spans="2:30" ht="15" customHeight="1" x14ac:dyDescent="0.25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 s="9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  <c r="N1775">
        <f>IF(tblSalaries[[#This Row],[Years of Experience]]="","",IF(tblSalaries[[#This Row],[Years of Experience]]&lt;=2,1,""))</f>
        <v>1</v>
      </c>
      <c r="O1775" t="str">
        <f>IF(tblSalaries[[#This Row],[Years of Experience]]="","",IF(AND(tblSalaries[[#This Row],[Years of Experience]]&gt;2,tblSalaries[[#This Row],[Years of Experience]]&lt;=5),1,""))</f>
        <v/>
      </c>
      <c r="P1775" t="str">
        <f>IF(tblSalaries[[#This Row],[Years of Experience]]="","",IF(AND(tblSalaries[[#This Row],[Years of Experience]]&gt;5,tblSalaries[[#This Row],[Years of Experience]]&lt;=10),1,""))</f>
        <v/>
      </c>
      <c r="Q1775" t="str">
        <f>IF(tblSalaries[[#This Row],[Years of Experience]]="","",IF(AND(tblSalaries[[#This Row],[Years of Experience]]&gt;10,tblSalaries[[#This Row],[Years of Experience]]&lt;=15),1,""))</f>
        <v/>
      </c>
      <c r="R1775" t="str">
        <f>IF(tblSalaries[[#This Row],[Years of Experience]]="","",IF(AND(tblSalaries[[#This Row],[Years of Experience]]&gt;16,tblSalaries[[#This Row],[Years of Experience]]&lt;=20),1,""))</f>
        <v/>
      </c>
      <c r="S1775" t="str">
        <f>IF(tblSalaries[[#This Row],[Years of Experience]]="","",IF(tblSalaries[[#This Row],[Years of Experience]]&gt;20,1,""))</f>
        <v/>
      </c>
      <c r="T17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75" s="13" t="str">
        <f>IF(tblSalaries[[#This Row],[Job Type]]=tblSalaries[[#Headers],[Accountant]],tblSalaries[[#This Row],[Salary in USD]],"")</f>
        <v/>
      </c>
      <c r="V1775" s="13">
        <f>IF(tblSalaries[[#This Row],[Job Type]]=tblSalaries[[#Headers],[Analyst]],tblSalaries[[#This Row],[Salary in USD]],"")</f>
        <v>50437.70470615309</v>
      </c>
      <c r="W1775" s="13" t="str">
        <f>IF(tblSalaries[[#This Row],[Job Type]]=tblSalaries[[#Headers],[Consultant]],tblSalaries[[#This Row],[Salary in USD]],"")</f>
        <v/>
      </c>
      <c r="X1775" s="13" t="str">
        <f>IF(tblSalaries[[#This Row],[Job Type]]=tblSalaries[[#Headers],[Controller]],tblSalaries[[#This Row],[Salary in USD]],"")</f>
        <v/>
      </c>
      <c r="Y1775" s="13" t="str">
        <f>IF(tblSalaries[[#This Row],[Job Type]]=tblSalaries[[#Headers],[CXO or Top Mgmt.]],tblSalaries[[#This Row],[clean Salary (in local currency)]],"")</f>
        <v/>
      </c>
      <c r="Z1775" s="13" t="str">
        <f>IF(tblSalaries[[#This Row],[Job Type]]=tblSalaries[[#Headers],[Engineer]],tblSalaries[[#This Row],[Salary in USD]],"")</f>
        <v/>
      </c>
      <c r="AA1775" s="13" t="str">
        <f>IF(tblSalaries[[#This Row],[Job Type]]=tblSalaries[[#Headers],[Manager]],tblSalaries[[#This Row],[Salary in USD]],"")</f>
        <v/>
      </c>
      <c r="AB1775" s="13" t="str">
        <f>IF(tblSalaries[[#This Row],[Job Type]]=tblSalaries[[#Headers],[Misc.]],tblSalaries[[#This Row],[Salary in USD]],"")</f>
        <v/>
      </c>
      <c r="AC1775" s="13" t="str">
        <f>IF(tblSalaries[[#This Row],[Job Type]]=tblSalaries[[#Headers],[Reporting]],tblSalaries[[#This Row],[Salary in USD]],"")</f>
        <v/>
      </c>
      <c r="AD1775" s="13" t="str">
        <f>IF(tblSalaries[[#This Row],[Job Type]]=tblSalaries[[#Headers],[Specialist]],tblSalaries[[#This Row],[Salary in USD]],"")</f>
        <v/>
      </c>
    </row>
    <row r="1776" spans="2:30" ht="15" customHeight="1" x14ac:dyDescent="0.25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 s="9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  <c r="N1776" t="str">
        <f>IF(tblSalaries[[#This Row],[Years of Experience]]="","",IF(tblSalaries[[#This Row],[Years of Experience]]&lt;=2,1,""))</f>
        <v/>
      </c>
      <c r="O1776" t="str">
        <f>IF(tblSalaries[[#This Row],[Years of Experience]]="","",IF(AND(tblSalaries[[#This Row],[Years of Experience]]&gt;2,tblSalaries[[#This Row],[Years of Experience]]&lt;=5),1,""))</f>
        <v/>
      </c>
      <c r="P1776">
        <f>IF(tblSalaries[[#This Row],[Years of Experience]]="","",IF(AND(tblSalaries[[#This Row],[Years of Experience]]&gt;5,tblSalaries[[#This Row],[Years of Experience]]&lt;=10),1,""))</f>
        <v>1</v>
      </c>
      <c r="Q1776" t="str">
        <f>IF(tblSalaries[[#This Row],[Years of Experience]]="","",IF(AND(tblSalaries[[#This Row],[Years of Experience]]&gt;10,tblSalaries[[#This Row],[Years of Experience]]&lt;=15),1,""))</f>
        <v/>
      </c>
      <c r="R1776" t="str">
        <f>IF(tblSalaries[[#This Row],[Years of Experience]]="","",IF(AND(tblSalaries[[#This Row],[Years of Experience]]&gt;16,tblSalaries[[#This Row],[Years of Experience]]&lt;=20),1,""))</f>
        <v/>
      </c>
      <c r="S1776" t="str">
        <f>IF(tblSalaries[[#This Row],[Years of Experience]]="","",IF(tblSalaries[[#This Row],[Years of Experience]]&gt;20,1,""))</f>
        <v/>
      </c>
      <c r="T17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76" s="13" t="str">
        <f>IF(tblSalaries[[#This Row],[Job Type]]=tblSalaries[[#Headers],[Accountant]],tblSalaries[[#This Row],[Salary in USD]],"")</f>
        <v/>
      </c>
      <c r="V1776" s="13" t="str">
        <f>IF(tblSalaries[[#This Row],[Job Type]]=tblSalaries[[#Headers],[Analyst]],tblSalaries[[#This Row],[Salary in USD]],"")</f>
        <v/>
      </c>
      <c r="W1776" s="13" t="str">
        <f>IF(tblSalaries[[#This Row],[Job Type]]=tblSalaries[[#Headers],[Consultant]],tblSalaries[[#This Row],[Salary in USD]],"")</f>
        <v/>
      </c>
      <c r="X1776" s="13" t="str">
        <f>IF(tblSalaries[[#This Row],[Job Type]]=tblSalaries[[#Headers],[Controller]],tblSalaries[[#This Row],[Salary in USD]],"")</f>
        <v/>
      </c>
      <c r="Y1776" s="13" t="str">
        <f>IF(tblSalaries[[#This Row],[Job Type]]=tblSalaries[[#Headers],[CXO or Top Mgmt.]],tblSalaries[[#This Row],[clean Salary (in local currency)]],"")</f>
        <v/>
      </c>
      <c r="Z1776" s="13" t="str">
        <f>IF(tblSalaries[[#This Row],[Job Type]]=tblSalaries[[#Headers],[Engineer]],tblSalaries[[#This Row],[Salary in USD]],"")</f>
        <v/>
      </c>
      <c r="AA1776" s="13">
        <f>IF(tblSalaries[[#This Row],[Job Type]]=tblSalaries[[#Headers],[Manager]],tblSalaries[[#This Row],[Salary in USD]],"")</f>
        <v>13603.016099449767</v>
      </c>
      <c r="AB1776" s="13" t="str">
        <f>IF(tblSalaries[[#This Row],[Job Type]]=tblSalaries[[#Headers],[Misc.]],tblSalaries[[#This Row],[Salary in USD]],"")</f>
        <v/>
      </c>
      <c r="AC1776" s="13" t="str">
        <f>IF(tblSalaries[[#This Row],[Job Type]]=tblSalaries[[#Headers],[Reporting]],tblSalaries[[#This Row],[Salary in USD]],"")</f>
        <v/>
      </c>
      <c r="AD1776" s="13" t="str">
        <f>IF(tblSalaries[[#This Row],[Job Type]]=tblSalaries[[#Headers],[Specialist]],tblSalaries[[#This Row],[Salary in USD]],"")</f>
        <v/>
      </c>
    </row>
    <row r="1777" spans="2:30" ht="15" customHeight="1" x14ac:dyDescent="0.25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 s="9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  <c r="N1777" t="str">
        <f>IF(tblSalaries[[#This Row],[Years of Experience]]="","",IF(tblSalaries[[#This Row],[Years of Experience]]&lt;=2,1,""))</f>
        <v/>
      </c>
      <c r="O1777" t="str">
        <f>IF(tblSalaries[[#This Row],[Years of Experience]]="","",IF(AND(tblSalaries[[#This Row],[Years of Experience]]&gt;2,tblSalaries[[#This Row],[Years of Experience]]&lt;=5),1,""))</f>
        <v/>
      </c>
      <c r="P1777" t="str">
        <f>IF(tblSalaries[[#This Row],[Years of Experience]]="","",IF(AND(tblSalaries[[#This Row],[Years of Experience]]&gt;5,tblSalaries[[#This Row],[Years of Experience]]&lt;=10),1,""))</f>
        <v/>
      </c>
      <c r="Q1777">
        <f>IF(tblSalaries[[#This Row],[Years of Experience]]="","",IF(AND(tblSalaries[[#This Row],[Years of Experience]]&gt;10,tblSalaries[[#This Row],[Years of Experience]]&lt;=15),1,""))</f>
        <v>1</v>
      </c>
      <c r="R1777" t="str">
        <f>IF(tblSalaries[[#This Row],[Years of Experience]]="","",IF(AND(tblSalaries[[#This Row],[Years of Experience]]&gt;16,tblSalaries[[#This Row],[Years of Experience]]&lt;=20),1,""))</f>
        <v/>
      </c>
      <c r="S1777" t="str">
        <f>IF(tblSalaries[[#This Row],[Years of Experience]]="","",IF(tblSalaries[[#This Row],[Years of Experience]]&gt;20,1,""))</f>
        <v/>
      </c>
      <c r="T17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77" s="13" t="str">
        <f>IF(tblSalaries[[#This Row],[Job Type]]=tblSalaries[[#Headers],[Accountant]],tblSalaries[[#This Row],[Salary in USD]],"")</f>
        <v/>
      </c>
      <c r="V1777" s="13" t="str">
        <f>IF(tblSalaries[[#This Row],[Job Type]]=tblSalaries[[#Headers],[Analyst]],tblSalaries[[#This Row],[Salary in USD]],"")</f>
        <v/>
      </c>
      <c r="W1777" s="13" t="str">
        <f>IF(tblSalaries[[#This Row],[Job Type]]=tblSalaries[[#Headers],[Consultant]],tblSalaries[[#This Row],[Salary in USD]],"")</f>
        <v/>
      </c>
      <c r="X1777" s="13">
        <f>IF(tblSalaries[[#This Row],[Job Type]]=tblSalaries[[#Headers],[Controller]],tblSalaries[[#This Row],[Salary in USD]],"")</f>
        <v>147886.90017838217</v>
      </c>
      <c r="Y1777" s="13" t="str">
        <f>IF(tblSalaries[[#This Row],[Job Type]]=tblSalaries[[#Headers],[CXO or Top Mgmt.]],tblSalaries[[#This Row],[clean Salary (in local currency)]],"")</f>
        <v/>
      </c>
      <c r="Z1777" s="13" t="str">
        <f>IF(tblSalaries[[#This Row],[Job Type]]=tblSalaries[[#Headers],[Engineer]],tblSalaries[[#This Row],[Salary in USD]],"")</f>
        <v/>
      </c>
      <c r="AA1777" s="13" t="str">
        <f>IF(tblSalaries[[#This Row],[Job Type]]=tblSalaries[[#Headers],[Manager]],tblSalaries[[#This Row],[Salary in USD]],"")</f>
        <v/>
      </c>
      <c r="AB1777" s="13" t="str">
        <f>IF(tblSalaries[[#This Row],[Job Type]]=tblSalaries[[#Headers],[Misc.]],tblSalaries[[#This Row],[Salary in USD]],"")</f>
        <v/>
      </c>
      <c r="AC1777" s="13" t="str">
        <f>IF(tblSalaries[[#This Row],[Job Type]]=tblSalaries[[#Headers],[Reporting]],tblSalaries[[#This Row],[Salary in USD]],"")</f>
        <v/>
      </c>
      <c r="AD1777" s="13" t="str">
        <f>IF(tblSalaries[[#This Row],[Job Type]]=tblSalaries[[#Headers],[Specialist]],tblSalaries[[#This Row],[Salary in USD]],"")</f>
        <v/>
      </c>
    </row>
    <row r="1778" spans="2:30" ht="15" customHeight="1" x14ac:dyDescent="0.25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 s="9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  <c r="N1778" t="str">
        <f>IF(tblSalaries[[#This Row],[Years of Experience]]="","",IF(tblSalaries[[#This Row],[Years of Experience]]&lt;=2,1,""))</f>
        <v/>
      </c>
      <c r="O1778" t="str">
        <f>IF(tblSalaries[[#This Row],[Years of Experience]]="","",IF(AND(tblSalaries[[#This Row],[Years of Experience]]&gt;2,tblSalaries[[#This Row],[Years of Experience]]&lt;=5),1,""))</f>
        <v/>
      </c>
      <c r="P1778">
        <f>IF(tblSalaries[[#This Row],[Years of Experience]]="","",IF(AND(tblSalaries[[#This Row],[Years of Experience]]&gt;5,tblSalaries[[#This Row],[Years of Experience]]&lt;=10),1,""))</f>
        <v>1</v>
      </c>
      <c r="Q1778" t="str">
        <f>IF(tblSalaries[[#This Row],[Years of Experience]]="","",IF(AND(tblSalaries[[#This Row],[Years of Experience]]&gt;10,tblSalaries[[#This Row],[Years of Experience]]&lt;=15),1,""))</f>
        <v/>
      </c>
      <c r="R1778" t="str">
        <f>IF(tblSalaries[[#This Row],[Years of Experience]]="","",IF(AND(tblSalaries[[#This Row],[Years of Experience]]&gt;16,tblSalaries[[#This Row],[Years of Experience]]&lt;=20),1,""))</f>
        <v/>
      </c>
      <c r="S1778" t="str">
        <f>IF(tblSalaries[[#This Row],[Years of Experience]]="","",IF(tblSalaries[[#This Row],[Years of Experience]]&gt;20,1,""))</f>
        <v/>
      </c>
      <c r="T17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78" s="13" t="str">
        <f>IF(tblSalaries[[#This Row],[Job Type]]=tblSalaries[[#Headers],[Accountant]],tblSalaries[[#This Row],[Salary in USD]],"")</f>
        <v/>
      </c>
      <c r="V1778" s="13">
        <f>IF(tblSalaries[[#This Row],[Job Type]]=tblSalaries[[#Headers],[Analyst]],tblSalaries[[#This Row],[Salary in USD]],"")</f>
        <v>4986.216672483919</v>
      </c>
      <c r="W1778" s="13" t="str">
        <f>IF(tblSalaries[[#This Row],[Job Type]]=tblSalaries[[#Headers],[Consultant]],tblSalaries[[#This Row],[Salary in USD]],"")</f>
        <v/>
      </c>
      <c r="X1778" s="13" t="str">
        <f>IF(tblSalaries[[#This Row],[Job Type]]=tblSalaries[[#Headers],[Controller]],tblSalaries[[#This Row],[Salary in USD]],"")</f>
        <v/>
      </c>
      <c r="Y1778" s="13" t="str">
        <f>IF(tblSalaries[[#This Row],[Job Type]]=tblSalaries[[#Headers],[CXO or Top Mgmt.]],tblSalaries[[#This Row],[clean Salary (in local currency)]],"")</f>
        <v/>
      </c>
      <c r="Z1778" s="13" t="str">
        <f>IF(tblSalaries[[#This Row],[Job Type]]=tblSalaries[[#Headers],[Engineer]],tblSalaries[[#This Row],[Salary in USD]],"")</f>
        <v/>
      </c>
      <c r="AA1778" s="13" t="str">
        <f>IF(tblSalaries[[#This Row],[Job Type]]=tblSalaries[[#Headers],[Manager]],tblSalaries[[#This Row],[Salary in USD]],"")</f>
        <v/>
      </c>
      <c r="AB1778" s="13" t="str">
        <f>IF(tblSalaries[[#This Row],[Job Type]]=tblSalaries[[#Headers],[Misc.]],tblSalaries[[#This Row],[Salary in USD]],"")</f>
        <v/>
      </c>
      <c r="AC1778" s="13" t="str">
        <f>IF(tblSalaries[[#This Row],[Job Type]]=tblSalaries[[#Headers],[Reporting]],tblSalaries[[#This Row],[Salary in USD]],"")</f>
        <v/>
      </c>
      <c r="AD1778" s="13" t="str">
        <f>IF(tblSalaries[[#This Row],[Job Type]]=tblSalaries[[#Headers],[Specialist]],tblSalaries[[#This Row],[Salary in USD]],"")</f>
        <v/>
      </c>
    </row>
    <row r="1779" spans="2:30" ht="15" customHeight="1" x14ac:dyDescent="0.25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 s="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  <c r="N1779" t="str">
        <f>IF(tblSalaries[[#This Row],[Years of Experience]]="","",IF(tblSalaries[[#This Row],[Years of Experience]]&lt;=2,1,""))</f>
        <v/>
      </c>
      <c r="O1779">
        <f>IF(tblSalaries[[#This Row],[Years of Experience]]="","",IF(AND(tblSalaries[[#This Row],[Years of Experience]]&gt;2,tblSalaries[[#This Row],[Years of Experience]]&lt;=5),1,""))</f>
        <v>1</v>
      </c>
      <c r="P1779" t="str">
        <f>IF(tblSalaries[[#This Row],[Years of Experience]]="","",IF(AND(tblSalaries[[#This Row],[Years of Experience]]&gt;5,tblSalaries[[#This Row],[Years of Experience]]&lt;=10),1,""))</f>
        <v/>
      </c>
      <c r="Q1779" t="str">
        <f>IF(tblSalaries[[#This Row],[Years of Experience]]="","",IF(AND(tblSalaries[[#This Row],[Years of Experience]]&gt;10,tblSalaries[[#This Row],[Years of Experience]]&lt;=15),1,""))</f>
        <v/>
      </c>
      <c r="R1779" t="str">
        <f>IF(tblSalaries[[#This Row],[Years of Experience]]="","",IF(AND(tblSalaries[[#This Row],[Years of Experience]]&gt;16,tblSalaries[[#This Row],[Years of Experience]]&lt;=20),1,""))</f>
        <v/>
      </c>
      <c r="S1779" t="str">
        <f>IF(tblSalaries[[#This Row],[Years of Experience]]="","",IF(tblSalaries[[#This Row],[Years of Experience]]&gt;20,1,""))</f>
        <v/>
      </c>
      <c r="T17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79" s="13" t="str">
        <f>IF(tblSalaries[[#This Row],[Job Type]]=tblSalaries[[#Headers],[Accountant]],tblSalaries[[#This Row],[Salary in USD]],"")</f>
        <v/>
      </c>
      <c r="V1779" s="13" t="str">
        <f>IF(tblSalaries[[#This Row],[Job Type]]=tblSalaries[[#Headers],[Analyst]],tblSalaries[[#This Row],[Salary in USD]],"")</f>
        <v/>
      </c>
      <c r="W1779" s="13" t="str">
        <f>IF(tblSalaries[[#This Row],[Job Type]]=tblSalaries[[#Headers],[Consultant]],tblSalaries[[#This Row],[Salary in USD]],"")</f>
        <v/>
      </c>
      <c r="X1779" s="13" t="str">
        <f>IF(tblSalaries[[#This Row],[Job Type]]=tblSalaries[[#Headers],[Controller]],tblSalaries[[#This Row],[Salary in USD]],"")</f>
        <v/>
      </c>
      <c r="Y1779" s="13" t="str">
        <f>IF(tblSalaries[[#This Row],[Job Type]]=tblSalaries[[#Headers],[CXO or Top Mgmt.]],tblSalaries[[#This Row],[clean Salary (in local currency)]],"")</f>
        <v/>
      </c>
      <c r="Z1779" s="13" t="str">
        <f>IF(tblSalaries[[#This Row],[Job Type]]=tblSalaries[[#Headers],[Engineer]],tblSalaries[[#This Row],[Salary in USD]],"")</f>
        <v/>
      </c>
      <c r="AA1779" s="13">
        <f>IF(tblSalaries[[#This Row],[Job Type]]=tblSalaries[[#Headers],[Manager]],tblSalaries[[#This Row],[Salary in USD]],"")</f>
        <v>4800</v>
      </c>
      <c r="AB1779" s="13" t="str">
        <f>IF(tblSalaries[[#This Row],[Job Type]]=tblSalaries[[#Headers],[Misc.]],tblSalaries[[#This Row],[Salary in USD]],"")</f>
        <v/>
      </c>
      <c r="AC1779" s="13" t="str">
        <f>IF(tblSalaries[[#This Row],[Job Type]]=tblSalaries[[#Headers],[Reporting]],tblSalaries[[#This Row],[Salary in USD]],"")</f>
        <v/>
      </c>
      <c r="AD1779" s="13" t="str">
        <f>IF(tblSalaries[[#This Row],[Job Type]]=tblSalaries[[#Headers],[Specialist]],tblSalaries[[#This Row],[Salary in USD]],"")</f>
        <v/>
      </c>
    </row>
    <row r="1780" spans="2:30" ht="15" customHeight="1" x14ac:dyDescent="0.25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 s="9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3999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  <c r="N1780" t="str">
        <f>IF(tblSalaries[[#This Row],[Years of Experience]]="","",IF(tblSalaries[[#This Row],[Years of Experience]]&lt;=2,1,""))</f>
        <v/>
      </c>
      <c r="O1780">
        <f>IF(tblSalaries[[#This Row],[Years of Experience]]="","",IF(AND(tblSalaries[[#This Row],[Years of Experience]]&gt;2,tblSalaries[[#This Row],[Years of Experience]]&lt;=5),1,""))</f>
        <v>1</v>
      </c>
      <c r="P1780" t="str">
        <f>IF(tblSalaries[[#This Row],[Years of Experience]]="","",IF(AND(tblSalaries[[#This Row],[Years of Experience]]&gt;5,tblSalaries[[#This Row],[Years of Experience]]&lt;=10),1,""))</f>
        <v/>
      </c>
      <c r="Q1780" t="str">
        <f>IF(tblSalaries[[#This Row],[Years of Experience]]="","",IF(AND(tblSalaries[[#This Row],[Years of Experience]]&gt;10,tblSalaries[[#This Row],[Years of Experience]]&lt;=15),1,""))</f>
        <v/>
      </c>
      <c r="R1780" t="str">
        <f>IF(tblSalaries[[#This Row],[Years of Experience]]="","",IF(AND(tblSalaries[[#This Row],[Years of Experience]]&gt;16,tblSalaries[[#This Row],[Years of Experience]]&lt;=20),1,""))</f>
        <v/>
      </c>
      <c r="S1780" t="str">
        <f>IF(tblSalaries[[#This Row],[Years of Experience]]="","",IF(tblSalaries[[#This Row],[Years of Experience]]&gt;20,1,""))</f>
        <v/>
      </c>
      <c r="T17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80" s="13" t="str">
        <f>IF(tblSalaries[[#This Row],[Job Type]]=tblSalaries[[#Headers],[Accountant]],tblSalaries[[#This Row],[Salary in USD]],"")</f>
        <v/>
      </c>
      <c r="V1780" s="13" t="str">
        <f>IF(tblSalaries[[#This Row],[Job Type]]=tblSalaries[[#Headers],[Analyst]],tblSalaries[[#This Row],[Salary in USD]],"")</f>
        <v/>
      </c>
      <c r="W1780" s="13" t="str">
        <f>IF(tblSalaries[[#This Row],[Job Type]]=tblSalaries[[#Headers],[Consultant]],tblSalaries[[#This Row],[Salary in USD]],"")</f>
        <v/>
      </c>
      <c r="X1780" s="13" t="str">
        <f>IF(tblSalaries[[#This Row],[Job Type]]=tblSalaries[[#Headers],[Controller]],tblSalaries[[#This Row],[Salary in USD]],"")</f>
        <v/>
      </c>
      <c r="Y1780" s="13" t="str">
        <f>IF(tblSalaries[[#This Row],[Job Type]]=tblSalaries[[#Headers],[CXO or Top Mgmt.]],tblSalaries[[#This Row],[clean Salary (in local currency)]],"")</f>
        <v/>
      </c>
      <c r="Z1780" s="13" t="str">
        <f>IF(tblSalaries[[#This Row],[Job Type]]=tblSalaries[[#Headers],[Engineer]],tblSalaries[[#This Row],[Salary in USD]],"")</f>
        <v/>
      </c>
      <c r="AA1780" s="13" t="str">
        <f>IF(tblSalaries[[#This Row],[Job Type]]=tblSalaries[[#Headers],[Manager]],tblSalaries[[#This Row],[Salary in USD]],"")</f>
        <v/>
      </c>
      <c r="AB1780" s="13" t="str">
        <f>IF(tblSalaries[[#This Row],[Job Type]]=tblSalaries[[#Headers],[Misc.]],tblSalaries[[#This Row],[Salary in USD]],"")</f>
        <v/>
      </c>
      <c r="AC1780" s="13">
        <f>IF(tblSalaries[[#This Row],[Job Type]]=tblSalaries[[#Headers],[Reporting]],tblSalaries[[#This Row],[Salary in USD]],"")</f>
        <v>8013.5625093491553</v>
      </c>
      <c r="AD1780" s="13" t="str">
        <f>IF(tblSalaries[[#This Row],[Job Type]]=tblSalaries[[#Headers],[Specialist]],tblSalaries[[#This Row],[Salary in USD]],"")</f>
        <v/>
      </c>
    </row>
    <row r="1781" spans="2:30" ht="15" customHeight="1" x14ac:dyDescent="0.25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 s="9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  <c r="N1781">
        <f>IF(tblSalaries[[#This Row],[Years of Experience]]="","",IF(tblSalaries[[#This Row],[Years of Experience]]&lt;=2,1,""))</f>
        <v>1</v>
      </c>
      <c r="O1781" t="str">
        <f>IF(tblSalaries[[#This Row],[Years of Experience]]="","",IF(AND(tblSalaries[[#This Row],[Years of Experience]]&gt;2,tblSalaries[[#This Row],[Years of Experience]]&lt;=5),1,""))</f>
        <v/>
      </c>
      <c r="P1781" t="str">
        <f>IF(tblSalaries[[#This Row],[Years of Experience]]="","",IF(AND(tblSalaries[[#This Row],[Years of Experience]]&gt;5,tblSalaries[[#This Row],[Years of Experience]]&lt;=10),1,""))</f>
        <v/>
      </c>
      <c r="Q1781" t="str">
        <f>IF(tblSalaries[[#This Row],[Years of Experience]]="","",IF(AND(tblSalaries[[#This Row],[Years of Experience]]&gt;10,tblSalaries[[#This Row],[Years of Experience]]&lt;=15),1,""))</f>
        <v/>
      </c>
      <c r="R1781" t="str">
        <f>IF(tblSalaries[[#This Row],[Years of Experience]]="","",IF(AND(tblSalaries[[#This Row],[Years of Experience]]&gt;16,tblSalaries[[#This Row],[Years of Experience]]&lt;=20),1,""))</f>
        <v/>
      </c>
      <c r="S1781" t="str">
        <f>IF(tblSalaries[[#This Row],[Years of Experience]]="","",IF(tblSalaries[[#This Row],[Years of Experience]]&gt;20,1,""))</f>
        <v/>
      </c>
      <c r="T17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81" s="13" t="str">
        <f>IF(tblSalaries[[#This Row],[Job Type]]=tblSalaries[[#Headers],[Accountant]],tblSalaries[[#This Row],[Salary in USD]],"")</f>
        <v/>
      </c>
      <c r="V1781" s="13" t="str">
        <f>IF(tblSalaries[[#This Row],[Job Type]]=tblSalaries[[#Headers],[Analyst]],tblSalaries[[#This Row],[Salary in USD]],"")</f>
        <v/>
      </c>
      <c r="W1781" s="13" t="str">
        <f>IF(tblSalaries[[#This Row],[Job Type]]=tblSalaries[[#Headers],[Consultant]],tblSalaries[[#This Row],[Salary in USD]],"")</f>
        <v/>
      </c>
      <c r="X1781" s="13" t="str">
        <f>IF(tblSalaries[[#This Row],[Job Type]]=tblSalaries[[#Headers],[Controller]],tblSalaries[[#This Row],[Salary in USD]],"")</f>
        <v/>
      </c>
      <c r="Y1781" s="13" t="str">
        <f>IF(tblSalaries[[#This Row],[Job Type]]=tblSalaries[[#Headers],[CXO or Top Mgmt.]],tblSalaries[[#This Row],[clean Salary (in local currency)]],"")</f>
        <v/>
      </c>
      <c r="Z1781" s="13" t="str">
        <f>IF(tblSalaries[[#This Row],[Job Type]]=tblSalaries[[#Headers],[Engineer]],tblSalaries[[#This Row],[Salary in USD]],"")</f>
        <v/>
      </c>
      <c r="AA1781" s="13">
        <f>IF(tblSalaries[[#This Row],[Job Type]]=tblSalaries[[#Headers],[Manager]],tblSalaries[[#This Row],[Salary in USD]],"")</f>
        <v>80000</v>
      </c>
      <c r="AB1781" s="13" t="str">
        <f>IF(tblSalaries[[#This Row],[Job Type]]=tblSalaries[[#Headers],[Misc.]],tblSalaries[[#This Row],[Salary in USD]],"")</f>
        <v/>
      </c>
      <c r="AC1781" s="13" t="str">
        <f>IF(tblSalaries[[#This Row],[Job Type]]=tblSalaries[[#Headers],[Reporting]],tblSalaries[[#This Row],[Salary in USD]],"")</f>
        <v/>
      </c>
      <c r="AD1781" s="13" t="str">
        <f>IF(tblSalaries[[#This Row],[Job Type]]=tblSalaries[[#Headers],[Specialist]],tblSalaries[[#This Row],[Salary in USD]],"")</f>
        <v/>
      </c>
    </row>
    <row r="1782" spans="2:30" ht="15" customHeight="1" x14ac:dyDescent="0.25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 s="9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  <c r="N1782" t="str">
        <f>IF(tblSalaries[[#This Row],[Years of Experience]]="","",IF(tblSalaries[[#This Row],[Years of Experience]]&lt;=2,1,""))</f>
        <v/>
      </c>
      <c r="O1782" t="str">
        <f>IF(tblSalaries[[#This Row],[Years of Experience]]="","",IF(AND(tblSalaries[[#This Row],[Years of Experience]]&gt;2,tblSalaries[[#This Row],[Years of Experience]]&lt;=5),1,""))</f>
        <v/>
      </c>
      <c r="P1782" t="str">
        <f>IF(tblSalaries[[#This Row],[Years of Experience]]="","",IF(AND(tblSalaries[[#This Row],[Years of Experience]]&gt;5,tblSalaries[[#This Row],[Years of Experience]]&lt;=10),1,""))</f>
        <v/>
      </c>
      <c r="Q1782">
        <f>IF(tblSalaries[[#This Row],[Years of Experience]]="","",IF(AND(tblSalaries[[#This Row],[Years of Experience]]&gt;10,tblSalaries[[#This Row],[Years of Experience]]&lt;=15),1,""))</f>
        <v>1</v>
      </c>
      <c r="R1782" t="str">
        <f>IF(tblSalaries[[#This Row],[Years of Experience]]="","",IF(AND(tblSalaries[[#This Row],[Years of Experience]]&gt;16,tblSalaries[[#This Row],[Years of Experience]]&lt;=20),1,""))</f>
        <v/>
      </c>
      <c r="S1782" t="str">
        <f>IF(tblSalaries[[#This Row],[Years of Experience]]="","",IF(tblSalaries[[#This Row],[Years of Experience]]&gt;20,1,""))</f>
        <v/>
      </c>
      <c r="T17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82" s="13" t="str">
        <f>IF(tblSalaries[[#This Row],[Job Type]]=tblSalaries[[#Headers],[Accountant]],tblSalaries[[#This Row],[Salary in USD]],"")</f>
        <v/>
      </c>
      <c r="V1782" s="13">
        <f>IF(tblSalaries[[#This Row],[Job Type]]=tblSalaries[[#Headers],[Analyst]],tblSalaries[[#This Row],[Salary in USD]],"")</f>
        <v>57167.974754622352</v>
      </c>
      <c r="W1782" s="13" t="str">
        <f>IF(tblSalaries[[#This Row],[Job Type]]=tblSalaries[[#Headers],[Consultant]],tblSalaries[[#This Row],[Salary in USD]],"")</f>
        <v/>
      </c>
      <c r="X1782" s="13" t="str">
        <f>IF(tblSalaries[[#This Row],[Job Type]]=tblSalaries[[#Headers],[Controller]],tblSalaries[[#This Row],[Salary in USD]],"")</f>
        <v/>
      </c>
      <c r="Y1782" s="13" t="str">
        <f>IF(tblSalaries[[#This Row],[Job Type]]=tblSalaries[[#Headers],[CXO or Top Mgmt.]],tblSalaries[[#This Row],[clean Salary (in local currency)]],"")</f>
        <v/>
      </c>
      <c r="Z1782" s="13" t="str">
        <f>IF(tblSalaries[[#This Row],[Job Type]]=tblSalaries[[#Headers],[Engineer]],tblSalaries[[#This Row],[Salary in USD]],"")</f>
        <v/>
      </c>
      <c r="AA1782" s="13" t="str">
        <f>IF(tblSalaries[[#This Row],[Job Type]]=tblSalaries[[#Headers],[Manager]],tblSalaries[[#This Row],[Salary in USD]],"")</f>
        <v/>
      </c>
      <c r="AB1782" s="13" t="str">
        <f>IF(tblSalaries[[#This Row],[Job Type]]=tblSalaries[[#Headers],[Misc.]],tblSalaries[[#This Row],[Salary in USD]],"")</f>
        <v/>
      </c>
      <c r="AC1782" s="13" t="str">
        <f>IF(tblSalaries[[#This Row],[Job Type]]=tblSalaries[[#Headers],[Reporting]],tblSalaries[[#This Row],[Salary in USD]],"")</f>
        <v/>
      </c>
      <c r="AD1782" s="13" t="str">
        <f>IF(tblSalaries[[#This Row],[Job Type]]=tblSalaries[[#Headers],[Specialist]],tblSalaries[[#This Row],[Salary in USD]],"")</f>
        <v/>
      </c>
    </row>
    <row r="1783" spans="2:30" ht="15" customHeight="1" x14ac:dyDescent="0.25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 s="9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  <c r="N1783">
        <f>IF(tblSalaries[[#This Row],[Years of Experience]]="","",IF(tblSalaries[[#This Row],[Years of Experience]]&lt;=2,1,""))</f>
        <v>1</v>
      </c>
      <c r="O1783" t="str">
        <f>IF(tblSalaries[[#This Row],[Years of Experience]]="","",IF(AND(tblSalaries[[#This Row],[Years of Experience]]&gt;2,tblSalaries[[#This Row],[Years of Experience]]&lt;=5),1,""))</f>
        <v/>
      </c>
      <c r="P1783" t="str">
        <f>IF(tblSalaries[[#This Row],[Years of Experience]]="","",IF(AND(tblSalaries[[#This Row],[Years of Experience]]&gt;5,tblSalaries[[#This Row],[Years of Experience]]&lt;=10),1,""))</f>
        <v/>
      </c>
      <c r="Q1783" t="str">
        <f>IF(tblSalaries[[#This Row],[Years of Experience]]="","",IF(AND(tblSalaries[[#This Row],[Years of Experience]]&gt;10,tblSalaries[[#This Row],[Years of Experience]]&lt;=15),1,""))</f>
        <v/>
      </c>
      <c r="R1783" t="str">
        <f>IF(tblSalaries[[#This Row],[Years of Experience]]="","",IF(AND(tblSalaries[[#This Row],[Years of Experience]]&gt;16,tblSalaries[[#This Row],[Years of Experience]]&lt;=20),1,""))</f>
        <v/>
      </c>
      <c r="S1783" t="str">
        <f>IF(tblSalaries[[#This Row],[Years of Experience]]="","",IF(tblSalaries[[#This Row],[Years of Experience]]&gt;20,1,""))</f>
        <v/>
      </c>
      <c r="T17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83" s="13" t="str">
        <f>IF(tblSalaries[[#This Row],[Job Type]]=tblSalaries[[#Headers],[Accountant]],tblSalaries[[#This Row],[Salary in USD]],"")</f>
        <v/>
      </c>
      <c r="V1783" s="13">
        <f>IF(tblSalaries[[#This Row],[Job Type]]=tblSalaries[[#Headers],[Analyst]],tblSalaries[[#This Row],[Salary in USD]],"")</f>
        <v>20000</v>
      </c>
      <c r="W1783" s="13" t="str">
        <f>IF(tblSalaries[[#This Row],[Job Type]]=tblSalaries[[#Headers],[Consultant]],tblSalaries[[#This Row],[Salary in USD]],"")</f>
        <v/>
      </c>
      <c r="X1783" s="13" t="str">
        <f>IF(tblSalaries[[#This Row],[Job Type]]=tblSalaries[[#Headers],[Controller]],tblSalaries[[#This Row],[Salary in USD]],"")</f>
        <v/>
      </c>
      <c r="Y1783" s="13" t="str">
        <f>IF(tblSalaries[[#This Row],[Job Type]]=tblSalaries[[#Headers],[CXO or Top Mgmt.]],tblSalaries[[#This Row],[clean Salary (in local currency)]],"")</f>
        <v/>
      </c>
      <c r="Z1783" s="13" t="str">
        <f>IF(tblSalaries[[#This Row],[Job Type]]=tblSalaries[[#Headers],[Engineer]],tblSalaries[[#This Row],[Salary in USD]],"")</f>
        <v/>
      </c>
      <c r="AA1783" s="13" t="str">
        <f>IF(tblSalaries[[#This Row],[Job Type]]=tblSalaries[[#Headers],[Manager]],tblSalaries[[#This Row],[Salary in USD]],"")</f>
        <v/>
      </c>
      <c r="AB1783" s="13" t="str">
        <f>IF(tblSalaries[[#This Row],[Job Type]]=tblSalaries[[#Headers],[Misc.]],tblSalaries[[#This Row],[Salary in USD]],"")</f>
        <v/>
      </c>
      <c r="AC1783" s="13" t="str">
        <f>IF(tblSalaries[[#This Row],[Job Type]]=tblSalaries[[#Headers],[Reporting]],tblSalaries[[#This Row],[Salary in USD]],"")</f>
        <v/>
      </c>
      <c r="AD1783" s="13" t="str">
        <f>IF(tblSalaries[[#This Row],[Job Type]]=tblSalaries[[#Headers],[Specialist]],tblSalaries[[#This Row],[Salary in USD]],"")</f>
        <v/>
      </c>
    </row>
    <row r="1784" spans="2:30" ht="15" customHeight="1" x14ac:dyDescent="0.25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 s="9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  <c r="N1784" t="str">
        <f>IF(tblSalaries[[#This Row],[Years of Experience]]="","",IF(tblSalaries[[#This Row],[Years of Experience]]&lt;=2,1,""))</f>
        <v/>
      </c>
      <c r="O1784">
        <f>IF(tblSalaries[[#This Row],[Years of Experience]]="","",IF(AND(tblSalaries[[#This Row],[Years of Experience]]&gt;2,tblSalaries[[#This Row],[Years of Experience]]&lt;=5),1,""))</f>
        <v>1</v>
      </c>
      <c r="P1784" t="str">
        <f>IF(tblSalaries[[#This Row],[Years of Experience]]="","",IF(AND(tblSalaries[[#This Row],[Years of Experience]]&gt;5,tblSalaries[[#This Row],[Years of Experience]]&lt;=10),1,""))</f>
        <v/>
      </c>
      <c r="Q1784" t="str">
        <f>IF(tblSalaries[[#This Row],[Years of Experience]]="","",IF(AND(tblSalaries[[#This Row],[Years of Experience]]&gt;10,tblSalaries[[#This Row],[Years of Experience]]&lt;=15),1,""))</f>
        <v/>
      </c>
      <c r="R1784" t="str">
        <f>IF(tblSalaries[[#This Row],[Years of Experience]]="","",IF(AND(tblSalaries[[#This Row],[Years of Experience]]&gt;16,tblSalaries[[#This Row],[Years of Experience]]&lt;=20),1,""))</f>
        <v/>
      </c>
      <c r="S1784" t="str">
        <f>IF(tblSalaries[[#This Row],[Years of Experience]]="","",IF(tblSalaries[[#This Row],[Years of Experience]]&gt;20,1,""))</f>
        <v/>
      </c>
      <c r="T17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84" s="13" t="str">
        <f>IF(tblSalaries[[#This Row],[Job Type]]=tblSalaries[[#Headers],[Accountant]],tblSalaries[[#This Row],[Salary in USD]],"")</f>
        <v/>
      </c>
      <c r="V1784" s="13">
        <f>IF(tblSalaries[[#This Row],[Job Type]]=tblSalaries[[#Headers],[Analyst]],tblSalaries[[#This Row],[Salary in USD]],"")</f>
        <v>70000</v>
      </c>
      <c r="W1784" s="13" t="str">
        <f>IF(tblSalaries[[#This Row],[Job Type]]=tblSalaries[[#Headers],[Consultant]],tblSalaries[[#This Row],[Salary in USD]],"")</f>
        <v/>
      </c>
      <c r="X1784" s="13" t="str">
        <f>IF(tblSalaries[[#This Row],[Job Type]]=tblSalaries[[#Headers],[Controller]],tblSalaries[[#This Row],[Salary in USD]],"")</f>
        <v/>
      </c>
      <c r="Y1784" s="13" t="str">
        <f>IF(tblSalaries[[#This Row],[Job Type]]=tblSalaries[[#Headers],[CXO or Top Mgmt.]],tblSalaries[[#This Row],[clean Salary (in local currency)]],"")</f>
        <v/>
      </c>
      <c r="Z1784" s="13" t="str">
        <f>IF(tblSalaries[[#This Row],[Job Type]]=tblSalaries[[#Headers],[Engineer]],tblSalaries[[#This Row],[Salary in USD]],"")</f>
        <v/>
      </c>
      <c r="AA1784" s="13" t="str">
        <f>IF(tblSalaries[[#This Row],[Job Type]]=tblSalaries[[#Headers],[Manager]],tblSalaries[[#This Row],[Salary in USD]],"")</f>
        <v/>
      </c>
      <c r="AB1784" s="13" t="str">
        <f>IF(tblSalaries[[#This Row],[Job Type]]=tblSalaries[[#Headers],[Misc.]],tblSalaries[[#This Row],[Salary in USD]],"")</f>
        <v/>
      </c>
      <c r="AC1784" s="13" t="str">
        <f>IF(tblSalaries[[#This Row],[Job Type]]=tblSalaries[[#Headers],[Reporting]],tblSalaries[[#This Row],[Salary in USD]],"")</f>
        <v/>
      </c>
      <c r="AD1784" s="13" t="str">
        <f>IF(tblSalaries[[#This Row],[Job Type]]=tblSalaries[[#Headers],[Specialist]],tblSalaries[[#This Row],[Salary in USD]],"")</f>
        <v/>
      </c>
    </row>
    <row r="1785" spans="2:30" ht="15" customHeight="1" x14ac:dyDescent="0.25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 s="9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  <c r="N1785" t="str">
        <f>IF(tblSalaries[[#This Row],[Years of Experience]]="","",IF(tblSalaries[[#This Row],[Years of Experience]]&lt;=2,1,""))</f>
        <v/>
      </c>
      <c r="O1785" t="str">
        <f>IF(tblSalaries[[#This Row],[Years of Experience]]="","",IF(AND(tblSalaries[[#This Row],[Years of Experience]]&gt;2,tblSalaries[[#This Row],[Years of Experience]]&lt;=5),1,""))</f>
        <v/>
      </c>
      <c r="P1785" t="str">
        <f>IF(tblSalaries[[#This Row],[Years of Experience]]="","",IF(AND(tblSalaries[[#This Row],[Years of Experience]]&gt;5,tblSalaries[[#This Row],[Years of Experience]]&lt;=10),1,""))</f>
        <v/>
      </c>
      <c r="Q1785" t="str">
        <f>IF(tblSalaries[[#This Row],[Years of Experience]]="","",IF(AND(tblSalaries[[#This Row],[Years of Experience]]&gt;10,tblSalaries[[#This Row],[Years of Experience]]&lt;=15),1,""))</f>
        <v/>
      </c>
      <c r="R1785">
        <f>IF(tblSalaries[[#This Row],[Years of Experience]]="","",IF(AND(tblSalaries[[#This Row],[Years of Experience]]&gt;16,tblSalaries[[#This Row],[Years of Experience]]&lt;=20),1,""))</f>
        <v>1</v>
      </c>
      <c r="S1785" t="str">
        <f>IF(tblSalaries[[#This Row],[Years of Experience]]="","",IF(tblSalaries[[#This Row],[Years of Experience]]&gt;20,1,""))</f>
        <v/>
      </c>
      <c r="T17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85" s="13" t="str">
        <f>IF(tblSalaries[[#This Row],[Job Type]]=tblSalaries[[#Headers],[Accountant]],tblSalaries[[#This Row],[Salary in USD]],"")</f>
        <v/>
      </c>
      <c r="V1785" s="13" t="str">
        <f>IF(tblSalaries[[#This Row],[Job Type]]=tblSalaries[[#Headers],[Analyst]],tblSalaries[[#This Row],[Salary in USD]],"")</f>
        <v/>
      </c>
      <c r="W1785" s="13" t="str">
        <f>IF(tblSalaries[[#This Row],[Job Type]]=tblSalaries[[#Headers],[Consultant]],tblSalaries[[#This Row],[Salary in USD]],"")</f>
        <v/>
      </c>
      <c r="X1785" s="13">
        <f>IF(tblSalaries[[#This Row],[Job Type]]=tblSalaries[[#Headers],[Controller]],tblSalaries[[#This Row],[Salary in USD]],"")</f>
        <v>214000</v>
      </c>
      <c r="Y1785" s="13" t="str">
        <f>IF(tblSalaries[[#This Row],[Job Type]]=tblSalaries[[#Headers],[CXO or Top Mgmt.]],tblSalaries[[#This Row],[clean Salary (in local currency)]],"")</f>
        <v/>
      </c>
      <c r="Z1785" s="13" t="str">
        <f>IF(tblSalaries[[#This Row],[Job Type]]=tblSalaries[[#Headers],[Engineer]],tblSalaries[[#This Row],[Salary in USD]],"")</f>
        <v/>
      </c>
      <c r="AA1785" s="13" t="str">
        <f>IF(tblSalaries[[#This Row],[Job Type]]=tblSalaries[[#Headers],[Manager]],tblSalaries[[#This Row],[Salary in USD]],"")</f>
        <v/>
      </c>
      <c r="AB1785" s="13" t="str">
        <f>IF(tblSalaries[[#This Row],[Job Type]]=tblSalaries[[#Headers],[Misc.]],tblSalaries[[#This Row],[Salary in USD]],"")</f>
        <v/>
      </c>
      <c r="AC1785" s="13" t="str">
        <f>IF(tblSalaries[[#This Row],[Job Type]]=tblSalaries[[#Headers],[Reporting]],tblSalaries[[#This Row],[Salary in USD]],"")</f>
        <v/>
      </c>
      <c r="AD1785" s="13" t="str">
        <f>IF(tblSalaries[[#This Row],[Job Type]]=tblSalaries[[#Headers],[Specialist]],tblSalaries[[#This Row],[Salary in USD]],"")</f>
        <v/>
      </c>
    </row>
    <row r="1786" spans="2:30" ht="15" customHeight="1" x14ac:dyDescent="0.25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 s="9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  <c r="N1786" t="str">
        <f>IF(tblSalaries[[#This Row],[Years of Experience]]="","",IF(tblSalaries[[#This Row],[Years of Experience]]&lt;=2,1,""))</f>
        <v/>
      </c>
      <c r="O1786">
        <f>IF(tblSalaries[[#This Row],[Years of Experience]]="","",IF(AND(tblSalaries[[#This Row],[Years of Experience]]&gt;2,tblSalaries[[#This Row],[Years of Experience]]&lt;=5),1,""))</f>
        <v>1</v>
      </c>
      <c r="P1786" t="str">
        <f>IF(tblSalaries[[#This Row],[Years of Experience]]="","",IF(AND(tblSalaries[[#This Row],[Years of Experience]]&gt;5,tblSalaries[[#This Row],[Years of Experience]]&lt;=10),1,""))</f>
        <v/>
      </c>
      <c r="Q1786" t="str">
        <f>IF(tblSalaries[[#This Row],[Years of Experience]]="","",IF(AND(tblSalaries[[#This Row],[Years of Experience]]&gt;10,tblSalaries[[#This Row],[Years of Experience]]&lt;=15),1,""))</f>
        <v/>
      </c>
      <c r="R1786" t="str">
        <f>IF(tblSalaries[[#This Row],[Years of Experience]]="","",IF(AND(tblSalaries[[#This Row],[Years of Experience]]&gt;16,tblSalaries[[#This Row],[Years of Experience]]&lt;=20),1,""))</f>
        <v/>
      </c>
      <c r="S1786" t="str">
        <f>IF(tblSalaries[[#This Row],[Years of Experience]]="","",IF(tblSalaries[[#This Row],[Years of Experience]]&gt;20,1,""))</f>
        <v/>
      </c>
      <c r="T17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786" s="13" t="str">
        <f>IF(tblSalaries[[#This Row],[Job Type]]=tblSalaries[[#Headers],[Accountant]],tblSalaries[[#This Row],[Salary in USD]],"")</f>
        <v/>
      </c>
      <c r="V1786" s="13" t="str">
        <f>IF(tblSalaries[[#This Row],[Job Type]]=tblSalaries[[#Headers],[Analyst]],tblSalaries[[#This Row],[Salary in USD]],"")</f>
        <v/>
      </c>
      <c r="W1786" s="13" t="str">
        <f>IF(tblSalaries[[#This Row],[Job Type]]=tblSalaries[[#Headers],[Consultant]],tblSalaries[[#This Row],[Salary in USD]],"")</f>
        <v/>
      </c>
      <c r="X1786" s="13" t="str">
        <f>IF(tblSalaries[[#This Row],[Job Type]]=tblSalaries[[#Headers],[Controller]],tblSalaries[[#This Row],[Salary in USD]],"")</f>
        <v/>
      </c>
      <c r="Y1786" s="13" t="str">
        <f>IF(tblSalaries[[#This Row],[Job Type]]=tblSalaries[[#Headers],[CXO or Top Mgmt.]],tblSalaries[[#This Row],[clean Salary (in local currency)]],"")</f>
        <v/>
      </c>
      <c r="Z1786" s="13">
        <f>IF(tblSalaries[[#This Row],[Job Type]]=tblSalaries[[#Headers],[Engineer]],tblSalaries[[#This Row],[Salary in USD]],"")</f>
        <v>78000</v>
      </c>
      <c r="AA1786" s="13" t="str">
        <f>IF(tblSalaries[[#This Row],[Job Type]]=tblSalaries[[#Headers],[Manager]],tblSalaries[[#This Row],[Salary in USD]],"")</f>
        <v/>
      </c>
      <c r="AB1786" s="13" t="str">
        <f>IF(tblSalaries[[#This Row],[Job Type]]=tblSalaries[[#Headers],[Misc.]],tblSalaries[[#This Row],[Salary in USD]],"")</f>
        <v/>
      </c>
      <c r="AC1786" s="13" t="str">
        <f>IF(tblSalaries[[#This Row],[Job Type]]=tblSalaries[[#Headers],[Reporting]],tblSalaries[[#This Row],[Salary in USD]],"")</f>
        <v/>
      </c>
      <c r="AD1786" s="13" t="str">
        <f>IF(tblSalaries[[#This Row],[Job Type]]=tblSalaries[[#Headers],[Specialist]],tblSalaries[[#This Row],[Salary in USD]],"")</f>
        <v/>
      </c>
    </row>
    <row r="1787" spans="2:30" ht="15" customHeight="1" x14ac:dyDescent="0.25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 s="9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  <c r="N1787" t="str">
        <f>IF(tblSalaries[[#This Row],[Years of Experience]]="","",IF(tblSalaries[[#This Row],[Years of Experience]]&lt;=2,1,""))</f>
        <v/>
      </c>
      <c r="O1787" t="str">
        <f>IF(tblSalaries[[#This Row],[Years of Experience]]="","",IF(AND(tblSalaries[[#This Row],[Years of Experience]]&gt;2,tblSalaries[[#This Row],[Years of Experience]]&lt;=5),1,""))</f>
        <v/>
      </c>
      <c r="P1787" t="str">
        <f>IF(tblSalaries[[#This Row],[Years of Experience]]="","",IF(AND(tblSalaries[[#This Row],[Years of Experience]]&gt;5,tblSalaries[[#This Row],[Years of Experience]]&lt;=10),1,""))</f>
        <v/>
      </c>
      <c r="Q1787" t="str">
        <f>IF(tblSalaries[[#This Row],[Years of Experience]]="","",IF(AND(tblSalaries[[#This Row],[Years of Experience]]&gt;10,tblSalaries[[#This Row],[Years of Experience]]&lt;=15),1,""))</f>
        <v/>
      </c>
      <c r="R1787" t="str">
        <f>IF(tblSalaries[[#This Row],[Years of Experience]]="","",IF(AND(tblSalaries[[#This Row],[Years of Experience]]&gt;16,tblSalaries[[#This Row],[Years of Experience]]&lt;=20),1,""))</f>
        <v/>
      </c>
      <c r="S1787">
        <f>IF(tblSalaries[[#This Row],[Years of Experience]]="","",IF(tblSalaries[[#This Row],[Years of Experience]]&gt;20,1,""))</f>
        <v>1</v>
      </c>
      <c r="T17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787" s="13" t="str">
        <f>IF(tblSalaries[[#This Row],[Job Type]]=tblSalaries[[#Headers],[Accountant]],tblSalaries[[#This Row],[Salary in USD]],"")</f>
        <v/>
      </c>
      <c r="V1787" s="13">
        <f>IF(tblSalaries[[#This Row],[Job Type]]=tblSalaries[[#Headers],[Analyst]],tblSalaries[[#This Row],[Salary in USD]],"")</f>
        <v>42307</v>
      </c>
      <c r="W1787" s="13" t="str">
        <f>IF(tblSalaries[[#This Row],[Job Type]]=tblSalaries[[#Headers],[Consultant]],tblSalaries[[#This Row],[Salary in USD]],"")</f>
        <v/>
      </c>
      <c r="X1787" s="13" t="str">
        <f>IF(tblSalaries[[#This Row],[Job Type]]=tblSalaries[[#Headers],[Controller]],tblSalaries[[#This Row],[Salary in USD]],"")</f>
        <v/>
      </c>
      <c r="Y1787" s="13" t="str">
        <f>IF(tblSalaries[[#This Row],[Job Type]]=tblSalaries[[#Headers],[CXO or Top Mgmt.]],tblSalaries[[#This Row],[clean Salary (in local currency)]],"")</f>
        <v/>
      </c>
      <c r="Z1787" s="13" t="str">
        <f>IF(tblSalaries[[#This Row],[Job Type]]=tblSalaries[[#Headers],[Engineer]],tblSalaries[[#This Row],[Salary in USD]],"")</f>
        <v/>
      </c>
      <c r="AA1787" s="13" t="str">
        <f>IF(tblSalaries[[#This Row],[Job Type]]=tblSalaries[[#Headers],[Manager]],tblSalaries[[#This Row],[Salary in USD]],"")</f>
        <v/>
      </c>
      <c r="AB1787" s="13" t="str">
        <f>IF(tblSalaries[[#This Row],[Job Type]]=tblSalaries[[#Headers],[Misc.]],tblSalaries[[#This Row],[Salary in USD]],"")</f>
        <v/>
      </c>
      <c r="AC1787" s="13" t="str">
        <f>IF(tblSalaries[[#This Row],[Job Type]]=tblSalaries[[#Headers],[Reporting]],tblSalaries[[#This Row],[Salary in USD]],"")</f>
        <v/>
      </c>
      <c r="AD1787" s="13" t="str">
        <f>IF(tblSalaries[[#This Row],[Job Type]]=tblSalaries[[#Headers],[Specialist]],tblSalaries[[#This Row],[Salary in USD]],"")</f>
        <v/>
      </c>
    </row>
    <row r="1788" spans="2:30" ht="15" customHeight="1" x14ac:dyDescent="0.25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 s="9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  <c r="N1788" t="str">
        <f>IF(tblSalaries[[#This Row],[Years of Experience]]="","",IF(tblSalaries[[#This Row],[Years of Experience]]&lt;=2,1,""))</f>
        <v/>
      </c>
      <c r="O1788" t="str">
        <f>IF(tblSalaries[[#This Row],[Years of Experience]]="","",IF(AND(tblSalaries[[#This Row],[Years of Experience]]&gt;2,tblSalaries[[#This Row],[Years of Experience]]&lt;=5),1,""))</f>
        <v/>
      </c>
      <c r="P1788" t="str">
        <f>IF(tblSalaries[[#This Row],[Years of Experience]]="","",IF(AND(tblSalaries[[#This Row],[Years of Experience]]&gt;5,tblSalaries[[#This Row],[Years of Experience]]&lt;=10),1,""))</f>
        <v/>
      </c>
      <c r="Q1788" t="str">
        <f>IF(tblSalaries[[#This Row],[Years of Experience]]="","",IF(AND(tblSalaries[[#This Row],[Years of Experience]]&gt;10,tblSalaries[[#This Row],[Years of Experience]]&lt;=15),1,""))</f>
        <v/>
      </c>
      <c r="R1788">
        <f>IF(tblSalaries[[#This Row],[Years of Experience]]="","",IF(AND(tblSalaries[[#This Row],[Years of Experience]]&gt;16,tblSalaries[[#This Row],[Years of Experience]]&lt;=20),1,""))</f>
        <v>1</v>
      </c>
      <c r="S1788" t="str">
        <f>IF(tblSalaries[[#This Row],[Years of Experience]]="","",IF(tblSalaries[[#This Row],[Years of Experience]]&gt;20,1,""))</f>
        <v/>
      </c>
      <c r="T17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88" s="13" t="str">
        <f>IF(tblSalaries[[#This Row],[Job Type]]=tblSalaries[[#Headers],[Accountant]],tblSalaries[[#This Row],[Salary in USD]],"")</f>
        <v/>
      </c>
      <c r="V1788" s="13" t="str">
        <f>IF(tblSalaries[[#This Row],[Job Type]]=tblSalaries[[#Headers],[Analyst]],tblSalaries[[#This Row],[Salary in USD]],"")</f>
        <v/>
      </c>
      <c r="W1788" s="13" t="str">
        <f>IF(tblSalaries[[#This Row],[Job Type]]=tblSalaries[[#Headers],[Consultant]],tblSalaries[[#This Row],[Salary in USD]],"")</f>
        <v/>
      </c>
      <c r="X1788" s="13" t="str">
        <f>IF(tblSalaries[[#This Row],[Job Type]]=tblSalaries[[#Headers],[Controller]],tblSalaries[[#This Row],[Salary in USD]],"")</f>
        <v/>
      </c>
      <c r="Y1788" s="13" t="str">
        <f>IF(tblSalaries[[#This Row],[Job Type]]=tblSalaries[[#Headers],[CXO or Top Mgmt.]],tblSalaries[[#This Row],[clean Salary (in local currency)]],"")</f>
        <v/>
      </c>
      <c r="Z1788" s="13" t="str">
        <f>IF(tblSalaries[[#This Row],[Job Type]]=tblSalaries[[#Headers],[Engineer]],tblSalaries[[#This Row],[Salary in USD]],"")</f>
        <v/>
      </c>
      <c r="AA1788" s="13">
        <f>IF(tblSalaries[[#This Row],[Job Type]]=tblSalaries[[#Headers],[Manager]],tblSalaries[[#This Row],[Salary in USD]],"")</f>
        <v>33250</v>
      </c>
      <c r="AB1788" s="13" t="str">
        <f>IF(tblSalaries[[#This Row],[Job Type]]=tblSalaries[[#Headers],[Misc.]],tblSalaries[[#This Row],[Salary in USD]],"")</f>
        <v/>
      </c>
      <c r="AC1788" s="13" t="str">
        <f>IF(tblSalaries[[#This Row],[Job Type]]=tblSalaries[[#Headers],[Reporting]],tblSalaries[[#This Row],[Salary in USD]],"")</f>
        <v/>
      </c>
      <c r="AD1788" s="13" t="str">
        <f>IF(tblSalaries[[#This Row],[Job Type]]=tblSalaries[[#Headers],[Specialist]],tblSalaries[[#This Row],[Salary in USD]],"")</f>
        <v/>
      </c>
    </row>
    <row r="1789" spans="2:30" ht="15" customHeight="1" x14ac:dyDescent="0.25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 s="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  <c r="N1789" t="str">
        <f>IF(tblSalaries[[#This Row],[Years of Experience]]="","",IF(tblSalaries[[#This Row],[Years of Experience]]&lt;=2,1,""))</f>
        <v/>
      </c>
      <c r="O1789" t="str">
        <f>IF(tblSalaries[[#This Row],[Years of Experience]]="","",IF(AND(tblSalaries[[#This Row],[Years of Experience]]&gt;2,tblSalaries[[#This Row],[Years of Experience]]&lt;=5),1,""))</f>
        <v/>
      </c>
      <c r="P1789">
        <f>IF(tblSalaries[[#This Row],[Years of Experience]]="","",IF(AND(tblSalaries[[#This Row],[Years of Experience]]&gt;5,tblSalaries[[#This Row],[Years of Experience]]&lt;=10),1,""))</f>
        <v>1</v>
      </c>
      <c r="Q1789" t="str">
        <f>IF(tblSalaries[[#This Row],[Years of Experience]]="","",IF(AND(tblSalaries[[#This Row],[Years of Experience]]&gt;10,tblSalaries[[#This Row],[Years of Experience]]&lt;=15),1,""))</f>
        <v/>
      </c>
      <c r="R1789" t="str">
        <f>IF(tblSalaries[[#This Row],[Years of Experience]]="","",IF(AND(tblSalaries[[#This Row],[Years of Experience]]&gt;16,tblSalaries[[#This Row],[Years of Experience]]&lt;=20),1,""))</f>
        <v/>
      </c>
      <c r="S1789" t="str">
        <f>IF(tblSalaries[[#This Row],[Years of Experience]]="","",IF(tblSalaries[[#This Row],[Years of Experience]]&gt;20,1,""))</f>
        <v/>
      </c>
      <c r="T178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89" s="13" t="str">
        <f>IF(tblSalaries[[#This Row],[Job Type]]=tblSalaries[[#Headers],[Accountant]],tblSalaries[[#This Row],[Salary in USD]],"")</f>
        <v/>
      </c>
      <c r="V1789" s="13">
        <f>IF(tblSalaries[[#This Row],[Job Type]]=tblSalaries[[#Headers],[Analyst]],tblSalaries[[#This Row],[Salary in USD]],"")</f>
        <v>24391.669228638868</v>
      </c>
      <c r="W1789" s="13" t="str">
        <f>IF(tblSalaries[[#This Row],[Job Type]]=tblSalaries[[#Headers],[Consultant]],tblSalaries[[#This Row],[Salary in USD]],"")</f>
        <v/>
      </c>
      <c r="X1789" s="13" t="str">
        <f>IF(tblSalaries[[#This Row],[Job Type]]=tblSalaries[[#Headers],[Controller]],tblSalaries[[#This Row],[Salary in USD]],"")</f>
        <v/>
      </c>
      <c r="Y1789" s="13" t="str">
        <f>IF(tblSalaries[[#This Row],[Job Type]]=tblSalaries[[#Headers],[CXO or Top Mgmt.]],tblSalaries[[#This Row],[clean Salary (in local currency)]],"")</f>
        <v/>
      </c>
      <c r="Z1789" s="13" t="str">
        <f>IF(tblSalaries[[#This Row],[Job Type]]=tblSalaries[[#Headers],[Engineer]],tblSalaries[[#This Row],[Salary in USD]],"")</f>
        <v/>
      </c>
      <c r="AA1789" s="13" t="str">
        <f>IF(tblSalaries[[#This Row],[Job Type]]=tblSalaries[[#Headers],[Manager]],tblSalaries[[#This Row],[Salary in USD]],"")</f>
        <v/>
      </c>
      <c r="AB1789" s="13" t="str">
        <f>IF(tblSalaries[[#This Row],[Job Type]]=tblSalaries[[#Headers],[Misc.]],tblSalaries[[#This Row],[Salary in USD]],"")</f>
        <v/>
      </c>
      <c r="AC1789" s="13" t="str">
        <f>IF(tblSalaries[[#This Row],[Job Type]]=tblSalaries[[#Headers],[Reporting]],tblSalaries[[#This Row],[Salary in USD]],"")</f>
        <v/>
      </c>
      <c r="AD1789" s="13" t="str">
        <f>IF(tblSalaries[[#This Row],[Job Type]]=tblSalaries[[#Headers],[Specialist]],tblSalaries[[#This Row],[Salary in USD]],"")</f>
        <v/>
      </c>
    </row>
    <row r="1790" spans="2:30" ht="15" customHeight="1" x14ac:dyDescent="0.25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 s="9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  <c r="N1790" t="str">
        <f>IF(tblSalaries[[#This Row],[Years of Experience]]="","",IF(tblSalaries[[#This Row],[Years of Experience]]&lt;=2,1,""))</f>
        <v/>
      </c>
      <c r="O1790" t="str">
        <f>IF(tblSalaries[[#This Row],[Years of Experience]]="","",IF(AND(tblSalaries[[#This Row],[Years of Experience]]&gt;2,tblSalaries[[#This Row],[Years of Experience]]&lt;=5),1,""))</f>
        <v/>
      </c>
      <c r="P1790" t="str">
        <f>IF(tblSalaries[[#This Row],[Years of Experience]]="","",IF(AND(tblSalaries[[#This Row],[Years of Experience]]&gt;5,tblSalaries[[#This Row],[Years of Experience]]&lt;=10),1,""))</f>
        <v/>
      </c>
      <c r="Q1790" t="str">
        <f>IF(tblSalaries[[#This Row],[Years of Experience]]="","",IF(AND(tblSalaries[[#This Row],[Years of Experience]]&gt;10,tblSalaries[[#This Row],[Years of Experience]]&lt;=15),1,""))</f>
        <v/>
      </c>
      <c r="R1790">
        <f>IF(tblSalaries[[#This Row],[Years of Experience]]="","",IF(AND(tblSalaries[[#This Row],[Years of Experience]]&gt;16,tblSalaries[[#This Row],[Years of Experience]]&lt;=20),1,""))</f>
        <v>1</v>
      </c>
      <c r="S1790" t="str">
        <f>IF(tblSalaries[[#This Row],[Years of Experience]]="","",IF(tblSalaries[[#This Row],[Years of Experience]]&gt;20,1,""))</f>
        <v/>
      </c>
      <c r="T179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790" s="13">
        <f>IF(tblSalaries[[#This Row],[Job Type]]=tblSalaries[[#Headers],[Accountant]],tblSalaries[[#This Row],[Salary in USD]],"")</f>
        <v>120000</v>
      </c>
      <c r="V1790" s="13" t="str">
        <f>IF(tblSalaries[[#This Row],[Job Type]]=tblSalaries[[#Headers],[Analyst]],tblSalaries[[#This Row],[Salary in USD]],"")</f>
        <v/>
      </c>
      <c r="W1790" s="13" t="str">
        <f>IF(tblSalaries[[#This Row],[Job Type]]=tblSalaries[[#Headers],[Consultant]],tblSalaries[[#This Row],[Salary in USD]],"")</f>
        <v/>
      </c>
      <c r="X1790" s="13" t="str">
        <f>IF(tblSalaries[[#This Row],[Job Type]]=tblSalaries[[#Headers],[Controller]],tblSalaries[[#This Row],[Salary in USD]],"")</f>
        <v/>
      </c>
      <c r="Y1790" s="13" t="str">
        <f>IF(tblSalaries[[#This Row],[Job Type]]=tblSalaries[[#Headers],[CXO or Top Mgmt.]],tblSalaries[[#This Row],[clean Salary (in local currency)]],"")</f>
        <v/>
      </c>
      <c r="Z1790" s="13" t="str">
        <f>IF(tblSalaries[[#This Row],[Job Type]]=tblSalaries[[#Headers],[Engineer]],tblSalaries[[#This Row],[Salary in USD]],"")</f>
        <v/>
      </c>
      <c r="AA1790" s="13" t="str">
        <f>IF(tblSalaries[[#This Row],[Job Type]]=tblSalaries[[#Headers],[Manager]],tblSalaries[[#This Row],[Salary in USD]],"")</f>
        <v/>
      </c>
      <c r="AB1790" s="13" t="str">
        <f>IF(tblSalaries[[#This Row],[Job Type]]=tblSalaries[[#Headers],[Misc.]],tblSalaries[[#This Row],[Salary in USD]],"")</f>
        <v/>
      </c>
      <c r="AC1790" s="13" t="str">
        <f>IF(tblSalaries[[#This Row],[Job Type]]=tblSalaries[[#Headers],[Reporting]],tblSalaries[[#This Row],[Salary in USD]],"")</f>
        <v/>
      </c>
      <c r="AD1790" s="13" t="str">
        <f>IF(tblSalaries[[#This Row],[Job Type]]=tblSalaries[[#Headers],[Specialist]],tblSalaries[[#This Row],[Salary in USD]],"")</f>
        <v/>
      </c>
    </row>
    <row r="1791" spans="2:30" ht="15" customHeight="1" x14ac:dyDescent="0.25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 s="9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  <c r="N1791">
        <f>IF(tblSalaries[[#This Row],[Years of Experience]]="","",IF(tblSalaries[[#This Row],[Years of Experience]]&lt;=2,1,""))</f>
        <v>1</v>
      </c>
      <c r="O1791" t="str">
        <f>IF(tblSalaries[[#This Row],[Years of Experience]]="","",IF(AND(tblSalaries[[#This Row],[Years of Experience]]&gt;2,tblSalaries[[#This Row],[Years of Experience]]&lt;=5),1,""))</f>
        <v/>
      </c>
      <c r="P1791" t="str">
        <f>IF(tblSalaries[[#This Row],[Years of Experience]]="","",IF(AND(tblSalaries[[#This Row],[Years of Experience]]&gt;5,tblSalaries[[#This Row],[Years of Experience]]&lt;=10),1,""))</f>
        <v/>
      </c>
      <c r="Q1791" t="str">
        <f>IF(tblSalaries[[#This Row],[Years of Experience]]="","",IF(AND(tblSalaries[[#This Row],[Years of Experience]]&gt;10,tblSalaries[[#This Row],[Years of Experience]]&lt;=15),1,""))</f>
        <v/>
      </c>
      <c r="R1791" t="str">
        <f>IF(tblSalaries[[#This Row],[Years of Experience]]="","",IF(AND(tblSalaries[[#This Row],[Years of Experience]]&gt;16,tblSalaries[[#This Row],[Years of Experience]]&lt;=20),1,""))</f>
        <v/>
      </c>
      <c r="S1791" t="str">
        <f>IF(tblSalaries[[#This Row],[Years of Experience]]="","",IF(tblSalaries[[#This Row],[Years of Experience]]&gt;20,1,""))</f>
        <v/>
      </c>
      <c r="T179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91" s="13" t="str">
        <f>IF(tblSalaries[[#This Row],[Job Type]]=tblSalaries[[#Headers],[Accountant]],tblSalaries[[#This Row],[Salary in USD]],"")</f>
        <v/>
      </c>
      <c r="V1791" s="13">
        <f>IF(tblSalaries[[#This Row],[Job Type]]=tblSalaries[[#Headers],[Analyst]],tblSalaries[[#This Row],[Salary in USD]],"")</f>
        <v>20000</v>
      </c>
      <c r="W1791" s="13" t="str">
        <f>IF(tblSalaries[[#This Row],[Job Type]]=tblSalaries[[#Headers],[Consultant]],tblSalaries[[#This Row],[Salary in USD]],"")</f>
        <v/>
      </c>
      <c r="X1791" s="13" t="str">
        <f>IF(tblSalaries[[#This Row],[Job Type]]=tblSalaries[[#Headers],[Controller]],tblSalaries[[#This Row],[Salary in USD]],"")</f>
        <v/>
      </c>
      <c r="Y1791" s="13" t="str">
        <f>IF(tblSalaries[[#This Row],[Job Type]]=tblSalaries[[#Headers],[CXO or Top Mgmt.]],tblSalaries[[#This Row],[clean Salary (in local currency)]],"")</f>
        <v/>
      </c>
      <c r="Z1791" s="13" t="str">
        <f>IF(tblSalaries[[#This Row],[Job Type]]=tblSalaries[[#Headers],[Engineer]],tblSalaries[[#This Row],[Salary in USD]],"")</f>
        <v/>
      </c>
      <c r="AA1791" s="13" t="str">
        <f>IF(tblSalaries[[#This Row],[Job Type]]=tblSalaries[[#Headers],[Manager]],tblSalaries[[#This Row],[Salary in USD]],"")</f>
        <v/>
      </c>
      <c r="AB1791" s="13" t="str">
        <f>IF(tblSalaries[[#This Row],[Job Type]]=tblSalaries[[#Headers],[Misc.]],tblSalaries[[#This Row],[Salary in USD]],"")</f>
        <v/>
      </c>
      <c r="AC1791" s="13" t="str">
        <f>IF(tblSalaries[[#This Row],[Job Type]]=tblSalaries[[#Headers],[Reporting]],tblSalaries[[#This Row],[Salary in USD]],"")</f>
        <v/>
      </c>
      <c r="AD1791" s="13" t="str">
        <f>IF(tblSalaries[[#This Row],[Job Type]]=tblSalaries[[#Headers],[Specialist]],tblSalaries[[#This Row],[Salary in USD]],"")</f>
        <v/>
      </c>
    </row>
    <row r="1792" spans="2:30" ht="15" customHeight="1" x14ac:dyDescent="0.25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 s="9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  <c r="N1792">
        <f>IF(tblSalaries[[#This Row],[Years of Experience]]="","",IF(tblSalaries[[#This Row],[Years of Experience]]&lt;=2,1,""))</f>
        <v>1</v>
      </c>
      <c r="O1792" t="str">
        <f>IF(tblSalaries[[#This Row],[Years of Experience]]="","",IF(AND(tblSalaries[[#This Row],[Years of Experience]]&gt;2,tblSalaries[[#This Row],[Years of Experience]]&lt;=5),1,""))</f>
        <v/>
      </c>
      <c r="P1792" t="str">
        <f>IF(tblSalaries[[#This Row],[Years of Experience]]="","",IF(AND(tblSalaries[[#This Row],[Years of Experience]]&gt;5,tblSalaries[[#This Row],[Years of Experience]]&lt;=10),1,""))</f>
        <v/>
      </c>
      <c r="Q1792" t="str">
        <f>IF(tblSalaries[[#This Row],[Years of Experience]]="","",IF(AND(tblSalaries[[#This Row],[Years of Experience]]&gt;10,tblSalaries[[#This Row],[Years of Experience]]&lt;=15),1,""))</f>
        <v/>
      </c>
      <c r="R1792" t="str">
        <f>IF(tblSalaries[[#This Row],[Years of Experience]]="","",IF(AND(tblSalaries[[#This Row],[Years of Experience]]&gt;16,tblSalaries[[#This Row],[Years of Experience]]&lt;=20),1,""))</f>
        <v/>
      </c>
      <c r="S1792" t="str">
        <f>IF(tblSalaries[[#This Row],[Years of Experience]]="","",IF(tblSalaries[[#This Row],[Years of Experience]]&gt;20,1,""))</f>
        <v/>
      </c>
      <c r="T179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792" s="13" t="str">
        <f>IF(tblSalaries[[#This Row],[Job Type]]=tblSalaries[[#Headers],[Accountant]],tblSalaries[[#This Row],[Salary in USD]],"")</f>
        <v/>
      </c>
      <c r="V1792" s="13">
        <f>IF(tblSalaries[[#This Row],[Job Type]]=tblSalaries[[#Headers],[Analyst]],tblSalaries[[#This Row],[Salary in USD]],"")</f>
        <v>15000</v>
      </c>
      <c r="W1792" s="13" t="str">
        <f>IF(tblSalaries[[#This Row],[Job Type]]=tblSalaries[[#Headers],[Consultant]],tblSalaries[[#This Row],[Salary in USD]],"")</f>
        <v/>
      </c>
      <c r="X1792" s="13" t="str">
        <f>IF(tblSalaries[[#This Row],[Job Type]]=tblSalaries[[#Headers],[Controller]],tblSalaries[[#This Row],[Salary in USD]],"")</f>
        <v/>
      </c>
      <c r="Y1792" s="13" t="str">
        <f>IF(tblSalaries[[#This Row],[Job Type]]=tblSalaries[[#Headers],[CXO or Top Mgmt.]],tblSalaries[[#This Row],[clean Salary (in local currency)]],"")</f>
        <v/>
      </c>
      <c r="Z1792" s="13" t="str">
        <f>IF(tblSalaries[[#This Row],[Job Type]]=tblSalaries[[#Headers],[Engineer]],tblSalaries[[#This Row],[Salary in USD]],"")</f>
        <v/>
      </c>
      <c r="AA1792" s="13" t="str">
        <f>IF(tblSalaries[[#This Row],[Job Type]]=tblSalaries[[#Headers],[Manager]],tblSalaries[[#This Row],[Salary in USD]],"")</f>
        <v/>
      </c>
      <c r="AB1792" s="13" t="str">
        <f>IF(tblSalaries[[#This Row],[Job Type]]=tblSalaries[[#Headers],[Misc.]],tblSalaries[[#This Row],[Salary in USD]],"")</f>
        <v/>
      </c>
      <c r="AC1792" s="13" t="str">
        <f>IF(tblSalaries[[#This Row],[Job Type]]=tblSalaries[[#Headers],[Reporting]],tblSalaries[[#This Row],[Salary in USD]],"")</f>
        <v/>
      </c>
      <c r="AD1792" s="13" t="str">
        <f>IF(tblSalaries[[#This Row],[Job Type]]=tblSalaries[[#Headers],[Specialist]],tblSalaries[[#This Row],[Salary in USD]],"")</f>
        <v/>
      </c>
    </row>
    <row r="1793" spans="2:30" ht="15" customHeight="1" x14ac:dyDescent="0.25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 s="9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  <c r="N1793" t="str">
        <f>IF(tblSalaries[[#This Row],[Years of Experience]]="","",IF(tblSalaries[[#This Row],[Years of Experience]]&lt;=2,1,""))</f>
        <v/>
      </c>
      <c r="O1793" t="str">
        <f>IF(tblSalaries[[#This Row],[Years of Experience]]="","",IF(AND(tblSalaries[[#This Row],[Years of Experience]]&gt;2,tblSalaries[[#This Row],[Years of Experience]]&lt;=5),1,""))</f>
        <v/>
      </c>
      <c r="P1793">
        <f>IF(tblSalaries[[#This Row],[Years of Experience]]="","",IF(AND(tblSalaries[[#This Row],[Years of Experience]]&gt;5,tblSalaries[[#This Row],[Years of Experience]]&lt;=10),1,""))</f>
        <v>1</v>
      </c>
      <c r="Q1793" t="str">
        <f>IF(tblSalaries[[#This Row],[Years of Experience]]="","",IF(AND(tblSalaries[[#This Row],[Years of Experience]]&gt;10,tblSalaries[[#This Row],[Years of Experience]]&lt;=15),1,""))</f>
        <v/>
      </c>
      <c r="R1793" t="str">
        <f>IF(tblSalaries[[#This Row],[Years of Experience]]="","",IF(AND(tblSalaries[[#This Row],[Years of Experience]]&gt;16,tblSalaries[[#This Row],[Years of Experience]]&lt;=20),1,""))</f>
        <v/>
      </c>
      <c r="S1793" t="str">
        <f>IF(tblSalaries[[#This Row],[Years of Experience]]="","",IF(tblSalaries[[#This Row],[Years of Experience]]&gt;20,1,""))</f>
        <v/>
      </c>
      <c r="T179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3" s="13" t="str">
        <f>IF(tblSalaries[[#This Row],[Job Type]]=tblSalaries[[#Headers],[Accountant]],tblSalaries[[#This Row],[Salary in USD]],"")</f>
        <v/>
      </c>
      <c r="V1793" s="13" t="str">
        <f>IF(tblSalaries[[#This Row],[Job Type]]=tblSalaries[[#Headers],[Analyst]],tblSalaries[[#This Row],[Salary in USD]],"")</f>
        <v/>
      </c>
      <c r="W1793" s="13" t="str">
        <f>IF(tblSalaries[[#This Row],[Job Type]]=tblSalaries[[#Headers],[Consultant]],tblSalaries[[#This Row],[Salary in USD]],"")</f>
        <v/>
      </c>
      <c r="X1793" s="13" t="str">
        <f>IF(tblSalaries[[#This Row],[Job Type]]=tblSalaries[[#Headers],[Controller]],tblSalaries[[#This Row],[Salary in USD]],"")</f>
        <v/>
      </c>
      <c r="Y1793" s="13" t="str">
        <f>IF(tblSalaries[[#This Row],[Job Type]]=tblSalaries[[#Headers],[CXO or Top Mgmt.]],tblSalaries[[#This Row],[clean Salary (in local currency)]],"")</f>
        <v/>
      </c>
      <c r="Z1793" s="13" t="str">
        <f>IF(tblSalaries[[#This Row],[Job Type]]=tblSalaries[[#Headers],[Engineer]],tblSalaries[[#This Row],[Salary in USD]],"")</f>
        <v/>
      </c>
      <c r="AA1793" s="13">
        <f>IF(tblSalaries[[#This Row],[Job Type]]=tblSalaries[[#Headers],[Manager]],tblSalaries[[#This Row],[Salary in USD]],"")</f>
        <v>17807.916687442568</v>
      </c>
      <c r="AB1793" s="13" t="str">
        <f>IF(tblSalaries[[#This Row],[Job Type]]=tblSalaries[[#Headers],[Misc.]],tblSalaries[[#This Row],[Salary in USD]],"")</f>
        <v/>
      </c>
      <c r="AC1793" s="13" t="str">
        <f>IF(tblSalaries[[#This Row],[Job Type]]=tblSalaries[[#Headers],[Reporting]],tblSalaries[[#This Row],[Salary in USD]],"")</f>
        <v/>
      </c>
      <c r="AD1793" s="13" t="str">
        <f>IF(tblSalaries[[#This Row],[Job Type]]=tblSalaries[[#Headers],[Specialist]],tblSalaries[[#This Row],[Salary in USD]],"")</f>
        <v/>
      </c>
    </row>
    <row r="1794" spans="2:30" ht="15" customHeight="1" x14ac:dyDescent="0.25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 s="9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  <c r="N1794" t="str">
        <f>IF(tblSalaries[[#This Row],[Years of Experience]]="","",IF(tblSalaries[[#This Row],[Years of Experience]]&lt;=2,1,""))</f>
        <v/>
      </c>
      <c r="O1794" t="str">
        <f>IF(tblSalaries[[#This Row],[Years of Experience]]="","",IF(AND(tblSalaries[[#This Row],[Years of Experience]]&gt;2,tblSalaries[[#This Row],[Years of Experience]]&lt;=5),1,""))</f>
        <v/>
      </c>
      <c r="P1794">
        <f>IF(tblSalaries[[#This Row],[Years of Experience]]="","",IF(AND(tblSalaries[[#This Row],[Years of Experience]]&gt;5,tblSalaries[[#This Row],[Years of Experience]]&lt;=10),1,""))</f>
        <v>1</v>
      </c>
      <c r="Q1794" t="str">
        <f>IF(tblSalaries[[#This Row],[Years of Experience]]="","",IF(AND(tblSalaries[[#This Row],[Years of Experience]]&gt;10,tblSalaries[[#This Row],[Years of Experience]]&lt;=15),1,""))</f>
        <v/>
      </c>
      <c r="R1794" t="str">
        <f>IF(tblSalaries[[#This Row],[Years of Experience]]="","",IF(AND(tblSalaries[[#This Row],[Years of Experience]]&gt;16,tblSalaries[[#This Row],[Years of Experience]]&lt;=20),1,""))</f>
        <v/>
      </c>
      <c r="S1794" t="str">
        <f>IF(tblSalaries[[#This Row],[Years of Experience]]="","",IF(tblSalaries[[#This Row],[Years of Experience]]&gt;20,1,""))</f>
        <v/>
      </c>
      <c r="T179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4" s="13" t="str">
        <f>IF(tblSalaries[[#This Row],[Job Type]]=tblSalaries[[#Headers],[Accountant]],tblSalaries[[#This Row],[Salary in USD]],"")</f>
        <v/>
      </c>
      <c r="V1794" s="13" t="str">
        <f>IF(tblSalaries[[#This Row],[Job Type]]=tblSalaries[[#Headers],[Analyst]],tblSalaries[[#This Row],[Salary in USD]],"")</f>
        <v/>
      </c>
      <c r="W1794" s="13" t="str">
        <f>IF(tblSalaries[[#This Row],[Job Type]]=tblSalaries[[#Headers],[Consultant]],tblSalaries[[#This Row],[Salary in USD]],"")</f>
        <v/>
      </c>
      <c r="X1794" s="13" t="str">
        <f>IF(tblSalaries[[#This Row],[Job Type]]=tblSalaries[[#Headers],[Controller]],tblSalaries[[#This Row],[Salary in USD]],"")</f>
        <v/>
      </c>
      <c r="Y1794" s="13" t="str">
        <f>IF(tblSalaries[[#This Row],[Job Type]]=tblSalaries[[#Headers],[CXO or Top Mgmt.]],tblSalaries[[#This Row],[clean Salary (in local currency)]],"")</f>
        <v/>
      </c>
      <c r="Z1794" s="13" t="str">
        <f>IF(tblSalaries[[#This Row],[Job Type]]=tblSalaries[[#Headers],[Engineer]],tblSalaries[[#This Row],[Salary in USD]],"")</f>
        <v/>
      </c>
      <c r="AA1794" s="13">
        <f>IF(tblSalaries[[#This Row],[Job Type]]=tblSalaries[[#Headers],[Manager]],tblSalaries[[#This Row],[Salary in USD]],"")</f>
        <v>16027.125018698311</v>
      </c>
      <c r="AB1794" s="13" t="str">
        <f>IF(tblSalaries[[#This Row],[Job Type]]=tblSalaries[[#Headers],[Misc.]],tblSalaries[[#This Row],[Salary in USD]],"")</f>
        <v/>
      </c>
      <c r="AC1794" s="13" t="str">
        <f>IF(tblSalaries[[#This Row],[Job Type]]=tblSalaries[[#Headers],[Reporting]],tblSalaries[[#This Row],[Salary in USD]],"")</f>
        <v/>
      </c>
      <c r="AD1794" s="13" t="str">
        <f>IF(tblSalaries[[#This Row],[Job Type]]=tblSalaries[[#Headers],[Specialist]],tblSalaries[[#This Row],[Salary in USD]],"")</f>
        <v/>
      </c>
    </row>
    <row r="1795" spans="2:30" ht="15" customHeight="1" x14ac:dyDescent="0.25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 s="9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  <c r="N1795" t="str">
        <f>IF(tblSalaries[[#This Row],[Years of Experience]]="","",IF(tblSalaries[[#This Row],[Years of Experience]]&lt;=2,1,""))</f>
        <v/>
      </c>
      <c r="O1795" t="str">
        <f>IF(tblSalaries[[#This Row],[Years of Experience]]="","",IF(AND(tblSalaries[[#This Row],[Years of Experience]]&gt;2,tblSalaries[[#This Row],[Years of Experience]]&lt;=5),1,""))</f>
        <v/>
      </c>
      <c r="P1795">
        <f>IF(tblSalaries[[#This Row],[Years of Experience]]="","",IF(AND(tblSalaries[[#This Row],[Years of Experience]]&gt;5,tblSalaries[[#This Row],[Years of Experience]]&lt;=10),1,""))</f>
        <v>1</v>
      </c>
      <c r="Q1795" t="str">
        <f>IF(tblSalaries[[#This Row],[Years of Experience]]="","",IF(AND(tblSalaries[[#This Row],[Years of Experience]]&gt;10,tblSalaries[[#This Row],[Years of Experience]]&lt;=15),1,""))</f>
        <v/>
      </c>
      <c r="R1795" t="str">
        <f>IF(tblSalaries[[#This Row],[Years of Experience]]="","",IF(AND(tblSalaries[[#This Row],[Years of Experience]]&gt;16,tblSalaries[[#This Row],[Years of Experience]]&lt;=20),1,""))</f>
        <v/>
      </c>
      <c r="S1795" t="str">
        <f>IF(tblSalaries[[#This Row],[Years of Experience]]="","",IF(tblSalaries[[#This Row],[Years of Experience]]&gt;20,1,""))</f>
        <v/>
      </c>
      <c r="T179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5" s="13" t="str">
        <f>IF(tblSalaries[[#This Row],[Job Type]]=tblSalaries[[#Headers],[Accountant]],tblSalaries[[#This Row],[Salary in USD]],"")</f>
        <v/>
      </c>
      <c r="V1795" s="13" t="str">
        <f>IF(tblSalaries[[#This Row],[Job Type]]=tblSalaries[[#Headers],[Analyst]],tblSalaries[[#This Row],[Salary in USD]],"")</f>
        <v/>
      </c>
      <c r="W1795" s="13" t="str">
        <f>IF(tblSalaries[[#This Row],[Job Type]]=tblSalaries[[#Headers],[Consultant]],tblSalaries[[#This Row],[Salary in USD]],"")</f>
        <v/>
      </c>
      <c r="X1795" s="13" t="str">
        <f>IF(tblSalaries[[#This Row],[Job Type]]=tblSalaries[[#Headers],[Controller]],tblSalaries[[#This Row],[Salary in USD]],"")</f>
        <v/>
      </c>
      <c r="Y1795" s="13" t="str">
        <f>IF(tblSalaries[[#This Row],[Job Type]]=tblSalaries[[#Headers],[CXO or Top Mgmt.]],tblSalaries[[#This Row],[clean Salary (in local currency)]],"")</f>
        <v/>
      </c>
      <c r="Z1795" s="13" t="str">
        <f>IF(tblSalaries[[#This Row],[Job Type]]=tblSalaries[[#Headers],[Engineer]],tblSalaries[[#This Row],[Salary in USD]],"")</f>
        <v/>
      </c>
      <c r="AA1795" s="13">
        <f>IF(tblSalaries[[#This Row],[Job Type]]=tblSalaries[[#Headers],[Manager]],tblSalaries[[#This Row],[Salary in USD]],"")</f>
        <v>56742.417794422225</v>
      </c>
      <c r="AB1795" s="13" t="str">
        <f>IF(tblSalaries[[#This Row],[Job Type]]=tblSalaries[[#Headers],[Misc.]],tblSalaries[[#This Row],[Salary in USD]],"")</f>
        <v/>
      </c>
      <c r="AC1795" s="13" t="str">
        <f>IF(tblSalaries[[#This Row],[Job Type]]=tblSalaries[[#Headers],[Reporting]],tblSalaries[[#This Row],[Salary in USD]],"")</f>
        <v/>
      </c>
      <c r="AD1795" s="13" t="str">
        <f>IF(tblSalaries[[#This Row],[Job Type]]=tblSalaries[[#Headers],[Specialist]],tblSalaries[[#This Row],[Salary in USD]],"")</f>
        <v/>
      </c>
    </row>
    <row r="1796" spans="2:30" ht="15" customHeight="1" x14ac:dyDescent="0.25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 s="9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  <c r="N1796" t="str">
        <f>IF(tblSalaries[[#This Row],[Years of Experience]]="","",IF(tblSalaries[[#This Row],[Years of Experience]]&lt;=2,1,""))</f>
        <v/>
      </c>
      <c r="O1796" t="str">
        <f>IF(tblSalaries[[#This Row],[Years of Experience]]="","",IF(AND(tblSalaries[[#This Row],[Years of Experience]]&gt;2,tblSalaries[[#This Row],[Years of Experience]]&lt;=5),1,""))</f>
        <v/>
      </c>
      <c r="P1796">
        <f>IF(tblSalaries[[#This Row],[Years of Experience]]="","",IF(AND(tblSalaries[[#This Row],[Years of Experience]]&gt;5,tblSalaries[[#This Row],[Years of Experience]]&lt;=10),1,""))</f>
        <v>1</v>
      </c>
      <c r="Q1796" t="str">
        <f>IF(tblSalaries[[#This Row],[Years of Experience]]="","",IF(AND(tblSalaries[[#This Row],[Years of Experience]]&gt;10,tblSalaries[[#This Row],[Years of Experience]]&lt;=15),1,""))</f>
        <v/>
      </c>
      <c r="R1796" t="str">
        <f>IF(tblSalaries[[#This Row],[Years of Experience]]="","",IF(AND(tblSalaries[[#This Row],[Years of Experience]]&gt;16,tblSalaries[[#This Row],[Years of Experience]]&lt;=20),1,""))</f>
        <v/>
      </c>
      <c r="S1796" t="str">
        <f>IF(tblSalaries[[#This Row],[Years of Experience]]="","",IF(tblSalaries[[#This Row],[Years of Experience]]&gt;20,1,""))</f>
        <v/>
      </c>
      <c r="T179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6" s="13" t="str">
        <f>IF(tblSalaries[[#This Row],[Job Type]]=tblSalaries[[#Headers],[Accountant]],tblSalaries[[#This Row],[Salary in USD]],"")</f>
        <v/>
      </c>
      <c r="V1796" s="13" t="str">
        <f>IF(tblSalaries[[#This Row],[Job Type]]=tblSalaries[[#Headers],[Analyst]],tblSalaries[[#This Row],[Salary in USD]],"")</f>
        <v/>
      </c>
      <c r="W1796" s="13" t="str">
        <f>IF(tblSalaries[[#This Row],[Job Type]]=tblSalaries[[#Headers],[Consultant]],tblSalaries[[#This Row],[Salary in USD]],"")</f>
        <v/>
      </c>
      <c r="X1796" s="13" t="str">
        <f>IF(tblSalaries[[#This Row],[Job Type]]=tblSalaries[[#Headers],[Controller]],tblSalaries[[#This Row],[Salary in USD]],"")</f>
        <v/>
      </c>
      <c r="Y1796" s="13" t="str">
        <f>IF(tblSalaries[[#This Row],[Job Type]]=tblSalaries[[#Headers],[CXO or Top Mgmt.]],tblSalaries[[#This Row],[clean Salary (in local currency)]],"")</f>
        <v/>
      </c>
      <c r="Z1796" s="13" t="str">
        <f>IF(tblSalaries[[#This Row],[Job Type]]=tblSalaries[[#Headers],[Engineer]],tblSalaries[[#This Row],[Salary in USD]],"")</f>
        <v/>
      </c>
      <c r="AA1796" s="13">
        <f>IF(tblSalaries[[#This Row],[Job Type]]=tblSalaries[[#Headers],[Manager]],tblSalaries[[#This Row],[Salary in USD]],"")</f>
        <v>21369.500024931083</v>
      </c>
      <c r="AB1796" s="13" t="str">
        <f>IF(tblSalaries[[#This Row],[Job Type]]=tblSalaries[[#Headers],[Misc.]],tblSalaries[[#This Row],[Salary in USD]],"")</f>
        <v/>
      </c>
      <c r="AC1796" s="13" t="str">
        <f>IF(tblSalaries[[#This Row],[Job Type]]=tblSalaries[[#Headers],[Reporting]],tblSalaries[[#This Row],[Salary in USD]],"")</f>
        <v/>
      </c>
      <c r="AD1796" s="13" t="str">
        <f>IF(tblSalaries[[#This Row],[Job Type]]=tblSalaries[[#Headers],[Specialist]],tblSalaries[[#This Row],[Salary in USD]],"")</f>
        <v/>
      </c>
    </row>
    <row r="1797" spans="2:30" ht="15" customHeight="1" x14ac:dyDescent="0.25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 s="9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  <c r="N1797" t="str">
        <f>IF(tblSalaries[[#This Row],[Years of Experience]]="","",IF(tblSalaries[[#This Row],[Years of Experience]]&lt;=2,1,""))</f>
        <v/>
      </c>
      <c r="O1797" t="str">
        <f>IF(tblSalaries[[#This Row],[Years of Experience]]="","",IF(AND(tblSalaries[[#This Row],[Years of Experience]]&gt;2,tblSalaries[[#This Row],[Years of Experience]]&lt;=5),1,""))</f>
        <v/>
      </c>
      <c r="P1797">
        <f>IF(tblSalaries[[#This Row],[Years of Experience]]="","",IF(AND(tblSalaries[[#This Row],[Years of Experience]]&gt;5,tblSalaries[[#This Row],[Years of Experience]]&lt;=10),1,""))</f>
        <v>1</v>
      </c>
      <c r="Q1797" t="str">
        <f>IF(tblSalaries[[#This Row],[Years of Experience]]="","",IF(AND(tblSalaries[[#This Row],[Years of Experience]]&gt;10,tblSalaries[[#This Row],[Years of Experience]]&lt;=15),1,""))</f>
        <v/>
      </c>
      <c r="R1797" t="str">
        <f>IF(tblSalaries[[#This Row],[Years of Experience]]="","",IF(AND(tblSalaries[[#This Row],[Years of Experience]]&gt;16,tblSalaries[[#This Row],[Years of Experience]]&lt;=20),1,""))</f>
        <v/>
      </c>
      <c r="S1797" t="str">
        <f>IF(tblSalaries[[#This Row],[Years of Experience]]="","",IF(tblSalaries[[#This Row],[Years of Experience]]&gt;20,1,""))</f>
        <v/>
      </c>
      <c r="T179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7" s="13">
        <f>IF(tblSalaries[[#This Row],[Job Type]]=tblSalaries[[#Headers],[Accountant]],tblSalaries[[#This Row],[Salary in USD]],"")</f>
        <v>7568.3645921630914</v>
      </c>
      <c r="V1797" s="13" t="str">
        <f>IF(tblSalaries[[#This Row],[Job Type]]=tblSalaries[[#Headers],[Analyst]],tblSalaries[[#This Row],[Salary in USD]],"")</f>
        <v/>
      </c>
      <c r="W1797" s="13" t="str">
        <f>IF(tblSalaries[[#This Row],[Job Type]]=tblSalaries[[#Headers],[Consultant]],tblSalaries[[#This Row],[Salary in USD]],"")</f>
        <v/>
      </c>
      <c r="X1797" s="13" t="str">
        <f>IF(tblSalaries[[#This Row],[Job Type]]=tblSalaries[[#Headers],[Controller]],tblSalaries[[#This Row],[Salary in USD]],"")</f>
        <v/>
      </c>
      <c r="Y1797" s="13" t="str">
        <f>IF(tblSalaries[[#This Row],[Job Type]]=tblSalaries[[#Headers],[CXO or Top Mgmt.]],tblSalaries[[#This Row],[clean Salary (in local currency)]],"")</f>
        <v/>
      </c>
      <c r="Z1797" s="13" t="str">
        <f>IF(tblSalaries[[#This Row],[Job Type]]=tblSalaries[[#Headers],[Engineer]],tblSalaries[[#This Row],[Salary in USD]],"")</f>
        <v/>
      </c>
      <c r="AA1797" s="13" t="str">
        <f>IF(tblSalaries[[#This Row],[Job Type]]=tblSalaries[[#Headers],[Manager]],tblSalaries[[#This Row],[Salary in USD]],"")</f>
        <v/>
      </c>
      <c r="AB1797" s="13" t="str">
        <f>IF(tblSalaries[[#This Row],[Job Type]]=tblSalaries[[#Headers],[Misc.]],tblSalaries[[#This Row],[Salary in USD]],"")</f>
        <v/>
      </c>
      <c r="AC1797" s="13" t="str">
        <f>IF(tblSalaries[[#This Row],[Job Type]]=tblSalaries[[#Headers],[Reporting]],tblSalaries[[#This Row],[Salary in USD]],"")</f>
        <v/>
      </c>
      <c r="AD1797" s="13" t="str">
        <f>IF(tblSalaries[[#This Row],[Job Type]]=tblSalaries[[#Headers],[Specialist]],tblSalaries[[#This Row],[Salary in USD]],"")</f>
        <v/>
      </c>
    </row>
    <row r="1798" spans="2:30" ht="15" customHeight="1" x14ac:dyDescent="0.25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 s="9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  <c r="N1798" t="str">
        <f>IF(tblSalaries[[#This Row],[Years of Experience]]="","",IF(tblSalaries[[#This Row],[Years of Experience]]&lt;=2,1,""))</f>
        <v/>
      </c>
      <c r="O1798" t="str">
        <f>IF(tblSalaries[[#This Row],[Years of Experience]]="","",IF(AND(tblSalaries[[#This Row],[Years of Experience]]&gt;2,tblSalaries[[#This Row],[Years of Experience]]&lt;=5),1,""))</f>
        <v/>
      </c>
      <c r="P1798">
        <f>IF(tblSalaries[[#This Row],[Years of Experience]]="","",IF(AND(tblSalaries[[#This Row],[Years of Experience]]&gt;5,tblSalaries[[#This Row],[Years of Experience]]&lt;=10),1,""))</f>
        <v>1</v>
      </c>
      <c r="Q1798" t="str">
        <f>IF(tblSalaries[[#This Row],[Years of Experience]]="","",IF(AND(tblSalaries[[#This Row],[Years of Experience]]&gt;10,tblSalaries[[#This Row],[Years of Experience]]&lt;=15),1,""))</f>
        <v/>
      </c>
      <c r="R1798" t="str">
        <f>IF(tblSalaries[[#This Row],[Years of Experience]]="","",IF(AND(tblSalaries[[#This Row],[Years of Experience]]&gt;16,tblSalaries[[#This Row],[Years of Experience]]&lt;=20),1,""))</f>
        <v/>
      </c>
      <c r="S1798" t="str">
        <f>IF(tblSalaries[[#This Row],[Years of Experience]]="","",IF(tblSalaries[[#This Row],[Years of Experience]]&gt;20,1,""))</f>
        <v/>
      </c>
      <c r="T179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798" s="13">
        <f>IF(tblSalaries[[#This Row],[Job Type]]=tblSalaries[[#Headers],[Accountant]],tblSalaries[[#This Row],[Salary in USD]],"")</f>
        <v>78808.913603364199</v>
      </c>
      <c r="V1798" s="13" t="str">
        <f>IF(tblSalaries[[#This Row],[Job Type]]=tblSalaries[[#Headers],[Analyst]],tblSalaries[[#This Row],[Salary in USD]],"")</f>
        <v/>
      </c>
      <c r="W1798" s="13" t="str">
        <f>IF(tblSalaries[[#This Row],[Job Type]]=tblSalaries[[#Headers],[Consultant]],tblSalaries[[#This Row],[Salary in USD]],"")</f>
        <v/>
      </c>
      <c r="X1798" s="13" t="str">
        <f>IF(tblSalaries[[#This Row],[Job Type]]=tblSalaries[[#Headers],[Controller]],tblSalaries[[#This Row],[Salary in USD]],"")</f>
        <v/>
      </c>
      <c r="Y1798" s="13" t="str">
        <f>IF(tblSalaries[[#This Row],[Job Type]]=tblSalaries[[#Headers],[CXO or Top Mgmt.]],tblSalaries[[#This Row],[clean Salary (in local currency)]],"")</f>
        <v/>
      </c>
      <c r="Z1798" s="13" t="str">
        <f>IF(tblSalaries[[#This Row],[Job Type]]=tblSalaries[[#Headers],[Engineer]],tblSalaries[[#This Row],[Salary in USD]],"")</f>
        <v/>
      </c>
      <c r="AA1798" s="13" t="str">
        <f>IF(tblSalaries[[#This Row],[Job Type]]=tblSalaries[[#Headers],[Manager]],tblSalaries[[#This Row],[Salary in USD]],"")</f>
        <v/>
      </c>
      <c r="AB1798" s="13" t="str">
        <f>IF(tblSalaries[[#This Row],[Job Type]]=tblSalaries[[#Headers],[Misc.]],tblSalaries[[#This Row],[Salary in USD]],"")</f>
        <v/>
      </c>
      <c r="AC1798" s="13" t="str">
        <f>IF(tblSalaries[[#This Row],[Job Type]]=tblSalaries[[#Headers],[Reporting]],tblSalaries[[#This Row],[Salary in USD]],"")</f>
        <v/>
      </c>
      <c r="AD1798" s="13" t="str">
        <f>IF(tblSalaries[[#This Row],[Job Type]]=tblSalaries[[#Headers],[Specialist]],tblSalaries[[#This Row],[Salary in USD]],"")</f>
        <v/>
      </c>
    </row>
    <row r="1799" spans="2:30" ht="15" customHeight="1" x14ac:dyDescent="0.25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 s="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  <c r="N1799" t="str">
        <f>IF(tblSalaries[[#This Row],[Years of Experience]]="","",IF(tblSalaries[[#This Row],[Years of Experience]]&lt;=2,1,""))</f>
        <v/>
      </c>
      <c r="O1799" t="str">
        <f>IF(tblSalaries[[#This Row],[Years of Experience]]="","",IF(AND(tblSalaries[[#This Row],[Years of Experience]]&gt;2,tblSalaries[[#This Row],[Years of Experience]]&lt;=5),1,""))</f>
        <v/>
      </c>
      <c r="P1799" t="str">
        <f>IF(tblSalaries[[#This Row],[Years of Experience]]="","",IF(AND(tblSalaries[[#This Row],[Years of Experience]]&gt;5,tblSalaries[[#This Row],[Years of Experience]]&lt;=10),1,""))</f>
        <v/>
      </c>
      <c r="Q1799">
        <f>IF(tblSalaries[[#This Row],[Years of Experience]]="","",IF(AND(tblSalaries[[#This Row],[Years of Experience]]&gt;10,tblSalaries[[#This Row],[Years of Experience]]&lt;=15),1,""))</f>
        <v>1</v>
      </c>
      <c r="R1799" t="str">
        <f>IF(tblSalaries[[#This Row],[Years of Experience]]="","",IF(AND(tblSalaries[[#This Row],[Years of Experience]]&gt;16,tblSalaries[[#This Row],[Years of Experience]]&lt;=20),1,""))</f>
        <v/>
      </c>
      <c r="S1799" t="str">
        <f>IF(tblSalaries[[#This Row],[Years of Experience]]="","",IF(tblSalaries[[#This Row],[Years of Experience]]&gt;20,1,""))</f>
        <v/>
      </c>
      <c r="T179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799" s="13" t="str">
        <f>IF(tblSalaries[[#This Row],[Job Type]]=tblSalaries[[#Headers],[Accountant]],tblSalaries[[#This Row],[Salary in USD]],"")</f>
        <v/>
      </c>
      <c r="V1799" s="13">
        <f>IF(tblSalaries[[#This Row],[Job Type]]=tblSalaries[[#Headers],[Analyst]],tblSalaries[[#This Row],[Salary in USD]],"")</f>
        <v>60000</v>
      </c>
      <c r="W1799" s="13" t="str">
        <f>IF(tblSalaries[[#This Row],[Job Type]]=tblSalaries[[#Headers],[Consultant]],tblSalaries[[#This Row],[Salary in USD]],"")</f>
        <v/>
      </c>
      <c r="X1799" s="13" t="str">
        <f>IF(tblSalaries[[#This Row],[Job Type]]=tblSalaries[[#Headers],[Controller]],tblSalaries[[#This Row],[Salary in USD]],"")</f>
        <v/>
      </c>
      <c r="Y1799" s="13" t="str">
        <f>IF(tblSalaries[[#This Row],[Job Type]]=tblSalaries[[#Headers],[CXO or Top Mgmt.]],tblSalaries[[#This Row],[clean Salary (in local currency)]],"")</f>
        <v/>
      </c>
      <c r="Z1799" s="13" t="str">
        <f>IF(tblSalaries[[#This Row],[Job Type]]=tblSalaries[[#Headers],[Engineer]],tblSalaries[[#This Row],[Salary in USD]],"")</f>
        <v/>
      </c>
      <c r="AA1799" s="13" t="str">
        <f>IF(tblSalaries[[#This Row],[Job Type]]=tblSalaries[[#Headers],[Manager]],tblSalaries[[#This Row],[Salary in USD]],"")</f>
        <v/>
      </c>
      <c r="AB1799" s="13" t="str">
        <f>IF(tblSalaries[[#This Row],[Job Type]]=tblSalaries[[#Headers],[Misc.]],tblSalaries[[#This Row],[Salary in USD]],"")</f>
        <v/>
      </c>
      <c r="AC1799" s="13" t="str">
        <f>IF(tblSalaries[[#This Row],[Job Type]]=tblSalaries[[#Headers],[Reporting]],tblSalaries[[#This Row],[Salary in USD]],"")</f>
        <v/>
      </c>
      <c r="AD1799" s="13" t="str">
        <f>IF(tblSalaries[[#This Row],[Job Type]]=tblSalaries[[#Headers],[Specialist]],tblSalaries[[#This Row],[Salary in USD]],"")</f>
        <v/>
      </c>
    </row>
    <row r="1800" spans="2:30" ht="15" customHeight="1" x14ac:dyDescent="0.25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 s="9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  <c r="N1800" t="str">
        <f>IF(tblSalaries[[#This Row],[Years of Experience]]="","",IF(tblSalaries[[#This Row],[Years of Experience]]&lt;=2,1,""))</f>
        <v/>
      </c>
      <c r="O1800" t="str">
        <f>IF(tblSalaries[[#This Row],[Years of Experience]]="","",IF(AND(tblSalaries[[#This Row],[Years of Experience]]&gt;2,tblSalaries[[#This Row],[Years of Experience]]&lt;=5),1,""))</f>
        <v/>
      </c>
      <c r="P1800">
        <f>IF(tblSalaries[[#This Row],[Years of Experience]]="","",IF(AND(tblSalaries[[#This Row],[Years of Experience]]&gt;5,tblSalaries[[#This Row],[Years of Experience]]&lt;=10),1,""))</f>
        <v>1</v>
      </c>
      <c r="Q1800" t="str">
        <f>IF(tblSalaries[[#This Row],[Years of Experience]]="","",IF(AND(tblSalaries[[#This Row],[Years of Experience]]&gt;10,tblSalaries[[#This Row],[Years of Experience]]&lt;=15),1,""))</f>
        <v/>
      </c>
      <c r="R1800" t="str">
        <f>IF(tblSalaries[[#This Row],[Years of Experience]]="","",IF(AND(tblSalaries[[#This Row],[Years of Experience]]&gt;16,tblSalaries[[#This Row],[Years of Experience]]&lt;=20),1,""))</f>
        <v/>
      </c>
      <c r="S1800" t="str">
        <f>IF(tblSalaries[[#This Row],[Years of Experience]]="","",IF(tblSalaries[[#This Row],[Years of Experience]]&gt;20,1,""))</f>
        <v/>
      </c>
      <c r="T180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00" s="13">
        <f>IF(tblSalaries[[#This Row],[Job Type]]=tblSalaries[[#Headers],[Accountant]],tblSalaries[[#This Row],[Salary in USD]],"")</f>
        <v>57000</v>
      </c>
      <c r="V1800" s="13" t="str">
        <f>IF(tblSalaries[[#This Row],[Job Type]]=tblSalaries[[#Headers],[Analyst]],tblSalaries[[#This Row],[Salary in USD]],"")</f>
        <v/>
      </c>
      <c r="W1800" s="13" t="str">
        <f>IF(tblSalaries[[#This Row],[Job Type]]=tblSalaries[[#Headers],[Consultant]],tblSalaries[[#This Row],[Salary in USD]],"")</f>
        <v/>
      </c>
      <c r="X1800" s="13" t="str">
        <f>IF(tblSalaries[[#This Row],[Job Type]]=tblSalaries[[#Headers],[Controller]],tblSalaries[[#This Row],[Salary in USD]],"")</f>
        <v/>
      </c>
      <c r="Y1800" s="13" t="str">
        <f>IF(tblSalaries[[#This Row],[Job Type]]=tblSalaries[[#Headers],[CXO or Top Mgmt.]],tblSalaries[[#This Row],[clean Salary (in local currency)]],"")</f>
        <v/>
      </c>
      <c r="Z1800" s="13" t="str">
        <f>IF(tblSalaries[[#This Row],[Job Type]]=tblSalaries[[#Headers],[Engineer]],tblSalaries[[#This Row],[Salary in USD]],"")</f>
        <v/>
      </c>
      <c r="AA1800" s="13" t="str">
        <f>IF(tblSalaries[[#This Row],[Job Type]]=tblSalaries[[#Headers],[Manager]],tblSalaries[[#This Row],[Salary in USD]],"")</f>
        <v/>
      </c>
      <c r="AB1800" s="13" t="str">
        <f>IF(tblSalaries[[#This Row],[Job Type]]=tblSalaries[[#Headers],[Misc.]],tblSalaries[[#This Row],[Salary in USD]],"")</f>
        <v/>
      </c>
      <c r="AC1800" s="13" t="str">
        <f>IF(tblSalaries[[#This Row],[Job Type]]=tblSalaries[[#Headers],[Reporting]],tblSalaries[[#This Row],[Salary in USD]],"")</f>
        <v/>
      </c>
      <c r="AD1800" s="13" t="str">
        <f>IF(tblSalaries[[#This Row],[Job Type]]=tblSalaries[[#Headers],[Specialist]],tblSalaries[[#This Row],[Salary in USD]],"")</f>
        <v/>
      </c>
    </row>
    <row r="1801" spans="2:30" ht="15" customHeight="1" x14ac:dyDescent="0.25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 s="9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  <c r="N1801">
        <f>IF(tblSalaries[[#This Row],[Years of Experience]]="","",IF(tblSalaries[[#This Row],[Years of Experience]]&lt;=2,1,""))</f>
        <v>1</v>
      </c>
      <c r="O1801" t="str">
        <f>IF(tblSalaries[[#This Row],[Years of Experience]]="","",IF(AND(tblSalaries[[#This Row],[Years of Experience]]&gt;2,tblSalaries[[#This Row],[Years of Experience]]&lt;=5),1,""))</f>
        <v/>
      </c>
      <c r="P1801" t="str">
        <f>IF(tblSalaries[[#This Row],[Years of Experience]]="","",IF(AND(tblSalaries[[#This Row],[Years of Experience]]&gt;5,tblSalaries[[#This Row],[Years of Experience]]&lt;=10),1,""))</f>
        <v/>
      </c>
      <c r="Q1801" t="str">
        <f>IF(tblSalaries[[#This Row],[Years of Experience]]="","",IF(AND(tblSalaries[[#This Row],[Years of Experience]]&gt;10,tblSalaries[[#This Row],[Years of Experience]]&lt;=15),1,""))</f>
        <v/>
      </c>
      <c r="R1801" t="str">
        <f>IF(tblSalaries[[#This Row],[Years of Experience]]="","",IF(AND(tblSalaries[[#This Row],[Years of Experience]]&gt;16,tblSalaries[[#This Row],[Years of Experience]]&lt;=20),1,""))</f>
        <v/>
      </c>
      <c r="S1801" t="str">
        <f>IF(tblSalaries[[#This Row],[Years of Experience]]="","",IF(tblSalaries[[#This Row],[Years of Experience]]&gt;20,1,""))</f>
        <v/>
      </c>
      <c r="T180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01" s="13" t="str">
        <f>IF(tblSalaries[[#This Row],[Job Type]]=tblSalaries[[#Headers],[Accountant]],tblSalaries[[#This Row],[Salary in USD]],"")</f>
        <v/>
      </c>
      <c r="V1801" s="13">
        <f>IF(tblSalaries[[#This Row],[Job Type]]=tblSalaries[[#Headers],[Analyst]],tblSalaries[[#This Row],[Salary in USD]],"")</f>
        <v>40000</v>
      </c>
      <c r="W1801" s="13" t="str">
        <f>IF(tblSalaries[[#This Row],[Job Type]]=tblSalaries[[#Headers],[Consultant]],tblSalaries[[#This Row],[Salary in USD]],"")</f>
        <v/>
      </c>
      <c r="X1801" s="13" t="str">
        <f>IF(tblSalaries[[#This Row],[Job Type]]=tblSalaries[[#Headers],[Controller]],tblSalaries[[#This Row],[Salary in USD]],"")</f>
        <v/>
      </c>
      <c r="Y1801" s="13" t="str">
        <f>IF(tblSalaries[[#This Row],[Job Type]]=tblSalaries[[#Headers],[CXO or Top Mgmt.]],tblSalaries[[#This Row],[clean Salary (in local currency)]],"")</f>
        <v/>
      </c>
      <c r="Z1801" s="13" t="str">
        <f>IF(tblSalaries[[#This Row],[Job Type]]=tblSalaries[[#Headers],[Engineer]],tblSalaries[[#This Row],[Salary in USD]],"")</f>
        <v/>
      </c>
      <c r="AA1801" s="13" t="str">
        <f>IF(tblSalaries[[#This Row],[Job Type]]=tblSalaries[[#Headers],[Manager]],tblSalaries[[#This Row],[Salary in USD]],"")</f>
        <v/>
      </c>
      <c r="AB1801" s="13" t="str">
        <f>IF(tblSalaries[[#This Row],[Job Type]]=tblSalaries[[#Headers],[Misc.]],tblSalaries[[#This Row],[Salary in USD]],"")</f>
        <v/>
      </c>
      <c r="AC1801" s="13" t="str">
        <f>IF(tblSalaries[[#This Row],[Job Type]]=tblSalaries[[#Headers],[Reporting]],tblSalaries[[#This Row],[Salary in USD]],"")</f>
        <v/>
      </c>
      <c r="AD1801" s="13" t="str">
        <f>IF(tblSalaries[[#This Row],[Job Type]]=tblSalaries[[#Headers],[Specialist]],tblSalaries[[#This Row],[Salary in USD]],"")</f>
        <v/>
      </c>
    </row>
    <row r="1802" spans="2:30" ht="15" customHeight="1" x14ac:dyDescent="0.25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 s="9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  <c r="N1802" t="str">
        <f>IF(tblSalaries[[#This Row],[Years of Experience]]="","",IF(tblSalaries[[#This Row],[Years of Experience]]&lt;=2,1,""))</f>
        <v/>
      </c>
      <c r="O1802" t="str">
        <f>IF(tblSalaries[[#This Row],[Years of Experience]]="","",IF(AND(tblSalaries[[#This Row],[Years of Experience]]&gt;2,tblSalaries[[#This Row],[Years of Experience]]&lt;=5),1,""))</f>
        <v/>
      </c>
      <c r="P1802">
        <f>IF(tblSalaries[[#This Row],[Years of Experience]]="","",IF(AND(tblSalaries[[#This Row],[Years of Experience]]&gt;5,tblSalaries[[#This Row],[Years of Experience]]&lt;=10),1,""))</f>
        <v>1</v>
      </c>
      <c r="Q1802" t="str">
        <f>IF(tblSalaries[[#This Row],[Years of Experience]]="","",IF(AND(tblSalaries[[#This Row],[Years of Experience]]&gt;10,tblSalaries[[#This Row],[Years of Experience]]&lt;=15),1,""))</f>
        <v/>
      </c>
      <c r="R1802" t="str">
        <f>IF(tblSalaries[[#This Row],[Years of Experience]]="","",IF(AND(tblSalaries[[#This Row],[Years of Experience]]&gt;16,tblSalaries[[#This Row],[Years of Experience]]&lt;=20),1,""))</f>
        <v/>
      </c>
      <c r="S1802" t="str">
        <f>IF(tblSalaries[[#This Row],[Years of Experience]]="","",IF(tblSalaries[[#This Row],[Years of Experience]]&gt;20,1,""))</f>
        <v/>
      </c>
      <c r="T180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02" s="13" t="str">
        <f>IF(tblSalaries[[#This Row],[Job Type]]=tblSalaries[[#Headers],[Accountant]],tblSalaries[[#This Row],[Salary in USD]],"")</f>
        <v/>
      </c>
      <c r="V1802" s="13" t="str">
        <f>IF(tblSalaries[[#This Row],[Job Type]]=tblSalaries[[#Headers],[Analyst]],tblSalaries[[#This Row],[Salary in USD]],"")</f>
        <v/>
      </c>
      <c r="W1802" s="13" t="str">
        <f>IF(tblSalaries[[#This Row],[Job Type]]=tblSalaries[[#Headers],[Consultant]],tblSalaries[[#This Row],[Salary in USD]],"")</f>
        <v/>
      </c>
      <c r="X1802" s="13">
        <f>IF(tblSalaries[[#This Row],[Job Type]]=tblSalaries[[#Headers],[Controller]],tblSalaries[[#This Row],[Salary in USD]],"")</f>
        <v>80000</v>
      </c>
      <c r="Y1802" s="13" t="str">
        <f>IF(tblSalaries[[#This Row],[Job Type]]=tblSalaries[[#Headers],[CXO or Top Mgmt.]],tblSalaries[[#This Row],[clean Salary (in local currency)]],"")</f>
        <v/>
      </c>
      <c r="Z1802" s="13" t="str">
        <f>IF(tblSalaries[[#This Row],[Job Type]]=tblSalaries[[#Headers],[Engineer]],tblSalaries[[#This Row],[Salary in USD]],"")</f>
        <v/>
      </c>
      <c r="AA1802" s="13" t="str">
        <f>IF(tblSalaries[[#This Row],[Job Type]]=tblSalaries[[#Headers],[Manager]],tblSalaries[[#This Row],[Salary in USD]],"")</f>
        <v/>
      </c>
      <c r="AB1802" s="13" t="str">
        <f>IF(tblSalaries[[#This Row],[Job Type]]=tblSalaries[[#Headers],[Misc.]],tblSalaries[[#This Row],[Salary in USD]],"")</f>
        <v/>
      </c>
      <c r="AC1802" s="13" t="str">
        <f>IF(tblSalaries[[#This Row],[Job Type]]=tblSalaries[[#Headers],[Reporting]],tblSalaries[[#This Row],[Salary in USD]],"")</f>
        <v/>
      </c>
      <c r="AD1802" s="13" t="str">
        <f>IF(tblSalaries[[#This Row],[Job Type]]=tblSalaries[[#Headers],[Specialist]],tblSalaries[[#This Row],[Salary in USD]],"")</f>
        <v/>
      </c>
    </row>
    <row r="1803" spans="2:30" ht="15" customHeight="1" x14ac:dyDescent="0.25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 s="9">
        <f>tblSalaries[[#This Row],[clean Salary (in local currency)]]*VLOOKUP(tblSalaries[[#This Row],[Currency]],tblXrate[],2,FALSE)</f>
        <v>118000</v>
      </c>
      <c r="H1803" t="s">
        <v>1741</v>
      </c>
      <c r="I1803" t="s">
        <v>4001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  <c r="N1803" t="str">
        <f>IF(tblSalaries[[#This Row],[Years of Experience]]="","",IF(tblSalaries[[#This Row],[Years of Experience]]&lt;=2,1,""))</f>
        <v/>
      </c>
      <c r="O1803" t="str">
        <f>IF(tblSalaries[[#This Row],[Years of Experience]]="","",IF(AND(tblSalaries[[#This Row],[Years of Experience]]&gt;2,tblSalaries[[#This Row],[Years of Experience]]&lt;=5),1,""))</f>
        <v/>
      </c>
      <c r="P1803">
        <f>IF(tblSalaries[[#This Row],[Years of Experience]]="","",IF(AND(tblSalaries[[#This Row],[Years of Experience]]&gt;5,tblSalaries[[#This Row],[Years of Experience]]&lt;=10),1,""))</f>
        <v>1</v>
      </c>
      <c r="Q1803" t="str">
        <f>IF(tblSalaries[[#This Row],[Years of Experience]]="","",IF(AND(tblSalaries[[#This Row],[Years of Experience]]&gt;10,tblSalaries[[#This Row],[Years of Experience]]&lt;=15),1,""))</f>
        <v/>
      </c>
      <c r="R1803" t="str">
        <f>IF(tblSalaries[[#This Row],[Years of Experience]]="","",IF(AND(tblSalaries[[#This Row],[Years of Experience]]&gt;16,tblSalaries[[#This Row],[Years of Experience]]&lt;=20),1,""))</f>
        <v/>
      </c>
      <c r="S1803" t="str">
        <f>IF(tblSalaries[[#This Row],[Years of Experience]]="","",IF(tblSalaries[[#This Row],[Years of Experience]]&gt;20,1,""))</f>
        <v/>
      </c>
      <c r="T180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03" s="13" t="str">
        <f>IF(tblSalaries[[#This Row],[Job Type]]=tblSalaries[[#Headers],[Accountant]],tblSalaries[[#This Row],[Salary in USD]],"")</f>
        <v/>
      </c>
      <c r="V1803" s="13" t="str">
        <f>IF(tblSalaries[[#This Row],[Job Type]]=tblSalaries[[#Headers],[Analyst]],tblSalaries[[#This Row],[Salary in USD]],"")</f>
        <v/>
      </c>
      <c r="W1803" s="13" t="str">
        <f>IF(tblSalaries[[#This Row],[Job Type]]=tblSalaries[[#Headers],[Consultant]],tblSalaries[[#This Row],[Salary in USD]],"")</f>
        <v/>
      </c>
      <c r="X1803" s="13" t="str">
        <f>IF(tblSalaries[[#This Row],[Job Type]]=tblSalaries[[#Headers],[Controller]],tblSalaries[[#This Row],[Salary in USD]],"")</f>
        <v/>
      </c>
      <c r="Y1803" s="13">
        <f>IF(tblSalaries[[#This Row],[Job Type]]=tblSalaries[[#Headers],[CXO or Top Mgmt.]],tblSalaries[[#This Row],[clean Salary (in local currency)]],"")</f>
        <v>118000</v>
      </c>
      <c r="Z1803" s="13" t="str">
        <f>IF(tblSalaries[[#This Row],[Job Type]]=tblSalaries[[#Headers],[Engineer]],tblSalaries[[#This Row],[Salary in USD]],"")</f>
        <v/>
      </c>
      <c r="AA1803" s="13" t="str">
        <f>IF(tblSalaries[[#This Row],[Job Type]]=tblSalaries[[#Headers],[Manager]],tblSalaries[[#This Row],[Salary in USD]],"")</f>
        <v/>
      </c>
      <c r="AB1803" s="13" t="str">
        <f>IF(tblSalaries[[#This Row],[Job Type]]=tblSalaries[[#Headers],[Misc.]],tblSalaries[[#This Row],[Salary in USD]],"")</f>
        <v/>
      </c>
      <c r="AC1803" s="13" t="str">
        <f>IF(tblSalaries[[#This Row],[Job Type]]=tblSalaries[[#Headers],[Reporting]],tblSalaries[[#This Row],[Salary in USD]],"")</f>
        <v/>
      </c>
      <c r="AD1803" s="13" t="str">
        <f>IF(tblSalaries[[#This Row],[Job Type]]=tblSalaries[[#Headers],[Specialist]],tblSalaries[[#This Row],[Salary in USD]],"")</f>
        <v/>
      </c>
    </row>
    <row r="1804" spans="2:30" ht="15" customHeight="1" x14ac:dyDescent="0.25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 s="9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  <c r="N1804" t="str">
        <f>IF(tblSalaries[[#This Row],[Years of Experience]]="","",IF(tblSalaries[[#This Row],[Years of Experience]]&lt;=2,1,""))</f>
        <v/>
      </c>
      <c r="O1804">
        <f>IF(tblSalaries[[#This Row],[Years of Experience]]="","",IF(AND(tblSalaries[[#This Row],[Years of Experience]]&gt;2,tblSalaries[[#This Row],[Years of Experience]]&lt;=5),1,""))</f>
        <v>1</v>
      </c>
      <c r="P1804" t="str">
        <f>IF(tblSalaries[[#This Row],[Years of Experience]]="","",IF(AND(tblSalaries[[#This Row],[Years of Experience]]&gt;5,tblSalaries[[#This Row],[Years of Experience]]&lt;=10),1,""))</f>
        <v/>
      </c>
      <c r="Q1804" t="str">
        <f>IF(tblSalaries[[#This Row],[Years of Experience]]="","",IF(AND(tblSalaries[[#This Row],[Years of Experience]]&gt;10,tblSalaries[[#This Row],[Years of Experience]]&lt;=15),1,""))</f>
        <v/>
      </c>
      <c r="R1804" t="str">
        <f>IF(tblSalaries[[#This Row],[Years of Experience]]="","",IF(AND(tblSalaries[[#This Row],[Years of Experience]]&gt;16,tblSalaries[[#This Row],[Years of Experience]]&lt;=20),1,""))</f>
        <v/>
      </c>
      <c r="S1804" t="str">
        <f>IF(tblSalaries[[#This Row],[Years of Experience]]="","",IF(tblSalaries[[#This Row],[Years of Experience]]&gt;20,1,""))</f>
        <v/>
      </c>
      <c r="T180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04" s="13" t="str">
        <f>IF(tblSalaries[[#This Row],[Job Type]]=tblSalaries[[#Headers],[Accountant]],tblSalaries[[#This Row],[Salary in USD]],"")</f>
        <v/>
      </c>
      <c r="V1804" s="13">
        <f>IF(tblSalaries[[#This Row],[Job Type]]=tblSalaries[[#Headers],[Analyst]],tblSalaries[[#This Row],[Salary in USD]],"")</f>
        <v>60000</v>
      </c>
      <c r="W1804" s="13" t="str">
        <f>IF(tblSalaries[[#This Row],[Job Type]]=tblSalaries[[#Headers],[Consultant]],tblSalaries[[#This Row],[Salary in USD]],"")</f>
        <v/>
      </c>
      <c r="X1804" s="13" t="str">
        <f>IF(tblSalaries[[#This Row],[Job Type]]=tblSalaries[[#Headers],[Controller]],tblSalaries[[#This Row],[Salary in USD]],"")</f>
        <v/>
      </c>
      <c r="Y1804" s="13" t="str">
        <f>IF(tblSalaries[[#This Row],[Job Type]]=tblSalaries[[#Headers],[CXO or Top Mgmt.]],tblSalaries[[#This Row],[clean Salary (in local currency)]],"")</f>
        <v/>
      </c>
      <c r="Z1804" s="13" t="str">
        <f>IF(tblSalaries[[#This Row],[Job Type]]=tblSalaries[[#Headers],[Engineer]],tblSalaries[[#This Row],[Salary in USD]],"")</f>
        <v/>
      </c>
      <c r="AA1804" s="13" t="str">
        <f>IF(tblSalaries[[#This Row],[Job Type]]=tblSalaries[[#Headers],[Manager]],tblSalaries[[#This Row],[Salary in USD]],"")</f>
        <v/>
      </c>
      <c r="AB1804" s="13" t="str">
        <f>IF(tblSalaries[[#This Row],[Job Type]]=tblSalaries[[#Headers],[Misc.]],tblSalaries[[#This Row],[Salary in USD]],"")</f>
        <v/>
      </c>
      <c r="AC1804" s="13" t="str">
        <f>IF(tblSalaries[[#This Row],[Job Type]]=tblSalaries[[#Headers],[Reporting]],tblSalaries[[#This Row],[Salary in USD]],"")</f>
        <v/>
      </c>
      <c r="AD1804" s="13" t="str">
        <f>IF(tblSalaries[[#This Row],[Job Type]]=tblSalaries[[#Headers],[Specialist]],tblSalaries[[#This Row],[Salary in USD]],"")</f>
        <v/>
      </c>
    </row>
    <row r="1805" spans="2:30" ht="15" customHeight="1" x14ac:dyDescent="0.25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 s="9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  <c r="N1805" t="str">
        <f>IF(tblSalaries[[#This Row],[Years of Experience]]="","",IF(tblSalaries[[#This Row],[Years of Experience]]&lt;=2,1,""))</f>
        <v/>
      </c>
      <c r="O1805">
        <f>IF(tblSalaries[[#This Row],[Years of Experience]]="","",IF(AND(tblSalaries[[#This Row],[Years of Experience]]&gt;2,tblSalaries[[#This Row],[Years of Experience]]&lt;=5),1,""))</f>
        <v>1</v>
      </c>
      <c r="P1805" t="str">
        <f>IF(tblSalaries[[#This Row],[Years of Experience]]="","",IF(AND(tblSalaries[[#This Row],[Years of Experience]]&gt;5,tblSalaries[[#This Row],[Years of Experience]]&lt;=10),1,""))</f>
        <v/>
      </c>
      <c r="Q1805" t="str">
        <f>IF(tblSalaries[[#This Row],[Years of Experience]]="","",IF(AND(tblSalaries[[#This Row],[Years of Experience]]&gt;10,tblSalaries[[#This Row],[Years of Experience]]&lt;=15),1,""))</f>
        <v/>
      </c>
      <c r="R1805" t="str">
        <f>IF(tblSalaries[[#This Row],[Years of Experience]]="","",IF(AND(tblSalaries[[#This Row],[Years of Experience]]&gt;16,tblSalaries[[#This Row],[Years of Experience]]&lt;=20),1,""))</f>
        <v/>
      </c>
      <c r="S1805" t="str">
        <f>IF(tblSalaries[[#This Row],[Years of Experience]]="","",IF(tblSalaries[[#This Row],[Years of Experience]]&gt;20,1,""))</f>
        <v/>
      </c>
      <c r="T180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05" s="13">
        <f>IF(tblSalaries[[#This Row],[Job Type]]=tblSalaries[[#Headers],[Accountant]],tblSalaries[[#This Row],[Salary in USD]],"")</f>
        <v>6720</v>
      </c>
      <c r="V1805" s="13" t="str">
        <f>IF(tblSalaries[[#This Row],[Job Type]]=tblSalaries[[#Headers],[Analyst]],tblSalaries[[#This Row],[Salary in USD]],"")</f>
        <v/>
      </c>
      <c r="W1805" s="13" t="str">
        <f>IF(tblSalaries[[#This Row],[Job Type]]=tblSalaries[[#Headers],[Consultant]],tblSalaries[[#This Row],[Salary in USD]],"")</f>
        <v/>
      </c>
      <c r="X1805" s="13" t="str">
        <f>IF(tblSalaries[[#This Row],[Job Type]]=tblSalaries[[#Headers],[Controller]],tblSalaries[[#This Row],[Salary in USD]],"")</f>
        <v/>
      </c>
      <c r="Y1805" s="13" t="str">
        <f>IF(tblSalaries[[#This Row],[Job Type]]=tblSalaries[[#Headers],[CXO or Top Mgmt.]],tblSalaries[[#This Row],[clean Salary (in local currency)]],"")</f>
        <v/>
      </c>
      <c r="Z1805" s="13" t="str">
        <f>IF(tblSalaries[[#This Row],[Job Type]]=tblSalaries[[#Headers],[Engineer]],tblSalaries[[#This Row],[Salary in USD]],"")</f>
        <v/>
      </c>
      <c r="AA1805" s="13" t="str">
        <f>IF(tblSalaries[[#This Row],[Job Type]]=tblSalaries[[#Headers],[Manager]],tblSalaries[[#This Row],[Salary in USD]],"")</f>
        <v/>
      </c>
      <c r="AB1805" s="13" t="str">
        <f>IF(tblSalaries[[#This Row],[Job Type]]=tblSalaries[[#Headers],[Misc.]],tblSalaries[[#This Row],[Salary in USD]],"")</f>
        <v/>
      </c>
      <c r="AC1805" s="13" t="str">
        <f>IF(tblSalaries[[#This Row],[Job Type]]=tblSalaries[[#Headers],[Reporting]],tblSalaries[[#This Row],[Salary in USD]],"")</f>
        <v/>
      </c>
      <c r="AD1805" s="13" t="str">
        <f>IF(tblSalaries[[#This Row],[Job Type]]=tblSalaries[[#Headers],[Specialist]],tblSalaries[[#This Row],[Salary in USD]],"")</f>
        <v/>
      </c>
    </row>
    <row r="1806" spans="2:30" ht="15" customHeight="1" x14ac:dyDescent="0.25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 s="9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  <c r="N1806" t="str">
        <f>IF(tblSalaries[[#This Row],[Years of Experience]]="","",IF(tblSalaries[[#This Row],[Years of Experience]]&lt;=2,1,""))</f>
        <v/>
      </c>
      <c r="O1806">
        <f>IF(tblSalaries[[#This Row],[Years of Experience]]="","",IF(AND(tblSalaries[[#This Row],[Years of Experience]]&gt;2,tblSalaries[[#This Row],[Years of Experience]]&lt;=5),1,""))</f>
        <v>1</v>
      </c>
      <c r="P1806" t="str">
        <f>IF(tblSalaries[[#This Row],[Years of Experience]]="","",IF(AND(tblSalaries[[#This Row],[Years of Experience]]&gt;5,tblSalaries[[#This Row],[Years of Experience]]&lt;=10),1,""))</f>
        <v/>
      </c>
      <c r="Q1806" t="str">
        <f>IF(tblSalaries[[#This Row],[Years of Experience]]="","",IF(AND(tblSalaries[[#This Row],[Years of Experience]]&gt;10,tblSalaries[[#This Row],[Years of Experience]]&lt;=15),1,""))</f>
        <v/>
      </c>
      <c r="R1806" t="str">
        <f>IF(tblSalaries[[#This Row],[Years of Experience]]="","",IF(AND(tblSalaries[[#This Row],[Years of Experience]]&gt;16,tblSalaries[[#This Row],[Years of Experience]]&lt;=20),1,""))</f>
        <v/>
      </c>
      <c r="S1806" t="str">
        <f>IF(tblSalaries[[#This Row],[Years of Experience]]="","",IF(tblSalaries[[#This Row],[Years of Experience]]&gt;20,1,""))</f>
        <v/>
      </c>
      <c r="T180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06" s="13" t="str">
        <f>IF(tblSalaries[[#This Row],[Job Type]]=tblSalaries[[#Headers],[Accountant]],tblSalaries[[#This Row],[Salary in USD]],"")</f>
        <v/>
      </c>
      <c r="V1806" s="13" t="str">
        <f>IF(tblSalaries[[#This Row],[Job Type]]=tblSalaries[[#Headers],[Analyst]],tblSalaries[[#This Row],[Salary in USD]],"")</f>
        <v/>
      </c>
      <c r="W1806" s="13" t="str">
        <f>IF(tblSalaries[[#This Row],[Job Type]]=tblSalaries[[#Headers],[Consultant]],tblSalaries[[#This Row],[Salary in USD]],"")</f>
        <v/>
      </c>
      <c r="X1806" s="13" t="str">
        <f>IF(tblSalaries[[#This Row],[Job Type]]=tblSalaries[[#Headers],[Controller]],tblSalaries[[#This Row],[Salary in USD]],"")</f>
        <v/>
      </c>
      <c r="Y1806" s="13" t="str">
        <f>IF(tblSalaries[[#This Row],[Job Type]]=tblSalaries[[#Headers],[CXO or Top Mgmt.]],tblSalaries[[#This Row],[clean Salary (in local currency)]],"")</f>
        <v/>
      </c>
      <c r="Z1806" s="13" t="str">
        <f>IF(tblSalaries[[#This Row],[Job Type]]=tblSalaries[[#Headers],[Engineer]],tblSalaries[[#This Row],[Salary in USD]],"")</f>
        <v/>
      </c>
      <c r="AA1806" s="13">
        <f>IF(tblSalaries[[#This Row],[Job Type]]=tblSalaries[[#Headers],[Manager]],tblSalaries[[#This Row],[Salary in USD]],"")</f>
        <v>20640</v>
      </c>
      <c r="AB1806" s="13" t="str">
        <f>IF(tblSalaries[[#This Row],[Job Type]]=tblSalaries[[#Headers],[Misc.]],tblSalaries[[#This Row],[Salary in USD]],"")</f>
        <v/>
      </c>
      <c r="AC1806" s="13" t="str">
        <f>IF(tblSalaries[[#This Row],[Job Type]]=tblSalaries[[#Headers],[Reporting]],tblSalaries[[#This Row],[Salary in USD]],"")</f>
        <v/>
      </c>
      <c r="AD1806" s="13" t="str">
        <f>IF(tblSalaries[[#This Row],[Job Type]]=tblSalaries[[#Headers],[Specialist]],tblSalaries[[#This Row],[Salary in USD]],"")</f>
        <v/>
      </c>
    </row>
    <row r="1807" spans="2:30" ht="15" customHeight="1" x14ac:dyDescent="0.25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 s="9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  <c r="N1807" t="str">
        <f>IF(tblSalaries[[#This Row],[Years of Experience]]="","",IF(tblSalaries[[#This Row],[Years of Experience]]&lt;=2,1,""))</f>
        <v/>
      </c>
      <c r="O1807" t="str">
        <f>IF(tblSalaries[[#This Row],[Years of Experience]]="","",IF(AND(tblSalaries[[#This Row],[Years of Experience]]&gt;2,tblSalaries[[#This Row],[Years of Experience]]&lt;=5),1,""))</f>
        <v/>
      </c>
      <c r="P1807" t="str">
        <f>IF(tblSalaries[[#This Row],[Years of Experience]]="","",IF(AND(tblSalaries[[#This Row],[Years of Experience]]&gt;5,tblSalaries[[#This Row],[Years of Experience]]&lt;=10),1,""))</f>
        <v/>
      </c>
      <c r="Q1807">
        <f>IF(tblSalaries[[#This Row],[Years of Experience]]="","",IF(AND(tblSalaries[[#This Row],[Years of Experience]]&gt;10,tblSalaries[[#This Row],[Years of Experience]]&lt;=15),1,""))</f>
        <v>1</v>
      </c>
      <c r="R1807" t="str">
        <f>IF(tblSalaries[[#This Row],[Years of Experience]]="","",IF(AND(tblSalaries[[#This Row],[Years of Experience]]&gt;16,tblSalaries[[#This Row],[Years of Experience]]&lt;=20),1,""))</f>
        <v/>
      </c>
      <c r="S1807" t="str">
        <f>IF(tblSalaries[[#This Row],[Years of Experience]]="","",IF(tblSalaries[[#This Row],[Years of Experience]]&gt;20,1,""))</f>
        <v/>
      </c>
      <c r="T180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07" s="13" t="str">
        <f>IF(tblSalaries[[#This Row],[Job Type]]=tblSalaries[[#Headers],[Accountant]],tblSalaries[[#This Row],[Salary in USD]],"")</f>
        <v/>
      </c>
      <c r="V1807" s="13">
        <f>IF(tblSalaries[[#This Row],[Job Type]]=tblSalaries[[#Headers],[Analyst]],tblSalaries[[#This Row],[Salary in USD]],"")</f>
        <v>50000</v>
      </c>
      <c r="W1807" s="13" t="str">
        <f>IF(tblSalaries[[#This Row],[Job Type]]=tblSalaries[[#Headers],[Consultant]],tblSalaries[[#This Row],[Salary in USD]],"")</f>
        <v/>
      </c>
      <c r="X1807" s="13" t="str">
        <f>IF(tblSalaries[[#This Row],[Job Type]]=tblSalaries[[#Headers],[Controller]],tblSalaries[[#This Row],[Salary in USD]],"")</f>
        <v/>
      </c>
      <c r="Y1807" s="13" t="str">
        <f>IF(tblSalaries[[#This Row],[Job Type]]=tblSalaries[[#Headers],[CXO or Top Mgmt.]],tblSalaries[[#This Row],[clean Salary (in local currency)]],"")</f>
        <v/>
      </c>
      <c r="Z1807" s="13" t="str">
        <f>IF(tblSalaries[[#This Row],[Job Type]]=tblSalaries[[#Headers],[Engineer]],tblSalaries[[#This Row],[Salary in USD]],"")</f>
        <v/>
      </c>
      <c r="AA1807" s="13" t="str">
        <f>IF(tblSalaries[[#This Row],[Job Type]]=tblSalaries[[#Headers],[Manager]],tblSalaries[[#This Row],[Salary in USD]],"")</f>
        <v/>
      </c>
      <c r="AB1807" s="13" t="str">
        <f>IF(tblSalaries[[#This Row],[Job Type]]=tblSalaries[[#Headers],[Misc.]],tblSalaries[[#This Row],[Salary in USD]],"")</f>
        <v/>
      </c>
      <c r="AC1807" s="13" t="str">
        <f>IF(tblSalaries[[#This Row],[Job Type]]=tblSalaries[[#Headers],[Reporting]],tblSalaries[[#This Row],[Salary in USD]],"")</f>
        <v/>
      </c>
      <c r="AD1807" s="13" t="str">
        <f>IF(tblSalaries[[#This Row],[Job Type]]=tblSalaries[[#Headers],[Specialist]],tblSalaries[[#This Row],[Salary in USD]],"")</f>
        <v/>
      </c>
    </row>
    <row r="1808" spans="2:30" ht="15" customHeight="1" x14ac:dyDescent="0.25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 s="9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  <c r="N1808" t="str">
        <f>IF(tblSalaries[[#This Row],[Years of Experience]]="","",IF(tblSalaries[[#This Row],[Years of Experience]]&lt;=2,1,""))</f>
        <v/>
      </c>
      <c r="O1808" t="str">
        <f>IF(tblSalaries[[#This Row],[Years of Experience]]="","",IF(AND(tblSalaries[[#This Row],[Years of Experience]]&gt;2,tblSalaries[[#This Row],[Years of Experience]]&lt;=5),1,""))</f>
        <v/>
      </c>
      <c r="P1808" t="str">
        <f>IF(tblSalaries[[#This Row],[Years of Experience]]="","",IF(AND(tblSalaries[[#This Row],[Years of Experience]]&gt;5,tblSalaries[[#This Row],[Years of Experience]]&lt;=10),1,""))</f>
        <v/>
      </c>
      <c r="Q1808" t="str">
        <f>IF(tblSalaries[[#This Row],[Years of Experience]]="","",IF(AND(tblSalaries[[#This Row],[Years of Experience]]&gt;10,tblSalaries[[#This Row],[Years of Experience]]&lt;=15),1,""))</f>
        <v/>
      </c>
      <c r="R1808" t="str">
        <f>IF(tblSalaries[[#This Row],[Years of Experience]]="","",IF(AND(tblSalaries[[#This Row],[Years of Experience]]&gt;16,tblSalaries[[#This Row],[Years of Experience]]&lt;=20),1,""))</f>
        <v/>
      </c>
      <c r="S1808">
        <f>IF(tblSalaries[[#This Row],[Years of Experience]]="","",IF(tblSalaries[[#This Row],[Years of Experience]]&gt;20,1,""))</f>
        <v>1</v>
      </c>
      <c r="T180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808" s="13" t="str">
        <f>IF(tblSalaries[[#This Row],[Job Type]]=tblSalaries[[#Headers],[Accountant]],tblSalaries[[#This Row],[Salary in USD]],"")</f>
        <v/>
      </c>
      <c r="V1808" s="13" t="str">
        <f>IF(tblSalaries[[#This Row],[Job Type]]=tblSalaries[[#Headers],[Analyst]],tblSalaries[[#This Row],[Salary in USD]],"")</f>
        <v/>
      </c>
      <c r="W1808" s="13" t="str">
        <f>IF(tblSalaries[[#This Row],[Job Type]]=tblSalaries[[#Headers],[Consultant]],tblSalaries[[#This Row],[Salary in USD]],"")</f>
        <v/>
      </c>
      <c r="X1808" s="13">
        <f>IF(tblSalaries[[#This Row],[Job Type]]=tblSalaries[[#Headers],[Controller]],tblSalaries[[#This Row],[Salary in USD]],"")</f>
        <v>24000</v>
      </c>
      <c r="Y1808" s="13" t="str">
        <f>IF(tblSalaries[[#This Row],[Job Type]]=tblSalaries[[#Headers],[CXO or Top Mgmt.]],tblSalaries[[#This Row],[clean Salary (in local currency)]],"")</f>
        <v/>
      </c>
      <c r="Z1808" s="13" t="str">
        <f>IF(tblSalaries[[#This Row],[Job Type]]=tblSalaries[[#Headers],[Engineer]],tblSalaries[[#This Row],[Salary in USD]],"")</f>
        <v/>
      </c>
      <c r="AA1808" s="13" t="str">
        <f>IF(tblSalaries[[#This Row],[Job Type]]=tblSalaries[[#Headers],[Manager]],tblSalaries[[#This Row],[Salary in USD]],"")</f>
        <v/>
      </c>
      <c r="AB1808" s="13" t="str">
        <f>IF(tblSalaries[[#This Row],[Job Type]]=tblSalaries[[#Headers],[Misc.]],tblSalaries[[#This Row],[Salary in USD]],"")</f>
        <v/>
      </c>
      <c r="AC1808" s="13" t="str">
        <f>IF(tblSalaries[[#This Row],[Job Type]]=tblSalaries[[#Headers],[Reporting]],tblSalaries[[#This Row],[Salary in USD]],"")</f>
        <v/>
      </c>
      <c r="AD1808" s="13" t="str">
        <f>IF(tblSalaries[[#This Row],[Job Type]]=tblSalaries[[#Headers],[Specialist]],tblSalaries[[#This Row],[Salary in USD]],"")</f>
        <v/>
      </c>
    </row>
    <row r="1809" spans="2:30" ht="15" customHeight="1" x14ac:dyDescent="0.25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 s="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  <c r="N1809" t="str">
        <f>IF(tblSalaries[[#This Row],[Years of Experience]]="","",IF(tblSalaries[[#This Row],[Years of Experience]]&lt;=2,1,""))</f>
        <v/>
      </c>
      <c r="O1809">
        <f>IF(tblSalaries[[#This Row],[Years of Experience]]="","",IF(AND(tblSalaries[[#This Row],[Years of Experience]]&gt;2,tblSalaries[[#This Row],[Years of Experience]]&lt;=5),1,""))</f>
        <v>1</v>
      </c>
      <c r="P1809" t="str">
        <f>IF(tblSalaries[[#This Row],[Years of Experience]]="","",IF(AND(tblSalaries[[#This Row],[Years of Experience]]&gt;5,tblSalaries[[#This Row],[Years of Experience]]&lt;=10),1,""))</f>
        <v/>
      </c>
      <c r="Q1809" t="str">
        <f>IF(tblSalaries[[#This Row],[Years of Experience]]="","",IF(AND(tblSalaries[[#This Row],[Years of Experience]]&gt;10,tblSalaries[[#This Row],[Years of Experience]]&lt;=15),1,""))</f>
        <v/>
      </c>
      <c r="R1809" t="str">
        <f>IF(tblSalaries[[#This Row],[Years of Experience]]="","",IF(AND(tblSalaries[[#This Row],[Years of Experience]]&gt;16,tblSalaries[[#This Row],[Years of Experience]]&lt;=20),1,""))</f>
        <v/>
      </c>
      <c r="S1809" t="str">
        <f>IF(tblSalaries[[#This Row],[Years of Experience]]="","",IF(tblSalaries[[#This Row],[Years of Experience]]&gt;20,1,""))</f>
        <v/>
      </c>
      <c r="T180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09" s="13" t="str">
        <f>IF(tblSalaries[[#This Row],[Job Type]]=tblSalaries[[#Headers],[Accountant]],tblSalaries[[#This Row],[Salary in USD]],"")</f>
        <v/>
      </c>
      <c r="V1809" s="13">
        <f>IF(tblSalaries[[#This Row],[Job Type]]=tblSalaries[[#Headers],[Analyst]],tblSalaries[[#This Row],[Salary in USD]],"")</f>
        <v>60000</v>
      </c>
      <c r="W1809" s="13" t="str">
        <f>IF(tblSalaries[[#This Row],[Job Type]]=tblSalaries[[#Headers],[Consultant]],tblSalaries[[#This Row],[Salary in USD]],"")</f>
        <v/>
      </c>
      <c r="X1809" s="13" t="str">
        <f>IF(tblSalaries[[#This Row],[Job Type]]=tblSalaries[[#Headers],[Controller]],tblSalaries[[#This Row],[Salary in USD]],"")</f>
        <v/>
      </c>
      <c r="Y1809" s="13" t="str">
        <f>IF(tblSalaries[[#This Row],[Job Type]]=tblSalaries[[#Headers],[CXO or Top Mgmt.]],tblSalaries[[#This Row],[clean Salary (in local currency)]],"")</f>
        <v/>
      </c>
      <c r="Z1809" s="13" t="str">
        <f>IF(tblSalaries[[#This Row],[Job Type]]=tblSalaries[[#Headers],[Engineer]],tblSalaries[[#This Row],[Salary in USD]],"")</f>
        <v/>
      </c>
      <c r="AA1809" s="13" t="str">
        <f>IF(tblSalaries[[#This Row],[Job Type]]=tblSalaries[[#Headers],[Manager]],tblSalaries[[#This Row],[Salary in USD]],"")</f>
        <v/>
      </c>
      <c r="AB1809" s="13" t="str">
        <f>IF(tblSalaries[[#This Row],[Job Type]]=tblSalaries[[#Headers],[Misc.]],tblSalaries[[#This Row],[Salary in USD]],"")</f>
        <v/>
      </c>
      <c r="AC1809" s="13" t="str">
        <f>IF(tblSalaries[[#This Row],[Job Type]]=tblSalaries[[#Headers],[Reporting]],tblSalaries[[#This Row],[Salary in USD]],"")</f>
        <v/>
      </c>
      <c r="AD1809" s="13" t="str">
        <f>IF(tblSalaries[[#This Row],[Job Type]]=tblSalaries[[#Headers],[Specialist]],tblSalaries[[#This Row],[Salary in USD]],"")</f>
        <v/>
      </c>
    </row>
    <row r="1810" spans="2:30" ht="15" customHeight="1" x14ac:dyDescent="0.25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 s="9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  <c r="N1810">
        <f>IF(tblSalaries[[#This Row],[Years of Experience]]="","",IF(tblSalaries[[#This Row],[Years of Experience]]&lt;=2,1,""))</f>
        <v>1</v>
      </c>
      <c r="O1810" t="str">
        <f>IF(tblSalaries[[#This Row],[Years of Experience]]="","",IF(AND(tblSalaries[[#This Row],[Years of Experience]]&gt;2,tblSalaries[[#This Row],[Years of Experience]]&lt;=5),1,""))</f>
        <v/>
      </c>
      <c r="P1810" t="str">
        <f>IF(tblSalaries[[#This Row],[Years of Experience]]="","",IF(AND(tblSalaries[[#This Row],[Years of Experience]]&gt;5,tblSalaries[[#This Row],[Years of Experience]]&lt;=10),1,""))</f>
        <v/>
      </c>
      <c r="Q1810" t="str">
        <f>IF(tblSalaries[[#This Row],[Years of Experience]]="","",IF(AND(tblSalaries[[#This Row],[Years of Experience]]&gt;10,tblSalaries[[#This Row],[Years of Experience]]&lt;=15),1,""))</f>
        <v/>
      </c>
      <c r="R1810" t="str">
        <f>IF(tblSalaries[[#This Row],[Years of Experience]]="","",IF(AND(tblSalaries[[#This Row],[Years of Experience]]&gt;16,tblSalaries[[#This Row],[Years of Experience]]&lt;=20),1,""))</f>
        <v/>
      </c>
      <c r="S1810" t="str">
        <f>IF(tblSalaries[[#This Row],[Years of Experience]]="","",IF(tblSalaries[[#This Row],[Years of Experience]]&gt;20,1,""))</f>
        <v/>
      </c>
      <c r="T181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0" s="13" t="str">
        <f>IF(tblSalaries[[#This Row],[Job Type]]=tblSalaries[[#Headers],[Accountant]],tblSalaries[[#This Row],[Salary in USD]],"")</f>
        <v/>
      </c>
      <c r="V1810" s="13" t="str">
        <f>IF(tblSalaries[[#This Row],[Job Type]]=tblSalaries[[#Headers],[Analyst]],tblSalaries[[#This Row],[Salary in USD]],"")</f>
        <v/>
      </c>
      <c r="W1810" s="13">
        <f>IF(tblSalaries[[#This Row],[Job Type]]=tblSalaries[[#Headers],[Consultant]],tblSalaries[[#This Row],[Salary in USD]],"")</f>
        <v>37500</v>
      </c>
      <c r="X1810" s="13" t="str">
        <f>IF(tblSalaries[[#This Row],[Job Type]]=tblSalaries[[#Headers],[Controller]],tblSalaries[[#This Row],[Salary in USD]],"")</f>
        <v/>
      </c>
      <c r="Y1810" s="13" t="str">
        <f>IF(tblSalaries[[#This Row],[Job Type]]=tblSalaries[[#Headers],[CXO or Top Mgmt.]],tblSalaries[[#This Row],[clean Salary (in local currency)]],"")</f>
        <v/>
      </c>
      <c r="Z1810" s="13" t="str">
        <f>IF(tblSalaries[[#This Row],[Job Type]]=tblSalaries[[#Headers],[Engineer]],tblSalaries[[#This Row],[Salary in USD]],"")</f>
        <v/>
      </c>
      <c r="AA1810" s="13" t="str">
        <f>IF(tblSalaries[[#This Row],[Job Type]]=tblSalaries[[#Headers],[Manager]],tblSalaries[[#This Row],[Salary in USD]],"")</f>
        <v/>
      </c>
      <c r="AB1810" s="13" t="str">
        <f>IF(tblSalaries[[#This Row],[Job Type]]=tblSalaries[[#Headers],[Misc.]],tblSalaries[[#This Row],[Salary in USD]],"")</f>
        <v/>
      </c>
      <c r="AC1810" s="13" t="str">
        <f>IF(tblSalaries[[#This Row],[Job Type]]=tblSalaries[[#Headers],[Reporting]],tblSalaries[[#This Row],[Salary in USD]],"")</f>
        <v/>
      </c>
      <c r="AD1810" s="13" t="str">
        <f>IF(tblSalaries[[#This Row],[Job Type]]=tblSalaries[[#Headers],[Specialist]],tblSalaries[[#This Row],[Salary in USD]],"")</f>
        <v/>
      </c>
    </row>
    <row r="1811" spans="2:30" ht="15" customHeight="1" x14ac:dyDescent="0.25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 s="9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  <c r="N1811">
        <f>IF(tblSalaries[[#This Row],[Years of Experience]]="","",IF(tblSalaries[[#This Row],[Years of Experience]]&lt;=2,1,""))</f>
        <v>1</v>
      </c>
      <c r="O1811" t="str">
        <f>IF(tblSalaries[[#This Row],[Years of Experience]]="","",IF(AND(tblSalaries[[#This Row],[Years of Experience]]&gt;2,tblSalaries[[#This Row],[Years of Experience]]&lt;=5),1,""))</f>
        <v/>
      </c>
      <c r="P1811" t="str">
        <f>IF(tblSalaries[[#This Row],[Years of Experience]]="","",IF(AND(tblSalaries[[#This Row],[Years of Experience]]&gt;5,tblSalaries[[#This Row],[Years of Experience]]&lt;=10),1,""))</f>
        <v/>
      </c>
      <c r="Q1811" t="str">
        <f>IF(tblSalaries[[#This Row],[Years of Experience]]="","",IF(AND(tblSalaries[[#This Row],[Years of Experience]]&gt;10,tblSalaries[[#This Row],[Years of Experience]]&lt;=15),1,""))</f>
        <v/>
      </c>
      <c r="R1811" t="str">
        <f>IF(tblSalaries[[#This Row],[Years of Experience]]="","",IF(AND(tblSalaries[[#This Row],[Years of Experience]]&gt;16,tblSalaries[[#This Row],[Years of Experience]]&lt;=20),1,""))</f>
        <v/>
      </c>
      <c r="S1811" t="str">
        <f>IF(tblSalaries[[#This Row],[Years of Experience]]="","",IF(tblSalaries[[#This Row],[Years of Experience]]&gt;20,1,""))</f>
        <v/>
      </c>
      <c r="T181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1" s="13" t="str">
        <f>IF(tblSalaries[[#This Row],[Job Type]]=tblSalaries[[#Headers],[Accountant]],tblSalaries[[#This Row],[Salary in USD]],"")</f>
        <v/>
      </c>
      <c r="V1811" s="13" t="str">
        <f>IF(tblSalaries[[#This Row],[Job Type]]=tblSalaries[[#Headers],[Analyst]],tblSalaries[[#This Row],[Salary in USD]],"")</f>
        <v/>
      </c>
      <c r="W1811" s="13" t="str">
        <f>IF(tblSalaries[[#This Row],[Job Type]]=tblSalaries[[#Headers],[Consultant]],tblSalaries[[#This Row],[Salary in USD]],"")</f>
        <v/>
      </c>
      <c r="X1811" s="13" t="str">
        <f>IF(tblSalaries[[#This Row],[Job Type]]=tblSalaries[[#Headers],[Controller]],tblSalaries[[#This Row],[Salary in USD]],"")</f>
        <v/>
      </c>
      <c r="Y1811" s="13" t="str">
        <f>IF(tblSalaries[[#This Row],[Job Type]]=tblSalaries[[#Headers],[CXO or Top Mgmt.]],tblSalaries[[#This Row],[clean Salary (in local currency)]],"")</f>
        <v/>
      </c>
      <c r="Z1811" s="13" t="str">
        <f>IF(tblSalaries[[#This Row],[Job Type]]=tblSalaries[[#Headers],[Engineer]],tblSalaries[[#This Row],[Salary in USD]],"")</f>
        <v/>
      </c>
      <c r="AA1811" s="13" t="str">
        <f>IF(tblSalaries[[#This Row],[Job Type]]=tblSalaries[[#Headers],[Manager]],tblSalaries[[#This Row],[Salary in USD]],"")</f>
        <v/>
      </c>
      <c r="AB1811" s="13" t="str">
        <f>IF(tblSalaries[[#This Row],[Job Type]]=tblSalaries[[#Headers],[Misc.]],tblSalaries[[#This Row],[Salary in USD]],"")</f>
        <v/>
      </c>
      <c r="AC1811" s="13" t="str">
        <f>IF(tblSalaries[[#This Row],[Job Type]]=tblSalaries[[#Headers],[Reporting]],tblSalaries[[#This Row],[Salary in USD]],"")</f>
        <v/>
      </c>
      <c r="AD1811" s="13">
        <f>IF(tblSalaries[[#This Row],[Job Type]]=tblSalaries[[#Headers],[Specialist]],tblSalaries[[#This Row],[Salary in USD]],"")</f>
        <v>40000</v>
      </c>
    </row>
    <row r="1812" spans="2:30" ht="15" customHeight="1" x14ac:dyDescent="0.25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 s="9">
        <f>tblSalaries[[#This Row],[clean Salary (in local currency)]]*VLOOKUP(tblSalaries[[#This Row],[Currency]],tblXrate[],2,FALSE)</f>
        <v>85000</v>
      </c>
      <c r="H1812" t="s">
        <v>1947</v>
      </c>
      <c r="I1812" t="s">
        <v>4001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  <c r="N1812" t="str">
        <f>IF(tblSalaries[[#This Row],[Years of Experience]]="","",IF(tblSalaries[[#This Row],[Years of Experience]]&lt;=2,1,""))</f>
        <v/>
      </c>
      <c r="O1812" t="str">
        <f>IF(tblSalaries[[#This Row],[Years of Experience]]="","",IF(AND(tblSalaries[[#This Row],[Years of Experience]]&gt;2,tblSalaries[[#This Row],[Years of Experience]]&lt;=5),1,""))</f>
        <v/>
      </c>
      <c r="P1812" t="str">
        <f>IF(tblSalaries[[#This Row],[Years of Experience]]="","",IF(AND(tblSalaries[[#This Row],[Years of Experience]]&gt;5,tblSalaries[[#This Row],[Years of Experience]]&lt;=10),1,""))</f>
        <v/>
      </c>
      <c r="Q1812">
        <f>IF(tblSalaries[[#This Row],[Years of Experience]]="","",IF(AND(tblSalaries[[#This Row],[Years of Experience]]&gt;10,tblSalaries[[#This Row],[Years of Experience]]&lt;=15),1,""))</f>
        <v>1</v>
      </c>
      <c r="R1812" t="str">
        <f>IF(tblSalaries[[#This Row],[Years of Experience]]="","",IF(AND(tblSalaries[[#This Row],[Years of Experience]]&gt;16,tblSalaries[[#This Row],[Years of Experience]]&lt;=20),1,""))</f>
        <v/>
      </c>
      <c r="S1812" t="str">
        <f>IF(tblSalaries[[#This Row],[Years of Experience]]="","",IF(tblSalaries[[#This Row],[Years of Experience]]&gt;20,1,""))</f>
        <v/>
      </c>
      <c r="T181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12" s="13" t="str">
        <f>IF(tblSalaries[[#This Row],[Job Type]]=tblSalaries[[#Headers],[Accountant]],tblSalaries[[#This Row],[Salary in USD]],"")</f>
        <v/>
      </c>
      <c r="V1812" s="13" t="str">
        <f>IF(tblSalaries[[#This Row],[Job Type]]=tblSalaries[[#Headers],[Analyst]],tblSalaries[[#This Row],[Salary in USD]],"")</f>
        <v/>
      </c>
      <c r="W1812" s="13" t="str">
        <f>IF(tblSalaries[[#This Row],[Job Type]]=tblSalaries[[#Headers],[Consultant]],tblSalaries[[#This Row],[Salary in USD]],"")</f>
        <v/>
      </c>
      <c r="X1812" s="13" t="str">
        <f>IF(tblSalaries[[#This Row],[Job Type]]=tblSalaries[[#Headers],[Controller]],tblSalaries[[#This Row],[Salary in USD]],"")</f>
        <v/>
      </c>
      <c r="Y1812" s="13">
        <f>IF(tblSalaries[[#This Row],[Job Type]]=tblSalaries[[#Headers],[CXO or Top Mgmt.]],tblSalaries[[#This Row],[clean Salary (in local currency)]],"")</f>
        <v>85000</v>
      </c>
      <c r="Z1812" s="13" t="str">
        <f>IF(tblSalaries[[#This Row],[Job Type]]=tblSalaries[[#Headers],[Engineer]],tblSalaries[[#This Row],[Salary in USD]],"")</f>
        <v/>
      </c>
      <c r="AA1812" s="13" t="str">
        <f>IF(tblSalaries[[#This Row],[Job Type]]=tblSalaries[[#Headers],[Manager]],tblSalaries[[#This Row],[Salary in USD]],"")</f>
        <v/>
      </c>
      <c r="AB1812" s="13" t="str">
        <f>IF(tblSalaries[[#This Row],[Job Type]]=tblSalaries[[#Headers],[Misc.]],tblSalaries[[#This Row],[Salary in USD]],"")</f>
        <v/>
      </c>
      <c r="AC1812" s="13" t="str">
        <f>IF(tblSalaries[[#This Row],[Job Type]]=tblSalaries[[#Headers],[Reporting]],tblSalaries[[#This Row],[Salary in USD]],"")</f>
        <v/>
      </c>
      <c r="AD1812" s="13" t="str">
        <f>IF(tblSalaries[[#This Row],[Job Type]]=tblSalaries[[#Headers],[Specialist]],tblSalaries[[#This Row],[Salary in USD]],"")</f>
        <v/>
      </c>
    </row>
    <row r="1813" spans="2:30" ht="15" customHeight="1" x14ac:dyDescent="0.25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 s="9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  <c r="N1813">
        <f>IF(tblSalaries[[#This Row],[Years of Experience]]="","",IF(tblSalaries[[#This Row],[Years of Experience]]&lt;=2,1,""))</f>
        <v>1</v>
      </c>
      <c r="O1813" t="str">
        <f>IF(tblSalaries[[#This Row],[Years of Experience]]="","",IF(AND(tblSalaries[[#This Row],[Years of Experience]]&gt;2,tblSalaries[[#This Row],[Years of Experience]]&lt;=5),1,""))</f>
        <v/>
      </c>
      <c r="P1813" t="str">
        <f>IF(tblSalaries[[#This Row],[Years of Experience]]="","",IF(AND(tblSalaries[[#This Row],[Years of Experience]]&gt;5,tblSalaries[[#This Row],[Years of Experience]]&lt;=10),1,""))</f>
        <v/>
      </c>
      <c r="Q1813" t="str">
        <f>IF(tblSalaries[[#This Row],[Years of Experience]]="","",IF(AND(tblSalaries[[#This Row],[Years of Experience]]&gt;10,tblSalaries[[#This Row],[Years of Experience]]&lt;=15),1,""))</f>
        <v/>
      </c>
      <c r="R1813" t="str">
        <f>IF(tblSalaries[[#This Row],[Years of Experience]]="","",IF(AND(tblSalaries[[#This Row],[Years of Experience]]&gt;16,tblSalaries[[#This Row],[Years of Experience]]&lt;=20),1,""))</f>
        <v/>
      </c>
      <c r="S1813" t="str">
        <f>IF(tblSalaries[[#This Row],[Years of Experience]]="","",IF(tblSalaries[[#This Row],[Years of Experience]]&gt;20,1,""))</f>
        <v/>
      </c>
      <c r="T181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3" s="13" t="str">
        <f>IF(tblSalaries[[#This Row],[Job Type]]=tblSalaries[[#Headers],[Accountant]],tblSalaries[[#This Row],[Salary in USD]],"")</f>
        <v/>
      </c>
      <c r="V1813" s="13">
        <f>IF(tblSalaries[[#This Row],[Job Type]]=tblSalaries[[#Headers],[Analyst]],tblSalaries[[#This Row],[Salary in USD]],"")</f>
        <v>30000</v>
      </c>
      <c r="W1813" s="13" t="str">
        <f>IF(tblSalaries[[#This Row],[Job Type]]=tblSalaries[[#Headers],[Consultant]],tblSalaries[[#This Row],[Salary in USD]],"")</f>
        <v/>
      </c>
      <c r="X1813" s="13" t="str">
        <f>IF(tblSalaries[[#This Row],[Job Type]]=tblSalaries[[#Headers],[Controller]],tblSalaries[[#This Row],[Salary in USD]],"")</f>
        <v/>
      </c>
      <c r="Y1813" s="13" t="str">
        <f>IF(tblSalaries[[#This Row],[Job Type]]=tblSalaries[[#Headers],[CXO or Top Mgmt.]],tblSalaries[[#This Row],[clean Salary (in local currency)]],"")</f>
        <v/>
      </c>
      <c r="Z1813" s="13" t="str">
        <f>IF(tblSalaries[[#This Row],[Job Type]]=tblSalaries[[#Headers],[Engineer]],tblSalaries[[#This Row],[Salary in USD]],"")</f>
        <v/>
      </c>
      <c r="AA1813" s="13" t="str">
        <f>IF(tblSalaries[[#This Row],[Job Type]]=tblSalaries[[#Headers],[Manager]],tblSalaries[[#This Row],[Salary in USD]],"")</f>
        <v/>
      </c>
      <c r="AB1813" s="13" t="str">
        <f>IF(tblSalaries[[#This Row],[Job Type]]=tblSalaries[[#Headers],[Misc.]],tblSalaries[[#This Row],[Salary in USD]],"")</f>
        <v/>
      </c>
      <c r="AC1813" s="13" t="str">
        <f>IF(tblSalaries[[#This Row],[Job Type]]=tblSalaries[[#Headers],[Reporting]],tblSalaries[[#This Row],[Salary in USD]],"")</f>
        <v/>
      </c>
      <c r="AD1813" s="13" t="str">
        <f>IF(tblSalaries[[#This Row],[Job Type]]=tblSalaries[[#Headers],[Specialist]],tblSalaries[[#This Row],[Salary in USD]],"")</f>
        <v/>
      </c>
    </row>
    <row r="1814" spans="2:30" ht="15" customHeight="1" x14ac:dyDescent="0.25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 s="9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  <c r="N1814" t="str">
        <f>IF(tblSalaries[[#This Row],[Years of Experience]]="","",IF(tblSalaries[[#This Row],[Years of Experience]]&lt;=2,1,""))</f>
        <v/>
      </c>
      <c r="O1814" t="str">
        <f>IF(tblSalaries[[#This Row],[Years of Experience]]="","",IF(AND(tblSalaries[[#This Row],[Years of Experience]]&gt;2,tblSalaries[[#This Row],[Years of Experience]]&lt;=5),1,""))</f>
        <v/>
      </c>
      <c r="P1814">
        <f>IF(tblSalaries[[#This Row],[Years of Experience]]="","",IF(AND(tblSalaries[[#This Row],[Years of Experience]]&gt;5,tblSalaries[[#This Row],[Years of Experience]]&lt;=10),1,""))</f>
        <v>1</v>
      </c>
      <c r="Q1814" t="str">
        <f>IF(tblSalaries[[#This Row],[Years of Experience]]="","",IF(AND(tblSalaries[[#This Row],[Years of Experience]]&gt;10,tblSalaries[[#This Row],[Years of Experience]]&lt;=15),1,""))</f>
        <v/>
      </c>
      <c r="R1814" t="str">
        <f>IF(tblSalaries[[#This Row],[Years of Experience]]="","",IF(AND(tblSalaries[[#This Row],[Years of Experience]]&gt;16,tblSalaries[[#This Row],[Years of Experience]]&lt;=20),1,""))</f>
        <v/>
      </c>
      <c r="S1814" t="str">
        <f>IF(tblSalaries[[#This Row],[Years of Experience]]="","",IF(tblSalaries[[#This Row],[Years of Experience]]&gt;20,1,""))</f>
        <v/>
      </c>
      <c r="T181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14" s="13" t="str">
        <f>IF(tblSalaries[[#This Row],[Job Type]]=tblSalaries[[#Headers],[Accountant]],tblSalaries[[#This Row],[Salary in USD]],"")</f>
        <v/>
      </c>
      <c r="V1814" s="13" t="str">
        <f>IF(tblSalaries[[#This Row],[Job Type]]=tblSalaries[[#Headers],[Analyst]],tblSalaries[[#This Row],[Salary in USD]],"")</f>
        <v/>
      </c>
      <c r="W1814" s="13" t="str">
        <f>IF(tblSalaries[[#This Row],[Job Type]]=tblSalaries[[#Headers],[Consultant]],tblSalaries[[#This Row],[Salary in USD]],"")</f>
        <v/>
      </c>
      <c r="X1814" s="13" t="str">
        <f>IF(tblSalaries[[#This Row],[Job Type]]=tblSalaries[[#Headers],[Controller]],tblSalaries[[#This Row],[Salary in USD]],"")</f>
        <v/>
      </c>
      <c r="Y1814" s="13" t="str">
        <f>IF(tblSalaries[[#This Row],[Job Type]]=tblSalaries[[#Headers],[CXO or Top Mgmt.]],tblSalaries[[#This Row],[clean Salary (in local currency)]],"")</f>
        <v/>
      </c>
      <c r="Z1814" s="13">
        <f>IF(tblSalaries[[#This Row],[Job Type]]=tblSalaries[[#Headers],[Engineer]],tblSalaries[[#This Row],[Salary in USD]],"")</f>
        <v>52801.972114254015</v>
      </c>
      <c r="AA1814" s="13" t="str">
        <f>IF(tblSalaries[[#This Row],[Job Type]]=tblSalaries[[#Headers],[Manager]],tblSalaries[[#This Row],[Salary in USD]],"")</f>
        <v/>
      </c>
      <c r="AB1814" s="13" t="str">
        <f>IF(tblSalaries[[#This Row],[Job Type]]=tblSalaries[[#Headers],[Misc.]],tblSalaries[[#This Row],[Salary in USD]],"")</f>
        <v/>
      </c>
      <c r="AC1814" s="13" t="str">
        <f>IF(tblSalaries[[#This Row],[Job Type]]=tblSalaries[[#Headers],[Reporting]],tblSalaries[[#This Row],[Salary in USD]],"")</f>
        <v/>
      </c>
      <c r="AD1814" s="13" t="str">
        <f>IF(tblSalaries[[#This Row],[Job Type]]=tblSalaries[[#Headers],[Specialist]],tblSalaries[[#This Row],[Salary in USD]],"")</f>
        <v/>
      </c>
    </row>
    <row r="1815" spans="2:30" ht="15" customHeight="1" x14ac:dyDescent="0.25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 s="9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  <c r="N1815">
        <f>IF(tblSalaries[[#This Row],[Years of Experience]]="","",IF(tblSalaries[[#This Row],[Years of Experience]]&lt;=2,1,""))</f>
        <v>1</v>
      </c>
      <c r="O1815" t="str">
        <f>IF(tblSalaries[[#This Row],[Years of Experience]]="","",IF(AND(tblSalaries[[#This Row],[Years of Experience]]&gt;2,tblSalaries[[#This Row],[Years of Experience]]&lt;=5),1,""))</f>
        <v/>
      </c>
      <c r="P1815" t="str">
        <f>IF(tblSalaries[[#This Row],[Years of Experience]]="","",IF(AND(tblSalaries[[#This Row],[Years of Experience]]&gt;5,tblSalaries[[#This Row],[Years of Experience]]&lt;=10),1,""))</f>
        <v/>
      </c>
      <c r="Q1815" t="str">
        <f>IF(tblSalaries[[#This Row],[Years of Experience]]="","",IF(AND(tblSalaries[[#This Row],[Years of Experience]]&gt;10,tblSalaries[[#This Row],[Years of Experience]]&lt;=15),1,""))</f>
        <v/>
      </c>
      <c r="R1815" t="str">
        <f>IF(tblSalaries[[#This Row],[Years of Experience]]="","",IF(AND(tblSalaries[[#This Row],[Years of Experience]]&gt;16,tblSalaries[[#This Row],[Years of Experience]]&lt;=20),1,""))</f>
        <v/>
      </c>
      <c r="S1815" t="str">
        <f>IF(tblSalaries[[#This Row],[Years of Experience]]="","",IF(tblSalaries[[#This Row],[Years of Experience]]&gt;20,1,""))</f>
        <v/>
      </c>
      <c r="T181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5" s="13" t="str">
        <f>IF(tblSalaries[[#This Row],[Job Type]]=tblSalaries[[#Headers],[Accountant]],tblSalaries[[#This Row],[Salary in USD]],"")</f>
        <v/>
      </c>
      <c r="V1815" s="13" t="str">
        <f>IF(tblSalaries[[#This Row],[Job Type]]=tblSalaries[[#Headers],[Analyst]],tblSalaries[[#This Row],[Salary in USD]],"")</f>
        <v/>
      </c>
      <c r="W1815" s="13" t="str">
        <f>IF(tblSalaries[[#This Row],[Job Type]]=tblSalaries[[#Headers],[Consultant]],tblSalaries[[#This Row],[Salary in USD]],"")</f>
        <v/>
      </c>
      <c r="X1815" s="13" t="str">
        <f>IF(tblSalaries[[#This Row],[Job Type]]=tblSalaries[[#Headers],[Controller]],tblSalaries[[#This Row],[Salary in USD]],"")</f>
        <v/>
      </c>
      <c r="Y1815" s="13" t="str">
        <f>IF(tblSalaries[[#This Row],[Job Type]]=tblSalaries[[#Headers],[CXO or Top Mgmt.]],tblSalaries[[#This Row],[clean Salary (in local currency)]],"")</f>
        <v/>
      </c>
      <c r="Z1815" s="13">
        <f>IF(tblSalaries[[#This Row],[Job Type]]=tblSalaries[[#Headers],[Engineer]],tblSalaries[[#This Row],[Salary in USD]],"")</f>
        <v>29000</v>
      </c>
      <c r="AA1815" s="13" t="str">
        <f>IF(tblSalaries[[#This Row],[Job Type]]=tblSalaries[[#Headers],[Manager]],tblSalaries[[#This Row],[Salary in USD]],"")</f>
        <v/>
      </c>
      <c r="AB1815" s="13" t="str">
        <f>IF(tblSalaries[[#This Row],[Job Type]]=tblSalaries[[#Headers],[Misc.]],tblSalaries[[#This Row],[Salary in USD]],"")</f>
        <v/>
      </c>
      <c r="AC1815" s="13" t="str">
        <f>IF(tblSalaries[[#This Row],[Job Type]]=tblSalaries[[#Headers],[Reporting]],tblSalaries[[#This Row],[Salary in USD]],"")</f>
        <v/>
      </c>
      <c r="AD1815" s="13" t="str">
        <f>IF(tblSalaries[[#This Row],[Job Type]]=tblSalaries[[#Headers],[Specialist]],tblSalaries[[#This Row],[Salary in USD]],"")</f>
        <v/>
      </c>
    </row>
    <row r="1816" spans="2:30" ht="15" customHeight="1" x14ac:dyDescent="0.25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 s="9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  <c r="N1816">
        <f>IF(tblSalaries[[#This Row],[Years of Experience]]="","",IF(tblSalaries[[#This Row],[Years of Experience]]&lt;=2,1,""))</f>
        <v>1</v>
      </c>
      <c r="O1816" t="str">
        <f>IF(tblSalaries[[#This Row],[Years of Experience]]="","",IF(AND(tblSalaries[[#This Row],[Years of Experience]]&gt;2,tblSalaries[[#This Row],[Years of Experience]]&lt;=5),1,""))</f>
        <v/>
      </c>
      <c r="P1816" t="str">
        <f>IF(tblSalaries[[#This Row],[Years of Experience]]="","",IF(AND(tblSalaries[[#This Row],[Years of Experience]]&gt;5,tblSalaries[[#This Row],[Years of Experience]]&lt;=10),1,""))</f>
        <v/>
      </c>
      <c r="Q1816" t="str">
        <f>IF(tblSalaries[[#This Row],[Years of Experience]]="","",IF(AND(tblSalaries[[#This Row],[Years of Experience]]&gt;10,tblSalaries[[#This Row],[Years of Experience]]&lt;=15),1,""))</f>
        <v/>
      </c>
      <c r="R1816" t="str">
        <f>IF(tblSalaries[[#This Row],[Years of Experience]]="","",IF(AND(tblSalaries[[#This Row],[Years of Experience]]&gt;16,tblSalaries[[#This Row],[Years of Experience]]&lt;=20),1,""))</f>
        <v/>
      </c>
      <c r="S1816" t="str">
        <f>IF(tblSalaries[[#This Row],[Years of Experience]]="","",IF(tblSalaries[[#This Row],[Years of Experience]]&gt;20,1,""))</f>
        <v/>
      </c>
      <c r="T181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6" s="13">
        <f>IF(tblSalaries[[#This Row],[Job Type]]=tblSalaries[[#Headers],[Accountant]],tblSalaries[[#This Row],[Salary in USD]],"")</f>
        <v>48000</v>
      </c>
      <c r="V1816" s="13" t="str">
        <f>IF(tblSalaries[[#This Row],[Job Type]]=tblSalaries[[#Headers],[Analyst]],tblSalaries[[#This Row],[Salary in USD]],"")</f>
        <v/>
      </c>
      <c r="W1816" s="13" t="str">
        <f>IF(tblSalaries[[#This Row],[Job Type]]=tblSalaries[[#Headers],[Consultant]],tblSalaries[[#This Row],[Salary in USD]],"")</f>
        <v/>
      </c>
      <c r="X1816" s="13" t="str">
        <f>IF(tblSalaries[[#This Row],[Job Type]]=tblSalaries[[#Headers],[Controller]],tblSalaries[[#This Row],[Salary in USD]],"")</f>
        <v/>
      </c>
      <c r="Y1816" s="13" t="str">
        <f>IF(tblSalaries[[#This Row],[Job Type]]=tblSalaries[[#Headers],[CXO or Top Mgmt.]],tblSalaries[[#This Row],[clean Salary (in local currency)]],"")</f>
        <v/>
      </c>
      <c r="Z1816" s="13" t="str">
        <f>IF(tblSalaries[[#This Row],[Job Type]]=tblSalaries[[#Headers],[Engineer]],tblSalaries[[#This Row],[Salary in USD]],"")</f>
        <v/>
      </c>
      <c r="AA1816" s="13" t="str">
        <f>IF(tblSalaries[[#This Row],[Job Type]]=tblSalaries[[#Headers],[Manager]],tblSalaries[[#This Row],[Salary in USD]],"")</f>
        <v/>
      </c>
      <c r="AB1816" s="13" t="str">
        <f>IF(tblSalaries[[#This Row],[Job Type]]=tblSalaries[[#Headers],[Misc.]],tblSalaries[[#This Row],[Salary in USD]],"")</f>
        <v/>
      </c>
      <c r="AC1816" s="13" t="str">
        <f>IF(tblSalaries[[#This Row],[Job Type]]=tblSalaries[[#Headers],[Reporting]],tblSalaries[[#This Row],[Salary in USD]],"")</f>
        <v/>
      </c>
      <c r="AD1816" s="13" t="str">
        <f>IF(tblSalaries[[#This Row],[Job Type]]=tblSalaries[[#Headers],[Specialist]],tblSalaries[[#This Row],[Salary in USD]],"")</f>
        <v/>
      </c>
    </row>
    <row r="1817" spans="2:30" ht="15" customHeight="1" x14ac:dyDescent="0.25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 s="9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  <c r="N1817">
        <f>IF(tblSalaries[[#This Row],[Years of Experience]]="","",IF(tblSalaries[[#This Row],[Years of Experience]]&lt;=2,1,""))</f>
        <v>1</v>
      </c>
      <c r="O1817" t="str">
        <f>IF(tblSalaries[[#This Row],[Years of Experience]]="","",IF(AND(tblSalaries[[#This Row],[Years of Experience]]&gt;2,tblSalaries[[#This Row],[Years of Experience]]&lt;=5),1,""))</f>
        <v/>
      </c>
      <c r="P1817" t="str">
        <f>IF(tblSalaries[[#This Row],[Years of Experience]]="","",IF(AND(tblSalaries[[#This Row],[Years of Experience]]&gt;5,tblSalaries[[#This Row],[Years of Experience]]&lt;=10),1,""))</f>
        <v/>
      </c>
      <c r="Q1817" t="str">
        <f>IF(tblSalaries[[#This Row],[Years of Experience]]="","",IF(AND(tblSalaries[[#This Row],[Years of Experience]]&gt;10,tblSalaries[[#This Row],[Years of Experience]]&lt;=15),1,""))</f>
        <v/>
      </c>
      <c r="R1817" t="str">
        <f>IF(tblSalaries[[#This Row],[Years of Experience]]="","",IF(AND(tblSalaries[[#This Row],[Years of Experience]]&gt;16,tblSalaries[[#This Row],[Years of Experience]]&lt;=20),1,""))</f>
        <v/>
      </c>
      <c r="S1817" t="str">
        <f>IF(tblSalaries[[#This Row],[Years of Experience]]="","",IF(tblSalaries[[#This Row],[Years of Experience]]&gt;20,1,""))</f>
        <v/>
      </c>
      <c r="T181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7" s="13">
        <f>IF(tblSalaries[[#This Row],[Job Type]]=tblSalaries[[#Headers],[Accountant]],tblSalaries[[#This Row],[Salary in USD]],"")</f>
        <v>48000</v>
      </c>
      <c r="V1817" s="13" t="str">
        <f>IF(tblSalaries[[#This Row],[Job Type]]=tblSalaries[[#Headers],[Analyst]],tblSalaries[[#This Row],[Salary in USD]],"")</f>
        <v/>
      </c>
      <c r="W1817" s="13" t="str">
        <f>IF(tblSalaries[[#This Row],[Job Type]]=tblSalaries[[#Headers],[Consultant]],tblSalaries[[#This Row],[Salary in USD]],"")</f>
        <v/>
      </c>
      <c r="X1817" s="13" t="str">
        <f>IF(tblSalaries[[#This Row],[Job Type]]=tblSalaries[[#Headers],[Controller]],tblSalaries[[#This Row],[Salary in USD]],"")</f>
        <v/>
      </c>
      <c r="Y1817" s="13" t="str">
        <f>IF(tblSalaries[[#This Row],[Job Type]]=tblSalaries[[#Headers],[CXO or Top Mgmt.]],tblSalaries[[#This Row],[clean Salary (in local currency)]],"")</f>
        <v/>
      </c>
      <c r="Z1817" s="13" t="str">
        <f>IF(tblSalaries[[#This Row],[Job Type]]=tblSalaries[[#Headers],[Engineer]],tblSalaries[[#This Row],[Salary in USD]],"")</f>
        <v/>
      </c>
      <c r="AA1817" s="13" t="str">
        <f>IF(tblSalaries[[#This Row],[Job Type]]=tblSalaries[[#Headers],[Manager]],tblSalaries[[#This Row],[Salary in USD]],"")</f>
        <v/>
      </c>
      <c r="AB1817" s="13" t="str">
        <f>IF(tblSalaries[[#This Row],[Job Type]]=tblSalaries[[#Headers],[Misc.]],tblSalaries[[#This Row],[Salary in USD]],"")</f>
        <v/>
      </c>
      <c r="AC1817" s="13" t="str">
        <f>IF(tblSalaries[[#This Row],[Job Type]]=tblSalaries[[#Headers],[Reporting]],tblSalaries[[#This Row],[Salary in USD]],"")</f>
        <v/>
      </c>
      <c r="AD1817" s="13" t="str">
        <f>IF(tblSalaries[[#This Row],[Job Type]]=tblSalaries[[#Headers],[Specialist]],tblSalaries[[#This Row],[Salary in USD]],"")</f>
        <v/>
      </c>
    </row>
    <row r="1818" spans="2:30" ht="15" customHeight="1" x14ac:dyDescent="0.25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 s="9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  <c r="N1818">
        <f>IF(tblSalaries[[#This Row],[Years of Experience]]="","",IF(tblSalaries[[#This Row],[Years of Experience]]&lt;=2,1,""))</f>
        <v>1</v>
      </c>
      <c r="O1818" t="str">
        <f>IF(tblSalaries[[#This Row],[Years of Experience]]="","",IF(AND(tblSalaries[[#This Row],[Years of Experience]]&gt;2,tblSalaries[[#This Row],[Years of Experience]]&lt;=5),1,""))</f>
        <v/>
      </c>
      <c r="P1818" t="str">
        <f>IF(tblSalaries[[#This Row],[Years of Experience]]="","",IF(AND(tblSalaries[[#This Row],[Years of Experience]]&gt;5,tblSalaries[[#This Row],[Years of Experience]]&lt;=10),1,""))</f>
        <v/>
      </c>
      <c r="Q1818" t="str">
        <f>IF(tblSalaries[[#This Row],[Years of Experience]]="","",IF(AND(tblSalaries[[#This Row],[Years of Experience]]&gt;10,tblSalaries[[#This Row],[Years of Experience]]&lt;=15),1,""))</f>
        <v/>
      </c>
      <c r="R1818" t="str">
        <f>IF(tblSalaries[[#This Row],[Years of Experience]]="","",IF(AND(tblSalaries[[#This Row],[Years of Experience]]&gt;16,tblSalaries[[#This Row],[Years of Experience]]&lt;=20),1,""))</f>
        <v/>
      </c>
      <c r="S1818" t="str">
        <f>IF(tblSalaries[[#This Row],[Years of Experience]]="","",IF(tblSalaries[[#This Row],[Years of Experience]]&gt;20,1,""))</f>
        <v/>
      </c>
      <c r="T181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18" s="13" t="str">
        <f>IF(tblSalaries[[#This Row],[Job Type]]=tblSalaries[[#Headers],[Accountant]],tblSalaries[[#This Row],[Salary in USD]],"")</f>
        <v/>
      </c>
      <c r="V1818" s="13">
        <f>IF(tblSalaries[[#This Row],[Job Type]]=tblSalaries[[#Headers],[Analyst]],tblSalaries[[#This Row],[Salary in USD]],"")</f>
        <v>8400</v>
      </c>
      <c r="W1818" s="13" t="str">
        <f>IF(tblSalaries[[#This Row],[Job Type]]=tblSalaries[[#Headers],[Consultant]],tblSalaries[[#This Row],[Salary in USD]],"")</f>
        <v/>
      </c>
      <c r="X1818" s="13" t="str">
        <f>IF(tblSalaries[[#This Row],[Job Type]]=tblSalaries[[#Headers],[Controller]],tblSalaries[[#This Row],[Salary in USD]],"")</f>
        <v/>
      </c>
      <c r="Y1818" s="13" t="str">
        <f>IF(tblSalaries[[#This Row],[Job Type]]=tblSalaries[[#Headers],[CXO or Top Mgmt.]],tblSalaries[[#This Row],[clean Salary (in local currency)]],"")</f>
        <v/>
      </c>
      <c r="Z1818" s="13" t="str">
        <f>IF(tblSalaries[[#This Row],[Job Type]]=tblSalaries[[#Headers],[Engineer]],tblSalaries[[#This Row],[Salary in USD]],"")</f>
        <v/>
      </c>
      <c r="AA1818" s="13" t="str">
        <f>IF(tblSalaries[[#This Row],[Job Type]]=tblSalaries[[#Headers],[Manager]],tblSalaries[[#This Row],[Salary in USD]],"")</f>
        <v/>
      </c>
      <c r="AB1818" s="13" t="str">
        <f>IF(tblSalaries[[#This Row],[Job Type]]=tblSalaries[[#Headers],[Misc.]],tblSalaries[[#This Row],[Salary in USD]],"")</f>
        <v/>
      </c>
      <c r="AC1818" s="13" t="str">
        <f>IF(tblSalaries[[#This Row],[Job Type]]=tblSalaries[[#Headers],[Reporting]],tblSalaries[[#This Row],[Salary in USD]],"")</f>
        <v/>
      </c>
      <c r="AD1818" s="13" t="str">
        <f>IF(tblSalaries[[#This Row],[Job Type]]=tblSalaries[[#Headers],[Specialist]],tblSalaries[[#This Row],[Salary in USD]],"")</f>
        <v/>
      </c>
    </row>
    <row r="1819" spans="2:30" ht="15" customHeight="1" x14ac:dyDescent="0.25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 s="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  <c r="N1819" t="str">
        <f>IF(tblSalaries[[#This Row],[Years of Experience]]="","",IF(tblSalaries[[#This Row],[Years of Experience]]&lt;=2,1,""))</f>
        <v/>
      </c>
      <c r="O1819">
        <f>IF(tblSalaries[[#This Row],[Years of Experience]]="","",IF(AND(tblSalaries[[#This Row],[Years of Experience]]&gt;2,tblSalaries[[#This Row],[Years of Experience]]&lt;=5),1,""))</f>
        <v>1</v>
      </c>
      <c r="P1819" t="str">
        <f>IF(tblSalaries[[#This Row],[Years of Experience]]="","",IF(AND(tblSalaries[[#This Row],[Years of Experience]]&gt;5,tblSalaries[[#This Row],[Years of Experience]]&lt;=10),1,""))</f>
        <v/>
      </c>
      <c r="Q1819" t="str">
        <f>IF(tblSalaries[[#This Row],[Years of Experience]]="","",IF(AND(tblSalaries[[#This Row],[Years of Experience]]&gt;10,tblSalaries[[#This Row],[Years of Experience]]&lt;=15),1,""))</f>
        <v/>
      </c>
      <c r="R1819" t="str">
        <f>IF(tblSalaries[[#This Row],[Years of Experience]]="","",IF(AND(tblSalaries[[#This Row],[Years of Experience]]&gt;16,tblSalaries[[#This Row],[Years of Experience]]&lt;=20),1,""))</f>
        <v/>
      </c>
      <c r="S1819" t="str">
        <f>IF(tblSalaries[[#This Row],[Years of Experience]]="","",IF(tblSalaries[[#This Row],[Years of Experience]]&gt;20,1,""))</f>
        <v/>
      </c>
      <c r="T181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19" s="13" t="str">
        <f>IF(tblSalaries[[#This Row],[Job Type]]=tblSalaries[[#Headers],[Accountant]],tblSalaries[[#This Row],[Salary in USD]],"")</f>
        <v/>
      </c>
      <c r="V1819" s="13" t="str">
        <f>IF(tblSalaries[[#This Row],[Job Type]]=tblSalaries[[#Headers],[Analyst]],tblSalaries[[#This Row],[Salary in USD]],"")</f>
        <v/>
      </c>
      <c r="W1819" s="13" t="str">
        <f>IF(tblSalaries[[#This Row],[Job Type]]=tblSalaries[[#Headers],[Consultant]],tblSalaries[[#This Row],[Salary in USD]],"")</f>
        <v/>
      </c>
      <c r="X1819" s="13" t="str">
        <f>IF(tblSalaries[[#This Row],[Job Type]]=tblSalaries[[#Headers],[Controller]],tblSalaries[[#This Row],[Salary in USD]],"")</f>
        <v/>
      </c>
      <c r="Y1819" s="13" t="str">
        <f>IF(tblSalaries[[#This Row],[Job Type]]=tblSalaries[[#Headers],[CXO or Top Mgmt.]],tblSalaries[[#This Row],[clean Salary (in local currency)]],"")</f>
        <v/>
      </c>
      <c r="Z1819" s="13" t="str">
        <f>IF(tblSalaries[[#This Row],[Job Type]]=tblSalaries[[#Headers],[Engineer]],tblSalaries[[#This Row],[Salary in USD]],"")</f>
        <v/>
      </c>
      <c r="AA1819" s="13">
        <f>IF(tblSalaries[[#This Row],[Job Type]]=tblSalaries[[#Headers],[Manager]],tblSalaries[[#This Row],[Salary in USD]],"")</f>
        <v>4808.137505609493</v>
      </c>
      <c r="AB1819" s="13" t="str">
        <f>IF(tblSalaries[[#This Row],[Job Type]]=tblSalaries[[#Headers],[Misc.]],tblSalaries[[#This Row],[Salary in USD]],"")</f>
        <v/>
      </c>
      <c r="AC1819" s="13" t="str">
        <f>IF(tblSalaries[[#This Row],[Job Type]]=tblSalaries[[#Headers],[Reporting]],tblSalaries[[#This Row],[Salary in USD]],"")</f>
        <v/>
      </c>
      <c r="AD1819" s="13" t="str">
        <f>IF(tblSalaries[[#This Row],[Job Type]]=tblSalaries[[#Headers],[Specialist]],tblSalaries[[#This Row],[Salary in USD]],"")</f>
        <v/>
      </c>
    </row>
    <row r="1820" spans="2:30" ht="15" customHeight="1" x14ac:dyDescent="0.25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 s="9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  <c r="N1820" t="str">
        <f>IF(tblSalaries[[#This Row],[Years of Experience]]="","",IF(tblSalaries[[#This Row],[Years of Experience]]&lt;=2,1,""))</f>
        <v/>
      </c>
      <c r="O1820" t="str">
        <f>IF(tblSalaries[[#This Row],[Years of Experience]]="","",IF(AND(tblSalaries[[#This Row],[Years of Experience]]&gt;2,tblSalaries[[#This Row],[Years of Experience]]&lt;=5),1,""))</f>
        <v/>
      </c>
      <c r="P1820">
        <f>IF(tblSalaries[[#This Row],[Years of Experience]]="","",IF(AND(tblSalaries[[#This Row],[Years of Experience]]&gt;5,tblSalaries[[#This Row],[Years of Experience]]&lt;=10),1,""))</f>
        <v>1</v>
      </c>
      <c r="Q1820" t="str">
        <f>IF(tblSalaries[[#This Row],[Years of Experience]]="","",IF(AND(tblSalaries[[#This Row],[Years of Experience]]&gt;10,tblSalaries[[#This Row],[Years of Experience]]&lt;=15),1,""))</f>
        <v/>
      </c>
      <c r="R1820" t="str">
        <f>IF(tblSalaries[[#This Row],[Years of Experience]]="","",IF(AND(tblSalaries[[#This Row],[Years of Experience]]&gt;16,tblSalaries[[#This Row],[Years of Experience]]&lt;=20),1,""))</f>
        <v/>
      </c>
      <c r="S1820" t="str">
        <f>IF(tblSalaries[[#This Row],[Years of Experience]]="","",IF(tblSalaries[[#This Row],[Years of Experience]]&gt;20,1,""))</f>
        <v/>
      </c>
      <c r="T182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0" s="13" t="str">
        <f>IF(tblSalaries[[#This Row],[Job Type]]=tblSalaries[[#Headers],[Accountant]],tblSalaries[[#This Row],[Salary in USD]],"")</f>
        <v/>
      </c>
      <c r="V1820" s="13" t="str">
        <f>IF(tblSalaries[[#This Row],[Job Type]]=tblSalaries[[#Headers],[Analyst]],tblSalaries[[#This Row],[Salary in USD]],"")</f>
        <v/>
      </c>
      <c r="W1820" s="13" t="str">
        <f>IF(tblSalaries[[#This Row],[Job Type]]=tblSalaries[[#Headers],[Consultant]],tblSalaries[[#This Row],[Salary in USD]],"")</f>
        <v/>
      </c>
      <c r="X1820" s="13" t="str">
        <f>IF(tblSalaries[[#This Row],[Job Type]]=tblSalaries[[#Headers],[Controller]],tblSalaries[[#This Row],[Salary in USD]],"")</f>
        <v/>
      </c>
      <c r="Y1820" s="13" t="str">
        <f>IF(tblSalaries[[#This Row],[Job Type]]=tblSalaries[[#Headers],[CXO or Top Mgmt.]],tblSalaries[[#This Row],[clean Salary (in local currency)]],"")</f>
        <v/>
      </c>
      <c r="Z1820" s="13" t="str">
        <f>IF(tblSalaries[[#This Row],[Job Type]]=tblSalaries[[#Headers],[Engineer]],tblSalaries[[#This Row],[Salary in USD]],"")</f>
        <v/>
      </c>
      <c r="AA1820" s="13">
        <f>IF(tblSalaries[[#This Row],[Job Type]]=tblSalaries[[#Headers],[Manager]],tblSalaries[[#This Row],[Salary in USD]],"")</f>
        <v>24931.083362419595</v>
      </c>
      <c r="AB1820" s="13" t="str">
        <f>IF(tblSalaries[[#This Row],[Job Type]]=tblSalaries[[#Headers],[Misc.]],tblSalaries[[#This Row],[Salary in USD]],"")</f>
        <v/>
      </c>
      <c r="AC1820" s="13" t="str">
        <f>IF(tblSalaries[[#This Row],[Job Type]]=tblSalaries[[#Headers],[Reporting]],tblSalaries[[#This Row],[Salary in USD]],"")</f>
        <v/>
      </c>
      <c r="AD1820" s="13" t="str">
        <f>IF(tblSalaries[[#This Row],[Job Type]]=tblSalaries[[#Headers],[Specialist]],tblSalaries[[#This Row],[Salary in USD]],"")</f>
        <v/>
      </c>
    </row>
    <row r="1821" spans="2:30" ht="15" customHeight="1" x14ac:dyDescent="0.25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 s="9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  <c r="N1821" t="str">
        <f>IF(tblSalaries[[#This Row],[Years of Experience]]="","",IF(tblSalaries[[#This Row],[Years of Experience]]&lt;=2,1,""))</f>
        <v/>
      </c>
      <c r="O1821">
        <f>IF(tblSalaries[[#This Row],[Years of Experience]]="","",IF(AND(tblSalaries[[#This Row],[Years of Experience]]&gt;2,tblSalaries[[#This Row],[Years of Experience]]&lt;=5),1,""))</f>
        <v>1</v>
      </c>
      <c r="P1821" t="str">
        <f>IF(tblSalaries[[#This Row],[Years of Experience]]="","",IF(AND(tblSalaries[[#This Row],[Years of Experience]]&gt;5,tblSalaries[[#This Row],[Years of Experience]]&lt;=10),1,""))</f>
        <v/>
      </c>
      <c r="Q1821" t="str">
        <f>IF(tblSalaries[[#This Row],[Years of Experience]]="","",IF(AND(tblSalaries[[#This Row],[Years of Experience]]&gt;10,tblSalaries[[#This Row],[Years of Experience]]&lt;=15),1,""))</f>
        <v/>
      </c>
      <c r="R1821" t="str">
        <f>IF(tblSalaries[[#This Row],[Years of Experience]]="","",IF(AND(tblSalaries[[#This Row],[Years of Experience]]&gt;16,tblSalaries[[#This Row],[Years of Experience]]&lt;=20),1,""))</f>
        <v/>
      </c>
      <c r="S1821" t="str">
        <f>IF(tblSalaries[[#This Row],[Years of Experience]]="","",IF(tblSalaries[[#This Row],[Years of Experience]]&gt;20,1,""))</f>
        <v/>
      </c>
      <c r="T182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21" s="13" t="str">
        <f>IF(tblSalaries[[#This Row],[Job Type]]=tblSalaries[[#Headers],[Accountant]],tblSalaries[[#This Row],[Salary in USD]],"")</f>
        <v/>
      </c>
      <c r="V1821" s="13">
        <f>IF(tblSalaries[[#This Row],[Job Type]]=tblSalaries[[#Headers],[Analyst]],tblSalaries[[#This Row],[Salary in USD]],"")</f>
        <v>12465.541681209797</v>
      </c>
      <c r="W1821" s="13" t="str">
        <f>IF(tblSalaries[[#This Row],[Job Type]]=tblSalaries[[#Headers],[Consultant]],tblSalaries[[#This Row],[Salary in USD]],"")</f>
        <v/>
      </c>
      <c r="X1821" s="13" t="str">
        <f>IF(tblSalaries[[#This Row],[Job Type]]=tblSalaries[[#Headers],[Controller]],tblSalaries[[#This Row],[Salary in USD]],"")</f>
        <v/>
      </c>
      <c r="Y1821" s="13" t="str">
        <f>IF(tblSalaries[[#This Row],[Job Type]]=tblSalaries[[#Headers],[CXO or Top Mgmt.]],tblSalaries[[#This Row],[clean Salary (in local currency)]],"")</f>
        <v/>
      </c>
      <c r="Z1821" s="13" t="str">
        <f>IF(tblSalaries[[#This Row],[Job Type]]=tblSalaries[[#Headers],[Engineer]],tblSalaries[[#This Row],[Salary in USD]],"")</f>
        <v/>
      </c>
      <c r="AA1821" s="13" t="str">
        <f>IF(tblSalaries[[#This Row],[Job Type]]=tblSalaries[[#Headers],[Manager]],tblSalaries[[#This Row],[Salary in USD]],"")</f>
        <v/>
      </c>
      <c r="AB1821" s="13" t="str">
        <f>IF(tblSalaries[[#This Row],[Job Type]]=tblSalaries[[#Headers],[Misc.]],tblSalaries[[#This Row],[Salary in USD]],"")</f>
        <v/>
      </c>
      <c r="AC1821" s="13" t="str">
        <f>IF(tblSalaries[[#This Row],[Job Type]]=tblSalaries[[#Headers],[Reporting]],tblSalaries[[#This Row],[Salary in USD]],"")</f>
        <v/>
      </c>
      <c r="AD1821" s="13" t="str">
        <f>IF(tblSalaries[[#This Row],[Job Type]]=tblSalaries[[#Headers],[Specialist]],tblSalaries[[#This Row],[Salary in USD]],"")</f>
        <v/>
      </c>
    </row>
    <row r="1822" spans="2:30" ht="15" customHeight="1" x14ac:dyDescent="0.25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 s="9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  <c r="N1822" t="str">
        <f>IF(tblSalaries[[#This Row],[Years of Experience]]="","",IF(tblSalaries[[#This Row],[Years of Experience]]&lt;=2,1,""))</f>
        <v/>
      </c>
      <c r="O1822" t="str">
        <f>IF(tblSalaries[[#This Row],[Years of Experience]]="","",IF(AND(tblSalaries[[#This Row],[Years of Experience]]&gt;2,tblSalaries[[#This Row],[Years of Experience]]&lt;=5),1,""))</f>
        <v/>
      </c>
      <c r="P1822">
        <f>IF(tblSalaries[[#This Row],[Years of Experience]]="","",IF(AND(tblSalaries[[#This Row],[Years of Experience]]&gt;5,tblSalaries[[#This Row],[Years of Experience]]&lt;=10),1,""))</f>
        <v>1</v>
      </c>
      <c r="Q1822" t="str">
        <f>IF(tblSalaries[[#This Row],[Years of Experience]]="","",IF(AND(tblSalaries[[#This Row],[Years of Experience]]&gt;10,tblSalaries[[#This Row],[Years of Experience]]&lt;=15),1,""))</f>
        <v/>
      </c>
      <c r="R1822" t="str">
        <f>IF(tblSalaries[[#This Row],[Years of Experience]]="","",IF(AND(tblSalaries[[#This Row],[Years of Experience]]&gt;16,tblSalaries[[#This Row],[Years of Experience]]&lt;=20),1,""))</f>
        <v/>
      </c>
      <c r="S1822" t="str">
        <f>IF(tblSalaries[[#This Row],[Years of Experience]]="","",IF(tblSalaries[[#This Row],[Years of Experience]]&gt;20,1,""))</f>
        <v/>
      </c>
      <c r="T182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2" s="13">
        <f>IF(tblSalaries[[#This Row],[Job Type]]=tblSalaries[[#Headers],[Accountant]],tblSalaries[[#This Row],[Salary in USD]],"")</f>
        <v>31523.565441345683</v>
      </c>
      <c r="V1822" s="13" t="str">
        <f>IF(tblSalaries[[#This Row],[Job Type]]=tblSalaries[[#Headers],[Analyst]],tblSalaries[[#This Row],[Salary in USD]],"")</f>
        <v/>
      </c>
      <c r="W1822" s="13" t="str">
        <f>IF(tblSalaries[[#This Row],[Job Type]]=tblSalaries[[#Headers],[Consultant]],tblSalaries[[#This Row],[Salary in USD]],"")</f>
        <v/>
      </c>
      <c r="X1822" s="13" t="str">
        <f>IF(tblSalaries[[#This Row],[Job Type]]=tblSalaries[[#Headers],[Controller]],tblSalaries[[#This Row],[Salary in USD]],"")</f>
        <v/>
      </c>
      <c r="Y1822" s="13" t="str">
        <f>IF(tblSalaries[[#This Row],[Job Type]]=tblSalaries[[#Headers],[CXO or Top Mgmt.]],tblSalaries[[#This Row],[clean Salary (in local currency)]],"")</f>
        <v/>
      </c>
      <c r="Z1822" s="13" t="str">
        <f>IF(tblSalaries[[#This Row],[Job Type]]=tblSalaries[[#Headers],[Engineer]],tblSalaries[[#This Row],[Salary in USD]],"")</f>
        <v/>
      </c>
      <c r="AA1822" s="13" t="str">
        <f>IF(tblSalaries[[#This Row],[Job Type]]=tblSalaries[[#Headers],[Manager]],tblSalaries[[#This Row],[Salary in USD]],"")</f>
        <v/>
      </c>
      <c r="AB1822" s="13" t="str">
        <f>IF(tblSalaries[[#This Row],[Job Type]]=tblSalaries[[#Headers],[Misc.]],tblSalaries[[#This Row],[Salary in USD]],"")</f>
        <v/>
      </c>
      <c r="AC1822" s="13" t="str">
        <f>IF(tblSalaries[[#This Row],[Job Type]]=tblSalaries[[#Headers],[Reporting]],tblSalaries[[#This Row],[Salary in USD]],"")</f>
        <v/>
      </c>
      <c r="AD1822" s="13" t="str">
        <f>IF(tblSalaries[[#This Row],[Job Type]]=tblSalaries[[#Headers],[Specialist]],tblSalaries[[#This Row],[Salary in USD]],"")</f>
        <v/>
      </c>
    </row>
    <row r="1823" spans="2:30" ht="15" customHeight="1" x14ac:dyDescent="0.25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 s="9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  <c r="N1823" t="str">
        <f>IF(tblSalaries[[#This Row],[Years of Experience]]="","",IF(tblSalaries[[#This Row],[Years of Experience]]&lt;=2,1,""))</f>
        <v/>
      </c>
      <c r="O1823" t="str">
        <f>IF(tblSalaries[[#This Row],[Years of Experience]]="","",IF(AND(tblSalaries[[#This Row],[Years of Experience]]&gt;2,tblSalaries[[#This Row],[Years of Experience]]&lt;=5),1,""))</f>
        <v/>
      </c>
      <c r="P1823">
        <f>IF(tblSalaries[[#This Row],[Years of Experience]]="","",IF(AND(tblSalaries[[#This Row],[Years of Experience]]&gt;5,tblSalaries[[#This Row],[Years of Experience]]&lt;=10),1,""))</f>
        <v>1</v>
      </c>
      <c r="Q1823" t="str">
        <f>IF(tblSalaries[[#This Row],[Years of Experience]]="","",IF(AND(tblSalaries[[#This Row],[Years of Experience]]&gt;10,tblSalaries[[#This Row],[Years of Experience]]&lt;=15),1,""))</f>
        <v/>
      </c>
      <c r="R1823" t="str">
        <f>IF(tblSalaries[[#This Row],[Years of Experience]]="","",IF(AND(tblSalaries[[#This Row],[Years of Experience]]&gt;16,tblSalaries[[#This Row],[Years of Experience]]&lt;=20),1,""))</f>
        <v/>
      </c>
      <c r="S1823" t="str">
        <f>IF(tblSalaries[[#This Row],[Years of Experience]]="","",IF(tblSalaries[[#This Row],[Years of Experience]]&gt;20,1,""))</f>
        <v/>
      </c>
      <c r="T182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3" s="13" t="str">
        <f>IF(tblSalaries[[#This Row],[Job Type]]=tblSalaries[[#Headers],[Accountant]],tblSalaries[[#This Row],[Salary in USD]],"")</f>
        <v/>
      </c>
      <c r="V1823" s="13" t="str">
        <f>IF(tblSalaries[[#This Row],[Job Type]]=tblSalaries[[#Headers],[Analyst]],tblSalaries[[#This Row],[Salary in USD]],"")</f>
        <v/>
      </c>
      <c r="W1823" s="13" t="str">
        <f>IF(tblSalaries[[#This Row],[Job Type]]=tblSalaries[[#Headers],[Consultant]],tblSalaries[[#This Row],[Salary in USD]],"")</f>
        <v/>
      </c>
      <c r="X1823" s="13" t="str">
        <f>IF(tblSalaries[[#This Row],[Job Type]]=tblSalaries[[#Headers],[Controller]],tblSalaries[[#This Row],[Salary in USD]],"")</f>
        <v/>
      </c>
      <c r="Y1823" s="13" t="str">
        <f>IF(tblSalaries[[#This Row],[Job Type]]=tblSalaries[[#Headers],[CXO or Top Mgmt.]],tblSalaries[[#This Row],[clean Salary (in local currency)]],"")</f>
        <v/>
      </c>
      <c r="Z1823" s="13" t="str">
        <f>IF(tblSalaries[[#This Row],[Job Type]]=tblSalaries[[#Headers],[Engineer]],tblSalaries[[#This Row],[Salary in USD]],"")</f>
        <v/>
      </c>
      <c r="AA1823" s="13">
        <f>IF(tblSalaries[[#This Row],[Job Type]]=tblSalaries[[#Headers],[Manager]],tblSalaries[[#This Row],[Salary in USD]],"")</f>
        <v>17807.916687442568</v>
      </c>
      <c r="AB1823" s="13" t="str">
        <f>IF(tblSalaries[[#This Row],[Job Type]]=tblSalaries[[#Headers],[Misc.]],tblSalaries[[#This Row],[Salary in USD]],"")</f>
        <v/>
      </c>
      <c r="AC1823" s="13" t="str">
        <f>IF(tblSalaries[[#This Row],[Job Type]]=tblSalaries[[#Headers],[Reporting]],tblSalaries[[#This Row],[Salary in USD]],"")</f>
        <v/>
      </c>
      <c r="AD1823" s="13" t="str">
        <f>IF(tblSalaries[[#This Row],[Job Type]]=tblSalaries[[#Headers],[Specialist]],tblSalaries[[#This Row],[Salary in USD]],"")</f>
        <v/>
      </c>
    </row>
    <row r="1824" spans="2:30" ht="15" customHeight="1" x14ac:dyDescent="0.25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 s="9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  <c r="N1824" t="str">
        <f>IF(tblSalaries[[#This Row],[Years of Experience]]="","",IF(tblSalaries[[#This Row],[Years of Experience]]&lt;=2,1,""))</f>
        <v/>
      </c>
      <c r="O1824" t="str">
        <f>IF(tblSalaries[[#This Row],[Years of Experience]]="","",IF(AND(tblSalaries[[#This Row],[Years of Experience]]&gt;2,tblSalaries[[#This Row],[Years of Experience]]&lt;=5),1,""))</f>
        <v/>
      </c>
      <c r="P1824">
        <f>IF(tblSalaries[[#This Row],[Years of Experience]]="","",IF(AND(tblSalaries[[#This Row],[Years of Experience]]&gt;5,tblSalaries[[#This Row],[Years of Experience]]&lt;=10),1,""))</f>
        <v>1</v>
      </c>
      <c r="Q1824" t="str">
        <f>IF(tblSalaries[[#This Row],[Years of Experience]]="","",IF(AND(tblSalaries[[#This Row],[Years of Experience]]&gt;10,tblSalaries[[#This Row],[Years of Experience]]&lt;=15),1,""))</f>
        <v/>
      </c>
      <c r="R1824" t="str">
        <f>IF(tblSalaries[[#This Row],[Years of Experience]]="","",IF(AND(tblSalaries[[#This Row],[Years of Experience]]&gt;16,tblSalaries[[#This Row],[Years of Experience]]&lt;=20),1,""))</f>
        <v/>
      </c>
      <c r="S1824" t="str">
        <f>IF(tblSalaries[[#This Row],[Years of Experience]]="","",IF(tblSalaries[[#This Row],[Years of Experience]]&gt;20,1,""))</f>
        <v/>
      </c>
      <c r="T182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4" s="13" t="str">
        <f>IF(tblSalaries[[#This Row],[Job Type]]=tblSalaries[[#Headers],[Accountant]],tblSalaries[[#This Row],[Salary in USD]],"")</f>
        <v/>
      </c>
      <c r="V1824" s="13" t="str">
        <f>IF(tblSalaries[[#This Row],[Job Type]]=tblSalaries[[#Headers],[Analyst]],tblSalaries[[#This Row],[Salary in USD]],"")</f>
        <v/>
      </c>
      <c r="W1824" s="13" t="str">
        <f>IF(tblSalaries[[#This Row],[Job Type]]=tblSalaries[[#Headers],[Consultant]],tblSalaries[[#This Row],[Salary in USD]],"")</f>
        <v/>
      </c>
      <c r="X1824" s="13" t="str">
        <f>IF(tblSalaries[[#This Row],[Job Type]]=tblSalaries[[#Headers],[Controller]],tblSalaries[[#This Row],[Salary in USD]],"")</f>
        <v/>
      </c>
      <c r="Y1824" s="13" t="str">
        <f>IF(tblSalaries[[#This Row],[Job Type]]=tblSalaries[[#Headers],[CXO or Top Mgmt.]],tblSalaries[[#This Row],[clean Salary (in local currency)]],"")</f>
        <v/>
      </c>
      <c r="Z1824" s="13" t="str">
        <f>IF(tblSalaries[[#This Row],[Job Type]]=tblSalaries[[#Headers],[Engineer]],tblSalaries[[#This Row],[Salary in USD]],"")</f>
        <v/>
      </c>
      <c r="AA1824" s="13">
        <f>IF(tblSalaries[[#This Row],[Job Type]]=tblSalaries[[#Headers],[Manager]],tblSalaries[[#This Row],[Salary in USD]],"")</f>
        <v>112000</v>
      </c>
      <c r="AB1824" s="13" t="str">
        <f>IF(tblSalaries[[#This Row],[Job Type]]=tblSalaries[[#Headers],[Misc.]],tblSalaries[[#This Row],[Salary in USD]],"")</f>
        <v/>
      </c>
      <c r="AC1824" s="13" t="str">
        <f>IF(tblSalaries[[#This Row],[Job Type]]=tblSalaries[[#Headers],[Reporting]],tblSalaries[[#This Row],[Salary in USD]],"")</f>
        <v/>
      </c>
      <c r="AD1824" s="13" t="str">
        <f>IF(tblSalaries[[#This Row],[Job Type]]=tblSalaries[[#Headers],[Specialist]],tblSalaries[[#This Row],[Salary in USD]],"")</f>
        <v/>
      </c>
    </row>
    <row r="1825" spans="2:30" ht="15" customHeight="1" x14ac:dyDescent="0.25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 s="9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  <c r="N1825" t="str">
        <f>IF(tblSalaries[[#This Row],[Years of Experience]]="","",IF(tblSalaries[[#This Row],[Years of Experience]]&lt;=2,1,""))</f>
        <v/>
      </c>
      <c r="O1825" t="str">
        <f>IF(tblSalaries[[#This Row],[Years of Experience]]="","",IF(AND(tblSalaries[[#This Row],[Years of Experience]]&gt;2,tblSalaries[[#This Row],[Years of Experience]]&lt;=5),1,""))</f>
        <v/>
      </c>
      <c r="P1825">
        <f>IF(tblSalaries[[#This Row],[Years of Experience]]="","",IF(AND(tblSalaries[[#This Row],[Years of Experience]]&gt;5,tblSalaries[[#This Row],[Years of Experience]]&lt;=10),1,""))</f>
        <v>1</v>
      </c>
      <c r="Q1825" t="str">
        <f>IF(tblSalaries[[#This Row],[Years of Experience]]="","",IF(AND(tblSalaries[[#This Row],[Years of Experience]]&gt;10,tblSalaries[[#This Row],[Years of Experience]]&lt;=15),1,""))</f>
        <v/>
      </c>
      <c r="R1825" t="str">
        <f>IF(tblSalaries[[#This Row],[Years of Experience]]="","",IF(AND(tblSalaries[[#This Row],[Years of Experience]]&gt;16,tblSalaries[[#This Row],[Years of Experience]]&lt;=20),1,""))</f>
        <v/>
      </c>
      <c r="S1825" t="str">
        <f>IF(tblSalaries[[#This Row],[Years of Experience]]="","",IF(tblSalaries[[#This Row],[Years of Experience]]&gt;20,1,""))</f>
        <v/>
      </c>
      <c r="T182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5" s="13" t="str">
        <f>IF(tblSalaries[[#This Row],[Job Type]]=tblSalaries[[#Headers],[Accountant]],tblSalaries[[#This Row],[Salary in USD]],"")</f>
        <v/>
      </c>
      <c r="V1825" s="13" t="str">
        <f>IF(tblSalaries[[#This Row],[Job Type]]=tblSalaries[[#Headers],[Analyst]],tblSalaries[[#This Row],[Salary in USD]],"")</f>
        <v/>
      </c>
      <c r="W1825" s="13" t="str">
        <f>IF(tblSalaries[[#This Row],[Job Type]]=tblSalaries[[#Headers],[Consultant]],tblSalaries[[#This Row],[Salary in USD]],"")</f>
        <v/>
      </c>
      <c r="X1825" s="13" t="str">
        <f>IF(tblSalaries[[#This Row],[Job Type]]=tblSalaries[[#Headers],[Controller]],tblSalaries[[#This Row],[Salary in USD]],"")</f>
        <v/>
      </c>
      <c r="Y1825" s="13" t="str">
        <f>IF(tblSalaries[[#This Row],[Job Type]]=tblSalaries[[#Headers],[CXO or Top Mgmt.]],tblSalaries[[#This Row],[clean Salary (in local currency)]],"")</f>
        <v/>
      </c>
      <c r="Z1825" s="13" t="str">
        <f>IF(tblSalaries[[#This Row],[Job Type]]=tblSalaries[[#Headers],[Engineer]],tblSalaries[[#This Row],[Salary in USD]],"")</f>
        <v/>
      </c>
      <c r="AA1825" s="13">
        <f>IF(tblSalaries[[#This Row],[Job Type]]=tblSalaries[[#Headers],[Manager]],tblSalaries[[#This Row],[Salary in USD]],"")</f>
        <v>11000</v>
      </c>
      <c r="AB1825" s="13" t="str">
        <f>IF(tblSalaries[[#This Row],[Job Type]]=tblSalaries[[#Headers],[Misc.]],tblSalaries[[#This Row],[Salary in USD]],"")</f>
        <v/>
      </c>
      <c r="AC1825" s="13" t="str">
        <f>IF(tblSalaries[[#This Row],[Job Type]]=tblSalaries[[#Headers],[Reporting]],tblSalaries[[#This Row],[Salary in USD]],"")</f>
        <v/>
      </c>
      <c r="AD1825" s="13" t="str">
        <f>IF(tblSalaries[[#This Row],[Job Type]]=tblSalaries[[#Headers],[Specialist]],tblSalaries[[#This Row],[Salary in USD]],"")</f>
        <v/>
      </c>
    </row>
    <row r="1826" spans="2:30" ht="15" customHeight="1" x14ac:dyDescent="0.25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 s="9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  <c r="N1826" t="str">
        <f>IF(tblSalaries[[#This Row],[Years of Experience]]="","",IF(tblSalaries[[#This Row],[Years of Experience]]&lt;=2,1,""))</f>
        <v/>
      </c>
      <c r="O1826" t="str">
        <f>IF(tblSalaries[[#This Row],[Years of Experience]]="","",IF(AND(tblSalaries[[#This Row],[Years of Experience]]&gt;2,tblSalaries[[#This Row],[Years of Experience]]&lt;=5),1,""))</f>
        <v/>
      </c>
      <c r="P1826" t="str">
        <f>IF(tblSalaries[[#This Row],[Years of Experience]]="","",IF(AND(tblSalaries[[#This Row],[Years of Experience]]&gt;5,tblSalaries[[#This Row],[Years of Experience]]&lt;=10),1,""))</f>
        <v/>
      </c>
      <c r="Q1826" t="str">
        <f>IF(tblSalaries[[#This Row],[Years of Experience]]="","",IF(AND(tblSalaries[[#This Row],[Years of Experience]]&gt;10,tblSalaries[[#This Row],[Years of Experience]]&lt;=15),1,""))</f>
        <v/>
      </c>
      <c r="R1826">
        <f>IF(tblSalaries[[#This Row],[Years of Experience]]="","",IF(AND(tblSalaries[[#This Row],[Years of Experience]]&gt;16,tblSalaries[[#This Row],[Years of Experience]]&lt;=20),1,""))</f>
        <v>1</v>
      </c>
      <c r="S1826" t="str">
        <f>IF(tblSalaries[[#This Row],[Years of Experience]]="","",IF(tblSalaries[[#This Row],[Years of Experience]]&gt;20,1,""))</f>
        <v/>
      </c>
      <c r="T182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826" s="13" t="str">
        <f>IF(tblSalaries[[#This Row],[Job Type]]=tblSalaries[[#Headers],[Accountant]],tblSalaries[[#This Row],[Salary in USD]],"")</f>
        <v/>
      </c>
      <c r="V1826" s="13" t="str">
        <f>IF(tblSalaries[[#This Row],[Job Type]]=tblSalaries[[#Headers],[Analyst]],tblSalaries[[#This Row],[Salary in USD]],"")</f>
        <v/>
      </c>
      <c r="W1826" s="13" t="str">
        <f>IF(tblSalaries[[#This Row],[Job Type]]=tblSalaries[[#Headers],[Consultant]],tblSalaries[[#This Row],[Salary in USD]],"")</f>
        <v/>
      </c>
      <c r="X1826" s="13">
        <f>IF(tblSalaries[[#This Row],[Job Type]]=tblSalaries[[#Headers],[Controller]],tblSalaries[[#This Row],[Salary in USD]],"")</f>
        <v>114335.9495092447</v>
      </c>
      <c r="Y1826" s="13" t="str">
        <f>IF(tblSalaries[[#This Row],[Job Type]]=tblSalaries[[#Headers],[CXO or Top Mgmt.]],tblSalaries[[#This Row],[clean Salary (in local currency)]],"")</f>
        <v/>
      </c>
      <c r="Z1826" s="13" t="str">
        <f>IF(tblSalaries[[#This Row],[Job Type]]=tblSalaries[[#Headers],[Engineer]],tblSalaries[[#This Row],[Salary in USD]],"")</f>
        <v/>
      </c>
      <c r="AA1826" s="13" t="str">
        <f>IF(tblSalaries[[#This Row],[Job Type]]=tblSalaries[[#Headers],[Manager]],tblSalaries[[#This Row],[Salary in USD]],"")</f>
        <v/>
      </c>
      <c r="AB1826" s="13" t="str">
        <f>IF(tblSalaries[[#This Row],[Job Type]]=tblSalaries[[#Headers],[Misc.]],tblSalaries[[#This Row],[Salary in USD]],"")</f>
        <v/>
      </c>
      <c r="AC1826" s="13" t="str">
        <f>IF(tblSalaries[[#This Row],[Job Type]]=tblSalaries[[#Headers],[Reporting]],tblSalaries[[#This Row],[Salary in USD]],"")</f>
        <v/>
      </c>
      <c r="AD1826" s="13" t="str">
        <f>IF(tblSalaries[[#This Row],[Job Type]]=tblSalaries[[#Headers],[Specialist]],tblSalaries[[#This Row],[Salary in USD]],"")</f>
        <v/>
      </c>
    </row>
    <row r="1827" spans="2:30" ht="15" customHeight="1" x14ac:dyDescent="0.25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 s="9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  <c r="N1827" t="str">
        <f>IF(tblSalaries[[#This Row],[Years of Experience]]="","",IF(tblSalaries[[#This Row],[Years of Experience]]&lt;=2,1,""))</f>
        <v/>
      </c>
      <c r="O1827" t="str">
        <f>IF(tblSalaries[[#This Row],[Years of Experience]]="","",IF(AND(tblSalaries[[#This Row],[Years of Experience]]&gt;2,tblSalaries[[#This Row],[Years of Experience]]&lt;=5),1,""))</f>
        <v/>
      </c>
      <c r="P1827">
        <f>IF(tblSalaries[[#This Row],[Years of Experience]]="","",IF(AND(tblSalaries[[#This Row],[Years of Experience]]&gt;5,tblSalaries[[#This Row],[Years of Experience]]&lt;=10),1,""))</f>
        <v>1</v>
      </c>
      <c r="Q1827" t="str">
        <f>IF(tblSalaries[[#This Row],[Years of Experience]]="","",IF(AND(tblSalaries[[#This Row],[Years of Experience]]&gt;10,tblSalaries[[#This Row],[Years of Experience]]&lt;=15),1,""))</f>
        <v/>
      </c>
      <c r="R1827" t="str">
        <f>IF(tblSalaries[[#This Row],[Years of Experience]]="","",IF(AND(tblSalaries[[#This Row],[Years of Experience]]&gt;16,tblSalaries[[#This Row],[Years of Experience]]&lt;=20),1,""))</f>
        <v/>
      </c>
      <c r="S1827" t="str">
        <f>IF(tblSalaries[[#This Row],[Years of Experience]]="","",IF(tblSalaries[[#This Row],[Years of Experience]]&gt;20,1,""))</f>
        <v/>
      </c>
      <c r="T182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7" s="13" t="str">
        <f>IF(tblSalaries[[#This Row],[Job Type]]=tblSalaries[[#Headers],[Accountant]],tblSalaries[[#This Row],[Salary in USD]],"")</f>
        <v/>
      </c>
      <c r="V1827" s="13">
        <f>IF(tblSalaries[[#This Row],[Job Type]]=tblSalaries[[#Headers],[Analyst]],tblSalaries[[#This Row],[Salary in USD]],"")</f>
        <v>16110</v>
      </c>
      <c r="W1827" s="13" t="str">
        <f>IF(tblSalaries[[#This Row],[Job Type]]=tblSalaries[[#Headers],[Consultant]],tblSalaries[[#This Row],[Salary in USD]],"")</f>
        <v/>
      </c>
      <c r="X1827" s="13" t="str">
        <f>IF(tblSalaries[[#This Row],[Job Type]]=tblSalaries[[#Headers],[Controller]],tblSalaries[[#This Row],[Salary in USD]],"")</f>
        <v/>
      </c>
      <c r="Y1827" s="13" t="str">
        <f>IF(tblSalaries[[#This Row],[Job Type]]=tblSalaries[[#Headers],[CXO or Top Mgmt.]],tblSalaries[[#This Row],[clean Salary (in local currency)]],"")</f>
        <v/>
      </c>
      <c r="Z1827" s="13" t="str">
        <f>IF(tblSalaries[[#This Row],[Job Type]]=tblSalaries[[#Headers],[Engineer]],tblSalaries[[#This Row],[Salary in USD]],"")</f>
        <v/>
      </c>
      <c r="AA1827" s="13" t="str">
        <f>IF(tblSalaries[[#This Row],[Job Type]]=tblSalaries[[#Headers],[Manager]],tblSalaries[[#This Row],[Salary in USD]],"")</f>
        <v/>
      </c>
      <c r="AB1827" s="13" t="str">
        <f>IF(tblSalaries[[#This Row],[Job Type]]=tblSalaries[[#Headers],[Misc.]],tblSalaries[[#This Row],[Salary in USD]],"")</f>
        <v/>
      </c>
      <c r="AC1827" s="13" t="str">
        <f>IF(tblSalaries[[#This Row],[Job Type]]=tblSalaries[[#Headers],[Reporting]],tblSalaries[[#This Row],[Salary in USD]],"")</f>
        <v/>
      </c>
      <c r="AD1827" s="13" t="str">
        <f>IF(tblSalaries[[#This Row],[Job Type]]=tblSalaries[[#Headers],[Specialist]],tblSalaries[[#This Row],[Salary in USD]],"")</f>
        <v/>
      </c>
    </row>
    <row r="1828" spans="2:30" ht="15" customHeight="1" x14ac:dyDescent="0.25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 s="9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  <c r="N1828" t="str">
        <f>IF(tblSalaries[[#This Row],[Years of Experience]]="","",IF(tblSalaries[[#This Row],[Years of Experience]]&lt;=2,1,""))</f>
        <v/>
      </c>
      <c r="O1828" t="str">
        <f>IF(tblSalaries[[#This Row],[Years of Experience]]="","",IF(AND(tblSalaries[[#This Row],[Years of Experience]]&gt;2,tblSalaries[[#This Row],[Years of Experience]]&lt;=5),1,""))</f>
        <v/>
      </c>
      <c r="P1828">
        <f>IF(tblSalaries[[#This Row],[Years of Experience]]="","",IF(AND(tblSalaries[[#This Row],[Years of Experience]]&gt;5,tblSalaries[[#This Row],[Years of Experience]]&lt;=10),1,""))</f>
        <v>1</v>
      </c>
      <c r="Q1828" t="str">
        <f>IF(tblSalaries[[#This Row],[Years of Experience]]="","",IF(AND(tblSalaries[[#This Row],[Years of Experience]]&gt;10,tblSalaries[[#This Row],[Years of Experience]]&lt;=15),1,""))</f>
        <v/>
      </c>
      <c r="R1828" t="str">
        <f>IF(tblSalaries[[#This Row],[Years of Experience]]="","",IF(AND(tblSalaries[[#This Row],[Years of Experience]]&gt;16,tblSalaries[[#This Row],[Years of Experience]]&lt;=20),1,""))</f>
        <v/>
      </c>
      <c r="S1828" t="str">
        <f>IF(tblSalaries[[#This Row],[Years of Experience]]="","",IF(tblSalaries[[#This Row],[Years of Experience]]&gt;20,1,""))</f>
        <v/>
      </c>
      <c r="T182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8" s="13" t="str">
        <f>IF(tblSalaries[[#This Row],[Job Type]]=tblSalaries[[#Headers],[Accountant]],tblSalaries[[#This Row],[Salary in USD]],"")</f>
        <v/>
      </c>
      <c r="V1828" s="13" t="str">
        <f>IF(tblSalaries[[#This Row],[Job Type]]=tblSalaries[[#Headers],[Analyst]],tblSalaries[[#This Row],[Salary in USD]],"")</f>
        <v/>
      </c>
      <c r="W1828" s="13" t="str">
        <f>IF(tblSalaries[[#This Row],[Job Type]]=tblSalaries[[#Headers],[Consultant]],tblSalaries[[#This Row],[Salary in USD]],"")</f>
        <v/>
      </c>
      <c r="X1828" s="13" t="str">
        <f>IF(tblSalaries[[#This Row],[Job Type]]=tblSalaries[[#Headers],[Controller]],tblSalaries[[#This Row],[Salary in USD]],"")</f>
        <v/>
      </c>
      <c r="Y1828" s="13" t="str">
        <f>IF(tblSalaries[[#This Row],[Job Type]]=tblSalaries[[#Headers],[CXO or Top Mgmt.]],tblSalaries[[#This Row],[clean Salary (in local currency)]],"")</f>
        <v/>
      </c>
      <c r="Z1828" s="13" t="str">
        <f>IF(tblSalaries[[#This Row],[Job Type]]=tblSalaries[[#Headers],[Engineer]],tblSalaries[[#This Row],[Salary in USD]],"")</f>
        <v/>
      </c>
      <c r="AA1828" s="13">
        <f>IF(tblSalaries[[#This Row],[Job Type]]=tblSalaries[[#Headers],[Manager]],tblSalaries[[#This Row],[Salary in USD]],"")</f>
        <v>72000</v>
      </c>
      <c r="AB1828" s="13" t="str">
        <f>IF(tblSalaries[[#This Row],[Job Type]]=tblSalaries[[#Headers],[Misc.]],tblSalaries[[#This Row],[Salary in USD]],"")</f>
        <v/>
      </c>
      <c r="AC1828" s="13" t="str">
        <f>IF(tblSalaries[[#This Row],[Job Type]]=tblSalaries[[#Headers],[Reporting]],tblSalaries[[#This Row],[Salary in USD]],"")</f>
        <v/>
      </c>
      <c r="AD1828" s="13" t="str">
        <f>IF(tblSalaries[[#This Row],[Job Type]]=tblSalaries[[#Headers],[Specialist]],tblSalaries[[#This Row],[Salary in USD]],"")</f>
        <v/>
      </c>
    </row>
    <row r="1829" spans="2:30" ht="15" customHeight="1" x14ac:dyDescent="0.25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 s="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  <c r="N1829" t="str">
        <f>IF(tblSalaries[[#This Row],[Years of Experience]]="","",IF(tblSalaries[[#This Row],[Years of Experience]]&lt;=2,1,""))</f>
        <v/>
      </c>
      <c r="O1829" t="str">
        <f>IF(tblSalaries[[#This Row],[Years of Experience]]="","",IF(AND(tblSalaries[[#This Row],[Years of Experience]]&gt;2,tblSalaries[[#This Row],[Years of Experience]]&lt;=5),1,""))</f>
        <v/>
      </c>
      <c r="P1829">
        <f>IF(tblSalaries[[#This Row],[Years of Experience]]="","",IF(AND(tblSalaries[[#This Row],[Years of Experience]]&gt;5,tblSalaries[[#This Row],[Years of Experience]]&lt;=10),1,""))</f>
        <v>1</v>
      </c>
      <c r="Q1829" t="str">
        <f>IF(tblSalaries[[#This Row],[Years of Experience]]="","",IF(AND(tblSalaries[[#This Row],[Years of Experience]]&gt;10,tblSalaries[[#This Row],[Years of Experience]]&lt;=15),1,""))</f>
        <v/>
      </c>
      <c r="R1829" t="str">
        <f>IF(tblSalaries[[#This Row],[Years of Experience]]="","",IF(AND(tblSalaries[[#This Row],[Years of Experience]]&gt;16,tblSalaries[[#This Row],[Years of Experience]]&lt;=20),1,""))</f>
        <v/>
      </c>
      <c r="S1829" t="str">
        <f>IF(tblSalaries[[#This Row],[Years of Experience]]="","",IF(tblSalaries[[#This Row],[Years of Experience]]&gt;20,1,""))</f>
        <v/>
      </c>
      <c r="T182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29" s="13" t="str">
        <f>IF(tblSalaries[[#This Row],[Job Type]]=tblSalaries[[#Headers],[Accountant]],tblSalaries[[#This Row],[Salary in USD]],"")</f>
        <v/>
      </c>
      <c r="V1829" s="13">
        <f>IF(tblSalaries[[#This Row],[Job Type]]=tblSalaries[[#Headers],[Analyst]],tblSalaries[[#This Row],[Salary in USD]],"")</f>
        <v>60000</v>
      </c>
      <c r="W1829" s="13" t="str">
        <f>IF(tblSalaries[[#This Row],[Job Type]]=tblSalaries[[#Headers],[Consultant]],tblSalaries[[#This Row],[Salary in USD]],"")</f>
        <v/>
      </c>
      <c r="X1829" s="13" t="str">
        <f>IF(tblSalaries[[#This Row],[Job Type]]=tblSalaries[[#Headers],[Controller]],tblSalaries[[#This Row],[Salary in USD]],"")</f>
        <v/>
      </c>
      <c r="Y1829" s="13" t="str">
        <f>IF(tblSalaries[[#This Row],[Job Type]]=tblSalaries[[#Headers],[CXO or Top Mgmt.]],tblSalaries[[#This Row],[clean Salary (in local currency)]],"")</f>
        <v/>
      </c>
      <c r="Z1829" s="13" t="str">
        <f>IF(tblSalaries[[#This Row],[Job Type]]=tblSalaries[[#Headers],[Engineer]],tblSalaries[[#This Row],[Salary in USD]],"")</f>
        <v/>
      </c>
      <c r="AA1829" s="13" t="str">
        <f>IF(tblSalaries[[#This Row],[Job Type]]=tblSalaries[[#Headers],[Manager]],tblSalaries[[#This Row],[Salary in USD]],"")</f>
        <v/>
      </c>
      <c r="AB1829" s="13" t="str">
        <f>IF(tblSalaries[[#This Row],[Job Type]]=tblSalaries[[#Headers],[Misc.]],tblSalaries[[#This Row],[Salary in USD]],"")</f>
        <v/>
      </c>
      <c r="AC1829" s="13" t="str">
        <f>IF(tblSalaries[[#This Row],[Job Type]]=tblSalaries[[#Headers],[Reporting]],tblSalaries[[#This Row],[Salary in USD]],"")</f>
        <v/>
      </c>
      <c r="AD1829" s="13" t="str">
        <f>IF(tblSalaries[[#This Row],[Job Type]]=tblSalaries[[#Headers],[Specialist]],tblSalaries[[#This Row],[Salary in USD]],"")</f>
        <v/>
      </c>
    </row>
    <row r="1830" spans="2:30" ht="15" customHeight="1" x14ac:dyDescent="0.25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 s="9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  <c r="N1830" t="str">
        <f>IF(tblSalaries[[#This Row],[Years of Experience]]="","",IF(tblSalaries[[#This Row],[Years of Experience]]&lt;=2,1,""))</f>
        <v/>
      </c>
      <c r="O1830" t="str">
        <f>IF(tblSalaries[[#This Row],[Years of Experience]]="","",IF(AND(tblSalaries[[#This Row],[Years of Experience]]&gt;2,tblSalaries[[#This Row],[Years of Experience]]&lt;=5),1,""))</f>
        <v/>
      </c>
      <c r="P1830">
        <f>IF(tblSalaries[[#This Row],[Years of Experience]]="","",IF(AND(tblSalaries[[#This Row],[Years of Experience]]&gt;5,tblSalaries[[#This Row],[Years of Experience]]&lt;=10),1,""))</f>
        <v>1</v>
      </c>
      <c r="Q1830" t="str">
        <f>IF(tblSalaries[[#This Row],[Years of Experience]]="","",IF(AND(tblSalaries[[#This Row],[Years of Experience]]&gt;10,tblSalaries[[#This Row],[Years of Experience]]&lt;=15),1,""))</f>
        <v/>
      </c>
      <c r="R1830" t="str">
        <f>IF(tblSalaries[[#This Row],[Years of Experience]]="","",IF(AND(tblSalaries[[#This Row],[Years of Experience]]&gt;16,tblSalaries[[#This Row],[Years of Experience]]&lt;=20),1,""))</f>
        <v/>
      </c>
      <c r="S1830" t="str">
        <f>IF(tblSalaries[[#This Row],[Years of Experience]]="","",IF(tblSalaries[[#This Row],[Years of Experience]]&gt;20,1,""))</f>
        <v/>
      </c>
      <c r="T183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30" s="13" t="str">
        <f>IF(tblSalaries[[#This Row],[Job Type]]=tblSalaries[[#Headers],[Accountant]],tblSalaries[[#This Row],[Salary in USD]],"")</f>
        <v/>
      </c>
      <c r="V1830" s="13">
        <f>IF(tblSalaries[[#This Row],[Job Type]]=tblSalaries[[#Headers],[Analyst]],tblSalaries[[#This Row],[Salary in USD]],"")</f>
        <v>67000</v>
      </c>
      <c r="W1830" s="13" t="str">
        <f>IF(tblSalaries[[#This Row],[Job Type]]=tblSalaries[[#Headers],[Consultant]],tblSalaries[[#This Row],[Salary in USD]],"")</f>
        <v/>
      </c>
      <c r="X1830" s="13" t="str">
        <f>IF(tblSalaries[[#This Row],[Job Type]]=tblSalaries[[#Headers],[Controller]],tblSalaries[[#This Row],[Salary in USD]],"")</f>
        <v/>
      </c>
      <c r="Y1830" s="13" t="str">
        <f>IF(tblSalaries[[#This Row],[Job Type]]=tblSalaries[[#Headers],[CXO or Top Mgmt.]],tblSalaries[[#This Row],[clean Salary (in local currency)]],"")</f>
        <v/>
      </c>
      <c r="Z1830" s="13" t="str">
        <f>IF(tblSalaries[[#This Row],[Job Type]]=tblSalaries[[#Headers],[Engineer]],tblSalaries[[#This Row],[Salary in USD]],"")</f>
        <v/>
      </c>
      <c r="AA1830" s="13" t="str">
        <f>IF(tblSalaries[[#This Row],[Job Type]]=tblSalaries[[#Headers],[Manager]],tblSalaries[[#This Row],[Salary in USD]],"")</f>
        <v/>
      </c>
      <c r="AB1830" s="13" t="str">
        <f>IF(tblSalaries[[#This Row],[Job Type]]=tblSalaries[[#Headers],[Misc.]],tblSalaries[[#This Row],[Salary in USD]],"")</f>
        <v/>
      </c>
      <c r="AC1830" s="13" t="str">
        <f>IF(tblSalaries[[#This Row],[Job Type]]=tblSalaries[[#Headers],[Reporting]],tblSalaries[[#This Row],[Salary in USD]],"")</f>
        <v/>
      </c>
      <c r="AD1830" s="13" t="str">
        <f>IF(tblSalaries[[#This Row],[Job Type]]=tblSalaries[[#Headers],[Specialist]],tblSalaries[[#This Row],[Salary in USD]],"")</f>
        <v/>
      </c>
    </row>
    <row r="1831" spans="2:30" ht="15" customHeight="1" x14ac:dyDescent="0.25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 s="9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  <c r="N1831" t="str">
        <f>IF(tblSalaries[[#This Row],[Years of Experience]]="","",IF(tblSalaries[[#This Row],[Years of Experience]]&lt;=2,1,""))</f>
        <v/>
      </c>
      <c r="O1831" t="str">
        <f>IF(tblSalaries[[#This Row],[Years of Experience]]="","",IF(AND(tblSalaries[[#This Row],[Years of Experience]]&gt;2,tblSalaries[[#This Row],[Years of Experience]]&lt;=5),1,""))</f>
        <v/>
      </c>
      <c r="P1831" t="str">
        <f>IF(tblSalaries[[#This Row],[Years of Experience]]="","",IF(AND(tblSalaries[[#This Row],[Years of Experience]]&gt;5,tblSalaries[[#This Row],[Years of Experience]]&lt;=10),1,""))</f>
        <v/>
      </c>
      <c r="Q1831" t="str">
        <f>IF(tblSalaries[[#This Row],[Years of Experience]]="","",IF(AND(tblSalaries[[#This Row],[Years of Experience]]&gt;10,tblSalaries[[#This Row],[Years of Experience]]&lt;=15),1,""))</f>
        <v/>
      </c>
      <c r="R1831">
        <f>IF(tblSalaries[[#This Row],[Years of Experience]]="","",IF(AND(tblSalaries[[#This Row],[Years of Experience]]&gt;16,tblSalaries[[#This Row],[Years of Experience]]&lt;=20),1,""))</f>
        <v>1</v>
      </c>
      <c r="S1831" t="str">
        <f>IF(tblSalaries[[#This Row],[Years of Experience]]="","",IF(tblSalaries[[#This Row],[Years of Experience]]&gt;20,1,""))</f>
        <v/>
      </c>
      <c r="T183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831" s="13" t="str">
        <f>IF(tblSalaries[[#This Row],[Job Type]]=tblSalaries[[#Headers],[Accountant]],tblSalaries[[#This Row],[Salary in USD]],"")</f>
        <v/>
      </c>
      <c r="V1831" s="13">
        <f>IF(tblSalaries[[#This Row],[Job Type]]=tblSalaries[[#Headers],[Analyst]],tblSalaries[[#This Row],[Salary in USD]],"")</f>
        <v>54000</v>
      </c>
      <c r="W1831" s="13" t="str">
        <f>IF(tblSalaries[[#This Row],[Job Type]]=tblSalaries[[#Headers],[Consultant]],tblSalaries[[#This Row],[Salary in USD]],"")</f>
        <v/>
      </c>
      <c r="X1831" s="13" t="str">
        <f>IF(tblSalaries[[#This Row],[Job Type]]=tblSalaries[[#Headers],[Controller]],tblSalaries[[#This Row],[Salary in USD]],"")</f>
        <v/>
      </c>
      <c r="Y1831" s="13" t="str">
        <f>IF(tblSalaries[[#This Row],[Job Type]]=tblSalaries[[#Headers],[CXO or Top Mgmt.]],tblSalaries[[#This Row],[clean Salary (in local currency)]],"")</f>
        <v/>
      </c>
      <c r="Z1831" s="13" t="str">
        <f>IF(tblSalaries[[#This Row],[Job Type]]=tblSalaries[[#Headers],[Engineer]],tblSalaries[[#This Row],[Salary in USD]],"")</f>
        <v/>
      </c>
      <c r="AA1831" s="13" t="str">
        <f>IF(tblSalaries[[#This Row],[Job Type]]=tblSalaries[[#Headers],[Manager]],tblSalaries[[#This Row],[Salary in USD]],"")</f>
        <v/>
      </c>
      <c r="AB1831" s="13" t="str">
        <f>IF(tblSalaries[[#This Row],[Job Type]]=tblSalaries[[#Headers],[Misc.]],tblSalaries[[#This Row],[Salary in USD]],"")</f>
        <v/>
      </c>
      <c r="AC1831" s="13" t="str">
        <f>IF(tblSalaries[[#This Row],[Job Type]]=tblSalaries[[#Headers],[Reporting]],tblSalaries[[#This Row],[Salary in USD]],"")</f>
        <v/>
      </c>
      <c r="AD1831" s="13" t="str">
        <f>IF(tblSalaries[[#This Row],[Job Type]]=tblSalaries[[#Headers],[Specialist]],tblSalaries[[#This Row],[Salary in USD]],"")</f>
        <v/>
      </c>
    </row>
    <row r="1832" spans="2:30" ht="15" customHeight="1" x14ac:dyDescent="0.25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 s="9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  <c r="N1832" t="str">
        <f>IF(tblSalaries[[#This Row],[Years of Experience]]="","",IF(tblSalaries[[#This Row],[Years of Experience]]&lt;=2,1,""))</f>
        <v/>
      </c>
      <c r="O1832" t="str">
        <f>IF(tblSalaries[[#This Row],[Years of Experience]]="","",IF(AND(tblSalaries[[#This Row],[Years of Experience]]&gt;2,tblSalaries[[#This Row],[Years of Experience]]&lt;=5),1,""))</f>
        <v/>
      </c>
      <c r="P1832">
        <f>IF(tblSalaries[[#This Row],[Years of Experience]]="","",IF(AND(tblSalaries[[#This Row],[Years of Experience]]&gt;5,tblSalaries[[#This Row],[Years of Experience]]&lt;=10),1,""))</f>
        <v>1</v>
      </c>
      <c r="Q1832" t="str">
        <f>IF(tblSalaries[[#This Row],[Years of Experience]]="","",IF(AND(tblSalaries[[#This Row],[Years of Experience]]&gt;10,tblSalaries[[#This Row],[Years of Experience]]&lt;=15),1,""))</f>
        <v/>
      </c>
      <c r="R1832" t="str">
        <f>IF(tblSalaries[[#This Row],[Years of Experience]]="","",IF(AND(tblSalaries[[#This Row],[Years of Experience]]&gt;16,tblSalaries[[#This Row],[Years of Experience]]&lt;=20),1,""))</f>
        <v/>
      </c>
      <c r="S1832" t="str">
        <f>IF(tblSalaries[[#This Row],[Years of Experience]]="","",IF(tblSalaries[[#This Row],[Years of Experience]]&gt;20,1,""))</f>
        <v/>
      </c>
      <c r="T183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32" s="13" t="str">
        <f>IF(tblSalaries[[#This Row],[Job Type]]=tblSalaries[[#Headers],[Accountant]],tblSalaries[[#This Row],[Salary in USD]],"")</f>
        <v/>
      </c>
      <c r="V1832" s="13" t="str">
        <f>IF(tblSalaries[[#This Row],[Job Type]]=tblSalaries[[#Headers],[Analyst]],tblSalaries[[#This Row],[Salary in USD]],"")</f>
        <v/>
      </c>
      <c r="W1832" s="13" t="str">
        <f>IF(tblSalaries[[#This Row],[Job Type]]=tblSalaries[[#Headers],[Consultant]],tblSalaries[[#This Row],[Salary in USD]],"")</f>
        <v/>
      </c>
      <c r="X1832" s="13" t="str">
        <f>IF(tblSalaries[[#This Row],[Job Type]]=tblSalaries[[#Headers],[Controller]],tblSalaries[[#This Row],[Salary in USD]],"")</f>
        <v/>
      </c>
      <c r="Y1832" s="13" t="str">
        <f>IF(tblSalaries[[#This Row],[Job Type]]=tblSalaries[[#Headers],[CXO or Top Mgmt.]],tblSalaries[[#This Row],[clean Salary (in local currency)]],"")</f>
        <v/>
      </c>
      <c r="Z1832" s="13" t="str">
        <f>IF(tblSalaries[[#This Row],[Job Type]]=tblSalaries[[#Headers],[Engineer]],tblSalaries[[#This Row],[Salary in USD]],"")</f>
        <v/>
      </c>
      <c r="AA1832" s="13" t="str">
        <f>IF(tblSalaries[[#This Row],[Job Type]]=tblSalaries[[#Headers],[Manager]],tblSalaries[[#This Row],[Salary in USD]],"")</f>
        <v/>
      </c>
      <c r="AB1832" s="13" t="str">
        <f>IF(tblSalaries[[#This Row],[Job Type]]=tblSalaries[[#Headers],[Misc.]],tblSalaries[[#This Row],[Salary in USD]],"")</f>
        <v/>
      </c>
      <c r="AC1832" s="13" t="str">
        <f>IF(tblSalaries[[#This Row],[Job Type]]=tblSalaries[[#Headers],[Reporting]],tblSalaries[[#This Row],[Salary in USD]],"")</f>
        <v/>
      </c>
      <c r="AD1832" s="13">
        <f>IF(tblSalaries[[#This Row],[Job Type]]=tblSalaries[[#Headers],[Specialist]],tblSalaries[[#This Row],[Salary in USD]],"")</f>
        <v>38666</v>
      </c>
    </row>
    <row r="1833" spans="2:30" ht="15" customHeight="1" x14ac:dyDescent="0.25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 s="9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  <c r="N1833" t="str">
        <f>IF(tblSalaries[[#This Row],[Years of Experience]]="","",IF(tblSalaries[[#This Row],[Years of Experience]]&lt;=2,1,""))</f>
        <v/>
      </c>
      <c r="O1833" t="str">
        <f>IF(tblSalaries[[#This Row],[Years of Experience]]="","",IF(AND(tblSalaries[[#This Row],[Years of Experience]]&gt;2,tblSalaries[[#This Row],[Years of Experience]]&lt;=5),1,""))</f>
        <v/>
      </c>
      <c r="P1833">
        <f>IF(tblSalaries[[#This Row],[Years of Experience]]="","",IF(AND(tblSalaries[[#This Row],[Years of Experience]]&gt;5,tblSalaries[[#This Row],[Years of Experience]]&lt;=10),1,""))</f>
        <v>1</v>
      </c>
      <c r="Q1833" t="str">
        <f>IF(tblSalaries[[#This Row],[Years of Experience]]="","",IF(AND(tblSalaries[[#This Row],[Years of Experience]]&gt;10,tblSalaries[[#This Row],[Years of Experience]]&lt;=15),1,""))</f>
        <v/>
      </c>
      <c r="R1833" t="str">
        <f>IF(tblSalaries[[#This Row],[Years of Experience]]="","",IF(AND(tblSalaries[[#This Row],[Years of Experience]]&gt;16,tblSalaries[[#This Row],[Years of Experience]]&lt;=20),1,""))</f>
        <v/>
      </c>
      <c r="S1833" t="str">
        <f>IF(tblSalaries[[#This Row],[Years of Experience]]="","",IF(tblSalaries[[#This Row],[Years of Experience]]&gt;20,1,""))</f>
        <v/>
      </c>
      <c r="T183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33" s="13" t="str">
        <f>IF(tblSalaries[[#This Row],[Job Type]]=tblSalaries[[#Headers],[Accountant]],tblSalaries[[#This Row],[Salary in USD]],"")</f>
        <v/>
      </c>
      <c r="V1833" s="13">
        <f>IF(tblSalaries[[#This Row],[Job Type]]=tblSalaries[[#Headers],[Analyst]],tblSalaries[[#This Row],[Salary in USD]],"")</f>
        <v>63000</v>
      </c>
      <c r="W1833" s="13" t="str">
        <f>IF(tblSalaries[[#This Row],[Job Type]]=tblSalaries[[#Headers],[Consultant]],tblSalaries[[#This Row],[Salary in USD]],"")</f>
        <v/>
      </c>
      <c r="X1833" s="13" t="str">
        <f>IF(tblSalaries[[#This Row],[Job Type]]=tblSalaries[[#Headers],[Controller]],tblSalaries[[#This Row],[Salary in USD]],"")</f>
        <v/>
      </c>
      <c r="Y1833" s="13" t="str">
        <f>IF(tblSalaries[[#This Row],[Job Type]]=tblSalaries[[#Headers],[CXO or Top Mgmt.]],tblSalaries[[#This Row],[clean Salary (in local currency)]],"")</f>
        <v/>
      </c>
      <c r="Z1833" s="13" t="str">
        <f>IF(tblSalaries[[#This Row],[Job Type]]=tblSalaries[[#Headers],[Engineer]],tblSalaries[[#This Row],[Salary in USD]],"")</f>
        <v/>
      </c>
      <c r="AA1833" s="13" t="str">
        <f>IF(tblSalaries[[#This Row],[Job Type]]=tblSalaries[[#Headers],[Manager]],tblSalaries[[#This Row],[Salary in USD]],"")</f>
        <v/>
      </c>
      <c r="AB1833" s="13" t="str">
        <f>IF(tblSalaries[[#This Row],[Job Type]]=tblSalaries[[#Headers],[Misc.]],tblSalaries[[#This Row],[Salary in USD]],"")</f>
        <v/>
      </c>
      <c r="AC1833" s="13" t="str">
        <f>IF(tblSalaries[[#This Row],[Job Type]]=tblSalaries[[#Headers],[Reporting]],tblSalaries[[#This Row],[Salary in USD]],"")</f>
        <v/>
      </c>
      <c r="AD1833" s="13" t="str">
        <f>IF(tblSalaries[[#This Row],[Job Type]]=tblSalaries[[#Headers],[Specialist]],tblSalaries[[#This Row],[Salary in USD]],"")</f>
        <v/>
      </c>
    </row>
    <row r="1834" spans="2:30" ht="15" customHeight="1" x14ac:dyDescent="0.25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 s="9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  <c r="N1834">
        <f>IF(tblSalaries[[#This Row],[Years of Experience]]="","",IF(tblSalaries[[#This Row],[Years of Experience]]&lt;=2,1,""))</f>
        <v>1</v>
      </c>
      <c r="O1834" t="str">
        <f>IF(tblSalaries[[#This Row],[Years of Experience]]="","",IF(AND(tblSalaries[[#This Row],[Years of Experience]]&gt;2,tblSalaries[[#This Row],[Years of Experience]]&lt;=5),1,""))</f>
        <v/>
      </c>
      <c r="P1834" t="str">
        <f>IF(tblSalaries[[#This Row],[Years of Experience]]="","",IF(AND(tblSalaries[[#This Row],[Years of Experience]]&gt;5,tblSalaries[[#This Row],[Years of Experience]]&lt;=10),1,""))</f>
        <v/>
      </c>
      <c r="Q1834" t="str">
        <f>IF(tblSalaries[[#This Row],[Years of Experience]]="","",IF(AND(tblSalaries[[#This Row],[Years of Experience]]&gt;10,tblSalaries[[#This Row],[Years of Experience]]&lt;=15),1,""))</f>
        <v/>
      </c>
      <c r="R1834" t="str">
        <f>IF(tblSalaries[[#This Row],[Years of Experience]]="","",IF(AND(tblSalaries[[#This Row],[Years of Experience]]&gt;16,tblSalaries[[#This Row],[Years of Experience]]&lt;=20),1,""))</f>
        <v/>
      </c>
      <c r="S1834" t="str">
        <f>IF(tblSalaries[[#This Row],[Years of Experience]]="","",IF(tblSalaries[[#This Row],[Years of Experience]]&gt;20,1,""))</f>
        <v/>
      </c>
      <c r="T183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34" s="13" t="str">
        <f>IF(tblSalaries[[#This Row],[Job Type]]=tblSalaries[[#Headers],[Accountant]],tblSalaries[[#This Row],[Salary in USD]],"")</f>
        <v/>
      </c>
      <c r="V1834" s="13">
        <f>IF(tblSalaries[[#This Row],[Job Type]]=tblSalaries[[#Headers],[Analyst]],tblSalaries[[#This Row],[Salary in USD]],"")</f>
        <v>63000</v>
      </c>
      <c r="W1834" s="13" t="str">
        <f>IF(tblSalaries[[#This Row],[Job Type]]=tblSalaries[[#Headers],[Consultant]],tblSalaries[[#This Row],[Salary in USD]],"")</f>
        <v/>
      </c>
      <c r="X1834" s="13" t="str">
        <f>IF(tblSalaries[[#This Row],[Job Type]]=tblSalaries[[#Headers],[Controller]],tblSalaries[[#This Row],[Salary in USD]],"")</f>
        <v/>
      </c>
      <c r="Y1834" s="13" t="str">
        <f>IF(tblSalaries[[#This Row],[Job Type]]=tblSalaries[[#Headers],[CXO or Top Mgmt.]],tblSalaries[[#This Row],[clean Salary (in local currency)]],"")</f>
        <v/>
      </c>
      <c r="Z1834" s="13" t="str">
        <f>IF(tblSalaries[[#This Row],[Job Type]]=tblSalaries[[#Headers],[Engineer]],tblSalaries[[#This Row],[Salary in USD]],"")</f>
        <v/>
      </c>
      <c r="AA1834" s="13" t="str">
        <f>IF(tblSalaries[[#This Row],[Job Type]]=tblSalaries[[#Headers],[Manager]],tblSalaries[[#This Row],[Salary in USD]],"")</f>
        <v/>
      </c>
      <c r="AB1834" s="13" t="str">
        <f>IF(tblSalaries[[#This Row],[Job Type]]=tblSalaries[[#Headers],[Misc.]],tblSalaries[[#This Row],[Salary in USD]],"")</f>
        <v/>
      </c>
      <c r="AC1834" s="13" t="str">
        <f>IF(tblSalaries[[#This Row],[Job Type]]=tblSalaries[[#Headers],[Reporting]],tblSalaries[[#This Row],[Salary in USD]],"")</f>
        <v/>
      </c>
      <c r="AD1834" s="13" t="str">
        <f>IF(tblSalaries[[#This Row],[Job Type]]=tblSalaries[[#Headers],[Specialist]],tblSalaries[[#This Row],[Salary in USD]],"")</f>
        <v/>
      </c>
    </row>
    <row r="1835" spans="2:30" ht="15" customHeight="1" x14ac:dyDescent="0.25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 s="9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  <c r="N1835">
        <f>IF(tblSalaries[[#This Row],[Years of Experience]]="","",IF(tblSalaries[[#This Row],[Years of Experience]]&lt;=2,1,""))</f>
        <v>1</v>
      </c>
      <c r="O1835" t="str">
        <f>IF(tblSalaries[[#This Row],[Years of Experience]]="","",IF(AND(tblSalaries[[#This Row],[Years of Experience]]&gt;2,tblSalaries[[#This Row],[Years of Experience]]&lt;=5),1,""))</f>
        <v/>
      </c>
      <c r="P1835" t="str">
        <f>IF(tblSalaries[[#This Row],[Years of Experience]]="","",IF(AND(tblSalaries[[#This Row],[Years of Experience]]&gt;5,tblSalaries[[#This Row],[Years of Experience]]&lt;=10),1,""))</f>
        <v/>
      </c>
      <c r="Q1835" t="str">
        <f>IF(tblSalaries[[#This Row],[Years of Experience]]="","",IF(AND(tblSalaries[[#This Row],[Years of Experience]]&gt;10,tblSalaries[[#This Row],[Years of Experience]]&lt;=15),1,""))</f>
        <v/>
      </c>
      <c r="R1835" t="str">
        <f>IF(tblSalaries[[#This Row],[Years of Experience]]="","",IF(AND(tblSalaries[[#This Row],[Years of Experience]]&gt;16,tblSalaries[[#This Row],[Years of Experience]]&lt;=20),1,""))</f>
        <v/>
      </c>
      <c r="S1835" t="str">
        <f>IF(tblSalaries[[#This Row],[Years of Experience]]="","",IF(tblSalaries[[#This Row],[Years of Experience]]&gt;20,1,""))</f>
        <v/>
      </c>
      <c r="T183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35" s="13" t="str">
        <f>IF(tblSalaries[[#This Row],[Job Type]]=tblSalaries[[#Headers],[Accountant]],tblSalaries[[#This Row],[Salary in USD]],"")</f>
        <v/>
      </c>
      <c r="V1835" s="13">
        <f>IF(tblSalaries[[#This Row],[Job Type]]=tblSalaries[[#Headers],[Analyst]],tblSalaries[[#This Row],[Salary in USD]],"")</f>
        <v>6410.8500074793246</v>
      </c>
      <c r="W1835" s="13" t="str">
        <f>IF(tblSalaries[[#This Row],[Job Type]]=tblSalaries[[#Headers],[Consultant]],tblSalaries[[#This Row],[Salary in USD]],"")</f>
        <v/>
      </c>
      <c r="X1835" s="13" t="str">
        <f>IF(tblSalaries[[#This Row],[Job Type]]=tblSalaries[[#Headers],[Controller]],tblSalaries[[#This Row],[Salary in USD]],"")</f>
        <v/>
      </c>
      <c r="Y1835" s="13" t="str">
        <f>IF(tblSalaries[[#This Row],[Job Type]]=tblSalaries[[#Headers],[CXO or Top Mgmt.]],tblSalaries[[#This Row],[clean Salary (in local currency)]],"")</f>
        <v/>
      </c>
      <c r="Z1835" s="13" t="str">
        <f>IF(tblSalaries[[#This Row],[Job Type]]=tblSalaries[[#Headers],[Engineer]],tblSalaries[[#This Row],[Salary in USD]],"")</f>
        <v/>
      </c>
      <c r="AA1835" s="13" t="str">
        <f>IF(tblSalaries[[#This Row],[Job Type]]=tblSalaries[[#Headers],[Manager]],tblSalaries[[#This Row],[Salary in USD]],"")</f>
        <v/>
      </c>
      <c r="AB1835" s="13" t="str">
        <f>IF(tblSalaries[[#This Row],[Job Type]]=tblSalaries[[#Headers],[Misc.]],tblSalaries[[#This Row],[Salary in USD]],"")</f>
        <v/>
      </c>
      <c r="AC1835" s="13" t="str">
        <f>IF(tblSalaries[[#This Row],[Job Type]]=tblSalaries[[#Headers],[Reporting]],tblSalaries[[#This Row],[Salary in USD]],"")</f>
        <v/>
      </c>
      <c r="AD1835" s="13" t="str">
        <f>IF(tblSalaries[[#This Row],[Job Type]]=tblSalaries[[#Headers],[Specialist]],tblSalaries[[#This Row],[Salary in USD]],"")</f>
        <v/>
      </c>
    </row>
    <row r="1836" spans="2:30" ht="15" customHeight="1" x14ac:dyDescent="0.25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 s="9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  <c r="N1836" t="str">
        <f>IF(tblSalaries[[#This Row],[Years of Experience]]="","",IF(tblSalaries[[#This Row],[Years of Experience]]&lt;=2,1,""))</f>
        <v/>
      </c>
      <c r="O1836" t="str">
        <f>IF(tblSalaries[[#This Row],[Years of Experience]]="","",IF(AND(tblSalaries[[#This Row],[Years of Experience]]&gt;2,tblSalaries[[#This Row],[Years of Experience]]&lt;=5),1,""))</f>
        <v/>
      </c>
      <c r="P1836" t="str">
        <f>IF(tblSalaries[[#This Row],[Years of Experience]]="","",IF(AND(tblSalaries[[#This Row],[Years of Experience]]&gt;5,tblSalaries[[#This Row],[Years of Experience]]&lt;=10),1,""))</f>
        <v/>
      </c>
      <c r="Q1836">
        <f>IF(tblSalaries[[#This Row],[Years of Experience]]="","",IF(AND(tblSalaries[[#This Row],[Years of Experience]]&gt;10,tblSalaries[[#This Row],[Years of Experience]]&lt;=15),1,""))</f>
        <v>1</v>
      </c>
      <c r="R1836" t="str">
        <f>IF(tblSalaries[[#This Row],[Years of Experience]]="","",IF(AND(tblSalaries[[#This Row],[Years of Experience]]&gt;16,tblSalaries[[#This Row],[Years of Experience]]&lt;=20),1,""))</f>
        <v/>
      </c>
      <c r="S1836" t="str">
        <f>IF(tblSalaries[[#This Row],[Years of Experience]]="","",IF(tblSalaries[[#This Row],[Years of Experience]]&gt;20,1,""))</f>
        <v/>
      </c>
      <c r="T183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36" s="13" t="str">
        <f>IF(tblSalaries[[#This Row],[Job Type]]=tblSalaries[[#Headers],[Accountant]],tblSalaries[[#This Row],[Salary in USD]],"")</f>
        <v/>
      </c>
      <c r="V1836" s="13" t="str">
        <f>IF(tblSalaries[[#This Row],[Job Type]]=tblSalaries[[#Headers],[Analyst]],tblSalaries[[#This Row],[Salary in USD]],"")</f>
        <v/>
      </c>
      <c r="W1836" s="13" t="str">
        <f>IF(tblSalaries[[#This Row],[Job Type]]=tblSalaries[[#Headers],[Consultant]],tblSalaries[[#This Row],[Salary in USD]],"")</f>
        <v/>
      </c>
      <c r="X1836" s="13" t="str">
        <f>IF(tblSalaries[[#This Row],[Job Type]]=tblSalaries[[#Headers],[Controller]],tblSalaries[[#This Row],[Salary in USD]],"")</f>
        <v/>
      </c>
      <c r="Y1836" s="13" t="str">
        <f>IF(tblSalaries[[#This Row],[Job Type]]=tblSalaries[[#Headers],[CXO or Top Mgmt.]],tblSalaries[[#This Row],[clean Salary (in local currency)]],"")</f>
        <v/>
      </c>
      <c r="Z1836" s="13" t="str">
        <f>IF(tblSalaries[[#This Row],[Job Type]]=tblSalaries[[#Headers],[Engineer]],tblSalaries[[#This Row],[Salary in USD]],"")</f>
        <v/>
      </c>
      <c r="AA1836" s="13">
        <f>IF(tblSalaries[[#This Row],[Job Type]]=tblSalaries[[#Headers],[Manager]],tblSalaries[[#This Row],[Salary in USD]],"")</f>
        <v>10684.750012465542</v>
      </c>
      <c r="AB1836" s="13" t="str">
        <f>IF(tblSalaries[[#This Row],[Job Type]]=tblSalaries[[#Headers],[Misc.]],tblSalaries[[#This Row],[Salary in USD]],"")</f>
        <v/>
      </c>
      <c r="AC1836" s="13" t="str">
        <f>IF(tblSalaries[[#This Row],[Job Type]]=tblSalaries[[#Headers],[Reporting]],tblSalaries[[#This Row],[Salary in USD]],"")</f>
        <v/>
      </c>
      <c r="AD1836" s="13" t="str">
        <f>IF(tblSalaries[[#This Row],[Job Type]]=tblSalaries[[#Headers],[Specialist]],tblSalaries[[#This Row],[Salary in USD]],"")</f>
        <v/>
      </c>
    </row>
    <row r="1837" spans="2:30" ht="15" customHeight="1" x14ac:dyDescent="0.25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 s="9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  <c r="N1837" t="str">
        <f>IF(tblSalaries[[#This Row],[Years of Experience]]="","",IF(tblSalaries[[#This Row],[Years of Experience]]&lt;=2,1,""))</f>
        <v/>
      </c>
      <c r="O1837">
        <f>IF(tblSalaries[[#This Row],[Years of Experience]]="","",IF(AND(tblSalaries[[#This Row],[Years of Experience]]&gt;2,tblSalaries[[#This Row],[Years of Experience]]&lt;=5),1,""))</f>
        <v>1</v>
      </c>
      <c r="P1837" t="str">
        <f>IF(tblSalaries[[#This Row],[Years of Experience]]="","",IF(AND(tblSalaries[[#This Row],[Years of Experience]]&gt;5,tblSalaries[[#This Row],[Years of Experience]]&lt;=10),1,""))</f>
        <v/>
      </c>
      <c r="Q1837" t="str">
        <f>IF(tblSalaries[[#This Row],[Years of Experience]]="","",IF(AND(tblSalaries[[#This Row],[Years of Experience]]&gt;10,tblSalaries[[#This Row],[Years of Experience]]&lt;=15),1,""))</f>
        <v/>
      </c>
      <c r="R1837" t="str">
        <f>IF(tblSalaries[[#This Row],[Years of Experience]]="","",IF(AND(tblSalaries[[#This Row],[Years of Experience]]&gt;16,tblSalaries[[#This Row],[Years of Experience]]&lt;=20),1,""))</f>
        <v/>
      </c>
      <c r="S1837" t="str">
        <f>IF(tblSalaries[[#This Row],[Years of Experience]]="","",IF(tblSalaries[[#This Row],[Years of Experience]]&gt;20,1,""))</f>
        <v/>
      </c>
      <c r="T183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37" s="13" t="str">
        <f>IF(tblSalaries[[#This Row],[Job Type]]=tblSalaries[[#Headers],[Accountant]],tblSalaries[[#This Row],[Salary in USD]],"")</f>
        <v/>
      </c>
      <c r="V1837" s="13" t="str">
        <f>IF(tblSalaries[[#This Row],[Job Type]]=tblSalaries[[#Headers],[Analyst]],tblSalaries[[#This Row],[Salary in USD]],"")</f>
        <v/>
      </c>
      <c r="W1837" s="13" t="str">
        <f>IF(tblSalaries[[#This Row],[Job Type]]=tblSalaries[[#Headers],[Consultant]],tblSalaries[[#This Row],[Salary in USD]],"")</f>
        <v/>
      </c>
      <c r="X1837" s="13" t="str">
        <f>IF(tblSalaries[[#This Row],[Job Type]]=tblSalaries[[#Headers],[Controller]],tblSalaries[[#This Row],[Salary in USD]],"")</f>
        <v/>
      </c>
      <c r="Y1837" s="13" t="str">
        <f>IF(tblSalaries[[#This Row],[Job Type]]=tblSalaries[[#Headers],[CXO or Top Mgmt.]],tblSalaries[[#This Row],[clean Salary (in local currency)]],"")</f>
        <v/>
      </c>
      <c r="Z1837" s="13" t="str">
        <f>IF(tblSalaries[[#This Row],[Job Type]]=tblSalaries[[#Headers],[Engineer]],tblSalaries[[#This Row],[Salary in USD]],"")</f>
        <v/>
      </c>
      <c r="AA1837" s="13">
        <f>IF(tblSalaries[[#This Row],[Job Type]]=tblSalaries[[#Headers],[Manager]],tblSalaries[[#This Row],[Salary in USD]],"")</f>
        <v>40000</v>
      </c>
      <c r="AB1837" s="13" t="str">
        <f>IF(tblSalaries[[#This Row],[Job Type]]=tblSalaries[[#Headers],[Misc.]],tblSalaries[[#This Row],[Salary in USD]],"")</f>
        <v/>
      </c>
      <c r="AC1837" s="13" t="str">
        <f>IF(tblSalaries[[#This Row],[Job Type]]=tblSalaries[[#Headers],[Reporting]],tblSalaries[[#This Row],[Salary in USD]],"")</f>
        <v/>
      </c>
      <c r="AD1837" s="13" t="str">
        <f>IF(tblSalaries[[#This Row],[Job Type]]=tblSalaries[[#Headers],[Specialist]],tblSalaries[[#This Row],[Salary in USD]],"")</f>
        <v/>
      </c>
    </row>
    <row r="1838" spans="2:30" ht="15" customHeight="1" x14ac:dyDescent="0.25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 s="9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  <c r="N1838" t="str">
        <f>IF(tblSalaries[[#This Row],[Years of Experience]]="","",IF(tblSalaries[[#This Row],[Years of Experience]]&lt;=2,1,""))</f>
        <v/>
      </c>
      <c r="O1838" t="str">
        <f>IF(tblSalaries[[#This Row],[Years of Experience]]="","",IF(AND(tblSalaries[[#This Row],[Years of Experience]]&gt;2,tblSalaries[[#This Row],[Years of Experience]]&lt;=5),1,""))</f>
        <v/>
      </c>
      <c r="P1838">
        <f>IF(tblSalaries[[#This Row],[Years of Experience]]="","",IF(AND(tblSalaries[[#This Row],[Years of Experience]]&gt;5,tblSalaries[[#This Row],[Years of Experience]]&lt;=10),1,""))</f>
        <v>1</v>
      </c>
      <c r="Q1838" t="str">
        <f>IF(tblSalaries[[#This Row],[Years of Experience]]="","",IF(AND(tblSalaries[[#This Row],[Years of Experience]]&gt;10,tblSalaries[[#This Row],[Years of Experience]]&lt;=15),1,""))</f>
        <v/>
      </c>
      <c r="R1838" t="str">
        <f>IF(tblSalaries[[#This Row],[Years of Experience]]="","",IF(AND(tblSalaries[[#This Row],[Years of Experience]]&gt;16,tblSalaries[[#This Row],[Years of Experience]]&lt;=20),1,""))</f>
        <v/>
      </c>
      <c r="S1838" t="str">
        <f>IF(tblSalaries[[#This Row],[Years of Experience]]="","",IF(tblSalaries[[#This Row],[Years of Experience]]&gt;20,1,""))</f>
        <v/>
      </c>
      <c r="T183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38" s="13" t="str">
        <f>IF(tblSalaries[[#This Row],[Job Type]]=tblSalaries[[#Headers],[Accountant]],tblSalaries[[#This Row],[Salary in USD]],"")</f>
        <v/>
      </c>
      <c r="V1838" s="13">
        <f>IF(tblSalaries[[#This Row],[Job Type]]=tblSalaries[[#Headers],[Analyst]],tblSalaries[[#This Row],[Salary in USD]],"")</f>
        <v>6232.7708406048987</v>
      </c>
      <c r="W1838" s="13" t="str">
        <f>IF(tblSalaries[[#This Row],[Job Type]]=tblSalaries[[#Headers],[Consultant]],tblSalaries[[#This Row],[Salary in USD]],"")</f>
        <v/>
      </c>
      <c r="X1838" s="13" t="str">
        <f>IF(tblSalaries[[#This Row],[Job Type]]=tblSalaries[[#Headers],[Controller]],tblSalaries[[#This Row],[Salary in USD]],"")</f>
        <v/>
      </c>
      <c r="Y1838" s="13" t="str">
        <f>IF(tblSalaries[[#This Row],[Job Type]]=tblSalaries[[#Headers],[CXO or Top Mgmt.]],tblSalaries[[#This Row],[clean Salary (in local currency)]],"")</f>
        <v/>
      </c>
      <c r="Z1838" s="13" t="str">
        <f>IF(tblSalaries[[#This Row],[Job Type]]=tblSalaries[[#Headers],[Engineer]],tblSalaries[[#This Row],[Salary in USD]],"")</f>
        <v/>
      </c>
      <c r="AA1838" s="13" t="str">
        <f>IF(tblSalaries[[#This Row],[Job Type]]=tblSalaries[[#Headers],[Manager]],tblSalaries[[#This Row],[Salary in USD]],"")</f>
        <v/>
      </c>
      <c r="AB1838" s="13" t="str">
        <f>IF(tblSalaries[[#This Row],[Job Type]]=tblSalaries[[#Headers],[Misc.]],tblSalaries[[#This Row],[Salary in USD]],"")</f>
        <v/>
      </c>
      <c r="AC1838" s="13" t="str">
        <f>IF(tblSalaries[[#This Row],[Job Type]]=tblSalaries[[#Headers],[Reporting]],tblSalaries[[#This Row],[Salary in USD]],"")</f>
        <v/>
      </c>
      <c r="AD1838" s="13" t="str">
        <f>IF(tblSalaries[[#This Row],[Job Type]]=tblSalaries[[#Headers],[Specialist]],tblSalaries[[#This Row],[Salary in USD]],"")</f>
        <v/>
      </c>
    </row>
    <row r="1839" spans="2:30" ht="15" customHeight="1" x14ac:dyDescent="0.25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 s="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4000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  <c r="N1839" t="str">
        <f>IF(tblSalaries[[#This Row],[Years of Experience]]="","",IF(tblSalaries[[#This Row],[Years of Experience]]&lt;=2,1,""))</f>
        <v/>
      </c>
      <c r="O1839" t="str">
        <f>IF(tblSalaries[[#This Row],[Years of Experience]]="","",IF(AND(tblSalaries[[#This Row],[Years of Experience]]&gt;2,tblSalaries[[#This Row],[Years of Experience]]&lt;=5),1,""))</f>
        <v/>
      </c>
      <c r="P1839" t="str">
        <f>IF(tblSalaries[[#This Row],[Years of Experience]]="","",IF(AND(tblSalaries[[#This Row],[Years of Experience]]&gt;5,tblSalaries[[#This Row],[Years of Experience]]&lt;=10),1,""))</f>
        <v/>
      </c>
      <c r="Q1839">
        <f>IF(tblSalaries[[#This Row],[Years of Experience]]="","",IF(AND(tblSalaries[[#This Row],[Years of Experience]]&gt;10,tblSalaries[[#This Row],[Years of Experience]]&lt;=15),1,""))</f>
        <v>1</v>
      </c>
      <c r="R1839" t="str">
        <f>IF(tblSalaries[[#This Row],[Years of Experience]]="","",IF(AND(tblSalaries[[#This Row],[Years of Experience]]&gt;16,tblSalaries[[#This Row],[Years of Experience]]&lt;=20),1,""))</f>
        <v/>
      </c>
      <c r="S1839" t="str">
        <f>IF(tblSalaries[[#This Row],[Years of Experience]]="","",IF(tblSalaries[[#This Row],[Years of Experience]]&gt;20,1,""))</f>
        <v/>
      </c>
      <c r="T183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39" s="13" t="str">
        <f>IF(tblSalaries[[#This Row],[Job Type]]=tblSalaries[[#Headers],[Accountant]],tblSalaries[[#This Row],[Salary in USD]],"")</f>
        <v/>
      </c>
      <c r="V1839" s="13" t="str">
        <f>IF(tblSalaries[[#This Row],[Job Type]]=tblSalaries[[#Headers],[Analyst]],tblSalaries[[#This Row],[Salary in USD]],"")</f>
        <v/>
      </c>
      <c r="W1839" s="13" t="str">
        <f>IF(tblSalaries[[#This Row],[Job Type]]=tblSalaries[[#Headers],[Consultant]],tblSalaries[[#This Row],[Salary in USD]],"")</f>
        <v/>
      </c>
      <c r="X1839" s="13" t="str">
        <f>IF(tblSalaries[[#This Row],[Job Type]]=tblSalaries[[#Headers],[Controller]],tblSalaries[[#This Row],[Salary in USD]],"")</f>
        <v/>
      </c>
      <c r="Y1839" s="13" t="str">
        <f>IF(tblSalaries[[#This Row],[Job Type]]=tblSalaries[[#Headers],[CXO or Top Mgmt.]],tblSalaries[[#This Row],[clean Salary (in local currency)]],"")</f>
        <v/>
      </c>
      <c r="Z1839" s="13" t="str">
        <f>IF(tblSalaries[[#This Row],[Job Type]]=tblSalaries[[#Headers],[Engineer]],tblSalaries[[#This Row],[Salary in USD]],"")</f>
        <v/>
      </c>
      <c r="AA1839" s="13" t="str">
        <f>IF(tblSalaries[[#This Row],[Job Type]]=tblSalaries[[#Headers],[Manager]],tblSalaries[[#This Row],[Salary in USD]],"")</f>
        <v/>
      </c>
      <c r="AB1839" s="13">
        <f>IF(tblSalaries[[#This Row],[Job Type]]=tblSalaries[[#Headers],[Misc.]],tblSalaries[[#This Row],[Salary in USD]],"")</f>
        <v>41712.231189497601</v>
      </c>
      <c r="AC1839" s="13" t="str">
        <f>IF(tblSalaries[[#This Row],[Job Type]]=tblSalaries[[#Headers],[Reporting]],tblSalaries[[#This Row],[Salary in USD]],"")</f>
        <v/>
      </c>
      <c r="AD1839" s="13" t="str">
        <f>IF(tblSalaries[[#This Row],[Job Type]]=tblSalaries[[#Headers],[Specialist]],tblSalaries[[#This Row],[Salary in USD]],"")</f>
        <v/>
      </c>
    </row>
    <row r="1840" spans="2:30" ht="15" customHeight="1" x14ac:dyDescent="0.25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 s="9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  <c r="N1840" t="str">
        <f>IF(tblSalaries[[#This Row],[Years of Experience]]="","",IF(tblSalaries[[#This Row],[Years of Experience]]&lt;=2,1,""))</f>
        <v/>
      </c>
      <c r="O1840" t="str">
        <f>IF(tblSalaries[[#This Row],[Years of Experience]]="","",IF(AND(tblSalaries[[#This Row],[Years of Experience]]&gt;2,tblSalaries[[#This Row],[Years of Experience]]&lt;=5),1,""))</f>
        <v/>
      </c>
      <c r="P1840">
        <f>IF(tblSalaries[[#This Row],[Years of Experience]]="","",IF(AND(tblSalaries[[#This Row],[Years of Experience]]&gt;5,tblSalaries[[#This Row],[Years of Experience]]&lt;=10),1,""))</f>
        <v>1</v>
      </c>
      <c r="Q1840" t="str">
        <f>IF(tblSalaries[[#This Row],[Years of Experience]]="","",IF(AND(tblSalaries[[#This Row],[Years of Experience]]&gt;10,tblSalaries[[#This Row],[Years of Experience]]&lt;=15),1,""))</f>
        <v/>
      </c>
      <c r="R1840" t="str">
        <f>IF(tblSalaries[[#This Row],[Years of Experience]]="","",IF(AND(tblSalaries[[#This Row],[Years of Experience]]&gt;16,tblSalaries[[#This Row],[Years of Experience]]&lt;=20),1,""))</f>
        <v/>
      </c>
      <c r="S1840" t="str">
        <f>IF(tblSalaries[[#This Row],[Years of Experience]]="","",IF(tblSalaries[[#This Row],[Years of Experience]]&gt;20,1,""))</f>
        <v/>
      </c>
      <c r="T184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40" s="13" t="str">
        <f>IF(tblSalaries[[#This Row],[Job Type]]=tblSalaries[[#Headers],[Accountant]],tblSalaries[[#This Row],[Salary in USD]],"")</f>
        <v/>
      </c>
      <c r="V1840" s="13" t="str">
        <f>IF(tblSalaries[[#This Row],[Job Type]]=tblSalaries[[#Headers],[Analyst]],tblSalaries[[#This Row],[Salary in USD]],"")</f>
        <v/>
      </c>
      <c r="W1840" s="13" t="str">
        <f>IF(tblSalaries[[#This Row],[Job Type]]=tblSalaries[[#Headers],[Consultant]],tblSalaries[[#This Row],[Salary in USD]],"")</f>
        <v/>
      </c>
      <c r="X1840" s="13" t="str">
        <f>IF(tblSalaries[[#This Row],[Job Type]]=tblSalaries[[#Headers],[Controller]],tblSalaries[[#This Row],[Salary in USD]],"")</f>
        <v/>
      </c>
      <c r="Y1840" s="13" t="str">
        <f>IF(tblSalaries[[#This Row],[Job Type]]=tblSalaries[[#Headers],[CXO or Top Mgmt.]],tblSalaries[[#This Row],[clean Salary (in local currency)]],"")</f>
        <v/>
      </c>
      <c r="Z1840" s="13" t="str">
        <f>IF(tblSalaries[[#This Row],[Job Type]]=tblSalaries[[#Headers],[Engineer]],tblSalaries[[#This Row],[Salary in USD]],"")</f>
        <v/>
      </c>
      <c r="AA1840" s="13">
        <f>IF(tblSalaries[[#This Row],[Job Type]]=tblSalaries[[#Headers],[Manager]],tblSalaries[[#This Row],[Salary in USD]],"")</f>
        <v>12465.541681209797</v>
      </c>
      <c r="AB1840" s="13" t="str">
        <f>IF(tblSalaries[[#This Row],[Job Type]]=tblSalaries[[#Headers],[Misc.]],tblSalaries[[#This Row],[Salary in USD]],"")</f>
        <v/>
      </c>
      <c r="AC1840" s="13" t="str">
        <f>IF(tblSalaries[[#This Row],[Job Type]]=tblSalaries[[#Headers],[Reporting]],tblSalaries[[#This Row],[Salary in USD]],"")</f>
        <v/>
      </c>
      <c r="AD1840" s="13" t="str">
        <f>IF(tblSalaries[[#This Row],[Job Type]]=tblSalaries[[#Headers],[Specialist]],tblSalaries[[#This Row],[Salary in USD]],"")</f>
        <v/>
      </c>
    </row>
    <row r="1841" spans="2:30" ht="15" customHeight="1" x14ac:dyDescent="0.25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 s="9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  <c r="N1841" t="str">
        <f>IF(tblSalaries[[#This Row],[Years of Experience]]="","",IF(tblSalaries[[#This Row],[Years of Experience]]&lt;=2,1,""))</f>
        <v/>
      </c>
      <c r="O1841" t="str">
        <f>IF(tblSalaries[[#This Row],[Years of Experience]]="","",IF(AND(tblSalaries[[#This Row],[Years of Experience]]&gt;2,tblSalaries[[#This Row],[Years of Experience]]&lt;=5),1,""))</f>
        <v/>
      </c>
      <c r="P1841" t="str">
        <f>IF(tblSalaries[[#This Row],[Years of Experience]]="","",IF(AND(tblSalaries[[#This Row],[Years of Experience]]&gt;5,tblSalaries[[#This Row],[Years of Experience]]&lt;=10),1,""))</f>
        <v/>
      </c>
      <c r="Q1841" t="str">
        <f>IF(tblSalaries[[#This Row],[Years of Experience]]="","",IF(AND(tblSalaries[[#This Row],[Years of Experience]]&gt;10,tblSalaries[[#This Row],[Years of Experience]]&lt;=15),1,""))</f>
        <v/>
      </c>
      <c r="R1841">
        <f>IF(tblSalaries[[#This Row],[Years of Experience]]="","",IF(AND(tblSalaries[[#This Row],[Years of Experience]]&gt;16,tblSalaries[[#This Row],[Years of Experience]]&lt;=20),1,""))</f>
        <v>1</v>
      </c>
      <c r="S1841" t="str">
        <f>IF(tblSalaries[[#This Row],[Years of Experience]]="","",IF(tblSalaries[[#This Row],[Years of Experience]]&gt;20,1,""))</f>
        <v/>
      </c>
      <c r="T184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841" s="13" t="str">
        <f>IF(tblSalaries[[#This Row],[Job Type]]=tblSalaries[[#Headers],[Accountant]],tblSalaries[[#This Row],[Salary in USD]],"")</f>
        <v/>
      </c>
      <c r="V1841" s="13">
        <f>IF(tblSalaries[[#This Row],[Job Type]]=tblSalaries[[#Headers],[Analyst]],tblSalaries[[#This Row],[Salary in USD]],"")</f>
        <v>32311.654577379326</v>
      </c>
      <c r="W1841" s="13" t="str">
        <f>IF(tblSalaries[[#This Row],[Job Type]]=tblSalaries[[#Headers],[Consultant]],tblSalaries[[#This Row],[Salary in USD]],"")</f>
        <v/>
      </c>
      <c r="X1841" s="13" t="str">
        <f>IF(tblSalaries[[#This Row],[Job Type]]=tblSalaries[[#Headers],[Controller]],tblSalaries[[#This Row],[Salary in USD]],"")</f>
        <v/>
      </c>
      <c r="Y1841" s="13" t="str">
        <f>IF(tblSalaries[[#This Row],[Job Type]]=tblSalaries[[#Headers],[CXO or Top Mgmt.]],tblSalaries[[#This Row],[clean Salary (in local currency)]],"")</f>
        <v/>
      </c>
      <c r="Z1841" s="13" t="str">
        <f>IF(tblSalaries[[#This Row],[Job Type]]=tblSalaries[[#Headers],[Engineer]],tblSalaries[[#This Row],[Salary in USD]],"")</f>
        <v/>
      </c>
      <c r="AA1841" s="13" t="str">
        <f>IF(tblSalaries[[#This Row],[Job Type]]=tblSalaries[[#Headers],[Manager]],tblSalaries[[#This Row],[Salary in USD]],"")</f>
        <v/>
      </c>
      <c r="AB1841" s="13" t="str">
        <f>IF(tblSalaries[[#This Row],[Job Type]]=tblSalaries[[#Headers],[Misc.]],tblSalaries[[#This Row],[Salary in USD]],"")</f>
        <v/>
      </c>
      <c r="AC1841" s="13" t="str">
        <f>IF(tblSalaries[[#This Row],[Job Type]]=tblSalaries[[#Headers],[Reporting]],tblSalaries[[#This Row],[Salary in USD]],"")</f>
        <v/>
      </c>
      <c r="AD1841" s="13" t="str">
        <f>IF(tblSalaries[[#This Row],[Job Type]]=tblSalaries[[#Headers],[Specialist]],tblSalaries[[#This Row],[Salary in USD]],"")</f>
        <v/>
      </c>
    </row>
    <row r="1842" spans="2:30" ht="15" customHeight="1" x14ac:dyDescent="0.25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 s="9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  <c r="N1842">
        <f>IF(tblSalaries[[#This Row],[Years of Experience]]="","",IF(tblSalaries[[#This Row],[Years of Experience]]&lt;=2,1,""))</f>
        <v>1</v>
      </c>
      <c r="O1842" t="str">
        <f>IF(tblSalaries[[#This Row],[Years of Experience]]="","",IF(AND(tblSalaries[[#This Row],[Years of Experience]]&gt;2,tblSalaries[[#This Row],[Years of Experience]]&lt;=5),1,""))</f>
        <v/>
      </c>
      <c r="P1842" t="str">
        <f>IF(tblSalaries[[#This Row],[Years of Experience]]="","",IF(AND(tblSalaries[[#This Row],[Years of Experience]]&gt;5,tblSalaries[[#This Row],[Years of Experience]]&lt;=10),1,""))</f>
        <v/>
      </c>
      <c r="Q1842" t="str">
        <f>IF(tblSalaries[[#This Row],[Years of Experience]]="","",IF(AND(tblSalaries[[#This Row],[Years of Experience]]&gt;10,tblSalaries[[#This Row],[Years of Experience]]&lt;=15),1,""))</f>
        <v/>
      </c>
      <c r="R1842" t="str">
        <f>IF(tblSalaries[[#This Row],[Years of Experience]]="","",IF(AND(tblSalaries[[#This Row],[Years of Experience]]&gt;16,tblSalaries[[#This Row],[Years of Experience]]&lt;=20),1,""))</f>
        <v/>
      </c>
      <c r="S1842" t="str">
        <f>IF(tblSalaries[[#This Row],[Years of Experience]]="","",IF(tblSalaries[[#This Row],[Years of Experience]]&gt;20,1,""))</f>
        <v/>
      </c>
      <c r="T184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42" s="13" t="str">
        <f>IF(tblSalaries[[#This Row],[Job Type]]=tblSalaries[[#Headers],[Accountant]],tblSalaries[[#This Row],[Salary in USD]],"")</f>
        <v/>
      </c>
      <c r="V1842" s="13">
        <f>IF(tblSalaries[[#This Row],[Job Type]]=tblSalaries[[#Headers],[Analyst]],tblSalaries[[#This Row],[Salary in USD]],"")</f>
        <v>7123.1666749770275</v>
      </c>
      <c r="W1842" s="13" t="str">
        <f>IF(tblSalaries[[#This Row],[Job Type]]=tblSalaries[[#Headers],[Consultant]],tblSalaries[[#This Row],[Salary in USD]],"")</f>
        <v/>
      </c>
      <c r="X1842" s="13" t="str">
        <f>IF(tblSalaries[[#This Row],[Job Type]]=tblSalaries[[#Headers],[Controller]],tblSalaries[[#This Row],[Salary in USD]],"")</f>
        <v/>
      </c>
      <c r="Y1842" s="13" t="str">
        <f>IF(tblSalaries[[#This Row],[Job Type]]=tblSalaries[[#Headers],[CXO or Top Mgmt.]],tblSalaries[[#This Row],[clean Salary (in local currency)]],"")</f>
        <v/>
      </c>
      <c r="Z1842" s="13" t="str">
        <f>IF(tblSalaries[[#This Row],[Job Type]]=tblSalaries[[#Headers],[Engineer]],tblSalaries[[#This Row],[Salary in USD]],"")</f>
        <v/>
      </c>
      <c r="AA1842" s="13" t="str">
        <f>IF(tblSalaries[[#This Row],[Job Type]]=tblSalaries[[#Headers],[Manager]],tblSalaries[[#This Row],[Salary in USD]],"")</f>
        <v/>
      </c>
      <c r="AB1842" s="13" t="str">
        <f>IF(tblSalaries[[#This Row],[Job Type]]=tblSalaries[[#Headers],[Misc.]],tblSalaries[[#This Row],[Salary in USD]],"")</f>
        <v/>
      </c>
      <c r="AC1842" s="13" t="str">
        <f>IF(tblSalaries[[#This Row],[Job Type]]=tblSalaries[[#Headers],[Reporting]],tblSalaries[[#This Row],[Salary in USD]],"")</f>
        <v/>
      </c>
      <c r="AD1842" s="13" t="str">
        <f>IF(tblSalaries[[#This Row],[Job Type]]=tblSalaries[[#Headers],[Specialist]],tblSalaries[[#This Row],[Salary in USD]],"")</f>
        <v/>
      </c>
    </row>
    <row r="1843" spans="2:30" ht="15" customHeight="1" x14ac:dyDescent="0.25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 s="9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  <c r="N1843" t="str">
        <f>IF(tblSalaries[[#This Row],[Years of Experience]]="","",IF(tblSalaries[[#This Row],[Years of Experience]]&lt;=2,1,""))</f>
        <v/>
      </c>
      <c r="O1843" t="str">
        <f>IF(tblSalaries[[#This Row],[Years of Experience]]="","",IF(AND(tblSalaries[[#This Row],[Years of Experience]]&gt;2,tblSalaries[[#This Row],[Years of Experience]]&lt;=5),1,""))</f>
        <v/>
      </c>
      <c r="P1843" t="str">
        <f>IF(tblSalaries[[#This Row],[Years of Experience]]="","",IF(AND(tblSalaries[[#This Row],[Years of Experience]]&gt;5,tblSalaries[[#This Row],[Years of Experience]]&lt;=10),1,""))</f>
        <v/>
      </c>
      <c r="Q1843">
        <f>IF(tblSalaries[[#This Row],[Years of Experience]]="","",IF(AND(tblSalaries[[#This Row],[Years of Experience]]&gt;10,tblSalaries[[#This Row],[Years of Experience]]&lt;=15),1,""))</f>
        <v>1</v>
      </c>
      <c r="R1843" t="str">
        <f>IF(tblSalaries[[#This Row],[Years of Experience]]="","",IF(AND(tblSalaries[[#This Row],[Years of Experience]]&gt;16,tblSalaries[[#This Row],[Years of Experience]]&lt;=20),1,""))</f>
        <v/>
      </c>
      <c r="S1843" t="str">
        <f>IF(tblSalaries[[#This Row],[Years of Experience]]="","",IF(tblSalaries[[#This Row],[Years of Experience]]&gt;20,1,""))</f>
        <v/>
      </c>
      <c r="T184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43" s="13" t="str">
        <f>IF(tblSalaries[[#This Row],[Job Type]]=tblSalaries[[#Headers],[Accountant]],tblSalaries[[#This Row],[Salary in USD]],"")</f>
        <v/>
      </c>
      <c r="V1843" s="13" t="str">
        <f>IF(tblSalaries[[#This Row],[Job Type]]=tblSalaries[[#Headers],[Analyst]],tblSalaries[[#This Row],[Salary in USD]],"")</f>
        <v/>
      </c>
      <c r="W1843" s="13" t="str">
        <f>IF(tblSalaries[[#This Row],[Job Type]]=tblSalaries[[#Headers],[Consultant]],tblSalaries[[#This Row],[Salary in USD]],"")</f>
        <v/>
      </c>
      <c r="X1843" s="13" t="str">
        <f>IF(tblSalaries[[#This Row],[Job Type]]=tblSalaries[[#Headers],[Controller]],tblSalaries[[#This Row],[Salary in USD]],"")</f>
        <v/>
      </c>
      <c r="Y1843" s="13" t="str">
        <f>IF(tblSalaries[[#This Row],[Job Type]]=tblSalaries[[#Headers],[CXO or Top Mgmt.]],tblSalaries[[#This Row],[clean Salary (in local currency)]],"")</f>
        <v/>
      </c>
      <c r="Z1843" s="13" t="str">
        <f>IF(tblSalaries[[#This Row],[Job Type]]=tblSalaries[[#Headers],[Engineer]],tblSalaries[[#This Row],[Salary in USD]],"")</f>
        <v/>
      </c>
      <c r="AA1843" s="13">
        <f>IF(tblSalaries[[#This Row],[Job Type]]=tblSalaries[[#Headers],[Manager]],tblSalaries[[#This Row],[Salary in USD]],"")</f>
        <v>100000</v>
      </c>
      <c r="AB1843" s="13" t="str">
        <f>IF(tblSalaries[[#This Row],[Job Type]]=tblSalaries[[#Headers],[Misc.]],tblSalaries[[#This Row],[Salary in USD]],"")</f>
        <v/>
      </c>
      <c r="AC1843" s="13" t="str">
        <f>IF(tblSalaries[[#This Row],[Job Type]]=tblSalaries[[#Headers],[Reporting]],tblSalaries[[#This Row],[Salary in USD]],"")</f>
        <v/>
      </c>
      <c r="AD1843" s="13" t="str">
        <f>IF(tblSalaries[[#This Row],[Job Type]]=tblSalaries[[#Headers],[Specialist]],tblSalaries[[#This Row],[Salary in USD]],"")</f>
        <v/>
      </c>
    </row>
    <row r="1844" spans="2:30" ht="15" customHeight="1" x14ac:dyDescent="0.25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 s="9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  <c r="N1844" t="str">
        <f>IF(tblSalaries[[#This Row],[Years of Experience]]="","",IF(tblSalaries[[#This Row],[Years of Experience]]&lt;=2,1,""))</f>
        <v/>
      </c>
      <c r="O1844">
        <f>IF(tblSalaries[[#This Row],[Years of Experience]]="","",IF(AND(tblSalaries[[#This Row],[Years of Experience]]&gt;2,tblSalaries[[#This Row],[Years of Experience]]&lt;=5),1,""))</f>
        <v>1</v>
      </c>
      <c r="P1844" t="str">
        <f>IF(tblSalaries[[#This Row],[Years of Experience]]="","",IF(AND(tblSalaries[[#This Row],[Years of Experience]]&gt;5,tblSalaries[[#This Row],[Years of Experience]]&lt;=10),1,""))</f>
        <v/>
      </c>
      <c r="Q1844" t="str">
        <f>IF(tblSalaries[[#This Row],[Years of Experience]]="","",IF(AND(tblSalaries[[#This Row],[Years of Experience]]&gt;10,tblSalaries[[#This Row],[Years of Experience]]&lt;=15),1,""))</f>
        <v/>
      </c>
      <c r="R1844" t="str">
        <f>IF(tblSalaries[[#This Row],[Years of Experience]]="","",IF(AND(tblSalaries[[#This Row],[Years of Experience]]&gt;16,tblSalaries[[#This Row],[Years of Experience]]&lt;=20),1,""))</f>
        <v/>
      </c>
      <c r="S1844" t="str">
        <f>IF(tblSalaries[[#This Row],[Years of Experience]]="","",IF(tblSalaries[[#This Row],[Years of Experience]]&gt;20,1,""))</f>
        <v/>
      </c>
      <c r="T184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44" s="13">
        <f>IF(tblSalaries[[#This Row],[Job Type]]=tblSalaries[[#Headers],[Accountant]],tblSalaries[[#This Row],[Salary in USD]],"")</f>
        <v>59819.107020370408</v>
      </c>
      <c r="V1844" s="13" t="str">
        <f>IF(tblSalaries[[#This Row],[Job Type]]=tblSalaries[[#Headers],[Analyst]],tblSalaries[[#This Row],[Salary in USD]],"")</f>
        <v/>
      </c>
      <c r="W1844" s="13" t="str">
        <f>IF(tblSalaries[[#This Row],[Job Type]]=tblSalaries[[#Headers],[Consultant]],tblSalaries[[#This Row],[Salary in USD]],"")</f>
        <v/>
      </c>
      <c r="X1844" s="13" t="str">
        <f>IF(tblSalaries[[#This Row],[Job Type]]=tblSalaries[[#Headers],[Controller]],tblSalaries[[#This Row],[Salary in USD]],"")</f>
        <v/>
      </c>
      <c r="Y1844" s="13" t="str">
        <f>IF(tblSalaries[[#This Row],[Job Type]]=tblSalaries[[#Headers],[CXO or Top Mgmt.]],tblSalaries[[#This Row],[clean Salary (in local currency)]],"")</f>
        <v/>
      </c>
      <c r="Z1844" s="13" t="str">
        <f>IF(tblSalaries[[#This Row],[Job Type]]=tblSalaries[[#Headers],[Engineer]],tblSalaries[[#This Row],[Salary in USD]],"")</f>
        <v/>
      </c>
      <c r="AA1844" s="13" t="str">
        <f>IF(tblSalaries[[#This Row],[Job Type]]=tblSalaries[[#Headers],[Manager]],tblSalaries[[#This Row],[Salary in USD]],"")</f>
        <v/>
      </c>
      <c r="AB1844" s="13" t="str">
        <f>IF(tblSalaries[[#This Row],[Job Type]]=tblSalaries[[#Headers],[Misc.]],tblSalaries[[#This Row],[Salary in USD]],"")</f>
        <v/>
      </c>
      <c r="AC1844" s="13" t="str">
        <f>IF(tblSalaries[[#This Row],[Job Type]]=tblSalaries[[#Headers],[Reporting]],tblSalaries[[#This Row],[Salary in USD]],"")</f>
        <v/>
      </c>
      <c r="AD1844" s="13" t="str">
        <f>IF(tblSalaries[[#This Row],[Job Type]]=tblSalaries[[#Headers],[Specialist]],tblSalaries[[#This Row],[Salary in USD]],"")</f>
        <v/>
      </c>
    </row>
    <row r="1845" spans="2:30" ht="15" customHeight="1" x14ac:dyDescent="0.25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 s="9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  <c r="N1845">
        <f>IF(tblSalaries[[#This Row],[Years of Experience]]="","",IF(tblSalaries[[#This Row],[Years of Experience]]&lt;=2,1,""))</f>
        <v>1</v>
      </c>
      <c r="O1845" t="str">
        <f>IF(tblSalaries[[#This Row],[Years of Experience]]="","",IF(AND(tblSalaries[[#This Row],[Years of Experience]]&gt;2,tblSalaries[[#This Row],[Years of Experience]]&lt;=5),1,""))</f>
        <v/>
      </c>
      <c r="P1845" t="str">
        <f>IF(tblSalaries[[#This Row],[Years of Experience]]="","",IF(AND(tblSalaries[[#This Row],[Years of Experience]]&gt;5,tblSalaries[[#This Row],[Years of Experience]]&lt;=10),1,""))</f>
        <v/>
      </c>
      <c r="Q1845" t="str">
        <f>IF(tblSalaries[[#This Row],[Years of Experience]]="","",IF(AND(tblSalaries[[#This Row],[Years of Experience]]&gt;10,tblSalaries[[#This Row],[Years of Experience]]&lt;=15),1,""))</f>
        <v/>
      </c>
      <c r="R1845" t="str">
        <f>IF(tblSalaries[[#This Row],[Years of Experience]]="","",IF(AND(tblSalaries[[#This Row],[Years of Experience]]&gt;16,tblSalaries[[#This Row],[Years of Experience]]&lt;=20),1,""))</f>
        <v/>
      </c>
      <c r="S1845" t="str">
        <f>IF(tblSalaries[[#This Row],[Years of Experience]]="","",IF(tblSalaries[[#This Row],[Years of Experience]]&gt;20,1,""))</f>
        <v/>
      </c>
      <c r="T184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45" s="13" t="str">
        <f>IF(tblSalaries[[#This Row],[Job Type]]=tblSalaries[[#Headers],[Accountant]],tblSalaries[[#This Row],[Salary in USD]],"")</f>
        <v/>
      </c>
      <c r="V1845" s="13">
        <f>IF(tblSalaries[[#This Row],[Job Type]]=tblSalaries[[#Headers],[Analyst]],tblSalaries[[#This Row],[Salary in USD]],"")</f>
        <v>25000</v>
      </c>
      <c r="W1845" s="13" t="str">
        <f>IF(tblSalaries[[#This Row],[Job Type]]=tblSalaries[[#Headers],[Consultant]],tblSalaries[[#This Row],[Salary in USD]],"")</f>
        <v/>
      </c>
      <c r="X1845" s="13" t="str">
        <f>IF(tblSalaries[[#This Row],[Job Type]]=tblSalaries[[#Headers],[Controller]],tblSalaries[[#This Row],[Salary in USD]],"")</f>
        <v/>
      </c>
      <c r="Y1845" s="13" t="str">
        <f>IF(tblSalaries[[#This Row],[Job Type]]=tblSalaries[[#Headers],[CXO or Top Mgmt.]],tblSalaries[[#This Row],[clean Salary (in local currency)]],"")</f>
        <v/>
      </c>
      <c r="Z1845" s="13" t="str">
        <f>IF(tblSalaries[[#This Row],[Job Type]]=tblSalaries[[#Headers],[Engineer]],tblSalaries[[#This Row],[Salary in USD]],"")</f>
        <v/>
      </c>
      <c r="AA1845" s="13" t="str">
        <f>IF(tblSalaries[[#This Row],[Job Type]]=tblSalaries[[#Headers],[Manager]],tblSalaries[[#This Row],[Salary in USD]],"")</f>
        <v/>
      </c>
      <c r="AB1845" s="13" t="str">
        <f>IF(tblSalaries[[#This Row],[Job Type]]=tblSalaries[[#Headers],[Misc.]],tblSalaries[[#This Row],[Salary in USD]],"")</f>
        <v/>
      </c>
      <c r="AC1845" s="13" t="str">
        <f>IF(tblSalaries[[#This Row],[Job Type]]=tblSalaries[[#Headers],[Reporting]],tblSalaries[[#This Row],[Salary in USD]],"")</f>
        <v/>
      </c>
      <c r="AD1845" s="13" t="str">
        <f>IF(tblSalaries[[#This Row],[Job Type]]=tblSalaries[[#Headers],[Specialist]],tblSalaries[[#This Row],[Salary in USD]],"")</f>
        <v/>
      </c>
    </row>
    <row r="1846" spans="2:30" ht="15" customHeight="1" x14ac:dyDescent="0.25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 s="9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  <c r="N1846" t="str">
        <f>IF(tblSalaries[[#This Row],[Years of Experience]]="","",IF(tblSalaries[[#This Row],[Years of Experience]]&lt;=2,1,""))</f>
        <v/>
      </c>
      <c r="O1846" t="str">
        <f>IF(tblSalaries[[#This Row],[Years of Experience]]="","",IF(AND(tblSalaries[[#This Row],[Years of Experience]]&gt;2,tblSalaries[[#This Row],[Years of Experience]]&lt;=5),1,""))</f>
        <v/>
      </c>
      <c r="P1846">
        <f>IF(tblSalaries[[#This Row],[Years of Experience]]="","",IF(AND(tblSalaries[[#This Row],[Years of Experience]]&gt;5,tblSalaries[[#This Row],[Years of Experience]]&lt;=10),1,""))</f>
        <v>1</v>
      </c>
      <c r="Q1846" t="str">
        <f>IF(tblSalaries[[#This Row],[Years of Experience]]="","",IF(AND(tblSalaries[[#This Row],[Years of Experience]]&gt;10,tblSalaries[[#This Row],[Years of Experience]]&lt;=15),1,""))</f>
        <v/>
      </c>
      <c r="R1846" t="str">
        <f>IF(tblSalaries[[#This Row],[Years of Experience]]="","",IF(AND(tblSalaries[[#This Row],[Years of Experience]]&gt;16,tblSalaries[[#This Row],[Years of Experience]]&lt;=20),1,""))</f>
        <v/>
      </c>
      <c r="S1846" t="str">
        <f>IF(tblSalaries[[#This Row],[Years of Experience]]="","",IF(tblSalaries[[#This Row],[Years of Experience]]&gt;20,1,""))</f>
        <v/>
      </c>
      <c r="T184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46" s="13" t="str">
        <f>IF(tblSalaries[[#This Row],[Job Type]]=tblSalaries[[#Headers],[Accountant]],tblSalaries[[#This Row],[Salary in USD]],"")</f>
        <v/>
      </c>
      <c r="V1846" s="13">
        <f>IF(tblSalaries[[#This Row],[Job Type]]=tblSalaries[[#Headers],[Analyst]],tblSalaries[[#This Row],[Salary in USD]],"")</f>
        <v>5000</v>
      </c>
      <c r="W1846" s="13" t="str">
        <f>IF(tblSalaries[[#This Row],[Job Type]]=tblSalaries[[#Headers],[Consultant]],tblSalaries[[#This Row],[Salary in USD]],"")</f>
        <v/>
      </c>
      <c r="X1846" s="13" t="str">
        <f>IF(tblSalaries[[#This Row],[Job Type]]=tblSalaries[[#Headers],[Controller]],tblSalaries[[#This Row],[Salary in USD]],"")</f>
        <v/>
      </c>
      <c r="Y1846" s="13" t="str">
        <f>IF(tblSalaries[[#This Row],[Job Type]]=tblSalaries[[#Headers],[CXO or Top Mgmt.]],tblSalaries[[#This Row],[clean Salary (in local currency)]],"")</f>
        <v/>
      </c>
      <c r="Z1846" s="13" t="str">
        <f>IF(tblSalaries[[#This Row],[Job Type]]=tblSalaries[[#Headers],[Engineer]],tblSalaries[[#This Row],[Salary in USD]],"")</f>
        <v/>
      </c>
      <c r="AA1846" s="13" t="str">
        <f>IF(tblSalaries[[#This Row],[Job Type]]=tblSalaries[[#Headers],[Manager]],tblSalaries[[#This Row],[Salary in USD]],"")</f>
        <v/>
      </c>
      <c r="AB1846" s="13" t="str">
        <f>IF(tblSalaries[[#This Row],[Job Type]]=tblSalaries[[#Headers],[Misc.]],tblSalaries[[#This Row],[Salary in USD]],"")</f>
        <v/>
      </c>
      <c r="AC1846" s="13" t="str">
        <f>IF(tblSalaries[[#This Row],[Job Type]]=tblSalaries[[#Headers],[Reporting]],tblSalaries[[#This Row],[Salary in USD]],"")</f>
        <v/>
      </c>
      <c r="AD1846" s="13" t="str">
        <f>IF(tblSalaries[[#This Row],[Job Type]]=tblSalaries[[#Headers],[Specialist]],tblSalaries[[#This Row],[Salary in USD]],"")</f>
        <v/>
      </c>
    </row>
    <row r="1847" spans="2:30" ht="15" customHeight="1" x14ac:dyDescent="0.25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 s="9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  <c r="N1847" t="str">
        <f>IF(tblSalaries[[#This Row],[Years of Experience]]="","",IF(tblSalaries[[#This Row],[Years of Experience]]&lt;=2,1,""))</f>
        <v/>
      </c>
      <c r="O1847">
        <f>IF(tblSalaries[[#This Row],[Years of Experience]]="","",IF(AND(tblSalaries[[#This Row],[Years of Experience]]&gt;2,tblSalaries[[#This Row],[Years of Experience]]&lt;=5),1,""))</f>
        <v>1</v>
      </c>
      <c r="P1847" t="str">
        <f>IF(tblSalaries[[#This Row],[Years of Experience]]="","",IF(AND(tblSalaries[[#This Row],[Years of Experience]]&gt;5,tblSalaries[[#This Row],[Years of Experience]]&lt;=10),1,""))</f>
        <v/>
      </c>
      <c r="Q1847" t="str">
        <f>IF(tblSalaries[[#This Row],[Years of Experience]]="","",IF(AND(tblSalaries[[#This Row],[Years of Experience]]&gt;10,tblSalaries[[#This Row],[Years of Experience]]&lt;=15),1,""))</f>
        <v/>
      </c>
      <c r="R1847" t="str">
        <f>IF(tblSalaries[[#This Row],[Years of Experience]]="","",IF(AND(tblSalaries[[#This Row],[Years of Experience]]&gt;16,tblSalaries[[#This Row],[Years of Experience]]&lt;=20),1,""))</f>
        <v/>
      </c>
      <c r="S1847" t="str">
        <f>IF(tblSalaries[[#This Row],[Years of Experience]]="","",IF(tblSalaries[[#This Row],[Years of Experience]]&gt;20,1,""))</f>
        <v/>
      </c>
      <c r="T184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47" s="13">
        <f>IF(tblSalaries[[#This Row],[Job Type]]=tblSalaries[[#Headers],[Accountant]],tblSalaries[[#This Row],[Salary in USD]],"")</f>
        <v>64254.308353366054</v>
      </c>
      <c r="V1847" s="13" t="str">
        <f>IF(tblSalaries[[#This Row],[Job Type]]=tblSalaries[[#Headers],[Analyst]],tblSalaries[[#This Row],[Salary in USD]],"")</f>
        <v/>
      </c>
      <c r="W1847" s="13" t="str">
        <f>IF(tblSalaries[[#This Row],[Job Type]]=tblSalaries[[#Headers],[Consultant]],tblSalaries[[#This Row],[Salary in USD]],"")</f>
        <v/>
      </c>
      <c r="X1847" s="13" t="str">
        <f>IF(tblSalaries[[#This Row],[Job Type]]=tblSalaries[[#Headers],[Controller]],tblSalaries[[#This Row],[Salary in USD]],"")</f>
        <v/>
      </c>
      <c r="Y1847" s="13" t="str">
        <f>IF(tblSalaries[[#This Row],[Job Type]]=tblSalaries[[#Headers],[CXO or Top Mgmt.]],tblSalaries[[#This Row],[clean Salary (in local currency)]],"")</f>
        <v/>
      </c>
      <c r="Z1847" s="13" t="str">
        <f>IF(tblSalaries[[#This Row],[Job Type]]=tblSalaries[[#Headers],[Engineer]],tblSalaries[[#This Row],[Salary in USD]],"")</f>
        <v/>
      </c>
      <c r="AA1847" s="13" t="str">
        <f>IF(tblSalaries[[#This Row],[Job Type]]=tblSalaries[[#Headers],[Manager]],tblSalaries[[#This Row],[Salary in USD]],"")</f>
        <v/>
      </c>
      <c r="AB1847" s="13" t="str">
        <f>IF(tblSalaries[[#This Row],[Job Type]]=tblSalaries[[#Headers],[Misc.]],tblSalaries[[#This Row],[Salary in USD]],"")</f>
        <v/>
      </c>
      <c r="AC1847" s="13" t="str">
        <f>IF(tblSalaries[[#This Row],[Job Type]]=tblSalaries[[#Headers],[Reporting]],tblSalaries[[#This Row],[Salary in USD]],"")</f>
        <v/>
      </c>
      <c r="AD1847" s="13" t="str">
        <f>IF(tblSalaries[[#This Row],[Job Type]]=tblSalaries[[#Headers],[Specialist]],tblSalaries[[#This Row],[Salary in USD]],"")</f>
        <v/>
      </c>
    </row>
    <row r="1848" spans="2:30" ht="15" customHeight="1" x14ac:dyDescent="0.25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 s="9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  <c r="N1848" t="str">
        <f>IF(tblSalaries[[#This Row],[Years of Experience]]="","",IF(tblSalaries[[#This Row],[Years of Experience]]&lt;=2,1,""))</f>
        <v/>
      </c>
      <c r="O1848" t="str">
        <f>IF(tblSalaries[[#This Row],[Years of Experience]]="","",IF(AND(tblSalaries[[#This Row],[Years of Experience]]&gt;2,tblSalaries[[#This Row],[Years of Experience]]&lt;=5),1,""))</f>
        <v/>
      </c>
      <c r="P1848">
        <f>IF(tblSalaries[[#This Row],[Years of Experience]]="","",IF(AND(tblSalaries[[#This Row],[Years of Experience]]&gt;5,tblSalaries[[#This Row],[Years of Experience]]&lt;=10),1,""))</f>
        <v>1</v>
      </c>
      <c r="Q1848" t="str">
        <f>IF(tblSalaries[[#This Row],[Years of Experience]]="","",IF(AND(tblSalaries[[#This Row],[Years of Experience]]&gt;10,tblSalaries[[#This Row],[Years of Experience]]&lt;=15),1,""))</f>
        <v/>
      </c>
      <c r="R1848" t="str">
        <f>IF(tblSalaries[[#This Row],[Years of Experience]]="","",IF(AND(tblSalaries[[#This Row],[Years of Experience]]&gt;16,tblSalaries[[#This Row],[Years of Experience]]&lt;=20),1,""))</f>
        <v/>
      </c>
      <c r="S1848" t="str">
        <f>IF(tblSalaries[[#This Row],[Years of Experience]]="","",IF(tblSalaries[[#This Row],[Years of Experience]]&gt;20,1,""))</f>
        <v/>
      </c>
      <c r="T184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48" s="13" t="str">
        <f>IF(tblSalaries[[#This Row],[Job Type]]=tblSalaries[[#Headers],[Accountant]],tblSalaries[[#This Row],[Salary in USD]],"")</f>
        <v/>
      </c>
      <c r="V1848" s="13" t="str">
        <f>IF(tblSalaries[[#This Row],[Job Type]]=tblSalaries[[#Headers],[Analyst]],tblSalaries[[#This Row],[Salary in USD]],"")</f>
        <v/>
      </c>
      <c r="W1848" s="13" t="str">
        <f>IF(tblSalaries[[#This Row],[Job Type]]=tblSalaries[[#Headers],[Consultant]],tblSalaries[[#This Row],[Salary in USD]],"")</f>
        <v/>
      </c>
      <c r="X1848" s="13" t="str">
        <f>IF(tblSalaries[[#This Row],[Job Type]]=tblSalaries[[#Headers],[Controller]],tblSalaries[[#This Row],[Salary in USD]],"")</f>
        <v/>
      </c>
      <c r="Y1848" s="13" t="str">
        <f>IF(tblSalaries[[#This Row],[Job Type]]=tblSalaries[[#Headers],[CXO or Top Mgmt.]],tblSalaries[[#This Row],[clean Salary (in local currency)]],"")</f>
        <v/>
      </c>
      <c r="Z1848" s="13" t="str">
        <f>IF(tblSalaries[[#This Row],[Job Type]]=tblSalaries[[#Headers],[Engineer]],tblSalaries[[#This Row],[Salary in USD]],"")</f>
        <v/>
      </c>
      <c r="AA1848" s="13">
        <f>IF(tblSalaries[[#This Row],[Job Type]]=tblSalaries[[#Headers],[Manager]],tblSalaries[[#This Row],[Salary in USD]],"")</f>
        <v>76223.966339496474</v>
      </c>
      <c r="AB1848" s="13" t="str">
        <f>IF(tblSalaries[[#This Row],[Job Type]]=tblSalaries[[#Headers],[Misc.]],tblSalaries[[#This Row],[Salary in USD]],"")</f>
        <v/>
      </c>
      <c r="AC1848" s="13" t="str">
        <f>IF(tblSalaries[[#This Row],[Job Type]]=tblSalaries[[#Headers],[Reporting]],tblSalaries[[#This Row],[Salary in USD]],"")</f>
        <v/>
      </c>
      <c r="AD1848" s="13" t="str">
        <f>IF(tblSalaries[[#This Row],[Job Type]]=tblSalaries[[#Headers],[Specialist]],tblSalaries[[#This Row],[Salary in USD]],"")</f>
        <v/>
      </c>
    </row>
    <row r="1849" spans="2:30" ht="15" customHeight="1" x14ac:dyDescent="0.25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 s="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  <c r="N1849" t="str">
        <f>IF(tblSalaries[[#This Row],[Years of Experience]]="","",IF(tblSalaries[[#This Row],[Years of Experience]]&lt;=2,1,""))</f>
        <v/>
      </c>
      <c r="O1849" t="str">
        <f>IF(tblSalaries[[#This Row],[Years of Experience]]="","",IF(AND(tblSalaries[[#This Row],[Years of Experience]]&gt;2,tblSalaries[[#This Row],[Years of Experience]]&lt;=5),1,""))</f>
        <v/>
      </c>
      <c r="P1849" t="str">
        <f>IF(tblSalaries[[#This Row],[Years of Experience]]="","",IF(AND(tblSalaries[[#This Row],[Years of Experience]]&gt;5,tblSalaries[[#This Row],[Years of Experience]]&lt;=10),1,""))</f>
        <v/>
      </c>
      <c r="Q1849" t="str">
        <f>IF(tblSalaries[[#This Row],[Years of Experience]]="","",IF(AND(tblSalaries[[#This Row],[Years of Experience]]&gt;10,tblSalaries[[#This Row],[Years of Experience]]&lt;=15),1,""))</f>
        <v/>
      </c>
      <c r="R1849">
        <f>IF(tblSalaries[[#This Row],[Years of Experience]]="","",IF(AND(tblSalaries[[#This Row],[Years of Experience]]&gt;16,tblSalaries[[#This Row],[Years of Experience]]&lt;=20),1,""))</f>
        <v>1</v>
      </c>
      <c r="S1849" t="str">
        <f>IF(tblSalaries[[#This Row],[Years of Experience]]="","",IF(tblSalaries[[#This Row],[Years of Experience]]&gt;20,1,""))</f>
        <v/>
      </c>
      <c r="T184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849" s="13" t="str">
        <f>IF(tblSalaries[[#This Row],[Job Type]]=tblSalaries[[#Headers],[Accountant]],tblSalaries[[#This Row],[Salary in USD]],"")</f>
        <v/>
      </c>
      <c r="V1849" s="13" t="str">
        <f>IF(tblSalaries[[#This Row],[Job Type]]=tblSalaries[[#Headers],[Analyst]],tblSalaries[[#This Row],[Salary in USD]],"")</f>
        <v/>
      </c>
      <c r="W1849" s="13" t="str">
        <f>IF(tblSalaries[[#This Row],[Job Type]]=tblSalaries[[#Headers],[Consultant]],tblSalaries[[#This Row],[Salary in USD]],"")</f>
        <v/>
      </c>
      <c r="X1849" s="13" t="str">
        <f>IF(tblSalaries[[#This Row],[Job Type]]=tblSalaries[[#Headers],[Controller]],tblSalaries[[#This Row],[Salary in USD]],"")</f>
        <v/>
      </c>
      <c r="Y1849" s="13" t="str">
        <f>IF(tblSalaries[[#This Row],[Job Type]]=tblSalaries[[#Headers],[CXO or Top Mgmt.]],tblSalaries[[#This Row],[clean Salary (in local currency)]],"")</f>
        <v/>
      </c>
      <c r="Z1849" s="13">
        <f>IF(tblSalaries[[#This Row],[Job Type]]=tblSalaries[[#Headers],[Engineer]],tblSalaries[[#This Row],[Salary in USD]],"")</f>
        <v>102542.54233725216</v>
      </c>
      <c r="AA1849" s="13" t="str">
        <f>IF(tblSalaries[[#This Row],[Job Type]]=tblSalaries[[#Headers],[Manager]],tblSalaries[[#This Row],[Salary in USD]],"")</f>
        <v/>
      </c>
      <c r="AB1849" s="13" t="str">
        <f>IF(tblSalaries[[#This Row],[Job Type]]=tblSalaries[[#Headers],[Misc.]],tblSalaries[[#This Row],[Salary in USD]],"")</f>
        <v/>
      </c>
      <c r="AC1849" s="13" t="str">
        <f>IF(tblSalaries[[#This Row],[Job Type]]=tblSalaries[[#Headers],[Reporting]],tblSalaries[[#This Row],[Salary in USD]],"")</f>
        <v/>
      </c>
      <c r="AD1849" s="13" t="str">
        <f>IF(tblSalaries[[#This Row],[Job Type]]=tblSalaries[[#Headers],[Specialist]],tblSalaries[[#This Row],[Salary in USD]],"")</f>
        <v/>
      </c>
    </row>
    <row r="1850" spans="2:30" ht="15" customHeight="1" x14ac:dyDescent="0.25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 s="9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  <c r="N1850">
        <f>IF(tblSalaries[[#This Row],[Years of Experience]]="","",IF(tblSalaries[[#This Row],[Years of Experience]]&lt;=2,1,""))</f>
        <v>1</v>
      </c>
      <c r="O1850" t="str">
        <f>IF(tblSalaries[[#This Row],[Years of Experience]]="","",IF(AND(tblSalaries[[#This Row],[Years of Experience]]&gt;2,tblSalaries[[#This Row],[Years of Experience]]&lt;=5),1,""))</f>
        <v/>
      </c>
      <c r="P1850" t="str">
        <f>IF(tblSalaries[[#This Row],[Years of Experience]]="","",IF(AND(tblSalaries[[#This Row],[Years of Experience]]&gt;5,tblSalaries[[#This Row],[Years of Experience]]&lt;=10),1,""))</f>
        <v/>
      </c>
      <c r="Q1850" t="str">
        <f>IF(tblSalaries[[#This Row],[Years of Experience]]="","",IF(AND(tblSalaries[[#This Row],[Years of Experience]]&gt;10,tblSalaries[[#This Row],[Years of Experience]]&lt;=15),1,""))</f>
        <v/>
      </c>
      <c r="R1850" t="str">
        <f>IF(tblSalaries[[#This Row],[Years of Experience]]="","",IF(AND(tblSalaries[[#This Row],[Years of Experience]]&gt;16,tblSalaries[[#This Row],[Years of Experience]]&lt;=20),1,""))</f>
        <v/>
      </c>
      <c r="S1850" t="str">
        <f>IF(tblSalaries[[#This Row],[Years of Experience]]="","",IF(tblSalaries[[#This Row],[Years of Experience]]&gt;20,1,""))</f>
        <v/>
      </c>
      <c r="T185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50" s="13" t="str">
        <f>IF(tblSalaries[[#This Row],[Job Type]]=tblSalaries[[#Headers],[Accountant]],tblSalaries[[#This Row],[Salary in USD]],"")</f>
        <v/>
      </c>
      <c r="V1850" s="13">
        <f>IF(tblSalaries[[#This Row],[Job Type]]=tblSalaries[[#Headers],[Analyst]],tblSalaries[[#This Row],[Salary in USD]],"")</f>
        <v>46000</v>
      </c>
      <c r="W1850" s="13" t="str">
        <f>IF(tblSalaries[[#This Row],[Job Type]]=tblSalaries[[#Headers],[Consultant]],tblSalaries[[#This Row],[Salary in USD]],"")</f>
        <v/>
      </c>
      <c r="X1850" s="13" t="str">
        <f>IF(tblSalaries[[#This Row],[Job Type]]=tblSalaries[[#Headers],[Controller]],tblSalaries[[#This Row],[Salary in USD]],"")</f>
        <v/>
      </c>
      <c r="Y1850" s="13" t="str">
        <f>IF(tblSalaries[[#This Row],[Job Type]]=tblSalaries[[#Headers],[CXO or Top Mgmt.]],tblSalaries[[#This Row],[clean Salary (in local currency)]],"")</f>
        <v/>
      </c>
      <c r="Z1850" s="13" t="str">
        <f>IF(tblSalaries[[#This Row],[Job Type]]=tblSalaries[[#Headers],[Engineer]],tblSalaries[[#This Row],[Salary in USD]],"")</f>
        <v/>
      </c>
      <c r="AA1850" s="13" t="str">
        <f>IF(tblSalaries[[#This Row],[Job Type]]=tblSalaries[[#Headers],[Manager]],tblSalaries[[#This Row],[Salary in USD]],"")</f>
        <v/>
      </c>
      <c r="AB1850" s="13" t="str">
        <f>IF(tblSalaries[[#This Row],[Job Type]]=tblSalaries[[#Headers],[Misc.]],tblSalaries[[#This Row],[Salary in USD]],"")</f>
        <v/>
      </c>
      <c r="AC1850" s="13" t="str">
        <f>IF(tblSalaries[[#This Row],[Job Type]]=tblSalaries[[#Headers],[Reporting]],tblSalaries[[#This Row],[Salary in USD]],"")</f>
        <v/>
      </c>
      <c r="AD1850" s="13" t="str">
        <f>IF(tblSalaries[[#This Row],[Job Type]]=tblSalaries[[#Headers],[Specialist]],tblSalaries[[#This Row],[Salary in USD]],"")</f>
        <v/>
      </c>
    </row>
    <row r="1851" spans="2:30" ht="15" customHeight="1" x14ac:dyDescent="0.25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 s="9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  <c r="N1851">
        <f>IF(tblSalaries[[#This Row],[Years of Experience]]="","",IF(tblSalaries[[#This Row],[Years of Experience]]&lt;=2,1,""))</f>
        <v>1</v>
      </c>
      <c r="O1851" t="str">
        <f>IF(tblSalaries[[#This Row],[Years of Experience]]="","",IF(AND(tblSalaries[[#This Row],[Years of Experience]]&gt;2,tblSalaries[[#This Row],[Years of Experience]]&lt;=5),1,""))</f>
        <v/>
      </c>
      <c r="P1851" t="str">
        <f>IF(tblSalaries[[#This Row],[Years of Experience]]="","",IF(AND(tblSalaries[[#This Row],[Years of Experience]]&gt;5,tblSalaries[[#This Row],[Years of Experience]]&lt;=10),1,""))</f>
        <v/>
      </c>
      <c r="Q1851" t="str">
        <f>IF(tblSalaries[[#This Row],[Years of Experience]]="","",IF(AND(tblSalaries[[#This Row],[Years of Experience]]&gt;10,tblSalaries[[#This Row],[Years of Experience]]&lt;=15),1,""))</f>
        <v/>
      </c>
      <c r="R1851" t="str">
        <f>IF(tblSalaries[[#This Row],[Years of Experience]]="","",IF(AND(tblSalaries[[#This Row],[Years of Experience]]&gt;16,tblSalaries[[#This Row],[Years of Experience]]&lt;=20),1,""))</f>
        <v/>
      </c>
      <c r="S1851" t="str">
        <f>IF(tblSalaries[[#This Row],[Years of Experience]]="","",IF(tblSalaries[[#This Row],[Years of Experience]]&gt;20,1,""))</f>
        <v/>
      </c>
      <c r="T185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51" s="13" t="str">
        <f>IF(tblSalaries[[#This Row],[Job Type]]=tblSalaries[[#Headers],[Accountant]],tblSalaries[[#This Row],[Salary in USD]],"")</f>
        <v/>
      </c>
      <c r="V1851" s="13">
        <f>IF(tblSalaries[[#This Row],[Job Type]]=tblSalaries[[#Headers],[Analyst]],tblSalaries[[#This Row],[Salary in USD]],"")</f>
        <v>5000</v>
      </c>
      <c r="W1851" s="13" t="str">
        <f>IF(tblSalaries[[#This Row],[Job Type]]=tblSalaries[[#Headers],[Consultant]],tblSalaries[[#This Row],[Salary in USD]],"")</f>
        <v/>
      </c>
      <c r="X1851" s="13" t="str">
        <f>IF(tblSalaries[[#This Row],[Job Type]]=tblSalaries[[#Headers],[Controller]],tblSalaries[[#This Row],[Salary in USD]],"")</f>
        <v/>
      </c>
      <c r="Y1851" s="13" t="str">
        <f>IF(tblSalaries[[#This Row],[Job Type]]=tblSalaries[[#Headers],[CXO or Top Mgmt.]],tblSalaries[[#This Row],[clean Salary (in local currency)]],"")</f>
        <v/>
      </c>
      <c r="Z1851" s="13" t="str">
        <f>IF(tblSalaries[[#This Row],[Job Type]]=tblSalaries[[#Headers],[Engineer]],tblSalaries[[#This Row],[Salary in USD]],"")</f>
        <v/>
      </c>
      <c r="AA1851" s="13" t="str">
        <f>IF(tblSalaries[[#This Row],[Job Type]]=tblSalaries[[#Headers],[Manager]],tblSalaries[[#This Row],[Salary in USD]],"")</f>
        <v/>
      </c>
      <c r="AB1851" s="13" t="str">
        <f>IF(tblSalaries[[#This Row],[Job Type]]=tblSalaries[[#Headers],[Misc.]],tblSalaries[[#This Row],[Salary in USD]],"")</f>
        <v/>
      </c>
      <c r="AC1851" s="13" t="str">
        <f>IF(tblSalaries[[#This Row],[Job Type]]=tblSalaries[[#Headers],[Reporting]],tblSalaries[[#This Row],[Salary in USD]],"")</f>
        <v/>
      </c>
      <c r="AD1851" s="13" t="str">
        <f>IF(tblSalaries[[#This Row],[Job Type]]=tblSalaries[[#Headers],[Specialist]],tblSalaries[[#This Row],[Salary in USD]],"")</f>
        <v/>
      </c>
    </row>
    <row r="1852" spans="2:30" ht="15" customHeight="1" x14ac:dyDescent="0.25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 s="9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  <c r="N1852" t="str">
        <f>IF(tblSalaries[[#This Row],[Years of Experience]]="","",IF(tblSalaries[[#This Row],[Years of Experience]]&lt;=2,1,""))</f>
        <v/>
      </c>
      <c r="O1852">
        <f>IF(tblSalaries[[#This Row],[Years of Experience]]="","",IF(AND(tblSalaries[[#This Row],[Years of Experience]]&gt;2,tblSalaries[[#This Row],[Years of Experience]]&lt;=5),1,""))</f>
        <v>1</v>
      </c>
      <c r="P1852" t="str">
        <f>IF(tblSalaries[[#This Row],[Years of Experience]]="","",IF(AND(tblSalaries[[#This Row],[Years of Experience]]&gt;5,tblSalaries[[#This Row],[Years of Experience]]&lt;=10),1,""))</f>
        <v/>
      </c>
      <c r="Q1852" t="str">
        <f>IF(tblSalaries[[#This Row],[Years of Experience]]="","",IF(AND(tblSalaries[[#This Row],[Years of Experience]]&gt;10,tblSalaries[[#This Row],[Years of Experience]]&lt;=15),1,""))</f>
        <v/>
      </c>
      <c r="R1852" t="str">
        <f>IF(tblSalaries[[#This Row],[Years of Experience]]="","",IF(AND(tblSalaries[[#This Row],[Years of Experience]]&gt;16,tblSalaries[[#This Row],[Years of Experience]]&lt;=20),1,""))</f>
        <v/>
      </c>
      <c r="S1852" t="str">
        <f>IF(tblSalaries[[#This Row],[Years of Experience]]="","",IF(tblSalaries[[#This Row],[Years of Experience]]&gt;20,1,""))</f>
        <v/>
      </c>
      <c r="T185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52" s="13" t="str">
        <f>IF(tblSalaries[[#This Row],[Job Type]]=tblSalaries[[#Headers],[Accountant]],tblSalaries[[#This Row],[Salary in USD]],"")</f>
        <v/>
      </c>
      <c r="V1852" s="13">
        <f>IF(tblSalaries[[#This Row],[Job Type]]=tblSalaries[[#Headers],[Analyst]],tblSalaries[[#This Row],[Salary in USD]],"")</f>
        <v>77819.106783521114</v>
      </c>
      <c r="W1852" s="13" t="str">
        <f>IF(tblSalaries[[#This Row],[Job Type]]=tblSalaries[[#Headers],[Consultant]],tblSalaries[[#This Row],[Salary in USD]],"")</f>
        <v/>
      </c>
      <c r="X1852" s="13" t="str">
        <f>IF(tblSalaries[[#This Row],[Job Type]]=tblSalaries[[#Headers],[Controller]],tblSalaries[[#This Row],[Salary in USD]],"")</f>
        <v/>
      </c>
      <c r="Y1852" s="13" t="str">
        <f>IF(tblSalaries[[#This Row],[Job Type]]=tblSalaries[[#Headers],[CXO or Top Mgmt.]],tblSalaries[[#This Row],[clean Salary (in local currency)]],"")</f>
        <v/>
      </c>
      <c r="Z1852" s="13" t="str">
        <f>IF(tblSalaries[[#This Row],[Job Type]]=tblSalaries[[#Headers],[Engineer]],tblSalaries[[#This Row],[Salary in USD]],"")</f>
        <v/>
      </c>
      <c r="AA1852" s="13" t="str">
        <f>IF(tblSalaries[[#This Row],[Job Type]]=tblSalaries[[#Headers],[Manager]],tblSalaries[[#This Row],[Salary in USD]],"")</f>
        <v/>
      </c>
      <c r="AB1852" s="13" t="str">
        <f>IF(tblSalaries[[#This Row],[Job Type]]=tblSalaries[[#Headers],[Misc.]],tblSalaries[[#This Row],[Salary in USD]],"")</f>
        <v/>
      </c>
      <c r="AC1852" s="13" t="str">
        <f>IF(tblSalaries[[#This Row],[Job Type]]=tblSalaries[[#Headers],[Reporting]],tblSalaries[[#This Row],[Salary in USD]],"")</f>
        <v/>
      </c>
      <c r="AD1852" s="13" t="str">
        <f>IF(tblSalaries[[#This Row],[Job Type]]=tblSalaries[[#Headers],[Specialist]],tblSalaries[[#This Row],[Salary in USD]],"")</f>
        <v/>
      </c>
    </row>
    <row r="1853" spans="2:30" ht="15" customHeight="1" x14ac:dyDescent="0.25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 s="9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  <c r="N1853" t="str">
        <f>IF(tblSalaries[[#This Row],[Years of Experience]]="","",IF(tblSalaries[[#This Row],[Years of Experience]]&lt;=2,1,""))</f>
        <v/>
      </c>
      <c r="O1853" t="str">
        <f>IF(tblSalaries[[#This Row],[Years of Experience]]="","",IF(AND(tblSalaries[[#This Row],[Years of Experience]]&gt;2,tblSalaries[[#This Row],[Years of Experience]]&lt;=5),1,""))</f>
        <v/>
      </c>
      <c r="P1853" t="str">
        <f>IF(tblSalaries[[#This Row],[Years of Experience]]="","",IF(AND(tblSalaries[[#This Row],[Years of Experience]]&gt;5,tblSalaries[[#This Row],[Years of Experience]]&lt;=10),1,""))</f>
        <v/>
      </c>
      <c r="Q1853" t="str">
        <f>IF(tblSalaries[[#This Row],[Years of Experience]]="","",IF(AND(tblSalaries[[#This Row],[Years of Experience]]&gt;10,tblSalaries[[#This Row],[Years of Experience]]&lt;=15),1,""))</f>
        <v/>
      </c>
      <c r="R1853" t="str">
        <f>IF(tblSalaries[[#This Row],[Years of Experience]]="","",IF(AND(tblSalaries[[#This Row],[Years of Experience]]&gt;16,tblSalaries[[#This Row],[Years of Experience]]&lt;=20),1,""))</f>
        <v/>
      </c>
      <c r="S1853">
        <f>IF(tblSalaries[[#This Row],[Years of Experience]]="","",IF(tblSalaries[[#This Row],[Years of Experience]]&gt;20,1,""))</f>
        <v>1</v>
      </c>
      <c r="T185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853" s="13" t="str">
        <f>IF(tblSalaries[[#This Row],[Job Type]]=tblSalaries[[#Headers],[Accountant]],tblSalaries[[#This Row],[Salary in USD]],"")</f>
        <v/>
      </c>
      <c r="V1853" s="13" t="str">
        <f>IF(tblSalaries[[#This Row],[Job Type]]=tblSalaries[[#Headers],[Analyst]],tblSalaries[[#This Row],[Salary in USD]],"")</f>
        <v/>
      </c>
      <c r="W1853" s="13" t="str">
        <f>IF(tblSalaries[[#This Row],[Job Type]]=tblSalaries[[#Headers],[Consultant]],tblSalaries[[#This Row],[Salary in USD]],"")</f>
        <v/>
      </c>
      <c r="X1853" s="13" t="str">
        <f>IF(tblSalaries[[#This Row],[Job Type]]=tblSalaries[[#Headers],[Controller]],tblSalaries[[#This Row],[Salary in USD]],"")</f>
        <v/>
      </c>
      <c r="Y1853" s="13" t="str">
        <f>IF(tblSalaries[[#This Row],[Job Type]]=tblSalaries[[#Headers],[CXO or Top Mgmt.]],tblSalaries[[#This Row],[clean Salary (in local currency)]],"")</f>
        <v/>
      </c>
      <c r="Z1853" s="13" t="str">
        <f>IF(tblSalaries[[#This Row],[Job Type]]=tblSalaries[[#Headers],[Engineer]],tblSalaries[[#This Row],[Salary in USD]],"")</f>
        <v/>
      </c>
      <c r="AA1853" s="13">
        <f>IF(tblSalaries[[#This Row],[Job Type]]=tblSalaries[[#Headers],[Manager]],tblSalaries[[#This Row],[Salary in USD]],"")</f>
        <v>6232.7708406048987</v>
      </c>
      <c r="AB1853" s="13" t="str">
        <f>IF(tblSalaries[[#This Row],[Job Type]]=tblSalaries[[#Headers],[Misc.]],tblSalaries[[#This Row],[Salary in USD]],"")</f>
        <v/>
      </c>
      <c r="AC1853" s="13" t="str">
        <f>IF(tblSalaries[[#This Row],[Job Type]]=tblSalaries[[#Headers],[Reporting]],tblSalaries[[#This Row],[Salary in USD]],"")</f>
        <v/>
      </c>
      <c r="AD1853" s="13" t="str">
        <f>IF(tblSalaries[[#This Row],[Job Type]]=tblSalaries[[#Headers],[Specialist]],tblSalaries[[#This Row],[Salary in USD]],"")</f>
        <v/>
      </c>
    </row>
    <row r="1854" spans="2:30" ht="15" customHeight="1" x14ac:dyDescent="0.25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 s="9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  <c r="N1854" t="str">
        <f>IF(tblSalaries[[#This Row],[Years of Experience]]="","",IF(tblSalaries[[#This Row],[Years of Experience]]&lt;=2,1,""))</f>
        <v/>
      </c>
      <c r="O1854" t="str">
        <f>IF(tblSalaries[[#This Row],[Years of Experience]]="","",IF(AND(tblSalaries[[#This Row],[Years of Experience]]&gt;2,tblSalaries[[#This Row],[Years of Experience]]&lt;=5),1,""))</f>
        <v/>
      </c>
      <c r="P1854" t="str">
        <f>IF(tblSalaries[[#This Row],[Years of Experience]]="","",IF(AND(tblSalaries[[#This Row],[Years of Experience]]&gt;5,tblSalaries[[#This Row],[Years of Experience]]&lt;=10),1,""))</f>
        <v/>
      </c>
      <c r="Q1854" t="str">
        <f>IF(tblSalaries[[#This Row],[Years of Experience]]="","",IF(AND(tblSalaries[[#This Row],[Years of Experience]]&gt;10,tblSalaries[[#This Row],[Years of Experience]]&lt;=15),1,""))</f>
        <v/>
      </c>
      <c r="R1854" t="str">
        <f>IF(tblSalaries[[#This Row],[Years of Experience]]="","",IF(AND(tblSalaries[[#This Row],[Years of Experience]]&gt;16,tblSalaries[[#This Row],[Years of Experience]]&lt;=20),1,""))</f>
        <v/>
      </c>
      <c r="S1854">
        <f>IF(tblSalaries[[#This Row],[Years of Experience]]="","",IF(tblSalaries[[#This Row],[Years of Experience]]&gt;20,1,""))</f>
        <v>1</v>
      </c>
      <c r="T185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854" s="13" t="str">
        <f>IF(tblSalaries[[#This Row],[Job Type]]=tblSalaries[[#Headers],[Accountant]],tblSalaries[[#This Row],[Salary in USD]],"")</f>
        <v/>
      </c>
      <c r="V1854" s="13">
        <f>IF(tblSalaries[[#This Row],[Job Type]]=tblSalaries[[#Headers],[Analyst]],tblSalaries[[#This Row],[Salary in USD]],"")</f>
        <v>55166.239522354947</v>
      </c>
      <c r="W1854" s="13" t="str">
        <f>IF(tblSalaries[[#This Row],[Job Type]]=tblSalaries[[#Headers],[Consultant]],tblSalaries[[#This Row],[Salary in USD]],"")</f>
        <v/>
      </c>
      <c r="X1854" s="13" t="str">
        <f>IF(tblSalaries[[#This Row],[Job Type]]=tblSalaries[[#Headers],[Controller]],tblSalaries[[#This Row],[Salary in USD]],"")</f>
        <v/>
      </c>
      <c r="Y1854" s="13" t="str">
        <f>IF(tblSalaries[[#This Row],[Job Type]]=tblSalaries[[#Headers],[CXO or Top Mgmt.]],tblSalaries[[#This Row],[clean Salary (in local currency)]],"")</f>
        <v/>
      </c>
      <c r="Z1854" s="13" t="str">
        <f>IF(tblSalaries[[#This Row],[Job Type]]=tblSalaries[[#Headers],[Engineer]],tblSalaries[[#This Row],[Salary in USD]],"")</f>
        <v/>
      </c>
      <c r="AA1854" s="13" t="str">
        <f>IF(tblSalaries[[#This Row],[Job Type]]=tblSalaries[[#Headers],[Manager]],tblSalaries[[#This Row],[Salary in USD]],"")</f>
        <v/>
      </c>
      <c r="AB1854" s="13" t="str">
        <f>IF(tblSalaries[[#This Row],[Job Type]]=tblSalaries[[#Headers],[Misc.]],tblSalaries[[#This Row],[Salary in USD]],"")</f>
        <v/>
      </c>
      <c r="AC1854" s="13" t="str">
        <f>IF(tblSalaries[[#This Row],[Job Type]]=tblSalaries[[#Headers],[Reporting]],tblSalaries[[#This Row],[Salary in USD]],"")</f>
        <v/>
      </c>
      <c r="AD1854" s="13" t="str">
        <f>IF(tblSalaries[[#This Row],[Job Type]]=tblSalaries[[#Headers],[Specialist]],tblSalaries[[#This Row],[Salary in USD]],"")</f>
        <v/>
      </c>
    </row>
    <row r="1855" spans="2:30" ht="15" customHeight="1" x14ac:dyDescent="0.25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 s="9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  <c r="N1855" t="str">
        <f>IF(tblSalaries[[#This Row],[Years of Experience]]="","",IF(tblSalaries[[#This Row],[Years of Experience]]&lt;=2,1,""))</f>
        <v/>
      </c>
      <c r="O1855">
        <f>IF(tblSalaries[[#This Row],[Years of Experience]]="","",IF(AND(tblSalaries[[#This Row],[Years of Experience]]&gt;2,tblSalaries[[#This Row],[Years of Experience]]&lt;=5),1,""))</f>
        <v>1</v>
      </c>
      <c r="P1855" t="str">
        <f>IF(tblSalaries[[#This Row],[Years of Experience]]="","",IF(AND(tblSalaries[[#This Row],[Years of Experience]]&gt;5,tblSalaries[[#This Row],[Years of Experience]]&lt;=10),1,""))</f>
        <v/>
      </c>
      <c r="Q1855" t="str">
        <f>IF(tblSalaries[[#This Row],[Years of Experience]]="","",IF(AND(tblSalaries[[#This Row],[Years of Experience]]&gt;10,tblSalaries[[#This Row],[Years of Experience]]&lt;=15),1,""))</f>
        <v/>
      </c>
      <c r="R1855" t="str">
        <f>IF(tblSalaries[[#This Row],[Years of Experience]]="","",IF(AND(tblSalaries[[#This Row],[Years of Experience]]&gt;16,tblSalaries[[#This Row],[Years of Experience]]&lt;=20),1,""))</f>
        <v/>
      </c>
      <c r="S1855" t="str">
        <f>IF(tblSalaries[[#This Row],[Years of Experience]]="","",IF(tblSalaries[[#This Row],[Years of Experience]]&gt;20,1,""))</f>
        <v/>
      </c>
      <c r="T185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55" s="13">
        <f>IF(tblSalaries[[#This Row],[Job Type]]=tblSalaries[[#Headers],[Accountant]],tblSalaries[[#This Row],[Salary in USD]],"")</f>
        <v>45000</v>
      </c>
      <c r="V1855" s="13" t="str">
        <f>IF(tblSalaries[[#This Row],[Job Type]]=tblSalaries[[#Headers],[Analyst]],tblSalaries[[#This Row],[Salary in USD]],"")</f>
        <v/>
      </c>
      <c r="W1855" s="13" t="str">
        <f>IF(tblSalaries[[#This Row],[Job Type]]=tblSalaries[[#Headers],[Consultant]],tblSalaries[[#This Row],[Salary in USD]],"")</f>
        <v/>
      </c>
      <c r="X1855" s="13" t="str">
        <f>IF(tblSalaries[[#This Row],[Job Type]]=tblSalaries[[#Headers],[Controller]],tblSalaries[[#This Row],[Salary in USD]],"")</f>
        <v/>
      </c>
      <c r="Y1855" s="13" t="str">
        <f>IF(tblSalaries[[#This Row],[Job Type]]=tblSalaries[[#Headers],[CXO or Top Mgmt.]],tblSalaries[[#This Row],[clean Salary (in local currency)]],"")</f>
        <v/>
      </c>
      <c r="Z1855" s="13" t="str">
        <f>IF(tblSalaries[[#This Row],[Job Type]]=tblSalaries[[#Headers],[Engineer]],tblSalaries[[#This Row],[Salary in USD]],"")</f>
        <v/>
      </c>
      <c r="AA1855" s="13" t="str">
        <f>IF(tblSalaries[[#This Row],[Job Type]]=tblSalaries[[#Headers],[Manager]],tblSalaries[[#This Row],[Salary in USD]],"")</f>
        <v/>
      </c>
      <c r="AB1855" s="13" t="str">
        <f>IF(tblSalaries[[#This Row],[Job Type]]=tblSalaries[[#Headers],[Misc.]],tblSalaries[[#This Row],[Salary in USD]],"")</f>
        <v/>
      </c>
      <c r="AC1855" s="13" t="str">
        <f>IF(tblSalaries[[#This Row],[Job Type]]=tblSalaries[[#Headers],[Reporting]],tblSalaries[[#This Row],[Salary in USD]],"")</f>
        <v/>
      </c>
      <c r="AD1855" s="13" t="str">
        <f>IF(tblSalaries[[#This Row],[Job Type]]=tblSalaries[[#Headers],[Specialist]],tblSalaries[[#This Row],[Salary in USD]],"")</f>
        <v/>
      </c>
    </row>
    <row r="1856" spans="2:30" ht="15" customHeight="1" x14ac:dyDescent="0.25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 s="9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  <c r="N1856" t="str">
        <f>IF(tblSalaries[[#This Row],[Years of Experience]]="","",IF(tblSalaries[[#This Row],[Years of Experience]]&lt;=2,1,""))</f>
        <v/>
      </c>
      <c r="O1856" t="str">
        <f>IF(tblSalaries[[#This Row],[Years of Experience]]="","",IF(AND(tblSalaries[[#This Row],[Years of Experience]]&gt;2,tblSalaries[[#This Row],[Years of Experience]]&lt;=5),1,""))</f>
        <v/>
      </c>
      <c r="P1856">
        <f>IF(tblSalaries[[#This Row],[Years of Experience]]="","",IF(AND(tblSalaries[[#This Row],[Years of Experience]]&gt;5,tblSalaries[[#This Row],[Years of Experience]]&lt;=10),1,""))</f>
        <v>1</v>
      </c>
      <c r="Q1856" t="str">
        <f>IF(tblSalaries[[#This Row],[Years of Experience]]="","",IF(AND(tblSalaries[[#This Row],[Years of Experience]]&gt;10,tblSalaries[[#This Row],[Years of Experience]]&lt;=15),1,""))</f>
        <v/>
      </c>
      <c r="R1856" t="str">
        <f>IF(tblSalaries[[#This Row],[Years of Experience]]="","",IF(AND(tblSalaries[[#This Row],[Years of Experience]]&gt;16,tblSalaries[[#This Row],[Years of Experience]]&lt;=20),1,""))</f>
        <v/>
      </c>
      <c r="S1856" t="str">
        <f>IF(tblSalaries[[#This Row],[Years of Experience]]="","",IF(tblSalaries[[#This Row],[Years of Experience]]&gt;20,1,""))</f>
        <v/>
      </c>
      <c r="T185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56" s="13" t="str">
        <f>IF(tblSalaries[[#This Row],[Job Type]]=tblSalaries[[#Headers],[Accountant]],tblSalaries[[#This Row],[Salary in USD]],"")</f>
        <v/>
      </c>
      <c r="V1856" s="13" t="str">
        <f>IF(tblSalaries[[#This Row],[Job Type]]=tblSalaries[[#Headers],[Analyst]],tblSalaries[[#This Row],[Salary in USD]],"")</f>
        <v/>
      </c>
      <c r="W1856" s="13" t="str">
        <f>IF(tblSalaries[[#This Row],[Job Type]]=tblSalaries[[#Headers],[Consultant]],tblSalaries[[#This Row],[Salary in USD]],"")</f>
        <v/>
      </c>
      <c r="X1856" s="13" t="str">
        <f>IF(tblSalaries[[#This Row],[Job Type]]=tblSalaries[[#Headers],[Controller]],tblSalaries[[#This Row],[Salary in USD]],"")</f>
        <v/>
      </c>
      <c r="Y1856" s="13" t="str">
        <f>IF(tblSalaries[[#This Row],[Job Type]]=tblSalaries[[#Headers],[CXO or Top Mgmt.]],tblSalaries[[#This Row],[clean Salary (in local currency)]],"")</f>
        <v/>
      </c>
      <c r="Z1856" s="13" t="str">
        <f>IF(tblSalaries[[#This Row],[Job Type]]=tblSalaries[[#Headers],[Engineer]],tblSalaries[[#This Row],[Salary in USD]],"")</f>
        <v/>
      </c>
      <c r="AA1856" s="13">
        <f>IF(tblSalaries[[#This Row],[Job Type]]=tblSalaries[[#Headers],[Manager]],tblSalaries[[#This Row],[Salary in USD]],"")</f>
        <v>60000</v>
      </c>
      <c r="AB1856" s="13" t="str">
        <f>IF(tblSalaries[[#This Row],[Job Type]]=tblSalaries[[#Headers],[Misc.]],tblSalaries[[#This Row],[Salary in USD]],"")</f>
        <v/>
      </c>
      <c r="AC1856" s="13" t="str">
        <f>IF(tblSalaries[[#This Row],[Job Type]]=tblSalaries[[#Headers],[Reporting]],tblSalaries[[#This Row],[Salary in USD]],"")</f>
        <v/>
      </c>
      <c r="AD1856" s="13" t="str">
        <f>IF(tblSalaries[[#This Row],[Job Type]]=tblSalaries[[#Headers],[Specialist]],tblSalaries[[#This Row],[Salary in USD]],"")</f>
        <v/>
      </c>
    </row>
    <row r="1857" spans="2:30" ht="15" customHeight="1" x14ac:dyDescent="0.25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 s="9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  <c r="N1857" t="str">
        <f>IF(tblSalaries[[#This Row],[Years of Experience]]="","",IF(tblSalaries[[#This Row],[Years of Experience]]&lt;=2,1,""))</f>
        <v/>
      </c>
      <c r="O1857">
        <f>IF(tblSalaries[[#This Row],[Years of Experience]]="","",IF(AND(tblSalaries[[#This Row],[Years of Experience]]&gt;2,tblSalaries[[#This Row],[Years of Experience]]&lt;=5),1,""))</f>
        <v>1</v>
      </c>
      <c r="P1857" t="str">
        <f>IF(tblSalaries[[#This Row],[Years of Experience]]="","",IF(AND(tblSalaries[[#This Row],[Years of Experience]]&gt;5,tblSalaries[[#This Row],[Years of Experience]]&lt;=10),1,""))</f>
        <v/>
      </c>
      <c r="Q1857" t="str">
        <f>IF(tblSalaries[[#This Row],[Years of Experience]]="","",IF(AND(tblSalaries[[#This Row],[Years of Experience]]&gt;10,tblSalaries[[#This Row],[Years of Experience]]&lt;=15),1,""))</f>
        <v/>
      </c>
      <c r="R1857" t="str">
        <f>IF(tblSalaries[[#This Row],[Years of Experience]]="","",IF(AND(tblSalaries[[#This Row],[Years of Experience]]&gt;16,tblSalaries[[#This Row],[Years of Experience]]&lt;=20),1,""))</f>
        <v/>
      </c>
      <c r="S1857" t="str">
        <f>IF(tblSalaries[[#This Row],[Years of Experience]]="","",IF(tblSalaries[[#This Row],[Years of Experience]]&gt;20,1,""))</f>
        <v/>
      </c>
      <c r="T185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57" s="13" t="str">
        <f>IF(tblSalaries[[#This Row],[Job Type]]=tblSalaries[[#Headers],[Accountant]],tblSalaries[[#This Row],[Salary in USD]],"")</f>
        <v/>
      </c>
      <c r="V1857" s="13">
        <f>IF(tblSalaries[[#This Row],[Job Type]]=tblSalaries[[#Headers],[Analyst]],tblSalaries[[#This Row],[Salary in USD]],"")</f>
        <v>43000</v>
      </c>
      <c r="W1857" s="13" t="str">
        <f>IF(tblSalaries[[#This Row],[Job Type]]=tblSalaries[[#Headers],[Consultant]],tblSalaries[[#This Row],[Salary in USD]],"")</f>
        <v/>
      </c>
      <c r="X1857" s="13" t="str">
        <f>IF(tblSalaries[[#This Row],[Job Type]]=tblSalaries[[#Headers],[Controller]],tblSalaries[[#This Row],[Salary in USD]],"")</f>
        <v/>
      </c>
      <c r="Y1857" s="13" t="str">
        <f>IF(tblSalaries[[#This Row],[Job Type]]=tblSalaries[[#Headers],[CXO or Top Mgmt.]],tblSalaries[[#This Row],[clean Salary (in local currency)]],"")</f>
        <v/>
      </c>
      <c r="Z1857" s="13" t="str">
        <f>IF(tblSalaries[[#This Row],[Job Type]]=tblSalaries[[#Headers],[Engineer]],tblSalaries[[#This Row],[Salary in USD]],"")</f>
        <v/>
      </c>
      <c r="AA1857" s="13" t="str">
        <f>IF(tblSalaries[[#This Row],[Job Type]]=tblSalaries[[#Headers],[Manager]],tblSalaries[[#This Row],[Salary in USD]],"")</f>
        <v/>
      </c>
      <c r="AB1857" s="13" t="str">
        <f>IF(tblSalaries[[#This Row],[Job Type]]=tblSalaries[[#Headers],[Misc.]],tblSalaries[[#This Row],[Salary in USD]],"")</f>
        <v/>
      </c>
      <c r="AC1857" s="13" t="str">
        <f>IF(tblSalaries[[#This Row],[Job Type]]=tblSalaries[[#Headers],[Reporting]],tblSalaries[[#This Row],[Salary in USD]],"")</f>
        <v/>
      </c>
      <c r="AD1857" s="13" t="str">
        <f>IF(tblSalaries[[#This Row],[Job Type]]=tblSalaries[[#Headers],[Specialist]],tblSalaries[[#This Row],[Salary in USD]],"")</f>
        <v/>
      </c>
    </row>
    <row r="1858" spans="2:30" ht="15" customHeight="1" x14ac:dyDescent="0.25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 s="9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  <c r="N1858" t="str">
        <f>IF(tblSalaries[[#This Row],[Years of Experience]]="","",IF(tblSalaries[[#This Row],[Years of Experience]]&lt;=2,1,""))</f>
        <v/>
      </c>
      <c r="O1858" t="str">
        <f>IF(tblSalaries[[#This Row],[Years of Experience]]="","",IF(AND(tblSalaries[[#This Row],[Years of Experience]]&gt;2,tblSalaries[[#This Row],[Years of Experience]]&lt;=5),1,""))</f>
        <v/>
      </c>
      <c r="P1858">
        <f>IF(tblSalaries[[#This Row],[Years of Experience]]="","",IF(AND(tblSalaries[[#This Row],[Years of Experience]]&gt;5,tblSalaries[[#This Row],[Years of Experience]]&lt;=10),1,""))</f>
        <v>1</v>
      </c>
      <c r="Q1858" t="str">
        <f>IF(tblSalaries[[#This Row],[Years of Experience]]="","",IF(AND(tblSalaries[[#This Row],[Years of Experience]]&gt;10,tblSalaries[[#This Row],[Years of Experience]]&lt;=15),1,""))</f>
        <v/>
      </c>
      <c r="R1858" t="str">
        <f>IF(tblSalaries[[#This Row],[Years of Experience]]="","",IF(AND(tblSalaries[[#This Row],[Years of Experience]]&gt;16,tblSalaries[[#This Row],[Years of Experience]]&lt;=20),1,""))</f>
        <v/>
      </c>
      <c r="S1858" t="str">
        <f>IF(tblSalaries[[#This Row],[Years of Experience]]="","",IF(tblSalaries[[#This Row],[Years of Experience]]&gt;20,1,""))</f>
        <v/>
      </c>
      <c r="T185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58" s="13" t="str">
        <f>IF(tblSalaries[[#This Row],[Job Type]]=tblSalaries[[#Headers],[Accountant]],tblSalaries[[#This Row],[Salary in USD]],"")</f>
        <v/>
      </c>
      <c r="V1858" s="13" t="str">
        <f>IF(tblSalaries[[#This Row],[Job Type]]=tblSalaries[[#Headers],[Analyst]],tblSalaries[[#This Row],[Salary in USD]],"")</f>
        <v/>
      </c>
      <c r="W1858" s="13" t="str">
        <f>IF(tblSalaries[[#This Row],[Job Type]]=tblSalaries[[#Headers],[Consultant]],tblSalaries[[#This Row],[Salary in USD]],"")</f>
        <v/>
      </c>
      <c r="X1858" s="13">
        <f>IF(tblSalaries[[#This Row],[Job Type]]=tblSalaries[[#Headers],[Controller]],tblSalaries[[#This Row],[Salary in USD]],"")</f>
        <v>35571.184291765021</v>
      </c>
      <c r="Y1858" s="13" t="str">
        <f>IF(tblSalaries[[#This Row],[Job Type]]=tblSalaries[[#Headers],[CXO or Top Mgmt.]],tblSalaries[[#This Row],[clean Salary (in local currency)]],"")</f>
        <v/>
      </c>
      <c r="Z1858" s="13" t="str">
        <f>IF(tblSalaries[[#This Row],[Job Type]]=tblSalaries[[#Headers],[Engineer]],tblSalaries[[#This Row],[Salary in USD]],"")</f>
        <v/>
      </c>
      <c r="AA1858" s="13" t="str">
        <f>IF(tblSalaries[[#This Row],[Job Type]]=tblSalaries[[#Headers],[Manager]],tblSalaries[[#This Row],[Salary in USD]],"")</f>
        <v/>
      </c>
      <c r="AB1858" s="13" t="str">
        <f>IF(tblSalaries[[#This Row],[Job Type]]=tblSalaries[[#Headers],[Misc.]],tblSalaries[[#This Row],[Salary in USD]],"")</f>
        <v/>
      </c>
      <c r="AC1858" s="13" t="str">
        <f>IF(tblSalaries[[#This Row],[Job Type]]=tblSalaries[[#Headers],[Reporting]],tblSalaries[[#This Row],[Salary in USD]],"")</f>
        <v/>
      </c>
      <c r="AD1858" s="13" t="str">
        <f>IF(tblSalaries[[#This Row],[Job Type]]=tblSalaries[[#Headers],[Specialist]],tblSalaries[[#This Row],[Salary in USD]],"")</f>
        <v/>
      </c>
    </row>
    <row r="1859" spans="2:30" ht="15" customHeight="1" x14ac:dyDescent="0.25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 s="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  <c r="N1859" t="str">
        <f>IF(tblSalaries[[#This Row],[Years of Experience]]="","",IF(tblSalaries[[#This Row],[Years of Experience]]&lt;=2,1,""))</f>
        <v/>
      </c>
      <c r="O1859" t="str">
        <f>IF(tblSalaries[[#This Row],[Years of Experience]]="","",IF(AND(tblSalaries[[#This Row],[Years of Experience]]&gt;2,tblSalaries[[#This Row],[Years of Experience]]&lt;=5),1,""))</f>
        <v/>
      </c>
      <c r="P1859" t="str">
        <f>IF(tblSalaries[[#This Row],[Years of Experience]]="","",IF(AND(tblSalaries[[#This Row],[Years of Experience]]&gt;5,tblSalaries[[#This Row],[Years of Experience]]&lt;=10),1,""))</f>
        <v/>
      </c>
      <c r="Q1859">
        <f>IF(tblSalaries[[#This Row],[Years of Experience]]="","",IF(AND(tblSalaries[[#This Row],[Years of Experience]]&gt;10,tblSalaries[[#This Row],[Years of Experience]]&lt;=15),1,""))</f>
        <v>1</v>
      </c>
      <c r="R1859" t="str">
        <f>IF(tblSalaries[[#This Row],[Years of Experience]]="","",IF(AND(tblSalaries[[#This Row],[Years of Experience]]&gt;16,tblSalaries[[#This Row],[Years of Experience]]&lt;=20),1,""))</f>
        <v/>
      </c>
      <c r="S1859" t="str">
        <f>IF(tblSalaries[[#This Row],[Years of Experience]]="","",IF(tblSalaries[[#This Row],[Years of Experience]]&gt;20,1,""))</f>
        <v/>
      </c>
      <c r="T185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59" s="13" t="str">
        <f>IF(tblSalaries[[#This Row],[Job Type]]=tblSalaries[[#Headers],[Accountant]],tblSalaries[[#This Row],[Salary in USD]],"")</f>
        <v/>
      </c>
      <c r="V1859" s="13">
        <f>IF(tblSalaries[[#This Row],[Job Type]]=tblSalaries[[#Headers],[Analyst]],tblSalaries[[#This Row],[Salary in USD]],"")</f>
        <v>48000</v>
      </c>
      <c r="W1859" s="13" t="str">
        <f>IF(tblSalaries[[#This Row],[Job Type]]=tblSalaries[[#Headers],[Consultant]],tblSalaries[[#This Row],[Salary in USD]],"")</f>
        <v/>
      </c>
      <c r="X1859" s="13" t="str">
        <f>IF(tblSalaries[[#This Row],[Job Type]]=tblSalaries[[#Headers],[Controller]],tblSalaries[[#This Row],[Salary in USD]],"")</f>
        <v/>
      </c>
      <c r="Y1859" s="13" t="str">
        <f>IF(tblSalaries[[#This Row],[Job Type]]=tblSalaries[[#Headers],[CXO or Top Mgmt.]],tblSalaries[[#This Row],[clean Salary (in local currency)]],"")</f>
        <v/>
      </c>
      <c r="Z1859" s="13" t="str">
        <f>IF(tblSalaries[[#This Row],[Job Type]]=tblSalaries[[#Headers],[Engineer]],tblSalaries[[#This Row],[Salary in USD]],"")</f>
        <v/>
      </c>
      <c r="AA1859" s="13" t="str">
        <f>IF(tblSalaries[[#This Row],[Job Type]]=tblSalaries[[#Headers],[Manager]],tblSalaries[[#This Row],[Salary in USD]],"")</f>
        <v/>
      </c>
      <c r="AB1859" s="13" t="str">
        <f>IF(tblSalaries[[#This Row],[Job Type]]=tblSalaries[[#Headers],[Misc.]],tblSalaries[[#This Row],[Salary in USD]],"")</f>
        <v/>
      </c>
      <c r="AC1859" s="13" t="str">
        <f>IF(tblSalaries[[#This Row],[Job Type]]=tblSalaries[[#Headers],[Reporting]],tblSalaries[[#This Row],[Salary in USD]],"")</f>
        <v/>
      </c>
      <c r="AD1859" s="13" t="str">
        <f>IF(tblSalaries[[#This Row],[Job Type]]=tblSalaries[[#Headers],[Specialist]],tblSalaries[[#This Row],[Salary in USD]],"")</f>
        <v/>
      </c>
    </row>
    <row r="1860" spans="2:30" ht="15" customHeight="1" x14ac:dyDescent="0.25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 s="9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  <c r="N1860" t="str">
        <f>IF(tblSalaries[[#This Row],[Years of Experience]]="","",IF(tblSalaries[[#This Row],[Years of Experience]]&lt;=2,1,""))</f>
        <v/>
      </c>
      <c r="O1860" t="str">
        <f>IF(tblSalaries[[#This Row],[Years of Experience]]="","",IF(AND(tblSalaries[[#This Row],[Years of Experience]]&gt;2,tblSalaries[[#This Row],[Years of Experience]]&lt;=5),1,""))</f>
        <v/>
      </c>
      <c r="P1860">
        <f>IF(tblSalaries[[#This Row],[Years of Experience]]="","",IF(AND(tblSalaries[[#This Row],[Years of Experience]]&gt;5,tblSalaries[[#This Row],[Years of Experience]]&lt;=10),1,""))</f>
        <v>1</v>
      </c>
      <c r="Q1860" t="str">
        <f>IF(tblSalaries[[#This Row],[Years of Experience]]="","",IF(AND(tblSalaries[[#This Row],[Years of Experience]]&gt;10,tblSalaries[[#This Row],[Years of Experience]]&lt;=15),1,""))</f>
        <v/>
      </c>
      <c r="R1860" t="str">
        <f>IF(tblSalaries[[#This Row],[Years of Experience]]="","",IF(AND(tblSalaries[[#This Row],[Years of Experience]]&gt;16,tblSalaries[[#This Row],[Years of Experience]]&lt;=20),1,""))</f>
        <v/>
      </c>
      <c r="S1860" t="str">
        <f>IF(tblSalaries[[#This Row],[Years of Experience]]="","",IF(tblSalaries[[#This Row],[Years of Experience]]&gt;20,1,""))</f>
        <v/>
      </c>
      <c r="T186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60" s="13" t="str">
        <f>IF(tblSalaries[[#This Row],[Job Type]]=tblSalaries[[#Headers],[Accountant]],tblSalaries[[#This Row],[Salary in USD]],"")</f>
        <v/>
      </c>
      <c r="V1860" s="13" t="str">
        <f>IF(tblSalaries[[#This Row],[Job Type]]=tblSalaries[[#Headers],[Analyst]],tblSalaries[[#This Row],[Salary in USD]],"")</f>
        <v/>
      </c>
      <c r="W1860" s="13" t="str">
        <f>IF(tblSalaries[[#This Row],[Job Type]]=tblSalaries[[#Headers],[Consultant]],tblSalaries[[#This Row],[Salary in USD]],"")</f>
        <v/>
      </c>
      <c r="X1860" s="13" t="str">
        <f>IF(tblSalaries[[#This Row],[Job Type]]=tblSalaries[[#Headers],[Controller]],tblSalaries[[#This Row],[Salary in USD]],"")</f>
        <v/>
      </c>
      <c r="Y1860" s="13" t="str">
        <f>IF(tblSalaries[[#This Row],[Job Type]]=tblSalaries[[#Headers],[CXO or Top Mgmt.]],tblSalaries[[#This Row],[clean Salary (in local currency)]],"")</f>
        <v/>
      </c>
      <c r="Z1860" s="13" t="str">
        <f>IF(tblSalaries[[#This Row],[Job Type]]=tblSalaries[[#Headers],[Engineer]],tblSalaries[[#This Row],[Salary in USD]],"")</f>
        <v/>
      </c>
      <c r="AA1860" s="13">
        <f>IF(tblSalaries[[#This Row],[Job Type]]=tblSalaries[[#Headers],[Manager]],tblSalaries[[#This Row],[Salary in USD]],"")</f>
        <v>122389.15876831629</v>
      </c>
      <c r="AB1860" s="13" t="str">
        <f>IF(tblSalaries[[#This Row],[Job Type]]=tblSalaries[[#Headers],[Misc.]],tblSalaries[[#This Row],[Salary in USD]],"")</f>
        <v/>
      </c>
      <c r="AC1860" s="13" t="str">
        <f>IF(tblSalaries[[#This Row],[Job Type]]=tblSalaries[[#Headers],[Reporting]],tblSalaries[[#This Row],[Salary in USD]],"")</f>
        <v/>
      </c>
      <c r="AD1860" s="13" t="str">
        <f>IF(tblSalaries[[#This Row],[Job Type]]=tblSalaries[[#Headers],[Specialist]],tblSalaries[[#This Row],[Salary in USD]],"")</f>
        <v/>
      </c>
    </row>
    <row r="1861" spans="2:30" ht="15" customHeight="1" x14ac:dyDescent="0.25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 s="9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  <c r="N1861" t="str">
        <f>IF(tblSalaries[[#This Row],[Years of Experience]]="","",IF(tblSalaries[[#This Row],[Years of Experience]]&lt;=2,1,""))</f>
        <v/>
      </c>
      <c r="O1861">
        <f>IF(tblSalaries[[#This Row],[Years of Experience]]="","",IF(AND(tblSalaries[[#This Row],[Years of Experience]]&gt;2,tblSalaries[[#This Row],[Years of Experience]]&lt;=5),1,""))</f>
        <v>1</v>
      </c>
      <c r="P1861" t="str">
        <f>IF(tblSalaries[[#This Row],[Years of Experience]]="","",IF(AND(tblSalaries[[#This Row],[Years of Experience]]&gt;5,tblSalaries[[#This Row],[Years of Experience]]&lt;=10),1,""))</f>
        <v/>
      </c>
      <c r="Q1861" t="str">
        <f>IF(tblSalaries[[#This Row],[Years of Experience]]="","",IF(AND(tblSalaries[[#This Row],[Years of Experience]]&gt;10,tblSalaries[[#This Row],[Years of Experience]]&lt;=15),1,""))</f>
        <v/>
      </c>
      <c r="R1861" t="str">
        <f>IF(tblSalaries[[#This Row],[Years of Experience]]="","",IF(AND(tblSalaries[[#This Row],[Years of Experience]]&gt;16,tblSalaries[[#This Row],[Years of Experience]]&lt;=20),1,""))</f>
        <v/>
      </c>
      <c r="S1861" t="str">
        <f>IF(tblSalaries[[#This Row],[Years of Experience]]="","",IF(tblSalaries[[#This Row],[Years of Experience]]&gt;20,1,""))</f>
        <v/>
      </c>
      <c r="T186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1" s="13" t="str">
        <f>IF(tblSalaries[[#This Row],[Job Type]]=tblSalaries[[#Headers],[Accountant]],tblSalaries[[#This Row],[Salary in USD]],"")</f>
        <v/>
      </c>
      <c r="V1861" s="13">
        <f>IF(tblSalaries[[#This Row],[Job Type]]=tblSalaries[[#Headers],[Analyst]],tblSalaries[[#This Row],[Salary in USD]],"")</f>
        <v>4000</v>
      </c>
      <c r="W1861" s="13" t="str">
        <f>IF(tblSalaries[[#This Row],[Job Type]]=tblSalaries[[#Headers],[Consultant]],tblSalaries[[#This Row],[Salary in USD]],"")</f>
        <v/>
      </c>
      <c r="X1861" s="13" t="str">
        <f>IF(tblSalaries[[#This Row],[Job Type]]=tblSalaries[[#Headers],[Controller]],tblSalaries[[#This Row],[Salary in USD]],"")</f>
        <v/>
      </c>
      <c r="Y1861" s="13" t="str">
        <f>IF(tblSalaries[[#This Row],[Job Type]]=tblSalaries[[#Headers],[CXO or Top Mgmt.]],tblSalaries[[#This Row],[clean Salary (in local currency)]],"")</f>
        <v/>
      </c>
      <c r="Z1861" s="13" t="str">
        <f>IF(tblSalaries[[#This Row],[Job Type]]=tblSalaries[[#Headers],[Engineer]],tblSalaries[[#This Row],[Salary in USD]],"")</f>
        <v/>
      </c>
      <c r="AA1861" s="13" t="str">
        <f>IF(tblSalaries[[#This Row],[Job Type]]=tblSalaries[[#Headers],[Manager]],tblSalaries[[#This Row],[Salary in USD]],"")</f>
        <v/>
      </c>
      <c r="AB1861" s="13" t="str">
        <f>IF(tblSalaries[[#This Row],[Job Type]]=tblSalaries[[#Headers],[Misc.]],tblSalaries[[#This Row],[Salary in USD]],"")</f>
        <v/>
      </c>
      <c r="AC1861" s="13" t="str">
        <f>IF(tblSalaries[[#This Row],[Job Type]]=tblSalaries[[#Headers],[Reporting]],tblSalaries[[#This Row],[Salary in USD]],"")</f>
        <v/>
      </c>
      <c r="AD1861" s="13" t="str">
        <f>IF(tblSalaries[[#This Row],[Job Type]]=tblSalaries[[#Headers],[Specialist]],tblSalaries[[#This Row],[Salary in USD]],"")</f>
        <v/>
      </c>
    </row>
    <row r="1862" spans="2:30" ht="15" customHeight="1" x14ac:dyDescent="0.25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 s="9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3999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  <c r="N1862" t="str">
        <f>IF(tblSalaries[[#This Row],[Years of Experience]]="","",IF(tblSalaries[[#This Row],[Years of Experience]]&lt;=2,1,""))</f>
        <v/>
      </c>
      <c r="O1862">
        <f>IF(tblSalaries[[#This Row],[Years of Experience]]="","",IF(AND(tblSalaries[[#This Row],[Years of Experience]]&gt;2,tblSalaries[[#This Row],[Years of Experience]]&lt;=5),1,""))</f>
        <v>1</v>
      </c>
      <c r="P1862" t="str">
        <f>IF(tblSalaries[[#This Row],[Years of Experience]]="","",IF(AND(tblSalaries[[#This Row],[Years of Experience]]&gt;5,tblSalaries[[#This Row],[Years of Experience]]&lt;=10),1,""))</f>
        <v/>
      </c>
      <c r="Q1862" t="str">
        <f>IF(tblSalaries[[#This Row],[Years of Experience]]="","",IF(AND(tblSalaries[[#This Row],[Years of Experience]]&gt;10,tblSalaries[[#This Row],[Years of Experience]]&lt;=15),1,""))</f>
        <v/>
      </c>
      <c r="R1862" t="str">
        <f>IF(tblSalaries[[#This Row],[Years of Experience]]="","",IF(AND(tblSalaries[[#This Row],[Years of Experience]]&gt;16,tblSalaries[[#This Row],[Years of Experience]]&lt;=20),1,""))</f>
        <v/>
      </c>
      <c r="S1862" t="str">
        <f>IF(tblSalaries[[#This Row],[Years of Experience]]="","",IF(tblSalaries[[#This Row],[Years of Experience]]&gt;20,1,""))</f>
        <v/>
      </c>
      <c r="T186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2" s="13" t="str">
        <f>IF(tblSalaries[[#This Row],[Job Type]]=tblSalaries[[#Headers],[Accountant]],tblSalaries[[#This Row],[Salary in USD]],"")</f>
        <v/>
      </c>
      <c r="V1862" s="13" t="str">
        <f>IF(tblSalaries[[#This Row],[Job Type]]=tblSalaries[[#Headers],[Analyst]],tblSalaries[[#This Row],[Salary in USD]],"")</f>
        <v/>
      </c>
      <c r="W1862" s="13" t="str">
        <f>IF(tblSalaries[[#This Row],[Job Type]]=tblSalaries[[#Headers],[Consultant]],tblSalaries[[#This Row],[Salary in USD]],"")</f>
        <v/>
      </c>
      <c r="X1862" s="13" t="str">
        <f>IF(tblSalaries[[#This Row],[Job Type]]=tblSalaries[[#Headers],[Controller]],tblSalaries[[#This Row],[Salary in USD]],"")</f>
        <v/>
      </c>
      <c r="Y1862" s="13" t="str">
        <f>IF(tblSalaries[[#This Row],[Job Type]]=tblSalaries[[#Headers],[CXO or Top Mgmt.]],tblSalaries[[#This Row],[clean Salary (in local currency)]],"")</f>
        <v/>
      </c>
      <c r="Z1862" s="13" t="str">
        <f>IF(tblSalaries[[#This Row],[Job Type]]=tblSalaries[[#Headers],[Engineer]],tblSalaries[[#This Row],[Salary in USD]],"")</f>
        <v/>
      </c>
      <c r="AA1862" s="13" t="str">
        <f>IF(tblSalaries[[#This Row],[Job Type]]=tblSalaries[[#Headers],[Manager]],tblSalaries[[#This Row],[Salary in USD]],"")</f>
        <v/>
      </c>
      <c r="AB1862" s="13" t="str">
        <f>IF(tblSalaries[[#This Row],[Job Type]]=tblSalaries[[#Headers],[Misc.]],tblSalaries[[#This Row],[Salary in USD]],"")</f>
        <v/>
      </c>
      <c r="AC1862" s="13">
        <f>IF(tblSalaries[[#This Row],[Job Type]]=tblSalaries[[#Headers],[Reporting]],tblSalaries[[#This Row],[Salary in USD]],"")</f>
        <v>4451.9791718606421</v>
      </c>
      <c r="AD1862" s="13" t="str">
        <f>IF(tblSalaries[[#This Row],[Job Type]]=tblSalaries[[#Headers],[Specialist]],tblSalaries[[#This Row],[Salary in USD]],"")</f>
        <v/>
      </c>
    </row>
    <row r="1863" spans="2:30" ht="15" customHeight="1" x14ac:dyDescent="0.25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 s="9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3999</v>
      </c>
      <c r="J1863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  <c r="N1863" t="str">
        <f>IF(tblSalaries[[#This Row],[Years of Experience]]="","",IF(tblSalaries[[#This Row],[Years of Experience]]&lt;=2,1,""))</f>
        <v/>
      </c>
      <c r="O1863">
        <f>IF(tblSalaries[[#This Row],[Years of Experience]]="","",IF(AND(tblSalaries[[#This Row],[Years of Experience]]&gt;2,tblSalaries[[#This Row],[Years of Experience]]&lt;=5),1,""))</f>
        <v>1</v>
      </c>
      <c r="P1863" t="str">
        <f>IF(tblSalaries[[#This Row],[Years of Experience]]="","",IF(AND(tblSalaries[[#This Row],[Years of Experience]]&gt;5,tblSalaries[[#This Row],[Years of Experience]]&lt;=10),1,""))</f>
        <v/>
      </c>
      <c r="Q1863" t="str">
        <f>IF(tblSalaries[[#This Row],[Years of Experience]]="","",IF(AND(tblSalaries[[#This Row],[Years of Experience]]&gt;10,tblSalaries[[#This Row],[Years of Experience]]&lt;=15),1,""))</f>
        <v/>
      </c>
      <c r="R1863" t="str">
        <f>IF(tblSalaries[[#This Row],[Years of Experience]]="","",IF(AND(tblSalaries[[#This Row],[Years of Experience]]&gt;16,tblSalaries[[#This Row],[Years of Experience]]&lt;=20),1,""))</f>
        <v/>
      </c>
      <c r="S1863" t="str">
        <f>IF(tblSalaries[[#This Row],[Years of Experience]]="","",IF(tblSalaries[[#This Row],[Years of Experience]]&gt;20,1,""))</f>
        <v/>
      </c>
      <c r="T186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3" s="13" t="str">
        <f>IF(tblSalaries[[#This Row],[Job Type]]=tblSalaries[[#Headers],[Accountant]],tblSalaries[[#This Row],[Salary in USD]],"")</f>
        <v/>
      </c>
      <c r="V1863" s="13" t="str">
        <f>IF(tblSalaries[[#This Row],[Job Type]]=tblSalaries[[#Headers],[Analyst]],tblSalaries[[#This Row],[Salary in USD]],"")</f>
        <v/>
      </c>
      <c r="W1863" s="13" t="str">
        <f>IF(tblSalaries[[#This Row],[Job Type]]=tblSalaries[[#Headers],[Consultant]],tblSalaries[[#This Row],[Salary in USD]],"")</f>
        <v/>
      </c>
      <c r="X1863" s="13" t="str">
        <f>IF(tblSalaries[[#This Row],[Job Type]]=tblSalaries[[#Headers],[Controller]],tblSalaries[[#This Row],[Salary in USD]],"")</f>
        <v/>
      </c>
      <c r="Y1863" s="13" t="str">
        <f>IF(tblSalaries[[#This Row],[Job Type]]=tblSalaries[[#Headers],[CXO or Top Mgmt.]],tblSalaries[[#This Row],[clean Salary (in local currency)]],"")</f>
        <v/>
      </c>
      <c r="Z1863" s="13" t="str">
        <f>IF(tblSalaries[[#This Row],[Job Type]]=tblSalaries[[#Headers],[Engineer]],tblSalaries[[#This Row],[Salary in USD]],"")</f>
        <v/>
      </c>
      <c r="AA1863" s="13" t="str">
        <f>IF(tblSalaries[[#This Row],[Job Type]]=tblSalaries[[#Headers],[Manager]],tblSalaries[[#This Row],[Salary in USD]],"")</f>
        <v/>
      </c>
      <c r="AB1863" s="13" t="str">
        <f>IF(tblSalaries[[#This Row],[Job Type]]=tblSalaries[[#Headers],[Misc.]],tblSalaries[[#This Row],[Salary in USD]],"")</f>
        <v/>
      </c>
      <c r="AC1863" s="13">
        <f>IF(tblSalaries[[#This Row],[Job Type]]=tblSalaries[[#Headers],[Reporting]],tblSalaries[[#This Row],[Salary in USD]],"")</f>
        <v>2953.8461538461538</v>
      </c>
      <c r="AD1863" s="13" t="str">
        <f>IF(tblSalaries[[#This Row],[Job Type]]=tblSalaries[[#Headers],[Specialist]],tblSalaries[[#This Row],[Salary in USD]],"")</f>
        <v/>
      </c>
    </row>
    <row r="1864" spans="2:30" ht="15" customHeight="1" x14ac:dyDescent="0.25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 s="9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  <c r="N1864" t="str">
        <f>IF(tblSalaries[[#This Row],[Years of Experience]]="","",IF(tblSalaries[[#This Row],[Years of Experience]]&lt;=2,1,""))</f>
        <v/>
      </c>
      <c r="O1864">
        <f>IF(tblSalaries[[#This Row],[Years of Experience]]="","",IF(AND(tblSalaries[[#This Row],[Years of Experience]]&gt;2,tblSalaries[[#This Row],[Years of Experience]]&lt;=5),1,""))</f>
        <v>1</v>
      </c>
      <c r="P1864" t="str">
        <f>IF(tblSalaries[[#This Row],[Years of Experience]]="","",IF(AND(tblSalaries[[#This Row],[Years of Experience]]&gt;5,tblSalaries[[#This Row],[Years of Experience]]&lt;=10),1,""))</f>
        <v/>
      </c>
      <c r="Q1864" t="str">
        <f>IF(tblSalaries[[#This Row],[Years of Experience]]="","",IF(AND(tblSalaries[[#This Row],[Years of Experience]]&gt;10,tblSalaries[[#This Row],[Years of Experience]]&lt;=15),1,""))</f>
        <v/>
      </c>
      <c r="R1864" t="str">
        <f>IF(tblSalaries[[#This Row],[Years of Experience]]="","",IF(AND(tblSalaries[[#This Row],[Years of Experience]]&gt;16,tblSalaries[[#This Row],[Years of Experience]]&lt;=20),1,""))</f>
        <v/>
      </c>
      <c r="S1864" t="str">
        <f>IF(tblSalaries[[#This Row],[Years of Experience]]="","",IF(tblSalaries[[#This Row],[Years of Experience]]&gt;20,1,""))</f>
        <v/>
      </c>
      <c r="T186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4" s="13" t="str">
        <f>IF(tblSalaries[[#This Row],[Job Type]]=tblSalaries[[#Headers],[Accountant]],tblSalaries[[#This Row],[Salary in USD]],"")</f>
        <v/>
      </c>
      <c r="V1864" s="13">
        <f>IF(tblSalaries[[#This Row],[Job Type]]=tblSalaries[[#Headers],[Analyst]],tblSalaries[[#This Row],[Salary in USD]],"")</f>
        <v>39404.456801682099</v>
      </c>
      <c r="W1864" s="13" t="str">
        <f>IF(tblSalaries[[#This Row],[Job Type]]=tblSalaries[[#Headers],[Consultant]],tblSalaries[[#This Row],[Salary in USD]],"")</f>
        <v/>
      </c>
      <c r="X1864" s="13" t="str">
        <f>IF(tblSalaries[[#This Row],[Job Type]]=tblSalaries[[#Headers],[Controller]],tblSalaries[[#This Row],[Salary in USD]],"")</f>
        <v/>
      </c>
      <c r="Y1864" s="13" t="str">
        <f>IF(tblSalaries[[#This Row],[Job Type]]=tblSalaries[[#Headers],[CXO or Top Mgmt.]],tblSalaries[[#This Row],[clean Salary (in local currency)]],"")</f>
        <v/>
      </c>
      <c r="Z1864" s="13" t="str">
        <f>IF(tblSalaries[[#This Row],[Job Type]]=tblSalaries[[#Headers],[Engineer]],tblSalaries[[#This Row],[Salary in USD]],"")</f>
        <v/>
      </c>
      <c r="AA1864" s="13" t="str">
        <f>IF(tblSalaries[[#This Row],[Job Type]]=tblSalaries[[#Headers],[Manager]],tblSalaries[[#This Row],[Salary in USD]],"")</f>
        <v/>
      </c>
      <c r="AB1864" s="13" t="str">
        <f>IF(tblSalaries[[#This Row],[Job Type]]=tblSalaries[[#Headers],[Misc.]],tblSalaries[[#This Row],[Salary in USD]],"")</f>
        <v/>
      </c>
      <c r="AC1864" s="13" t="str">
        <f>IF(tblSalaries[[#This Row],[Job Type]]=tblSalaries[[#Headers],[Reporting]],tblSalaries[[#This Row],[Salary in USD]],"")</f>
        <v/>
      </c>
      <c r="AD1864" s="13" t="str">
        <f>IF(tblSalaries[[#This Row],[Job Type]]=tblSalaries[[#Headers],[Specialist]],tblSalaries[[#This Row],[Salary in USD]],"")</f>
        <v/>
      </c>
    </row>
    <row r="1865" spans="2:30" ht="15" customHeight="1" x14ac:dyDescent="0.25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 s="9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  <c r="N1865" t="str">
        <f>IF(tblSalaries[[#This Row],[Years of Experience]]="","",IF(tblSalaries[[#This Row],[Years of Experience]]&lt;=2,1,""))</f>
        <v/>
      </c>
      <c r="O1865" t="str">
        <f>IF(tblSalaries[[#This Row],[Years of Experience]]="","",IF(AND(tblSalaries[[#This Row],[Years of Experience]]&gt;2,tblSalaries[[#This Row],[Years of Experience]]&lt;=5),1,""))</f>
        <v/>
      </c>
      <c r="P1865">
        <f>IF(tblSalaries[[#This Row],[Years of Experience]]="","",IF(AND(tblSalaries[[#This Row],[Years of Experience]]&gt;5,tblSalaries[[#This Row],[Years of Experience]]&lt;=10),1,""))</f>
        <v>1</v>
      </c>
      <c r="Q1865" t="str">
        <f>IF(tblSalaries[[#This Row],[Years of Experience]]="","",IF(AND(tblSalaries[[#This Row],[Years of Experience]]&gt;10,tblSalaries[[#This Row],[Years of Experience]]&lt;=15),1,""))</f>
        <v/>
      </c>
      <c r="R1865" t="str">
        <f>IF(tblSalaries[[#This Row],[Years of Experience]]="","",IF(AND(tblSalaries[[#This Row],[Years of Experience]]&gt;16,tblSalaries[[#This Row],[Years of Experience]]&lt;=20),1,""))</f>
        <v/>
      </c>
      <c r="S1865" t="str">
        <f>IF(tblSalaries[[#This Row],[Years of Experience]]="","",IF(tblSalaries[[#This Row],[Years of Experience]]&gt;20,1,""))</f>
        <v/>
      </c>
      <c r="T186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65" s="13" t="str">
        <f>IF(tblSalaries[[#This Row],[Job Type]]=tblSalaries[[#Headers],[Accountant]],tblSalaries[[#This Row],[Salary in USD]],"")</f>
        <v/>
      </c>
      <c r="V1865" s="13">
        <f>IF(tblSalaries[[#This Row],[Job Type]]=tblSalaries[[#Headers],[Analyst]],tblSalaries[[#This Row],[Salary in USD]],"")</f>
        <v>75473.31457379504</v>
      </c>
      <c r="W1865" s="13" t="str">
        <f>IF(tblSalaries[[#This Row],[Job Type]]=tblSalaries[[#Headers],[Consultant]],tblSalaries[[#This Row],[Salary in USD]],"")</f>
        <v/>
      </c>
      <c r="X1865" s="13" t="str">
        <f>IF(tblSalaries[[#This Row],[Job Type]]=tblSalaries[[#Headers],[Controller]],tblSalaries[[#This Row],[Salary in USD]],"")</f>
        <v/>
      </c>
      <c r="Y1865" s="13" t="str">
        <f>IF(tblSalaries[[#This Row],[Job Type]]=tblSalaries[[#Headers],[CXO or Top Mgmt.]],tblSalaries[[#This Row],[clean Salary (in local currency)]],"")</f>
        <v/>
      </c>
      <c r="Z1865" s="13" t="str">
        <f>IF(tblSalaries[[#This Row],[Job Type]]=tblSalaries[[#Headers],[Engineer]],tblSalaries[[#This Row],[Salary in USD]],"")</f>
        <v/>
      </c>
      <c r="AA1865" s="13" t="str">
        <f>IF(tblSalaries[[#This Row],[Job Type]]=tblSalaries[[#Headers],[Manager]],tblSalaries[[#This Row],[Salary in USD]],"")</f>
        <v/>
      </c>
      <c r="AB1865" s="13" t="str">
        <f>IF(tblSalaries[[#This Row],[Job Type]]=tblSalaries[[#Headers],[Misc.]],tblSalaries[[#This Row],[Salary in USD]],"")</f>
        <v/>
      </c>
      <c r="AC1865" s="13" t="str">
        <f>IF(tblSalaries[[#This Row],[Job Type]]=tblSalaries[[#Headers],[Reporting]],tblSalaries[[#This Row],[Salary in USD]],"")</f>
        <v/>
      </c>
      <c r="AD1865" s="13" t="str">
        <f>IF(tblSalaries[[#This Row],[Job Type]]=tblSalaries[[#Headers],[Specialist]],tblSalaries[[#This Row],[Salary in USD]],"")</f>
        <v/>
      </c>
    </row>
    <row r="1866" spans="2:30" ht="15" customHeight="1" x14ac:dyDescent="0.25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 s="9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  <c r="N1866" t="str">
        <f>IF(tblSalaries[[#This Row],[Years of Experience]]="","",IF(tblSalaries[[#This Row],[Years of Experience]]&lt;=2,1,""))</f>
        <v/>
      </c>
      <c r="O1866">
        <f>IF(tblSalaries[[#This Row],[Years of Experience]]="","",IF(AND(tblSalaries[[#This Row],[Years of Experience]]&gt;2,tblSalaries[[#This Row],[Years of Experience]]&lt;=5),1,""))</f>
        <v>1</v>
      </c>
      <c r="P1866" t="str">
        <f>IF(tblSalaries[[#This Row],[Years of Experience]]="","",IF(AND(tblSalaries[[#This Row],[Years of Experience]]&gt;5,tblSalaries[[#This Row],[Years of Experience]]&lt;=10),1,""))</f>
        <v/>
      </c>
      <c r="Q1866" t="str">
        <f>IF(tblSalaries[[#This Row],[Years of Experience]]="","",IF(AND(tblSalaries[[#This Row],[Years of Experience]]&gt;10,tblSalaries[[#This Row],[Years of Experience]]&lt;=15),1,""))</f>
        <v/>
      </c>
      <c r="R1866" t="str">
        <f>IF(tblSalaries[[#This Row],[Years of Experience]]="","",IF(AND(tblSalaries[[#This Row],[Years of Experience]]&gt;16,tblSalaries[[#This Row],[Years of Experience]]&lt;=20),1,""))</f>
        <v/>
      </c>
      <c r="S1866" t="str">
        <f>IF(tblSalaries[[#This Row],[Years of Experience]]="","",IF(tblSalaries[[#This Row],[Years of Experience]]&gt;20,1,""))</f>
        <v/>
      </c>
      <c r="T186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6" s="13" t="str">
        <f>IF(tblSalaries[[#This Row],[Job Type]]=tblSalaries[[#Headers],[Accountant]],tblSalaries[[#This Row],[Salary in USD]],"")</f>
        <v/>
      </c>
      <c r="V1866" s="13">
        <f>IF(tblSalaries[[#This Row],[Job Type]]=tblSalaries[[#Headers],[Analyst]],tblSalaries[[#This Row],[Salary in USD]],"")</f>
        <v>13355.937515581925</v>
      </c>
      <c r="W1866" s="13" t="str">
        <f>IF(tblSalaries[[#This Row],[Job Type]]=tblSalaries[[#Headers],[Consultant]],tblSalaries[[#This Row],[Salary in USD]],"")</f>
        <v/>
      </c>
      <c r="X1866" s="13" t="str">
        <f>IF(tblSalaries[[#This Row],[Job Type]]=tblSalaries[[#Headers],[Controller]],tblSalaries[[#This Row],[Salary in USD]],"")</f>
        <v/>
      </c>
      <c r="Y1866" s="13" t="str">
        <f>IF(tblSalaries[[#This Row],[Job Type]]=tblSalaries[[#Headers],[CXO or Top Mgmt.]],tblSalaries[[#This Row],[clean Salary (in local currency)]],"")</f>
        <v/>
      </c>
      <c r="Z1866" s="13" t="str">
        <f>IF(tblSalaries[[#This Row],[Job Type]]=tblSalaries[[#Headers],[Engineer]],tblSalaries[[#This Row],[Salary in USD]],"")</f>
        <v/>
      </c>
      <c r="AA1866" s="13" t="str">
        <f>IF(tblSalaries[[#This Row],[Job Type]]=tblSalaries[[#Headers],[Manager]],tblSalaries[[#This Row],[Salary in USD]],"")</f>
        <v/>
      </c>
      <c r="AB1866" s="13" t="str">
        <f>IF(tblSalaries[[#This Row],[Job Type]]=tblSalaries[[#Headers],[Misc.]],tblSalaries[[#This Row],[Salary in USD]],"")</f>
        <v/>
      </c>
      <c r="AC1866" s="13" t="str">
        <f>IF(tblSalaries[[#This Row],[Job Type]]=tblSalaries[[#Headers],[Reporting]],tblSalaries[[#This Row],[Salary in USD]],"")</f>
        <v/>
      </c>
      <c r="AD1866" s="13" t="str">
        <f>IF(tblSalaries[[#This Row],[Job Type]]=tblSalaries[[#Headers],[Specialist]],tblSalaries[[#This Row],[Salary in USD]],"")</f>
        <v/>
      </c>
    </row>
    <row r="1867" spans="2:30" ht="15" customHeight="1" x14ac:dyDescent="0.25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 s="9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  <c r="N1867" t="str">
        <f>IF(tblSalaries[[#This Row],[Years of Experience]]="","",IF(tblSalaries[[#This Row],[Years of Experience]]&lt;=2,1,""))</f>
        <v/>
      </c>
      <c r="O1867" t="str">
        <f>IF(tblSalaries[[#This Row],[Years of Experience]]="","",IF(AND(tblSalaries[[#This Row],[Years of Experience]]&gt;2,tblSalaries[[#This Row],[Years of Experience]]&lt;=5),1,""))</f>
        <v/>
      </c>
      <c r="P1867">
        <f>IF(tblSalaries[[#This Row],[Years of Experience]]="","",IF(AND(tblSalaries[[#This Row],[Years of Experience]]&gt;5,tblSalaries[[#This Row],[Years of Experience]]&lt;=10),1,""))</f>
        <v>1</v>
      </c>
      <c r="Q1867" t="str">
        <f>IF(tblSalaries[[#This Row],[Years of Experience]]="","",IF(AND(tblSalaries[[#This Row],[Years of Experience]]&gt;10,tblSalaries[[#This Row],[Years of Experience]]&lt;=15),1,""))</f>
        <v/>
      </c>
      <c r="R1867" t="str">
        <f>IF(tblSalaries[[#This Row],[Years of Experience]]="","",IF(AND(tblSalaries[[#This Row],[Years of Experience]]&gt;16,tblSalaries[[#This Row],[Years of Experience]]&lt;=20),1,""))</f>
        <v/>
      </c>
      <c r="S1867" t="str">
        <f>IF(tblSalaries[[#This Row],[Years of Experience]]="","",IF(tblSalaries[[#This Row],[Years of Experience]]&gt;20,1,""))</f>
        <v/>
      </c>
      <c r="T186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67" s="13" t="str">
        <f>IF(tblSalaries[[#This Row],[Job Type]]=tblSalaries[[#Headers],[Accountant]],tblSalaries[[#This Row],[Salary in USD]],"")</f>
        <v/>
      </c>
      <c r="V1867" s="13" t="str">
        <f>IF(tblSalaries[[#This Row],[Job Type]]=tblSalaries[[#Headers],[Analyst]],tblSalaries[[#This Row],[Salary in USD]],"")</f>
        <v/>
      </c>
      <c r="W1867" s="13" t="str">
        <f>IF(tblSalaries[[#This Row],[Job Type]]=tblSalaries[[#Headers],[Consultant]],tblSalaries[[#This Row],[Salary in USD]],"")</f>
        <v/>
      </c>
      <c r="X1867" s="13" t="str">
        <f>IF(tblSalaries[[#This Row],[Job Type]]=tblSalaries[[#Headers],[Controller]],tblSalaries[[#This Row],[Salary in USD]],"")</f>
        <v/>
      </c>
      <c r="Y1867" s="13" t="str">
        <f>IF(tblSalaries[[#This Row],[Job Type]]=tblSalaries[[#Headers],[CXO or Top Mgmt.]],tblSalaries[[#This Row],[clean Salary (in local currency)]],"")</f>
        <v/>
      </c>
      <c r="Z1867" s="13" t="str">
        <f>IF(tblSalaries[[#This Row],[Job Type]]=tblSalaries[[#Headers],[Engineer]],tblSalaries[[#This Row],[Salary in USD]],"")</f>
        <v/>
      </c>
      <c r="AA1867" s="13">
        <f>IF(tblSalaries[[#This Row],[Job Type]]=tblSalaries[[#Headers],[Manager]],tblSalaries[[#This Row],[Salary in USD]],"")</f>
        <v>25000</v>
      </c>
      <c r="AB1867" s="13" t="str">
        <f>IF(tblSalaries[[#This Row],[Job Type]]=tblSalaries[[#Headers],[Misc.]],tblSalaries[[#This Row],[Salary in USD]],"")</f>
        <v/>
      </c>
      <c r="AC1867" s="13" t="str">
        <f>IF(tblSalaries[[#This Row],[Job Type]]=tblSalaries[[#Headers],[Reporting]],tblSalaries[[#This Row],[Salary in USD]],"")</f>
        <v/>
      </c>
      <c r="AD1867" s="13" t="str">
        <f>IF(tblSalaries[[#This Row],[Job Type]]=tblSalaries[[#Headers],[Specialist]],tblSalaries[[#This Row],[Salary in USD]],"")</f>
        <v/>
      </c>
    </row>
    <row r="1868" spans="2:30" ht="15" customHeight="1" x14ac:dyDescent="0.25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 s="9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  <c r="N1868">
        <f>IF(tblSalaries[[#This Row],[Years of Experience]]="","",IF(tblSalaries[[#This Row],[Years of Experience]]&lt;=2,1,""))</f>
        <v>1</v>
      </c>
      <c r="O1868" t="str">
        <f>IF(tblSalaries[[#This Row],[Years of Experience]]="","",IF(AND(tblSalaries[[#This Row],[Years of Experience]]&gt;2,tblSalaries[[#This Row],[Years of Experience]]&lt;=5),1,""))</f>
        <v/>
      </c>
      <c r="P1868" t="str">
        <f>IF(tblSalaries[[#This Row],[Years of Experience]]="","",IF(AND(tblSalaries[[#This Row],[Years of Experience]]&gt;5,tblSalaries[[#This Row],[Years of Experience]]&lt;=10),1,""))</f>
        <v/>
      </c>
      <c r="Q1868" t="str">
        <f>IF(tblSalaries[[#This Row],[Years of Experience]]="","",IF(AND(tblSalaries[[#This Row],[Years of Experience]]&gt;10,tblSalaries[[#This Row],[Years of Experience]]&lt;=15),1,""))</f>
        <v/>
      </c>
      <c r="R1868" t="str">
        <f>IF(tblSalaries[[#This Row],[Years of Experience]]="","",IF(AND(tblSalaries[[#This Row],[Years of Experience]]&gt;16,tblSalaries[[#This Row],[Years of Experience]]&lt;=20),1,""))</f>
        <v/>
      </c>
      <c r="S1868" t="str">
        <f>IF(tblSalaries[[#This Row],[Years of Experience]]="","",IF(tblSalaries[[#This Row],[Years of Experience]]&gt;20,1,""))</f>
        <v/>
      </c>
      <c r="T186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68" s="13" t="str">
        <f>IF(tblSalaries[[#This Row],[Job Type]]=tblSalaries[[#Headers],[Accountant]],tblSalaries[[#This Row],[Salary in USD]],"")</f>
        <v/>
      </c>
      <c r="V1868" s="13">
        <f>IF(tblSalaries[[#This Row],[Job Type]]=tblSalaries[[#Headers],[Analyst]],tblSalaries[[#This Row],[Salary in USD]],"")</f>
        <v>7479.3250087258784</v>
      </c>
      <c r="W1868" s="13" t="str">
        <f>IF(tblSalaries[[#This Row],[Job Type]]=tblSalaries[[#Headers],[Consultant]],tblSalaries[[#This Row],[Salary in USD]],"")</f>
        <v/>
      </c>
      <c r="X1868" s="13" t="str">
        <f>IF(tblSalaries[[#This Row],[Job Type]]=tblSalaries[[#Headers],[Controller]],tblSalaries[[#This Row],[Salary in USD]],"")</f>
        <v/>
      </c>
      <c r="Y1868" s="13" t="str">
        <f>IF(tblSalaries[[#This Row],[Job Type]]=tblSalaries[[#Headers],[CXO or Top Mgmt.]],tblSalaries[[#This Row],[clean Salary (in local currency)]],"")</f>
        <v/>
      </c>
      <c r="Z1868" s="13" t="str">
        <f>IF(tblSalaries[[#This Row],[Job Type]]=tblSalaries[[#Headers],[Engineer]],tblSalaries[[#This Row],[Salary in USD]],"")</f>
        <v/>
      </c>
      <c r="AA1868" s="13" t="str">
        <f>IF(tblSalaries[[#This Row],[Job Type]]=tblSalaries[[#Headers],[Manager]],tblSalaries[[#This Row],[Salary in USD]],"")</f>
        <v/>
      </c>
      <c r="AB1868" s="13" t="str">
        <f>IF(tblSalaries[[#This Row],[Job Type]]=tblSalaries[[#Headers],[Misc.]],tblSalaries[[#This Row],[Salary in USD]],"")</f>
        <v/>
      </c>
      <c r="AC1868" s="13" t="str">
        <f>IF(tblSalaries[[#This Row],[Job Type]]=tblSalaries[[#Headers],[Reporting]],tblSalaries[[#This Row],[Salary in USD]],"")</f>
        <v/>
      </c>
      <c r="AD1868" s="13" t="str">
        <f>IF(tblSalaries[[#This Row],[Job Type]]=tblSalaries[[#Headers],[Specialist]],tblSalaries[[#This Row],[Salary in USD]],"")</f>
        <v/>
      </c>
    </row>
    <row r="1869" spans="2:30" ht="15" customHeight="1" x14ac:dyDescent="0.25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 s="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  <c r="N1869" t="str">
        <f>IF(tblSalaries[[#This Row],[Years of Experience]]="","",IF(tblSalaries[[#This Row],[Years of Experience]]&lt;=2,1,""))</f>
        <v/>
      </c>
      <c r="O1869">
        <f>IF(tblSalaries[[#This Row],[Years of Experience]]="","",IF(AND(tblSalaries[[#This Row],[Years of Experience]]&gt;2,tblSalaries[[#This Row],[Years of Experience]]&lt;=5),1,""))</f>
        <v>1</v>
      </c>
      <c r="P1869" t="str">
        <f>IF(tblSalaries[[#This Row],[Years of Experience]]="","",IF(AND(tblSalaries[[#This Row],[Years of Experience]]&gt;5,tblSalaries[[#This Row],[Years of Experience]]&lt;=10),1,""))</f>
        <v/>
      </c>
      <c r="Q1869" t="str">
        <f>IF(tblSalaries[[#This Row],[Years of Experience]]="","",IF(AND(tblSalaries[[#This Row],[Years of Experience]]&gt;10,tblSalaries[[#This Row],[Years of Experience]]&lt;=15),1,""))</f>
        <v/>
      </c>
      <c r="R1869" t="str">
        <f>IF(tblSalaries[[#This Row],[Years of Experience]]="","",IF(AND(tblSalaries[[#This Row],[Years of Experience]]&gt;16,tblSalaries[[#This Row],[Years of Experience]]&lt;=20),1,""))</f>
        <v/>
      </c>
      <c r="S1869" t="str">
        <f>IF(tblSalaries[[#This Row],[Years of Experience]]="","",IF(tblSalaries[[#This Row],[Years of Experience]]&gt;20,1,""))</f>
        <v/>
      </c>
      <c r="T186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69" s="13" t="str">
        <f>IF(tblSalaries[[#This Row],[Job Type]]=tblSalaries[[#Headers],[Accountant]],tblSalaries[[#This Row],[Salary in USD]],"")</f>
        <v/>
      </c>
      <c r="V1869" s="13">
        <f>IF(tblSalaries[[#This Row],[Job Type]]=tblSalaries[[#Headers],[Analyst]],tblSalaries[[#This Row],[Salary in USD]],"")</f>
        <v>62000</v>
      </c>
      <c r="W1869" s="13" t="str">
        <f>IF(tblSalaries[[#This Row],[Job Type]]=tblSalaries[[#Headers],[Consultant]],tblSalaries[[#This Row],[Salary in USD]],"")</f>
        <v/>
      </c>
      <c r="X1869" s="13" t="str">
        <f>IF(tblSalaries[[#This Row],[Job Type]]=tblSalaries[[#Headers],[Controller]],tblSalaries[[#This Row],[Salary in USD]],"")</f>
        <v/>
      </c>
      <c r="Y1869" s="13" t="str">
        <f>IF(tblSalaries[[#This Row],[Job Type]]=tblSalaries[[#Headers],[CXO or Top Mgmt.]],tblSalaries[[#This Row],[clean Salary (in local currency)]],"")</f>
        <v/>
      </c>
      <c r="Z1869" s="13" t="str">
        <f>IF(tblSalaries[[#This Row],[Job Type]]=tblSalaries[[#Headers],[Engineer]],tblSalaries[[#This Row],[Salary in USD]],"")</f>
        <v/>
      </c>
      <c r="AA1869" s="13" t="str">
        <f>IF(tblSalaries[[#This Row],[Job Type]]=tblSalaries[[#Headers],[Manager]],tblSalaries[[#This Row],[Salary in USD]],"")</f>
        <v/>
      </c>
      <c r="AB1869" s="13" t="str">
        <f>IF(tblSalaries[[#This Row],[Job Type]]=tblSalaries[[#Headers],[Misc.]],tblSalaries[[#This Row],[Salary in USD]],"")</f>
        <v/>
      </c>
      <c r="AC1869" s="13" t="str">
        <f>IF(tblSalaries[[#This Row],[Job Type]]=tblSalaries[[#Headers],[Reporting]],tblSalaries[[#This Row],[Salary in USD]],"")</f>
        <v/>
      </c>
      <c r="AD1869" s="13" t="str">
        <f>IF(tblSalaries[[#This Row],[Job Type]]=tblSalaries[[#Headers],[Specialist]],tblSalaries[[#This Row],[Salary in USD]],"")</f>
        <v/>
      </c>
    </row>
    <row r="1870" spans="2:30" ht="15" customHeight="1" x14ac:dyDescent="0.25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 s="9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  <c r="N1870">
        <f>IF(tblSalaries[[#This Row],[Years of Experience]]="","",IF(tblSalaries[[#This Row],[Years of Experience]]&lt;=2,1,""))</f>
        <v>1</v>
      </c>
      <c r="O1870" t="str">
        <f>IF(tblSalaries[[#This Row],[Years of Experience]]="","",IF(AND(tblSalaries[[#This Row],[Years of Experience]]&gt;2,tblSalaries[[#This Row],[Years of Experience]]&lt;=5),1,""))</f>
        <v/>
      </c>
      <c r="P1870" t="str">
        <f>IF(tblSalaries[[#This Row],[Years of Experience]]="","",IF(AND(tblSalaries[[#This Row],[Years of Experience]]&gt;5,tblSalaries[[#This Row],[Years of Experience]]&lt;=10),1,""))</f>
        <v/>
      </c>
      <c r="Q1870" t="str">
        <f>IF(tblSalaries[[#This Row],[Years of Experience]]="","",IF(AND(tblSalaries[[#This Row],[Years of Experience]]&gt;10,tblSalaries[[#This Row],[Years of Experience]]&lt;=15),1,""))</f>
        <v/>
      </c>
      <c r="R1870" t="str">
        <f>IF(tblSalaries[[#This Row],[Years of Experience]]="","",IF(AND(tblSalaries[[#This Row],[Years of Experience]]&gt;16,tblSalaries[[#This Row],[Years of Experience]]&lt;=20),1,""))</f>
        <v/>
      </c>
      <c r="S1870" t="str">
        <f>IF(tblSalaries[[#This Row],[Years of Experience]]="","",IF(tblSalaries[[#This Row],[Years of Experience]]&gt;20,1,""))</f>
        <v/>
      </c>
      <c r="T187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70" s="13" t="str">
        <f>IF(tblSalaries[[#This Row],[Job Type]]=tblSalaries[[#Headers],[Accountant]],tblSalaries[[#This Row],[Salary in USD]],"")</f>
        <v/>
      </c>
      <c r="V1870" s="13">
        <f>IF(tblSalaries[[#This Row],[Job Type]]=tblSalaries[[#Headers],[Analyst]],tblSalaries[[#This Row],[Salary in USD]],"")</f>
        <v>48000</v>
      </c>
      <c r="W1870" s="13" t="str">
        <f>IF(tblSalaries[[#This Row],[Job Type]]=tblSalaries[[#Headers],[Consultant]],tblSalaries[[#This Row],[Salary in USD]],"")</f>
        <v/>
      </c>
      <c r="X1870" s="13" t="str">
        <f>IF(tblSalaries[[#This Row],[Job Type]]=tblSalaries[[#Headers],[Controller]],tblSalaries[[#This Row],[Salary in USD]],"")</f>
        <v/>
      </c>
      <c r="Y1870" s="13" t="str">
        <f>IF(tblSalaries[[#This Row],[Job Type]]=tblSalaries[[#Headers],[CXO or Top Mgmt.]],tblSalaries[[#This Row],[clean Salary (in local currency)]],"")</f>
        <v/>
      </c>
      <c r="Z1870" s="13" t="str">
        <f>IF(tblSalaries[[#This Row],[Job Type]]=tblSalaries[[#Headers],[Engineer]],tblSalaries[[#This Row],[Salary in USD]],"")</f>
        <v/>
      </c>
      <c r="AA1870" s="13" t="str">
        <f>IF(tblSalaries[[#This Row],[Job Type]]=tblSalaries[[#Headers],[Manager]],tblSalaries[[#This Row],[Salary in USD]],"")</f>
        <v/>
      </c>
      <c r="AB1870" s="13" t="str">
        <f>IF(tblSalaries[[#This Row],[Job Type]]=tblSalaries[[#Headers],[Misc.]],tblSalaries[[#This Row],[Salary in USD]],"")</f>
        <v/>
      </c>
      <c r="AC1870" s="13" t="str">
        <f>IF(tblSalaries[[#This Row],[Job Type]]=tblSalaries[[#Headers],[Reporting]],tblSalaries[[#This Row],[Salary in USD]],"")</f>
        <v/>
      </c>
      <c r="AD1870" s="13" t="str">
        <f>IF(tblSalaries[[#This Row],[Job Type]]=tblSalaries[[#Headers],[Specialist]],tblSalaries[[#This Row],[Salary in USD]],"")</f>
        <v/>
      </c>
    </row>
    <row r="1871" spans="2:30" ht="15" customHeight="1" x14ac:dyDescent="0.25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 s="9">
        <f>tblSalaries[[#This Row],[clean Salary (in local currency)]]*VLOOKUP(tblSalaries[[#This Row],[Currency]],tblXrate[],2,FALSE)</f>
        <v>5000</v>
      </c>
      <c r="H1871" t="s">
        <v>1993</v>
      </c>
      <c r="I1871" t="s">
        <v>4000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  <c r="N1871" t="str">
        <f>IF(tblSalaries[[#This Row],[Years of Experience]]="","",IF(tblSalaries[[#This Row],[Years of Experience]]&lt;=2,1,""))</f>
        <v/>
      </c>
      <c r="O1871">
        <f>IF(tblSalaries[[#This Row],[Years of Experience]]="","",IF(AND(tblSalaries[[#This Row],[Years of Experience]]&gt;2,tblSalaries[[#This Row],[Years of Experience]]&lt;=5),1,""))</f>
        <v>1</v>
      </c>
      <c r="P1871" t="str">
        <f>IF(tblSalaries[[#This Row],[Years of Experience]]="","",IF(AND(tblSalaries[[#This Row],[Years of Experience]]&gt;5,tblSalaries[[#This Row],[Years of Experience]]&lt;=10),1,""))</f>
        <v/>
      </c>
      <c r="Q1871" t="str">
        <f>IF(tblSalaries[[#This Row],[Years of Experience]]="","",IF(AND(tblSalaries[[#This Row],[Years of Experience]]&gt;10,tblSalaries[[#This Row],[Years of Experience]]&lt;=15),1,""))</f>
        <v/>
      </c>
      <c r="R1871" t="str">
        <f>IF(tblSalaries[[#This Row],[Years of Experience]]="","",IF(AND(tblSalaries[[#This Row],[Years of Experience]]&gt;16,tblSalaries[[#This Row],[Years of Experience]]&lt;=20),1,""))</f>
        <v/>
      </c>
      <c r="S1871" t="str">
        <f>IF(tblSalaries[[#This Row],[Years of Experience]]="","",IF(tblSalaries[[#This Row],[Years of Experience]]&gt;20,1,""))</f>
        <v/>
      </c>
      <c r="T187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71" s="13" t="str">
        <f>IF(tblSalaries[[#This Row],[Job Type]]=tblSalaries[[#Headers],[Accountant]],tblSalaries[[#This Row],[Salary in USD]],"")</f>
        <v/>
      </c>
      <c r="V1871" s="13" t="str">
        <f>IF(tblSalaries[[#This Row],[Job Type]]=tblSalaries[[#Headers],[Analyst]],tblSalaries[[#This Row],[Salary in USD]],"")</f>
        <v/>
      </c>
      <c r="W1871" s="13" t="str">
        <f>IF(tblSalaries[[#This Row],[Job Type]]=tblSalaries[[#Headers],[Consultant]],tblSalaries[[#This Row],[Salary in USD]],"")</f>
        <v/>
      </c>
      <c r="X1871" s="13" t="str">
        <f>IF(tblSalaries[[#This Row],[Job Type]]=tblSalaries[[#Headers],[Controller]],tblSalaries[[#This Row],[Salary in USD]],"")</f>
        <v/>
      </c>
      <c r="Y1871" s="13" t="str">
        <f>IF(tblSalaries[[#This Row],[Job Type]]=tblSalaries[[#Headers],[CXO or Top Mgmt.]],tblSalaries[[#This Row],[clean Salary (in local currency)]],"")</f>
        <v/>
      </c>
      <c r="Z1871" s="13" t="str">
        <f>IF(tblSalaries[[#This Row],[Job Type]]=tblSalaries[[#Headers],[Engineer]],tblSalaries[[#This Row],[Salary in USD]],"")</f>
        <v/>
      </c>
      <c r="AA1871" s="13" t="str">
        <f>IF(tblSalaries[[#This Row],[Job Type]]=tblSalaries[[#Headers],[Manager]],tblSalaries[[#This Row],[Salary in USD]],"")</f>
        <v/>
      </c>
      <c r="AB1871" s="13">
        <f>IF(tblSalaries[[#This Row],[Job Type]]=tblSalaries[[#Headers],[Misc.]],tblSalaries[[#This Row],[Salary in USD]],"")</f>
        <v>5000</v>
      </c>
      <c r="AC1871" s="13" t="str">
        <f>IF(tblSalaries[[#This Row],[Job Type]]=tblSalaries[[#Headers],[Reporting]],tblSalaries[[#This Row],[Salary in USD]],"")</f>
        <v/>
      </c>
      <c r="AD1871" s="13" t="str">
        <f>IF(tblSalaries[[#This Row],[Job Type]]=tblSalaries[[#Headers],[Specialist]],tblSalaries[[#This Row],[Salary in USD]],"")</f>
        <v/>
      </c>
    </row>
    <row r="1872" spans="2:30" ht="15" customHeight="1" x14ac:dyDescent="0.25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 s="9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3999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  <c r="N1872" t="str">
        <f>IF(tblSalaries[[#This Row],[Years of Experience]]="","",IF(tblSalaries[[#This Row],[Years of Experience]]&lt;=2,1,""))</f>
        <v/>
      </c>
      <c r="O1872" t="str">
        <f>IF(tblSalaries[[#This Row],[Years of Experience]]="","",IF(AND(tblSalaries[[#This Row],[Years of Experience]]&gt;2,tblSalaries[[#This Row],[Years of Experience]]&lt;=5),1,""))</f>
        <v/>
      </c>
      <c r="P1872">
        <f>IF(tblSalaries[[#This Row],[Years of Experience]]="","",IF(AND(tblSalaries[[#This Row],[Years of Experience]]&gt;5,tblSalaries[[#This Row],[Years of Experience]]&lt;=10),1,""))</f>
        <v>1</v>
      </c>
      <c r="Q1872" t="str">
        <f>IF(tblSalaries[[#This Row],[Years of Experience]]="","",IF(AND(tblSalaries[[#This Row],[Years of Experience]]&gt;10,tblSalaries[[#This Row],[Years of Experience]]&lt;=15),1,""))</f>
        <v/>
      </c>
      <c r="R1872" t="str">
        <f>IF(tblSalaries[[#This Row],[Years of Experience]]="","",IF(AND(tblSalaries[[#This Row],[Years of Experience]]&gt;16,tblSalaries[[#This Row],[Years of Experience]]&lt;=20),1,""))</f>
        <v/>
      </c>
      <c r="S1872" t="str">
        <f>IF(tblSalaries[[#This Row],[Years of Experience]]="","",IF(tblSalaries[[#This Row],[Years of Experience]]&gt;20,1,""))</f>
        <v/>
      </c>
      <c r="T187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72" s="13" t="str">
        <f>IF(tblSalaries[[#This Row],[Job Type]]=tblSalaries[[#Headers],[Accountant]],tblSalaries[[#This Row],[Salary in USD]],"")</f>
        <v/>
      </c>
      <c r="V1872" s="13" t="str">
        <f>IF(tblSalaries[[#This Row],[Job Type]]=tblSalaries[[#Headers],[Analyst]],tblSalaries[[#This Row],[Salary in USD]],"")</f>
        <v/>
      </c>
      <c r="W1872" s="13" t="str">
        <f>IF(tblSalaries[[#This Row],[Job Type]]=tblSalaries[[#Headers],[Consultant]],tblSalaries[[#This Row],[Salary in USD]],"")</f>
        <v/>
      </c>
      <c r="X1872" s="13" t="str">
        <f>IF(tblSalaries[[#This Row],[Job Type]]=tblSalaries[[#Headers],[Controller]],tblSalaries[[#This Row],[Salary in USD]],"")</f>
        <v/>
      </c>
      <c r="Y1872" s="13" t="str">
        <f>IF(tblSalaries[[#This Row],[Job Type]]=tblSalaries[[#Headers],[CXO or Top Mgmt.]],tblSalaries[[#This Row],[clean Salary (in local currency)]],"")</f>
        <v/>
      </c>
      <c r="Z1872" s="13" t="str">
        <f>IF(tblSalaries[[#This Row],[Job Type]]=tblSalaries[[#Headers],[Engineer]],tblSalaries[[#This Row],[Salary in USD]],"")</f>
        <v/>
      </c>
      <c r="AA1872" s="13" t="str">
        <f>IF(tblSalaries[[#This Row],[Job Type]]=tblSalaries[[#Headers],[Manager]],tblSalaries[[#This Row],[Salary in USD]],"")</f>
        <v/>
      </c>
      <c r="AB1872" s="13" t="str">
        <f>IF(tblSalaries[[#This Row],[Job Type]]=tblSalaries[[#Headers],[Misc.]],tblSalaries[[#This Row],[Salary in USD]],"")</f>
        <v/>
      </c>
      <c r="AC1872" s="13">
        <f>IF(tblSalaries[[#This Row],[Job Type]]=tblSalaries[[#Headers],[Reporting]],tblSalaries[[#This Row],[Salary in USD]],"")</f>
        <v>4914.9850057341491</v>
      </c>
      <c r="AD1872" s="13" t="str">
        <f>IF(tblSalaries[[#This Row],[Job Type]]=tblSalaries[[#Headers],[Specialist]],tblSalaries[[#This Row],[Salary in USD]],"")</f>
        <v/>
      </c>
    </row>
    <row r="1873" spans="2:30" ht="15" customHeight="1" x14ac:dyDescent="0.25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 s="9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  <c r="N1873" t="str">
        <f>IF(tblSalaries[[#This Row],[Years of Experience]]="","",IF(tblSalaries[[#This Row],[Years of Experience]]&lt;=2,1,""))</f>
        <v/>
      </c>
      <c r="O1873">
        <f>IF(tblSalaries[[#This Row],[Years of Experience]]="","",IF(AND(tblSalaries[[#This Row],[Years of Experience]]&gt;2,tblSalaries[[#This Row],[Years of Experience]]&lt;=5),1,""))</f>
        <v>1</v>
      </c>
      <c r="P1873" t="str">
        <f>IF(tblSalaries[[#This Row],[Years of Experience]]="","",IF(AND(tblSalaries[[#This Row],[Years of Experience]]&gt;5,tblSalaries[[#This Row],[Years of Experience]]&lt;=10),1,""))</f>
        <v/>
      </c>
      <c r="Q1873" t="str">
        <f>IF(tblSalaries[[#This Row],[Years of Experience]]="","",IF(AND(tblSalaries[[#This Row],[Years of Experience]]&gt;10,tblSalaries[[#This Row],[Years of Experience]]&lt;=15),1,""))</f>
        <v/>
      </c>
      <c r="R1873" t="str">
        <f>IF(tblSalaries[[#This Row],[Years of Experience]]="","",IF(AND(tblSalaries[[#This Row],[Years of Experience]]&gt;16,tblSalaries[[#This Row],[Years of Experience]]&lt;=20),1,""))</f>
        <v/>
      </c>
      <c r="S1873" t="str">
        <f>IF(tblSalaries[[#This Row],[Years of Experience]]="","",IF(tblSalaries[[#This Row],[Years of Experience]]&gt;20,1,""))</f>
        <v/>
      </c>
      <c r="T187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73" s="13" t="str">
        <f>IF(tblSalaries[[#This Row],[Job Type]]=tblSalaries[[#Headers],[Accountant]],tblSalaries[[#This Row],[Salary in USD]],"")</f>
        <v/>
      </c>
      <c r="V1873" s="13">
        <f>IF(tblSalaries[[#This Row],[Job Type]]=tblSalaries[[#Headers],[Analyst]],tblSalaries[[#This Row],[Salary in USD]],"")</f>
        <v>75000</v>
      </c>
      <c r="W1873" s="13" t="str">
        <f>IF(tblSalaries[[#This Row],[Job Type]]=tblSalaries[[#Headers],[Consultant]],tblSalaries[[#This Row],[Salary in USD]],"")</f>
        <v/>
      </c>
      <c r="X1873" s="13" t="str">
        <f>IF(tblSalaries[[#This Row],[Job Type]]=tblSalaries[[#Headers],[Controller]],tblSalaries[[#This Row],[Salary in USD]],"")</f>
        <v/>
      </c>
      <c r="Y1873" s="13" t="str">
        <f>IF(tblSalaries[[#This Row],[Job Type]]=tblSalaries[[#Headers],[CXO or Top Mgmt.]],tblSalaries[[#This Row],[clean Salary (in local currency)]],"")</f>
        <v/>
      </c>
      <c r="Z1873" s="13" t="str">
        <f>IF(tblSalaries[[#This Row],[Job Type]]=tblSalaries[[#Headers],[Engineer]],tblSalaries[[#This Row],[Salary in USD]],"")</f>
        <v/>
      </c>
      <c r="AA1873" s="13" t="str">
        <f>IF(tblSalaries[[#This Row],[Job Type]]=tblSalaries[[#Headers],[Manager]],tblSalaries[[#This Row],[Salary in USD]],"")</f>
        <v/>
      </c>
      <c r="AB1873" s="13" t="str">
        <f>IF(tblSalaries[[#This Row],[Job Type]]=tblSalaries[[#Headers],[Misc.]],tblSalaries[[#This Row],[Salary in USD]],"")</f>
        <v/>
      </c>
      <c r="AC1873" s="13" t="str">
        <f>IF(tblSalaries[[#This Row],[Job Type]]=tblSalaries[[#Headers],[Reporting]],tblSalaries[[#This Row],[Salary in USD]],"")</f>
        <v/>
      </c>
      <c r="AD1873" s="13" t="str">
        <f>IF(tblSalaries[[#This Row],[Job Type]]=tblSalaries[[#Headers],[Specialist]],tblSalaries[[#This Row],[Salary in USD]],"")</f>
        <v/>
      </c>
    </row>
    <row r="1874" spans="2:30" ht="15" customHeight="1" x14ac:dyDescent="0.25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 s="9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  <c r="N1874">
        <f>IF(tblSalaries[[#This Row],[Years of Experience]]="","",IF(tblSalaries[[#This Row],[Years of Experience]]&lt;=2,1,""))</f>
        <v>1</v>
      </c>
      <c r="O1874" t="str">
        <f>IF(tblSalaries[[#This Row],[Years of Experience]]="","",IF(AND(tblSalaries[[#This Row],[Years of Experience]]&gt;2,tblSalaries[[#This Row],[Years of Experience]]&lt;=5),1,""))</f>
        <v/>
      </c>
      <c r="P1874" t="str">
        <f>IF(tblSalaries[[#This Row],[Years of Experience]]="","",IF(AND(tblSalaries[[#This Row],[Years of Experience]]&gt;5,tblSalaries[[#This Row],[Years of Experience]]&lt;=10),1,""))</f>
        <v/>
      </c>
      <c r="Q1874" t="str">
        <f>IF(tblSalaries[[#This Row],[Years of Experience]]="","",IF(AND(tblSalaries[[#This Row],[Years of Experience]]&gt;10,tblSalaries[[#This Row],[Years of Experience]]&lt;=15),1,""))</f>
        <v/>
      </c>
      <c r="R1874" t="str">
        <f>IF(tblSalaries[[#This Row],[Years of Experience]]="","",IF(AND(tblSalaries[[#This Row],[Years of Experience]]&gt;16,tblSalaries[[#This Row],[Years of Experience]]&lt;=20),1,""))</f>
        <v/>
      </c>
      <c r="S1874" t="str">
        <f>IF(tblSalaries[[#This Row],[Years of Experience]]="","",IF(tblSalaries[[#This Row],[Years of Experience]]&gt;20,1,""))</f>
        <v/>
      </c>
      <c r="T187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0-2 Years</v>
      </c>
      <c r="U1874" s="13" t="str">
        <f>IF(tblSalaries[[#This Row],[Job Type]]=tblSalaries[[#Headers],[Accountant]],tblSalaries[[#This Row],[Salary in USD]],"")</f>
        <v/>
      </c>
      <c r="V1874" s="13">
        <f>IF(tblSalaries[[#This Row],[Job Type]]=tblSalaries[[#Headers],[Analyst]],tblSalaries[[#This Row],[Salary in USD]],"")</f>
        <v>4451.9791718606421</v>
      </c>
      <c r="W1874" s="13" t="str">
        <f>IF(tblSalaries[[#This Row],[Job Type]]=tblSalaries[[#Headers],[Consultant]],tblSalaries[[#This Row],[Salary in USD]],"")</f>
        <v/>
      </c>
      <c r="X1874" s="13" t="str">
        <f>IF(tblSalaries[[#This Row],[Job Type]]=tblSalaries[[#Headers],[Controller]],tblSalaries[[#This Row],[Salary in USD]],"")</f>
        <v/>
      </c>
      <c r="Y1874" s="13" t="str">
        <f>IF(tblSalaries[[#This Row],[Job Type]]=tblSalaries[[#Headers],[CXO or Top Mgmt.]],tblSalaries[[#This Row],[clean Salary (in local currency)]],"")</f>
        <v/>
      </c>
      <c r="Z1874" s="13" t="str">
        <f>IF(tblSalaries[[#This Row],[Job Type]]=tblSalaries[[#Headers],[Engineer]],tblSalaries[[#This Row],[Salary in USD]],"")</f>
        <v/>
      </c>
      <c r="AA1874" s="13" t="str">
        <f>IF(tblSalaries[[#This Row],[Job Type]]=tblSalaries[[#Headers],[Manager]],tblSalaries[[#This Row],[Salary in USD]],"")</f>
        <v/>
      </c>
      <c r="AB1874" s="13" t="str">
        <f>IF(tblSalaries[[#This Row],[Job Type]]=tblSalaries[[#Headers],[Misc.]],tblSalaries[[#This Row],[Salary in USD]],"")</f>
        <v/>
      </c>
      <c r="AC1874" s="13" t="str">
        <f>IF(tblSalaries[[#This Row],[Job Type]]=tblSalaries[[#Headers],[Reporting]],tblSalaries[[#This Row],[Salary in USD]],"")</f>
        <v/>
      </c>
      <c r="AD1874" s="13" t="str">
        <f>IF(tblSalaries[[#This Row],[Job Type]]=tblSalaries[[#Headers],[Specialist]],tblSalaries[[#This Row],[Salary in USD]],"")</f>
        <v/>
      </c>
    </row>
    <row r="1875" spans="2:30" ht="15" customHeight="1" x14ac:dyDescent="0.25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 s="9">
        <f>tblSalaries[[#This Row],[clean Salary (in local currency)]]*VLOOKUP(tblSalaries[[#This Row],[Currency]],tblXrate[],2,FALSE)</f>
        <v>8400</v>
      </c>
      <c r="H1875" t="s">
        <v>931</v>
      </c>
      <c r="I1875" t="s">
        <v>3999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  <c r="N1875" t="str">
        <f>IF(tblSalaries[[#This Row],[Years of Experience]]="","",IF(tblSalaries[[#This Row],[Years of Experience]]&lt;=2,1,""))</f>
        <v/>
      </c>
      <c r="O1875" t="str">
        <f>IF(tblSalaries[[#This Row],[Years of Experience]]="","",IF(AND(tblSalaries[[#This Row],[Years of Experience]]&gt;2,tblSalaries[[#This Row],[Years of Experience]]&lt;=5),1,""))</f>
        <v/>
      </c>
      <c r="P1875">
        <f>IF(tblSalaries[[#This Row],[Years of Experience]]="","",IF(AND(tblSalaries[[#This Row],[Years of Experience]]&gt;5,tblSalaries[[#This Row],[Years of Experience]]&lt;=10),1,""))</f>
        <v>1</v>
      </c>
      <c r="Q1875" t="str">
        <f>IF(tblSalaries[[#This Row],[Years of Experience]]="","",IF(AND(tblSalaries[[#This Row],[Years of Experience]]&gt;10,tblSalaries[[#This Row],[Years of Experience]]&lt;=15),1,""))</f>
        <v/>
      </c>
      <c r="R1875" t="str">
        <f>IF(tblSalaries[[#This Row],[Years of Experience]]="","",IF(AND(tblSalaries[[#This Row],[Years of Experience]]&gt;16,tblSalaries[[#This Row],[Years of Experience]]&lt;=20),1,""))</f>
        <v/>
      </c>
      <c r="S1875" t="str">
        <f>IF(tblSalaries[[#This Row],[Years of Experience]]="","",IF(tblSalaries[[#This Row],[Years of Experience]]&gt;20,1,""))</f>
        <v/>
      </c>
      <c r="T187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75" s="13" t="str">
        <f>IF(tblSalaries[[#This Row],[Job Type]]=tblSalaries[[#Headers],[Accountant]],tblSalaries[[#This Row],[Salary in USD]],"")</f>
        <v/>
      </c>
      <c r="V1875" s="13" t="str">
        <f>IF(tblSalaries[[#This Row],[Job Type]]=tblSalaries[[#Headers],[Analyst]],tblSalaries[[#This Row],[Salary in USD]],"")</f>
        <v/>
      </c>
      <c r="W1875" s="13" t="str">
        <f>IF(tblSalaries[[#This Row],[Job Type]]=tblSalaries[[#Headers],[Consultant]],tblSalaries[[#This Row],[Salary in USD]],"")</f>
        <v/>
      </c>
      <c r="X1875" s="13" t="str">
        <f>IF(tblSalaries[[#This Row],[Job Type]]=tblSalaries[[#Headers],[Controller]],tblSalaries[[#This Row],[Salary in USD]],"")</f>
        <v/>
      </c>
      <c r="Y1875" s="13" t="str">
        <f>IF(tblSalaries[[#This Row],[Job Type]]=tblSalaries[[#Headers],[CXO or Top Mgmt.]],tblSalaries[[#This Row],[clean Salary (in local currency)]],"")</f>
        <v/>
      </c>
      <c r="Z1875" s="13" t="str">
        <f>IF(tblSalaries[[#This Row],[Job Type]]=tblSalaries[[#Headers],[Engineer]],tblSalaries[[#This Row],[Salary in USD]],"")</f>
        <v/>
      </c>
      <c r="AA1875" s="13" t="str">
        <f>IF(tblSalaries[[#This Row],[Job Type]]=tblSalaries[[#Headers],[Manager]],tblSalaries[[#This Row],[Salary in USD]],"")</f>
        <v/>
      </c>
      <c r="AB1875" s="13" t="str">
        <f>IF(tblSalaries[[#This Row],[Job Type]]=tblSalaries[[#Headers],[Misc.]],tblSalaries[[#This Row],[Salary in USD]],"")</f>
        <v/>
      </c>
      <c r="AC1875" s="13">
        <f>IF(tblSalaries[[#This Row],[Job Type]]=tblSalaries[[#Headers],[Reporting]],tblSalaries[[#This Row],[Salary in USD]],"")</f>
        <v>8400</v>
      </c>
      <c r="AD1875" s="13" t="str">
        <f>IF(tblSalaries[[#This Row],[Job Type]]=tblSalaries[[#Headers],[Specialist]],tblSalaries[[#This Row],[Salary in USD]],"")</f>
        <v/>
      </c>
    </row>
    <row r="1876" spans="2:30" ht="15" customHeight="1" x14ac:dyDescent="0.25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 s="9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  <c r="N1876" t="str">
        <f>IF(tblSalaries[[#This Row],[Years of Experience]]="","",IF(tblSalaries[[#This Row],[Years of Experience]]&lt;=2,1,""))</f>
        <v/>
      </c>
      <c r="O1876">
        <f>IF(tblSalaries[[#This Row],[Years of Experience]]="","",IF(AND(tblSalaries[[#This Row],[Years of Experience]]&gt;2,tblSalaries[[#This Row],[Years of Experience]]&lt;=5),1,""))</f>
        <v>1</v>
      </c>
      <c r="P1876" t="str">
        <f>IF(tblSalaries[[#This Row],[Years of Experience]]="","",IF(AND(tblSalaries[[#This Row],[Years of Experience]]&gt;5,tblSalaries[[#This Row],[Years of Experience]]&lt;=10),1,""))</f>
        <v/>
      </c>
      <c r="Q1876" t="str">
        <f>IF(tblSalaries[[#This Row],[Years of Experience]]="","",IF(AND(tblSalaries[[#This Row],[Years of Experience]]&gt;10,tblSalaries[[#This Row],[Years of Experience]]&lt;=15),1,""))</f>
        <v/>
      </c>
      <c r="R1876" t="str">
        <f>IF(tblSalaries[[#This Row],[Years of Experience]]="","",IF(AND(tblSalaries[[#This Row],[Years of Experience]]&gt;16,tblSalaries[[#This Row],[Years of Experience]]&lt;=20),1,""))</f>
        <v/>
      </c>
      <c r="S1876" t="str">
        <f>IF(tblSalaries[[#This Row],[Years of Experience]]="","",IF(tblSalaries[[#This Row],[Years of Experience]]&gt;20,1,""))</f>
        <v/>
      </c>
      <c r="T187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76" s="13" t="str">
        <f>IF(tblSalaries[[#This Row],[Job Type]]=tblSalaries[[#Headers],[Accountant]],tblSalaries[[#This Row],[Salary in USD]],"")</f>
        <v/>
      </c>
      <c r="V1876" s="13" t="str">
        <f>IF(tblSalaries[[#This Row],[Job Type]]=tblSalaries[[#Headers],[Analyst]],tblSalaries[[#This Row],[Salary in USD]],"")</f>
        <v/>
      </c>
      <c r="W1876" s="13" t="str">
        <f>IF(tblSalaries[[#This Row],[Job Type]]=tblSalaries[[#Headers],[Consultant]],tblSalaries[[#This Row],[Salary in USD]],"")</f>
        <v/>
      </c>
      <c r="X1876" s="13" t="str">
        <f>IF(tblSalaries[[#This Row],[Job Type]]=tblSalaries[[#Headers],[Controller]],tblSalaries[[#This Row],[Salary in USD]],"")</f>
        <v/>
      </c>
      <c r="Y1876" s="13" t="str">
        <f>IF(tblSalaries[[#This Row],[Job Type]]=tblSalaries[[#Headers],[CXO or Top Mgmt.]],tblSalaries[[#This Row],[clean Salary (in local currency)]],"")</f>
        <v/>
      </c>
      <c r="Z1876" s="13" t="str">
        <f>IF(tblSalaries[[#This Row],[Job Type]]=tblSalaries[[#Headers],[Engineer]],tblSalaries[[#This Row],[Salary in USD]],"")</f>
        <v/>
      </c>
      <c r="AA1876" s="13">
        <f>IF(tblSalaries[[#This Row],[Job Type]]=tblSalaries[[#Headers],[Manager]],tblSalaries[[#This Row],[Salary in USD]],"")</f>
        <v>20000</v>
      </c>
      <c r="AB1876" s="13" t="str">
        <f>IF(tblSalaries[[#This Row],[Job Type]]=tblSalaries[[#Headers],[Misc.]],tblSalaries[[#This Row],[Salary in USD]],"")</f>
        <v/>
      </c>
      <c r="AC1876" s="13" t="str">
        <f>IF(tblSalaries[[#This Row],[Job Type]]=tblSalaries[[#Headers],[Reporting]],tblSalaries[[#This Row],[Salary in USD]],"")</f>
        <v/>
      </c>
      <c r="AD1876" s="13" t="str">
        <f>IF(tblSalaries[[#This Row],[Job Type]]=tblSalaries[[#Headers],[Specialist]],tblSalaries[[#This Row],[Salary in USD]],"")</f>
        <v/>
      </c>
    </row>
    <row r="1877" spans="2:30" ht="15" customHeight="1" x14ac:dyDescent="0.25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 s="9">
        <f>tblSalaries[[#This Row],[clean Salary (in local currency)]]*VLOOKUP(tblSalaries[[#This Row],[Currency]],tblXrate[],2,FALSE)</f>
        <v>110000</v>
      </c>
      <c r="H1877" t="s">
        <v>1998</v>
      </c>
      <c r="I1877" t="s">
        <v>4001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  <c r="N1877" t="str">
        <f>IF(tblSalaries[[#This Row],[Years of Experience]]="","",IF(tblSalaries[[#This Row],[Years of Experience]]&lt;=2,1,""))</f>
        <v/>
      </c>
      <c r="O1877" t="str">
        <f>IF(tblSalaries[[#This Row],[Years of Experience]]="","",IF(AND(tblSalaries[[#This Row],[Years of Experience]]&gt;2,tblSalaries[[#This Row],[Years of Experience]]&lt;=5),1,""))</f>
        <v/>
      </c>
      <c r="P1877">
        <f>IF(tblSalaries[[#This Row],[Years of Experience]]="","",IF(AND(tblSalaries[[#This Row],[Years of Experience]]&gt;5,tblSalaries[[#This Row],[Years of Experience]]&lt;=10),1,""))</f>
        <v>1</v>
      </c>
      <c r="Q1877" t="str">
        <f>IF(tblSalaries[[#This Row],[Years of Experience]]="","",IF(AND(tblSalaries[[#This Row],[Years of Experience]]&gt;10,tblSalaries[[#This Row],[Years of Experience]]&lt;=15),1,""))</f>
        <v/>
      </c>
      <c r="R1877" t="str">
        <f>IF(tblSalaries[[#This Row],[Years of Experience]]="","",IF(AND(tblSalaries[[#This Row],[Years of Experience]]&gt;16,tblSalaries[[#This Row],[Years of Experience]]&lt;=20),1,""))</f>
        <v/>
      </c>
      <c r="S1877" t="str">
        <f>IF(tblSalaries[[#This Row],[Years of Experience]]="","",IF(tblSalaries[[#This Row],[Years of Experience]]&gt;20,1,""))</f>
        <v/>
      </c>
      <c r="T187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77" s="13" t="str">
        <f>IF(tblSalaries[[#This Row],[Job Type]]=tblSalaries[[#Headers],[Accountant]],tblSalaries[[#This Row],[Salary in USD]],"")</f>
        <v/>
      </c>
      <c r="V1877" s="13" t="str">
        <f>IF(tblSalaries[[#This Row],[Job Type]]=tblSalaries[[#Headers],[Analyst]],tblSalaries[[#This Row],[Salary in USD]],"")</f>
        <v/>
      </c>
      <c r="W1877" s="13" t="str">
        <f>IF(tblSalaries[[#This Row],[Job Type]]=tblSalaries[[#Headers],[Consultant]],tblSalaries[[#This Row],[Salary in USD]],"")</f>
        <v/>
      </c>
      <c r="X1877" s="13" t="str">
        <f>IF(tblSalaries[[#This Row],[Job Type]]=tblSalaries[[#Headers],[Controller]],tblSalaries[[#This Row],[Salary in USD]],"")</f>
        <v/>
      </c>
      <c r="Y1877" s="13">
        <f>IF(tblSalaries[[#This Row],[Job Type]]=tblSalaries[[#Headers],[CXO or Top Mgmt.]],tblSalaries[[#This Row],[clean Salary (in local currency)]],"")</f>
        <v>110000</v>
      </c>
      <c r="Z1877" s="13" t="str">
        <f>IF(tblSalaries[[#This Row],[Job Type]]=tblSalaries[[#Headers],[Engineer]],tblSalaries[[#This Row],[Salary in USD]],"")</f>
        <v/>
      </c>
      <c r="AA1877" s="13" t="str">
        <f>IF(tblSalaries[[#This Row],[Job Type]]=tblSalaries[[#Headers],[Manager]],tblSalaries[[#This Row],[Salary in USD]],"")</f>
        <v/>
      </c>
      <c r="AB1877" s="13" t="str">
        <f>IF(tblSalaries[[#This Row],[Job Type]]=tblSalaries[[#Headers],[Misc.]],tblSalaries[[#This Row],[Salary in USD]],"")</f>
        <v/>
      </c>
      <c r="AC1877" s="13" t="str">
        <f>IF(tblSalaries[[#This Row],[Job Type]]=tblSalaries[[#Headers],[Reporting]],tblSalaries[[#This Row],[Salary in USD]],"")</f>
        <v/>
      </c>
      <c r="AD1877" s="13" t="str">
        <f>IF(tblSalaries[[#This Row],[Job Type]]=tblSalaries[[#Headers],[Specialist]],tblSalaries[[#This Row],[Salary in USD]],"")</f>
        <v/>
      </c>
    </row>
    <row r="1878" spans="2:30" ht="15" customHeight="1" x14ac:dyDescent="0.25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 s="9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  <c r="N1878" t="str">
        <f>IF(tblSalaries[[#This Row],[Years of Experience]]="","",IF(tblSalaries[[#This Row],[Years of Experience]]&lt;=2,1,""))</f>
        <v/>
      </c>
      <c r="O1878">
        <f>IF(tblSalaries[[#This Row],[Years of Experience]]="","",IF(AND(tblSalaries[[#This Row],[Years of Experience]]&gt;2,tblSalaries[[#This Row],[Years of Experience]]&lt;=5),1,""))</f>
        <v>1</v>
      </c>
      <c r="P1878" t="str">
        <f>IF(tblSalaries[[#This Row],[Years of Experience]]="","",IF(AND(tblSalaries[[#This Row],[Years of Experience]]&gt;5,tblSalaries[[#This Row],[Years of Experience]]&lt;=10),1,""))</f>
        <v/>
      </c>
      <c r="Q1878" t="str">
        <f>IF(tblSalaries[[#This Row],[Years of Experience]]="","",IF(AND(tblSalaries[[#This Row],[Years of Experience]]&gt;10,tblSalaries[[#This Row],[Years of Experience]]&lt;=15),1,""))</f>
        <v/>
      </c>
      <c r="R1878" t="str">
        <f>IF(tblSalaries[[#This Row],[Years of Experience]]="","",IF(AND(tblSalaries[[#This Row],[Years of Experience]]&gt;16,tblSalaries[[#This Row],[Years of Experience]]&lt;=20),1,""))</f>
        <v/>
      </c>
      <c r="S1878" t="str">
        <f>IF(tblSalaries[[#This Row],[Years of Experience]]="","",IF(tblSalaries[[#This Row],[Years of Experience]]&gt;20,1,""))</f>
        <v/>
      </c>
      <c r="T187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78" s="13" t="str">
        <f>IF(tblSalaries[[#This Row],[Job Type]]=tblSalaries[[#Headers],[Accountant]],tblSalaries[[#This Row],[Salary in USD]],"")</f>
        <v/>
      </c>
      <c r="V1878" s="13">
        <f>IF(tblSalaries[[#This Row],[Job Type]]=tblSalaries[[#Headers],[Analyst]],tblSalaries[[#This Row],[Salary in USD]],"")</f>
        <v>50000</v>
      </c>
      <c r="W1878" s="13" t="str">
        <f>IF(tblSalaries[[#This Row],[Job Type]]=tblSalaries[[#Headers],[Consultant]],tblSalaries[[#This Row],[Salary in USD]],"")</f>
        <v/>
      </c>
      <c r="X1878" s="13" t="str">
        <f>IF(tblSalaries[[#This Row],[Job Type]]=tblSalaries[[#Headers],[Controller]],tblSalaries[[#This Row],[Salary in USD]],"")</f>
        <v/>
      </c>
      <c r="Y1878" s="13" t="str">
        <f>IF(tblSalaries[[#This Row],[Job Type]]=tblSalaries[[#Headers],[CXO or Top Mgmt.]],tblSalaries[[#This Row],[clean Salary (in local currency)]],"")</f>
        <v/>
      </c>
      <c r="Z1878" s="13" t="str">
        <f>IF(tblSalaries[[#This Row],[Job Type]]=tblSalaries[[#Headers],[Engineer]],tblSalaries[[#This Row],[Salary in USD]],"")</f>
        <v/>
      </c>
      <c r="AA1878" s="13" t="str">
        <f>IF(tblSalaries[[#This Row],[Job Type]]=tblSalaries[[#Headers],[Manager]],tblSalaries[[#This Row],[Salary in USD]],"")</f>
        <v/>
      </c>
      <c r="AB1878" s="13" t="str">
        <f>IF(tblSalaries[[#This Row],[Job Type]]=tblSalaries[[#Headers],[Misc.]],tblSalaries[[#This Row],[Salary in USD]],"")</f>
        <v/>
      </c>
      <c r="AC1878" s="13" t="str">
        <f>IF(tblSalaries[[#This Row],[Job Type]]=tblSalaries[[#Headers],[Reporting]],tblSalaries[[#This Row],[Salary in USD]],"")</f>
        <v/>
      </c>
      <c r="AD1878" s="13" t="str">
        <f>IF(tblSalaries[[#This Row],[Job Type]]=tblSalaries[[#Headers],[Specialist]],tblSalaries[[#This Row],[Salary in USD]],"")</f>
        <v/>
      </c>
    </row>
    <row r="1879" spans="2:30" ht="15" customHeight="1" x14ac:dyDescent="0.25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 s="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  <c r="N1879" t="str">
        <f>IF(tblSalaries[[#This Row],[Years of Experience]]="","",IF(tblSalaries[[#This Row],[Years of Experience]]&lt;=2,1,""))</f>
        <v/>
      </c>
      <c r="O1879" t="str">
        <f>IF(tblSalaries[[#This Row],[Years of Experience]]="","",IF(AND(tblSalaries[[#This Row],[Years of Experience]]&gt;2,tblSalaries[[#This Row],[Years of Experience]]&lt;=5),1,""))</f>
        <v/>
      </c>
      <c r="P1879">
        <f>IF(tblSalaries[[#This Row],[Years of Experience]]="","",IF(AND(tblSalaries[[#This Row],[Years of Experience]]&gt;5,tblSalaries[[#This Row],[Years of Experience]]&lt;=10),1,""))</f>
        <v>1</v>
      </c>
      <c r="Q1879" t="str">
        <f>IF(tblSalaries[[#This Row],[Years of Experience]]="","",IF(AND(tblSalaries[[#This Row],[Years of Experience]]&gt;10,tblSalaries[[#This Row],[Years of Experience]]&lt;=15),1,""))</f>
        <v/>
      </c>
      <c r="R1879" t="str">
        <f>IF(tblSalaries[[#This Row],[Years of Experience]]="","",IF(AND(tblSalaries[[#This Row],[Years of Experience]]&gt;16,tblSalaries[[#This Row],[Years of Experience]]&lt;=20),1,""))</f>
        <v/>
      </c>
      <c r="S1879" t="str">
        <f>IF(tblSalaries[[#This Row],[Years of Experience]]="","",IF(tblSalaries[[#This Row],[Years of Experience]]&gt;20,1,""))</f>
        <v/>
      </c>
      <c r="T1879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79" s="13" t="str">
        <f>IF(tblSalaries[[#This Row],[Job Type]]=tblSalaries[[#Headers],[Accountant]],tblSalaries[[#This Row],[Salary in USD]],"")</f>
        <v/>
      </c>
      <c r="V1879" s="13">
        <f>IF(tblSalaries[[#This Row],[Job Type]]=tblSalaries[[#Headers],[Analyst]],tblSalaries[[#This Row],[Salary in USD]],"")</f>
        <v>46000</v>
      </c>
      <c r="W1879" s="13" t="str">
        <f>IF(tblSalaries[[#This Row],[Job Type]]=tblSalaries[[#Headers],[Consultant]],tblSalaries[[#This Row],[Salary in USD]],"")</f>
        <v/>
      </c>
      <c r="X1879" s="13" t="str">
        <f>IF(tblSalaries[[#This Row],[Job Type]]=tblSalaries[[#Headers],[Controller]],tblSalaries[[#This Row],[Salary in USD]],"")</f>
        <v/>
      </c>
      <c r="Y1879" s="13" t="str">
        <f>IF(tblSalaries[[#This Row],[Job Type]]=tblSalaries[[#Headers],[CXO or Top Mgmt.]],tblSalaries[[#This Row],[clean Salary (in local currency)]],"")</f>
        <v/>
      </c>
      <c r="Z1879" s="13" t="str">
        <f>IF(tblSalaries[[#This Row],[Job Type]]=tblSalaries[[#Headers],[Engineer]],tblSalaries[[#This Row],[Salary in USD]],"")</f>
        <v/>
      </c>
      <c r="AA1879" s="13" t="str">
        <f>IF(tblSalaries[[#This Row],[Job Type]]=tblSalaries[[#Headers],[Manager]],tblSalaries[[#This Row],[Salary in USD]],"")</f>
        <v/>
      </c>
      <c r="AB1879" s="13" t="str">
        <f>IF(tblSalaries[[#This Row],[Job Type]]=tblSalaries[[#Headers],[Misc.]],tblSalaries[[#This Row],[Salary in USD]],"")</f>
        <v/>
      </c>
      <c r="AC1879" s="13" t="str">
        <f>IF(tblSalaries[[#This Row],[Job Type]]=tblSalaries[[#Headers],[Reporting]],tblSalaries[[#This Row],[Salary in USD]],"")</f>
        <v/>
      </c>
      <c r="AD1879" s="13" t="str">
        <f>IF(tblSalaries[[#This Row],[Job Type]]=tblSalaries[[#Headers],[Specialist]],tblSalaries[[#This Row],[Salary in USD]],"")</f>
        <v/>
      </c>
    </row>
    <row r="1880" spans="2:30" ht="15" customHeight="1" x14ac:dyDescent="0.25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 s="9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  <c r="N1880" t="str">
        <f>IF(tblSalaries[[#This Row],[Years of Experience]]="","",IF(tblSalaries[[#This Row],[Years of Experience]]&lt;=2,1,""))</f>
        <v/>
      </c>
      <c r="O1880" t="str">
        <f>IF(tblSalaries[[#This Row],[Years of Experience]]="","",IF(AND(tblSalaries[[#This Row],[Years of Experience]]&gt;2,tblSalaries[[#This Row],[Years of Experience]]&lt;=5),1,""))</f>
        <v/>
      </c>
      <c r="P1880" t="str">
        <f>IF(tblSalaries[[#This Row],[Years of Experience]]="","",IF(AND(tblSalaries[[#This Row],[Years of Experience]]&gt;5,tblSalaries[[#This Row],[Years of Experience]]&lt;=10),1,""))</f>
        <v/>
      </c>
      <c r="Q1880">
        <f>IF(tblSalaries[[#This Row],[Years of Experience]]="","",IF(AND(tblSalaries[[#This Row],[Years of Experience]]&gt;10,tblSalaries[[#This Row],[Years of Experience]]&lt;=15),1,""))</f>
        <v>1</v>
      </c>
      <c r="R1880" t="str">
        <f>IF(tblSalaries[[#This Row],[Years of Experience]]="","",IF(AND(tblSalaries[[#This Row],[Years of Experience]]&gt;16,tblSalaries[[#This Row],[Years of Experience]]&lt;=20),1,""))</f>
        <v/>
      </c>
      <c r="S1880" t="str">
        <f>IF(tblSalaries[[#This Row],[Years of Experience]]="","",IF(tblSalaries[[#This Row],[Years of Experience]]&gt;20,1,""))</f>
        <v/>
      </c>
      <c r="T1880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11-15 Years</v>
      </c>
      <c r="U1880" s="13" t="str">
        <f>IF(tblSalaries[[#This Row],[Job Type]]=tblSalaries[[#Headers],[Accountant]],tblSalaries[[#This Row],[Salary in USD]],"")</f>
        <v/>
      </c>
      <c r="V1880" s="13">
        <f>IF(tblSalaries[[#This Row],[Job Type]]=tblSalaries[[#Headers],[Analyst]],tblSalaries[[#This Row],[Salary in USD]],"")</f>
        <v>115000</v>
      </c>
      <c r="W1880" s="13" t="str">
        <f>IF(tblSalaries[[#This Row],[Job Type]]=tblSalaries[[#Headers],[Consultant]],tblSalaries[[#This Row],[Salary in USD]],"")</f>
        <v/>
      </c>
      <c r="X1880" s="13" t="str">
        <f>IF(tblSalaries[[#This Row],[Job Type]]=tblSalaries[[#Headers],[Controller]],tblSalaries[[#This Row],[Salary in USD]],"")</f>
        <v/>
      </c>
      <c r="Y1880" s="13" t="str">
        <f>IF(tblSalaries[[#This Row],[Job Type]]=tblSalaries[[#Headers],[CXO or Top Mgmt.]],tblSalaries[[#This Row],[clean Salary (in local currency)]],"")</f>
        <v/>
      </c>
      <c r="Z1880" s="13" t="str">
        <f>IF(tblSalaries[[#This Row],[Job Type]]=tblSalaries[[#Headers],[Engineer]],tblSalaries[[#This Row],[Salary in USD]],"")</f>
        <v/>
      </c>
      <c r="AA1880" s="13" t="str">
        <f>IF(tblSalaries[[#This Row],[Job Type]]=tblSalaries[[#Headers],[Manager]],tblSalaries[[#This Row],[Salary in USD]],"")</f>
        <v/>
      </c>
      <c r="AB1880" s="13" t="str">
        <f>IF(tblSalaries[[#This Row],[Job Type]]=tblSalaries[[#Headers],[Misc.]],tblSalaries[[#This Row],[Salary in USD]],"")</f>
        <v/>
      </c>
      <c r="AC1880" s="13" t="str">
        <f>IF(tblSalaries[[#This Row],[Job Type]]=tblSalaries[[#Headers],[Reporting]],tblSalaries[[#This Row],[Salary in USD]],"")</f>
        <v/>
      </c>
      <c r="AD1880" s="13" t="str">
        <f>IF(tblSalaries[[#This Row],[Job Type]]=tblSalaries[[#Headers],[Specialist]],tblSalaries[[#This Row],[Salary in USD]],"")</f>
        <v/>
      </c>
    </row>
    <row r="1881" spans="2:30" ht="15" customHeight="1" x14ac:dyDescent="0.25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 s="9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  <c r="N1881" t="str">
        <f>IF(tblSalaries[[#This Row],[Years of Experience]]="","",IF(tblSalaries[[#This Row],[Years of Experience]]&lt;=2,1,""))</f>
        <v/>
      </c>
      <c r="O1881">
        <f>IF(tblSalaries[[#This Row],[Years of Experience]]="","",IF(AND(tblSalaries[[#This Row],[Years of Experience]]&gt;2,tblSalaries[[#This Row],[Years of Experience]]&lt;=5),1,""))</f>
        <v>1</v>
      </c>
      <c r="P1881" t="str">
        <f>IF(tblSalaries[[#This Row],[Years of Experience]]="","",IF(AND(tblSalaries[[#This Row],[Years of Experience]]&gt;5,tblSalaries[[#This Row],[Years of Experience]]&lt;=10),1,""))</f>
        <v/>
      </c>
      <c r="Q1881" t="str">
        <f>IF(tblSalaries[[#This Row],[Years of Experience]]="","",IF(AND(tblSalaries[[#This Row],[Years of Experience]]&gt;10,tblSalaries[[#This Row],[Years of Experience]]&lt;=15),1,""))</f>
        <v/>
      </c>
      <c r="R1881" t="str">
        <f>IF(tblSalaries[[#This Row],[Years of Experience]]="","",IF(AND(tblSalaries[[#This Row],[Years of Experience]]&gt;16,tblSalaries[[#This Row],[Years of Experience]]&lt;=20),1,""))</f>
        <v/>
      </c>
      <c r="S1881" t="str">
        <f>IF(tblSalaries[[#This Row],[Years of Experience]]="","",IF(tblSalaries[[#This Row],[Years of Experience]]&gt;20,1,""))</f>
        <v/>
      </c>
      <c r="T1881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81" s="13" t="str">
        <f>IF(tblSalaries[[#This Row],[Job Type]]=tblSalaries[[#Headers],[Accountant]],tblSalaries[[#This Row],[Salary in USD]],"")</f>
        <v/>
      </c>
      <c r="V1881" s="13">
        <f>IF(tblSalaries[[#This Row],[Job Type]]=tblSalaries[[#Headers],[Analyst]],tblSalaries[[#This Row],[Salary in USD]],"")</f>
        <v>3205.4250037396623</v>
      </c>
      <c r="W1881" s="13" t="str">
        <f>IF(tblSalaries[[#This Row],[Job Type]]=tblSalaries[[#Headers],[Consultant]],tblSalaries[[#This Row],[Salary in USD]],"")</f>
        <v/>
      </c>
      <c r="X1881" s="13" t="str">
        <f>IF(tblSalaries[[#This Row],[Job Type]]=tblSalaries[[#Headers],[Controller]],tblSalaries[[#This Row],[Salary in USD]],"")</f>
        <v/>
      </c>
      <c r="Y1881" s="13" t="str">
        <f>IF(tblSalaries[[#This Row],[Job Type]]=tblSalaries[[#Headers],[CXO or Top Mgmt.]],tblSalaries[[#This Row],[clean Salary (in local currency)]],"")</f>
        <v/>
      </c>
      <c r="Z1881" s="13" t="str">
        <f>IF(tblSalaries[[#This Row],[Job Type]]=tblSalaries[[#Headers],[Engineer]],tblSalaries[[#This Row],[Salary in USD]],"")</f>
        <v/>
      </c>
      <c r="AA1881" s="13" t="str">
        <f>IF(tblSalaries[[#This Row],[Job Type]]=tblSalaries[[#Headers],[Manager]],tblSalaries[[#This Row],[Salary in USD]],"")</f>
        <v/>
      </c>
      <c r="AB1881" s="13" t="str">
        <f>IF(tblSalaries[[#This Row],[Job Type]]=tblSalaries[[#Headers],[Misc.]],tblSalaries[[#This Row],[Salary in USD]],"")</f>
        <v/>
      </c>
      <c r="AC1881" s="13" t="str">
        <f>IF(tblSalaries[[#This Row],[Job Type]]=tblSalaries[[#Headers],[Reporting]],tblSalaries[[#This Row],[Salary in USD]],"")</f>
        <v/>
      </c>
      <c r="AD1881" s="13" t="str">
        <f>IF(tblSalaries[[#This Row],[Job Type]]=tblSalaries[[#Headers],[Specialist]],tblSalaries[[#This Row],[Salary in USD]],"")</f>
        <v/>
      </c>
    </row>
    <row r="1882" spans="2:30" ht="15" customHeight="1" x14ac:dyDescent="0.25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 s="9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  <c r="N1882" t="str">
        <f>IF(tblSalaries[[#This Row],[Years of Experience]]="","",IF(tblSalaries[[#This Row],[Years of Experience]]&lt;=2,1,""))</f>
        <v/>
      </c>
      <c r="O1882" t="str">
        <f>IF(tblSalaries[[#This Row],[Years of Experience]]="","",IF(AND(tblSalaries[[#This Row],[Years of Experience]]&gt;2,tblSalaries[[#This Row],[Years of Experience]]&lt;=5),1,""))</f>
        <v/>
      </c>
      <c r="P1882" t="str">
        <f>IF(tblSalaries[[#This Row],[Years of Experience]]="","",IF(AND(tblSalaries[[#This Row],[Years of Experience]]&gt;5,tblSalaries[[#This Row],[Years of Experience]]&lt;=10),1,""))</f>
        <v/>
      </c>
      <c r="Q1882" t="str">
        <f>IF(tblSalaries[[#This Row],[Years of Experience]]="","",IF(AND(tblSalaries[[#This Row],[Years of Experience]]&gt;10,tblSalaries[[#This Row],[Years of Experience]]&lt;=15),1,""))</f>
        <v/>
      </c>
      <c r="R1882">
        <f>IF(tblSalaries[[#This Row],[Years of Experience]]="","",IF(AND(tblSalaries[[#This Row],[Years of Experience]]&gt;16,tblSalaries[[#This Row],[Years of Experience]]&lt;=20),1,""))</f>
        <v>1</v>
      </c>
      <c r="S1882" t="str">
        <f>IF(tblSalaries[[#This Row],[Years of Experience]]="","",IF(tblSalaries[[#This Row],[Years of Experience]]&gt;20,1,""))</f>
        <v/>
      </c>
      <c r="T1882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16-20 Years</v>
      </c>
      <c r="U1882" s="13" t="str">
        <f>IF(tblSalaries[[#This Row],[Job Type]]=tblSalaries[[#Headers],[Accountant]],tblSalaries[[#This Row],[Salary in USD]],"")</f>
        <v/>
      </c>
      <c r="V1882" s="13" t="str">
        <f>IF(tblSalaries[[#This Row],[Job Type]]=tblSalaries[[#Headers],[Analyst]],tblSalaries[[#This Row],[Salary in USD]],"")</f>
        <v/>
      </c>
      <c r="W1882" s="13" t="str">
        <f>IF(tblSalaries[[#This Row],[Job Type]]=tblSalaries[[#Headers],[Consultant]],tblSalaries[[#This Row],[Salary in USD]],"")</f>
        <v/>
      </c>
      <c r="X1882" s="13" t="str">
        <f>IF(tblSalaries[[#This Row],[Job Type]]=tblSalaries[[#Headers],[Controller]],tblSalaries[[#This Row],[Salary in USD]],"")</f>
        <v/>
      </c>
      <c r="Y1882" s="13" t="str">
        <f>IF(tblSalaries[[#This Row],[Job Type]]=tblSalaries[[#Headers],[CXO or Top Mgmt.]],tblSalaries[[#This Row],[clean Salary (in local currency)]],"")</f>
        <v/>
      </c>
      <c r="Z1882" s="13" t="str">
        <f>IF(tblSalaries[[#This Row],[Job Type]]=tblSalaries[[#Headers],[Engineer]],tblSalaries[[#This Row],[Salary in USD]],"")</f>
        <v/>
      </c>
      <c r="AA1882" s="13">
        <f>IF(tblSalaries[[#This Row],[Job Type]]=tblSalaries[[#Headers],[Manager]],tblSalaries[[#This Row],[Salary in USD]],"")</f>
        <v>76223.966339496474</v>
      </c>
      <c r="AB1882" s="13" t="str">
        <f>IF(tblSalaries[[#This Row],[Job Type]]=tblSalaries[[#Headers],[Misc.]],tblSalaries[[#This Row],[Salary in USD]],"")</f>
        <v/>
      </c>
      <c r="AC1882" s="13" t="str">
        <f>IF(tblSalaries[[#This Row],[Job Type]]=tblSalaries[[#Headers],[Reporting]],tblSalaries[[#This Row],[Salary in USD]],"")</f>
        <v/>
      </c>
      <c r="AD1882" s="13" t="str">
        <f>IF(tblSalaries[[#This Row],[Job Type]]=tblSalaries[[#Headers],[Specialist]],tblSalaries[[#This Row],[Salary in USD]],"")</f>
        <v/>
      </c>
    </row>
    <row r="1883" spans="2:30" ht="15" customHeight="1" x14ac:dyDescent="0.25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 s="9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  <c r="N1883" t="str">
        <f>IF(tblSalaries[[#This Row],[Years of Experience]]="","",IF(tblSalaries[[#This Row],[Years of Experience]]&lt;=2,1,""))</f>
        <v/>
      </c>
      <c r="O1883" t="str">
        <f>IF(tblSalaries[[#This Row],[Years of Experience]]="","",IF(AND(tblSalaries[[#This Row],[Years of Experience]]&gt;2,tblSalaries[[#This Row],[Years of Experience]]&lt;=5),1,""))</f>
        <v/>
      </c>
      <c r="P1883" t="str">
        <f>IF(tblSalaries[[#This Row],[Years of Experience]]="","",IF(AND(tblSalaries[[#This Row],[Years of Experience]]&gt;5,tblSalaries[[#This Row],[Years of Experience]]&lt;=10),1,""))</f>
        <v/>
      </c>
      <c r="Q1883" t="str">
        <f>IF(tblSalaries[[#This Row],[Years of Experience]]="","",IF(AND(tblSalaries[[#This Row],[Years of Experience]]&gt;10,tblSalaries[[#This Row],[Years of Experience]]&lt;=15),1,""))</f>
        <v/>
      </c>
      <c r="R1883" t="str">
        <f>IF(tblSalaries[[#This Row],[Years of Experience]]="","",IF(AND(tblSalaries[[#This Row],[Years of Experience]]&gt;16,tblSalaries[[#This Row],[Years of Experience]]&lt;=20),1,""))</f>
        <v/>
      </c>
      <c r="S1883">
        <f>IF(tblSalaries[[#This Row],[Years of Experience]]="","",IF(tblSalaries[[#This Row],[Years of Experience]]&gt;20,1,""))</f>
        <v>1</v>
      </c>
      <c r="T1883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20+ Years</v>
      </c>
      <c r="U1883" s="13" t="str">
        <f>IF(tblSalaries[[#This Row],[Job Type]]=tblSalaries[[#Headers],[Accountant]],tblSalaries[[#This Row],[Salary in USD]],"")</f>
        <v/>
      </c>
      <c r="V1883" s="13">
        <f>IF(tblSalaries[[#This Row],[Job Type]]=tblSalaries[[#Headers],[Analyst]],tblSalaries[[#This Row],[Salary in USD]],"")</f>
        <v>52500</v>
      </c>
      <c r="W1883" s="13" t="str">
        <f>IF(tblSalaries[[#This Row],[Job Type]]=tblSalaries[[#Headers],[Consultant]],tblSalaries[[#This Row],[Salary in USD]],"")</f>
        <v/>
      </c>
      <c r="X1883" s="13" t="str">
        <f>IF(tblSalaries[[#This Row],[Job Type]]=tblSalaries[[#Headers],[Controller]],tblSalaries[[#This Row],[Salary in USD]],"")</f>
        <v/>
      </c>
      <c r="Y1883" s="13" t="str">
        <f>IF(tblSalaries[[#This Row],[Job Type]]=tblSalaries[[#Headers],[CXO or Top Mgmt.]],tblSalaries[[#This Row],[clean Salary (in local currency)]],"")</f>
        <v/>
      </c>
      <c r="Z1883" s="13" t="str">
        <f>IF(tblSalaries[[#This Row],[Job Type]]=tblSalaries[[#Headers],[Engineer]],tblSalaries[[#This Row],[Salary in USD]],"")</f>
        <v/>
      </c>
      <c r="AA1883" s="13" t="str">
        <f>IF(tblSalaries[[#This Row],[Job Type]]=tblSalaries[[#Headers],[Manager]],tblSalaries[[#This Row],[Salary in USD]],"")</f>
        <v/>
      </c>
      <c r="AB1883" s="13" t="str">
        <f>IF(tblSalaries[[#This Row],[Job Type]]=tblSalaries[[#Headers],[Misc.]],tblSalaries[[#This Row],[Salary in USD]],"")</f>
        <v/>
      </c>
      <c r="AC1883" s="13" t="str">
        <f>IF(tblSalaries[[#This Row],[Job Type]]=tblSalaries[[#Headers],[Reporting]],tblSalaries[[#This Row],[Salary in USD]],"")</f>
        <v/>
      </c>
      <c r="AD1883" s="13" t="str">
        <f>IF(tblSalaries[[#This Row],[Job Type]]=tblSalaries[[#Headers],[Specialist]],tblSalaries[[#This Row],[Salary in USD]],"")</f>
        <v/>
      </c>
    </row>
    <row r="1884" spans="2:30" ht="15" customHeight="1" x14ac:dyDescent="0.25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 s="9">
        <f>tblSalaries[[#This Row],[clean Salary (in local currency)]]*VLOOKUP(tblSalaries[[#This Row],[Currency]],tblXrate[],2,FALSE)</f>
        <v>100800</v>
      </c>
      <c r="H1884" t="s">
        <v>1741</v>
      </c>
      <c r="I1884" t="s">
        <v>4001</v>
      </c>
      <c r="J1884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  <c r="N1884" t="str">
        <f>IF(tblSalaries[[#This Row],[Years of Experience]]="","",IF(tblSalaries[[#This Row],[Years of Experience]]&lt;=2,1,""))</f>
        <v/>
      </c>
      <c r="O1884">
        <f>IF(tblSalaries[[#This Row],[Years of Experience]]="","",IF(AND(tblSalaries[[#This Row],[Years of Experience]]&gt;2,tblSalaries[[#This Row],[Years of Experience]]&lt;=5),1,""))</f>
        <v>1</v>
      </c>
      <c r="P1884" t="str">
        <f>IF(tblSalaries[[#This Row],[Years of Experience]]="","",IF(AND(tblSalaries[[#This Row],[Years of Experience]]&gt;5,tblSalaries[[#This Row],[Years of Experience]]&lt;=10),1,""))</f>
        <v/>
      </c>
      <c r="Q1884" t="str">
        <f>IF(tblSalaries[[#This Row],[Years of Experience]]="","",IF(AND(tblSalaries[[#This Row],[Years of Experience]]&gt;10,tblSalaries[[#This Row],[Years of Experience]]&lt;=15),1,""))</f>
        <v/>
      </c>
      <c r="R1884" t="str">
        <f>IF(tblSalaries[[#This Row],[Years of Experience]]="","",IF(AND(tblSalaries[[#This Row],[Years of Experience]]&gt;16,tblSalaries[[#This Row],[Years of Experience]]&lt;=20),1,""))</f>
        <v/>
      </c>
      <c r="S1884" t="str">
        <f>IF(tblSalaries[[#This Row],[Years of Experience]]="","",IF(tblSalaries[[#This Row],[Years of Experience]]&gt;20,1,""))</f>
        <v/>
      </c>
      <c r="T1884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84" s="13" t="str">
        <f>IF(tblSalaries[[#This Row],[Job Type]]=tblSalaries[[#Headers],[Accountant]],tblSalaries[[#This Row],[Salary in USD]],"")</f>
        <v/>
      </c>
      <c r="V1884" s="13" t="str">
        <f>IF(tblSalaries[[#This Row],[Job Type]]=tblSalaries[[#Headers],[Analyst]],tblSalaries[[#This Row],[Salary in USD]],"")</f>
        <v/>
      </c>
      <c r="W1884" s="13" t="str">
        <f>IF(tblSalaries[[#This Row],[Job Type]]=tblSalaries[[#Headers],[Consultant]],tblSalaries[[#This Row],[Salary in USD]],"")</f>
        <v/>
      </c>
      <c r="X1884" s="13" t="str">
        <f>IF(tblSalaries[[#This Row],[Job Type]]=tblSalaries[[#Headers],[Controller]],tblSalaries[[#This Row],[Salary in USD]],"")</f>
        <v/>
      </c>
      <c r="Y1884" s="13">
        <f>IF(tblSalaries[[#This Row],[Job Type]]=tblSalaries[[#Headers],[CXO or Top Mgmt.]],tblSalaries[[#This Row],[clean Salary (in local currency)]],"")</f>
        <v>100800</v>
      </c>
      <c r="Z1884" s="13" t="str">
        <f>IF(tblSalaries[[#This Row],[Job Type]]=tblSalaries[[#Headers],[Engineer]],tblSalaries[[#This Row],[Salary in USD]],"")</f>
        <v/>
      </c>
      <c r="AA1884" s="13" t="str">
        <f>IF(tblSalaries[[#This Row],[Job Type]]=tblSalaries[[#Headers],[Manager]],tblSalaries[[#This Row],[Salary in USD]],"")</f>
        <v/>
      </c>
      <c r="AB1884" s="13" t="str">
        <f>IF(tblSalaries[[#This Row],[Job Type]]=tblSalaries[[#Headers],[Misc.]],tblSalaries[[#This Row],[Salary in USD]],"")</f>
        <v/>
      </c>
      <c r="AC1884" s="13" t="str">
        <f>IF(tblSalaries[[#This Row],[Job Type]]=tblSalaries[[#Headers],[Reporting]],tblSalaries[[#This Row],[Salary in USD]],"")</f>
        <v/>
      </c>
      <c r="AD1884" s="13" t="str">
        <f>IF(tblSalaries[[#This Row],[Job Type]]=tblSalaries[[#Headers],[Specialist]],tblSalaries[[#This Row],[Salary in USD]],"")</f>
        <v/>
      </c>
    </row>
    <row r="1885" spans="2:30" ht="15" customHeight="1" x14ac:dyDescent="0.25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 s="9">
        <f>tblSalaries[[#This Row],[clean Salary (in local currency)]]*VLOOKUP(tblSalaries[[#This Row],[Currency]],tblXrate[],2,FALSE)</f>
        <v>21000</v>
      </c>
      <c r="H1885" t="s">
        <v>2005</v>
      </c>
      <c r="I1885" t="s">
        <v>4000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  <c r="N1885" t="str">
        <f>IF(tblSalaries[[#This Row],[Years of Experience]]="","",IF(tblSalaries[[#This Row],[Years of Experience]]&lt;=2,1,""))</f>
        <v/>
      </c>
      <c r="O1885">
        <f>IF(tblSalaries[[#This Row],[Years of Experience]]="","",IF(AND(tblSalaries[[#This Row],[Years of Experience]]&gt;2,tblSalaries[[#This Row],[Years of Experience]]&lt;=5),1,""))</f>
        <v>1</v>
      </c>
      <c r="P1885" t="str">
        <f>IF(tblSalaries[[#This Row],[Years of Experience]]="","",IF(AND(tblSalaries[[#This Row],[Years of Experience]]&gt;5,tblSalaries[[#This Row],[Years of Experience]]&lt;=10),1,""))</f>
        <v/>
      </c>
      <c r="Q1885" t="str">
        <f>IF(tblSalaries[[#This Row],[Years of Experience]]="","",IF(AND(tblSalaries[[#This Row],[Years of Experience]]&gt;10,tblSalaries[[#This Row],[Years of Experience]]&lt;=15),1,""))</f>
        <v/>
      </c>
      <c r="R1885" t="str">
        <f>IF(tblSalaries[[#This Row],[Years of Experience]]="","",IF(AND(tblSalaries[[#This Row],[Years of Experience]]&gt;16,tblSalaries[[#This Row],[Years of Experience]]&lt;=20),1,""))</f>
        <v/>
      </c>
      <c r="S1885" t="str">
        <f>IF(tblSalaries[[#This Row],[Years of Experience]]="","",IF(tblSalaries[[#This Row],[Years of Experience]]&gt;20,1,""))</f>
        <v/>
      </c>
      <c r="T1885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85" s="13" t="str">
        <f>IF(tblSalaries[[#This Row],[Job Type]]=tblSalaries[[#Headers],[Accountant]],tblSalaries[[#This Row],[Salary in USD]],"")</f>
        <v/>
      </c>
      <c r="V1885" s="13" t="str">
        <f>IF(tblSalaries[[#This Row],[Job Type]]=tblSalaries[[#Headers],[Analyst]],tblSalaries[[#This Row],[Salary in USD]],"")</f>
        <v/>
      </c>
      <c r="W1885" s="13" t="str">
        <f>IF(tblSalaries[[#This Row],[Job Type]]=tblSalaries[[#Headers],[Consultant]],tblSalaries[[#This Row],[Salary in USD]],"")</f>
        <v/>
      </c>
      <c r="X1885" s="13" t="str">
        <f>IF(tblSalaries[[#This Row],[Job Type]]=tblSalaries[[#Headers],[Controller]],tblSalaries[[#This Row],[Salary in USD]],"")</f>
        <v/>
      </c>
      <c r="Y1885" s="13" t="str">
        <f>IF(tblSalaries[[#This Row],[Job Type]]=tblSalaries[[#Headers],[CXO or Top Mgmt.]],tblSalaries[[#This Row],[clean Salary (in local currency)]],"")</f>
        <v/>
      </c>
      <c r="Z1885" s="13" t="str">
        <f>IF(tblSalaries[[#This Row],[Job Type]]=tblSalaries[[#Headers],[Engineer]],tblSalaries[[#This Row],[Salary in USD]],"")</f>
        <v/>
      </c>
      <c r="AA1885" s="13" t="str">
        <f>IF(tblSalaries[[#This Row],[Job Type]]=tblSalaries[[#Headers],[Manager]],tblSalaries[[#This Row],[Salary in USD]],"")</f>
        <v/>
      </c>
      <c r="AB1885" s="13">
        <f>IF(tblSalaries[[#This Row],[Job Type]]=tblSalaries[[#Headers],[Misc.]],tblSalaries[[#This Row],[Salary in USD]],"")</f>
        <v>21000</v>
      </c>
      <c r="AC1885" s="13" t="str">
        <f>IF(tblSalaries[[#This Row],[Job Type]]=tblSalaries[[#Headers],[Reporting]],tblSalaries[[#This Row],[Salary in USD]],"")</f>
        <v/>
      </c>
      <c r="AD1885" s="13" t="str">
        <f>IF(tblSalaries[[#This Row],[Job Type]]=tblSalaries[[#Headers],[Specialist]],tblSalaries[[#This Row],[Salary in USD]],"")</f>
        <v/>
      </c>
    </row>
    <row r="1886" spans="2:30" ht="15" customHeight="1" x14ac:dyDescent="0.25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 s="9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  <c r="N1886" t="str">
        <f>IF(tblSalaries[[#This Row],[Years of Experience]]="","",IF(tblSalaries[[#This Row],[Years of Experience]]&lt;=2,1,""))</f>
        <v/>
      </c>
      <c r="O1886">
        <f>IF(tblSalaries[[#This Row],[Years of Experience]]="","",IF(AND(tblSalaries[[#This Row],[Years of Experience]]&gt;2,tblSalaries[[#This Row],[Years of Experience]]&lt;=5),1,""))</f>
        <v>1</v>
      </c>
      <c r="P1886" t="str">
        <f>IF(tblSalaries[[#This Row],[Years of Experience]]="","",IF(AND(tblSalaries[[#This Row],[Years of Experience]]&gt;5,tblSalaries[[#This Row],[Years of Experience]]&lt;=10),1,""))</f>
        <v/>
      </c>
      <c r="Q1886" t="str">
        <f>IF(tblSalaries[[#This Row],[Years of Experience]]="","",IF(AND(tblSalaries[[#This Row],[Years of Experience]]&gt;10,tblSalaries[[#This Row],[Years of Experience]]&lt;=15),1,""))</f>
        <v/>
      </c>
      <c r="R1886" t="str">
        <f>IF(tblSalaries[[#This Row],[Years of Experience]]="","",IF(AND(tblSalaries[[#This Row],[Years of Experience]]&gt;16,tblSalaries[[#This Row],[Years of Experience]]&lt;=20),1,""))</f>
        <v/>
      </c>
      <c r="S1886" t="str">
        <f>IF(tblSalaries[[#This Row],[Years of Experience]]="","",IF(tblSalaries[[#This Row],[Years of Experience]]&gt;20,1,""))</f>
        <v/>
      </c>
      <c r="T1886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86" s="13" t="str">
        <f>IF(tblSalaries[[#This Row],[Job Type]]=tblSalaries[[#Headers],[Accountant]],tblSalaries[[#This Row],[Salary in USD]],"")</f>
        <v/>
      </c>
      <c r="V1886" s="13">
        <f>IF(tblSalaries[[#This Row],[Job Type]]=tblSalaries[[#Headers],[Analyst]],tblSalaries[[#This Row],[Salary in USD]],"")</f>
        <v>40000</v>
      </c>
      <c r="W1886" s="13" t="str">
        <f>IF(tblSalaries[[#This Row],[Job Type]]=tblSalaries[[#Headers],[Consultant]],tblSalaries[[#This Row],[Salary in USD]],"")</f>
        <v/>
      </c>
      <c r="X1886" s="13" t="str">
        <f>IF(tblSalaries[[#This Row],[Job Type]]=tblSalaries[[#Headers],[Controller]],tblSalaries[[#This Row],[Salary in USD]],"")</f>
        <v/>
      </c>
      <c r="Y1886" s="13" t="str">
        <f>IF(tblSalaries[[#This Row],[Job Type]]=tblSalaries[[#Headers],[CXO or Top Mgmt.]],tblSalaries[[#This Row],[clean Salary (in local currency)]],"")</f>
        <v/>
      </c>
      <c r="Z1886" s="13" t="str">
        <f>IF(tblSalaries[[#This Row],[Job Type]]=tblSalaries[[#Headers],[Engineer]],tblSalaries[[#This Row],[Salary in USD]],"")</f>
        <v/>
      </c>
      <c r="AA1886" s="13" t="str">
        <f>IF(tblSalaries[[#This Row],[Job Type]]=tblSalaries[[#Headers],[Manager]],tblSalaries[[#This Row],[Salary in USD]],"")</f>
        <v/>
      </c>
      <c r="AB1886" s="13" t="str">
        <f>IF(tblSalaries[[#This Row],[Job Type]]=tblSalaries[[#Headers],[Misc.]],tblSalaries[[#This Row],[Salary in USD]],"")</f>
        <v/>
      </c>
      <c r="AC1886" s="13" t="str">
        <f>IF(tblSalaries[[#This Row],[Job Type]]=tblSalaries[[#Headers],[Reporting]],tblSalaries[[#This Row],[Salary in USD]],"")</f>
        <v/>
      </c>
      <c r="AD1886" s="13" t="str">
        <f>IF(tblSalaries[[#This Row],[Job Type]]=tblSalaries[[#Headers],[Specialist]],tblSalaries[[#This Row],[Salary in USD]],"")</f>
        <v/>
      </c>
    </row>
    <row r="1887" spans="2:30" ht="15" customHeight="1" x14ac:dyDescent="0.25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 s="9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  <c r="N1887" t="str">
        <f>IF(tblSalaries[[#This Row],[Years of Experience]]="","",IF(tblSalaries[[#This Row],[Years of Experience]]&lt;=2,1,""))</f>
        <v/>
      </c>
      <c r="O1887">
        <f>IF(tblSalaries[[#This Row],[Years of Experience]]="","",IF(AND(tblSalaries[[#This Row],[Years of Experience]]&gt;2,tblSalaries[[#This Row],[Years of Experience]]&lt;=5),1,""))</f>
        <v>1</v>
      </c>
      <c r="P1887" t="str">
        <f>IF(tblSalaries[[#This Row],[Years of Experience]]="","",IF(AND(tblSalaries[[#This Row],[Years of Experience]]&gt;5,tblSalaries[[#This Row],[Years of Experience]]&lt;=10),1,""))</f>
        <v/>
      </c>
      <c r="Q1887" t="str">
        <f>IF(tblSalaries[[#This Row],[Years of Experience]]="","",IF(AND(tblSalaries[[#This Row],[Years of Experience]]&gt;10,tblSalaries[[#This Row],[Years of Experience]]&lt;=15),1,""))</f>
        <v/>
      </c>
      <c r="R1887" t="str">
        <f>IF(tblSalaries[[#This Row],[Years of Experience]]="","",IF(AND(tblSalaries[[#This Row],[Years of Experience]]&gt;16,tblSalaries[[#This Row],[Years of Experience]]&lt;=20),1,""))</f>
        <v/>
      </c>
      <c r="S1887" t="str">
        <f>IF(tblSalaries[[#This Row],[Years of Experience]]="","",IF(tblSalaries[[#This Row],[Years of Experience]]&gt;20,1,""))</f>
        <v/>
      </c>
      <c r="T1887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3-5 Years</v>
      </c>
      <c r="U1887" s="13" t="str">
        <f>IF(tblSalaries[[#This Row],[Job Type]]=tblSalaries[[#Headers],[Accountant]],tblSalaries[[#This Row],[Salary in USD]],"")</f>
        <v/>
      </c>
      <c r="V1887" s="13">
        <f>IF(tblSalaries[[#This Row],[Job Type]]=tblSalaries[[#Headers],[Analyst]],tblSalaries[[#This Row],[Salary in USD]],"")</f>
        <v>46359</v>
      </c>
      <c r="W1887" s="13" t="str">
        <f>IF(tblSalaries[[#This Row],[Job Type]]=tblSalaries[[#Headers],[Consultant]],tblSalaries[[#This Row],[Salary in USD]],"")</f>
        <v/>
      </c>
      <c r="X1887" s="13" t="str">
        <f>IF(tblSalaries[[#This Row],[Job Type]]=tblSalaries[[#Headers],[Controller]],tblSalaries[[#This Row],[Salary in USD]],"")</f>
        <v/>
      </c>
      <c r="Y1887" s="13" t="str">
        <f>IF(tblSalaries[[#This Row],[Job Type]]=tblSalaries[[#Headers],[CXO or Top Mgmt.]],tblSalaries[[#This Row],[clean Salary (in local currency)]],"")</f>
        <v/>
      </c>
      <c r="Z1887" s="13" t="str">
        <f>IF(tblSalaries[[#This Row],[Job Type]]=tblSalaries[[#Headers],[Engineer]],tblSalaries[[#This Row],[Salary in USD]],"")</f>
        <v/>
      </c>
      <c r="AA1887" s="13" t="str">
        <f>IF(tblSalaries[[#This Row],[Job Type]]=tblSalaries[[#Headers],[Manager]],tblSalaries[[#This Row],[Salary in USD]],"")</f>
        <v/>
      </c>
      <c r="AB1887" s="13" t="str">
        <f>IF(tblSalaries[[#This Row],[Job Type]]=tblSalaries[[#Headers],[Misc.]],tblSalaries[[#This Row],[Salary in USD]],"")</f>
        <v/>
      </c>
      <c r="AC1887" s="13" t="str">
        <f>IF(tblSalaries[[#This Row],[Job Type]]=tblSalaries[[#Headers],[Reporting]],tblSalaries[[#This Row],[Salary in USD]],"")</f>
        <v/>
      </c>
      <c r="AD1887" s="13" t="str">
        <f>IF(tblSalaries[[#This Row],[Job Type]]=tblSalaries[[#Headers],[Specialist]],tblSalaries[[#This Row],[Salary in USD]],"")</f>
        <v/>
      </c>
    </row>
    <row r="1888" spans="2:30" ht="15" customHeight="1" x14ac:dyDescent="0.25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 s="9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  <c r="N1888" t="str">
        <f>IF(tblSalaries[[#This Row],[Years of Experience]]="","",IF(tblSalaries[[#This Row],[Years of Experience]]&lt;=2,1,""))</f>
        <v/>
      </c>
      <c r="O1888" t="str">
        <f>IF(tblSalaries[[#This Row],[Years of Experience]]="","",IF(AND(tblSalaries[[#This Row],[Years of Experience]]&gt;2,tblSalaries[[#This Row],[Years of Experience]]&lt;=5),1,""))</f>
        <v/>
      </c>
      <c r="P1888">
        <f>IF(tblSalaries[[#This Row],[Years of Experience]]="","",IF(AND(tblSalaries[[#This Row],[Years of Experience]]&gt;5,tblSalaries[[#This Row],[Years of Experience]]&lt;=10),1,""))</f>
        <v>1</v>
      </c>
      <c r="Q1888" t="str">
        <f>IF(tblSalaries[[#This Row],[Years of Experience]]="","",IF(AND(tblSalaries[[#This Row],[Years of Experience]]&gt;10,tblSalaries[[#This Row],[Years of Experience]]&lt;=15),1,""))</f>
        <v/>
      </c>
      <c r="R1888" t="str">
        <f>IF(tblSalaries[[#This Row],[Years of Experience]]="","",IF(AND(tblSalaries[[#This Row],[Years of Experience]]&gt;16,tblSalaries[[#This Row],[Years of Experience]]&lt;=20),1,""))</f>
        <v/>
      </c>
      <c r="S1888" t="str">
        <f>IF(tblSalaries[[#This Row],[Years of Experience]]="","",IF(tblSalaries[[#This Row],[Years of Experience]]&gt;20,1,""))</f>
        <v/>
      </c>
      <c r="T1888" t="str">
        <f>IF(tblSalaries[[#This Row],[0-2 Years]]=1,tblSalaries[[#Headers],[0-2 Years]],IF(tblSalaries[[#This Row],[3-5 Years]]=1,tblSalaries[[#Headers],[3-5 Years]],IF(tblSalaries[[#This Row],[5-10 Years]]=1,tblSalaries[[#Headers],[5-10 Years]],IF(tblSalaries[[#This Row],[11-15 Years]]=1,tblSalaries[[#Headers],[11-15 Years]],IF(tblSalaries[[#This Row],[16-20 Years]]=1,tblSalaries[[#Headers],[16-20 Years]],IF(tblSalaries[[#This Row],[20+ Years]]=1,tblSalaries[[#Headers],[20+ Years]],""))))))</f>
        <v>5-10 Years</v>
      </c>
      <c r="U1888" s="13" t="str">
        <f>IF(tblSalaries[[#This Row],[Job Type]]=tblSalaries[[#Headers],[Accountant]],tblSalaries[[#This Row],[Salary in USD]],"")</f>
        <v/>
      </c>
      <c r="V1888" s="13">
        <f>IF(tblSalaries[[#This Row],[Job Type]]=tblSalaries[[#Headers],[Analyst]],tblSalaries[[#This Row],[Salary in USD]],"")</f>
        <v>70000</v>
      </c>
      <c r="W1888" s="13" t="str">
        <f>IF(tblSalaries[[#This Row],[Job Type]]=tblSalaries[[#Headers],[Consultant]],tblSalaries[[#This Row],[Salary in USD]],"")</f>
        <v/>
      </c>
      <c r="X1888" s="13" t="str">
        <f>IF(tblSalaries[[#This Row],[Job Type]]=tblSalaries[[#Headers],[Controller]],tblSalaries[[#This Row],[Salary in USD]],"")</f>
        <v/>
      </c>
      <c r="Y1888" s="13" t="str">
        <f>IF(tblSalaries[[#This Row],[Job Type]]=tblSalaries[[#Headers],[CXO or Top Mgmt.]],tblSalaries[[#This Row],[clean Salary (in local currency)]],"")</f>
        <v/>
      </c>
      <c r="Z1888" s="13" t="str">
        <f>IF(tblSalaries[[#This Row],[Job Type]]=tblSalaries[[#Headers],[Engineer]],tblSalaries[[#This Row],[Salary in USD]],"")</f>
        <v/>
      </c>
      <c r="AA1888" s="13" t="str">
        <f>IF(tblSalaries[[#This Row],[Job Type]]=tblSalaries[[#Headers],[Manager]],tblSalaries[[#This Row],[Salary in USD]],"")</f>
        <v/>
      </c>
      <c r="AB1888" s="13" t="str">
        <f>IF(tblSalaries[[#This Row],[Job Type]]=tblSalaries[[#Headers],[Misc.]],tblSalaries[[#This Row],[Salary in USD]],"")</f>
        <v/>
      </c>
      <c r="AC1888" s="13" t="str">
        <f>IF(tblSalaries[[#This Row],[Job Type]]=tblSalaries[[#Headers],[Reporting]],tblSalaries[[#This Row],[Salary in USD]],"")</f>
        <v/>
      </c>
      <c r="AD1888" s="13" t="str">
        <f>IF(tblSalaries[[#This Row],[Job Type]]=tblSalaries[[#Headers],[Specialist]],tblSalaries[[#This Row],[Salary in USD]],"")</f>
        <v/>
      </c>
    </row>
  </sheetData>
  <mergeCells count="1">
    <mergeCell ref="B1:E1"/>
  </mergeCells>
  <conditionalFormatting sqref="B1777:S1888 B1776:D1776 F1776:S1776 B1715:S1775 B1714:D1714 F1714:S1714 B1707:S1713 B1706:D1706 F1706:S1706 B1648:S1705 B1647:D1647 F1647:S1647 B1303:S1646 B1302:D1302 F1302:S1302 B1091:S1301 B1090:D1090 F1090:S1090 B1079:S1089 B1078:D1078 F1078:S1078 B1050:S1077 B1049:D1049 F1049:S1049 B874:S1048 B873:D873 F873:S873 B808:S872 B807:D807 F807:S807 B804:S806 B803:D803 F803:S803 B787:S802 B786:D786 F786:S786 B751:S785 B750:D750 F750:S750 B714:S749 B713:D713 F713:S713 B710:S712 B709:D709 F709:S709 B699:S708 B698:D698 F698:S698 B692:S697 B691:D691 F691:S691 B660:S690 B659:D659 F659:S659 B636:S658 B635:D635 F635:S635 B597:S634 B596:D596 F596:S596 B425:S595 B424:D424 F424:S424 B39:S44 B7:D38 F7:S38 B47:S47 B45:D46 F45:S46 B49:S52 B48:D48 F48:S48 B55:S59 B53:D54 F53:S54 B61:S61 B60:D60 F60:S60 B63:S79 B62:D62 F62:S62 B81:S91 B80:D80 F80:S80 B93:S101 B92:D92 F92:S92 B103:S103 B102:D102 F102:S102 B105:S139 B104:D104 F104:S104 B141:S154 B140:D140 F140:S140 B156:S158 B155:D155 F155:S155 B160:S215 B159:D159 F159:S159 B217:S241 B216:D216 F216:S216 B243:S277 B242:D242 F242:S242 B279:S309 B278:D278 F278:S278 B311:S423 B310:D310 F310:S310 B6:S6">
    <cfRule type="expression" dxfId="0" priority="1">
      <formula>$F6="ERR"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74"/>
  <sheetViews>
    <sheetView workbookViewId="0">
      <selection activeCell="AA12" sqref="AA12:AJ21"/>
    </sheetView>
  </sheetViews>
  <sheetFormatPr defaultRowHeight="12.75" x14ac:dyDescent="0.2"/>
  <cols>
    <col min="1" max="1" width="9.140625" style="14"/>
    <col min="2" max="2" width="36.140625" style="14" customWidth="1"/>
    <col min="3" max="3" width="6.5703125" style="14" customWidth="1"/>
    <col min="4" max="4" width="36.140625" style="14" customWidth="1"/>
    <col min="5" max="5" width="6.5703125" style="14" customWidth="1"/>
    <col min="6" max="6" width="36.140625" style="14" customWidth="1"/>
    <col min="7" max="7" width="6.5703125" style="14" customWidth="1"/>
    <col min="8" max="8" width="36.140625" style="14" customWidth="1"/>
    <col min="9" max="9" width="6.5703125" style="14" customWidth="1"/>
    <col min="10" max="10" width="36.140625" style="14" customWidth="1"/>
    <col min="11" max="11" width="6.5703125" style="14" customWidth="1"/>
    <col min="12" max="12" width="36.140625" style="14" customWidth="1"/>
    <col min="13" max="13" width="6.5703125" style="14" customWidth="1"/>
    <col min="14" max="14" width="36.140625" style="14" customWidth="1"/>
    <col min="15" max="15" width="6.5703125" style="14" customWidth="1"/>
    <col min="16" max="16" width="36.140625" style="14" customWidth="1"/>
    <col min="17" max="17" width="6.5703125" style="14" customWidth="1"/>
    <col min="18" max="18" width="36.140625" style="14" customWidth="1"/>
    <col min="19" max="19" width="6.5703125" style="14" customWidth="1"/>
    <col min="20" max="20" width="36.140625" style="14" customWidth="1"/>
    <col min="21" max="21" width="6.5703125" style="14" customWidth="1"/>
    <col min="22" max="22" width="12" style="14" customWidth="1"/>
    <col min="23" max="27" width="6" style="14" customWidth="1"/>
    <col min="28" max="28" width="12.5703125" style="14" bestFit="1" customWidth="1"/>
    <col min="29" max="29" width="11.5703125" style="14" bestFit="1" customWidth="1"/>
    <col min="30" max="30" width="12.140625" style="14" bestFit="1" customWidth="1"/>
    <col min="31" max="31" width="11.5703125" style="14" bestFit="1" customWidth="1"/>
    <col min="32" max="32" width="16.7109375" style="14" bestFit="1" customWidth="1"/>
    <col min="33" max="33" width="10.28515625" style="14" bestFit="1" customWidth="1"/>
    <col min="34" max="34" width="10.140625" style="14" bestFit="1" customWidth="1"/>
    <col min="35" max="35" width="9" style="14" bestFit="1" customWidth="1"/>
    <col min="36" max="36" width="11.140625" style="14" bestFit="1" customWidth="1"/>
    <col min="37" max="37" width="10.85546875" style="14" bestFit="1" customWidth="1"/>
    <col min="38" max="38" width="12" style="14" customWidth="1"/>
    <col min="39" max="39" width="10" style="14" bestFit="1" customWidth="1"/>
    <col min="40" max="43" width="6" style="14" customWidth="1"/>
    <col min="44" max="44" width="12" style="14" customWidth="1"/>
    <col min="45" max="45" width="11" style="14" customWidth="1"/>
    <col min="46" max="46" width="6" style="14" customWidth="1"/>
    <col min="47" max="47" width="12" style="14" customWidth="1"/>
    <col min="48" max="49" width="6" style="14" customWidth="1"/>
    <col min="50" max="50" width="12" style="14" customWidth="1"/>
    <col min="51" max="51" width="6" style="14" customWidth="1"/>
    <col min="52" max="53" width="12" style="14" customWidth="1"/>
    <col min="54" max="56" width="6" style="14" customWidth="1"/>
    <col min="57" max="57" width="12" style="14" customWidth="1"/>
    <col min="58" max="58" width="6" style="14" customWidth="1"/>
    <col min="59" max="59" width="12" style="14" customWidth="1"/>
    <col min="60" max="60" width="6" style="14" customWidth="1"/>
    <col min="61" max="62" width="12" style="14" customWidth="1"/>
    <col min="63" max="65" width="6" style="14" customWidth="1"/>
    <col min="66" max="66" width="11" style="14" customWidth="1"/>
    <col min="67" max="68" width="12" style="14" customWidth="1"/>
    <col min="69" max="71" width="6" style="14" customWidth="1"/>
    <col min="72" max="72" width="12" style="14" customWidth="1"/>
    <col min="73" max="73" width="6" style="14" customWidth="1"/>
    <col min="74" max="77" width="12" style="14" customWidth="1"/>
    <col min="78" max="80" width="6" style="14" customWidth="1"/>
    <col min="81" max="81" width="11" style="14" customWidth="1"/>
    <col min="82" max="82" width="6" style="14" customWidth="1"/>
    <col min="83" max="84" width="12" style="14" customWidth="1"/>
    <col min="85" max="85" width="6" style="14" customWidth="1"/>
    <col min="86" max="86" width="12" style="14" customWidth="1"/>
    <col min="87" max="88" width="6" style="14" customWidth="1"/>
    <col min="89" max="89" width="11" style="14" customWidth="1"/>
    <col min="90" max="90" width="6" style="14" customWidth="1"/>
    <col min="91" max="91" width="11" style="14" customWidth="1"/>
    <col min="92" max="92" width="12" style="14" customWidth="1"/>
    <col min="93" max="93" width="6" style="14" customWidth="1"/>
    <col min="94" max="97" width="7" style="14" customWidth="1"/>
    <col min="98" max="101" width="12" style="14" customWidth="1"/>
    <col min="102" max="104" width="7" style="14" customWidth="1"/>
    <col min="105" max="105" width="12" style="14" customWidth="1"/>
    <col min="106" max="106" width="5" style="14" customWidth="1"/>
    <col min="107" max="107" width="11.28515625" style="14" customWidth="1"/>
    <col min="108" max="108" width="7.85546875" style="14" customWidth="1"/>
    <col min="109" max="109" width="10.85546875" style="14" customWidth="1"/>
    <col min="110" max="110" width="13.85546875" style="14" customWidth="1"/>
    <col min="111" max="111" width="21.85546875" style="14" customWidth="1"/>
    <col min="112" max="112" width="13.85546875" style="14" customWidth="1"/>
    <col min="113" max="113" width="21.85546875" style="14" customWidth="1"/>
    <col min="114" max="114" width="7.85546875" style="14" customWidth="1"/>
    <col min="115" max="115" width="10.85546875" style="14" customWidth="1"/>
    <col min="116" max="116" width="7.85546875" style="14" customWidth="1"/>
    <col min="117" max="117" width="10.85546875" style="14" customWidth="1"/>
    <col min="118" max="118" width="7.85546875" style="14" customWidth="1"/>
    <col min="119" max="119" width="10.85546875" style="14" customWidth="1"/>
    <col min="120" max="120" width="13.85546875" style="14" customWidth="1"/>
    <col min="121" max="121" width="21.85546875" style="14" customWidth="1"/>
    <col min="122" max="122" width="7.85546875" style="14" customWidth="1"/>
    <col min="123" max="123" width="10.85546875" style="14" customWidth="1"/>
    <col min="124" max="124" width="13.85546875" style="14" customWidth="1"/>
    <col min="125" max="125" width="21.85546875" style="14" customWidth="1"/>
    <col min="126" max="126" width="7.85546875" style="14" customWidth="1"/>
    <col min="127" max="127" width="10.85546875" style="14" customWidth="1"/>
    <col min="128" max="128" width="13.85546875" style="14" customWidth="1"/>
    <col min="129" max="129" width="21.85546875" style="14" customWidth="1"/>
    <col min="130" max="130" width="13.85546875" style="14" customWidth="1"/>
    <col min="131" max="131" width="21.85546875" style="14" customWidth="1"/>
    <col min="132" max="132" width="7.85546875" style="14" customWidth="1"/>
    <col min="133" max="133" width="10.85546875" style="14" customWidth="1"/>
    <col min="134" max="134" width="7.85546875" style="14" customWidth="1"/>
    <col min="135" max="135" width="10.85546875" style="14" customWidth="1"/>
    <col min="136" max="136" width="7.85546875" style="14" customWidth="1"/>
    <col min="137" max="137" width="10.85546875" style="14" customWidth="1"/>
    <col min="138" max="138" width="12.85546875" style="14" customWidth="1"/>
    <col min="139" max="139" width="21.85546875" style="14" customWidth="1"/>
    <col min="140" max="140" width="13.85546875" style="14" customWidth="1"/>
    <col min="141" max="141" width="21.85546875" style="14" customWidth="1"/>
    <col min="142" max="142" width="13.85546875" style="14" customWidth="1"/>
    <col min="143" max="143" width="21.85546875" style="14" customWidth="1"/>
    <col min="144" max="144" width="7.85546875" style="14" customWidth="1"/>
    <col min="145" max="145" width="10.85546875" style="14" customWidth="1"/>
    <col min="146" max="146" width="7.85546875" style="14" customWidth="1"/>
    <col min="147" max="147" width="10.85546875" style="14" customWidth="1"/>
    <col min="148" max="148" width="7.85546875" style="14" customWidth="1"/>
    <col min="149" max="149" width="10.85546875" style="14" customWidth="1"/>
    <col min="150" max="150" width="13.85546875" style="14" customWidth="1"/>
    <col min="151" max="151" width="21.85546875" style="14" customWidth="1"/>
    <col min="152" max="152" width="7.85546875" style="14" customWidth="1"/>
    <col min="153" max="153" width="10.85546875" style="14" customWidth="1"/>
    <col min="154" max="154" width="13.85546875" style="14" customWidth="1"/>
    <col min="155" max="155" width="21.85546875" style="14" customWidth="1"/>
    <col min="156" max="156" width="13.85546875" style="14" customWidth="1"/>
    <col min="157" max="157" width="21.85546875" style="14" customWidth="1"/>
    <col min="158" max="158" width="13.85546875" style="14" customWidth="1"/>
    <col min="159" max="159" width="21.85546875" style="14" customWidth="1"/>
    <col min="160" max="160" width="13.85546875" style="14" customWidth="1"/>
    <col min="161" max="161" width="21.85546875" style="14" customWidth="1"/>
    <col min="162" max="162" width="7.85546875" style="14" customWidth="1"/>
    <col min="163" max="163" width="10.85546875" style="14" customWidth="1"/>
    <col min="164" max="164" width="7.85546875" style="14" customWidth="1"/>
    <col min="165" max="165" width="10.85546875" style="14" customWidth="1"/>
    <col min="166" max="166" width="7.85546875" style="14" customWidth="1"/>
    <col min="167" max="167" width="10.85546875" style="14" customWidth="1"/>
    <col min="168" max="168" width="12.85546875" style="14" customWidth="1"/>
    <col min="169" max="169" width="21.85546875" style="14" customWidth="1"/>
    <col min="170" max="170" width="7.85546875" style="14" customWidth="1"/>
    <col min="171" max="171" width="10.85546875" style="14" customWidth="1"/>
    <col min="172" max="172" width="13.85546875" style="14" customWidth="1"/>
    <col min="173" max="173" width="21.85546875" style="14" customWidth="1"/>
    <col min="174" max="174" width="13.85546875" style="14" customWidth="1"/>
    <col min="175" max="175" width="21.85546875" style="14" customWidth="1"/>
    <col min="176" max="176" width="7.85546875" style="14" customWidth="1"/>
    <col min="177" max="177" width="10.85546875" style="14" customWidth="1"/>
    <col min="178" max="178" width="13.85546875" style="14" customWidth="1"/>
    <col min="179" max="179" width="21.85546875" style="14" customWidth="1"/>
    <col min="180" max="180" width="7.85546875" style="14" customWidth="1"/>
    <col min="181" max="181" width="10.85546875" style="14" customWidth="1"/>
    <col min="182" max="182" width="7.85546875" style="14" customWidth="1"/>
    <col min="183" max="183" width="10.85546875" style="14" customWidth="1"/>
    <col min="184" max="184" width="12.85546875" style="14" customWidth="1"/>
    <col min="185" max="185" width="21.85546875" style="14" customWidth="1"/>
    <col min="186" max="186" width="7.85546875" style="14" customWidth="1"/>
    <col min="187" max="187" width="10.85546875" style="14" customWidth="1"/>
    <col min="188" max="188" width="12.85546875" style="14" customWidth="1"/>
    <col min="189" max="189" width="21.85546875" style="14" customWidth="1"/>
    <col min="190" max="190" width="13.85546875" style="14" customWidth="1"/>
    <col min="191" max="191" width="21.85546875" style="14" customWidth="1"/>
    <col min="192" max="192" width="7.85546875" style="14" customWidth="1"/>
    <col min="193" max="193" width="10.85546875" style="14" customWidth="1"/>
    <col min="194" max="194" width="8.85546875" style="14" customWidth="1"/>
    <col min="195" max="195" width="11.85546875" style="14" customWidth="1"/>
    <col min="196" max="196" width="8.85546875" style="14" customWidth="1"/>
    <col min="197" max="197" width="11.85546875" style="14" customWidth="1"/>
    <col min="198" max="198" width="8.85546875" style="14" customWidth="1"/>
    <col min="199" max="199" width="11.85546875" style="14" customWidth="1"/>
    <col min="200" max="200" width="8.85546875" style="14" customWidth="1"/>
    <col min="201" max="201" width="11.85546875" style="14" customWidth="1"/>
    <col min="202" max="202" width="13.85546875" style="14" customWidth="1"/>
    <col min="203" max="203" width="21.85546875" style="14" customWidth="1"/>
    <col min="204" max="204" width="13.85546875" style="14" customWidth="1"/>
    <col min="205" max="205" width="21.85546875" style="14" customWidth="1"/>
    <col min="206" max="206" width="13.85546875" style="14" customWidth="1"/>
    <col min="207" max="207" width="21.85546875" style="14" customWidth="1"/>
    <col min="208" max="208" width="13.85546875" style="14" customWidth="1"/>
    <col min="209" max="209" width="21.85546875" style="14" customWidth="1"/>
    <col min="210" max="210" width="8.85546875" style="14" customWidth="1"/>
    <col min="211" max="211" width="11.85546875" style="14" customWidth="1"/>
    <col min="212" max="212" width="8.85546875" style="14" customWidth="1"/>
    <col min="213" max="213" width="11.85546875" style="14" customWidth="1"/>
    <col min="214" max="214" width="8.85546875" style="14" customWidth="1"/>
    <col min="215" max="215" width="11.85546875" style="14" customWidth="1"/>
    <col min="216" max="216" width="13.85546875" style="14" customWidth="1"/>
    <col min="217" max="217" width="21.85546875" style="14" customWidth="1"/>
    <col min="218" max="219" width="12" style="14" customWidth="1"/>
    <col min="220" max="220" width="5" style="14" customWidth="1"/>
    <col min="221" max="222" width="12" style="14" customWidth="1"/>
    <col min="223" max="223" width="5" style="14" customWidth="1"/>
    <col min="224" max="224" width="12" style="14" customWidth="1"/>
    <col min="225" max="225" width="5" style="14" customWidth="1"/>
    <col min="226" max="227" width="12" style="14" customWidth="1"/>
    <col min="228" max="228" width="5" style="14" customWidth="1"/>
    <col min="229" max="231" width="12" style="14" customWidth="1"/>
    <col min="232" max="232" width="5" style="14" customWidth="1"/>
    <col min="233" max="234" width="12" style="14" customWidth="1"/>
    <col min="235" max="236" width="5" style="14" customWidth="1"/>
    <col min="237" max="237" width="12" style="14" customWidth="1"/>
    <col min="238" max="239" width="5" style="14" customWidth="1"/>
    <col min="240" max="241" width="12" style="14" customWidth="1"/>
    <col min="242" max="242" width="5" style="14" customWidth="1"/>
    <col min="243" max="245" width="12" style="14" customWidth="1"/>
    <col min="246" max="247" width="5" style="14" customWidth="1"/>
    <col min="248" max="249" width="12" style="14" customWidth="1"/>
    <col min="250" max="250" width="11" style="14" customWidth="1"/>
    <col min="251" max="252" width="5" style="14" customWidth="1"/>
    <col min="253" max="260" width="12" style="14" customWidth="1"/>
    <col min="261" max="261" width="5" style="14" customWidth="1"/>
    <col min="262" max="262" width="11" style="14" customWidth="1"/>
    <col min="263" max="265" width="12" style="14" customWidth="1"/>
    <col min="266" max="266" width="5" style="14" customWidth="1"/>
    <col min="267" max="267" width="12" style="14" customWidth="1"/>
    <col min="268" max="268" width="5" style="14" customWidth="1"/>
    <col min="269" max="270" width="12" style="14" customWidth="1"/>
    <col min="271" max="272" width="5" style="14" customWidth="1"/>
    <col min="273" max="273" width="11" style="14" customWidth="1"/>
    <col min="274" max="274" width="5" style="14" customWidth="1"/>
    <col min="275" max="275" width="12" style="14" customWidth="1"/>
    <col min="276" max="276" width="5" style="14" customWidth="1"/>
    <col min="277" max="278" width="12" style="14" customWidth="1"/>
    <col min="279" max="279" width="5" style="14" customWidth="1"/>
    <col min="280" max="281" width="12" style="14" customWidth="1"/>
    <col min="282" max="282" width="6" style="14" customWidth="1"/>
    <col min="283" max="283" width="12" style="14" customWidth="1"/>
    <col min="284" max="284" width="6" style="14" customWidth="1"/>
    <col min="285" max="286" width="12" style="14" customWidth="1"/>
    <col min="287" max="287" width="6" style="14" customWidth="1"/>
    <col min="288" max="292" width="12" style="14" customWidth="1"/>
    <col min="293" max="294" width="6" style="14" customWidth="1"/>
    <col min="295" max="296" width="12" style="14" customWidth="1"/>
    <col min="297" max="297" width="6" style="14" customWidth="1"/>
    <col min="298" max="298" width="11" style="14" customWidth="1"/>
    <col min="299" max="300" width="12" style="14" customWidth="1"/>
    <col min="301" max="304" width="6" style="14" customWidth="1"/>
    <col min="305" max="308" width="12" style="14" customWidth="1"/>
    <col min="309" max="309" width="6" style="14" customWidth="1"/>
    <col min="310" max="310" width="12" style="14" customWidth="1"/>
    <col min="311" max="311" width="6" style="14" customWidth="1"/>
    <col min="312" max="312" width="11" style="14" customWidth="1"/>
    <col min="313" max="313" width="6" style="14" customWidth="1"/>
    <col min="314" max="314" width="12" style="14" customWidth="1"/>
    <col min="315" max="315" width="6" style="14" customWidth="1"/>
    <col min="316" max="316" width="12" style="14" customWidth="1"/>
    <col min="317" max="317" width="6" style="14" customWidth="1"/>
    <col min="318" max="318" width="12" style="14" customWidth="1"/>
    <col min="319" max="320" width="6" style="14" customWidth="1"/>
    <col min="321" max="321" width="12" style="14" customWidth="1"/>
    <col min="322" max="322" width="6" style="14" customWidth="1"/>
    <col min="323" max="323" width="12" style="14" customWidth="1"/>
    <col min="324" max="324" width="6" style="14" customWidth="1"/>
    <col min="325" max="325" width="12" style="14" customWidth="1"/>
    <col min="326" max="326" width="6" style="14" customWidth="1"/>
    <col min="327" max="327" width="12" style="14" customWidth="1"/>
    <col min="328" max="328" width="6" style="14" customWidth="1"/>
    <col min="329" max="330" width="12" style="14" customWidth="1"/>
    <col min="331" max="331" width="6" style="14" customWidth="1"/>
    <col min="332" max="333" width="12" style="14" customWidth="1"/>
    <col min="334" max="334" width="6" style="14" customWidth="1"/>
    <col min="335" max="335" width="12" style="14" customWidth="1"/>
    <col min="336" max="337" width="6" style="14" customWidth="1"/>
    <col min="338" max="340" width="12" style="14" customWidth="1"/>
    <col min="341" max="344" width="6" style="14" customWidth="1"/>
    <col min="345" max="346" width="12" style="14" customWidth="1"/>
    <col min="347" max="347" width="11" style="14" customWidth="1"/>
    <col min="348" max="352" width="6" style="14" customWidth="1"/>
    <col min="353" max="356" width="12" style="14" customWidth="1"/>
    <col min="357" max="357" width="6" style="14" customWidth="1"/>
    <col min="358" max="358" width="12" style="14" customWidth="1"/>
    <col min="359" max="359" width="6" style="14" customWidth="1"/>
    <col min="360" max="360" width="12" style="14" customWidth="1"/>
    <col min="361" max="362" width="6" style="14" customWidth="1"/>
    <col min="363" max="364" width="12" style="14" customWidth="1"/>
    <col min="365" max="365" width="6" style="14" customWidth="1"/>
    <col min="366" max="367" width="12" style="14" customWidth="1"/>
    <col min="368" max="369" width="6" style="14" customWidth="1"/>
    <col min="370" max="371" width="12" style="14" customWidth="1"/>
    <col min="372" max="374" width="6" style="14" customWidth="1"/>
    <col min="375" max="375" width="12" style="14" customWidth="1"/>
    <col min="376" max="376" width="6" style="14" customWidth="1"/>
    <col min="377" max="378" width="12" style="14" customWidth="1"/>
    <col min="379" max="379" width="11" style="14" customWidth="1"/>
    <col min="380" max="381" width="6" style="14" customWidth="1"/>
    <col min="382" max="382" width="12" style="14" customWidth="1"/>
    <col min="383" max="383" width="6" style="14" customWidth="1"/>
    <col min="384" max="385" width="12" style="14" customWidth="1"/>
    <col min="386" max="386" width="6" style="14" customWidth="1"/>
    <col min="387" max="387" width="12" style="14" customWidth="1"/>
    <col min="388" max="389" width="6" style="14" customWidth="1"/>
    <col min="390" max="390" width="12" style="14" customWidth="1"/>
    <col min="391" max="393" width="6" style="14" customWidth="1"/>
    <col min="394" max="394" width="12" style="14" customWidth="1"/>
    <col min="395" max="396" width="6" style="14" customWidth="1"/>
    <col min="397" max="398" width="12" style="14" customWidth="1"/>
    <col min="399" max="399" width="6" style="14" customWidth="1"/>
    <col min="400" max="400" width="12" style="14" customWidth="1"/>
    <col min="401" max="401" width="6" style="14" customWidth="1"/>
    <col min="402" max="403" width="12" style="14" customWidth="1"/>
    <col min="404" max="404" width="6" style="14" customWidth="1"/>
    <col min="405" max="405" width="12" style="14" customWidth="1"/>
    <col min="406" max="406" width="6" style="14" customWidth="1"/>
    <col min="407" max="407" width="12" style="14" customWidth="1"/>
    <col min="408" max="408" width="11" style="14" customWidth="1"/>
    <col min="409" max="411" width="6" style="14" customWidth="1"/>
    <col min="412" max="413" width="12" style="14" customWidth="1"/>
    <col min="414" max="415" width="6" style="14" customWidth="1"/>
    <col min="416" max="416" width="12" style="14" customWidth="1"/>
    <col min="417" max="417" width="6" style="14" customWidth="1"/>
    <col min="418" max="418" width="12" style="14" customWidth="1"/>
    <col min="419" max="419" width="6" style="14" customWidth="1"/>
    <col min="420" max="421" width="12" style="14" customWidth="1"/>
    <col min="422" max="423" width="6" style="14" customWidth="1"/>
    <col min="424" max="426" width="12" style="14" customWidth="1"/>
    <col min="427" max="427" width="6" style="14" customWidth="1"/>
    <col min="428" max="428" width="12" style="14" customWidth="1"/>
    <col min="429" max="429" width="6" style="14" customWidth="1"/>
    <col min="430" max="430" width="12" style="14" customWidth="1"/>
    <col min="431" max="433" width="6" style="14" customWidth="1"/>
    <col min="434" max="434" width="12" style="14" customWidth="1"/>
    <col min="435" max="436" width="6" style="14" customWidth="1"/>
    <col min="437" max="437" width="12" style="14" customWidth="1"/>
    <col min="438" max="439" width="6" style="14" customWidth="1"/>
    <col min="440" max="441" width="12" style="14" customWidth="1"/>
    <col min="442" max="442" width="6" style="14" customWidth="1"/>
    <col min="443" max="443" width="11" style="14" customWidth="1"/>
    <col min="444" max="444" width="6" style="14" customWidth="1"/>
    <col min="445" max="445" width="12" style="14" customWidth="1"/>
    <col min="446" max="446" width="6" style="14" customWidth="1"/>
    <col min="447" max="447" width="12" style="14" customWidth="1"/>
    <col min="448" max="449" width="6" style="14" customWidth="1"/>
    <col min="450" max="450" width="12" style="14" customWidth="1"/>
    <col min="451" max="451" width="6" style="14" customWidth="1"/>
    <col min="452" max="453" width="12" style="14" customWidth="1"/>
    <col min="454" max="454" width="6" style="14" customWidth="1"/>
    <col min="455" max="456" width="12" style="14" customWidth="1"/>
    <col min="457" max="458" width="6" style="14" customWidth="1"/>
    <col min="459" max="459" width="12" style="14" customWidth="1"/>
    <col min="460" max="460" width="6" style="14" customWidth="1"/>
    <col min="461" max="462" width="12" style="14" customWidth="1"/>
    <col min="463" max="464" width="6" style="14" customWidth="1"/>
    <col min="465" max="465" width="12" style="14" customWidth="1"/>
    <col min="466" max="466" width="11" style="14" customWidth="1"/>
    <col min="467" max="468" width="12" style="14" customWidth="1"/>
    <col min="469" max="469" width="10" style="14" customWidth="1"/>
    <col min="470" max="470" width="6" style="14" customWidth="1"/>
    <col min="471" max="471" width="12" style="14" customWidth="1"/>
    <col min="472" max="473" width="6" style="14" customWidth="1"/>
    <col min="474" max="474" width="12" style="14" customWidth="1"/>
    <col min="475" max="476" width="6" style="14" customWidth="1"/>
    <col min="477" max="478" width="12" style="14" customWidth="1"/>
    <col min="479" max="479" width="6" style="14" customWidth="1"/>
    <col min="480" max="480" width="12" style="14" customWidth="1"/>
    <col min="481" max="481" width="6" style="14" customWidth="1"/>
    <col min="482" max="483" width="12" style="14" customWidth="1"/>
    <col min="484" max="484" width="6" style="14" customWidth="1"/>
    <col min="485" max="485" width="12" style="14" customWidth="1"/>
    <col min="486" max="489" width="6" style="14" customWidth="1"/>
    <col min="490" max="490" width="11" style="14" customWidth="1"/>
    <col min="491" max="492" width="6" style="14" customWidth="1"/>
    <col min="493" max="493" width="12" style="14" customWidth="1"/>
    <col min="494" max="496" width="6" style="14" customWidth="1"/>
    <col min="497" max="497" width="12" style="14" customWidth="1"/>
    <col min="498" max="498" width="6" style="14" customWidth="1"/>
    <col min="499" max="499" width="12" style="14" customWidth="1"/>
    <col min="500" max="500" width="6" style="14" customWidth="1"/>
    <col min="501" max="501" width="11" style="14" customWidth="1"/>
    <col min="502" max="503" width="6" style="14" customWidth="1"/>
    <col min="504" max="507" width="12" style="14" customWidth="1"/>
    <col min="508" max="508" width="11" style="14" customWidth="1"/>
    <col min="509" max="513" width="6" style="14" customWidth="1"/>
    <col min="514" max="514" width="12" style="14" customWidth="1"/>
    <col min="515" max="518" width="6" style="14" customWidth="1"/>
    <col min="519" max="520" width="12" style="14" customWidth="1"/>
    <col min="521" max="521" width="6" style="14" customWidth="1"/>
    <col min="522" max="522" width="12" style="14" customWidth="1"/>
    <col min="523" max="523" width="6" style="14" customWidth="1"/>
    <col min="524" max="524" width="12" style="14" customWidth="1"/>
    <col min="525" max="525" width="6" style="14" customWidth="1"/>
    <col min="526" max="527" width="12" style="14" customWidth="1"/>
    <col min="528" max="529" width="6" style="14" customWidth="1"/>
    <col min="530" max="531" width="12" style="14" customWidth="1"/>
    <col min="532" max="532" width="6" style="14" customWidth="1"/>
    <col min="533" max="533" width="12" style="14" customWidth="1"/>
    <col min="534" max="534" width="6" style="14" customWidth="1"/>
    <col min="535" max="535" width="11" style="14" customWidth="1"/>
    <col min="536" max="536" width="6" style="14" customWidth="1"/>
    <col min="537" max="537" width="12" style="14" customWidth="1"/>
    <col min="538" max="539" width="6" style="14" customWidth="1"/>
    <col min="540" max="540" width="7" style="14" customWidth="1"/>
    <col min="541" max="541" width="12" style="14" customWidth="1"/>
    <col min="542" max="546" width="7" style="14" customWidth="1"/>
    <col min="547" max="547" width="12" style="14" customWidth="1"/>
    <col min="548" max="550" width="7" style="14" customWidth="1"/>
    <col min="551" max="551" width="12" style="14" customWidth="1"/>
    <col min="552" max="553" width="7" style="14" customWidth="1"/>
    <col min="554" max="556" width="12" style="14" customWidth="1"/>
    <col min="557" max="559" width="7" style="14" customWidth="1"/>
    <col min="560" max="561" width="12" style="14" customWidth="1"/>
    <col min="562" max="562" width="7" style="14" customWidth="1"/>
    <col min="563" max="564" width="12" style="14" customWidth="1"/>
    <col min="565" max="565" width="7" style="14" customWidth="1"/>
    <col min="566" max="566" width="12" style="14" customWidth="1"/>
    <col min="567" max="567" width="7" style="14" customWidth="1"/>
    <col min="568" max="569" width="12" style="14" customWidth="1"/>
    <col min="570" max="570" width="5" style="14" customWidth="1"/>
    <col min="571" max="571" width="5.85546875" style="14" customWidth="1"/>
    <col min="572" max="572" width="11.28515625" style="14" customWidth="1"/>
    <col min="573" max="777" width="19.28515625" style="14" customWidth="1"/>
    <col min="778" max="778" width="19.28515625" style="14" bestFit="1" customWidth="1"/>
    <col min="779" max="782" width="19.28515625" style="14" customWidth="1"/>
    <col min="783" max="783" width="19.28515625" style="14" bestFit="1" customWidth="1"/>
    <col min="784" max="786" width="19.28515625" style="14" customWidth="1"/>
    <col min="787" max="787" width="19.28515625" style="14" bestFit="1" customWidth="1"/>
    <col min="788" max="791" width="19.28515625" style="14" customWidth="1"/>
    <col min="792" max="792" width="19.28515625" style="14" bestFit="1" customWidth="1"/>
    <col min="793" max="795" width="19.28515625" style="14" customWidth="1"/>
    <col min="796" max="796" width="19.28515625" style="14" bestFit="1" customWidth="1"/>
    <col min="797" max="807" width="19.28515625" style="14" customWidth="1"/>
    <col min="808" max="808" width="19.28515625" style="14" bestFit="1" customWidth="1"/>
    <col min="809" max="809" width="19.28515625" style="14" customWidth="1"/>
    <col min="810" max="811" width="19.28515625" style="14" bestFit="1" customWidth="1"/>
    <col min="812" max="816" width="19.28515625" style="14" customWidth="1"/>
    <col min="817" max="817" width="19.28515625" style="14" bestFit="1" customWidth="1"/>
    <col min="818" max="819" width="19.28515625" style="14" customWidth="1"/>
    <col min="820" max="820" width="19.28515625" style="14" bestFit="1" customWidth="1"/>
    <col min="821" max="824" width="19.28515625" style="14" customWidth="1"/>
    <col min="825" max="825" width="19.28515625" style="14" bestFit="1" customWidth="1"/>
    <col min="826" max="826" width="19.28515625" style="14" customWidth="1"/>
    <col min="827" max="827" width="19.28515625" style="14" bestFit="1" customWidth="1"/>
    <col min="828" max="834" width="19.28515625" style="14" customWidth="1"/>
    <col min="835" max="835" width="19.28515625" style="14" bestFit="1" customWidth="1"/>
    <col min="836" max="837" width="19.28515625" style="14" customWidth="1"/>
    <col min="838" max="838" width="19.28515625" style="14" bestFit="1" customWidth="1"/>
    <col min="839" max="845" width="19.28515625" style="14" customWidth="1"/>
    <col min="846" max="847" width="19.28515625" style="14" bestFit="1" customWidth="1"/>
    <col min="848" max="851" width="19.28515625" style="14" customWidth="1"/>
    <col min="852" max="852" width="19.28515625" style="14" bestFit="1" customWidth="1"/>
    <col min="853" max="861" width="19.28515625" style="14" customWidth="1"/>
    <col min="862" max="862" width="19.28515625" style="14" bestFit="1" customWidth="1"/>
    <col min="863" max="865" width="19.28515625" style="14" customWidth="1"/>
    <col min="866" max="866" width="19.28515625" style="14" bestFit="1" customWidth="1"/>
    <col min="867" max="869" width="19.28515625" style="14" customWidth="1"/>
    <col min="870" max="870" width="19.28515625" style="14" bestFit="1" customWidth="1"/>
    <col min="871" max="871" width="19.28515625" style="14" customWidth="1"/>
    <col min="872" max="872" width="19.28515625" style="14" bestFit="1" customWidth="1"/>
    <col min="873" max="877" width="19.28515625" style="14" customWidth="1"/>
    <col min="878" max="878" width="19.28515625" style="14" bestFit="1" customWidth="1"/>
    <col min="879" max="889" width="19.28515625" style="14" customWidth="1"/>
    <col min="890" max="890" width="19.28515625" style="14" bestFit="1" customWidth="1"/>
    <col min="891" max="894" width="19.28515625" style="14" customWidth="1"/>
    <col min="895" max="895" width="19.28515625" style="14" bestFit="1" customWidth="1"/>
    <col min="896" max="897" width="19.28515625" style="14" customWidth="1"/>
    <col min="898" max="898" width="19.28515625" style="14" bestFit="1" customWidth="1"/>
    <col min="899" max="900" width="19.28515625" style="14" customWidth="1"/>
    <col min="901" max="901" width="19.28515625" style="14" bestFit="1" customWidth="1"/>
    <col min="902" max="904" width="19.28515625" style="14" customWidth="1"/>
    <col min="905" max="905" width="19.28515625" style="14" bestFit="1" customWidth="1"/>
    <col min="906" max="908" width="19.28515625" style="14" customWidth="1"/>
    <col min="909" max="909" width="19.28515625" style="14" bestFit="1" customWidth="1"/>
    <col min="910" max="913" width="19.28515625" style="14" customWidth="1"/>
    <col min="914" max="914" width="19.28515625" style="14" bestFit="1" customWidth="1"/>
    <col min="915" max="915" width="19.28515625" style="14" customWidth="1"/>
    <col min="916" max="916" width="19.28515625" style="14" bestFit="1" customWidth="1"/>
    <col min="917" max="917" width="19.28515625" style="14" customWidth="1"/>
    <col min="918" max="918" width="19.28515625" style="14" bestFit="1" customWidth="1"/>
    <col min="919" max="919" width="19.28515625" style="14" customWidth="1"/>
    <col min="920" max="920" width="19.28515625" style="14" bestFit="1" customWidth="1"/>
    <col min="921" max="923" width="19.28515625" style="14" customWidth="1"/>
    <col min="924" max="924" width="19.28515625" style="14" bestFit="1" customWidth="1"/>
    <col min="925" max="925" width="19.28515625" style="14" customWidth="1"/>
    <col min="926" max="926" width="19.28515625" style="14" bestFit="1" customWidth="1"/>
    <col min="927" max="927" width="19.28515625" style="14" customWidth="1"/>
    <col min="928" max="928" width="19.28515625" style="14" bestFit="1" customWidth="1"/>
    <col min="929" max="929" width="19.28515625" style="14" customWidth="1"/>
    <col min="930" max="930" width="19.28515625" style="14" bestFit="1" customWidth="1"/>
    <col min="931" max="935" width="19.28515625" style="14" customWidth="1"/>
    <col min="936" max="936" width="19.28515625" style="14" bestFit="1" customWidth="1"/>
    <col min="937" max="939" width="19.28515625" style="14" customWidth="1"/>
    <col min="940" max="940" width="19.28515625" style="14" bestFit="1" customWidth="1"/>
    <col min="941" max="943" width="19.28515625" style="14" customWidth="1"/>
    <col min="944" max="944" width="19.28515625" style="14" bestFit="1" customWidth="1"/>
    <col min="945" max="949" width="19.28515625" style="14" customWidth="1"/>
    <col min="950" max="950" width="19.28515625" style="14" bestFit="1" customWidth="1"/>
    <col min="951" max="951" width="19.28515625" style="14" customWidth="1"/>
    <col min="952" max="952" width="19.28515625" style="14" bestFit="1" customWidth="1"/>
    <col min="953" max="957" width="19.28515625" style="14" customWidth="1"/>
    <col min="958" max="958" width="19.28515625" style="14" bestFit="1" customWidth="1"/>
    <col min="959" max="961" width="19.28515625" style="14" customWidth="1"/>
    <col min="962" max="962" width="19.28515625" style="14" bestFit="1" customWidth="1"/>
    <col min="963" max="965" width="19.28515625" style="14" customWidth="1"/>
    <col min="966" max="966" width="19.28515625" style="14" bestFit="1" customWidth="1"/>
    <col min="967" max="969" width="19.28515625" style="14" customWidth="1"/>
    <col min="970" max="970" width="19.28515625" style="14" bestFit="1" customWidth="1"/>
    <col min="971" max="971" width="19.28515625" style="14" customWidth="1"/>
    <col min="972" max="972" width="19.28515625" style="14" bestFit="1" customWidth="1"/>
    <col min="973" max="973" width="19.28515625" style="14" customWidth="1"/>
    <col min="974" max="974" width="19.28515625" style="14" bestFit="1" customWidth="1"/>
    <col min="975" max="977" width="19.28515625" style="14" customWidth="1"/>
    <col min="978" max="978" width="19.28515625" style="14" bestFit="1" customWidth="1"/>
    <col min="979" max="979" width="19.28515625" style="14" customWidth="1"/>
    <col min="980" max="980" width="19.28515625" style="14" bestFit="1" customWidth="1"/>
    <col min="981" max="981" width="19.28515625" style="14" customWidth="1"/>
    <col min="982" max="982" width="19.28515625" style="14" bestFit="1" customWidth="1"/>
    <col min="983" max="983" width="19.28515625" style="14" customWidth="1"/>
    <col min="984" max="984" width="19.28515625" style="14" bestFit="1" customWidth="1"/>
    <col min="985" max="985" width="19.28515625" style="14" customWidth="1"/>
    <col min="986" max="986" width="19.28515625" style="14" bestFit="1" customWidth="1"/>
    <col min="987" max="989" width="19.28515625" style="14" customWidth="1"/>
    <col min="990" max="990" width="19.28515625" style="14" bestFit="1" customWidth="1"/>
    <col min="991" max="991" width="19.28515625" style="14" customWidth="1"/>
    <col min="992" max="992" width="19.28515625" style="14" bestFit="1" customWidth="1"/>
    <col min="993" max="993" width="19.28515625" style="14" customWidth="1"/>
    <col min="994" max="994" width="19.28515625" style="14" bestFit="1" customWidth="1"/>
    <col min="995" max="997" width="19.28515625" style="14" customWidth="1"/>
    <col min="998" max="998" width="19.28515625" style="14" bestFit="1" customWidth="1"/>
    <col min="999" max="999" width="19.28515625" style="14" customWidth="1"/>
    <col min="1000" max="1000" width="19.28515625" style="14" bestFit="1" customWidth="1"/>
    <col min="1001" max="1007" width="19.28515625" style="14" customWidth="1"/>
    <col min="1008" max="1008" width="19.28515625" style="14" bestFit="1" customWidth="1"/>
    <col min="1009" max="1009" width="19.28515625" style="14" customWidth="1"/>
    <col min="1010" max="1010" width="19.28515625" style="14" bestFit="1" customWidth="1"/>
    <col min="1011" max="1011" width="19.28515625" style="14" customWidth="1"/>
    <col min="1012" max="1012" width="19.28515625" style="14" bestFit="1" customWidth="1"/>
    <col min="1013" max="1017" width="19.28515625" style="14" customWidth="1"/>
    <col min="1018" max="1018" width="19.28515625" style="14" bestFit="1" customWidth="1"/>
    <col min="1019" max="1023" width="19.28515625" style="14" customWidth="1"/>
    <col min="1024" max="1025" width="19.28515625" style="14" bestFit="1" customWidth="1"/>
    <col min="1026" max="1028" width="19.28515625" style="14" customWidth="1"/>
    <col min="1029" max="1029" width="19.28515625" style="14" bestFit="1" customWidth="1"/>
    <col min="1030" max="1030" width="19.28515625" style="14" customWidth="1"/>
    <col min="1031" max="1031" width="19.28515625" style="14" bestFit="1" customWidth="1"/>
    <col min="1032" max="1032" width="19.28515625" style="14" customWidth="1"/>
    <col min="1033" max="1105" width="19.28515625" style="14" bestFit="1" customWidth="1"/>
    <col min="1106" max="1107" width="19.28515625" style="14" customWidth="1"/>
    <col min="1108" max="1146" width="19.28515625" style="14" bestFit="1" customWidth="1"/>
    <col min="1147" max="1147" width="19.7109375" style="14" bestFit="1" customWidth="1"/>
    <col min="1148" max="1148" width="16.140625" style="14" bestFit="1" customWidth="1"/>
    <col min="1149" max="1149" width="24.28515625" style="14" bestFit="1" customWidth="1"/>
    <col min="1150" max="1150" width="20.7109375" style="14" bestFit="1" customWidth="1"/>
    <col min="1151" max="16384" width="9.140625" style="14"/>
  </cols>
  <sheetData>
    <row r="1" spans="1:39" x14ac:dyDescent="0.2">
      <c r="AB1" s="14" t="s">
        <v>4015</v>
      </c>
    </row>
    <row r="2" spans="1:39" x14ac:dyDescent="0.2">
      <c r="A2" s="15" t="s">
        <v>4011</v>
      </c>
      <c r="B2" s="16">
        <f>IFERROR(MIN(B$22:B$1000),"")</f>
        <v>22880</v>
      </c>
      <c r="C2" s="16"/>
      <c r="D2" s="16">
        <f t="shared" ref="C2:T2" si="0">IFERROR(MIN(D$22:D$1000),"")</f>
        <v>10000</v>
      </c>
      <c r="E2" s="16"/>
      <c r="F2" s="16">
        <f t="shared" si="0"/>
        <v>12000</v>
      </c>
      <c r="G2" s="16"/>
      <c r="H2" s="16">
        <f t="shared" si="0"/>
        <v>24000</v>
      </c>
      <c r="I2" s="16"/>
      <c r="J2" s="16">
        <f t="shared" si="0"/>
        <v>16000</v>
      </c>
      <c r="K2" s="16"/>
      <c r="L2" s="16">
        <f t="shared" si="0"/>
        <v>24000</v>
      </c>
      <c r="M2" s="16"/>
      <c r="N2" s="16">
        <f t="shared" si="0"/>
        <v>15000</v>
      </c>
      <c r="O2" s="16"/>
      <c r="P2" s="16">
        <f t="shared" si="0"/>
        <v>74461</v>
      </c>
      <c r="Q2" s="16"/>
      <c r="R2" s="16">
        <f t="shared" si="0"/>
        <v>32000</v>
      </c>
      <c r="S2" s="16"/>
      <c r="T2" s="16">
        <f t="shared" si="0"/>
        <v>31000</v>
      </c>
    </row>
    <row r="3" spans="1:39" x14ac:dyDescent="0.2">
      <c r="A3" s="17">
        <v>1</v>
      </c>
      <c r="B3" s="16">
        <f>IFERROR(_xlfn.QUARTILE.EXC(B$22:B$1000,$A3),"")</f>
        <v>45750</v>
      </c>
      <c r="C3" s="16"/>
      <c r="D3" s="16">
        <f t="shared" ref="C3:T5" si="1">IFERROR(_xlfn.QUARTILE.EXC(D$22:D$1000,$A3),"")</f>
        <v>43600</v>
      </c>
      <c r="E3" s="16"/>
      <c r="F3" s="16">
        <f t="shared" si="1"/>
        <v>48000</v>
      </c>
      <c r="G3" s="16"/>
      <c r="H3" s="16">
        <f t="shared" si="1"/>
        <v>65000</v>
      </c>
      <c r="I3" s="16"/>
      <c r="J3" s="16">
        <f t="shared" si="1"/>
        <v>83750</v>
      </c>
      <c r="K3" s="16"/>
      <c r="L3" s="16">
        <f t="shared" si="1"/>
        <v>55500</v>
      </c>
      <c r="M3" s="16"/>
      <c r="N3" s="16">
        <f t="shared" si="1"/>
        <v>49250</v>
      </c>
      <c r="O3" s="16"/>
      <c r="P3" s="16">
        <f t="shared" si="1"/>
        <v>74461</v>
      </c>
      <c r="Q3" s="16"/>
      <c r="R3" s="16">
        <f t="shared" si="1"/>
        <v>34500</v>
      </c>
      <c r="S3" s="16"/>
      <c r="T3" s="16">
        <f t="shared" si="1"/>
        <v>43000</v>
      </c>
      <c r="AB3" s="18" t="str">
        <f>B8&amp;" "</f>
        <v xml:space="preserve">Accountant    </v>
      </c>
      <c r="AC3" s="18" t="str">
        <f>D8&amp;" "</f>
        <v xml:space="preserve">Analyst    </v>
      </c>
      <c r="AD3" s="18" t="str">
        <f>F8&amp;" "</f>
        <v xml:space="preserve">Consultant    </v>
      </c>
      <c r="AE3" s="18" t="str">
        <f>H8&amp;" "</f>
        <v xml:space="preserve">Controller    </v>
      </c>
      <c r="AF3" s="18" t="str">
        <f>J8&amp;" "</f>
        <v xml:space="preserve">CXO/Top Mgmt.    </v>
      </c>
      <c r="AG3" s="18" t="str">
        <f>L8&amp;" "</f>
        <v xml:space="preserve">Engineer    </v>
      </c>
      <c r="AH3" s="18" t="str">
        <f>N8&amp;" "</f>
        <v xml:space="preserve">Manager    </v>
      </c>
      <c r="AI3" s="18" t="str">
        <f>P8&amp;" "</f>
        <v xml:space="preserve">Misc.    </v>
      </c>
      <c r="AJ3" s="18" t="str">
        <f>R8&amp;" "</f>
        <v xml:space="preserve">Reporting    </v>
      </c>
      <c r="AK3" s="18" t="str">
        <f>T8&amp;" "</f>
        <v xml:space="preserve">Specialist    </v>
      </c>
    </row>
    <row r="4" spans="1:39" x14ac:dyDescent="0.2">
      <c r="A4" s="17">
        <v>2</v>
      </c>
      <c r="B4" s="16">
        <f>IFERROR(_xlfn.QUARTILE.EXC(B$22:B$1000,$A4),"")</f>
        <v>60500</v>
      </c>
      <c r="C4" s="16"/>
      <c r="D4" s="16">
        <f t="shared" si="1"/>
        <v>60000</v>
      </c>
      <c r="E4" s="16"/>
      <c r="F4" s="16">
        <f t="shared" si="1"/>
        <v>87500</v>
      </c>
      <c r="G4" s="16"/>
      <c r="H4" s="16">
        <f t="shared" si="1"/>
        <v>80000</v>
      </c>
      <c r="I4" s="16"/>
      <c r="J4" s="16">
        <f t="shared" si="1"/>
        <v>116000</v>
      </c>
      <c r="K4" s="16"/>
      <c r="L4" s="16">
        <f t="shared" si="1"/>
        <v>70000</v>
      </c>
      <c r="M4" s="16"/>
      <c r="N4" s="16">
        <f t="shared" si="1"/>
        <v>70000</v>
      </c>
      <c r="O4" s="16"/>
      <c r="P4" s="16">
        <f t="shared" si="1"/>
        <v>87000</v>
      </c>
      <c r="Q4" s="16"/>
      <c r="R4" s="16">
        <f t="shared" si="1"/>
        <v>45000</v>
      </c>
      <c r="S4" s="16"/>
      <c r="T4" s="16">
        <f t="shared" si="1"/>
        <v>54000</v>
      </c>
      <c r="AA4" s="14" t="s">
        <v>4011</v>
      </c>
      <c r="AB4" s="18">
        <f t="shared" ref="AB4:AB8" si="2">B9</f>
        <v>22880</v>
      </c>
      <c r="AC4" s="18">
        <f t="shared" ref="AC4:AC8" si="3">D9</f>
        <v>10000</v>
      </c>
      <c r="AD4" s="18">
        <f t="shared" ref="AD4:AD8" si="4">F9</f>
        <v>12000</v>
      </c>
      <c r="AE4" s="18">
        <f t="shared" ref="AE4:AE8" si="5">H9</f>
        <v>24000</v>
      </c>
      <c r="AF4" s="18">
        <f t="shared" ref="AF4:AF8" si="6">J9</f>
        <v>16000</v>
      </c>
      <c r="AG4" s="18">
        <f t="shared" ref="AG4:AG8" si="7">L9</f>
        <v>24000</v>
      </c>
      <c r="AH4" s="18">
        <f t="shared" ref="AH4:AH8" si="8">N9</f>
        <v>15000</v>
      </c>
      <c r="AI4" s="18">
        <f t="shared" ref="AI4:AI8" si="9">P9</f>
        <v>74461</v>
      </c>
      <c r="AJ4" s="18">
        <f t="shared" ref="AJ4:AJ8" si="10">R9</f>
        <v>32000</v>
      </c>
      <c r="AK4" s="18">
        <f t="shared" ref="AK4:AK8" si="11">T9</f>
        <v>31000</v>
      </c>
    </row>
    <row r="5" spans="1:39" x14ac:dyDescent="0.2">
      <c r="A5" s="17">
        <v>3</v>
      </c>
      <c r="B5" s="16">
        <f>IFERROR(_xlfn.QUARTILE.EXC(B$22:B$1000,$A5),"")</f>
        <v>76500</v>
      </c>
      <c r="C5" s="16"/>
      <c r="D5" s="16">
        <f t="shared" si="1"/>
        <v>81000</v>
      </c>
      <c r="E5" s="16"/>
      <c r="F5" s="16">
        <f t="shared" si="1"/>
        <v>113250</v>
      </c>
      <c r="G5" s="16"/>
      <c r="H5" s="16">
        <f t="shared" si="1"/>
        <v>103000</v>
      </c>
      <c r="I5" s="16"/>
      <c r="J5" s="16">
        <f t="shared" si="1"/>
        <v>174500</v>
      </c>
      <c r="K5" s="16"/>
      <c r="L5" s="16">
        <f t="shared" si="1"/>
        <v>81500</v>
      </c>
      <c r="M5" s="16"/>
      <c r="N5" s="16">
        <f t="shared" si="1"/>
        <v>96615</v>
      </c>
      <c r="O5" s="16"/>
      <c r="P5" s="16">
        <f t="shared" si="1"/>
        <v>90000</v>
      </c>
      <c r="Q5" s="16"/>
      <c r="R5" s="16">
        <f t="shared" si="1"/>
        <v>88500</v>
      </c>
      <c r="S5" s="16"/>
      <c r="T5" s="16">
        <f t="shared" si="1"/>
        <v>74500</v>
      </c>
      <c r="AA5" s="19">
        <v>0.25</v>
      </c>
      <c r="AB5" s="18">
        <f t="shared" si="2"/>
        <v>22870</v>
      </c>
      <c r="AC5" s="18">
        <f t="shared" si="3"/>
        <v>33600</v>
      </c>
      <c r="AD5" s="18">
        <f t="shared" si="4"/>
        <v>36000</v>
      </c>
      <c r="AE5" s="18">
        <f t="shared" si="5"/>
        <v>41000</v>
      </c>
      <c r="AF5" s="18">
        <f t="shared" si="6"/>
        <v>67750</v>
      </c>
      <c r="AG5" s="18">
        <f t="shared" si="7"/>
        <v>31500</v>
      </c>
      <c r="AH5" s="18">
        <f t="shared" si="8"/>
        <v>34250</v>
      </c>
      <c r="AI5" s="18">
        <f t="shared" si="9"/>
        <v>0</v>
      </c>
      <c r="AJ5" s="18">
        <f t="shared" si="10"/>
        <v>2500</v>
      </c>
      <c r="AK5" s="18">
        <f t="shared" si="11"/>
        <v>12000</v>
      </c>
    </row>
    <row r="6" spans="1:39" x14ac:dyDescent="0.2">
      <c r="A6" s="15" t="s">
        <v>4012</v>
      </c>
      <c r="B6" s="16">
        <f>IFERROR(MAX(B$22:B$1000),"")</f>
        <v>150000</v>
      </c>
      <c r="C6" s="16"/>
      <c r="D6" s="16">
        <f t="shared" ref="C6:T6" si="12">IFERROR(MAX(D$22:D$1000),"")</f>
        <v>160000</v>
      </c>
      <c r="E6" s="16"/>
      <c r="F6" s="16">
        <f t="shared" si="12"/>
        <v>250000</v>
      </c>
      <c r="G6" s="16"/>
      <c r="H6" s="16">
        <f t="shared" si="12"/>
        <v>214000</v>
      </c>
      <c r="I6" s="16"/>
      <c r="J6" s="16">
        <f t="shared" si="12"/>
        <v>300000</v>
      </c>
      <c r="K6" s="16"/>
      <c r="L6" s="16">
        <f t="shared" si="12"/>
        <v>130000</v>
      </c>
      <c r="M6" s="16"/>
      <c r="N6" s="16">
        <f t="shared" si="12"/>
        <v>400000</v>
      </c>
      <c r="O6" s="16"/>
      <c r="P6" s="16">
        <f t="shared" si="12"/>
        <v>90000</v>
      </c>
      <c r="Q6" s="16"/>
      <c r="R6" s="16">
        <f t="shared" si="12"/>
        <v>92000</v>
      </c>
      <c r="S6" s="16"/>
      <c r="T6" s="16">
        <f t="shared" si="12"/>
        <v>400000</v>
      </c>
      <c r="AA6" s="19">
        <v>0.5</v>
      </c>
      <c r="AB6" s="18">
        <f t="shared" si="2"/>
        <v>14750</v>
      </c>
      <c r="AC6" s="18">
        <f t="shared" si="3"/>
        <v>16400</v>
      </c>
      <c r="AD6" s="18">
        <f t="shared" si="4"/>
        <v>39500</v>
      </c>
      <c r="AE6" s="18">
        <f t="shared" si="5"/>
        <v>15000</v>
      </c>
      <c r="AF6" s="18">
        <f t="shared" si="6"/>
        <v>32250</v>
      </c>
      <c r="AG6" s="18">
        <f t="shared" si="7"/>
        <v>14500</v>
      </c>
      <c r="AH6" s="18">
        <f t="shared" si="8"/>
        <v>20750</v>
      </c>
      <c r="AI6" s="18">
        <f t="shared" si="9"/>
        <v>12539</v>
      </c>
      <c r="AJ6" s="18">
        <f t="shared" si="10"/>
        <v>10500</v>
      </c>
      <c r="AK6" s="18">
        <f t="shared" si="11"/>
        <v>11000</v>
      </c>
    </row>
    <row r="7" spans="1:39" x14ac:dyDescent="0.2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AA7" s="19">
        <v>0.75</v>
      </c>
      <c r="AB7" s="18">
        <f t="shared" si="2"/>
        <v>16000</v>
      </c>
      <c r="AC7" s="18">
        <f t="shared" si="3"/>
        <v>21000</v>
      </c>
      <c r="AD7" s="18">
        <f t="shared" si="4"/>
        <v>25750</v>
      </c>
      <c r="AE7" s="18">
        <f t="shared" si="5"/>
        <v>23000</v>
      </c>
      <c r="AF7" s="18">
        <f t="shared" si="6"/>
        <v>58500</v>
      </c>
      <c r="AG7" s="18">
        <f t="shared" si="7"/>
        <v>11500</v>
      </c>
      <c r="AH7" s="18">
        <f t="shared" si="8"/>
        <v>26615</v>
      </c>
      <c r="AI7" s="18">
        <f t="shared" si="9"/>
        <v>3000</v>
      </c>
      <c r="AJ7" s="18">
        <f t="shared" si="10"/>
        <v>43500</v>
      </c>
      <c r="AK7" s="18">
        <f t="shared" si="11"/>
        <v>20500</v>
      </c>
    </row>
    <row r="8" spans="1:39" x14ac:dyDescent="0.2">
      <c r="A8" s="15" t="s">
        <v>4014</v>
      </c>
      <c r="B8" s="16" t="s">
        <v>4026</v>
      </c>
      <c r="C8" s="16"/>
      <c r="D8" s="16" t="s">
        <v>4027</v>
      </c>
      <c r="E8" s="16"/>
      <c r="F8" s="16" t="s">
        <v>4028</v>
      </c>
      <c r="G8" s="16"/>
      <c r="H8" s="16" t="s">
        <v>4029</v>
      </c>
      <c r="I8" s="16"/>
      <c r="J8" s="16" t="s">
        <v>4030</v>
      </c>
      <c r="K8" s="16"/>
      <c r="L8" s="16" t="s">
        <v>4031</v>
      </c>
      <c r="M8" s="16"/>
      <c r="N8" s="16" t="s">
        <v>4032</v>
      </c>
      <c r="O8" s="16"/>
      <c r="P8" s="16" t="s">
        <v>4033</v>
      </c>
      <c r="Q8" s="16"/>
      <c r="R8" s="16" t="s">
        <v>4034</v>
      </c>
      <c r="S8" s="16"/>
      <c r="T8" s="16" t="s">
        <v>4035</v>
      </c>
      <c r="AA8" s="14" t="s">
        <v>4012</v>
      </c>
      <c r="AB8" s="18">
        <f t="shared" si="2"/>
        <v>73500</v>
      </c>
      <c r="AC8" s="18">
        <f t="shared" si="3"/>
        <v>79000</v>
      </c>
      <c r="AD8" s="18">
        <f t="shared" si="4"/>
        <v>136750</v>
      </c>
      <c r="AE8" s="18">
        <f t="shared" si="5"/>
        <v>111000</v>
      </c>
      <c r="AF8" s="18">
        <f t="shared" si="6"/>
        <v>125500</v>
      </c>
      <c r="AG8" s="18">
        <f t="shared" si="7"/>
        <v>48500</v>
      </c>
      <c r="AH8" s="18">
        <f t="shared" si="8"/>
        <v>303385</v>
      </c>
      <c r="AI8" s="18">
        <f t="shared" si="9"/>
        <v>0</v>
      </c>
      <c r="AJ8" s="18">
        <f t="shared" si="10"/>
        <v>3500</v>
      </c>
      <c r="AK8" s="18">
        <f t="shared" si="11"/>
        <v>325500</v>
      </c>
    </row>
    <row r="9" spans="1:39" x14ac:dyDescent="0.2">
      <c r="A9" s="15" t="s">
        <v>4011</v>
      </c>
      <c r="B9" s="16">
        <f>B2</f>
        <v>22880</v>
      </c>
      <c r="C9" s="16"/>
      <c r="D9" s="16">
        <f t="shared" ref="C9:T9" si="13">D2</f>
        <v>10000</v>
      </c>
      <c r="E9" s="16"/>
      <c r="F9" s="16">
        <f t="shared" si="13"/>
        <v>12000</v>
      </c>
      <c r="G9" s="16"/>
      <c r="H9" s="16">
        <f t="shared" si="13"/>
        <v>24000</v>
      </c>
      <c r="I9" s="16"/>
      <c r="J9" s="16">
        <f t="shared" si="13"/>
        <v>16000</v>
      </c>
      <c r="K9" s="16"/>
      <c r="L9" s="16">
        <f t="shared" si="13"/>
        <v>24000</v>
      </c>
      <c r="M9" s="16"/>
      <c r="N9" s="16">
        <f t="shared" si="13"/>
        <v>15000</v>
      </c>
      <c r="O9" s="16"/>
      <c r="P9" s="16">
        <f t="shared" si="13"/>
        <v>74461</v>
      </c>
      <c r="Q9" s="16"/>
      <c r="R9" s="16">
        <f t="shared" si="13"/>
        <v>32000</v>
      </c>
      <c r="S9" s="16"/>
      <c r="T9" s="16">
        <f t="shared" si="13"/>
        <v>31000</v>
      </c>
    </row>
    <row r="10" spans="1:39" x14ac:dyDescent="0.2">
      <c r="A10" s="15">
        <v>0.25</v>
      </c>
      <c r="B10" s="16">
        <f>IFERROR(B3-B2,"")</f>
        <v>22870</v>
      </c>
      <c r="C10" s="16"/>
      <c r="D10" s="16">
        <f t="shared" ref="C10:T10" si="14">IFERROR(D3-D2,"")</f>
        <v>33600</v>
      </c>
      <c r="E10" s="16"/>
      <c r="F10" s="16">
        <f t="shared" si="14"/>
        <v>36000</v>
      </c>
      <c r="G10" s="16"/>
      <c r="H10" s="16">
        <f t="shared" si="14"/>
        <v>41000</v>
      </c>
      <c r="I10" s="16"/>
      <c r="J10" s="16">
        <f t="shared" si="14"/>
        <v>67750</v>
      </c>
      <c r="K10" s="16"/>
      <c r="L10" s="16">
        <f t="shared" si="14"/>
        <v>31500</v>
      </c>
      <c r="M10" s="16"/>
      <c r="N10" s="16">
        <f t="shared" si="14"/>
        <v>34250</v>
      </c>
      <c r="O10" s="16"/>
      <c r="P10" s="16">
        <f t="shared" si="14"/>
        <v>0</v>
      </c>
      <c r="Q10" s="16"/>
      <c r="R10" s="16">
        <f t="shared" si="14"/>
        <v>2500</v>
      </c>
      <c r="S10" s="16"/>
      <c r="T10" s="16">
        <f t="shared" si="14"/>
        <v>12000</v>
      </c>
    </row>
    <row r="11" spans="1:39" x14ac:dyDescent="0.2">
      <c r="A11" s="15">
        <v>0.5</v>
      </c>
      <c r="B11" s="16">
        <f>IFERROR(B4-B3,"")</f>
        <v>14750</v>
      </c>
      <c r="C11" s="16"/>
      <c r="D11" s="16">
        <f t="shared" ref="C11:T11" si="15">IFERROR(D4-D3,"")</f>
        <v>16400</v>
      </c>
      <c r="E11" s="16"/>
      <c r="F11" s="16">
        <f t="shared" si="15"/>
        <v>39500</v>
      </c>
      <c r="G11" s="16"/>
      <c r="H11" s="16">
        <f t="shared" si="15"/>
        <v>15000</v>
      </c>
      <c r="I11" s="16"/>
      <c r="J11" s="16">
        <f t="shared" si="15"/>
        <v>32250</v>
      </c>
      <c r="K11" s="16"/>
      <c r="L11" s="16">
        <f t="shared" si="15"/>
        <v>14500</v>
      </c>
      <c r="M11" s="16"/>
      <c r="N11" s="16">
        <f t="shared" si="15"/>
        <v>20750</v>
      </c>
      <c r="O11" s="16"/>
      <c r="P11" s="16">
        <f t="shared" si="15"/>
        <v>12539</v>
      </c>
      <c r="Q11" s="16"/>
      <c r="R11" s="16">
        <f t="shared" si="15"/>
        <v>10500</v>
      </c>
      <c r="S11" s="16"/>
      <c r="T11" s="16">
        <f t="shared" si="15"/>
        <v>11000</v>
      </c>
      <c r="AB11" s="14" t="s">
        <v>4011</v>
      </c>
      <c r="AC11" s="14">
        <v>0.25</v>
      </c>
      <c r="AD11" s="14">
        <v>0.5</v>
      </c>
      <c r="AE11" s="14">
        <v>0.75</v>
      </c>
      <c r="AF11" s="14" t="s">
        <v>4012</v>
      </c>
      <c r="AG11" s="14" t="s">
        <v>4024</v>
      </c>
      <c r="AI11" s="14" t="s">
        <v>4046</v>
      </c>
      <c r="AJ11" s="14" t="s">
        <v>4012</v>
      </c>
      <c r="AK11" s="14" t="s">
        <v>4064</v>
      </c>
      <c r="AL11" s="14" t="s">
        <v>4055</v>
      </c>
      <c r="AM11" s="14">
        <f>MAX(AH12:AH21)+10000</f>
        <v>410000</v>
      </c>
    </row>
    <row r="12" spans="1:39" x14ac:dyDescent="0.2">
      <c r="A12" s="15">
        <v>0.75</v>
      </c>
      <c r="B12" s="16">
        <f>IFERROR(B5-B4,"")</f>
        <v>16000</v>
      </c>
      <c r="C12" s="16"/>
      <c r="D12" s="16">
        <f t="shared" ref="C12:T12" si="16">IFERROR(D5-D4,"")</f>
        <v>21000</v>
      </c>
      <c r="E12" s="16"/>
      <c r="F12" s="16">
        <f t="shared" si="16"/>
        <v>25750</v>
      </c>
      <c r="G12" s="16"/>
      <c r="H12" s="16">
        <f t="shared" si="16"/>
        <v>23000</v>
      </c>
      <c r="I12" s="16"/>
      <c r="J12" s="16">
        <f t="shared" si="16"/>
        <v>58500</v>
      </c>
      <c r="K12" s="16"/>
      <c r="L12" s="16">
        <f t="shared" si="16"/>
        <v>11500</v>
      </c>
      <c r="M12" s="16"/>
      <c r="N12" s="16">
        <f t="shared" si="16"/>
        <v>26615</v>
      </c>
      <c r="O12" s="16"/>
      <c r="P12" s="16">
        <f t="shared" si="16"/>
        <v>3000</v>
      </c>
      <c r="Q12" s="16"/>
      <c r="R12" s="16">
        <f t="shared" si="16"/>
        <v>43500</v>
      </c>
      <c r="S12" s="16"/>
      <c r="T12" s="16">
        <f t="shared" si="16"/>
        <v>20500</v>
      </c>
      <c r="Z12" s="14">
        <v>9.5</v>
      </c>
      <c r="AA12" s="16" t="s">
        <v>4043</v>
      </c>
      <c r="AB12" s="16">
        <v>74461</v>
      </c>
      <c r="AC12" s="16">
        <v>0</v>
      </c>
      <c r="AD12" s="16">
        <v>12539</v>
      </c>
      <c r="AE12" s="16">
        <v>3000</v>
      </c>
      <c r="AF12" s="16">
        <v>0</v>
      </c>
      <c r="AG12" s="14">
        <f>SUM(AB12:AF12)</f>
        <v>90000</v>
      </c>
      <c r="AH12" s="14">
        <f>IFERROR(AG12,"")</f>
        <v>90000</v>
      </c>
      <c r="AI12" s="18">
        <f>SUM(AB12:AD12)</f>
        <v>87000</v>
      </c>
      <c r="AJ12" s="18">
        <f>SUM(AB12:AF12)</f>
        <v>90000</v>
      </c>
      <c r="AK12" s="14" t="e">
        <f>IFERROR(INDEX(Control!$W$1:$X$10,MATCH(Role!AA12,Control!$W$1:$W$10,0),2),NA())</f>
        <v>#N/A</v>
      </c>
      <c r="AL12" s="14" t="s">
        <v>4056</v>
      </c>
      <c r="AM12" s="14">
        <v>0</v>
      </c>
    </row>
    <row r="13" spans="1:39" x14ac:dyDescent="0.2">
      <c r="A13" s="15" t="s">
        <v>4012</v>
      </c>
      <c r="B13" s="18">
        <f>IFERROR(B6-B5,"")</f>
        <v>73500</v>
      </c>
      <c r="C13" s="18"/>
      <c r="D13" s="18">
        <f t="shared" ref="C13:T13" si="17">IFERROR(D6-D5,"")</f>
        <v>79000</v>
      </c>
      <c r="E13" s="18"/>
      <c r="F13" s="18">
        <f t="shared" si="17"/>
        <v>136750</v>
      </c>
      <c r="G13" s="18"/>
      <c r="H13" s="18">
        <f t="shared" si="17"/>
        <v>111000</v>
      </c>
      <c r="I13" s="18"/>
      <c r="J13" s="18">
        <f t="shared" si="17"/>
        <v>125500</v>
      </c>
      <c r="K13" s="18"/>
      <c r="L13" s="18">
        <f t="shared" si="17"/>
        <v>48500</v>
      </c>
      <c r="M13" s="18"/>
      <c r="N13" s="18">
        <f t="shared" si="17"/>
        <v>303385</v>
      </c>
      <c r="O13" s="18"/>
      <c r="P13" s="18">
        <f t="shared" si="17"/>
        <v>0</v>
      </c>
      <c r="Q13" s="18"/>
      <c r="R13" s="18">
        <f t="shared" si="17"/>
        <v>3500</v>
      </c>
      <c r="S13" s="18"/>
      <c r="T13" s="18">
        <f t="shared" si="17"/>
        <v>325500</v>
      </c>
      <c r="Z13" s="14">
        <f>Z12-1</f>
        <v>8.5</v>
      </c>
      <c r="AA13" s="16" t="s">
        <v>4044</v>
      </c>
      <c r="AB13" s="16">
        <v>32000</v>
      </c>
      <c r="AC13" s="16">
        <v>2500</v>
      </c>
      <c r="AD13" s="16">
        <v>10500</v>
      </c>
      <c r="AE13" s="16">
        <v>43500</v>
      </c>
      <c r="AF13" s="16">
        <v>3500</v>
      </c>
      <c r="AG13" s="14">
        <f>SUM(AB13:AF13)</f>
        <v>92000</v>
      </c>
      <c r="AH13" s="14">
        <f>IFERROR(AG13,"")</f>
        <v>92000</v>
      </c>
      <c r="AI13" s="18">
        <f>SUM(AB13:AD13)</f>
        <v>45000</v>
      </c>
      <c r="AJ13" s="18">
        <f>SUM(AB13:AF13)</f>
        <v>92000</v>
      </c>
      <c r="AK13" s="14">
        <f>IFERROR(INDEX(Control!$W$1:$X$10,MATCH(Role!AA13,Control!$W$1:$W$10,0),2),NA())</f>
        <v>57000</v>
      </c>
    </row>
    <row r="14" spans="1:39" x14ac:dyDescent="0.2">
      <c r="Z14" s="14">
        <f t="shared" ref="Z14:Z21" si="18">Z13-1</f>
        <v>7.5</v>
      </c>
      <c r="AA14" s="16" t="s">
        <v>4041</v>
      </c>
      <c r="AB14" s="16">
        <v>24000</v>
      </c>
      <c r="AC14" s="16">
        <v>31500</v>
      </c>
      <c r="AD14" s="16">
        <v>14500</v>
      </c>
      <c r="AE14" s="16">
        <v>11500</v>
      </c>
      <c r="AF14" s="16">
        <v>48500</v>
      </c>
      <c r="AG14" s="14">
        <f>SUM(AB14:AF14)</f>
        <v>130000</v>
      </c>
      <c r="AH14" s="14">
        <f>IFERROR(AG14,"")</f>
        <v>130000</v>
      </c>
      <c r="AI14" s="18">
        <f>SUM(AB14:AD14)</f>
        <v>70000</v>
      </c>
      <c r="AJ14" s="18">
        <f>SUM(AB14:AF14)</f>
        <v>130000</v>
      </c>
      <c r="AK14" s="14">
        <f>IFERROR(INDEX(Control!$W$1:$X$10,MATCH(Role!AA14,Control!$W$1:$W$10,0),2),NA())</f>
        <v>80430</v>
      </c>
    </row>
    <row r="15" spans="1:39" x14ac:dyDescent="0.2">
      <c r="A15" s="14" t="s">
        <v>4047</v>
      </c>
      <c r="B15" s="14">
        <f ca="1">AVERAGE(Accountant_List)</f>
        <v>66217.5625</v>
      </c>
      <c r="D15" s="14">
        <f ca="1">AVERAGE(Analyst_List)</f>
        <v>65305.135135135133</v>
      </c>
      <c r="F15" s="14">
        <f ca="1">AVERAGE(Consultant_List)</f>
        <v>90062.5</v>
      </c>
      <c r="H15" s="14">
        <f ca="1">AVERAGE(Controller_List)</f>
        <v>89855</v>
      </c>
      <c r="J15" s="14">
        <f ca="1">AVERAGE(CXO_List)</f>
        <v>129966.66666666667</v>
      </c>
      <c r="L15" s="14">
        <f ca="1">AVERAGE(Engineer_List)</f>
        <v>70355.238095238092</v>
      </c>
      <c r="N15" s="14">
        <f ca="1">AVERAGE(Manager_List)</f>
        <v>78316.207792207788</v>
      </c>
      <c r="P15" s="14">
        <f ca="1">AVERAGE(Misc_List)</f>
        <v>83820.333333333328</v>
      </c>
      <c r="R15" s="14">
        <f ca="1">AVERAGE(Reporting_List)</f>
        <v>58200</v>
      </c>
      <c r="T15" s="14">
        <f ca="1">AVERAGE(Specialist_List)</f>
        <v>74047.619047619053</v>
      </c>
      <c r="Z15" s="14">
        <f t="shared" si="18"/>
        <v>6.5</v>
      </c>
      <c r="AA15" s="16" t="s">
        <v>4036</v>
      </c>
      <c r="AB15" s="16">
        <v>22880</v>
      </c>
      <c r="AC15" s="16">
        <v>22870</v>
      </c>
      <c r="AD15" s="16">
        <v>14750</v>
      </c>
      <c r="AE15" s="16">
        <v>16000</v>
      </c>
      <c r="AF15" s="16">
        <v>73500</v>
      </c>
      <c r="AG15" s="14">
        <f>SUM(AB15:AF15)</f>
        <v>150000</v>
      </c>
      <c r="AH15" s="14">
        <f>IFERROR(AG15,"")</f>
        <v>150000</v>
      </c>
      <c r="AI15" s="18">
        <f>SUM(AB15:AD15)</f>
        <v>60500</v>
      </c>
      <c r="AJ15" s="18">
        <f>SUM(AB15:AF15)</f>
        <v>150000</v>
      </c>
      <c r="AK15" s="14">
        <f>IFERROR(INDEX(Control!$W$1:$X$10,MATCH(Role!AA15,Control!$W$1:$W$10,0),2),NA())</f>
        <v>70130</v>
      </c>
    </row>
    <row r="16" spans="1:39" x14ac:dyDescent="0.2">
      <c r="A16" s="14" t="s">
        <v>4048</v>
      </c>
      <c r="B16" s="14">
        <f ca="1">_xlfn.STDEV.P(Accountant_List)</f>
        <v>29152.182622980286</v>
      </c>
      <c r="D16" s="14">
        <f ca="1">_xlfn.STDEV.P(Analyst_List)</f>
        <v>29422.160298955176</v>
      </c>
      <c r="F16" s="14">
        <f ca="1">_xlfn.STDEV.P(Consultant_List)</f>
        <v>56211.062912473019</v>
      </c>
      <c r="H16" s="14">
        <f ca="1">_xlfn.STDEV.P(Controller_List)</f>
        <v>46878.879572788428</v>
      </c>
      <c r="J16" s="14">
        <f ca="1">_xlfn.STDEV.P(CXO_List)</f>
        <v>63325.473196459854</v>
      </c>
      <c r="L16" s="14">
        <f ca="1">_xlfn.STDEV.P(Engineer_List)</f>
        <v>24058.066188969438</v>
      </c>
      <c r="N16" s="14">
        <f ca="1">_xlfn.STDEV.P(Manager_List)</f>
        <v>49166.828028117015</v>
      </c>
      <c r="P16" s="14">
        <f ca="1">_xlfn.STDEV.P(Misc_List)</f>
        <v>6730.4205085731619</v>
      </c>
      <c r="R16" s="14">
        <f ca="1">_xlfn.STDEV.P(Reporting_List)</f>
        <v>25182.533629482161</v>
      </c>
      <c r="T16" s="14">
        <f ca="1">_xlfn.STDEV.P(Specialist_List)</f>
        <v>75020.299596002165</v>
      </c>
      <c r="Z16" s="14">
        <f t="shared" si="18"/>
        <v>5.5</v>
      </c>
      <c r="AA16" s="16" t="s">
        <v>4037</v>
      </c>
      <c r="AB16" s="16">
        <v>10000</v>
      </c>
      <c r="AC16" s="16">
        <v>33600</v>
      </c>
      <c r="AD16" s="16">
        <v>16400</v>
      </c>
      <c r="AE16" s="16">
        <v>21000</v>
      </c>
      <c r="AF16" s="16">
        <v>79000</v>
      </c>
      <c r="AG16" s="14">
        <f>SUM(AB16:AF16)</f>
        <v>160000</v>
      </c>
      <c r="AH16" s="14">
        <f>IFERROR(AG16,"")</f>
        <v>160000</v>
      </c>
      <c r="AI16" s="18">
        <f>SUM(AB16:AD16)</f>
        <v>60000</v>
      </c>
      <c r="AJ16" s="18">
        <f>SUM(AB16:AF16)</f>
        <v>160000</v>
      </c>
      <c r="AK16" s="14">
        <f>IFERROR(INDEX(Control!$W$1:$X$10,MATCH(Role!AA16,Control!$W$1:$W$10,0),2),NA())</f>
        <v>78127</v>
      </c>
    </row>
    <row r="17" spans="2:37" x14ac:dyDescent="0.2">
      <c r="B17" s="20" t="s">
        <v>4004</v>
      </c>
      <c r="C17" s="14" t="s">
        <v>15</v>
      </c>
      <c r="D17" s="20" t="s">
        <v>4004</v>
      </c>
      <c r="E17" s="14" t="s">
        <v>15</v>
      </c>
      <c r="F17" s="20" t="s">
        <v>4004</v>
      </c>
      <c r="G17" s="14" t="s">
        <v>15</v>
      </c>
      <c r="H17" s="20" t="s">
        <v>4004</v>
      </c>
      <c r="I17" s="14" t="s">
        <v>15</v>
      </c>
      <c r="J17" s="20" t="s">
        <v>4004</v>
      </c>
      <c r="K17" s="14" t="s">
        <v>15</v>
      </c>
      <c r="L17" s="20" t="s">
        <v>4004</v>
      </c>
      <c r="M17" s="14" t="s">
        <v>15</v>
      </c>
      <c r="N17" s="20" t="s">
        <v>4004</v>
      </c>
      <c r="O17" s="14" t="s">
        <v>15</v>
      </c>
      <c r="P17" s="20" t="s">
        <v>4004</v>
      </c>
      <c r="Q17" s="14" t="s">
        <v>15</v>
      </c>
      <c r="R17" s="20" t="s">
        <v>4004</v>
      </c>
      <c r="S17" s="14" t="s">
        <v>15</v>
      </c>
      <c r="T17" s="20" t="s">
        <v>4004</v>
      </c>
      <c r="U17" s="14" t="s">
        <v>15</v>
      </c>
      <c r="Z17" s="14">
        <f t="shared" si="18"/>
        <v>4.5</v>
      </c>
      <c r="AA17" s="16" t="s">
        <v>4039</v>
      </c>
      <c r="AB17" s="16">
        <v>24000</v>
      </c>
      <c r="AC17" s="16">
        <v>41000</v>
      </c>
      <c r="AD17" s="16">
        <v>15000</v>
      </c>
      <c r="AE17" s="16">
        <v>23000</v>
      </c>
      <c r="AF17" s="16">
        <v>111000</v>
      </c>
      <c r="AG17" s="14">
        <f>SUM(AB17:AF17)</f>
        <v>214000</v>
      </c>
      <c r="AH17" s="14">
        <f>IFERROR(AG17,"")</f>
        <v>214000</v>
      </c>
      <c r="AI17" s="18">
        <f>SUM(AB17:AD17)</f>
        <v>80000</v>
      </c>
      <c r="AJ17" s="18">
        <f>SUM(AB17:AF17)</f>
        <v>214000</v>
      </c>
      <c r="AK17" s="14">
        <f>IFERROR(INDEX(Control!$W$1:$X$10,MATCH(Role!AA17,Control!$W$1:$W$10,0),2),NA())</f>
        <v>173623</v>
      </c>
    </row>
    <row r="18" spans="2:37" x14ac:dyDescent="0.2">
      <c r="B18" s="20" t="s">
        <v>5</v>
      </c>
      <c r="C18" s="14" t="s">
        <v>4009</v>
      </c>
      <c r="D18" s="20" t="s">
        <v>5</v>
      </c>
      <c r="E18" s="14" t="s">
        <v>4009</v>
      </c>
      <c r="F18" s="20" t="s">
        <v>5</v>
      </c>
      <c r="G18" s="14" t="s">
        <v>4009</v>
      </c>
      <c r="H18" s="20" t="s">
        <v>5</v>
      </c>
      <c r="I18" s="14" t="s">
        <v>4009</v>
      </c>
      <c r="J18" s="20" t="s">
        <v>5</v>
      </c>
      <c r="K18" s="14" t="s">
        <v>4009</v>
      </c>
      <c r="L18" s="20" t="s">
        <v>5</v>
      </c>
      <c r="M18" s="14" t="s">
        <v>4009</v>
      </c>
      <c r="N18" s="20" t="s">
        <v>5</v>
      </c>
      <c r="O18" s="14" t="s">
        <v>4009</v>
      </c>
      <c r="P18" s="20" t="s">
        <v>5</v>
      </c>
      <c r="Q18" s="14" t="s">
        <v>4009</v>
      </c>
      <c r="R18" s="20" t="s">
        <v>5</v>
      </c>
      <c r="S18" s="14" t="s">
        <v>4009</v>
      </c>
      <c r="T18" s="20" t="s">
        <v>5</v>
      </c>
      <c r="U18" s="14" t="s">
        <v>4009</v>
      </c>
      <c r="Z18" s="14">
        <f t="shared" si="18"/>
        <v>3.5</v>
      </c>
      <c r="AA18" s="16" t="s">
        <v>4038</v>
      </c>
      <c r="AB18" s="16">
        <v>12000</v>
      </c>
      <c r="AC18" s="16">
        <v>36000</v>
      </c>
      <c r="AD18" s="16">
        <v>39500</v>
      </c>
      <c r="AE18" s="16">
        <v>25750</v>
      </c>
      <c r="AF18" s="16">
        <v>136750</v>
      </c>
      <c r="AG18" s="14">
        <f>SUM(AB18:AF18)</f>
        <v>250000</v>
      </c>
      <c r="AH18" s="14">
        <f>IFERROR(AG18,"")</f>
        <v>250000</v>
      </c>
      <c r="AI18" s="18">
        <f>SUM(AB18:AD18)</f>
        <v>87500</v>
      </c>
      <c r="AJ18" s="18">
        <f>SUM(AB18:AF18)</f>
        <v>250000</v>
      </c>
      <c r="AK18" s="14">
        <f>IFERROR(INDEX(Control!$W$1:$X$10,MATCH(Role!AA18,Control!$W$1:$W$10,0),2),NA())</f>
        <v>87980</v>
      </c>
    </row>
    <row r="19" spans="2:37" x14ac:dyDescent="0.2">
      <c r="B19" s="20" t="s">
        <v>4010</v>
      </c>
      <c r="C19" s="14" t="s">
        <v>4009</v>
      </c>
      <c r="D19" s="20" t="s">
        <v>4010</v>
      </c>
      <c r="E19" s="14" t="s">
        <v>4009</v>
      </c>
      <c r="F19" s="20" t="s">
        <v>4010</v>
      </c>
      <c r="G19" s="14" t="s">
        <v>4009</v>
      </c>
      <c r="H19" s="20" t="s">
        <v>4010</v>
      </c>
      <c r="I19" s="14" t="s">
        <v>4009</v>
      </c>
      <c r="J19" s="20" t="s">
        <v>4010</v>
      </c>
      <c r="K19" s="14" t="s">
        <v>4009</v>
      </c>
      <c r="L19" s="20" t="s">
        <v>4010</v>
      </c>
      <c r="M19" s="14" t="s">
        <v>4009</v>
      </c>
      <c r="N19" s="20" t="s">
        <v>4010</v>
      </c>
      <c r="O19" s="14" t="s">
        <v>4009</v>
      </c>
      <c r="P19" s="20" t="s">
        <v>4010</v>
      </c>
      <c r="Q19" s="14" t="s">
        <v>4009</v>
      </c>
      <c r="R19" s="20" t="s">
        <v>4010</v>
      </c>
      <c r="S19" s="14" t="s">
        <v>4009</v>
      </c>
      <c r="T19" s="20" t="s">
        <v>4010</v>
      </c>
      <c r="U19" s="14" t="s">
        <v>4009</v>
      </c>
      <c r="Z19" s="14">
        <f t="shared" si="18"/>
        <v>2.5</v>
      </c>
      <c r="AA19" s="16" t="s">
        <v>4040</v>
      </c>
      <c r="AB19" s="16">
        <v>16000</v>
      </c>
      <c r="AC19" s="16">
        <v>67750</v>
      </c>
      <c r="AD19" s="16">
        <v>32250</v>
      </c>
      <c r="AE19" s="16">
        <v>58500</v>
      </c>
      <c r="AF19" s="16">
        <v>125500</v>
      </c>
      <c r="AG19" s="14">
        <f>SUM(AB19:AF19)</f>
        <v>300000</v>
      </c>
      <c r="AH19" s="14">
        <f>IFERROR(AG19,"")</f>
        <v>300000</v>
      </c>
      <c r="AI19" s="18">
        <f>SUM(AB19:AD19)</f>
        <v>116000</v>
      </c>
      <c r="AJ19" s="18">
        <f>SUM(AB19:AF19)</f>
        <v>300000</v>
      </c>
      <c r="AK19" s="14">
        <f>IFERROR(INDEX(Control!$W$1:$X$10,MATCH(Role!AA19,Control!$W$1:$W$10,0),2),NA())</f>
        <v>176550</v>
      </c>
    </row>
    <row r="20" spans="2:37" x14ac:dyDescent="0.2">
      <c r="Z20" s="14">
        <f t="shared" si="18"/>
        <v>1.5</v>
      </c>
      <c r="AA20" s="16" t="s">
        <v>4042</v>
      </c>
      <c r="AB20" s="16">
        <v>15000</v>
      </c>
      <c r="AC20" s="16">
        <v>34250</v>
      </c>
      <c r="AD20" s="16">
        <v>20750</v>
      </c>
      <c r="AE20" s="16">
        <v>26615</v>
      </c>
      <c r="AF20" s="16">
        <v>303385</v>
      </c>
      <c r="AG20" s="14">
        <f>SUM(AB20:AF20)</f>
        <v>400000</v>
      </c>
      <c r="AH20" s="14">
        <f>IFERROR(AG20,"")</f>
        <v>400000</v>
      </c>
      <c r="AI20" s="18">
        <f>SUM(AB20:AD20)</f>
        <v>70000</v>
      </c>
      <c r="AJ20" s="18">
        <f>SUM(AB20:AF20)</f>
        <v>400000</v>
      </c>
      <c r="AK20" s="14">
        <f>IFERROR(INDEX(Control!$W$1:$X$10,MATCH(Role!AA20,Control!$W$1:$W$10,0),2),NA())</f>
        <v>95586</v>
      </c>
    </row>
    <row r="21" spans="2:37" x14ac:dyDescent="0.2">
      <c r="B21" s="20" t="s">
        <v>4008</v>
      </c>
      <c r="D21" s="20" t="s">
        <v>4008</v>
      </c>
      <c r="F21" s="20" t="s">
        <v>4008</v>
      </c>
      <c r="H21" s="20" t="s">
        <v>4008</v>
      </c>
      <c r="J21" s="20" t="s">
        <v>4008</v>
      </c>
      <c r="L21" s="20" t="s">
        <v>4008</v>
      </c>
      <c r="N21" s="20" t="s">
        <v>4008</v>
      </c>
      <c r="P21" s="20" t="s">
        <v>4008</v>
      </c>
      <c r="R21" s="20" t="s">
        <v>4008</v>
      </c>
      <c r="T21" s="20" t="s">
        <v>4008</v>
      </c>
      <c r="Z21" s="14">
        <f t="shared" si="18"/>
        <v>0.5</v>
      </c>
      <c r="AA21" s="16" t="s">
        <v>4045</v>
      </c>
      <c r="AB21" s="16">
        <v>31000</v>
      </c>
      <c r="AC21" s="16">
        <v>12000</v>
      </c>
      <c r="AD21" s="16">
        <v>11000</v>
      </c>
      <c r="AE21" s="16">
        <v>20500</v>
      </c>
      <c r="AF21" s="16">
        <v>325500</v>
      </c>
      <c r="AG21" s="14">
        <f>SUM(AB21:AF21)</f>
        <v>400000</v>
      </c>
      <c r="AH21" s="14">
        <f>IFERROR(AG21,"")</f>
        <v>400000</v>
      </c>
      <c r="AI21" s="18">
        <f>SUM(AB21:AD21)</f>
        <v>54000</v>
      </c>
      <c r="AJ21" s="18">
        <f>SUM(AB21:AF21)</f>
        <v>400000</v>
      </c>
      <c r="AK21" s="14">
        <f>IFERROR(INDEX(Control!$W$1:$X$10,MATCH(Role!AA21,Control!$W$1:$W$10,0),2),NA())</f>
        <v>61182</v>
      </c>
    </row>
    <row r="22" spans="2:37" x14ac:dyDescent="0.2">
      <c r="B22" s="21">
        <v>22880</v>
      </c>
      <c r="D22" s="21">
        <v>10000</v>
      </c>
      <c r="F22" s="21">
        <v>12000</v>
      </c>
      <c r="H22" s="21">
        <v>24000</v>
      </c>
      <c r="J22" s="21">
        <v>16000</v>
      </c>
      <c r="L22" s="21">
        <v>24000</v>
      </c>
      <c r="N22" s="21">
        <v>15000</v>
      </c>
      <c r="P22" s="21">
        <v>74461</v>
      </c>
      <c r="R22" s="21">
        <v>32000</v>
      </c>
      <c r="T22" s="21">
        <v>31000</v>
      </c>
    </row>
    <row r="23" spans="2:37" x14ac:dyDescent="0.2">
      <c r="B23" s="21">
        <v>30232</v>
      </c>
      <c r="D23" s="21">
        <v>12000</v>
      </c>
      <c r="F23" s="21">
        <v>15000</v>
      </c>
      <c r="H23" s="21">
        <v>33000</v>
      </c>
      <c r="J23" s="21">
        <v>50000</v>
      </c>
      <c r="L23" s="21">
        <v>29000</v>
      </c>
      <c r="N23" s="21">
        <v>22000</v>
      </c>
      <c r="P23" s="21">
        <v>87000</v>
      </c>
      <c r="R23" s="21">
        <v>37000</v>
      </c>
      <c r="T23" s="21">
        <v>35000</v>
      </c>
    </row>
    <row r="24" spans="2:37" x14ac:dyDescent="0.2">
      <c r="B24" s="21">
        <v>37900</v>
      </c>
      <c r="D24" s="21">
        <v>15000</v>
      </c>
      <c r="F24" s="21">
        <v>30000</v>
      </c>
      <c r="H24" s="21">
        <v>46325</v>
      </c>
      <c r="J24" s="21">
        <v>54000</v>
      </c>
      <c r="L24" s="21">
        <v>44000</v>
      </c>
      <c r="N24" s="21">
        <v>24000</v>
      </c>
      <c r="P24" s="21">
        <v>90000</v>
      </c>
      <c r="R24" s="21">
        <v>45000</v>
      </c>
      <c r="T24" s="21">
        <v>36000</v>
      </c>
    </row>
    <row r="25" spans="2:37" x14ac:dyDescent="0.2">
      <c r="B25" s="21">
        <v>38000</v>
      </c>
      <c r="D25" s="21">
        <v>24000</v>
      </c>
      <c r="F25" s="21">
        <v>41000</v>
      </c>
      <c r="H25" s="21">
        <v>65000</v>
      </c>
      <c r="J25" s="21">
        <v>62500</v>
      </c>
      <c r="L25" s="21">
        <v>50000</v>
      </c>
      <c r="N25" s="21">
        <v>29000</v>
      </c>
      <c r="P25" s="21"/>
      <c r="R25" s="21">
        <v>85000</v>
      </c>
      <c r="T25" s="21">
        <v>40000</v>
      </c>
    </row>
    <row r="26" spans="2:37" ht="15" x14ac:dyDescent="0.25">
      <c r="B26" s="21">
        <v>40000</v>
      </c>
      <c r="D26" s="21">
        <v>27500</v>
      </c>
      <c r="F26" s="21">
        <v>69000</v>
      </c>
      <c r="H26" s="21">
        <v>69000</v>
      </c>
      <c r="J26" s="21">
        <v>72000</v>
      </c>
      <c r="L26" s="21">
        <v>54000</v>
      </c>
      <c r="N26" s="21">
        <v>30000</v>
      </c>
      <c r="P26"/>
      <c r="R26" s="21">
        <v>92000</v>
      </c>
      <c r="T26" s="21">
        <v>41000</v>
      </c>
    </row>
    <row r="27" spans="2:37" ht="15" x14ac:dyDescent="0.25">
      <c r="B27" s="21">
        <v>42000</v>
      </c>
      <c r="D27" s="21">
        <v>27840</v>
      </c>
      <c r="F27" s="21">
        <v>72000</v>
      </c>
      <c r="H27" s="21">
        <v>72500</v>
      </c>
      <c r="J27" s="21">
        <v>75000</v>
      </c>
      <c r="L27" s="21">
        <v>57000</v>
      </c>
      <c r="N27" s="21">
        <v>32000</v>
      </c>
      <c r="P27"/>
      <c r="R27" s="21"/>
      <c r="T27" s="21">
        <v>45000</v>
      </c>
    </row>
    <row r="28" spans="2:37" ht="15" x14ac:dyDescent="0.25">
      <c r="B28" s="21">
        <v>43000</v>
      </c>
      <c r="D28" s="21">
        <v>28000</v>
      </c>
      <c r="F28" s="21">
        <v>74000</v>
      </c>
      <c r="H28" s="21">
        <v>75000</v>
      </c>
      <c r="J28" s="21">
        <v>80000</v>
      </c>
      <c r="L28" s="21">
        <v>60000</v>
      </c>
      <c r="N28" s="21">
        <v>33250</v>
      </c>
      <c r="P28"/>
      <c r="R28"/>
      <c r="T28" s="21">
        <v>47000</v>
      </c>
    </row>
    <row r="29" spans="2:37" ht="15" x14ac:dyDescent="0.25">
      <c r="B29" s="21">
        <v>45000</v>
      </c>
      <c r="D29" s="21">
        <v>30000</v>
      </c>
      <c r="F29" s="21">
        <v>80000</v>
      </c>
      <c r="H29" s="21">
        <v>80000</v>
      </c>
      <c r="J29" s="21">
        <v>85000</v>
      </c>
      <c r="L29" s="21">
        <v>62000</v>
      </c>
      <c r="N29" s="21">
        <v>35000</v>
      </c>
      <c r="P29"/>
      <c r="R29"/>
      <c r="T29" s="21">
        <v>49000</v>
      </c>
    </row>
    <row r="30" spans="2:37" ht="15" x14ac:dyDescent="0.25">
      <c r="B30" s="21">
        <v>48000</v>
      </c>
      <c r="D30" s="21">
        <v>31000</v>
      </c>
      <c r="F30" s="21">
        <v>95000</v>
      </c>
      <c r="H30" s="21">
        <v>85000</v>
      </c>
      <c r="J30" s="21">
        <v>95000</v>
      </c>
      <c r="L30" s="21">
        <v>69000</v>
      </c>
      <c r="N30" s="21">
        <v>36000</v>
      </c>
      <c r="R30"/>
      <c r="T30" s="21">
        <v>50000</v>
      </c>
    </row>
    <row r="31" spans="2:37" ht="15" x14ac:dyDescent="0.25">
      <c r="B31" s="21">
        <v>50000</v>
      </c>
      <c r="D31" s="21">
        <v>31200</v>
      </c>
      <c r="F31" s="21">
        <v>100000</v>
      </c>
      <c r="H31" s="21">
        <v>92000</v>
      </c>
      <c r="J31" s="21">
        <v>100000</v>
      </c>
      <c r="L31" s="21">
        <v>69960</v>
      </c>
      <c r="N31" s="21">
        <v>40000</v>
      </c>
      <c r="R31"/>
      <c r="T31" s="21">
        <v>52000</v>
      </c>
    </row>
    <row r="32" spans="2:37" ht="15" x14ac:dyDescent="0.25">
      <c r="B32" s="21">
        <v>52000</v>
      </c>
      <c r="D32" s="21">
        <v>32884</v>
      </c>
      <c r="F32" s="21">
        <v>105000</v>
      </c>
      <c r="H32" s="21">
        <v>99000</v>
      </c>
      <c r="J32" s="21">
        <v>103000</v>
      </c>
      <c r="L32" s="21">
        <v>70000</v>
      </c>
      <c r="N32" s="21">
        <v>41000</v>
      </c>
      <c r="R32"/>
      <c r="T32" s="21">
        <v>54000</v>
      </c>
    </row>
    <row r="33" spans="2:20" ht="15" x14ac:dyDescent="0.25">
      <c r="B33" s="21">
        <v>55000</v>
      </c>
      <c r="D33" s="21">
        <v>33900</v>
      </c>
      <c r="F33" s="21">
        <v>108000</v>
      </c>
      <c r="H33" s="21">
        <v>103000</v>
      </c>
      <c r="J33" s="21">
        <v>104000</v>
      </c>
      <c r="L33" s="21">
        <v>72500</v>
      </c>
      <c r="N33" s="21">
        <v>41600</v>
      </c>
      <c r="R33"/>
      <c r="T33" s="21">
        <v>60000</v>
      </c>
    </row>
    <row r="34" spans="2:20" ht="15" x14ac:dyDescent="0.25">
      <c r="B34" s="21">
        <v>56000</v>
      </c>
      <c r="D34" s="21">
        <v>34000</v>
      </c>
      <c r="F34" s="21">
        <v>115000</v>
      </c>
      <c r="H34" s="21">
        <v>140000</v>
      </c>
      <c r="J34" s="21">
        <v>105000</v>
      </c>
      <c r="L34" s="21">
        <v>74000</v>
      </c>
      <c r="N34" s="21">
        <v>41932</v>
      </c>
      <c r="R34"/>
      <c r="T34" s="21">
        <v>62000</v>
      </c>
    </row>
    <row r="35" spans="2:20" ht="15" x14ac:dyDescent="0.25">
      <c r="B35" s="21">
        <v>57000</v>
      </c>
      <c r="D35" s="21">
        <v>35000</v>
      </c>
      <c r="F35" s="21">
        <v>125000</v>
      </c>
      <c r="H35" s="21">
        <v>150000</v>
      </c>
      <c r="J35" s="21">
        <v>110000</v>
      </c>
      <c r="L35" s="21">
        <v>75000</v>
      </c>
      <c r="N35" s="21">
        <v>44000</v>
      </c>
      <c r="R35"/>
      <c r="T35" s="21">
        <v>65000</v>
      </c>
    </row>
    <row r="36" spans="2:20" ht="15" x14ac:dyDescent="0.25">
      <c r="B36" s="21">
        <v>58000</v>
      </c>
      <c r="D36" s="21">
        <v>35500</v>
      </c>
      <c r="F36" s="21">
        <v>150000</v>
      </c>
      <c r="H36" s="21">
        <v>214000</v>
      </c>
      <c r="J36" s="21">
        <v>114000</v>
      </c>
      <c r="L36" s="21">
        <v>77000</v>
      </c>
      <c r="N36" s="21">
        <v>45880</v>
      </c>
      <c r="R36"/>
      <c r="T36" s="21">
        <v>73000</v>
      </c>
    </row>
    <row r="37" spans="2:20" ht="15" x14ac:dyDescent="0.25">
      <c r="B37" s="21">
        <v>60000</v>
      </c>
      <c r="D37" s="21">
        <v>36000</v>
      </c>
      <c r="F37" s="21">
        <v>250000</v>
      </c>
      <c r="H37" s="21"/>
      <c r="J37" s="21">
        <v>118000</v>
      </c>
      <c r="L37" s="21">
        <v>78000</v>
      </c>
      <c r="N37" s="21">
        <v>47000</v>
      </c>
      <c r="R37"/>
      <c r="T37" s="21">
        <v>74000</v>
      </c>
    </row>
    <row r="38" spans="2:20" ht="15" x14ac:dyDescent="0.25">
      <c r="B38" s="21">
        <v>61000</v>
      </c>
      <c r="D38" s="21">
        <v>37440</v>
      </c>
      <c r="F38" s="21"/>
      <c r="H38"/>
      <c r="J38" s="21">
        <v>120000</v>
      </c>
      <c r="L38" s="21">
        <v>85000</v>
      </c>
      <c r="N38" s="21">
        <v>47500</v>
      </c>
      <c r="R38"/>
      <c r="T38" s="21">
        <v>75000</v>
      </c>
    </row>
    <row r="39" spans="2:20" ht="15" x14ac:dyDescent="0.25">
      <c r="B39" s="21">
        <v>62400</v>
      </c>
      <c r="D39" s="21">
        <v>38000</v>
      </c>
      <c r="F39"/>
      <c r="H39"/>
      <c r="J39" s="21">
        <v>125000</v>
      </c>
      <c r="L39" s="21">
        <v>92000</v>
      </c>
      <c r="N39" s="21">
        <v>48000</v>
      </c>
      <c r="R39"/>
      <c r="T39" s="21">
        <v>80000</v>
      </c>
    </row>
    <row r="40" spans="2:20" ht="15" x14ac:dyDescent="0.25">
      <c r="B40" s="21">
        <v>63000</v>
      </c>
      <c r="D40" s="21">
        <v>39000</v>
      </c>
      <c r="F40"/>
      <c r="H40"/>
      <c r="J40" s="21">
        <v>127500</v>
      </c>
      <c r="L40" s="21">
        <v>95000</v>
      </c>
      <c r="N40" s="21">
        <v>48500</v>
      </c>
      <c r="R40"/>
      <c r="T40" s="21">
        <v>90000</v>
      </c>
    </row>
    <row r="41" spans="2:20" ht="15" x14ac:dyDescent="0.25">
      <c r="B41" s="21">
        <v>64300</v>
      </c>
      <c r="D41" s="21">
        <v>40000</v>
      </c>
      <c r="F41"/>
      <c r="H41"/>
      <c r="J41" s="21">
        <v>135000</v>
      </c>
      <c r="L41" s="21">
        <v>110000</v>
      </c>
      <c r="N41" s="21">
        <v>50000</v>
      </c>
      <c r="R41"/>
      <c r="T41" s="21">
        <v>96000</v>
      </c>
    </row>
    <row r="42" spans="2:20" ht="15" x14ac:dyDescent="0.25">
      <c r="B42" s="21">
        <v>65000</v>
      </c>
      <c r="D42" s="21">
        <v>40414</v>
      </c>
      <c r="F42"/>
      <c r="H42"/>
      <c r="J42" s="21">
        <v>150000</v>
      </c>
      <c r="L42" s="21">
        <v>130000</v>
      </c>
      <c r="N42" s="21">
        <v>51000</v>
      </c>
      <c r="R42"/>
      <c r="T42" s="21">
        <v>400000</v>
      </c>
    </row>
    <row r="43" spans="2:20" ht="15" x14ac:dyDescent="0.25">
      <c r="B43" s="21">
        <v>65250</v>
      </c>
      <c r="D43" s="21">
        <v>40700</v>
      </c>
      <c r="F43"/>
      <c r="H43"/>
      <c r="J43" s="21">
        <v>169000</v>
      </c>
      <c r="L43" s="21"/>
      <c r="N43" s="21">
        <v>52000</v>
      </c>
      <c r="R43"/>
      <c r="T43" s="21"/>
    </row>
    <row r="44" spans="2:20" ht="15" x14ac:dyDescent="0.25">
      <c r="B44" s="21">
        <v>70000</v>
      </c>
      <c r="D44" s="21">
        <v>41000</v>
      </c>
      <c r="F44"/>
      <c r="H44"/>
      <c r="J44" s="21">
        <v>170000</v>
      </c>
      <c r="L44"/>
      <c r="N44" s="21">
        <v>52500</v>
      </c>
      <c r="R44"/>
      <c r="T44"/>
    </row>
    <row r="45" spans="2:20" ht="15" x14ac:dyDescent="0.25">
      <c r="B45" s="21">
        <v>75000</v>
      </c>
      <c r="D45" s="21">
        <v>42000</v>
      </c>
      <c r="F45"/>
      <c r="H45"/>
      <c r="J45" s="21">
        <v>188000</v>
      </c>
      <c r="L45"/>
      <c r="N45" s="21">
        <v>53000</v>
      </c>
      <c r="R45"/>
      <c r="T45"/>
    </row>
    <row r="46" spans="2:20" ht="15" x14ac:dyDescent="0.25">
      <c r="B46" s="21">
        <v>77000</v>
      </c>
      <c r="D46" s="21">
        <v>42140</v>
      </c>
      <c r="F46"/>
      <c r="H46"/>
      <c r="J46" s="21">
        <v>192000</v>
      </c>
      <c r="L46"/>
      <c r="N46" s="21">
        <v>54000</v>
      </c>
      <c r="R46"/>
      <c r="T46"/>
    </row>
    <row r="47" spans="2:20" ht="15" x14ac:dyDescent="0.25">
      <c r="B47" s="21">
        <v>79000</v>
      </c>
      <c r="D47" s="21">
        <v>42307</v>
      </c>
      <c r="F47"/>
      <c r="H47"/>
      <c r="J47" s="21">
        <v>194000</v>
      </c>
      <c r="L47"/>
      <c r="N47" s="21">
        <v>55000</v>
      </c>
      <c r="R47"/>
      <c r="T47"/>
    </row>
    <row r="48" spans="2:20" ht="15" x14ac:dyDescent="0.25">
      <c r="B48" s="21">
        <v>85000</v>
      </c>
      <c r="D48" s="21">
        <v>43000</v>
      </c>
      <c r="F48"/>
      <c r="H48"/>
      <c r="J48" s="21">
        <v>200000</v>
      </c>
      <c r="L48"/>
      <c r="N48" s="21">
        <v>56000</v>
      </c>
      <c r="R48"/>
      <c r="T48"/>
    </row>
    <row r="49" spans="2:20" ht="15" x14ac:dyDescent="0.25">
      <c r="B49" s="21">
        <v>100000</v>
      </c>
      <c r="D49" s="21">
        <v>43600</v>
      </c>
      <c r="F49"/>
      <c r="H49"/>
      <c r="J49" s="21">
        <v>225000</v>
      </c>
      <c r="L49"/>
      <c r="N49" s="21">
        <v>56600</v>
      </c>
      <c r="R49"/>
      <c r="T49"/>
    </row>
    <row r="50" spans="2:20" ht="15" x14ac:dyDescent="0.25">
      <c r="B50" s="21">
        <v>107000</v>
      </c>
      <c r="D50" s="21">
        <v>44000</v>
      </c>
      <c r="F50"/>
      <c r="H50"/>
      <c r="J50" s="21">
        <v>260000</v>
      </c>
      <c r="L50"/>
      <c r="N50" s="21">
        <v>57000</v>
      </c>
      <c r="R50"/>
      <c r="T50"/>
    </row>
    <row r="51" spans="2:20" ht="15" x14ac:dyDescent="0.25">
      <c r="B51" s="21">
        <v>120000</v>
      </c>
      <c r="D51" s="21">
        <v>44200</v>
      </c>
      <c r="F51"/>
      <c r="H51"/>
      <c r="J51" s="21">
        <v>300000</v>
      </c>
      <c r="L51"/>
      <c r="N51" s="21">
        <v>57500</v>
      </c>
      <c r="R51"/>
      <c r="T51"/>
    </row>
    <row r="52" spans="2:20" ht="15" x14ac:dyDescent="0.25">
      <c r="B52" s="21">
        <v>140000</v>
      </c>
      <c r="D52" s="21">
        <v>45000</v>
      </c>
      <c r="F52"/>
      <c r="H52"/>
      <c r="J52" s="21"/>
      <c r="L52"/>
      <c r="N52" s="21">
        <v>58000</v>
      </c>
      <c r="R52"/>
      <c r="T52"/>
    </row>
    <row r="53" spans="2:20" ht="15" x14ac:dyDescent="0.25">
      <c r="B53" s="21">
        <v>150000</v>
      </c>
      <c r="D53" s="21">
        <v>46000</v>
      </c>
      <c r="F53"/>
      <c r="H53"/>
      <c r="J53"/>
      <c r="L53"/>
      <c r="N53" s="21">
        <v>59000</v>
      </c>
      <c r="R53"/>
      <c r="T53"/>
    </row>
    <row r="54" spans="2:20" ht="15" x14ac:dyDescent="0.25">
      <c r="B54" s="21"/>
      <c r="D54" s="21">
        <v>46359</v>
      </c>
      <c r="F54"/>
      <c r="H54"/>
      <c r="J54"/>
      <c r="L54"/>
      <c r="N54" s="21">
        <v>60000</v>
      </c>
      <c r="R54"/>
      <c r="T54"/>
    </row>
    <row r="55" spans="2:20" ht="15" x14ac:dyDescent="0.25">
      <c r="B55"/>
      <c r="D55" s="21">
        <v>46584</v>
      </c>
      <c r="F55"/>
      <c r="H55"/>
      <c r="J55"/>
      <c r="L55"/>
      <c r="N55" s="21">
        <v>61000</v>
      </c>
      <c r="R55"/>
      <c r="T55"/>
    </row>
    <row r="56" spans="2:20" ht="15" x14ac:dyDescent="0.25">
      <c r="B56"/>
      <c r="D56" s="21">
        <v>47700</v>
      </c>
      <c r="F56"/>
      <c r="H56"/>
      <c r="J56"/>
      <c r="L56"/>
      <c r="N56" s="21">
        <v>64000</v>
      </c>
      <c r="R56"/>
      <c r="T56"/>
    </row>
    <row r="57" spans="2:20" ht="15" x14ac:dyDescent="0.25">
      <c r="B57"/>
      <c r="D57" s="21">
        <v>48000</v>
      </c>
      <c r="F57"/>
      <c r="H57"/>
      <c r="J57"/>
      <c r="L57"/>
      <c r="N57" s="21">
        <v>65000</v>
      </c>
      <c r="R57"/>
      <c r="T57"/>
    </row>
    <row r="58" spans="2:20" ht="15" x14ac:dyDescent="0.25">
      <c r="B58"/>
      <c r="D58" s="21">
        <v>48500</v>
      </c>
      <c r="F58"/>
      <c r="H58"/>
      <c r="J58"/>
      <c r="L58"/>
      <c r="N58" s="21">
        <v>67000</v>
      </c>
      <c r="R58"/>
      <c r="T58"/>
    </row>
    <row r="59" spans="2:20" ht="15" x14ac:dyDescent="0.25">
      <c r="B59"/>
      <c r="D59" s="21">
        <v>49000</v>
      </c>
      <c r="F59"/>
      <c r="H59"/>
      <c r="J59"/>
      <c r="L59"/>
      <c r="N59" s="21">
        <v>68000</v>
      </c>
      <c r="R59"/>
      <c r="T59"/>
    </row>
    <row r="60" spans="2:20" ht="15" x14ac:dyDescent="0.25">
      <c r="B60"/>
      <c r="D60" s="21">
        <v>49500</v>
      </c>
      <c r="F60"/>
      <c r="H60"/>
      <c r="J60"/>
      <c r="L60"/>
      <c r="N60" s="21">
        <v>70000</v>
      </c>
      <c r="R60"/>
      <c r="T60"/>
    </row>
    <row r="61" spans="2:20" ht="15" x14ac:dyDescent="0.25">
      <c r="B61"/>
      <c r="D61" s="21">
        <v>50000</v>
      </c>
      <c r="F61"/>
      <c r="H61"/>
      <c r="J61"/>
      <c r="L61"/>
      <c r="N61" s="21">
        <v>71500</v>
      </c>
      <c r="R61"/>
      <c r="T61"/>
    </row>
    <row r="62" spans="2:20" ht="15" x14ac:dyDescent="0.25">
      <c r="B62"/>
      <c r="D62" s="21">
        <v>50846</v>
      </c>
      <c r="F62"/>
      <c r="H62"/>
      <c r="J62"/>
      <c r="L62"/>
      <c r="N62" s="21">
        <v>72000</v>
      </c>
      <c r="R62"/>
      <c r="T62"/>
    </row>
    <row r="63" spans="2:20" ht="15" x14ac:dyDescent="0.25">
      <c r="B63"/>
      <c r="D63" s="21">
        <v>51000</v>
      </c>
      <c r="F63"/>
      <c r="H63"/>
      <c r="J63"/>
      <c r="L63"/>
      <c r="N63" s="21">
        <v>72600</v>
      </c>
      <c r="R63"/>
      <c r="T63"/>
    </row>
    <row r="64" spans="2:20" ht="15" x14ac:dyDescent="0.25">
      <c r="B64"/>
      <c r="D64" s="21">
        <v>51613</v>
      </c>
      <c r="F64"/>
      <c r="H64"/>
      <c r="J64"/>
      <c r="L64"/>
      <c r="N64" s="21">
        <v>73000</v>
      </c>
      <c r="R64"/>
      <c r="T64"/>
    </row>
    <row r="65" spans="2:20" ht="15" x14ac:dyDescent="0.25">
      <c r="B65"/>
      <c r="D65" s="21">
        <v>52000</v>
      </c>
      <c r="F65"/>
      <c r="H65"/>
      <c r="J65"/>
      <c r="L65"/>
      <c r="N65" s="21">
        <v>75000</v>
      </c>
      <c r="R65"/>
      <c r="T65"/>
    </row>
    <row r="66" spans="2:20" ht="15" x14ac:dyDescent="0.25">
      <c r="B66"/>
      <c r="D66" s="21">
        <v>52500</v>
      </c>
      <c r="F66"/>
      <c r="H66"/>
      <c r="J66"/>
      <c r="L66"/>
      <c r="N66" s="21">
        <v>76000</v>
      </c>
      <c r="R66"/>
      <c r="T66"/>
    </row>
    <row r="67" spans="2:20" ht="15" x14ac:dyDescent="0.25">
      <c r="B67"/>
      <c r="D67" s="21">
        <v>53000</v>
      </c>
      <c r="F67"/>
      <c r="H67"/>
      <c r="J67"/>
      <c r="L67"/>
      <c r="N67" s="21">
        <v>80000</v>
      </c>
      <c r="R67"/>
      <c r="T67"/>
    </row>
    <row r="68" spans="2:20" ht="15" x14ac:dyDescent="0.25">
      <c r="B68"/>
      <c r="D68" s="21">
        <v>54000</v>
      </c>
      <c r="F68"/>
      <c r="H68"/>
      <c r="J68"/>
      <c r="L68"/>
      <c r="N68" s="21">
        <v>81000</v>
      </c>
      <c r="R68"/>
    </row>
    <row r="69" spans="2:20" ht="15" x14ac:dyDescent="0.25">
      <c r="B69"/>
      <c r="D69" s="21">
        <v>55000</v>
      </c>
      <c r="F69"/>
      <c r="H69"/>
      <c r="J69"/>
      <c r="L69"/>
      <c r="N69" s="21">
        <v>82000</v>
      </c>
      <c r="R69"/>
    </row>
    <row r="70" spans="2:20" ht="15" x14ac:dyDescent="0.25">
      <c r="B70"/>
      <c r="D70" s="21">
        <v>56000</v>
      </c>
      <c r="F70"/>
      <c r="H70"/>
      <c r="J70"/>
      <c r="L70"/>
      <c r="N70" s="21">
        <v>82300</v>
      </c>
      <c r="R70"/>
    </row>
    <row r="71" spans="2:20" ht="15" x14ac:dyDescent="0.25">
      <c r="B71"/>
      <c r="D71" s="21">
        <v>56160</v>
      </c>
      <c r="F71"/>
      <c r="H71"/>
      <c r="J71"/>
      <c r="L71"/>
      <c r="N71" s="21">
        <v>85000</v>
      </c>
      <c r="R71"/>
    </row>
    <row r="72" spans="2:20" ht="15" x14ac:dyDescent="0.25">
      <c r="B72"/>
      <c r="D72" s="21">
        <v>57000</v>
      </c>
      <c r="F72"/>
      <c r="H72"/>
      <c r="J72"/>
      <c r="L72"/>
      <c r="N72" s="21">
        <v>87456</v>
      </c>
      <c r="R72"/>
    </row>
    <row r="73" spans="2:20" ht="15" x14ac:dyDescent="0.25">
      <c r="B73"/>
      <c r="D73" s="21">
        <v>57400</v>
      </c>
      <c r="F73"/>
      <c r="H73"/>
      <c r="L73"/>
      <c r="N73" s="21">
        <v>88000</v>
      </c>
      <c r="R73"/>
    </row>
    <row r="74" spans="2:20" ht="15" x14ac:dyDescent="0.25">
      <c r="B74"/>
      <c r="D74" s="21">
        <v>57678</v>
      </c>
      <c r="F74"/>
      <c r="H74"/>
      <c r="L74"/>
      <c r="N74" s="21">
        <v>89000</v>
      </c>
      <c r="R74"/>
    </row>
    <row r="75" spans="2:20" ht="15" x14ac:dyDescent="0.25">
      <c r="B75"/>
      <c r="D75" s="21">
        <v>58000</v>
      </c>
      <c r="F75"/>
      <c r="H75"/>
      <c r="L75"/>
      <c r="N75" s="21">
        <v>90000</v>
      </c>
      <c r="R75"/>
    </row>
    <row r="76" spans="2:20" ht="15" x14ac:dyDescent="0.25">
      <c r="B76"/>
      <c r="D76" s="21">
        <v>59000</v>
      </c>
      <c r="F76"/>
      <c r="H76"/>
      <c r="L76"/>
      <c r="N76" s="21">
        <v>91000</v>
      </c>
      <c r="R76"/>
    </row>
    <row r="77" spans="2:20" ht="15" x14ac:dyDescent="0.25">
      <c r="B77"/>
      <c r="D77" s="21">
        <v>60000</v>
      </c>
      <c r="F77"/>
      <c r="H77"/>
      <c r="L77"/>
      <c r="N77" s="21">
        <v>92000</v>
      </c>
      <c r="R77"/>
    </row>
    <row r="78" spans="2:20" ht="15" x14ac:dyDescent="0.25">
      <c r="B78"/>
      <c r="D78" s="21">
        <v>60800</v>
      </c>
      <c r="F78"/>
      <c r="H78"/>
      <c r="L78"/>
      <c r="N78" s="21">
        <v>95000</v>
      </c>
      <c r="R78"/>
    </row>
    <row r="79" spans="2:20" ht="15" x14ac:dyDescent="0.25">
      <c r="B79"/>
      <c r="D79" s="21">
        <v>61000</v>
      </c>
      <c r="F79"/>
      <c r="H79"/>
      <c r="L79"/>
      <c r="N79" s="21">
        <v>96230</v>
      </c>
      <c r="R79"/>
    </row>
    <row r="80" spans="2:20" ht="15" x14ac:dyDescent="0.25">
      <c r="B80"/>
      <c r="D80" s="21">
        <v>62000</v>
      </c>
      <c r="F80"/>
      <c r="H80"/>
      <c r="L80"/>
      <c r="N80" s="21">
        <v>97000</v>
      </c>
      <c r="R80"/>
    </row>
    <row r="81" spans="2:18" ht="15" x14ac:dyDescent="0.25">
      <c r="B81"/>
      <c r="D81" s="21">
        <v>63000</v>
      </c>
      <c r="F81"/>
      <c r="H81"/>
      <c r="L81"/>
      <c r="N81" s="21">
        <v>100000</v>
      </c>
      <c r="R81"/>
    </row>
    <row r="82" spans="2:18" ht="15" x14ac:dyDescent="0.25">
      <c r="B82"/>
      <c r="D82" s="21">
        <v>64500</v>
      </c>
      <c r="F82"/>
      <c r="H82"/>
      <c r="L82"/>
      <c r="N82" s="21">
        <v>105000</v>
      </c>
      <c r="R82"/>
    </row>
    <row r="83" spans="2:18" ht="15" x14ac:dyDescent="0.25">
      <c r="B83"/>
      <c r="D83" s="21">
        <v>65000</v>
      </c>
      <c r="F83"/>
      <c r="L83"/>
      <c r="N83" s="21">
        <v>107000</v>
      </c>
    </row>
    <row r="84" spans="2:18" ht="15" x14ac:dyDescent="0.25">
      <c r="B84"/>
      <c r="D84" s="21">
        <v>66000</v>
      </c>
      <c r="F84"/>
      <c r="L84"/>
      <c r="N84" s="21">
        <v>108000</v>
      </c>
    </row>
    <row r="85" spans="2:18" ht="15" x14ac:dyDescent="0.25">
      <c r="B85"/>
      <c r="D85" s="21">
        <v>66500</v>
      </c>
      <c r="F85"/>
      <c r="L85"/>
      <c r="N85" s="21">
        <v>109000</v>
      </c>
    </row>
    <row r="86" spans="2:18" ht="15" x14ac:dyDescent="0.25">
      <c r="B86"/>
      <c r="D86" s="21">
        <v>67000</v>
      </c>
      <c r="F86"/>
      <c r="N86" s="21">
        <v>111000</v>
      </c>
    </row>
    <row r="87" spans="2:18" ht="15" x14ac:dyDescent="0.25">
      <c r="B87"/>
      <c r="D87" s="21">
        <v>68000</v>
      </c>
      <c r="F87"/>
      <c r="N87" s="21">
        <v>112000</v>
      </c>
    </row>
    <row r="88" spans="2:18" ht="15" x14ac:dyDescent="0.25">
      <c r="B88"/>
      <c r="D88" s="21">
        <v>69000</v>
      </c>
      <c r="F88"/>
      <c r="N88" s="21">
        <v>115000</v>
      </c>
    </row>
    <row r="89" spans="2:18" ht="15" x14ac:dyDescent="0.25">
      <c r="B89"/>
      <c r="D89" s="21">
        <v>70000</v>
      </c>
      <c r="F89"/>
      <c r="N89" s="21">
        <v>120000</v>
      </c>
    </row>
    <row r="90" spans="2:18" ht="15" x14ac:dyDescent="0.25">
      <c r="B90"/>
      <c r="D90" s="21">
        <v>70970</v>
      </c>
      <c r="F90"/>
      <c r="N90" s="21">
        <v>125000</v>
      </c>
    </row>
    <row r="91" spans="2:18" ht="15" x14ac:dyDescent="0.25">
      <c r="B91"/>
      <c r="D91" s="21">
        <v>71000</v>
      </c>
      <c r="F91"/>
      <c r="N91" s="21">
        <v>128000</v>
      </c>
    </row>
    <row r="92" spans="2:18" ht="15" x14ac:dyDescent="0.25">
      <c r="B92"/>
      <c r="D92" s="21">
        <v>71500</v>
      </c>
      <c r="F92"/>
      <c r="N92" s="21">
        <v>130000</v>
      </c>
    </row>
    <row r="93" spans="2:18" ht="15" x14ac:dyDescent="0.25">
      <c r="B93"/>
      <c r="D93" s="21">
        <v>72000</v>
      </c>
      <c r="F93"/>
      <c r="N93" s="21">
        <v>135000</v>
      </c>
    </row>
    <row r="94" spans="2:18" ht="15" x14ac:dyDescent="0.25">
      <c r="B94"/>
      <c r="D94" s="21">
        <v>73000</v>
      </c>
      <c r="F94"/>
      <c r="N94" s="21">
        <v>136000</v>
      </c>
    </row>
    <row r="95" spans="2:18" ht="15" x14ac:dyDescent="0.25">
      <c r="B95"/>
      <c r="D95" s="21">
        <v>73500</v>
      </c>
      <c r="N95" s="21">
        <v>140000</v>
      </c>
    </row>
    <row r="96" spans="2:18" ht="15" x14ac:dyDescent="0.25">
      <c r="B96"/>
      <c r="D96" s="21">
        <v>74300</v>
      </c>
      <c r="N96" s="21">
        <v>150000</v>
      </c>
    </row>
    <row r="97" spans="2:14" ht="15" x14ac:dyDescent="0.25">
      <c r="B97"/>
      <c r="D97" s="21">
        <v>75000</v>
      </c>
      <c r="N97" s="21">
        <v>155000</v>
      </c>
    </row>
    <row r="98" spans="2:14" ht="15" x14ac:dyDescent="0.25">
      <c r="B98"/>
      <c r="D98" s="21">
        <v>75010</v>
      </c>
      <c r="N98" s="21">
        <v>400000</v>
      </c>
    </row>
    <row r="99" spans="2:14" ht="15" x14ac:dyDescent="0.25">
      <c r="B99"/>
      <c r="D99" s="21">
        <v>76000</v>
      </c>
      <c r="N99" s="21"/>
    </row>
    <row r="100" spans="2:14" ht="15" x14ac:dyDescent="0.25">
      <c r="B100"/>
      <c r="D100" s="21">
        <v>76600</v>
      </c>
      <c r="N100"/>
    </row>
    <row r="101" spans="2:14" ht="15" x14ac:dyDescent="0.25">
      <c r="B101"/>
      <c r="D101" s="21">
        <v>77000</v>
      </c>
      <c r="N101"/>
    </row>
    <row r="102" spans="2:14" ht="15" x14ac:dyDescent="0.25">
      <c r="B102"/>
      <c r="D102" s="21">
        <v>77500</v>
      </c>
      <c r="N102"/>
    </row>
    <row r="103" spans="2:14" ht="15" x14ac:dyDescent="0.25">
      <c r="B103"/>
      <c r="D103" s="21">
        <v>80000</v>
      </c>
      <c r="N103"/>
    </row>
    <row r="104" spans="2:14" ht="15" x14ac:dyDescent="0.25">
      <c r="B104"/>
      <c r="D104" s="21">
        <v>80442</v>
      </c>
      <c r="N104"/>
    </row>
    <row r="105" spans="2:14" ht="15" x14ac:dyDescent="0.25">
      <c r="B105"/>
      <c r="D105" s="21">
        <v>81000</v>
      </c>
      <c r="N105"/>
    </row>
    <row r="106" spans="2:14" ht="15" x14ac:dyDescent="0.25">
      <c r="B106"/>
      <c r="D106" s="21">
        <v>84000</v>
      </c>
      <c r="N106"/>
    </row>
    <row r="107" spans="2:14" ht="15" x14ac:dyDescent="0.25">
      <c r="B107"/>
      <c r="D107" s="21">
        <v>85000</v>
      </c>
      <c r="N107"/>
    </row>
    <row r="108" spans="2:14" ht="15" x14ac:dyDescent="0.25">
      <c r="B108"/>
      <c r="D108" s="21">
        <v>85087</v>
      </c>
      <c r="N108"/>
    </row>
    <row r="109" spans="2:14" ht="15" x14ac:dyDescent="0.25">
      <c r="B109"/>
      <c r="D109" s="21">
        <v>88000</v>
      </c>
      <c r="N109"/>
    </row>
    <row r="110" spans="2:14" ht="15" x14ac:dyDescent="0.25">
      <c r="B110"/>
      <c r="D110" s="21">
        <v>89000</v>
      </c>
      <c r="N110"/>
    </row>
    <row r="111" spans="2:14" ht="15" x14ac:dyDescent="0.25">
      <c r="B111"/>
      <c r="D111" s="21">
        <v>90000</v>
      </c>
      <c r="N111"/>
    </row>
    <row r="112" spans="2:14" ht="15" x14ac:dyDescent="0.25">
      <c r="B112"/>
      <c r="D112" s="21">
        <v>92000</v>
      </c>
      <c r="N112"/>
    </row>
    <row r="113" spans="2:14" ht="15" x14ac:dyDescent="0.25">
      <c r="B113"/>
      <c r="D113" s="21">
        <v>92500</v>
      </c>
      <c r="N113"/>
    </row>
    <row r="114" spans="2:14" ht="15" x14ac:dyDescent="0.25">
      <c r="B114"/>
      <c r="D114" s="21">
        <v>95000</v>
      </c>
      <c r="N114"/>
    </row>
    <row r="115" spans="2:14" ht="15" x14ac:dyDescent="0.25">
      <c r="B115"/>
      <c r="D115" s="21">
        <v>95856</v>
      </c>
      <c r="N115"/>
    </row>
    <row r="116" spans="2:14" ht="15" x14ac:dyDescent="0.25">
      <c r="B116"/>
      <c r="D116" s="21">
        <v>96000</v>
      </c>
      <c r="N116"/>
    </row>
    <row r="117" spans="2:14" ht="15" x14ac:dyDescent="0.25">
      <c r="B117"/>
      <c r="D117" s="21">
        <v>97000</v>
      </c>
      <c r="N117"/>
    </row>
    <row r="118" spans="2:14" ht="15" x14ac:dyDescent="0.25">
      <c r="B118"/>
      <c r="D118" s="21">
        <v>99000</v>
      </c>
      <c r="N118"/>
    </row>
    <row r="119" spans="2:14" ht="15" x14ac:dyDescent="0.25">
      <c r="B119"/>
      <c r="D119" s="21">
        <v>100000</v>
      </c>
      <c r="N119"/>
    </row>
    <row r="120" spans="2:14" ht="15" x14ac:dyDescent="0.25">
      <c r="B120"/>
      <c r="D120" s="21">
        <v>102000</v>
      </c>
      <c r="N120"/>
    </row>
    <row r="121" spans="2:14" ht="15" x14ac:dyDescent="0.25">
      <c r="B121"/>
      <c r="D121" s="21">
        <v>104000</v>
      </c>
      <c r="N121"/>
    </row>
    <row r="122" spans="2:14" ht="15" x14ac:dyDescent="0.25">
      <c r="B122"/>
      <c r="D122" s="21">
        <v>105000</v>
      </c>
      <c r="N122"/>
    </row>
    <row r="123" spans="2:14" ht="15" x14ac:dyDescent="0.25">
      <c r="B123"/>
      <c r="D123" s="21">
        <v>108160</v>
      </c>
      <c r="N123"/>
    </row>
    <row r="124" spans="2:14" ht="15" x14ac:dyDescent="0.25">
      <c r="B124"/>
      <c r="D124" s="21">
        <v>110000</v>
      </c>
      <c r="N124"/>
    </row>
    <row r="125" spans="2:14" ht="15" x14ac:dyDescent="0.25">
      <c r="B125"/>
      <c r="D125" s="21">
        <v>111680</v>
      </c>
      <c r="N125"/>
    </row>
    <row r="126" spans="2:14" ht="15" x14ac:dyDescent="0.25">
      <c r="B126"/>
      <c r="D126" s="21">
        <v>115000</v>
      </c>
      <c r="N126"/>
    </row>
    <row r="127" spans="2:14" ht="15" x14ac:dyDescent="0.25">
      <c r="B127"/>
      <c r="D127" s="21">
        <v>120000</v>
      </c>
      <c r="N127"/>
    </row>
    <row r="128" spans="2:14" ht="15" x14ac:dyDescent="0.25">
      <c r="B128"/>
      <c r="D128" s="21">
        <v>125000</v>
      </c>
      <c r="N128"/>
    </row>
    <row r="129" spans="2:14" ht="15" x14ac:dyDescent="0.25">
      <c r="B129"/>
      <c r="D129" s="21">
        <v>137500</v>
      </c>
      <c r="N129"/>
    </row>
    <row r="130" spans="2:14" ht="15" x14ac:dyDescent="0.25">
      <c r="B130"/>
      <c r="D130" s="21">
        <v>145000</v>
      </c>
      <c r="N130"/>
    </row>
    <row r="131" spans="2:14" ht="15" x14ac:dyDescent="0.25">
      <c r="B131"/>
      <c r="D131" s="21">
        <v>150000</v>
      </c>
      <c r="N131"/>
    </row>
    <row r="132" spans="2:14" ht="15" x14ac:dyDescent="0.25">
      <c r="B132"/>
      <c r="D132" s="21">
        <v>160000</v>
      </c>
      <c r="N132"/>
    </row>
    <row r="133" spans="2:14" ht="15" x14ac:dyDescent="0.25">
      <c r="B133"/>
      <c r="D133" s="21"/>
      <c r="N133"/>
    </row>
    <row r="134" spans="2:14" ht="15" x14ac:dyDescent="0.25">
      <c r="B134"/>
      <c r="D134"/>
      <c r="N134"/>
    </row>
    <row r="135" spans="2:14" ht="15" x14ac:dyDescent="0.25">
      <c r="D135"/>
      <c r="N135"/>
    </row>
    <row r="136" spans="2:14" ht="15" x14ac:dyDescent="0.25">
      <c r="D136"/>
      <c r="N136"/>
    </row>
    <row r="137" spans="2:14" ht="15" x14ac:dyDescent="0.25">
      <c r="D137"/>
      <c r="N137"/>
    </row>
    <row r="138" spans="2:14" ht="15" x14ac:dyDescent="0.25">
      <c r="D138"/>
      <c r="N138"/>
    </row>
    <row r="139" spans="2:14" ht="15" x14ac:dyDescent="0.25">
      <c r="D139"/>
      <c r="N139"/>
    </row>
    <row r="140" spans="2:14" ht="15" x14ac:dyDescent="0.25">
      <c r="D140"/>
      <c r="N140"/>
    </row>
    <row r="141" spans="2:14" ht="15" x14ac:dyDescent="0.25">
      <c r="D141"/>
      <c r="N141"/>
    </row>
    <row r="142" spans="2:14" ht="15" x14ac:dyDescent="0.25">
      <c r="D142"/>
      <c r="N142"/>
    </row>
    <row r="143" spans="2:14" ht="15" x14ac:dyDescent="0.25">
      <c r="D143"/>
      <c r="N143"/>
    </row>
    <row r="144" spans="2:14" ht="15" x14ac:dyDescent="0.25">
      <c r="D144"/>
      <c r="N144"/>
    </row>
    <row r="145" spans="4:14" ht="15" x14ac:dyDescent="0.25">
      <c r="D145"/>
      <c r="N145"/>
    </row>
    <row r="146" spans="4:14" ht="15" x14ac:dyDescent="0.25">
      <c r="D146"/>
      <c r="N146"/>
    </row>
    <row r="147" spans="4:14" ht="15" x14ac:dyDescent="0.25">
      <c r="D147"/>
      <c r="N147"/>
    </row>
    <row r="148" spans="4:14" ht="15" x14ac:dyDescent="0.25">
      <c r="D148"/>
      <c r="N148"/>
    </row>
    <row r="149" spans="4:14" ht="15" x14ac:dyDescent="0.25">
      <c r="D149"/>
      <c r="N149"/>
    </row>
    <row r="150" spans="4:14" ht="15" x14ac:dyDescent="0.25">
      <c r="D150"/>
      <c r="N150"/>
    </row>
    <row r="151" spans="4:14" ht="15" x14ac:dyDescent="0.25">
      <c r="D151"/>
      <c r="N151"/>
    </row>
    <row r="152" spans="4:14" ht="15" x14ac:dyDescent="0.25">
      <c r="D152"/>
      <c r="N152"/>
    </row>
    <row r="153" spans="4:14" ht="15" x14ac:dyDescent="0.25">
      <c r="D153"/>
      <c r="N153"/>
    </row>
    <row r="154" spans="4:14" ht="15" x14ac:dyDescent="0.25">
      <c r="D154"/>
      <c r="N154"/>
    </row>
    <row r="155" spans="4:14" ht="15" x14ac:dyDescent="0.25">
      <c r="D155"/>
      <c r="N155"/>
    </row>
    <row r="156" spans="4:14" ht="15" x14ac:dyDescent="0.25">
      <c r="D156"/>
      <c r="N156"/>
    </row>
    <row r="157" spans="4:14" ht="15" x14ac:dyDescent="0.25">
      <c r="D157"/>
      <c r="N157"/>
    </row>
    <row r="158" spans="4:14" ht="15" x14ac:dyDescent="0.25">
      <c r="D158"/>
      <c r="N158"/>
    </row>
    <row r="159" spans="4:14" ht="15" x14ac:dyDescent="0.25">
      <c r="D159"/>
      <c r="N159"/>
    </row>
    <row r="160" spans="4:14" ht="15" x14ac:dyDescent="0.25">
      <c r="D160"/>
      <c r="N160"/>
    </row>
    <row r="161" spans="4:14" ht="15" x14ac:dyDescent="0.25">
      <c r="D161"/>
      <c r="N161"/>
    </row>
    <row r="162" spans="4:14" ht="15" x14ac:dyDescent="0.25">
      <c r="D162"/>
      <c r="N162"/>
    </row>
    <row r="163" spans="4:14" ht="15" x14ac:dyDescent="0.25">
      <c r="D163"/>
      <c r="N163"/>
    </row>
    <row r="164" spans="4:14" ht="15" x14ac:dyDescent="0.25">
      <c r="D164"/>
      <c r="N164"/>
    </row>
    <row r="165" spans="4:14" ht="15" x14ac:dyDescent="0.25">
      <c r="D165"/>
      <c r="N165"/>
    </row>
    <row r="166" spans="4:14" ht="15" x14ac:dyDescent="0.25">
      <c r="D166"/>
      <c r="N166"/>
    </row>
    <row r="167" spans="4:14" ht="15" x14ac:dyDescent="0.25">
      <c r="D167"/>
      <c r="N167"/>
    </row>
    <row r="168" spans="4:14" ht="15" x14ac:dyDescent="0.25">
      <c r="D168"/>
      <c r="N168"/>
    </row>
    <row r="169" spans="4:14" ht="15" x14ac:dyDescent="0.25">
      <c r="D169"/>
      <c r="N169"/>
    </row>
    <row r="170" spans="4:14" ht="15" x14ac:dyDescent="0.25">
      <c r="D170"/>
      <c r="N170"/>
    </row>
    <row r="171" spans="4:14" ht="15" x14ac:dyDescent="0.25">
      <c r="D171"/>
      <c r="N171"/>
    </row>
    <row r="172" spans="4:14" ht="15" x14ac:dyDescent="0.25">
      <c r="D172"/>
      <c r="N172"/>
    </row>
    <row r="173" spans="4:14" ht="15" x14ac:dyDescent="0.25">
      <c r="D173"/>
      <c r="N173"/>
    </row>
    <row r="174" spans="4:14" ht="15" x14ac:dyDescent="0.25">
      <c r="D174"/>
      <c r="N174"/>
    </row>
    <row r="175" spans="4:14" ht="15" x14ac:dyDescent="0.25">
      <c r="D175"/>
      <c r="N175"/>
    </row>
    <row r="176" spans="4:14" ht="15" x14ac:dyDescent="0.25">
      <c r="D176"/>
      <c r="N176"/>
    </row>
    <row r="177" spans="4:14" ht="15" x14ac:dyDescent="0.25">
      <c r="D177"/>
      <c r="N177"/>
    </row>
    <row r="178" spans="4:14" ht="15" x14ac:dyDescent="0.25">
      <c r="D178"/>
      <c r="N178"/>
    </row>
    <row r="179" spans="4:14" ht="15" x14ac:dyDescent="0.25">
      <c r="D179"/>
      <c r="N179"/>
    </row>
    <row r="180" spans="4:14" ht="15" x14ac:dyDescent="0.25">
      <c r="D180"/>
      <c r="N180"/>
    </row>
    <row r="181" spans="4:14" ht="15" x14ac:dyDescent="0.25">
      <c r="D181"/>
      <c r="N181"/>
    </row>
    <row r="182" spans="4:14" ht="15" x14ac:dyDescent="0.25">
      <c r="D182"/>
      <c r="N182"/>
    </row>
    <row r="183" spans="4:14" ht="15" x14ac:dyDescent="0.25">
      <c r="D183"/>
      <c r="N183"/>
    </row>
    <row r="184" spans="4:14" ht="15" x14ac:dyDescent="0.25">
      <c r="D184"/>
      <c r="N184"/>
    </row>
    <row r="185" spans="4:14" ht="15" x14ac:dyDescent="0.25">
      <c r="D185"/>
      <c r="N185"/>
    </row>
    <row r="186" spans="4:14" ht="15" x14ac:dyDescent="0.25">
      <c r="D186"/>
      <c r="N186"/>
    </row>
    <row r="187" spans="4:14" ht="15" x14ac:dyDescent="0.25">
      <c r="D187"/>
      <c r="N187"/>
    </row>
    <row r="188" spans="4:14" ht="15" x14ac:dyDescent="0.25">
      <c r="D188"/>
      <c r="N188"/>
    </row>
    <row r="189" spans="4:14" ht="15" x14ac:dyDescent="0.25">
      <c r="D189"/>
      <c r="N189"/>
    </row>
    <row r="190" spans="4:14" ht="15" x14ac:dyDescent="0.25">
      <c r="D190"/>
      <c r="N190"/>
    </row>
    <row r="191" spans="4:14" ht="15" x14ac:dyDescent="0.25">
      <c r="D191"/>
      <c r="N191"/>
    </row>
    <row r="192" spans="4:14" ht="15" x14ac:dyDescent="0.25">
      <c r="D192"/>
      <c r="N192"/>
    </row>
    <row r="193" spans="4:14" ht="15" x14ac:dyDescent="0.25">
      <c r="D193"/>
      <c r="N193"/>
    </row>
    <row r="194" spans="4:14" ht="15" x14ac:dyDescent="0.25">
      <c r="D194"/>
      <c r="N194"/>
    </row>
    <row r="195" spans="4:14" ht="15" x14ac:dyDescent="0.25">
      <c r="D195"/>
      <c r="N195"/>
    </row>
    <row r="196" spans="4:14" ht="15" x14ac:dyDescent="0.25">
      <c r="D196"/>
      <c r="N196"/>
    </row>
    <row r="197" spans="4:14" ht="15" x14ac:dyDescent="0.25">
      <c r="D197"/>
      <c r="N197"/>
    </row>
    <row r="198" spans="4:14" ht="15" x14ac:dyDescent="0.25">
      <c r="D198"/>
      <c r="N198"/>
    </row>
    <row r="199" spans="4:14" ht="15" x14ac:dyDescent="0.25">
      <c r="D199"/>
      <c r="N199"/>
    </row>
    <row r="200" spans="4:14" ht="15" x14ac:dyDescent="0.25">
      <c r="D200"/>
      <c r="N200"/>
    </row>
    <row r="201" spans="4:14" ht="15" x14ac:dyDescent="0.25">
      <c r="D201"/>
      <c r="N201"/>
    </row>
    <row r="202" spans="4:14" ht="15" x14ac:dyDescent="0.25">
      <c r="D202"/>
      <c r="N202"/>
    </row>
    <row r="203" spans="4:14" ht="15" x14ac:dyDescent="0.25">
      <c r="D203"/>
      <c r="N203"/>
    </row>
    <row r="204" spans="4:14" ht="15" x14ac:dyDescent="0.25">
      <c r="D204"/>
      <c r="N204"/>
    </row>
    <row r="205" spans="4:14" ht="15" x14ac:dyDescent="0.25">
      <c r="D205"/>
      <c r="N205"/>
    </row>
    <row r="206" spans="4:14" ht="15" x14ac:dyDescent="0.25">
      <c r="D206"/>
      <c r="N206"/>
    </row>
    <row r="207" spans="4:14" ht="15" x14ac:dyDescent="0.25">
      <c r="D207"/>
      <c r="N207"/>
    </row>
    <row r="208" spans="4:14" ht="15" x14ac:dyDescent="0.25">
      <c r="D208"/>
      <c r="N208"/>
    </row>
    <row r="209" spans="4:14" ht="15" x14ac:dyDescent="0.25">
      <c r="D209"/>
      <c r="N209"/>
    </row>
    <row r="210" spans="4:14" ht="15" x14ac:dyDescent="0.25">
      <c r="D210"/>
      <c r="N210"/>
    </row>
    <row r="211" spans="4:14" ht="15" x14ac:dyDescent="0.25">
      <c r="D211"/>
      <c r="N211"/>
    </row>
    <row r="212" spans="4:14" ht="15" x14ac:dyDescent="0.25">
      <c r="D212"/>
      <c r="N212"/>
    </row>
    <row r="213" spans="4:14" ht="15" x14ac:dyDescent="0.25">
      <c r="D213"/>
      <c r="N213"/>
    </row>
    <row r="214" spans="4:14" ht="15" x14ac:dyDescent="0.25">
      <c r="D214"/>
      <c r="N214"/>
    </row>
    <row r="215" spans="4:14" ht="15" x14ac:dyDescent="0.25">
      <c r="D215"/>
      <c r="N215"/>
    </row>
    <row r="216" spans="4:14" ht="15" x14ac:dyDescent="0.25">
      <c r="D216"/>
      <c r="N216"/>
    </row>
    <row r="217" spans="4:14" ht="15" x14ac:dyDescent="0.25">
      <c r="D217"/>
      <c r="N217"/>
    </row>
    <row r="218" spans="4:14" ht="15" x14ac:dyDescent="0.25">
      <c r="D218"/>
      <c r="N218"/>
    </row>
    <row r="219" spans="4:14" ht="15" x14ac:dyDescent="0.25">
      <c r="D219"/>
      <c r="N219"/>
    </row>
    <row r="220" spans="4:14" ht="15" x14ac:dyDescent="0.25">
      <c r="D220"/>
      <c r="N220"/>
    </row>
    <row r="221" spans="4:14" ht="15" x14ac:dyDescent="0.25">
      <c r="D221"/>
      <c r="N221"/>
    </row>
    <row r="222" spans="4:14" ht="15" x14ac:dyDescent="0.25">
      <c r="D222"/>
      <c r="N222"/>
    </row>
    <row r="223" spans="4:14" ht="15" x14ac:dyDescent="0.25">
      <c r="D223"/>
      <c r="N223"/>
    </row>
    <row r="224" spans="4:14" ht="15" x14ac:dyDescent="0.25">
      <c r="D224"/>
      <c r="N224"/>
    </row>
    <row r="225" spans="4:14" ht="15" x14ac:dyDescent="0.25">
      <c r="D225"/>
      <c r="N225"/>
    </row>
    <row r="226" spans="4:14" ht="15" x14ac:dyDescent="0.25">
      <c r="D226"/>
      <c r="N226"/>
    </row>
    <row r="227" spans="4:14" ht="15" x14ac:dyDescent="0.25">
      <c r="D227"/>
      <c r="N227"/>
    </row>
    <row r="228" spans="4:14" ht="15" x14ac:dyDescent="0.25">
      <c r="D228"/>
      <c r="N228"/>
    </row>
    <row r="229" spans="4:14" ht="15" x14ac:dyDescent="0.25">
      <c r="D229"/>
      <c r="N229"/>
    </row>
    <row r="230" spans="4:14" ht="15" x14ac:dyDescent="0.25">
      <c r="D230"/>
      <c r="N230"/>
    </row>
    <row r="231" spans="4:14" ht="15" x14ac:dyDescent="0.25">
      <c r="D231"/>
      <c r="N231"/>
    </row>
    <row r="232" spans="4:14" ht="15" x14ac:dyDescent="0.25">
      <c r="D232"/>
      <c r="N232"/>
    </row>
    <row r="233" spans="4:14" ht="15" x14ac:dyDescent="0.25">
      <c r="D233"/>
      <c r="N233"/>
    </row>
    <row r="234" spans="4:14" ht="15" x14ac:dyDescent="0.25">
      <c r="D234"/>
      <c r="N234"/>
    </row>
    <row r="235" spans="4:14" ht="15" x14ac:dyDescent="0.25">
      <c r="D235"/>
      <c r="N235"/>
    </row>
    <row r="236" spans="4:14" ht="15" x14ac:dyDescent="0.25">
      <c r="D236"/>
      <c r="N236"/>
    </row>
    <row r="237" spans="4:14" ht="15" x14ac:dyDescent="0.25">
      <c r="D237"/>
      <c r="N237"/>
    </row>
    <row r="238" spans="4:14" ht="15" x14ac:dyDescent="0.25">
      <c r="D238"/>
      <c r="N238"/>
    </row>
    <row r="239" spans="4:14" ht="15" x14ac:dyDescent="0.25">
      <c r="D239"/>
      <c r="N239"/>
    </row>
    <row r="240" spans="4:14" ht="15" x14ac:dyDescent="0.25">
      <c r="D240"/>
      <c r="N240"/>
    </row>
    <row r="241" spans="4:14" ht="15" x14ac:dyDescent="0.25">
      <c r="D241"/>
      <c r="N241"/>
    </row>
    <row r="242" spans="4:14" ht="15" x14ac:dyDescent="0.25">
      <c r="D242"/>
      <c r="N242"/>
    </row>
    <row r="243" spans="4:14" ht="15" x14ac:dyDescent="0.25">
      <c r="D243"/>
      <c r="N243"/>
    </row>
    <row r="244" spans="4:14" ht="15" x14ac:dyDescent="0.25">
      <c r="D244"/>
      <c r="N244"/>
    </row>
    <row r="245" spans="4:14" ht="15" x14ac:dyDescent="0.25">
      <c r="D245"/>
      <c r="N245"/>
    </row>
    <row r="246" spans="4:14" ht="15" x14ac:dyDescent="0.25">
      <c r="D246"/>
      <c r="N246"/>
    </row>
    <row r="247" spans="4:14" ht="15" x14ac:dyDescent="0.25">
      <c r="D247"/>
      <c r="N247"/>
    </row>
    <row r="248" spans="4:14" ht="15" x14ac:dyDescent="0.25">
      <c r="D248"/>
      <c r="N248"/>
    </row>
    <row r="249" spans="4:14" ht="15" x14ac:dyDescent="0.25">
      <c r="D249"/>
      <c r="N249"/>
    </row>
    <row r="250" spans="4:14" ht="15" x14ac:dyDescent="0.25">
      <c r="D250"/>
      <c r="N250"/>
    </row>
    <row r="251" spans="4:14" ht="15" x14ac:dyDescent="0.25">
      <c r="D251"/>
      <c r="N251"/>
    </row>
    <row r="252" spans="4:14" ht="15" x14ac:dyDescent="0.25">
      <c r="D252"/>
      <c r="N252"/>
    </row>
    <row r="253" spans="4:14" ht="15" x14ac:dyDescent="0.25">
      <c r="D253"/>
      <c r="N253"/>
    </row>
    <row r="254" spans="4:14" ht="15" x14ac:dyDescent="0.25">
      <c r="D254"/>
      <c r="N254"/>
    </row>
    <row r="255" spans="4:14" ht="15" x14ac:dyDescent="0.25">
      <c r="D255"/>
      <c r="N255"/>
    </row>
    <row r="256" spans="4:14" ht="15" x14ac:dyDescent="0.25">
      <c r="D256"/>
      <c r="N256"/>
    </row>
    <row r="257" spans="4:14" ht="15" x14ac:dyDescent="0.25">
      <c r="D257"/>
      <c r="N257"/>
    </row>
    <row r="258" spans="4:14" ht="15" x14ac:dyDescent="0.25">
      <c r="D258"/>
      <c r="N258"/>
    </row>
    <row r="259" spans="4:14" ht="15" x14ac:dyDescent="0.25">
      <c r="D259"/>
      <c r="N259"/>
    </row>
    <row r="260" spans="4:14" ht="15" x14ac:dyDescent="0.25">
      <c r="D260"/>
      <c r="N260"/>
    </row>
    <row r="261" spans="4:14" ht="15" x14ac:dyDescent="0.25">
      <c r="D261"/>
      <c r="N261"/>
    </row>
    <row r="262" spans="4:14" ht="15" x14ac:dyDescent="0.25">
      <c r="D262"/>
      <c r="N262"/>
    </row>
    <row r="263" spans="4:14" ht="15" x14ac:dyDescent="0.25">
      <c r="D263"/>
      <c r="N263"/>
    </row>
    <row r="264" spans="4:14" ht="15" x14ac:dyDescent="0.25">
      <c r="D264"/>
      <c r="N264"/>
    </row>
    <row r="265" spans="4:14" ht="15" x14ac:dyDescent="0.25">
      <c r="D265"/>
      <c r="N265"/>
    </row>
    <row r="266" spans="4:14" ht="15" x14ac:dyDescent="0.25">
      <c r="D266"/>
      <c r="N266"/>
    </row>
    <row r="267" spans="4:14" ht="15" x14ac:dyDescent="0.25">
      <c r="D267"/>
      <c r="N267"/>
    </row>
    <row r="268" spans="4:14" ht="15" x14ac:dyDescent="0.25">
      <c r="D268"/>
      <c r="N268"/>
    </row>
    <row r="269" spans="4:14" ht="15" x14ac:dyDescent="0.25">
      <c r="D269"/>
      <c r="N269"/>
    </row>
    <row r="270" spans="4:14" ht="15" x14ac:dyDescent="0.25">
      <c r="D270"/>
      <c r="N270"/>
    </row>
    <row r="271" spans="4:14" ht="15" x14ac:dyDescent="0.25">
      <c r="D271"/>
      <c r="N271"/>
    </row>
    <row r="272" spans="4:14" ht="15" x14ac:dyDescent="0.25">
      <c r="D272"/>
      <c r="N272"/>
    </row>
    <row r="273" spans="4:14" ht="15" x14ac:dyDescent="0.25">
      <c r="D273"/>
      <c r="N273"/>
    </row>
    <row r="274" spans="4:14" ht="15" x14ac:dyDescent="0.25">
      <c r="D274"/>
      <c r="N274"/>
    </row>
    <row r="275" spans="4:14" ht="15" x14ac:dyDescent="0.25">
      <c r="D275"/>
      <c r="N275"/>
    </row>
    <row r="276" spans="4:14" ht="15" x14ac:dyDescent="0.25">
      <c r="D276"/>
      <c r="N276"/>
    </row>
    <row r="277" spans="4:14" ht="15" x14ac:dyDescent="0.25">
      <c r="D277"/>
      <c r="N277"/>
    </row>
    <row r="278" spans="4:14" ht="15" x14ac:dyDescent="0.25">
      <c r="D278"/>
      <c r="N278"/>
    </row>
    <row r="279" spans="4:14" ht="15" x14ac:dyDescent="0.25">
      <c r="D279"/>
      <c r="N279"/>
    </row>
    <row r="280" spans="4:14" ht="15" x14ac:dyDescent="0.25">
      <c r="D280"/>
      <c r="N280"/>
    </row>
    <row r="281" spans="4:14" ht="15" x14ac:dyDescent="0.25">
      <c r="D281"/>
      <c r="N281"/>
    </row>
    <row r="282" spans="4:14" ht="15" x14ac:dyDescent="0.25">
      <c r="D282"/>
      <c r="N282"/>
    </row>
    <row r="283" spans="4:14" ht="15" x14ac:dyDescent="0.25">
      <c r="D283"/>
      <c r="N283"/>
    </row>
    <row r="284" spans="4:14" ht="15" x14ac:dyDescent="0.25">
      <c r="D284"/>
      <c r="N284"/>
    </row>
    <row r="285" spans="4:14" ht="15" x14ac:dyDescent="0.25">
      <c r="D285"/>
      <c r="N285"/>
    </row>
    <row r="286" spans="4:14" ht="15" x14ac:dyDescent="0.25">
      <c r="D286"/>
      <c r="N286"/>
    </row>
    <row r="287" spans="4:14" ht="15" x14ac:dyDescent="0.25">
      <c r="D287"/>
      <c r="N287"/>
    </row>
    <row r="288" spans="4:14" ht="15" x14ac:dyDescent="0.25">
      <c r="D288"/>
      <c r="N288"/>
    </row>
    <row r="289" spans="4:14" ht="15" x14ac:dyDescent="0.25">
      <c r="D289"/>
      <c r="N289"/>
    </row>
    <row r="290" spans="4:14" ht="15" x14ac:dyDescent="0.25">
      <c r="D290"/>
      <c r="N290"/>
    </row>
    <row r="291" spans="4:14" ht="15" x14ac:dyDescent="0.25">
      <c r="D291"/>
      <c r="N291"/>
    </row>
    <row r="292" spans="4:14" ht="15" x14ac:dyDescent="0.25">
      <c r="D292"/>
      <c r="N292"/>
    </row>
    <row r="293" spans="4:14" ht="15" x14ac:dyDescent="0.25">
      <c r="D293"/>
      <c r="N293"/>
    </row>
    <row r="294" spans="4:14" ht="15" x14ac:dyDescent="0.25">
      <c r="D294"/>
      <c r="N294"/>
    </row>
    <row r="295" spans="4:14" ht="15" x14ac:dyDescent="0.25">
      <c r="D295"/>
      <c r="N295"/>
    </row>
    <row r="296" spans="4:14" ht="15" x14ac:dyDescent="0.25">
      <c r="D296"/>
      <c r="N296"/>
    </row>
    <row r="297" spans="4:14" ht="15" x14ac:dyDescent="0.25">
      <c r="D297"/>
      <c r="N297"/>
    </row>
    <row r="298" spans="4:14" ht="15" x14ac:dyDescent="0.25">
      <c r="D298"/>
      <c r="N298"/>
    </row>
    <row r="299" spans="4:14" ht="15" x14ac:dyDescent="0.25">
      <c r="D299"/>
      <c r="N299"/>
    </row>
    <row r="300" spans="4:14" ht="15" x14ac:dyDescent="0.25">
      <c r="D300"/>
      <c r="N300"/>
    </row>
    <row r="301" spans="4:14" ht="15" x14ac:dyDescent="0.25">
      <c r="D301"/>
      <c r="N301"/>
    </row>
    <row r="302" spans="4:14" ht="15" x14ac:dyDescent="0.25">
      <c r="D302"/>
      <c r="N302"/>
    </row>
    <row r="303" spans="4:14" ht="15" x14ac:dyDescent="0.25">
      <c r="D303"/>
      <c r="N303"/>
    </row>
    <row r="304" spans="4:14" ht="15" x14ac:dyDescent="0.25">
      <c r="D304"/>
      <c r="N304"/>
    </row>
    <row r="305" spans="4:14" ht="15" x14ac:dyDescent="0.25">
      <c r="D305"/>
      <c r="N305"/>
    </row>
    <row r="306" spans="4:14" ht="15" x14ac:dyDescent="0.25">
      <c r="D306"/>
      <c r="N306"/>
    </row>
    <row r="307" spans="4:14" ht="15" x14ac:dyDescent="0.25">
      <c r="D307"/>
      <c r="N307"/>
    </row>
    <row r="308" spans="4:14" ht="15" x14ac:dyDescent="0.25">
      <c r="D308"/>
      <c r="N308"/>
    </row>
    <row r="309" spans="4:14" ht="15" x14ac:dyDescent="0.25">
      <c r="D309"/>
      <c r="N309"/>
    </row>
    <row r="310" spans="4:14" ht="15" x14ac:dyDescent="0.25">
      <c r="D310"/>
      <c r="N310"/>
    </row>
    <row r="311" spans="4:14" ht="15" x14ac:dyDescent="0.25">
      <c r="D311"/>
      <c r="N311"/>
    </row>
    <row r="312" spans="4:14" ht="15" x14ac:dyDescent="0.25">
      <c r="D312"/>
      <c r="N312"/>
    </row>
    <row r="313" spans="4:14" ht="15" x14ac:dyDescent="0.25">
      <c r="D313"/>
      <c r="N313"/>
    </row>
    <row r="314" spans="4:14" ht="15" x14ac:dyDescent="0.25">
      <c r="D314"/>
      <c r="N314"/>
    </row>
    <row r="315" spans="4:14" ht="15" x14ac:dyDescent="0.25">
      <c r="D315"/>
      <c r="N315"/>
    </row>
    <row r="316" spans="4:14" ht="15" x14ac:dyDescent="0.25">
      <c r="D316"/>
      <c r="N316"/>
    </row>
    <row r="317" spans="4:14" ht="15" x14ac:dyDescent="0.25">
      <c r="D317"/>
      <c r="N317"/>
    </row>
    <row r="318" spans="4:14" ht="15" x14ac:dyDescent="0.25">
      <c r="D318"/>
      <c r="N318"/>
    </row>
    <row r="319" spans="4:14" ht="15" x14ac:dyDescent="0.25">
      <c r="D319"/>
      <c r="N319"/>
    </row>
    <row r="320" spans="4:14" ht="15" x14ac:dyDescent="0.25">
      <c r="D320"/>
      <c r="N320"/>
    </row>
    <row r="321" spans="4:14" ht="15" x14ac:dyDescent="0.25">
      <c r="D321"/>
      <c r="N321"/>
    </row>
    <row r="322" spans="4:14" ht="15" x14ac:dyDescent="0.25">
      <c r="D322"/>
      <c r="N322"/>
    </row>
    <row r="323" spans="4:14" ht="15" x14ac:dyDescent="0.25">
      <c r="D323"/>
      <c r="N323"/>
    </row>
    <row r="324" spans="4:14" ht="15" x14ac:dyDescent="0.25">
      <c r="D324"/>
      <c r="N324"/>
    </row>
    <row r="325" spans="4:14" ht="15" x14ac:dyDescent="0.25">
      <c r="D325"/>
      <c r="N325"/>
    </row>
    <row r="326" spans="4:14" ht="15" x14ac:dyDescent="0.25">
      <c r="D326"/>
      <c r="N326"/>
    </row>
    <row r="327" spans="4:14" ht="15" x14ac:dyDescent="0.25">
      <c r="D327"/>
      <c r="N327"/>
    </row>
    <row r="328" spans="4:14" ht="15" x14ac:dyDescent="0.25">
      <c r="D328"/>
      <c r="N328"/>
    </row>
    <row r="329" spans="4:14" ht="15" x14ac:dyDescent="0.25">
      <c r="D329"/>
      <c r="N329"/>
    </row>
    <row r="330" spans="4:14" x14ac:dyDescent="0.2">
      <c r="D330"/>
    </row>
    <row r="331" spans="4:14" x14ac:dyDescent="0.2">
      <c r="D331"/>
    </row>
    <row r="332" spans="4:14" x14ac:dyDescent="0.2">
      <c r="D332"/>
    </row>
    <row r="333" spans="4:14" x14ac:dyDescent="0.2">
      <c r="D333"/>
    </row>
    <row r="334" spans="4:14" x14ac:dyDescent="0.2">
      <c r="D334"/>
    </row>
    <row r="335" spans="4:14" x14ac:dyDescent="0.2">
      <c r="D335"/>
    </row>
    <row r="336" spans="4:14" x14ac:dyDescent="0.2">
      <c r="D336"/>
    </row>
    <row r="337" spans="4:4" x14ac:dyDescent="0.2">
      <c r="D337"/>
    </row>
    <row r="338" spans="4:4" x14ac:dyDescent="0.2">
      <c r="D338"/>
    </row>
    <row r="339" spans="4:4" x14ac:dyDescent="0.2">
      <c r="D339"/>
    </row>
    <row r="340" spans="4:4" x14ac:dyDescent="0.2">
      <c r="D340"/>
    </row>
    <row r="341" spans="4:4" x14ac:dyDescent="0.2">
      <c r="D341"/>
    </row>
    <row r="342" spans="4:4" x14ac:dyDescent="0.2">
      <c r="D342"/>
    </row>
    <row r="343" spans="4:4" x14ac:dyDescent="0.2">
      <c r="D343"/>
    </row>
    <row r="344" spans="4:4" x14ac:dyDescent="0.2">
      <c r="D344"/>
    </row>
    <row r="345" spans="4:4" x14ac:dyDescent="0.2">
      <c r="D345"/>
    </row>
    <row r="346" spans="4:4" x14ac:dyDescent="0.2">
      <c r="D346"/>
    </row>
    <row r="347" spans="4:4" x14ac:dyDescent="0.2">
      <c r="D347"/>
    </row>
    <row r="348" spans="4:4" x14ac:dyDescent="0.2">
      <c r="D348"/>
    </row>
    <row r="349" spans="4:4" x14ac:dyDescent="0.2">
      <c r="D349"/>
    </row>
    <row r="350" spans="4:4" x14ac:dyDescent="0.2">
      <c r="D350"/>
    </row>
    <row r="351" spans="4:4" x14ac:dyDescent="0.2">
      <c r="D351"/>
    </row>
    <row r="352" spans="4:4" x14ac:dyDescent="0.2">
      <c r="D352"/>
    </row>
    <row r="353" spans="4:4" x14ac:dyDescent="0.2">
      <c r="D353"/>
    </row>
    <row r="354" spans="4:4" x14ac:dyDescent="0.2">
      <c r="D354"/>
    </row>
    <row r="355" spans="4:4" x14ac:dyDescent="0.2">
      <c r="D355"/>
    </row>
    <row r="356" spans="4:4" x14ac:dyDescent="0.2">
      <c r="D356"/>
    </row>
    <row r="357" spans="4:4" x14ac:dyDescent="0.2">
      <c r="D357"/>
    </row>
    <row r="358" spans="4:4" x14ac:dyDescent="0.2">
      <c r="D358"/>
    </row>
    <row r="359" spans="4:4" x14ac:dyDescent="0.2">
      <c r="D359"/>
    </row>
    <row r="360" spans="4:4" x14ac:dyDescent="0.2">
      <c r="D360"/>
    </row>
    <row r="361" spans="4:4" x14ac:dyDescent="0.2">
      <c r="D361"/>
    </row>
    <row r="362" spans="4:4" x14ac:dyDescent="0.2">
      <c r="D362"/>
    </row>
    <row r="363" spans="4:4" x14ac:dyDescent="0.2">
      <c r="D363"/>
    </row>
    <row r="364" spans="4:4" x14ac:dyDescent="0.2">
      <c r="D364"/>
    </row>
    <row r="365" spans="4:4" x14ac:dyDescent="0.2">
      <c r="D365"/>
    </row>
    <row r="366" spans="4:4" x14ac:dyDescent="0.2">
      <c r="D366"/>
    </row>
    <row r="367" spans="4:4" x14ac:dyDescent="0.2">
      <c r="D367"/>
    </row>
    <row r="368" spans="4:4" x14ac:dyDescent="0.2">
      <c r="D368"/>
    </row>
    <row r="369" spans="4:4" x14ac:dyDescent="0.2">
      <c r="D369"/>
    </row>
    <row r="370" spans="4:4" x14ac:dyDescent="0.2">
      <c r="D370"/>
    </row>
    <row r="371" spans="4:4" x14ac:dyDescent="0.2">
      <c r="D371"/>
    </row>
    <row r="372" spans="4:4" x14ac:dyDescent="0.2">
      <c r="D372"/>
    </row>
    <row r="373" spans="4:4" x14ac:dyDescent="0.2">
      <c r="D373"/>
    </row>
    <row r="374" spans="4:4" x14ac:dyDescent="0.2">
      <c r="D374"/>
    </row>
  </sheetData>
  <sortState ref="AA12:AJ21">
    <sortCondition ref="AJ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7"/>
  <sheetViews>
    <sheetView workbookViewId="0">
      <selection activeCell="K11" sqref="K11"/>
    </sheetView>
  </sheetViews>
  <sheetFormatPr defaultRowHeight="12.75" x14ac:dyDescent="0.2"/>
  <cols>
    <col min="1" max="1" width="36.140625" style="14" customWidth="1"/>
    <col min="2" max="2" width="14.5703125" style="14" customWidth="1"/>
    <col min="3" max="4" width="9.5703125" style="14" customWidth="1"/>
    <col min="5" max="6" width="10.28515625" style="14" customWidth="1"/>
    <col min="7" max="7" width="9.5703125" style="14" customWidth="1"/>
    <col min="8" max="8" width="12" style="14" bestFit="1" customWidth="1"/>
    <col min="9" max="9" width="9.5703125" style="14" customWidth="1"/>
    <col min="10" max="10" width="7.42578125" style="14" customWidth="1"/>
    <col min="11" max="16384" width="9.140625" style="14"/>
  </cols>
  <sheetData>
    <row r="1" spans="1:19" x14ac:dyDescent="0.2">
      <c r="A1" s="20" t="s">
        <v>4004</v>
      </c>
      <c r="B1" s="14" t="s">
        <v>15</v>
      </c>
    </row>
    <row r="2" spans="1:19" x14ac:dyDescent="0.2">
      <c r="A2" s="20" t="s">
        <v>5</v>
      </c>
      <c r="B2" s="14" t="s">
        <v>4009</v>
      </c>
    </row>
    <row r="4" spans="1:19" x14ac:dyDescent="0.2">
      <c r="A4" s="20" t="s">
        <v>4069</v>
      </c>
      <c r="B4" s="20" t="s">
        <v>4068</v>
      </c>
      <c r="K4" s="14" t="s">
        <v>4072</v>
      </c>
    </row>
    <row r="5" spans="1:19" x14ac:dyDescent="0.2">
      <c r="A5" s="20" t="s">
        <v>4008</v>
      </c>
      <c r="B5" s="14" t="s">
        <v>4057</v>
      </c>
      <c r="C5" s="14" t="s">
        <v>4058</v>
      </c>
      <c r="D5" s="14" t="s">
        <v>4059</v>
      </c>
      <c r="E5" s="14" t="s">
        <v>4060</v>
      </c>
      <c r="F5" s="14" t="s">
        <v>4061</v>
      </c>
      <c r="G5" s="14" t="s">
        <v>4062</v>
      </c>
      <c r="H5" s="14" t="s">
        <v>4075</v>
      </c>
      <c r="I5" s="14" t="s">
        <v>4076</v>
      </c>
      <c r="L5" s="37" t="s">
        <v>4057</v>
      </c>
      <c r="M5" s="37" t="s">
        <v>4058</v>
      </c>
      <c r="N5" s="37" t="s">
        <v>4059</v>
      </c>
      <c r="O5" s="37" t="s">
        <v>4060</v>
      </c>
      <c r="P5" s="37" t="s">
        <v>4061</v>
      </c>
      <c r="Q5" s="37" t="s">
        <v>4062</v>
      </c>
    </row>
    <row r="6" spans="1:19" x14ac:dyDescent="0.2">
      <c r="A6" s="21" t="s">
        <v>310</v>
      </c>
      <c r="B6" s="18">
        <v>59000</v>
      </c>
      <c r="C6" s="18">
        <v>40077.333333333336</v>
      </c>
      <c r="D6" s="18">
        <v>65500</v>
      </c>
      <c r="E6" s="18">
        <v>69900</v>
      </c>
      <c r="F6" s="18">
        <v>102500</v>
      </c>
      <c r="G6" s="18"/>
      <c r="H6" s="16">
        <f>IF(G6="",F6,G6)</f>
        <v>102500</v>
      </c>
      <c r="I6" s="16">
        <f>IF(B6="",C6,B6)</f>
        <v>59000</v>
      </c>
      <c r="K6" s="14" t="s">
        <v>310</v>
      </c>
      <c r="L6" s="14">
        <v>0.01</v>
      </c>
      <c r="M6" s="15">
        <f>IF(OR($I6="",C6=""),"",IFERROR((C6-$I6)/$I6,""))</f>
        <v>-0.32072316384180788</v>
      </c>
      <c r="N6" s="15">
        <f t="shared" ref="N6:Q15" si="0">IF(OR($I6="",D6=""),"",IFERROR((D6-$I6)/$I6,""))</f>
        <v>0.11016949152542373</v>
      </c>
      <c r="O6" s="15">
        <f t="shared" si="0"/>
        <v>0.18474576271186441</v>
      </c>
      <c r="P6" s="15">
        <f t="shared" si="0"/>
        <v>0.73728813559322037</v>
      </c>
      <c r="Q6" s="15" t="str">
        <f t="shared" si="0"/>
        <v/>
      </c>
      <c r="R6" s="19">
        <f>((H6-I6)/I6)/20</f>
        <v>3.6864406779661019E-2</v>
      </c>
      <c r="S6" s="14" t="str">
        <f>IF(OR(H6=0,I6=0,ISERR(R6)),"Not enough data",K6&amp;"'s in this location experience an average "&amp;IF(R6&gt;0,"increase","decrease")&amp;" of "&amp;" roughly "&amp;TEXT(ABS(R6),"0.0%")&amp;" every year over a twenty year period")</f>
        <v>Accountant's in this location experience an average increase of  roughly 3.7% every year over a twenty year period</v>
      </c>
    </row>
    <row r="7" spans="1:19" x14ac:dyDescent="0.2">
      <c r="A7" s="21" t="s">
        <v>20</v>
      </c>
      <c r="B7" s="18">
        <v>49483.379310344826</v>
      </c>
      <c r="C7" s="18">
        <v>59468.179487179485</v>
      </c>
      <c r="D7" s="18">
        <v>65867.510204081627</v>
      </c>
      <c r="E7" s="18">
        <v>69001.931034482754</v>
      </c>
      <c r="F7" s="18">
        <v>71372.5</v>
      </c>
      <c r="G7" s="18">
        <v>69128.111111111109</v>
      </c>
      <c r="H7" s="16">
        <f t="shared" ref="H7:H15" si="1">IF(G7="",F7,G7)</f>
        <v>69128.111111111109</v>
      </c>
      <c r="I7" s="16">
        <f t="shared" ref="I7:I15" si="2">IF(B7="",C7,B7)</f>
        <v>49483.379310344826</v>
      </c>
      <c r="K7" s="14" t="s">
        <v>20</v>
      </c>
      <c r="L7" s="14">
        <v>0.01</v>
      </c>
      <c r="M7" s="15">
        <f t="shared" ref="M7:M15" si="3">IF(OR($I7="",C7=""),"",IFERROR((C7-$I7)/$I7,""))</f>
        <v>0.2017808871583528</v>
      </c>
      <c r="N7" s="15">
        <f t="shared" si="0"/>
        <v>0.33110371850274162</v>
      </c>
      <c r="O7" s="15">
        <f t="shared" si="0"/>
        <v>0.39444662018176768</v>
      </c>
      <c r="P7" s="15">
        <f t="shared" si="0"/>
        <v>0.44235298790677197</v>
      </c>
      <c r="Q7" s="15">
        <f t="shared" si="0"/>
        <v>0.39699656883901263</v>
      </c>
      <c r="R7" s="19">
        <f t="shared" ref="R7:R15" si="4">((H7-I7)/I7)/20</f>
        <v>1.9849828441950632E-2</v>
      </c>
      <c r="S7" s="14" t="str">
        <f t="shared" ref="S7:S15" si="5">IF(OR(H7=0,I7=0,ISERR(R7)),"Not enough data",K7&amp;"'s in this location experience an average "&amp;IF(R7&gt;0,"increase","decrease")&amp;" of "&amp;" roughly "&amp;TEXT(ABS(R7),"0.0%")&amp;" every year over a twenty year period")</f>
        <v>Analyst's in this location experience an average increase of  roughly 2.0% every year over a twenty year period</v>
      </c>
    </row>
    <row r="8" spans="1:19" x14ac:dyDescent="0.2">
      <c r="A8" s="21" t="s">
        <v>356</v>
      </c>
      <c r="B8" s="18"/>
      <c r="C8" s="18">
        <v>100000</v>
      </c>
      <c r="D8" s="18">
        <v>88500</v>
      </c>
      <c r="E8" s="18">
        <v>88500</v>
      </c>
      <c r="F8" s="18">
        <v>250000</v>
      </c>
      <c r="G8" s="18"/>
      <c r="H8" s="16">
        <f t="shared" si="1"/>
        <v>250000</v>
      </c>
      <c r="I8" s="16">
        <f t="shared" si="2"/>
        <v>100000</v>
      </c>
      <c r="K8" s="14" t="s">
        <v>356</v>
      </c>
      <c r="L8" s="14">
        <v>0.01</v>
      </c>
      <c r="M8" s="15">
        <f t="shared" si="3"/>
        <v>0</v>
      </c>
      <c r="N8" s="15">
        <f t="shared" si="0"/>
        <v>-0.115</v>
      </c>
      <c r="O8" s="15">
        <f t="shared" si="0"/>
        <v>-0.115</v>
      </c>
      <c r="P8" s="15">
        <f t="shared" si="0"/>
        <v>1.5</v>
      </c>
      <c r="Q8" s="15" t="str">
        <f t="shared" si="0"/>
        <v/>
      </c>
      <c r="R8" s="19">
        <f t="shared" si="4"/>
        <v>7.4999999999999997E-2</v>
      </c>
      <c r="S8" s="14" t="str">
        <f t="shared" si="5"/>
        <v>Consultant's in this location experience an average increase of  roughly 7.5% every year over a twenty year period</v>
      </c>
    </row>
    <row r="9" spans="1:19" x14ac:dyDescent="0.2">
      <c r="A9" s="21" t="s">
        <v>488</v>
      </c>
      <c r="B9" s="18">
        <v>35162.5</v>
      </c>
      <c r="C9" s="18">
        <v>33000</v>
      </c>
      <c r="D9" s="18">
        <v>94250</v>
      </c>
      <c r="E9" s="18">
        <v>72500</v>
      </c>
      <c r="F9" s="18">
        <v>119333.33333333333</v>
      </c>
      <c r="G9" s="18">
        <v>126500</v>
      </c>
      <c r="H9" s="16">
        <f t="shared" si="1"/>
        <v>126500</v>
      </c>
      <c r="I9" s="16">
        <f t="shared" si="2"/>
        <v>35162.5</v>
      </c>
      <c r="K9" s="14" t="s">
        <v>488</v>
      </c>
      <c r="L9" s="14">
        <v>0.01</v>
      </c>
      <c r="M9" s="15">
        <f t="shared" si="3"/>
        <v>-6.1500177746178455E-2</v>
      </c>
      <c r="N9" s="15">
        <f t="shared" si="0"/>
        <v>1.6804123711340206</v>
      </c>
      <c r="O9" s="15">
        <f t="shared" si="0"/>
        <v>1.0618556701030928</v>
      </c>
      <c r="P9" s="15">
        <f t="shared" si="0"/>
        <v>2.3937670340087687</v>
      </c>
      <c r="Q9" s="15">
        <f t="shared" si="0"/>
        <v>2.5975826519729828</v>
      </c>
      <c r="R9" s="19">
        <f t="shared" si="4"/>
        <v>0.12987913259864914</v>
      </c>
      <c r="S9" s="14" t="str">
        <f t="shared" si="5"/>
        <v>Controller's in this location experience an average increase of  roughly 13.0% every year over a twenty year period</v>
      </c>
    </row>
    <row r="10" spans="1:19" x14ac:dyDescent="0.2">
      <c r="A10" s="21" t="s">
        <v>4001</v>
      </c>
      <c r="B10" s="18"/>
      <c r="C10" s="18">
        <v>75000</v>
      </c>
      <c r="D10" s="18">
        <v>127833.33333333333</v>
      </c>
      <c r="E10" s="18">
        <v>110000</v>
      </c>
      <c r="F10" s="18">
        <v>179000</v>
      </c>
      <c r="G10" s="18">
        <v>180900</v>
      </c>
      <c r="H10" s="16">
        <f t="shared" si="1"/>
        <v>180900</v>
      </c>
      <c r="I10" s="16">
        <f t="shared" si="2"/>
        <v>75000</v>
      </c>
      <c r="K10" s="14" t="s">
        <v>4013</v>
      </c>
      <c r="L10" s="14">
        <v>0.01</v>
      </c>
      <c r="M10" s="15">
        <f t="shared" si="3"/>
        <v>0</v>
      </c>
      <c r="N10" s="15">
        <f t="shared" si="0"/>
        <v>0.70444444444444443</v>
      </c>
      <c r="O10" s="15">
        <f t="shared" si="0"/>
        <v>0.46666666666666667</v>
      </c>
      <c r="P10" s="15">
        <f t="shared" si="0"/>
        <v>1.3866666666666667</v>
      </c>
      <c r="Q10" s="15">
        <f t="shared" si="0"/>
        <v>1.4119999999999999</v>
      </c>
      <c r="R10" s="19">
        <f t="shared" si="4"/>
        <v>7.0599999999999996E-2</v>
      </c>
      <c r="S10" s="14" t="str">
        <f t="shared" si="5"/>
        <v>CXO's in this location experience an average increase of  roughly 7.1% every year over a twenty year period</v>
      </c>
    </row>
    <row r="11" spans="1:19" x14ac:dyDescent="0.2">
      <c r="A11" s="21" t="s">
        <v>279</v>
      </c>
      <c r="B11" s="18">
        <v>39500</v>
      </c>
      <c r="C11" s="18">
        <v>67500</v>
      </c>
      <c r="D11" s="18">
        <v>68500</v>
      </c>
      <c r="E11" s="18">
        <v>69500</v>
      </c>
      <c r="F11" s="18"/>
      <c r="G11" s="18">
        <v>77480</v>
      </c>
      <c r="H11" s="16">
        <f t="shared" si="1"/>
        <v>77480</v>
      </c>
      <c r="I11" s="16">
        <f t="shared" si="2"/>
        <v>39500</v>
      </c>
      <c r="K11" s="14" t="s">
        <v>279</v>
      </c>
      <c r="L11" s="14">
        <v>0.01</v>
      </c>
      <c r="M11" s="15">
        <f t="shared" si="3"/>
        <v>0.70886075949367089</v>
      </c>
      <c r="N11" s="15">
        <f t="shared" si="0"/>
        <v>0.73417721518987344</v>
      </c>
      <c r="O11" s="15">
        <f t="shared" si="0"/>
        <v>0.759493670886076</v>
      </c>
      <c r="P11" s="15" t="str">
        <f t="shared" si="0"/>
        <v/>
      </c>
      <c r="Q11" s="15">
        <f t="shared" si="0"/>
        <v>0.9615189873417721</v>
      </c>
      <c r="R11" s="19">
        <f t="shared" si="4"/>
        <v>4.8075949367088602E-2</v>
      </c>
      <c r="S11" s="14" t="str">
        <f t="shared" si="5"/>
        <v>Engineer's in this location experience an average increase of  roughly 4.8% every year over a twenty year period</v>
      </c>
    </row>
    <row r="12" spans="1:19" x14ac:dyDescent="0.2">
      <c r="A12" s="21" t="s">
        <v>52</v>
      </c>
      <c r="B12" s="18">
        <v>64444.444444444445</v>
      </c>
      <c r="C12" s="18">
        <v>66055.555555555562</v>
      </c>
      <c r="D12" s="18">
        <v>85022.727272727279</v>
      </c>
      <c r="E12" s="18">
        <v>91797.411764705888</v>
      </c>
      <c r="F12" s="18">
        <v>60942.222222222219</v>
      </c>
      <c r="G12" s="18">
        <v>101500</v>
      </c>
      <c r="H12" s="16">
        <f t="shared" si="1"/>
        <v>101500</v>
      </c>
      <c r="I12" s="16">
        <f t="shared" si="2"/>
        <v>64444.444444444445</v>
      </c>
      <c r="K12" s="14" t="s">
        <v>52</v>
      </c>
      <c r="L12" s="14">
        <v>0.01</v>
      </c>
      <c r="M12" s="15">
        <f t="shared" si="3"/>
        <v>2.5000000000000088E-2</v>
      </c>
      <c r="N12" s="15">
        <f t="shared" si="0"/>
        <v>0.31931818181818189</v>
      </c>
      <c r="O12" s="15">
        <f t="shared" si="0"/>
        <v>0.42444259634888448</v>
      </c>
      <c r="P12" s="15">
        <f t="shared" si="0"/>
        <v>-5.4344827586206956E-2</v>
      </c>
      <c r="Q12" s="15">
        <f t="shared" si="0"/>
        <v>0.57499999999999996</v>
      </c>
      <c r="R12" s="19">
        <f t="shared" si="4"/>
        <v>2.8749999999999998E-2</v>
      </c>
      <c r="S12" s="14" t="str">
        <f t="shared" si="5"/>
        <v>Manager's in this location experience an average increase of  roughly 2.9% every year over a twenty year period</v>
      </c>
    </row>
    <row r="13" spans="1:19" x14ac:dyDescent="0.2">
      <c r="A13" s="21" t="s">
        <v>4000</v>
      </c>
      <c r="B13" s="18"/>
      <c r="C13" s="18">
        <v>87000</v>
      </c>
      <c r="D13" s="18">
        <v>74461</v>
      </c>
      <c r="E13" s="18"/>
      <c r="F13" s="18"/>
      <c r="G13" s="18"/>
      <c r="H13" s="16">
        <f t="shared" si="1"/>
        <v>0</v>
      </c>
      <c r="I13" s="16">
        <f t="shared" si="2"/>
        <v>87000</v>
      </c>
      <c r="K13" s="14" t="s">
        <v>4000</v>
      </c>
      <c r="L13" s="14">
        <v>0.01</v>
      </c>
      <c r="M13" s="15">
        <f t="shared" si="3"/>
        <v>0</v>
      </c>
      <c r="N13" s="15">
        <f t="shared" si="0"/>
        <v>-0.14412643678160919</v>
      </c>
      <c r="O13" s="15" t="str">
        <f t="shared" si="0"/>
        <v/>
      </c>
      <c r="P13" s="15" t="str">
        <f t="shared" si="0"/>
        <v/>
      </c>
      <c r="Q13" s="15" t="str">
        <f t="shared" si="0"/>
        <v/>
      </c>
      <c r="R13" s="19">
        <f t="shared" si="4"/>
        <v>-0.05</v>
      </c>
      <c r="S13" s="14" t="str">
        <f t="shared" si="5"/>
        <v>Not enough data</v>
      </c>
    </row>
    <row r="14" spans="1:19" x14ac:dyDescent="0.2">
      <c r="A14" s="21" t="s">
        <v>3999</v>
      </c>
      <c r="B14" s="18"/>
      <c r="C14" s="18"/>
      <c r="D14" s="18">
        <v>58500</v>
      </c>
      <c r="E14" s="18">
        <v>92000</v>
      </c>
      <c r="F14" s="18"/>
      <c r="G14" s="18">
        <v>37000</v>
      </c>
      <c r="H14" s="16">
        <f t="shared" si="1"/>
        <v>37000</v>
      </c>
      <c r="I14" s="16">
        <f t="shared" si="2"/>
        <v>0</v>
      </c>
      <c r="K14" s="14" t="s">
        <v>3999</v>
      </c>
      <c r="L14" s="14">
        <v>0.01</v>
      </c>
      <c r="M14" s="15" t="str">
        <f t="shared" si="3"/>
        <v/>
      </c>
      <c r="N14" s="15" t="str">
        <f t="shared" si="0"/>
        <v/>
      </c>
      <c r="O14" s="15" t="str">
        <f t="shared" si="0"/>
        <v/>
      </c>
      <c r="P14" s="15" t="str">
        <f t="shared" si="0"/>
        <v/>
      </c>
      <c r="Q14" s="15" t="str">
        <f t="shared" si="0"/>
        <v/>
      </c>
      <c r="R14" s="19" t="e">
        <f t="shared" si="4"/>
        <v>#DIV/0!</v>
      </c>
      <c r="S14" s="14" t="str">
        <f t="shared" si="5"/>
        <v>Not enough data</v>
      </c>
    </row>
    <row r="15" spans="1:19" x14ac:dyDescent="0.2">
      <c r="A15" s="21" t="s">
        <v>67</v>
      </c>
      <c r="B15" s="18">
        <v>60000</v>
      </c>
      <c r="C15" s="18">
        <v>51500</v>
      </c>
      <c r="D15" s="18">
        <v>48000</v>
      </c>
      <c r="E15" s="18"/>
      <c r="F15" s="18">
        <v>48500</v>
      </c>
      <c r="G15" s="18">
        <v>62000</v>
      </c>
      <c r="H15" s="16">
        <f t="shared" si="1"/>
        <v>62000</v>
      </c>
      <c r="I15" s="16">
        <f t="shared" si="2"/>
        <v>60000</v>
      </c>
      <c r="K15" s="14" t="s">
        <v>67</v>
      </c>
      <c r="L15" s="14">
        <v>0.01</v>
      </c>
      <c r="M15" s="15">
        <f t="shared" si="3"/>
        <v>-0.14166666666666666</v>
      </c>
      <c r="N15" s="15">
        <f t="shared" si="0"/>
        <v>-0.2</v>
      </c>
      <c r="O15" s="15" t="str">
        <f t="shared" si="0"/>
        <v/>
      </c>
      <c r="P15" s="15">
        <f t="shared" si="0"/>
        <v>-0.19166666666666668</v>
      </c>
      <c r="Q15" s="15">
        <f t="shared" si="0"/>
        <v>3.3333333333333333E-2</v>
      </c>
      <c r="R15" s="19">
        <f t="shared" si="4"/>
        <v>1.6666666666666666E-3</v>
      </c>
      <c r="S15" s="14" t="str">
        <f t="shared" si="5"/>
        <v>Specialist's in this location experience an average increase of  roughly 0.2% every year over a twenty year period</v>
      </c>
    </row>
    <row r="17" spans="11:19" x14ac:dyDescent="0.2">
      <c r="K17" s="14" t="str">
        <f>DB!AA9</f>
        <v>Accountant</v>
      </c>
      <c r="L17" s="14">
        <v>0.01</v>
      </c>
      <c r="M17" s="15">
        <f>VLOOKUP($K$17,$K$6:$Q$15,2,FALSE)</f>
        <v>0.01</v>
      </c>
      <c r="N17" s="15">
        <f>VLOOKUP($K$17,$K$6:$Q$15,3,FALSE)</f>
        <v>-0.32072316384180788</v>
      </c>
      <c r="O17" s="15">
        <f>VLOOKUP($K$17,$K$6:$Q$15,4,FALSE)</f>
        <v>0.11016949152542373</v>
      </c>
      <c r="P17" s="15">
        <f>VLOOKUP($K$17,$K$6:$Q$15,5,FALSE)</f>
        <v>0.18474576271186441</v>
      </c>
      <c r="Q17" s="15">
        <f>VLOOKUP($K$17,$K$6:$Q$15,6,FALSE)</f>
        <v>0.73728813559322037</v>
      </c>
      <c r="R17" s="15"/>
      <c r="S17" s="15" t="str">
        <f>VLOOKUP($K$17,$K$6:$S$15,9,FALSE)</f>
        <v>Accountant's in this location experience an average increase of  roughly 3.7% every year over a twenty year period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A32"/>
  <sheetViews>
    <sheetView showGridLines="0" showRowColHeaders="0" tabSelected="1" workbookViewId="0">
      <selection activeCell="D33" sqref="D33"/>
    </sheetView>
  </sheetViews>
  <sheetFormatPr defaultRowHeight="12.75" x14ac:dyDescent="0.2"/>
  <cols>
    <col min="1" max="1" width="1.42578125" style="27" customWidth="1"/>
    <col min="2" max="2" width="10.28515625" style="27" bestFit="1" customWidth="1"/>
    <col min="3" max="3" width="20.85546875" style="27" customWidth="1"/>
    <col min="4" max="11" width="9.140625" style="27"/>
    <col min="12" max="12" width="7.5703125" style="27" customWidth="1"/>
    <col min="13" max="13" width="1.85546875" style="27" customWidth="1"/>
    <col min="14" max="14" width="9.140625" style="27" customWidth="1"/>
    <col min="15" max="15" width="1.42578125" style="27" customWidth="1"/>
    <col min="16" max="16" width="7.85546875" style="27" customWidth="1"/>
    <col min="17" max="17" width="20.42578125" style="27" customWidth="1"/>
    <col min="18" max="18" width="16.28515625" style="27" customWidth="1"/>
    <col min="19" max="19" width="14" style="27" bestFit="1" customWidth="1"/>
    <col min="20" max="16384" width="9.140625" style="27"/>
  </cols>
  <sheetData>
    <row r="1" spans="2:27" ht="5.25" customHeight="1" x14ac:dyDescent="0.2">
      <c r="AA1" s="27" t="s">
        <v>15</v>
      </c>
    </row>
    <row r="2" spans="2:27" ht="21.75" customHeight="1" x14ac:dyDescent="0.2">
      <c r="B2" s="36" t="s">
        <v>4079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A2" s="27" t="s">
        <v>4020</v>
      </c>
    </row>
    <row r="3" spans="2:27" x14ac:dyDescent="0.2">
      <c r="B3" s="28" t="s">
        <v>4022</v>
      </c>
      <c r="D3" s="28" t="s">
        <v>4021</v>
      </c>
      <c r="G3" s="28" t="s">
        <v>4023</v>
      </c>
      <c r="J3" s="28" t="s">
        <v>4078</v>
      </c>
      <c r="M3" s="30"/>
      <c r="N3" s="28" t="s">
        <v>4077</v>
      </c>
      <c r="AA3" s="27" t="s">
        <v>4020</v>
      </c>
    </row>
    <row r="4" spans="2:27" x14ac:dyDescent="0.2">
      <c r="R4" s="27" t="s">
        <v>4049</v>
      </c>
      <c r="S4" s="39">
        <v>50000</v>
      </c>
      <c r="AA4" s="27" t="s">
        <v>4012</v>
      </c>
    </row>
    <row r="5" spans="2:27" ht="15.75" customHeight="1" x14ac:dyDescent="0.2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R5" s="27" t="s">
        <v>4066</v>
      </c>
      <c r="S5" s="38">
        <f ca="1">IFERROR(_xlfn.NORM.DIST(S4,AA11,AA12,TRUE),"Not enough data")</f>
        <v>0.2890005102234483</v>
      </c>
    </row>
    <row r="6" spans="2:27" ht="17.25" customHeight="1" x14ac:dyDescent="0.2">
      <c r="B6" s="30" t="s">
        <v>4067</v>
      </c>
      <c r="N6" s="30" t="s">
        <v>4073</v>
      </c>
    </row>
    <row r="9" spans="2:27" x14ac:dyDescent="0.2">
      <c r="AA9" s="27" t="s">
        <v>310</v>
      </c>
    </row>
    <row r="10" spans="2:27" x14ac:dyDescent="0.2">
      <c r="AA10" s="27">
        <f>MATCH(AA9,JobType)</f>
        <v>1</v>
      </c>
    </row>
    <row r="11" spans="2:27" x14ac:dyDescent="0.2">
      <c r="AA11" s="27">
        <f ca="1">OFFSET(Role!$A15,,((DB!$AA$10*2)-1))</f>
        <v>66217.5625</v>
      </c>
    </row>
    <row r="12" spans="2:27" x14ac:dyDescent="0.2">
      <c r="AA12" s="27">
        <f ca="1">OFFSET(Role!$A16,,((DB!$AA$10*2)-1))</f>
        <v>29152.182622980286</v>
      </c>
    </row>
    <row r="13" spans="2:27" x14ac:dyDescent="0.2">
      <c r="T13" s="40"/>
    </row>
    <row r="20" spans="2:19" x14ac:dyDescent="0.2">
      <c r="M20" s="31"/>
    </row>
    <row r="30" spans="2:19" ht="62.25" customHeight="1" x14ac:dyDescent="0.2">
      <c r="B30" s="33" t="s">
        <v>4070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3" t="s">
        <v>4074</v>
      </c>
      <c r="O30" s="32"/>
      <c r="P30" s="32"/>
      <c r="Q30" s="32"/>
      <c r="R30" s="32"/>
      <c r="S30" s="32"/>
    </row>
    <row r="31" spans="2:19" x14ac:dyDescent="0.2">
      <c r="B31" s="41" t="s">
        <v>4063</v>
      </c>
      <c r="S31" s="41" t="s">
        <v>4080</v>
      </c>
    </row>
    <row r="32" spans="2:19" x14ac:dyDescent="0.2">
      <c r="B32" s="26"/>
    </row>
  </sheetData>
  <mergeCells count="1">
    <mergeCell ref="B2:S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omboBox1">
          <controlPr defaultSize="0" autoLine="0" linkedCell="AA4" listFillRange="SortOrder" r:id="rId4">
            <anchor moveWithCells="1">
              <from>
                <xdr:col>9</xdr:col>
                <xdr:colOff>28575</xdr:colOff>
                <xdr:row>3</xdr:row>
                <xdr:rowOff>0</xdr:rowOff>
              </from>
              <to>
                <xdr:col>11</xdr:col>
                <xdr:colOff>457200</xdr:colOff>
                <xdr:row>4</xdr:row>
                <xdr:rowOff>66675</xdr:rowOff>
              </to>
            </anchor>
          </controlPr>
        </control>
      </mc:Choice>
      <mc:Fallback>
        <control shapeId="6161" r:id="rId3" name="ComboBox1"/>
      </mc:Fallback>
    </mc:AlternateContent>
    <mc:AlternateContent xmlns:mc="http://schemas.openxmlformats.org/markup-compatibility/2006">
      <mc:Choice Requires="x14">
        <control shapeId="6160" r:id="rId5" name="ComboBox3">
          <controlPr defaultSize="0" autoLine="0" linkedCell="AA3" listFillRange="Hours" r:id="rId6">
            <anchor moveWithCells="1">
              <from>
                <xdr:col>5</xdr:col>
                <xdr:colOff>552450</xdr:colOff>
                <xdr:row>3</xdr:row>
                <xdr:rowOff>0</xdr:rowOff>
              </from>
              <to>
                <xdr:col>8</xdr:col>
                <xdr:colOff>371475</xdr:colOff>
                <xdr:row>4</xdr:row>
                <xdr:rowOff>66675</xdr:rowOff>
              </to>
            </anchor>
          </controlPr>
        </control>
      </mc:Choice>
      <mc:Fallback>
        <control shapeId="6160" r:id="rId5" name="ComboBox3"/>
      </mc:Fallback>
    </mc:AlternateContent>
    <mc:AlternateContent xmlns:mc="http://schemas.openxmlformats.org/markup-compatibility/2006">
      <mc:Choice Requires="x14">
        <control shapeId="6159" r:id="rId7" name="ComboBox2">
          <controlPr defaultSize="0" autoLine="0" linkedCell="AA2" listFillRange="Experience" r:id="rId8">
            <anchor moveWithCells="1">
              <from>
                <xdr:col>2</xdr:col>
                <xdr:colOff>1238250</xdr:colOff>
                <xdr:row>3</xdr:row>
                <xdr:rowOff>0</xdr:rowOff>
              </from>
              <to>
                <xdr:col>5</xdr:col>
                <xdr:colOff>276225</xdr:colOff>
                <xdr:row>4</xdr:row>
                <xdr:rowOff>66675</xdr:rowOff>
              </to>
            </anchor>
          </controlPr>
        </control>
      </mc:Choice>
      <mc:Fallback>
        <control shapeId="6159" r:id="rId7" name="ComboBox2"/>
      </mc:Fallback>
    </mc:AlternateContent>
    <mc:AlternateContent xmlns:mc="http://schemas.openxmlformats.org/markup-compatibility/2006">
      <mc:Choice Requires="x14">
        <control shapeId="6155" r:id="rId9" name="Location">
          <controlPr defaultSize="0" autoLine="0" linkedCell="AA1" listFillRange="Location" r:id="rId10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971550</xdr:colOff>
                <xdr:row>4</xdr:row>
                <xdr:rowOff>66675</xdr:rowOff>
              </to>
            </anchor>
          </controlPr>
        </control>
      </mc:Choice>
      <mc:Fallback>
        <control shapeId="6155" r:id="rId9" name="Location"/>
      </mc:Fallback>
    </mc:AlternateContent>
    <mc:AlternateContent xmlns:mc="http://schemas.openxmlformats.org/markup-compatibility/2006">
      <mc:Choice Requires="x14">
        <control shapeId="6163" r:id="rId11" name="ComboBox4">
          <controlPr defaultSize="0" autoLine="0" linkedCell="AA9" listFillRange="JobType" r:id="rId12">
            <anchor moveWithCells="1">
              <from>
                <xdr:col>13</xdr:col>
                <xdr:colOff>38100</xdr:colOff>
                <xdr:row>3</xdr:row>
                <xdr:rowOff>0</xdr:rowOff>
              </from>
              <to>
                <xdr:col>16</xdr:col>
                <xdr:colOff>542925</xdr:colOff>
                <xdr:row>4</xdr:row>
                <xdr:rowOff>66675</xdr:rowOff>
              </to>
            </anchor>
          </controlPr>
        </control>
      </mc:Choice>
      <mc:Fallback>
        <control shapeId="6163" r:id="rId11" name="ComboBox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AF1883"/>
  <sheetViews>
    <sheetView workbookViewId="0">
      <selection activeCell="D9" sqref="D9"/>
    </sheetView>
  </sheetViews>
  <sheetFormatPr defaultRowHeight="12.75" x14ac:dyDescent="0.2"/>
  <cols>
    <col min="1" max="3" width="9.140625" style="14"/>
    <col min="4" max="4" width="11" style="14" bestFit="1" customWidth="1"/>
    <col min="5" max="5" width="13.5703125" style="14" bestFit="1" customWidth="1"/>
    <col min="6" max="16384" width="9.140625" style="14"/>
  </cols>
  <sheetData>
    <row r="1" spans="3:32" x14ac:dyDescent="0.2">
      <c r="C1" s="14" t="s">
        <v>4018</v>
      </c>
      <c r="D1" s="14" t="s">
        <v>310</v>
      </c>
      <c r="F1" s="14" t="s">
        <v>4016</v>
      </c>
      <c r="G1" s="14" t="str">
        <f>DB!AA1</f>
        <v>USA</v>
      </c>
      <c r="N1" s="14" t="s">
        <v>4020</v>
      </c>
      <c r="O1" s="14" t="s">
        <v>4020</v>
      </c>
      <c r="P1" s="14" t="s">
        <v>4020</v>
      </c>
      <c r="Q1" s="14" t="s">
        <v>4011</v>
      </c>
      <c r="V1" s="14" t="s">
        <v>4050</v>
      </c>
      <c r="W1" s="14" t="s">
        <v>4036</v>
      </c>
      <c r="X1" s="14">
        <v>70130</v>
      </c>
      <c r="AE1" s="14" t="s">
        <v>4054</v>
      </c>
    </row>
    <row r="2" spans="3:32" x14ac:dyDescent="0.2">
      <c r="C2" s="14" t="s">
        <v>4018</v>
      </c>
      <c r="D2" s="14" t="s">
        <v>20</v>
      </c>
      <c r="F2" s="14" t="s">
        <v>4017</v>
      </c>
      <c r="G2" s="14" t="str">
        <f>DB!AA2</f>
        <v>All</v>
      </c>
      <c r="N2" s="14" t="s">
        <v>1074</v>
      </c>
      <c r="O2" s="14" t="s">
        <v>186</v>
      </c>
      <c r="P2" s="14" t="s">
        <v>4057</v>
      </c>
      <c r="Q2" s="14" t="s">
        <v>4025</v>
      </c>
      <c r="W2" s="14" t="s">
        <v>4037</v>
      </c>
      <c r="X2" s="14">
        <v>78127</v>
      </c>
      <c r="Y2" s="14" t="s">
        <v>4051</v>
      </c>
    </row>
    <row r="3" spans="3:32" x14ac:dyDescent="0.2">
      <c r="C3" s="14" t="s">
        <v>4018</v>
      </c>
      <c r="D3" s="14" t="s">
        <v>356</v>
      </c>
      <c r="F3" s="14" t="s">
        <v>4019</v>
      </c>
      <c r="G3" s="14" t="str">
        <f>DB!AA3</f>
        <v>All</v>
      </c>
      <c r="N3" s="14" t="s">
        <v>163</v>
      </c>
      <c r="O3" s="14" t="s">
        <v>25</v>
      </c>
      <c r="P3" s="14" t="s">
        <v>4058</v>
      </c>
      <c r="Q3" s="14" t="s">
        <v>4012</v>
      </c>
      <c r="W3" s="14" t="s">
        <v>4038</v>
      </c>
      <c r="X3" s="14">
        <v>87980</v>
      </c>
      <c r="Y3" s="14" t="s">
        <v>4052</v>
      </c>
    </row>
    <row r="4" spans="3:32" x14ac:dyDescent="0.2">
      <c r="C4" s="14" t="s">
        <v>4018</v>
      </c>
      <c r="D4" s="14" t="s">
        <v>488</v>
      </c>
      <c r="N4" s="14" t="s">
        <v>1331</v>
      </c>
      <c r="O4" s="14" t="s">
        <v>18</v>
      </c>
      <c r="P4" s="14" t="s">
        <v>4059</v>
      </c>
      <c r="W4" s="14" t="s">
        <v>4039</v>
      </c>
      <c r="X4" s="14">
        <v>173623</v>
      </c>
      <c r="Y4" s="14" t="s">
        <v>4053</v>
      </c>
    </row>
    <row r="5" spans="3:32" x14ac:dyDescent="0.2">
      <c r="C5" s="14" t="s">
        <v>4018</v>
      </c>
      <c r="D5" s="14" t="s">
        <v>4013</v>
      </c>
      <c r="N5" s="14" t="s">
        <v>1860</v>
      </c>
      <c r="O5" s="14" t="s">
        <v>9</v>
      </c>
      <c r="P5" s="14" t="s">
        <v>4060</v>
      </c>
      <c r="W5" s="16" t="s">
        <v>4040</v>
      </c>
      <c r="X5" s="14">
        <v>176550</v>
      </c>
    </row>
    <row r="6" spans="3:32" x14ac:dyDescent="0.2">
      <c r="C6" s="14" t="s">
        <v>4018</v>
      </c>
      <c r="D6" s="14" t="s">
        <v>279</v>
      </c>
      <c r="N6" s="14" t="s">
        <v>992</v>
      </c>
      <c r="O6" s="14" t="s">
        <v>13</v>
      </c>
      <c r="P6" s="14" t="s">
        <v>4061</v>
      </c>
      <c r="W6" s="14" t="s">
        <v>4041</v>
      </c>
      <c r="X6" s="14">
        <v>80430</v>
      </c>
    </row>
    <row r="7" spans="3:32" x14ac:dyDescent="0.2">
      <c r="C7" s="14" t="s">
        <v>4018</v>
      </c>
      <c r="D7" s="14" t="s">
        <v>52</v>
      </c>
      <c r="N7" s="14" t="s">
        <v>1126</v>
      </c>
      <c r="P7" s="14" t="s">
        <v>4062</v>
      </c>
      <c r="W7" s="14" t="s">
        <v>4042</v>
      </c>
      <c r="X7" s="14">
        <v>95586</v>
      </c>
    </row>
    <row r="8" spans="3:32" ht="15" x14ac:dyDescent="0.25">
      <c r="C8" s="14" t="s">
        <v>4018</v>
      </c>
      <c r="D8" s="14" t="s">
        <v>4000</v>
      </c>
      <c r="N8" s="14" t="s">
        <v>84</v>
      </c>
      <c r="W8" s="16" t="s">
        <v>4043</v>
      </c>
      <c r="X8" s="14" t="e">
        <f>NA()</f>
        <v>#N/A</v>
      </c>
      <c r="AE8"/>
    </row>
    <row r="9" spans="3:32" ht="15" x14ac:dyDescent="0.25">
      <c r="C9" s="14" t="s">
        <v>4018</v>
      </c>
      <c r="D9" s="14" t="s">
        <v>3999</v>
      </c>
      <c r="N9" s="14" t="s">
        <v>1519</v>
      </c>
      <c r="W9" s="14" t="s">
        <v>4044</v>
      </c>
      <c r="X9" s="14">
        <v>57000</v>
      </c>
      <c r="Y9" s="14" t="s">
        <v>4065</v>
      </c>
      <c r="AE9"/>
    </row>
    <row r="10" spans="3:32" ht="15" x14ac:dyDescent="0.25">
      <c r="C10" s="14" t="s">
        <v>4018</v>
      </c>
      <c r="D10" s="14" t="s">
        <v>67</v>
      </c>
      <c r="N10" s="14" t="s">
        <v>1773</v>
      </c>
      <c r="W10" s="14" t="s">
        <v>4045</v>
      </c>
      <c r="X10" s="14">
        <v>61182</v>
      </c>
      <c r="AE10"/>
    </row>
    <row r="11" spans="3:32" ht="15" x14ac:dyDescent="0.25">
      <c r="C11" s="14" t="s">
        <v>4017</v>
      </c>
      <c r="D11" s="14" t="s">
        <v>4017</v>
      </c>
      <c r="N11" s="14" t="s">
        <v>1951</v>
      </c>
      <c r="AE11"/>
    </row>
    <row r="12" spans="3:32" ht="15" x14ac:dyDescent="0.25">
      <c r="N12" s="14" t="s">
        <v>425</v>
      </c>
      <c r="AE12"/>
    </row>
    <row r="13" spans="3:32" ht="15" x14ac:dyDescent="0.25">
      <c r="N13" s="14" t="s">
        <v>59</v>
      </c>
      <c r="AE13"/>
    </row>
    <row r="14" spans="3:32" ht="15" x14ac:dyDescent="0.25">
      <c r="N14" s="14" t="s">
        <v>292</v>
      </c>
      <c r="AE14"/>
    </row>
    <row r="15" spans="3:32" ht="15" x14ac:dyDescent="0.25">
      <c r="N15" s="14" t="s">
        <v>851</v>
      </c>
      <c r="W15" s="25"/>
      <c r="Z15" s="22"/>
      <c r="AA15" s="23"/>
      <c r="AC15" s="24"/>
      <c r="AD15" s="24"/>
      <c r="AE15"/>
      <c r="AF15" s="23"/>
    </row>
    <row r="16" spans="3:32" ht="15" x14ac:dyDescent="0.25">
      <c r="N16" s="14" t="s">
        <v>1671</v>
      </c>
      <c r="W16" s="25"/>
      <c r="Z16" s="22"/>
      <c r="AA16" s="23"/>
      <c r="AC16" s="24"/>
      <c r="AD16" s="24"/>
      <c r="AE16"/>
      <c r="AF16" s="23"/>
    </row>
    <row r="17" spans="14:32" ht="15" x14ac:dyDescent="0.25">
      <c r="N17" s="14" t="s">
        <v>111</v>
      </c>
      <c r="W17" s="25"/>
      <c r="Z17" s="22"/>
      <c r="AA17" s="23"/>
      <c r="AC17" s="24"/>
      <c r="AD17" s="24"/>
      <c r="AE17"/>
      <c r="AF17" s="23"/>
    </row>
    <row r="18" spans="14:32" ht="15" x14ac:dyDescent="0.25">
      <c r="N18" s="14" t="s">
        <v>143</v>
      </c>
      <c r="W18" s="25"/>
      <c r="Z18" s="22"/>
      <c r="AA18" s="23"/>
      <c r="AC18" s="24"/>
      <c r="AD18" s="24"/>
      <c r="AE18"/>
      <c r="AF18" s="23"/>
    </row>
    <row r="19" spans="14:32" ht="15" x14ac:dyDescent="0.25">
      <c r="N19" s="14" t="s">
        <v>1707</v>
      </c>
      <c r="W19" s="25"/>
      <c r="Z19" s="22"/>
      <c r="AA19" s="23"/>
      <c r="AC19" s="24"/>
      <c r="AD19" s="24"/>
      <c r="AE19"/>
      <c r="AF19" s="23"/>
    </row>
    <row r="20" spans="14:32" ht="15" x14ac:dyDescent="0.25">
      <c r="N20" s="14" t="s">
        <v>799</v>
      </c>
      <c r="W20" s="25"/>
      <c r="Z20" s="22"/>
      <c r="AA20" s="23"/>
      <c r="AC20" s="24"/>
      <c r="AD20" s="24"/>
      <c r="AE20"/>
      <c r="AF20" s="23"/>
    </row>
    <row r="21" spans="14:32" ht="15" x14ac:dyDescent="0.25">
      <c r="N21" s="14" t="s">
        <v>88</v>
      </c>
      <c r="W21" s="25"/>
      <c r="Z21" s="22"/>
      <c r="AA21" s="23"/>
      <c r="AC21" s="24"/>
      <c r="AD21" s="24"/>
      <c r="AE21"/>
      <c r="AF21" s="23"/>
    </row>
    <row r="22" spans="14:32" ht="15" x14ac:dyDescent="0.25">
      <c r="N22" s="14" t="s">
        <v>1497</v>
      </c>
      <c r="W22" s="25"/>
      <c r="Z22" s="22"/>
      <c r="AA22" s="23"/>
      <c r="AC22" s="24"/>
      <c r="AD22" s="24"/>
      <c r="AE22"/>
      <c r="AF22" s="23"/>
    </row>
    <row r="23" spans="14:32" ht="15" x14ac:dyDescent="0.25">
      <c r="N23" s="14" t="s">
        <v>639</v>
      </c>
      <c r="W23" s="25"/>
      <c r="Z23" s="22"/>
      <c r="AA23" s="23"/>
      <c r="AC23" s="24"/>
      <c r="AD23" s="24"/>
      <c r="AE23"/>
      <c r="AF23" s="23"/>
    </row>
    <row r="24" spans="14:32" ht="15" x14ac:dyDescent="0.25">
      <c r="N24" s="14" t="s">
        <v>1123</v>
      </c>
      <c r="W24" s="25"/>
      <c r="Z24" s="22"/>
      <c r="AA24" s="23"/>
      <c r="AC24" s="24"/>
      <c r="AD24" s="24"/>
      <c r="AE24"/>
      <c r="AF24" s="23"/>
    </row>
    <row r="25" spans="14:32" ht="15" x14ac:dyDescent="0.25">
      <c r="N25" s="14" t="s">
        <v>184</v>
      </c>
      <c r="W25" s="25"/>
      <c r="Z25" s="22"/>
      <c r="AA25" s="23"/>
      <c r="AC25" s="24"/>
      <c r="AD25" s="24"/>
      <c r="AE25"/>
      <c r="AF25" s="23"/>
    </row>
    <row r="26" spans="14:32" ht="15" x14ac:dyDescent="0.25">
      <c r="N26" s="14" t="s">
        <v>499</v>
      </c>
      <c r="W26" s="25"/>
      <c r="Z26" s="22"/>
      <c r="AA26" s="23"/>
      <c r="AC26" s="24"/>
      <c r="AD26" s="24"/>
      <c r="AE26"/>
      <c r="AF26" s="23"/>
    </row>
    <row r="27" spans="14:32" ht="15" x14ac:dyDescent="0.25">
      <c r="N27" s="14" t="s">
        <v>935</v>
      </c>
      <c r="W27" s="25"/>
      <c r="Z27" s="22"/>
      <c r="AA27" s="23"/>
      <c r="AC27" s="24"/>
      <c r="AD27" s="24"/>
      <c r="AE27"/>
      <c r="AF27" s="23"/>
    </row>
    <row r="28" spans="14:32" ht="15" x14ac:dyDescent="0.25">
      <c r="N28" s="14" t="s">
        <v>1052</v>
      </c>
      <c r="W28" s="25"/>
      <c r="Z28" s="22"/>
      <c r="AA28" s="23"/>
      <c r="AC28" s="24"/>
      <c r="AD28" s="24"/>
      <c r="AE28"/>
      <c r="AF28" s="23"/>
    </row>
    <row r="29" spans="14:32" ht="15" x14ac:dyDescent="0.25">
      <c r="N29" s="14" t="s">
        <v>877</v>
      </c>
      <c r="W29" s="25"/>
      <c r="Z29" s="22"/>
      <c r="AA29" s="23"/>
      <c r="AC29" s="24"/>
      <c r="AD29" s="24"/>
      <c r="AE29"/>
      <c r="AF29" s="23"/>
    </row>
    <row r="30" spans="14:32" ht="15" x14ac:dyDescent="0.25">
      <c r="N30" s="14" t="s">
        <v>526</v>
      </c>
      <c r="W30" s="25"/>
      <c r="Z30" s="22"/>
      <c r="AA30" s="23"/>
      <c r="AC30" s="24"/>
      <c r="AD30" s="24"/>
      <c r="AE30"/>
      <c r="AF30" s="23"/>
    </row>
    <row r="31" spans="14:32" ht="15" x14ac:dyDescent="0.25">
      <c r="N31" s="14" t="s">
        <v>359</v>
      </c>
      <c r="W31" s="25"/>
      <c r="Z31" s="22"/>
      <c r="AA31" s="23"/>
      <c r="AC31" s="24"/>
      <c r="AD31" s="24"/>
      <c r="AE31"/>
      <c r="AF31" s="23"/>
    </row>
    <row r="32" spans="14:32" ht="15" x14ac:dyDescent="0.25">
      <c r="N32" s="14" t="s">
        <v>847</v>
      </c>
      <c r="W32" s="25"/>
      <c r="Z32" s="22"/>
      <c r="AA32" s="23"/>
      <c r="AC32" s="24"/>
      <c r="AD32" s="24"/>
      <c r="AE32"/>
      <c r="AF32" s="23"/>
    </row>
    <row r="33" spans="14:32" ht="15" x14ac:dyDescent="0.25">
      <c r="N33" s="14" t="s">
        <v>574</v>
      </c>
      <c r="W33" s="25"/>
      <c r="Z33" s="22"/>
      <c r="AA33" s="23"/>
      <c r="AC33" s="24"/>
      <c r="AD33" s="24"/>
      <c r="AE33"/>
      <c r="AF33" s="23"/>
    </row>
    <row r="34" spans="14:32" ht="15" x14ac:dyDescent="0.25">
      <c r="N34" s="14" t="s">
        <v>1991</v>
      </c>
      <c r="W34" s="25"/>
      <c r="Z34" s="22"/>
      <c r="AA34" s="23"/>
      <c r="AC34" s="24"/>
      <c r="AD34" s="24"/>
      <c r="AE34"/>
      <c r="AF34" s="23"/>
    </row>
    <row r="35" spans="14:32" ht="15" x14ac:dyDescent="0.25">
      <c r="N35" s="14" t="s">
        <v>983</v>
      </c>
      <c r="W35" s="25"/>
      <c r="Z35" s="22"/>
      <c r="AA35" s="23"/>
      <c r="AC35" s="24"/>
      <c r="AD35" s="24"/>
      <c r="AE35"/>
      <c r="AF35" s="23"/>
    </row>
    <row r="36" spans="14:32" ht="15" x14ac:dyDescent="0.25">
      <c r="N36" s="14" t="s">
        <v>515</v>
      </c>
      <c r="W36" s="25"/>
      <c r="Z36" s="22"/>
      <c r="AA36" s="23"/>
      <c r="AC36" s="24"/>
      <c r="AD36" s="24"/>
      <c r="AE36"/>
      <c r="AF36" s="23"/>
    </row>
    <row r="37" spans="14:32" ht="15" x14ac:dyDescent="0.25">
      <c r="N37" s="14" t="s">
        <v>106</v>
      </c>
      <c r="W37" s="25"/>
      <c r="Z37" s="22"/>
      <c r="AA37" s="23"/>
      <c r="AC37" s="24"/>
      <c r="AD37" s="24"/>
      <c r="AE37"/>
      <c r="AF37" s="23"/>
    </row>
    <row r="38" spans="14:32" ht="15" x14ac:dyDescent="0.25">
      <c r="N38" s="14" t="s">
        <v>24</v>
      </c>
      <c r="W38" s="25"/>
      <c r="Z38" s="22"/>
      <c r="AA38" s="23"/>
      <c r="AC38" s="24"/>
      <c r="AD38" s="24"/>
      <c r="AE38"/>
      <c r="AF38" s="23"/>
    </row>
    <row r="39" spans="14:32" ht="15" x14ac:dyDescent="0.25">
      <c r="N39" s="14" t="s">
        <v>1503</v>
      </c>
      <c r="W39" s="25"/>
      <c r="Z39" s="22"/>
      <c r="AA39" s="23"/>
      <c r="AC39" s="24"/>
      <c r="AD39" s="24"/>
      <c r="AE39"/>
      <c r="AF39" s="23"/>
    </row>
    <row r="40" spans="14:32" ht="15" x14ac:dyDescent="0.25">
      <c r="N40" s="14" t="s">
        <v>169</v>
      </c>
      <c r="Z40" s="22"/>
      <c r="AA40" s="23"/>
      <c r="AC40" s="24"/>
      <c r="AD40" s="24"/>
      <c r="AE40"/>
      <c r="AF40" s="23"/>
    </row>
    <row r="41" spans="14:32" ht="15" x14ac:dyDescent="0.25">
      <c r="N41" s="14" t="s">
        <v>680</v>
      </c>
      <c r="Z41" s="22"/>
      <c r="AA41" s="23"/>
      <c r="AC41" s="24"/>
      <c r="AD41" s="24"/>
      <c r="AE41"/>
      <c r="AF41" s="23"/>
    </row>
    <row r="42" spans="14:32" ht="15" x14ac:dyDescent="0.25">
      <c r="N42" s="14" t="s">
        <v>1933</v>
      </c>
      <c r="Z42" s="22"/>
      <c r="AA42" s="23"/>
      <c r="AE42"/>
      <c r="AF42" s="23"/>
    </row>
    <row r="43" spans="14:32" ht="15" x14ac:dyDescent="0.25">
      <c r="N43" s="14" t="s">
        <v>38</v>
      </c>
      <c r="Z43" s="22"/>
      <c r="AA43" s="23"/>
      <c r="AC43" s="24"/>
      <c r="AD43" s="24"/>
      <c r="AE43"/>
      <c r="AF43" s="23"/>
    </row>
    <row r="44" spans="14:32" ht="15" x14ac:dyDescent="0.25">
      <c r="N44" s="14" t="s">
        <v>21</v>
      </c>
      <c r="Z44" s="22"/>
      <c r="AA44" s="23"/>
      <c r="AC44" s="24"/>
      <c r="AD44" s="24"/>
      <c r="AE44"/>
      <c r="AF44" s="23"/>
    </row>
    <row r="45" spans="14:32" ht="15" x14ac:dyDescent="0.25">
      <c r="N45" s="14" t="s">
        <v>8</v>
      </c>
      <c r="Z45" s="22"/>
      <c r="AA45" s="23"/>
      <c r="AC45" s="24"/>
      <c r="AD45" s="24"/>
      <c r="AE45"/>
      <c r="AF45" s="23"/>
    </row>
    <row r="46" spans="14:32" ht="15" x14ac:dyDescent="0.25">
      <c r="N46" s="14" t="s">
        <v>726</v>
      </c>
      <c r="Z46" s="22"/>
      <c r="AA46" s="23"/>
      <c r="AC46" s="24"/>
      <c r="AD46" s="24"/>
      <c r="AE46"/>
      <c r="AF46" s="23"/>
    </row>
    <row r="47" spans="14:32" ht="15" x14ac:dyDescent="0.25">
      <c r="N47" s="14" t="s">
        <v>1078</v>
      </c>
      <c r="Z47" s="22"/>
      <c r="AA47" s="23"/>
      <c r="AE47"/>
      <c r="AF47" s="23"/>
    </row>
    <row r="48" spans="14:32" ht="15" x14ac:dyDescent="0.25">
      <c r="N48" s="14" t="s">
        <v>36</v>
      </c>
      <c r="Z48" s="22"/>
      <c r="AA48" s="23"/>
      <c r="AC48" s="24"/>
      <c r="AD48" s="24"/>
      <c r="AE48"/>
      <c r="AF48" s="23"/>
    </row>
    <row r="49" spans="14:32" ht="15" x14ac:dyDescent="0.25">
      <c r="N49" s="14" t="s">
        <v>416</v>
      </c>
      <c r="Z49" s="22"/>
      <c r="AA49" s="23"/>
      <c r="AC49" s="24"/>
      <c r="AD49" s="24"/>
      <c r="AE49"/>
      <c r="AF49" s="23"/>
    </row>
    <row r="50" spans="14:32" ht="15" x14ac:dyDescent="0.25">
      <c r="N50" s="14" t="s">
        <v>1351</v>
      </c>
      <c r="Z50" s="22"/>
      <c r="AA50" s="23"/>
      <c r="AC50" s="24"/>
      <c r="AD50" s="24"/>
      <c r="AE50"/>
      <c r="AF50" s="23"/>
    </row>
    <row r="51" spans="14:32" ht="15" x14ac:dyDescent="0.25">
      <c r="N51" s="14" t="s">
        <v>654</v>
      </c>
      <c r="AE51"/>
    </row>
    <row r="52" spans="14:32" ht="15" x14ac:dyDescent="0.25">
      <c r="N52" s="14" t="s">
        <v>1344</v>
      </c>
      <c r="AE52"/>
    </row>
    <row r="53" spans="14:32" ht="15" x14ac:dyDescent="0.25">
      <c r="N53" s="14" t="s">
        <v>1176</v>
      </c>
      <c r="AE53"/>
    </row>
    <row r="54" spans="14:32" ht="15" x14ac:dyDescent="0.25">
      <c r="N54" s="14" t="s">
        <v>1043</v>
      </c>
      <c r="AE54"/>
    </row>
    <row r="55" spans="14:32" ht="15" x14ac:dyDescent="0.25">
      <c r="N55" s="14" t="s">
        <v>1371</v>
      </c>
      <c r="AE55"/>
    </row>
    <row r="56" spans="14:32" ht="15" x14ac:dyDescent="0.25">
      <c r="N56" s="14" t="s">
        <v>1745</v>
      </c>
      <c r="AE56"/>
    </row>
    <row r="57" spans="14:32" ht="15" x14ac:dyDescent="0.25">
      <c r="N57" s="14" t="s">
        <v>1700</v>
      </c>
      <c r="AE57"/>
    </row>
    <row r="58" spans="14:32" ht="15" x14ac:dyDescent="0.25">
      <c r="N58" s="14" t="s">
        <v>818</v>
      </c>
      <c r="AE58"/>
    </row>
    <row r="59" spans="14:32" ht="15" x14ac:dyDescent="0.25">
      <c r="N59" s="14" t="s">
        <v>1118</v>
      </c>
      <c r="AE59"/>
    </row>
    <row r="60" spans="14:32" ht="15" x14ac:dyDescent="0.25">
      <c r="N60" s="14" t="s">
        <v>1771</v>
      </c>
      <c r="AE60"/>
    </row>
    <row r="61" spans="14:32" ht="15" x14ac:dyDescent="0.25">
      <c r="N61" s="14" t="s">
        <v>166</v>
      </c>
      <c r="AE61"/>
    </row>
    <row r="62" spans="14:32" ht="15" x14ac:dyDescent="0.25">
      <c r="N62" s="14" t="s">
        <v>1411</v>
      </c>
      <c r="AE62"/>
    </row>
    <row r="63" spans="14:32" ht="15" x14ac:dyDescent="0.25">
      <c r="N63" s="14" t="s">
        <v>1291</v>
      </c>
      <c r="AE63"/>
    </row>
    <row r="64" spans="14:32" ht="15" x14ac:dyDescent="0.25">
      <c r="N64" s="14" t="s">
        <v>1731</v>
      </c>
      <c r="AE64"/>
    </row>
    <row r="65" spans="14:31" ht="15" x14ac:dyDescent="0.25">
      <c r="N65" s="14" t="s">
        <v>577</v>
      </c>
      <c r="AE65"/>
    </row>
    <row r="66" spans="14:31" ht="15" x14ac:dyDescent="0.25">
      <c r="N66" s="14" t="s">
        <v>1444</v>
      </c>
      <c r="AE66"/>
    </row>
    <row r="67" spans="14:31" ht="15" x14ac:dyDescent="0.25">
      <c r="N67" s="14" t="s">
        <v>1679</v>
      </c>
      <c r="AE67"/>
    </row>
    <row r="68" spans="14:31" ht="15" x14ac:dyDescent="0.25">
      <c r="N68" s="14" t="s">
        <v>628</v>
      </c>
      <c r="AE68"/>
    </row>
    <row r="69" spans="14:31" ht="15" x14ac:dyDescent="0.25">
      <c r="N69" s="14" t="s">
        <v>672</v>
      </c>
      <c r="AE69"/>
    </row>
    <row r="70" spans="14:31" ht="15" x14ac:dyDescent="0.25">
      <c r="N70" s="14" t="s">
        <v>870</v>
      </c>
      <c r="AE70"/>
    </row>
    <row r="71" spans="14:31" ht="15" x14ac:dyDescent="0.25">
      <c r="N71" s="14" t="s">
        <v>583</v>
      </c>
      <c r="AE71"/>
    </row>
    <row r="72" spans="14:31" ht="15" x14ac:dyDescent="0.25">
      <c r="N72" s="14" t="s">
        <v>2004</v>
      </c>
      <c r="AE72"/>
    </row>
    <row r="73" spans="14:31" ht="15" x14ac:dyDescent="0.25">
      <c r="N73" s="14" t="s">
        <v>17</v>
      </c>
      <c r="AE73"/>
    </row>
    <row r="74" spans="14:31" ht="15" x14ac:dyDescent="0.25">
      <c r="N74" s="14" t="s">
        <v>136</v>
      </c>
      <c r="AE74"/>
    </row>
    <row r="75" spans="14:31" ht="15" x14ac:dyDescent="0.25">
      <c r="N75" s="14" t="s">
        <v>1156</v>
      </c>
      <c r="AE75"/>
    </row>
    <row r="76" spans="14:31" ht="15" x14ac:dyDescent="0.25">
      <c r="N76" s="14" t="s">
        <v>1722</v>
      </c>
      <c r="AE76"/>
    </row>
    <row r="77" spans="14:31" ht="15" x14ac:dyDescent="0.25">
      <c r="N77" s="14" t="s">
        <v>347</v>
      </c>
      <c r="AE77"/>
    </row>
    <row r="78" spans="14:31" ht="15" x14ac:dyDescent="0.25">
      <c r="N78" s="14" t="s">
        <v>75</v>
      </c>
      <c r="AE78"/>
    </row>
    <row r="79" spans="14:31" ht="15" x14ac:dyDescent="0.25">
      <c r="N79" s="14" t="s">
        <v>30</v>
      </c>
      <c r="AE79"/>
    </row>
    <row r="80" spans="14:31" ht="15" x14ac:dyDescent="0.25">
      <c r="N80" s="14" t="s">
        <v>1011</v>
      </c>
      <c r="AE80"/>
    </row>
    <row r="81" spans="14:31" ht="15" x14ac:dyDescent="0.25">
      <c r="N81" s="14" t="s">
        <v>567</v>
      </c>
      <c r="AE81"/>
    </row>
    <row r="82" spans="14:31" ht="15" x14ac:dyDescent="0.25">
      <c r="N82" s="14" t="s">
        <v>1306</v>
      </c>
      <c r="AE82"/>
    </row>
    <row r="83" spans="14:31" ht="15" x14ac:dyDescent="0.25">
      <c r="N83" s="14" t="s">
        <v>73</v>
      </c>
      <c r="AE83"/>
    </row>
    <row r="84" spans="14:31" ht="15" x14ac:dyDescent="0.25">
      <c r="N84" s="14" t="s">
        <v>65</v>
      </c>
      <c r="AE84"/>
    </row>
    <row r="85" spans="14:31" ht="15" x14ac:dyDescent="0.25">
      <c r="N85" s="14" t="s">
        <v>133</v>
      </c>
      <c r="AE85"/>
    </row>
    <row r="86" spans="14:31" ht="15" x14ac:dyDescent="0.25">
      <c r="N86" s="14" t="s">
        <v>644</v>
      </c>
      <c r="AE86"/>
    </row>
    <row r="87" spans="14:31" ht="15" x14ac:dyDescent="0.25">
      <c r="N87" s="14" t="s">
        <v>171</v>
      </c>
      <c r="AE87"/>
    </row>
    <row r="88" spans="14:31" ht="15" x14ac:dyDescent="0.25">
      <c r="N88" s="14" t="s">
        <v>1804</v>
      </c>
      <c r="AE88"/>
    </row>
    <row r="89" spans="14:31" ht="15" x14ac:dyDescent="0.25">
      <c r="N89" s="14" t="s">
        <v>1066</v>
      </c>
      <c r="AE89"/>
    </row>
    <row r="90" spans="14:31" ht="15" x14ac:dyDescent="0.25">
      <c r="N90" s="14" t="s">
        <v>548</v>
      </c>
      <c r="AE90"/>
    </row>
    <row r="91" spans="14:31" ht="15" x14ac:dyDescent="0.25">
      <c r="N91" s="14" t="s">
        <v>48</v>
      </c>
      <c r="AE91"/>
    </row>
    <row r="92" spans="14:31" ht="15" x14ac:dyDescent="0.25">
      <c r="N92" s="14" t="s">
        <v>608</v>
      </c>
      <c r="AE92"/>
    </row>
    <row r="93" spans="14:31" ht="15" x14ac:dyDescent="0.25">
      <c r="N93" s="14" t="s">
        <v>716</v>
      </c>
      <c r="AE93"/>
    </row>
    <row r="94" spans="14:31" ht="15" x14ac:dyDescent="0.25">
      <c r="N94" s="14" t="s">
        <v>447</v>
      </c>
      <c r="AE94"/>
    </row>
    <row r="95" spans="14:31" ht="15" x14ac:dyDescent="0.25">
      <c r="N95" s="14" t="s">
        <v>46</v>
      </c>
      <c r="AE95"/>
    </row>
    <row r="96" spans="14:31" ht="15" x14ac:dyDescent="0.25">
      <c r="N96" s="14" t="s">
        <v>299</v>
      </c>
      <c r="AE96"/>
    </row>
    <row r="97" spans="14:31" ht="15" x14ac:dyDescent="0.25">
      <c r="N97" s="14" t="s">
        <v>1809</v>
      </c>
      <c r="AE97"/>
    </row>
    <row r="98" spans="14:31" ht="15" x14ac:dyDescent="0.25">
      <c r="N98" s="14" t="s">
        <v>197</v>
      </c>
      <c r="AE98"/>
    </row>
    <row r="99" spans="14:31" ht="15" x14ac:dyDescent="0.25">
      <c r="N99" s="14" t="s">
        <v>179</v>
      </c>
      <c r="AE99"/>
    </row>
    <row r="100" spans="14:31" ht="15" x14ac:dyDescent="0.25">
      <c r="N100" s="14" t="s">
        <v>1458</v>
      </c>
      <c r="AE100"/>
    </row>
    <row r="101" spans="14:31" ht="15" x14ac:dyDescent="0.25">
      <c r="N101" s="14" t="s">
        <v>71</v>
      </c>
      <c r="AE101"/>
    </row>
    <row r="102" spans="14:31" ht="15" x14ac:dyDescent="0.25">
      <c r="N102" s="14" t="s">
        <v>27</v>
      </c>
      <c r="AE102"/>
    </row>
    <row r="103" spans="14:31" ht="15" x14ac:dyDescent="0.25">
      <c r="N103" s="14" t="s">
        <v>989</v>
      </c>
      <c r="AE103"/>
    </row>
    <row r="104" spans="14:31" ht="15" x14ac:dyDescent="0.25">
      <c r="N104" s="14" t="s">
        <v>15</v>
      </c>
      <c r="AE104"/>
    </row>
    <row r="105" spans="14:31" ht="15" x14ac:dyDescent="0.25">
      <c r="N105" s="14" t="s">
        <v>1027</v>
      </c>
      <c r="AE105"/>
    </row>
    <row r="106" spans="14:31" ht="15" x14ac:dyDescent="0.25">
      <c r="N106" s="14" t="s">
        <v>1676</v>
      </c>
      <c r="AE106"/>
    </row>
    <row r="107" spans="14:31" ht="15" x14ac:dyDescent="0.25">
      <c r="N107" s="14" t="s">
        <v>1086</v>
      </c>
      <c r="AE107"/>
    </row>
    <row r="108" spans="14:31" ht="15" x14ac:dyDescent="0.25">
      <c r="N108" s="14" t="s">
        <v>1055</v>
      </c>
      <c r="AE108"/>
    </row>
    <row r="109" spans="14:31" ht="15" x14ac:dyDescent="0.25">
      <c r="AE109"/>
    </row>
    <row r="110" spans="14:31" ht="15" x14ac:dyDescent="0.25">
      <c r="AE110"/>
    </row>
    <row r="111" spans="14:31" ht="15" x14ac:dyDescent="0.25">
      <c r="AE111"/>
    </row>
    <row r="112" spans="14:31" ht="15" x14ac:dyDescent="0.25">
      <c r="AE112"/>
    </row>
    <row r="113" spans="31:31" ht="15" x14ac:dyDescent="0.25">
      <c r="AE113"/>
    </row>
    <row r="114" spans="31:31" ht="15" x14ac:dyDescent="0.25">
      <c r="AE114"/>
    </row>
    <row r="115" spans="31:31" ht="15" x14ac:dyDescent="0.25">
      <c r="AE115"/>
    </row>
    <row r="116" spans="31:31" ht="15" x14ac:dyDescent="0.25">
      <c r="AE116"/>
    </row>
    <row r="117" spans="31:31" ht="15" x14ac:dyDescent="0.25">
      <c r="AE117"/>
    </row>
    <row r="118" spans="31:31" ht="15" x14ac:dyDescent="0.25">
      <c r="AE118"/>
    </row>
    <row r="119" spans="31:31" ht="15" x14ac:dyDescent="0.25">
      <c r="AE119"/>
    </row>
    <row r="120" spans="31:31" ht="15" x14ac:dyDescent="0.25">
      <c r="AE120"/>
    </row>
    <row r="121" spans="31:31" ht="15" x14ac:dyDescent="0.25">
      <c r="AE121"/>
    </row>
    <row r="122" spans="31:31" ht="15" x14ac:dyDescent="0.25">
      <c r="AE122"/>
    </row>
    <row r="123" spans="31:31" ht="15" x14ac:dyDescent="0.25">
      <c r="AE123"/>
    </row>
    <row r="124" spans="31:31" ht="15" x14ac:dyDescent="0.25">
      <c r="AE124"/>
    </row>
    <row r="125" spans="31:31" ht="15" x14ac:dyDescent="0.25">
      <c r="AE125"/>
    </row>
    <row r="126" spans="31:31" ht="15" x14ac:dyDescent="0.25">
      <c r="AE126"/>
    </row>
    <row r="127" spans="31:31" ht="15" x14ac:dyDescent="0.25">
      <c r="AE127"/>
    </row>
    <row r="128" spans="31:31" ht="15" x14ac:dyDescent="0.25">
      <c r="AE128"/>
    </row>
    <row r="129" spans="31:31" ht="15" x14ac:dyDescent="0.25">
      <c r="AE129"/>
    </row>
    <row r="130" spans="31:31" ht="15" x14ac:dyDescent="0.25">
      <c r="AE130"/>
    </row>
    <row r="131" spans="31:31" ht="15" x14ac:dyDescent="0.25">
      <c r="AE131"/>
    </row>
    <row r="132" spans="31:31" ht="15" x14ac:dyDescent="0.25">
      <c r="AE132"/>
    </row>
    <row r="133" spans="31:31" ht="15" x14ac:dyDescent="0.25">
      <c r="AE133"/>
    </row>
    <row r="134" spans="31:31" ht="15" x14ac:dyDescent="0.25">
      <c r="AE134"/>
    </row>
    <row r="135" spans="31:31" ht="15" x14ac:dyDescent="0.25">
      <c r="AE135"/>
    </row>
    <row r="136" spans="31:31" ht="15" x14ac:dyDescent="0.25">
      <c r="AE136"/>
    </row>
    <row r="137" spans="31:31" ht="15" x14ac:dyDescent="0.25">
      <c r="AE137"/>
    </row>
    <row r="138" spans="31:31" ht="15" x14ac:dyDescent="0.25">
      <c r="AE138"/>
    </row>
    <row r="139" spans="31:31" ht="15" x14ac:dyDescent="0.25">
      <c r="AE139"/>
    </row>
    <row r="140" spans="31:31" ht="15" x14ac:dyDescent="0.25">
      <c r="AE140"/>
    </row>
    <row r="141" spans="31:31" ht="15" x14ac:dyDescent="0.25">
      <c r="AE141"/>
    </row>
    <row r="142" spans="31:31" ht="15" x14ac:dyDescent="0.25">
      <c r="AE142"/>
    </row>
    <row r="143" spans="31:31" ht="15" x14ac:dyDescent="0.25">
      <c r="AE143"/>
    </row>
    <row r="144" spans="31:31" ht="15" x14ac:dyDescent="0.25">
      <c r="AE144"/>
    </row>
    <row r="145" spans="31:31" ht="15" x14ac:dyDescent="0.25">
      <c r="AE145"/>
    </row>
    <row r="146" spans="31:31" ht="15" x14ac:dyDescent="0.25">
      <c r="AE146"/>
    </row>
    <row r="147" spans="31:31" ht="15" x14ac:dyDescent="0.25">
      <c r="AE147"/>
    </row>
    <row r="148" spans="31:31" ht="15" x14ac:dyDescent="0.25">
      <c r="AE148"/>
    </row>
    <row r="149" spans="31:31" ht="15" x14ac:dyDescent="0.25">
      <c r="AE149"/>
    </row>
    <row r="150" spans="31:31" ht="15" x14ac:dyDescent="0.25">
      <c r="AE150"/>
    </row>
    <row r="151" spans="31:31" ht="15" x14ac:dyDescent="0.25">
      <c r="AE151"/>
    </row>
    <row r="152" spans="31:31" ht="15" x14ac:dyDescent="0.25">
      <c r="AE152"/>
    </row>
    <row r="153" spans="31:31" ht="15" x14ac:dyDescent="0.25">
      <c r="AE153"/>
    </row>
    <row r="154" spans="31:31" ht="15" x14ac:dyDescent="0.25">
      <c r="AE154"/>
    </row>
    <row r="155" spans="31:31" ht="15" x14ac:dyDescent="0.25">
      <c r="AE155"/>
    </row>
    <row r="156" spans="31:31" ht="15" x14ac:dyDescent="0.25">
      <c r="AE156"/>
    </row>
    <row r="157" spans="31:31" ht="15" x14ac:dyDescent="0.25">
      <c r="AE157"/>
    </row>
    <row r="158" spans="31:31" ht="15" x14ac:dyDescent="0.25">
      <c r="AE158"/>
    </row>
    <row r="159" spans="31:31" ht="15" x14ac:dyDescent="0.25">
      <c r="AE159"/>
    </row>
    <row r="160" spans="31:31" ht="15" x14ac:dyDescent="0.25">
      <c r="AE160"/>
    </row>
    <row r="161" spans="31:31" ht="15" x14ac:dyDescent="0.25">
      <c r="AE161"/>
    </row>
    <row r="162" spans="31:31" ht="15" x14ac:dyDescent="0.25">
      <c r="AE162"/>
    </row>
    <row r="163" spans="31:31" ht="15" x14ac:dyDescent="0.25">
      <c r="AE163"/>
    </row>
    <row r="164" spans="31:31" ht="15" x14ac:dyDescent="0.25">
      <c r="AE164"/>
    </row>
    <row r="165" spans="31:31" ht="15" x14ac:dyDescent="0.25">
      <c r="AE165"/>
    </row>
    <row r="166" spans="31:31" ht="15" x14ac:dyDescent="0.25">
      <c r="AE166"/>
    </row>
    <row r="167" spans="31:31" ht="15" x14ac:dyDescent="0.25">
      <c r="AE167"/>
    </row>
    <row r="168" spans="31:31" ht="15" x14ac:dyDescent="0.25">
      <c r="AE168"/>
    </row>
    <row r="169" spans="31:31" ht="15" x14ac:dyDescent="0.25">
      <c r="AE169"/>
    </row>
    <row r="170" spans="31:31" ht="15" x14ac:dyDescent="0.25">
      <c r="AE170"/>
    </row>
    <row r="171" spans="31:31" ht="15" x14ac:dyDescent="0.25">
      <c r="AE171"/>
    </row>
    <row r="172" spans="31:31" ht="15" x14ac:dyDescent="0.25">
      <c r="AE172"/>
    </row>
    <row r="173" spans="31:31" ht="15" x14ac:dyDescent="0.25">
      <c r="AE173"/>
    </row>
    <row r="174" spans="31:31" ht="15" x14ac:dyDescent="0.25">
      <c r="AE174"/>
    </row>
    <row r="175" spans="31:31" ht="15" x14ac:dyDescent="0.25">
      <c r="AE175"/>
    </row>
    <row r="176" spans="31:31" ht="15" x14ac:dyDescent="0.25">
      <c r="AE176"/>
    </row>
    <row r="177" spans="31:31" ht="15" x14ac:dyDescent="0.25">
      <c r="AE177"/>
    </row>
    <row r="178" spans="31:31" ht="15" x14ac:dyDescent="0.25">
      <c r="AE178"/>
    </row>
    <row r="179" spans="31:31" ht="15" x14ac:dyDescent="0.25">
      <c r="AE179"/>
    </row>
    <row r="180" spans="31:31" ht="15" x14ac:dyDescent="0.25">
      <c r="AE180"/>
    </row>
    <row r="181" spans="31:31" ht="15" x14ac:dyDescent="0.25">
      <c r="AE181"/>
    </row>
    <row r="182" spans="31:31" ht="15" x14ac:dyDescent="0.25">
      <c r="AE182"/>
    </row>
    <row r="183" spans="31:31" ht="15" x14ac:dyDescent="0.25">
      <c r="AE183"/>
    </row>
    <row r="184" spans="31:31" ht="15" x14ac:dyDescent="0.25">
      <c r="AE184"/>
    </row>
    <row r="185" spans="31:31" ht="15" x14ac:dyDescent="0.25">
      <c r="AE185"/>
    </row>
    <row r="186" spans="31:31" ht="15" x14ac:dyDescent="0.25">
      <c r="AE186"/>
    </row>
    <row r="187" spans="31:31" ht="15" x14ac:dyDescent="0.25">
      <c r="AE187"/>
    </row>
    <row r="188" spans="31:31" ht="15" x14ac:dyDescent="0.25">
      <c r="AE188"/>
    </row>
    <row r="189" spans="31:31" ht="15" x14ac:dyDescent="0.25">
      <c r="AE189"/>
    </row>
    <row r="190" spans="31:31" ht="15" x14ac:dyDescent="0.25">
      <c r="AE190"/>
    </row>
    <row r="191" spans="31:31" ht="15" x14ac:dyDescent="0.25">
      <c r="AE191"/>
    </row>
    <row r="192" spans="31:31" ht="15" x14ac:dyDescent="0.25">
      <c r="AE192"/>
    </row>
    <row r="193" spans="31:31" ht="15" x14ac:dyDescent="0.25">
      <c r="AE193"/>
    </row>
    <row r="194" spans="31:31" ht="15" x14ac:dyDescent="0.25">
      <c r="AE194"/>
    </row>
    <row r="195" spans="31:31" ht="15" x14ac:dyDescent="0.25">
      <c r="AE195"/>
    </row>
    <row r="196" spans="31:31" ht="15" x14ac:dyDescent="0.25">
      <c r="AE196"/>
    </row>
    <row r="197" spans="31:31" ht="15" x14ac:dyDescent="0.25">
      <c r="AE197"/>
    </row>
    <row r="198" spans="31:31" ht="15" x14ac:dyDescent="0.25">
      <c r="AE198"/>
    </row>
    <row r="199" spans="31:31" ht="15" x14ac:dyDescent="0.25">
      <c r="AE199"/>
    </row>
    <row r="200" spans="31:31" ht="15" x14ac:dyDescent="0.25">
      <c r="AE200"/>
    </row>
    <row r="201" spans="31:31" ht="15" x14ac:dyDescent="0.25">
      <c r="AE201"/>
    </row>
    <row r="202" spans="31:31" ht="15" x14ac:dyDescent="0.25">
      <c r="AE202"/>
    </row>
    <row r="203" spans="31:31" ht="15" x14ac:dyDescent="0.25">
      <c r="AE203"/>
    </row>
    <row r="204" spans="31:31" ht="15" x14ac:dyDescent="0.25">
      <c r="AE204"/>
    </row>
    <row r="205" spans="31:31" ht="15" x14ac:dyDescent="0.25">
      <c r="AE205"/>
    </row>
    <row r="206" spans="31:31" ht="15" x14ac:dyDescent="0.25">
      <c r="AE206"/>
    </row>
    <row r="207" spans="31:31" ht="15" x14ac:dyDescent="0.25">
      <c r="AE207"/>
    </row>
    <row r="208" spans="31:31" ht="15" x14ac:dyDescent="0.25">
      <c r="AE208"/>
    </row>
    <row r="209" spans="31:31" ht="15" x14ac:dyDescent="0.25">
      <c r="AE209"/>
    </row>
    <row r="210" spans="31:31" ht="15" x14ac:dyDescent="0.25">
      <c r="AE210"/>
    </row>
    <row r="211" spans="31:31" ht="15" x14ac:dyDescent="0.25">
      <c r="AE211"/>
    </row>
    <row r="212" spans="31:31" ht="15" x14ac:dyDescent="0.25">
      <c r="AE212"/>
    </row>
    <row r="213" spans="31:31" ht="15" x14ac:dyDescent="0.25">
      <c r="AE213"/>
    </row>
    <row r="214" spans="31:31" ht="15" x14ac:dyDescent="0.25">
      <c r="AE214"/>
    </row>
    <row r="215" spans="31:31" ht="15" x14ac:dyDescent="0.25">
      <c r="AE215"/>
    </row>
    <row r="216" spans="31:31" ht="15" x14ac:dyDescent="0.25">
      <c r="AE216"/>
    </row>
    <row r="217" spans="31:31" ht="15" x14ac:dyDescent="0.25">
      <c r="AE217"/>
    </row>
    <row r="218" spans="31:31" ht="15" x14ac:dyDescent="0.25">
      <c r="AE218"/>
    </row>
    <row r="219" spans="31:31" ht="15" x14ac:dyDescent="0.25">
      <c r="AE219"/>
    </row>
    <row r="220" spans="31:31" ht="15" x14ac:dyDescent="0.25">
      <c r="AE220"/>
    </row>
    <row r="221" spans="31:31" ht="15" x14ac:dyDescent="0.25">
      <c r="AE221"/>
    </row>
    <row r="222" spans="31:31" ht="15" x14ac:dyDescent="0.25">
      <c r="AE222"/>
    </row>
    <row r="223" spans="31:31" ht="15" x14ac:dyDescent="0.25">
      <c r="AE223"/>
    </row>
    <row r="224" spans="31:31" ht="15" x14ac:dyDescent="0.25">
      <c r="AE224"/>
    </row>
    <row r="225" spans="31:31" ht="15" x14ac:dyDescent="0.25">
      <c r="AE225"/>
    </row>
    <row r="226" spans="31:31" ht="15" x14ac:dyDescent="0.25">
      <c r="AE226"/>
    </row>
    <row r="227" spans="31:31" ht="15" x14ac:dyDescent="0.25">
      <c r="AE227"/>
    </row>
    <row r="228" spans="31:31" ht="15" x14ac:dyDescent="0.25">
      <c r="AE228"/>
    </row>
    <row r="229" spans="31:31" ht="15" x14ac:dyDescent="0.25">
      <c r="AE229"/>
    </row>
    <row r="230" spans="31:31" ht="15" x14ac:dyDescent="0.25">
      <c r="AE230"/>
    </row>
    <row r="231" spans="31:31" ht="15" x14ac:dyDescent="0.25">
      <c r="AE231"/>
    </row>
    <row r="232" spans="31:31" ht="15" x14ac:dyDescent="0.25">
      <c r="AE232"/>
    </row>
    <row r="233" spans="31:31" ht="15" x14ac:dyDescent="0.25">
      <c r="AE233"/>
    </row>
    <row r="234" spans="31:31" ht="15" x14ac:dyDescent="0.25">
      <c r="AE234"/>
    </row>
    <row r="235" spans="31:31" ht="15" x14ac:dyDescent="0.25">
      <c r="AE235"/>
    </row>
    <row r="236" spans="31:31" ht="15" x14ac:dyDescent="0.25">
      <c r="AE236"/>
    </row>
    <row r="237" spans="31:31" ht="15" x14ac:dyDescent="0.25">
      <c r="AE237"/>
    </row>
    <row r="238" spans="31:31" ht="15" x14ac:dyDescent="0.25">
      <c r="AE238"/>
    </row>
    <row r="239" spans="31:31" ht="15" x14ac:dyDescent="0.25">
      <c r="AE239"/>
    </row>
    <row r="240" spans="31:31" ht="15" x14ac:dyDescent="0.25">
      <c r="AE240"/>
    </row>
    <row r="241" spans="31:31" ht="15" x14ac:dyDescent="0.25">
      <c r="AE241"/>
    </row>
    <row r="242" spans="31:31" ht="15" x14ac:dyDescent="0.25">
      <c r="AE242"/>
    </row>
    <row r="243" spans="31:31" ht="15" x14ac:dyDescent="0.25">
      <c r="AE243"/>
    </row>
    <row r="244" spans="31:31" ht="15" x14ac:dyDescent="0.25">
      <c r="AE244"/>
    </row>
    <row r="245" spans="31:31" ht="15" x14ac:dyDescent="0.25">
      <c r="AE245"/>
    </row>
    <row r="246" spans="31:31" ht="15" x14ac:dyDescent="0.25">
      <c r="AE246"/>
    </row>
    <row r="247" spans="31:31" ht="15" x14ac:dyDescent="0.25">
      <c r="AE247"/>
    </row>
    <row r="248" spans="31:31" ht="15" x14ac:dyDescent="0.25">
      <c r="AE248"/>
    </row>
    <row r="249" spans="31:31" ht="15" x14ac:dyDescent="0.25">
      <c r="AE249"/>
    </row>
    <row r="250" spans="31:31" ht="15" x14ac:dyDescent="0.25">
      <c r="AE250"/>
    </row>
    <row r="251" spans="31:31" ht="15" x14ac:dyDescent="0.25">
      <c r="AE251"/>
    </row>
    <row r="252" spans="31:31" ht="15" x14ac:dyDescent="0.25">
      <c r="AE252"/>
    </row>
    <row r="253" spans="31:31" ht="15" x14ac:dyDescent="0.25">
      <c r="AE253"/>
    </row>
    <row r="254" spans="31:31" ht="15" x14ac:dyDescent="0.25">
      <c r="AE254"/>
    </row>
    <row r="255" spans="31:31" ht="15" x14ac:dyDescent="0.25">
      <c r="AE255"/>
    </row>
    <row r="256" spans="31:31" ht="15" x14ac:dyDescent="0.25">
      <c r="AE256"/>
    </row>
    <row r="257" spans="31:31" ht="15" x14ac:dyDescent="0.25">
      <c r="AE257"/>
    </row>
    <row r="258" spans="31:31" ht="15" x14ac:dyDescent="0.25">
      <c r="AE258"/>
    </row>
    <row r="259" spans="31:31" ht="15" x14ac:dyDescent="0.25">
      <c r="AE259"/>
    </row>
    <row r="260" spans="31:31" ht="15" x14ac:dyDescent="0.25">
      <c r="AE260"/>
    </row>
    <row r="261" spans="31:31" ht="15" x14ac:dyDescent="0.25">
      <c r="AE261"/>
    </row>
    <row r="262" spans="31:31" ht="15" x14ac:dyDescent="0.25">
      <c r="AE262"/>
    </row>
    <row r="263" spans="31:31" ht="15" x14ac:dyDescent="0.25">
      <c r="AE263"/>
    </row>
    <row r="264" spans="31:31" ht="15" x14ac:dyDescent="0.25">
      <c r="AE264"/>
    </row>
    <row r="265" spans="31:31" ht="15" x14ac:dyDescent="0.25">
      <c r="AE265"/>
    </row>
    <row r="266" spans="31:31" ht="15" x14ac:dyDescent="0.25">
      <c r="AE266"/>
    </row>
    <row r="267" spans="31:31" ht="15" x14ac:dyDescent="0.25">
      <c r="AE267"/>
    </row>
    <row r="268" spans="31:31" ht="15" x14ac:dyDescent="0.25">
      <c r="AE268"/>
    </row>
    <row r="269" spans="31:31" ht="15" x14ac:dyDescent="0.25">
      <c r="AE269"/>
    </row>
    <row r="270" spans="31:31" ht="15" x14ac:dyDescent="0.25">
      <c r="AE270"/>
    </row>
    <row r="271" spans="31:31" ht="15" x14ac:dyDescent="0.25">
      <c r="AE271"/>
    </row>
    <row r="272" spans="31:31" ht="15" x14ac:dyDescent="0.25">
      <c r="AE272"/>
    </row>
    <row r="273" spans="31:31" ht="15" x14ac:dyDescent="0.25">
      <c r="AE273"/>
    </row>
    <row r="274" spans="31:31" ht="15" x14ac:dyDescent="0.25">
      <c r="AE274"/>
    </row>
    <row r="275" spans="31:31" ht="15" x14ac:dyDescent="0.25">
      <c r="AE275"/>
    </row>
    <row r="276" spans="31:31" ht="15" x14ac:dyDescent="0.25">
      <c r="AE276"/>
    </row>
    <row r="277" spans="31:31" ht="15" x14ac:dyDescent="0.25">
      <c r="AE277"/>
    </row>
    <row r="278" spans="31:31" ht="15" x14ac:dyDescent="0.25">
      <c r="AE278"/>
    </row>
    <row r="279" spans="31:31" ht="15" x14ac:dyDescent="0.25">
      <c r="AE279"/>
    </row>
    <row r="280" spans="31:31" ht="15" x14ac:dyDescent="0.25">
      <c r="AE280"/>
    </row>
    <row r="281" spans="31:31" ht="15" x14ac:dyDescent="0.25">
      <c r="AE281"/>
    </row>
    <row r="282" spans="31:31" ht="15" x14ac:dyDescent="0.25">
      <c r="AE282"/>
    </row>
    <row r="283" spans="31:31" ht="15" x14ac:dyDescent="0.25">
      <c r="AE283"/>
    </row>
    <row r="284" spans="31:31" ht="15" x14ac:dyDescent="0.25">
      <c r="AE284"/>
    </row>
    <row r="285" spans="31:31" ht="15" x14ac:dyDescent="0.25">
      <c r="AE285"/>
    </row>
    <row r="286" spans="31:31" ht="15" x14ac:dyDescent="0.25">
      <c r="AE286"/>
    </row>
    <row r="287" spans="31:31" ht="15" x14ac:dyDescent="0.25">
      <c r="AE287"/>
    </row>
    <row r="288" spans="31:31" ht="15" x14ac:dyDescent="0.25">
      <c r="AE288"/>
    </row>
    <row r="289" spans="31:31" ht="15" x14ac:dyDescent="0.25">
      <c r="AE289"/>
    </row>
    <row r="290" spans="31:31" ht="15" x14ac:dyDescent="0.25">
      <c r="AE290"/>
    </row>
    <row r="291" spans="31:31" ht="15" x14ac:dyDescent="0.25">
      <c r="AE291"/>
    </row>
    <row r="292" spans="31:31" ht="15" x14ac:dyDescent="0.25">
      <c r="AE292"/>
    </row>
    <row r="293" spans="31:31" ht="15" x14ac:dyDescent="0.25">
      <c r="AE293"/>
    </row>
    <row r="294" spans="31:31" ht="15" x14ac:dyDescent="0.25">
      <c r="AE294"/>
    </row>
    <row r="295" spans="31:31" ht="15" x14ac:dyDescent="0.25">
      <c r="AE295"/>
    </row>
    <row r="296" spans="31:31" ht="15" x14ac:dyDescent="0.25">
      <c r="AE296"/>
    </row>
    <row r="297" spans="31:31" ht="15" x14ac:dyDescent="0.25">
      <c r="AE297"/>
    </row>
    <row r="298" spans="31:31" ht="15" x14ac:dyDescent="0.25">
      <c r="AE298"/>
    </row>
    <row r="299" spans="31:31" ht="15" x14ac:dyDescent="0.25">
      <c r="AE299"/>
    </row>
    <row r="300" spans="31:31" ht="15" x14ac:dyDescent="0.25">
      <c r="AE300"/>
    </row>
    <row r="301" spans="31:31" ht="15" x14ac:dyDescent="0.25">
      <c r="AE301"/>
    </row>
    <row r="302" spans="31:31" ht="15" x14ac:dyDescent="0.25">
      <c r="AE302"/>
    </row>
    <row r="303" spans="31:31" ht="15" x14ac:dyDescent="0.25">
      <c r="AE303"/>
    </row>
    <row r="304" spans="31:31" ht="15" x14ac:dyDescent="0.25">
      <c r="AE304"/>
    </row>
    <row r="305" spans="31:31" ht="15" x14ac:dyDescent="0.25">
      <c r="AE305"/>
    </row>
    <row r="306" spans="31:31" ht="15" x14ac:dyDescent="0.25">
      <c r="AE306"/>
    </row>
    <row r="307" spans="31:31" ht="15" x14ac:dyDescent="0.25">
      <c r="AE307"/>
    </row>
    <row r="308" spans="31:31" ht="15" x14ac:dyDescent="0.25">
      <c r="AE308"/>
    </row>
    <row r="309" spans="31:31" ht="15" x14ac:dyDescent="0.25">
      <c r="AE309"/>
    </row>
    <row r="310" spans="31:31" ht="15" x14ac:dyDescent="0.25">
      <c r="AE310"/>
    </row>
    <row r="311" spans="31:31" ht="15" x14ac:dyDescent="0.25">
      <c r="AE311"/>
    </row>
    <row r="312" spans="31:31" ht="15" x14ac:dyDescent="0.25">
      <c r="AE312"/>
    </row>
    <row r="313" spans="31:31" ht="15" x14ac:dyDescent="0.25">
      <c r="AE313"/>
    </row>
    <row r="314" spans="31:31" ht="15" x14ac:dyDescent="0.25">
      <c r="AE314"/>
    </row>
    <row r="315" spans="31:31" ht="15" x14ac:dyDescent="0.25">
      <c r="AE315"/>
    </row>
    <row r="316" spans="31:31" ht="15" x14ac:dyDescent="0.25">
      <c r="AE316"/>
    </row>
    <row r="317" spans="31:31" ht="15" x14ac:dyDescent="0.25">
      <c r="AE317"/>
    </row>
    <row r="318" spans="31:31" ht="15" x14ac:dyDescent="0.25">
      <c r="AE318"/>
    </row>
    <row r="319" spans="31:31" ht="15" x14ac:dyDescent="0.25">
      <c r="AE319"/>
    </row>
    <row r="320" spans="31:31" ht="15" x14ac:dyDescent="0.25">
      <c r="AE320"/>
    </row>
    <row r="321" spans="31:31" ht="15" x14ac:dyDescent="0.25">
      <c r="AE321"/>
    </row>
    <row r="322" spans="31:31" ht="15" x14ac:dyDescent="0.25">
      <c r="AE322"/>
    </row>
    <row r="323" spans="31:31" ht="15" x14ac:dyDescent="0.25">
      <c r="AE323"/>
    </row>
    <row r="324" spans="31:31" ht="15" x14ac:dyDescent="0.25">
      <c r="AE324"/>
    </row>
    <row r="325" spans="31:31" ht="15" x14ac:dyDescent="0.25">
      <c r="AE325"/>
    </row>
    <row r="326" spans="31:31" ht="15" x14ac:dyDescent="0.25">
      <c r="AE326"/>
    </row>
    <row r="327" spans="31:31" ht="15" x14ac:dyDescent="0.25">
      <c r="AE327"/>
    </row>
    <row r="328" spans="31:31" ht="15" x14ac:dyDescent="0.25">
      <c r="AE328"/>
    </row>
    <row r="329" spans="31:31" ht="15" x14ac:dyDescent="0.25">
      <c r="AE329"/>
    </row>
    <row r="330" spans="31:31" ht="15" x14ac:dyDescent="0.25">
      <c r="AE330"/>
    </row>
    <row r="331" spans="31:31" ht="15" x14ac:dyDescent="0.25">
      <c r="AE331"/>
    </row>
    <row r="332" spans="31:31" ht="15" x14ac:dyDescent="0.25">
      <c r="AE332"/>
    </row>
    <row r="333" spans="31:31" ht="15" x14ac:dyDescent="0.25">
      <c r="AE333"/>
    </row>
    <row r="334" spans="31:31" ht="15" x14ac:dyDescent="0.25">
      <c r="AE334"/>
    </row>
    <row r="335" spans="31:31" ht="15" x14ac:dyDescent="0.25">
      <c r="AE335"/>
    </row>
    <row r="336" spans="31:31" ht="15" x14ac:dyDescent="0.25">
      <c r="AE336"/>
    </row>
    <row r="337" spans="31:31" ht="15" x14ac:dyDescent="0.25">
      <c r="AE337"/>
    </row>
    <row r="338" spans="31:31" ht="15" x14ac:dyDescent="0.25">
      <c r="AE338"/>
    </row>
    <row r="339" spans="31:31" ht="15" x14ac:dyDescent="0.25">
      <c r="AE339"/>
    </row>
    <row r="340" spans="31:31" ht="15" x14ac:dyDescent="0.25">
      <c r="AE340"/>
    </row>
    <row r="341" spans="31:31" ht="15" x14ac:dyDescent="0.25">
      <c r="AE341"/>
    </row>
    <row r="342" spans="31:31" ht="15" x14ac:dyDescent="0.25">
      <c r="AE342"/>
    </row>
    <row r="343" spans="31:31" ht="15" x14ac:dyDescent="0.25">
      <c r="AE343"/>
    </row>
    <row r="344" spans="31:31" ht="15" x14ac:dyDescent="0.25">
      <c r="AE344"/>
    </row>
    <row r="345" spans="31:31" ht="15" x14ac:dyDescent="0.25">
      <c r="AE345"/>
    </row>
    <row r="346" spans="31:31" ht="15" x14ac:dyDescent="0.25">
      <c r="AE346"/>
    </row>
    <row r="347" spans="31:31" ht="15" x14ac:dyDescent="0.25">
      <c r="AE347"/>
    </row>
    <row r="348" spans="31:31" ht="15" x14ac:dyDescent="0.25">
      <c r="AE348"/>
    </row>
    <row r="349" spans="31:31" ht="15" x14ac:dyDescent="0.25">
      <c r="AE349"/>
    </row>
    <row r="350" spans="31:31" ht="15" x14ac:dyDescent="0.25">
      <c r="AE350"/>
    </row>
    <row r="351" spans="31:31" ht="15" x14ac:dyDescent="0.25">
      <c r="AE351"/>
    </row>
    <row r="352" spans="31:31" ht="15" x14ac:dyDescent="0.25">
      <c r="AE352"/>
    </row>
    <row r="353" spans="31:31" ht="15" x14ac:dyDescent="0.25">
      <c r="AE353"/>
    </row>
    <row r="354" spans="31:31" ht="15" x14ac:dyDescent="0.25">
      <c r="AE354"/>
    </row>
    <row r="355" spans="31:31" ht="15" x14ac:dyDescent="0.25">
      <c r="AE355"/>
    </row>
    <row r="356" spans="31:31" ht="15" x14ac:dyDescent="0.25">
      <c r="AE356"/>
    </row>
    <row r="357" spans="31:31" ht="15" x14ac:dyDescent="0.25">
      <c r="AE357"/>
    </row>
    <row r="358" spans="31:31" ht="15" x14ac:dyDescent="0.25">
      <c r="AE358"/>
    </row>
    <row r="359" spans="31:31" ht="15" x14ac:dyDescent="0.25">
      <c r="AE359"/>
    </row>
    <row r="360" spans="31:31" ht="15" x14ac:dyDescent="0.25">
      <c r="AE360"/>
    </row>
    <row r="361" spans="31:31" ht="15" x14ac:dyDescent="0.25">
      <c r="AE361"/>
    </row>
    <row r="362" spans="31:31" ht="15" x14ac:dyDescent="0.25">
      <c r="AE362"/>
    </row>
    <row r="363" spans="31:31" ht="15" x14ac:dyDescent="0.25">
      <c r="AE363"/>
    </row>
    <row r="364" spans="31:31" ht="15" x14ac:dyDescent="0.25">
      <c r="AE364"/>
    </row>
    <row r="365" spans="31:31" ht="15" x14ac:dyDescent="0.25">
      <c r="AE365"/>
    </row>
    <row r="366" spans="31:31" ht="15" x14ac:dyDescent="0.25">
      <c r="AE366"/>
    </row>
    <row r="367" spans="31:31" ht="15" x14ac:dyDescent="0.25">
      <c r="AE367"/>
    </row>
    <row r="368" spans="31:31" ht="15" x14ac:dyDescent="0.25">
      <c r="AE368"/>
    </row>
    <row r="369" spans="31:31" ht="15" x14ac:dyDescent="0.25">
      <c r="AE369"/>
    </row>
    <row r="370" spans="31:31" ht="15" x14ac:dyDescent="0.25">
      <c r="AE370"/>
    </row>
    <row r="371" spans="31:31" ht="15" x14ac:dyDescent="0.25">
      <c r="AE371"/>
    </row>
    <row r="372" spans="31:31" ht="15" x14ac:dyDescent="0.25">
      <c r="AE372"/>
    </row>
    <row r="373" spans="31:31" ht="15" x14ac:dyDescent="0.25">
      <c r="AE373"/>
    </row>
    <row r="374" spans="31:31" ht="15" x14ac:dyDescent="0.25">
      <c r="AE374"/>
    </row>
    <row r="375" spans="31:31" ht="15" x14ac:dyDescent="0.25">
      <c r="AE375"/>
    </row>
    <row r="376" spans="31:31" ht="15" x14ac:dyDescent="0.25">
      <c r="AE376"/>
    </row>
    <row r="377" spans="31:31" ht="15" x14ac:dyDescent="0.25">
      <c r="AE377"/>
    </row>
    <row r="378" spans="31:31" ht="15" x14ac:dyDescent="0.25">
      <c r="AE378"/>
    </row>
    <row r="379" spans="31:31" ht="15" x14ac:dyDescent="0.25">
      <c r="AE379"/>
    </row>
    <row r="380" spans="31:31" ht="15" x14ac:dyDescent="0.25">
      <c r="AE380"/>
    </row>
    <row r="381" spans="31:31" ht="15" x14ac:dyDescent="0.25">
      <c r="AE381"/>
    </row>
    <row r="382" spans="31:31" ht="15" x14ac:dyDescent="0.25">
      <c r="AE382"/>
    </row>
    <row r="383" spans="31:31" ht="15" x14ac:dyDescent="0.25">
      <c r="AE383"/>
    </row>
    <row r="384" spans="31:31" ht="15" x14ac:dyDescent="0.25">
      <c r="AE384"/>
    </row>
    <row r="385" spans="31:31" ht="15" x14ac:dyDescent="0.25">
      <c r="AE385"/>
    </row>
    <row r="386" spans="31:31" ht="15" x14ac:dyDescent="0.25">
      <c r="AE386"/>
    </row>
    <row r="387" spans="31:31" ht="15" x14ac:dyDescent="0.25">
      <c r="AE387"/>
    </row>
    <row r="388" spans="31:31" ht="15" x14ac:dyDescent="0.25">
      <c r="AE388"/>
    </row>
    <row r="389" spans="31:31" ht="15" x14ac:dyDescent="0.25">
      <c r="AE389"/>
    </row>
    <row r="390" spans="31:31" ht="15" x14ac:dyDescent="0.25">
      <c r="AE390"/>
    </row>
    <row r="391" spans="31:31" ht="15" x14ac:dyDescent="0.25">
      <c r="AE391"/>
    </row>
    <row r="392" spans="31:31" ht="15" x14ac:dyDescent="0.25">
      <c r="AE392"/>
    </row>
    <row r="393" spans="31:31" ht="15" x14ac:dyDescent="0.25">
      <c r="AE393"/>
    </row>
    <row r="394" spans="31:31" ht="15" x14ac:dyDescent="0.25">
      <c r="AE394"/>
    </row>
    <row r="395" spans="31:31" ht="15" x14ac:dyDescent="0.25">
      <c r="AE395"/>
    </row>
    <row r="396" spans="31:31" ht="15" x14ac:dyDescent="0.25">
      <c r="AE396"/>
    </row>
    <row r="397" spans="31:31" ht="15" x14ac:dyDescent="0.25">
      <c r="AE397"/>
    </row>
    <row r="398" spans="31:31" ht="15" x14ac:dyDescent="0.25">
      <c r="AE398"/>
    </row>
    <row r="399" spans="31:31" ht="15" x14ac:dyDescent="0.25">
      <c r="AE399"/>
    </row>
    <row r="400" spans="31:31" ht="15" x14ac:dyDescent="0.25">
      <c r="AE400"/>
    </row>
    <row r="401" spans="31:31" ht="15" x14ac:dyDescent="0.25">
      <c r="AE401"/>
    </row>
    <row r="402" spans="31:31" ht="15" x14ac:dyDescent="0.25">
      <c r="AE402"/>
    </row>
    <row r="403" spans="31:31" ht="15" x14ac:dyDescent="0.25">
      <c r="AE403"/>
    </row>
    <row r="404" spans="31:31" ht="15" x14ac:dyDescent="0.25">
      <c r="AE404"/>
    </row>
    <row r="405" spans="31:31" ht="15" x14ac:dyDescent="0.25">
      <c r="AE405"/>
    </row>
    <row r="406" spans="31:31" ht="15" x14ac:dyDescent="0.25">
      <c r="AE406"/>
    </row>
    <row r="407" spans="31:31" ht="15" x14ac:dyDescent="0.25">
      <c r="AE407"/>
    </row>
    <row r="408" spans="31:31" ht="15" x14ac:dyDescent="0.25">
      <c r="AE408"/>
    </row>
    <row r="409" spans="31:31" ht="15" x14ac:dyDescent="0.25">
      <c r="AE409"/>
    </row>
    <row r="410" spans="31:31" ht="15" x14ac:dyDescent="0.25">
      <c r="AE410"/>
    </row>
    <row r="411" spans="31:31" ht="15" x14ac:dyDescent="0.25">
      <c r="AE411"/>
    </row>
    <row r="412" spans="31:31" ht="15" x14ac:dyDescent="0.25">
      <c r="AE412"/>
    </row>
    <row r="413" spans="31:31" ht="15" x14ac:dyDescent="0.25">
      <c r="AE413"/>
    </row>
    <row r="414" spans="31:31" ht="15" x14ac:dyDescent="0.25">
      <c r="AE414"/>
    </row>
    <row r="415" spans="31:31" ht="15" x14ac:dyDescent="0.25">
      <c r="AE415"/>
    </row>
    <row r="416" spans="31:31" ht="15" x14ac:dyDescent="0.25">
      <c r="AE416"/>
    </row>
    <row r="417" spans="31:31" ht="15" x14ac:dyDescent="0.25">
      <c r="AE417"/>
    </row>
    <row r="418" spans="31:31" ht="15" x14ac:dyDescent="0.25">
      <c r="AE418"/>
    </row>
    <row r="419" spans="31:31" ht="15" x14ac:dyDescent="0.25">
      <c r="AE419"/>
    </row>
    <row r="420" spans="31:31" ht="15" x14ac:dyDescent="0.25">
      <c r="AE420"/>
    </row>
    <row r="421" spans="31:31" ht="15" x14ac:dyDescent="0.25">
      <c r="AE421"/>
    </row>
    <row r="422" spans="31:31" ht="15" x14ac:dyDescent="0.25">
      <c r="AE422"/>
    </row>
    <row r="423" spans="31:31" ht="15" x14ac:dyDescent="0.25">
      <c r="AE423"/>
    </row>
    <row r="424" spans="31:31" ht="15" x14ac:dyDescent="0.25">
      <c r="AE424"/>
    </row>
    <row r="425" spans="31:31" ht="15" x14ac:dyDescent="0.25">
      <c r="AE425"/>
    </row>
    <row r="426" spans="31:31" ht="15" x14ac:dyDescent="0.25">
      <c r="AE426"/>
    </row>
    <row r="427" spans="31:31" ht="15" x14ac:dyDescent="0.25">
      <c r="AE427"/>
    </row>
    <row r="428" spans="31:31" ht="15" x14ac:dyDescent="0.25">
      <c r="AE428"/>
    </row>
    <row r="429" spans="31:31" ht="15" x14ac:dyDescent="0.25">
      <c r="AE429"/>
    </row>
    <row r="430" spans="31:31" ht="15" x14ac:dyDescent="0.25">
      <c r="AE430"/>
    </row>
    <row r="431" spans="31:31" ht="15" x14ac:dyDescent="0.25">
      <c r="AE431"/>
    </row>
    <row r="432" spans="31:31" ht="15" x14ac:dyDescent="0.25">
      <c r="AE432"/>
    </row>
    <row r="433" spans="31:31" ht="15" x14ac:dyDescent="0.25">
      <c r="AE433"/>
    </row>
    <row r="434" spans="31:31" ht="15" x14ac:dyDescent="0.25">
      <c r="AE434"/>
    </row>
    <row r="435" spans="31:31" ht="15" x14ac:dyDescent="0.25">
      <c r="AE435"/>
    </row>
    <row r="436" spans="31:31" ht="15" x14ac:dyDescent="0.25">
      <c r="AE436"/>
    </row>
    <row r="437" spans="31:31" ht="15" x14ac:dyDescent="0.25">
      <c r="AE437"/>
    </row>
    <row r="438" spans="31:31" ht="15" x14ac:dyDescent="0.25">
      <c r="AE438"/>
    </row>
    <row r="439" spans="31:31" ht="15" x14ac:dyDescent="0.25">
      <c r="AE439"/>
    </row>
    <row r="440" spans="31:31" ht="15" x14ac:dyDescent="0.25">
      <c r="AE440"/>
    </row>
    <row r="441" spans="31:31" ht="15" x14ac:dyDescent="0.25">
      <c r="AE441"/>
    </row>
    <row r="442" spans="31:31" ht="15" x14ac:dyDescent="0.25">
      <c r="AE442"/>
    </row>
    <row r="443" spans="31:31" ht="15" x14ac:dyDescent="0.25">
      <c r="AE443"/>
    </row>
    <row r="444" spans="31:31" ht="15" x14ac:dyDescent="0.25">
      <c r="AE444"/>
    </row>
    <row r="445" spans="31:31" ht="15" x14ac:dyDescent="0.25">
      <c r="AE445"/>
    </row>
    <row r="446" spans="31:31" ht="15" x14ac:dyDescent="0.25">
      <c r="AE446"/>
    </row>
    <row r="447" spans="31:31" ht="15" x14ac:dyDescent="0.25">
      <c r="AE447"/>
    </row>
    <row r="448" spans="31:31" ht="15" x14ac:dyDescent="0.25">
      <c r="AE448"/>
    </row>
    <row r="449" spans="31:31" ht="15" x14ac:dyDescent="0.25">
      <c r="AE449"/>
    </row>
    <row r="450" spans="31:31" ht="15" x14ac:dyDescent="0.25">
      <c r="AE450"/>
    </row>
    <row r="451" spans="31:31" ht="15" x14ac:dyDescent="0.25">
      <c r="AE451"/>
    </row>
    <row r="452" spans="31:31" ht="15" x14ac:dyDescent="0.25">
      <c r="AE452"/>
    </row>
    <row r="453" spans="31:31" ht="15" x14ac:dyDescent="0.25">
      <c r="AE453"/>
    </row>
    <row r="454" spans="31:31" ht="15" x14ac:dyDescent="0.25">
      <c r="AE454"/>
    </row>
    <row r="455" spans="31:31" ht="15" x14ac:dyDescent="0.25">
      <c r="AE455"/>
    </row>
    <row r="456" spans="31:31" ht="15" x14ac:dyDescent="0.25">
      <c r="AE456"/>
    </row>
    <row r="457" spans="31:31" ht="15" x14ac:dyDescent="0.25">
      <c r="AE457"/>
    </row>
    <row r="458" spans="31:31" ht="15" x14ac:dyDescent="0.25">
      <c r="AE458"/>
    </row>
    <row r="459" spans="31:31" ht="15" x14ac:dyDescent="0.25">
      <c r="AE459"/>
    </row>
    <row r="460" spans="31:31" ht="15" x14ac:dyDescent="0.25">
      <c r="AE460"/>
    </row>
    <row r="461" spans="31:31" ht="15" x14ac:dyDescent="0.25">
      <c r="AE461"/>
    </row>
    <row r="462" spans="31:31" ht="15" x14ac:dyDescent="0.25">
      <c r="AE462"/>
    </row>
    <row r="463" spans="31:31" ht="15" x14ac:dyDescent="0.25">
      <c r="AE463"/>
    </row>
    <row r="464" spans="31:31" ht="15" x14ac:dyDescent="0.25">
      <c r="AE464"/>
    </row>
    <row r="465" spans="31:31" ht="15" x14ac:dyDescent="0.25">
      <c r="AE465"/>
    </row>
    <row r="466" spans="31:31" ht="15" x14ac:dyDescent="0.25">
      <c r="AE466"/>
    </row>
    <row r="467" spans="31:31" ht="15" x14ac:dyDescent="0.25">
      <c r="AE467"/>
    </row>
    <row r="468" spans="31:31" ht="15" x14ac:dyDescent="0.25">
      <c r="AE468"/>
    </row>
    <row r="469" spans="31:31" ht="15" x14ac:dyDescent="0.25">
      <c r="AE469"/>
    </row>
    <row r="470" spans="31:31" ht="15" x14ac:dyDescent="0.25">
      <c r="AE470"/>
    </row>
    <row r="471" spans="31:31" ht="15" x14ac:dyDescent="0.25">
      <c r="AE471"/>
    </row>
    <row r="472" spans="31:31" ht="15" x14ac:dyDescent="0.25">
      <c r="AE472"/>
    </row>
    <row r="473" spans="31:31" ht="15" x14ac:dyDescent="0.25">
      <c r="AE473"/>
    </row>
    <row r="474" spans="31:31" ht="15" x14ac:dyDescent="0.25">
      <c r="AE474"/>
    </row>
    <row r="475" spans="31:31" ht="15" x14ac:dyDescent="0.25">
      <c r="AE475"/>
    </row>
    <row r="476" spans="31:31" ht="15" x14ac:dyDescent="0.25">
      <c r="AE476"/>
    </row>
    <row r="477" spans="31:31" ht="15" x14ac:dyDescent="0.25">
      <c r="AE477"/>
    </row>
    <row r="478" spans="31:31" ht="15" x14ac:dyDescent="0.25">
      <c r="AE478"/>
    </row>
    <row r="479" spans="31:31" ht="15" x14ac:dyDescent="0.25">
      <c r="AE479"/>
    </row>
    <row r="480" spans="31:31" ht="15" x14ac:dyDescent="0.25">
      <c r="AE480"/>
    </row>
    <row r="481" spans="31:31" ht="15" x14ac:dyDescent="0.25">
      <c r="AE481"/>
    </row>
    <row r="482" spans="31:31" ht="15" x14ac:dyDescent="0.25">
      <c r="AE482"/>
    </row>
    <row r="483" spans="31:31" ht="15" x14ac:dyDescent="0.25">
      <c r="AE483"/>
    </row>
    <row r="484" spans="31:31" ht="15" x14ac:dyDescent="0.25">
      <c r="AE484"/>
    </row>
    <row r="485" spans="31:31" ht="15" x14ac:dyDescent="0.25">
      <c r="AE485"/>
    </row>
    <row r="486" spans="31:31" ht="15" x14ac:dyDescent="0.25">
      <c r="AE486"/>
    </row>
    <row r="487" spans="31:31" ht="15" x14ac:dyDescent="0.25">
      <c r="AE487"/>
    </row>
    <row r="488" spans="31:31" ht="15" x14ac:dyDescent="0.25">
      <c r="AE488"/>
    </row>
    <row r="489" spans="31:31" ht="15" x14ac:dyDescent="0.25">
      <c r="AE489"/>
    </row>
    <row r="490" spans="31:31" ht="15" x14ac:dyDescent="0.25">
      <c r="AE490"/>
    </row>
    <row r="491" spans="31:31" ht="15" x14ac:dyDescent="0.25">
      <c r="AE491"/>
    </row>
    <row r="492" spans="31:31" ht="15" x14ac:dyDescent="0.25">
      <c r="AE492"/>
    </row>
    <row r="493" spans="31:31" ht="15" x14ac:dyDescent="0.25">
      <c r="AE493"/>
    </row>
    <row r="494" spans="31:31" ht="15" x14ac:dyDescent="0.25">
      <c r="AE494"/>
    </row>
    <row r="495" spans="31:31" ht="15" x14ac:dyDescent="0.25">
      <c r="AE495"/>
    </row>
    <row r="496" spans="31:31" ht="15" x14ac:dyDescent="0.25">
      <c r="AE496"/>
    </row>
    <row r="497" spans="31:31" ht="15" x14ac:dyDescent="0.25">
      <c r="AE497"/>
    </row>
    <row r="498" spans="31:31" ht="15" x14ac:dyDescent="0.25">
      <c r="AE498"/>
    </row>
    <row r="499" spans="31:31" ht="15" x14ac:dyDescent="0.25">
      <c r="AE499"/>
    </row>
    <row r="500" spans="31:31" ht="15" x14ac:dyDescent="0.25">
      <c r="AE500"/>
    </row>
    <row r="501" spans="31:31" ht="15" x14ac:dyDescent="0.25">
      <c r="AE501"/>
    </row>
    <row r="502" spans="31:31" ht="15" x14ac:dyDescent="0.25">
      <c r="AE502"/>
    </row>
    <row r="503" spans="31:31" ht="15" x14ac:dyDescent="0.25">
      <c r="AE503"/>
    </row>
    <row r="504" spans="31:31" ht="15" x14ac:dyDescent="0.25">
      <c r="AE504"/>
    </row>
    <row r="505" spans="31:31" ht="15" x14ac:dyDescent="0.25">
      <c r="AE505"/>
    </row>
    <row r="506" spans="31:31" ht="15" x14ac:dyDescent="0.25">
      <c r="AE506"/>
    </row>
    <row r="507" spans="31:31" ht="15" x14ac:dyDescent="0.25">
      <c r="AE507"/>
    </row>
    <row r="508" spans="31:31" ht="15" x14ac:dyDescent="0.25">
      <c r="AE508"/>
    </row>
    <row r="509" spans="31:31" ht="15" x14ac:dyDescent="0.25">
      <c r="AE509"/>
    </row>
    <row r="510" spans="31:31" ht="15" x14ac:dyDescent="0.25">
      <c r="AE510"/>
    </row>
    <row r="511" spans="31:31" ht="15" x14ac:dyDescent="0.25">
      <c r="AE511"/>
    </row>
    <row r="512" spans="31:31" ht="15" x14ac:dyDescent="0.25">
      <c r="AE512"/>
    </row>
    <row r="513" spans="31:31" ht="15" x14ac:dyDescent="0.25">
      <c r="AE513"/>
    </row>
    <row r="514" spans="31:31" ht="15" x14ac:dyDescent="0.25">
      <c r="AE514"/>
    </row>
    <row r="515" spans="31:31" ht="15" x14ac:dyDescent="0.25">
      <c r="AE515"/>
    </row>
    <row r="516" spans="31:31" ht="15" x14ac:dyDescent="0.25">
      <c r="AE516"/>
    </row>
    <row r="517" spans="31:31" ht="15" x14ac:dyDescent="0.25">
      <c r="AE517"/>
    </row>
    <row r="518" spans="31:31" ht="15" x14ac:dyDescent="0.25">
      <c r="AE518"/>
    </row>
    <row r="519" spans="31:31" ht="15" x14ac:dyDescent="0.25">
      <c r="AE519"/>
    </row>
    <row r="520" spans="31:31" ht="15" x14ac:dyDescent="0.25">
      <c r="AE520"/>
    </row>
    <row r="521" spans="31:31" ht="15" x14ac:dyDescent="0.25">
      <c r="AE521"/>
    </row>
    <row r="522" spans="31:31" ht="15" x14ac:dyDescent="0.25">
      <c r="AE522"/>
    </row>
    <row r="523" spans="31:31" ht="15" x14ac:dyDescent="0.25">
      <c r="AE523"/>
    </row>
    <row r="524" spans="31:31" ht="15" x14ac:dyDescent="0.25">
      <c r="AE524"/>
    </row>
    <row r="525" spans="31:31" ht="15" x14ac:dyDescent="0.25">
      <c r="AE525"/>
    </row>
    <row r="526" spans="31:31" ht="15" x14ac:dyDescent="0.25">
      <c r="AE526"/>
    </row>
    <row r="527" spans="31:31" ht="15" x14ac:dyDescent="0.25">
      <c r="AE527"/>
    </row>
    <row r="528" spans="31:31" ht="15" x14ac:dyDescent="0.25">
      <c r="AE528"/>
    </row>
    <row r="529" spans="31:31" ht="15" x14ac:dyDescent="0.25">
      <c r="AE529"/>
    </row>
    <row r="530" spans="31:31" ht="15" x14ac:dyDescent="0.25">
      <c r="AE530"/>
    </row>
    <row r="531" spans="31:31" ht="15" x14ac:dyDescent="0.25">
      <c r="AE531"/>
    </row>
    <row r="532" spans="31:31" ht="15" x14ac:dyDescent="0.25">
      <c r="AE532"/>
    </row>
    <row r="533" spans="31:31" ht="15" x14ac:dyDescent="0.25">
      <c r="AE533"/>
    </row>
    <row r="534" spans="31:31" ht="15" x14ac:dyDescent="0.25">
      <c r="AE534"/>
    </row>
    <row r="535" spans="31:31" ht="15" x14ac:dyDescent="0.25">
      <c r="AE535"/>
    </row>
    <row r="536" spans="31:31" ht="15" x14ac:dyDescent="0.25">
      <c r="AE536"/>
    </row>
    <row r="537" spans="31:31" ht="15" x14ac:dyDescent="0.25">
      <c r="AE537"/>
    </row>
    <row r="538" spans="31:31" ht="15" x14ac:dyDescent="0.25">
      <c r="AE538"/>
    </row>
    <row r="539" spans="31:31" ht="15" x14ac:dyDescent="0.25">
      <c r="AE539"/>
    </row>
    <row r="540" spans="31:31" ht="15" x14ac:dyDescent="0.25">
      <c r="AE540"/>
    </row>
    <row r="541" spans="31:31" ht="15" x14ac:dyDescent="0.25">
      <c r="AE541"/>
    </row>
    <row r="542" spans="31:31" ht="15" x14ac:dyDescent="0.25">
      <c r="AE542"/>
    </row>
    <row r="543" spans="31:31" ht="15" x14ac:dyDescent="0.25">
      <c r="AE543"/>
    </row>
    <row r="544" spans="31:31" ht="15" x14ac:dyDescent="0.25">
      <c r="AE544"/>
    </row>
    <row r="545" spans="31:31" ht="15" x14ac:dyDescent="0.25">
      <c r="AE545"/>
    </row>
    <row r="546" spans="31:31" ht="15" x14ac:dyDescent="0.25">
      <c r="AE546"/>
    </row>
    <row r="547" spans="31:31" ht="15" x14ac:dyDescent="0.25">
      <c r="AE547"/>
    </row>
    <row r="548" spans="31:31" ht="15" x14ac:dyDescent="0.25">
      <c r="AE548"/>
    </row>
    <row r="549" spans="31:31" ht="15" x14ac:dyDescent="0.25">
      <c r="AE549"/>
    </row>
    <row r="550" spans="31:31" ht="15" x14ac:dyDescent="0.25">
      <c r="AE550"/>
    </row>
    <row r="551" spans="31:31" ht="15" x14ac:dyDescent="0.25">
      <c r="AE551"/>
    </row>
    <row r="552" spans="31:31" ht="15" x14ac:dyDescent="0.25">
      <c r="AE552"/>
    </row>
    <row r="553" spans="31:31" ht="15" x14ac:dyDescent="0.25">
      <c r="AE553"/>
    </row>
    <row r="554" spans="31:31" ht="15" x14ac:dyDescent="0.25">
      <c r="AE554"/>
    </row>
    <row r="555" spans="31:31" ht="15" x14ac:dyDescent="0.25">
      <c r="AE555"/>
    </row>
    <row r="556" spans="31:31" ht="15" x14ac:dyDescent="0.25">
      <c r="AE556"/>
    </row>
    <row r="557" spans="31:31" ht="15" x14ac:dyDescent="0.25">
      <c r="AE557"/>
    </row>
    <row r="558" spans="31:31" ht="15" x14ac:dyDescent="0.25">
      <c r="AE558"/>
    </row>
    <row r="559" spans="31:31" ht="15" x14ac:dyDescent="0.25">
      <c r="AE559"/>
    </row>
    <row r="560" spans="31:31" ht="15" x14ac:dyDescent="0.25">
      <c r="AE560"/>
    </row>
    <row r="561" spans="31:31" ht="15" x14ac:dyDescent="0.25">
      <c r="AE561"/>
    </row>
    <row r="562" spans="31:31" ht="15" x14ac:dyDescent="0.25">
      <c r="AE562"/>
    </row>
    <row r="563" spans="31:31" ht="15" x14ac:dyDescent="0.25">
      <c r="AE563"/>
    </row>
    <row r="564" spans="31:31" ht="15" x14ac:dyDescent="0.25">
      <c r="AE564"/>
    </row>
    <row r="565" spans="31:31" ht="15" x14ac:dyDescent="0.25">
      <c r="AE565"/>
    </row>
    <row r="566" spans="31:31" ht="15" x14ac:dyDescent="0.25">
      <c r="AE566"/>
    </row>
    <row r="567" spans="31:31" ht="15" x14ac:dyDescent="0.25">
      <c r="AE567"/>
    </row>
    <row r="568" spans="31:31" ht="15" x14ac:dyDescent="0.25">
      <c r="AE568"/>
    </row>
    <row r="569" spans="31:31" ht="15" x14ac:dyDescent="0.25">
      <c r="AE569"/>
    </row>
    <row r="570" spans="31:31" ht="15" x14ac:dyDescent="0.25">
      <c r="AE570"/>
    </row>
    <row r="571" spans="31:31" ht="15" x14ac:dyDescent="0.25">
      <c r="AE571"/>
    </row>
    <row r="572" spans="31:31" ht="15" x14ac:dyDescent="0.25">
      <c r="AE572"/>
    </row>
    <row r="573" spans="31:31" ht="15" x14ac:dyDescent="0.25">
      <c r="AE573"/>
    </row>
    <row r="574" spans="31:31" ht="15" x14ac:dyDescent="0.25">
      <c r="AE574"/>
    </row>
    <row r="575" spans="31:31" ht="15" x14ac:dyDescent="0.25">
      <c r="AE575"/>
    </row>
    <row r="576" spans="31:31" ht="15" x14ac:dyDescent="0.25">
      <c r="AE576"/>
    </row>
    <row r="577" spans="31:31" ht="15" x14ac:dyDescent="0.25">
      <c r="AE577"/>
    </row>
    <row r="578" spans="31:31" ht="15" x14ac:dyDescent="0.25">
      <c r="AE578"/>
    </row>
    <row r="579" spans="31:31" ht="15" x14ac:dyDescent="0.25">
      <c r="AE579"/>
    </row>
    <row r="580" spans="31:31" ht="15" x14ac:dyDescent="0.25">
      <c r="AE580"/>
    </row>
    <row r="581" spans="31:31" ht="15" x14ac:dyDescent="0.25">
      <c r="AE581"/>
    </row>
    <row r="582" spans="31:31" ht="15" x14ac:dyDescent="0.25">
      <c r="AE582"/>
    </row>
    <row r="583" spans="31:31" ht="15" x14ac:dyDescent="0.25">
      <c r="AE583"/>
    </row>
    <row r="584" spans="31:31" ht="15" x14ac:dyDescent="0.25">
      <c r="AE584"/>
    </row>
    <row r="585" spans="31:31" ht="15" x14ac:dyDescent="0.25">
      <c r="AE585"/>
    </row>
    <row r="586" spans="31:31" ht="15" x14ac:dyDescent="0.25">
      <c r="AE586"/>
    </row>
    <row r="587" spans="31:31" ht="15" x14ac:dyDescent="0.25">
      <c r="AE587"/>
    </row>
    <row r="588" spans="31:31" ht="15" x14ac:dyDescent="0.25">
      <c r="AE588"/>
    </row>
    <row r="589" spans="31:31" ht="15" x14ac:dyDescent="0.25">
      <c r="AE589"/>
    </row>
    <row r="590" spans="31:31" ht="15" x14ac:dyDescent="0.25">
      <c r="AE590"/>
    </row>
    <row r="591" spans="31:31" ht="15" x14ac:dyDescent="0.25">
      <c r="AE591"/>
    </row>
    <row r="592" spans="31:31" ht="15" x14ac:dyDescent="0.25">
      <c r="AE592"/>
    </row>
    <row r="593" spans="31:31" ht="15" x14ac:dyDescent="0.25">
      <c r="AE593"/>
    </row>
    <row r="594" spans="31:31" ht="15" x14ac:dyDescent="0.25">
      <c r="AE594"/>
    </row>
    <row r="595" spans="31:31" ht="15" x14ac:dyDescent="0.25">
      <c r="AE595"/>
    </row>
    <row r="596" spans="31:31" ht="15" x14ac:dyDescent="0.25">
      <c r="AE596"/>
    </row>
    <row r="597" spans="31:31" ht="15" x14ac:dyDescent="0.25">
      <c r="AE597"/>
    </row>
    <row r="598" spans="31:31" ht="15" x14ac:dyDescent="0.25">
      <c r="AE598"/>
    </row>
    <row r="599" spans="31:31" ht="15" x14ac:dyDescent="0.25">
      <c r="AE599"/>
    </row>
    <row r="600" spans="31:31" ht="15" x14ac:dyDescent="0.25">
      <c r="AE600"/>
    </row>
    <row r="601" spans="31:31" ht="15" x14ac:dyDescent="0.25">
      <c r="AE601"/>
    </row>
    <row r="602" spans="31:31" ht="15" x14ac:dyDescent="0.25">
      <c r="AE602"/>
    </row>
    <row r="603" spans="31:31" ht="15" x14ac:dyDescent="0.25">
      <c r="AE603"/>
    </row>
    <row r="604" spans="31:31" ht="15" x14ac:dyDescent="0.25">
      <c r="AE604"/>
    </row>
    <row r="605" spans="31:31" ht="15" x14ac:dyDescent="0.25">
      <c r="AE605"/>
    </row>
    <row r="606" spans="31:31" ht="15" x14ac:dyDescent="0.25">
      <c r="AE606"/>
    </row>
    <row r="607" spans="31:31" ht="15" x14ac:dyDescent="0.25">
      <c r="AE607"/>
    </row>
    <row r="608" spans="31:31" ht="15" x14ac:dyDescent="0.25">
      <c r="AE608"/>
    </row>
    <row r="609" spans="31:31" ht="15" x14ac:dyDescent="0.25">
      <c r="AE609"/>
    </row>
    <row r="610" spans="31:31" ht="15" x14ac:dyDescent="0.25">
      <c r="AE610"/>
    </row>
    <row r="611" spans="31:31" ht="15" x14ac:dyDescent="0.25">
      <c r="AE611"/>
    </row>
    <row r="612" spans="31:31" ht="15" x14ac:dyDescent="0.25">
      <c r="AE612"/>
    </row>
    <row r="613" spans="31:31" ht="15" x14ac:dyDescent="0.25">
      <c r="AE613"/>
    </row>
    <row r="614" spans="31:31" ht="15" x14ac:dyDescent="0.25">
      <c r="AE614"/>
    </row>
    <row r="615" spans="31:31" ht="15" x14ac:dyDescent="0.25">
      <c r="AE615"/>
    </row>
    <row r="616" spans="31:31" ht="15" x14ac:dyDescent="0.25">
      <c r="AE616"/>
    </row>
    <row r="617" spans="31:31" ht="15" x14ac:dyDescent="0.25">
      <c r="AE617"/>
    </row>
    <row r="618" spans="31:31" ht="15" x14ac:dyDescent="0.25">
      <c r="AE618"/>
    </row>
    <row r="619" spans="31:31" ht="15" x14ac:dyDescent="0.25">
      <c r="AE619"/>
    </row>
    <row r="620" spans="31:31" ht="15" x14ac:dyDescent="0.25">
      <c r="AE620"/>
    </row>
    <row r="621" spans="31:31" ht="15" x14ac:dyDescent="0.25">
      <c r="AE621"/>
    </row>
    <row r="622" spans="31:31" ht="15" x14ac:dyDescent="0.25">
      <c r="AE622"/>
    </row>
    <row r="623" spans="31:31" ht="15" x14ac:dyDescent="0.25">
      <c r="AE623"/>
    </row>
    <row r="624" spans="31:31" ht="15" x14ac:dyDescent="0.25">
      <c r="AE624"/>
    </row>
    <row r="625" spans="31:31" ht="15" x14ac:dyDescent="0.25">
      <c r="AE625"/>
    </row>
    <row r="626" spans="31:31" ht="15" x14ac:dyDescent="0.25">
      <c r="AE626"/>
    </row>
    <row r="627" spans="31:31" ht="15" x14ac:dyDescent="0.25">
      <c r="AE627"/>
    </row>
    <row r="628" spans="31:31" ht="15" x14ac:dyDescent="0.25">
      <c r="AE628"/>
    </row>
    <row r="629" spans="31:31" ht="15" x14ac:dyDescent="0.25">
      <c r="AE629"/>
    </row>
    <row r="630" spans="31:31" ht="15" x14ac:dyDescent="0.25">
      <c r="AE630"/>
    </row>
    <row r="631" spans="31:31" ht="15" x14ac:dyDescent="0.25">
      <c r="AE631"/>
    </row>
    <row r="632" spans="31:31" ht="15" x14ac:dyDescent="0.25">
      <c r="AE632"/>
    </row>
    <row r="633" spans="31:31" ht="15" x14ac:dyDescent="0.25">
      <c r="AE633"/>
    </row>
    <row r="634" spans="31:31" ht="15" x14ac:dyDescent="0.25">
      <c r="AE634"/>
    </row>
    <row r="635" spans="31:31" ht="15" x14ac:dyDescent="0.25">
      <c r="AE635"/>
    </row>
    <row r="636" spans="31:31" ht="15" x14ac:dyDescent="0.25">
      <c r="AE636"/>
    </row>
    <row r="637" spans="31:31" ht="15" x14ac:dyDescent="0.25">
      <c r="AE637"/>
    </row>
    <row r="638" spans="31:31" ht="15" x14ac:dyDescent="0.25">
      <c r="AE638"/>
    </row>
    <row r="639" spans="31:31" ht="15" x14ac:dyDescent="0.25">
      <c r="AE639"/>
    </row>
    <row r="640" spans="31:31" ht="15" x14ac:dyDescent="0.25">
      <c r="AE640"/>
    </row>
    <row r="641" spans="31:31" ht="15" x14ac:dyDescent="0.25">
      <c r="AE641"/>
    </row>
    <row r="642" spans="31:31" ht="15" x14ac:dyDescent="0.25">
      <c r="AE642"/>
    </row>
    <row r="643" spans="31:31" ht="15" x14ac:dyDescent="0.25">
      <c r="AE643"/>
    </row>
    <row r="644" spans="31:31" ht="15" x14ac:dyDescent="0.25">
      <c r="AE644"/>
    </row>
    <row r="645" spans="31:31" ht="15" x14ac:dyDescent="0.25">
      <c r="AE645"/>
    </row>
    <row r="646" spans="31:31" ht="15" x14ac:dyDescent="0.25">
      <c r="AE646"/>
    </row>
    <row r="647" spans="31:31" ht="15" x14ac:dyDescent="0.25">
      <c r="AE647"/>
    </row>
    <row r="648" spans="31:31" ht="15" x14ac:dyDescent="0.25">
      <c r="AE648"/>
    </row>
    <row r="649" spans="31:31" ht="15" x14ac:dyDescent="0.25">
      <c r="AE649"/>
    </row>
    <row r="650" spans="31:31" ht="15" x14ac:dyDescent="0.25">
      <c r="AE650"/>
    </row>
    <row r="651" spans="31:31" ht="15" x14ac:dyDescent="0.25">
      <c r="AE651"/>
    </row>
    <row r="652" spans="31:31" ht="15" x14ac:dyDescent="0.25">
      <c r="AE652"/>
    </row>
    <row r="653" spans="31:31" ht="15" x14ac:dyDescent="0.25">
      <c r="AE653"/>
    </row>
    <row r="654" spans="31:31" ht="15" x14ac:dyDescent="0.25">
      <c r="AE654"/>
    </row>
    <row r="655" spans="31:31" ht="15" x14ac:dyDescent="0.25">
      <c r="AE655"/>
    </row>
    <row r="656" spans="31:31" ht="15" x14ac:dyDescent="0.25">
      <c r="AE656"/>
    </row>
    <row r="657" spans="31:31" ht="15" x14ac:dyDescent="0.25">
      <c r="AE657"/>
    </row>
    <row r="658" spans="31:31" ht="15" x14ac:dyDescent="0.25">
      <c r="AE658"/>
    </row>
    <row r="659" spans="31:31" ht="15" x14ac:dyDescent="0.25">
      <c r="AE659"/>
    </row>
    <row r="660" spans="31:31" ht="15" x14ac:dyDescent="0.25">
      <c r="AE660"/>
    </row>
    <row r="661" spans="31:31" ht="15" x14ac:dyDescent="0.25">
      <c r="AE661"/>
    </row>
    <row r="662" spans="31:31" ht="15" x14ac:dyDescent="0.25">
      <c r="AE662"/>
    </row>
    <row r="663" spans="31:31" ht="15" x14ac:dyDescent="0.25">
      <c r="AE663"/>
    </row>
    <row r="664" spans="31:31" ht="15" x14ac:dyDescent="0.25">
      <c r="AE664"/>
    </row>
    <row r="665" spans="31:31" ht="15" x14ac:dyDescent="0.25">
      <c r="AE665"/>
    </row>
    <row r="666" spans="31:31" ht="15" x14ac:dyDescent="0.25">
      <c r="AE666"/>
    </row>
    <row r="667" spans="31:31" ht="15" x14ac:dyDescent="0.25">
      <c r="AE667"/>
    </row>
    <row r="668" spans="31:31" ht="15" x14ac:dyDescent="0.25">
      <c r="AE668"/>
    </row>
    <row r="669" spans="31:31" ht="15" x14ac:dyDescent="0.25">
      <c r="AE669"/>
    </row>
    <row r="670" spans="31:31" ht="15" x14ac:dyDescent="0.25">
      <c r="AE670"/>
    </row>
    <row r="671" spans="31:31" ht="15" x14ac:dyDescent="0.25">
      <c r="AE671"/>
    </row>
    <row r="672" spans="31:31" ht="15" x14ac:dyDescent="0.25">
      <c r="AE672"/>
    </row>
    <row r="673" spans="31:31" ht="15" x14ac:dyDescent="0.25">
      <c r="AE673"/>
    </row>
    <row r="674" spans="31:31" ht="15" x14ac:dyDescent="0.25">
      <c r="AE674"/>
    </row>
    <row r="675" spans="31:31" ht="15" x14ac:dyDescent="0.25">
      <c r="AE675"/>
    </row>
    <row r="676" spans="31:31" ht="15" x14ac:dyDescent="0.25">
      <c r="AE676"/>
    </row>
    <row r="677" spans="31:31" ht="15" x14ac:dyDescent="0.25">
      <c r="AE677"/>
    </row>
    <row r="678" spans="31:31" ht="15" x14ac:dyDescent="0.25">
      <c r="AE678"/>
    </row>
    <row r="679" spans="31:31" ht="15" x14ac:dyDescent="0.25">
      <c r="AE679"/>
    </row>
    <row r="680" spans="31:31" ht="15" x14ac:dyDescent="0.25">
      <c r="AE680"/>
    </row>
    <row r="681" spans="31:31" ht="15" x14ac:dyDescent="0.25">
      <c r="AE681"/>
    </row>
    <row r="682" spans="31:31" ht="15" x14ac:dyDescent="0.25">
      <c r="AE682"/>
    </row>
    <row r="683" spans="31:31" ht="15" x14ac:dyDescent="0.25">
      <c r="AE683"/>
    </row>
    <row r="684" spans="31:31" ht="15" x14ac:dyDescent="0.25">
      <c r="AE684"/>
    </row>
    <row r="685" spans="31:31" ht="15" x14ac:dyDescent="0.25">
      <c r="AE685"/>
    </row>
    <row r="686" spans="31:31" ht="15" x14ac:dyDescent="0.25">
      <c r="AE686"/>
    </row>
    <row r="687" spans="31:31" ht="15" x14ac:dyDescent="0.25">
      <c r="AE687"/>
    </row>
    <row r="688" spans="31:31" ht="15" x14ac:dyDescent="0.25">
      <c r="AE688"/>
    </row>
    <row r="689" spans="31:31" ht="15" x14ac:dyDescent="0.25">
      <c r="AE689"/>
    </row>
    <row r="690" spans="31:31" ht="15" x14ac:dyDescent="0.25">
      <c r="AE690"/>
    </row>
    <row r="691" spans="31:31" ht="15" x14ac:dyDescent="0.25">
      <c r="AE691"/>
    </row>
    <row r="692" spans="31:31" ht="15" x14ac:dyDescent="0.25">
      <c r="AE692"/>
    </row>
    <row r="693" spans="31:31" ht="15" x14ac:dyDescent="0.25">
      <c r="AE693"/>
    </row>
    <row r="694" spans="31:31" ht="15" x14ac:dyDescent="0.25">
      <c r="AE694"/>
    </row>
    <row r="695" spans="31:31" ht="15" x14ac:dyDescent="0.25">
      <c r="AE695"/>
    </row>
    <row r="696" spans="31:31" ht="15" x14ac:dyDescent="0.25">
      <c r="AE696"/>
    </row>
    <row r="697" spans="31:31" ht="15" x14ac:dyDescent="0.25">
      <c r="AE697"/>
    </row>
    <row r="698" spans="31:31" ht="15" x14ac:dyDescent="0.25">
      <c r="AE698"/>
    </row>
    <row r="699" spans="31:31" ht="15" x14ac:dyDescent="0.25">
      <c r="AE699"/>
    </row>
    <row r="700" spans="31:31" ht="15" x14ac:dyDescent="0.25">
      <c r="AE700"/>
    </row>
    <row r="701" spans="31:31" ht="15" x14ac:dyDescent="0.25">
      <c r="AE701"/>
    </row>
    <row r="702" spans="31:31" ht="15" x14ac:dyDescent="0.25">
      <c r="AE702"/>
    </row>
    <row r="703" spans="31:31" ht="15" x14ac:dyDescent="0.25">
      <c r="AE703"/>
    </row>
    <row r="704" spans="31:31" ht="15" x14ac:dyDescent="0.25">
      <c r="AE704"/>
    </row>
    <row r="705" spans="31:31" ht="15" x14ac:dyDescent="0.25">
      <c r="AE705"/>
    </row>
    <row r="706" spans="31:31" ht="15" x14ac:dyDescent="0.25">
      <c r="AE706"/>
    </row>
    <row r="707" spans="31:31" ht="15" x14ac:dyDescent="0.25">
      <c r="AE707"/>
    </row>
    <row r="708" spans="31:31" ht="15" x14ac:dyDescent="0.25">
      <c r="AE708"/>
    </row>
    <row r="709" spans="31:31" ht="15" x14ac:dyDescent="0.25">
      <c r="AE709"/>
    </row>
    <row r="710" spans="31:31" ht="15" x14ac:dyDescent="0.25">
      <c r="AE710"/>
    </row>
    <row r="711" spans="31:31" ht="15" x14ac:dyDescent="0.25">
      <c r="AE711"/>
    </row>
    <row r="712" spans="31:31" ht="15" x14ac:dyDescent="0.25">
      <c r="AE712"/>
    </row>
    <row r="713" spans="31:31" ht="15" x14ac:dyDescent="0.25">
      <c r="AE713"/>
    </row>
    <row r="714" spans="31:31" ht="15" x14ac:dyDescent="0.25">
      <c r="AE714"/>
    </row>
    <row r="715" spans="31:31" ht="15" x14ac:dyDescent="0.25">
      <c r="AE715"/>
    </row>
    <row r="716" spans="31:31" ht="15" x14ac:dyDescent="0.25">
      <c r="AE716"/>
    </row>
    <row r="717" spans="31:31" ht="15" x14ac:dyDescent="0.25">
      <c r="AE717"/>
    </row>
    <row r="718" spans="31:31" ht="15" x14ac:dyDescent="0.25">
      <c r="AE718"/>
    </row>
    <row r="719" spans="31:31" ht="15" x14ac:dyDescent="0.25">
      <c r="AE719"/>
    </row>
    <row r="720" spans="31:31" ht="15" x14ac:dyDescent="0.25">
      <c r="AE720"/>
    </row>
    <row r="721" spans="31:31" ht="15" x14ac:dyDescent="0.25">
      <c r="AE721"/>
    </row>
    <row r="722" spans="31:31" ht="15" x14ac:dyDescent="0.25">
      <c r="AE722"/>
    </row>
    <row r="723" spans="31:31" ht="15" x14ac:dyDescent="0.25">
      <c r="AE723"/>
    </row>
    <row r="724" spans="31:31" ht="15" x14ac:dyDescent="0.25">
      <c r="AE724"/>
    </row>
    <row r="725" spans="31:31" ht="15" x14ac:dyDescent="0.25">
      <c r="AE725"/>
    </row>
    <row r="726" spans="31:31" ht="15" x14ac:dyDescent="0.25">
      <c r="AE726"/>
    </row>
    <row r="727" spans="31:31" ht="15" x14ac:dyDescent="0.25">
      <c r="AE727"/>
    </row>
    <row r="728" spans="31:31" ht="15" x14ac:dyDescent="0.25">
      <c r="AE728"/>
    </row>
    <row r="729" spans="31:31" ht="15" x14ac:dyDescent="0.25">
      <c r="AE729"/>
    </row>
    <row r="730" spans="31:31" ht="15" x14ac:dyDescent="0.25">
      <c r="AE730"/>
    </row>
    <row r="731" spans="31:31" ht="15" x14ac:dyDescent="0.25">
      <c r="AE731"/>
    </row>
    <row r="732" spans="31:31" ht="15" x14ac:dyDescent="0.25">
      <c r="AE732"/>
    </row>
    <row r="733" spans="31:31" ht="15" x14ac:dyDescent="0.25">
      <c r="AE733"/>
    </row>
    <row r="734" spans="31:31" ht="15" x14ac:dyDescent="0.25">
      <c r="AE734"/>
    </row>
    <row r="735" spans="31:31" ht="15" x14ac:dyDescent="0.25">
      <c r="AE735"/>
    </row>
    <row r="736" spans="31:31" ht="15" x14ac:dyDescent="0.25">
      <c r="AE736"/>
    </row>
    <row r="737" spans="31:31" ht="15" x14ac:dyDescent="0.25">
      <c r="AE737"/>
    </row>
    <row r="738" spans="31:31" ht="15" x14ac:dyDescent="0.25">
      <c r="AE738"/>
    </row>
    <row r="739" spans="31:31" ht="15" x14ac:dyDescent="0.25">
      <c r="AE739"/>
    </row>
    <row r="740" spans="31:31" ht="15" x14ac:dyDescent="0.25">
      <c r="AE740"/>
    </row>
    <row r="741" spans="31:31" ht="15" x14ac:dyDescent="0.25">
      <c r="AE741"/>
    </row>
    <row r="742" spans="31:31" ht="15" x14ac:dyDescent="0.25">
      <c r="AE742"/>
    </row>
    <row r="743" spans="31:31" ht="15" x14ac:dyDescent="0.25">
      <c r="AE743"/>
    </row>
    <row r="744" spans="31:31" ht="15" x14ac:dyDescent="0.25">
      <c r="AE744"/>
    </row>
    <row r="745" spans="31:31" ht="15" x14ac:dyDescent="0.25">
      <c r="AE745"/>
    </row>
    <row r="746" spans="31:31" ht="15" x14ac:dyDescent="0.25">
      <c r="AE746"/>
    </row>
    <row r="747" spans="31:31" ht="15" x14ac:dyDescent="0.25">
      <c r="AE747"/>
    </row>
    <row r="748" spans="31:31" ht="15" x14ac:dyDescent="0.25">
      <c r="AE748"/>
    </row>
    <row r="749" spans="31:31" ht="15" x14ac:dyDescent="0.25">
      <c r="AE749"/>
    </row>
    <row r="750" spans="31:31" ht="15" x14ac:dyDescent="0.25">
      <c r="AE750"/>
    </row>
    <row r="751" spans="31:31" ht="15" x14ac:dyDescent="0.25">
      <c r="AE751"/>
    </row>
    <row r="752" spans="31:31" ht="15" x14ac:dyDescent="0.25">
      <c r="AE752"/>
    </row>
    <row r="753" spans="31:31" ht="15" x14ac:dyDescent="0.25">
      <c r="AE753"/>
    </row>
    <row r="754" spans="31:31" ht="15" x14ac:dyDescent="0.25">
      <c r="AE754"/>
    </row>
    <row r="755" spans="31:31" ht="15" x14ac:dyDescent="0.25">
      <c r="AE755"/>
    </row>
    <row r="756" spans="31:31" ht="15" x14ac:dyDescent="0.25">
      <c r="AE756"/>
    </row>
    <row r="757" spans="31:31" ht="15" x14ac:dyDescent="0.25">
      <c r="AE757"/>
    </row>
    <row r="758" spans="31:31" ht="15" x14ac:dyDescent="0.25">
      <c r="AE758"/>
    </row>
    <row r="759" spans="31:31" ht="15" x14ac:dyDescent="0.25">
      <c r="AE759"/>
    </row>
    <row r="760" spans="31:31" ht="15" x14ac:dyDescent="0.25">
      <c r="AE760"/>
    </row>
    <row r="761" spans="31:31" ht="15" x14ac:dyDescent="0.25">
      <c r="AE761"/>
    </row>
    <row r="762" spans="31:31" ht="15" x14ac:dyDescent="0.25">
      <c r="AE762"/>
    </row>
    <row r="763" spans="31:31" ht="15" x14ac:dyDescent="0.25">
      <c r="AE763"/>
    </row>
    <row r="764" spans="31:31" ht="15" x14ac:dyDescent="0.25">
      <c r="AE764"/>
    </row>
    <row r="765" spans="31:31" ht="15" x14ac:dyDescent="0.25">
      <c r="AE765"/>
    </row>
    <row r="766" spans="31:31" ht="15" x14ac:dyDescent="0.25">
      <c r="AE766"/>
    </row>
    <row r="767" spans="31:31" ht="15" x14ac:dyDescent="0.25">
      <c r="AE767"/>
    </row>
    <row r="768" spans="31:31" ht="15" x14ac:dyDescent="0.25">
      <c r="AE768"/>
    </row>
    <row r="769" spans="31:31" ht="15" x14ac:dyDescent="0.25">
      <c r="AE769"/>
    </row>
    <row r="770" spans="31:31" ht="15" x14ac:dyDescent="0.25">
      <c r="AE770"/>
    </row>
    <row r="771" spans="31:31" ht="15" x14ac:dyDescent="0.25">
      <c r="AE771"/>
    </row>
    <row r="772" spans="31:31" ht="15" x14ac:dyDescent="0.25">
      <c r="AE772"/>
    </row>
    <row r="773" spans="31:31" ht="15" x14ac:dyDescent="0.25">
      <c r="AE773"/>
    </row>
    <row r="774" spans="31:31" ht="15" x14ac:dyDescent="0.25">
      <c r="AE774"/>
    </row>
    <row r="775" spans="31:31" ht="15" x14ac:dyDescent="0.25">
      <c r="AE775"/>
    </row>
    <row r="776" spans="31:31" ht="15" x14ac:dyDescent="0.25">
      <c r="AE776"/>
    </row>
    <row r="777" spans="31:31" ht="15" x14ac:dyDescent="0.25">
      <c r="AE777"/>
    </row>
    <row r="778" spans="31:31" ht="15" x14ac:dyDescent="0.25">
      <c r="AE778"/>
    </row>
    <row r="779" spans="31:31" ht="15" x14ac:dyDescent="0.25">
      <c r="AE779"/>
    </row>
    <row r="780" spans="31:31" ht="15" x14ac:dyDescent="0.25">
      <c r="AE780"/>
    </row>
    <row r="781" spans="31:31" ht="15" x14ac:dyDescent="0.25">
      <c r="AE781"/>
    </row>
    <row r="782" spans="31:31" ht="15" x14ac:dyDescent="0.25">
      <c r="AE782"/>
    </row>
    <row r="783" spans="31:31" ht="15" x14ac:dyDescent="0.25">
      <c r="AE783"/>
    </row>
    <row r="784" spans="31:31" ht="15" x14ac:dyDescent="0.25">
      <c r="AE784"/>
    </row>
    <row r="785" spans="31:31" ht="15" x14ac:dyDescent="0.25">
      <c r="AE785"/>
    </row>
    <row r="786" spans="31:31" ht="15" x14ac:dyDescent="0.25">
      <c r="AE786"/>
    </row>
    <row r="787" spans="31:31" ht="15" x14ac:dyDescent="0.25">
      <c r="AE787"/>
    </row>
    <row r="788" spans="31:31" ht="15" x14ac:dyDescent="0.25">
      <c r="AE788"/>
    </row>
    <row r="789" spans="31:31" ht="15" x14ac:dyDescent="0.25">
      <c r="AE789"/>
    </row>
    <row r="790" spans="31:31" ht="15" x14ac:dyDescent="0.25">
      <c r="AE790"/>
    </row>
    <row r="791" spans="31:31" ht="15" x14ac:dyDescent="0.25">
      <c r="AE791"/>
    </row>
    <row r="792" spans="31:31" ht="15" x14ac:dyDescent="0.25">
      <c r="AE792"/>
    </row>
    <row r="793" spans="31:31" ht="15" x14ac:dyDescent="0.25">
      <c r="AE793"/>
    </row>
    <row r="794" spans="31:31" ht="15" x14ac:dyDescent="0.25">
      <c r="AE794"/>
    </row>
    <row r="795" spans="31:31" ht="15" x14ac:dyDescent="0.25">
      <c r="AE795"/>
    </row>
    <row r="796" spans="31:31" ht="15" x14ac:dyDescent="0.25">
      <c r="AE796"/>
    </row>
    <row r="797" spans="31:31" ht="15" x14ac:dyDescent="0.25">
      <c r="AE797"/>
    </row>
    <row r="798" spans="31:31" ht="15" x14ac:dyDescent="0.25">
      <c r="AE798"/>
    </row>
    <row r="799" spans="31:31" ht="15" x14ac:dyDescent="0.25">
      <c r="AE799"/>
    </row>
    <row r="800" spans="31:31" ht="15" x14ac:dyDescent="0.25">
      <c r="AE800"/>
    </row>
    <row r="801" spans="31:31" ht="15" x14ac:dyDescent="0.25">
      <c r="AE801"/>
    </row>
    <row r="802" spans="31:31" ht="15" x14ac:dyDescent="0.25">
      <c r="AE802"/>
    </row>
    <row r="803" spans="31:31" ht="15" x14ac:dyDescent="0.25">
      <c r="AE803"/>
    </row>
    <row r="804" spans="31:31" ht="15" x14ac:dyDescent="0.25">
      <c r="AE804"/>
    </row>
    <row r="805" spans="31:31" ht="15" x14ac:dyDescent="0.25">
      <c r="AE805"/>
    </row>
    <row r="806" spans="31:31" ht="15" x14ac:dyDescent="0.25">
      <c r="AE806"/>
    </row>
    <row r="807" spans="31:31" ht="15" x14ac:dyDescent="0.25">
      <c r="AE807"/>
    </row>
    <row r="808" spans="31:31" ht="15" x14ac:dyDescent="0.25">
      <c r="AE808"/>
    </row>
    <row r="809" spans="31:31" ht="15" x14ac:dyDescent="0.25">
      <c r="AE809"/>
    </row>
    <row r="810" spans="31:31" ht="15" x14ac:dyDescent="0.25">
      <c r="AE810"/>
    </row>
    <row r="811" spans="31:31" ht="15" x14ac:dyDescent="0.25">
      <c r="AE811"/>
    </row>
    <row r="812" spans="31:31" ht="15" x14ac:dyDescent="0.25">
      <c r="AE812"/>
    </row>
    <row r="813" spans="31:31" ht="15" x14ac:dyDescent="0.25">
      <c r="AE813"/>
    </row>
    <row r="814" spans="31:31" ht="15" x14ac:dyDescent="0.25">
      <c r="AE814"/>
    </row>
    <row r="815" spans="31:31" ht="15" x14ac:dyDescent="0.25">
      <c r="AE815"/>
    </row>
    <row r="816" spans="31:31" ht="15" x14ac:dyDescent="0.25">
      <c r="AE816"/>
    </row>
    <row r="817" spans="31:31" ht="15" x14ac:dyDescent="0.25">
      <c r="AE817"/>
    </row>
    <row r="818" spans="31:31" ht="15" x14ac:dyDescent="0.25">
      <c r="AE818"/>
    </row>
    <row r="819" spans="31:31" ht="15" x14ac:dyDescent="0.25">
      <c r="AE819"/>
    </row>
    <row r="820" spans="31:31" ht="15" x14ac:dyDescent="0.25">
      <c r="AE820"/>
    </row>
    <row r="821" spans="31:31" ht="15" x14ac:dyDescent="0.25">
      <c r="AE821"/>
    </row>
    <row r="822" spans="31:31" ht="15" x14ac:dyDescent="0.25">
      <c r="AE822"/>
    </row>
    <row r="823" spans="31:31" ht="15" x14ac:dyDescent="0.25">
      <c r="AE823"/>
    </row>
    <row r="824" spans="31:31" ht="15" x14ac:dyDescent="0.25">
      <c r="AE824"/>
    </row>
    <row r="825" spans="31:31" ht="15" x14ac:dyDescent="0.25">
      <c r="AE825"/>
    </row>
    <row r="826" spans="31:31" ht="15" x14ac:dyDescent="0.25">
      <c r="AE826"/>
    </row>
    <row r="827" spans="31:31" ht="15" x14ac:dyDescent="0.25">
      <c r="AE827"/>
    </row>
    <row r="828" spans="31:31" ht="15" x14ac:dyDescent="0.25">
      <c r="AE828"/>
    </row>
    <row r="829" spans="31:31" ht="15" x14ac:dyDescent="0.25">
      <c r="AE829"/>
    </row>
    <row r="830" spans="31:31" ht="15" x14ac:dyDescent="0.25">
      <c r="AE830"/>
    </row>
    <row r="831" spans="31:31" ht="15" x14ac:dyDescent="0.25">
      <c r="AE831"/>
    </row>
    <row r="832" spans="31:31" ht="15" x14ac:dyDescent="0.25">
      <c r="AE832"/>
    </row>
    <row r="833" spans="31:31" ht="15" x14ac:dyDescent="0.25">
      <c r="AE833"/>
    </row>
    <row r="834" spans="31:31" ht="15" x14ac:dyDescent="0.25">
      <c r="AE834"/>
    </row>
    <row r="835" spans="31:31" ht="15" x14ac:dyDescent="0.25">
      <c r="AE835"/>
    </row>
    <row r="836" spans="31:31" ht="15" x14ac:dyDescent="0.25">
      <c r="AE836"/>
    </row>
    <row r="837" spans="31:31" ht="15" x14ac:dyDescent="0.25">
      <c r="AE837"/>
    </row>
    <row r="838" spans="31:31" ht="15" x14ac:dyDescent="0.25">
      <c r="AE838"/>
    </row>
    <row r="839" spans="31:31" ht="15" x14ac:dyDescent="0.25">
      <c r="AE839"/>
    </row>
    <row r="840" spans="31:31" ht="15" x14ac:dyDescent="0.25">
      <c r="AE840"/>
    </row>
    <row r="841" spans="31:31" ht="15" x14ac:dyDescent="0.25">
      <c r="AE841"/>
    </row>
    <row r="842" spans="31:31" ht="15" x14ac:dyDescent="0.25">
      <c r="AE842"/>
    </row>
    <row r="843" spans="31:31" ht="15" x14ac:dyDescent="0.25">
      <c r="AE843"/>
    </row>
    <row r="844" spans="31:31" ht="15" x14ac:dyDescent="0.25">
      <c r="AE844"/>
    </row>
    <row r="845" spans="31:31" ht="15" x14ac:dyDescent="0.25">
      <c r="AE845"/>
    </row>
    <row r="846" spans="31:31" ht="15" x14ac:dyDescent="0.25">
      <c r="AE846"/>
    </row>
    <row r="847" spans="31:31" ht="15" x14ac:dyDescent="0.25">
      <c r="AE847"/>
    </row>
    <row r="848" spans="31:31" ht="15" x14ac:dyDescent="0.25">
      <c r="AE848"/>
    </row>
    <row r="849" spans="31:31" ht="15" x14ac:dyDescent="0.25">
      <c r="AE849"/>
    </row>
    <row r="850" spans="31:31" ht="15" x14ac:dyDescent="0.25">
      <c r="AE850"/>
    </row>
    <row r="851" spans="31:31" ht="15" x14ac:dyDescent="0.25">
      <c r="AE851"/>
    </row>
    <row r="852" spans="31:31" ht="15" x14ac:dyDescent="0.25">
      <c r="AE852"/>
    </row>
    <row r="853" spans="31:31" ht="15" x14ac:dyDescent="0.25">
      <c r="AE853"/>
    </row>
    <row r="854" spans="31:31" ht="15" x14ac:dyDescent="0.25">
      <c r="AE854"/>
    </row>
    <row r="855" spans="31:31" ht="15" x14ac:dyDescent="0.25">
      <c r="AE855"/>
    </row>
    <row r="856" spans="31:31" ht="15" x14ac:dyDescent="0.25">
      <c r="AE856"/>
    </row>
    <row r="857" spans="31:31" ht="15" x14ac:dyDescent="0.25">
      <c r="AE857"/>
    </row>
    <row r="858" spans="31:31" ht="15" x14ac:dyDescent="0.25">
      <c r="AE858"/>
    </row>
    <row r="859" spans="31:31" ht="15" x14ac:dyDescent="0.25">
      <c r="AE859"/>
    </row>
    <row r="860" spans="31:31" ht="15" x14ac:dyDescent="0.25">
      <c r="AE860"/>
    </row>
    <row r="861" spans="31:31" ht="15" x14ac:dyDescent="0.25">
      <c r="AE861"/>
    </row>
    <row r="862" spans="31:31" ht="15" x14ac:dyDescent="0.25">
      <c r="AE862"/>
    </row>
    <row r="863" spans="31:31" ht="15" x14ac:dyDescent="0.25">
      <c r="AE863"/>
    </row>
    <row r="864" spans="31:31" ht="15" x14ac:dyDescent="0.25">
      <c r="AE864"/>
    </row>
    <row r="865" spans="31:31" ht="15" x14ac:dyDescent="0.25">
      <c r="AE865"/>
    </row>
    <row r="866" spans="31:31" ht="15" x14ac:dyDescent="0.25">
      <c r="AE866"/>
    </row>
    <row r="867" spans="31:31" ht="15" x14ac:dyDescent="0.25">
      <c r="AE867"/>
    </row>
    <row r="868" spans="31:31" ht="15" x14ac:dyDescent="0.25">
      <c r="AE868"/>
    </row>
    <row r="869" spans="31:31" ht="15" x14ac:dyDescent="0.25">
      <c r="AE869"/>
    </row>
    <row r="870" spans="31:31" ht="15" x14ac:dyDescent="0.25">
      <c r="AE870"/>
    </row>
    <row r="871" spans="31:31" ht="15" x14ac:dyDescent="0.25">
      <c r="AE871"/>
    </row>
    <row r="872" spans="31:31" ht="15" x14ac:dyDescent="0.25">
      <c r="AE872"/>
    </row>
    <row r="873" spans="31:31" ht="15" x14ac:dyDescent="0.25">
      <c r="AE873"/>
    </row>
    <row r="874" spans="31:31" ht="15" x14ac:dyDescent="0.25">
      <c r="AE874"/>
    </row>
    <row r="875" spans="31:31" ht="15" x14ac:dyDescent="0.25">
      <c r="AE875"/>
    </row>
    <row r="876" spans="31:31" ht="15" x14ac:dyDescent="0.25">
      <c r="AE876"/>
    </row>
    <row r="877" spans="31:31" ht="15" x14ac:dyDescent="0.25">
      <c r="AE877"/>
    </row>
    <row r="878" spans="31:31" ht="15" x14ac:dyDescent="0.25">
      <c r="AE878"/>
    </row>
    <row r="879" spans="31:31" ht="15" x14ac:dyDescent="0.25">
      <c r="AE879"/>
    </row>
    <row r="880" spans="31:31" ht="15" x14ac:dyDescent="0.25">
      <c r="AE880"/>
    </row>
    <row r="881" spans="31:31" ht="15" x14ac:dyDescent="0.25">
      <c r="AE881"/>
    </row>
    <row r="882" spans="31:31" ht="15" x14ac:dyDescent="0.25">
      <c r="AE882"/>
    </row>
    <row r="883" spans="31:31" ht="15" x14ac:dyDescent="0.25">
      <c r="AE883"/>
    </row>
    <row r="884" spans="31:31" ht="15" x14ac:dyDescent="0.25">
      <c r="AE884"/>
    </row>
    <row r="885" spans="31:31" ht="15" x14ac:dyDescent="0.25">
      <c r="AE885"/>
    </row>
    <row r="886" spans="31:31" ht="15" x14ac:dyDescent="0.25">
      <c r="AE886"/>
    </row>
    <row r="887" spans="31:31" ht="15" x14ac:dyDescent="0.25">
      <c r="AE887"/>
    </row>
    <row r="888" spans="31:31" ht="15" x14ac:dyDescent="0.25">
      <c r="AE888"/>
    </row>
    <row r="889" spans="31:31" ht="15" x14ac:dyDescent="0.25">
      <c r="AE889"/>
    </row>
    <row r="890" spans="31:31" ht="15" x14ac:dyDescent="0.25">
      <c r="AE890"/>
    </row>
    <row r="891" spans="31:31" ht="15" x14ac:dyDescent="0.25">
      <c r="AE891"/>
    </row>
    <row r="892" spans="31:31" ht="15" x14ac:dyDescent="0.25">
      <c r="AE892"/>
    </row>
    <row r="893" spans="31:31" ht="15" x14ac:dyDescent="0.25">
      <c r="AE893"/>
    </row>
    <row r="894" spans="31:31" ht="15" x14ac:dyDescent="0.25">
      <c r="AE894"/>
    </row>
    <row r="895" spans="31:31" ht="15" x14ac:dyDescent="0.25">
      <c r="AE895"/>
    </row>
    <row r="896" spans="31:31" ht="15" x14ac:dyDescent="0.25">
      <c r="AE896"/>
    </row>
    <row r="897" spans="31:31" ht="15" x14ac:dyDescent="0.25">
      <c r="AE897"/>
    </row>
    <row r="898" spans="31:31" ht="15" x14ac:dyDescent="0.25">
      <c r="AE898"/>
    </row>
    <row r="899" spans="31:31" ht="15" x14ac:dyDescent="0.25">
      <c r="AE899"/>
    </row>
    <row r="900" spans="31:31" ht="15" x14ac:dyDescent="0.25">
      <c r="AE900"/>
    </row>
    <row r="901" spans="31:31" ht="15" x14ac:dyDescent="0.25">
      <c r="AE901"/>
    </row>
    <row r="902" spans="31:31" ht="15" x14ac:dyDescent="0.25">
      <c r="AE902"/>
    </row>
    <row r="903" spans="31:31" ht="15" x14ac:dyDescent="0.25">
      <c r="AE903"/>
    </row>
    <row r="904" spans="31:31" ht="15" x14ac:dyDescent="0.25">
      <c r="AE904"/>
    </row>
    <row r="905" spans="31:31" ht="15" x14ac:dyDescent="0.25">
      <c r="AE905"/>
    </row>
    <row r="906" spans="31:31" ht="15" x14ac:dyDescent="0.25">
      <c r="AE906"/>
    </row>
    <row r="907" spans="31:31" ht="15" x14ac:dyDescent="0.25">
      <c r="AE907"/>
    </row>
    <row r="908" spans="31:31" ht="15" x14ac:dyDescent="0.25">
      <c r="AE908"/>
    </row>
    <row r="909" spans="31:31" ht="15" x14ac:dyDescent="0.25">
      <c r="AE909"/>
    </row>
    <row r="910" spans="31:31" ht="15" x14ac:dyDescent="0.25">
      <c r="AE910"/>
    </row>
    <row r="911" spans="31:31" ht="15" x14ac:dyDescent="0.25">
      <c r="AE911"/>
    </row>
    <row r="912" spans="31:31" ht="15" x14ac:dyDescent="0.25">
      <c r="AE912"/>
    </row>
    <row r="913" spans="31:31" ht="15" x14ac:dyDescent="0.25">
      <c r="AE913"/>
    </row>
    <row r="914" spans="31:31" ht="15" x14ac:dyDescent="0.25">
      <c r="AE914"/>
    </row>
    <row r="915" spans="31:31" ht="15" x14ac:dyDescent="0.25">
      <c r="AE915"/>
    </row>
    <row r="916" spans="31:31" ht="15" x14ac:dyDescent="0.25">
      <c r="AE916"/>
    </row>
    <row r="917" spans="31:31" ht="15" x14ac:dyDescent="0.25">
      <c r="AE917"/>
    </row>
    <row r="918" spans="31:31" ht="15" x14ac:dyDescent="0.25">
      <c r="AE918"/>
    </row>
    <row r="919" spans="31:31" ht="15" x14ac:dyDescent="0.25">
      <c r="AE919"/>
    </row>
    <row r="920" spans="31:31" ht="15" x14ac:dyDescent="0.25">
      <c r="AE920"/>
    </row>
    <row r="921" spans="31:31" ht="15" x14ac:dyDescent="0.25">
      <c r="AE921"/>
    </row>
    <row r="922" spans="31:31" ht="15" x14ac:dyDescent="0.25">
      <c r="AE922"/>
    </row>
    <row r="923" spans="31:31" ht="15" x14ac:dyDescent="0.25">
      <c r="AE923"/>
    </row>
    <row r="924" spans="31:31" ht="15" x14ac:dyDescent="0.25">
      <c r="AE924"/>
    </row>
    <row r="925" spans="31:31" ht="15" x14ac:dyDescent="0.25">
      <c r="AE925"/>
    </row>
    <row r="926" spans="31:31" ht="15" x14ac:dyDescent="0.25">
      <c r="AE926"/>
    </row>
    <row r="927" spans="31:31" ht="15" x14ac:dyDescent="0.25">
      <c r="AE927"/>
    </row>
    <row r="928" spans="31:31" ht="15" x14ac:dyDescent="0.25">
      <c r="AE928"/>
    </row>
    <row r="929" spans="31:31" ht="15" x14ac:dyDescent="0.25">
      <c r="AE929"/>
    </row>
    <row r="930" spans="31:31" ht="15" x14ac:dyDescent="0.25">
      <c r="AE930"/>
    </row>
    <row r="931" spans="31:31" ht="15" x14ac:dyDescent="0.25">
      <c r="AE931"/>
    </row>
    <row r="932" spans="31:31" ht="15" x14ac:dyDescent="0.25">
      <c r="AE932"/>
    </row>
    <row r="933" spans="31:31" ht="15" x14ac:dyDescent="0.25">
      <c r="AE933"/>
    </row>
    <row r="934" spans="31:31" ht="15" x14ac:dyDescent="0.25">
      <c r="AE934"/>
    </row>
    <row r="935" spans="31:31" ht="15" x14ac:dyDescent="0.25">
      <c r="AE935"/>
    </row>
    <row r="936" spans="31:31" ht="15" x14ac:dyDescent="0.25">
      <c r="AE936"/>
    </row>
    <row r="937" spans="31:31" ht="15" x14ac:dyDescent="0.25">
      <c r="AE937"/>
    </row>
    <row r="938" spans="31:31" ht="15" x14ac:dyDescent="0.25">
      <c r="AE938"/>
    </row>
    <row r="939" spans="31:31" ht="15" x14ac:dyDescent="0.25">
      <c r="AE939"/>
    </row>
    <row r="940" spans="31:31" ht="15" x14ac:dyDescent="0.25">
      <c r="AE940"/>
    </row>
    <row r="941" spans="31:31" ht="15" x14ac:dyDescent="0.25">
      <c r="AE941"/>
    </row>
    <row r="942" spans="31:31" ht="15" x14ac:dyDescent="0.25">
      <c r="AE942"/>
    </row>
    <row r="943" spans="31:31" ht="15" x14ac:dyDescent="0.25">
      <c r="AE943"/>
    </row>
    <row r="944" spans="31:31" ht="15" x14ac:dyDescent="0.25">
      <c r="AE944"/>
    </row>
    <row r="945" spans="31:31" ht="15" x14ac:dyDescent="0.25">
      <c r="AE945"/>
    </row>
    <row r="946" spans="31:31" ht="15" x14ac:dyDescent="0.25">
      <c r="AE946"/>
    </row>
    <row r="947" spans="31:31" ht="15" x14ac:dyDescent="0.25">
      <c r="AE947"/>
    </row>
    <row r="948" spans="31:31" ht="15" x14ac:dyDescent="0.25">
      <c r="AE948"/>
    </row>
    <row r="949" spans="31:31" ht="15" x14ac:dyDescent="0.25">
      <c r="AE949"/>
    </row>
    <row r="950" spans="31:31" ht="15" x14ac:dyDescent="0.25">
      <c r="AE950"/>
    </row>
    <row r="951" spans="31:31" ht="15" x14ac:dyDescent="0.25">
      <c r="AE951"/>
    </row>
    <row r="952" spans="31:31" ht="15" x14ac:dyDescent="0.25">
      <c r="AE952"/>
    </row>
    <row r="953" spans="31:31" ht="15" x14ac:dyDescent="0.25">
      <c r="AE953"/>
    </row>
    <row r="954" spans="31:31" ht="15" x14ac:dyDescent="0.25">
      <c r="AE954"/>
    </row>
    <row r="955" spans="31:31" ht="15" x14ac:dyDescent="0.25">
      <c r="AE955"/>
    </row>
    <row r="956" spans="31:31" ht="15" x14ac:dyDescent="0.25">
      <c r="AE956"/>
    </row>
    <row r="957" spans="31:31" ht="15" x14ac:dyDescent="0.25">
      <c r="AE957"/>
    </row>
    <row r="958" spans="31:31" ht="15" x14ac:dyDescent="0.25">
      <c r="AE958"/>
    </row>
    <row r="959" spans="31:31" ht="15" x14ac:dyDescent="0.25">
      <c r="AE959"/>
    </row>
    <row r="960" spans="31:31" ht="15" x14ac:dyDescent="0.25">
      <c r="AE960"/>
    </row>
    <row r="961" spans="31:31" ht="15" x14ac:dyDescent="0.25">
      <c r="AE961"/>
    </row>
    <row r="962" spans="31:31" ht="15" x14ac:dyDescent="0.25">
      <c r="AE962"/>
    </row>
    <row r="963" spans="31:31" ht="15" x14ac:dyDescent="0.25">
      <c r="AE963"/>
    </row>
    <row r="964" spans="31:31" ht="15" x14ac:dyDescent="0.25">
      <c r="AE964"/>
    </row>
    <row r="965" spans="31:31" ht="15" x14ac:dyDescent="0.25">
      <c r="AE965"/>
    </row>
    <row r="966" spans="31:31" ht="15" x14ac:dyDescent="0.25">
      <c r="AE966"/>
    </row>
    <row r="967" spans="31:31" ht="15" x14ac:dyDescent="0.25">
      <c r="AE967"/>
    </row>
    <row r="968" spans="31:31" ht="15" x14ac:dyDescent="0.25">
      <c r="AE968"/>
    </row>
    <row r="969" spans="31:31" ht="15" x14ac:dyDescent="0.25">
      <c r="AE969"/>
    </row>
    <row r="970" spans="31:31" ht="15" x14ac:dyDescent="0.25">
      <c r="AE970"/>
    </row>
    <row r="971" spans="31:31" ht="15" x14ac:dyDescent="0.25">
      <c r="AE971"/>
    </row>
    <row r="972" spans="31:31" ht="15" x14ac:dyDescent="0.25">
      <c r="AE972"/>
    </row>
    <row r="973" spans="31:31" ht="15" x14ac:dyDescent="0.25">
      <c r="AE973"/>
    </row>
    <row r="974" spans="31:31" ht="15" x14ac:dyDescent="0.25">
      <c r="AE974"/>
    </row>
    <row r="975" spans="31:31" ht="15" x14ac:dyDescent="0.25">
      <c r="AE975"/>
    </row>
    <row r="976" spans="31:31" ht="15" x14ac:dyDescent="0.25">
      <c r="AE976"/>
    </row>
    <row r="977" spans="31:31" ht="15" x14ac:dyDescent="0.25">
      <c r="AE977"/>
    </row>
    <row r="978" spans="31:31" ht="15" x14ac:dyDescent="0.25">
      <c r="AE978"/>
    </row>
    <row r="979" spans="31:31" ht="15" x14ac:dyDescent="0.25">
      <c r="AE979"/>
    </row>
    <row r="980" spans="31:31" ht="15" x14ac:dyDescent="0.25">
      <c r="AE980"/>
    </row>
    <row r="981" spans="31:31" ht="15" x14ac:dyDescent="0.25">
      <c r="AE981"/>
    </row>
    <row r="982" spans="31:31" ht="15" x14ac:dyDescent="0.25">
      <c r="AE982"/>
    </row>
    <row r="983" spans="31:31" ht="15" x14ac:dyDescent="0.25">
      <c r="AE983"/>
    </row>
    <row r="984" spans="31:31" ht="15" x14ac:dyDescent="0.25">
      <c r="AE984"/>
    </row>
    <row r="985" spans="31:31" ht="15" x14ac:dyDescent="0.25">
      <c r="AE985"/>
    </row>
    <row r="986" spans="31:31" ht="15" x14ac:dyDescent="0.25">
      <c r="AE986"/>
    </row>
    <row r="987" spans="31:31" ht="15" x14ac:dyDescent="0.25">
      <c r="AE987"/>
    </row>
    <row r="988" spans="31:31" ht="15" x14ac:dyDescent="0.25">
      <c r="AE988"/>
    </row>
    <row r="989" spans="31:31" ht="15" x14ac:dyDescent="0.25">
      <c r="AE989"/>
    </row>
    <row r="990" spans="31:31" ht="15" x14ac:dyDescent="0.25">
      <c r="AE990"/>
    </row>
    <row r="991" spans="31:31" ht="15" x14ac:dyDescent="0.25">
      <c r="AE991"/>
    </row>
    <row r="992" spans="31:31" ht="15" x14ac:dyDescent="0.25">
      <c r="AE992"/>
    </row>
    <row r="993" spans="31:31" ht="15" x14ac:dyDescent="0.25">
      <c r="AE993"/>
    </row>
    <row r="994" spans="31:31" ht="15" x14ac:dyDescent="0.25">
      <c r="AE994"/>
    </row>
    <row r="995" spans="31:31" ht="15" x14ac:dyDescent="0.25">
      <c r="AE995"/>
    </row>
    <row r="996" spans="31:31" ht="15" x14ac:dyDescent="0.25">
      <c r="AE996"/>
    </row>
    <row r="997" spans="31:31" ht="15" x14ac:dyDescent="0.25">
      <c r="AE997"/>
    </row>
    <row r="998" spans="31:31" ht="15" x14ac:dyDescent="0.25">
      <c r="AE998"/>
    </row>
    <row r="999" spans="31:31" ht="15" x14ac:dyDescent="0.25">
      <c r="AE999"/>
    </row>
    <row r="1000" spans="31:31" ht="15" x14ac:dyDescent="0.25">
      <c r="AE1000"/>
    </row>
    <row r="1001" spans="31:31" ht="15" x14ac:dyDescent="0.25">
      <c r="AE1001"/>
    </row>
    <row r="1002" spans="31:31" ht="15" x14ac:dyDescent="0.25">
      <c r="AE1002"/>
    </row>
    <row r="1003" spans="31:31" ht="15" x14ac:dyDescent="0.25">
      <c r="AE1003"/>
    </row>
    <row r="1004" spans="31:31" ht="15" x14ac:dyDescent="0.25">
      <c r="AE1004"/>
    </row>
    <row r="1005" spans="31:31" ht="15" x14ac:dyDescent="0.25">
      <c r="AE1005"/>
    </row>
    <row r="1006" spans="31:31" ht="15" x14ac:dyDescent="0.25">
      <c r="AE1006"/>
    </row>
    <row r="1007" spans="31:31" ht="15" x14ac:dyDescent="0.25">
      <c r="AE1007"/>
    </row>
    <row r="1008" spans="31:31" ht="15" x14ac:dyDescent="0.25">
      <c r="AE1008"/>
    </row>
    <row r="1009" spans="31:31" ht="15" x14ac:dyDescent="0.25">
      <c r="AE1009"/>
    </row>
    <row r="1010" spans="31:31" ht="15" x14ac:dyDescent="0.25">
      <c r="AE1010"/>
    </row>
    <row r="1011" spans="31:31" ht="15" x14ac:dyDescent="0.25">
      <c r="AE1011"/>
    </row>
    <row r="1012" spans="31:31" ht="15" x14ac:dyDescent="0.25">
      <c r="AE1012"/>
    </row>
    <row r="1013" spans="31:31" ht="15" x14ac:dyDescent="0.25">
      <c r="AE1013"/>
    </row>
    <row r="1014" spans="31:31" ht="15" x14ac:dyDescent="0.25">
      <c r="AE1014"/>
    </row>
    <row r="1015" spans="31:31" ht="15" x14ac:dyDescent="0.25">
      <c r="AE1015"/>
    </row>
    <row r="1016" spans="31:31" ht="15" x14ac:dyDescent="0.25">
      <c r="AE1016"/>
    </row>
    <row r="1017" spans="31:31" ht="15" x14ac:dyDescent="0.25">
      <c r="AE1017"/>
    </row>
    <row r="1018" spans="31:31" ht="15" x14ac:dyDescent="0.25">
      <c r="AE1018"/>
    </row>
    <row r="1019" spans="31:31" ht="15" x14ac:dyDescent="0.25">
      <c r="AE1019"/>
    </row>
    <row r="1020" spans="31:31" ht="15" x14ac:dyDescent="0.25">
      <c r="AE1020"/>
    </row>
    <row r="1021" spans="31:31" ht="15" x14ac:dyDescent="0.25">
      <c r="AE1021"/>
    </row>
    <row r="1022" spans="31:31" ht="15" x14ac:dyDescent="0.25">
      <c r="AE1022"/>
    </row>
    <row r="1023" spans="31:31" ht="15" x14ac:dyDescent="0.25">
      <c r="AE1023"/>
    </row>
    <row r="1024" spans="31:31" ht="15" x14ac:dyDescent="0.25">
      <c r="AE1024"/>
    </row>
    <row r="1025" spans="31:31" ht="15" x14ac:dyDescent="0.25">
      <c r="AE1025"/>
    </row>
    <row r="1026" spans="31:31" ht="15" x14ac:dyDescent="0.25">
      <c r="AE1026"/>
    </row>
    <row r="1027" spans="31:31" ht="15" x14ac:dyDescent="0.25">
      <c r="AE1027"/>
    </row>
    <row r="1028" spans="31:31" ht="15" x14ac:dyDescent="0.25">
      <c r="AE1028"/>
    </row>
    <row r="1029" spans="31:31" ht="15" x14ac:dyDescent="0.25">
      <c r="AE1029"/>
    </row>
    <row r="1030" spans="31:31" ht="15" x14ac:dyDescent="0.25">
      <c r="AE1030"/>
    </row>
    <row r="1031" spans="31:31" ht="15" x14ac:dyDescent="0.25">
      <c r="AE1031"/>
    </row>
    <row r="1032" spans="31:31" ht="15" x14ac:dyDescent="0.25">
      <c r="AE1032"/>
    </row>
    <row r="1033" spans="31:31" ht="15" x14ac:dyDescent="0.25">
      <c r="AE1033"/>
    </row>
    <row r="1034" spans="31:31" ht="15" x14ac:dyDescent="0.25">
      <c r="AE1034"/>
    </row>
    <row r="1035" spans="31:31" ht="15" x14ac:dyDescent="0.25">
      <c r="AE1035"/>
    </row>
    <row r="1036" spans="31:31" ht="15" x14ac:dyDescent="0.25">
      <c r="AE1036"/>
    </row>
    <row r="1037" spans="31:31" ht="15" x14ac:dyDescent="0.25">
      <c r="AE1037"/>
    </row>
    <row r="1038" spans="31:31" ht="15" x14ac:dyDescent="0.25">
      <c r="AE1038"/>
    </row>
    <row r="1039" spans="31:31" ht="15" x14ac:dyDescent="0.25">
      <c r="AE1039"/>
    </row>
    <row r="1040" spans="31:31" ht="15" x14ac:dyDescent="0.25">
      <c r="AE1040"/>
    </row>
    <row r="1041" spans="31:31" ht="15" x14ac:dyDescent="0.25">
      <c r="AE1041"/>
    </row>
    <row r="1042" spans="31:31" ht="15" x14ac:dyDescent="0.25">
      <c r="AE1042"/>
    </row>
    <row r="1043" spans="31:31" ht="15" x14ac:dyDescent="0.25">
      <c r="AE1043"/>
    </row>
    <row r="1044" spans="31:31" ht="15" x14ac:dyDescent="0.25">
      <c r="AE1044"/>
    </row>
    <row r="1045" spans="31:31" ht="15" x14ac:dyDescent="0.25">
      <c r="AE1045"/>
    </row>
    <row r="1046" spans="31:31" ht="15" x14ac:dyDescent="0.25">
      <c r="AE1046"/>
    </row>
    <row r="1047" spans="31:31" ht="15" x14ac:dyDescent="0.25">
      <c r="AE1047"/>
    </row>
    <row r="1048" spans="31:31" ht="15" x14ac:dyDescent="0.25">
      <c r="AE1048"/>
    </row>
    <row r="1049" spans="31:31" ht="15" x14ac:dyDescent="0.25">
      <c r="AE1049"/>
    </row>
    <row r="1050" spans="31:31" ht="15" x14ac:dyDescent="0.25">
      <c r="AE1050"/>
    </row>
    <row r="1051" spans="31:31" ht="15" x14ac:dyDescent="0.25">
      <c r="AE1051"/>
    </row>
    <row r="1052" spans="31:31" ht="15" x14ac:dyDescent="0.25">
      <c r="AE1052"/>
    </row>
    <row r="1053" spans="31:31" ht="15" x14ac:dyDescent="0.25">
      <c r="AE1053"/>
    </row>
    <row r="1054" spans="31:31" ht="15" x14ac:dyDescent="0.25">
      <c r="AE1054"/>
    </row>
    <row r="1055" spans="31:31" ht="15" x14ac:dyDescent="0.25">
      <c r="AE1055"/>
    </row>
    <row r="1056" spans="31:31" ht="15" x14ac:dyDescent="0.25">
      <c r="AE1056"/>
    </row>
    <row r="1057" spans="31:31" ht="15" x14ac:dyDescent="0.25">
      <c r="AE1057"/>
    </row>
    <row r="1058" spans="31:31" ht="15" x14ac:dyDescent="0.25">
      <c r="AE1058"/>
    </row>
    <row r="1059" spans="31:31" ht="15" x14ac:dyDescent="0.25">
      <c r="AE1059"/>
    </row>
    <row r="1060" spans="31:31" ht="15" x14ac:dyDescent="0.25">
      <c r="AE1060"/>
    </row>
    <row r="1061" spans="31:31" ht="15" x14ac:dyDescent="0.25">
      <c r="AE1061"/>
    </row>
    <row r="1062" spans="31:31" ht="15" x14ac:dyDescent="0.25">
      <c r="AE1062"/>
    </row>
    <row r="1063" spans="31:31" ht="15" x14ac:dyDescent="0.25">
      <c r="AE1063"/>
    </row>
    <row r="1064" spans="31:31" ht="15" x14ac:dyDescent="0.25">
      <c r="AE1064"/>
    </row>
    <row r="1065" spans="31:31" ht="15" x14ac:dyDescent="0.25">
      <c r="AE1065"/>
    </row>
    <row r="1066" spans="31:31" ht="15" x14ac:dyDescent="0.25">
      <c r="AE1066"/>
    </row>
    <row r="1067" spans="31:31" ht="15" x14ac:dyDescent="0.25">
      <c r="AE1067"/>
    </row>
    <row r="1068" spans="31:31" ht="15" x14ac:dyDescent="0.25">
      <c r="AE1068"/>
    </row>
    <row r="1069" spans="31:31" ht="15" x14ac:dyDescent="0.25">
      <c r="AE1069"/>
    </row>
    <row r="1070" spans="31:31" ht="15" x14ac:dyDescent="0.25">
      <c r="AE1070"/>
    </row>
    <row r="1071" spans="31:31" ht="15" x14ac:dyDescent="0.25">
      <c r="AE1071"/>
    </row>
    <row r="1072" spans="31:31" ht="15" x14ac:dyDescent="0.25">
      <c r="AE1072"/>
    </row>
    <row r="1073" spans="31:31" ht="15" x14ac:dyDescent="0.25">
      <c r="AE1073"/>
    </row>
    <row r="1074" spans="31:31" ht="15" x14ac:dyDescent="0.25">
      <c r="AE1074"/>
    </row>
    <row r="1075" spans="31:31" ht="15" x14ac:dyDescent="0.25">
      <c r="AE1075"/>
    </row>
    <row r="1076" spans="31:31" ht="15" x14ac:dyDescent="0.25">
      <c r="AE1076"/>
    </row>
    <row r="1077" spans="31:31" ht="15" x14ac:dyDescent="0.25">
      <c r="AE1077"/>
    </row>
    <row r="1078" spans="31:31" ht="15" x14ac:dyDescent="0.25">
      <c r="AE1078"/>
    </row>
    <row r="1079" spans="31:31" ht="15" x14ac:dyDescent="0.25">
      <c r="AE1079"/>
    </row>
    <row r="1080" spans="31:31" ht="15" x14ac:dyDescent="0.25">
      <c r="AE1080"/>
    </row>
    <row r="1081" spans="31:31" ht="15" x14ac:dyDescent="0.25">
      <c r="AE1081"/>
    </row>
    <row r="1082" spans="31:31" ht="15" x14ac:dyDescent="0.25">
      <c r="AE1082"/>
    </row>
    <row r="1083" spans="31:31" ht="15" x14ac:dyDescent="0.25">
      <c r="AE1083"/>
    </row>
    <row r="1084" spans="31:31" ht="15" x14ac:dyDescent="0.25">
      <c r="AE1084"/>
    </row>
    <row r="1085" spans="31:31" ht="15" x14ac:dyDescent="0.25">
      <c r="AE1085"/>
    </row>
    <row r="1086" spans="31:31" ht="15" x14ac:dyDescent="0.25">
      <c r="AE1086"/>
    </row>
    <row r="1087" spans="31:31" ht="15" x14ac:dyDescent="0.25">
      <c r="AE1087"/>
    </row>
    <row r="1088" spans="31:31" ht="15" x14ac:dyDescent="0.25">
      <c r="AE1088"/>
    </row>
    <row r="1089" spans="31:31" ht="15" x14ac:dyDescent="0.25">
      <c r="AE1089"/>
    </row>
    <row r="1090" spans="31:31" ht="15" x14ac:dyDescent="0.25">
      <c r="AE1090"/>
    </row>
    <row r="1091" spans="31:31" ht="15" x14ac:dyDescent="0.25">
      <c r="AE1091"/>
    </row>
    <row r="1092" spans="31:31" ht="15" x14ac:dyDescent="0.25">
      <c r="AE1092"/>
    </row>
    <row r="1093" spans="31:31" ht="15" x14ac:dyDescent="0.25">
      <c r="AE1093"/>
    </row>
    <row r="1094" spans="31:31" ht="15" x14ac:dyDescent="0.25">
      <c r="AE1094"/>
    </row>
    <row r="1095" spans="31:31" ht="15" x14ac:dyDescent="0.25">
      <c r="AE1095"/>
    </row>
    <row r="1096" spans="31:31" ht="15" x14ac:dyDescent="0.25">
      <c r="AE1096"/>
    </row>
    <row r="1097" spans="31:31" ht="15" x14ac:dyDescent="0.25">
      <c r="AE1097"/>
    </row>
    <row r="1098" spans="31:31" ht="15" x14ac:dyDescent="0.25">
      <c r="AE1098"/>
    </row>
    <row r="1099" spans="31:31" ht="15" x14ac:dyDescent="0.25">
      <c r="AE1099"/>
    </row>
    <row r="1100" spans="31:31" ht="15" x14ac:dyDescent="0.25">
      <c r="AE1100"/>
    </row>
    <row r="1101" spans="31:31" ht="15" x14ac:dyDescent="0.25">
      <c r="AE1101"/>
    </row>
    <row r="1102" spans="31:31" ht="15" x14ac:dyDescent="0.25">
      <c r="AE1102"/>
    </row>
    <row r="1103" spans="31:31" ht="15" x14ac:dyDescent="0.25">
      <c r="AE1103"/>
    </row>
    <row r="1104" spans="31:31" ht="15" x14ac:dyDescent="0.25">
      <c r="AE1104"/>
    </row>
    <row r="1105" spans="31:31" ht="15" x14ac:dyDescent="0.25">
      <c r="AE1105"/>
    </row>
    <row r="1106" spans="31:31" ht="15" x14ac:dyDescent="0.25">
      <c r="AE1106"/>
    </row>
    <row r="1107" spans="31:31" ht="15" x14ac:dyDescent="0.25">
      <c r="AE1107"/>
    </row>
    <row r="1108" spans="31:31" ht="15" x14ac:dyDescent="0.25">
      <c r="AE1108"/>
    </row>
    <row r="1109" spans="31:31" ht="15" x14ac:dyDescent="0.25">
      <c r="AE1109"/>
    </row>
    <row r="1110" spans="31:31" ht="15" x14ac:dyDescent="0.25">
      <c r="AE1110"/>
    </row>
    <row r="1111" spans="31:31" ht="15" x14ac:dyDescent="0.25">
      <c r="AE1111"/>
    </row>
    <row r="1112" spans="31:31" ht="15" x14ac:dyDescent="0.25">
      <c r="AE1112"/>
    </row>
    <row r="1113" spans="31:31" ht="15" x14ac:dyDescent="0.25">
      <c r="AE1113"/>
    </row>
    <row r="1114" spans="31:31" ht="15" x14ac:dyDescent="0.25">
      <c r="AE1114"/>
    </row>
    <row r="1115" spans="31:31" ht="15" x14ac:dyDescent="0.25">
      <c r="AE1115"/>
    </row>
    <row r="1116" spans="31:31" ht="15" x14ac:dyDescent="0.25">
      <c r="AE1116"/>
    </row>
    <row r="1117" spans="31:31" ht="15" x14ac:dyDescent="0.25">
      <c r="AE1117"/>
    </row>
    <row r="1118" spans="31:31" ht="15" x14ac:dyDescent="0.25">
      <c r="AE1118"/>
    </row>
    <row r="1119" spans="31:31" ht="15" x14ac:dyDescent="0.25">
      <c r="AE1119"/>
    </row>
    <row r="1120" spans="31:31" ht="15" x14ac:dyDescent="0.25">
      <c r="AE1120"/>
    </row>
    <row r="1121" spans="31:31" ht="15" x14ac:dyDescent="0.25">
      <c r="AE1121"/>
    </row>
    <row r="1122" spans="31:31" ht="15" x14ac:dyDescent="0.25">
      <c r="AE1122"/>
    </row>
    <row r="1123" spans="31:31" ht="15" x14ac:dyDescent="0.25">
      <c r="AE1123"/>
    </row>
    <row r="1124" spans="31:31" ht="15" x14ac:dyDescent="0.25">
      <c r="AE1124"/>
    </row>
    <row r="1125" spans="31:31" ht="15" x14ac:dyDescent="0.25">
      <c r="AE1125"/>
    </row>
    <row r="1126" spans="31:31" ht="15" x14ac:dyDescent="0.25">
      <c r="AE1126"/>
    </row>
    <row r="1127" spans="31:31" ht="15" x14ac:dyDescent="0.25">
      <c r="AE1127"/>
    </row>
    <row r="1128" spans="31:31" ht="15" x14ac:dyDescent="0.25">
      <c r="AE1128"/>
    </row>
    <row r="1129" spans="31:31" ht="15" x14ac:dyDescent="0.25">
      <c r="AE1129"/>
    </row>
    <row r="1130" spans="31:31" ht="15" x14ac:dyDescent="0.25">
      <c r="AE1130"/>
    </row>
    <row r="1131" spans="31:31" ht="15" x14ac:dyDescent="0.25">
      <c r="AE1131"/>
    </row>
    <row r="1132" spans="31:31" ht="15" x14ac:dyDescent="0.25">
      <c r="AE1132"/>
    </row>
    <row r="1133" spans="31:31" ht="15" x14ac:dyDescent="0.25">
      <c r="AE1133"/>
    </row>
    <row r="1134" spans="31:31" ht="15" x14ac:dyDescent="0.25">
      <c r="AE1134"/>
    </row>
    <row r="1135" spans="31:31" ht="15" x14ac:dyDescent="0.25">
      <c r="AE1135"/>
    </row>
    <row r="1136" spans="31:31" ht="15" x14ac:dyDescent="0.25">
      <c r="AE1136"/>
    </row>
    <row r="1137" spans="31:31" ht="15" x14ac:dyDescent="0.25">
      <c r="AE1137"/>
    </row>
    <row r="1138" spans="31:31" ht="15" x14ac:dyDescent="0.25">
      <c r="AE1138"/>
    </row>
    <row r="1139" spans="31:31" ht="15" x14ac:dyDescent="0.25">
      <c r="AE1139"/>
    </row>
    <row r="1140" spans="31:31" ht="15" x14ac:dyDescent="0.25">
      <c r="AE1140"/>
    </row>
    <row r="1141" spans="31:31" ht="15" x14ac:dyDescent="0.25">
      <c r="AE1141"/>
    </row>
    <row r="1142" spans="31:31" ht="15" x14ac:dyDescent="0.25">
      <c r="AE1142"/>
    </row>
    <row r="1143" spans="31:31" ht="15" x14ac:dyDescent="0.25">
      <c r="AE1143"/>
    </row>
    <row r="1144" spans="31:31" ht="15" x14ac:dyDescent="0.25">
      <c r="AE1144"/>
    </row>
    <row r="1145" spans="31:31" ht="15" x14ac:dyDescent="0.25">
      <c r="AE1145"/>
    </row>
    <row r="1146" spans="31:31" ht="15" x14ac:dyDescent="0.25">
      <c r="AE1146"/>
    </row>
    <row r="1147" spans="31:31" ht="15" x14ac:dyDescent="0.25">
      <c r="AE1147"/>
    </row>
    <row r="1148" spans="31:31" ht="15" x14ac:dyDescent="0.25">
      <c r="AE1148"/>
    </row>
    <row r="1149" spans="31:31" ht="15" x14ac:dyDescent="0.25">
      <c r="AE1149"/>
    </row>
    <row r="1150" spans="31:31" ht="15" x14ac:dyDescent="0.25">
      <c r="AE1150"/>
    </row>
    <row r="1151" spans="31:31" ht="15" x14ac:dyDescent="0.25">
      <c r="AE1151"/>
    </row>
    <row r="1152" spans="31:31" ht="15" x14ac:dyDescent="0.25">
      <c r="AE1152"/>
    </row>
    <row r="1153" spans="31:31" ht="15" x14ac:dyDescent="0.25">
      <c r="AE1153"/>
    </row>
    <row r="1154" spans="31:31" ht="15" x14ac:dyDescent="0.25">
      <c r="AE1154"/>
    </row>
    <row r="1155" spans="31:31" ht="15" x14ac:dyDescent="0.25">
      <c r="AE1155"/>
    </row>
    <row r="1156" spans="31:31" ht="15" x14ac:dyDescent="0.25">
      <c r="AE1156"/>
    </row>
    <row r="1157" spans="31:31" ht="15" x14ac:dyDescent="0.25">
      <c r="AE1157"/>
    </row>
    <row r="1158" spans="31:31" ht="15" x14ac:dyDescent="0.25">
      <c r="AE1158"/>
    </row>
    <row r="1159" spans="31:31" ht="15" x14ac:dyDescent="0.25">
      <c r="AE1159"/>
    </row>
    <row r="1160" spans="31:31" ht="15" x14ac:dyDescent="0.25">
      <c r="AE1160"/>
    </row>
    <row r="1161" spans="31:31" ht="15" x14ac:dyDescent="0.25">
      <c r="AE1161"/>
    </row>
    <row r="1162" spans="31:31" ht="15" x14ac:dyDescent="0.25">
      <c r="AE1162"/>
    </row>
    <row r="1163" spans="31:31" ht="15" x14ac:dyDescent="0.25">
      <c r="AE1163"/>
    </row>
    <row r="1164" spans="31:31" ht="15" x14ac:dyDescent="0.25">
      <c r="AE1164"/>
    </row>
    <row r="1165" spans="31:31" ht="15" x14ac:dyDescent="0.25">
      <c r="AE1165"/>
    </row>
    <row r="1166" spans="31:31" ht="15" x14ac:dyDescent="0.25">
      <c r="AE1166"/>
    </row>
    <row r="1167" spans="31:31" ht="15" x14ac:dyDescent="0.25">
      <c r="AE1167"/>
    </row>
    <row r="1168" spans="31:31" ht="15" x14ac:dyDescent="0.25">
      <c r="AE1168"/>
    </row>
    <row r="1169" spans="31:31" ht="15" x14ac:dyDescent="0.25">
      <c r="AE1169"/>
    </row>
    <row r="1170" spans="31:31" ht="15" x14ac:dyDescent="0.25">
      <c r="AE1170"/>
    </row>
    <row r="1171" spans="31:31" ht="15" x14ac:dyDescent="0.25">
      <c r="AE1171"/>
    </row>
    <row r="1172" spans="31:31" ht="15" x14ac:dyDescent="0.25">
      <c r="AE1172"/>
    </row>
    <row r="1173" spans="31:31" ht="15" x14ac:dyDescent="0.25">
      <c r="AE1173"/>
    </row>
    <row r="1174" spans="31:31" ht="15" x14ac:dyDescent="0.25">
      <c r="AE1174"/>
    </row>
    <row r="1175" spans="31:31" ht="15" x14ac:dyDescent="0.25">
      <c r="AE1175"/>
    </row>
    <row r="1176" spans="31:31" ht="15" x14ac:dyDescent="0.25">
      <c r="AE1176"/>
    </row>
    <row r="1177" spans="31:31" ht="15" x14ac:dyDescent="0.25">
      <c r="AE1177"/>
    </row>
    <row r="1178" spans="31:31" ht="15" x14ac:dyDescent="0.25">
      <c r="AE1178"/>
    </row>
    <row r="1179" spans="31:31" ht="15" x14ac:dyDescent="0.25">
      <c r="AE1179"/>
    </row>
    <row r="1180" spans="31:31" ht="15" x14ac:dyDescent="0.25">
      <c r="AE1180"/>
    </row>
    <row r="1181" spans="31:31" ht="15" x14ac:dyDescent="0.25">
      <c r="AE1181"/>
    </row>
    <row r="1182" spans="31:31" ht="15" x14ac:dyDescent="0.25">
      <c r="AE1182"/>
    </row>
    <row r="1183" spans="31:31" ht="15" x14ac:dyDescent="0.25">
      <c r="AE1183"/>
    </row>
    <row r="1184" spans="31:31" ht="15" x14ac:dyDescent="0.25">
      <c r="AE1184"/>
    </row>
    <row r="1185" spans="31:31" ht="15" x14ac:dyDescent="0.25">
      <c r="AE1185"/>
    </row>
    <row r="1186" spans="31:31" ht="15" x14ac:dyDescent="0.25">
      <c r="AE1186"/>
    </row>
    <row r="1187" spans="31:31" ht="15" x14ac:dyDescent="0.25">
      <c r="AE1187"/>
    </row>
    <row r="1188" spans="31:31" ht="15" x14ac:dyDescent="0.25">
      <c r="AE1188"/>
    </row>
    <row r="1189" spans="31:31" ht="15" x14ac:dyDescent="0.25">
      <c r="AE1189"/>
    </row>
    <row r="1190" spans="31:31" ht="15" x14ac:dyDescent="0.25">
      <c r="AE1190"/>
    </row>
    <row r="1191" spans="31:31" ht="15" x14ac:dyDescent="0.25">
      <c r="AE1191"/>
    </row>
    <row r="1192" spans="31:31" ht="15" x14ac:dyDescent="0.25">
      <c r="AE1192"/>
    </row>
    <row r="1193" spans="31:31" ht="15" x14ac:dyDescent="0.25">
      <c r="AE1193"/>
    </row>
    <row r="1194" spans="31:31" ht="15" x14ac:dyDescent="0.25">
      <c r="AE1194"/>
    </row>
    <row r="1195" spans="31:31" ht="15" x14ac:dyDescent="0.25">
      <c r="AE1195"/>
    </row>
    <row r="1196" spans="31:31" ht="15" x14ac:dyDescent="0.25">
      <c r="AE1196"/>
    </row>
    <row r="1197" spans="31:31" ht="15" x14ac:dyDescent="0.25">
      <c r="AE1197"/>
    </row>
    <row r="1198" spans="31:31" ht="15" x14ac:dyDescent="0.25">
      <c r="AE1198"/>
    </row>
    <row r="1199" spans="31:31" ht="15" x14ac:dyDescent="0.25">
      <c r="AE1199"/>
    </row>
    <row r="1200" spans="31:31" ht="15" x14ac:dyDescent="0.25">
      <c r="AE1200"/>
    </row>
    <row r="1201" spans="31:31" ht="15" x14ac:dyDescent="0.25">
      <c r="AE1201"/>
    </row>
    <row r="1202" spans="31:31" ht="15" x14ac:dyDescent="0.25">
      <c r="AE1202"/>
    </row>
    <row r="1203" spans="31:31" ht="15" x14ac:dyDescent="0.25">
      <c r="AE1203"/>
    </row>
    <row r="1204" spans="31:31" ht="15" x14ac:dyDescent="0.25">
      <c r="AE1204"/>
    </row>
    <row r="1205" spans="31:31" ht="15" x14ac:dyDescent="0.25">
      <c r="AE1205"/>
    </row>
    <row r="1206" spans="31:31" ht="15" x14ac:dyDescent="0.25">
      <c r="AE1206"/>
    </row>
    <row r="1207" spans="31:31" ht="15" x14ac:dyDescent="0.25">
      <c r="AE1207"/>
    </row>
    <row r="1208" spans="31:31" ht="15" x14ac:dyDescent="0.25">
      <c r="AE1208"/>
    </row>
    <row r="1209" spans="31:31" ht="15" x14ac:dyDescent="0.25">
      <c r="AE1209"/>
    </row>
    <row r="1210" spans="31:31" ht="15" x14ac:dyDescent="0.25">
      <c r="AE1210"/>
    </row>
    <row r="1211" spans="31:31" ht="15" x14ac:dyDescent="0.25">
      <c r="AE1211"/>
    </row>
    <row r="1212" spans="31:31" ht="15" x14ac:dyDescent="0.25">
      <c r="AE1212"/>
    </row>
    <row r="1213" spans="31:31" ht="15" x14ac:dyDescent="0.25">
      <c r="AE1213"/>
    </row>
    <row r="1214" spans="31:31" ht="15" x14ac:dyDescent="0.25">
      <c r="AE1214"/>
    </row>
    <row r="1215" spans="31:31" ht="15" x14ac:dyDescent="0.25">
      <c r="AE1215"/>
    </row>
    <row r="1216" spans="31:31" ht="15" x14ac:dyDescent="0.25">
      <c r="AE1216"/>
    </row>
    <row r="1217" spans="31:31" ht="15" x14ac:dyDescent="0.25">
      <c r="AE1217"/>
    </row>
    <row r="1218" spans="31:31" ht="15" x14ac:dyDescent="0.25">
      <c r="AE1218"/>
    </row>
    <row r="1219" spans="31:31" ht="15" x14ac:dyDescent="0.25">
      <c r="AE1219"/>
    </row>
    <row r="1220" spans="31:31" ht="15" x14ac:dyDescent="0.25">
      <c r="AE1220"/>
    </row>
    <row r="1221" spans="31:31" ht="15" x14ac:dyDescent="0.25">
      <c r="AE1221"/>
    </row>
    <row r="1222" spans="31:31" ht="15" x14ac:dyDescent="0.25">
      <c r="AE1222"/>
    </row>
    <row r="1223" spans="31:31" ht="15" x14ac:dyDescent="0.25">
      <c r="AE1223"/>
    </row>
    <row r="1224" spans="31:31" ht="15" x14ac:dyDescent="0.25">
      <c r="AE1224"/>
    </row>
    <row r="1225" spans="31:31" ht="15" x14ac:dyDescent="0.25">
      <c r="AE1225"/>
    </row>
    <row r="1226" spans="31:31" ht="15" x14ac:dyDescent="0.25">
      <c r="AE1226"/>
    </row>
    <row r="1227" spans="31:31" ht="15" x14ac:dyDescent="0.25">
      <c r="AE1227"/>
    </row>
    <row r="1228" spans="31:31" ht="15" x14ac:dyDescent="0.25">
      <c r="AE1228"/>
    </row>
    <row r="1229" spans="31:31" ht="15" x14ac:dyDescent="0.25">
      <c r="AE1229"/>
    </row>
    <row r="1230" spans="31:31" ht="15" x14ac:dyDescent="0.25">
      <c r="AE1230"/>
    </row>
    <row r="1231" spans="31:31" ht="15" x14ac:dyDescent="0.25">
      <c r="AE1231"/>
    </row>
    <row r="1232" spans="31:31" ht="15" x14ac:dyDescent="0.25">
      <c r="AE1232"/>
    </row>
    <row r="1233" spans="31:31" ht="15" x14ac:dyDescent="0.25">
      <c r="AE1233"/>
    </row>
    <row r="1234" spans="31:31" ht="15" x14ac:dyDescent="0.25">
      <c r="AE1234"/>
    </row>
    <row r="1235" spans="31:31" ht="15" x14ac:dyDescent="0.25">
      <c r="AE1235"/>
    </row>
    <row r="1236" spans="31:31" ht="15" x14ac:dyDescent="0.25">
      <c r="AE1236"/>
    </row>
    <row r="1237" spans="31:31" ht="15" x14ac:dyDescent="0.25">
      <c r="AE1237"/>
    </row>
    <row r="1238" spans="31:31" ht="15" x14ac:dyDescent="0.25">
      <c r="AE1238"/>
    </row>
    <row r="1239" spans="31:31" ht="15" x14ac:dyDescent="0.25">
      <c r="AE1239"/>
    </row>
    <row r="1240" spans="31:31" ht="15" x14ac:dyDescent="0.25">
      <c r="AE1240"/>
    </row>
    <row r="1241" spans="31:31" ht="15" x14ac:dyDescent="0.25">
      <c r="AE1241"/>
    </row>
    <row r="1242" spans="31:31" ht="15" x14ac:dyDescent="0.25">
      <c r="AE1242"/>
    </row>
    <row r="1243" spans="31:31" ht="15" x14ac:dyDescent="0.25">
      <c r="AE1243"/>
    </row>
    <row r="1244" spans="31:31" ht="15" x14ac:dyDescent="0.25">
      <c r="AE1244"/>
    </row>
    <row r="1245" spans="31:31" ht="15" x14ac:dyDescent="0.25">
      <c r="AE1245"/>
    </row>
    <row r="1246" spans="31:31" ht="15" x14ac:dyDescent="0.25">
      <c r="AE1246"/>
    </row>
    <row r="1247" spans="31:31" ht="15" x14ac:dyDescent="0.25">
      <c r="AE1247"/>
    </row>
    <row r="1248" spans="31:31" ht="15" x14ac:dyDescent="0.25">
      <c r="AE1248"/>
    </row>
    <row r="1249" spans="31:31" ht="15" x14ac:dyDescent="0.25">
      <c r="AE1249"/>
    </row>
    <row r="1250" spans="31:31" ht="15" x14ac:dyDescent="0.25">
      <c r="AE1250"/>
    </row>
    <row r="1251" spans="31:31" ht="15" x14ac:dyDescent="0.25">
      <c r="AE1251"/>
    </row>
    <row r="1252" spans="31:31" ht="15" x14ac:dyDescent="0.25">
      <c r="AE1252"/>
    </row>
    <row r="1253" spans="31:31" ht="15" x14ac:dyDescent="0.25">
      <c r="AE1253"/>
    </row>
    <row r="1254" spans="31:31" ht="15" x14ac:dyDescent="0.25">
      <c r="AE1254"/>
    </row>
    <row r="1255" spans="31:31" ht="15" x14ac:dyDescent="0.25">
      <c r="AE1255"/>
    </row>
    <row r="1256" spans="31:31" ht="15" x14ac:dyDescent="0.25">
      <c r="AE1256"/>
    </row>
    <row r="1257" spans="31:31" ht="15" x14ac:dyDescent="0.25">
      <c r="AE1257"/>
    </row>
    <row r="1258" spans="31:31" ht="15" x14ac:dyDescent="0.25">
      <c r="AE1258"/>
    </row>
    <row r="1259" spans="31:31" ht="15" x14ac:dyDescent="0.25">
      <c r="AE1259"/>
    </row>
    <row r="1260" spans="31:31" ht="15" x14ac:dyDescent="0.25">
      <c r="AE1260"/>
    </row>
    <row r="1261" spans="31:31" ht="15" x14ac:dyDescent="0.25">
      <c r="AE1261"/>
    </row>
    <row r="1262" spans="31:31" ht="15" x14ac:dyDescent="0.25">
      <c r="AE1262"/>
    </row>
    <row r="1263" spans="31:31" ht="15" x14ac:dyDescent="0.25">
      <c r="AE1263"/>
    </row>
    <row r="1264" spans="31:31" ht="15" x14ac:dyDescent="0.25">
      <c r="AE1264"/>
    </row>
    <row r="1265" spans="31:31" ht="15" x14ac:dyDescent="0.25">
      <c r="AE1265"/>
    </row>
    <row r="1266" spans="31:31" ht="15" x14ac:dyDescent="0.25">
      <c r="AE1266"/>
    </row>
    <row r="1267" spans="31:31" ht="15" x14ac:dyDescent="0.25">
      <c r="AE1267"/>
    </row>
    <row r="1268" spans="31:31" ht="15" x14ac:dyDescent="0.25">
      <c r="AE1268"/>
    </row>
    <row r="1269" spans="31:31" ht="15" x14ac:dyDescent="0.25">
      <c r="AE1269"/>
    </row>
    <row r="1270" spans="31:31" ht="15" x14ac:dyDescent="0.25">
      <c r="AE1270"/>
    </row>
    <row r="1271" spans="31:31" ht="15" x14ac:dyDescent="0.25">
      <c r="AE1271"/>
    </row>
    <row r="1272" spans="31:31" ht="15" x14ac:dyDescent="0.25">
      <c r="AE1272"/>
    </row>
    <row r="1273" spans="31:31" ht="15" x14ac:dyDescent="0.25">
      <c r="AE1273"/>
    </row>
    <row r="1274" spans="31:31" ht="15" x14ac:dyDescent="0.25">
      <c r="AE1274"/>
    </row>
    <row r="1275" spans="31:31" ht="15" x14ac:dyDescent="0.25">
      <c r="AE1275"/>
    </row>
    <row r="1276" spans="31:31" ht="15" x14ac:dyDescent="0.25">
      <c r="AE1276"/>
    </row>
    <row r="1277" spans="31:31" ht="15" x14ac:dyDescent="0.25">
      <c r="AE1277"/>
    </row>
    <row r="1278" spans="31:31" ht="15" x14ac:dyDescent="0.25">
      <c r="AE1278"/>
    </row>
    <row r="1279" spans="31:31" ht="15" x14ac:dyDescent="0.25">
      <c r="AE1279"/>
    </row>
    <row r="1280" spans="31:31" ht="15" x14ac:dyDescent="0.25">
      <c r="AE1280"/>
    </row>
    <row r="1281" spans="31:31" ht="15" x14ac:dyDescent="0.25">
      <c r="AE1281"/>
    </row>
    <row r="1282" spans="31:31" ht="15" x14ac:dyDescent="0.25">
      <c r="AE1282"/>
    </row>
    <row r="1283" spans="31:31" ht="15" x14ac:dyDescent="0.25">
      <c r="AE1283"/>
    </row>
    <row r="1284" spans="31:31" ht="15" x14ac:dyDescent="0.25">
      <c r="AE1284"/>
    </row>
    <row r="1285" spans="31:31" ht="15" x14ac:dyDescent="0.25">
      <c r="AE1285"/>
    </row>
    <row r="1286" spans="31:31" ht="15" x14ac:dyDescent="0.25">
      <c r="AE1286"/>
    </row>
    <row r="1287" spans="31:31" ht="15" x14ac:dyDescent="0.25">
      <c r="AE1287"/>
    </row>
    <row r="1288" spans="31:31" ht="15" x14ac:dyDescent="0.25">
      <c r="AE1288"/>
    </row>
    <row r="1289" spans="31:31" ht="15" x14ac:dyDescent="0.25">
      <c r="AE1289"/>
    </row>
    <row r="1290" spans="31:31" ht="15" x14ac:dyDescent="0.25">
      <c r="AE1290"/>
    </row>
    <row r="1291" spans="31:31" ht="15" x14ac:dyDescent="0.25">
      <c r="AE1291"/>
    </row>
    <row r="1292" spans="31:31" ht="15" x14ac:dyDescent="0.25">
      <c r="AE1292"/>
    </row>
    <row r="1293" spans="31:31" ht="15" x14ac:dyDescent="0.25">
      <c r="AE1293"/>
    </row>
    <row r="1294" spans="31:31" ht="15" x14ac:dyDescent="0.25">
      <c r="AE1294"/>
    </row>
    <row r="1295" spans="31:31" ht="15" x14ac:dyDescent="0.25">
      <c r="AE1295"/>
    </row>
    <row r="1296" spans="31:31" ht="15" x14ac:dyDescent="0.25">
      <c r="AE1296"/>
    </row>
    <row r="1297" spans="31:31" ht="15" x14ac:dyDescent="0.25">
      <c r="AE1297"/>
    </row>
    <row r="1298" spans="31:31" ht="15" x14ac:dyDescent="0.25">
      <c r="AE1298"/>
    </row>
    <row r="1299" spans="31:31" ht="15" x14ac:dyDescent="0.25">
      <c r="AE1299"/>
    </row>
    <row r="1300" spans="31:31" ht="15" x14ac:dyDescent="0.25">
      <c r="AE1300"/>
    </row>
    <row r="1301" spans="31:31" ht="15" x14ac:dyDescent="0.25">
      <c r="AE1301"/>
    </row>
    <row r="1302" spans="31:31" ht="15" x14ac:dyDescent="0.25">
      <c r="AE1302"/>
    </row>
    <row r="1303" spans="31:31" ht="15" x14ac:dyDescent="0.25">
      <c r="AE1303"/>
    </row>
    <row r="1304" spans="31:31" ht="15" x14ac:dyDescent="0.25">
      <c r="AE1304"/>
    </row>
    <row r="1305" spans="31:31" ht="15" x14ac:dyDescent="0.25">
      <c r="AE1305"/>
    </row>
    <row r="1306" spans="31:31" ht="15" x14ac:dyDescent="0.25">
      <c r="AE1306"/>
    </row>
    <row r="1307" spans="31:31" ht="15" x14ac:dyDescent="0.25">
      <c r="AE1307"/>
    </row>
    <row r="1308" spans="31:31" ht="15" x14ac:dyDescent="0.25">
      <c r="AE1308"/>
    </row>
    <row r="1309" spans="31:31" ht="15" x14ac:dyDescent="0.25">
      <c r="AE1309"/>
    </row>
    <row r="1310" spans="31:31" ht="15" x14ac:dyDescent="0.25">
      <c r="AE1310"/>
    </row>
    <row r="1311" spans="31:31" ht="15" x14ac:dyDescent="0.25">
      <c r="AE1311"/>
    </row>
    <row r="1312" spans="31:31" ht="15" x14ac:dyDescent="0.25">
      <c r="AE1312"/>
    </row>
    <row r="1313" spans="31:31" ht="15" x14ac:dyDescent="0.25">
      <c r="AE1313"/>
    </row>
    <row r="1314" spans="31:31" ht="15" x14ac:dyDescent="0.25">
      <c r="AE1314"/>
    </row>
    <row r="1315" spans="31:31" ht="15" x14ac:dyDescent="0.25">
      <c r="AE1315"/>
    </row>
    <row r="1316" spans="31:31" ht="15" x14ac:dyDescent="0.25">
      <c r="AE1316"/>
    </row>
    <row r="1317" spans="31:31" ht="15" x14ac:dyDescent="0.25">
      <c r="AE1317"/>
    </row>
    <row r="1318" spans="31:31" ht="15" x14ac:dyDescent="0.25">
      <c r="AE1318"/>
    </row>
    <row r="1319" spans="31:31" ht="15" x14ac:dyDescent="0.25">
      <c r="AE1319"/>
    </row>
    <row r="1320" spans="31:31" ht="15" x14ac:dyDescent="0.25">
      <c r="AE1320"/>
    </row>
    <row r="1321" spans="31:31" ht="15" x14ac:dyDescent="0.25">
      <c r="AE1321"/>
    </row>
    <row r="1322" spans="31:31" ht="15" x14ac:dyDescent="0.25">
      <c r="AE1322"/>
    </row>
    <row r="1323" spans="31:31" ht="15" x14ac:dyDescent="0.25">
      <c r="AE1323"/>
    </row>
    <row r="1324" spans="31:31" ht="15" x14ac:dyDescent="0.25">
      <c r="AE1324"/>
    </row>
    <row r="1325" spans="31:31" ht="15" x14ac:dyDescent="0.25">
      <c r="AE1325"/>
    </row>
    <row r="1326" spans="31:31" ht="15" x14ac:dyDescent="0.25">
      <c r="AE1326"/>
    </row>
    <row r="1327" spans="31:31" ht="15" x14ac:dyDescent="0.25">
      <c r="AE1327"/>
    </row>
    <row r="1328" spans="31:31" ht="15" x14ac:dyDescent="0.25">
      <c r="AE1328"/>
    </row>
    <row r="1329" spans="31:31" ht="15" x14ac:dyDescent="0.25">
      <c r="AE1329"/>
    </row>
    <row r="1330" spans="31:31" ht="15" x14ac:dyDescent="0.25">
      <c r="AE1330"/>
    </row>
    <row r="1331" spans="31:31" ht="15" x14ac:dyDescent="0.25">
      <c r="AE1331"/>
    </row>
    <row r="1332" spans="31:31" ht="15" x14ac:dyDescent="0.25">
      <c r="AE1332"/>
    </row>
    <row r="1333" spans="31:31" ht="15" x14ac:dyDescent="0.25">
      <c r="AE1333"/>
    </row>
    <row r="1334" spans="31:31" ht="15" x14ac:dyDescent="0.25">
      <c r="AE1334"/>
    </row>
    <row r="1335" spans="31:31" ht="15" x14ac:dyDescent="0.25">
      <c r="AE1335"/>
    </row>
    <row r="1336" spans="31:31" ht="15" x14ac:dyDescent="0.25">
      <c r="AE1336"/>
    </row>
    <row r="1337" spans="31:31" ht="15" x14ac:dyDescent="0.25">
      <c r="AE1337"/>
    </row>
    <row r="1338" spans="31:31" ht="15" x14ac:dyDescent="0.25">
      <c r="AE1338"/>
    </row>
    <row r="1339" spans="31:31" ht="15" x14ac:dyDescent="0.25">
      <c r="AE1339"/>
    </row>
    <row r="1340" spans="31:31" ht="15" x14ac:dyDescent="0.25">
      <c r="AE1340"/>
    </row>
    <row r="1341" spans="31:31" ht="15" x14ac:dyDescent="0.25">
      <c r="AE1341"/>
    </row>
    <row r="1342" spans="31:31" ht="15" x14ac:dyDescent="0.25">
      <c r="AE1342"/>
    </row>
    <row r="1343" spans="31:31" ht="15" x14ac:dyDescent="0.25">
      <c r="AE1343"/>
    </row>
    <row r="1344" spans="31:31" ht="15" x14ac:dyDescent="0.25">
      <c r="AE1344"/>
    </row>
    <row r="1345" spans="31:31" ht="15" x14ac:dyDescent="0.25">
      <c r="AE1345"/>
    </row>
    <row r="1346" spans="31:31" ht="15" x14ac:dyDescent="0.25">
      <c r="AE1346"/>
    </row>
    <row r="1347" spans="31:31" ht="15" x14ac:dyDescent="0.25">
      <c r="AE1347"/>
    </row>
    <row r="1348" spans="31:31" ht="15" x14ac:dyDescent="0.25">
      <c r="AE1348"/>
    </row>
    <row r="1349" spans="31:31" ht="15" x14ac:dyDescent="0.25">
      <c r="AE1349"/>
    </row>
    <row r="1350" spans="31:31" ht="15" x14ac:dyDescent="0.25">
      <c r="AE1350"/>
    </row>
    <row r="1351" spans="31:31" ht="15" x14ac:dyDescent="0.25">
      <c r="AE1351"/>
    </row>
    <row r="1352" spans="31:31" ht="15" x14ac:dyDescent="0.25">
      <c r="AE1352"/>
    </row>
    <row r="1353" spans="31:31" ht="15" x14ac:dyDescent="0.25">
      <c r="AE1353"/>
    </row>
    <row r="1354" spans="31:31" ht="15" x14ac:dyDescent="0.25">
      <c r="AE1354"/>
    </row>
    <row r="1355" spans="31:31" ht="15" x14ac:dyDescent="0.25">
      <c r="AE1355"/>
    </row>
    <row r="1356" spans="31:31" ht="15" x14ac:dyDescent="0.25">
      <c r="AE1356"/>
    </row>
    <row r="1357" spans="31:31" ht="15" x14ac:dyDescent="0.25">
      <c r="AE1357"/>
    </row>
    <row r="1358" spans="31:31" ht="15" x14ac:dyDescent="0.25">
      <c r="AE1358"/>
    </row>
    <row r="1359" spans="31:31" ht="15" x14ac:dyDescent="0.25">
      <c r="AE1359"/>
    </row>
    <row r="1360" spans="31:31" ht="15" x14ac:dyDescent="0.25">
      <c r="AE1360"/>
    </row>
    <row r="1361" spans="31:31" ht="15" x14ac:dyDescent="0.25">
      <c r="AE1361"/>
    </row>
    <row r="1362" spans="31:31" ht="15" x14ac:dyDescent="0.25">
      <c r="AE1362"/>
    </row>
    <row r="1363" spans="31:31" ht="15" x14ac:dyDescent="0.25">
      <c r="AE1363"/>
    </row>
    <row r="1364" spans="31:31" ht="15" x14ac:dyDescent="0.25">
      <c r="AE1364"/>
    </row>
    <row r="1365" spans="31:31" ht="15" x14ac:dyDescent="0.25">
      <c r="AE1365"/>
    </row>
    <row r="1366" spans="31:31" ht="15" x14ac:dyDescent="0.25">
      <c r="AE1366"/>
    </row>
    <row r="1367" spans="31:31" ht="15" x14ac:dyDescent="0.25">
      <c r="AE1367"/>
    </row>
    <row r="1368" spans="31:31" ht="15" x14ac:dyDescent="0.25">
      <c r="AE1368"/>
    </row>
    <row r="1369" spans="31:31" ht="15" x14ac:dyDescent="0.25">
      <c r="AE1369"/>
    </row>
    <row r="1370" spans="31:31" ht="15" x14ac:dyDescent="0.25">
      <c r="AE1370"/>
    </row>
    <row r="1371" spans="31:31" ht="15" x14ac:dyDescent="0.25">
      <c r="AE1371"/>
    </row>
    <row r="1372" spans="31:31" ht="15" x14ac:dyDescent="0.25">
      <c r="AE1372"/>
    </row>
    <row r="1373" spans="31:31" ht="15" x14ac:dyDescent="0.25">
      <c r="AE1373"/>
    </row>
    <row r="1374" spans="31:31" ht="15" x14ac:dyDescent="0.25">
      <c r="AE1374"/>
    </row>
    <row r="1375" spans="31:31" ht="15" x14ac:dyDescent="0.25">
      <c r="AE1375"/>
    </row>
    <row r="1376" spans="31:31" ht="15" x14ac:dyDescent="0.25">
      <c r="AE1376"/>
    </row>
    <row r="1377" spans="31:31" ht="15" x14ac:dyDescent="0.25">
      <c r="AE1377"/>
    </row>
    <row r="1378" spans="31:31" ht="15" x14ac:dyDescent="0.25">
      <c r="AE1378"/>
    </row>
    <row r="1379" spans="31:31" ht="15" x14ac:dyDescent="0.25">
      <c r="AE1379"/>
    </row>
    <row r="1380" spans="31:31" ht="15" x14ac:dyDescent="0.25">
      <c r="AE1380"/>
    </row>
    <row r="1381" spans="31:31" ht="15" x14ac:dyDescent="0.25">
      <c r="AE1381"/>
    </row>
    <row r="1382" spans="31:31" ht="15" x14ac:dyDescent="0.25">
      <c r="AE1382"/>
    </row>
    <row r="1383" spans="31:31" ht="15" x14ac:dyDescent="0.25">
      <c r="AE1383"/>
    </row>
    <row r="1384" spans="31:31" ht="15" x14ac:dyDescent="0.25">
      <c r="AE1384"/>
    </row>
    <row r="1385" spans="31:31" ht="15" x14ac:dyDescent="0.25">
      <c r="AE1385"/>
    </row>
    <row r="1386" spans="31:31" ht="15" x14ac:dyDescent="0.25">
      <c r="AE1386"/>
    </row>
    <row r="1387" spans="31:31" ht="15" x14ac:dyDescent="0.25">
      <c r="AE1387"/>
    </row>
    <row r="1388" spans="31:31" ht="15" x14ac:dyDescent="0.25">
      <c r="AE1388"/>
    </row>
    <row r="1389" spans="31:31" ht="15" x14ac:dyDescent="0.25">
      <c r="AE1389"/>
    </row>
    <row r="1390" spans="31:31" ht="15" x14ac:dyDescent="0.25">
      <c r="AE1390"/>
    </row>
    <row r="1391" spans="31:31" ht="15" x14ac:dyDescent="0.25">
      <c r="AE1391"/>
    </row>
    <row r="1392" spans="31:31" ht="15" x14ac:dyDescent="0.25">
      <c r="AE1392"/>
    </row>
    <row r="1393" spans="31:31" ht="15" x14ac:dyDescent="0.25">
      <c r="AE1393"/>
    </row>
    <row r="1394" spans="31:31" ht="15" x14ac:dyDescent="0.25">
      <c r="AE1394"/>
    </row>
    <row r="1395" spans="31:31" ht="15" x14ac:dyDescent="0.25">
      <c r="AE1395"/>
    </row>
    <row r="1396" spans="31:31" ht="15" x14ac:dyDescent="0.25">
      <c r="AE1396"/>
    </row>
    <row r="1397" spans="31:31" ht="15" x14ac:dyDescent="0.25">
      <c r="AE1397"/>
    </row>
    <row r="1398" spans="31:31" ht="15" x14ac:dyDescent="0.25">
      <c r="AE1398"/>
    </row>
    <row r="1399" spans="31:31" ht="15" x14ac:dyDescent="0.25">
      <c r="AE1399"/>
    </row>
    <row r="1400" spans="31:31" ht="15" x14ac:dyDescent="0.25">
      <c r="AE1400"/>
    </row>
    <row r="1401" spans="31:31" ht="15" x14ac:dyDescent="0.25">
      <c r="AE1401"/>
    </row>
    <row r="1402" spans="31:31" ht="15" x14ac:dyDescent="0.25">
      <c r="AE1402"/>
    </row>
    <row r="1403" spans="31:31" ht="15" x14ac:dyDescent="0.25">
      <c r="AE1403"/>
    </row>
    <row r="1404" spans="31:31" ht="15" x14ac:dyDescent="0.25">
      <c r="AE1404"/>
    </row>
    <row r="1405" spans="31:31" ht="15" x14ac:dyDescent="0.25">
      <c r="AE1405"/>
    </row>
    <row r="1406" spans="31:31" ht="15" x14ac:dyDescent="0.25">
      <c r="AE1406"/>
    </row>
    <row r="1407" spans="31:31" ht="15" x14ac:dyDescent="0.25">
      <c r="AE1407"/>
    </row>
    <row r="1408" spans="31:31" ht="15" x14ac:dyDescent="0.25">
      <c r="AE1408"/>
    </row>
    <row r="1409" spans="31:31" ht="15" x14ac:dyDescent="0.25">
      <c r="AE1409"/>
    </row>
    <row r="1410" spans="31:31" ht="15" x14ac:dyDescent="0.25">
      <c r="AE1410"/>
    </row>
    <row r="1411" spans="31:31" ht="15" x14ac:dyDescent="0.25">
      <c r="AE1411"/>
    </row>
    <row r="1412" spans="31:31" ht="15" x14ac:dyDescent="0.25">
      <c r="AE1412"/>
    </row>
    <row r="1413" spans="31:31" ht="15" x14ac:dyDescent="0.25">
      <c r="AE1413"/>
    </row>
    <row r="1414" spans="31:31" ht="15" x14ac:dyDescent="0.25">
      <c r="AE1414"/>
    </row>
    <row r="1415" spans="31:31" ht="15" x14ac:dyDescent="0.25">
      <c r="AE1415"/>
    </row>
    <row r="1416" spans="31:31" ht="15" x14ac:dyDescent="0.25">
      <c r="AE1416"/>
    </row>
    <row r="1417" spans="31:31" ht="15" x14ac:dyDescent="0.25">
      <c r="AE1417"/>
    </row>
    <row r="1418" spans="31:31" ht="15" x14ac:dyDescent="0.25">
      <c r="AE1418"/>
    </row>
    <row r="1419" spans="31:31" ht="15" x14ac:dyDescent="0.25">
      <c r="AE1419"/>
    </row>
    <row r="1420" spans="31:31" ht="15" x14ac:dyDescent="0.25">
      <c r="AE1420"/>
    </row>
    <row r="1421" spans="31:31" ht="15" x14ac:dyDescent="0.25">
      <c r="AE1421"/>
    </row>
    <row r="1422" spans="31:31" ht="15" x14ac:dyDescent="0.25">
      <c r="AE1422"/>
    </row>
    <row r="1423" spans="31:31" ht="15" x14ac:dyDescent="0.25">
      <c r="AE1423"/>
    </row>
    <row r="1424" spans="31:31" ht="15" x14ac:dyDescent="0.25">
      <c r="AE1424"/>
    </row>
    <row r="1425" spans="31:31" ht="15" x14ac:dyDescent="0.25">
      <c r="AE1425"/>
    </row>
    <row r="1426" spans="31:31" ht="15" x14ac:dyDescent="0.25">
      <c r="AE1426"/>
    </row>
    <row r="1427" spans="31:31" ht="15" x14ac:dyDescent="0.25">
      <c r="AE1427"/>
    </row>
    <row r="1428" spans="31:31" ht="15" x14ac:dyDescent="0.25">
      <c r="AE1428"/>
    </row>
    <row r="1429" spans="31:31" ht="15" x14ac:dyDescent="0.25">
      <c r="AE1429"/>
    </row>
    <row r="1430" spans="31:31" ht="15" x14ac:dyDescent="0.25">
      <c r="AE1430"/>
    </row>
    <row r="1431" spans="31:31" ht="15" x14ac:dyDescent="0.25">
      <c r="AE1431"/>
    </row>
    <row r="1432" spans="31:31" ht="15" x14ac:dyDescent="0.25">
      <c r="AE1432"/>
    </row>
    <row r="1433" spans="31:31" ht="15" x14ac:dyDescent="0.25">
      <c r="AE1433"/>
    </row>
    <row r="1434" spans="31:31" ht="15" x14ac:dyDescent="0.25">
      <c r="AE1434"/>
    </row>
    <row r="1435" spans="31:31" ht="15" x14ac:dyDescent="0.25">
      <c r="AE1435"/>
    </row>
    <row r="1436" spans="31:31" ht="15" x14ac:dyDescent="0.25">
      <c r="AE1436"/>
    </row>
    <row r="1437" spans="31:31" ht="15" x14ac:dyDescent="0.25">
      <c r="AE1437"/>
    </row>
    <row r="1438" spans="31:31" ht="15" x14ac:dyDescent="0.25">
      <c r="AE1438"/>
    </row>
    <row r="1439" spans="31:31" ht="15" x14ac:dyDescent="0.25">
      <c r="AE1439"/>
    </row>
    <row r="1440" spans="31:31" ht="15" x14ac:dyDescent="0.25">
      <c r="AE1440"/>
    </row>
    <row r="1441" spans="31:31" ht="15" x14ac:dyDescent="0.25">
      <c r="AE1441"/>
    </row>
    <row r="1442" spans="31:31" ht="15" x14ac:dyDescent="0.25">
      <c r="AE1442"/>
    </row>
    <row r="1443" spans="31:31" ht="15" x14ac:dyDescent="0.25">
      <c r="AE1443"/>
    </row>
    <row r="1444" spans="31:31" ht="15" x14ac:dyDescent="0.25">
      <c r="AE1444"/>
    </row>
    <row r="1445" spans="31:31" ht="15" x14ac:dyDescent="0.25">
      <c r="AE1445"/>
    </row>
    <row r="1446" spans="31:31" ht="15" x14ac:dyDescent="0.25">
      <c r="AE1446"/>
    </row>
    <row r="1447" spans="31:31" ht="15" x14ac:dyDescent="0.25">
      <c r="AE1447"/>
    </row>
    <row r="1448" spans="31:31" ht="15" x14ac:dyDescent="0.25">
      <c r="AE1448"/>
    </row>
    <row r="1449" spans="31:31" ht="15" x14ac:dyDescent="0.25">
      <c r="AE1449"/>
    </row>
    <row r="1450" spans="31:31" ht="15" x14ac:dyDescent="0.25">
      <c r="AE1450"/>
    </row>
    <row r="1451" spans="31:31" ht="15" x14ac:dyDescent="0.25">
      <c r="AE1451"/>
    </row>
    <row r="1452" spans="31:31" ht="15" x14ac:dyDescent="0.25">
      <c r="AE1452"/>
    </row>
    <row r="1453" spans="31:31" ht="15" x14ac:dyDescent="0.25">
      <c r="AE1453"/>
    </row>
    <row r="1454" spans="31:31" ht="15" x14ac:dyDescent="0.25">
      <c r="AE1454"/>
    </row>
    <row r="1455" spans="31:31" ht="15" x14ac:dyDescent="0.25">
      <c r="AE1455"/>
    </row>
    <row r="1456" spans="31:31" ht="15" x14ac:dyDescent="0.25">
      <c r="AE1456"/>
    </row>
    <row r="1457" spans="31:31" ht="15" x14ac:dyDescent="0.25">
      <c r="AE1457"/>
    </row>
    <row r="1458" spans="31:31" ht="15" x14ac:dyDescent="0.25">
      <c r="AE1458"/>
    </row>
    <row r="1459" spans="31:31" ht="15" x14ac:dyDescent="0.25">
      <c r="AE1459"/>
    </row>
    <row r="1460" spans="31:31" ht="15" x14ac:dyDescent="0.25">
      <c r="AE1460"/>
    </row>
    <row r="1461" spans="31:31" ht="15" x14ac:dyDescent="0.25">
      <c r="AE1461"/>
    </row>
    <row r="1462" spans="31:31" ht="15" x14ac:dyDescent="0.25">
      <c r="AE1462"/>
    </row>
    <row r="1463" spans="31:31" ht="15" x14ac:dyDescent="0.25">
      <c r="AE1463"/>
    </row>
    <row r="1464" spans="31:31" ht="15" x14ac:dyDescent="0.25">
      <c r="AE1464"/>
    </row>
    <row r="1465" spans="31:31" ht="15" x14ac:dyDescent="0.25">
      <c r="AE1465"/>
    </row>
    <row r="1466" spans="31:31" ht="15" x14ac:dyDescent="0.25">
      <c r="AE1466"/>
    </row>
    <row r="1467" spans="31:31" ht="15" x14ac:dyDescent="0.25">
      <c r="AE1467"/>
    </row>
    <row r="1468" spans="31:31" ht="15" x14ac:dyDescent="0.25">
      <c r="AE1468"/>
    </row>
    <row r="1469" spans="31:31" ht="15" x14ac:dyDescent="0.25">
      <c r="AE1469"/>
    </row>
    <row r="1470" spans="31:31" ht="15" x14ac:dyDescent="0.25">
      <c r="AE1470"/>
    </row>
    <row r="1471" spans="31:31" ht="15" x14ac:dyDescent="0.25">
      <c r="AE1471"/>
    </row>
    <row r="1472" spans="31:31" ht="15" x14ac:dyDescent="0.25">
      <c r="AE1472"/>
    </row>
    <row r="1473" spans="31:31" ht="15" x14ac:dyDescent="0.25">
      <c r="AE1473"/>
    </row>
    <row r="1474" spans="31:31" ht="15" x14ac:dyDescent="0.25">
      <c r="AE1474"/>
    </row>
    <row r="1475" spans="31:31" ht="15" x14ac:dyDescent="0.25">
      <c r="AE1475"/>
    </row>
    <row r="1476" spans="31:31" ht="15" x14ac:dyDescent="0.25">
      <c r="AE1476"/>
    </row>
    <row r="1477" spans="31:31" ht="15" x14ac:dyDescent="0.25">
      <c r="AE1477"/>
    </row>
    <row r="1478" spans="31:31" ht="15" x14ac:dyDescent="0.25">
      <c r="AE1478"/>
    </row>
    <row r="1479" spans="31:31" ht="15" x14ac:dyDescent="0.25">
      <c r="AE1479"/>
    </row>
    <row r="1480" spans="31:31" ht="15" x14ac:dyDescent="0.25">
      <c r="AE1480"/>
    </row>
    <row r="1481" spans="31:31" ht="15" x14ac:dyDescent="0.25">
      <c r="AE1481"/>
    </row>
    <row r="1482" spans="31:31" ht="15" x14ac:dyDescent="0.25">
      <c r="AE1482"/>
    </row>
    <row r="1483" spans="31:31" ht="15" x14ac:dyDescent="0.25">
      <c r="AE1483"/>
    </row>
    <row r="1484" spans="31:31" ht="15" x14ac:dyDescent="0.25">
      <c r="AE1484"/>
    </row>
    <row r="1485" spans="31:31" ht="15" x14ac:dyDescent="0.25">
      <c r="AE1485"/>
    </row>
    <row r="1486" spans="31:31" ht="15" x14ac:dyDescent="0.25">
      <c r="AE1486"/>
    </row>
    <row r="1487" spans="31:31" ht="15" x14ac:dyDescent="0.25">
      <c r="AE1487"/>
    </row>
    <row r="1488" spans="31:31" ht="15" x14ac:dyDescent="0.25">
      <c r="AE1488"/>
    </row>
    <row r="1489" spans="31:31" ht="15" x14ac:dyDescent="0.25">
      <c r="AE1489"/>
    </row>
    <row r="1490" spans="31:31" ht="15" x14ac:dyDescent="0.25">
      <c r="AE1490"/>
    </row>
    <row r="1491" spans="31:31" ht="15" x14ac:dyDescent="0.25">
      <c r="AE1491"/>
    </row>
    <row r="1492" spans="31:31" ht="15" x14ac:dyDescent="0.25">
      <c r="AE1492"/>
    </row>
    <row r="1493" spans="31:31" ht="15" x14ac:dyDescent="0.25">
      <c r="AE1493"/>
    </row>
    <row r="1494" spans="31:31" ht="15" x14ac:dyDescent="0.25">
      <c r="AE1494"/>
    </row>
    <row r="1495" spans="31:31" ht="15" x14ac:dyDescent="0.25">
      <c r="AE1495"/>
    </row>
    <row r="1496" spans="31:31" ht="15" x14ac:dyDescent="0.25">
      <c r="AE1496"/>
    </row>
    <row r="1497" spans="31:31" ht="15" x14ac:dyDescent="0.25">
      <c r="AE1497"/>
    </row>
    <row r="1498" spans="31:31" ht="15" x14ac:dyDescent="0.25">
      <c r="AE1498"/>
    </row>
    <row r="1499" spans="31:31" ht="15" x14ac:dyDescent="0.25">
      <c r="AE1499"/>
    </row>
    <row r="1500" spans="31:31" ht="15" x14ac:dyDescent="0.25">
      <c r="AE1500"/>
    </row>
    <row r="1501" spans="31:31" ht="15" x14ac:dyDescent="0.25">
      <c r="AE1501"/>
    </row>
    <row r="1502" spans="31:31" ht="15" x14ac:dyDescent="0.25">
      <c r="AE1502"/>
    </row>
    <row r="1503" spans="31:31" ht="15" x14ac:dyDescent="0.25">
      <c r="AE1503"/>
    </row>
    <row r="1504" spans="31:31" ht="15" x14ac:dyDescent="0.25">
      <c r="AE1504"/>
    </row>
    <row r="1505" spans="31:31" ht="15" x14ac:dyDescent="0.25">
      <c r="AE1505"/>
    </row>
    <row r="1506" spans="31:31" ht="15" x14ac:dyDescent="0.25">
      <c r="AE1506"/>
    </row>
    <row r="1507" spans="31:31" ht="15" x14ac:dyDescent="0.25">
      <c r="AE1507"/>
    </row>
    <row r="1508" spans="31:31" ht="15" x14ac:dyDescent="0.25">
      <c r="AE1508"/>
    </row>
    <row r="1509" spans="31:31" ht="15" x14ac:dyDescent="0.25">
      <c r="AE1509"/>
    </row>
    <row r="1510" spans="31:31" ht="15" x14ac:dyDescent="0.25">
      <c r="AE1510"/>
    </row>
    <row r="1511" spans="31:31" ht="15" x14ac:dyDescent="0.25">
      <c r="AE1511"/>
    </row>
    <row r="1512" spans="31:31" ht="15" x14ac:dyDescent="0.25">
      <c r="AE1512"/>
    </row>
    <row r="1513" spans="31:31" ht="15" x14ac:dyDescent="0.25">
      <c r="AE1513"/>
    </row>
    <row r="1514" spans="31:31" ht="15" x14ac:dyDescent="0.25">
      <c r="AE1514"/>
    </row>
    <row r="1515" spans="31:31" ht="15" x14ac:dyDescent="0.25">
      <c r="AE1515"/>
    </row>
    <row r="1516" spans="31:31" ht="15" x14ac:dyDescent="0.25">
      <c r="AE1516"/>
    </row>
    <row r="1517" spans="31:31" ht="15" x14ac:dyDescent="0.25">
      <c r="AE1517"/>
    </row>
    <row r="1518" spans="31:31" ht="15" x14ac:dyDescent="0.25">
      <c r="AE1518"/>
    </row>
    <row r="1519" spans="31:31" ht="15" x14ac:dyDescent="0.25">
      <c r="AE1519"/>
    </row>
    <row r="1520" spans="31:31" ht="15" x14ac:dyDescent="0.25">
      <c r="AE1520"/>
    </row>
    <row r="1521" spans="31:31" ht="15" x14ac:dyDescent="0.25">
      <c r="AE1521"/>
    </row>
    <row r="1522" spans="31:31" ht="15" x14ac:dyDescent="0.25">
      <c r="AE1522"/>
    </row>
    <row r="1523" spans="31:31" ht="15" x14ac:dyDescent="0.25">
      <c r="AE1523"/>
    </row>
    <row r="1524" spans="31:31" ht="15" x14ac:dyDescent="0.25">
      <c r="AE1524"/>
    </row>
    <row r="1525" spans="31:31" ht="15" x14ac:dyDescent="0.25">
      <c r="AE1525"/>
    </row>
    <row r="1526" spans="31:31" ht="15" x14ac:dyDescent="0.25">
      <c r="AE1526"/>
    </row>
    <row r="1527" spans="31:31" ht="15" x14ac:dyDescent="0.25">
      <c r="AE1527"/>
    </row>
    <row r="1528" spans="31:31" ht="15" x14ac:dyDescent="0.25">
      <c r="AE1528"/>
    </row>
    <row r="1529" spans="31:31" ht="15" x14ac:dyDescent="0.25">
      <c r="AE1529"/>
    </row>
    <row r="1530" spans="31:31" ht="15" x14ac:dyDescent="0.25">
      <c r="AE1530"/>
    </row>
    <row r="1531" spans="31:31" ht="15" x14ac:dyDescent="0.25">
      <c r="AE1531"/>
    </row>
    <row r="1532" spans="31:31" ht="15" x14ac:dyDescent="0.25">
      <c r="AE1532"/>
    </row>
    <row r="1533" spans="31:31" ht="15" x14ac:dyDescent="0.25">
      <c r="AE1533"/>
    </row>
    <row r="1534" spans="31:31" ht="15" x14ac:dyDescent="0.25">
      <c r="AE1534"/>
    </row>
    <row r="1535" spans="31:31" ht="15" x14ac:dyDescent="0.25">
      <c r="AE1535"/>
    </row>
    <row r="1536" spans="31:31" ht="15" x14ac:dyDescent="0.25">
      <c r="AE1536"/>
    </row>
    <row r="1537" spans="31:31" ht="15" x14ac:dyDescent="0.25">
      <c r="AE1537"/>
    </row>
    <row r="1538" spans="31:31" ht="15" x14ac:dyDescent="0.25">
      <c r="AE1538"/>
    </row>
    <row r="1539" spans="31:31" ht="15" x14ac:dyDescent="0.25">
      <c r="AE1539"/>
    </row>
    <row r="1540" spans="31:31" ht="15" x14ac:dyDescent="0.25">
      <c r="AE1540"/>
    </row>
    <row r="1541" spans="31:31" ht="15" x14ac:dyDescent="0.25">
      <c r="AE1541"/>
    </row>
    <row r="1542" spans="31:31" ht="15" x14ac:dyDescent="0.25">
      <c r="AE1542"/>
    </row>
    <row r="1543" spans="31:31" ht="15" x14ac:dyDescent="0.25">
      <c r="AE1543"/>
    </row>
    <row r="1544" spans="31:31" ht="15" x14ac:dyDescent="0.25">
      <c r="AE1544"/>
    </row>
    <row r="1545" spans="31:31" ht="15" x14ac:dyDescent="0.25">
      <c r="AE1545"/>
    </row>
    <row r="1546" spans="31:31" ht="15" x14ac:dyDescent="0.25">
      <c r="AE1546"/>
    </row>
    <row r="1547" spans="31:31" ht="15" x14ac:dyDescent="0.25">
      <c r="AE1547"/>
    </row>
    <row r="1548" spans="31:31" ht="15" x14ac:dyDescent="0.25">
      <c r="AE1548"/>
    </row>
    <row r="1549" spans="31:31" ht="15" x14ac:dyDescent="0.25">
      <c r="AE1549"/>
    </row>
    <row r="1550" spans="31:31" ht="15" x14ac:dyDescent="0.25">
      <c r="AE1550"/>
    </row>
    <row r="1551" spans="31:31" ht="15" x14ac:dyDescent="0.25">
      <c r="AE1551"/>
    </row>
    <row r="1552" spans="31:31" ht="15" x14ac:dyDescent="0.25">
      <c r="AE1552"/>
    </row>
    <row r="1553" spans="31:31" ht="15" x14ac:dyDescent="0.25">
      <c r="AE1553"/>
    </row>
    <row r="1554" spans="31:31" ht="15" x14ac:dyDescent="0.25">
      <c r="AE1554"/>
    </row>
    <row r="1555" spans="31:31" ht="15" x14ac:dyDescent="0.25">
      <c r="AE1555"/>
    </row>
    <row r="1556" spans="31:31" ht="15" x14ac:dyDescent="0.25">
      <c r="AE1556"/>
    </row>
    <row r="1557" spans="31:31" ht="15" x14ac:dyDescent="0.25">
      <c r="AE1557"/>
    </row>
    <row r="1558" spans="31:31" ht="15" x14ac:dyDescent="0.25">
      <c r="AE1558"/>
    </row>
    <row r="1559" spans="31:31" ht="15" x14ac:dyDescent="0.25">
      <c r="AE1559"/>
    </row>
    <row r="1560" spans="31:31" ht="15" x14ac:dyDescent="0.25">
      <c r="AE1560"/>
    </row>
    <row r="1561" spans="31:31" ht="15" x14ac:dyDescent="0.25">
      <c r="AE1561"/>
    </row>
    <row r="1562" spans="31:31" ht="15" x14ac:dyDescent="0.25">
      <c r="AE1562"/>
    </row>
    <row r="1563" spans="31:31" ht="15" x14ac:dyDescent="0.25">
      <c r="AE1563"/>
    </row>
    <row r="1564" spans="31:31" ht="15" x14ac:dyDescent="0.25">
      <c r="AE1564"/>
    </row>
    <row r="1565" spans="31:31" ht="15" x14ac:dyDescent="0.25">
      <c r="AE1565"/>
    </row>
    <row r="1566" spans="31:31" ht="15" x14ac:dyDescent="0.25">
      <c r="AE1566"/>
    </row>
    <row r="1567" spans="31:31" ht="15" x14ac:dyDescent="0.25">
      <c r="AE1567"/>
    </row>
    <row r="1568" spans="31:31" ht="15" x14ac:dyDescent="0.25">
      <c r="AE1568"/>
    </row>
    <row r="1569" spans="31:31" ht="15" x14ac:dyDescent="0.25">
      <c r="AE1569"/>
    </row>
    <row r="1570" spans="31:31" ht="15" x14ac:dyDescent="0.25">
      <c r="AE1570"/>
    </row>
    <row r="1571" spans="31:31" ht="15" x14ac:dyDescent="0.25">
      <c r="AE1571"/>
    </row>
    <row r="1572" spans="31:31" ht="15" x14ac:dyDescent="0.25">
      <c r="AE1572"/>
    </row>
    <row r="1573" spans="31:31" ht="15" x14ac:dyDescent="0.25">
      <c r="AE1573"/>
    </row>
    <row r="1574" spans="31:31" ht="15" x14ac:dyDescent="0.25">
      <c r="AE1574"/>
    </row>
    <row r="1575" spans="31:31" ht="15" x14ac:dyDescent="0.25">
      <c r="AE1575"/>
    </row>
    <row r="1576" spans="31:31" ht="15" x14ac:dyDescent="0.25">
      <c r="AE1576"/>
    </row>
    <row r="1577" spans="31:31" ht="15" x14ac:dyDescent="0.25">
      <c r="AE1577"/>
    </row>
    <row r="1578" spans="31:31" ht="15" x14ac:dyDescent="0.25">
      <c r="AE1578"/>
    </row>
    <row r="1579" spans="31:31" ht="15" x14ac:dyDescent="0.25">
      <c r="AE1579"/>
    </row>
    <row r="1580" spans="31:31" ht="15" x14ac:dyDescent="0.25">
      <c r="AE1580"/>
    </row>
    <row r="1581" spans="31:31" ht="15" x14ac:dyDescent="0.25">
      <c r="AE1581"/>
    </row>
    <row r="1582" spans="31:31" ht="15" x14ac:dyDescent="0.25">
      <c r="AE1582"/>
    </row>
    <row r="1583" spans="31:31" ht="15" x14ac:dyDescent="0.25">
      <c r="AE1583"/>
    </row>
    <row r="1584" spans="31:31" ht="15" x14ac:dyDescent="0.25">
      <c r="AE1584"/>
    </row>
    <row r="1585" spans="31:31" ht="15" x14ac:dyDescent="0.25">
      <c r="AE1585"/>
    </row>
    <row r="1586" spans="31:31" ht="15" x14ac:dyDescent="0.25">
      <c r="AE1586"/>
    </row>
    <row r="1587" spans="31:31" ht="15" x14ac:dyDescent="0.25">
      <c r="AE1587"/>
    </row>
    <row r="1588" spans="31:31" ht="15" x14ac:dyDescent="0.25">
      <c r="AE1588"/>
    </row>
    <row r="1589" spans="31:31" ht="15" x14ac:dyDescent="0.25">
      <c r="AE1589"/>
    </row>
    <row r="1590" spans="31:31" ht="15" x14ac:dyDescent="0.25">
      <c r="AE1590"/>
    </row>
    <row r="1591" spans="31:31" ht="15" x14ac:dyDescent="0.25">
      <c r="AE1591"/>
    </row>
    <row r="1592" spans="31:31" ht="15" x14ac:dyDescent="0.25">
      <c r="AE1592"/>
    </row>
    <row r="1593" spans="31:31" ht="15" x14ac:dyDescent="0.25">
      <c r="AE1593"/>
    </row>
    <row r="1594" spans="31:31" ht="15" x14ac:dyDescent="0.25">
      <c r="AE1594"/>
    </row>
    <row r="1595" spans="31:31" ht="15" x14ac:dyDescent="0.25">
      <c r="AE1595"/>
    </row>
    <row r="1596" spans="31:31" ht="15" x14ac:dyDescent="0.25">
      <c r="AE1596"/>
    </row>
    <row r="1597" spans="31:31" ht="15" x14ac:dyDescent="0.25">
      <c r="AE1597"/>
    </row>
    <row r="1598" spans="31:31" ht="15" x14ac:dyDescent="0.25">
      <c r="AE1598"/>
    </row>
    <row r="1599" spans="31:31" ht="15" x14ac:dyDescent="0.25">
      <c r="AE1599"/>
    </row>
    <row r="1600" spans="31:31" ht="15" x14ac:dyDescent="0.25">
      <c r="AE1600"/>
    </row>
    <row r="1601" spans="31:31" ht="15" x14ac:dyDescent="0.25">
      <c r="AE1601"/>
    </row>
    <row r="1602" spans="31:31" ht="15" x14ac:dyDescent="0.25">
      <c r="AE1602"/>
    </row>
    <row r="1603" spans="31:31" ht="15" x14ac:dyDescent="0.25">
      <c r="AE1603"/>
    </row>
    <row r="1604" spans="31:31" ht="15" x14ac:dyDescent="0.25">
      <c r="AE1604"/>
    </row>
    <row r="1605" spans="31:31" ht="15" x14ac:dyDescent="0.25">
      <c r="AE1605"/>
    </row>
    <row r="1606" spans="31:31" ht="15" x14ac:dyDescent="0.25">
      <c r="AE1606"/>
    </row>
    <row r="1607" spans="31:31" ht="15" x14ac:dyDescent="0.25">
      <c r="AE1607"/>
    </row>
    <row r="1608" spans="31:31" ht="15" x14ac:dyDescent="0.25">
      <c r="AE1608"/>
    </row>
    <row r="1609" spans="31:31" ht="15" x14ac:dyDescent="0.25">
      <c r="AE1609"/>
    </row>
    <row r="1610" spans="31:31" ht="15" x14ac:dyDescent="0.25">
      <c r="AE1610"/>
    </row>
    <row r="1611" spans="31:31" ht="15" x14ac:dyDescent="0.25">
      <c r="AE1611"/>
    </row>
    <row r="1612" spans="31:31" ht="15" x14ac:dyDescent="0.25">
      <c r="AE1612"/>
    </row>
    <row r="1613" spans="31:31" ht="15" x14ac:dyDescent="0.25">
      <c r="AE1613"/>
    </row>
    <row r="1614" spans="31:31" ht="15" x14ac:dyDescent="0.25">
      <c r="AE1614"/>
    </row>
    <row r="1615" spans="31:31" ht="15" x14ac:dyDescent="0.25">
      <c r="AE1615"/>
    </row>
    <row r="1616" spans="31:31" ht="15" x14ac:dyDescent="0.25">
      <c r="AE1616"/>
    </row>
    <row r="1617" spans="31:31" ht="15" x14ac:dyDescent="0.25">
      <c r="AE1617"/>
    </row>
    <row r="1618" spans="31:31" ht="15" x14ac:dyDescent="0.25">
      <c r="AE1618"/>
    </row>
    <row r="1619" spans="31:31" ht="15" x14ac:dyDescent="0.25">
      <c r="AE1619"/>
    </row>
    <row r="1620" spans="31:31" ht="15" x14ac:dyDescent="0.25">
      <c r="AE1620"/>
    </row>
    <row r="1621" spans="31:31" ht="15" x14ac:dyDescent="0.25">
      <c r="AE1621"/>
    </row>
    <row r="1622" spans="31:31" ht="15" x14ac:dyDescent="0.25">
      <c r="AE1622"/>
    </row>
    <row r="1623" spans="31:31" ht="15" x14ac:dyDescent="0.25">
      <c r="AE1623"/>
    </row>
    <row r="1624" spans="31:31" ht="15" x14ac:dyDescent="0.25">
      <c r="AE1624"/>
    </row>
    <row r="1625" spans="31:31" ht="15" x14ac:dyDescent="0.25">
      <c r="AE1625"/>
    </row>
    <row r="1626" spans="31:31" ht="15" x14ac:dyDescent="0.25">
      <c r="AE1626"/>
    </row>
    <row r="1627" spans="31:31" ht="15" x14ac:dyDescent="0.25">
      <c r="AE1627"/>
    </row>
    <row r="1628" spans="31:31" ht="15" x14ac:dyDescent="0.25">
      <c r="AE1628"/>
    </row>
    <row r="1629" spans="31:31" ht="15" x14ac:dyDescent="0.25">
      <c r="AE1629"/>
    </row>
    <row r="1630" spans="31:31" ht="15" x14ac:dyDescent="0.25">
      <c r="AE1630"/>
    </row>
    <row r="1631" spans="31:31" ht="15" x14ac:dyDescent="0.25">
      <c r="AE1631"/>
    </row>
    <row r="1632" spans="31:31" ht="15" x14ac:dyDescent="0.25">
      <c r="AE1632"/>
    </row>
    <row r="1633" spans="31:31" ht="15" x14ac:dyDescent="0.25">
      <c r="AE1633"/>
    </row>
    <row r="1634" spans="31:31" ht="15" x14ac:dyDescent="0.25">
      <c r="AE1634"/>
    </row>
    <row r="1635" spans="31:31" ht="15" x14ac:dyDescent="0.25">
      <c r="AE1635"/>
    </row>
    <row r="1636" spans="31:31" ht="15" x14ac:dyDescent="0.25">
      <c r="AE1636"/>
    </row>
    <row r="1637" spans="31:31" ht="15" x14ac:dyDescent="0.25">
      <c r="AE1637"/>
    </row>
    <row r="1638" spans="31:31" ht="15" x14ac:dyDescent="0.25">
      <c r="AE1638"/>
    </row>
    <row r="1639" spans="31:31" ht="15" x14ac:dyDescent="0.25">
      <c r="AE1639"/>
    </row>
    <row r="1640" spans="31:31" ht="15" x14ac:dyDescent="0.25">
      <c r="AE1640"/>
    </row>
    <row r="1641" spans="31:31" ht="15" x14ac:dyDescent="0.25">
      <c r="AE1641"/>
    </row>
    <row r="1642" spans="31:31" ht="15" x14ac:dyDescent="0.25">
      <c r="AE1642"/>
    </row>
    <row r="1643" spans="31:31" ht="15" x14ac:dyDescent="0.25">
      <c r="AE1643"/>
    </row>
    <row r="1644" spans="31:31" ht="15" x14ac:dyDescent="0.25">
      <c r="AE1644"/>
    </row>
    <row r="1645" spans="31:31" ht="15" x14ac:dyDescent="0.25">
      <c r="AE1645"/>
    </row>
    <row r="1646" spans="31:31" ht="15" x14ac:dyDescent="0.25">
      <c r="AE1646"/>
    </row>
    <row r="1647" spans="31:31" ht="15" x14ac:dyDescent="0.25">
      <c r="AE1647"/>
    </row>
    <row r="1648" spans="31:31" ht="15" x14ac:dyDescent="0.25">
      <c r="AE1648"/>
    </row>
    <row r="1649" spans="31:31" ht="15" x14ac:dyDescent="0.25">
      <c r="AE1649"/>
    </row>
    <row r="1650" spans="31:31" ht="15" x14ac:dyDescent="0.25">
      <c r="AE1650"/>
    </row>
    <row r="1651" spans="31:31" ht="15" x14ac:dyDescent="0.25">
      <c r="AE1651"/>
    </row>
    <row r="1652" spans="31:31" ht="15" x14ac:dyDescent="0.25">
      <c r="AE1652"/>
    </row>
    <row r="1653" spans="31:31" ht="15" x14ac:dyDescent="0.25">
      <c r="AE1653"/>
    </row>
    <row r="1654" spans="31:31" ht="15" x14ac:dyDescent="0.25">
      <c r="AE1654"/>
    </row>
    <row r="1655" spans="31:31" ht="15" x14ac:dyDescent="0.25">
      <c r="AE1655"/>
    </row>
    <row r="1656" spans="31:31" ht="15" x14ac:dyDescent="0.25">
      <c r="AE1656"/>
    </row>
    <row r="1657" spans="31:31" ht="15" x14ac:dyDescent="0.25">
      <c r="AE1657"/>
    </row>
    <row r="1658" spans="31:31" ht="15" x14ac:dyDescent="0.25">
      <c r="AE1658"/>
    </row>
    <row r="1659" spans="31:31" ht="15" x14ac:dyDescent="0.25">
      <c r="AE1659"/>
    </row>
    <row r="1660" spans="31:31" ht="15" x14ac:dyDescent="0.25">
      <c r="AE1660"/>
    </row>
    <row r="1661" spans="31:31" ht="15" x14ac:dyDescent="0.25">
      <c r="AE1661"/>
    </row>
    <row r="1662" spans="31:31" ht="15" x14ac:dyDescent="0.25">
      <c r="AE1662"/>
    </row>
    <row r="1663" spans="31:31" ht="15" x14ac:dyDescent="0.25">
      <c r="AE1663"/>
    </row>
    <row r="1664" spans="31:31" ht="15" x14ac:dyDescent="0.25">
      <c r="AE1664"/>
    </row>
    <row r="1665" spans="31:31" ht="15" x14ac:dyDescent="0.25">
      <c r="AE1665"/>
    </row>
    <row r="1666" spans="31:31" ht="15" x14ac:dyDescent="0.25">
      <c r="AE1666"/>
    </row>
    <row r="1667" spans="31:31" ht="15" x14ac:dyDescent="0.25">
      <c r="AE1667"/>
    </row>
    <row r="1668" spans="31:31" ht="15" x14ac:dyDescent="0.25">
      <c r="AE1668"/>
    </row>
    <row r="1669" spans="31:31" ht="15" x14ac:dyDescent="0.25">
      <c r="AE1669"/>
    </row>
    <row r="1670" spans="31:31" ht="15" x14ac:dyDescent="0.25">
      <c r="AE1670"/>
    </row>
    <row r="1671" spans="31:31" ht="15" x14ac:dyDescent="0.25">
      <c r="AE1671"/>
    </row>
    <row r="1672" spans="31:31" ht="15" x14ac:dyDescent="0.25">
      <c r="AE1672"/>
    </row>
    <row r="1673" spans="31:31" ht="15" x14ac:dyDescent="0.25">
      <c r="AE1673"/>
    </row>
    <row r="1674" spans="31:31" ht="15" x14ac:dyDescent="0.25">
      <c r="AE1674"/>
    </row>
    <row r="1675" spans="31:31" ht="15" x14ac:dyDescent="0.25">
      <c r="AE1675"/>
    </row>
    <row r="1676" spans="31:31" ht="15" x14ac:dyDescent="0.25">
      <c r="AE1676"/>
    </row>
    <row r="1677" spans="31:31" ht="15" x14ac:dyDescent="0.25">
      <c r="AE1677"/>
    </row>
    <row r="1678" spans="31:31" ht="15" x14ac:dyDescent="0.25">
      <c r="AE1678"/>
    </row>
    <row r="1679" spans="31:31" ht="15" x14ac:dyDescent="0.25">
      <c r="AE1679"/>
    </row>
    <row r="1680" spans="31:31" ht="15" x14ac:dyDescent="0.25">
      <c r="AE1680"/>
    </row>
    <row r="1681" spans="31:31" ht="15" x14ac:dyDescent="0.25">
      <c r="AE1681"/>
    </row>
    <row r="1682" spans="31:31" ht="15" x14ac:dyDescent="0.25">
      <c r="AE1682"/>
    </row>
    <row r="1683" spans="31:31" ht="15" x14ac:dyDescent="0.25">
      <c r="AE1683"/>
    </row>
    <row r="1684" spans="31:31" ht="15" x14ac:dyDescent="0.25">
      <c r="AE1684"/>
    </row>
    <row r="1685" spans="31:31" ht="15" x14ac:dyDescent="0.25">
      <c r="AE1685"/>
    </row>
    <row r="1686" spans="31:31" ht="15" x14ac:dyDescent="0.25">
      <c r="AE1686"/>
    </row>
    <row r="1687" spans="31:31" ht="15" x14ac:dyDescent="0.25">
      <c r="AE1687"/>
    </row>
    <row r="1688" spans="31:31" ht="15" x14ac:dyDescent="0.25">
      <c r="AE1688"/>
    </row>
    <row r="1689" spans="31:31" ht="15" x14ac:dyDescent="0.25">
      <c r="AE1689"/>
    </row>
    <row r="1690" spans="31:31" ht="15" x14ac:dyDescent="0.25">
      <c r="AE1690"/>
    </row>
    <row r="1691" spans="31:31" ht="15" x14ac:dyDescent="0.25">
      <c r="AE1691"/>
    </row>
    <row r="1692" spans="31:31" ht="15" x14ac:dyDescent="0.25">
      <c r="AE1692"/>
    </row>
    <row r="1693" spans="31:31" ht="15" x14ac:dyDescent="0.25">
      <c r="AE1693"/>
    </row>
    <row r="1694" spans="31:31" ht="15" x14ac:dyDescent="0.25">
      <c r="AE1694"/>
    </row>
    <row r="1695" spans="31:31" ht="15" x14ac:dyDescent="0.25">
      <c r="AE1695"/>
    </row>
    <row r="1696" spans="31:31" ht="15" x14ac:dyDescent="0.25">
      <c r="AE1696"/>
    </row>
    <row r="1697" spans="31:31" ht="15" x14ac:dyDescent="0.25">
      <c r="AE1697"/>
    </row>
    <row r="1698" spans="31:31" ht="15" x14ac:dyDescent="0.25">
      <c r="AE1698"/>
    </row>
    <row r="1699" spans="31:31" ht="15" x14ac:dyDescent="0.25">
      <c r="AE1699"/>
    </row>
    <row r="1700" spans="31:31" ht="15" x14ac:dyDescent="0.25">
      <c r="AE1700"/>
    </row>
    <row r="1701" spans="31:31" ht="15" x14ac:dyDescent="0.25">
      <c r="AE1701"/>
    </row>
    <row r="1702" spans="31:31" ht="15" x14ac:dyDescent="0.25">
      <c r="AE1702"/>
    </row>
    <row r="1703" spans="31:31" ht="15" x14ac:dyDescent="0.25">
      <c r="AE1703"/>
    </row>
    <row r="1704" spans="31:31" ht="15" x14ac:dyDescent="0.25">
      <c r="AE1704"/>
    </row>
    <row r="1705" spans="31:31" ht="15" x14ac:dyDescent="0.25">
      <c r="AE1705"/>
    </row>
    <row r="1706" spans="31:31" ht="15" x14ac:dyDescent="0.25">
      <c r="AE1706"/>
    </row>
    <row r="1707" spans="31:31" ht="15" x14ac:dyDescent="0.25">
      <c r="AE1707"/>
    </row>
    <row r="1708" spans="31:31" ht="15" x14ac:dyDescent="0.25">
      <c r="AE1708"/>
    </row>
    <row r="1709" spans="31:31" ht="15" x14ac:dyDescent="0.25">
      <c r="AE1709"/>
    </row>
    <row r="1710" spans="31:31" ht="15" x14ac:dyDescent="0.25">
      <c r="AE1710"/>
    </row>
    <row r="1711" spans="31:31" ht="15" x14ac:dyDescent="0.25">
      <c r="AE1711"/>
    </row>
    <row r="1712" spans="31:31" ht="15" x14ac:dyDescent="0.25">
      <c r="AE1712"/>
    </row>
    <row r="1713" spans="31:31" ht="15" x14ac:dyDescent="0.25">
      <c r="AE1713"/>
    </row>
    <row r="1714" spans="31:31" ht="15" x14ac:dyDescent="0.25">
      <c r="AE1714"/>
    </row>
    <row r="1715" spans="31:31" ht="15" x14ac:dyDescent="0.25">
      <c r="AE1715"/>
    </row>
    <row r="1716" spans="31:31" ht="15" x14ac:dyDescent="0.25">
      <c r="AE1716"/>
    </row>
    <row r="1717" spans="31:31" ht="15" x14ac:dyDescent="0.25">
      <c r="AE1717"/>
    </row>
    <row r="1718" spans="31:31" ht="15" x14ac:dyDescent="0.25">
      <c r="AE1718"/>
    </row>
    <row r="1719" spans="31:31" ht="15" x14ac:dyDescent="0.25">
      <c r="AE1719"/>
    </row>
    <row r="1720" spans="31:31" ht="15" x14ac:dyDescent="0.25">
      <c r="AE1720"/>
    </row>
    <row r="1721" spans="31:31" ht="15" x14ac:dyDescent="0.25">
      <c r="AE1721"/>
    </row>
    <row r="1722" spans="31:31" ht="15" x14ac:dyDescent="0.25">
      <c r="AE1722"/>
    </row>
    <row r="1723" spans="31:31" ht="15" x14ac:dyDescent="0.25">
      <c r="AE1723"/>
    </row>
    <row r="1724" spans="31:31" ht="15" x14ac:dyDescent="0.25">
      <c r="AE1724"/>
    </row>
    <row r="1725" spans="31:31" ht="15" x14ac:dyDescent="0.25">
      <c r="AE1725"/>
    </row>
    <row r="1726" spans="31:31" ht="15" x14ac:dyDescent="0.25">
      <c r="AE1726"/>
    </row>
    <row r="1727" spans="31:31" ht="15" x14ac:dyDescent="0.25">
      <c r="AE1727"/>
    </row>
    <row r="1728" spans="31:31" ht="15" x14ac:dyDescent="0.25">
      <c r="AE1728"/>
    </row>
    <row r="1729" spans="31:31" ht="15" x14ac:dyDescent="0.25">
      <c r="AE1729"/>
    </row>
    <row r="1730" spans="31:31" ht="15" x14ac:dyDescent="0.25">
      <c r="AE1730"/>
    </row>
    <row r="1731" spans="31:31" ht="15" x14ac:dyDescent="0.25">
      <c r="AE1731"/>
    </row>
    <row r="1732" spans="31:31" ht="15" x14ac:dyDescent="0.25">
      <c r="AE1732"/>
    </row>
    <row r="1733" spans="31:31" ht="15" x14ac:dyDescent="0.25">
      <c r="AE1733"/>
    </row>
    <row r="1734" spans="31:31" ht="15" x14ac:dyDescent="0.25">
      <c r="AE1734"/>
    </row>
    <row r="1735" spans="31:31" ht="15" x14ac:dyDescent="0.25">
      <c r="AE1735"/>
    </row>
    <row r="1736" spans="31:31" ht="15" x14ac:dyDescent="0.25">
      <c r="AE1736"/>
    </row>
    <row r="1737" spans="31:31" ht="15" x14ac:dyDescent="0.25">
      <c r="AE1737"/>
    </row>
    <row r="1738" spans="31:31" ht="15" x14ac:dyDescent="0.25">
      <c r="AE1738"/>
    </row>
    <row r="1739" spans="31:31" ht="15" x14ac:dyDescent="0.25">
      <c r="AE1739"/>
    </row>
    <row r="1740" spans="31:31" ht="15" x14ac:dyDescent="0.25">
      <c r="AE1740"/>
    </row>
    <row r="1741" spans="31:31" ht="15" x14ac:dyDescent="0.25">
      <c r="AE1741"/>
    </row>
    <row r="1742" spans="31:31" ht="15" x14ac:dyDescent="0.25">
      <c r="AE1742"/>
    </row>
    <row r="1743" spans="31:31" ht="15" x14ac:dyDescent="0.25">
      <c r="AE1743"/>
    </row>
    <row r="1744" spans="31:31" ht="15" x14ac:dyDescent="0.25">
      <c r="AE1744"/>
    </row>
    <row r="1745" spans="31:31" ht="15" x14ac:dyDescent="0.25">
      <c r="AE1745"/>
    </row>
    <row r="1746" spans="31:31" ht="15" x14ac:dyDescent="0.25">
      <c r="AE1746"/>
    </row>
    <row r="1747" spans="31:31" ht="15" x14ac:dyDescent="0.25">
      <c r="AE1747"/>
    </row>
    <row r="1748" spans="31:31" ht="15" x14ac:dyDescent="0.25">
      <c r="AE1748"/>
    </row>
    <row r="1749" spans="31:31" ht="15" x14ac:dyDescent="0.25">
      <c r="AE1749"/>
    </row>
    <row r="1750" spans="31:31" ht="15" x14ac:dyDescent="0.25">
      <c r="AE1750"/>
    </row>
    <row r="1751" spans="31:31" ht="15" x14ac:dyDescent="0.25">
      <c r="AE1751"/>
    </row>
    <row r="1752" spans="31:31" ht="15" x14ac:dyDescent="0.25">
      <c r="AE1752"/>
    </row>
    <row r="1753" spans="31:31" ht="15" x14ac:dyDescent="0.25">
      <c r="AE1753"/>
    </row>
    <row r="1754" spans="31:31" ht="15" x14ac:dyDescent="0.25">
      <c r="AE1754"/>
    </row>
    <row r="1755" spans="31:31" ht="15" x14ac:dyDescent="0.25">
      <c r="AE1755"/>
    </row>
    <row r="1756" spans="31:31" ht="15" x14ac:dyDescent="0.25">
      <c r="AE1756"/>
    </row>
    <row r="1757" spans="31:31" ht="15" x14ac:dyDescent="0.25">
      <c r="AE1757"/>
    </row>
    <row r="1758" spans="31:31" ht="15" x14ac:dyDescent="0.25">
      <c r="AE1758"/>
    </row>
    <row r="1759" spans="31:31" ht="15" x14ac:dyDescent="0.25">
      <c r="AE1759"/>
    </row>
    <row r="1760" spans="31:31" ht="15" x14ac:dyDescent="0.25">
      <c r="AE1760"/>
    </row>
    <row r="1761" spans="31:31" ht="15" x14ac:dyDescent="0.25">
      <c r="AE1761"/>
    </row>
    <row r="1762" spans="31:31" ht="15" x14ac:dyDescent="0.25">
      <c r="AE1762"/>
    </row>
    <row r="1763" spans="31:31" ht="15" x14ac:dyDescent="0.25">
      <c r="AE1763"/>
    </row>
    <row r="1764" spans="31:31" ht="15" x14ac:dyDescent="0.25">
      <c r="AE1764"/>
    </row>
    <row r="1765" spans="31:31" ht="15" x14ac:dyDescent="0.25">
      <c r="AE1765"/>
    </row>
    <row r="1766" spans="31:31" ht="15" x14ac:dyDescent="0.25">
      <c r="AE1766"/>
    </row>
    <row r="1767" spans="31:31" ht="15" x14ac:dyDescent="0.25">
      <c r="AE1767"/>
    </row>
    <row r="1768" spans="31:31" ht="15" x14ac:dyDescent="0.25">
      <c r="AE1768"/>
    </row>
    <row r="1769" spans="31:31" ht="15" x14ac:dyDescent="0.25">
      <c r="AE1769"/>
    </row>
    <row r="1770" spans="31:31" ht="15" x14ac:dyDescent="0.25">
      <c r="AE1770"/>
    </row>
    <row r="1771" spans="31:31" ht="15" x14ac:dyDescent="0.25">
      <c r="AE1771"/>
    </row>
    <row r="1772" spans="31:31" ht="15" x14ac:dyDescent="0.25">
      <c r="AE1772"/>
    </row>
    <row r="1773" spans="31:31" ht="15" x14ac:dyDescent="0.25">
      <c r="AE1773"/>
    </row>
    <row r="1774" spans="31:31" ht="15" x14ac:dyDescent="0.25">
      <c r="AE1774"/>
    </row>
    <row r="1775" spans="31:31" ht="15" x14ac:dyDescent="0.25">
      <c r="AE1775"/>
    </row>
    <row r="1776" spans="31:31" ht="15" x14ac:dyDescent="0.25">
      <c r="AE1776"/>
    </row>
    <row r="1777" spans="31:31" ht="15" x14ac:dyDescent="0.25">
      <c r="AE1777"/>
    </row>
    <row r="1778" spans="31:31" ht="15" x14ac:dyDescent="0.25">
      <c r="AE1778"/>
    </row>
    <row r="1779" spans="31:31" ht="15" x14ac:dyDescent="0.25">
      <c r="AE1779"/>
    </row>
    <row r="1780" spans="31:31" ht="15" x14ac:dyDescent="0.25">
      <c r="AE1780"/>
    </row>
    <row r="1781" spans="31:31" ht="15" x14ac:dyDescent="0.25">
      <c r="AE1781"/>
    </row>
    <row r="1782" spans="31:31" ht="15" x14ac:dyDescent="0.25">
      <c r="AE1782"/>
    </row>
    <row r="1783" spans="31:31" ht="15" x14ac:dyDescent="0.25">
      <c r="AE1783"/>
    </row>
    <row r="1784" spans="31:31" ht="15" x14ac:dyDescent="0.25">
      <c r="AE1784"/>
    </row>
    <row r="1785" spans="31:31" ht="15" x14ac:dyDescent="0.25">
      <c r="AE1785"/>
    </row>
    <row r="1786" spans="31:31" ht="15" x14ac:dyDescent="0.25">
      <c r="AE1786"/>
    </row>
    <row r="1787" spans="31:31" ht="15" x14ac:dyDescent="0.25">
      <c r="AE1787"/>
    </row>
    <row r="1788" spans="31:31" ht="15" x14ac:dyDescent="0.25">
      <c r="AE1788"/>
    </row>
    <row r="1789" spans="31:31" ht="15" x14ac:dyDescent="0.25">
      <c r="AE1789"/>
    </row>
    <row r="1790" spans="31:31" ht="15" x14ac:dyDescent="0.25">
      <c r="AE1790"/>
    </row>
    <row r="1791" spans="31:31" ht="15" x14ac:dyDescent="0.25">
      <c r="AE1791"/>
    </row>
    <row r="1792" spans="31:31" ht="15" x14ac:dyDescent="0.25">
      <c r="AE1792"/>
    </row>
    <row r="1793" spans="31:31" ht="15" x14ac:dyDescent="0.25">
      <c r="AE1793"/>
    </row>
    <row r="1794" spans="31:31" ht="15" x14ac:dyDescent="0.25">
      <c r="AE1794"/>
    </row>
    <row r="1795" spans="31:31" ht="15" x14ac:dyDescent="0.25">
      <c r="AE1795"/>
    </row>
    <row r="1796" spans="31:31" ht="15" x14ac:dyDescent="0.25">
      <c r="AE1796"/>
    </row>
    <row r="1797" spans="31:31" ht="15" x14ac:dyDescent="0.25">
      <c r="AE1797"/>
    </row>
    <row r="1798" spans="31:31" ht="15" x14ac:dyDescent="0.25">
      <c r="AE1798"/>
    </row>
    <row r="1799" spans="31:31" ht="15" x14ac:dyDescent="0.25">
      <c r="AE1799"/>
    </row>
    <row r="1800" spans="31:31" ht="15" x14ac:dyDescent="0.25">
      <c r="AE1800"/>
    </row>
    <row r="1801" spans="31:31" ht="15" x14ac:dyDescent="0.25">
      <c r="AE1801"/>
    </row>
    <row r="1802" spans="31:31" ht="15" x14ac:dyDescent="0.25">
      <c r="AE1802"/>
    </row>
    <row r="1803" spans="31:31" ht="15" x14ac:dyDescent="0.25">
      <c r="AE1803"/>
    </row>
    <row r="1804" spans="31:31" ht="15" x14ac:dyDescent="0.25">
      <c r="AE1804"/>
    </row>
    <row r="1805" spans="31:31" ht="15" x14ac:dyDescent="0.25">
      <c r="AE1805"/>
    </row>
    <row r="1806" spans="31:31" ht="15" x14ac:dyDescent="0.25">
      <c r="AE1806"/>
    </row>
    <row r="1807" spans="31:31" ht="15" x14ac:dyDescent="0.25">
      <c r="AE1807"/>
    </row>
    <row r="1808" spans="31:31" ht="15" x14ac:dyDescent="0.25">
      <c r="AE1808"/>
    </row>
    <row r="1809" spans="31:31" ht="15" x14ac:dyDescent="0.25">
      <c r="AE1809"/>
    </row>
    <row r="1810" spans="31:31" ht="15" x14ac:dyDescent="0.25">
      <c r="AE1810"/>
    </row>
    <row r="1811" spans="31:31" ht="15" x14ac:dyDescent="0.25">
      <c r="AE1811"/>
    </row>
    <row r="1812" spans="31:31" ht="15" x14ac:dyDescent="0.25">
      <c r="AE1812"/>
    </row>
    <row r="1813" spans="31:31" ht="15" x14ac:dyDescent="0.25">
      <c r="AE1813"/>
    </row>
    <row r="1814" spans="31:31" ht="15" x14ac:dyDescent="0.25">
      <c r="AE1814"/>
    </row>
    <row r="1815" spans="31:31" ht="15" x14ac:dyDescent="0.25">
      <c r="AE1815"/>
    </row>
    <row r="1816" spans="31:31" ht="15" x14ac:dyDescent="0.25">
      <c r="AE1816"/>
    </row>
    <row r="1817" spans="31:31" ht="15" x14ac:dyDescent="0.25">
      <c r="AE1817"/>
    </row>
    <row r="1818" spans="31:31" ht="15" x14ac:dyDescent="0.25">
      <c r="AE1818"/>
    </row>
    <row r="1819" spans="31:31" ht="15" x14ac:dyDescent="0.25">
      <c r="AE1819"/>
    </row>
    <row r="1820" spans="31:31" ht="15" x14ac:dyDescent="0.25">
      <c r="AE1820"/>
    </row>
    <row r="1821" spans="31:31" ht="15" x14ac:dyDescent="0.25">
      <c r="AE1821"/>
    </row>
    <row r="1822" spans="31:31" ht="15" x14ac:dyDescent="0.25">
      <c r="AE1822"/>
    </row>
    <row r="1823" spans="31:31" ht="15" x14ac:dyDescent="0.25">
      <c r="AE1823"/>
    </row>
    <row r="1824" spans="31:31" ht="15" x14ac:dyDescent="0.25">
      <c r="AE1824"/>
    </row>
    <row r="1825" spans="31:31" ht="15" x14ac:dyDescent="0.25">
      <c r="AE1825"/>
    </row>
    <row r="1826" spans="31:31" ht="15" x14ac:dyDescent="0.25">
      <c r="AE1826"/>
    </row>
    <row r="1827" spans="31:31" ht="15" x14ac:dyDescent="0.25">
      <c r="AE1827"/>
    </row>
    <row r="1828" spans="31:31" ht="15" x14ac:dyDescent="0.25">
      <c r="AE1828"/>
    </row>
    <row r="1829" spans="31:31" ht="15" x14ac:dyDescent="0.25">
      <c r="AE1829"/>
    </row>
    <row r="1830" spans="31:31" ht="15" x14ac:dyDescent="0.25">
      <c r="AE1830"/>
    </row>
    <row r="1831" spans="31:31" ht="15" x14ac:dyDescent="0.25">
      <c r="AE1831"/>
    </row>
    <row r="1832" spans="31:31" ht="15" x14ac:dyDescent="0.25">
      <c r="AE1832"/>
    </row>
    <row r="1833" spans="31:31" ht="15" x14ac:dyDescent="0.25">
      <c r="AE1833"/>
    </row>
    <row r="1834" spans="31:31" ht="15" x14ac:dyDescent="0.25">
      <c r="AE1834"/>
    </row>
    <row r="1835" spans="31:31" ht="15" x14ac:dyDescent="0.25">
      <c r="AE1835"/>
    </row>
    <row r="1836" spans="31:31" ht="15" x14ac:dyDescent="0.25">
      <c r="AE1836"/>
    </row>
    <row r="1837" spans="31:31" ht="15" x14ac:dyDescent="0.25">
      <c r="AE1837"/>
    </row>
    <row r="1838" spans="31:31" ht="15" x14ac:dyDescent="0.25">
      <c r="AE1838"/>
    </row>
    <row r="1839" spans="31:31" ht="15" x14ac:dyDescent="0.25">
      <c r="AE1839"/>
    </row>
    <row r="1840" spans="31:31" ht="15" x14ac:dyDescent="0.25">
      <c r="AE1840"/>
    </row>
    <row r="1841" spans="31:31" ht="15" x14ac:dyDescent="0.25">
      <c r="AE1841"/>
    </row>
    <row r="1842" spans="31:31" ht="15" x14ac:dyDescent="0.25">
      <c r="AE1842"/>
    </row>
    <row r="1843" spans="31:31" ht="15" x14ac:dyDescent="0.25">
      <c r="AE1843"/>
    </row>
    <row r="1844" spans="31:31" ht="15" x14ac:dyDescent="0.25">
      <c r="AE1844"/>
    </row>
    <row r="1845" spans="31:31" ht="15" x14ac:dyDescent="0.25">
      <c r="AE1845"/>
    </row>
    <row r="1846" spans="31:31" ht="15" x14ac:dyDescent="0.25">
      <c r="AE1846"/>
    </row>
    <row r="1847" spans="31:31" ht="15" x14ac:dyDescent="0.25">
      <c r="AE1847"/>
    </row>
    <row r="1848" spans="31:31" ht="15" x14ac:dyDescent="0.25">
      <c r="AE1848"/>
    </row>
    <row r="1849" spans="31:31" ht="15" x14ac:dyDescent="0.25">
      <c r="AE1849"/>
    </row>
    <row r="1850" spans="31:31" ht="15" x14ac:dyDescent="0.25">
      <c r="AE1850"/>
    </row>
    <row r="1851" spans="31:31" ht="15" x14ac:dyDescent="0.25">
      <c r="AE1851"/>
    </row>
    <row r="1852" spans="31:31" ht="15" x14ac:dyDescent="0.25">
      <c r="AE1852"/>
    </row>
    <row r="1853" spans="31:31" ht="15" x14ac:dyDescent="0.25">
      <c r="AE1853"/>
    </row>
    <row r="1854" spans="31:31" ht="15" x14ac:dyDescent="0.25">
      <c r="AE1854"/>
    </row>
    <row r="1855" spans="31:31" ht="15" x14ac:dyDescent="0.25">
      <c r="AE1855"/>
    </row>
    <row r="1856" spans="31:31" ht="15" x14ac:dyDescent="0.25">
      <c r="AE1856"/>
    </row>
    <row r="1857" spans="31:31" ht="15" x14ac:dyDescent="0.25">
      <c r="AE1857"/>
    </row>
    <row r="1858" spans="31:31" ht="15" x14ac:dyDescent="0.25">
      <c r="AE1858"/>
    </row>
    <row r="1859" spans="31:31" ht="15" x14ac:dyDescent="0.25">
      <c r="AE1859"/>
    </row>
    <row r="1860" spans="31:31" ht="15" x14ac:dyDescent="0.25">
      <c r="AE1860"/>
    </row>
    <row r="1861" spans="31:31" ht="15" x14ac:dyDescent="0.25">
      <c r="AE1861"/>
    </row>
    <row r="1862" spans="31:31" ht="15" x14ac:dyDescent="0.25">
      <c r="AE1862"/>
    </row>
    <row r="1863" spans="31:31" ht="15" x14ac:dyDescent="0.25">
      <c r="AE1863"/>
    </row>
    <row r="1864" spans="31:31" ht="15" x14ac:dyDescent="0.25">
      <c r="AE1864"/>
    </row>
    <row r="1865" spans="31:31" ht="15" x14ac:dyDescent="0.25">
      <c r="AE1865"/>
    </row>
    <row r="1866" spans="31:31" ht="15" x14ac:dyDescent="0.25">
      <c r="AE1866"/>
    </row>
    <row r="1867" spans="31:31" ht="15" x14ac:dyDescent="0.25">
      <c r="AE1867"/>
    </row>
    <row r="1868" spans="31:31" ht="15" x14ac:dyDescent="0.25">
      <c r="AE1868"/>
    </row>
    <row r="1869" spans="31:31" ht="15" x14ac:dyDescent="0.25">
      <c r="AE1869"/>
    </row>
    <row r="1870" spans="31:31" ht="15" x14ac:dyDescent="0.25">
      <c r="AE1870"/>
    </row>
    <row r="1871" spans="31:31" ht="15" x14ac:dyDescent="0.25">
      <c r="AE1871"/>
    </row>
    <row r="1872" spans="31:31" ht="15" x14ac:dyDescent="0.25">
      <c r="AE1872"/>
    </row>
    <row r="1873" spans="31:31" ht="15" x14ac:dyDescent="0.25">
      <c r="AE1873"/>
    </row>
    <row r="1874" spans="31:31" ht="15" x14ac:dyDescent="0.25">
      <c r="AE1874"/>
    </row>
    <row r="1875" spans="31:31" ht="15" x14ac:dyDescent="0.25">
      <c r="AE1875"/>
    </row>
    <row r="1876" spans="31:31" ht="15" x14ac:dyDescent="0.25">
      <c r="AE1876"/>
    </row>
    <row r="1877" spans="31:31" ht="15" x14ac:dyDescent="0.25">
      <c r="AE1877"/>
    </row>
    <row r="1878" spans="31:31" ht="15" x14ac:dyDescent="0.25">
      <c r="AE1878"/>
    </row>
    <row r="1879" spans="31:31" ht="15" x14ac:dyDescent="0.25">
      <c r="AE1879"/>
    </row>
    <row r="1880" spans="31:31" ht="15" x14ac:dyDescent="0.25">
      <c r="AE1880"/>
    </row>
    <row r="1881" spans="31:31" ht="15" x14ac:dyDescent="0.25">
      <c r="AE1881"/>
    </row>
    <row r="1882" spans="31:31" ht="15" x14ac:dyDescent="0.25">
      <c r="AE1882"/>
    </row>
    <row r="1883" spans="31:31" ht="15" x14ac:dyDescent="0.25">
      <c r="AE188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mapping</vt:lpstr>
      <vt:lpstr>Data</vt:lpstr>
      <vt:lpstr>Role</vt:lpstr>
      <vt:lpstr>Experience</vt:lpstr>
      <vt:lpstr>DB</vt:lpstr>
      <vt:lpstr>Control</vt:lpstr>
      <vt:lpstr>Experience</vt:lpstr>
      <vt:lpstr>Hours</vt:lpstr>
      <vt:lpstr>JobType</vt:lpstr>
      <vt:lpstr>Location</vt:lpstr>
      <vt:lpstr>SortOrder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Allred, Benjamin [USA]</cp:lastModifiedBy>
  <dcterms:created xsi:type="dcterms:W3CDTF">2012-06-21T06:10:20Z</dcterms:created>
  <dcterms:modified xsi:type="dcterms:W3CDTF">2012-07-07T02:39:39Z</dcterms:modified>
</cp:coreProperties>
</file>