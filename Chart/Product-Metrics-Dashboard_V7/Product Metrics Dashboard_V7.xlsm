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WEBSITE\EXCELDASHBOARDSCHOOL.COM\_CIKKEK - videók\077_R_Product Metrics Dashboard\"/>
    </mc:Choice>
  </mc:AlternateContent>
  <bookViews>
    <workbookView xWindow="0" yWindow="0" windowWidth="28800" windowHeight="12435"/>
  </bookViews>
  <sheets>
    <sheet name="Dashboard" sheetId="1" r:id="rId1"/>
    <sheet name="Database" sheetId="5" r:id="rId2"/>
    <sheet name="GAUGE_SETUP" sheetId="13" r:id="rId3"/>
  </sheets>
  <definedNames>
    <definedName name="_xlnm._FilterDatabase" localSheetId="0" hidden="1">Dashboard!$B$6:$D$6</definedName>
    <definedName name="Chart">INDIRECT(Dashboard!$O$18)</definedName>
    <definedName name="Movie">INDIRECT(Dashboard!$O$8)</definedName>
    <definedName name="Product_1">Database!$D$3</definedName>
    <definedName name="Product_10">Database!$D$12</definedName>
    <definedName name="Product_11">Database!$D$13</definedName>
    <definedName name="Product_12">Database!$D$14</definedName>
    <definedName name="Product_13">Database!$D$15</definedName>
    <definedName name="Product_14">Database!$D$16</definedName>
    <definedName name="Product_15">Database!$D$17</definedName>
    <definedName name="Product_2">Database!$D$4</definedName>
    <definedName name="Product_3">Database!$D$5</definedName>
    <definedName name="Product_4">Database!$D$6</definedName>
    <definedName name="Product_5">Database!$D$7</definedName>
    <definedName name="Product_6">Database!$D$8</definedName>
    <definedName name="Product_7">Database!$D$9</definedName>
    <definedName name="Product_8">Database!$D$10</definedName>
    <definedName name="Product_9">Database!$D$11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3" l="1"/>
  <c r="F12" i="13" l="1"/>
  <c r="F14" i="13" s="1"/>
  <c r="D23" i="1" l="1"/>
  <c r="E9" i="1" l="1"/>
  <c r="E19" i="1"/>
  <c r="E17" i="1"/>
  <c r="E21" i="1"/>
  <c r="E20" i="1"/>
  <c r="E18" i="1"/>
  <c r="E16" i="1"/>
  <c r="E8" i="1"/>
  <c r="E11" i="1"/>
  <c r="E13" i="1"/>
  <c r="E10" i="1"/>
  <c r="E12" i="1"/>
  <c r="E15" i="1"/>
  <c r="E7" i="1"/>
  <c r="E14" i="1"/>
</calcChain>
</file>

<file path=xl/sharedStrings.xml><?xml version="1.0" encoding="utf-8"?>
<sst xmlns="http://schemas.openxmlformats.org/spreadsheetml/2006/main" count="94" uniqueCount="73">
  <si>
    <t>Images</t>
  </si>
  <si>
    <t>Images Name</t>
  </si>
  <si>
    <t>Product 1</t>
  </si>
  <si>
    <t>Product 2</t>
  </si>
  <si>
    <t>Product 3</t>
  </si>
  <si>
    <t>Product 4</t>
  </si>
  <si>
    <t>Product 5</t>
  </si>
  <si>
    <t>Product 6</t>
  </si>
  <si>
    <t>Product 7</t>
  </si>
  <si>
    <t>Product 8</t>
  </si>
  <si>
    <t>Product 9</t>
  </si>
  <si>
    <t>Product 10</t>
  </si>
  <si>
    <t>Product 11</t>
  </si>
  <si>
    <t>Product 12</t>
  </si>
  <si>
    <t>Product 13</t>
  </si>
  <si>
    <t>Product 14</t>
  </si>
  <si>
    <t>Product 15</t>
  </si>
  <si>
    <t>Manager</t>
  </si>
  <si>
    <t>Product Rating:</t>
  </si>
  <si>
    <t>Graph</t>
  </si>
  <si>
    <t>TREND (Last 12 Months)</t>
  </si>
  <si>
    <t>Name</t>
  </si>
  <si>
    <t>Product</t>
  </si>
  <si>
    <t>Details</t>
  </si>
  <si>
    <t>Red</t>
  </si>
  <si>
    <t>End</t>
  </si>
  <si>
    <t>Gauge Value (0 to 100)</t>
  </si>
  <si>
    <t>these too</t>
  </si>
  <si>
    <t>Change this</t>
  </si>
  <si>
    <t>Yellow</t>
  </si>
  <si>
    <t>Gauge</t>
  </si>
  <si>
    <t>Indicator</t>
  </si>
  <si>
    <t>Start</t>
  </si>
  <si>
    <t>GV</t>
  </si>
  <si>
    <t>GV+</t>
  </si>
  <si>
    <t>Blank</t>
  </si>
  <si>
    <t>Created by Pointy Haired Dilbert - http://chandoo.org/wp            If you are still scrolling you are invited to waste your time by clicking this!</t>
  </si>
  <si>
    <t>KPI</t>
  </si>
  <si>
    <t>LAST 12 MONTHS</t>
  </si>
  <si>
    <t>Product Metrics Dashboard</t>
  </si>
  <si>
    <t>Tom</t>
  </si>
  <si>
    <t>Peter</t>
  </si>
  <si>
    <t>John</t>
  </si>
  <si>
    <t>Steve</t>
  </si>
  <si>
    <t>Sandra</t>
  </si>
  <si>
    <t>Rose</t>
  </si>
  <si>
    <t>Mary</t>
  </si>
  <si>
    <t>Jenny</t>
  </si>
  <si>
    <t>Tim</t>
  </si>
  <si>
    <t>Eva</t>
  </si>
  <si>
    <t>Rating</t>
  </si>
  <si>
    <t>Product_1</t>
  </si>
  <si>
    <t>Product_2</t>
  </si>
  <si>
    <t>Product_3</t>
  </si>
  <si>
    <t>Product_4</t>
  </si>
  <si>
    <t>Product_5</t>
  </si>
  <si>
    <t>Product_6</t>
  </si>
  <si>
    <t>Product_7</t>
  </si>
  <si>
    <t>Product_8</t>
  </si>
  <si>
    <t>Product_9</t>
  </si>
  <si>
    <t>Product_10</t>
  </si>
  <si>
    <t>Product_11</t>
  </si>
  <si>
    <t>Product_12</t>
  </si>
  <si>
    <t>Product_13</t>
  </si>
  <si>
    <t>Product_14</t>
  </si>
  <si>
    <t>Product_15</t>
  </si>
  <si>
    <t>Roy</t>
  </si>
  <si>
    <t>Allison</t>
  </si>
  <si>
    <t>Alexa</t>
  </si>
  <si>
    <t>Products</t>
  </si>
  <si>
    <t>Agent</t>
  </si>
  <si>
    <t>Arden</t>
  </si>
  <si>
    <t>Robert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</si>
</sst>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0.0"/>
    <numFmt numFmtId="166" formatCode="_-* #,##0.0_-;\-* #,##0.0_-;_-* &quot;-&quot;??_-;_-@_-"/>
    <numFmt numFmtId="167" formatCode="_-* #,##0_-;\-* #,##0_-;_-* &quot;-&quot;??_-;_-@_-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4" tint="-0.249977111117893"/>
      <name val="Calibri"/>
      <family val="2"/>
      <scheme val="minor"/>
    </font>
    <font>
      <b/>
      <sz val="10"/>
      <color theme="5" tint="-0.249977111117893"/>
      <name val="Arial Black"/>
      <family val="2"/>
    </font>
    <font>
      <sz val="10"/>
      <color theme="5" tint="-0.249977111117893"/>
      <name val="Arial Black"/>
      <family val="2"/>
    </font>
    <font>
      <b/>
      <sz val="10"/>
      <color theme="4" tint="-0.249977111117893"/>
      <name val="Arial Black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</font>
    <font>
      <sz val="10"/>
      <name val="Arial"/>
    </font>
    <font>
      <sz val="20"/>
      <color indexed="10"/>
      <name val="Arial"/>
    </font>
    <font>
      <sz val="10"/>
      <color indexed="10"/>
      <name val="Arial"/>
    </font>
    <font>
      <u/>
      <sz val="10"/>
      <color indexed="12"/>
      <name val="Arial"/>
    </font>
    <font>
      <sz val="10"/>
      <color indexed="63"/>
      <name val="Arial"/>
    </font>
    <font>
      <sz val="8"/>
      <color indexed="23"/>
      <name val="Arial"/>
    </font>
    <font>
      <i/>
      <sz val="8"/>
      <color indexed="23"/>
      <name val="Arial"/>
      <family val="2"/>
    </font>
    <font>
      <b/>
      <sz val="10"/>
      <color indexed="9"/>
      <name val="Arial"/>
      <family val="2"/>
    </font>
    <font>
      <sz val="11"/>
      <color theme="3" tint="0.39997558519241921"/>
      <name val="Calibri"/>
      <family val="2"/>
      <charset val="238"/>
      <scheme val="minor"/>
    </font>
    <font>
      <sz val="11"/>
      <color theme="1"/>
      <name val="Eras Demi ITC"/>
      <family val="2"/>
    </font>
    <font>
      <sz val="22"/>
      <color theme="0"/>
      <name val="Eras Demi ITC"/>
      <family val="2"/>
    </font>
    <font>
      <sz val="12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1" tint="0.34998626667073579"/>
      <name val="Eras Demi ITC"/>
      <family val="2"/>
    </font>
    <font>
      <b/>
      <sz val="11"/>
      <color theme="0"/>
      <name val="Eras Demi ITC"/>
      <family val="2"/>
    </font>
    <font>
      <b/>
      <sz val="11"/>
      <color theme="1" tint="0.34998626667073579"/>
      <name val="Eras Demi ITC"/>
      <family val="2"/>
    </font>
    <font>
      <sz val="11"/>
      <color theme="3" tint="-0.249977111117893"/>
      <name val="Eras Demi ITC"/>
      <family val="2"/>
    </font>
    <font>
      <sz val="10"/>
      <color theme="1"/>
      <name val="Eras Demi ITC"/>
      <family val="2"/>
    </font>
    <font>
      <sz val="11"/>
      <color theme="0" tint="-0.249977111117893"/>
      <name val="Eras Demi ITC"/>
      <family val="2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/>
      <top style="thin">
        <color indexed="22"/>
      </top>
      <bottom style="hair">
        <color indexed="22"/>
      </bottom>
      <diagonal/>
    </border>
    <border>
      <left/>
      <right style="thin">
        <color indexed="22"/>
      </right>
      <top style="thin">
        <color indexed="22"/>
      </top>
      <bottom style="hair">
        <color indexed="22"/>
      </bottom>
      <diagonal/>
    </border>
    <border>
      <left style="thin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hair">
        <color indexed="22"/>
      </left>
      <right style="thin">
        <color indexed="22"/>
      </right>
      <top style="hair">
        <color indexed="22"/>
      </top>
      <bottom style="hair">
        <color indexed="22"/>
      </bottom>
      <diagonal/>
    </border>
    <border>
      <left style="thin">
        <color indexed="22"/>
      </left>
      <right style="hair">
        <color indexed="22"/>
      </right>
      <top style="hair">
        <color indexed="22"/>
      </top>
      <bottom style="thin">
        <color indexed="22"/>
      </bottom>
      <diagonal/>
    </border>
    <border>
      <left style="hair">
        <color indexed="22"/>
      </left>
      <right style="thin">
        <color indexed="22"/>
      </right>
      <top style="hair">
        <color indexed="22"/>
      </top>
      <bottom style="thin">
        <color indexed="22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10" fillId="0" borderId="0"/>
    <xf numFmtId="0" fontId="13" fillId="0" borderId="0" applyNumberFormat="0" applyFill="0" applyBorder="0" applyAlignment="0" applyProtection="0">
      <alignment vertical="top"/>
      <protection locked="0"/>
    </xf>
  </cellStyleXfs>
  <cellXfs count="67">
    <xf numFmtId="0" fontId="0" fillId="0" borderId="0" xfId="0"/>
    <xf numFmtId="0" fontId="0" fillId="0" borderId="0" xfId="0" applyAlignment="1">
      <alignment wrapText="1"/>
    </xf>
    <xf numFmtId="0" fontId="0" fillId="0" borderId="0" xfId="0" applyBorder="1"/>
    <xf numFmtId="165" fontId="0" fillId="0" borderId="0" xfId="0" applyNumberFormat="1"/>
    <xf numFmtId="15" fontId="0" fillId="0" borderId="0" xfId="0" applyNumberFormat="1" applyBorder="1"/>
    <xf numFmtId="0" fontId="0" fillId="0" borderId="0" xfId="0" applyBorder="1" applyAlignment="1">
      <alignment wrapText="1"/>
    </xf>
    <xf numFmtId="0" fontId="2" fillId="2" borderId="1" xfId="0" applyFont="1" applyFill="1" applyBorder="1"/>
    <xf numFmtId="0" fontId="2" fillId="2" borderId="1" xfId="0" applyFont="1" applyFill="1" applyBorder="1" applyAlignment="1">
      <alignment wrapText="1"/>
    </xf>
    <xf numFmtId="0" fontId="10" fillId="3" borderId="0" xfId="4" applyFill="1"/>
    <xf numFmtId="0" fontId="10" fillId="0" borderId="0" xfId="4"/>
    <xf numFmtId="0" fontId="10" fillId="4" borderId="2" xfId="4" applyFill="1" applyBorder="1" applyAlignment="1">
      <alignment horizontal="center"/>
    </xf>
    <xf numFmtId="0" fontId="16" fillId="0" borderId="0" xfId="4" applyFont="1"/>
    <xf numFmtId="0" fontId="10" fillId="0" borderId="6" xfId="4" applyFill="1" applyBorder="1"/>
    <xf numFmtId="0" fontId="10" fillId="0" borderId="7" xfId="4" applyFill="1" applyBorder="1"/>
    <xf numFmtId="0" fontId="10" fillId="0" borderId="6" xfId="4" applyBorder="1"/>
    <xf numFmtId="0" fontId="10" fillId="0" borderId="7" xfId="4" applyBorder="1"/>
    <xf numFmtId="0" fontId="10" fillId="0" borderId="8" xfId="4" applyBorder="1"/>
    <xf numFmtId="0" fontId="10" fillId="0" borderId="9" xfId="4" applyBorder="1"/>
    <xf numFmtId="0" fontId="10" fillId="6" borderId="0" xfId="4" applyFont="1" applyFill="1" applyBorder="1"/>
    <xf numFmtId="0" fontId="10" fillId="6" borderId="0" xfId="4" applyFont="1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/>
    </xf>
    <xf numFmtId="0" fontId="0" fillId="10" borderId="0" xfId="0" applyFill="1" applyBorder="1"/>
    <xf numFmtId="0" fontId="0" fillId="10" borderId="0" xfId="0" applyFill="1"/>
    <xf numFmtId="0" fontId="0" fillId="10" borderId="0" xfId="0" applyFill="1" applyAlignment="1">
      <alignment horizontal="center"/>
    </xf>
    <xf numFmtId="0" fontId="3" fillId="10" borderId="0" xfId="0" applyFont="1" applyFill="1" applyBorder="1"/>
    <xf numFmtId="0" fontId="0" fillId="10" borderId="0" xfId="0" applyFont="1" applyFill="1" applyBorder="1" applyAlignment="1">
      <alignment vertical="top" wrapText="1"/>
    </xf>
    <xf numFmtId="0" fontId="3" fillId="10" borderId="0" xfId="0" applyFont="1" applyFill="1" applyBorder="1" applyAlignment="1">
      <alignment horizontal="left"/>
    </xf>
    <xf numFmtId="0" fontId="6" fillId="10" borderId="0" xfId="0" applyFont="1" applyFill="1" applyBorder="1"/>
    <xf numFmtId="0" fontId="4" fillId="10" borderId="0" xfId="0" applyFont="1" applyFill="1" applyBorder="1" applyAlignment="1">
      <alignment vertical="center" wrapText="1"/>
    </xf>
    <xf numFmtId="0" fontId="7" fillId="10" borderId="0" xfId="0" applyFont="1" applyFill="1" applyBorder="1"/>
    <xf numFmtId="0" fontId="21" fillId="10" borderId="0" xfId="0" applyFont="1" applyFill="1" applyBorder="1"/>
    <xf numFmtId="0" fontId="22" fillId="10" borderId="0" xfId="0" applyFont="1" applyFill="1" applyBorder="1"/>
    <xf numFmtId="0" fontId="19" fillId="10" borderId="0" xfId="0" applyFont="1" applyFill="1" applyBorder="1"/>
    <xf numFmtId="14" fontId="23" fillId="10" borderId="0" xfId="0" applyNumberFormat="1" applyFont="1" applyFill="1" applyBorder="1" applyAlignment="1">
      <alignment horizontal="center"/>
    </xf>
    <xf numFmtId="0" fontId="19" fillId="10" borderId="0" xfId="0" applyFont="1" applyFill="1"/>
    <xf numFmtId="167" fontId="25" fillId="10" borderId="0" xfId="1" applyNumberFormat="1" applyFont="1" applyFill="1" applyBorder="1" applyAlignment="1">
      <alignment horizontal="center"/>
    </xf>
    <xf numFmtId="0" fontId="26" fillId="10" borderId="0" xfId="0" applyFont="1" applyFill="1" applyBorder="1"/>
    <xf numFmtId="0" fontId="0" fillId="10" borderId="0" xfId="0" applyFont="1" applyFill="1" applyBorder="1"/>
    <xf numFmtId="166" fontId="0" fillId="10" borderId="0" xfId="1" applyNumberFormat="1" applyFont="1" applyFill="1" applyBorder="1" applyAlignment="1">
      <alignment horizontal="center"/>
    </xf>
    <xf numFmtId="0" fontId="27" fillId="10" borderId="0" xfId="0" applyFont="1" applyFill="1" applyBorder="1" applyAlignment="1">
      <alignment horizontal="right" vertical="top" wrapText="1"/>
    </xf>
    <xf numFmtId="14" fontId="27" fillId="10" borderId="0" xfId="0" applyNumberFormat="1" applyFont="1" applyFill="1" applyBorder="1" applyAlignment="1">
      <alignment horizontal="right"/>
    </xf>
    <xf numFmtId="0" fontId="27" fillId="10" borderId="0" xfId="0" applyFont="1" applyFill="1" applyBorder="1" applyAlignment="1">
      <alignment horizontal="right"/>
    </xf>
    <xf numFmtId="167" fontId="27" fillId="10" borderId="0" xfId="1" applyNumberFormat="1" applyFont="1" applyFill="1" applyBorder="1" applyAlignment="1">
      <alignment horizontal="right"/>
    </xf>
    <xf numFmtId="0" fontId="24" fillId="9" borderId="0" xfId="0" applyFont="1" applyFill="1" applyBorder="1" applyAlignment="1">
      <alignment horizontal="center"/>
    </xf>
    <xf numFmtId="0" fontId="24" fillId="9" borderId="0" xfId="0" applyFont="1" applyFill="1" applyAlignment="1">
      <alignment horizontal="center"/>
    </xf>
    <xf numFmtId="166" fontId="28" fillId="10" borderId="0" xfId="0" applyNumberFormat="1" applyFont="1" applyFill="1"/>
    <xf numFmtId="1" fontId="0" fillId="0" borderId="0" xfId="0" applyNumberFormat="1" applyBorder="1" applyAlignment="1">
      <alignment horizontal="center"/>
    </xf>
    <xf numFmtId="0" fontId="10" fillId="10" borderId="0" xfId="4" applyFill="1"/>
    <xf numFmtId="0" fontId="11" fillId="10" borderId="0" xfId="4" applyFont="1" applyFill="1" applyAlignment="1">
      <alignment vertical="center"/>
    </xf>
    <xf numFmtId="0" fontId="12" fillId="10" borderId="0" xfId="4" applyFont="1" applyFill="1" applyAlignment="1">
      <alignment vertical="center"/>
    </xf>
    <xf numFmtId="0" fontId="24" fillId="9" borderId="0" xfId="0" applyFont="1" applyFill="1" applyAlignment="1">
      <alignment horizontal="center"/>
    </xf>
    <xf numFmtId="0" fontId="20" fillId="2" borderId="0" xfId="0" applyFont="1" applyFill="1" applyAlignment="1">
      <alignment horizontal="center" vertical="center"/>
    </xf>
    <xf numFmtId="0" fontId="18" fillId="10" borderId="0" xfId="0" applyNumberFormat="1" applyFont="1" applyFill="1" applyBorder="1" applyAlignment="1">
      <alignment horizontal="left" vertical="center"/>
    </xf>
    <xf numFmtId="0" fontId="24" fillId="9" borderId="0" xfId="0" applyFont="1" applyFill="1" applyBorder="1" applyAlignment="1">
      <alignment horizontal="center"/>
    </xf>
    <xf numFmtId="0" fontId="5" fillId="10" borderId="0" xfId="0" applyFont="1" applyFill="1" applyBorder="1" applyAlignment="1">
      <alignment horizontal="left" vertical="center"/>
    </xf>
    <xf numFmtId="0" fontId="18" fillId="10" borderId="0" xfId="0" applyFont="1" applyFill="1" applyBorder="1" applyAlignment="1">
      <alignment horizontal="left" vertical="center"/>
    </xf>
    <xf numFmtId="0" fontId="8" fillId="7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4" fillId="10" borderId="0" xfId="5" applyFont="1" applyFill="1" applyAlignment="1" applyProtection="1">
      <alignment horizontal="left"/>
    </xf>
    <xf numFmtId="0" fontId="15" fillId="0" borderId="3" xfId="4" applyFont="1" applyBorder="1" applyAlignment="1">
      <alignment horizontal="left" vertical="center" indent="2"/>
    </xf>
    <xf numFmtId="0" fontId="15" fillId="0" borderId="0" xfId="4" applyFont="1" applyBorder="1" applyAlignment="1">
      <alignment horizontal="left" vertical="center" indent="2"/>
    </xf>
    <xf numFmtId="0" fontId="17" fillId="5" borderId="4" xfId="4" applyFont="1" applyFill="1" applyBorder="1" applyAlignment="1">
      <alignment horizontal="center"/>
    </xf>
    <xf numFmtId="0" fontId="17" fillId="5" borderId="5" xfId="4" applyFont="1" applyFill="1" applyBorder="1" applyAlignment="1">
      <alignment horizontal="center"/>
    </xf>
    <xf numFmtId="0" fontId="14" fillId="3" borderId="0" xfId="5" applyFont="1" applyFill="1" applyAlignment="1" applyProtection="1">
      <alignment horizontal="left"/>
    </xf>
  </cellXfs>
  <cellStyles count="6">
    <cellStyle name="Comma" xfId="1" builtinId="3"/>
    <cellStyle name="Hyperlink" xfId="5" builtinId="8"/>
    <cellStyle name="Normal" xfId="0" builtinId="0"/>
    <cellStyle name="Normál 2" xfId="2"/>
    <cellStyle name="Normál 3" xfId="4"/>
    <cellStyle name="Százalék 2" xfId="3"/>
  </cellStyles>
  <dxfs count="1">
    <dxf>
      <font>
        <color theme="0"/>
      </font>
      <fill>
        <patternFill>
          <bgColor theme="4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3076921325520795E-2"/>
          <c:y val="1.3442772406496564E-2"/>
          <c:w val="0.95187165775401072"/>
          <c:h val="0.96739130434782605"/>
        </c:manualLayout>
      </c:layout>
      <c:doughnut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</c:dPt>
          <c:dPt>
            <c:idx val="1"/>
            <c:bubble3D val="0"/>
            <c:spPr>
              <a:gradFill flip="none" rotWithShape="1">
                <a:gsLst>
                  <a:gs pos="0">
                    <a:srgbClr val="FF0000">
                      <a:shade val="30000"/>
                      <a:satMod val="115000"/>
                    </a:srgbClr>
                  </a:gs>
                  <a:gs pos="50000">
                    <a:srgbClr val="FF0000">
                      <a:shade val="67500"/>
                      <a:satMod val="115000"/>
                    </a:srgbClr>
                  </a:gs>
                  <a:gs pos="100000">
                    <a:srgbClr val="FF0000">
                      <a:shade val="100000"/>
                      <a:satMod val="115000"/>
                    </a:srgbClr>
                  </a:gs>
                </a:gsLst>
                <a:lin ang="5400000" scaled="1"/>
                <a:tileRect/>
              </a:gradFill>
              <a:ln w="25400">
                <a:noFill/>
              </a:ln>
            </c:spPr>
          </c:dPt>
          <c:dPt>
            <c:idx val="2"/>
            <c:bubble3D val="0"/>
            <c:spPr>
              <a:gradFill flip="none" rotWithShape="1">
                <a:gsLst>
                  <a:gs pos="0">
                    <a:schemeClr val="accent4">
                      <a:lumMod val="60000"/>
                      <a:lumOff val="40000"/>
                      <a:shade val="30000"/>
                      <a:satMod val="115000"/>
                    </a:schemeClr>
                  </a:gs>
                  <a:gs pos="50000">
                    <a:schemeClr val="accent4">
                      <a:lumMod val="60000"/>
                      <a:lumOff val="40000"/>
                      <a:shade val="67500"/>
                      <a:satMod val="115000"/>
                    </a:schemeClr>
                  </a:gs>
                  <a:gs pos="100000">
                    <a:schemeClr val="accent4">
                      <a:lumMod val="60000"/>
                      <a:lumOff val="40000"/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 w="25400">
                <a:noFill/>
              </a:ln>
            </c:spPr>
          </c:dPt>
          <c:dPt>
            <c:idx val="3"/>
            <c:bubble3D val="0"/>
            <c:spPr>
              <a:gradFill flip="none" rotWithShape="1">
                <a:gsLst>
                  <a:gs pos="0">
                    <a:schemeClr val="accent6">
                      <a:lumMod val="60000"/>
                      <a:lumOff val="40000"/>
                      <a:shade val="30000"/>
                      <a:satMod val="115000"/>
                    </a:schemeClr>
                  </a:gs>
                  <a:gs pos="50000">
                    <a:schemeClr val="accent6">
                      <a:lumMod val="60000"/>
                      <a:lumOff val="40000"/>
                      <a:shade val="67500"/>
                      <a:satMod val="115000"/>
                    </a:schemeClr>
                  </a:gs>
                  <a:gs pos="100000">
                    <a:schemeClr val="accent6">
                      <a:lumMod val="60000"/>
                      <a:lumOff val="40000"/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 w="25400">
                <a:noFill/>
              </a:ln>
            </c:spPr>
          </c:dPt>
          <c:dPt>
            <c:idx val="4"/>
            <c:bubble3D val="0"/>
            <c:spPr>
              <a:noFill/>
              <a:ln w="25400">
                <a:noFill/>
              </a:ln>
            </c:spPr>
          </c:dPt>
          <c:cat>
            <c:strRef>
              <c:f>GAUGE_SETUP!$B$12:$B$16</c:f>
              <c:strCache>
                <c:ptCount val="5"/>
                <c:pt idx="0">
                  <c:v>Start</c:v>
                </c:pt>
                <c:pt idx="1">
                  <c:v>Red</c:v>
                </c:pt>
                <c:pt idx="2">
                  <c:v>Yellow</c:v>
                </c:pt>
                <c:pt idx="3">
                  <c:v>End</c:v>
                </c:pt>
                <c:pt idx="4">
                  <c:v>Blank</c:v>
                </c:pt>
              </c:strCache>
            </c:strRef>
          </c:cat>
          <c:val>
            <c:numRef>
              <c:f>GAUGE_SETUP!$C$12:$C$16</c:f>
              <c:numCache>
                <c:formatCode>General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45</c:v>
                </c:pt>
                <c:pt idx="3">
                  <c:v>35</c:v>
                </c:pt>
                <c:pt idx="4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3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hu-HU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766780599107479E-2"/>
          <c:y val="1.6085811942092125E-2"/>
          <c:w val="0.96514871652552747"/>
          <c:h val="0.96514871652552747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noFill/>
              <a:ln w="25400">
                <a:noFill/>
              </a:ln>
            </c:spPr>
          </c:dPt>
          <c:dPt>
            <c:idx val="1"/>
            <c:bubble3D val="0"/>
            <c:spPr>
              <a:solidFill>
                <a:schemeClr val="bg2">
                  <a:lumMod val="10000"/>
                </a:schemeClr>
              </a:solidFill>
              <a:ln w="3175">
                <a:solidFill>
                  <a:srgbClr val="C0C0C0"/>
                </a:solidFill>
                <a:prstDash val="solid"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</c:dPt>
          <c:dPt>
            <c:idx val="2"/>
            <c:bubble3D val="0"/>
            <c:spPr>
              <a:noFill/>
              <a:ln w="25400">
                <a:noFill/>
              </a:ln>
            </c:spPr>
          </c:dPt>
          <c:cat>
            <c:numRef>
              <c:f>GAUGE_SETUP!$F$11:$F$13</c:f>
              <c:numCache>
                <c:formatCode>General</c:formatCode>
                <c:ptCount val="3"/>
                <c:pt idx="1">
                  <c:v>18</c:v>
                </c:pt>
                <c:pt idx="2">
                  <c:v>2</c:v>
                </c:pt>
              </c:numCache>
            </c:numRef>
          </c:cat>
          <c:val>
            <c:numRef>
              <c:f>GAUGE_SETUP!$F$12:$F$14</c:f>
              <c:numCache>
                <c:formatCode>General</c:formatCode>
                <c:ptCount val="3"/>
                <c:pt idx="0">
                  <c:v>18</c:v>
                </c:pt>
                <c:pt idx="1">
                  <c:v>2</c:v>
                </c:pt>
                <c:pt idx="2">
                  <c:v>180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hu-HU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emf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png"/><Relationship Id="rId18" Type="http://schemas.openxmlformats.org/officeDocument/2006/relationships/image" Target="../media/image21.emf"/><Relationship Id="rId26" Type="http://schemas.openxmlformats.org/officeDocument/2006/relationships/image" Target="../media/image29.emf"/><Relationship Id="rId3" Type="http://schemas.openxmlformats.org/officeDocument/2006/relationships/image" Target="../media/image6.png"/><Relationship Id="rId21" Type="http://schemas.openxmlformats.org/officeDocument/2006/relationships/image" Target="../media/image24.emf"/><Relationship Id="rId7" Type="http://schemas.openxmlformats.org/officeDocument/2006/relationships/image" Target="../media/image10.emf"/><Relationship Id="rId12" Type="http://schemas.openxmlformats.org/officeDocument/2006/relationships/image" Target="../media/image15.png"/><Relationship Id="rId17" Type="http://schemas.openxmlformats.org/officeDocument/2006/relationships/image" Target="../media/image20.emf"/><Relationship Id="rId25" Type="http://schemas.openxmlformats.org/officeDocument/2006/relationships/image" Target="../media/image28.png"/><Relationship Id="rId2" Type="http://schemas.openxmlformats.org/officeDocument/2006/relationships/image" Target="../media/image5.png"/><Relationship Id="rId16" Type="http://schemas.openxmlformats.org/officeDocument/2006/relationships/image" Target="../media/image19.emf"/><Relationship Id="rId20" Type="http://schemas.openxmlformats.org/officeDocument/2006/relationships/image" Target="../media/image23.png"/><Relationship Id="rId1" Type="http://schemas.openxmlformats.org/officeDocument/2006/relationships/image" Target="../media/image4.png"/><Relationship Id="rId6" Type="http://schemas.openxmlformats.org/officeDocument/2006/relationships/image" Target="../media/image9.emf"/><Relationship Id="rId11" Type="http://schemas.openxmlformats.org/officeDocument/2006/relationships/image" Target="../media/image14.png"/><Relationship Id="rId24" Type="http://schemas.openxmlformats.org/officeDocument/2006/relationships/image" Target="../media/image27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23" Type="http://schemas.openxmlformats.org/officeDocument/2006/relationships/image" Target="../media/image26.png"/><Relationship Id="rId10" Type="http://schemas.openxmlformats.org/officeDocument/2006/relationships/image" Target="../media/image13.png"/><Relationship Id="rId19" Type="http://schemas.openxmlformats.org/officeDocument/2006/relationships/image" Target="../media/image22.emf"/><Relationship Id="rId4" Type="http://schemas.openxmlformats.org/officeDocument/2006/relationships/image" Target="../media/image7.png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.emf"/><Relationship Id="rId13" Type="http://schemas.openxmlformats.org/officeDocument/2006/relationships/image" Target="../media/image42.emf"/><Relationship Id="rId3" Type="http://schemas.openxmlformats.org/officeDocument/2006/relationships/image" Target="../media/image32.emf"/><Relationship Id="rId7" Type="http://schemas.openxmlformats.org/officeDocument/2006/relationships/image" Target="../media/image36.emf"/><Relationship Id="rId12" Type="http://schemas.openxmlformats.org/officeDocument/2006/relationships/image" Target="../media/image41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6" Type="http://schemas.openxmlformats.org/officeDocument/2006/relationships/image" Target="../media/image35.emf"/><Relationship Id="rId11" Type="http://schemas.openxmlformats.org/officeDocument/2006/relationships/image" Target="../media/image40.emf"/><Relationship Id="rId5" Type="http://schemas.openxmlformats.org/officeDocument/2006/relationships/image" Target="../media/image34.emf"/><Relationship Id="rId15" Type="http://schemas.openxmlformats.org/officeDocument/2006/relationships/image" Target="../media/image44.emf"/><Relationship Id="rId10" Type="http://schemas.openxmlformats.org/officeDocument/2006/relationships/image" Target="../media/image39.emf"/><Relationship Id="rId4" Type="http://schemas.openxmlformats.org/officeDocument/2006/relationships/image" Target="../media/image33.emf"/><Relationship Id="rId9" Type="http://schemas.openxmlformats.org/officeDocument/2006/relationships/image" Target="../media/image38.emf"/><Relationship Id="rId14" Type="http://schemas.openxmlformats.org/officeDocument/2006/relationships/image" Target="../media/image4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1000125</xdr:colOff>
      <xdr:row>14</xdr:row>
      <xdr:rowOff>114300</xdr:rowOff>
    </xdr:from>
    <xdr:to>
      <xdr:col>14</xdr:col>
      <xdr:colOff>561975</xdr:colOff>
      <xdr:row>20</xdr:row>
      <xdr:rowOff>123825</xdr:rowOff>
    </xdr:to>
    <xdr:sp macro="" textlink="">
      <xdr:nvSpPr>
        <xdr:cNvPr id="7" name="Freeform 16"/>
        <xdr:cNvSpPr/>
      </xdr:nvSpPr>
      <xdr:spPr>
        <a:xfrm>
          <a:off x="5857875" y="2855383"/>
          <a:ext cx="1890183" cy="1194859"/>
        </a:xfrm>
        <a:custGeom>
          <a:avLst/>
          <a:gdLst>
            <a:gd name="connsiteX0" fmla="*/ 47625 w 4200525"/>
            <a:gd name="connsiteY0" fmla="*/ 2381250 h 2552700"/>
            <a:gd name="connsiteX1" fmla="*/ 1781175 w 4200525"/>
            <a:gd name="connsiteY1" fmla="*/ 2381250 h 2552700"/>
            <a:gd name="connsiteX2" fmla="*/ 2076450 w 4200525"/>
            <a:gd name="connsiteY2" fmla="*/ 2552700 h 2552700"/>
            <a:gd name="connsiteX3" fmla="*/ 2476500 w 4200525"/>
            <a:gd name="connsiteY3" fmla="*/ 2371725 h 2552700"/>
            <a:gd name="connsiteX4" fmla="*/ 4010025 w 4200525"/>
            <a:gd name="connsiteY4" fmla="*/ 2371725 h 2552700"/>
            <a:gd name="connsiteX5" fmla="*/ 4200525 w 4200525"/>
            <a:gd name="connsiteY5" fmla="*/ 1895475 h 2552700"/>
            <a:gd name="connsiteX6" fmla="*/ 4000500 w 4200525"/>
            <a:gd name="connsiteY6" fmla="*/ 1028700 h 2552700"/>
            <a:gd name="connsiteX7" fmla="*/ 3381375 w 4200525"/>
            <a:gd name="connsiteY7" fmla="*/ 409575 h 2552700"/>
            <a:gd name="connsiteX8" fmla="*/ 2581275 w 4200525"/>
            <a:gd name="connsiteY8" fmla="*/ 57150 h 2552700"/>
            <a:gd name="connsiteX9" fmla="*/ 1790700 w 4200525"/>
            <a:gd name="connsiteY9" fmla="*/ 0 h 2552700"/>
            <a:gd name="connsiteX10" fmla="*/ 962025 w 4200525"/>
            <a:gd name="connsiteY10" fmla="*/ 295275 h 2552700"/>
            <a:gd name="connsiteX11" fmla="*/ 361950 w 4200525"/>
            <a:gd name="connsiteY11" fmla="*/ 866775 h 2552700"/>
            <a:gd name="connsiteX12" fmla="*/ 0 w 4200525"/>
            <a:gd name="connsiteY12" fmla="*/ 1647825 h 2552700"/>
            <a:gd name="connsiteX13" fmla="*/ 28575 w 4200525"/>
            <a:gd name="connsiteY13" fmla="*/ 2152650 h 2552700"/>
            <a:gd name="connsiteX14" fmla="*/ 47625 w 4200525"/>
            <a:gd name="connsiteY14" fmla="*/ 2381250 h 25527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</a:cxnLst>
          <a:rect l="l" t="t" r="r" b="b"/>
          <a:pathLst>
            <a:path w="4200525" h="2552700">
              <a:moveTo>
                <a:pt x="47625" y="2381250"/>
              </a:moveTo>
              <a:lnTo>
                <a:pt x="1781175" y="2381250"/>
              </a:lnTo>
              <a:lnTo>
                <a:pt x="2076450" y="2552700"/>
              </a:lnTo>
              <a:lnTo>
                <a:pt x="2476500" y="2371725"/>
              </a:lnTo>
              <a:lnTo>
                <a:pt x="4010025" y="2371725"/>
              </a:lnTo>
              <a:lnTo>
                <a:pt x="4200525" y="1895475"/>
              </a:lnTo>
              <a:lnTo>
                <a:pt x="4000500" y="1028700"/>
              </a:lnTo>
              <a:lnTo>
                <a:pt x="3381375" y="409575"/>
              </a:lnTo>
              <a:lnTo>
                <a:pt x="2581275" y="57150"/>
              </a:lnTo>
              <a:lnTo>
                <a:pt x="1790700" y="0"/>
              </a:lnTo>
              <a:lnTo>
                <a:pt x="962025" y="295275"/>
              </a:lnTo>
              <a:lnTo>
                <a:pt x="361950" y="866775"/>
              </a:lnTo>
              <a:lnTo>
                <a:pt x="0" y="1647825"/>
              </a:lnTo>
              <a:lnTo>
                <a:pt x="28575" y="2152650"/>
              </a:lnTo>
              <a:lnTo>
                <a:pt x="47625" y="2381250"/>
              </a:lnTo>
              <a:close/>
            </a:path>
          </a:pathLst>
        </a:custGeom>
        <a:gradFill>
          <a:gsLst>
            <a:gs pos="68000">
              <a:schemeClr val="tx1">
                <a:lumMod val="50000"/>
                <a:lumOff val="50000"/>
              </a:schemeClr>
            </a:gs>
            <a:gs pos="0">
              <a:schemeClr val="bg1">
                <a:lumMod val="85000"/>
              </a:schemeClr>
            </a:gs>
          </a:gsLst>
          <a:lin ang="840000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GB" sz="700"/>
        </a:p>
      </xdr:txBody>
    </xdr:sp>
    <xdr:clientData/>
  </xdr:twoCellAnchor>
  <xdr:twoCellAnchor>
    <xdr:from>
      <xdr:col>10</xdr:col>
      <xdr:colOff>941916</xdr:colOff>
      <xdr:row>14</xdr:row>
      <xdr:rowOff>0</xdr:rowOff>
    </xdr:from>
    <xdr:to>
      <xdr:col>14</xdr:col>
      <xdr:colOff>508000</xdr:colOff>
      <xdr:row>25</xdr:row>
      <xdr:rowOff>148166</xdr:rowOff>
    </xdr:to>
    <xdr:graphicFrame macro="">
      <xdr:nvGraphicFramePr>
        <xdr:cNvPr id="5" name="Diagra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432624</xdr:colOff>
      <xdr:row>18</xdr:row>
      <xdr:rowOff>181027</xdr:rowOff>
    </xdr:from>
    <xdr:to>
      <xdr:col>12</xdr:col>
      <xdr:colOff>642644</xdr:colOff>
      <xdr:row>20</xdr:row>
      <xdr:rowOff>7906</xdr:rowOff>
    </xdr:to>
    <xdr:sp macro="" textlink="">
      <xdr:nvSpPr>
        <xdr:cNvPr id="8" name="Oval 17"/>
        <xdr:cNvSpPr/>
      </xdr:nvSpPr>
      <xdr:spPr>
        <a:xfrm>
          <a:off x="6666207" y="3715860"/>
          <a:ext cx="210020" cy="218463"/>
        </a:xfrm>
        <a:prstGeom prst="ellipse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GB" sz="7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191558</xdr:colOff>
          <xdr:row>6</xdr:row>
          <xdr:rowOff>35814</xdr:rowOff>
        </xdr:from>
        <xdr:to>
          <xdr:col>16</xdr:col>
          <xdr:colOff>622469</xdr:colOff>
          <xdr:row>15</xdr:row>
          <xdr:rowOff>42333</xdr:rowOff>
        </xdr:to>
        <xdr:pic>
          <xdr:nvPicPr>
            <xdr:cNvPr id="3" name="Picture 2"/>
            <xdr:cNvPicPr>
              <a:picLocks noChangeAspect="1"/>
              <a:extLst>
                <a:ext uri="{84589F7E-364E-4C9E-8A38-B11213B215E9}">
                  <a14:cameraTool cellRange="Movie" spid="_x0000_s6219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377641" y="1178814"/>
              <a:ext cx="1658577" cy="1816269"/>
            </a:xfrm>
            <a:prstGeom prst="rect">
              <a:avLst/>
            </a:prstGeom>
            <a:ln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</xdr:pic>
        <xdr:clientData/>
      </xdr:twoCellAnchor>
    </mc:Choice>
    <mc:Fallback/>
  </mc:AlternateContent>
  <xdr:twoCellAnchor>
    <xdr:from>
      <xdr:col>10</xdr:col>
      <xdr:colOff>910170</xdr:colOff>
      <xdr:row>14</xdr:row>
      <xdr:rowOff>193674</xdr:rowOff>
    </xdr:from>
    <xdr:to>
      <xdr:col>14</xdr:col>
      <xdr:colOff>609603</xdr:colOff>
      <xdr:row>23</xdr:row>
      <xdr:rowOff>174624</xdr:rowOff>
    </xdr:to>
    <xdr:graphicFrame macro="">
      <xdr:nvGraphicFramePr>
        <xdr:cNvPr id="9" name="Diagram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933449</xdr:colOff>
      <xdr:row>14</xdr:row>
      <xdr:rowOff>72028</xdr:rowOff>
    </xdr:from>
    <xdr:to>
      <xdr:col>14</xdr:col>
      <xdr:colOff>561975</xdr:colOff>
      <xdr:row>21</xdr:row>
      <xdr:rowOff>21107</xdr:rowOff>
    </xdr:to>
    <xdr:pic>
      <xdr:nvPicPr>
        <xdr:cNvPr id="4" name="Picture 14" descr="Semi Circle Frame.pn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5791199" y="2813111"/>
          <a:ext cx="1956859" cy="1324913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266700</xdr:colOff>
      <xdr:row>2</xdr:row>
      <xdr:rowOff>47625</xdr:rowOff>
    </xdr:from>
    <xdr:to>
      <xdr:col>3</xdr:col>
      <xdr:colOff>923926</xdr:colOff>
      <xdr:row>2</xdr:row>
      <xdr:rowOff>628650</xdr:rowOff>
    </xdr:to>
    <xdr:pic>
      <xdr:nvPicPr>
        <xdr:cNvPr id="9" name="Kép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3525" y="428625"/>
          <a:ext cx="657226" cy="581025"/>
        </a:xfrm>
        <a:prstGeom prst="rect">
          <a:avLst/>
        </a:prstGeom>
      </xdr:spPr>
    </xdr:pic>
    <xdr:clientData/>
  </xdr:twoCellAnchor>
  <xdr:twoCellAnchor editAs="oneCell">
    <xdr:from>
      <xdr:col>3</xdr:col>
      <xdr:colOff>219076</xdr:colOff>
      <xdr:row>3</xdr:row>
      <xdr:rowOff>28576</xdr:rowOff>
    </xdr:from>
    <xdr:to>
      <xdr:col>3</xdr:col>
      <xdr:colOff>933450</xdr:colOff>
      <xdr:row>3</xdr:row>
      <xdr:rowOff>676276</xdr:rowOff>
    </xdr:to>
    <xdr:pic>
      <xdr:nvPicPr>
        <xdr:cNvPr id="18" name="Kép 1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5901" y="1466851"/>
          <a:ext cx="714374" cy="647700"/>
        </a:xfrm>
        <a:prstGeom prst="rect">
          <a:avLst/>
        </a:prstGeom>
      </xdr:spPr>
    </xdr:pic>
    <xdr:clientData/>
  </xdr:twoCellAnchor>
  <xdr:twoCellAnchor editAs="oneCell">
    <xdr:from>
      <xdr:col>3</xdr:col>
      <xdr:colOff>257174</xdr:colOff>
      <xdr:row>4</xdr:row>
      <xdr:rowOff>47625</xdr:rowOff>
    </xdr:from>
    <xdr:to>
      <xdr:col>3</xdr:col>
      <xdr:colOff>857249</xdr:colOff>
      <xdr:row>4</xdr:row>
      <xdr:rowOff>647700</xdr:rowOff>
    </xdr:to>
    <xdr:pic>
      <xdr:nvPicPr>
        <xdr:cNvPr id="19" name="Kép 18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3999" y="2543175"/>
          <a:ext cx="600075" cy="600075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314326</xdr:colOff>
      <xdr:row>9</xdr:row>
      <xdr:rowOff>47626</xdr:rowOff>
    </xdr:from>
    <xdr:to>
      <xdr:col>3</xdr:col>
      <xdr:colOff>962025</xdr:colOff>
      <xdr:row>9</xdr:row>
      <xdr:rowOff>695325</xdr:rowOff>
    </xdr:to>
    <xdr:pic>
      <xdr:nvPicPr>
        <xdr:cNvPr id="20" name="Kép 19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91151" y="7829551"/>
          <a:ext cx="647699" cy="6476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2407002</xdr:colOff>
          <xdr:row>2</xdr:row>
          <xdr:rowOff>695325</xdr:rowOff>
        </xdr:from>
        <xdr:to>
          <xdr:col>3</xdr:col>
          <xdr:colOff>838200</xdr:colOff>
          <xdr:row>2</xdr:row>
          <xdr:rowOff>1000124</xdr:rowOff>
        </xdr:to>
        <xdr:pic>
          <xdr:nvPicPr>
            <xdr:cNvPr id="23" name="Kép 22"/>
            <xdr:cNvPicPr>
              <a:picLocks noChangeAspect="1" noChangeArrowheads="1"/>
              <a:extLst>
                <a:ext uri="{84589F7E-364E-4C9E-8A38-B11213B215E9}">
                  <a14:cameraTool cellRange="$W$3" spid="_x0000_s9934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5074002" y="1076325"/>
              <a:ext cx="841023" cy="30479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123824</xdr:colOff>
          <xdr:row>3</xdr:row>
          <xdr:rowOff>660952</xdr:rowOff>
        </xdr:from>
        <xdr:to>
          <xdr:col>3</xdr:col>
          <xdr:colOff>914399</xdr:colOff>
          <xdr:row>4</xdr:row>
          <xdr:rowOff>9524</xdr:rowOff>
        </xdr:to>
        <xdr:pic>
          <xdr:nvPicPr>
            <xdr:cNvPr id="25" name="Trend_01"/>
            <xdr:cNvPicPr>
              <a:picLocks noChangeAspect="1" noChangeArrowheads="1"/>
              <a:extLst>
                <a:ext uri="{84589F7E-364E-4C9E-8A38-B11213B215E9}">
                  <a14:cameraTool cellRange="$W$4" spid="_x0000_s9935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5200649" y="2099227"/>
              <a:ext cx="790575" cy="40584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4</xdr:row>
          <xdr:rowOff>666748</xdr:rowOff>
        </xdr:from>
        <xdr:to>
          <xdr:col>3</xdr:col>
          <xdr:colOff>919626</xdr:colOff>
          <xdr:row>4</xdr:row>
          <xdr:rowOff>1028699</xdr:rowOff>
        </xdr:to>
        <xdr:pic>
          <xdr:nvPicPr>
            <xdr:cNvPr id="21" name="Kép 20"/>
            <xdr:cNvPicPr>
              <a:picLocks noChangeAspect="1" noChangeArrowheads="1"/>
              <a:extLst>
                <a:ext uri="{84589F7E-364E-4C9E-8A38-B11213B215E9}">
                  <a14:cameraTool cellRange="$W$5" spid="_x0000_s9936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200650" y="3162298"/>
              <a:ext cx="795801" cy="36195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5</xdr:row>
          <xdr:rowOff>685800</xdr:rowOff>
        </xdr:from>
        <xdr:to>
          <xdr:col>3</xdr:col>
          <xdr:colOff>962025</xdr:colOff>
          <xdr:row>5</xdr:row>
          <xdr:rowOff>1028699</xdr:rowOff>
        </xdr:to>
        <xdr:pic>
          <xdr:nvPicPr>
            <xdr:cNvPr id="22" name="Kép 21"/>
            <xdr:cNvPicPr>
              <a:picLocks noChangeAspect="1" noChangeArrowheads="1"/>
              <a:extLst>
                <a:ext uri="{84589F7E-364E-4C9E-8A38-B11213B215E9}">
                  <a14:cameraTool cellRange="$W$6" spid="_x0000_s9937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5238750" y="4238625"/>
              <a:ext cx="800100" cy="34289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190499</xdr:colOff>
          <xdr:row>6</xdr:row>
          <xdr:rowOff>770608</xdr:rowOff>
        </xdr:from>
        <xdr:to>
          <xdr:col>3</xdr:col>
          <xdr:colOff>990600</xdr:colOff>
          <xdr:row>6</xdr:row>
          <xdr:rowOff>1022719</xdr:rowOff>
        </xdr:to>
        <xdr:pic>
          <xdr:nvPicPr>
            <xdr:cNvPr id="24" name="Kép 23"/>
            <xdr:cNvPicPr>
              <a:picLocks noChangeAspect="1" noChangeArrowheads="1"/>
              <a:extLst>
                <a:ext uri="{84589F7E-364E-4C9E-8A38-B11213B215E9}">
                  <a14:cameraTool cellRange="$W$7" spid="_x0000_s993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5267324" y="5380708"/>
              <a:ext cx="800101" cy="25211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295275</xdr:colOff>
      <xdr:row>5</xdr:row>
      <xdr:rowOff>1</xdr:rowOff>
    </xdr:from>
    <xdr:to>
      <xdr:col>3</xdr:col>
      <xdr:colOff>923925</xdr:colOff>
      <xdr:row>5</xdr:row>
      <xdr:rowOff>628651</xdr:rowOff>
    </xdr:to>
    <xdr:pic>
      <xdr:nvPicPr>
        <xdr:cNvPr id="2" name="Kép 1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2100" y="3552826"/>
          <a:ext cx="628650" cy="628650"/>
        </a:xfrm>
        <a:prstGeom prst="rect">
          <a:avLst/>
        </a:prstGeom>
      </xdr:spPr>
    </xdr:pic>
    <xdr:clientData/>
  </xdr:twoCellAnchor>
  <xdr:twoCellAnchor editAs="oneCell">
    <xdr:from>
      <xdr:col>3</xdr:col>
      <xdr:colOff>333376</xdr:colOff>
      <xdr:row>7</xdr:row>
      <xdr:rowOff>38101</xdr:rowOff>
    </xdr:from>
    <xdr:to>
      <xdr:col>3</xdr:col>
      <xdr:colOff>981075</xdr:colOff>
      <xdr:row>7</xdr:row>
      <xdr:rowOff>685800</xdr:rowOff>
    </xdr:to>
    <xdr:pic>
      <xdr:nvPicPr>
        <xdr:cNvPr id="3" name="Kép 2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201" y="5705476"/>
          <a:ext cx="647699" cy="647699"/>
        </a:xfrm>
        <a:prstGeom prst="rect">
          <a:avLst/>
        </a:prstGeom>
      </xdr:spPr>
    </xdr:pic>
    <xdr:clientData/>
  </xdr:twoCellAnchor>
  <xdr:twoCellAnchor editAs="oneCell">
    <xdr:from>
      <xdr:col>3</xdr:col>
      <xdr:colOff>295275</xdr:colOff>
      <xdr:row>8</xdr:row>
      <xdr:rowOff>57151</xdr:rowOff>
    </xdr:from>
    <xdr:to>
      <xdr:col>3</xdr:col>
      <xdr:colOff>952499</xdr:colOff>
      <xdr:row>8</xdr:row>
      <xdr:rowOff>714375</xdr:rowOff>
    </xdr:to>
    <xdr:pic>
      <xdr:nvPicPr>
        <xdr:cNvPr id="4" name="Kép 3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2100" y="6781801"/>
          <a:ext cx="657224" cy="657224"/>
        </a:xfrm>
        <a:prstGeom prst="rect">
          <a:avLst/>
        </a:prstGeom>
      </xdr:spPr>
    </xdr:pic>
    <xdr:clientData/>
  </xdr:twoCellAnchor>
  <xdr:twoCellAnchor editAs="oneCell">
    <xdr:from>
      <xdr:col>3</xdr:col>
      <xdr:colOff>323849</xdr:colOff>
      <xdr:row>6</xdr:row>
      <xdr:rowOff>28576</xdr:rowOff>
    </xdr:from>
    <xdr:to>
      <xdr:col>3</xdr:col>
      <xdr:colOff>1009650</xdr:colOff>
      <xdr:row>6</xdr:row>
      <xdr:rowOff>714377</xdr:rowOff>
    </xdr:to>
    <xdr:pic>
      <xdr:nvPicPr>
        <xdr:cNvPr id="6" name="Kép 5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0674" y="4638676"/>
          <a:ext cx="685801" cy="6858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</xdr:row>
          <xdr:rowOff>714374</xdr:rowOff>
        </xdr:from>
        <xdr:to>
          <xdr:col>3</xdr:col>
          <xdr:colOff>1028700</xdr:colOff>
          <xdr:row>7</xdr:row>
          <xdr:rowOff>1028699</xdr:rowOff>
        </xdr:to>
        <xdr:pic>
          <xdr:nvPicPr>
            <xdr:cNvPr id="27" name="Picture 26"/>
            <xdr:cNvPicPr>
              <a:picLocks noChangeAspect="1" noChangeArrowheads="1"/>
              <a:extLst>
                <a:ext uri="{84589F7E-364E-4C9E-8A38-B11213B215E9}">
                  <a14:cameraTool cellRange="$W$8" spid="_x0000_s9939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5305425" y="6381749"/>
              <a:ext cx="800100" cy="3143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8</xdr:row>
          <xdr:rowOff>742950</xdr:rowOff>
        </xdr:from>
        <xdr:to>
          <xdr:col>3</xdr:col>
          <xdr:colOff>1038225</xdr:colOff>
          <xdr:row>9</xdr:row>
          <xdr:rowOff>15875</xdr:rowOff>
        </xdr:to>
        <xdr:pic>
          <xdr:nvPicPr>
            <xdr:cNvPr id="28" name="Picture 27"/>
            <xdr:cNvPicPr>
              <a:picLocks noChangeAspect="1" noChangeArrowheads="1"/>
              <a:extLst>
                <a:ext uri="{84589F7E-364E-4C9E-8A38-B11213B215E9}">
                  <a14:cameraTool cellRange="$W$9" spid="_x0000_s9940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5400675" y="7467600"/>
              <a:ext cx="714375" cy="3302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704850</xdr:rowOff>
        </xdr:from>
        <xdr:to>
          <xdr:col>3</xdr:col>
          <xdr:colOff>1009650</xdr:colOff>
          <xdr:row>9</xdr:row>
          <xdr:rowOff>1028699</xdr:rowOff>
        </xdr:to>
        <xdr:pic>
          <xdr:nvPicPr>
            <xdr:cNvPr id="29" name="Picture 28"/>
            <xdr:cNvPicPr>
              <a:picLocks noChangeAspect="1" noChangeArrowheads="1"/>
              <a:extLst>
                <a:ext uri="{84589F7E-364E-4C9E-8A38-B11213B215E9}">
                  <a14:cameraTool cellRange="$W$10" spid="_x0000_s9941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>
              <a:off x="5295900" y="8486775"/>
              <a:ext cx="790575" cy="32384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314325</xdr:colOff>
      <xdr:row>9</xdr:row>
      <xdr:rowOff>1019175</xdr:rowOff>
    </xdr:from>
    <xdr:to>
      <xdr:col>3</xdr:col>
      <xdr:colOff>1028699</xdr:colOff>
      <xdr:row>10</xdr:row>
      <xdr:rowOff>609600</xdr:rowOff>
    </xdr:to>
    <xdr:pic>
      <xdr:nvPicPr>
        <xdr:cNvPr id="31" name="Kép 1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91150" y="8801100"/>
          <a:ext cx="714374" cy="647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161924</xdr:colOff>
          <xdr:row>10</xdr:row>
          <xdr:rowOff>647700</xdr:rowOff>
        </xdr:from>
        <xdr:to>
          <xdr:col>4</xdr:col>
          <xdr:colOff>19049</xdr:colOff>
          <xdr:row>10</xdr:row>
          <xdr:rowOff>1028699</xdr:rowOff>
        </xdr:to>
        <xdr:pic>
          <xdr:nvPicPr>
            <xdr:cNvPr id="32" name="Picture 31"/>
            <xdr:cNvPicPr>
              <a:picLocks noChangeAspect="1" noChangeArrowheads="1"/>
              <a:extLst>
                <a:ext uri="{84589F7E-364E-4C9E-8A38-B11213B215E9}">
                  <a14:cameraTool cellRange="$W$11" spid="_x0000_s9942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>
              <a:off x="5238749" y="9486900"/>
              <a:ext cx="904875" cy="38099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314325</xdr:colOff>
      <xdr:row>11</xdr:row>
      <xdr:rowOff>9525</xdr:rowOff>
    </xdr:from>
    <xdr:to>
      <xdr:col>3</xdr:col>
      <xdr:colOff>962024</xdr:colOff>
      <xdr:row>11</xdr:row>
      <xdr:rowOff>657224</xdr:rowOff>
    </xdr:to>
    <xdr:pic>
      <xdr:nvPicPr>
        <xdr:cNvPr id="39" name="Kép 2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91150" y="9906000"/>
          <a:ext cx="647699" cy="6476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11</xdr:row>
          <xdr:rowOff>685800</xdr:rowOff>
        </xdr:from>
        <xdr:to>
          <xdr:col>4</xdr:col>
          <xdr:colOff>0</xdr:colOff>
          <xdr:row>11</xdr:row>
          <xdr:rowOff>1038224</xdr:rowOff>
        </xdr:to>
        <xdr:pic>
          <xdr:nvPicPr>
            <xdr:cNvPr id="40" name="Picture 39"/>
            <xdr:cNvPicPr>
              <a:picLocks noChangeAspect="1" noChangeArrowheads="1"/>
              <a:extLst>
                <a:ext uri="{84589F7E-364E-4C9E-8A38-B11213B215E9}">
                  <a14:cameraTool cellRange="$W$12" spid="_x0000_s9943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5276850" y="10582275"/>
              <a:ext cx="847725" cy="35242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304799</xdr:colOff>
      <xdr:row>12</xdr:row>
      <xdr:rowOff>28575</xdr:rowOff>
    </xdr:from>
    <xdr:to>
      <xdr:col>3</xdr:col>
      <xdr:colOff>1015896</xdr:colOff>
      <xdr:row>12</xdr:row>
      <xdr:rowOff>657225</xdr:rowOff>
    </xdr:to>
    <xdr:pic>
      <xdr:nvPicPr>
        <xdr:cNvPr id="30" name="Kép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81624" y="10982325"/>
          <a:ext cx="711097" cy="628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12</xdr:row>
          <xdr:rowOff>714374</xdr:rowOff>
        </xdr:from>
        <xdr:to>
          <xdr:col>3</xdr:col>
          <xdr:colOff>1028700</xdr:colOff>
          <xdr:row>12</xdr:row>
          <xdr:rowOff>1038223</xdr:rowOff>
        </xdr:to>
        <xdr:pic>
          <xdr:nvPicPr>
            <xdr:cNvPr id="33" name="Picture 32"/>
            <xdr:cNvPicPr>
              <a:picLocks noChangeAspect="1" noChangeArrowheads="1"/>
              <a:extLst>
                <a:ext uri="{84589F7E-364E-4C9E-8A38-B11213B215E9}">
                  <a14:cameraTool cellRange="$W$13" spid="_x0000_s994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5229225" y="11668124"/>
              <a:ext cx="876300" cy="32384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314326</xdr:colOff>
      <xdr:row>13</xdr:row>
      <xdr:rowOff>9525</xdr:rowOff>
    </xdr:from>
    <xdr:to>
      <xdr:col>3</xdr:col>
      <xdr:colOff>1014280</xdr:colOff>
      <xdr:row>13</xdr:row>
      <xdr:rowOff>709479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5391151" y="12020550"/>
          <a:ext cx="699954" cy="6999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219074</xdr:colOff>
          <xdr:row>13</xdr:row>
          <xdr:rowOff>714375</xdr:rowOff>
        </xdr:from>
        <xdr:to>
          <xdr:col>3</xdr:col>
          <xdr:colOff>1009649</xdr:colOff>
          <xdr:row>13</xdr:row>
          <xdr:rowOff>1038224</xdr:rowOff>
        </xdr:to>
        <xdr:pic>
          <xdr:nvPicPr>
            <xdr:cNvPr id="34" name="Picture 33"/>
            <xdr:cNvPicPr>
              <a:picLocks noChangeAspect="1" noChangeArrowheads="1"/>
              <a:extLst>
                <a:ext uri="{84589F7E-364E-4C9E-8A38-B11213B215E9}">
                  <a14:cameraTool cellRange="$W$14" spid="_x0000_s9945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5295899" y="12725400"/>
              <a:ext cx="790575" cy="32384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285750</xdr:colOff>
      <xdr:row>14</xdr:row>
      <xdr:rowOff>0</xdr:rowOff>
    </xdr:from>
    <xdr:to>
      <xdr:col>3</xdr:col>
      <xdr:colOff>942974</xdr:colOff>
      <xdr:row>14</xdr:row>
      <xdr:rowOff>657224</xdr:rowOff>
    </xdr:to>
    <xdr:pic>
      <xdr:nvPicPr>
        <xdr:cNvPr id="35" name="Kép 3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2575" y="13068300"/>
          <a:ext cx="657224" cy="6572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14</xdr:row>
          <xdr:rowOff>676275</xdr:rowOff>
        </xdr:from>
        <xdr:to>
          <xdr:col>3</xdr:col>
          <xdr:colOff>990600</xdr:colOff>
          <xdr:row>14</xdr:row>
          <xdr:rowOff>1038224</xdr:rowOff>
        </xdr:to>
        <xdr:pic>
          <xdr:nvPicPr>
            <xdr:cNvPr id="36" name="Picture 35"/>
            <xdr:cNvPicPr>
              <a:picLocks noChangeAspect="1" noChangeArrowheads="1"/>
              <a:extLst>
                <a:ext uri="{84589F7E-364E-4C9E-8A38-B11213B215E9}">
                  <a14:cameraTool cellRange="$W$15" spid="_x0000_s9946"/>
                </a:ext>
              </a:extLst>
            </xdr:cNvPicPr>
          </xdr:nvPicPr>
          <xdr:blipFill>
            <a:blip xmlns:r="http://schemas.openxmlformats.org/officeDocument/2006/relationships" r:embed="rId22"/>
            <a:srcRect/>
            <a:stretch>
              <a:fillRect/>
            </a:stretch>
          </xdr:blipFill>
          <xdr:spPr bwMode="auto">
            <a:xfrm>
              <a:off x="5295900" y="13744575"/>
              <a:ext cx="771525" cy="36194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228600</xdr:colOff>
      <xdr:row>15</xdr:row>
      <xdr:rowOff>38099</xdr:rowOff>
    </xdr:from>
    <xdr:to>
      <xdr:col>3</xdr:col>
      <xdr:colOff>875690</xdr:colOff>
      <xdr:row>15</xdr:row>
      <xdr:rowOff>685189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5425" y="14163674"/>
          <a:ext cx="647090" cy="6470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15</xdr:row>
          <xdr:rowOff>685799</xdr:rowOff>
        </xdr:from>
        <xdr:to>
          <xdr:col>3</xdr:col>
          <xdr:colOff>1009650</xdr:colOff>
          <xdr:row>15</xdr:row>
          <xdr:rowOff>1057274</xdr:rowOff>
        </xdr:to>
        <xdr:pic>
          <xdr:nvPicPr>
            <xdr:cNvPr id="37" name="Picture 36"/>
            <xdr:cNvPicPr>
              <a:picLocks noChangeAspect="1" noChangeArrowheads="1"/>
              <a:extLst>
                <a:ext uri="{84589F7E-364E-4C9E-8A38-B11213B215E9}">
                  <a14:cameraTool cellRange="$W$16" spid="_x0000_s9947"/>
                </a:ext>
              </a:extLst>
            </xdr:cNvPicPr>
          </xdr:nvPicPr>
          <xdr:blipFill>
            <a:blip xmlns:r="http://schemas.openxmlformats.org/officeDocument/2006/relationships" r:embed="rId24"/>
            <a:srcRect/>
            <a:stretch>
              <a:fillRect/>
            </a:stretch>
          </xdr:blipFill>
          <xdr:spPr bwMode="auto">
            <a:xfrm>
              <a:off x="5191125" y="14811374"/>
              <a:ext cx="895350" cy="3714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192126</xdr:colOff>
      <xdr:row>16</xdr:row>
      <xdr:rowOff>49385</xdr:rowOff>
    </xdr:from>
    <xdr:to>
      <xdr:col>3</xdr:col>
      <xdr:colOff>821332</xdr:colOff>
      <xdr:row>16</xdr:row>
      <xdr:rowOff>660635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1011975" flipV="1">
          <a:off x="5268951" y="15232235"/>
          <a:ext cx="629206" cy="6112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16</xdr:row>
          <xdr:rowOff>657225</xdr:rowOff>
        </xdr:from>
        <xdr:to>
          <xdr:col>3</xdr:col>
          <xdr:colOff>923925</xdr:colOff>
          <xdr:row>16</xdr:row>
          <xdr:rowOff>1047749</xdr:rowOff>
        </xdr:to>
        <xdr:pic>
          <xdr:nvPicPr>
            <xdr:cNvPr id="38" name="Picture 37"/>
            <xdr:cNvPicPr>
              <a:picLocks noChangeAspect="1" noChangeArrowheads="1"/>
              <a:extLst>
                <a:ext uri="{84589F7E-364E-4C9E-8A38-B11213B215E9}">
                  <a14:cameraTool cellRange="$W$17" spid="_x0000_s9948"/>
                </a:ext>
              </a:extLst>
            </xdr:cNvPicPr>
          </xdr:nvPicPr>
          <xdr:blipFill>
            <a:blip xmlns:r="http://schemas.openxmlformats.org/officeDocument/2006/relationships" r:embed="rId26"/>
            <a:srcRect/>
            <a:stretch>
              <a:fillRect/>
            </a:stretch>
          </xdr:blipFill>
          <xdr:spPr bwMode="auto">
            <a:xfrm>
              <a:off x="5153025" y="15840075"/>
              <a:ext cx="847725" cy="39052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4</xdr:row>
      <xdr:rowOff>104775</xdr:rowOff>
    </xdr:from>
    <xdr:to>
      <xdr:col>5</xdr:col>
      <xdr:colOff>352425</xdr:colOff>
      <xdr:row>6</xdr:row>
      <xdr:rowOff>19050</xdr:rowOff>
    </xdr:to>
    <xdr:sp macro="" textlink="">
      <xdr:nvSpPr>
        <xdr:cNvPr id="6" name="Line 6"/>
        <xdr:cNvSpPr>
          <a:spLocks noChangeShapeType="1"/>
        </xdr:cNvSpPr>
      </xdr:nvSpPr>
      <xdr:spPr bwMode="auto">
        <a:xfrm flipH="1" flipV="1">
          <a:off x="3067050" y="847725"/>
          <a:ext cx="333375" cy="238125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6600" mc:Ignorable="a14" a14:legacySpreadsheetColorIndex="53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76200</xdr:colOff>
      <xdr:row>6</xdr:row>
      <xdr:rowOff>9525</xdr:rowOff>
    </xdr:from>
    <xdr:to>
      <xdr:col>3</xdr:col>
      <xdr:colOff>209550</xdr:colOff>
      <xdr:row>7</xdr:row>
      <xdr:rowOff>152400</xdr:rowOff>
    </xdr:to>
    <xdr:sp macro="" textlink="">
      <xdr:nvSpPr>
        <xdr:cNvPr id="7" name="AutoShape 7"/>
        <xdr:cNvSpPr>
          <a:spLocks/>
        </xdr:cNvSpPr>
      </xdr:nvSpPr>
      <xdr:spPr bwMode="auto">
        <a:xfrm>
          <a:off x="1905000" y="1076325"/>
          <a:ext cx="133350" cy="304800"/>
        </a:xfrm>
        <a:prstGeom prst="rightBrace">
          <a:avLst>
            <a:gd name="adj1" fmla="val 19048"/>
            <a:gd name="adj2" fmla="val 50000"/>
          </a:avLst>
        </a:prstGeom>
        <a:noFill/>
        <a:ln w="19050">
          <a:solidFill>
            <a:srgbClr xmlns:mc="http://schemas.openxmlformats.org/markup-compatibility/2006" xmlns:a14="http://schemas.microsoft.com/office/drawing/2010/main" val="FF6600" mc:Ignorable="a14" a14:legacySpreadsheetColorIndex="53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chandoo.org/w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28"/>
  <sheetViews>
    <sheetView showGridLines="0" tabSelected="1" zoomScale="130" zoomScaleNormal="130" workbookViewId="0">
      <selection activeCell="B11" sqref="B11"/>
    </sheetView>
  </sheetViews>
  <sheetFormatPr defaultColWidth="9.140625" defaultRowHeight="15" x14ac:dyDescent="0.25"/>
  <cols>
    <col min="1" max="1" width="19.42578125" style="20" customWidth="1"/>
    <col min="2" max="2" width="17" style="20" customWidth="1"/>
    <col min="3" max="3" width="0.7109375" style="20" customWidth="1"/>
    <col min="4" max="4" width="15" style="20" bestFit="1" customWidth="1"/>
    <col min="5" max="8" width="3.85546875" style="21" customWidth="1"/>
    <col min="9" max="9" width="4.5703125" style="21" customWidth="1"/>
    <col min="10" max="10" width="5.7109375" style="20" customWidth="1"/>
    <col min="11" max="11" width="17" style="20" customWidth="1"/>
    <col min="12" max="12" width="3.7109375" style="20" customWidth="1"/>
    <col min="13" max="13" width="11.42578125" style="20" customWidth="1"/>
    <col min="14" max="14" width="2.85546875" style="20" customWidth="1"/>
    <col min="15" max="16" width="9.140625" style="20" customWidth="1"/>
    <col min="17" max="17" width="9.5703125" style="20" customWidth="1"/>
    <col min="18" max="18" width="9.140625" style="20" customWidth="1"/>
    <col min="19" max="16384" width="9.140625" style="20"/>
  </cols>
  <sheetData>
    <row r="1" spans="1:18" x14ac:dyDescent="0.25">
      <c r="A1" s="25"/>
      <c r="B1" s="25"/>
      <c r="C1" s="25"/>
      <c r="D1" s="25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5"/>
      <c r="R1" s="25"/>
    </row>
    <row r="2" spans="1:18" x14ac:dyDescent="0.25">
      <c r="A2" s="25"/>
      <c r="B2" s="25"/>
      <c r="C2" s="25"/>
      <c r="D2" s="25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5"/>
      <c r="R2" s="25"/>
    </row>
    <row r="3" spans="1:18" x14ac:dyDescent="0.25">
      <c r="A3" s="25"/>
      <c r="B3" s="25"/>
      <c r="C3" s="25"/>
      <c r="D3" s="25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5"/>
      <c r="R3" s="25"/>
    </row>
    <row r="4" spans="1:18" ht="15" customHeight="1" x14ac:dyDescent="0.25">
      <c r="A4" s="25"/>
      <c r="B4" s="54" t="s">
        <v>39</v>
      </c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</row>
    <row r="5" spans="1:18" x14ac:dyDescent="0.25">
      <c r="A5" s="25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</row>
    <row r="6" spans="1:18" x14ac:dyDescent="0.25">
      <c r="A6" s="25"/>
      <c r="B6" s="46" t="s">
        <v>21</v>
      </c>
      <c r="C6" s="46"/>
      <c r="D6" s="46" t="s">
        <v>37</v>
      </c>
      <c r="E6" s="56" t="s">
        <v>19</v>
      </c>
      <c r="F6" s="56"/>
      <c r="G6" s="56"/>
      <c r="H6" s="56"/>
      <c r="I6" s="56"/>
      <c r="J6" s="47"/>
      <c r="K6" s="53" t="s">
        <v>23</v>
      </c>
      <c r="L6" s="53"/>
      <c r="M6" s="53"/>
      <c r="N6" s="53"/>
      <c r="O6" s="53"/>
      <c r="P6" s="53"/>
      <c r="Q6" s="53"/>
      <c r="R6" s="53"/>
    </row>
    <row r="7" spans="1:18" x14ac:dyDescent="0.25">
      <c r="A7" s="25"/>
      <c r="B7" s="35" t="s">
        <v>2</v>
      </c>
      <c r="C7" s="36"/>
      <c r="D7" s="38">
        <v>10</v>
      </c>
      <c r="E7" s="55" t="str">
        <f t="shared" ref="E7:E16" si="0">+REPT("█",D7/$D$23)</f>
        <v>█</v>
      </c>
      <c r="F7" s="58"/>
      <c r="G7" s="58"/>
      <c r="H7" s="58"/>
      <c r="I7" s="58"/>
      <c r="J7" s="25"/>
      <c r="K7" s="24"/>
      <c r="L7" s="24"/>
      <c r="M7" s="24"/>
      <c r="N7" s="24"/>
      <c r="O7" s="34"/>
      <c r="P7" s="34"/>
      <c r="Q7" s="34"/>
      <c r="R7" s="25"/>
    </row>
    <row r="8" spans="1:18" ht="15.75" x14ac:dyDescent="0.25">
      <c r="A8" s="25"/>
      <c r="B8" s="35" t="s">
        <v>3</v>
      </c>
      <c r="C8" s="36"/>
      <c r="D8" s="38">
        <v>20</v>
      </c>
      <c r="E8" s="55" t="str">
        <f t="shared" si="0"/>
        <v>██</v>
      </c>
      <c r="F8" s="58"/>
      <c r="G8" s="58"/>
      <c r="H8" s="58"/>
      <c r="I8" s="58"/>
      <c r="J8" s="25"/>
      <c r="K8" s="39" t="s">
        <v>22</v>
      </c>
      <c r="L8" s="40"/>
      <c r="M8" s="42" t="s">
        <v>6</v>
      </c>
      <c r="N8" s="28"/>
      <c r="O8" s="33" t="s">
        <v>55</v>
      </c>
      <c r="P8" s="33"/>
      <c r="Q8" s="34"/>
      <c r="R8" s="25"/>
    </row>
    <row r="9" spans="1:18" ht="15.75" x14ac:dyDescent="0.25">
      <c r="A9" s="25"/>
      <c r="B9" s="35" t="s">
        <v>4</v>
      </c>
      <c r="C9" s="36"/>
      <c r="D9" s="38">
        <v>78</v>
      </c>
      <c r="E9" s="55" t="str">
        <f t="shared" si="0"/>
        <v>████████</v>
      </c>
      <c r="F9" s="58"/>
      <c r="G9" s="58"/>
      <c r="H9" s="58"/>
      <c r="I9" s="58"/>
      <c r="J9" s="25"/>
      <c r="K9" s="39"/>
      <c r="L9" s="40"/>
      <c r="M9" s="42"/>
      <c r="N9" s="28"/>
      <c r="O9" s="33"/>
      <c r="P9" s="33"/>
      <c r="Q9" s="34"/>
      <c r="R9" s="25"/>
    </row>
    <row r="10" spans="1:18" ht="15.75" x14ac:dyDescent="0.25">
      <c r="A10" s="25"/>
      <c r="B10" s="35" t="s">
        <v>5</v>
      </c>
      <c r="C10" s="36"/>
      <c r="D10" s="38">
        <v>40</v>
      </c>
      <c r="E10" s="55" t="str">
        <f t="shared" si="0"/>
        <v>████</v>
      </c>
      <c r="F10" s="58"/>
      <c r="G10" s="58"/>
      <c r="H10" s="58"/>
      <c r="I10" s="58"/>
      <c r="J10" s="25"/>
      <c r="K10" s="39" t="s">
        <v>17</v>
      </c>
      <c r="L10" s="40"/>
      <c r="M10" s="43" t="s">
        <v>44</v>
      </c>
      <c r="N10" s="29"/>
      <c r="O10" s="27"/>
      <c r="P10" s="27"/>
      <c r="Q10" s="24"/>
      <c r="R10" s="25"/>
    </row>
    <row r="11" spans="1:18" ht="15.75" x14ac:dyDescent="0.25">
      <c r="A11" s="25"/>
      <c r="B11" s="35" t="s">
        <v>6</v>
      </c>
      <c r="C11" s="36"/>
      <c r="D11" s="38">
        <v>18</v>
      </c>
      <c r="E11" s="55" t="str">
        <f t="shared" si="0"/>
        <v>█</v>
      </c>
      <c r="F11" s="58"/>
      <c r="G11" s="58"/>
      <c r="H11" s="58"/>
      <c r="I11" s="58"/>
      <c r="J11" s="25"/>
      <c r="K11" s="39"/>
      <c r="L11" s="40"/>
      <c r="M11" s="44"/>
      <c r="N11" s="29"/>
      <c r="O11" s="27"/>
      <c r="P11" s="27"/>
      <c r="Q11" s="24"/>
      <c r="R11" s="25"/>
    </row>
    <row r="12" spans="1:18" ht="15.75" x14ac:dyDescent="0.25">
      <c r="A12" s="25"/>
      <c r="B12" s="35" t="s">
        <v>7</v>
      </c>
      <c r="C12" s="36"/>
      <c r="D12" s="38">
        <v>60</v>
      </c>
      <c r="E12" s="55" t="str">
        <f t="shared" si="0"/>
        <v>██████</v>
      </c>
      <c r="F12" s="58"/>
      <c r="G12" s="58"/>
      <c r="H12" s="58"/>
      <c r="I12" s="58"/>
      <c r="J12" s="25"/>
      <c r="K12" s="39" t="s">
        <v>18</v>
      </c>
      <c r="L12" s="40"/>
      <c r="M12" s="45">
        <v>50</v>
      </c>
      <c r="N12" s="29"/>
      <c r="O12" s="27"/>
      <c r="P12" s="27"/>
      <c r="Q12" s="24"/>
      <c r="R12" s="25"/>
    </row>
    <row r="13" spans="1:18" ht="15.75" x14ac:dyDescent="0.25">
      <c r="A13" s="25"/>
      <c r="B13" s="35" t="s">
        <v>8</v>
      </c>
      <c r="C13" s="36"/>
      <c r="D13" s="38">
        <v>49</v>
      </c>
      <c r="E13" s="55" t="str">
        <f t="shared" si="0"/>
        <v>█████</v>
      </c>
      <c r="F13" s="58"/>
      <c r="G13" s="58"/>
      <c r="H13" s="58"/>
      <c r="I13" s="58"/>
      <c r="J13" s="25"/>
      <c r="K13" s="39"/>
      <c r="L13" s="40"/>
      <c r="M13" s="41"/>
      <c r="N13" s="27"/>
      <c r="O13" s="27"/>
      <c r="P13" s="27"/>
      <c r="Q13" s="24"/>
      <c r="R13" s="25"/>
    </row>
    <row r="14" spans="1:18" ht="15.75" x14ac:dyDescent="0.25">
      <c r="A14" s="25"/>
      <c r="B14" s="35" t="s">
        <v>9</v>
      </c>
      <c r="C14" s="36"/>
      <c r="D14" s="38">
        <v>34</v>
      </c>
      <c r="E14" s="55" t="str">
        <f t="shared" si="0"/>
        <v>███</v>
      </c>
      <c r="F14" s="58"/>
      <c r="G14" s="58"/>
      <c r="H14" s="58"/>
      <c r="I14" s="58"/>
      <c r="J14" s="25"/>
      <c r="K14" s="39" t="s">
        <v>20</v>
      </c>
      <c r="L14" s="40"/>
      <c r="M14" s="41"/>
      <c r="N14" s="27"/>
      <c r="O14" s="27"/>
      <c r="P14" s="27"/>
      <c r="Q14" s="24"/>
      <c r="R14" s="25"/>
    </row>
    <row r="15" spans="1:18" ht="16.5" x14ac:dyDescent="0.3">
      <c r="A15" s="25"/>
      <c r="B15" s="35" t="s">
        <v>10</v>
      </c>
      <c r="C15" s="36"/>
      <c r="D15" s="38">
        <v>50</v>
      </c>
      <c r="E15" s="55" t="str">
        <f t="shared" si="0"/>
        <v>█████</v>
      </c>
      <c r="F15" s="58"/>
      <c r="G15" s="58"/>
      <c r="H15" s="58"/>
      <c r="I15" s="58"/>
      <c r="J15" s="25"/>
      <c r="K15" s="30"/>
      <c r="L15" s="24"/>
      <c r="M15" s="27"/>
      <c r="N15" s="27"/>
      <c r="O15" s="27"/>
      <c r="P15" s="27"/>
      <c r="Q15" s="24"/>
      <c r="R15" s="25"/>
    </row>
    <row r="16" spans="1:18" ht="15" customHeight="1" x14ac:dyDescent="0.25">
      <c r="A16" s="25"/>
      <c r="B16" s="35" t="s">
        <v>11</v>
      </c>
      <c r="C16" s="36"/>
      <c r="D16" s="38">
        <v>68</v>
      </c>
      <c r="E16" s="55" t="str">
        <f t="shared" si="0"/>
        <v>███████</v>
      </c>
      <c r="F16" s="58"/>
      <c r="G16" s="58"/>
      <c r="H16" s="58"/>
      <c r="I16" s="58"/>
      <c r="J16" s="25"/>
      <c r="K16" s="57"/>
      <c r="L16" s="24"/>
      <c r="M16" s="31"/>
      <c r="N16" s="31"/>
      <c r="O16" s="31"/>
      <c r="P16" s="31"/>
      <c r="Q16" s="24"/>
      <c r="R16" s="25"/>
    </row>
    <row r="17" spans="1:18" ht="15.75" customHeight="1" x14ac:dyDescent="0.25">
      <c r="A17" s="25"/>
      <c r="B17" s="35" t="s">
        <v>12</v>
      </c>
      <c r="C17" s="36"/>
      <c r="D17" s="38">
        <v>70</v>
      </c>
      <c r="E17" s="55" t="str">
        <f t="shared" ref="E17:E21" si="1">+REPT("█",D17/$D$23)</f>
        <v>███████</v>
      </c>
      <c r="F17" s="55"/>
      <c r="G17" s="55"/>
      <c r="H17" s="55"/>
      <c r="I17" s="55"/>
      <c r="J17" s="25"/>
      <c r="K17" s="57"/>
      <c r="L17" s="24"/>
      <c r="M17" s="31"/>
      <c r="N17" s="31"/>
      <c r="O17" s="31"/>
      <c r="P17" s="31"/>
      <c r="Q17" s="24"/>
      <c r="R17" s="25"/>
    </row>
    <row r="18" spans="1:18" ht="15" customHeight="1" x14ac:dyDescent="0.25">
      <c r="A18" s="25"/>
      <c r="B18" s="35" t="s">
        <v>13</v>
      </c>
      <c r="C18" s="36"/>
      <c r="D18" s="38">
        <v>45</v>
      </c>
      <c r="E18" s="55" t="str">
        <f t="shared" si="1"/>
        <v>████</v>
      </c>
      <c r="F18" s="55"/>
      <c r="G18" s="55"/>
      <c r="H18" s="55"/>
      <c r="I18" s="55"/>
      <c r="J18" s="25"/>
      <c r="K18" s="24"/>
      <c r="L18" s="24"/>
      <c r="M18" s="31"/>
      <c r="N18" s="31"/>
      <c r="O18" s="31"/>
      <c r="P18" s="31"/>
      <c r="Q18" s="24"/>
      <c r="R18" s="25"/>
    </row>
    <row r="19" spans="1:18" ht="15.75" x14ac:dyDescent="0.3">
      <c r="A19" s="25"/>
      <c r="B19" s="35" t="s">
        <v>14</v>
      </c>
      <c r="C19" s="36"/>
      <c r="D19" s="38">
        <v>50</v>
      </c>
      <c r="E19" s="55" t="str">
        <f t="shared" si="1"/>
        <v>█████</v>
      </c>
      <c r="F19" s="55"/>
      <c r="G19" s="55"/>
      <c r="H19" s="55"/>
      <c r="I19" s="55"/>
      <c r="J19" s="25"/>
      <c r="K19" s="32"/>
      <c r="L19" s="24"/>
      <c r="M19" s="31"/>
      <c r="N19" s="31"/>
      <c r="O19" s="31"/>
      <c r="P19" s="31"/>
      <c r="Q19" s="24"/>
      <c r="R19" s="25"/>
    </row>
    <row r="20" spans="1:18" ht="15" customHeight="1" x14ac:dyDescent="0.25">
      <c r="A20" s="25"/>
      <c r="B20" s="35" t="s">
        <v>15</v>
      </c>
      <c r="C20" s="36"/>
      <c r="D20" s="38">
        <v>60</v>
      </c>
      <c r="E20" s="55" t="str">
        <f t="shared" si="1"/>
        <v>██████</v>
      </c>
      <c r="F20" s="55"/>
      <c r="G20" s="55"/>
      <c r="H20" s="55"/>
      <c r="I20" s="55"/>
      <c r="J20" s="25"/>
      <c r="K20" s="24"/>
      <c r="L20" s="24"/>
      <c r="M20" s="31"/>
      <c r="N20" s="31"/>
      <c r="O20" s="31"/>
      <c r="P20" s="31"/>
      <c r="Q20" s="24"/>
      <c r="R20" s="25"/>
    </row>
    <row r="21" spans="1:18" ht="15" customHeight="1" x14ac:dyDescent="0.25">
      <c r="A21" s="25"/>
      <c r="B21" s="35" t="s">
        <v>16</v>
      </c>
      <c r="C21" s="36"/>
      <c r="D21" s="38">
        <v>70</v>
      </c>
      <c r="E21" s="55" t="str">
        <f t="shared" si="1"/>
        <v>███████</v>
      </c>
      <c r="F21" s="55"/>
      <c r="G21" s="55"/>
      <c r="H21" s="55"/>
      <c r="I21" s="55"/>
      <c r="J21" s="25"/>
      <c r="K21" s="24"/>
      <c r="L21" s="24"/>
      <c r="M21" s="31"/>
      <c r="N21" s="31"/>
      <c r="O21" s="31"/>
      <c r="P21" s="31"/>
      <c r="Q21" s="24"/>
      <c r="R21" s="25"/>
    </row>
    <row r="22" spans="1:18" x14ac:dyDescent="0.25">
      <c r="A22" s="25"/>
      <c r="B22" s="37"/>
      <c r="C22" s="37"/>
      <c r="D22" s="37"/>
      <c r="E22" s="26"/>
      <c r="F22" s="26"/>
      <c r="G22" s="26"/>
      <c r="H22" s="26"/>
      <c r="I22" s="26"/>
      <c r="J22" s="25"/>
      <c r="K22" s="25"/>
      <c r="L22" s="25"/>
      <c r="M22" s="25"/>
      <c r="N22" s="25"/>
      <c r="O22" s="25"/>
      <c r="P22" s="25"/>
      <c r="Q22" s="25"/>
      <c r="R22" s="25"/>
    </row>
    <row r="23" spans="1:18" x14ac:dyDescent="0.25">
      <c r="A23" s="25"/>
      <c r="B23" s="37"/>
      <c r="C23" s="37"/>
      <c r="D23" s="48">
        <f>+AVERAGE(D7:D21)/5</f>
        <v>9.6266666666666669</v>
      </c>
      <c r="E23" s="26"/>
      <c r="F23" s="26"/>
      <c r="G23" s="26"/>
      <c r="H23" s="26"/>
      <c r="I23" s="26"/>
      <c r="J23" s="25"/>
      <c r="K23" s="25"/>
      <c r="L23" s="25"/>
      <c r="M23" s="25"/>
      <c r="N23" s="25"/>
      <c r="O23" s="25"/>
      <c r="P23" s="25"/>
      <c r="Q23" s="25"/>
      <c r="R23" s="25"/>
    </row>
    <row r="24" spans="1:18" x14ac:dyDescent="0.25">
      <c r="A24" s="25"/>
      <c r="B24" s="25"/>
      <c r="C24" s="25"/>
      <c r="D24" s="25"/>
      <c r="E24" s="26"/>
      <c r="F24" s="26"/>
      <c r="G24" s="26"/>
      <c r="H24" s="26"/>
      <c r="I24" s="26"/>
      <c r="J24" s="25"/>
      <c r="K24" s="25"/>
      <c r="L24" s="25"/>
      <c r="M24" s="25"/>
      <c r="N24" s="25"/>
      <c r="O24" s="25"/>
      <c r="P24" s="25"/>
      <c r="Q24" s="25"/>
      <c r="R24" s="25"/>
    </row>
    <row r="25" spans="1:18" x14ac:dyDescent="0.25">
      <c r="A25" s="25"/>
      <c r="B25" s="25"/>
      <c r="C25" s="25"/>
      <c r="D25" s="25"/>
      <c r="E25" s="26"/>
      <c r="F25" s="26"/>
      <c r="G25" s="26"/>
      <c r="H25" s="26"/>
      <c r="I25" s="26"/>
      <c r="J25" s="25"/>
      <c r="K25" s="25"/>
      <c r="L25" s="25"/>
      <c r="M25" s="25"/>
      <c r="N25" s="25"/>
      <c r="O25" s="25"/>
      <c r="P25" s="25"/>
      <c r="Q25" s="25"/>
      <c r="R25" s="25"/>
    </row>
    <row r="26" spans="1:18" x14ac:dyDescent="0.25">
      <c r="A26" s="25"/>
      <c r="B26" s="25"/>
      <c r="C26" s="25"/>
      <c r="D26" s="25"/>
      <c r="E26" s="26"/>
      <c r="F26" s="26"/>
      <c r="G26" s="26"/>
      <c r="H26" s="26"/>
      <c r="I26" s="26"/>
      <c r="J26" s="25"/>
      <c r="K26" s="25"/>
      <c r="L26" s="25"/>
      <c r="M26" s="25"/>
      <c r="N26" s="25"/>
      <c r="O26" s="25"/>
      <c r="P26" s="25"/>
      <c r="Q26" s="25"/>
      <c r="R26" s="25"/>
    </row>
    <row r="27" spans="1:18" x14ac:dyDescent="0.25">
      <c r="A27" s="25"/>
      <c r="B27" s="25"/>
      <c r="C27" s="25"/>
      <c r="D27" s="25"/>
      <c r="E27" s="26"/>
      <c r="F27" s="26"/>
      <c r="G27" s="26"/>
      <c r="H27" s="26"/>
      <c r="I27" s="26"/>
      <c r="J27" s="25"/>
      <c r="K27" s="25"/>
      <c r="L27" s="25"/>
      <c r="M27" s="25"/>
      <c r="N27" s="25"/>
      <c r="O27" s="25"/>
      <c r="P27" s="25"/>
      <c r="Q27" s="25"/>
      <c r="R27" s="25"/>
    </row>
    <row r="28" spans="1:18" x14ac:dyDescent="0.25">
      <c r="A28" s="22"/>
      <c r="B28" s="22"/>
      <c r="C28" s="22"/>
      <c r="D28" s="22"/>
      <c r="E28" s="23"/>
      <c r="F28" s="23"/>
      <c r="G28" s="23"/>
      <c r="H28" s="23"/>
      <c r="I28" s="23"/>
      <c r="J28" s="22"/>
      <c r="K28" s="22"/>
      <c r="L28" s="22"/>
      <c r="M28" s="22"/>
      <c r="N28" s="22"/>
      <c r="O28" s="22"/>
      <c r="P28" s="22"/>
      <c r="Q28" s="22"/>
      <c r="R28" s="22"/>
    </row>
  </sheetData>
  <mergeCells count="19">
    <mergeCell ref="E17:I17"/>
    <mergeCell ref="E15:I15"/>
    <mergeCell ref="E16:I16"/>
    <mergeCell ref="K6:R6"/>
    <mergeCell ref="B4:R5"/>
    <mergeCell ref="E19:I19"/>
    <mergeCell ref="E20:I20"/>
    <mergeCell ref="E21:I21"/>
    <mergeCell ref="E6:I6"/>
    <mergeCell ref="K16:K17"/>
    <mergeCell ref="E7:I7"/>
    <mergeCell ref="E8:I8"/>
    <mergeCell ref="E9:I9"/>
    <mergeCell ref="E10:I10"/>
    <mergeCell ref="E11:I11"/>
    <mergeCell ref="E12:I12"/>
    <mergeCell ref="E13:I13"/>
    <mergeCell ref="E14:I14"/>
    <mergeCell ref="E18:I18"/>
  </mergeCells>
  <conditionalFormatting sqref="B7:E21">
    <cfRule type="expression" dxfId="0" priority="3">
      <formula>$B7=$M$8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" id="{3FE9F8CF-AA8B-4D16-B129-1467E8185229}">
            <x14:iconSet iconSet="3Stars" showValue="0">
              <x14:cfvo type="percent">
                <xm:f>0</xm:f>
              </x14:cfvo>
              <x14:cfvo type="num">
                <xm:f>0.5</xm:f>
              </x14:cfvo>
              <x14:cfvo type="num">
                <xm:f>1</xm:f>
              </x14:cfvo>
            </x14:iconSet>
          </x14:cfRule>
          <xm:sqref>E7:E21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Y17"/>
  <sheetViews>
    <sheetView showGridLines="0" workbookViewId="0">
      <pane xSplit="2" ySplit="2" topLeftCell="C14" activePane="bottomRight" state="frozen"/>
      <selection pane="topRight" activeCell="C1" sqref="C1"/>
      <selection pane="bottomLeft" activeCell="A3" sqref="A3"/>
      <selection pane="bottomRight" activeCell="D17" sqref="D17"/>
    </sheetView>
  </sheetViews>
  <sheetFormatPr defaultRowHeight="15" x14ac:dyDescent="0.25"/>
  <cols>
    <col min="1" max="1" width="3.140625" customWidth="1"/>
    <col min="2" max="2" width="36.85546875" customWidth="1"/>
    <col min="3" max="3" width="36.140625" customWidth="1"/>
    <col min="4" max="4" width="15.7109375" customWidth="1"/>
    <col min="5" max="5" width="13.7109375" customWidth="1"/>
    <col min="6" max="6" width="17.42578125" style="3" customWidth="1"/>
    <col min="7" max="7" width="14.42578125" style="1" customWidth="1"/>
    <col min="8" max="20" width="4.140625" customWidth="1"/>
    <col min="21" max="21" width="2.28515625" customWidth="1"/>
    <col min="22" max="22" width="14.28515625" customWidth="1"/>
    <col min="23" max="23" width="17.85546875" customWidth="1"/>
    <col min="24" max="24" width="12.42578125" customWidth="1"/>
  </cols>
  <sheetData>
    <row r="1" spans="2:25" x14ac:dyDescent="0.25">
      <c r="F1"/>
      <c r="I1" s="59" t="s">
        <v>38</v>
      </c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</row>
    <row r="2" spans="2:25" x14ac:dyDescent="0.25">
      <c r="B2" s="6" t="s">
        <v>69</v>
      </c>
      <c r="C2" s="6" t="s">
        <v>1</v>
      </c>
      <c r="D2" s="6" t="s">
        <v>0</v>
      </c>
      <c r="E2" s="6" t="s">
        <v>70</v>
      </c>
      <c r="F2" s="6" t="s">
        <v>50</v>
      </c>
      <c r="G2" s="7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</row>
    <row r="3" spans="2:25" ht="83.25" customHeight="1" x14ac:dyDescent="0.25">
      <c r="B3" s="2" t="s">
        <v>2</v>
      </c>
      <c r="C3" s="2" t="s">
        <v>51</v>
      </c>
      <c r="D3" s="2"/>
      <c r="E3" s="4" t="s">
        <v>40</v>
      </c>
      <c r="F3" s="49">
        <v>10</v>
      </c>
      <c r="G3" s="5"/>
      <c r="I3">
        <v>1</v>
      </c>
      <c r="J3">
        <v>2</v>
      </c>
      <c r="K3">
        <v>3</v>
      </c>
      <c r="L3">
        <v>4</v>
      </c>
      <c r="M3">
        <v>2</v>
      </c>
      <c r="N3">
        <v>4</v>
      </c>
      <c r="O3">
        <v>2</v>
      </c>
      <c r="P3">
        <v>5</v>
      </c>
      <c r="Q3">
        <v>7</v>
      </c>
      <c r="R3">
        <v>8</v>
      </c>
      <c r="S3">
        <v>4</v>
      </c>
      <c r="T3">
        <v>3</v>
      </c>
      <c r="X3" s="60"/>
      <c r="Y3" s="60"/>
    </row>
    <row r="4" spans="2:25" ht="83.25" customHeight="1" x14ac:dyDescent="0.25">
      <c r="B4" s="2" t="s">
        <v>3</v>
      </c>
      <c r="C4" s="2" t="s">
        <v>52</v>
      </c>
      <c r="D4" s="2"/>
      <c r="E4" s="4" t="s">
        <v>41</v>
      </c>
      <c r="F4" s="49">
        <v>20</v>
      </c>
      <c r="G4" s="5"/>
      <c r="I4">
        <v>4</v>
      </c>
      <c r="J4">
        <v>5</v>
      </c>
      <c r="K4">
        <v>4</v>
      </c>
      <c r="L4">
        <v>5</v>
      </c>
      <c r="M4">
        <v>7</v>
      </c>
      <c r="N4">
        <v>6</v>
      </c>
      <c r="O4">
        <v>3</v>
      </c>
      <c r="P4">
        <v>4</v>
      </c>
      <c r="Q4">
        <v>7</v>
      </c>
      <c r="R4">
        <v>5</v>
      </c>
      <c r="S4">
        <v>8</v>
      </c>
      <c r="T4">
        <v>9</v>
      </c>
      <c r="X4" s="60"/>
      <c r="Y4" s="60"/>
    </row>
    <row r="5" spans="2:25" ht="83.25" customHeight="1" x14ac:dyDescent="0.25">
      <c r="B5" s="2" t="s">
        <v>4</v>
      </c>
      <c r="C5" s="2" t="s">
        <v>53</v>
      </c>
      <c r="D5" s="2"/>
      <c r="E5" s="4" t="s">
        <v>42</v>
      </c>
      <c r="F5" s="49">
        <v>30</v>
      </c>
      <c r="G5" s="5"/>
      <c r="I5">
        <v>4</v>
      </c>
      <c r="J5">
        <v>2</v>
      </c>
      <c r="K5">
        <v>4</v>
      </c>
      <c r="L5">
        <v>5</v>
      </c>
      <c r="M5">
        <v>3</v>
      </c>
      <c r="N5">
        <v>4</v>
      </c>
      <c r="O5">
        <v>3</v>
      </c>
      <c r="P5">
        <v>4</v>
      </c>
      <c r="Q5">
        <v>5</v>
      </c>
      <c r="R5">
        <v>5</v>
      </c>
      <c r="S5">
        <v>4</v>
      </c>
      <c r="T5">
        <v>3</v>
      </c>
      <c r="X5" s="60"/>
      <c r="Y5" s="60"/>
    </row>
    <row r="6" spans="2:25" ht="83.25" customHeight="1" x14ac:dyDescent="0.25">
      <c r="B6" s="2" t="s">
        <v>5</v>
      </c>
      <c r="C6" s="2" t="s">
        <v>54</v>
      </c>
      <c r="D6" s="2"/>
      <c r="E6" s="4" t="s">
        <v>43</v>
      </c>
      <c r="F6" s="49">
        <v>40</v>
      </c>
      <c r="G6" s="5"/>
      <c r="I6">
        <v>4</v>
      </c>
      <c r="J6">
        <v>2</v>
      </c>
      <c r="K6">
        <v>3</v>
      </c>
      <c r="L6">
        <v>4</v>
      </c>
      <c r="M6">
        <v>3</v>
      </c>
      <c r="N6">
        <v>4</v>
      </c>
      <c r="O6">
        <v>3</v>
      </c>
      <c r="P6">
        <v>4</v>
      </c>
      <c r="Q6">
        <v>4</v>
      </c>
      <c r="R6">
        <v>5</v>
      </c>
      <c r="S6">
        <v>4</v>
      </c>
      <c r="T6">
        <v>3</v>
      </c>
      <c r="X6" s="60"/>
      <c r="Y6" s="60"/>
    </row>
    <row r="7" spans="2:25" ht="83.25" customHeight="1" x14ac:dyDescent="0.25">
      <c r="B7" s="2" t="s">
        <v>6</v>
      </c>
      <c r="C7" s="2" t="s">
        <v>55</v>
      </c>
      <c r="D7" s="2"/>
      <c r="E7" s="4" t="s">
        <v>44</v>
      </c>
      <c r="F7" s="49">
        <v>50</v>
      </c>
      <c r="G7" s="5"/>
      <c r="I7">
        <v>4</v>
      </c>
      <c r="J7">
        <v>2</v>
      </c>
      <c r="K7">
        <v>4</v>
      </c>
      <c r="L7">
        <v>5</v>
      </c>
      <c r="M7">
        <v>3</v>
      </c>
      <c r="N7">
        <v>4</v>
      </c>
      <c r="O7">
        <v>3</v>
      </c>
      <c r="P7">
        <v>4</v>
      </c>
      <c r="Q7">
        <v>5</v>
      </c>
      <c r="R7">
        <v>5</v>
      </c>
      <c r="S7">
        <v>4</v>
      </c>
      <c r="T7">
        <v>3</v>
      </c>
      <c r="X7" s="60"/>
      <c r="Y7" s="60"/>
    </row>
    <row r="8" spans="2:25" ht="83.25" customHeight="1" x14ac:dyDescent="0.25">
      <c r="B8" s="2" t="s">
        <v>7</v>
      </c>
      <c r="C8" s="2" t="s">
        <v>56</v>
      </c>
      <c r="D8" s="2"/>
      <c r="E8" s="4" t="s">
        <v>45</v>
      </c>
      <c r="F8" s="49">
        <v>60</v>
      </c>
      <c r="G8" s="5"/>
      <c r="I8">
        <v>4</v>
      </c>
      <c r="J8">
        <v>2</v>
      </c>
      <c r="K8">
        <v>4</v>
      </c>
      <c r="L8">
        <v>4</v>
      </c>
      <c r="M8">
        <v>3</v>
      </c>
      <c r="N8">
        <v>4</v>
      </c>
      <c r="O8">
        <v>7</v>
      </c>
      <c r="P8">
        <v>4</v>
      </c>
      <c r="Q8">
        <v>5</v>
      </c>
      <c r="R8">
        <v>5</v>
      </c>
      <c r="S8">
        <v>4</v>
      </c>
      <c r="T8">
        <v>3</v>
      </c>
      <c r="X8" s="60"/>
      <c r="Y8" s="60"/>
    </row>
    <row r="9" spans="2:25" ht="83.25" customHeight="1" x14ac:dyDescent="0.25">
      <c r="B9" s="2" t="s">
        <v>8</v>
      </c>
      <c r="C9" s="2" t="s">
        <v>57</v>
      </c>
      <c r="D9" s="2"/>
      <c r="E9" s="4" t="s">
        <v>46</v>
      </c>
      <c r="F9" s="49">
        <v>30</v>
      </c>
      <c r="G9" s="5"/>
      <c r="I9">
        <v>4</v>
      </c>
      <c r="J9">
        <v>2</v>
      </c>
      <c r="K9">
        <v>4</v>
      </c>
      <c r="L9">
        <v>5</v>
      </c>
      <c r="M9">
        <v>3</v>
      </c>
      <c r="N9">
        <v>4</v>
      </c>
      <c r="O9">
        <v>3</v>
      </c>
      <c r="P9">
        <v>4</v>
      </c>
      <c r="Q9">
        <v>5</v>
      </c>
      <c r="R9">
        <v>5</v>
      </c>
      <c r="S9">
        <v>4</v>
      </c>
      <c r="T9">
        <v>3</v>
      </c>
      <c r="X9" s="60"/>
      <c r="Y9" s="60"/>
    </row>
    <row r="10" spans="2:25" ht="83.25" customHeight="1" x14ac:dyDescent="0.25">
      <c r="B10" s="2" t="s">
        <v>9</v>
      </c>
      <c r="C10" s="2" t="s">
        <v>58</v>
      </c>
      <c r="D10" s="2"/>
      <c r="E10" s="4" t="s">
        <v>47</v>
      </c>
      <c r="F10" s="49">
        <v>40</v>
      </c>
      <c r="G10" s="5"/>
      <c r="I10">
        <v>4</v>
      </c>
      <c r="J10">
        <v>2</v>
      </c>
      <c r="K10">
        <v>4</v>
      </c>
      <c r="L10">
        <v>5</v>
      </c>
      <c r="M10">
        <v>3</v>
      </c>
      <c r="N10">
        <v>4</v>
      </c>
      <c r="O10">
        <v>3</v>
      </c>
      <c r="P10">
        <v>4</v>
      </c>
      <c r="Q10">
        <v>5</v>
      </c>
      <c r="R10">
        <v>5</v>
      </c>
      <c r="S10">
        <v>4</v>
      </c>
      <c r="T10">
        <v>3</v>
      </c>
      <c r="X10" s="60"/>
      <c r="Y10" s="60"/>
    </row>
    <row r="11" spans="2:25" ht="83.25" customHeight="1" x14ac:dyDescent="0.25">
      <c r="B11" s="2" t="s">
        <v>10</v>
      </c>
      <c r="C11" s="2" t="s">
        <v>59</v>
      </c>
      <c r="D11" s="2"/>
      <c r="E11" s="4" t="s">
        <v>48</v>
      </c>
      <c r="F11" s="49">
        <v>50</v>
      </c>
      <c r="G11" s="5"/>
      <c r="I11">
        <v>1</v>
      </c>
      <c r="J11">
        <v>2</v>
      </c>
      <c r="K11">
        <v>3</v>
      </c>
      <c r="L11">
        <v>4</v>
      </c>
      <c r="M11">
        <v>5</v>
      </c>
      <c r="N11">
        <v>4</v>
      </c>
      <c r="O11">
        <v>6</v>
      </c>
      <c r="P11">
        <v>4</v>
      </c>
      <c r="Q11">
        <v>5</v>
      </c>
      <c r="R11">
        <v>5</v>
      </c>
      <c r="S11">
        <v>4</v>
      </c>
      <c r="T11">
        <v>3</v>
      </c>
      <c r="X11" s="60"/>
      <c r="Y11" s="60"/>
    </row>
    <row r="12" spans="2:25" ht="83.25" customHeight="1" x14ac:dyDescent="0.25">
      <c r="B12" s="2" t="s">
        <v>11</v>
      </c>
      <c r="C12" s="2" t="s">
        <v>60</v>
      </c>
      <c r="D12" s="2"/>
      <c r="E12" s="4" t="s">
        <v>49</v>
      </c>
      <c r="F12" s="49">
        <v>60</v>
      </c>
      <c r="G12" s="5"/>
      <c r="I12">
        <v>4</v>
      </c>
      <c r="J12">
        <v>2</v>
      </c>
      <c r="K12">
        <v>4</v>
      </c>
      <c r="L12">
        <v>5</v>
      </c>
      <c r="M12">
        <v>3</v>
      </c>
      <c r="N12">
        <v>4</v>
      </c>
      <c r="O12">
        <v>3</v>
      </c>
      <c r="P12">
        <v>4</v>
      </c>
      <c r="Q12">
        <v>5</v>
      </c>
      <c r="R12">
        <v>5</v>
      </c>
      <c r="S12">
        <v>4</v>
      </c>
      <c r="T12">
        <v>3</v>
      </c>
      <c r="X12" s="60"/>
      <c r="Y12" s="60"/>
    </row>
    <row r="13" spans="2:25" ht="83.25" customHeight="1" x14ac:dyDescent="0.25">
      <c r="B13" s="2" t="s">
        <v>12</v>
      </c>
      <c r="C13" s="2" t="s">
        <v>61</v>
      </c>
      <c r="D13" s="2"/>
      <c r="E13" s="4" t="s">
        <v>66</v>
      </c>
      <c r="F13" s="49">
        <v>70</v>
      </c>
      <c r="G13" s="5"/>
      <c r="I13">
        <v>1</v>
      </c>
      <c r="J13">
        <v>2</v>
      </c>
      <c r="K13">
        <v>4</v>
      </c>
      <c r="L13">
        <v>5</v>
      </c>
      <c r="M13">
        <v>5</v>
      </c>
      <c r="N13">
        <v>4</v>
      </c>
      <c r="O13">
        <v>6</v>
      </c>
      <c r="P13">
        <v>4</v>
      </c>
      <c r="Q13">
        <v>5</v>
      </c>
      <c r="R13">
        <v>5</v>
      </c>
      <c r="S13">
        <v>4</v>
      </c>
      <c r="T13">
        <v>3</v>
      </c>
      <c r="X13" s="60"/>
      <c r="Y13" s="60"/>
    </row>
    <row r="14" spans="2:25" ht="83.25" customHeight="1" x14ac:dyDescent="0.25">
      <c r="B14" s="2" t="s">
        <v>13</v>
      </c>
      <c r="C14" s="2" t="s">
        <v>62</v>
      </c>
      <c r="D14" s="2"/>
      <c r="E14" s="4" t="s">
        <v>67</v>
      </c>
      <c r="F14" s="49">
        <v>40</v>
      </c>
      <c r="G14" s="5"/>
      <c r="I14">
        <v>4</v>
      </c>
      <c r="J14">
        <v>2</v>
      </c>
      <c r="K14">
        <v>4</v>
      </c>
      <c r="L14">
        <v>5</v>
      </c>
      <c r="M14">
        <v>3</v>
      </c>
      <c r="N14">
        <v>4</v>
      </c>
      <c r="O14">
        <v>3</v>
      </c>
      <c r="P14">
        <v>4</v>
      </c>
      <c r="Q14">
        <v>5</v>
      </c>
      <c r="R14">
        <v>5</v>
      </c>
      <c r="S14">
        <v>4</v>
      </c>
      <c r="T14">
        <v>3</v>
      </c>
      <c r="X14" s="60"/>
      <c r="Y14" s="60"/>
    </row>
    <row r="15" spans="2:25" ht="83.25" customHeight="1" x14ac:dyDescent="0.25">
      <c r="B15" s="2" t="s">
        <v>14</v>
      </c>
      <c r="C15" s="2" t="s">
        <v>63</v>
      </c>
      <c r="D15" s="2"/>
      <c r="E15" s="4" t="s">
        <v>68</v>
      </c>
      <c r="F15" s="49">
        <v>50</v>
      </c>
      <c r="G15" s="5"/>
      <c r="I15">
        <v>1</v>
      </c>
      <c r="J15">
        <v>2</v>
      </c>
      <c r="K15">
        <v>4</v>
      </c>
      <c r="L15">
        <v>5</v>
      </c>
      <c r="M15">
        <v>3</v>
      </c>
      <c r="N15">
        <v>4</v>
      </c>
      <c r="O15">
        <v>2</v>
      </c>
      <c r="P15">
        <v>2</v>
      </c>
      <c r="Q15">
        <v>3</v>
      </c>
      <c r="R15">
        <v>2</v>
      </c>
      <c r="S15">
        <v>2</v>
      </c>
      <c r="T15">
        <v>3</v>
      </c>
      <c r="X15" s="60"/>
      <c r="Y15" s="60"/>
    </row>
    <row r="16" spans="2:25" ht="83.25" customHeight="1" x14ac:dyDescent="0.25">
      <c r="B16" s="2" t="s">
        <v>15</v>
      </c>
      <c r="C16" s="2" t="s">
        <v>64</v>
      </c>
      <c r="D16" s="2"/>
      <c r="E16" s="4" t="s">
        <v>72</v>
      </c>
      <c r="F16" s="49">
        <v>60</v>
      </c>
      <c r="G16" s="5"/>
      <c r="I16">
        <v>4</v>
      </c>
      <c r="J16">
        <v>2</v>
      </c>
      <c r="K16">
        <v>4</v>
      </c>
      <c r="L16">
        <v>5</v>
      </c>
      <c r="M16">
        <v>3</v>
      </c>
      <c r="N16">
        <v>4</v>
      </c>
      <c r="O16">
        <v>3</v>
      </c>
      <c r="P16">
        <v>4</v>
      </c>
      <c r="Q16">
        <v>5</v>
      </c>
      <c r="R16">
        <v>5</v>
      </c>
      <c r="S16">
        <v>4</v>
      </c>
      <c r="T16">
        <v>3</v>
      </c>
      <c r="X16" s="60"/>
      <c r="Y16" s="60"/>
    </row>
    <row r="17" spans="2:25" ht="83.25" customHeight="1" x14ac:dyDescent="0.25">
      <c r="B17" s="2" t="s">
        <v>16</v>
      </c>
      <c r="C17" s="2" t="s">
        <v>65</v>
      </c>
      <c r="D17" s="2"/>
      <c r="E17" s="4" t="s">
        <v>71</v>
      </c>
      <c r="F17" s="49">
        <v>70</v>
      </c>
      <c r="G17" s="5"/>
      <c r="I17">
        <v>1</v>
      </c>
      <c r="J17">
        <v>4</v>
      </c>
      <c r="K17">
        <v>3</v>
      </c>
      <c r="L17">
        <v>2</v>
      </c>
      <c r="M17">
        <v>3</v>
      </c>
      <c r="N17">
        <v>2</v>
      </c>
      <c r="O17">
        <v>3</v>
      </c>
      <c r="P17">
        <v>2</v>
      </c>
      <c r="Q17">
        <v>2</v>
      </c>
      <c r="R17">
        <v>3</v>
      </c>
      <c r="S17">
        <v>3</v>
      </c>
      <c r="T17">
        <v>6</v>
      </c>
      <c r="X17" s="60"/>
      <c r="Y17" s="60"/>
    </row>
  </sheetData>
  <mergeCells count="16">
    <mergeCell ref="X17:Y17"/>
    <mergeCell ref="X12:Y12"/>
    <mergeCell ref="X13:Y13"/>
    <mergeCell ref="X14:Y14"/>
    <mergeCell ref="X15:Y15"/>
    <mergeCell ref="X16:Y16"/>
    <mergeCell ref="X7:Y7"/>
    <mergeCell ref="X8:Y8"/>
    <mergeCell ref="X9:Y9"/>
    <mergeCell ref="X10:Y10"/>
    <mergeCell ref="X11:Y11"/>
    <mergeCell ref="I1:T2"/>
    <mergeCell ref="X3:Y3"/>
    <mergeCell ref="X4:Y4"/>
    <mergeCell ref="X5:Y5"/>
    <mergeCell ref="X6:Y6"/>
  </mergeCell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high="1" low="1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Database!I3:T3</xm:f>
              <xm:sqref>W3</xm:sqref>
            </x14:sparkline>
            <x14:sparkline>
              <xm:f>Database!I4:T4</xm:f>
              <xm:sqref>W4</xm:sqref>
            </x14:sparkline>
            <x14:sparkline>
              <xm:f>Database!I5:T5</xm:f>
              <xm:sqref>W5</xm:sqref>
            </x14:sparkline>
            <x14:sparkline>
              <xm:f>Database!I6:T6</xm:f>
              <xm:sqref>W6</xm:sqref>
            </x14:sparkline>
            <x14:sparkline>
              <xm:f>Database!I7:T7</xm:f>
              <xm:sqref>W7</xm:sqref>
            </x14:sparkline>
            <x14:sparkline>
              <xm:f>Database!I8:T8</xm:f>
              <xm:sqref>W8</xm:sqref>
            </x14:sparkline>
            <x14:sparkline>
              <xm:f>Database!I9:T9</xm:f>
              <xm:sqref>W9</xm:sqref>
            </x14:sparkline>
            <x14:sparkline>
              <xm:f>Database!I10:T10</xm:f>
              <xm:sqref>W10</xm:sqref>
            </x14:sparkline>
            <x14:sparkline>
              <xm:f>Database!I11:T11</xm:f>
              <xm:sqref>W11</xm:sqref>
            </x14:sparkline>
            <x14:sparkline>
              <xm:f>Database!I12:T12</xm:f>
              <xm:sqref>W12</xm:sqref>
            </x14:sparkline>
            <x14:sparkline>
              <xm:f>Database!I13:T13</xm:f>
              <xm:sqref>W13</xm:sqref>
            </x14:sparkline>
            <x14:sparkline>
              <xm:f>Database!I14:T14</xm:f>
              <xm:sqref>W14</xm:sqref>
            </x14:sparkline>
            <x14:sparkline>
              <xm:f>Database!I15:T15</xm:f>
              <xm:sqref>W15</xm:sqref>
            </x14:sparkline>
            <x14:sparkline>
              <xm:f>Database!I16:T16</xm:f>
              <xm:sqref>W16</xm:sqref>
            </x14:sparkline>
            <x14:sparkline>
              <xm:f>Database!I17:T17</xm:f>
              <xm:sqref>W17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77"/>
  <sheetViews>
    <sheetView showGridLines="0" workbookViewId="0">
      <pane ySplit="3" topLeftCell="A4" activePane="bottomLeft" state="frozen"/>
      <selection pane="bottomLeft" activeCell="G13" sqref="G13"/>
    </sheetView>
  </sheetViews>
  <sheetFormatPr defaultRowHeight="12.75" x14ac:dyDescent="0.2"/>
  <cols>
    <col min="1" max="10" width="9.140625" style="9"/>
    <col min="11" max="11" width="7.28515625" style="9" bestFit="1" customWidth="1"/>
    <col min="12" max="12" width="1" style="9" customWidth="1"/>
    <col min="13" max="13" width="25.7109375" style="9" bestFit="1" customWidth="1"/>
    <col min="14" max="14" width="13.7109375" style="9" bestFit="1" customWidth="1"/>
    <col min="15" max="266" width="9.140625" style="9"/>
    <col min="267" max="267" width="7.28515625" style="9" bestFit="1" customWidth="1"/>
    <col min="268" max="268" width="1" style="9" customWidth="1"/>
    <col min="269" max="269" width="25.7109375" style="9" bestFit="1" customWidth="1"/>
    <col min="270" max="270" width="13.7109375" style="9" bestFit="1" customWidth="1"/>
    <col min="271" max="522" width="9.140625" style="9"/>
    <col min="523" max="523" width="7.28515625" style="9" bestFit="1" customWidth="1"/>
    <col min="524" max="524" width="1" style="9" customWidth="1"/>
    <col min="525" max="525" width="25.7109375" style="9" bestFit="1" customWidth="1"/>
    <col min="526" max="526" width="13.7109375" style="9" bestFit="1" customWidth="1"/>
    <col min="527" max="778" width="9.140625" style="9"/>
    <col min="779" max="779" width="7.28515625" style="9" bestFit="1" customWidth="1"/>
    <col min="780" max="780" width="1" style="9" customWidth="1"/>
    <col min="781" max="781" width="25.7109375" style="9" bestFit="1" customWidth="1"/>
    <col min="782" max="782" width="13.7109375" style="9" bestFit="1" customWidth="1"/>
    <col min="783" max="1034" width="9.140625" style="9"/>
    <col min="1035" max="1035" width="7.28515625" style="9" bestFit="1" customWidth="1"/>
    <col min="1036" max="1036" width="1" style="9" customWidth="1"/>
    <col min="1037" max="1037" width="25.7109375" style="9" bestFit="1" customWidth="1"/>
    <col min="1038" max="1038" width="13.7109375" style="9" bestFit="1" customWidth="1"/>
    <col min="1039" max="1290" width="9.140625" style="9"/>
    <col min="1291" max="1291" width="7.28515625" style="9" bestFit="1" customWidth="1"/>
    <col min="1292" max="1292" width="1" style="9" customWidth="1"/>
    <col min="1293" max="1293" width="25.7109375" style="9" bestFit="1" customWidth="1"/>
    <col min="1294" max="1294" width="13.7109375" style="9" bestFit="1" customWidth="1"/>
    <col min="1295" max="1546" width="9.140625" style="9"/>
    <col min="1547" max="1547" width="7.28515625" style="9" bestFit="1" customWidth="1"/>
    <col min="1548" max="1548" width="1" style="9" customWidth="1"/>
    <col min="1549" max="1549" width="25.7109375" style="9" bestFit="1" customWidth="1"/>
    <col min="1550" max="1550" width="13.7109375" style="9" bestFit="1" customWidth="1"/>
    <col min="1551" max="1802" width="9.140625" style="9"/>
    <col min="1803" max="1803" width="7.28515625" style="9" bestFit="1" customWidth="1"/>
    <col min="1804" max="1804" width="1" style="9" customWidth="1"/>
    <col min="1805" max="1805" width="25.7109375" style="9" bestFit="1" customWidth="1"/>
    <col min="1806" max="1806" width="13.7109375" style="9" bestFit="1" customWidth="1"/>
    <col min="1807" max="2058" width="9.140625" style="9"/>
    <col min="2059" max="2059" width="7.28515625" style="9" bestFit="1" customWidth="1"/>
    <col min="2060" max="2060" width="1" style="9" customWidth="1"/>
    <col min="2061" max="2061" width="25.7109375" style="9" bestFit="1" customWidth="1"/>
    <col min="2062" max="2062" width="13.7109375" style="9" bestFit="1" customWidth="1"/>
    <col min="2063" max="2314" width="9.140625" style="9"/>
    <col min="2315" max="2315" width="7.28515625" style="9" bestFit="1" customWidth="1"/>
    <col min="2316" max="2316" width="1" style="9" customWidth="1"/>
    <col min="2317" max="2317" width="25.7109375" style="9" bestFit="1" customWidth="1"/>
    <col min="2318" max="2318" width="13.7109375" style="9" bestFit="1" customWidth="1"/>
    <col min="2319" max="2570" width="9.140625" style="9"/>
    <col min="2571" max="2571" width="7.28515625" style="9" bestFit="1" customWidth="1"/>
    <col min="2572" max="2572" width="1" style="9" customWidth="1"/>
    <col min="2573" max="2573" width="25.7109375" style="9" bestFit="1" customWidth="1"/>
    <col min="2574" max="2574" width="13.7109375" style="9" bestFit="1" customWidth="1"/>
    <col min="2575" max="2826" width="9.140625" style="9"/>
    <col min="2827" max="2827" width="7.28515625" style="9" bestFit="1" customWidth="1"/>
    <col min="2828" max="2828" width="1" style="9" customWidth="1"/>
    <col min="2829" max="2829" width="25.7109375" style="9" bestFit="1" customWidth="1"/>
    <col min="2830" max="2830" width="13.7109375" style="9" bestFit="1" customWidth="1"/>
    <col min="2831" max="3082" width="9.140625" style="9"/>
    <col min="3083" max="3083" width="7.28515625" style="9" bestFit="1" customWidth="1"/>
    <col min="3084" max="3084" width="1" style="9" customWidth="1"/>
    <col min="3085" max="3085" width="25.7109375" style="9" bestFit="1" customWidth="1"/>
    <col min="3086" max="3086" width="13.7109375" style="9" bestFit="1" customWidth="1"/>
    <col min="3087" max="3338" width="9.140625" style="9"/>
    <col min="3339" max="3339" width="7.28515625" style="9" bestFit="1" customWidth="1"/>
    <col min="3340" max="3340" width="1" style="9" customWidth="1"/>
    <col min="3341" max="3341" width="25.7109375" style="9" bestFit="1" customWidth="1"/>
    <col min="3342" max="3342" width="13.7109375" style="9" bestFit="1" customWidth="1"/>
    <col min="3343" max="3594" width="9.140625" style="9"/>
    <col min="3595" max="3595" width="7.28515625" style="9" bestFit="1" customWidth="1"/>
    <col min="3596" max="3596" width="1" style="9" customWidth="1"/>
    <col min="3597" max="3597" width="25.7109375" style="9" bestFit="1" customWidth="1"/>
    <col min="3598" max="3598" width="13.7109375" style="9" bestFit="1" customWidth="1"/>
    <col min="3599" max="3850" width="9.140625" style="9"/>
    <col min="3851" max="3851" width="7.28515625" style="9" bestFit="1" customWidth="1"/>
    <col min="3852" max="3852" width="1" style="9" customWidth="1"/>
    <col min="3853" max="3853" width="25.7109375" style="9" bestFit="1" customWidth="1"/>
    <col min="3854" max="3854" width="13.7109375" style="9" bestFit="1" customWidth="1"/>
    <col min="3855" max="4106" width="9.140625" style="9"/>
    <col min="4107" max="4107" width="7.28515625" style="9" bestFit="1" customWidth="1"/>
    <col min="4108" max="4108" width="1" style="9" customWidth="1"/>
    <col min="4109" max="4109" width="25.7109375" style="9" bestFit="1" customWidth="1"/>
    <col min="4110" max="4110" width="13.7109375" style="9" bestFit="1" customWidth="1"/>
    <col min="4111" max="4362" width="9.140625" style="9"/>
    <col min="4363" max="4363" width="7.28515625" style="9" bestFit="1" customWidth="1"/>
    <col min="4364" max="4364" width="1" style="9" customWidth="1"/>
    <col min="4365" max="4365" width="25.7109375" style="9" bestFit="1" customWidth="1"/>
    <col min="4366" max="4366" width="13.7109375" style="9" bestFit="1" customWidth="1"/>
    <col min="4367" max="4618" width="9.140625" style="9"/>
    <col min="4619" max="4619" width="7.28515625" style="9" bestFit="1" customWidth="1"/>
    <col min="4620" max="4620" width="1" style="9" customWidth="1"/>
    <col min="4621" max="4621" width="25.7109375" style="9" bestFit="1" customWidth="1"/>
    <col min="4622" max="4622" width="13.7109375" style="9" bestFit="1" customWidth="1"/>
    <col min="4623" max="4874" width="9.140625" style="9"/>
    <col min="4875" max="4875" width="7.28515625" style="9" bestFit="1" customWidth="1"/>
    <col min="4876" max="4876" width="1" style="9" customWidth="1"/>
    <col min="4877" max="4877" width="25.7109375" style="9" bestFit="1" customWidth="1"/>
    <col min="4878" max="4878" width="13.7109375" style="9" bestFit="1" customWidth="1"/>
    <col min="4879" max="5130" width="9.140625" style="9"/>
    <col min="5131" max="5131" width="7.28515625" style="9" bestFit="1" customWidth="1"/>
    <col min="5132" max="5132" width="1" style="9" customWidth="1"/>
    <col min="5133" max="5133" width="25.7109375" style="9" bestFit="1" customWidth="1"/>
    <col min="5134" max="5134" width="13.7109375" style="9" bestFit="1" customWidth="1"/>
    <col min="5135" max="5386" width="9.140625" style="9"/>
    <col min="5387" max="5387" width="7.28515625" style="9" bestFit="1" customWidth="1"/>
    <col min="5388" max="5388" width="1" style="9" customWidth="1"/>
    <col min="5389" max="5389" width="25.7109375" style="9" bestFit="1" customWidth="1"/>
    <col min="5390" max="5390" width="13.7109375" style="9" bestFit="1" customWidth="1"/>
    <col min="5391" max="5642" width="9.140625" style="9"/>
    <col min="5643" max="5643" width="7.28515625" style="9" bestFit="1" customWidth="1"/>
    <col min="5644" max="5644" width="1" style="9" customWidth="1"/>
    <col min="5645" max="5645" width="25.7109375" style="9" bestFit="1" customWidth="1"/>
    <col min="5646" max="5646" width="13.7109375" style="9" bestFit="1" customWidth="1"/>
    <col min="5647" max="5898" width="9.140625" style="9"/>
    <col min="5899" max="5899" width="7.28515625" style="9" bestFit="1" customWidth="1"/>
    <col min="5900" max="5900" width="1" style="9" customWidth="1"/>
    <col min="5901" max="5901" width="25.7109375" style="9" bestFit="1" customWidth="1"/>
    <col min="5902" max="5902" width="13.7109375" style="9" bestFit="1" customWidth="1"/>
    <col min="5903" max="6154" width="9.140625" style="9"/>
    <col min="6155" max="6155" width="7.28515625" style="9" bestFit="1" customWidth="1"/>
    <col min="6156" max="6156" width="1" style="9" customWidth="1"/>
    <col min="6157" max="6157" width="25.7109375" style="9" bestFit="1" customWidth="1"/>
    <col min="6158" max="6158" width="13.7109375" style="9" bestFit="1" customWidth="1"/>
    <col min="6159" max="6410" width="9.140625" style="9"/>
    <col min="6411" max="6411" width="7.28515625" style="9" bestFit="1" customWidth="1"/>
    <col min="6412" max="6412" width="1" style="9" customWidth="1"/>
    <col min="6413" max="6413" width="25.7109375" style="9" bestFit="1" customWidth="1"/>
    <col min="6414" max="6414" width="13.7109375" style="9" bestFit="1" customWidth="1"/>
    <col min="6415" max="6666" width="9.140625" style="9"/>
    <col min="6667" max="6667" width="7.28515625" style="9" bestFit="1" customWidth="1"/>
    <col min="6668" max="6668" width="1" style="9" customWidth="1"/>
    <col min="6669" max="6669" width="25.7109375" style="9" bestFit="1" customWidth="1"/>
    <col min="6670" max="6670" width="13.7109375" style="9" bestFit="1" customWidth="1"/>
    <col min="6671" max="6922" width="9.140625" style="9"/>
    <col min="6923" max="6923" width="7.28515625" style="9" bestFit="1" customWidth="1"/>
    <col min="6924" max="6924" width="1" style="9" customWidth="1"/>
    <col min="6925" max="6925" width="25.7109375" style="9" bestFit="1" customWidth="1"/>
    <col min="6926" max="6926" width="13.7109375" style="9" bestFit="1" customWidth="1"/>
    <col min="6927" max="7178" width="9.140625" style="9"/>
    <col min="7179" max="7179" width="7.28515625" style="9" bestFit="1" customWidth="1"/>
    <col min="7180" max="7180" width="1" style="9" customWidth="1"/>
    <col min="7181" max="7181" width="25.7109375" style="9" bestFit="1" customWidth="1"/>
    <col min="7182" max="7182" width="13.7109375" style="9" bestFit="1" customWidth="1"/>
    <col min="7183" max="7434" width="9.140625" style="9"/>
    <col min="7435" max="7435" width="7.28515625" style="9" bestFit="1" customWidth="1"/>
    <col min="7436" max="7436" width="1" style="9" customWidth="1"/>
    <col min="7437" max="7437" width="25.7109375" style="9" bestFit="1" customWidth="1"/>
    <col min="7438" max="7438" width="13.7109375" style="9" bestFit="1" customWidth="1"/>
    <col min="7439" max="7690" width="9.140625" style="9"/>
    <col min="7691" max="7691" width="7.28515625" style="9" bestFit="1" customWidth="1"/>
    <col min="7692" max="7692" width="1" style="9" customWidth="1"/>
    <col min="7693" max="7693" width="25.7109375" style="9" bestFit="1" customWidth="1"/>
    <col min="7694" max="7694" width="13.7109375" style="9" bestFit="1" customWidth="1"/>
    <col min="7695" max="7946" width="9.140625" style="9"/>
    <col min="7947" max="7947" width="7.28515625" style="9" bestFit="1" customWidth="1"/>
    <col min="7948" max="7948" width="1" style="9" customWidth="1"/>
    <col min="7949" max="7949" width="25.7109375" style="9" bestFit="1" customWidth="1"/>
    <col min="7950" max="7950" width="13.7109375" style="9" bestFit="1" customWidth="1"/>
    <col min="7951" max="8202" width="9.140625" style="9"/>
    <col min="8203" max="8203" width="7.28515625" style="9" bestFit="1" customWidth="1"/>
    <col min="8204" max="8204" width="1" style="9" customWidth="1"/>
    <col min="8205" max="8205" width="25.7109375" style="9" bestFit="1" customWidth="1"/>
    <col min="8206" max="8206" width="13.7109375" style="9" bestFit="1" customWidth="1"/>
    <col min="8207" max="8458" width="9.140625" style="9"/>
    <col min="8459" max="8459" width="7.28515625" style="9" bestFit="1" customWidth="1"/>
    <col min="8460" max="8460" width="1" style="9" customWidth="1"/>
    <col min="8461" max="8461" width="25.7109375" style="9" bestFit="1" customWidth="1"/>
    <col min="8462" max="8462" width="13.7109375" style="9" bestFit="1" customWidth="1"/>
    <col min="8463" max="8714" width="9.140625" style="9"/>
    <col min="8715" max="8715" width="7.28515625" style="9" bestFit="1" customWidth="1"/>
    <col min="8716" max="8716" width="1" style="9" customWidth="1"/>
    <col min="8717" max="8717" width="25.7109375" style="9" bestFit="1" customWidth="1"/>
    <col min="8718" max="8718" width="13.7109375" style="9" bestFit="1" customWidth="1"/>
    <col min="8719" max="8970" width="9.140625" style="9"/>
    <col min="8971" max="8971" width="7.28515625" style="9" bestFit="1" customWidth="1"/>
    <col min="8972" max="8972" width="1" style="9" customWidth="1"/>
    <col min="8973" max="8973" width="25.7109375" style="9" bestFit="1" customWidth="1"/>
    <col min="8974" max="8974" width="13.7109375" style="9" bestFit="1" customWidth="1"/>
    <col min="8975" max="9226" width="9.140625" style="9"/>
    <col min="9227" max="9227" width="7.28515625" style="9" bestFit="1" customWidth="1"/>
    <col min="9228" max="9228" width="1" style="9" customWidth="1"/>
    <col min="9229" max="9229" width="25.7109375" style="9" bestFit="1" customWidth="1"/>
    <col min="9230" max="9230" width="13.7109375" style="9" bestFit="1" customWidth="1"/>
    <col min="9231" max="9482" width="9.140625" style="9"/>
    <col min="9483" max="9483" width="7.28515625" style="9" bestFit="1" customWidth="1"/>
    <col min="9484" max="9484" width="1" style="9" customWidth="1"/>
    <col min="9485" max="9485" width="25.7109375" style="9" bestFit="1" customWidth="1"/>
    <col min="9486" max="9486" width="13.7109375" style="9" bestFit="1" customWidth="1"/>
    <col min="9487" max="9738" width="9.140625" style="9"/>
    <col min="9739" max="9739" width="7.28515625" style="9" bestFit="1" customWidth="1"/>
    <col min="9740" max="9740" width="1" style="9" customWidth="1"/>
    <col min="9741" max="9741" width="25.7109375" style="9" bestFit="1" customWidth="1"/>
    <col min="9742" max="9742" width="13.7109375" style="9" bestFit="1" customWidth="1"/>
    <col min="9743" max="9994" width="9.140625" style="9"/>
    <col min="9995" max="9995" width="7.28515625" style="9" bestFit="1" customWidth="1"/>
    <col min="9996" max="9996" width="1" style="9" customWidth="1"/>
    <col min="9997" max="9997" width="25.7109375" style="9" bestFit="1" customWidth="1"/>
    <col min="9998" max="9998" width="13.7109375" style="9" bestFit="1" customWidth="1"/>
    <col min="9999" max="10250" width="9.140625" style="9"/>
    <col min="10251" max="10251" width="7.28515625" style="9" bestFit="1" customWidth="1"/>
    <col min="10252" max="10252" width="1" style="9" customWidth="1"/>
    <col min="10253" max="10253" width="25.7109375" style="9" bestFit="1" customWidth="1"/>
    <col min="10254" max="10254" width="13.7109375" style="9" bestFit="1" customWidth="1"/>
    <col min="10255" max="10506" width="9.140625" style="9"/>
    <col min="10507" max="10507" width="7.28515625" style="9" bestFit="1" customWidth="1"/>
    <col min="10508" max="10508" width="1" style="9" customWidth="1"/>
    <col min="10509" max="10509" width="25.7109375" style="9" bestFit="1" customWidth="1"/>
    <col min="10510" max="10510" width="13.7109375" style="9" bestFit="1" customWidth="1"/>
    <col min="10511" max="10762" width="9.140625" style="9"/>
    <col min="10763" max="10763" width="7.28515625" style="9" bestFit="1" customWidth="1"/>
    <col min="10764" max="10764" width="1" style="9" customWidth="1"/>
    <col min="10765" max="10765" width="25.7109375" style="9" bestFit="1" customWidth="1"/>
    <col min="10766" max="10766" width="13.7109375" style="9" bestFit="1" customWidth="1"/>
    <col min="10767" max="11018" width="9.140625" style="9"/>
    <col min="11019" max="11019" width="7.28515625" style="9" bestFit="1" customWidth="1"/>
    <col min="11020" max="11020" width="1" style="9" customWidth="1"/>
    <col min="11021" max="11021" width="25.7109375" style="9" bestFit="1" customWidth="1"/>
    <col min="11022" max="11022" width="13.7109375" style="9" bestFit="1" customWidth="1"/>
    <col min="11023" max="11274" width="9.140625" style="9"/>
    <col min="11275" max="11275" width="7.28515625" style="9" bestFit="1" customWidth="1"/>
    <col min="11276" max="11276" width="1" style="9" customWidth="1"/>
    <col min="11277" max="11277" width="25.7109375" style="9" bestFit="1" customWidth="1"/>
    <col min="11278" max="11278" width="13.7109375" style="9" bestFit="1" customWidth="1"/>
    <col min="11279" max="11530" width="9.140625" style="9"/>
    <col min="11531" max="11531" width="7.28515625" style="9" bestFit="1" customWidth="1"/>
    <col min="11532" max="11532" width="1" style="9" customWidth="1"/>
    <col min="11533" max="11533" width="25.7109375" style="9" bestFit="1" customWidth="1"/>
    <col min="11534" max="11534" width="13.7109375" style="9" bestFit="1" customWidth="1"/>
    <col min="11535" max="11786" width="9.140625" style="9"/>
    <col min="11787" max="11787" width="7.28515625" style="9" bestFit="1" customWidth="1"/>
    <col min="11788" max="11788" width="1" style="9" customWidth="1"/>
    <col min="11789" max="11789" width="25.7109375" style="9" bestFit="1" customWidth="1"/>
    <col min="11790" max="11790" width="13.7109375" style="9" bestFit="1" customWidth="1"/>
    <col min="11791" max="12042" width="9.140625" style="9"/>
    <col min="12043" max="12043" width="7.28515625" style="9" bestFit="1" customWidth="1"/>
    <col min="12044" max="12044" width="1" style="9" customWidth="1"/>
    <col min="12045" max="12045" width="25.7109375" style="9" bestFit="1" customWidth="1"/>
    <col min="12046" max="12046" width="13.7109375" style="9" bestFit="1" customWidth="1"/>
    <col min="12047" max="12298" width="9.140625" style="9"/>
    <col min="12299" max="12299" width="7.28515625" style="9" bestFit="1" customWidth="1"/>
    <col min="12300" max="12300" width="1" style="9" customWidth="1"/>
    <col min="12301" max="12301" width="25.7109375" style="9" bestFit="1" customWidth="1"/>
    <col min="12302" max="12302" width="13.7109375" style="9" bestFit="1" customWidth="1"/>
    <col min="12303" max="12554" width="9.140625" style="9"/>
    <col min="12555" max="12555" width="7.28515625" style="9" bestFit="1" customWidth="1"/>
    <col min="12556" max="12556" width="1" style="9" customWidth="1"/>
    <col min="12557" max="12557" width="25.7109375" style="9" bestFit="1" customWidth="1"/>
    <col min="12558" max="12558" width="13.7109375" style="9" bestFit="1" customWidth="1"/>
    <col min="12559" max="12810" width="9.140625" style="9"/>
    <col min="12811" max="12811" width="7.28515625" style="9" bestFit="1" customWidth="1"/>
    <col min="12812" max="12812" width="1" style="9" customWidth="1"/>
    <col min="12813" max="12813" width="25.7109375" style="9" bestFit="1" customWidth="1"/>
    <col min="12814" max="12814" width="13.7109375" style="9" bestFit="1" customWidth="1"/>
    <col min="12815" max="13066" width="9.140625" style="9"/>
    <col min="13067" max="13067" width="7.28515625" style="9" bestFit="1" customWidth="1"/>
    <col min="13068" max="13068" width="1" style="9" customWidth="1"/>
    <col min="13069" max="13069" width="25.7109375" style="9" bestFit="1" customWidth="1"/>
    <col min="13070" max="13070" width="13.7109375" style="9" bestFit="1" customWidth="1"/>
    <col min="13071" max="13322" width="9.140625" style="9"/>
    <col min="13323" max="13323" width="7.28515625" style="9" bestFit="1" customWidth="1"/>
    <col min="13324" max="13324" width="1" style="9" customWidth="1"/>
    <col min="13325" max="13325" width="25.7109375" style="9" bestFit="1" customWidth="1"/>
    <col min="13326" max="13326" width="13.7109375" style="9" bestFit="1" customWidth="1"/>
    <col min="13327" max="13578" width="9.140625" style="9"/>
    <col min="13579" max="13579" width="7.28515625" style="9" bestFit="1" customWidth="1"/>
    <col min="13580" max="13580" width="1" style="9" customWidth="1"/>
    <col min="13581" max="13581" width="25.7109375" style="9" bestFit="1" customWidth="1"/>
    <col min="13582" max="13582" width="13.7109375" style="9" bestFit="1" customWidth="1"/>
    <col min="13583" max="13834" width="9.140625" style="9"/>
    <col min="13835" max="13835" width="7.28515625" style="9" bestFit="1" customWidth="1"/>
    <col min="13836" max="13836" width="1" style="9" customWidth="1"/>
    <col min="13837" max="13837" width="25.7109375" style="9" bestFit="1" customWidth="1"/>
    <col min="13838" max="13838" width="13.7109375" style="9" bestFit="1" customWidth="1"/>
    <col min="13839" max="14090" width="9.140625" style="9"/>
    <col min="14091" max="14091" width="7.28515625" style="9" bestFit="1" customWidth="1"/>
    <col min="14092" max="14092" width="1" style="9" customWidth="1"/>
    <col min="14093" max="14093" width="25.7109375" style="9" bestFit="1" customWidth="1"/>
    <col min="14094" max="14094" width="13.7109375" style="9" bestFit="1" customWidth="1"/>
    <col min="14095" max="14346" width="9.140625" style="9"/>
    <col min="14347" max="14347" width="7.28515625" style="9" bestFit="1" customWidth="1"/>
    <col min="14348" max="14348" width="1" style="9" customWidth="1"/>
    <col min="14349" max="14349" width="25.7109375" style="9" bestFit="1" customWidth="1"/>
    <col min="14350" max="14350" width="13.7109375" style="9" bestFit="1" customWidth="1"/>
    <col min="14351" max="14602" width="9.140625" style="9"/>
    <col min="14603" max="14603" width="7.28515625" style="9" bestFit="1" customWidth="1"/>
    <col min="14604" max="14604" width="1" style="9" customWidth="1"/>
    <col min="14605" max="14605" width="25.7109375" style="9" bestFit="1" customWidth="1"/>
    <col min="14606" max="14606" width="13.7109375" style="9" bestFit="1" customWidth="1"/>
    <col min="14607" max="14858" width="9.140625" style="9"/>
    <col min="14859" max="14859" width="7.28515625" style="9" bestFit="1" customWidth="1"/>
    <col min="14860" max="14860" width="1" style="9" customWidth="1"/>
    <col min="14861" max="14861" width="25.7109375" style="9" bestFit="1" customWidth="1"/>
    <col min="14862" max="14862" width="13.7109375" style="9" bestFit="1" customWidth="1"/>
    <col min="14863" max="15114" width="9.140625" style="9"/>
    <col min="15115" max="15115" width="7.28515625" style="9" bestFit="1" customWidth="1"/>
    <col min="15116" max="15116" width="1" style="9" customWidth="1"/>
    <col min="15117" max="15117" width="25.7109375" style="9" bestFit="1" customWidth="1"/>
    <col min="15118" max="15118" width="13.7109375" style="9" bestFit="1" customWidth="1"/>
    <col min="15119" max="15370" width="9.140625" style="9"/>
    <col min="15371" max="15371" width="7.28515625" style="9" bestFit="1" customWidth="1"/>
    <col min="15372" max="15372" width="1" style="9" customWidth="1"/>
    <col min="15373" max="15373" width="25.7109375" style="9" bestFit="1" customWidth="1"/>
    <col min="15374" max="15374" width="13.7109375" style="9" bestFit="1" customWidth="1"/>
    <col min="15375" max="15626" width="9.140625" style="9"/>
    <col min="15627" max="15627" width="7.28515625" style="9" bestFit="1" customWidth="1"/>
    <col min="15628" max="15628" width="1" style="9" customWidth="1"/>
    <col min="15629" max="15629" width="25.7109375" style="9" bestFit="1" customWidth="1"/>
    <col min="15630" max="15630" width="13.7109375" style="9" bestFit="1" customWidth="1"/>
    <col min="15631" max="15882" width="9.140625" style="9"/>
    <col min="15883" max="15883" width="7.28515625" style="9" bestFit="1" customWidth="1"/>
    <col min="15884" max="15884" width="1" style="9" customWidth="1"/>
    <col min="15885" max="15885" width="25.7109375" style="9" bestFit="1" customWidth="1"/>
    <col min="15886" max="15886" width="13.7109375" style="9" bestFit="1" customWidth="1"/>
    <col min="15887" max="16138" width="9.140625" style="9"/>
    <col min="16139" max="16139" width="7.28515625" style="9" bestFit="1" customWidth="1"/>
    <col min="16140" max="16140" width="1" style="9" customWidth="1"/>
    <col min="16141" max="16141" width="25.7109375" style="9" bestFit="1" customWidth="1"/>
    <col min="16142" max="16142" width="13.7109375" style="9" bestFit="1" customWidth="1"/>
    <col min="16143" max="16384" width="9.140625" style="9"/>
  </cols>
  <sheetData>
    <row r="1" spans="1:19" s="50" customFormat="1" ht="3.75" customHeight="1" x14ac:dyDescent="0.2"/>
    <row r="2" spans="1:19" s="52" customFormat="1" ht="29.25" customHeight="1" x14ac:dyDescent="0.25">
      <c r="A2" s="51"/>
    </row>
    <row r="3" spans="1:19" s="50" customFormat="1" x14ac:dyDescent="0.2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</row>
    <row r="5" spans="1:19" x14ac:dyDescent="0.2">
      <c r="B5" s="9" t="s">
        <v>26</v>
      </c>
      <c r="E5" s="10">
        <f>+VLOOKUP(Dashboard!$M$8,Dashboard!$B$7:$D$21,3,0)</f>
        <v>18</v>
      </c>
    </row>
    <row r="7" spans="1:19" x14ac:dyDescent="0.2">
      <c r="B7" s="9" t="s">
        <v>24</v>
      </c>
      <c r="C7" s="10">
        <v>35</v>
      </c>
      <c r="D7" s="62" t="s">
        <v>27</v>
      </c>
      <c r="E7" s="63"/>
      <c r="F7" s="11" t="s">
        <v>28</v>
      </c>
    </row>
    <row r="8" spans="1:19" x14ac:dyDescent="0.2">
      <c r="B8" s="9" t="s">
        <v>29</v>
      </c>
      <c r="C8" s="10">
        <v>65</v>
      </c>
      <c r="D8" s="62"/>
      <c r="E8" s="63"/>
    </row>
    <row r="11" spans="1:19" x14ac:dyDescent="0.2">
      <c r="B11" s="64" t="s">
        <v>30</v>
      </c>
      <c r="C11" s="65"/>
      <c r="E11" s="64" t="s">
        <v>31</v>
      </c>
      <c r="F11" s="65"/>
    </row>
    <row r="12" spans="1:19" x14ac:dyDescent="0.2">
      <c r="B12" s="12" t="s">
        <v>32</v>
      </c>
      <c r="C12" s="13">
        <v>0</v>
      </c>
      <c r="E12" s="14" t="s">
        <v>33</v>
      </c>
      <c r="F12" s="15">
        <f>E5</f>
        <v>18</v>
      </c>
    </row>
    <row r="13" spans="1:19" x14ac:dyDescent="0.2">
      <c r="B13" s="12" t="s">
        <v>24</v>
      </c>
      <c r="C13" s="13">
        <v>20</v>
      </c>
      <c r="E13" s="14" t="s">
        <v>34</v>
      </c>
      <c r="F13" s="15">
        <v>2</v>
      </c>
    </row>
    <row r="14" spans="1:19" x14ac:dyDescent="0.2">
      <c r="B14" s="14" t="s">
        <v>29</v>
      </c>
      <c r="C14" s="15">
        <v>45</v>
      </c>
      <c r="E14" s="16" t="s">
        <v>25</v>
      </c>
      <c r="F14" s="17">
        <f>200-SUM(F12:F13)</f>
        <v>180</v>
      </c>
    </row>
    <row r="15" spans="1:19" x14ac:dyDescent="0.2">
      <c r="B15" s="14" t="s">
        <v>25</v>
      </c>
      <c r="C15" s="15">
        <v>35</v>
      </c>
    </row>
    <row r="16" spans="1:19" x14ac:dyDescent="0.2">
      <c r="B16" s="16" t="s">
        <v>35</v>
      </c>
      <c r="C16" s="17">
        <v>100</v>
      </c>
      <c r="E16" s="18"/>
      <c r="F16" s="18"/>
      <c r="G16" s="18"/>
      <c r="H16" s="18"/>
      <c r="I16" s="18"/>
      <c r="J16" s="18"/>
      <c r="K16" s="18"/>
      <c r="L16" s="18"/>
    </row>
    <row r="17" spans="5:13" s="19" customFormat="1" x14ac:dyDescent="0.2">
      <c r="E17" s="18"/>
      <c r="F17" s="18"/>
      <c r="G17" s="18"/>
      <c r="H17" s="18"/>
      <c r="I17" s="18"/>
      <c r="J17" s="18"/>
      <c r="K17" s="18"/>
      <c r="L17" s="18"/>
      <c r="M17" s="18"/>
    </row>
    <row r="18" spans="5:13" s="19" customFormat="1" x14ac:dyDescent="0.2">
      <c r="E18" s="18"/>
      <c r="F18" s="18"/>
      <c r="G18" s="18"/>
      <c r="H18" s="18"/>
      <c r="I18" s="18"/>
      <c r="J18" s="18"/>
      <c r="K18" s="18"/>
      <c r="L18" s="18"/>
      <c r="M18" s="18"/>
    </row>
    <row r="19" spans="5:13" s="19" customFormat="1" x14ac:dyDescent="0.2">
      <c r="E19" s="18"/>
      <c r="F19" s="18"/>
      <c r="G19" s="18"/>
      <c r="H19" s="18"/>
      <c r="I19" s="18"/>
      <c r="J19" s="18"/>
      <c r="K19" s="18"/>
      <c r="L19" s="18"/>
      <c r="M19" s="18"/>
    </row>
    <row r="20" spans="5:13" s="19" customFormat="1" x14ac:dyDescent="0.2">
      <c r="E20" s="18"/>
      <c r="F20" s="18"/>
      <c r="G20" s="18"/>
      <c r="H20" s="18"/>
      <c r="I20" s="18"/>
      <c r="J20" s="18"/>
      <c r="K20" s="18"/>
      <c r="L20" s="18"/>
      <c r="M20" s="18"/>
    </row>
    <row r="21" spans="5:13" s="19" customFormat="1" x14ac:dyDescent="0.2">
      <c r="E21" s="18"/>
      <c r="F21" s="18"/>
      <c r="G21" s="18"/>
      <c r="H21" s="18"/>
      <c r="I21" s="18"/>
      <c r="J21" s="18"/>
      <c r="K21" s="18"/>
      <c r="L21" s="18"/>
      <c r="M21" s="18"/>
    </row>
    <row r="22" spans="5:13" s="19" customFormat="1" x14ac:dyDescent="0.2">
      <c r="E22" s="18"/>
      <c r="F22" s="18"/>
      <c r="G22" s="18"/>
      <c r="H22" s="18"/>
      <c r="I22" s="18"/>
      <c r="J22" s="18"/>
      <c r="K22" s="18"/>
      <c r="L22" s="18"/>
      <c r="M22" s="18"/>
    </row>
    <row r="23" spans="5:13" s="19" customFormat="1" x14ac:dyDescent="0.2">
      <c r="E23" s="18"/>
      <c r="F23" s="18"/>
      <c r="G23" s="18"/>
      <c r="H23" s="18"/>
      <c r="I23" s="18"/>
      <c r="J23" s="18"/>
      <c r="K23" s="18"/>
      <c r="L23" s="18"/>
      <c r="M23" s="18"/>
    </row>
    <row r="24" spans="5:13" s="19" customFormat="1" x14ac:dyDescent="0.2">
      <c r="E24" s="18"/>
      <c r="F24" s="18"/>
      <c r="G24" s="18"/>
      <c r="H24" s="18"/>
      <c r="I24" s="18"/>
      <c r="J24" s="18"/>
      <c r="K24" s="18"/>
      <c r="L24" s="18"/>
      <c r="M24" s="18"/>
    </row>
    <row r="25" spans="5:13" s="19" customFormat="1" x14ac:dyDescent="0.2">
      <c r="E25" s="18"/>
      <c r="F25" s="18"/>
      <c r="G25" s="18"/>
      <c r="H25" s="18"/>
      <c r="I25" s="18"/>
      <c r="J25" s="18"/>
      <c r="K25" s="18"/>
      <c r="L25" s="18"/>
      <c r="M25" s="18"/>
    </row>
    <row r="26" spans="5:13" s="19" customFormat="1" x14ac:dyDescent="0.2">
      <c r="E26" s="18"/>
      <c r="F26" s="18"/>
      <c r="G26" s="18"/>
      <c r="H26" s="18"/>
      <c r="I26" s="18"/>
      <c r="J26" s="18"/>
      <c r="K26" s="18"/>
      <c r="L26" s="18"/>
      <c r="M26" s="18"/>
    </row>
    <row r="27" spans="5:13" s="19" customFormat="1" x14ac:dyDescent="0.2">
      <c r="E27" s="18"/>
      <c r="F27" s="18"/>
      <c r="G27" s="18"/>
      <c r="H27" s="18"/>
      <c r="I27" s="18"/>
      <c r="J27" s="18"/>
      <c r="K27" s="18"/>
      <c r="L27" s="18"/>
      <c r="M27" s="18"/>
    </row>
    <row r="28" spans="5:13" s="19" customFormat="1" x14ac:dyDescent="0.2">
      <c r="E28" s="18"/>
      <c r="F28" s="18"/>
      <c r="G28" s="18"/>
      <c r="H28" s="18"/>
      <c r="I28" s="18"/>
      <c r="J28" s="18"/>
      <c r="K28" s="18"/>
      <c r="L28" s="18"/>
      <c r="M28" s="18"/>
    </row>
    <row r="29" spans="5:13" s="19" customFormat="1" x14ac:dyDescent="0.2">
      <c r="E29" s="18"/>
      <c r="F29" s="18"/>
      <c r="G29" s="18"/>
      <c r="H29" s="18"/>
      <c r="I29" s="18"/>
      <c r="J29" s="18"/>
      <c r="K29" s="18"/>
      <c r="L29" s="18"/>
      <c r="M29" s="18"/>
    </row>
    <row r="30" spans="5:13" s="19" customFormat="1" x14ac:dyDescent="0.2">
      <c r="E30" s="18"/>
      <c r="F30" s="18"/>
      <c r="G30" s="18"/>
      <c r="H30" s="18"/>
      <c r="I30" s="18"/>
      <c r="J30" s="18"/>
      <c r="K30" s="18"/>
      <c r="L30" s="18"/>
      <c r="M30" s="18"/>
    </row>
    <row r="31" spans="5:13" s="19" customFormat="1" x14ac:dyDescent="0.2">
      <c r="E31" s="18"/>
      <c r="F31" s="18"/>
      <c r="G31" s="18"/>
      <c r="H31" s="18"/>
      <c r="I31" s="18"/>
      <c r="J31" s="18"/>
      <c r="K31" s="18"/>
      <c r="L31" s="18"/>
      <c r="M31" s="18"/>
    </row>
    <row r="32" spans="5:13" s="19" customFormat="1" x14ac:dyDescent="0.2">
      <c r="E32" s="18"/>
      <c r="F32" s="18"/>
      <c r="G32" s="18"/>
      <c r="H32" s="18"/>
      <c r="I32" s="18"/>
      <c r="J32" s="18"/>
      <c r="K32" s="18"/>
      <c r="L32" s="18"/>
      <c r="M32" s="18"/>
    </row>
    <row r="33" spans="5:13" s="19" customFormat="1" x14ac:dyDescent="0.2">
      <c r="E33" s="18"/>
      <c r="F33" s="18"/>
      <c r="G33" s="18"/>
      <c r="H33" s="18"/>
      <c r="I33" s="18"/>
      <c r="J33" s="18"/>
      <c r="K33" s="18"/>
      <c r="L33" s="18"/>
      <c r="M33" s="18"/>
    </row>
    <row r="34" spans="5:13" s="19" customFormat="1" x14ac:dyDescent="0.2">
      <c r="E34" s="18"/>
      <c r="F34" s="18"/>
      <c r="G34" s="18"/>
      <c r="H34" s="18"/>
      <c r="I34" s="18"/>
      <c r="J34" s="18"/>
      <c r="K34" s="18"/>
      <c r="L34" s="18"/>
      <c r="M34" s="18"/>
    </row>
    <row r="35" spans="5:13" s="19" customFormat="1" x14ac:dyDescent="0.2">
      <c r="E35" s="18"/>
      <c r="F35" s="18"/>
      <c r="G35" s="18"/>
      <c r="H35" s="18"/>
      <c r="I35" s="18"/>
      <c r="J35" s="18"/>
      <c r="K35" s="18"/>
      <c r="L35" s="18"/>
      <c r="M35" s="18"/>
    </row>
    <row r="36" spans="5:13" s="19" customFormat="1" x14ac:dyDescent="0.2">
      <c r="E36" s="18"/>
      <c r="F36" s="18"/>
      <c r="G36" s="18"/>
      <c r="H36" s="18"/>
      <c r="I36" s="18"/>
      <c r="J36" s="18"/>
      <c r="K36" s="18"/>
      <c r="L36" s="18"/>
      <c r="M36" s="18"/>
    </row>
    <row r="37" spans="5:13" s="19" customFormat="1" x14ac:dyDescent="0.2">
      <c r="E37" s="18"/>
      <c r="F37" s="18"/>
      <c r="G37" s="18"/>
      <c r="H37" s="18"/>
      <c r="I37" s="18"/>
      <c r="J37" s="18"/>
      <c r="K37" s="18"/>
      <c r="L37" s="18"/>
      <c r="M37" s="18"/>
    </row>
    <row r="38" spans="5:13" s="19" customFormat="1" x14ac:dyDescent="0.2">
      <c r="E38" s="18"/>
      <c r="F38" s="18"/>
      <c r="G38" s="18"/>
      <c r="H38" s="18"/>
      <c r="I38" s="18"/>
      <c r="J38" s="18"/>
      <c r="K38" s="18"/>
      <c r="L38" s="18"/>
      <c r="M38" s="18"/>
    </row>
    <row r="39" spans="5:13" s="19" customFormat="1" x14ac:dyDescent="0.2">
      <c r="E39" s="18"/>
      <c r="F39" s="18"/>
      <c r="G39" s="18"/>
      <c r="H39" s="18"/>
      <c r="I39" s="18"/>
      <c r="J39" s="18"/>
      <c r="K39" s="18"/>
      <c r="L39" s="18"/>
      <c r="M39" s="18"/>
    </row>
    <row r="40" spans="5:13" s="19" customFormat="1" x14ac:dyDescent="0.2"/>
    <row r="41" spans="5:13" s="19" customFormat="1" x14ac:dyDescent="0.2"/>
    <row r="42" spans="5:13" s="19" customFormat="1" x14ac:dyDescent="0.2"/>
    <row r="43" spans="5:13" s="19" customFormat="1" x14ac:dyDescent="0.2"/>
    <row r="44" spans="5:13" s="19" customFormat="1" x14ac:dyDescent="0.2"/>
    <row r="45" spans="5:13" s="19" customFormat="1" x14ac:dyDescent="0.2"/>
    <row r="46" spans="5:13" s="19" customFormat="1" x14ac:dyDescent="0.2"/>
    <row r="47" spans="5:13" s="19" customFormat="1" x14ac:dyDescent="0.2"/>
    <row r="48" spans="5:13" s="19" customFormat="1" x14ac:dyDescent="0.2"/>
    <row r="49" spans="1:19" s="8" customFormat="1" x14ac:dyDescent="0.2">
      <c r="A49" s="66" t="s">
        <v>36</v>
      </c>
      <c r="B49" s="66"/>
      <c r="C49" s="66"/>
      <c r="D49" s="66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</row>
    <row r="50" spans="1:19" s="19" customFormat="1" x14ac:dyDescent="0.2"/>
    <row r="51" spans="1:19" s="19" customFormat="1" x14ac:dyDescent="0.2"/>
    <row r="52" spans="1:19" s="19" customFormat="1" x14ac:dyDescent="0.2"/>
    <row r="53" spans="1:19" s="19" customFormat="1" x14ac:dyDescent="0.2"/>
    <row r="54" spans="1:19" s="19" customFormat="1" x14ac:dyDescent="0.2"/>
    <row r="55" spans="1:19" s="19" customFormat="1" x14ac:dyDescent="0.2"/>
    <row r="56" spans="1:19" s="19" customFormat="1" x14ac:dyDescent="0.2"/>
    <row r="57" spans="1:19" s="19" customFormat="1" x14ac:dyDescent="0.2"/>
    <row r="58" spans="1:19" s="19" customFormat="1" x14ac:dyDescent="0.2"/>
    <row r="59" spans="1:19" s="19" customFormat="1" x14ac:dyDescent="0.2"/>
    <row r="60" spans="1:19" s="19" customFormat="1" x14ac:dyDescent="0.2"/>
    <row r="61" spans="1:19" s="19" customFormat="1" x14ac:dyDescent="0.2"/>
    <row r="62" spans="1:19" s="19" customFormat="1" x14ac:dyDescent="0.2"/>
    <row r="63" spans="1:19" s="19" customFormat="1" x14ac:dyDescent="0.2"/>
    <row r="64" spans="1:19" s="19" customFormat="1" x14ac:dyDescent="0.2"/>
    <row r="65" s="19" customFormat="1" x14ac:dyDescent="0.2"/>
    <row r="66" s="19" customFormat="1" x14ac:dyDescent="0.2"/>
    <row r="67" s="19" customFormat="1" x14ac:dyDescent="0.2"/>
    <row r="68" s="19" customFormat="1" x14ac:dyDescent="0.2"/>
    <row r="69" s="19" customFormat="1" x14ac:dyDescent="0.2"/>
    <row r="70" s="19" customFormat="1" x14ac:dyDescent="0.2"/>
    <row r="71" s="19" customFormat="1" x14ac:dyDescent="0.2"/>
    <row r="72" s="19" customFormat="1" x14ac:dyDescent="0.2"/>
    <row r="73" s="19" customFormat="1" x14ac:dyDescent="0.2"/>
    <row r="74" s="19" customFormat="1" x14ac:dyDescent="0.2"/>
    <row r="75" s="19" customFormat="1" x14ac:dyDescent="0.2"/>
    <row r="76" s="19" customFormat="1" x14ac:dyDescent="0.2"/>
    <row r="77" s="19" customFormat="1" x14ac:dyDescent="0.2"/>
  </sheetData>
  <mergeCells count="5">
    <mergeCell ref="A3:S3"/>
    <mergeCell ref="D7:E8"/>
    <mergeCell ref="B11:C11"/>
    <mergeCell ref="E11:F11"/>
    <mergeCell ref="A49:S49"/>
  </mergeCells>
  <hyperlinks>
    <hyperlink ref="A49:S49" r:id="rId1" display="Created by Pointy Haired Dilbert - http://chandoo.org/wp            Poke around, Have fun"/>
  </hyperlinks>
  <pageMargins left="0.75" right="0.75" top="1" bottom="1" header="0.5" footer="0.5"/>
  <pageSetup orientation="portrait" r:id="rId2"/>
  <headerFooter alignWithMargins="0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Dashboard</vt:lpstr>
      <vt:lpstr>Database</vt:lpstr>
      <vt:lpstr>GAUGE_SETUP</vt:lpstr>
      <vt:lpstr>Product_1</vt:lpstr>
      <vt:lpstr>Product_10</vt:lpstr>
      <vt:lpstr>Product_11</vt:lpstr>
      <vt:lpstr>Product_12</vt:lpstr>
      <vt:lpstr>Product_13</vt:lpstr>
      <vt:lpstr>Product_14</vt:lpstr>
      <vt:lpstr>Product_15</vt:lpstr>
      <vt:lpstr>Product_2</vt:lpstr>
      <vt:lpstr>Product_3</vt:lpstr>
      <vt:lpstr>Product_4</vt:lpstr>
      <vt:lpstr>Product_5</vt:lpstr>
      <vt:lpstr>Product_6</vt:lpstr>
      <vt:lpstr>Product_7</vt:lpstr>
      <vt:lpstr>Product_8</vt:lpstr>
      <vt:lpstr>Product_9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 Dashboard School</dc:creator>
  <cp:lastModifiedBy>P</cp:lastModifiedBy>
  <dcterms:created xsi:type="dcterms:W3CDTF">2015-08-24T07:36:03Z</dcterms:created>
  <dcterms:modified xsi:type="dcterms:W3CDTF">2015-11-07T17:29:50Z</dcterms:modified>
</cp:coreProperties>
</file>